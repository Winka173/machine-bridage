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'Khac_che'!$A$1:$AB$24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'Vu_khi_suy_ra'!$A$1:$BE$360</definedName>
    <definedName name="_xlnm._FilterDatabase" localSheetId="21" hidden="1">'Vu_khi_tham_chieu'!$A$1:$AG$360</definedName>
    <definedName name="_xlnm._FilterDatabase" localSheetId="22" hidden="1">'Vu_khi_so_sanh_that'!$A$1:$Q$264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'The_ho_tro'!$A$1:$AL$26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'xe_input_vu_khi'!$A$1:$J$66</definedName>
    <definedName name="_xlnm._FilterDatabase" localSheetId="40" hidden="1">'xe_input_vu_khi_suy_ra'!$A$1:$L$66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'Phuong_tien_tham_chieu'!$A$1:$AK$105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6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inlineStr">
        <is>
          <t>NEED_CODE_CHECK</t>
        </is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inlineStr">
        <is>
          <t>NEED_CODE_CHECK</t>
        </is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NEED_CODE_CHECK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90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inlineStr">
        <is>
          <t>NEED_CODE_CHECK</t>
        </is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NEED_CODE_CHECK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NEED_CODE_CHECK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inlineStr">
        <is>
          <t>NEED_CODE_CHECK</t>
        </is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inlineStr">
        <is>
          <t>NEED_CODE_CHECK</t>
        </is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NEED_CODE_CHECK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NEED_CODE_CHECK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inlineStr">
        <is>
          <t>NEED_CODE_CHECK</t>
        </is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NEED_CODE_CHECK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NEED_CODE_CHECK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18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NEED_CODE_CHECK</t>
        </is>
      </c>
      <c r="L2" t="inlineStr">
        <is>
          <t>NEED_CODE_CHECK</t>
        </is>
      </c>
      <c r="M2" t="inlineStr">
        <is>
          <t>NEED_CODE_CHECK</t>
        </is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NEED_CODE_CHECK</t>
        </is>
      </c>
      <c r="L3" t="inlineStr">
        <is>
          <t>NEED_CODE_CHECK</t>
        </is>
      </c>
      <c r="M3" t="inlineStr">
        <is>
          <t>NEED_CODE_CHECK</t>
        </is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NEED_CODE_CHECK</t>
        </is>
      </c>
      <c r="L4" t="inlineStr">
        <is>
          <t>NEED_CODE_CHECK</t>
        </is>
      </c>
      <c r="M4" t="inlineStr">
        <is>
          <t>NEED_CODE_CHECK</t>
        </is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NEED_CODE_CHECK</t>
        </is>
      </c>
      <c r="L5" t="inlineStr">
        <is>
          <t>NEED_CODE_CHECK</t>
        </is>
      </c>
      <c r="M5" t="inlineStr">
        <is>
          <t>NEED_CODE_CHECK</t>
        </is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NEED_CODE_CHECK</t>
        </is>
      </c>
      <c r="L6" t="inlineStr">
        <is>
          <t>NEED_CODE_CHECK</t>
        </is>
      </c>
      <c r="M6" t="inlineStr">
        <is>
          <t>NEED_CODE_CHECK</t>
        </is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NEED_CODE_CHECK</t>
        </is>
      </c>
      <c r="L7" t="inlineStr">
        <is>
          <t>NEED_CODE_CHECK</t>
        </is>
      </c>
      <c r="M7" t="inlineStr">
        <is>
          <t>NEED_CODE_CHECK</t>
        </is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NEED_CODE_CHECK</t>
        </is>
      </c>
      <c r="L8" t="inlineStr">
        <is>
          <t>NEED_CODE_CHECK</t>
        </is>
      </c>
      <c r="M8" t="inlineStr">
        <is>
          <t>NEED_CODE_CHECK</t>
        </is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NEED_CODE_CHECK</t>
        </is>
      </c>
      <c r="L9" t="inlineStr">
        <is>
          <t>NEED_CODE_CHECK</t>
        </is>
      </c>
      <c r="M9" t="inlineStr">
        <is>
          <t>NEED_CODE_CHECK</t>
        </is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NEED_CODE_CHECK</t>
        </is>
      </c>
      <c r="L10" t="inlineStr">
        <is>
          <t>NEED_CODE_CHECK</t>
        </is>
      </c>
      <c r="M10" t="inlineStr">
        <is>
          <t>NEED_CODE_CHECK</t>
        </is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NEED_CODE_CHECK</t>
        </is>
      </c>
      <c r="L11" t="inlineStr">
        <is>
          <t>NEED_CODE_CHECK</t>
        </is>
      </c>
      <c r="M11" t="inlineStr">
        <is>
          <t>NEED_CODE_CHECK</t>
        </is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NEED_CODE_CHECK</t>
        </is>
      </c>
      <c r="L12" t="inlineStr">
        <is>
          <t>NEED_CODE_CHECK</t>
        </is>
      </c>
      <c r="M12" t="inlineStr">
        <is>
          <t>NEED_CODE_CHECK</t>
        </is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NEED_CODE_CHECK</t>
        </is>
      </c>
      <c r="L13" t="inlineStr">
        <is>
          <t>NEED_CODE_CHECK</t>
        </is>
      </c>
      <c r="M13" t="inlineStr">
        <is>
          <t>NEED_CODE_CHECK</t>
        </is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NEED_CODE_CHECK</t>
        </is>
      </c>
      <c r="L14" t="inlineStr">
        <is>
          <t>NEED_CODE_CHECK</t>
        </is>
      </c>
      <c r="M14" t="inlineStr">
        <is>
          <t>NEED_CODE_CHECK</t>
        </is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NEED_CODE_CHECK</t>
        </is>
      </c>
      <c r="L15" t="inlineStr">
        <is>
          <t>NEED_CODE_CHECK</t>
        </is>
      </c>
      <c r="M15" t="inlineStr">
        <is>
          <t>NEED_CODE_CHECK</t>
        </is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NEED_CODE_CHECK</t>
        </is>
      </c>
      <c r="L16" t="inlineStr">
        <is>
          <t>NEED_CODE_CHECK</t>
        </is>
      </c>
      <c r="M16" t="inlineStr">
        <is>
          <t>NEED_CODE_CHECK</t>
        </is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NEED_CODE_CHECK</t>
        </is>
      </c>
      <c r="L17" t="inlineStr">
        <is>
          <t>NEED_CODE_CHECK</t>
        </is>
      </c>
      <c r="M17" t="inlineStr">
        <is>
          <t>NEED_CODE_CHECK</t>
        </is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NEED_CODE_CHECK</t>
        </is>
      </c>
      <c r="L18" t="inlineStr">
        <is>
          <t>NEED_CODE_CHECK</t>
        </is>
      </c>
      <c r="M18" t="inlineStr">
        <is>
          <t>NEED_CODE_CHECK</t>
        </is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NEED_CODE_CHECK</t>
        </is>
      </c>
      <c r="L19" t="inlineStr">
        <is>
          <t>NEED_CODE_CHECK</t>
        </is>
      </c>
      <c r="M19" t="inlineStr">
        <is>
          <t>NEED_CODE_CHECK</t>
        </is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NEED_CODE_CHECK</t>
        </is>
      </c>
      <c r="L20" t="inlineStr">
        <is>
          <t>NEED_CODE_CHECK</t>
        </is>
      </c>
      <c r="M20" t="inlineStr">
        <is>
          <t>NEED_CODE_CHECK</t>
        </is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NEED_CODE_CHECK</t>
        </is>
      </c>
      <c r="L21" t="inlineStr">
        <is>
          <t>NEED_CODE_CHECK</t>
        </is>
      </c>
      <c r="M21" t="inlineStr">
        <is>
          <t>NEED_CODE_CHECK</t>
        </is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NEED_CODE_CHECK</t>
        </is>
      </c>
      <c r="L22" t="inlineStr">
        <is>
          <t>NEED_CODE_CHECK</t>
        </is>
      </c>
      <c r="M22" t="inlineStr">
        <is>
          <t>NEED_CODE_CHECK</t>
        </is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NEED_CODE_CHECK</t>
        </is>
      </c>
      <c r="L23" t="inlineStr">
        <is>
          <t>NEED_CODE_CHECK</t>
        </is>
      </c>
      <c r="M23" t="inlineStr">
        <is>
          <t>NEED_CODE_CHECK</t>
        </is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NEED_CODE_CHECK</t>
        </is>
      </c>
      <c r="L24" t="inlineStr">
        <is>
          <t>NEED_CODE_CHECK</t>
        </is>
      </c>
      <c r="M24" t="inlineStr">
        <is>
          <t>NEED_CODE_CHECK</t>
        </is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NEED_CODE_CHECK</t>
        </is>
      </c>
      <c r="L25" t="inlineStr">
        <is>
          <t>NEED_CODE_CHECK</t>
        </is>
      </c>
      <c r="M25" t="inlineStr">
        <is>
          <t>NEED_CODE_CHECK</t>
        </is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NEED_CODE_CHECK</t>
        </is>
      </c>
      <c r="L26" t="inlineStr">
        <is>
          <t>NEED_CODE_CHECK</t>
        </is>
      </c>
      <c r="M26" t="inlineStr">
        <is>
          <t>NEED_CODE_CHECK</t>
        </is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NEED_CODE_CHECK</t>
        </is>
      </c>
      <c r="L27" t="inlineStr">
        <is>
          <t>NEED_CODE_CHECK</t>
        </is>
      </c>
      <c r="M27" t="inlineStr">
        <is>
          <t>NEED_CODE_CHECK</t>
        </is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NEED_CODE_CHECK</t>
        </is>
      </c>
      <c r="L28" t="inlineStr">
        <is>
          <t>NEED_CODE_CHECK</t>
        </is>
      </c>
      <c r="M28" t="inlineStr">
        <is>
          <t>NEED_CODE_CHECK</t>
        </is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NEED_CODE_CHECK</t>
        </is>
      </c>
      <c r="L29" t="inlineStr">
        <is>
          <t>NEED_CODE_CHECK</t>
        </is>
      </c>
      <c r="M29" t="inlineStr">
        <is>
          <t>NEED_CODE_CHECK</t>
        </is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NEED_CODE_CHECK</t>
        </is>
      </c>
      <c r="L30" t="inlineStr">
        <is>
          <t>NEED_CODE_CHECK</t>
        </is>
      </c>
      <c r="M30" t="inlineStr">
        <is>
          <t>NEED_CODE_CHECK</t>
        </is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NEED_CODE_CHECK</t>
        </is>
      </c>
      <c r="L31" t="inlineStr">
        <is>
          <t>NEED_CODE_CHECK</t>
        </is>
      </c>
      <c r="M31" t="inlineStr">
        <is>
          <t>NEED_CODE_CHECK</t>
        </is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NEED_CODE_CHECK</t>
        </is>
      </c>
      <c r="L32" t="inlineStr">
        <is>
          <t>NEED_CODE_CHECK</t>
        </is>
      </c>
      <c r="M32" t="inlineStr">
        <is>
          <t>NEED_CODE_CHECK</t>
        </is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NEED_CODE_CHECK</t>
        </is>
      </c>
      <c r="L33" t="inlineStr">
        <is>
          <t>NEED_CODE_CHECK</t>
        </is>
      </c>
      <c r="M33" t="inlineStr">
        <is>
          <t>NEED_CODE_CHECK</t>
        </is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NEED_CODE_CHECK</t>
        </is>
      </c>
      <c r="L34" t="inlineStr">
        <is>
          <t>NEED_CODE_CHECK</t>
        </is>
      </c>
      <c r="M34" t="inlineStr">
        <is>
          <t>NEED_CODE_CHECK</t>
        </is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NEED_CODE_CHECK</t>
        </is>
      </c>
      <c r="L35" t="inlineStr">
        <is>
          <t>NEED_CODE_CHECK</t>
        </is>
      </c>
      <c r="M35" t="inlineStr">
        <is>
          <t>NEED_CODE_CHECK</t>
        </is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NEED_CODE_CHECK</t>
        </is>
      </c>
      <c r="L36" t="inlineStr">
        <is>
          <t>NEED_CODE_CHECK</t>
        </is>
      </c>
      <c r="M36" t="inlineStr">
        <is>
          <t>NEED_CODE_CHECK</t>
        </is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NEED_CODE_CHECK</t>
        </is>
      </c>
      <c r="L37" t="inlineStr">
        <is>
          <t>NEED_CODE_CHECK</t>
        </is>
      </c>
      <c r="M37" t="inlineStr">
        <is>
          <t>NEED_CODE_CHECK</t>
        </is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NEED_CODE_CHECK</t>
        </is>
      </c>
      <c r="L38" t="inlineStr">
        <is>
          <t>NEED_CODE_CHECK</t>
        </is>
      </c>
      <c r="M38" t="inlineStr">
        <is>
          <t>NEED_CODE_CHECK</t>
        </is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NEED_CODE_CHECK</t>
        </is>
      </c>
      <c r="L39" t="inlineStr">
        <is>
          <t>NEED_CODE_CHECK</t>
        </is>
      </c>
      <c r="M39" t="inlineStr">
        <is>
          <t>NEED_CODE_CHECK</t>
        </is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NEED_CODE_CHECK</t>
        </is>
      </c>
      <c r="L40" t="inlineStr">
        <is>
          <t>NEED_CODE_CHECK</t>
        </is>
      </c>
      <c r="M40" t="inlineStr">
        <is>
          <t>NEED_CODE_CHECK</t>
        </is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NEED_CODE_CHECK</t>
        </is>
      </c>
      <c r="L41" t="inlineStr">
        <is>
          <t>NEED_CODE_CHECK</t>
        </is>
      </c>
      <c r="M41" t="inlineStr">
        <is>
          <t>NEED_CODE_CHECK</t>
        </is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NEED_CODE_CHECK</t>
        </is>
      </c>
      <c r="L42" t="inlineStr">
        <is>
          <t>NEED_CODE_CHECK</t>
        </is>
      </c>
      <c r="M42" t="inlineStr">
        <is>
          <t>NEED_CODE_CHECK</t>
        </is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NEED_CODE_CHECK</t>
        </is>
      </c>
      <c r="L43" t="inlineStr">
        <is>
          <t>NEED_CODE_CHECK</t>
        </is>
      </c>
      <c r="M43" t="inlineStr">
        <is>
          <t>NEED_CODE_CHECK</t>
        </is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NEED_CODE_CHECK</t>
        </is>
      </c>
      <c r="L44" t="inlineStr">
        <is>
          <t>NEED_CODE_CHECK</t>
        </is>
      </c>
      <c r="M44" t="inlineStr">
        <is>
          <t>NEED_CODE_CHECK</t>
        </is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NEED_CODE_CHECK</t>
        </is>
      </c>
      <c r="L45" t="inlineStr">
        <is>
          <t>NEED_CODE_CHECK</t>
        </is>
      </c>
      <c r="M45" t="inlineStr">
        <is>
          <t>NEED_CODE_CHECK</t>
        </is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NEED_CODE_CHECK</t>
        </is>
      </c>
      <c r="L46" t="inlineStr">
        <is>
          <t>NEED_CODE_CHECK</t>
        </is>
      </c>
      <c r="M46" t="inlineStr">
        <is>
          <t>NEED_CODE_CHECK</t>
        </is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NEED_CODE_CHECK</t>
        </is>
      </c>
      <c r="L47" t="inlineStr">
        <is>
          <t>NEED_CODE_CHECK</t>
        </is>
      </c>
      <c r="M47" t="inlineStr">
        <is>
          <t>NEED_CODE_CHECK</t>
        </is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NEED_CODE_CHECK</t>
        </is>
      </c>
      <c r="L48" t="inlineStr">
        <is>
          <t>NEED_CODE_CHECK</t>
        </is>
      </c>
      <c r="M48" t="inlineStr">
        <is>
          <t>NEED_CODE_CHECK</t>
        </is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NEED_CODE_CHECK</t>
        </is>
      </c>
      <c r="L49" t="inlineStr">
        <is>
          <t>NEED_CODE_CHECK</t>
        </is>
      </c>
      <c r="M49" t="inlineStr">
        <is>
          <t>NEED_CODE_CHECK</t>
        </is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NEED_CODE_CHECK</t>
        </is>
      </c>
      <c r="L50" t="inlineStr">
        <is>
          <t>NEED_CODE_CHECK</t>
        </is>
      </c>
      <c r="M50" t="inlineStr">
        <is>
          <t>NEED_CODE_CHECK</t>
        </is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NEED_CODE_CHECK</t>
        </is>
      </c>
      <c r="L51" t="inlineStr">
        <is>
          <t>NEED_CODE_CHECK</t>
        </is>
      </c>
      <c r="M51" t="inlineStr">
        <is>
          <t>NEED_CODE_CHECK</t>
        </is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NEED_CODE_CHECK</t>
        </is>
      </c>
      <c r="L52" t="inlineStr">
        <is>
          <t>NEED_CODE_CHECK</t>
        </is>
      </c>
      <c r="M52" t="inlineStr">
        <is>
          <t>NEED_CODE_CHECK</t>
        </is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NEED_CODE_CHECK</t>
        </is>
      </c>
      <c r="L53" t="inlineStr">
        <is>
          <t>NEED_CODE_CHECK</t>
        </is>
      </c>
      <c r="M53" t="inlineStr">
        <is>
          <t>NEED_CODE_CHECK</t>
        </is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NEED_CODE_CHECK</t>
        </is>
      </c>
      <c r="L54" t="inlineStr">
        <is>
          <t>NEED_CODE_CHECK</t>
        </is>
      </c>
      <c r="M54" t="inlineStr">
        <is>
          <t>NEED_CODE_CHECK</t>
        </is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NEED_CODE_CHECK</t>
        </is>
      </c>
      <c r="L55" t="inlineStr">
        <is>
          <t>NEED_CODE_CHECK</t>
        </is>
      </c>
      <c r="M55" t="inlineStr">
        <is>
          <t>NEED_CODE_CHECK</t>
        </is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NEED_CODE_CHECK</t>
        </is>
      </c>
      <c r="L56" t="inlineStr">
        <is>
          <t>NEED_CODE_CHECK</t>
        </is>
      </c>
      <c r="M56" t="inlineStr">
        <is>
          <t>NEED_CODE_CHECK</t>
        </is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NEED_CODE_CHECK</t>
        </is>
      </c>
      <c r="L57" t="inlineStr">
        <is>
          <t>NEED_CODE_CHECK</t>
        </is>
      </c>
      <c r="M57" t="inlineStr">
        <is>
          <t>NEED_CODE_CHECK</t>
        </is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NEED_CODE_CHECK</t>
        </is>
      </c>
      <c r="L58" t="inlineStr">
        <is>
          <t>NEED_CODE_CHECK</t>
        </is>
      </c>
      <c r="M58" t="inlineStr">
        <is>
          <t>NEED_CODE_CHECK</t>
        </is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NEED_CODE_CHECK</t>
        </is>
      </c>
      <c r="L59" t="inlineStr">
        <is>
          <t>NEED_CODE_CHECK</t>
        </is>
      </c>
      <c r="M59" t="inlineStr">
        <is>
          <t>NEED_CODE_CHECK</t>
        </is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NEED_CODE_CHECK</t>
        </is>
      </c>
      <c r="L60" t="inlineStr">
        <is>
          <t>NEED_CODE_CHECK</t>
        </is>
      </c>
      <c r="M60" t="inlineStr">
        <is>
          <t>NEED_CODE_CHECK</t>
        </is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NEED_CODE_CHECK</t>
        </is>
      </c>
      <c r="L61" t="inlineStr">
        <is>
          <t>NEED_CODE_CHECK</t>
        </is>
      </c>
      <c r="M61" t="inlineStr">
        <is>
          <t>NEED_CODE_CHECK</t>
        </is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NEED_CODE_CHECK</t>
        </is>
      </c>
      <c r="L62" t="inlineStr">
        <is>
          <t>NEED_CODE_CHECK</t>
        </is>
      </c>
      <c r="M62" t="inlineStr">
        <is>
          <t>NEED_CODE_CHECK</t>
        </is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NEED_CODE_CHECK</t>
        </is>
      </c>
      <c r="L63" t="inlineStr">
        <is>
          <t>NEED_CODE_CHECK</t>
        </is>
      </c>
      <c r="M63" t="inlineStr">
        <is>
          <t>NEED_CODE_CHECK</t>
        </is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NEED_CODE_CHECK</t>
        </is>
      </c>
      <c r="L64" t="inlineStr">
        <is>
          <t>NEED_CODE_CHECK</t>
        </is>
      </c>
      <c r="M64" t="inlineStr">
        <is>
          <t>NEED_CODE_CHECK</t>
        </is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NEED_CODE_CHECK</t>
        </is>
      </c>
      <c r="L65" t="inlineStr">
        <is>
          <t>NEED_CODE_CHECK</t>
        </is>
      </c>
      <c r="M65" t="inlineStr">
        <is>
          <t>NEED_CODE_CHECK</t>
        </is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NEED_CODE_CHECK</t>
        </is>
      </c>
      <c r="L66" t="inlineStr">
        <is>
          <t>NEED_CODE_CHECK</t>
        </is>
      </c>
      <c r="M66" t="inlineStr">
        <is>
          <t>NEED_CODE_CHECK</t>
        </is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NEED_CODE_CHECK</t>
        </is>
      </c>
      <c r="L67" t="inlineStr">
        <is>
          <t>NEED_CODE_CHECK</t>
        </is>
      </c>
      <c r="M67" t="inlineStr">
        <is>
          <t>NEED_CODE_CHECK</t>
        </is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NEED_CODE_CHECK</t>
        </is>
      </c>
      <c r="L68" t="inlineStr">
        <is>
          <t>NEED_CODE_CHECK</t>
        </is>
      </c>
      <c r="M68" t="inlineStr">
        <is>
          <t>NEED_CODE_CHECK</t>
        </is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NEED_CODE_CHECK</t>
        </is>
      </c>
      <c r="L69" t="inlineStr">
        <is>
          <t>NEED_CODE_CHECK</t>
        </is>
      </c>
      <c r="M69" t="inlineStr">
        <is>
          <t>NEED_CODE_CHECK</t>
        </is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6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6" customWidth="1" min="11" max="11"/>
    <col width="16" customWidth="1" min="12" max="12"/>
    <col width="8" customWidth="1" min="13" max="13"/>
    <col width="11" customWidth="1" min="14" max="14"/>
    <col width="17" customWidth="1" min="15" max="15"/>
    <col width="13" customWidth="1" min="16" max="16"/>
    <col width="12" customWidth="1" min="17" max="17"/>
    <col width="11" customWidth="1" min="18" max="18"/>
    <col width="11" customWidth="1" min="19" max="19"/>
    <col width="14" customWidth="1" min="20" max="20"/>
    <col width="14" customWidth="1" min="21" max="21"/>
    <col width="16" customWidth="1" min="22" max="22"/>
    <col width="14" customWidth="1" min="23" max="23"/>
    <col width="13" customWidth="1" min="24" max="24"/>
    <col width="12" customWidth="1" min="25" max="25"/>
    <col width="19" customWidth="1" min="26" max="26"/>
    <col width="60" customWidth="1" min="27" max="27"/>
    <col width="60" customWidth="1" min="28" max="28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</t>
        </is>
      </c>
      <c r="N1" s="1" t="inlineStr">
        <is>
          <t>aps_burst</t>
        </is>
      </c>
      <c r="O1" s="1" t="inlineStr">
        <is>
          <t>aps_capability</t>
        </is>
      </c>
      <c r="P1" s="1" t="inlineStr">
        <is>
          <t>aps_charges</t>
        </is>
      </c>
      <c r="Q1" s="1" t="inlineStr">
        <is>
          <t>aps_direct</t>
        </is>
      </c>
      <c r="R1" s="1" t="inlineStr">
        <is>
          <t>aps_heavy</t>
        </is>
      </c>
      <c r="S1" s="1" t="inlineStr">
        <is>
          <t>aps_laser</t>
        </is>
      </c>
      <c r="T1" s="1" t="inlineStr">
        <is>
          <t>aps_missiles</t>
        </is>
      </c>
      <c r="U1" s="1" t="inlineStr">
        <is>
          <t>aps_radius_m</t>
        </is>
      </c>
      <c r="V1" s="1" t="inlineStr">
        <is>
          <t>aps_recharge_s</t>
        </is>
      </c>
      <c r="W1" s="1" t="inlineStr">
        <is>
          <t>aps_reload_s</t>
        </is>
      </c>
      <c r="X1" s="1" t="inlineStr">
        <is>
          <t>aps_rockets</t>
        </is>
      </c>
      <c r="Y1" s="1" t="inlineStr">
        <is>
          <t>aps_shells</t>
        </is>
      </c>
      <c r="Z1" s="1" t="inlineStr">
        <is>
          <t>interception_mode</t>
        </is>
      </c>
      <c r="AA1" s="1" t="inlineStr">
        <is>
          <t>nguon</t>
        </is>
      </c>
      <c r="AB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NEED_CODE_CHECK</t>
        </is>
      </c>
      <c r="E2" t="inlineStr">
        <is>
          <t>NEED_CODE_CHECK</t>
        </is>
      </c>
      <c r="F2" t="inlineStr">
        <is>
          <t>NEED_CODE_CHECK</t>
        </is>
      </c>
      <c r="G2" t="inlineStr">
        <is>
          <t>NEED_CODE_CHECK</t>
        </is>
      </c>
      <c r="H2" t="inlineStr">
        <is>
          <t>NEED_CODE_CHECK</t>
        </is>
      </c>
      <c r="I2" t="inlineStr">
        <is>
          <t>NEED_CODE_CHECK</t>
        </is>
      </c>
      <c r="J2" t="inlineStr">
        <is>
          <t>NEED_CODE_CHECK</t>
        </is>
      </c>
      <c r="K2" t="inlineStr">
        <is>
          <t>NEED_CODE_CHECK</t>
        </is>
      </c>
      <c r="L2" t="inlineStr">
        <is>
          <t>NEED_CODE_CHECK</t>
        </is>
      </c>
      <c r="P2" t="n">
        <v>2</v>
      </c>
      <c r="U2" t="n">
        <v>11</v>
      </c>
      <c r="V2" t="n">
        <v>4</v>
      </c>
      <c r="AA2" t="inlineStr">
        <is>
          <t>Assets/MachineBrigade/Resources/Data/balance.json: vehicles[138]</t>
        </is>
      </c>
      <c r="AB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NEED_CODE_CHECK</t>
        </is>
      </c>
      <c r="E3" t="inlineStr">
        <is>
          <t>NEED_CODE_CHECK</t>
        </is>
      </c>
      <c r="F3" t="inlineStr">
        <is>
          <t>NEED_CODE_CHECK</t>
        </is>
      </c>
      <c r="G3" t="inlineStr">
        <is>
          <t>NEED_CODE_CHECK</t>
        </is>
      </c>
      <c r="H3" t="inlineStr">
        <is>
          <t>NEED_CODE_CHECK</t>
        </is>
      </c>
      <c r="I3" t="inlineStr">
        <is>
          <t>NEED_CODE_CHECK</t>
        </is>
      </c>
      <c r="J3" t="inlineStr">
        <is>
          <t>NEED_CODE_CHECK</t>
        </is>
      </c>
      <c r="K3" t="inlineStr">
        <is>
          <t>NEED_CODE_CHECK</t>
        </is>
      </c>
      <c r="L3" t="inlineStr">
        <is>
          <t>NEED_CODE_CHECK</t>
        </is>
      </c>
      <c r="AA3" t="inlineStr">
        <is>
          <t>Assets/MachineBrigade/Resources/Data/balance.json: vehicles[170]</t>
        </is>
      </c>
      <c r="AB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NEED_CODE_CHECK</t>
        </is>
      </c>
      <c r="E4" t="inlineStr">
        <is>
          <t>NEED_CODE_CHECK</t>
        </is>
      </c>
      <c r="F4" t="inlineStr">
        <is>
          <t>NEED_CODE_CHECK</t>
        </is>
      </c>
      <c r="G4" t="inlineStr">
        <is>
          <t>NEED_CODE_CHECK</t>
        </is>
      </c>
      <c r="H4" t="inlineStr">
        <is>
          <t>NEED_CODE_CHECK</t>
        </is>
      </c>
      <c r="I4" t="inlineStr">
        <is>
          <t>NEED_CODE_CHECK</t>
        </is>
      </c>
      <c r="J4" t="inlineStr">
        <is>
          <t>NEED_CODE_CHECK</t>
        </is>
      </c>
      <c r="K4" t="inlineStr">
        <is>
          <t>NEED_CODE_CHECK</t>
        </is>
      </c>
      <c r="L4" t="inlineStr">
        <is>
          <t>NEED_CODE_CHECK</t>
        </is>
      </c>
      <c r="P4" t="n">
        <v>2</v>
      </c>
      <c r="S4" t="b">
        <v>1</v>
      </c>
      <c r="U4" t="n">
        <v>26</v>
      </c>
      <c r="V4" t="n">
        <v>1.6</v>
      </c>
      <c r="X4" t="b">
        <v>1</v>
      </c>
      <c r="AA4" t="inlineStr">
        <is>
          <t>Assets/MachineBrigade/Resources/Data/balance.json: vehicles[147]</t>
        </is>
      </c>
      <c r="AB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NEED_CODE_CHECK</t>
        </is>
      </c>
      <c r="E5" t="inlineStr">
        <is>
          <t>NEED_CODE_CHECK</t>
        </is>
      </c>
      <c r="F5" t="inlineStr">
        <is>
          <t>NEED_CODE_CHECK</t>
        </is>
      </c>
      <c r="G5" t="inlineStr">
        <is>
          <t>NEED_CODE_CHECK</t>
        </is>
      </c>
      <c r="H5" t="inlineStr">
        <is>
          <t>NEED_CODE_CHECK</t>
        </is>
      </c>
      <c r="I5" t="inlineStr">
        <is>
          <t>NEED_CODE_CHECK</t>
        </is>
      </c>
      <c r="J5" t="inlineStr">
        <is>
          <t>NEED_CODE_CHECK</t>
        </is>
      </c>
      <c r="K5" t="inlineStr">
        <is>
          <t>NEED_CODE_CHECK</t>
        </is>
      </c>
      <c r="L5" t="inlineStr">
        <is>
          <t>NEED_CODE_CHECK</t>
        </is>
      </c>
      <c r="N5" t="n">
        <v>0.5</v>
      </c>
      <c r="P5" t="n">
        <v>4</v>
      </c>
      <c r="U5" t="n">
        <v>35</v>
      </c>
      <c r="V5" t="n">
        <v>0.6</v>
      </c>
      <c r="X5" t="b">
        <v>1</v>
      </c>
      <c r="Y5" t="n">
        <v>0.3</v>
      </c>
      <c r="AA5" t="inlineStr">
        <is>
          <t>Assets/MachineBrigade/Resources/Data/balance.json: vehicles[72]</t>
        </is>
      </c>
      <c r="AB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NEED_CODE_CHECK</t>
        </is>
      </c>
      <c r="E6" t="inlineStr">
        <is>
          <t>NEED_CODE_CHECK</t>
        </is>
      </c>
      <c r="F6" t="inlineStr">
        <is>
          <t>NEED_CODE_CHECK</t>
        </is>
      </c>
      <c r="G6" t="inlineStr">
        <is>
          <t>NEED_CODE_CHECK</t>
        </is>
      </c>
      <c r="H6" t="inlineStr">
        <is>
          <t>NEED_CODE_CHECK</t>
        </is>
      </c>
      <c r="I6" t="inlineStr">
        <is>
          <t>NEED_CODE_CHECK</t>
        </is>
      </c>
      <c r="J6" t="inlineStr">
        <is>
          <t>NEED_CODE_CHECK</t>
        </is>
      </c>
      <c r="K6" t="inlineStr">
        <is>
          <t>NEED_CODE_CHECK</t>
        </is>
      </c>
      <c r="L6" t="inlineStr">
        <is>
          <t>NEED_CODE_CHECK</t>
        </is>
      </c>
      <c r="N6" t="n">
        <v>0.3</v>
      </c>
      <c r="P6" t="n">
        <v>5</v>
      </c>
      <c r="U6" t="n">
        <v>35</v>
      </c>
      <c r="V6" t="n">
        <v>0.35</v>
      </c>
      <c r="X6" t="b">
        <v>1</v>
      </c>
      <c r="Y6" t="n">
        <v>0.4</v>
      </c>
      <c r="AA6" t="inlineStr">
        <is>
          <t>Assets/MachineBrigade/Resources/Data/balance.json: vehicles[91]</t>
        </is>
      </c>
      <c r="AB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NEED_CODE_CHECK</t>
        </is>
      </c>
      <c r="E7" t="inlineStr">
        <is>
          <t>NEED_CODE_CHECK</t>
        </is>
      </c>
      <c r="F7" t="inlineStr">
        <is>
          <t>NEED_CODE_CHECK</t>
        </is>
      </c>
      <c r="G7" t="inlineStr">
        <is>
          <t>NEED_CODE_CHECK</t>
        </is>
      </c>
      <c r="H7" t="inlineStr">
        <is>
          <t>NEED_CODE_CHECK</t>
        </is>
      </c>
      <c r="I7" t="inlineStr">
        <is>
          <t>NEED_CODE_CHECK</t>
        </is>
      </c>
      <c r="J7" t="inlineStr">
        <is>
          <t>NEED_CODE_CHECK</t>
        </is>
      </c>
      <c r="K7" t="inlineStr">
        <is>
          <t>NEED_CODE_CHECK</t>
        </is>
      </c>
      <c r="L7" t="inlineStr">
        <is>
          <t>NEED_CODE_CHECK</t>
        </is>
      </c>
      <c r="P7" t="n">
        <v>6</v>
      </c>
      <c r="Q7" t="b">
        <v>0</v>
      </c>
      <c r="T7" t="b">
        <v>1</v>
      </c>
      <c r="U7" t="n">
        <v>60</v>
      </c>
      <c r="W7" t="n">
        <v>12</v>
      </c>
      <c r="X7" t="b">
        <v>1</v>
      </c>
      <c r="Y7" t="n">
        <v>0.5</v>
      </c>
      <c r="AA7" t="inlineStr">
        <is>
          <t>Assets/MachineBrigade/Resources/Data/balance.json: vehicles[92]</t>
        </is>
      </c>
      <c r="AB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NEED_CODE_CHECK</t>
        </is>
      </c>
      <c r="E8" t="inlineStr">
        <is>
          <t>NEED_CODE_CHECK</t>
        </is>
      </c>
      <c r="F8" t="inlineStr">
        <is>
          <t>NEED_CODE_CHECK</t>
        </is>
      </c>
      <c r="G8" t="inlineStr">
        <is>
          <t>NEED_CODE_CHECK</t>
        </is>
      </c>
      <c r="H8" t="inlineStr">
        <is>
          <t>NEED_CODE_CHECK</t>
        </is>
      </c>
      <c r="I8" t="inlineStr">
        <is>
          <t>NEED_CODE_CHECK</t>
        </is>
      </c>
      <c r="J8" t="inlineStr">
        <is>
          <t>NEED_CODE_CHECK</t>
        </is>
      </c>
      <c r="K8" t="inlineStr">
        <is>
          <t>NEED_CODE_CHECK</t>
        </is>
      </c>
      <c r="L8" t="inlineStr">
        <is>
          <t>NEED_CODE_CHECK</t>
        </is>
      </c>
      <c r="AA8" t="inlineStr">
        <is>
          <t>Assets/MachineBrigade/Resources/Data/balance.json: vehicles[175]</t>
        </is>
      </c>
      <c r="AB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NEED_CODE_CHECK</t>
        </is>
      </c>
      <c r="E9" t="inlineStr">
        <is>
          <t>NEED_CODE_CHECK</t>
        </is>
      </c>
      <c r="F9" t="inlineStr">
        <is>
          <t>NEED_CODE_CHECK</t>
        </is>
      </c>
      <c r="G9" t="inlineStr">
        <is>
          <t>NEED_CODE_CHECK</t>
        </is>
      </c>
      <c r="H9" t="inlineStr">
        <is>
          <t>NEED_CODE_CHECK</t>
        </is>
      </c>
      <c r="I9" t="inlineStr">
        <is>
          <t>NEED_CODE_CHECK</t>
        </is>
      </c>
      <c r="J9" t="inlineStr">
        <is>
          <t>NEED_CODE_CHECK</t>
        </is>
      </c>
      <c r="K9" t="inlineStr">
        <is>
          <t>NEED_CODE_CHECK</t>
        </is>
      </c>
      <c r="L9" t="inlineStr">
        <is>
          <t>NEED_CODE_CHECK</t>
        </is>
      </c>
      <c r="P9" t="n">
        <v>2</v>
      </c>
      <c r="S9" t="b">
        <v>1</v>
      </c>
      <c r="U9" t="n">
        <v>31.6</v>
      </c>
      <c r="V9" t="n">
        <v>1.6</v>
      </c>
      <c r="X9" t="b">
        <v>1</v>
      </c>
      <c r="AA9" t="inlineStr">
        <is>
          <t>Assets/MachineBrigade/Resources/Data/balance.json: vehicles[160]</t>
        </is>
      </c>
      <c r="AB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NEED_CODE_CHECK</t>
        </is>
      </c>
      <c r="E10" t="inlineStr">
        <is>
          <t>NEED_CODE_CHECK</t>
        </is>
      </c>
      <c r="F10" t="inlineStr">
        <is>
          <t>NEED_CODE_CHECK</t>
        </is>
      </c>
      <c r="G10" t="inlineStr">
        <is>
          <t>NEED_CODE_CHECK</t>
        </is>
      </c>
      <c r="H10" t="inlineStr">
        <is>
          <t>NEED_CODE_CHECK</t>
        </is>
      </c>
      <c r="I10" t="inlineStr">
        <is>
          <t>NEED_CODE_CHECK</t>
        </is>
      </c>
      <c r="J10" t="inlineStr">
        <is>
          <t>NEED_CODE_CHECK</t>
        </is>
      </c>
      <c r="K10" t="inlineStr">
        <is>
          <t>NEED_CODE_CHECK</t>
        </is>
      </c>
      <c r="L10" t="inlineStr">
        <is>
          <t>NEED_CODE_CHECK</t>
        </is>
      </c>
      <c r="N10" t="n">
        <v>0.5</v>
      </c>
      <c r="P10" t="n">
        <v>6</v>
      </c>
      <c r="U10" t="n">
        <v>45</v>
      </c>
      <c r="V10" t="n">
        <v>0.6</v>
      </c>
      <c r="X10" t="b">
        <v>1</v>
      </c>
      <c r="Y10" t="n">
        <v>0.3</v>
      </c>
      <c r="AA10" t="inlineStr">
        <is>
          <t>Assets/MachineBrigade/Resources/Data/balance.json: vehicles[63]</t>
        </is>
      </c>
      <c r="AB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NEED_CODE_CHECK</t>
        </is>
      </c>
      <c r="E11" t="inlineStr">
        <is>
          <t>NEED_CODE_CHECK</t>
        </is>
      </c>
      <c r="F11" t="inlineStr">
        <is>
          <t>NEED_CODE_CHECK</t>
        </is>
      </c>
      <c r="G11" t="inlineStr">
        <is>
          <t>NEED_CODE_CHECK</t>
        </is>
      </c>
      <c r="H11" t="inlineStr">
        <is>
          <t>NEED_CODE_CHECK</t>
        </is>
      </c>
      <c r="I11" t="inlineStr">
        <is>
          <t>NEED_CODE_CHECK</t>
        </is>
      </c>
      <c r="J11" t="inlineStr">
        <is>
          <t>NEED_CODE_CHECK</t>
        </is>
      </c>
      <c r="K11" t="inlineStr">
        <is>
          <t>NEED_CODE_CHECK</t>
        </is>
      </c>
      <c r="L11" t="inlineStr">
        <is>
          <t>NEED_CODE_CHECK</t>
        </is>
      </c>
      <c r="P11" t="n">
        <v>3</v>
      </c>
      <c r="S11" t="b">
        <v>1</v>
      </c>
      <c r="U11" t="n">
        <v>19.5</v>
      </c>
      <c r="V11" t="n">
        <v>1.4</v>
      </c>
      <c r="X11" t="b">
        <v>1</v>
      </c>
      <c r="Z11" t="inlineStr">
        <is>
          <t>PointDefense</t>
        </is>
      </c>
      <c r="AA11" t="inlineStr">
        <is>
          <t>Assets/MachineBrigade/Resources/Data/balance.json: vehicles[168]</t>
        </is>
      </c>
      <c r="AB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NEED_CODE_CHECK</t>
        </is>
      </c>
      <c r="E12" t="inlineStr">
        <is>
          <t>NEED_CODE_CHECK</t>
        </is>
      </c>
      <c r="F12" t="inlineStr">
        <is>
          <t>NEED_CODE_CHECK</t>
        </is>
      </c>
      <c r="G12" t="inlineStr">
        <is>
          <t>NEED_CODE_CHECK</t>
        </is>
      </c>
      <c r="H12" t="inlineStr">
        <is>
          <t>NEED_CODE_CHECK</t>
        </is>
      </c>
      <c r="I12" t="inlineStr">
        <is>
          <t>NEED_CODE_CHECK</t>
        </is>
      </c>
      <c r="J12" t="inlineStr">
        <is>
          <t>NEED_CODE_CHECK</t>
        </is>
      </c>
      <c r="K12" t="inlineStr">
        <is>
          <t>NEED_CODE_CHECK</t>
        </is>
      </c>
      <c r="L12" t="inlineStr">
        <is>
          <t>NEED_CODE_CHECK</t>
        </is>
      </c>
      <c r="P12" t="n">
        <v>1</v>
      </c>
      <c r="S12" t="b">
        <v>1</v>
      </c>
      <c r="U12" t="n">
        <v>30</v>
      </c>
      <c r="V12" t="n">
        <v>0.8</v>
      </c>
      <c r="X12" t="b">
        <v>1</v>
      </c>
      <c r="Y12" t="n">
        <v>0</v>
      </c>
      <c r="Z12" t="inlineStr">
        <is>
          <t>PointDefense</t>
        </is>
      </c>
      <c r="AA12" t="inlineStr">
        <is>
          <t>Assets/MachineBrigade/Resources/Data/balance.json: vehicles[38]</t>
        </is>
      </c>
      <c r="AB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NEED_CODE_CHECK</t>
        </is>
      </c>
      <c r="E13" t="inlineStr">
        <is>
          <t>NEED_CODE_CHECK</t>
        </is>
      </c>
      <c r="F13" t="inlineStr">
        <is>
          <t>NEED_CODE_CHECK</t>
        </is>
      </c>
      <c r="G13" t="inlineStr">
        <is>
          <t>NEED_CODE_CHECK</t>
        </is>
      </c>
      <c r="H13" t="inlineStr">
        <is>
          <t>NEED_CODE_CHECK</t>
        </is>
      </c>
      <c r="I13" t="inlineStr">
        <is>
          <t>NEED_CODE_CHECK</t>
        </is>
      </c>
      <c r="J13" t="inlineStr">
        <is>
          <t>NEED_CODE_CHECK</t>
        </is>
      </c>
      <c r="K13" t="inlineStr">
        <is>
          <t>NEED_CODE_CHECK</t>
        </is>
      </c>
      <c r="L13" t="inlineStr">
        <is>
          <t>NEED_CODE_CHECK</t>
        </is>
      </c>
      <c r="P13" t="n">
        <v>2</v>
      </c>
      <c r="U13" t="n">
        <v>22</v>
      </c>
      <c r="V13" t="n">
        <v>3</v>
      </c>
      <c r="X13" t="b">
        <v>1</v>
      </c>
      <c r="AA13" t="inlineStr">
        <is>
          <t>Assets/MachineBrigade/Resources/Data/balance.json: vehicles[152]</t>
        </is>
      </c>
      <c r="AB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NEED_CODE_CHECK</t>
        </is>
      </c>
      <c r="E14" t="inlineStr">
        <is>
          <t>NEED_CODE_CHECK</t>
        </is>
      </c>
      <c r="F14" t="inlineStr">
        <is>
          <t>NEED_CODE_CHECK</t>
        </is>
      </c>
      <c r="G14" t="inlineStr">
        <is>
          <t>NEED_CODE_CHECK</t>
        </is>
      </c>
      <c r="H14" t="inlineStr">
        <is>
          <t>NEED_CODE_CHECK</t>
        </is>
      </c>
      <c r="I14" t="inlineStr">
        <is>
          <t>NEED_CODE_CHECK</t>
        </is>
      </c>
      <c r="J14" t="inlineStr">
        <is>
          <t>NEED_CODE_CHECK</t>
        </is>
      </c>
      <c r="K14" t="inlineStr">
        <is>
          <t>NEED_CODE_CHECK</t>
        </is>
      </c>
      <c r="L14" t="inlineStr">
        <is>
          <t>NEED_CODE_CHECK</t>
        </is>
      </c>
      <c r="P14" t="n">
        <v>1</v>
      </c>
      <c r="S14" t="b">
        <v>1</v>
      </c>
      <c r="U14" t="n">
        <v>40</v>
      </c>
      <c r="V14" t="n">
        <v>0.8</v>
      </c>
      <c r="X14" t="b">
        <v>1</v>
      </c>
      <c r="Y14" t="n">
        <v>0</v>
      </c>
      <c r="AA14" t="inlineStr">
        <is>
          <t>Assets/MachineBrigade/Resources/Data/balance.json: vehicles[119]</t>
        </is>
      </c>
      <c r="AB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NEED_CODE_CHECK</t>
        </is>
      </c>
      <c r="E15" t="inlineStr">
        <is>
          <t>NEED_CODE_CHECK</t>
        </is>
      </c>
      <c r="F15" t="inlineStr">
        <is>
          <t>NEED_CODE_CHECK</t>
        </is>
      </c>
      <c r="G15" t="inlineStr">
        <is>
          <t>NEED_CODE_CHECK</t>
        </is>
      </c>
      <c r="H15" t="inlineStr">
        <is>
          <t>NEED_CODE_CHECK</t>
        </is>
      </c>
      <c r="I15" t="inlineStr">
        <is>
          <t>NEED_CODE_CHECK</t>
        </is>
      </c>
      <c r="J15" t="inlineStr">
        <is>
          <t>NEED_CODE_CHECK</t>
        </is>
      </c>
      <c r="K15" t="inlineStr">
        <is>
          <t>NEED_CODE_CHECK</t>
        </is>
      </c>
      <c r="L15" t="inlineStr">
        <is>
          <t>NEED_CODE_CHECK</t>
        </is>
      </c>
      <c r="P15" t="n">
        <v>3</v>
      </c>
      <c r="U15" t="n">
        <v>30</v>
      </c>
      <c r="V15" t="n">
        <v>2.2</v>
      </c>
      <c r="X15" t="b">
        <v>1</v>
      </c>
      <c r="AA15" t="inlineStr">
        <is>
          <t>Assets/MachineBrigade/Resources/Data/balance.json: vehicles[153]</t>
        </is>
      </c>
      <c r="AB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NEED_CODE_CHECK</t>
        </is>
      </c>
      <c r="E16" t="inlineStr">
        <is>
          <t>NEED_CODE_CHECK</t>
        </is>
      </c>
      <c r="F16" t="inlineStr">
        <is>
          <t>NEED_CODE_CHECK</t>
        </is>
      </c>
      <c r="G16" t="inlineStr">
        <is>
          <t>NEED_CODE_CHECK</t>
        </is>
      </c>
      <c r="H16" t="inlineStr">
        <is>
          <t>NEED_CODE_CHECK</t>
        </is>
      </c>
      <c r="I16" t="inlineStr">
        <is>
          <t>NEED_CODE_CHECK</t>
        </is>
      </c>
      <c r="J16" t="inlineStr">
        <is>
          <t>NEED_CODE_CHECK</t>
        </is>
      </c>
      <c r="K16" t="inlineStr">
        <is>
          <t>NEED_CODE_CHECK</t>
        </is>
      </c>
      <c r="L16" t="inlineStr">
        <is>
          <t>NEED_CODE_CHECK</t>
        </is>
      </c>
      <c r="O16" t="inlineStr">
        <is>
          <t>RetrofitEligible</t>
        </is>
      </c>
      <c r="AA16" t="inlineStr">
        <is>
          <t>Assets/MachineBrigade/Resources/Data/balance.json: vehicles[2]</t>
        </is>
      </c>
      <c r="AB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NEED_CODE_CHECK</t>
        </is>
      </c>
      <c r="E17" t="inlineStr">
        <is>
          <t>NEED_CODE_CHECK</t>
        </is>
      </c>
      <c r="F17" t="inlineStr">
        <is>
          <t>NEED_CODE_CHECK</t>
        </is>
      </c>
      <c r="G17" t="inlineStr">
        <is>
          <t>NEED_CODE_CHECK</t>
        </is>
      </c>
      <c r="H17" t="inlineStr">
        <is>
          <t>NEED_CODE_CHECK</t>
        </is>
      </c>
      <c r="I17" t="inlineStr">
        <is>
          <t>NEED_CODE_CHECK</t>
        </is>
      </c>
      <c r="J17" t="inlineStr">
        <is>
          <t>NEED_CODE_CHECK</t>
        </is>
      </c>
      <c r="K17" t="inlineStr">
        <is>
          <t>NEED_CODE_CHECK</t>
        </is>
      </c>
      <c r="L17" t="inlineStr">
        <is>
          <t>NEED_CODE_CHECK</t>
        </is>
      </c>
      <c r="P17" t="n">
        <v>2</v>
      </c>
      <c r="U17" t="n">
        <v>11</v>
      </c>
      <c r="V17" t="n">
        <v>10</v>
      </c>
      <c r="AA17" t="inlineStr">
        <is>
          <t>Assets/MachineBrigade/Resources/Data/balance.json: vehicles[178]</t>
        </is>
      </c>
      <c r="AB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NEED_CODE_CHECK</t>
        </is>
      </c>
      <c r="E18" t="inlineStr">
        <is>
          <t>NEED_CODE_CHECK</t>
        </is>
      </c>
      <c r="F18" t="inlineStr">
        <is>
          <t>NEED_CODE_CHECK</t>
        </is>
      </c>
      <c r="G18" t="inlineStr">
        <is>
          <t>NEED_CODE_CHECK</t>
        </is>
      </c>
      <c r="H18" t="inlineStr">
        <is>
          <t>NEED_CODE_CHECK</t>
        </is>
      </c>
      <c r="I18" t="inlineStr">
        <is>
          <t>NEED_CODE_CHECK</t>
        </is>
      </c>
      <c r="J18" t="inlineStr">
        <is>
          <t>NEED_CODE_CHECK</t>
        </is>
      </c>
      <c r="K18" t="inlineStr">
        <is>
          <t>NEED_CODE_CHECK</t>
        </is>
      </c>
      <c r="L18" t="inlineStr">
        <is>
          <t>NEED_CODE_CHECK</t>
        </is>
      </c>
      <c r="P18" t="n">
        <v>4</v>
      </c>
      <c r="Q18" t="b">
        <v>0</v>
      </c>
      <c r="R18" t="b">
        <v>1</v>
      </c>
      <c r="T18" t="b">
        <v>1</v>
      </c>
      <c r="U18" t="n">
        <v>72</v>
      </c>
      <c r="W18" t="n">
        <v>16</v>
      </c>
      <c r="AA18" t="inlineStr">
        <is>
          <t>Assets/MachineBrigade/Resources/Data/balance.json: vehicles[93]</t>
        </is>
      </c>
      <c r="AB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NEED_CODE_CHECK</t>
        </is>
      </c>
      <c r="E19" t="inlineStr">
        <is>
          <t>NEED_CODE_CHECK</t>
        </is>
      </c>
      <c r="F19" t="inlineStr">
        <is>
          <t>NEED_CODE_CHECK</t>
        </is>
      </c>
      <c r="G19" t="inlineStr">
        <is>
          <t>NEED_CODE_CHECK</t>
        </is>
      </c>
      <c r="H19" t="inlineStr">
        <is>
          <t>NEED_CODE_CHECK</t>
        </is>
      </c>
      <c r="I19" t="inlineStr">
        <is>
          <t>NEED_CODE_CHECK</t>
        </is>
      </c>
      <c r="J19" t="inlineStr">
        <is>
          <t>NEED_CODE_CHECK</t>
        </is>
      </c>
      <c r="K19" t="inlineStr">
        <is>
          <t>NEED_CODE_CHECK</t>
        </is>
      </c>
      <c r="L19" t="inlineStr">
        <is>
          <t>NEED_CODE_CHECK</t>
        </is>
      </c>
      <c r="O19" t="inlineStr">
        <is>
          <t>BuiltIn</t>
        </is>
      </c>
      <c r="P19" t="n">
        <v>2</v>
      </c>
      <c r="S19" t="b">
        <v>1</v>
      </c>
      <c r="U19" t="n">
        <v>20</v>
      </c>
      <c r="V19" t="n">
        <v>10</v>
      </c>
      <c r="X19" t="b">
        <v>0</v>
      </c>
      <c r="Y19" t="n">
        <v>0</v>
      </c>
      <c r="Z19" t="inlineStr">
        <is>
          <t>SelfAps</t>
        </is>
      </c>
      <c r="AA19" t="inlineStr">
        <is>
          <t>Assets/MachineBrigade/Resources/Data/balance.json: vehicles[122]</t>
        </is>
      </c>
      <c r="AB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NEED_CODE_CHECK</t>
        </is>
      </c>
      <c r="E20" t="inlineStr">
        <is>
          <t>NEED_CODE_CHECK</t>
        </is>
      </c>
      <c r="F20" t="inlineStr">
        <is>
          <t>NEED_CODE_CHECK</t>
        </is>
      </c>
      <c r="G20" t="inlineStr">
        <is>
          <t>NEED_CODE_CHECK</t>
        </is>
      </c>
      <c r="H20" t="inlineStr">
        <is>
          <t>NEED_CODE_CHECK</t>
        </is>
      </c>
      <c r="I20" t="inlineStr">
        <is>
          <t>NEED_CODE_CHECK</t>
        </is>
      </c>
      <c r="J20" t="inlineStr">
        <is>
          <t>NEED_CODE_CHECK</t>
        </is>
      </c>
      <c r="K20" t="inlineStr">
        <is>
          <t>NEED_CODE_CHECK</t>
        </is>
      </c>
      <c r="L20" t="inlineStr">
        <is>
          <t>NEED_CODE_CHECK</t>
        </is>
      </c>
      <c r="P20" t="n">
        <v>2</v>
      </c>
      <c r="U20" t="n">
        <v>32</v>
      </c>
      <c r="V20" t="n">
        <v>2.5</v>
      </c>
      <c r="X20" t="b">
        <v>1</v>
      </c>
      <c r="Z20" t="inlineStr">
        <is>
          <t>PointDefense</t>
        </is>
      </c>
      <c r="AA20" t="inlineStr">
        <is>
          <t>Assets/MachineBrigade/Resources/Data/balance.json: vehicles[154]</t>
        </is>
      </c>
      <c r="AB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NEED_CODE_CHECK</t>
        </is>
      </c>
      <c r="E21" t="inlineStr">
        <is>
          <t>NEED_CODE_CHECK</t>
        </is>
      </c>
      <c r="F21" t="inlineStr">
        <is>
          <t>NEED_CODE_CHECK</t>
        </is>
      </c>
      <c r="G21" t="inlineStr">
        <is>
          <t>NEED_CODE_CHECK</t>
        </is>
      </c>
      <c r="H21" t="inlineStr">
        <is>
          <t>NEED_CODE_CHECK</t>
        </is>
      </c>
      <c r="I21" t="inlineStr">
        <is>
          <t>NEED_CODE_CHECK</t>
        </is>
      </c>
      <c r="J21" t="inlineStr">
        <is>
          <t>NEED_CODE_CHECK</t>
        </is>
      </c>
      <c r="K21" t="inlineStr">
        <is>
          <t>NEED_CODE_CHECK</t>
        </is>
      </c>
      <c r="L21" t="inlineStr">
        <is>
          <t>NEED_CODE_CHECK</t>
        </is>
      </c>
      <c r="P21" t="n">
        <v>2</v>
      </c>
      <c r="U21" t="n">
        <v>30</v>
      </c>
      <c r="V21" t="n">
        <v>2.4</v>
      </c>
      <c r="X21" t="b">
        <v>1</v>
      </c>
      <c r="Z21" t="inlineStr">
        <is>
          <t>PointDefense</t>
        </is>
      </c>
      <c r="AA21" t="inlineStr">
        <is>
          <t>Assets/MachineBrigade/Resources/Data/balance.json: vehicles[155]</t>
        </is>
      </c>
      <c r="AB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NEED_CODE_CHECK</t>
        </is>
      </c>
      <c r="E22" t="inlineStr">
        <is>
          <t>NEED_CODE_CHECK</t>
        </is>
      </c>
      <c r="F22" t="inlineStr">
        <is>
          <t>NEED_CODE_CHECK</t>
        </is>
      </c>
      <c r="G22" t="inlineStr">
        <is>
          <t>NEED_CODE_CHECK</t>
        </is>
      </c>
      <c r="H22" t="inlineStr">
        <is>
          <t>NEED_CODE_CHECK</t>
        </is>
      </c>
      <c r="I22" t="inlineStr">
        <is>
          <t>NEED_CODE_CHECK</t>
        </is>
      </c>
      <c r="J22" t="inlineStr">
        <is>
          <t>NEED_CODE_CHECK</t>
        </is>
      </c>
      <c r="K22" t="inlineStr">
        <is>
          <t>NEED_CODE_CHECK</t>
        </is>
      </c>
      <c r="L22" t="inlineStr">
        <is>
          <t>NEED_CODE_CHECK</t>
        </is>
      </c>
      <c r="P22" t="n">
        <v>3</v>
      </c>
      <c r="S22" t="b">
        <v>1</v>
      </c>
      <c r="U22" t="n">
        <v>49.6</v>
      </c>
      <c r="V22" t="n">
        <v>1.4</v>
      </c>
      <c r="X22" t="b">
        <v>1</v>
      </c>
      <c r="AA22" t="inlineStr">
        <is>
          <t>Assets/MachineBrigade/Resources/Data/balance.json: vehicles[144]</t>
        </is>
      </c>
      <c r="AB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NEED_CODE_CHECK</t>
        </is>
      </c>
      <c r="E23" t="inlineStr">
        <is>
          <t>NEED_CODE_CHECK</t>
        </is>
      </c>
      <c r="F23" t="inlineStr">
        <is>
          <t>NEED_CODE_CHECK</t>
        </is>
      </c>
      <c r="G23" t="inlineStr">
        <is>
          <t>NEED_CODE_CHECK</t>
        </is>
      </c>
      <c r="H23" t="inlineStr">
        <is>
          <t>NEED_CODE_CHECK</t>
        </is>
      </c>
      <c r="I23" t="inlineStr">
        <is>
          <t>NEED_CODE_CHECK</t>
        </is>
      </c>
      <c r="J23" t="inlineStr">
        <is>
          <t>NEED_CODE_CHECK</t>
        </is>
      </c>
      <c r="K23" t="inlineStr">
        <is>
          <t>NEED_CODE_CHECK</t>
        </is>
      </c>
      <c r="L23" t="inlineStr">
        <is>
          <t>NEED_CODE_CHECK</t>
        </is>
      </c>
      <c r="P23" t="n">
        <v>3</v>
      </c>
      <c r="S23" t="b">
        <v>1</v>
      </c>
      <c r="U23" t="n">
        <v>20</v>
      </c>
      <c r="V23" t="n">
        <v>1.4</v>
      </c>
      <c r="X23" t="b">
        <v>1</v>
      </c>
      <c r="AA23" t="inlineStr">
        <is>
          <t>Assets/MachineBrigade/Resources/Data/balance.json: vehicles[174]</t>
        </is>
      </c>
      <c r="AB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NEED_CODE_CHECK</t>
        </is>
      </c>
      <c r="E24" t="inlineStr">
        <is>
          <t>NEED_CODE_CHECK</t>
        </is>
      </c>
      <c r="F24" t="inlineStr">
        <is>
          <t>NEED_CODE_CHECK</t>
        </is>
      </c>
      <c r="G24" t="inlineStr">
        <is>
          <t>NEED_CODE_CHECK</t>
        </is>
      </c>
      <c r="H24" t="inlineStr">
        <is>
          <t>NEED_CODE_CHECK</t>
        </is>
      </c>
      <c r="I24" t="inlineStr">
        <is>
          <t>NEED_CODE_CHECK</t>
        </is>
      </c>
      <c r="J24" t="inlineStr">
        <is>
          <t>NEED_CODE_CHECK</t>
        </is>
      </c>
      <c r="K24" t="inlineStr">
        <is>
          <t>NEED_CODE_CHECK</t>
        </is>
      </c>
      <c r="L24" t="inlineStr">
        <is>
          <t>NEED_CODE_CHECK</t>
        </is>
      </c>
      <c r="O24" t="inlineStr">
        <is>
          <t>BuiltIn</t>
        </is>
      </c>
      <c r="P24" t="n">
        <v>3</v>
      </c>
      <c r="U24" t="n">
        <v>20</v>
      </c>
      <c r="V24" t="n">
        <v>10</v>
      </c>
      <c r="AA24" t="inlineStr">
        <is>
          <t>Assets/MachineBrigade/Resources/Data/balance.json: vehicles[20]</t>
        </is>
      </c>
      <c r="AB24" t="inlineStr">
        <is>
          <t>{"aps":{"radius":20,"recharge":10,"charges":3},"apsCapability":"BuiltIn"}</t>
        </is>
      </c>
    </row>
  </sheetData>
  <autoFilter ref="A1:AB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NEED_CODE_CHECK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NEED_CODE_CHECK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NEED_CODE_CHECK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NEED_CODE_CHECK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NEED_CODE_CHECK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NEED_CODE_CHECK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NEED_CODE_CHECK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NEED_CODE_CHECK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NEED_CODE_CHECK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NEED_CODE_CHECK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NEED_CODE_CHECK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6" customWidth="1" min="3" max="3"/>
    <col width="16" customWidth="1" min="4" max="4"/>
    <col width="16" customWidth="1" min="5" max="5"/>
    <col width="16" customWidth="1" min="6" max="6"/>
    <col width="24" customWidth="1" min="7" max="7"/>
    <col width="21" customWidth="1" min="8" max="8"/>
    <col width="16" customWidth="1" min="9" max="9"/>
    <col width="21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NEED_CODE_CHECK</t>
        </is>
      </c>
      <c r="D2" t="inlineStr">
        <is>
          <t>NEED_CODE_CHECK</t>
        </is>
      </c>
      <c r="E2" t="inlineStr">
        <is>
          <t>NEED_CODE_CHECK</t>
        </is>
      </c>
      <c r="F2" t="inlineStr">
        <is>
          <t>NEED_CODE_CHECK</t>
        </is>
      </c>
      <c r="G2" t="inlineStr">
        <is>
          <t>NEED_CODE_CHECK</t>
        </is>
      </c>
      <c r="H2" t="inlineStr">
        <is>
          <t>NEED_CODE_CHECK</t>
        </is>
      </c>
      <c r="I2" t="inlineStr">
        <is>
          <t>NEED_CODE_CHECK</t>
        </is>
      </c>
      <c r="J2" t="inlineStr">
        <is>
          <t>NEED_CODE_CHECK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NEED_CODE_CHECK</t>
        </is>
      </c>
      <c r="D3" t="inlineStr">
        <is>
          <t>NEED_CODE_CHECK</t>
        </is>
      </c>
      <c r="E3" t="inlineStr">
        <is>
          <t>NEED_CODE_CHECK</t>
        </is>
      </c>
      <c r="F3" t="inlineStr">
        <is>
          <t>NEED_CODE_CHECK</t>
        </is>
      </c>
      <c r="G3" t="inlineStr">
        <is>
          <t>NEED_CODE_CHECK</t>
        </is>
      </c>
      <c r="H3" t="inlineStr">
        <is>
          <t>NEED_CODE_CHECK</t>
        </is>
      </c>
      <c r="I3" t="inlineStr">
        <is>
          <t>NEED_CODE_CHECK</t>
        </is>
      </c>
      <c r="J3" t="inlineStr">
        <is>
          <t>NEED_CODE_CHECK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NEED_CODE_CHECK</t>
        </is>
      </c>
      <c r="D4" t="inlineStr">
        <is>
          <t>NEED_CODE_CHECK</t>
        </is>
      </c>
      <c r="E4" t="inlineStr">
        <is>
          <t>NEED_CODE_CHECK</t>
        </is>
      </c>
      <c r="F4" t="inlineStr">
        <is>
          <t>NEED_CODE_CHECK</t>
        </is>
      </c>
      <c r="G4" t="inlineStr">
        <is>
          <t>NEED_CODE_CHECK</t>
        </is>
      </c>
      <c r="H4" t="inlineStr">
        <is>
          <t>NEED_CODE_CHECK</t>
        </is>
      </c>
      <c r="I4" t="inlineStr">
        <is>
          <t>NEED_CODE_CHECK</t>
        </is>
      </c>
      <c r="J4" t="inlineStr">
        <is>
          <t>NEED_CODE_CHECK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NEED_CODE_CHECK</t>
        </is>
      </c>
      <c r="D5" t="inlineStr">
        <is>
          <t>NEED_CODE_CHECK</t>
        </is>
      </c>
      <c r="E5" t="inlineStr">
        <is>
          <t>NEED_CODE_CHECK</t>
        </is>
      </c>
      <c r="F5" t="inlineStr">
        <is>
          <t>NEED_CODE_CHECK</t>
        </is>
      </c>
      <c r="G5" t="inlineStr">
        <is>
          <t>NEED_CODE_CHECK</t>
        </is>
      </c>
      <c r="H5" t="inlineStr">
        <is>
          <t>NEED_CODE_CHECK</t>
        </is>
      </c>
      <c r="I5" t="inlineStr">
        <is>
          <t>NEED_CODE_CHECK</t>
        </is>
      </c>
      <c r="J5" t="inlineStr">
        <is>
          <t>NEED_CODE_CHECK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NEED_CODE_CHECK</t>
        </is>
      </c>
      <c r="D6" t="inlineStr">
        <is>
          <t>NEED_CODE_CHECK</t>
        </is>
      </c>
      <c r="E6" t="inlineStr">
        <is>
          <t>NEED_CODE_CHECK</t>
        </is>
      </c>
      <c r="F6" t="inlineStr">
        <is>
          <t>NEED_CODE_CHECK</t>
        </is>
      </c>
      <c r="G6" t="inlineStr">
        <is>
          <t>NEED_CODE_CHECK</t>
        </is>
      </c>
      <c r="H6" t="inlineStr">
        <is>
          <t>NEED_CODE_CHECK</t>
        </is>
      </c>
      <c r="I6" t="inlineStr">
        <is>
          <t>NEED_CODE_CHECK</t>
        </is>
      </c>
      <c r="J6" t="inlineStr">
        <is>
          <t>NEED_CODE_CHECK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NEED_CODE_CHECK</t>
        </is>
      </c>
      <c r="D7" t="inlineStr">
        <is>
          <t>NEED_CODE_CHECK</t>
        </is>
      </c>
      <c r="E7" t="inlineStr">
        <is>
          <t>NEED_CODE_CHECK</t>
        </is>
      </c>
      <c r="F7" t="inlineStr">
        <is>
          <t>NEED_CODE_CHECK</t>
        </is>
      </c>
      <c r="G7" t="inlineStr">
        <is>
          <t>NEED_CODE_CHECK</t>
        </is>
      </c>
      <c r="H7" t="inlineStr">
        <is>
          <t>NEED_CODE_CHECK</t>
        </is>
      </c>
      <c r="I7" t="inlineStr">
        <is>
          <t>NEED_CODE_CHECK</t>
        </is>
      </c>
      <c r="J7" t="inlineStr">
        <is>
          <t>NEED_CODE_CHECK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NEED_CODE_CHECK</t>
        </is>
      </c>
      <c r="D8" t="inlineStr">
        <is>
          <t>NEED_CODE_CHECK</t>
        </is>
      </c>
      <c r="E8" t="inlineStr">
        <is>
          <t>NEED_CODE_CHECK</t>
        </is>
      </c>
      <c r="F8" t="inlineStr">
        <is>
          <t>NEED_CODE_CHECK</t>
        </is>
      </c>
      <c r="G8" t="inlineStr">
        <is>
          <t>NEED_CODE_CHECK</t>
        </is>
      </c>
      <c r="H8" t="inlineStr">
        <is>
          <t>NEED_CODE_CHECK</t>
        </is>
      </c>
      <c r="I8" t="inlineStr">
        <is>
          <t>NEED_CODE_CHECK</t>
        </is>
      </c>
      <c r="J8" t="inlineStr">
        <is>
          <t>NEED_CODE_CHECK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6" customWidth="1" min="5" max="5"/>
    <col width="10" customWidth="1" min="6" max="6"/>
    <col width="32" customWidth="1" min="7" max="7"/>
    <col width="16" customWidth="1" min="8" max="8"/>
    <col width="16" customWidth="1" min="9" max="9"/>
    <col width="16" customWidth="1" min="10" max="10"/>
    <col width="16" customWidth="1" min="11" max="11"/>
    <col width="25" customWidth="1" min="12" max="12"/>
    <col width="8" customWidth="1" min="13" max="13"/>
    <col width="26" customWidth="1" min="14" max="14"/>
    <col width="16" customWidth="1" min="15" max="15"/>
    <col width="19" customWidth="1" min="16" max="16"/>
    <col width="16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inlineStr">
        <is>
          <t>NEED_CODE_CHECK</t>
        </is>
      </c>
      <c r="G2" t="n">
        <v>1.5</v>
      </c>
      <c r="H2" t="inlineStr">
        <is>
          <t>NEED_CODE_CHECK</t>
        </is>
      </c>
      <c r="I2" t="inlineStr">
        <is>
          <t>NEED_CODE_CHECK</t>
        </is>
      </c>
      <c r="J2" t="inlineStr">
        <is>
          <t>NEED_CODE_CHECK</t>
        </is>
      </c>
      <c r="K2" t="inlineStr">
        <is>
          <t>NEED_CODE_CHECK</t>
        </is>
      </c>
      <c r="L2" t="inlineStr">
        <is>
          <t>NEED_CODE_CHECK</t>
        </is>
      </c>
      <c r="O2" t="inlineStr">
        <is>
          <t>NEED_CODE_CHECK</t>
        </is>
      </c>
      <c r="P2" t="inlineStr">
        <is>
          <t>NEED_CODE_CHECK</t>
        </is>
      </c>
      <c r="Q2" t="inlineStr">
        <is>
          <t>NEED_CODE_CHECK</t>
        </is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inlineStr">
        <is>
          <t>NEED_CODE_CHECK</t>
        </is>
      </c>
      <c r="G3" t="n">
        <v>1.5</v>
      </c>
      <c r="H3" t="inlineStr">
        <is>
          <t>NEED_CODE_CHECK</t>
        </is>
      </c>
      <c r="I3" t="inlineStr">
        <is>
          <t>NEED_CODE_CHECK</t>
        </is>
      </c>
      <c r="J3" t="inlineStr">
        <is>
          <t>NEED_CODE_CHECK</t>
        </is>
      </c>
      <c r="K3" t="inlineStr">
        <is>
          <t>NEED_CODE_CHECK</t>
        </is>
      </c>
      <c r="L3" t="inlineStr">
        <is>
          <t>NEED_CODE_CHECK</t>
        </is>
      </c>
      <c r="O3" t="inlineStr">
        <is>
          <t>NEED_CODE_CHECK</t>
        </is>
      </c>
      <c r="P3" t="inlineStr">
        <is>
          <t>NEED_CODE_CHECK</t>
        </is>
      </c>
      <c r="Q3" t="inlineStr">
        <is>
          <t>NEED_CODE_CHECK</t>
        </is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inlineStr">
        <is>
          <t>NEED_CODE_CHECK</t>
        </is>
      </c>
      <c r="G4" t="n">
        <v>1.5</v>
      </c>
      <c r="H4" t="inlineStr">
        <is>
          <t>NEED_CODE_CHECK</t>
        </is>
      </c>
      <c r="I4" t="inlineStr">
        <is>
          <t>NEED_CODE_CHECK</t>
        </is>
      </c>
      <c r="J4" t="inlineStr">
        <is>
          <t>NEED_CODE_CHECK</t>
        </is>
      </c>
      <c r="K4" t="inlineStr">
        <is>
          <t>NEED_CODE_CHECK</t>
        </is>
      </c>
      <c r="L4" t="inlineStr">
        <is>
          <t>NEED_CODE_CHECK</t>
        </is>
      </c>
      <c r="O4" t="inlineStr">
        <is>
          <t>NEED_CODE_CHECK</t>
        </is>
      </c>
      <c r="P4" t="inlineStr">
        <is>
          <t>NEED_CODE_CHECK</t>
        </is>
      </c>
      <c r="Q4" t="inlineStr">
        <is>
          <t>NEED_CODE_CHECK</t>
        </is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inlineStr">
        <is>
          <t>NEED_CODE_CHECK</t>
        </is>
      </c>
      <c r="G5" t="n">
        <v>1.5</v>
      </c>
      <c r="H5" t="inlineStr">
        <is>
          <t>NEED_CODE_CHECK</t>
        </is>
      </c>
      <c r="I5" t="inlineStr">
        <is>
          <t>NEED_CODE_CHECK</t>
        </is>
      </c>
      <c r="J5" t="inlineStr">
        <is>
          <t>NEED_CODE_CHECK</t>
        </is>
      </c>
      <c r="K5" t="inlineStr">
        <is>
          <t>NEED_CODE_CHECK</t>
        </is>
      </c>
      <c r="L5" t="inlineStr">
        <is>
          <t>NEED_CODE_CHECK</t>
        </is>
      </c>
      <c r="O5" t="inlineStr">
        <is>
          <t>NEED_CODE_CHECK</t>
        </is>
      </c>
      <c r="P5" t="inlineStr">
        <is>
          <t>NEED_CODE_CHECK</t>
        </is>
      </c>
      <c r="Q5" t="inlineStr">
        <is>
          <t>NEED_CODE_CHECK</t>
        </is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inlineStr">
        <is>
          <t>NEED_CODE_CHECK</t>
        </is>
      </c>
      <c r="G6" t="n">
        <v>3</v>
      </c>
      <c r="H6" t="inlineStr">
        <is>
          <t>NEED_CODE_CHECK</t>
        </is>
      </c>
      <c r="I6" t="inlineStr">
        <is>
          <t>NEED_CODE_CHECK</t>
        </is>
      </c>
      <c r="J6" t="inlineStr">
        <is>
          <t>NEED_CODE_CHECK</t>
        </is>
      </c>
      <c r="K6" t="inlineStr">
        <is>
          <t>NEED_CODE_CHECK</t>
        </is>
      </c>
      <c r="L6" t="inlineStr">
        <is>
          <t>NEED_CODE_CHECK</t>
        </is>
      </c>
      <c r="O6" t="inlineStr">
        <is>
          <t>NEED_CODE_CHECK</t>
        </is>
      </c>
      <c r="P6" t="inlineStr">
        <is>
          <t>NEED_CODE_CHECK</t>
        </is>
      </c>
      <c r="Q6" t="inlineStr">
        <is>
          <t>NEED_CODE_CHECK</t>
        </is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inlineStr">
        <is>
          <t>NEED_CODE_CHECK</t>
        </is>
      </c>
      <c r="G7" t="n">
        <v>3</v>
      </c>
      <c r="H7" t="inlineStr">
        <is>
          <t>NEED_CODE_CHECK</t>
        </is>
      </c>
      <c r="I7" t="inlineStr">
        <is>
          <t>NEED_CODE_CHECK</t>
        </is>
      </c>
      <c r="J7" t="inlineStr">
        <is>
          <t>NEED_CODE_CHECK</t>
        </is>
      </c>
      <c r="K7" t="inlineStr">
        <is>
          <t>NEED_CODE_CHECK</t>
        </is>
      </c>
      <c r="L7" t="inlineStr">
        <is>
          <t>NEED_CODE_CHECK</t>
        </is>
      </c>
      <c r="O7" t="inlineStr">
        <is>
          <t>NEED_CODE_CHECK</t>
        </is>
      </c>
      <c r="P7" t="inlineStr">
        <is>
          <t>NEED_CODE_CHECK</t>
        </is>
      </c>
      <c r="Q7" t="inlineStr">
        <is>
          <t>NEED_CODE_CHECK</t>
        </is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inlineStr">
        <is>
          <t>NEED_CODE_CHECK</t>
        </is>
      </c>
      <c r="G8" t="n">
        <v>3</v>
      </c>
      <c r="H8" t="inlineStr">
        <is>
          <t>NEED_CODE_CHECK</t>
        </is>
      </c>
      <c r="I8" t="inlineStr">
        <is>
          <t>NEED_CODE_CHECK</t>
        </is>
      </c>
      <c r="J8" t="inlineStr">
        <is>
          <t>NEED_CODE_CHECK</t>
        </is>
      </c>
      <c r="K8" t="inlineStr">
        <is>
          <t>NEED_CODE_CHECK</t>
        </is>
      </c>
      <c r="L8" t="inlineStr">
        <is>
          <t>NEED_CODE_CHECK</t>
        </is>
      </c>
      <c r="O8" t="inlineStr">
        <is>
          <t>NEED_CODE_CHECK</t>
        </is>
      </c>
      <c r="P8" t="inlineStr">
        <is>
          <t>NEED_CODE_CHECK</t>
        </is>
      </c>
      <c r="Q8" t="inlineStr">
        <is>
          <t>NEED_CODE_CHECK</t>
        </is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inlineStr">
        <is>
          <t>NEED_CODE_CHECK</t>
        </is>
      </c>
      <c r="G9" t="n">
        <v>3</v>
      </c>
      <c r="H9" t="inlineStr">
        <is>
          <t>NEED_CODE_CHECK</t>
        </is>
      </c>
      <c r="I9" t="inlineStr">
        <is>
          <t>NEED_CODE_CHECK</t>
        </is>
      </c>
      <c r="J9" t="inlineStr">
        <is>
          <t>NEED_CODE_CHECK</t>
        </is>
      </c>
      <c r="K9" t="inlineStr">
        <is>
          <t>NEED_CODE_CHECK</t>
        </is>
      </c>
      <c r="L9" t="inlineStr">
        <is>
          <t>NEED_CODE_CHECK</t>
        </is>
      </c>
      <c r="O9" t="inlineStr">
        <is>
          <t>NEED_CODE_CHECK</t>
        </is>
      </c>
      <c r="P9" t="inlineStr">
        <is>
          <t>NEED_CODE_CHECK</t>
        </is>
      </c>
      <c r="Q9" t="inlineStr">
        <is>
          <t>NEED_CODE_CHECK</t>
        </is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inlineStr">
        <is>
          <t>NEED_CODE_CHECK</t>
        </is>
      </c>
      <c r="G10" t="n">
        <v>3</v>
      </c>
      <c r="H10" t="inlineStr">
        <is>
          <t>NEED_CODE_CHECK</t>
        </is>
      </c>
      <c r="I10" t="inlineStr">
        <is>
          <t>NEED_CODE_CHECK</t>
        </is>
      </c>
      <c r="J10" t="inlineStr">
        <is>
          <t>NEED_CODE_CHECK</t>
        </is>
      </c>
      <c r="K10" t="inlineStr">
        <is>
          <t>NEED_CODE_CHECK</t>
        </is>
      </c>
      <c r="L10" t="inlineStr">
        <is>
          <t>NEED_CODE_CHECK</t>
        </is>
      </c>
      <c r="O10" t="inlineStr">
        <is>
          <t>NEED_CODE_CHECK</t>
        </is>
      </c>
      <c r="P10" t="inlineStr">
        <is>
          <t>NEED_CODE_CHECK</t>
        </is>
      </c>
      <c r="Q10" t="inlineStr">
        <is>
          <t>NEED_CODE_CHECK</t>
        </is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inlineStr">
        <is>
          <t>NEED_CODE_CHECK</t>
        </is>
      </c>
      <c r="G12" t="n">
        <v>50</v>
      </c>
      <c r="H12" t="inlineStr">
        <is>
          <t>NEED_CODE_CHECK</t>
        </is>
      </c>
      <c r="I12" t="inlineStr">
        <is>
          <t>NEED_CODE_CHECK</t>
        </is>
      </c>
      <c r="J12" t="inlineStr">
        <is>
          <t>NEED_CODE_CHECK</t>
        </is>
      </c>
      <c r="K12" t="inlineStr">
        <is>
          <t>NEED_CODE_CHECK</t>
        </is>
      </c>
      <c r="L12" t="inlineStr">
        <is>
          <t>NEED_CODE_CHECK</t>
        </is>
      </c>
      <c r="O12" t="inlineStr">
        <is>
          <t>NEED_CODE_CHECK</t>
        </is>
      </c>
      <c r="P12" t="inlineStr">
        <is>
          <t>NEED_CODE_CHECK</t>
        </is>
      </c>
      <c r="Q12" t="inlineStr">
        <is>
          <t>NEED_CODE_CHECK</t>
        </is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inlineStr">
        <is>
          <t>NEED_CODE_CHECK</t>
        </is>
      </c>
      <c r="G14" t="n">
        <v>1.5</v>
      </c>
      <c r="H14" t="inlineStr">
        <is>
          <t>NEED_CODE_CHECK</t>
        </is>
      </c>
      <c r="I14" t="inlineStr">
        <is>
          <t>NEED_CODE_CHECK</t>
        </is>
      </c>
      <c r="J14" t="inlineStr">
        <is>
          <t>NEED_CODE_CHECK</t>
        </is>
      </c>
      <c r="K14" t="inlineStr">
        <is>
          <t>NEED_CODE_CHECK</t>
        </is>
      </c>
      <c r="L14" t="inlineStr">
        <is>
          <t>NEED_CODE_CHECK</t>
        </is>
      </c>
      <c r="O14" t="inlineStr">
        <is>
          <t>NEED_CODE_CHECK</t>
        </is>
      </c>
      <c r="P14" t="inlineStr">
        <is>
          <t>NEED_CODE_CHECK</t>
        </is>
      </c>
      <c r="Q14" t="inlineStr">
        <is>
          <t>NEED_CODE_CHECK</t>
        </is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60" customWidth="1" min="56" max="56"/>
    <col width="10" customWidth="1" min="57" max="57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nguon</t>
        </is>
      </c>
      <c r="BE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inlineStr">
        <is>
          <t>Assets/MachineBrigade/Resources/Data/balance.json: weapons[id=aa_25_triple] (lớp B trên 01_chien_dau/Vu_khi)</t>
        </is>
      </c>
      <c r="BE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inlineStr">
        <is>
          <t>Assets/MachineBrigade/Resources/Data/balance.json: weapons[id=aa_25_triple_ap] (lớp B trên 01_chien_dau/Vu_khi)</t>
        </is>
      </c>
      <c r="BE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inlineStr">
        <is>
          <t>Assets/MachineBrigade/Resources/Data/balance.json: weapons[id=agl_40] (lớp B trên 01_chien_dau/Vu_khi)</t>
        </is>
      </c>
      <c r="BE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2.5</v>
      </c>
      <c r="BA5" t="inlineStr"/>
      <c r="BB5" t="inlineStr">
        <is>
          <t>ok</t>
        </is>
      </c>
      <c r="BC5" t="inlineStr"/>
      <c r="BD5" t="inlineStr">
        <is>
          <t>Assets/MachineBrigade/Resources/Data/balance.json: weapons[id=air_cruise_missile] (lớp B trên 01_chien_dau/Vu_khi)</t>
        </is>
      </c>
      <c r="BE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inlineStr">
        <is>
          <t>Assets/MachineBrigade/Resources/Data/balance.json: weapons[id=air_to_air] (lớp B trên 01_chien_dau/Vu_khi)</t>
        </is>
      </c>
      <c r="BE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inlineStr">
        <is>
          <t>Assets/MachineBrigade/Resources/Data/balance.json: weapons[id=airship_drones] (lớp B trên 01_chien_dau/Vu_khi)</t>
        </is>
      </c>
      <c r="BE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inlineStr">
        <is>
          <t>Assets/MachineBrigade/Resources/Data/balance.json: weapons[id=airship_flak] (lớp B trên 01_chien_dau/Vu_khi)</t>
        </is>
      </c>
      <c r="BE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55.74005339584554</v>
      </c>
      <c r="AM9">
        <f>IF($Q$9,$M$9*$AE$9*$U$9,0)</f>
        <v/>
      </c>
      <c r="AN9" t="n">
        <v>47.37904538646871</v>
      </c>
      <c r="AO9">
        <f>IF($Q$9,$M$9*$AG$9*$U$9,0)</f>
        <v/>
      </c>
      <c r="AP9" t="n">
        <v>22.29602135833822</v>
      </c>
      <c r="AQ9">
        <f>IF($Q$9,$M$9*$AE$9*$Y$9,0)</f>
        <v/>
      </c>
      <c r="AR9" t="n">
        <v>75.80647261834994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inlineStr">
        <is>
          <t>Assets/MachineBrigade/Resources/Data/balance.json: weapons[id=amos_120] (lớp B trên 01_chien_dau/Vu_khi)</t>
        </is>
      </c>
      <c r="BE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inlineStr">
        <is>
          <t>Assets/MachineBrigade/Resources/Data/balance.json: weapons[id=anti_ship_missile] (lớp B trên 01_chien_dau/Vu_khi)</t>
        </is>
      </c>
      <c r="BE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140.4</v>
      </c>
      <c r="AM11">
        <f>IF($Q$11,$M$11*$AE$11*$U$11,0)</f>
        <v/>
      </c>
      <c r="AN11" t="n">
        <v>99.45</v>
      </c>
      <c r="AO11">
        <f>IF($Q$11,$M$11*$AG$11*$U$11,0)</f>
        <v/>
      </c>
      <c r="AP11" t="n">
        <v>46.8</v>
      </c>
      <c r="AQ11">
        <f>IF($Q$11,$M$11*$AE$11*$Y$11,0)</f>
        <v/>
      </c>
      <c r="AR11" t="n">
        <v>34.425</v>
      </c>
      <c r="AS11">
        <f>IF($S$11,$M$11*$AI$11*$W$11,0)</f>
        <v/>
      </c>
      <c r="AT11" t="n">
        <v>18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inlineStr">
        <is>
          <t>Assets/MachineBrigade/Resources/Data/balance.json: weapons[id=apkws_rocket] (lớp B trên 01_chien_dau/Vu_khi)</t>
        </is>
      </c>
      <c r="BE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inlineStr">
        <is>
          <t>Assets/MachineBrigade/Resources/Data/balance.json: weapons[id=atgm] (lớp B trên 01_chien_dau/Vu_khi)</t>
        </is>
      </c>
      <c r="BE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inlineStr">
        <is>
          <t>Assets/MachineBrigade/Resources/Data/balance.json: weapons[id=atgm_heavy] (lớp B trên 01_chien_dau/Vu_khi)</t>
        </is>
      </c>
      <c r="BE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inlineStr">
        <is>
          <t>Assets/MachineBrigade/Resources/Data/balance.json: weapons[id=atgm_post] (lớp B trên 01_chien_dau/Vu_khi)</t>
        </is>
      </c>
      <c r="BE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inlineStr">
        <is>
          <t>Assets/MachineBrigade/Resources/Data/balance.json: weapons[id=autocannon_25] (lớp B trên 01_chien_dau/Vu_khi)</t>
        </is>
      </c>
      <c r="BE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0.65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0.15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IF($Q$16,$M$16*$AG$16*$U$16,0)</f>
        <v/>
      </c>
      <c r="AP16" t="n">
        <v>0</v>
      </c>
      <c r="AQ16">
        <f>IF($Q$16,$M$16*$AE$16*$Y$16,0)</f>
        <v/>
      </c>
      <c r="AR16" t="n">
        <v>0</v>
      </c>
      <c r="AS16">
        <f>IF($S$16,$M$16*$AI$16*$W$16,0)</f>
        <v/>
      </c>
      <c r="AT16" t="n">
        <v>69.71445929526126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D16" t="inlineStr">
        <is>
          <t>Assets/MachineBrigade/Resources/Data/balance.json: weapons[id=autocannon_25_flak] (lớp B trên 01_chien_dau/Vu_khi)</t>
        </is>
      </c>
      <c r="BE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121.3328226733053</v>
      </c>
      <c r="AM17">
        <f>IF($Q$17,$M$17*$AE$17*$U$17,0)</f>
        <v/>
      </c>
      <c r="AN17" t="n">
        <v>85.94408272692456</v>
      </c>
      <c r="AO17">
        <f>IF($Q$17,$M$17*$AG$17*$U$17,0)</f>
        <v/>
      </c>
      <c r="AP17" t="n">
        <v>40.44427422443509</v>
      </c>
      <c r="AQ17">
        <f>IF($Q$17,$M$17*$AE$17*$Y$17,0)</f>
        <v/>
      </c>
      <c r="AR17" t="n">
        <v>50.13404825737266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3.481333</v>
      </c>
      <c r="BB17" t="inlineStr">
        <is>
          <t>ok</t>
        </is>
      </c>
      <c r="BC17" t="inlineStr"/>
      <c r="BD17" t="inlineStr">
        <is>
          <t>Assets/MachineBrigade/Resources/Data/balance.json: weapons[id=autocannon_30] (lớp B trên 01_chien_dau/Vu_khi)</t>
        </is>
      </c>
      <c r="BE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IF($Q$18,$M$18*$AG$18*$U$18,0)</f>
        <v/>
      </c>
      <c r="AP18" t="n">
        <v>0</v>
      </c>
      <c r="AQ18">
        <f>IF($Q$18,$M$18*$AE$18*$Y$18,0)</f>
        <v/>
      </c>
      <c r="AR18" t="n">
        <v>0</v>
      </c>
      <c r="AS18">
        <f>IF($S$18,$M$18*$AI$18*$W$18,0)</f>
        <v/>
      </c>
      <c r="AT18" t="n">
        <v>113.7495212562237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D18" t="inlineStr">
        <is>
          <t>Assets/MachineBrigade/Resources/Data/balance.json: weapons[id=autocannon_30_flak] (lớp B trên 01_chien_dau/Vu_khi)</t>
        </is>
      </c>
      <c r="BE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AND(Vu_khi!$K$19="Kinetic",NOT(Vu_khi!$AG$19))</f>
        <v/>
      </c>
      <c r="AB19" t="b">
        <v>1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122.7272727272727</v>
      </c>
      <c r="AM19">
        <f>IF($Q$19,$M$19*$AE$19*$U$19,0)</f>
        <v/>
      </c>
      <c r="AN19" t="n">
        <v>86.93181818181819</v>
      </c>
      <c r="AO19">
        <f>IF($Q$19,$M$19*$AG$19*$U$19,0)</f>
        <v/>
      </c>
      <c r="AP19" t="n">
        <v>40.90909090909091</v>
      </c>
      <c r="AQ19">
        <f>IF($Q$19,$M$19*$AE$19*$Y$19,0)</f>
        <v/>
      </c>
      <c r="AR19" t="n">
        <v>50.71022727272727</v>
      </c>
      <c r="AS19">
        <f>IF($S$19,$M$19*$AI$19*$W$19,0)</f>
        <v/>
      </c>
      <c r="AT19" t="n">
        <v>25.56818181818182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1.936</v>
      </c>
      <c r="BB19" t="inlineStr">
        <is>
          <t>ok</t>
        </is>
      </c>
      <c r="BC19" t="inlineStr"/>
      <c r="BD19" t="inlineStr">
        <is>
          <t>Assets/MachineBrigade/Resources/Data/balance.json: weapons[id=autocannon_40] (lớp B trên 01_chien_dau/Vu_khi)</t>
        </is>
      </c>
      <c r="BE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IF($Q$20,$M$20*$AG$20*$U$20,0)</f>
        <v/>
      </c>
      <c r="AP20" t="n">
        <v>0</v>
      </c>
      <c r="AQ20">
        <f>IF($Q$20,$M$20*$AE$20*$Y$20,0)</f>
        <v/>
      </c>
      <c r="AR20" t="n">
        <v>0</v>
      </c>
      <c r="AS20">
        <f>IF($S$20,$M$20*$AI$20*$W$20,0)</f>
        <v/>
      </c>
      <c r="AT20" t="n">
        <v>115.0568181818182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D20" t="inlineStr">
        <is>
          <t>Assets/MachineBrigade/Resources/Data/balance.json: weapons[id=autocannon_40_flak] (lớp B trên 01_chien_dau/Vu_khi)</t>
        </is>
      </c>
      <c r="BE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1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0.85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37.84465669489997</v>
      </c>
      <c r="AO21">
        <f>IF($Q$21,$M$21*$AG$21*$U$21,0)</f>
        <v/>
      </c>
      <c r="AP21" t="n">
        <v>32.16795819066498</v>
      </c>
      <c r="AQ21">
        <f>IF($Q$21,$M$21*$AE$21*$Y$21,0)</f>
        <v/>
      </c>
      <c r="AR21" t="n">
        <v>60.55145071183996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1</v>
      </c>
      <c r="AW21">
        <f>IF(AND($B$21&lt;0,$AU$21),4,$B$21)</f>
        <v/>
      </c>
      <c r="AX21" t="n">
        <v>4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2.722222222222222</v>
      </c>
      <c r="BA21" t="n">
        <v>0.4035</v>
      </c>
      <c r="BB21" t="inlineStr">
        <is>
          <t>NHANH_QUA</t>
        </is>
      </c>
      <c r="BC21" t="inlineStr"/>
      <c r="BD21" t="inlineStr">
        <is>
          <t>Assets/MachineBrigade/Resources/Data/balance.json: weapons[id=ballistic_missile] (lớp B trên 01_chien_dau/Vu_khi)</t>
        </is>
      </c>
      <c r="BE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1.02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1.2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0.85</v>
      </c>
      <c r="AK22">
        <f>IF($Q$22,$M$22*$AC$22*$U$22,0)</f>
        <v/>
      </c>
      <c r="AL22" t="n">
        <v>150.3071342200726</v>
      </c>
      <c r="AM22">
        <f>IF($Q$22,$M$22*$AE$22*$U$22,0)</f>
        <v/>
      </c>
      <c r="AN22" t="n">
        <v>176.83192261185</v>
      </c>
      <c r="AO22">
        <f>IF($Q$22,$M$22*$AG$22*$U$22,0)</f>
        <v/>
      </c>
      <c r="AP22" t="n">
        <v>125.2559451833938</v>
      </c>
      <c r="AQ22">
        <f>IF($Q$22,$M$22*$AE$22*$Y$22,0)</f>
        <v/>
      </c>
      <c r="AR22" t="n">
        <v>103.1519548569125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3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0.86835</v>
      </c>
      <c r="BB22" t="inlineStr">
        <is>
          <t>LECH_DOT_1</t>
        </is>
      </c>
      <c r="BC22" t="inlineStr"/>
      <c r="BD22" t="inlineStr">
        <is>
          <t>Assets/MachineBrigade/Resources/Data/balance.json: weapons[id=bastion_gun] (lớp B trên 01_chien_dau/Vu_khi)</t>
        </is>
      </c>
      <c r="BE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0.65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147.359935509875</v>
      </c>
      <c r="AM23">
        <f>IF($Q$23,$M$23*$AE$23*$U$23,0)</f>
        <v/>
      </c>
      <c r="AN23" t="n">
        <v>122.7999462582292</v>
      </c>
      <c r="AO23">
        <f>IF($Q$23,$M$23*$AG$23*$U$23,0)</f>
        <v/>
      </c>
      <c r="AP23" t="n">
        <v>79.819965067849</v>
      </c>
      <c r="AQ23">
        <f>IF($Q$23,$M$23*$AE$23*$Y$23,0)</f>
        <v/>
      </c>
      <c r="AR23" t="n">
        <v>196.4799140131668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inlineStr">
        <is>
          <t>Assets/MachineBrigade/Resources/Data/balance.json: weapons[id=bastion_gun_he] (lớp B trên 01_chien_dau/Vu_khi)</t>
        </is>
      </c>
      <c r="BE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47.52475247524752</v>
      </c>
      <c r="AM24">
        <f>IF($Q$24,$M$24*$AE$24*$U$24,0)</f>
        <v/>
      </c>
      <c r="AN24" t="n">
        <v>33.66336633663366</v>
      </c>
      <c r="AO24">
        <f>IF($Q$24,$M$24*$AG$24*$U$24,0)</f>
        <v/>
      </c>
      <c r="AP24" t="n">
        <v>15.84158415841584</v>
      </c>
      <c r="AQ24">
        <f>IF($Q$24,$M$24*$AE$24*$Y$24,0)</f>
        <v/>
      </c>
      <c r="AR24" t="n">
        <v>53.86138613861387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2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1.8</v>
      </c>
      <c r="BB24" t="inlineStr">
        <is>
          <t>ok</t>
        </is>
      </c>
      <c r="BC24" t="inlineStr"/>
      <c r="BD24" t="inlineStr">
        <is>
          <t>Assets/MachineBrigade/Resources/Data/balance.json: weapons[id=boat_rockets] (lớp B trên 01_chien_dau/Vu_khi)</t>
        </is>
      </c>
      <c r="BE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41.80645161290323</v>
      </c>
      <c r="AM25">
        <f>IF($Q$25,$M$25*$AE$25*$U$25,0)</f>
        <v/>
      </c>
      <c r="AN25" t="n">
        <v>29.61290322580645</v>
      </c>
      <c r="AO25">
        <f>IF($Q$25,$M$25*$AG$25*$U$25,0)</f>
        <v/>
      </c>
      <c r="AP25" t="n">
        <v>13.93548387096774</v>
      </c>
      <c r="AQ25">
        <f>IF($Q$25,$M$25*$AE$25*$Y$25,0)</f>
        <v/>
      </c>
      <c r="AR25" t="n">
        <v>6.580645161290323</v>
      </c>
      <c r="AS25">
        <f>IF($S$25,$M$25*$AI$25*$W$25,0)</f>
        <v/>
      </c>
      <c r="AT25" t="n">
        <v>104.5161290322581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2.13125</v>
      </c>
      <c r="BB25" t="inlineStr">
        <is>
          <t>ok</t>
        </is>
      </c>
      <c r="BC25" t="inlineStr"/>
      <c r="BD25" t="inlineStr">
        <is>
          <t>Assets/MachineBrigade/Resources/Data/balance.json: weapons[id=bofors_l70] (lớp B trên 01_chien_dau/Vu_khi)</t>
        </is>
      </c>
      <c r="BE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1.15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1.1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0.75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272.6612903225807</v>
      </c>
      <c r="AM26">
        <f>IF($Q$26,$M$26*$AE$26*$U$26,0)</f>
        <v/>
      </c>
      <c r="AN26" t="n">
        <v>260.8064516129033</v>
      </c>
      <c r="AO26">
        <f>IF($Q$26,$M$26*$AG$26*$U$26,0)</f>
        <v/>
      </c>
      <c r="AP26" t="n">
        <v>177.8225806451613</v>
      </c>
      <c r="AQ26">
        <f>IF($Q$26,$M$26*$AE$26*$Y$26,0)</f>
        <v/>
      </c>
      <c r="AR26" t="n">
        <v>417.2903225806452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1</v>
      </c>
      <c r="AW26">
        <f>IF(AND($B$26&lt;0,$AU$26),4,$B$26)</f>
        <v/>
      </c>
      <c r="AX26" t="n">
        <v>4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2.722222222222222</v>
      </c>
      <c r="BA26" t="n">
        <v>2</v>
      </c>
      <c r="BB26" t="inlineStr">
        <is>
          <t>ok</t>
        </is>
      </c>
      <c r="BC26" t="inlineStr"/>
      <c r="BD26" t="inlineStr">
        <is>
          <t>Assets/MachineBrigade/Resources/Data/balance.json: weapons[id=bomber_payload] (lớp B trên 01_chien_dau/Vu_khi)</t>
        </is>
      </c>
      <c r="BE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AND(Vu_khi!$K$27="Kinetic",NOT(Vu_khi!$AG$27))</f>
        <v/>
      </c>
      <c r="AB27" t="b">
        <v>1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0.65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0.15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23.17435496481626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0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9.838462</v>
      </c>
      <c r="BB27" t="inlineStr">
        <is>
          <t>ok</t>
        </is>
      </c>
      <c r="BC27" t="inlineStr"/>
      <c r="BD27" t="inlineStr">
        <is>
          <t>Assets/MachineBrigade/Resources/Data/balance.json: weapons[id=bomber_tail_guns] (lớp B trên 01_chien_dau/Vu_khi)</t>
        </is>
      </c>
      <c r="BE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D28" t="inlineStr">
        <is>
          <t>Assets/MachineBrigade/Resources/Data/balance.json: weapons[id=bomber_tail_guns_api] (lớp B trên 01_chien_dau/Vu_khi)</t>
        </is>
      </c>
      <c r="BE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1.14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0.65</v>
      </c>
      <c r="AI29">
        <f>INDEX(Bang_xuyen_giap!$C$2:$C$8,MIN(7,MAX(1,MAX(1,2-(Vu_khi!$L$29-0))+1)))*IF($AA$29,INDEX(Bang_xuyen_qua!$C$2:$C$5,MIN(4,MAX(1,(Vu_khi!$L$29)-(0)-1))),1)</f>
        <v/>
      </c>
      <c r="AJ29" t="n">
        <v>0.95</v>
      </c>
      <c r="AK29">
        <f>IF($Q$29,$M$29*$AC$29*$U$29,0)</f>
        <v/>
      </c>
      <c r="AL29" t="n">
        <v>27.36</v>
      </c>
      <c r="AM29">
        <f>IF($Q$29,$M$29*$AE$29*$U$29,0)</f>
        <v/>
      </c>
      <c r="AN29" t="n">
        <v>24</v>
      </c>
      <c r="AO29">
        <f>IF($Q$29,$M$29*$AG$29*$U$29,0)</f>
        <v/>
      </c>
      <c r="AP29" t="n">
        <v>15.6</v>
      </c>
      <c r="AQ29">
        <f>IF($Q$29,$M$29*$AE$29*$Y$29,0)</f>
        <v/>
      </c>
      <c r="AR29" t="n">
        <v>14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2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0.7</v>
      </c>
      <c r="BB29" t="inlineStr">
        <is>
          <t>ok</t>
        </is>
      </c>
      <c r="BC29" t="b">
        <v>1</v>
      </c>
      <c r="BD29" t="inlineStr">
        <is>
          <t>Assets/MachineBrigade/Resources/Data/balance.json: weapons[id=borer_cannon] (lớp B trên 01_chien_dau/Vu_khi)</t>
        </is>
      </c>
      <c r="BE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0.85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0.4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24</v>
      </c>
      <c r="AM30">
        <f>IF($Q$30,$M$30*$AE$30*$U$30,0)</f>
        <v/>
      </c>
      <c r="AN30" t="n">
        <v>17</v>
      </c>
      <c r="AO30">
        <f>IF($Q$30,$M$30*$AG$30*$U$30,0)</f>
        <v/>
      </c>
      <c r="AP30" t="n">
        <v>8</v>
      </c>
      <c r="AQ30">
        <f>IF($Q$30,$M$30*$AE$30*$Y$30,0)</f>
        <v/>
      </c>
      <c r="AR30" t="n">
        <v>27.2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inlineStr">
        <is>
          <t>Assets/MachineBrigade/Resources/Data/balance.json: weapons[id=borer_cannon_he] (lớp B trên 01_chien_dau/Vu_khi)</t>
        </is>
      </c>
      <c r="BE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0.8999999999999999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1.14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1</v>
      </c>
      <c r="AI31">
        <f>INDEX(Bang_xuyen_giap!$C$2:$C$8,MIN(7,MAX(1,MAX(1,2-(Vu_khi!$L$31-0))+1)))*IF($AA$31,INDEX(Bang_xuyen_qua!$C$2:$C$5,MIN(4,MAX(1,(Vu_khi!$L$31)-(0)-1))),1)</f>
        <v/>
      </c>
      <c r="AJ31" t="n">
        <v>0.75</v>
      </c>
      <c r="AK31">
        <f>IF($Q$31,$M$31*$AC$31*$U$31,0)</f>
        <v/>
      </c>
      <c r="AL31" t="n">
        <v>187.2</v>
      </c>
      <c r="AM31">
        <f>IF($Q$31,$M$31*$AE$31*$U$31,0)</f>
        <v/>
      </c>
      <c r="AN31" t="n">
        <v>237.12</v>
      </c>
      <c r="AO31">
        <f>IF($Q$31,$M$31*$AG$31*$U$31,0)</f>
        <v/>
      </c>
      <c r="AP31" t="n">
        <v>208</v>
      </c>
      <c r="AQ31">
        <f>IF($Q$31,$M$31*$AE$31*$Y$31,0)</f>
        <v/>
      </c>
      <c r="AR31" t="n">
        <v>138.32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b">
        <v>1</v>
      </c>
      <c r="BD31" t="inlineStr">
        <is>
          <t>Assets/MachineBrigade/Resources/Data/balance.json: weapons[id=borer_drill] (lớp B trên 01_chien_dau/Vu_khi)</t>
        </is>
      </c>
      <c r="BE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0.85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0.4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102.8810408921933</v>
      </c>
      <c r="AM32">
        <f>IF($Q$32,$M$32*$AE$32*$U$32,0)</f>
        <v/>
      </c>
      <c r="AN32" t="n">
        <v>72.87407063197026</v>
      </c>
      <c r="AO32">
        <f>IF($Q$32,$M$32*$AG$32*$U$32,0)</f>
        <v/>
      </c>
      <c r="AP32" t="n">
        <v>34.29368029739777</v>
      </c>
      <c r="AQ32">
        <f>IF($Q$32,$M$32*$AE$32*$Y$32,0)</f>
        <v/>
      </c>
      <c r="AR32" t="n">
        <v>16.19423791821561</v>
      </c>
      <c r="AS32">
        <f>IF($S$32,$M$32*$AI$32*$W$32,0)</f>
        <v/>
      </c>
      <c r="AT32" t="n">
        <v>257.2026022304833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1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2.405691</v>
      </c>
      <c r="BB32" t="inlineStr">
        <is>
          <t>ok</t>
        </is>
      </c>
      <c r="BC32" t="b">
        <v>1</v>
      </c>
      <c r="BD32" t="inlineStr">
        <is>
          <t>Assets/MachineBrigade/Resources/Data/balance.json: weapons[id=boss_flak] (lớp B trên 01_chien_dau/Vu_khi)</t>
        </is>
      </c>
      <c r="BE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274.3494423791822</v>
      </c>
      <c r="AM33">
        <f>IF($Q$33,$M$33*$AE$33*$U$33,0)</f>
        <v/>
      </c>
      <c r="AN33" t="n">
        <v>194.3308550185874</v>
      </c>
      <c r="AO33">
        <f>IF($Q$33,$M$33*$AG$33*$U$33,0)</f>
        <v/>
      </c>
      <c r="AP33" t="n">
        <v>91.44981412639405</v>
      </c>
      <c r="AQ33">
        <f>IF($Q$33,$M$33*$AE$33*$Y$33,0)</f>
        <v/>
      </c>
      <c r="AR33" t="n">
        <v>113.3596654275093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inlineStr">
        <is>
          <t>Assets/MachineBrigade/Resources/Data/balance.json: weapons[id=boss_flak_ap] (lớp B trên 01_chien_dau/Vu_khi)</t>
        </is>
      </c>
      <c r="BE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194.4</v>
      </c>
      <c r="AM34">
        <f>IF($Q$34,$M$34*$AE$34*$U$34,0)</f>
        <v/>
      </c>
      <c r="AN34" t="n">
        <v>137.7</v>
      </c>
      <c r="AO34">
        <f>IF($Q$34,$M$34*$AG$34*$U$34,0)</f>
        <v/>
      </c>
      <c r="AP34" t="n">
        <v>64.80000000000001</v>
      </c>
      <c r="AQ34">
        <f>IF($Q$34,$M$34*$AE$34*$Y$34,0)</f>
        <v/>
      </c>
      <c r="AR34" t="n">
        <v>112.2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inlineStr">
        <is>
          <t>Assets/MachineBrigade/Resources/Data/balance.json: weapons[id=boss_flamer] (lớp B trên 01_chien_dau/Vu_khi)</t>
        </is>
      </c>
      <c r="BE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131.0675092829143</v>
      </c>
      <c r="AM35">
        <f>IF($Q$35,$M$35*$AE$35*$U$35,0)</f>
        <v/>
      </c>
      <c r="AN35" t="n">
        <v>92.83948574206428</v>
      </c>
      <c r="AO35">
        <f>IF($Q$35,$M$35*$AG$35*$U$35,0)</f>
        <v/>
      </c>
      <c r="AP35" t="n">
        <v>43.68916976097142</v>
      </c>
      <c r="AQ35">
        <f>IF($Q$35,$M$35*$AE$35*$Y$35,0)</f>
        <v/>
      </c>
      <c r="AR35" t="n">
        <v>54.15636668287083</v>
      </c>
      <c r="AS35">
        <f>IF($S$35,$M$35*$AI$35*$W$35,0)</f>
        <v/>
      </c>
      <c r="AT35" t="n">
        <v>27.30573110060714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2.517786</v>
      </c>
      <c r="BB35" t="inlineStr">
        <is>
          <t>ok</t>
        </is>
      </c>
      <c r="BC35" t="b">
        <v>1</v>
      </c>
      <c r="BD35" t="inlineStr">
        <is>
          <t>Assets/MachineBrigade/Resources/Data/balance.json: weapons[id=boss_heli_gun] (lớp B trên 01_chien_dau/Vu_khi)</t>
        </is>
      </c>
      <c r="BE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AND(Vu_khi!$K$36="Kinetic",NOT(Vu_khi!$AG$36))</f>
        <v/>
      </c>
      <c r="AB36" t="b">
        <v>0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IF($Q$36,$M$36*$AG$36*$U$36,0)</f>
        <v/>
      </c>
      <c r="AP36" t="n">
        <v>0</v>
      </c>
      <c r="AQ36">
        <f>IF($Q$36,$M$36*$AE$36*$Y$36,0)</f>
        <v/>
      </c>
      <c r="AR36" t="n">
        <v>0</v>
      </c>
      <c r="AS36">
        <f>IF($S$36,$M$36*$AI$36*$W$36,0)</f>
        <v/>
      </c>
      <c r="AT36" t="n">
        <v>122.8757899527321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inlineStr">
        <is>
          <t>Assets/MachineBrigade/Resources/Data/balance.json: weapons[id=boss_heli_gun_flak] (lớp B trên 01_chien_dau/Vu_khi)</t>
        </is>
      </c>
      <c r="BE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0.65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0.15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135.8828991371436</v>
      </c>
      <c r="AM37">
        <f>IF($Q$37,$M$37*$AE$37*$U$37,0)</f>
        <v/>
      </c>
      <c r="AN37" t="n">
        <v>88.32388443914333</v>
      </c>
      <c r="AO37">
        <f>IF($Q$37,$M$37*$AG$37*$U$37,0)</f>
        <v/>
      </c>
      <c r="AP37" t="n">
        <v>20.38243487057154</v>
      </c>
      <c r="AQ37">
        <f>IF($Q$37,$M$37*$AE$37*$Y$37,0)</f>
        <v/>
      </c>
      <c r="AR37" t="n">
        <v>51.5222659228336</v>
      </c>
      <c r="AS37">
        <f>IF($S$37,$M$37*$AI$37*$W$37,0)</f>
        <v/>
      </c>
      <c r="AT37" t="n">
        <v>33.97072478428589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0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n">
        <v>1.766227</v>
      </c>
      <c r="BB37" t="inlineStr">
        <is>
          <t>ok</t>
        </is>
      </c>
      <c r="BC37" t="b">
        <v>1</v>
      </c>
      <c r="BD37" t="inlineStr">
        <is>
          <t>Assets/MachineBrigade/Resources/Data/balance.json: weapons[id=boss_hmg] (lớp B trên 01_chien_dau/Vu_khi)</t>
        </is>
      </c>
      <c r="BE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163.0594789645723</v>
      </c>
      <c r="AM38">
        <f>IF($Q$38,$M$38*$AE$38*$U$38,0)</f>
        <v/>
      </c>
      <c r="AN38" t="n">
        <v>115.5004642665721</v>
      </c>
      <c r="AO38">
        <f>IF($Q$38,$M$38*$AG$38*$U$38,0)</f>
        <v/>
      </c>
      <c r="AP38" t="n">
        <v>54.35315965485743</v>
      </c>
      <c r="AQ38">
        <f>IF($Q$38,$M$38*$AE$38*$Y$38,0)</f>
        <v/>
      </c>
      <c r="AR38" t="n">
        <v>67.37527082216702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D38" t="inlineStr">
        <is>
          <t>Assets/MachineBrigade/Resources/Data/balance.json: weapons[id=boss_hmg_api] (lớp B trên 01_chien_dau/Vu_khi)</t>
        </is>
      </c>
      <c r="BE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1.2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0.85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53.38983050847458</v>
      </c>
      <c r="AO39">
        <f>IF($Q$39,$M$39*$AG$39*$U$39,0)</f>
        <v/>
      </c>
      <c r="AP39" t="n">
        <v>37.81779661016949</v>
      </c>
      <c r="AQ39">
        <f>IF($Q$39,$M$39*$AE$39*$Y$39,0)</f>
        <v/>
      </c>
      <c r="AR39" t="n">
        <v>85.42372881355932</v>
      </c>
      <c r="AS39">
        <f>IF($S$39,$M$39*$AI$39*$W$39,0)</f>
        <v/>
      </c>
      <c r="AT39" t="n">
        <v>0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1</v>
      </c>
      <c r="AW39">
        <f>IF(AND($B$39&lt;0,$AU$39),4,$B$39)</f>
        <v/>
      </c>
      <c r="AX39" t="n">
        <v>4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2.5</v>
      </c>
      <c r="BA39" t="n">
        <v>0.275333</v>
      </c>
      <c r="BB39" t="inlineStr">
        <is>
          <t>NHANH_QUA</t>
        </is>
      </c>
      <c r="BC39" t="inlineStr"/>
      <c r="BD39" t="inlineStr">
        <is>
          <t>Assets/MachineBrigade/Resources/Data/balance.json: weapons[id=boss_howitzer] (lớp B trên 01_chien_dau/Vu_khi)</t>
        </is>
      </c>
      <c r="BE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D40" t="inlineStr">
        <is>
          <t>Assets/MachineBrigade/Resources/Data/balance.json: weapons[id=boss_howitzer_guided] (lớp B trên 01_chien_dau/Vu_khi)</t>
        </is>
      </c>
      <c r="BE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0.85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0.4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0.08</v>
      </c>
      <c r="AI41">
        <f>INDEX(Bang_xuyen_giap!$C$2:$C$8,MIN(7,MAX(1,MAX(1,2-(Vu_khi!$L$41-0))+1)))*IF($AA$41,INDEX(Bang_xuyen_qua!$C$2:$C$5,MIN(4,MAX(1,(Vu_khi!$L$41)-(0)-1))),1)</f>
        <v/>
      </c>
      <c r="AJ41" t="n">
        <v>0.85</v>
      </c>
      <c r="AK41">
        <f>IF($Q$41,$M$41*$AC$41*$U$41,0)</f>
        <v/>
      </c>
      <c r="AL41" t="n">
        <v>33.19133830315939</v>
      </c>
      <c r="AM41">
        <f>IF($Q$41,$M$41*$AE$41*$U$41,0)</f>
        <v/>
      </c>
      <c r="AN41" t="n">
        <v>15.61945331913383</v>
      </c>
      <c r="AO41">
        <f>IF($Q$41,$M$41*$AG$41*$U$41,0)</f>
        <v/>
      </c>
      <c r="AP41" t="n">
        <v>3.123890663826766</v>
      </c>
      <c r="AQ41">
        <f>IF($Q$41,$M$41*$AE$41*$Y$41,0)</f>
        <v/>
      </c>
      <c r="AR41" t="n">
        <v>9.111347769494733</v>
      </c>
      <c r="AS41">
        <f>IF($S$41,$M$41*$AI$41*$W$41,0)</f>
        <v/>
      </c>
      <c r="AT41" t="n">
        <v>8.297834575789848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n">
        <v>16.902</v>
      </c>
      <c r="BB41" t="inlineStr">
        <is>
          <t>ok</t>
        </is>
      </c>
      <c r="BC41" t="b">
        <v>1</v>
      </c>
      <c r="BD41" t="inlineStr">
        <is>
          <t>Assets/MachineBrigade/Resources/Data/balance.json: weapons[id=boss_minigun] (lớp B trên 01_chien_dau/Vu_khi)</t>
        </is>
      </c>
      <c r="BE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56.15023474178404</v>
      </c>
      <c r="AO42">
        <f>IF($Q$42,$M$42*$AG$42*$U$42,0)</f>
        <v/>
      </c>
      <c r="AP42" t="n">
        <v>39.77308294209703</v>
      </c>
      <c r="AQ42">
        <f>IF($Q$42,$M$42*$AE$42*$Y$42,0)</f>
        <v/>
      </c>
      <c r="AR42" t="n">
        <v>19.43661971830986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0.3195</v>
      </c>
      <c r="BB42" t="inlineStr">
        <is>
          <t>NHANH_QUA</t>
        </is>
      </c>
      <c r="BC42" t="inlineStr"/>
      <c r="BD42" t="inlineStr">
        <is>
          <t>Assets/MachineBrigade/Resources/Data/balance.json: weapons[id=boss_missiles] (lớp B trên 01_chien_dau/Vu_khi)</t>
        </is>
      </c>
      <c r="BE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46.01226993865031</v>
      </c>
      <c r="AO43">
        <f>IF($Q$43,$M$43*$AG$43*$U$43,0)</f>
        <v/>
      </c>
      <c r="AP43" t="n">
        <v>39.11042944785277</v>
      </c>
      <c r="AQ43">
        <f>IF($Q$43,$M$43*$AE$43*$Y$43,0)</f>
        <v/>
      </c>
      <c r="AR43" t="n">
        <v>73.61963190184051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A43" t="n">
        <v>0.1141</v>
      </c>
      <c r="BB43" t="inlineStr">
        <is>
          <t>NHANH_QUA</t>
        </is>
      </c>
      <c r="BC43" t="inlineStr"/>
      <c r="BD43" t="inlineStr">
        <is>
          <t>Assets/MachineBrigade/Resources/Data/balance.json: weapons[id=boss_mortar] (lớp B trên 01_chien_dau/Vu_khi)</t>
        </is>
      </c>
      <c r="BE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0.8999999999999999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1.14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1</v>
      </c>
      <c r="AI44">
        <f>INDEX(Bang_xuyen_giap!$C$2:$C$8,MIN(7,MAX(1,MAX(1,2-(Vu_khi!$L$44-0))+1)))*IF($AA$44,INDEX(Bang_xuyen_qua!$C$2:$C$5,MIN(4,MAX(1,(Vu_khi!$L$44)-(0)-1))),1)</f>
        <v/>
      </c>
      <c r="AJ44" t="n">
        <v>0.75</v>
      </c>
      <c r="AK44">
        <f>IF($Q$44,$M$44*$AC$44*$U$44,0)</f>
        <v/>
      </c>
      <c r="AL44" t="n">
        <v>97.19999999999999</v>
      </c>
      <c r="AM44">
        <f>IF($Q$44,$M$44*$AE$44*$U$44,0)</f>
        <v/>
      </c>
      <c r="AN44" t="n">
        <v>123.12</v>
      </c>
      <c r="AO44">
        <f>IF($Q$44,$M$44*$AG$44*$U$44,0)</f>
        <v/>
      </c>
      <c r="AP44" t="n">
        <v>108</v>
      </c>
      <c r="AQ44">
        <f>IF($Q$44,$M$44*$AE$44*$Y$44,0)</f>
        <v/>
      </c>
      <c r="AR44" t="n">
        <v>71.81999999999999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ok</t>
        </is>
      </c>
      <c r="BC44" t="b">
        <v>1</v>
      </c>
      <c r="BD44" t="inlineStr">
        <is>
          <t>Assets/MachineBrigade/Resources/Data/balance.json: weapons[id=boss_railgun] (lớp B trên 01_chien_dau/Vu_khi)</t>
        </is>
      </c>
      <c r="BE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0.85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0.4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369.6682464454977</v>
      </c>
      <c r="AM45">
        <f>IF($Q$45,$M$45*$AE$45*$U$45,0)</f>
        <v/>
      </c>
      <c r="AN45" t="n">
        <v>261.8483412322275</v>
      </c>
      <c r="AO45">
        <f>IF($Q$45,$M$45*$AG$45*$U$45,0)</f>
        <v/>
      </c>
      <c r="AP45" t="n">
        <v>123.2227488151659</v>
      </c>
      <c r="AQ45">
        <f>IF($Q$45,$M$45*$AE$45*$Y$45,0)</f>
        <v/>
      </c>
      <c r="AR45" t="n">
        <v>418.9573459715641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1</v>
      </c>
      <c r="BB45" t="inlineStr">
        <is>
          <t>ok</t>
        </is>
      </c>
      <c r="BC45" t="inlineStr"/>
      <c r="BD45" t="inlineStr">
        <is>
          <t>Assets/MachineBrigade/Resources/Data/balance.json: weapons[id=boss_rockets] (lớp B trên 01_chien_dau/Vu_khi)</t>
        </is>
      </c>
      <c r="BE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0.65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55.8273381294964</v>
      </c>
      <c r="AM46">
        <f>IF($Q$46,$M$46*$AE$46*$U$46,0)</f>
        <v/>
      </c>
      <c r="AN46" t="n">
        <v>46.52278177458034</v>
      </c>
      <c r="AO46">
        <f>IF($Q$46,$M$46*$AG$46*$U$46,0)</f>
        <v/>
      </c>
      <c r="AP46" t="n">
        <v>30.23980815347722</v>
      </c>
      <c r="AQ46">
        <f>IF($Q$46,$M$46*$AE$46*$Y$46,0)</f>
        <v/>
      </c>
      <c r="AR46" t="n">
        <v>93.04556354916068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0.5838</v>
      </c>
      <c r="BB46" t="inlineStr">
        <is>
          <t>NHANH_QUA;LECH_DOT_1</t>
        </is>
      </c>
      <c r="BC46" t="b">
        <v>1</v>
      </c>
      <c r="BD46" t="inlineStr">
        <is>
          <t>Assets/MachineBrigade/Resources/Data/balance.json: weapons[id=boss_thermo] (lớp B trên 01_chien_dau/Vu_khi)</t>
        </is>
      </c>
      <c r="BE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IF($Q$47,$M$47*$AG$47*$U$47,0)</f>
        <v/>
      </c>
      <c r="AP47" t="n">
        <v>0</v>
      </c>
      <c r="AQ47">
        <f>IF($Q$47,$M$47*$AE$47*$Y$47,0)</f>
        <v/>
      </c>
      <c r="AR47" t="n">
        <v>0</v>
      </c>
      <c r="AS47">
        <f>IF($S$47,$M$47*$AI$47*$W$47,0)</f>
        <v/>
      </c>
      <c r="AT47" t="n">
        <v>261.8181818181818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2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0.4125</v>
      </c>
      <c r="BB47" t="inlineStr">
        <is>
          <t>NHANH_QUA</t>
        </is>
      </c>
      <c r="BC47" t="inlineStr"/>
      <c r="BD47" t="inlineStr">
        <is>
          <t>Assets/MachineBrigade/Resources/Data/balance.json: weapons[id=buk_launcher] (lớp B trên 01_chien_dau/Vu_khi)</t>
        </is>
      </c>
      <c r="BE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0.65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0.15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180</v>
      </c>
      <c r="AM48">
        <f>IF($Q$48,$M$48*$AE$48*$U$48,0)</f>
        <v/>
      </c>
      <c r="AN48" t="n">
        <v>117</v>
      </c>
      <c r="AO48">
        <f>IF($Q$48,$M$48*$AG$48*$U$48,0)</f>
        <v/>
      </c>
      <c r="AP48" t="n">
        <v>27</v>
      </c>
      <c r="AQ48">
        <f>IF($Q$48,$M$48*$AE$48*$Y$48,0)</f>
        <v/>
      </c>
      <c r="AR48" t="n">
        <v>95.33333333333336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1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inlineStr">
        <is>
          <t>Assets/MachineBrigade/Resources/Data/balance.json: weapons[id=bunker_flame] (lớp B trên 01_chien_dau/Vu_khi)</t>
        </is>
      </c>
      <c r="BE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AND(Vu_khi!$K$49="Kinetic",NOT(Vu_khi!$AG$49))</f>
        <v/>
      </c>
      <c r="AB49" t="b">
        <v>1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128.5714285714286</v>
      </c>
      <c r="AM49">
        <f>IF($Q$49,$M$49*$AE$49*$U$49,0)</f>
        <v/>
      </c>
      <c r="AN49" t="n">
        <v>83.57142857142857</v>
      </c>
      <c r="AO49">
        <f>IF($Q$49,$M$49*$AG$49*$U$49,0)</f>
        <v/>
      </c>
      <c r="AP49" t="n">
        <v>19.28571428571428</v>
      </c>
      <c r="AQ49">
        <f>IF($Q$49,$M$49*$AE$49*$Y$49,0)</f>
        <v/>
      </c>
      <c r="AR49" t="n">
        <v>48.74999999999999</v>
      </c>
      <c r="AS49">
        <f>IF($S$49,$M$49*$AI$49*$W$49,0)</f>
        <v/>
      </c>
      <c r="AT49" t="n">
        <v>32.14285714285714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0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1.182222</v>
      </c>
      <c r="BB49" t="inlineStr">
        <is>
          <t>ok</t>
        </is>
      </c>
      <c r="BC49" t="inlineStr"/>
      <c r="BD49" t="inlineStr">
        <is>
          <t>Assets/MachineBrigade/Resources/Data/balance.json: weapons[id=bunker_hmg] (lớp B trên 01_chien_dau/Vu_khi)</t>
        </is>
      </c>
      <c r="BE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154.2857142857143</v>
      </c>
      <c r="AM50">
        <f>IF($Q$50,$M$50*$AE$50*$U$50,0)</f>
        <v/>
      </c>
      <c r="AN50" t="n">
        <v>109.2857142857143</v>
      </c>
      <c r="AO50">
        <f>IF($Q$50,$M$50*$AG$50*$U$50,0)</f>
        <v/>
      </c>
      <c r="AP50" t="n">
        <v>51.42857142857142</v>
      </c>
      <c r="AQ50">
        <f>IF($Q$50,$M$50*$AE$50*$Y$50,0)</f>
        <v/>
      </c>
      <c r="AR50" t="n">
        <v>63.74999999999999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D50" t="inlineStr">
        <is>
          <t>Assets/MachineBrigade/Resources/Data/balance.json: weapons[id=bunker_hmg_api] (lớp B trên 01_chien_dau/Vu_khi)</t>
        </is>
      </c>
      <c r="BE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148.695652173913</v>
      </c>
      <c r="AM51">
        <f>IF($Q$51,$M$51*$AE$51*$U$51,0)</f>
        <v/>
      </c>
      <c r="AN51" t="n">
        <v>96.65217391304348</v>
      </c>
      <c r="AO51">
        <f>IF($Q$51,$M$51*$AG$51*$U$51,0)</f>
        <v/>
      </c>
      <c r="AP51" t="n">
        <v>22.30434782608696</v>
      </c>
      <c r="AQ51">
        <f>IF($Q$51,$M$51*$AE$51*$Y$51,0)</f>
        <v/>
      </c>
      <c r="AR51" t="n">
        <v>56.3804347826087</v>
      </c>
      <c r="AS51">
        <f>IF($S$51,$M$51*$AI$51*$W$51,0)</f>
        <v/>
      </c>
      <c r="AT51" t="n">
        <v>37.17391304347826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n">
        <v>2.044444</v>
      </c>
      <c r="BB51" t="inlineStr">
        <is>
          <t>ok</t>
        </is>
      </c>
      <c r="BC51" t="inlineStr"/>
      <c r="BD51" t="inlineStr">
        <is>
          <t>Assets/MachineBrigade/Resources/Data/balance.json: weapons[id=bunker_hmg_twin] (lớp B trên 01_chien_dau/Vu_khi)</t>
        </is>
      </c>
      <c r="BE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1.2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0.85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0.4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178.4347826086957</v>
      </c>
      <c r="AM52">
        <f>IF($Q$52,$M$52*$AE$52*$U$52,0)</f>
        <v/>
      </c>
      <c r="AN52" t="n">
        <v>126.3913043478261</v>
      </c>
      <c r="AO52">
        <f>IF($Q$52,$M$52*$AG$52*$U$52,0)</f>
        <v/>
      </c>
      <c r="AP52" t="n">
        <v>59.47826086956522</v>
      </c>
      <c r="AQ52">
        <f>IF($Q$52,$M$52*$AE$52*$Y$52,0)</f>
        <v/>
      </c>
      <c r="AR52" t="n">
        <v>73.72826086956522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D52" t="inlineStr">
        <is>
          <t>Assets/MachineBrigade/Resources/Data/balance.json: weapons[id=bunker_hmg_twin_api] (lớp B trên 01_chien_dau/Vu_khi)</t>
        </is>
      </c>
      <c r="BE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0.85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0.4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0.08</v>
      </c>
      <c r="AI53">
        <f>INDEX(Bang_xuyen_giap!$C$2:$C$8,MIN(7,MAX(1,MAX(1,2-(Vu_khi!$L$53-0))+1)))*IF($AA$53,INDEX(Bang_xuyen_qua!$C$2:$C$5,MIN(4,MAX(1,(Vu_khi!$L$53)-(0)-1))),1)</f>
        <v/>
      </c>
      <c r="AJ53" t="n">
        <v>0.85</v>
      </c>
      <c r="AK53">
        <f>IF($Q$53,$M$53*$AC$53*$U$53,0)</f>
        <v/>
      </c>
      <c r="AL53" t="n">
        <v>10.8022239872915</v>
      </c>
      <c r="AM53">
        <f>IF($Q$53,$M$53*$AE$53*$U$53,0)</f>
        <v/>
      </c>
      <c r="AN53" t="n">
        <v>5.083399523431295</v>
      </c>
      <c r="AO53">
        <f>IF($Q$53,$M$53*$AG$53*$U$53,0)</f>
        <v/>
      </c>
      <c r="AP53" t="n">
        <v>1.016679904686259</v>
      </c>
      <c r="AQ53">
        <f>IF($Q$53,$M$53*$AE$53*$Y$53,0)</f>
        <v/>
      </c>
      <c r="AR53" t="n">
        <v>2.965316388668255</v>
      </c>
      <c r="AS53">
        <f>IF($S$53,$M$53*$AI$53*$W$53,0)</f>
        <v/>
      </c>
      <c r="AT53" t="n">
        <v>2.700555996822875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A53" t="inlineStr"/>
      <c r="BB53" t="inlineStr">
        <is>
          <t>LECH_DOT_1</t>
        </is>
      </c>
      <c r="BC53" t="inlineStr"/>
      <c r="BD53" t="inlineStr">
        <is>
          <t>Assets/MachineBrigade/Resources/Data/balance.json: weapons[id=bunker_pkm] (lớp B trên 01_chien_dau/Vu_khi)</t>
        </is>
      </c>
      <c r="BE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AND(Vu_khi!$K$54="Kinetic",NOT(Vu_khi!$AG$54))</f>
        <v/>
      </c>
      <c r="AB54" t="b">
        <v>0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IF($Q$54,$M$54*$AG$54*$U$54,0)</f>
        <v/>
      </c>
      <c r="AP54" t="n">
        <v>0</v>
      </c>
      <c r="AQ54">
        <f>IF($Q$54,$M$54*$AE$54*$Y$54,0)</f>
        <v/>
      </c>
      <c r="AR54" t="n">
        <v>0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1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2.625</v>
      </c>
      <c r="BB54" t="inlineStr">
        <is>
          <t>ok</t>
        </is>
      </c>
      <c r="BC54" t="inlineStr"/>
      <c r="BD54" t="inlineStr">
        <is>
          <t>Assets/MachineBrigade/Resources/Data/balance.json: weapons[id=c_ram_gatling] (lớp B trên 01_chien_dau/Vu_khi)</t>
        </is>
      </c>
      <c r="BE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1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0.65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48.39968774395004</v>
      </c>
      <c r="AO55">
        <f>IF($Q$55,$M$55*$AG$55*$U$55,0)</f>
        <v/>
      </c>
      <c r="AP55" t="n">
        <v>31.45979703356753</v>
      </c>
      <c r="AQ55">
        <f>IF($Q$55,$M$55*$AE$55*$Y$55,0)</f>
        <v/>
      </c>
      <c r="AR55" t="n">
        <v>77.43950039032006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3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0.5978</v>
      </c>
      <c r="BB55" t="inlineStr">
        <is>
          <t>NHANH_QUA</t>
        </is>
      </c>
      <c r="BC55" t="inlineStr"/>
      <c r="BD55" t="inlineStr">
        <is>
          <t>Assets/MachineBrigade/Resources/Data/balance.json: weapons[id=casemate_155] (lớp B trên 01_chien_dau/Vu_khi)</t>
        </is>
      </c>
      <c r="BE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D56" t="inlineStr">
        <is>
          <t>Assets/MachineBrigade/Resources/Data/balance.json: weapons[id=casemate_155_guided] (lớp B trên 01_chien_dau/Vu_khi)</t>
        </is>
      </c>
      <c r="BE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AND(Vu_khi!$K$57="Kinetic",NOT(Vu_khi!$AG$57))</f>
        <v/>
      </c>
      <c r="AB57" t="b">
        <v>1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35.98800399866711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8.336111000000001</v>
      </c>
      <c r="BB57" t="inlineStr">
        <is>
          <t>ok</t>
        </is>
      </c>
      <c r="BC57" t="b">
        <v>1</v>
      </c>
      <c r="BD57" t="inlineStr">
        <is>
          <t>Assets/MachineBrigade/Resources/Data/balance.json: weapons[id=ciws_aa] (lớp B trên 01_chien_dau/Vu_khi)</t>
        </is>
      </c>
      <c r="BE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161.946017994002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inlineStr">
        <is>
          <t>Assets/MachineBrigade/Resources/Data/balance.json: weapons[id=ciws_aa_flak] (lớp B trên 01_chien_dau/Vu_khi)</t>
        </is>
      </c>
      <c r="BE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AND(Vu_khi!$K$59="Kinetic",NOT(Vu_khi!$AG$59))</f>
        <v/>
      </c>
      <c r="AB59" t="b">
        <v>1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1.02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1.2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0.85</v>
      </c>
      <c r="AI59">
        <f>INDEX(Bang_xuyen_giap!$C$2:$C$8,MIN(7,MAX(1,MAX(1,2-(Vu_khi!$L$59-0))+1)))*IF($AA$59,INDEX(Bang_xuyen_qua!$C$2:$C$5,MIN(4,MAX(1,(Vu_khi!$L$59)-(0)-1))),1)</f>
        <v/>
      </c>
      <c r="AJ59" t="n">
        <v>0.85</v>
      </c>
      <c r="AK59">
        <f>IF($Q$59,$M$59*$AC$59*$U$59,0)</f>
        <v/>
      </c>
      <c r="AL59" t="n">
        <v>127.7661795407098</v>
      </c>
      <c r="AM59">
        <f>IF($Q$59,$M$59*$AE$59*$U$59,0)</f>
        <v/>
      </c>
      <c r="AN59" t="n">
        <v>150.3131524008351</v>
      </c>
      <c r="AO59">
        <f>IF($Q$59,$M$59*$AG$59*$U$59,0)</f>
        <v/>
      </c>
      <c r="AP59" t="n">
        <v>106.4718162839249</v>
      </c>
      <c r="AQ59">
        <f>IF($Q$59,$M$59*$AE$59*$Y$59,0)</f>
        <v/>
      </c>
      <c r="AR59" t="n">
        <v>87.68267223382045</v>
      </c>
      <c r="AS59">
        <f>IF($S$59,$M$59*$AI$59*$W$59,0)</f>
        <v/>
      </c>
      <c r="AT59" t="n">
        <v>26.61795407098121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inlineStr">
        <is>
          <t>Assets/MachineBrigade/Resources/Data/balance.json: weapons[id=coilgun] (lớp B trên 01_chien_dau/Vu_khi)</t>
        </is>
      </c>
      <c r="BE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AND(Vu_khi!$K$60="Kinetic",NOT(Vu_khi!$AG$60))</f>
        <v/>
      </c>
      <c r="AB60" t="b">
        <v>0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31.2</v>
      </c>
      <c r="AO60">
        <f>IF($Q$60,$M$60*$AG$60*$U$60,0)</f>
        <v/>
      </c>
      <c r="AP60" t="n">
        <v>22.1</v>
      </c>
      <c r="AQ60">
        <f>IF($Q$60,$M$60*$AE$60*$Y$60,0)</f>
        <v/>
      </c>
      <c r="AR60" t="n">
        <v>10.8</v>
      </c>
      <c r="AS60">
        <f>IF($S$60,$M$60*$AI$60*$W$60,0)</f>
        <v/>
      </c>
      <c r="AT60" t="n">
        <v>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4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2.5</v>
      </c>
      <c r="BA60" t="n">
        <v>7.5</v>
      </c>
      <c r="BB60" t="inlineStr">
        <is>
          <t>CHAM_QUA</t>
        </is>
      </c>
      <c r="BC60" t="inlineStr"/>
      <c r="BD60" t="inlineStr">
        <is>
          <t>Assets/MachineBrigade/Resources/Data/balance.json: weapons[id=cruise_missile_ground] (lớp B trên 01_chien_dau/Vu_khi)</t>
        </is>
      </c>
      <c r="BE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85.42445274959958</v>
      </c>
      <c r="AO61">
        <f>IF($Q$61,$M$61*$AG$61*$U$61,0)</f>
        <v/>
      </c>
      <c r="AP61" t="n">
        <v>60.5089873642997</v>
      </c>
      <c r="AQ61">
        <f>IF($Q$61,$M$61*$AE$61*$Y$61,0)</f>
        <v/>
      </c>
      <c r="AR61" t="n">
        <v>136.6791243993593</v>
      </c>
      <c r="AS61">
        <f>IF($S$61,$M$61*$AI$61*$W$61,0)</f>
        <v/>
      </c>
      <c r="AT61" t="n">
        <v>0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1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2.5</v>
      </c>
      <c r="BA61" t="n">
        <v>2.35998</v>
      </c>
      <c r="BB61" t="inlineStr">
        <is>
          <t>CHAM_QUA;LECH_DOT_1</t>
        </is>
      </c>
      <c r="BC61" t="inlineStr"/>
      <c r="BD61" t="inlineStr">
        <is>
          <t>Assets/MachineBrigade/Resources/Data/balance.json: weapons[id=cruiser_203] (lớp B trên 01_chien_dau/Vu_khi)</t>
        </is>
      </c>
      <c r="BE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42.71222637479979</v>
      </c>
      <c r="AO62">
        <f>IF($Q$62,$M$62*$AG$62*$U$62,0)</f>
        <v/>
      </c>
      <c r="AP62" t="n">
        <v>30.25449368214985</v>
      </c>
      <c r="AQ62">
        <f>IF($Q$62,$M$62*$AE$62*$Y$62,0)</f>
        <v/>
      </c>
      <c r="AR62" t="n">
        <v>68.33956219967966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D62" t="inlineStr">
        <is>
          <t>Assets/MachineBrigade/Resources/Data/balance.json: weapons[id=cruiser_203_guided] (lớp B trên 01_chien_dau/Vu_khi)</t>
        </is>
      </c>
      <c r="BE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924</v>
      </c>
      <c r="AO63">
        <f>IF($Q$63,$M$63*$AG$63*$U$63,0)</f>
        <v/>
      </c>
      <c r="AP63" t="n">
        <v>654.5</v>
      </c>
      <c r="AQ63">
        <f>IF($Q$63,$M$63*$AE$63*$Y$63,0)</f>
        <v/>
      </c>
      <c r="AR63" t="n">
        <v>1478.4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2.722222222222222</v>
      </c>
      <c r="BA63" t="inlineStr"/>
      <c r="BB63" t="inlineStr">
        <is>
          <t>ok</t>
        </is>
      </c>
      <c r="BC63" t="inlineStr"/>
      <c r="BD63" t="inlineStr">
        <is>
          <t>Assets/MachineBrigade/Resources/Data/balance.json: weapons[id=detonator] (lớp B trên 01_chien_dau/Vu_khi)</t>
        </is>
      </c>
      <c r="BE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AND(Vu_khi!$K$64="Kinetic",NOT(Vu_khi!$AG$64))</f>
        <v/>
      </c>
      <c r="AB64" t="b">
        <v>1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1.14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0.65</v>
      </c>
      <c r="AI64">
        <f>INDEX(Bang_xuyen_giap!$C$2:$C$8,MIN(7,MAX(1,MAX(1,2-(Vu_khi!$L$64-0))+1)))*IF($AA$64,INDEX(Bang_xuyen_qua!$C$2:$C$5,MIN(4,MAX(1,(Vu_khi!$L$64)-(0)-1))),1)</f>
        <v/>
      </c>
      <c r="AJ64" t="n">
        <v>0.95</v>
      </c>
      <c r="AK64">
        <f>IF($Q$64,$M$64*$AC$64*$U$64,0)</f>
        <v/>
      </c>
      <c r="AL64" t="n">
        <v>94.05</v>
      </c>
      <c r="AM64">
        <f>IF($Q$64,$M$64*$AE$64*$U$64,0)</f>
        <v/>
      </c>
      <c r="AN64" t="n">
        <v>82.5</v>
      </c>
      <c r="AO64">
        <f>IF($Q$64,$M$64*$AG$64*$U$64,0)</f>
        <v/>
      </c>
      <c r="AP64" t="n">
        <v>53.625</v>
      </c>
      <c r="AQ64">
        <f>IF($Q$64,$M$64*$AE$64*$Y$64,0)</f>
        <v/>
      </c>
      <c r="AR64" t="n">
        <v>48.125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0</v>
      </c>
      <c r="AW64">
        <f>IF(AND($B$64&lt;0,$AU$64),4,$B$64)</f>
        <v/>
      </c>
      <c r="AX64" t="n">
        <v>0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0</v>
      </c>
      <c r="BA64" t="inlineStr"/>
      <c r="BB64" t="inlineStr">
        <is>
          <t>ok</t>
        </is>
      </c>
      <c r="BC64" t="inlineStr"/>
      <c r="BD64" t="inlineStr">
        <is>
          <t>Assets/MachineBrigade/Resources/Data/balance.json: weapons[id=dozer_blade] (lớp B trên 01_chien_dau/Vu_khi)</t>
        </is>
      </c>
      <c r="BE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0.65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0.15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72.15189873417721</v>
      </c>
      <c r="AM65">
        <f>IF($Q$65,$M$65*$AE$65*$U$65,0)</f>
        <v/>
      </c>
      <c r="AN65" t="n">
        <v>46.89873417721519</v>
      </c>
      <c r="AO65">
        <f>IF($Q$65,$M$65*$AG$65*$U$65,0)</f>
        <v/>
      </c>
      <c r="AP65" t="n">
        <v>10.82278481012658</v>
      </c>
      <c r="AQ65">
        <f>IF($Q$65,$M$65*$AE$65*$Y$65,0)</f>
        <v/>
      </c>
      <c r="AR65" t="n">
        <v>27.35759493670886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n">
        <v>3.16</v>
      </c>
      <c r="BB65" t="inlineStr">
        <is>
          <t>ok</t>
        </is>
      </c>
      <c r="BC65" t="inlineStr"/>
      <c r="BD65" t="inlineStr">
        <is>
          <t>Assets/MachineBrigade/Resources/Data/balance.json: weapons[id=drone_gun] (lớp B trên 01_chien_dau/Vu_khi)</t>
        </is>
      </c>
      <c r="BE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113.2960893854749</v>
      </c>
      <c r="AO66">
        <f>IF($Q$66,$M$66*$AG$66*$U$66,0)</f>
        <v/>
      </c>
      <c r="AP66" t="n">
        <v>80.2513966480447</v>
      </c>
      <c r="AQ66">
        <f>IF($Q$66,$M$66*$AE$66*$Y$66,0)</f>
        <v/>
      </c>
      <c r="AR66" t="n">
        <v>39.21787709497207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2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inlineStr"/>
      <c r="BB66" t="inlineStr">
        <is>
          <t>ok</t>
        </is>
      </c>
      <c r="BC66" t="inlineStr"/>
      <c r="BD66" t="inlineStr">
        <is>
          <t>Assets/MachineBrigade/Resources/Data/balance.json: weapons[id=drone_missile] (lớp B trên 01_chien_dau/Vu_khi)</t>
        </is>
      </c>
      <c r="BE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0.85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0.4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71.88744894357319</v>
      </c>
      <c r="AM67">
        <f>IF($Q$67,$M$67*$AE$67*$U$67,0)</f>
        <v/>
      </c>
      <c r="AN67" t="n">
        <v>50.92027633503101</v>
      </c>
      <c r="AO67">
        <f>IF($Q$67,$M$67*$AG$67*$U$67,0)</f>
        <v/>
      </c>
      <c r="AP67" t="n">
        <v>23.96248298119107</v>
      </c>
      <c r="AQ67">
        <f>IF($Q$67,$M$67*$AE$67*$Y$67,0)</f>
        <v/>
      </c>
      <c r="AR67" t="n">
        <v>11.31561696334023</v>
      </c>
      <c r="AS67">
        <f>IF($S$67,$M$67*$AI$67*$W$67,0)</f>
        <v/>
      </c>
      <c r="AT67" t="n">
        <v>179.718622358933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1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7.436625</v>
      </c>
      <c r="BB67" t="inlineStr">
        <is>
          <t>ok</t>
        </is>
      </c>
      <c r="BC67" t="inlineStr"/>
      <c r="BD67" t="inlineStr">
        <is>
          <t>Assets/MachineBrigade/Resources/Data/balance.json: weapons[id=fighter_cannon] (lớp B trên 01_chien_dau/Vu_khi)</t>
        </is>
      </c>
      <c r="BE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191.6998638495285</v>
      </c>
      <c r="AM68">
        <f>IF($Q$68,$M$68*$AE$68*$U$68,0)</f>
        <v/>
      </c>
      <c r="AN68" t="n">
        <v>135.7874035600827</v>
      </c>
      <c r="AO68">
        <f>IF($Q$68,$M$68*$AG$68*$U$68,0)</f>
        <v/>
      </c>
      <c r="AP68" t="n">
        <v>63.8999546165095</v>
      </c>
      <c r="AQ68">
        <f>IF($Q$68,$M$68*$AE$68*$Y$68,0)</f>
        <v/>
      </c>
      <c r="AR68" t="n">
        <v>79.20931874338157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D68" t="inlineStr">
        <is>
          <t>Assets/MachineBrigade/Resources/Data/balance.json: weapons[id=fighter_cannon_ap] (lớp B trên 01_chien_dau/Vu_khi)</t>
        </is>
      </c>
      <c r="BE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47.52</v>
      </c>
      <c r="AM69">
        <f>IF($Q$69,$M$69*$AE$69*$U$69,0)</f>
        <v/>
      </c>
      <c r="AN69" t="n">
        <v>33.66</v>
      </c>
      <c r="AO69">
        <f>IF($Q$69,$M$69*$AG$69*$U$69,0)</f>
        <v/>
      </c>
      <c r="AP69" t="n">
        <v>15.84</v>
      </c>
      <c r="AQ69">
        <f>IF($Q$69,$M$69*$AE$69*$Y$69,0)</f>
        <v/>
      </c>
      <c r="AR69" t="n">
        <v>7.48</v>
      </c>
      <c r="AS69">
        <f>IF($S$69,$M$69*$AI$69*$W$69,0)</f>
        <v/>
      </c>
      <c r="AT69" t="n">
        <v>118.8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n">
        <v>5.416667</v>
      </c>
      <c r="BB69" t="inlineStr">
        <is>
          <t>CHAM_QUA</t>
        </is>
      </c>
      <c r="BC69" t="inlineStr"/>
      <c r="BD69" t="inlineStr">
        <is>
          <t>Assets/MachineBrigade/Resources/Data/balance.json: weapons[id=flak_35] (lớp B trên 01_chien_dau/Vu_khi)</t>
        </is>
      </c>
      <c r="BE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AND(Vu_khi!$K$70="Kinetic",NOT(Vu_khi!$AG$70))</f>
        <v/>
      </c>
      <c r="AB70" t="b">
        <v>1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126.72</v>
      </c>
      <c r="AM70">
        <f>IF($Q$70,$M$70*$AE$70*$U$70,0)</f>
        <v/>
      </c>
      <c r="AN70" t="n">
        <v>89.76000000000001</v>
      </c>
      <c r="AO70">
        <f>IF($Q$70,$M$70*$AG$70*$U$70,0)</f>
        <v/>
      </c>
      <c r="AP70" t="n">
        <v>42.23999999999999</v>
      </c>
      <c r="AQ70">
        <f>IF($Q$70,$M$70*$AE$70*$Y$70,0)</f>
        <v/>
      </c>
      <c r="AR70" t="n">
        <v>52.36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D70" t="inlineStr">
        <is>
          <t>Assets/MachineBrigade/Resources/Data/balance.json: weapons[id=flak_35_ap] (lớp B trên 01_chien_dau/Vu_khi)</t>
        </is>
      </c>
      <c r="BE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0.65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0.15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105.7441253263707</v>
      </c>
      <c r="AM71">
        <f>IF($Q$71,$M$71*$AE$71*$U$71,0)</f>
        <v/>
      </c>
      <c r="AN71" t="n">
        <v>68.73368146214099</v>
      </c>
      <c r="AO71">
        <f>IF($Q$71,$M$71*$AG$71*$U$71,0)</f>
        <v/>
      </c>
      <c r="AP71" t="n">
        <v>15.86161879895561</v>
      </c>
      <c r="AQ71">
        <f>IF($Q$71,$M$71*$AE$71*$Y$71,0)</f>
        <v/>
      </c>
      <c r="AR71" t="n">
        <v>15.27415143603133</v>
      </c>
      <c r="AS71">
        <f>IF($S$71,$M$71*$AI$71*$W$71,0)</f>
        <v/>
      </c>
      <c r="AT71" t="n">
        <v>317.2323759791123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3.971852</v>
      </c>
      <c r="BB71" t="inlineStr">
        <is>
          <t>ok</t>
        </is>
      </c>
      <c r="BC71" t="inlineStr"/>
      <c r="BD71" t="inlineStr">
        <is>
          <t>Assets/MachineBrigade/Resources/Data/balance.json: weapons[id=flak_quad] (lớp B trên 01_chien_dau/Vu_khi)</t>
        </is>
      </c>
      <c r="BE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AND(Vu_khi!$K$72="Kinetic",NOT(Vu_khi!$AG$72))</f>
        <v/>
      </c>
      <c r="AB72" t="b">
        <v>1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338.3812010443864</v>
      </c>
      <c r="AM72">
        <f>IF($Q$72,$M$72*$AE$72*$U$72,0)</f>
        <v/>
      </c>
      <c r="AN72" t="n">
        <v>239.686684073107</v>
      </c>
      <c r="AO72">
        <f>IF($Q$72,$M$72*$AG$72*$U$72,0)</f>
        <v/>
      </c>
      <c r="AP72" t="n">
        <v>112.7937336814621</v>
      </c>
      <c r="AQ72">
        <f>IF($Q$72,$M$72*$AE$72*$Y$72,0)</f>
        <v/>
      </c>
      <c r="AR72" t="n">
        <v>139.8172323759791</v>
      </c>
      <c r="AS72">
        <f>IF($S$72,$M$72*$AI$72*$W$72,0)</f>
        <v/>
      </c>
      <c r="AT72" t="n">
        <v>0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D72" t="inlineStr">
        <is>
          <t>Assets/MachineBrigade/Resources/Data/balance.json: weapons[id=flak_quad_ap] (lớp B trên 01_chien_dau/Vu_khi)</t>
        </is>
      </c>
      <c r="BE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113.4</v>
      </c>
      <c r="AM73">
        <f>IF($Q$73,$M$73*$AE$73*$U$73,0)</f>
        <v/>
      </c>
      <c r="AN73" t="n">
        <v>73.71000000000001</v>
      </c>
      <c r="AO73">
        <f>IF($Q$73,$M$73*$AG$73*$U$73,0)</f>
        <v/>
      </c>
      <c r="AP73" t="n">
        <v>17.01</v>
      </c>
      <c r="AQ73">
        <f>IF($Q$73,$M$73*$AE$73*$Y$73,0)</f>
        <v/>
      </c>
      <c r="AR73" t="n">
        <v>60.06000000000001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inlineStr">
        <is>
          <t>Assets/MachineBrigade/Resources/Data/balance.json: weapons[id=flamethrower] (lớp B trên 01_chien_dau/Vu_khi)</t>
        </is>
      </c>
      <c r="BE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1.2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1.2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0.85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114.8936170212766</v>
      </c>
      <c r="AO74">
        <f>IF($Q$74,$M$74*$AG$74*$U$74,0)</f>
        <v/>
      </c>
      <c r="AP74" t="n">
        <v>81.38297872340425</v>
      </c>
      <c r="AQ74">
        <f>IF($Q$74,$M$74*$AE$74*$Y$74,0)</f>
        <v/>
      </c>
      <c r="AR74" t="n">
        <v>51.06382978723403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inlineStr">
        <is>
          <t>Assets/MachineBrigade/Resources/Data/balance.json: weapons[id=focus_laser] (lớp B trên 01_chien_dau/Vu_khi)</t>
        </is>
      </c>
      <c r="BE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1.15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1.1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0.75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79.73333333333333</v>
      </c>
      <c r="AM75">
        <f>IF($Q$75,$M$75*$AE$75*$U$75,0)</f>
        <v/>
      </c>
      <c r="AN75" t="n">
        <v>76.26666666666668</v>
      </c>
      <c r="AO75">
        <f>IF($Q$75,$M$75*$AG$75*$U$75,0)</f>
        <v/>
      </c>
      <c r="AP75" t="n">
        <v>52.00000000000001</v>
      </c>
      <c r="AQ75">
        <f>IF($Q$75,$M$75*$AE$75*$Y$75,0)</f>
        <v/>
      </c>
      <c r="AR75" t="n">
        <v>26.4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2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inlineStr">
        <is>
          <t>Assets/MachineBrigade/Resources/Data/balance.json: weapons[id=fpv_hangar] (lớp B trên 01_chien_dau/Vu_khi)</t>
        </is>
      </c>
      <c r="BE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105.9746835443038</v>
      </c>
      <c r="AM76">
        <f>IF($Q$76,$M$76*$AE$76*$U$76,0)</f>
        <v/>
      </c>
      <c r="AN76" t="n">
        <v>101.367088607595</v>
      </c>
      <c r="AO76">
        <f>IF($Q$76,$M$76*$AG$76*$U$76,0)</f>
        <v/>
      </c>
      <c r="AP76" t="n">
        <v>69.11392405063293</v>
      </c>
      <c r="AQ76">
        <f>IF($Q$76,$M$76*$AE$76*$Y$76,0)</f>
        <v/>
      </c>
      <c r="AR76" t="n">
        <v>35.08860759493672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inlineStr">
        <is>
          <t>Assets/MachineBrigade/Resources/Data/balance.json: weapons[id=fpv_hangar_swarm] (lớp B trên 01_chien_dau/Vu_khi)</t>
        </is>
      </c>
      <c r="BE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62.2453531598513</v>
      </c>
      <c r="AM77">
        <f>IF($Q$77,$M$77*$AE$77*$U$77,0)</f>
        <v/>
      </c>
      <c r="AN77" t="n">
        <v>59.53903345724908</v>
      </c>
      <c r="AO77">
        <f>IF($Q$77,$M$77*$AG$77*$U$77,0)</f>
        <v/>
      </c>
      <c r="AP77" t="n">
        <v>40.59479553903346</v>
      </c>
      <c r="AQ77">
        <f>IF($Q$77,$M$77*$AE$77*$Y$77,0)</f>
        <v/>
      </c>
      <c r="AR77" t="n">
        <v>20.6096654275093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inlineStr">
        <is>
          <t>Assets/MachineBrigade/Resources/Data/balance.json: weapons[id=fpv_swarm] (lớp B trên 01_chien_dau/Vu_khi)</t>
        </is>
      </c>
      <c r="BE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1.14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0.65</v>
      </c>
      <c r="AI78">
        <f>INDEX(Bang_xuyen_giap!$C$2:$C$8,MIN(7,MAX(1,MAX(1,2-(Vu_khi!$L$78-0))+1)))*IF($AA$78,INDEX(Bang_xuyen_qua!$C$2:$C$5,MIN(4,MAX(1,(Vu_khi!$L$78)-(0)-1))),1)</f>
        <v/>
      </c>
      <c r="AJ78" t="n">
        <v>0.95</v>
      </c>
      <c r="AK78">
        <f>IF($Q$78,$M$78*$AC$78*$U$78,0)</f>
        <v/>
      </c>
      <c r="AL78" t="n">
        <v>729.7330701227362</v>
      </c>
      <c r="AM78">
        <f>IF($Q$78,$M$78*$AE$78*$U$78,0)</f>
        <v/>
      </c>
      <c r="AN78" t="n">
        <v>640.1167281778388</v>
      </c>
      <c r="AO78">
        <f>IF($Q$78,$M$78*$AG$78*$U$78,0)</f>
        <v/>
      </c>
      <c r="AP78" t="n">
        <v>416.0758733155952</v>
      </c>
      <c r="AQ78">
        <f>IF($Q$78,$M$78*$AE$78*$Y$78,0)</f>
        <v/>
      </c>
      <c r="AR78" t="n">
        <v>373.4014247704059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1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n">
        <v>2.680761</v>
      </c>
      <c r="BB78" t="inlineStr">
        <is>
          <t>ok</t>
        </is>
      </c>
      <c r="BC78" t="inlineStr"/>
      <c r="BD78" t="inlineStr">
        <is>
          <t>Assets/MachineBrigade/Resources/Data/balance.json: weapons[id=gau_gatling] (lớp B trên 01_chien_dau/Vu_khi)</t>
        </is>
      </c>
      <c r="BE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0.85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0.4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35.71292956142016</v>
      </c>
      <c r="AM79">
        <f>IF($Q$79,$M$79*$AE$79*$U$79,0)</f>
        <v/>
      </c>
      <c r="AN79" t="n">
        <v>30.35599012720714</v>
      </c>
      <c r="AO79">
        <f>IF($Q$79,$M$79*$AG$79*$U$79,0)</f>
        <v/>
      </c>
      <c r="AP79" t="n">
        <v>14.28517182456807</v>
      </c>
      <c r="AQ79">
        <f>IF($Q$79,$M$79*$AE$79*$Y$79,0)</f>
        <v/>
      </c>
      <c r="AR79" t="n">
        <v>48.56958420353142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3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1</v>
      </c>
      <c r="BB79" t="inlineStr">
        <is>
          <t>ok</t>
        </is>
      </c>
      <c r="BC79" t="inlineStr"/>
      <c r="BD79" t="inlineStr">
        <is>
          <t>Assets/MachineBrigade/Resources/Data/balance.json: weapons[id=grad_cluster] (lớp B trên 01_chien_dau/Vu_khi)</t>
        </is>
      </c>
      <c r="BE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24.61218615064769</v>
      </c>
      <c r="AM80">
        <f>IF($Q$80,$M$80*$AE$80*$U$80,0)</f>
        <v/>
      </c>
      <c r="AN80" t="n">
        <v>20.92035822805054</v>
      </c>
      <c r="AO80">
        <f>IF($Q$80,$M$80*$AG$80*$U$80,0)</f>
        <v/>
      </c>
      <c r="AP80" t="n">
        <v>9.844874460259076</v>
      </c>
      <c r="AQ80">
        <f>IF($Q$80,$M$80*$AE$80*$Y$80,0)</f>
        <v/>
      </c>
      <c r="AR80" t="n">
        <v>33.47257316488086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inlineStr">
        <is>
          <t>Assets/MachineBrigade/Resources/Data/balance.json: weapons[id=grad_rockets] (lớp B trên 01_chien_dau/Vu_khi)</t>
        </is>
      </c>
      <c r="BE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AND(Vu_khi!$K$81="Kinetic",NOT(Vu_khi!$AG$81))</f>
        <v/>
      </c>
      <c r="AB81" t="b">
        <v>1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138.9778460188638</v>
      </c>
      <c r="AM81">
        <f>IF($Q$81,$M$81*$AE$81*$U$81,0)</f>
        <v/>
      </c>
      <c r="AN81" t="n">
        <v>98.4426409300285</v>
      </c>
      <c r="AO81">
        <f>IF($Q$81,$M$81*$AG$81*$U$81,0)</f>
        <v/>
      </c>
      <c r="AP81" t="n">
        <v>46.32594867295459</v>
      </c>
      <c r="AQ81">
        <f>IF($Q$81,$M$81*$AE$81*$Y$81,0)</f>
        <v/>
      </c>
      <c r="AR81" t="n">
        <v>57.42487387584996</v>
      </c>
      <c r="AS81">
        <f>IF($S$81,$M$81*$AI$81*$W$81,0)</f>
        <v/>
      </c>
      <c r="AT81" t="n">
        <v>28.95371792059662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1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8.220015</v>
      </c>
      <c r="BB81" t="inlineStr">
        <is>
          <t>ok</t>
        </is>
      </c>
      <c r="BC81" t="inlineStr"/>
      <c r="BD81" t="inlineStr">
        <is>
          <t>Assets/MachineBrigade/Resources/Data/balance.json: weapons[id=gsh_23v] (lớp B trên 01_chien_dau/Vu_khi)</t>
        </is>
      </c>
      <c r="BE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AND(Vu_khi!$K$82="Kinetic",NOT(Vu_khi!$AG$82))</f>
        <v/>
      </c>
      <c r="AB82" t="b">
        <v>0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1.15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1.1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0.75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43.22658246880168</v>
      </c>
      <c r="AM82">
        <f>IF($Q$82,$M$82*$AE$82*$U$82,0)</f>
        <v/>
      </c>
      <c r="AN82" t="n">
        <v>41.34716583972335</v>
      </c>
      <c r="AO82">
        <f>IF($Q$82,$M$82*$AG$82*$U$82,0)</f>
        <v/>
      </c>
      <c r="AP82" t="n">
        <v>28.19124943617501</v>
      </c>
      <c r="AQ82">
        <f>IF($Q$82,$M$82*$AE$82*$Y$82,0)</f>
        <v/>
      </c>
      <c r="AR82" t="n">
        <v>66.15546534355737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2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inlineStr"/>
      <c r="BB82" t="inlineStr">
        <is>
          <t>ok</t>
        </is>
      </c>
      <c r="BC82" t="inlineStr"/>
      <c r="BD82" t="inlineStr">
        <is>
          <t>Assets/MachineBrigade/Resources/Data/balance.json: weapons[id=guided_bomb] (lớp B trên 01_chien_dau/Vu_khi)</t>
        </is>
      </c>
      <c r="BE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115.7142857142857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1.633333</v>
      </c>
      <c r="BB83" t="inlineStr">
        <is>
          <t>ok</t>
        </is>
      </c>
      <c r="BC83" t="inlineStr"/>
      <c r="BD83" t="inlineStr">
        <is>
          <t>Assets/MachineBrigade/Resources/Data/balance.json: weapons[id=gun_57_air] (lớp B trên 01_chien_dau/Vu_khi)</t>
        </is>
      </c>
      <c r="BE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112</v>
      </c>
      <c r="AM84">
        <f>IF($Q$84,$M$84*$AE$84*$U$84,0)</f>
        <v/>
      </c>
      <c r="AN84" t="n">
        <v>79.33333333333333</v>
      </c>
      <c r="AO84">
        <f>IF($Q$84,$M$84*$AG$84*$U$84,0)</f>
        <v/>
      </c>
      <c r="AP84" t="n">
        <v>37.33333333333333</v>
      </c>
      <c r="AQ84">
        <f>IF($Q$84,$M$84*$AE$84*$Y$84,0)</f>
        <v/>
      </c>
      <c r="AR84" t="n">
        <v>46.27777777777777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1.8</v>
      </c>
      <c r="BB84" t="inlineStr">
        <is>
          <t>ok</t>
        </is>
      </c>
      <c r="BC84" t="inlineStr"/>
      <c r="BD84" t="inlineStr">
        <is>
          <t>Assets/MachineBrigade/Resources/Data/balance.json: weapons[id=gun_57_auto] (lớp B trên 01_chien_dau/Vu_khi)</t>
        </is>
      </c>
      <c r="BE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49.27671488567428</v>
      </c>
      <c r="AM85">
        <f>IF($Q$85,$M$85*$AE$85*$U$85,0)</f>
        <v/>
      </c>
      <c r="AN85" t="n">
        <v>34.90433971068595</v>
      </c>
      <c r="AO85">
        <f>IF($Q$85,$M$85*$AG$85*$U$85,0)</f>
        <v/>
      </c>
      <c r="AP85" t="n">
        <v>16.42557162855809</v>
      </c>
      <c r="AQ85">
        <f>IF($Q$85,$M$85*$AE$85*$Y$85,0)</f>
        <v/>
      </c>
      <c r="AR85" t="n">
        <v>20.36086483123347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6.429</v>
      </c>
      <c r="BB85" t="inlineStr">
        <is>
          <t>CHAM_QUA;LECH_DOT_1</t>
        </is>
      </c>
      <c r="BC85" t="inlineStr"/>
      <c r="BD85" t="inlineStr">
        <is>
          <t>Assets/MachineBrigade/Resources/Data/balance.json: weapons[id=gun_57mm] (lớp B trên 01_chien_dau/Vu_khi)</t>
        </is>
      </c>
      <c r="BE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41.06392907139524</v>
      </c>
      <c r="AM86">
        <f>IF($Q$86,$M$86*$AE$86*$U$86,0)</f>
        <v/>
      </c>
      <c r="AN86" t="n">
        <v>29.08694975890496</v>
      </c>
      <c r="AO86">
        <f>IF($Q$86,$M$86*$AG$86*$U$86,0)</f>
        <v/>
      </c>
      <c r="AP86" t="n">
        <v>13.68797635713175</v>
      </c>
      <c r="AQ86">
        <f>IF($Q$86,$M$86*$AE$86*$Y$86,0)</f>
        <v/>
      </c>
      <c r="AR86" t="n">
        <v>46.53911961424794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D86" t="inlineStr">
        <is>
          <t>Assets/MachineBrigade/Resources/Data/balance.json: weapons[id=gun_57mm_he] (lớp B trên 01_chien_dau/Vu_khi)</t>
        </is>
      </c>
      <c r="BE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64.11572561829212</v>
      </c>
      <c r="AM87">
        <f>IF($Q$87,$M$87*$AE$87*$U$87,0)</f>
        <v/>
      </c>
      <c r="AN87" t="n">
        <v>45.41530564629025</v>
      </c>
      <c r="AO87">
        <f>IF($Q$87,$M$87*$AG$87*$U$87,0)</f>
        <v/>
      </c>
      <c r="AP87" t="n">
        <v>21.37190853943071</v>
      </c>
      <c r="AQ87">
        <f>IF($Q$87,$M$87*$AE$87*$Y$87,0)</f>
        <v/>
      </c>
      <c r="AR87" t="n">
        <v>72.6644890340644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4.000267</v>
      </c>
      <c r="BB87" t="inlineStr">
        <is>
          <t>CHAM_QUA</t>
        </is>
      </c>
      <c r="BC87" t="inlineStr"/>
      <c r="BD87" t="inlineStr">
        <is>
          <t>Assets/MachineBrigade/Resources/Data/balance.json: weapons[id=gun_100_river] (lớp B trên 01_chien_dau/Vu_khi)</t>
        </is>
      </c>
      <c r="BE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0.8999999999999999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1.14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1</v>
      </c>
      <c r="AI88">
        <f>INDEX(Bang_xuyen_giap!$C$2:$C$8,MIN(7,MAX(1,MAX(1,2-(Vu_khi!$L$88-0))+1)))*IF($AA$88,INDEX(Bang_xuyen_qua!$C$2:$C$5,MIN(4,MAX(1,(Vu_khi!$L$88)-(0)-1))),1)</f>
        <v/>
      </c>
      <c r="AJ88" t="n">
        <v>0.75</v>
      </c>
      <c r="AK88">
        <f>IF($Q$88,$M$88*$AC$88*$U$88,0)</f>
        <v/>
      </c>
      <c r="AL88" t="n">
        <v>71.76786673831272</v>
      </c>
      <c r="AM88">
        <f>IF($Q$88,$M$88*$AE$88*$U$88,0)</f>
        <v/>
      </c>
      <c r="AN88" t="n">
        <v>90.90596453519612</v>
      </c>
      <c r="AO88">
        <f>IF($Q$88,$M$88*$AG$88*$U$88,0)</f>
        <v/>
      </c>
      <c r="AP88" t="n">
        <v>79.7420741536808</v>
      </c>
      <c r="AQ88">
        <f>IF($Q$88,$M$88*$AE$88*$Y$88,0)</f>
        <v/>
      </c>
      <c r="AR88" t="n">
        <v>53.02847931219774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3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0.455945</v>
      </c>
      <c r="BB88" t="inlineStr">
        <is>
          <t>NHANH_QUA;LECH_DOT_1</t>
        </is>
      </c>
      <c r="BC88" t="inlineStr"/>
      <c r="BD88" t="inlineStr">
        <is>
          <t>Assets/MachineBrigade/Resources/Data/balance.json: weapons[id=gun_105_apfsds] (lớp B trên 01_chien_dau/Vu_khi)</t>
        </is>
      </c>
      <c r="BE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79.7420741536808</v>
      </c>
      <c r="AM89">
        <f>IF($Q$89,$M$89*$AE$89*$U$89,0)</f>
        <v/>
      </c>
      <c r="AN89" t="n">
        <v>56.48396919219057</v>
      </c>
      <c r="AO89">
        <f>IF($Q$89,$M$89*$AG$89*$U$89,0)</f>
        <v/>
      </c>
      <c r="AP89" t="n">
        <v>26.58069138456027</v>
      </c>
      <c r="AQ89">
        <f>IF($Q$89,$M$89*$AE$89*$Y$89,0)</f>
        <v/>
      </c>
      <c r="AR89" t="n">
        <v>90.37435070750493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3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D89" t="inlineStr">
        <is>
          <t>Assets/MachineBrigade/Resources/Data/balance.json: weapons[id=gun_105_apfsds_he] (lớp B trên 01_chien_dau/Vu_khi)</t>
        </is>
      </c>
      <c r="BE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1.14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0.65</v>
      </c>
      <c r="AI90">
        <f>INDEX(Bang_xuyen_giap!$C$2:$C$8,MIN(7,MAX(1,MAX(1,2-(Vu_khi!$L$90-0))+1)))*IF($AA$90,INDEX(Bang_xuyen_qua!$C$2:$C$5,MIN(4,MAX(1,(Vu_khi!$L$90)-(0)-1))),1)</f>
        <v/>
      </c>
      <c r="AJ90" t="n">
        <v>0.95</v>
      </c>
      <c r="AK90">
        <f>IF($Q$90,$M$90*$AC$90*$U$90,0)</f>
        <v/>
      </c>
      <c r="AL90" t="n">
        <v>75.39682539682539</v>
      </c>
      <c r="AM90">
        <f>IF($Q$90,$M$90*$AE$90*$U$90,0)</f>
        <v/>
      </c>
      <c r="AN90" t="n">
        <v>66.13756613756614</v>
      </c>
      <c r="AO90">
        <f>IF($Q$90,$M$90*$AG$90*$U$90,0)</f>
        <v/>
      </c>
      <c r="AP90" t="n">
        <v>42.98941798941799</v>
      </c>
      <c r="AQ90">
        <f>IF($Q$90,$M$90*$AE$90*$Y$90,0)</f>
        <v/>
      </c>
      <c r="AR90" t="n">
        <v>38.58024691358025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0.5292</v>
      </c>
      <c r="BB90" t="inlineStr">
        <is>
          <t>NHANH_QUA</t>
        </is>
      </c>
      <c r="BC90" t="inlineStr"/>
      <c r="BD90" t="inlineStr">
        <is>
          <t>Assets/MachineBrigade/Resources/Data/balance.json: weapons[id=gun_105_bunker] (lớp B trên 01_chien_dau/Vu_khi)</t>
        </is>
      </c>
      <c r="BE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79.36507936507937</v>
      </c>
      <c r="AM91">
        <f>IF($Q$91,$M$91*$AE$91*$U$91,0)</f>
        <v/>
      </c>
      <c r="AN91" t="n">
        <v>56.21693121693121</v>
      </c>
      <c r="AO91">
        <f>IF($Q$91,$M$91*$AG$91*$U$91,0)</f>
        <v/>
      </c>
      <c r="AP91" t="n">
        <v>26.45502645502646</v>
      </c>
      <c r="AQ91">
        <f>IF($Q$91,$M$91*$AE$91*$Y$91,0)</f>
        <v/>
      </c>
      <c r="AR91" t="n">
        <v>89.94708994708995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inlineStr">
        <is>
          <t>Assets/MachineBrigade/Resources/Data/balance.json: weapons[id=gun_105_bunker_he] (lớp B trên 01_chien_dau/Vu_khi)</t>
        </is>
      </c>
      <c r="BE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1.02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1.2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0.85</v>
      </c>
      <c r="AI92">
        <f>INDEX(Bang_xuyen_giap!$C$2:$C$8,MIN(7,MAX(1,MAX(1,2-(Vu_khi!$L$92-0))+1)))*IF($AA$92,INDEX(Bang_xuyen_qua!$C$2:$C$5,MIN(4,MAX(1,(Vu_khi!$L$92)-(0)-1))),1)</f>
        <v/>
      </c>
      <c r="AJ92" t="n">
        <v>0.85</v>
      </c>
      <c r="AK92">
        <f>IF($Q$92,$M$92*$AC$92*$U$92,0)</f>
        <v/>
      </c>
      <c r="AL92" t="n">
        <v>95.35993280134399</v>
      </c>
      <c r="AM92">
        <f>IF($Q$92,$M$92*$AE$92*$U$92,0)</f>
        <v/>
      </c>
      <c r="AN92" t="n">
        <v>112.1881562368753</v>
      </c>
      <c r="AO92">
        <f>IF($Q$92,$M$92*$AG$92*$U$92,0)</f>
        <v/>
      </c>
      <c r="AP92" t="n">
        <v>79.46661066778665</v>
      </c>
      <c r="AQ92">
        <f>IF($Q$92,$M$92*$AE$92*$Y$92,0)</f>
        <v/>
      </c>
      <c r="AR92" t="n">
        <v>65.44309113817724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3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0.388897</v>
      </c>
      <c r="BB92" t="inlineStr">
        <is>
          <t>NHANH_QUA;LECH_DOT_1</t>
        </is>
      </c>
      <c r="BC92" t="inlineStr"/>
      <c r="BD92" t="inlineStr">
        <is>
          <t>Assets/MachineBrigade/Resources/Data/balance.json: weapons[id=gun_105_long] (lớp B trên 01_chien_dau/Vu_khi)</t>
        </is>
      </c>
      <c r="BE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93.49013019739606</v>
      </c>
      <c r="AM93">
        <f>IF($Q$93,$M$93*$AE$93*$U$93,0)</f>
        <v/>
      </c>
      <c r="AN93" t="n">
        <v>66.22217555648888</v>
      </c>
      <c r="AO93">
        <f>IF($Q$93,$M$93*$AG$93*$U$93,0)</f>
        <v/>
      </c>
      <c r="AP93" t="n">
        <v>31.16337673246536</v>
      </c>
      <c r="AQ93">
        <f>IF($Q$93,$M$93*$AE$93*$Y$93,0)</f>
        <v/>
      </c>
      <c r="AR93" t="n">
        <v>105.9554808903822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inlineStr">
        <is>
          <t>Assets/MachineBrigade/Resources/Data/balance.json: weapons[id=gun_105_long_he] (lớp B trên 01_chien_dau/Vu_khi)</t>
        </is>
      </c>
      <c r="BE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1.14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0.65</v>
      </c>
      <c r="AI94">
        <f>INDEX(Bang_xuyen_giap!$C$2:$C$8,MIN(7,MAX(1,MAX(1,2-(Vu_khi!$L$94-0))+1)))*IF($AA$94,INDEX(Bang_xuyen_qua!$C$2:$C$5,MIN(4,MAX(1,(Vu_khi!$L$94)-(0)-1))),1)</f>
        <v/>
      </c>
      <c r="AJ94" t="n">
        <v>0.95</v>
      </c>
      <c r="AK94">
        <f>IF($Q$94,$M$94*$AC$94*$U$94,0)</f>
        <v/>
      </c>
      <c r="AL94" t="n">
        <v>101.0508710801394</v>
      </c>
      <c r="AM94">
        <f>IF($Q$94,$M$94*$AE$94*$U$94,0)</f>
        <v/>
      </c>
      <c r="AN94" t="n">
        <v>88.6411149825784</v>
      </c>
      <c r="AO94">
        <f>IF($Q$94,$M$94*$AG$94*$U$94,0)</f>
        <v/>
      </c>
      <c r="AP94" t="n">
        <v>57.61672473867596</v>
      </c>
      <c r="AQ94">
        <f>IF($Q$94,$M$94*$AE$94*$Y$94,0)</f>
        <v/>
      </c>
      <c r="AR94" t="n">
        <v>51.70731707317073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2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0.669667</v>
      </c>
      <c r="BB94" t="inlineStr">
        <is>
          <t>ok</t>
        </is>
      </c>
      <c r="BC94" t="inlineStr"/>
      <c r="BD94" t="inlineStr">
        <is>
          <t>Assets/MachineBrigade/Resources/Data/balance.json: weapons[id=gun_105_twin] (lớp B trên 01_chien_dau/Vu_khi)</t>
        </is>
      </c>
      <c r="BE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1.02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1.2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0.85</v>
      </c>
      <c r="AI95">
        <f>INDEX(Bang_xuyen_giap!$C$2:$C$8,MIN(7,MAX(1,MAX(1,2-(Vu_khi!$L$95-0))+1)))*IF($AA$95,INDEX(Bang_xuyen_qua!$C$2:$C$5,MIN(4,MAX(1,(Vu_khi!$L$95)-(0)-1))),1)</f>
        <v/>
      </c>
      <c r="AJ95" t="n">
        <v>0.85</v>
      </c>
      <c r="AK95">
        <f>IF($Q$95,$M$95*$AC$95*$U$95,0)</f>
        <v/>
      </c>
      <c r="AL95" t="n">
        <v>85.36306936306936</v>
      </c>
      <c r="AM95">
        <f>IF($Q$95,$M$95*$AE$95*$U$95,0)</f>
        <v/>
      </c>
      <c r="AN95" t="n">
        <v>100.4271404271404</v>
      </c>
      <c r="AO95">
        <f>IF($Q$95,$M$95*$AG$95*$U$95,0)</f>
        <v/>
      </c>
      <c r="AP95" t="n">
        <v>71.13589113589113</v>
      </c>
      <c r="AQ95">
        <f>IF($Q$95,$M$95*$AE$95*$Y$95,0)</f>
        <v/>
      </c>
      <c r="AR95" t="n">
        <v>58.58249858249857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0.493827</v>
      </c>
      <c r="BB95" t="inlineStr">
        <is>
          <t>NHANH_QUA;LECH_DOT_1</t>
        </is>
      </c>
      <c r="BC95" t="inlineStr"/>
      <c r="BD95" t="inlineStr">
        <is>
          <t>Assets/MachineBrigade/Resources/Data/balance.json: weapons[id=gun_105_wheeled] (lớp B trên 01_chien_dau/Vu_khi)</t>
        </is>
      </c>
      <c r="BE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83.68928368928368</v>
      </c>
      <c r="AM96">
        <f>IF($Q$96,$M$96*$AE$96*$U$96,0)</f>
        <v/>
      </c>
      <c r="AN96" t="n">
        <v>59.27990927990928</v>
      </c>
      <c r="AO96">
        <f>IF($Q$96,$M$96*$AG$96*$U$96,0)</f>
        <v/>
      </c>
      <c r="AP96" t="n">
        <v>27.89642789642789</v>
      </c>
      <c r="AQ96">
        <f>IF($Q$96,$M$96*$AE$96*$Y$96,0)</f>
        <v/>
      </c>
      <c r="AR96" t="n">
        <v>94.84785484785485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3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inlineStr">
        <is>
          <t>Assets/MachineBrigade/Resources/Data/balance.json: weapons[id=gun_105_wheeled_he] (lớp B trên 01_chien_dau/Vu_khi)</t>
        </is>
      </c>
      <c r="BE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113.8373101952278</v>
      </c>
      <c r="AM97">
        <f>IF($Q$97,$M$97*$AE$97*$U$97,0)</f>
        <v/>
      </c>
      <c r="AN97" t="n">
        <v>133.9262472885032</v>
      </c>
      <c r="AO97">
        <f>IF($Q$97,$M$97*$AG$97*$U$97,0)</f>
        <v/>
      </c>
      <c r="AP97" t="n">
        <v>94.86442516268981</v>
      </c>
      <c r="AQ97">
        <f>IF($Q$97,$M$97*$AE$97*$Y$97,0)</f>
        <v/>
      </c>
      <c r="AR97" t="n">
        <v>78.1236442516269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0.688427</v>
      </c>
      <c r="BB97" t="inlineStr">
        <is>
          <t>LECH_DOT_1</t>
        </is>
      </c>
      <c r="BC97" t="inlineStr"/>
      <c r="BD97" t="inlineStr">
        <is>
          <t>Assets/MachineBrigade/Resources/Data/balance.json: weapons[id=gun_120_twin] (lớp B trên 01_chien_dau/Vu_khi)</t>
        </is>
      </c>
      <c r="BE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111.6052060737527</v>
      </c>
      <c r="AM98">
        <f>IF($Q$98,$M$98*$AE$98*$U$98,0)</f>
        <v/>
      </c>
      <c r="AN98" t="n">
        <v>79.05368763557485</v>
      </c>
      <c r="AO98">
        <f>IF($Q$98,$M$98*$AG$98*$U$98,0)</f>
        <v/>
      </c>
      <c r="AP98" t="n">
        <v>37.20173535791758</v>
      </c>
      <c r="AQ98">
        <f>IF($Q$98,$M$98*$AE$98*$Y$98,0)</f>
        <v/>
      </c>
      <c r="AR98" t="n">
        <v>126.4859002169198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inlineStr">
        <is>
          <t>Assets/MachineBrigade/Resources/Data/balance.json: weapons[id=gun_120_twin_he] (lớp B trên 01_chien_dau/Vu_khi)</t>
        </is>
      </c>
      <c r="BE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57.64547576548125</v>
      </c>
      <c r="AM99">
        <f>IF($Q$99,$M$99*$AE$99*$U$99,0)</f>
        <v/>
      </c>
      <c r="AN99" t="n">
        <v>67.81820678291912</v>
      </c>
      <c r="AO99">
        <f>IF($Q$99,$M$99*$AG$99*$U$99,0)</f>
        <v/>
      </c>
      <c r="AP99" t="n">
        <v>48.03789647123438</v>
      </c>
      <c r="AQ99">
        <f>IF($Q$99,$M$99*$AE$99*$Y$99,0)</f>
        <v/>
      </c>
      <c r="AR99" t="n">
        <v>39.56062062336949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0.679747</v>
      </c>
      <c r="BB99" t="inlineStr">
        <is>
          <t>LECH_DOT_1</t>
        </is>
      </c>
      <c r="BC99" t="inlineStr"/>
      <c r="BD99" t="inlineStr">
        <is>
          <t>Assets/MachineBrigade/Resources/Data/balance.json: weapons[id=gun_120mm] (lớp B trên 01_chien_dau/Vu_khi)</t>
        </is>
      </c>
      <c r="BE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56.51517231909926</v>
      </c>
      <c r="AM100">
        <f>IF($Q$100,$M$100*$AE$100*$U$100,0)</f>
        <v/>
      </c>
      <c r="AN100" t="n">
        <v>40.03158039269531</v>
      </c>
      <c r="AO100">
        <f>IF($Q$100,$M$100*$AG$100*$U$100,0)</f>
        <v/>
      </c>
      <c r="AP100" t="n">
        <v>18.83839077303309</v>
      </c>
      <c r="AQ100">
        <f>IF($Q$100,$M$100*$AE$100*$Y$100,0)</f>
        <v/>
      </c>
      <c r="AR100" t="n">
        <v>64.05052862831251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inlineStr">
        <is>
          <t>Assets/MachineBrigade/Resources/Data/balance.json: weapons[id=gun_120mm_he] (lớp B trên 01_chien_dau/Vu_khi)</t>
        </is>
      </c>
      <c r="BE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0.8999999999999999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1.14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1</v>
      </c>
      <c r="AI101">
        <f>INDEX(Bang_xuyen_giap!$C$2:$C$8,MIN(7,MAX(1,MAX(1,2-(Vu_khi!$L$101-0))+1)))*IF($AA$101,INDEX(Bang_xuyen_qua!$C$2:$C$5,MIN(4,MAX(1,(Vu_khi!$L$101)-(0)-1))),1)</f>
        <v/>
      </c>
      <c r="AJ101" t="n">
        <v>0.75</v>
      </c>
      <c r="AK101">
        <f>IF($Q$101,$M$101*$AC$101*$U$101,0)</f>
        <v/>
      </c>
      <c r="AL101" t="n">
        <v>56.09407811843763</v>
      </c>
      <c r="AM101">
        <f>IF($Q$101,$M$101*$AE$101*$U$101,0)</f>
        <v/>
      </c>
      <c r="AN101" t="n">
        <v>71.052498950021</v>
      </c>
      <c r="AO101">
        <f>IF($Q$101,$M$101*$AG$101*$U$101,0)</f>
        <v/>
      </c>
      <c r="AP101" t="n">
        <v>62.3267534649307</v>
      </c>
      <c r="AQ101">
        <f>IF($Q$101,$M$101*$AE$101*$Y$101,0)</f>
        <v/>
      </c>
      <c r="AR101" t="n">
        <v>41.44729105417892</v>
      </c>
      <c r="AS101">
        <f>IF($S$101,$M$101*$AI$101*$W$101,0)</f>
        <v/>
      </c>
      <c r="AT101" t="n">
        <v>11.68626627467451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0.6666800000000001</v>
      </c>
      <c r="BB101" t="inlineStr">
        <is>
          <t>ok</t>
        </is>
      </c>
      <c r="BC101" t="inlineStr"/>
      <c r="BD101" t="inlineStr">
        <is>
          <t>Assets/MachineBrigade/Resources/Data/balance.json: weapons[id=gun_125_armata_ke] (lớp B trên 01_chien_dau/Vu_khi)</t>
        </is>
      </c>
      <c r="BE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0.8999999999999999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1.14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1</v>
      </c>
      <c r="AI102">
        <f>INDEX(Bang_xuyen_giap!$C$2:$C$8,MIN(7,MAX(1,MAX(1,2-(Vu_khi!$L$102-0))+1)))*IF($AA$102,INDEX(Bang_xuyen_qua!$C$2:$C$5,MIN(4,MAX(1,(Vu_khi!$L$102)-(0)-1))),1)</f>
        <v/>
      </c>
      <c r="AJ102" t="n">
        <v>0.75</v>
      </c>
      <c r="AK102">
        <f>IF($Q$102,$M$102*$AC$102*$U$102,0)</f>
        <v/>
      </c>
      <c r="AL102" t="n">
        <v>49.55231263912935</v>
      </c>
      <c r="AM102">
        <f>IF($Q$102,$M$102*$AE$102*$U$102,0)</f>
        <v/>
      </c>
      <c r="AN102" t="n">
        <v>62.76626267623052</v>
      </c>
      <c r="AO102">
        <f>IF($Q$102,$M$102*$AG$102*$U$102,0)</f>
        <v/>
      </c>
      <c r="AP102" t="n">
        <v>55.05812515458818</v>
      </c>
      <c r="AQ102">
        <f>IF($Q$102,$M$102*$AE$102*$Y$102,0)</f>
        <v/>
      </c>
      <c r="AR102" t="n">
        <v>36.61365322780114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0.7546929999999999</v>
      </c>
      <c r="BB102" t="inlineStr">
        <is>
          <t>LECH_DOT_1</t>
        </is>
      </c>
      <c r="BC102" t="inlineStr"/>
      <c r="BD102" t="inlineStr">
        <is>
          <t>Assets/MachineBrigade/Resources/Data/balance.json: weapons[id=gun_125_elite] (lớp B trên 01_chien_dau/Vu_khi)</t>
        </is>
      </c>
      <c r="BE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55.05812515458818</v>
      </c>
      <c r="AM103">
        <f>IF($Q$103,$M$103*$AE$103*$U$103,0)</f>
        <v/>
      </c>
      <c r="AN103" t="n">
        <v>38.99950531783329</v>
      </c>
      <c r="AO103">
        <f>IF($Q$103,$M$103*$AG$103*$U$103,0)</f>
        <v/>
      </c>
      <c r="AP103" t="n">
        <v>18.35270838486273</v>
      </c>
      <c r="AQ103">
        <f>IF($Q$103,$M$103*$AE$103*$Y$103,0)</f>
        <v/>
      </c>
      <c r="AR103" t="n">
        <v>62.39920850853327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inlineStr">
        <is>
          <t>Assets/MachineBrigade/Resources/Data/balance.json: weapons[id=gun_125_elite_he] (lớp B trên 01_chien_dau/Vu_khi)</t>
        </is>
      </c>
      <c r="BE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137.9787069896621</v>
      </c>
      <c r="AM104">
        <f>IF($Q$104,$M$104*$AE$104*$U$104,0)</f>
        <v/>
      </c>
      <c r="AN104" t="n">
        <v>174.773028853572</v>
      </c>
      <c r="AO104">
        <f>IF($Q$104,$M$104*$AG$104*$U$104,0)</f>
        <v/>
      </c>
      <c r="AP104" t="n">
        <v>153.3096744329579</v>
      </c>
      <c r="AQ104">
        <f>IF($Q$104,$M$104*$AE$104*$Y$104,0)</f>
        <v/>
      </c>
      <c r="AR104" t="n">
        <v>101.950933497917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0.756117</v>
      </c>
      <c r="BB104" t="inlineStr">
        <is>
          <t>LECH_DOT_1</t>
        </is>
      </c>
      <c r="BC104" t="inlineStr"/>
      <c r="BD104" t="inlineStr">
        <is>
          <t>Assets/MachineBrigade/Resources/Data/balance.json: weapons[id=gun_140_twin] (lớp B trên 01_chien_dau/Vu_khi)</t>
        </is>
      </c>
      <c r="BE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153.3096744329579</v>
      </c>
      <c r="AM105">
        <f>IF($Q$105,$M$105*$AE$105*$U$105,0)</f>
        <v/>
      </c>
      <c r="AN105" t="n">
        <v>108.5943527233452</v>
      </c>
      <c r="AO105">
        <f>IF($Q$105,$M$105*$AG$105*$U$105,0)</f>
        <v/>
      </c>
      <c r="AP105" t="n">
        <v>51.10322481098596</v>
      </c>
      <c r="AQ105">
        <f>IF($Q$105,$M$105*$AE$105*$Y$105,0)</f>
        <v/>
      </c>
      <c r="AR105" t="n">
        <v>173.7509643573523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inlineStr">
        <is>
          <t>Assets/MachineBrigade/Resources/Data/balance.json: weapons[id=gun_140_twin_he] (lớp B trên 01_chien_dau/Vu_khi)</t>
        </is>
      </c>
      <c r="BE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60.4630650496141</v>
      </c>
      <c r="AM106">
        <f>IF($Q$106,$M$106*$AE$106*$U$106,0)</f>
        <v/>
      </c>
      <c r="AN106" t="n">
        <v>76.58654906284453</v>
      </c>
      <c r="AO106">
        <f>IF($Q$106,$M$106*$AG$106*$U$106,0)</f>
        <v/>
      </c>
      <c r="AP106" t="n">
        <v>67.18118338846011</v>
      </c>
      <c r="AQ106">
        <f>IF($Q$106,$M$106*$AE$106*$Y$106,0)</f>
        <v/>
      </c>
      <c r="AR106" t="n">
        <v>44.67548695332598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0.95235</v>
      </c>
      <c r="BB106" t="inlineStr">
        <is>
          <t>LECH_DOT_1</t>
        </is>
      </c>
      <c r="BC106" t="inlineStr"/>
      <c r="BD106" t="inlineStr">
        <is>
          <t>Assets/MachineBrigade/Resources/Data/balance.json: weapons[id=gun_152] (lớp B trên 01_chien_dau/Vu_khi)</t>
        </is>
      </c>
      <c r="BE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0.65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63.98319915995799</v>
      </c>
      <c r="AM107">
        <f>IF($Q$107,$M$107*$AE$107*$U$107,0)</f>
        <v/>
      </c>
      <c r="AN107" t="n">
        <v>53.31933263329833</v>
      </c>
      <c r="AO107">
        <f>IF($Q$107,$M$107*$AG$107*$U$107,0)</f>
        <v/>
      </c>
      <c r="AP107" t="n">
        <v>34.65756621164392</v>
      </c>
      <c r="AQ107">
        <f>IF($Q$107,$M$107*$AE$107*$Y$107,0)</f>
        <v/>
      </c>
      <c r="AR107" t="n">
        <v>85.31093221327734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0.99995</v>
      </c>
      <c r="BB107" t="inlineStr">
        <is>
          <t>LECH_DOT_1</t>
        </is>
      </c>
      <c r="BC107" t="inlineStr"/>
      <c r="BD107" t="inlineStr">
        <is>
          <t>Assets/MachineBrigade/Resources/Data/balance.json: weapons[id=gun_152_he] (lớp B trên 01_chien_dau/Vu_khi)</t>
        </is>
      </c>
      <c r="BE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1.2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82.8043790777397</v>
      </c>
      <c r="AO108">
        <f>IF($Q$108,$M$108*$AG$108*$U$108,0)</f>
        <v/>
      </c>
      <c r="AP108" t="n">
        <v>69.00364923144976</v>
      </c>
      <c r="AQ108">
        <f>IF($Q$108,$M$108*$AE$108*$Y$108,0)</f>
        <v/>
      </c>
      <c r="AR108" t="n">
        <v>28.66305429614067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1.055017</v>
      </c>
      <c r="BB108" t="inlineStr">
        <is>
          <t>LECH_DOT_1</t>
        </is>
      </c>
      <c r="BC108" t="inlineStr"/>
      <c r="BD108" t="inlineStr">
        <is>
          <t>Assets/MachineBrigade/Resources/Data/balance.json: weapons[id=gun_152_heat] (lớp B trên 01_chien_dau/Vu_khi)</t>
        </is>
      </c>
      <c r="BE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60.64359172840872</v>
      </c>
      <c r="AM109">
        <f>IF($Q$109,$M$109*$AE$109*$U$109,0)</f>
        <v/>
      </c>
      <c r="AN109" t="n">
        <v>50.5363264403406</v>
      </c>
      <c r="AO109">
        <f>IF($Q$109,$M$109*$AG$109*$U$109,0)</f>
        <v/>
      </c>
      <c r="AP109" t="n">
        <v>32.84861218622139</v>
      </c>
      <c r="AQ109">
        <f>IF($Q$109,$M$109*$AE$109*$Y$109,0)</f>
        <v/>
      </c>
      <c r="AR109" t="n">
        <v>80.85812230454496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D109" t="inlineStr">
        <is>
          <t>Assets/MachineBrigade/Resources/Data/balance.json: weapons[id=gun_152_heat_he] (lớp B trên 01_chien_dau/Vu_khi)</t>
        </is>
      </c>
      <c r="BE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0.65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86.8477314118299</v>
      </c>
      <c r="AM110">
        <f>IF($Q$110,$M$110*$AE$110*$U$110,0)</f>
        <v/>
      </c>
      <c r="AN110" t="n">
        <v>72.37310950985825</v>
      </c>
      <c r="AO110">
        <f>IF($Q$110,$M$110*$AG$110*$U$110,0)</f>
        <v/>
      </c>
      <c r="AP110" t="n">
        <v>47.04252118140786</v>
      </c>
      <c r="AQ110">
        <f>IF($Q$110,$M$110*$AE$110*$Y$110,0)</f>
        <v/>
      </c>
      <c r="AR110" t="n">
        <v>115.7969752157732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0.294677</v>
      </c>
      <c r="BB110" t="inlineStr">
        <is>
          <t>NHANH_QUA;LECH_DOT_1</t>
        </is>
      </c>
      <c r="BC110" t="inlineStr"/>
      <c r="BD110" t="inlineStr">
        <is>
          <t>Assets/MachineBrigade/Resources/Data/balance.json: weapons[id=gun_155_coastal] (lớp B trên 01_chien_dau/Vu_khi)</t>
        </is>
      </c>
      <c r="BE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43.59647030765561</v>
      </c>
      <c r="AM111">
        <f>IF($Q$111,$M$111*$AE$111*$U$111,0)</f>
        <v/>
      </c>
      <c r="AN111" t="n">
        <v>36.33039192304634</v>
      </c>
      <c r="AO111">
        <f>IF($Q$111,$M$111*$AG$111*$U$111,0)</f>
        <v/>
      </c>
      <c r="AP111" t="n">
        <v>23.61475474998012</v>
      </c>
      <c r="AQ111">
        <f>IF($Q$111,$M$111*$AE$111*$Y$111,0)</f>
        <v/>
      </c>
      <c r="AR111" t="n">
        <v>58.12862707687415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inlineStr">
        <is>
          <t>Assets/MachineBrigade/Resources/Data/balance.json: weapons[id=gun_155_coastal_guided] (lớp B trên 01_chien_dau/Vu_khi)</t>
        </is>
      </c>
      <c r="BE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20.74050068864944</v>
      </c>
      <c r="AO112">
        <f>IF($Q$112,$M$112*$AG$112*$U$112,0)</f>
        <v/>
      </c>
      <c r="AP112" t="n">
        <v>13.48132544762213</v>
      </c>
      <c r="AQ112">
        <f>IF($Q$112,$M$112*$AE$112*$Y$112,0)</f>
        <v/>
      </c>
      <c r="AR112" t="n">
        <v>33.1848011018391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0.720008</v>
      </c>
      <c r="BB112" t="inlineStr">
        <is>
          <t>ok</t>
        </is>
      </c>
      <c r="BC112" t="inlineStr"/>
      <c r="BD112" t="inlineStr">
        <is>
          <t>Assets/MachineBrigade/Resources/Data/balance.json: weapons[id=gun_155_sph] (lớp B trên 01_chien_dau/Vu_khi)</t>
        </is>
      </c>
      <c r="BE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86.87782805429863</v>
      </c>
      <c r="AM113">
        <f>IF($Q$113,$M$113*$AE$113*$U$113,0)</f>
        <v/>
      </c>
      <c r="AN113" t="n">
        <v>72.39819004524887</v>
      </c>
      <c r="AO113">
        <f>IF($Q$113,$M$113*$AG$113*$U$113,0)</f>
        <v/>
      </c>
      <c r="AP113" t="n">
        <v>47.05882352941177</v>
      </c>
      <c r="AQ113">
        <f>IF($Q$113,$M$113*$AE$113*$Y$113,0)</f>
        <v/>
      </c>
      <c r="AR113" t="n">
        <v>115.8371040723982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0.412533</v>
      </c>
      <c r="BB113" t="inlineStr">
        <is>
          <t>NHANH_QUA</t>
        </is>
      </c>
      <c r="BC113" t="inlineStr"/>
      <c r="BD113" t="inlineStr">
        <is>
          <t>Assets/MachineBrigade/Resources/Data/balance.json: weapons[id=gun_155_twin] (lớp B trên 01_chien_dau/Vu_khi)</t>
        </is>
      </c>
      <c r="BE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AND(Vu_khi!$K$114="Kinetic",NOT(Vu_khi!$AG$114))</f>
        <v/>
      </c>
      <c r="AB114" t="b">
        <v>1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0.8999999999999999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1.14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1</v>
      </c>
      <c r="AI114">
        <f>INDEX(Bang_xuyen_giap!$C$2:$C$8,MIN(7,MAX(1,MAX(1,2-(Vu_khi!$L$114-0))+1)))*IF($AA$114,INDEX(Bang_xuyen_qua!$C$2:$C$5,MIN(4,MAX(1,(Vu_khi!$L$114)-(0)-1))),1)</f>
        <v/>
      </c>
      <c r="AJ114" t="n">
        <v>0.75</v>
      </c>
      <c r="AK114">
        <f>IF($Q$114,$M$114*$AC$114*$U$114,0)</f>
        <v/>
      </c>
      <c r="AL114" t="n">
        <v>116.8671963677639</v>
      </c>
      <c r="AM114">
        <f>IF($Q$114,$M$114*$AE$114*$U$114,0)</f>
        <v/>
      </c>
      <c r="AN114" t="n">
        <v>148.0317820658342</v>
      </c>
      <c r="AO114">
        <f>IF($Q$114,$M$114*$AG$114*$U$114,0)</f>
        <v/>
      </c>
      <c r="AP114" t="n">
        <v>129.8524404086265</v>
      </c>
      <c r="AQ114">
        <f>IF($Q$114,$M$114*$AE$114*$Y$114,0)</f>
        <v/>
      </c>
      <c r="AR114" t="n">
        <v>86.35187287173665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0.37002</v>
      </c>
      <c r="BB114" t="inlineStr">
        <is>
          <t>NHANH_QUA;LECH_DOT_1</t>
        </is>
      </c>
      <c r="BC114" t="inlineStr"/>
      <c r="BD114" t="inlineStr">
        <is>
          <t>Assets/MachineBrigade/Resources/Data/balance.json: weapons[id=gun_155_twin_ap] (lớp B trên 01_chien_dau/Vu_khi)</t>
        </is>
      </c>
      <c r="BE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138.3276579644343</v>
      </c>
      <c r="AM115">
        <f>IF($Q$115,$M$115*$AE$115*$U$115,0)</f>
        <v/>
      </c>
      <c r="AN115" t="n">
        <v>115.2730483036953</v>
      </c>
      <c r="AO115">
        <f>IF($Q$115,$M$115*$AG$115*$U$115,0)</f>
        <v/>
      </c>
      <c r="AP115" t="n">
        <v>74.92748139740195</v>
      </c>
      <c r="AQ115">
        <f>IF($Q$115,$M$115*$AE$115*$Y$115,0)</f>
        <v/>
      </c>
      <c r="AR115" t="n">
        <v>184.4368772859125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0.37002</v>
      </c>
      <c r="BB115" t="inlineStr">
        <is>
          <t>NHANH_QUA;LECH_DOT_1</t>
        </is>
      </c>
      <c r="BC115" t="inlineStr"/>
      <c r="BD115" t="inlineStr">
        <is>
          <t>Assets/MachineBrigade/Resources/Data/balance.json: weapons[id=gun_155_twin_coastlr] (lớp B trên 01_chien_dau/Vu_khi)</t>
        </is>
      </c>
      <c r="BE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69.16382898221717</v>
      </c>
      <c r="AM116">
        <f>IF($Q$116,$M$116*$AE$116*$U$116,0)</f>
        <v/>
      </c>
      <c r="AN116" t="n">
        <v>57.63652415184765</v>
      </c>
      <c r="AO116">
        <f>IF($Q$116,$M$116*$AG$116*$U$116,0)</f>
        <v/>
      </c>
      <c r="AP116" t="n">
        <v>37.46374069870097</v>
      </c>
      <c r="AQ116">
        <f>IF($Q$116,$M$116*$AE$116*$Y$116,0)</f>
        <v/>
      </c>
      <c r="AR116" t="n">
        <v>92.21843864295624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inlineStr">
        <is>
          <t>Assets/MachineBrigade/Resources/Data/balance.json: weapons[id=gun_155_twin_coastlr_guided] (lớp B trên 01_chien_dau/Vu_khi)</t>
        </is>
      </c>
      <c r="BE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inlineStr">
        <is>
          <t>Assets/MachineBrigade/Resources/Data/balance.json: weapons[id=gun_155_twin_fort] (lớp B trên 01_chien_dau/Vu_khi)</t>
        </is>
      </c>
      <c r="BE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inlineStr">
        <is>
          <t>Assets/MachineBrigade/Resources/Data/balance.json: weapons[id=gun_155_twin_fort_guided] (lớp B trên 01_chien_dau/Vu_khi)</t>
        </is>
      </c>
      <c r="BE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86.87782805429863</v>
      </c>
      <c r="AM119">
        <f>IF($Q$119,$M$119*$AE$119*$U$119,0)</f>
        <v/>
      </c>
      <c r="AN119" t="n">
        <v>72.39819004524887</v>
      </c>
      <c r="AO119">
        <f>IF($Q$119,$M$119*$AG$119*$U$119,0)</f>
        <v/>
      </c>
      <c r="AP119" t="n">
        <v>47.05882352941177</v>
      </c>
      <c r="AQ119">
        <f>IF($Q$119,$M$119*$AE$119*$Y$119,0)</f>
        <v/>
      </c>
      <c r="AR119" t="n">
        <v>115.8371040723982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0.412533</v>
      </c>
      <c r="BB119" t="inlineStr">
        <is>
          <t>NHANH_QUA</t>
        </is>
      </c>
      <c r="BC119" t="inlineStr"/>
      <c r="BD119" t="inlineStr">
        <is>
          <t>Assets/MachineBrigade/Resources/Data/balance.json: weapons[id=gun_155_twin_long] (lớp B trên 01_chien_dau/Vu_khi)</t>
        </is>
      </c>
      <c r="BE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0.85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34.42622950819672</v>
      </c>
      <c r="AO120">
        <f>IF($Q$120,$M$120*$AG$120*$U$120,0)</f>
        <v/>
      </c>
      <c r="AP120" t="n">
        <v>29.26229508196721</v>
      </c>
      <c r="AQ120">
        <f>IF($Q$120,$M$120*$AE$120*$Y$120,0)</f>
        <v/>
      </c>
      <c r="AR120" t="n">
        <v>55.08196721311475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1</v>
      </c>
      <c r="AW120">
        <f>IF(AND($B$120&lt;0,$AU$120),4,$B$120)</f>
        <v/>
      </c>
      <c r="AX120" t="n">
        <v>4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2.5</v>
      </c>
      <c r="BA120" t="n">
        <v>0.284667</v>
      </c>
      <c r="BB120" t="inlineStr">
        <is>
          <t>NHANH_QUA</t>
        </is>
      </c>
      <c r="BC120" t="inlineStr"/>
      <c r="BD120" t="inlineStr">
        <is>
          <t>Assets/MachineBrigade/Resources/Data/balance.json: weapons[id=gun_203_siege] (lớp B trên 01_chien_dau/Vu_khi)</t>
        </is>
      </c>
      <c r="BE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85.52338530066815</v>
      </c>
      <c r="AM121">
        <f>IF($Q$121,$M$121*$AE$121*$U$121,0)</f>
        <v/>
      </c>
      <c r="AN121" t="n">
        <v>71.26948775055679</v>
      </c>
      <c r="AO121">
        <f>IF($Q$121,$M$121*$AG$121*$U$121,0)</f>
        <v/>
      </c>
      <c r="AP121" t="n">
        <v>46.32516703786192</v>
      </c>
      <c r="AQ121">
        <f>IF($Q$121,$M$121*$AE$121*$Y$121,0)</f>
        <v/>
      </c>
      <c r="AR121" t="n">
        <v>114.0311804008909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0.838133</v>
      </c>
      <c r="BB121" t="inlineStr">
        <is>
          <t>ok</t>
        </is>
      </c>
      <c r="BC121" t="inlineStr"/>
      <c r="BD121" t="inlineStr">
        <is>
          <t>Assets/MachineBrigade/Resources/Data/balance.json: weapons[id=gun_behemoth] (lớp B trên 01_chien_dau/Vu_khi)</t>
        </is>
      </c>
      <c r="BE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43.00111982082866</v>
      </c>
      <c r="AM122">
        <f>IF($Q$122,$M$122*$AE$122*$U$122,0)</f>
        <v/>
      </c>
      <c r="AN122" t="n">
        <v>35.83426651735722</v>
      </c>
      <c r="AO122">
        <f>IF($Q$122,$M$122*$AG$122*$U$122,0)</f>
        <v/>
      </c>
      <c r="AP122" t="n">
        <v>23.2922732362822</v>
      </c>
      <c r="AQ122">
        <f>IF($Q$122,$M$122*$AE$122*$Y$122,0)</f>
        <v/>
      </c>
      <c r="AR122" t="n">
        <v>57.33482642777156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D122" t="inlineStr">
        <is>
          <t>Assets/MachineBrigade/Resources/Data/balance.json: weapons[id=gun_behemoth_guided] (lớp B trên 01_chien_dau/Vu_khi)</t>
        </is>
      </c>
      <c r="BE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1.2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0.85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17.94</v>
      </c>
      <c r="AO123">
        <f>IF($Q$123,$M$123*$AG$123*$U$123,0)</f>
        <v/>
      </c>
      <c r="AP123" t="n">
        <v>12.7075</v>
      </c>
      <c r="AQ123">
        <f>IF($Q$123,$M$123*$AE$123*$Y$123,0)</f>
        <v/>
      </c>
      <c r="AR123" t="n">
        <v>6.210000000000001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2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1.333333</v>
      </c>
      <c r="BB123" t="inlineStr">
        <is>
          <t>ok</t>
        </is>
      </c>
      <c r="BC123" t="inlineStr"/>
      <c r="BD123" t="inlineStr">
        <is>
          <t>Assets/MachineBrigade/Resources/Data/balance.json: weapons[id=gun_launched_atgm] (lớp B trên 01_chien_dau/Vu_khi)</t>
        </is>
      </c>
      <c r="BE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63.44708423326134</v>
      </c>
      <c r="AM124">
        <f>IF($Q$124,$M$124*$AE$124*$U$124,0)</f>
        <v/>
      </c>
      <c r="AN124" t="n">
        <v>74.64362850971922</v>
      </c>
      <c r="AO124">
        <f>IF($Q$124,$M$124*$AG$124*$U$124,0)</f>
        <v/>
      </c>
      <c r="AP124" t="n">
        <v>52.87257019438445</v>
      </c>
      <c r="AQ124">
        <f>IF($Q$124,$M$124*$AE$124*$Y$124,0)</f>
        <v/>
      </c>
      <c r="AR124" t="n">
        <v>43.54211663066955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0.432133</v>
      </c>
      <c r="BB124" t="inlineStr">
        <is>
          <t>NHANH_QUA</t>
        </is>
      </c>
      <c r="BC124" t="inlineStr"/>
      <c r="BD124" t="inlineStr">
        <is>
          <t>Assets/MachineBrigade/Resources/Data/balance.json: weapons[id=gun_pit_105] (lớp B trên 01_chien_dau/Vu_khi)</t>
        </is>
      </c>
      <c r="BE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AND(Vu_khi!$K$125="Kinetic",NOT(Vu_khi!$AG$125))</f>
        <v/>
      </c>
      <c r="AB125" t="b">
        <v>1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228.0808584976291</v>
      </c>
      <c r="AM125">
        <f>IF($Q$125,$M$125*$AE$125*$U$125,0)</f>
        <v/>
      </c>
      <c r="AN125" t="n">
        <v>161.557274769154</v>
      </c>
      <c r="AO125">
        <f>IF($Q$125,$M$125*$AG$125*$U$125,0)</f>
        <v/>
      </c>
      <c r="AP125" t="n">
        <v>76.02695283254305</v>
      </c>
      <c r="AQ125">
        <f>IF($Q$125,$M$125*$AE$125*$Y$125,0)</f>
        <v/>
      </c>
      <c r="AR125" t="n">
        <v>94.24174361533981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1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7.513125</v>
      </c>
      <c r="BB125" t="inlineStr">
        <is>
          <t>ok</t>
        </is>
      </c>
      <c r="BC125" t="inlineStr"/>
      <c r="BD125" t="inlineStr">
        <is>
          <t>Assets/MachineBrigade/Resources/Data/balance.json: weapons[id=gunship_25mm] (lớp B trên 01_chien_dau/Vu_khi)</t>
        </is>
      </c>
      <c r="BE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0.65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0.15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IF($Q$126,$M$126*$AG$126*$U$126,0)</f>
        <v/>
      </c>
      <c r="AP126" t="n">
        <v>0</v>
      </c>
      <c r="AQ126">
        <f>IF($Q$126,$M$126*$AE$126*$Y$126,0)</f>
        <v/>
      </c>
      <c r="AR126" t="n">
        <v>0</v>
      </c>
      <c r="AS126">
        <f>IF($S$126,$M$126*$AI$126*$W$126,0)</f>
        <v/>
      </c>
      <c r="AT126" t="n">
        <v>213.8258048415273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1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D126" t="inlineStr">
        <is>
          <t>Assets/MachineBrigade/Resources/Data/balance.json: weapons[id=gunship_25mm_flak] (lớp B trên 01_chien_dau/Vu_khi)</t>
        </is>
      </c>
      <c r="BE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174.2206795274014</v>
      </c>
      <c r="AM127">
        <f>IF($Q$127,$M$127*$AE$127*$U$127,0)</f>
        <v/>
      </c>
      <c r="AN127" t="n">
        <v>123.4063146652426</v>
      </c>
      <c r="AO127">
        <f>IF($Q$127,$M$127*$AG$127*$U$127,0)</f>
        <v/>
      </c>
      <c r="AP127" t="n">
        <v>58.07355984246713</v>
      </c>
      <c r="AQ127">
        <f>IF($Q$127,$M$127*$AE$127*$Y$127,0)</f>
        <v/>
      </c>
      <c r="AR127" t="n">
        <v>197.4501034643882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0.413269</v>
      </c>
      <c r="BB127" t="inlineStr">
        <is>
          <t>NHANH_QUA</t>
        </is>
      </c>
      <c r="BC127" t="inlineStr"/>
      <c r="BD127" t="inlineStr">
        <is>
          <t>Assets/MachineBrigade/Resources/Data/balance.json: weapons[id=gunship_40mm] (lớp B trên 01_chien_dau/Vu_khi)</t>
        </is>
      </c>
      <c r="BE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0.85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0.4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209.0648154328816</v>
      </c>
      <c r="AM128">
        <f>IF($Q$128,$M$128*$AE$128*$U$128,0)</f>
        <v/>
      </c>
      <c r="AN128" t="n">
        <v>148.0875775982912</v>
      </c>
      <c r="AO128">
        <f>IF($Q$128,$M$128*$AG$128*$U$128,0)</f>
        <v/>
      </c>
      <c r="AP128" t="n">
        <v>69.68827181096054</v>
      </c>
      <c r="AQ128">
        <f>IF($Q$128,$M$128*$AE$128*$Y$128,0)</f>
        <v/>
      </c>
      <c r="AR128" t="n">
        <v>86.38442026566985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inlineStr">
        <is>
          <t>Assets/MachineBrigade/Resources/Data/balance.json: weapons[id=gunship_40mm_ap] (lớp B trên 01_chien_dau/Vu_khi)</t>
        </is>
      </c>
      <c r="BE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IF($Q$129,$M$129*$AG$129*$U$129,0)</f>
        <v/>
      </c>
      <c r="AP129" t="n">
        <v>0</v>
      </c>
      <c r="AQ129">
        <f>IF($Q$129,$M$129*$AE$129*$Y$129,0)</f>
        <v/>
      </c>
      <c r="AR129" t="n">
        <v>0</v>
      </c>
      <c r="AS129">
        <f>IF($S$129,$M$129*$AI$129*$W$129,0)</f>
        <v/>
      </c>
      <c r="AT129" t="n">
        <v>195.9982644683266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D129" t="inlineStr">
        <is>
          <t>Assets/MachineBrigade/Resources/Data/balance.json: weapons[id=gunship_40mm_flak] (lớp B trên 01_chien_dau/Vu_khi)</t>
        </is>
      </c>
      <c r="BE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87.573360551161</v>
      </c>
      <c r="AM130">
        <f>IF($Q$130,$M$130*$AE$130*$U$130,0)</f>
        <v/>
      </c>
      <c r="AN130" t="n">
        <v>62.03113039040571</v>
      </c>
      <c r="AO130">
        <f>IF($Q$130,$M$130*$AG$130*$U$130,0)</f>
        <v/>
      </c>
      <c r="AP130" t="n">
        <v>29.19112018372034</v>
      </c>
      <c r="AQ130">
        <f>IF($Q$130,$M$130*$AE$130*$Y$130,0)</f>
        <v/>
      </c>
      <c r="AR130" t="n">
        <v>99.24980862464915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2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0.457217</v>
      </c>
      <c r="BB130" t="inlineStr">
        <is>
          <t>NHANH_QUA</t>
        </is>
      </c>
      <c r="BC130" t="inlineStr"/>
      <c r="BD130" t="inlineStr">
        <is>
          <t>Assets/MachineBrigade/Resources/Data/balance.json: weapons[id=gunship_105] (lớp B trên 01_chien_dau/Vu_khi)</t>
        </is>
      </c>
      <c r="BE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87.573360551161</v>
      </c>
      <c r="AM131">
        <f>IF($Q$131,$M$131*$AE$131*$U$131,0)</f>
        <v/>
      </c>
      <c r="AN131" t="n">
        <v>62.03113039040571</v>
      </c>
      <c r="AO131">
        <f>IF($Q$131,$M$131*$AG$131*$U$131,0)</f>
        <v/>
      </c>
      <c r="AP131" t="n">
        <v>29.19112018372034</v>
      </c>
      <c r="AQ131">
        <f>IF($Q$131,$M$131*$AE$131*$Y$131,0)</f>
        <v/>
      </c>
      <c r="AR131" t="n">
        <v>99.24980862464915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2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inlineStr">
        <is>
          <t>Assets/MachineBrigade/Resources/Data/balance.json: weapons[id=gunship_105_guided] (lớp B trên 01_chien_dau/Vu_khi)</t>
        </is>
      </c>
      <c r="BE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62.87995087503837</v>
      </c>
      <c r="AM132">
        <f>IF($Q$132,$M$132*$AE$132*$U$132,0)</f>
        <v/>
      </c>
      <c r="AN132" t="n">
        <v>44.53996520315218</v>
      </c>
      <c r="AO132">
        <f>IF($Q$132,$M$132*$AG$132*$U$132,0)</f>
        <v/>
      </c>
      <c r="AP132" t="n">
        <v>20.95998362501279</v>
      </c>
      <c r="AQ132">
        <f>IF($Q$132,$M$132*$AE$132*$Y$132,0)</f>
        <v/>
      </c>
      <c r="AR132" t="n">
        <v>71.2639443250435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1.5</v>
      </c>
      <c r="BB132" t="inlineStr">
        <is>
          <t>ok</t>
        </is>
      </c>
      <c r="BC132" t="b">
        <v>1</v>
      </c>
      <c r="BD132" t="inlineStr">
        <is>
          <t>Assets/MachineBrigade/Resources/Data/balance.json: weapons[id=gunship_rockets] (lớp B trên 01_chien_dau/Vu_khi)</t>
        </is>
      </c>
      <c r="BE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IF($Q$133,$M$133*$AG$133*$U$133,0)</f>
        <v/>
      </c>
      <c r="AP133" t="n">
        <v>0</v>
      </c>
      <c r="AQ133">
        <f>IF($Q$133,$M$133*$AE$133*$Y$133,0)</f>
        <v/>
      </c>
      <c r="AR133" t="n">
        <v>0</v>
      </c>
      <c r="AS133">
        <f>IF($S$133,$M$133*$AI$133*$W$133,0)</f>
        <v/>
      </c>
      <c r="AT133" t="n">
        <v>285.7142857142857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inlineStr"/>
      <c r="BB133" t="inlineStr">
        <is>
          <t>ok</t>
        </is>
      </c>
      <c r="BC133" t="inlineStr"/>
      <c r="BD133" t="inlineStr">
        <is>
          <t>Assets/MachineBrigade/Resources/Data/balance.json: weapons[id=hel_beam] (lớp B trên 01_chien_dau/Vu_khi)</t>
        </is>
      </c>
      <c r="BE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AND(Vu_khi!$K$134="Kinetic",NOT(Vu_khi!$AG$134))</f>
        <v/>
      </c>
      <c r="AB134" t="b">
        <v>1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131.0715763342987</v>
      </c>
      <c r="AM134">
        <f>IF($Q$134,$M$134*$AE$134*$U$134,0)</f>
        <v/>
      </c>
      <c r="AN134" t="n">
        <v>92.84236657012826</v>
      </c>
      <c r="AO134">
        <f>IF($Q$134,$M$134*$AG$134*$U$134,0)</f>
        <v/>
      </c>
      <c r="AP134" t="n">
        <v>43.69052544476624</v>
      </c>
      <c r="AQ134">
        <f>IF($Q$134,$M$134*$AE$134*$Y$134,0)</f>
        <v/>
      </c>
      <c r="AR134" t="n">
        <v>54.15804716590815</v>
      </c>
      <c r="AS134">
        <f>IF($S$134,$M$134*$AI$134*$W$134,0)</f>
        <v/>
      </c>
      <c r="AT134" t="n">
        <v>27.3065784029789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2.517708</v>
      </c>
      <c r="BB134" t="inlineStr">
        <is>
          <t>ok</t>
        </is>
      </c>
      <c r="BC134" t="inlineStr"/>
      <c r="BD134" t="inlineStr">
        <is>
          <t>Assets/MachineBrigade/Resources/Data/balance.json: weapons[id=heli_gun] (lớp B trên 01_chien_dau/Vu_khi)</t>
        </is>
      </c>
      <c r="BE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122.8796028134051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D135" t="inlineStr">
        <is>
          <t>Assets/MachineBrigade/Resources/Data/balance.json: weapons[id=heli_gun_flak] (lớp B trên 01_chien_dau/Vu_khi)</t>
        </is>
      </c>
      <c r="BE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46.53349001175089</v>
      </c>
      <c r="AM136">
        <f>IF($Q$136,$M$136*$AE$136*$U$136,0)</f>
        <v/>
      </c>
      <c r="AN136" t="n">
        <v>32.96122209165688</v>
      </c>
      <c r="AO136">
        <f>IF($Q$136,$M$136*$AG$136*$U$136,0)</f>
        <v/>
      </c>
      <c r="AP136" t="n">
        <v>15.5111633372503</v>
      </c>
      <c r="AQ136">
        <f>IF($Q$136,$M$136*$AE$136*$Y$136,0)</f>
        <v/>
      </c>
      <c r="AR136" t="n">
        <v>52.73795534665101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1.8</v>
      </c>
      <c r="BB136" t="inlineStr">
        <is>
          <t>ok</t>
        </is>
      </c>
      <c r="BC136" t="inlineStr"/>
      <c r="BD136" t="inlineStr">
        <is>
          <t>Assets/MachineBrigade/Resources/Data/balance.json: weapons[id=heli_rockets] (lớp B trên 01_chien_dau/Vu_khi)</t>
        </is>
      </c>
      <c r="BE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1.15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1.15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0.95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97.175</v>
      </c>
      <c r="AO137">
        <f>IF($Q$137,$M$137*$AG$137*$U$137,0)</f>
        <v/>
      </c>
      <c r="AP137" t="n">
        <v>80.27499999999999</v>
      </c>
      <c r="AQ137">
        <f>IF($Q$137,$M$137*$AE$137*$Y$137,0)</f>
        <v/>
      </c>
      <c r="AR137" t="n">
        <v>33.6375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inlineStr"/>
      <c r="BB137" t="inlineStr">
        <is>
          <t>ok</t>
        </is>
      </c>
      <c r="BC137" t="inlineStr"/>
      <c r="BD137" t="inlineStr">
        <is>
          <t>Assets/MachineBrigade/Resources/Data/balance.json: weapons[id=hellfire_standoff] (lớp B trên 01_chien_dau/Vu_khi)</t>
        </is>
      </c>
      <c r="BE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1.2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0.85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73.14697926059513</v>
      </c>
      <c r="AO138">
        <f>IF($Q$138,$M$138*$AG$138*$U$138,0)</f>
        <v/>
      </c>
      <c r="AP138" t="n">
        <v>51.81244364292155</v>
      </c>
      <c r="AQ138">
        <f>IF($Q$138,$M$138*$AE$138*$Y$138,0)</f>
        <v/>
      </c>
      <c r="AR138" t="n">
        <v>25.32010820559062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inlineStr">
        <is>
          <t>Assets/MachineBrigade/Resources/Data/balance.json: weapons[id=hellfire_volley] (lớp B trên 01_chien_dau/Vu_khi)</t>
        </is>
      </c>
      <c r="BE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154.4126984126984</v>
      </c>
      <c r="AM139">
        <f>IF($Q$139,$M$139*$AE$139*$U$139,0)</f>
        <v/>
      </c>
      <c r="AN139" t="n">
        <v>109.3756613756614</v>
      </c>
      <c r="AO139">
        <f>IF($Q$139,$M$139*$AG$139*$U$139,0)</f>
        <v/>
      </c>
      <c r="AP139" t="n">
        <v>51.47089947089947</v>
      </c>
      <c r="AQ139">
        <f>IF($Q$139,$M$139*$AE$139*$Y$139,0)</f>
        <v/>
      </c>
      <c r="AR139" t="n">
        <v>175.0010582010582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1.05</v>
      </c>
      <c r="BB139" t="inlineStr">
        <is>
          <t>ok</t>
        </is>
      </c>
      <c r="BC139" t="inlineStr"/>
      <c r="BD139" t="inlineStr">
        <is>
          <t>Assets/MachineBrigade/Resources/Data/balance.json: weapons[id=hind_rockets] (lớp B trên 01_chien_dau/Vu_khi)</t>
        </is>
      </c>
      <c r="BE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AND(Vu_khi!$K$140="Kinetic",NOT(Vu_khi!$AG$140))</f>
        <v/>
      </c>
      <c r="AB140" t="b">
        <v>1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0.65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0.15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70.76350093109869</v>
      </c>
      <c r="AM140">
        <f>IF($Q$140,$M$140*$AE$140*$U$140,0)</f>
        <v/>
      </c>
      <c r="AN140" t="n">
        <v>45.99627560521415</v>
      </c>
      <c r="AO140">
        <f>IF($Q$140,$M$140*$AG$140*$U$140,0)</f>
        <v/>
      </c>
      <c r="AP140" t="n">
        <v>10.6145251396648</v>
      </c>
      <c r="AQ140">
        <f>IF($Q$140,$M$140*$AE$140*$Y$140,0)</f>
        <v/>
      </c>
      <c r="AR140" t="n">
        <v>26.83116076970825</v>
      </c>
      <c r="AS140">
        <f>IF($S$140,$M$140*$AI$140*$W$140,0)</f>
        <v/>
      </c>
      <c r="AT140" t="n">
        <v>17.69087523277467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0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1.611</v>
      </c>
      <c r="BB140" t="inlineStr">
        <is>
          <t>ok</t>
        </is>
      </c>
      <c r="BC140" t="inlineStr"/>
      <c r="BD140" t="inlineStr">
        <is>
          <t>Assets/MachineBrigade/Resources/Data/balance.json: weapons[id=hmg_roof] (lớp B trên 01_chien_dau/Vu_khi)</t>
        </is>
      </c>
      <c r="BE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84.91620111731844</v>
      </c>
      <c r="AM141">
        <f>IF($Q$141,$M$141*$AE$141*$U$141,0)</f>
        <v/>
      </c>
      <c r="AN141" t="n">
        <v>60.14897579143389</v>
      </c>
      <c r="AO141">
        <f>IF($Q$141,$M$141*$AG$141*$U$141,0)</f>
        <v/>
      </c>
      <c r="AP141" t="n">
        <v>28.30540037243948</v>
      </c>
      <c r="AQ141">
        <f>IF($Q$141,$M$141*$AE$141*$Y$141,0)</f>
        <v/>
      </c>
      <c r="AR141" t="n">
        <v>35.0869025450031</v>
      </c>
      <c r="AS141">
        <f>IF($S$141,$M$141*$AI$141*$W$141,0)</f>
        <v/>
      </c>
      <c r="AT141" t="n">
        <v>17.69087523277467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0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D141" t="inlineStr">
        <is>
          <t>Assets/MachineBrigade/Resources/Data/balance.json: weapons[id=hmg_roof_api] (lớp B trên 01_chien_dau/Vu_khi)</t>
        </is>
      </c>
      <c r="BE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inlineStr">
        <is>
          <t>Assets/MachineBrigade/Resources/Data/balance.json: weapons[id=hmg_selfdef_15] (lớp B trên 01_chien_dau/Vu_khi)</t>
        </is>
      </c>
      <c r="BE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inlineStr">
        <is>
          <t>Assets/MachineBrigade/Resources/Data/balance.json: weapons[id=hmg_selfdef_15_api] (lớp B trên 01_chien_dau/Vu_khi)</t>
        </is>
      </c>
      <c r="BE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inlineStr">
        <is>
          <t>Assets/MachineBrigade/Resources/Data/balance.json: weapons[id=hmg_selfdef_18] (lớp B trên 01_chien_dau/Vu_khi)</t>
        </is>
      </c>
      <c r="BE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inlineStr">
        <is>
          <t>Assets/MachineBrigade/Resources/Data/balance.json: weapons[id=hmg_selfdef_18_api] (lớp B trên 01_chien_dau/Vu_khi)</t>
        </is>
      </c>
      <c r="BE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inlineStr">
        <is>
          <t>Assets/MachineBrigade/Resources/Data/balance.json: weapons[id=hmg_selfdef_21] (lớp B trên 01_chien_dau/Vu_khi)</t>
        </is>
      </c>
      <c r="BE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inlineStr">
        <is>
          <t>Assets/MachineBrigade/Resources/Data/balance.json: weapons[id=hmg_selfdef_21_api] (lớp B trên 01_chien_dau/Vu_khi)</t>
        </is>
      </c>
      <c r="BE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172.7424191936021</v>
      </c>
      <c r="AM148">
        <f>IF($Q$148,$M$148*$AE$148*$U$148,0)</f>
        <v/>
      </c>
      <c r="AN148" t="n">
        <v>122.3592135954682</v>
      </c>
      <c r="AO148">
        <f>IF($Q$148,$M$148*$AG$148*$U$148,0)</f>
        <v/>
      </c>
      <c r="AP148" t="n">
        <v>57.58080639786738</v>
      </c>
      <c r="AQ148">
        <f>IF($Q$148,$M$148*$AE$148*$Y$148,0)</f>
        <v/>
      </c>
      <c r="AR148" t="n">
        <v>71.37620793068977</v>
      </c>
      <c r="AS148">
        <f>IF($S$148,$M$148*$AI$148*$W$148,0)</f>
        <v/>
      </c>
      <c r="AT148" t="n">
        <v>35.98800399866711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1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8.336111000000001</v>
      </c>
      <c r="BB148" t="inlineStr">
        <is>
          <t>ok</t>
        </is>
      </c>
      <c r="BC148" t="b">
        <v>1</v>
      </c>
      <c r="BD148" t="inlineStr">
        <is>
          <t>Assets/MachineBrigade/Resources/Data/balance.json: weapons[id=hover_ciws] (lớp B trên 01_chien_dau/Vu_khi)</t>
        </is>
      </c>
      <c r="BE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IF($Q$149,$M$149*$AG$149*$U$149,0)</f>
        <v/>
      </c>
      <c r="AP149" t="n">
        <v>0</v>
      </c>
      <c r="AQ149">
        <f>IF($Q$149,$M$149*$AE$149*$Y$149,0)</f>
        <v/>
      </c>
      <c r="AR149" t="n">
        <v>0</v>
      </c>
      <c r="AS149">
        <f>IF($S$149,$M$149*$AI$149*$W$149,0)</f>
        <v/>
      </c>
      <c r="AT149" t="n">
        <v>161.946017994002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1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inlineStr">
        <is>
          <t>Assets/MachineBrigade/Resources/Data/balance.json: weapons[id=hover_ciws_flak] (lớp B trên 01_chien_dau/Vu_khi)</t>
        </is>
      </c>
      <c r="BE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26.48148148148148</v>
      </c>
      <c r="AM150">
        <f>IF($Q$150,$M$150*$AE$150*$U$150,0)</f>
        <v/>
      </c>
      <c r="AN150" t="n">
        <v>22.50925925925926</v>
      </c>
      <c r="AO150">
        <f>IF($Q$150,$M$150*$AG$150*$U$150,0)</f>
        <v/>
      </c>
      <c r="AP150" t="n">
        <v>10.59259259259259</v>
      </c>
      <c r="AQ150">
        <f>IF($Q$150,$M$150*$AE$150*$Y$150,0)</f>
        <v/>
      </c>
      <c r="AR150" t="n">
        <v>36.01481481481482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3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</v>
      </c>
      <c r="BB150" t="inlineStr">
        <is>
          <t>ok</t>
        </is>
      </c>
      <c r="BC150" t="b">
        <v>1</v>
      </c>
      <c r="BD150" t="inlineStr">
        <is>
          <t>Assets/MachineBrigade/Resources/Data/balance.json: weapons[id=hover_rockets] (lớp B trên 01_chien_dau/Vu_khi)</t>
        </is>
      </c>
      <c r="BE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0.65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38.4728711537652</v>
      </c>
      <c r="AO151">
        <f>IF($Q$151,$M$151*$AG$151*$U$151,0)</f>
        <v/>
      </c>
      <c r="AP151" t="n">
        <v>25.00736624994738</v>
      </c>
      <c r="AQ151">
        <f>IF($Q$151,$M$151*$AE$151*$Y$151,0)</f>
        <v/>
      </c>
      <c r="AR151" t="n">
        <v>61.55659384602433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0.55433</v>
      </c>
      <c r="BB151" t="inlineStr">
        <is>
          <t>NHANH_QUA</t>
        </is>
      </c>
      <c r="BC151" t="inlineStr"/>
      <c r="BD151" t="inlineStr">
        <is>
          <t>Assets/MachineBrigade/Resources/Data/balance.json: weapons[id=howitzer] (lớp B trên 01_chien_dau/Vu_khi)</t>
        </is>
      </c>
      <c r="BE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1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0.65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53.01009163670108</v>
      </c>
      <c r="AO152">
        <f>IF($Q$152,$M$152*$AG$152*$U$152,0)</f>
        <v/>
      </c>
      <c r="AP152" t="n">
        <v>34.45655956385571</v>
      </c>
      <c r="AQ152">
        <f>IF($Q$152,$M$152*$AE$152*$Y$152,0)</f>
        <v/>
      </c>
      <c r="AR152" t="n">
        <v>84.81614661872175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0.402313</v>
      </c>
      <c r="BB152" t="inlineStr">
        <is>
          <t>NHANH_QUA;LECH_DOT_1</t>
        </is>
      </c>
      <c r="BC152" t="inlineStr"/>
      <c r="BD152" t="inlineStr">
        <is>
          <t>Assets/MachineBrigade/Resources/Data/balance.json: weapons[id=howitzer_ext] (lớp B trên 01_chien_dau/Vu_khi)</t>
        </is>
      </c>
      <c r="BE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48.82629107981221</v>
      </c>
      <c r="AO153">
        <f>IF($Q$153,$M$153*$AG$153*$U$153,0)</f>
        <v/>
      </c>
      <c r="AP153" t="n">
        <v>31.73708920187794</v>
      </c>
      <c r="AQ153">
        <f>IF($Q$153,$M$153*$AE$153*$Y$153,0)</f>
        <v/>
      </c>
      <c r="AR153" t="n">
        <v>78.12206572769954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0.497</v>
      </c>
      <c r="BB153" t="inlineStr">
        <is>
          <t>NHANH_QUA;LECH_DOT_1</t>
        </is>
      </c>
      <c r="BC153" t="inlineStr"/>
      <c r="BD153" t="inlineStr">
        <is>
          <t>Assets/MachineBrigade/Resources/Data/balance.json: weapons[id=howitzer_fixed] (lớp B trên 01_chien_dau/Vu_khi)</t>
        </is>
      </c>
      <c r="BE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48.82629107981221</v>
      </c>
      <c r="AO154">
        <f>IF($Q$154,$M$154*$AG$154*$U$154,0)</f>
        <v/>
      </c>
      <c r="AP154" t="n">
        <v>31.73708920187794</v>
      </c>
      <c r="AQ154">
        <f>IF($Q$154,$M$154*$AE$154*$Y$154,0)</f>
        <v/>
      </c>
      <c r="AR154" t="n">
        <v>78.12206572769954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inlineStr">
        <is>
          <t>Assets/MachineBrigade/Resources/Data/balance.json: weapons[id=howitzer_fixed_guided] (lớp B trên 01_chien_dau/Vu_khi)</t>
        </is>
      </c>
      <c r="BE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38.4728711537652</v>
      </c>
      <c r="AO155">
        <f>IF($Q$155,$M$155*$AG$155*$U$155,0)</f>
        <v/>
      </c>
      <c r="AP155" t="n">
        <v>25.00736624994738</v>
      </c>
      <c r="AQ155">
        <f>IF($Q$155,$M$155*$AE$155*$Y$155,0)</f>
        <v/>
      </c>
      <c r="AR155" t="n">
        <v>61.55659384602433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inlineStr">
        <is>
          <t>Assets/MachineBrigade/Resources/Data/balance.json: weapons[id=howitzer_guided] (lớp B trên 01_chien_dau/Vu_khi)</t>
        </is>
      </c>
      <c r="BE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75.55970149253731</v>
      </c>
      <c r="AM156">
        <f>IF($Q$156,$M$156*$AE$156*$U$156,0)</f>
        <v/>
      </c>
      <c r="AN156" t="n">
        <v>53.52145522388059</v>
      </c>
      <c r="AO156">
        <f>IF($Q$156,$M$156*$AG$156*$U$156,0)</f>
        <v/>
      </c>
      <c r="AP156" t="n">
        <v>25.1865671641791</v>
      </c>
      <c r="AQ156">
        <f>IF($Q$156,$M$156*$AE$156*$Y$156,0)</f>
        <v/>
      </c>
      <c r="AR156" t="n">
        <v>11.89365671641791</v>
      </c>
      <c r="AS156">
        <f>IF($S$156,$M$156*$AI$156*$W$156,0)</f>
        <v/>
      </c>
      <c r="AT156" t="n">
        <v>188.8992537313433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4.466667</v>
      </c>
      <c r="BB156" t="inlineStr">
        <is>
          <t>ok</t>
        </is>
      </c>
      <c r="BC156" t="inlineStr"/>
      <c r="BD156" t="inlineStr">
        <is>
          <t>Assets/MachineBrigade/Resources/Data/balance.json: weapons[id=hq_flak] (lớp B trên 01_chien_dau/Vu_khi)</t>
        </is>
      </c>
      <c r="BE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AND(Vu_khi!$K$157="Kinetic",NOT(Vu_khi!$AG$157))</f>
        <v/>
      </c>
      <c r="AB157" t="b">
        <v>1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201.4925373134328</v>
      </c>
      <c r="AM157">
        <f>IF($Q$157,$M$157*$AE$157*$U$157,0)</f>
        <v/>
      </c>
      <c r="AN157" t="n">
        <v>142.7238805970149</v>
      </c>
      <c r="AO157">
        <f>IF($Q$157,$M$157*$AG$157*$U$157,0)</f>
        <v/>
      </c>
      <c r="AP157" t="n">
        <v>67.1641791044776</v>
      </c>
      <c r="AQ157">
        <f>IF($Q$157,$M$157*$AE$157*$Y$157,0)</f>
        <v/>
      </c>
      <c r="AR157" t="n">
        <v>83.25559701492536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1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inlineStr">
        <is>
          <t>Assets/MachineBrigade/Resources/Data/balance.json: weapons[id=hq_flak_ap] (lớp B trên 01_chien_dau/Vu_khi)</t>
        </is>
      </c>
      <c r="BE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12.48</v>
      </c>
      <c r="AM158">
        <f>IF($Q$158,$M$158*$AE$158*$U$158,0)</f>
        <v/>
      </c>
      <c r="AN158" t="n">
        <v>10.4</v>
      </c>
      <c r="AO158">
        <f>IF($Q$158,$M$158*$AG$158*$U$158,0)</f>
        <v/>
      </c>
      <c r="AP158" t="n">
        <v>6.760000000000001</v>
      </c>
      <c r="AQ158">
        <f>IF($Q$158,$M$158*$AE$158*$Y$158,0)</f>
        <v/>
      </c>
      <c r="AR158" t="n">
        <v>16.64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4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2.5</v>
      </c>
      <c r="BA158" t="inlineStr"/>
      <c r="BB158" t="inlineStr">
        <is>
          <t>ok</t>
        </is>
      </c>
      <c r="BC158" t="b">
        <v>1</v>
      </c>
      <c r="BD158" t="inlineStr">
        <is>
          <t>Assets/MachineBrigade/Resources/Data/balance.json: weapons[id=hydra_club_s] (lớp B trên 01_chien_dau/Vu_khi)</t>
        </is>
      </c>
      <c r="BE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121.3328226733053</v>
      </c>
      <c r="AM159">
        <f>IF($Q$159,$M$159*$AE$159*$U$159,0)</f>
        <v/>
      </c>
      <c r="AN159" t="n">
        <v>85.94408272692456</v>
      </c>
      <c r="AO159">
        <f>IF($Q$159,$M$159*$AG$159*$U$159,0)</f>
        <v/>
      </c>
      <c r="AP159" t="n">
        <v>40.44427422443509</v>
      </c>
      <c r="AQ159">
        <f>IF($Q$159,$M$159*$AE$159*$Y$159,0)</f>
        <v/>
      </c>
      <c r="AR159" t="n">
        <v>50.13404825737266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3.481333</v>
      </c>
      <c r="BB159" t="inlineStr">
        <is>
          <t>ok</t>
        </is>
      </c>
      <c r="BC159" t="inlineStr"/>
      <c r="BD159" t="inlineStr">
        <is>
          <t>Assets/MachineBrigade/Resources/Data/balance.json: weapons[id=ifv_30] (lớp B trên 01_chien_dau/Vu_khi)</t>
        </is>
      </c>
      <c r="BE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113.7495212562237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inlineStr">
        <is>
          <t>Assets/MachineBrigade/Resources/Data/balance.json: weapons[id=ifv_30_flak] (lớp B trên 01_chien_dau/Vu_khi)</t>
        </is>
      </c>
      <c r="BE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IF($Q$161,$M$161*$AG$161*$U$161,0)</f>
        <v/>
      </c>
      <c r="AP161" t="n">
        <v>0</v>
      </c>
      <c r="AQ161">
        <f>IF($Q$161,$M$161*$AE$161*$Y$161,0)</f>
        <v/>
      </c>
      <c r="AR161" t="n">
        <v>0</v>
      </c>
      <c r="AS161">
        <f>IF($S$161,$M$161*$AI$161*$W$161,0)</f>
        <v/>
      </c>
      <c r="AT161" t="n">
        <v>24.30972388955583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2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inlineStr"/>
      <c r="BB161" t="inlineStr">
        <is>
          <t>ok</t>
        </is>
      </c>
      <c r="BC161" t="inlineStr"/>
      <c r="BD161" t="inlineStr">
        <is>
          <t>Assets/MachineBrigade/Resources/Data/balance.json: weapons[id=igla_v] (lớp B trên 01_chien_dau/Vu_khi)</t>
        </is>
      </c>
      <c r="BE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0.85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0.4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0.08</v>
      </c>
      <c r="AI162">
        <f>INDEX(Bang_xuyen_giap!$C$2:$C$8,MIN(7,MAX(1,MAX(1,2-(Vu_khi!$L$162-0))+1)))*IF($AA$162,INDEX(Bang_xuyen_qua!$C$2:$C$5,MIN(4,MAX(1,(Vu_khi!$L$162)-(0)-1))),1)</f>
        <v/>
      </c>
      <c r="AJ162" t="n">
        <v>0.85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0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A162" t="inlineStr"/>
      <c r="BB162" t="inlineStr">
        <is>
          <t>ok</t>
        </is>
      </c>
      <c r="BC162" t="inlineStr"/>
      <c r="BD162" t="inlineStr">
        <is>
          <t>Assets/MachineBrigade/Resources/Data/balance.json: weapons[id=illum_flare] (lớp B trên 01_chien_dau/Vu_khi)</t>
        </is>
      </c>
      <c r="BE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94.25287356321839</v>
      </c>
      <c r="AM163">
        <f>IF($Q$163,$M$163*$AE$163*$U$163,0)</f>
        <v/>
      </c>
      <c r="AN163" t="n">
        <v>78.544061302682</v>
      </c>
      <c r="AO163">
        <f>IF($Q$163,$M$163*$AG$163*$U$163,0)</f>
        <v/>
      </c>
      <c r="AP163" t="n">
        <v>51.0536398467433</v>
      </c>
      <c r="AQ163">
        <f>IF($Q$163,$M$163*$AE$163*$Y$163,0)</f>
        <v/>
      </c>
      <c r="AR163" t="n">
        <v>125.6704980842912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2.5</v>
      </c>
      <c r="BA163" t="n">
        <v>0.2</v>
      </c>
      <c r="BB163" t="inlineStr">
        <is>
          <t>NHANH_QUA</t>
        </is>
      </c>
      <c r="BC163" t="inlineStr"/>
      <c r="BD163" t="inlineStr">
        <is>
          <t>Assets/MachineBrigade/Resources/Data/balance.json: weapons[id=jassm] (lớp B trên 01_chien_dau/Vu_khi)</t>
        </is>
      </c>
      <c r="BE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0.95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69.22330097087378</v>
      </c>
      <c r="AM164">
        <f>IF($Q$164,$M$164*$AE$164*$U$164,0)</f>
        <v/>
      </c>
      <c r="AN164" t="n">
        <v>57.18446601941747</v>
      </c>
      <c r="AO164">
        <f>IF($Q$164,$M$164*$AG$164*$U$164,0)</f>
        <v/>
      </c>
      <c r="AP164" t="n">
        <v>30.09708737864078</v>
      </c>
      <c r="AQ164">
        <f>IF($Q$164,$M$164*$AE$164*$Y$164,0)</f>
        <v/>
      </c>
      <c r="AR164" t="n">
        <v>91.49514563106796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3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2.5</v>
      </c>
      <c r="BB164" t="inlineStr">
        <is>
          <t>ok</t>
        </is>
      </c>
      <c r="BC164" t="inlineStr"/>
      <c r="BD164" t="inlineStr">
        <is>
          <t>Assets/MachineBrigade/Resources/Data/balance.json: weapons[id=jet_bombs] (lớp B trên 01_chien_dau/Vu_khi)</t>
        </is>
      </c>
      <c r="BE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AND(Vu_khi!$K$165="Kinetic",NOT(Vu_khi!$AG$165))</f>
        <v/>
      </c>
      <c r="AB165" t="b">
        <v>1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447.3948282516403</v>
      </c>
      <c r="AM165">
        <f>IF($Q$165,$M$165*$AE$165*$U$165,0)</f>
        <v/>
      </c>
      <c r="AN165" t="n">
        <v>316.9046700115785</v>
      </c>
      <c r="AO165">
        <f>IF($Q$165,$M$165*$AG$165*$U$165,0)</f>
        <v/>
      </c>
      <c r="AP165" t="n">
        <v>149.1316094172134</v>
      </c>
      <c r="AQ165">
        <f>IF($Q$165,$M$165*$AE$165*$Y$165,0)</f>
        <v/>
      </c>
      <c r="AR165" t="n">
        <v>184.8610575067541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n">
        <v>3.701429</v>
      </c>
      <c r="BB165" t="inlineStr">
        <is>
          <t>ok</t>
        </is>
      </c>
      <c r="BC165" t="inlineStr"/>
      <c r="BD165" t="inlineStr">
        <is>
          <t>Assets/MachineBrigade/Resources/Data/balance.json: weapons[id=jet_cannon] (lớp B trên 01_chien_dau/Vu_khi)</t>
        </is>
      </c>
      <c r="BE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419.4326514859128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1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D166" t="inlineStr">
        <is>
          <t>Assets/MachineBrigade/Resources/Data/balance.json: weapons[id=jet_cannon_flak] (lớp B trên 01_chien_dau/Vu_khi)</t>
        </is>
      </c>
      <c r="BE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1.2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0.85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0.4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83.16831683168316</v>
      </c>
      <c r="AM167">
        <f>IF($Q$167,$M$167*$AE$167*$U$167,0)</f>
        <v/>
      </c>
      <c r="AN167" t="n">
        <v>58.91089108910891</v>
      </c>
      <c r="AO167">
        <f>IF($Q$167,$M$167*$AG$167*$U$167,0)</f>
        <v/>
      </c>
      <c r="AP167" t="n">
        <v>27.72277227722772</v>
      </c>
      <c r="AQ167">
        <f>IF($Q$167,$M$167*$AE$167*$Y$167,0)</f>
        <v/>
      </c>
      <c r="AR167" t="n">
        <v>94.25742574257426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2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1.2</v>
      </c>
      <c r="BB167" t="inlineStr">
        <is>
          <t>ok</t>
        </is>
      </c>
      <c r="BC167" t="inlineStr"/>
      <c r="BD167" t="inlineStr">
        <is>
          <t>Assets/MachineBrigade/Resources/Data/balance.json: weapons[id=jet_rockets] (lớp B trên 01_chien_dau/Vu_khi)</t>
        </is>
      </c>
      <c r="BE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1.2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0.85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75.02290076335878</v>
      </c>
      <c r="AO168">
        <f>IF($Q$168,$M$168*$AG$168*$U$168,0)</f>
        <v/>
      </c>
      <c r="AP168" t="n">
        <v>53.1412213740458</v>
      </c>
      <c r="AQ168">
        <f>IF($Q$168,$M$168*$AE$168*$Y$168,0)</f>
        <v/>
      </c>
      <c r="AR168" t="n">
        <v>25.96946564885496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2.5</v>
      </c>
      <c r="BA168" t="inlineStr"/>
      <c r="BB168" t="inlineStr">
        <is>
          <t>ok</t>
        </is>
      </c>
      <c r="BC168" t="inlineStr"/>
      <c r="BD168" t="inlineStr">
        <is>
          <t>Assets/MachineBrigade/Resources/Data/balance.json: weapons[id=kh29] (lớp B trên 01_chien_dau/Vu_khi)</t>
        </is>
      </c>
      <c r="BE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1.2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0.85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129.2972972972973</v>
      </c>
      <c r="AO169">
        <f>IF($Q$169,$M$169*$AG$169*$U$169,0)</f>
        <v/>
      </c>
      <c r="AP169" t="n">
        <v>91.58558558558558</v>
      </c>
      <c r="AQ169">
        <f>IF($Q$169,$M$169*$AE$169*$Y$169,0)</f>
        <v/>
      </c>
      <c r="AR169" t="n">
        <v>44.75675675675676</v>
      </c>
      <c r="AS169">
        <f>IF($S$169,$M$169*$AI$169*$W$169,0)</f>
        <v/>
      </c>
      <c r="AT169" t="n">
        <v>16.57657657657658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2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0.2775</v>
      </c>
      <c r="BB169" t="inlineStr">
        <is>
          <t>NHANH_QUA</t>
        </is>
      </c>
      <c r="BC169" t="inlineStr"/>
      <c r="BD169" t="inlineStr">
        <is>
          <t>Assets/MachineBrigade/Resources/Data/balance.json: weapons[id=kornet_multi] (lớp B trên 01_chien_dau/Vu_khi)</t>
        </is>
      </c>
      <c r="BE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1.15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0.95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132.25</v>
      </c>
      <c r="AO170">
        <f>IF($Q$170,$M$170*$AG$170*$U$170,0)</f>
        <v/>
      </c>
      <c r="AP170" t="n">
        <v>109.25</v>
      </c>
      <c r="AQ170">
        <f>IF($Q$170,$M$170*$AE$170*$Y$170,0)</f>
        <v/>
      </c>
      <c r="AR170" t="n">
        <v>45.77884615384615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0.26</v>
      </c>
      <c r="BB170" t="inlineStr">
        <is>
          <t>NHANH_QUA</t>
        </is>
      </c>
      <c r="BC170" t="inlineStr"/>
      <c r="BD170" t="inlineStr">
        <is>
          <t>Assets/MachineBrigade/Resources/Data/balance.json: weapons[id=kornet_top] (lớp B trên 01_chien_dau/Vu_khi)</t>
        </is>
      </c>
      <c r="BE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64.59045904590459</v>
      </c>
      <c r="AO171">
        <f>IF($Q$171,$M$171*$AG$171*$U$171,0)</f>
        <v/>
      </c>
      <c r="AP171" t="n">
        <v>45.75157515751575</v>
      </c>
      <c r="AQ171">
        <f>IF($Q$171,$M$171*$AE$171*$Y$171,0)</f>
        <v/>
      </c>
      <c r="AR171" t="n">
        <v>22.35823582358236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2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0.5555</v>
      </c>
      <c r="BB171" t="inlineStr">
        <is>
          <t>NHANH_QUA</t>
        </is>
      </c>
      <c r="BC171" t="inlineStr"/>
      <c r="BD171" t="inlineStr">
        <is>
          <t>Assets/MachineBrigade/Resources/Data/balance.json: weapons[id=kornet_twin] (lớp B trên 01_chien_dau/Vu_khi)</t>
        </is>
      </c>
      <c r="BE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1.15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1.15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0.95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30.61224489795918</v>
      </c>
      <c r="AO172">
        <f>IF($Q$172,$M$172*$AG$172*$U$172,0)</f>
        <v/>
      </c>
      <c r="AP172" t="n">
        <v>25.28837622005323</v>
      </c>
      <c r="AQ172">
        <f>IF($Q$172,$M$172*$AE$172*$Y$172,0)</f>
        <v/>
      </c>
      <c r="AR172" t="n">
        <v>10.59654631083202</v>
      </c>
      <c r="AS172">
        <f>IF($S$172,$M$172*$AI$172*$W$172,0)</f>
        <v/>
      </c>
      <c r="AT172" t="n">
        <v>0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inlineStr"/>
      <c r="BB172" t="inlineStr">
        <is>
          <t>ok</t>
        </is>
      </c>
      <c r="BC172" t="inlineStr"/>
      <c r="BD172" t="inlineStr">
        <is>
          <t>Assets/MachineBrigade/Resources/Data/balance.json: weapons[id=lancet] (lớp B trên 01_chien_dau/Vu_khi)</t>
        </is>
      </c>
      <c r="BE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99.66666666666667</v>
      </c>
      <c r="AO173">
        <f>IF($Q$173,$M$173*$AG$173*$U$173,0)</f>
        <v/>
      </c>
      <c r="AP173" t="n">
        <v>82.33333333333333</v>
      </c>
      <c r="AQ173">
        <f>IF($Q$173,$M$173*$AE$173*$Y$173,0)</f>
        <v/>
      </c>
      <c r="AR173" t="n">
        <v>34.5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inlineStr"/>
      <c r="BB173" t="inlineStr">
        <is>
          <t>ok</t>
        </is>
      </c>
      <c r="BC173" t="inlineStr"/>
      <c r="BD173" t="inlineStr">
        <is>
          <t>Assets/MachineBrigade/Resources/Data/balance.json: weapons[id=lancet_hangar] (lớp B trên 01_chien_dau/Vu_khi)</t>
        </is>
      </c>
      <c r="BE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IF($Q$174,$M$174*$AG$174*$U$174,0)</f>
        <v/>
      </c>
      <c r="AP174" t="n">
        <v>0</v>
      </c>
      <c r="AQ174">
        <f>IF($Q$174,$M$174*$AE$174*$Y$174,0)</f>
        <v/>
      </c>
      <c r="AR174" t="n">
        <v>0</v>
      </c>
      <c r="AS174">
        <f>IF($S$174,$M$174*$AI$174*$W$174,0)</f>
        <v/>
      </c>
      <c r="AT174" t="n">
        <v>134.9325337331335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1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inlineStr"/>
      <c r="BB174" t="inlineStr">
        <is>
          <t>ok</t>
        </is>
      </c>
      <c r="BC174" t="inlineStr"/>
      <c r="BD174" t="inlineStr">
        <is>
          <t>Assets/MachineBrigade/Resources/Data/balance.json: weapons[id=laser_50kw] (lớp B trên 01_chien_dau/Vu_khi)</t>
        </is>
      </c>
      <c r="BE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81.42857142857143</v>
      </c>
      <c r="AO175">
        <f>IF($Q$175,$M$175*$AG$175*$U$175,0)</f>
        <v/>
      </c>
      <c r="AP175" t="n">
        <v>57.67857142857143</v>
      </c>
      <c r="AQ175">
        <f>IF($Q$175,$M$175*$AE$175*$Y$175,0)</f>
        <v/>
      </c>
      <c r="AR175" t="n">
        <v>130.2857142857143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5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3.5</v>
      </c>
      <c r="BA175" t="n">
        <v>0.98</v>
      </c>
      <c r="BB175" t="inlineStr">
        <is>
          <t>LOI_DON_VI</t>
        </is>
      </c>
      <c r="BC175" t="inlineStr"/>
      <c r="BD175" t="inlineStr">
        <is>
          <t>Assets/MachineBrigade/Resources/Data/balance.json: weapons[id=leviathan_460] (lớp B trên 01_chien_dau/Vu_khi)</t>
        </is>
      </c>
      <c r="BE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1.2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0.85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81.42857142857143</v>
      </c>
      <c r="AO176">
        <f>IF($Q$176,$M$176*$AG$176*$U$176,0)</f>
        <v/>
      </c>
      <c r="AP176" t="n">
        <v>57.67857142857143</v>
      </c>
      <c r="AQ176">
        <f>IF($Q$176,$M$176*$AE$176*$Y$176,0)</f>
        <v/>
      </c>
      <c r="AR176" t="n">
        <v>130.2857142857143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5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3.5</v>
      </c>
      <c r="BD176" t="inlineStr">
        <is>
          <t>Assets/MachineBrigade/Resources/Data/balance.json: weapons[id=leviathan_460_guided] (lớp B trên 01_chien_dau/Vu_khi)</t>
        </is>
      </c>
      <c r="BE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0.65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12.48</v>
      </c>
      <c r="AM177">
        <f>IF($Q$177,$M$177*$AE$177*$U$177,0)</f>
        <v/>
      </c>
      <c r="AN177" t="n">
        <v>10.4</v>
      </c>
      <c r="AO177">
        <f>IF($Q$177,$M$177*$AG$177*$U$177,0)</f>
        <v/>
      </c>
      <c r="AP177" t="n">
        <v>6.760000000000001</v>
      </c>
      <c r="AQ177">
        <f>IF($Q$177,$M$177*$AE$177*$Y$177,0)</f>
        <v/>
      </c>
      <c r="AR177" t="n">
        <v>16.64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4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2.722222222222222</v>
      </c>
      <c r="BA177" t="inlineStr"/>
      <c r="BB177" t="inlineStr">
        <is>
          <t>ok</t>
        </is>
      </c>
      <c r="BC177" t="b">
        <v>1</v>
      </c>
      <c r="BD177" t="inlineStr">
        <is>
          <t>Assets/MachineBrigade/Resources/Data/balance.json: weapons[id=leviathan_cruise] (lớp B trên 01_chien_dau/Vu_khi)</t>
        </is>
      </c>
      <c r="BE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239.2</v>
      </c>
      <c r="AO178">
        <f>IF($Q$178,$M$178*$AG$178*$U$178,0)</f>
        <v/>
      </c>
      <c r="AP178" t="n">
        <v>197.6</v>
      </c>
      <c r="AQ178">
        <f>IF($Q$178,$M$178*$AE$178*$Y$178,0)</f>
        <v/>
      </c>
      <c r="AR178" t="n">
        <v>82.8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LECH_DOT_1</t>
        </is>
      </c>
      <c r="BC178" t="b">
        <v>1</v>
      </c>
      <c r="BD178" t="inlineStr">
        <is>
          <t>Assets/MachineBrigade/Resources/Data/balance.json: weapons[id=locust_drones] (lớp B trên 01_chien_dau/Vu_khi)</t>
        </is>
      </c>
      <c r="BE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68.4732824427481</v>
      </c>
      <c r="AO179">
        <f>IF($Q$179,$M$179*$AG$179*$U$179,0)</f>
        <v/>
      </c>
      <c r="AP179" t="n">
        <v>48.50190839694656</v>
      </c>
      <c r="AQ179">
        <f>IF($Q$179,$M$179*$AE$179*$Y$179,0)</f>
        <v/>
      </c>
      <c r="AR179" t="n">
        <v>23.70229007633588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inlineStr">
        <is>
          <t>Assets/MachineBrigade/Resources/Data/balance.json: weapons[id=maverick] (lớp B trên 01_chien_dau/Vu_khi)</t>
        </is>
      </c>
      <c r="BE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AND(Vu_khi!$K$180="Kinetic",NOT(Vu_khi!$AG$180))</f>
        <v/>
      </c>
      <c r="AB180" t="b">
        <v>1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0.85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0.4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0.08</v>
      </c>
      <c r="AI180">
        <f>INDEX(Bang_xuyen_giap!$C$2:$C$8,MIN(7,MAX(1,MAX(1,2-(Vu_khi!$L$180-0))+1)))*IF($AA$180,INDEX(Bang_xuyen_qua!$C$2:$C$5,MIN(4,MAX(1,(Vu_khi!$L$180)-(0)-1))),1)</f>
        <v/>
      </c>
      <c r="AJ180" t="n">
        <v>0.85</v>
      </c>
      <c r="AK180">
        <f>IF($Q$180,$M$180*$AC$180*$U$180,0)</f>
        <v/>
      </c>
      <c r="AL180" t="n">
        <v>45.49878345498783</v>
      </c>
      <c r="AM180">
        <f>IF($Q$180,$M$180*$AE$180*$U$180,0)</f>
        <v/>
      </c>
      <c r="AN180" t="n">
        <v>21.41119221411192</v>
      </c>
      <c r="AO180">
        <f>IF($Q$180,$M$180*$AG$180*$U$180,0)</f>
        <v/>
      </c>
      <c r="AP180" t="n">
        <v>4.282238442822384</v>
      </c>
      <c r="AQ180">
        <f>IF($Q$180,$M$180*$AE$180*$Y$180,0)</f>
        <v/>
      </c>
      <c r="AR180" t="n">
        <v>12.48986212489862</v>
      </c>
      <c r="AS180">
        <f>IF($S$180,$M$180*$AI$180*$W$180,0)</f>
        <v/>
      </c>
      <c r="AT180" t="n">
        <v>11.37469586374696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0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1.644</v>
      </c>
      <c r="BB180" t="inlineStr">
        <is>
          <t>ok</t>
        </is>
      </c>
      <c r="BC180" t="inlineStr"/>
      <c r="BD180" t="inlineStr">
        <is>
          <t>Assets/MachineBrigade/Resources/Data/balance.json: weapons[id=mg_coax] (lớp B trên 01_chien_dau/Vu_khi)</t>
        </is>
      </c>
      <c r="BE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AND(Vu_khi!$K$181="Kinetic",NOT(Vu_khi!$AG$181))</f>
        <v/>
      </c>
      <c r="AB181" t="b">
        <v>1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0.85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0.4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0.08</v>
      </c>
      <c r="AI181">
        <f>INDEX(Bang_xuyen_giap!$C$2:$C$8,MIN(7,MAX(1,MAX(1,2-(Vu_khi!$L$181-0))+1)))*IF($AA$181,INDEX(Bang_xuyen_qua!$C$2:$C$5,MIN(4,MAX(1,(Vu_khi!$L$181)-(0)-1))),1)</f>
        <v/>
      </c>
      <c r="AJ181" t="n">
        <v>0.85</v>
      </c>
      <c r="AK181">
        <f>IF($Q$181,$M$181*$AC$181*$U$181,0)</f>
        <v/>
      </c>
      <c r="AL181" t="n">
        <v>45.49878345498783</v>
      </c>
      <c r="AM181">
        <f>IF($Q$181,$M$181*$AE$181*$U$181,0)</f>
        <v/>
      </c>
      <c r="AN181" t="n">
        <v>21.41119221411192</v>
      </c>
      <c r="AO181">
        <f>IF($Q$181,$M$181*$AG$181*$U$181,0)</f>
        <v/>
      </c>
      <c r="AP181" t="n">
        <v>4.282238442822384</v>
      </c>
      <c r="AQ181">
        <f>IF($Q$181,$M$181*$AE$181*$Y$181,0)</f>
        <v/>
      </c>
      <c r="AR181" t="n">
        <v>12.48986212489862</v>
      </c>
      <c r="AS181">
        <f>IF($S$181,$M$181*$AI$181*$W$181,0)</f>
        <v/>
      </c>
      <c r="AT181" t="n">
        <v>11.37469586374696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0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n">
        <v>1.644</v>
      </c>
      <c r="BB181" t="inlineStr">
        <is>
          <t>ok</t>
        </is>
      </c>
      <c r="BC181" t="inlineStr"/>
      <c r="BD181" t="inlineStr">
        <is>
          <t>Assets/MachineBrigade/Resources/Data/balance.json: weapons[id=mg_coax_long] (lớp B trên 01_chien_dau/Vu_khi)</t>
        </is>
      </c>
      <c r="BE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AND(Vu_khi!$K$182="Kinetic",NOT(Vu_khi!$AG$182))</f>
        <v/>
      </c>
      <c r="AB182" t="b">
        <v>1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0.65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0.15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70.76350093109869</v>
      </c>
      <c r="AM182">
        <f>IF($Q$182,$M$182*$AE$182*$U$182,0)</f>
        <v/>
      </c>
      <c r="AN182" t="n">
        <v>45.99627560521415</v>
      </c>
      <c r="AO182">
        <f>IF($Q$182,$M$182*$AG$182*$U$182,0)</f>
        <v/>
      </c>
      <c r="AP182" t="n">
        <v>10.6145251396648</v>
      </c>
      <c r="AQ182">
        <f>IF($Q$182,$M$182*$AE$182*$Y$182,0)</f>
        <v/>
      </c>
      <c r="AR182" t="n">
        <v>26.83116076970825</v>
      </c>
      <c r="AS182">
        <f>IF($S$182,$M$182*$AI$182*$W$182,0)</f>
        <v/>
      </c>
      <c r="AT182" t="n">
        <v>17.69087523277467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0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n">
        <v>1.611</v>
      </c>
      <c r="BB182" t="inlineStr">
        <is>
          <t>ok</t>
        </is>
      </c>
      <c r="BC182" t="inlineStr"/>
      <c r="BD182" t="inlineStr">
        <is>
          <t>Assets/MachineBrigade/Resources/Data/balance.json: weapons[id=mg_jeep] (lớp B trên 01_chien_dau/Vu_khi)</t>
        </is>
      </c>
      <c r="BE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84.91620111731844</v>
      </c>
      <c r="AM183">
        <f>IF($Q$183,$M$183*$AE$183*$U$183,0)</f>
        <v/>
      </c>
      <c r="AN183" t="n">
        <v>60.14897579143389</v>
      </c>
      <c r="AO183">
        <f>IF($Q$183,$M$183*$AG$183*$U$183,0)</f>
        <v/>
      </c>
      <c r="AP183" t="n">
        <v>28.30540037243948</v>
      </c>
      <c r="AQ183">
        <f>IF($Q$183,$M$183*$AE$183*$Y$183,0)</f>
        <v/>
      </c>
      <c r="AR183" t="n">
        <v>35.0869025450031</v>
      </c>
      <c r="AS183">
        <f>IF($S$183,$M$183*$AI$183*$W$183,0)</f>
        <v/>
      </c>
      <c r="AT183" t="n">
        <v>17.69087523277467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D183" t="inlineStr">
        <is>
          <t>Assets/MachineBrigade/Resources/Data/balance.json: weapons[id=mg_jeep_api] (lớp B trên 01_chien_dau/Vu_khi)</t>
        </is>
      </c>
      <c r="BE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0.65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0.15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70.76350093109869</v>
      </c>
      <c r="AM184">
        <f>IF($Q$184,$M$184*$AE$184*$U$184,0)</f>
        <v/>
      </c>
      <c r="AN184" t="n">
        <v>45.99627560521415</v>
      </c>
      <c r="AO184">
        <f>IF($Q$184,$M$184*$AG$184*$U$184,0)</f>
        <v/>
      </c>
      <c r="AP184" t="n">
        <v>10.6145251396648</v>
      </c>
      <c r="AQ184">
        <f>IF($Q$184,$M$184*$AE$184*$Y$184,0)</f>
        <v/>
      </c>
      <c r="AR184" t="n">
        <v>26.83116076970825</v>
      </c>
      <c r="AS184">
        <f>IF($S$184,$M$184*$AI$184*$W$184,0)</f>
        <v/>
      </c>
      <c r="AT184" t="n">
        <v>17.69087523277467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1.611</v>
      </c>
      <c r="BB184" t="inlineStr">
        <is>
          <t>ok</t>
        </is>
      </c>
      <c r="BC184" t="inlineStr"/>
      <c r="BD184" t="inlineStr">
        <is>
          <t>Assets/MachineBrigade/Resources/Data/balance.json: weapons[id=mg_jeep_selfdef] (lớp B trên 01_chien_dau/Vu_khi)</t>
        </is>
      </c>
      <c r="BE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0.85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0.4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84.91620111731844</v>
      </c>
      <c r="AM185">
        <f>IF($Q$185,$M$185*$AE$185*$U$185,0)</f>
        <v/>
      </c>
      <c r="AN185" t="n">
        <v>60.14897579143389</v>
      </c>
      <c r="AO185">
        <f>IF($Q$185,$M$185*$AG$185*$U$185,0)</f>
        <v/>
      </c>
      <c r="AP185" t="n">
        <v>28.30540037243948</v>
      </c>
      <c r="AQ185">
        <f>IF($Q$185,$M$185*$AE$185*$Y$185,0)</f>
        <v/>
      </c>
      <c r="AR185" t="n">
        <v>35.0869025450031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D185" t="inlineStr">
        <is>
          <t>Assets/MachineBrigade/Resources/Data/balance.json: weapons[id=mg_jeep_selfdef_api] (lớp B trên 01_chien_dau/Vu_khi)</t>
        </is>
      </c>
      <c r="BE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140.25</v>
      </c>
      <c r="AM186">
        <f>IF($Q$186,$M$186*$AE$186*$U$186,0)</f>
        <v/>
      </c>
      <c r="AN186" t="n">
        <v>66</v>
      </c>
      <c r="AO186">
        <f>IF($Q$186,$M$186*$AG$186*$U$186,0)</f>
        <v/>
      </c>
      <c r="AP186" t="n">
        <v>13.2</v>
      </c>
      <c r="AQ186">
        <f>IF($Q$186,$M$186*$AE$186*$Y$186,0)</f>
        <v/>
      </c>
      <c r="AR186" t="n">
        <v>38.49999999999999</v>
      </c>
      <c r="AS186">
        <f>IF($S$186,$M$186*$AI$186*$W$186,0)</f>
        <v/>
      </c>
      <c r="AT186" t="n">
        <v>35.0625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4</v>
      </c>
      <c r="BB186" t="inlineStr">
        <is>
          <t>ok</t>
        </is>
      </c>
      <c r="BC186" t="inlineStr"/>
      <c r="BD186" t="inlineStr">
        <is>
          <t>Assets/MachineBrigade/Resources/Data/balance.json: weapons[id=minigun] (lớp B trên 01_chien_dau/Vu_khi)</t>
        </is>
      </c>
      <c r="BE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1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0.65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66.71159029649597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2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2.968</v>
      </c>
      <c r="BB187" t="inlineStr">
        <is>
          <t>ok</t>
        </is>
      </c>
      <c r="BC187" t="inlineStr"/>
      <c r="BD187" t="inlineStr">
        <is>
          <t>Assets/MachineBrigade/Resources/Data/balance.json: weapons[id=missile_57e6] (lớp B trên 01_chien_dau/Vu_khi)</t>
        </is>
      </c>
      <c r="BE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1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0.65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38.69493649116772</v>
      </c>
      <c r="AO188">
        <f>IF($Q$188,$M$188*$AG$188*$U$188,0)</f>
        <v/>
      </c>
      <c r="AP188" t="n">
        <v>25.15170871925902</v>
      </c>
      <c r="AQ188">
        <f>IF($Q$188,$M$188*$AE$188*$Y$188,0)</f>
        <v/>
      </c>
      <c r="AR188" t="n">
        <v>61.91189838586836</v>
      </c>
      <c r="AS188">
        <f>IF($S$188,$M$188*$AI$188*$W$188,0)</f>
        <v/>
      </c>
      <c r="AT188" t="n">
        <v>0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1</v>
      </c>
      <c r="AW188">
        <f>IF(AND($B$188&lt;0,$AU$188),4,$B$188)</f>
        <v/>
      </c>
      <c r="AX188" t="n">
        <v>4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2.5</v>
      </c>
      <c r="BA188" t="n">
        <v>0.028</v>
      </c>
      <c r="BB188" t="inlineStr">
        <is>
          <t>NHANH_QUA</t>
        </is>
      </c>
      <c r="BC188" t="inlineStr"/>
      <c r="BD188" t="inlineStr">
        <is>
          <t>Assets/MachineBrigade/Resources/Data/balance.json: weapons[id=mlrs_elite] (lớp B trên 01_chien_dau/Vu_khi)</t>
        </is>
      </c>
      <c r="BE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1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0.65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33.27454829800686</v>
      </c>
      <c r="AO189">
        <f>IF($Q$189,$M$189*$AG$189*$U$189,0)</f>
        <v/>
      </c>
      <c r="AP189" t="n">
        <v>21.62845639370446</v>
      </c>
      <c r="AQ189">
        <f>IF($Q$189,$M$189*$AE$189*$Y$189,0)</f>
        <v/>
      </c>
      <c r="AR189" t="n">
        <v>53.23927727681097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1</v>
      </c>
      <c r="AW189">
        <f>IF(AND($B$189&lt;0,$AU$189),4,$B$189)</f>
        <v/>
      </c>
      <c r="AX189" t="n">
        <v>4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2.5</v>
      </c>
      <c r="BA189" t="n">
        <v>0.06</v>
      </c>
      <c r="BB189" t="inlineStr">
        <is>
          <t>NHANH_QUA</t>
        </is>
      </c>
      <c r="BC189" t="inlineStr"/>
      <c r="BD189" t="inlineStr">
        <is>
          <t>Assets/MachineBrigade/Resources/Data/balance.json: weapons[id=mlrs_rockets] (lớp B trên 01_chien_dau/Vu_khi)</t>
        </is>
      </c>
      <c r="BE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0.85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0.4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23.44434706397897</v>
      </c>
      <c r="AM190">
        <f>IF($Q$190,$M$190*$AE$190*$U$190,0)</f>
        <v/>
      </c>
      <c r="AN190" t="n">
        <v>19.92769500438212</v>
      </c>
      <c r="AO190">
        <f>IF($Q$190,$M$190*$AG$190*$U$190,0)</f>
        <v/>
      </c>
      <c r="AP190" t="n">
        <v>9.377738825591589</v>
      </c>
      <c r="AQ190">
        <f>IF($Q$190,$M$190*$AE$190*$Y$190,0)</f>
        <v/>
      </c>
      <c r="AR190" t="n">
        <v>31.8843120070114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3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1.5974</v>
      </c>
      <c r="BB190" t="inlineStr">
        <is>
          <t>LECH_DOT_1</t>
        </is>
      </c>
      <c r="BC190" t="inlineStr"/>
      <c r="BD190" t="inlineStr">
        <is>
          <t>Assets/MachineBrigade/Resources/Data/balance.json: weapons[id=mortar_120] (lớp B trên 01_chien_dau/Vu_khi)</t>
        </is>
      </c>
      <c r="BE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0.85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26.31578947368421</v>
      </c>
      <c r="AO191">
        <f>IF($Q$191,$M$191*$AG$191*$U$191,0)</f>
        <v/>
      </c>
      <c r="AP191" t="n">
        <v>22.36842105263158</v>
      </c>
      <c r="AQ191">
        <f>IF($Q$191,$M$191*$AE$191*$Y$191,0)</f>
        <v/>
      </c>
      <c r="AR191" t="n">
        <v>42.10526315789474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1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2.5</v>
      </c>
      <c r="BA191" t="n">
        <v>0.1995</v>
      </c>
      <c r="BB191" t="inlineStr">
        <is>
          <t>NHANH_QUA</t>
        </is>
      </c>
      <c r="BC191" t="inlineStr"/>
      <c r="BD191" t="inlineStr">
        <is>
          <t>Assets/MachineBrigade/Resources/Data/balance.json: weapons[id=mortar_240] (lớp B trên 01_chien_dau/Vu_khi)</t>
        </is>
      </c>
      <c r="BE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70.14613778705636</v>
      </c>
      <c r="AM192">
        <f>IF($Q$192,$M$192*$AE$192*$U$192,0)</f>
        <v/>
      </c>
      <c r="AN192" t="n">
        <v>49.68684759916493</v>
      </c>
      <c r="AO192">
        <f>IF($Q$192,$M$192*$AG$192*$U$192,0)</f>
        <v/>
      </c>
      <c r="AP192" t="n">
        <v>23.38204592901879</v>
      </c>
      <c r="AQ192">
        <f>IF($Q$192,$M$192*$AE$192*$Y$192,0)</f>
        <v/>
      </c>
      <c r="AR192" t="n">
        <v>79.49895615866389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2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2.395</v>
      </c>
      <c r="BB192" t="inlineStr">
        <is>
          <t>ok</t>
        </is>
      </c>
      <c r="BC192" t="inlineStr"/>
      <c r="BD192" t="inlineStr">
        <is>
          <t>Assets/MachineBrigade/Resources/Data/balance.json: weapons[id=mothership_cannon] (lớp B trên 01_chien_dau/Vu_khi)</t>
        </is>
      </c>
      <c r="BE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1.15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1.15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0.95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153.1696905016008</v>
      </c>
      <c r="AO193">
        <f>IF($Q$193,$M$193*$AG$193*$U$193,0)</f>
        <v/>
      </c>
      <c r="AP193" t="n">
        <v>126.5314834578442</v>
      </c>
      <c r="AQ193">
        <f>IF($Q$193,$M$193*$AE$193*$Y$193,0)</f>
        <v/>
      </c>
      <c r="AR193" t="n">
        <v>53.02027748132336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2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inlineStr"/>
      <c r="BB193" t="inlineStr">
        <is>
          <t>ok</t>
        </is>
      </c>
      <c r="BC193" t="inlineStr"/>
      <c r="BD193" t="inlineStr">
        <is>
          <t>Assets/MachineBrigade/Resources/Data/balance.json: weapons[id=mothership_drones] (lớp B trên 01_chien_dau/Vu_khi)</t>
        </is>
      </c>
      <c r="BE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79.79778339490569</v>
      </c>
      <c r="AM194">
        <f>IF($Q$194,$M$194*$AE$194*$U$194,0)</f>
        <v/>
      </c>
      <c r="AN194" t="n">
        <v>66.49815282908808</v>
      </c>
      <c r="AO194">
        <f>IF($Q$194,$M$194*$AG$194*$U$194,0)</f>
        <v/>
      </c>
      <c r="AP194" t="n">
        <v>43.22379933890726</v>
      </c>
      <c r="AQ194">
        <f>IF($Q$194,$M$194*$AE$194*$Y$194,0)</f>
        <v/>
      </c>
      <c r="AR194" t="n">
        <v>106.3970445265409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3.6001</v>
      </c>
      <c r="BB194" t="inlineStr">
        <is>
          <t>CHAM_QUA;LECH_DOT_1</t>
        </is>
      </c>
      <c r="BC194" t="inlineStr"/>
      <c r="BD194" t="inlineStr">
        <is>
          <t>Assets/MachineBrigade/Resources/Data/balance.json: weapons[id=naval_76] (lớp B trên 01_chien_dau/Vu_khi)</t>
        </is>
      </c>
      <c r="BE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0.65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44.19556321343959</v>
      </c>
      <c r="AM195">
        <f>IF($Q$195,$M$195*$AE$195*$U$195,0)</f>
        <v/>
      </c>
      <c r="AN195" t="n">
        <v>36.82963601119966</v>
      </c>
      <c r="AO195">
        <f>IF($Q$195,$M$195*$AG$195*$U$195,0)</f>
        <v/>
      </c>
      <c r="AP195" t="n">
        <v>23.93926340727978</v>
      </c>
      <c r="AQ195">
        <f>IF($Q$195,$M$195*$AE$195*$Y$195,0)</f>
        <v/>
      </c>
      <c r="AR195" t="n">
        <v>58.92741761791946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D195" t="inlineStr">
        <is>
          <t>Assets/MachineBrigade/Resources/Data/balance.json: weapons[id=naval_76_guided] (lớp B trên 01_chien_dau/Vu_khi)</t>
        </is>
      </c>
      <c r="BE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0.65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99.92727272727272</v>
      </c>
      <c r="AM196">
        <f>IF($Q$196,$M$196*$AE$196*$U$196,0)</f>
        <v/>
      </c>
      <c r="AN196" t="n">
        <v>83.27272727272727</v>
      </c>
      <c r="AO196">
        <f>IF($Q$196,$M$196*$AG$196*$U$196,0)</f>
        <v/>
      </c>
      <c r="AP196" t="n">
        <v>54.12727272727273</v>
      </c>
      <c r="AQ196">
        <f>IF($Q$196,$M$196*$AE$196*$Y$196,0)</f>
        <v/>
      </c>
      <c r="AR196" t="n">
        <v>133.2363636363636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1.925</v>
      </c>
      <c r="BB196" t="inlineStr">
        <is>
          <t>NHANH_QUA;LECH_DOT_1</t>
        </is>
      </c>
      <c r="BC196" t="inlineStr"/>
      <c r="BD196" t="inlineStr">
        <is>
          <t>Assets/MachineBrigade/Resources/Data/balance.json: weapons[id=naval_100] (lớp B trên 01_chien_dau/Vu_khi)</t>
        </is>
      </c>
      <c r="BE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0.65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54.95999999999999</v>
      </c>
      <c r="AM197">
        <f>IF($Q$197,$M$197*$AE$197*$U$197,0)</f>
        <v/>
      </c>
      <c r="AN197" t="n">
        <v>45.8</v>
      </c>
      <c r="AO197">
        <f>IF($Q$197,$M$197*$AG$197*$U$197,0)</f>
        <v/>
      </c>
      <c r="AP197" t="n">
        <v>29.77</v>
      </c>
      <c r="AQ197">
        <f>IF($Q$197,$M$197*$AE$197*$Y$197,0)</f>
        <v/>
      </c>
      <c r="AR197" t="n">
        <v>73.28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D197" t="inlineStr">
        <is>
          <t>Assets/MachineBrigade/Resources/Data/balance.json: weapons[id=naval_100_guided] (lớp B trên 01_chien_dau/Vu_khi)</t>
        </is>
      </c>
      <c r="BE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121.6374269005848</v>
      </c>
      <c r="AM198">
        <f>IF($Q$198,$M$198*$AE$198*$U$198,0)</f>
        <v/>
      </c>
      <c r="AN198" t="n">
        <v>101.364522417154</v>
      </c>
      <c r="AO198">
        <f>IF($Q$198,$M$198*$AG$198*$U$198,0)</f>
        <v/>
      </c>
      <c r="AP198" t="n">
        <v>65.88693957115011</v>
      </c>
      <c r="AQ198">
        <f>IF($Q$198,$M$198*$AE$198*$Y$198,0)</f>
        <v/>
      </c>
      <c r="AR198" t="n">
        <v>162.1832358674464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3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0.65835</v>
      </c>
      <c r="BB198" t="inlineStr">
        <is>
          <t>NHANH_QUA;LECH_DOT_1</t>
        </is>
      </c>
      <c r="BC198" t="inlineStr"/>
      <c r="BD198" t="inlineStr">
        <is>
          <t>Assets/MachineBrigade/Resources/Data/balance.json: weapons[id=naval_127] (lớp B trên 01_chien_dau/Vu_khi)</t>
        </is>
      </c>
      <c r="BE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304.0597293513766</v>
      </c>
      <c r="AM199">
        <f>IF($Q$199,$M$199*$AE$199*$U$199,0)</f>
        <v/>
      </c>
      <c r="AN199" t="n">
        <v>253.3831077928138</v>
      </c>
      <c r="AO199">
        <f>IF($Q$199,$M$199*$AG$199*$U$199,0)</f>
        <v/>
      </c>
      <c r="AP199" t="n">
        <v>164.699020065329</v>
      </c>
      <c r="AQ199">
        <f>IF($Q$199,$M$199*$AE$199*$Y$199,0)</f>
        <v/>
      </c>
      <c r="AR199" t="n">
        <v>405.4129724685022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3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2.000133</v>
      </c>
      <c r="BB199" t="inlineStr">
        <is>
          <t>CHAM_QUA</t>
        </is>
      </c>
      <c r="BC199" t="b">
        <v>1</v>
      </c>
      <c r="BD199" t="inlineStr">
        <is>
          <t>Assets/MachineBrigade/Resources/Data/balance.json: weapons[id=naval_130_twin] (lớp B trên 01_chien_dau/Vu_khi)</t>
        </is>
      </c>
      <c r="BE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109.7142857142857</v>
      </c>
      <c r="AM200">
        <f>IF($Q$200,$M$200*$AE$200*$U$200,0)</f>
        <v/>
      </c>
      <c r="AN200" t="n">
        <v>91.42857142857143</v>
      </c>
      <c r="AO200">
        <f>IF($Q$200,$M$200*$AG$200*$U$200,0)</f>
        <v/>
      </c>
      <c r="AP200" t="n">
        <v>59.42857142857143</v>
      </c>
      <c r="AQ200">
        <f>IF($Q$200,$M$200*$AE$200*$Y$200,0)</f>
        <v/>
      </c>
      <c r="AR200" t="n">
        <v>146.2857142857143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0.6125</v>
      </c>
      <c r="BB200" t="inlineStr">
        <is>
          <t>ok</t>
        </is>
      </c>
      <c r="BC200" t="inlineStr"/>
      <c r="BD200" t="inlineStr">
        <is>
          <t>Assets/MachineBrigade/Resources/Data/balance.json: weapons[id=naval_155_triple] (lớp B trên 01_chien_dau/Vu_khi)</t>
        </is>
      </c>
      <c r="BE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38.4</v>
      </c>
      <c r="AM201">
        <f>IF($Q$201,$M$201*$AE$201*$U$201,0)</f>
        <v/>
      </c>
      <c r="AN201" t="n">
        <v>32</v>
      </c>
      <c r="AO201">
        <f>IF($Q$201,$M$201*$AG$201*$U$201,0)</f>
        <v/>
      </c>
      <c r="AP201" t="n">
        <v>20.8</v>
      </c>
      <c r="AQ201">
        <f>IF($Q$201,$M$201*$AE$201*$Y$201,0)</f>
        <v/>
      </c>
      <c r="AR201" t="n">
        <v>51.2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3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inlineStr">
        <is>
          <t>Assets/MachineBrigade/Resources/Data/balance.json: weapons[id=naval_155_triple_guided] (lớp B trên 01_chien_dau/Vu_khi)</t>
        </is>
      </c>
      <c r="BE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0.65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0.15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2997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0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inlineStr">
        <is>
          <t>Assets/MachineBrigade/Resources/Data/balance.json: weapons[id=net_zap] (lớp B trên 01_chien_dau/Vu_khi)</t>
        </is>
      </c>
      <c r="BE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AND(Vu_khi!$K$203="Kinetic",NOT(Vu_khi!$AG$203))</f>
        <v/>
      </c>
      <c r="AB203" t="b">
        <v>1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0.85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0.4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0.08</v>
      </c>
      <c r="AI203">
        <f>INDEX(Bang_xuyen_giap!$C$2:$C$8,MIN(7,MAX(1,MAX(1,2-(Vu_khi!$L$203-0))+1)))*IF($AA$203,INDEX(Bang_xuyen_qua!$C$2:$C$5,MIN(4,MAX(1,(Vu_khi!$L$203)-(0)-1))),1)</f>
        <v/>
      </c>
      <c r="AJ203" t="n">
        <v>0.85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IF($Q$203,$M$203*$AG$203*$U$203,0)</f>
        <v/>
      </c>
      <c r="AP203" t="n">
        <v>0</v>
      </c>
      <c r="AQ203">
        <f>IF($Q$203,$M$203*$AE$203*$Y$203,0)</f>
        <v/>
      </c>
      <c r="AR203" t="n">
        <v>0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0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inlineStr">
        <is>
          <t>Assets/MachineBrigade/Resources/Data/balance.json: weapons[id=none] (lớp B trên 01_chien_dau/Vu_khi)</t>
        </is>
      </c>
      <c r="BE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100.4651162790698</v>
      </c>
      <c r="AM204">
        <f>IF($Q$204,$M$204*$AE$204*$U$204,0)</f>
        <v/>
      </c>
      <c r="AN204" t="n">
        <v>83.72093023255815</v>
      </c>
      <c r="AO204">
        <f>IF($Q$204,$M$204*$AG$204*$U$204,0)</f>
        <v/>
      </c>
      <c r="AP204" t="n">
        <v>54.41860465116279</v>
      </c>
      <c r="AQ204">
        <f>IF($Q$204,$M$204*$AE$204*$Y$204,0)</f>
        <v/>
      </c>
      <c r="AR204" t="n">
        <v>133.953488372093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inlineStr"/>
      <c r="BB204" t="inlineStr">
        <is>
          <t>LECH_DOT_1</t>
        </is>
      </c>
      <c r="BC204" t="b">
        <v>1</v>
      </c>
      <c r="BD204" t="inlineStr">
        <is>
          <t>Assets/MachineBrigade/Resources/Data/balance.json: weapons[id=nyx_ags_155] (lớp B trên 01_chien_dau/Vu_khi)</t>
        </is>
      </c>
      <c r="BE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0.85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0.4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IF($Q$205,$M$205*$AG$205*$U$205,0)</f>
        <v/>
      </c>
      <c r="AP205" t="n">
        <v>0</v>
      </c>
      <c r="AQ205">
        <f>IF($Q$205,$M$205*$AE$205*$Y$205,0)</f>
        <v/>
      </c>
      <c r="AR205" t="n">
        <v>0</v>
      </c>
      <c r="AS205">
        <f>IF($S$205,$M$205*$AI$205*$W$205,0)</f>
        <v/>
      </c>
      <c r="AT205" t="n">
        <v>186.0287081339713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1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A205" t="inlineStr"/>
      <c r="BB205" t="inlineStr">
        <is>
          <t>LECH_DOT_1</t>
        </is>
      </c>
      <c r="BC205" t="b">
        <v>1</v>
      </c>
      <c r="BD205" t="inlineStr">
        <is>
          <t>Assets/MachineBrigade/Resources/Data/balance.json: weapons[id=nyx_millennium] (lớp B trên 01_chien_dau/Vu_khi)</t>
        </is>
      </c>
      <c r="BE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15.11111111111111</v>
      </c>
      <c r="AM206">
        <f>IF($Q$206,$M$206*$AE$206*$U$206,0)</f>
        <v/>
      </c>
      <c r="AN206" t="n">
        <v>12.59259259259259</v>
      </c>
      <c r="AO206">
        <f>IF($Q$206,$M$206*$AG$206*$U$206,0)</f>
        <v/>
      </c>
      <c r="AP206" t="n">
        <v>8.185185185185187</v>
      </c>
      <c r="AQ206">
        <f>IF($Q$206,$M$206*$AE$206*$Y$206,0)</f>
        <v/>
      </c>
      <c r="AR206" t="n">
        <v>20.14814814814815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4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2.5</v>
      </c>
      <c r="BA206" t="n">
        <v>9</v>
      </c>
      <c r="BB206" t="inlineStr">
        <is>
          <t>CHAM_QUA</t>
        </is>
      </c>
      <c r="BC206" t="b">
        <v>1</v>
      </c>
      <c r="BD206" t="inlineStr">
        <is>
          <t>Assets/MachineBrigade/Resources/Data/balance.json: weapons[id=nyx_tomahawk] (lớp B trên 01_chien_dau/Vu_khi)</t>
        </is>
      </c>
      <c r="BE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0.002870378759197182</v>
      </c>
      <c r="AO207">
        <f>IF($Q$207,$M$207*$AG$207*$U$207,0)</f>
        <v/>
      </c>
      <c r="AP207" t="n">
        <v>0.002033184954431337</v>
      </c>
      <c r="AQ207">
        <f>IF($Q$207,$M$207*$AE$207*$Y$207,0)</f>
        <v/>
      </c>
      <c r="AR207" t="n">
        <v>0.0009935926474144091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n">
        <v>0.06</v>
      </c>
      <c r="BB207" t="inlineStr">
        <is>
          <t>NHANH_QUA;LECH_DOT_1</t>
        </is>
      </c>
      <c r="BC207" t="inlineStr"/>
      <c r="BD207" t="inlineStr">
        <is>
          <t>Assets/MachineBrigade/Resources/Data/balance.json: weapons[id=one_shot_kornet] (lớp B trên 01_chien_dau/Vu_khi)</t>
        </is>
      </c>
      <c r="BE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1.2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0.85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97.2</v>
      </c>
      <c r="AO208">
        <f>IF($Q$208,$M$208*$AG$208*$U$208,0)</f>
        <v/>
      </c>
      <c r="AP208" t="n">
        <v>68.84999999999999</v>
      </c>
      <c r="AQ208">
        <f>IF($Q$208,$M$208*$AE$208*$Y$208,0)</f>
        <v/>
      </c>
      <c r="AR208" t="n">
        <v>43.2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1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ok</t>
        </is>
      </c>
      <c r="BC208" t="inlineStr"/>
      <c r="BD208" t="inlineStr">
        <is>
          <t>Assets/MachineBrigade/Resources/Data/balance.json: weapons[id=orbital_laser] (lớp B trên 01_chien_dau/Vu_khi)</t>
        </is>
      </c>
      <c r="BE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0.8999999999999999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1.14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1</v>
      </c>
      <c r="AI209">
        <f>INDEX(Bang_xuyen_giap!$C$2:$C$8,MIN(7,MAX(1,MAX(1,2-(Vu_khi!$L$209-0))+1)))*IF($AA$209,INDEX(Bang_xuyen_qua!$C$2:$C$5,MIN(4,MAX(1,(Vu_khi!$L$209)-(0)-1))),1)</f>
        <v/>
      </c>
      <c r="AJ209" t="n">
        <v>0.75</v>
      </c>
      <c r="AK209">
        <f>IF($Q$209,$M$209*$AC$209*$U$209,0)</f>
        <v/>
      </c>
      <c r="AL209" t="n">
        <v>64.8</v>
      </c>
      <c r="AM209">
        <f>IF($Q$209,$M$209*$AE$209*$U$209,0)</f>
        <v/>
      </c>
      <c r="AN209" t="n">
        <v>82.08</v>
      </c>
      <c r="AO209">
        <f>IF($Q$209,$M$209*$AG$209*$U$209,0)</f>
        <v/>
      </c>
      <c r="AP209" t="n">
        <v>72</v>
      </c>
      <c r="AQ209">
        <f>IF($Q$209,$M$209*$AE$209*$Y$209,0)</f>
        <v/>
      </c>
      <c r="AR209" t="n">
        <v>47.88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2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0.326667</v>
      </c>
      <c r="BB209" t="inlineStr">
        <is>
          <t>NHANH_QUA;LECH_DOT_1</t>
        </is>
      </c>
      <c r="BC209" t="inlineStr"/>
      <c r="BD209" t="inlineStr">
        <is>
          <t>Assets/MachineBrigade/Resources/Data/balance.json: weapons[id=p26_bastion_b100] (lớp B trên 01_chien_dau/Vu_khi)</t>
        </is>
      </c>
      <c r="BE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0.85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106.6666666666667</v>
      </c>
      <c r="AO210">
        <f>IF($Q$210,$M$210*$AG$210*$U$210,0)</f>
        <v/>
      </c>
      <c r="AP210" t="n">
        <v>90.66666666666667</v>
      </c>
      <c r="AQ210">
        <f>IF($Q$210,$M$210*$AE$210*$Y$210,0)</f>
        <v/>
      </c>
      <c r="AR210" t="n">
        <v>170.6666666666667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0.7</v>
      </c>
      <c r="BB210" t="inlineStr">
        <is>
          <t>ok</t>
        </is>
      </c>
      <c r="BC210" t="inlineStr"/>
      <c r="BD210" t="inlineStr">
        <is>
          <t>Assets/MachineBrigade/Resources/Data/balance.json: weapons[id=p26_bastion_b155] (lớp B trên 01_chien_dau/Vu_khi)</t>
        </is>
      </c>
      <c r="BE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80</v>
      </c>
      <c r="AO211">
        <f>IF($Q$211,$M$211*$AG$211*$U$211,0)</f>
        <v/>
      </c>
      <c r="AP211" t="n">
        <v>68</v>
      </c>
      <c r="AQ211">
        <f>IF($Q$211,$M$211*$AE$211*$Y$211,0)</f>
        <v/>
      </c>
      <c r="AR211" t="n">
        <v>128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1</v>
      </c>
      <c r="AW211">
        <f>IF(AND($B$211&lt;0,$AU$211),4,$B$211)</f>
        <v/>
      </c>
      <c r="AX211" t="n">
        <v>4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2.722222222222222</v>
      </c>
      <c r="BA211" t="n">
        <v>0.35</v>
      </c>
      <c r="BB211" t="inlineStr">
        <is>
          <t>NHANH_QUA;LECH_DOT_1</t>
        </is>
      </c>
      <c r="BC211" t="inlineStr"/>
      <c r="BD211" t="inlineStr">
        <is>
          <t>Assets/MachineBrigade/Resources/Data/balance.json: weapons[id=p26_bastion_b240] (lớp B trên 01_chien_dau/Vu_khi)</t>
        </is>
      </c>
      <c r="BE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135.8828991371436</v>
      </c>
      <c r="AM212">
        <f>IF($Q$212,$M$212*$AE$212*$U$212,0)</f>
        <v/>
      </c>
      <c r="AN212" t="n">
        <v>88.32388443914333</v>
      </c>
      <c r="AO212">
        <f>IF($Q$212,$M$212*$AG$212*$U$212,0)</f>
        <v/>
      </c>
      <c r="AP212" t="n">
        <v>20.38243487057154</v>
      </c>
      <c r="AQ212">
        <f>IF($Q$212,$M$212*$AE$212*$Y$212,0)</f>
        <v/>
      </c>
      <c r="AR212" t="n">
        <v>51.5222659228336</v>
      </c>
      <c r="AS212">
        <f>IF($S$212,$M$212*$AI$212*$W$212,0)</f>
        <v/>
      </c>
      <c r="AT212" t="n">
        <v>33.97072478428589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1.766227</v>
      </c>
      <c r="BB212" t="inlineStr">
        <is>
          <t>ok</t>
        </is>
      </c>
      <c r="BC212" t="b">
        <v>1</v>
      </c>
      <c r="BD212" t="inlineStr">
        <is>
          <t>Assets/MachineBrigade/Resources/Data/balance.json: weapons[id=p26_bastion_close_boss_hmg] (lớp B trên 01_chien_dau/Vu_khi)</t>
        </is>
      </c>
      <c r="BE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60.27906976744185</v>
      </c>
      <c r="AM213">
        <f>IF($Q$213,$M$213*$AE$213*$U$213,0)</f>
        <v/>
      </c>
      <c r="AN213" t="n">
        <v>76.35348837209301</v>
      </c>
      <c r="AO213">
        <f>IF($Q$213,$M$213*$AG$213*$U$213,0)</f>
        <v/>
      </c>
      <c r="AP213" t="n">
        <v>66.9767441860465</v>
      </c>
      <c r="AQ213">
        <f>IF($Q$213,$M$213*$AE$213*$Y$213,0)</f>
        <v/>
      </c>
      <c r="AR213" t="n">
        <v>44.53953488372093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0.702333</v>
      </c>
      <c r="BB213" t="inlineStr">
        <is>
          <t>ok</t>
        </is>
      </c>
      <c r="BC213" t="b">
        <v>1</v>
      </c>
      <c r="BD213" t="inlineStr">
        <is>
          <t>Assets/MachineBrigade/Resources/Data/balance.json: weapons[id=p26_bastion_direct_b100] (lớp B trên 01_chien_dau/Vu_khi)</t>
        </is>
      </c>
      <c r="BE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40</v>
      </c>
      <c r="AO214">
        <f>IF($Q$214,$M$214*$AG$214*$U$214,0)</f>
        <v/>
      </c>
      <c r="AP214" t="n">
        <v>34</v>
      </c>
      <c r="AQ214">
        <f>IF($Q$214,$M$214*$AE$214*$Y$214,0)</f>
        <v/>
      </c>
      <c r="AR214" t="n">
        <v>64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b">
        <v>1</v>
      </c>
      <c r="BD214" t="inlineStr">
        <is>
          <t>Assets/MachineBrigade/Resources/Data/balance.json: weapons[id=p26_bastion_main_b155] (lớp B trên 01_chien_dau/Vu_khi)</t>
        </is>
      </c>
      <c r="BE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18.33333333333333</v>
      </c>
      <c r="AO215">
        <f>IF($Q$215,$M$215*$AG$215*$U$215,0)</f>
        <v/>
      </c>
      <c r="AP215" t="n">
        <v>15.58333333333333</v>
      </c>
      <c r="AQ215">
        <f>IF($Q$215,$M$215*$AE$215*$Y$215,0)</f>
        <v/>
      </c>
      <c r="AR215" t="n">
        <v>29.33333333333333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0.7</v>
      </c>
      <c r="BB215" t="inlineStr">
        <is>
          <t>ok</t>
        </is>
      </c>
      <c r="BC215" t="b">
        <v>1</v>
      </c>
      <c r="BD215" t="inlineStr">
        <is>
          <t>Assets/MachineBrigade/Resources/Data/balance.json: weapons[id=p26_bastion_sec_b240] (lớp B trên 01_chien_dau/Vu_khi)</t>
        </is>
      </c>
      <c r="BE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0.85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0.4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130.1204819277108</v>
      </c>
      <c r="AM216">
        <f>IF($Q$216,$M$216*$AE$216*$U$216,0)</f>
        <v/>
      </c>
      <c r="AN216" t="n">
        <v>92.16867469879517</v>
      </c>
      <c r="AO216">
        <f>IF($Q$216,$M$216*$AG$216*$U$216,0)</f>
        <v/>
      </c>
      <c r="AP216" t="n">
        <v>43.37349397590361</v>
      </c>
      <c r="AQ216">
        <f>IF($Q$216,$M$216*$AE$216*$Y$216,0)</f>
        <v/>
      </c>
      <c r="AR216" t="n">
        <v>53.76506024096385</v>
      </c>
      <c r="AS216">
        <f>IF($S$216,$M$216*$AI$216*$W$216,0)</f>
        <v/>
      </c>
      <c r="AT216" t="n">
        <v>27.10843373493976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1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1.826</v>
      </c>
      <c r="BB216" t="inlineStr">
        <is>
          <t>ok</t>
        </is>
      </c>
      <c r="BC216" t="b">
        <v>1</v>
      </c>
      <c r="BD216" t="inlineStr">
        <is>
          <t>Assets/MachineBrigade/Resources/Data/balance.json: weapons[id=p26_bastion_tiny_autocannon_40] (lớp B trên 01_chien_dau/Vu_khi)</t>
        </is>
      </c>
      <c r="BE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1.2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0.85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35.88</v>
      </c>
      <c r="AO217">
        <f>IF($Q$217,$M$217*$AG$217*$U$217,0)</f>
        <v/>
      </c>
      <c r="AP217" t="n">
        <v>25.415</v>
      </c>
      <c r="AQ217">
        <f>IF($Q$217,$M$217*$AE$217*$Y$217,0)</f>
        <v/>
      </c>
      <c r="AR217" t="n">
        <v>12.42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1</v>
      </c>
      <c r="BB217" t="inlineStr">
        <is>
          <t>ok</t>
        </is>
      </c>
      <c r="BC217" t="b">
        <v>1</v>
      </c>
      <c r="BD217" t="inlineStr">
        <is>
          <t>Assets/MachineBrigade/Resources/Data/balance.json: weapons[id=p26_bastion_tiny_kornet_twin] (lớp B trên 01_chien_dau/Vu_khi)</t>
        </is>
      </c>
      <c r="BE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0.65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0.15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31.75403225806452</v>
      </c>
      <c r="AM218">
        <f>IF($Q$218,$M$218*$AE$218*$U$218,0)</f>
        <v/>
      </c>
      <c r="AN218" t="n">
        <v>20.64012096774194</v>
      </c>
      <c r="AO218">
        <f>IF($Q$218,$M$218*$AG$218*$U$218,0)</f>
        <v/>
      </c>
      <c r="AP218" t="n">
        <v>4.763104838709678</v>
      </c>
      <c r="AQ218">
        <f>IF($Q$218,$M$218*$AE$218*$Y$218,0)</f>
        <v/>
      </c>
      <c r="AR218" t="n">
        <v>4.586693548387097</v>
      </c>
      <c r="AS218">
        <f>IF($S$218,$M$218*$AI$218*$W$218,0)</f>
        <v/>
      </c>
      <c r="AT218" t="n">
        <v>95.26209677419355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1.653333</v>
      </c>
      <c r="BB218" t="inlineStr">
        <is>
          <t>ok</t>
        </is>
      </c>
      <c r="BC218" t="b">
        <v>1</v>
      </c>
      <c r="BD218" t="inlineStr">
        <is>
          <t>Assets/MachineBrigade/Resources/Data/balance.json: weapons[id=p26_bastion_tiny_zu23] (lớp B trên 01_chien_dau/Vu_khi)</t>
        </is>
      </c>
      <c r="BE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AND(Vu_khi!$K$219="Kinetic",NOT(Vu_khi!$AG$219))</f>
        <v/>
      </c>
      <c r="AB219" t="b">
        <v>1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0.8999999999999999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1.14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1</v>
      </c>
      <c r="AI219">
        <f>INDEX(Bang_xuyen_giap!$C$2:$C$8,MIN(7,MAX(1,MAX(1,2-(Vu_khi!$L$219-0))+1)))*IF($AA$219,INDEX(Bang_xuyen_qua!$C$2:$C$5,MIN(4,MAX(1,(Vu_khi!$L$219)-(0)-1))),1)</f>
        <v/>
      </c>
      <c r="AJ219" t="n">
        <v>0.75</v>
      </c>
      <c r="AK219">
        <f>IF($Q$219,$M$219*$AC$219*$U$219,0)</f>
        <v/>
      </c>
      <c r="AL219" t="n">
        <v>70.19999999999999</v>
      </c>
      <c r="AM219">
        <f>IF($Q$219,$M$219*$AE$219*$U$219,0)</f>
        <v/>
      </c>
      <c r="AN219" t="n">
        <v>88.91999999999999</v>
      </c>
      <c r="AO219">
        <f>IF($Q$219,$M$219*$AG$219*$U$219,0)</f>
        <v/>
      </c>
      <c r="AP219" t="n">
        <v>78</v>
      </c>
      <c r="AQ219">
        <f>IF($Q$219,$M$219*$AE$219*$Y$219,0)</f>
        <v/>
      </c>
      <c r="AR219" t="n">
        <v>51.87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0.373333</v>
      </c>
      <c r="BB219" t="inlineStr">
        <is>
          <t>NHANH_QUA;LECH_DOT_1</t>
        </is>
      </c>
      <c r="BC219" t="inlineStr"/>
      <c r="BD219" t="inlineStr">
        <is>
          <t>Assets/MachineBrigade/Resources/Data/balance.json: weapons[id=p26_behemoth_be120] (lớp B trên 01_chien_dau/Vu_khi)</t>
        </is>
      </c>
      <c r="BE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0.65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354</v>
      </c>
      <c r="AM220">
        <f>IF($Q$220,$M$220*$AE$220*$U$220,0)</f>
        <v/>
      </c>
      <c r="AN220" t="n">
        <v>295</v>
      </c>
      <c r="AO220">
        <f>IF($Q$220,$M$220*$AG$220*$U$220,0)</f>
        <v/>
      </c>
      <c r="AP220" t="n">
        <v>191.75</v>
      </c>
      <c r="AQ220">
        <f>IF($Q$220,$M$220*$AE$220*$Y$220,0)</f>
        <v/>
      </c>
      <c r="AR220" t="n">
        <v>472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3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0.186667</v>
      </c>
      <c r="BB220" t="inlineStr">
        <is>
          <t>NHANH_QUA;LECH_DOT_1</t>
        </is>
      </c>
      <c r="BC220" t="inlineStr"/>
      <c r="BD220" t="inlineStr">
        <is>
          <t>Assets/MachineBrigade/Resources/Data/balance.json: weapons[id=p26_behemoth_be152] (lớp B trên 01_chien_dau/Vu_khi)</t>
        </is>
      </c>
      <c r="BE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192</v>
      </c>
      <c r="AM221">
        <f>IF($Q$221,$M$221*$AE$221*$U$221,0)</f>
        <v/>
      </c>
      <c r="AN221" t="n">
        <v>136</v>
      </c>
      <c r="AO221">
        <f>IF($Q$221,$M$221*$AG$221*$U$221,0)</f>
        <v/>
      </c>
      <c r="AP221" t="n">
        <v>64</v>
      </c>
      <c r="AQ221">
        <f>IF($Q$221,$M$221*$AE$221*$Y$221,0)</f>
        <v/>
      </c>
      <c r="AR221" t="n">
        <v>217.6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3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0.6</v>
      </c>
      <c r="BB221" t="inlineStr">
        <is>
          <t>LECH_DOT_1</t>
        </is>
      </c>
      <c r="BC221" t="inlineStr"/>
      <c r="BD221" t="inlineStr">
        <is>
          <t>Assets/MachineBrigade/Resources/Data/balance.json: weapons[id=p26_behemoth_be_rockets] (lớp B trên 01_chien_dau/Vu_khi)</t>
        </is>
      </c>
      <c r="BE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1.2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0.85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0.4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102.8810408921933</v>
      </c>
      <c r="AM222">
        <f>IF($Q$222,$M$222*$AE$222*$U$222,0)</f>
        <v/>
      </c>
      <c r="AN222" t="n">
        <v>72.87407063197026</v>
      </c>
      <c r="AO222">
        <f>IF($Q$222,$M$222*$AG$222*$U$222,0)</f>
        <v/>
      </c>
      <c r="AP222" t="n">
        <v>34.29368029739777</v>
      </c>
      <c r="AQ222">
        <f>IF($Q$222,$M$222*$AE$222*$Y$222,0)</f>
        <v/>
      </c>
      <c r="AR222" t="n">
        <v>16.19423791821561</v>
      </c>
      <c r="AS222">
        <f>IF($S$222,$M$222*$AI$222*$W$222,0)</f>
        <v/>
      </c>
      <c r="AT222" t="n">
        <v>257.2026022304833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2.405691</v>
      </c>
      <c r="BB222" t="inlineStr">
        <is>
          <t>ok</t>
        </is>
      </c>
      <c r="BC222" t="b">
        <v>1</v>
      </c>
      <c r="BD222" t="inlineStr">
        <is>
          <t>Assets/MachineBrigade/Resources/Data/balance.json: weapons[id=p26_behemoth_close_boss_flak] (lớp B trên 01_chien_dau/Vu_khi)</t>
        </is>
      </c>
      <c r="BE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74.87999999999998</v>
      </c>
      <c r="AM223">
        <f>IF($Q$223,$M$223*$AE$223*$U$223,0)</f>
        <v/>
      </c>
      <c r="AN223" t="n">
        <v>94.84799999999998</v>
      </c>
      <c r="AO223">
        <f>IF($Q$223,$M$223*$AG$223*$U$223,0)</f>
        <v/>
      </c>
      <c r="AP223" t="n">
        <v>83.19999999999999</v>
      </c>
      <c r="AQ223">
        <f>IF($Q$223,$M$223*$AE$223*$Y$223,0)</f>
        <v/>
      </c>
      <c r="AR223" t="n">
        <v>55.32799999999999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LECH_HO</t>
        </is>
      </c>
      <c r="BC223" t="b">
        <v>0</v>
      </c>
      <c r="BD223" t="inlineStr">
        <is>
          <t>Assets/MachineBrigade/Resources/Data/balance.json: weapons[id=p26_behemoth_direct_be120] (lớp B trên 01_chien_dau/Vu_khi)</t>
        </is>
      </c>
      <c r="BE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160.3563474387527</v>
      </c>
      <c r="AM224">
        <f>IF($Q$224,$M$224*$AE$224*$U$224,0)</f>
        <v/>
      </c>
      <c r="AN224" t="n">
        <v>133.630289532294</v>
      </c>
      <c r="AO224">
        <f>IF($Q$224,$M$224*$AG$224*$U$224,0)</f>
        <v/>
      </c>
      <c r="AP224" t="n">
        <v>86.85968819599108</v>
      </c>
      <c r="AQ224">
        <f>IF($Q$224,$M$224*$AE$224*$Y$224,0)</f>
        <v/>
      </c>
      <c r="AR224" t="n">
        <v>213.8084632516704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0.838133</v>
      </c>
      <c r="BB224" t="inlineStr">
        <is>
          <t>ok</t>
        </is>
      </c>
      <c r="BC224" t="b">
        <v>1</v>
      </c>
      <c r="BD224" t="inlineStr">
        <is>
          <t>Assets/MachineBrigade/Resources/Data/balance.json: weapons[id=p26_behemoth_main_be152] (lớp B trên 01_chien_dau/Vu_khi)</t>
        </is>
      </c>
      <c r="BE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437.5569735642661</v>
      </c>
      <c r="AM225">
        <f>IF($Q$225,$M$225*$AE$225*$U$225,0)</f>
        <v/>
      </c>
      <c r="AN225" t="n">
        <v>309.9361896080218</v>
      </c>
      <c r="AO225">
        <f>IF($Q$225,$M$225*$AG$225*$U$225,0)</f>
        <v/>
      </c>
      <c r="AP225" t="n">
        <v>145.852324521422</v>
      </c>
      <c r="AQ225">
        <f>IF($Q$225,$M$225*$AE$225*$Y$225,0)</f>
        <v/>
      </c>
      <c r="AR225" t="n">
        <v>495.897903372835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</v>
      </c>
      <c r="BB225" t="inlineStr">
        <is>
          <t>LECH_HO</t>
        </is>
      </c>
      <c r="BC225" t="b">
        <v>0</v>
      </c>
      <c r="BD225" t="inlineStr">
        <is>
          <t>Assets/MachineBrigade/Resources/Data/balance.json: weapons[id=p26_behemoth_sec_be_rockets] (lớp B trên 01_chien_dau/Vu_khi)</t>
        </is>
      </c>
      <c r="BE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37.43999999999999</v>
      </c>
      <c r="AM226">
        <f>IF($Q$226,$M$226*$AE$226*$U$226,0)</f>
        <v/>
      </c>
      <c r="AN226" t="n">
        <v>47.42399999999999</v>
      </c>
      <c r="AO226">
        <f>IF($Q$226,$M$226*$AG$226*$U$226,0)</f>
        <v/>
      </c>
      <c r="AP226" t="n">
        <v>41.59999999999999</v>
      </c>
      <c r="AQ226">
        <f>IF($Q$226,$M$226*$AE$226*$Y$226,0)</f>
        <v/>
      </c>
      <c r="AR226" t="n">
        <v>27.66399999999999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3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</v>
      </c>
      <c r="BB226" t="inlineStr">
        <is>
          <t>LECH_HO</t>
        </is>
      </c>
      <c r="BC226" t="b">
        <v>0</v>
      </c>
      <c r="BD226" t="inlineStr">
        <is>
          <t>Assets/MachineBrigade/Resources/Data/balance.json: weapons[id=p26_behemoth_tiny_be120] (lớp B trên 01_chien_dau/Vu_khi)</t>
        </is>
      </c>
      <c r="BE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1.2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17.94</v>
      </c>
      <c r="AO227">
        <f>IF($Q$227,$M$227*$AG$227*$U$227,0)</f>
        <v/>
      </c>
      <c r="AP227" t="n">
        <v>12.7075</v>
      </c>
      <c r="AQ227">
        <f>IF($Q$227,$M$227*$AE$227*$Y$227,0)</f>
        <v/>
      </c>
      <c r="AR227" t="n">
        <v>6.210000000000001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</v>
      </c>
      <c r="BB227" t="inlineStr">
        <is>
          <t>ok</t>
        </is>
      </c>
      <c r="BC227" t="b">
        <v>1</v>
      </c>
      <c r="BD227" t="inlineStr">
        <is>
          <t>Assets/MachineBrigade/Resources/Data/balance.json: weapons[id=p26_behemoth_tiny_boss_missiles] (lớp B trên 01_chien_dau/Vu_khi)</t>
        </is>
      </c>
      <c r="BE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AND(Vu_khi!$K$228="Kinetic",NOT(Vu_khi!$AG$228))</f>
        <v/>
      </c>
      <c r="AB228" t="b">
        <v>1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0.8999999999999999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1.14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1</v>
      </c>
      <c r="AI228">
        <f>INDEX(Bang_xuyen_giap!$C$2:$C$8,MIN(7,MAX(1,MAX(1,2-(Vu_khi!$L$228-0))+1)))*IF($AA$228,INDEX(Bang_xuyen_qua!$C$2:$C$5,MIN(4,MAX(1,(Vu_khi!$L$228)-(0)-1))),1)</f>
        <v/>
      </c>
      <c r="AJ228" t="n">
        <v>0.75</v>
      </c>
      <c r="AK228">
        <f>IF($Q$228,$M$228*$AC$228*$U$228,0)</f>
        <v/>
      </c>
      <c r="AL228" t="n">
        <v>25.60824742268041</v>
      </c>
      <c r="AM228">
        <f>IF($Q$228,$M$228*$AE$228*$U$228,0)</f>
        <v/>
      </c>
      <c r="AN228" t="n">
        <v>32.43711340206185</v>
      </c>
      <c r="AO228">
        <f>IF($Q$228,$M$228*$AG$228*$U$228,0)</f>
        <v/>
      </c>
      <c r="AP228" t="n">
        <v>28.45360824742268</v>
      </c>
      <c r="AQ228">
        <f>IF($Q$228,$M$228*$AE$228*$Y$228,0)</f>
        <v/>
      </c>
      <c r="AR228" t="n">
        <v>18.92164948453608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0.9053330000000001</v>
      </c>
      <c r="BB228" t="inlineStr">
        <is>
          <t>LECH_HO</t>
        </is>
      </c>
      <c r="BC228" t="b">
        <v>0</v>
      </c>
      <c r="BD228" t="inlineStr">
        <is>
          <t>Assets/MachineBrigade/Resources/Data/balance.json: weapons[id=p26_behemoth_tiny_kornet_twin] (lớp B trên 01_chien_dau/Vu_khi)</t>
        </is>
      </c>
      <c r="BE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1.2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0.85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115.2</v>
      </c>
      <c r="AO229">
        <f>IF($Q$229,$M$229*$AG$229*$U$229,0)</f>
        <v/>
      </c>
      <c r="AP229" t="n">
        <v>81.59999999999999</v>
      </c>
      <c r="AQ229">
        <f>IF($Q$229,$M$229*$AE$229*$Y$229,0)</f>
        <v/>
      </c>
      <c r="AR229" t="n">
        <v>184.32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2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2.5</v>
      </c>
      <c r="BB229" t="inlineStr">
        <is>
          <t>NHANH_QUA;LECH_DOT_1</t>
        </is>
      </c>
      <c r="BC229" t="inlineStr"/>
      <c r="BD229" t="inlineStr">
        <is>
          <t>Assets/MachineBrigade/Resources/Data/balance.json: weapons[id=p26_daedalus_dae57] (lớp B trên 01_chien_dau/Vu_khi)</t>
        </is>
      </c>
      <c r="BE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432</v>
      </c>
      <c r="AO230">
        <f>IF($Q$230,$M$230*$AG$230*$U$230,0)</f>
        <v/>
      </c>
      <c r="AP230" t="n">
        <v>306</v>
      </c>
      <c r="AQ230">
        <f>IF($Q$230,$M$230*$AE$230*$Y$230,0)</f>
        <v/>
      </c>
      <c r="AR230" t="n">
        <v>192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1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inlineStr"/>
      <c r="BB230" t="inlineStr">
        <is>
          <t>ok</t>
        </is>
      </c>
      <c r="BC230" t="inlineStr"/>
      <c r="BD230" t="inlineStr">
        <is>
          <t>Assets/MachineBrigade/Resources/Data/balance.json: weapons[id=p26_daedalus_dae_laser] (lớp B trên 01_chien_dau/Vu_khi)</t>
        </is>
      </c>
      <c r="BE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178.2</v>
      </c>
      <c r="AO231">
        <f>IF($Q$231,$M$231*$AG$231*$U$231,0)</f>
        <v/>
      </c>
      <c r="AP231" t="n">
        <v>126.225</v>
      </c>
      <c r="AQ231">
        <f>IF($Q$231,$M$231*$AE$231*$Y$231,0)</f>
        <v/>
      </c>
      <c r="AR231" t="n">
        <v>79.2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inlineStr"/>
      <c r="BB231" t="inlineStr">
        <is>
          <t>ok</t>
        </is>
      </c>
      <c r="BC231" t="b">
        <v>1</v>
      </c>
      <c r="BD231" t="inlineStr">
        <is>
          <t>Assets/MachineBrigade/Resources/Data/balance.json: weapons[id=p26_daedalus_direct_dae_laser] (lớp B trên 01_chien_dau/Vu_khi)</t>
        </is>
      </c>
      <c r="BE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1.2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0.85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268.5314685314685</v>
      </c>
      <c r="AO232">
        <f>IF($Q$232,$M$232*$AG$232*$U$232,0)</f>
        <v/>
      </c>
      <c r="AP232" t="n">
        <v>190.2097902097902</v>
      </c>
      <c r="AQ232">
        <f>IF($Q$232,$M$232*$AE$232*$Y$232,0)</f>
        <v/>
      </c>
      <c r="AR232" t="n">
        <v>429.6503496503497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2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2.145</v>
      </c>
      <c r="BB232" t="inlineStr">
        <is>
          <t>ok</t>
        </is>
      </c>
      <c r="BC232" t="inlineStr"/>
      <c r="BD232" t="inlineStr">
        <is>
          <t>Assets/MachineBrigade/Resources/Data/balance.json: weapons[id=p26_daedalus_sec_dae57] (lớp B trên 01_chien_dau/Vu_khi)</t>
        </is>
      </c>
      <c r="BE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AND(Vu_khi!$K$233="Kinetic",NOT(Vu_khi!$AG$233))</f>
        <v/>
      </c>
      <c r="AB233" t="b">
        <v>1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0.85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0.4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130.1204819277108</v>
      </c>
      <c r="AM233">
        <f>IF($Q$233,$M$233*$AE$233*$U$233,0)</f>
        <v/>
      </c>
      <c r="AN233" t="n">
        <v>92.16867469879517</v>
      </c>
      <c r="AO233">
        <f>IF($Q$233,$M$233*$AG$233*$U$233,0)</f>
        <v/>
      </c>
      <c r="AP233" t="n">
        <v>43.37349397590361</v>
      </c>
      <c r="AQ233">
        <f>IF($Q$233,$M$233*$AE$233*$Y$233,0)</f>
        <v/>
      </c>
      <c r="AR233" t="n">
        <v>53.76506024096385</v>
      </c>
      <c r="AS233">
        <f>IF($S$233,$M$233*$AI$233*$W$233,0)</f>
        <v/>
      </c>
      <c r="AT233" t="n">
        <v>27.10843373493976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1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1.826</v>
      </c>
      <c r="BB233" t="inlineStr">
        <is>
          <t>ok</t>
        </is>
      </c>
      <c r="BC233" t="b">
        <v>1</v>
      </c>
      <c r="BD233" t="inlineStr">
        <is>
          <t>Assets/MachineBrigade/Resources/Data/balance.json: weapons[id=p26_icarus_close_autocannon_40] (lớp B trên 01_chien_dau/Vu_khi)</t>
        </is>
      </c>
      <c r="BE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172.8</v>
      </c>
      <c r="AO234">
        <f>IF($Q$234,$M$234*$AG$234*$U$234,0)</f>
        <v/>
      </c>
      <c r="AP234" t="n">
        <v>122.4</v>
      </c>
      <c r="AQ234">
        <f>IF($Q$234,$M$234*$AE$234*$Y$234,0)</f>
        <v/>
      </c>
      <c r="AR234" t="n">
        <v>76.8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b">
        <v>1</v>
      </c>
      <c r="BD234" t="inlineStr">
        <is>
          <t>Assets/MachineBrigade/Resources/Data/balance.json: weapons[id=p26_icarus_direct_ic_laser] (lớp B trên 01_chien_dau/Vu_khi)</t>
        </is>
      </c>
      <c r="BE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AND(Vu_khi!$K$235="Kinetic",NOT(Vu_khi!$AG$235))</f>
        <v/>
      </c>
      <c r="AB235" t="b">
        <v>1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0.8999999999999999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1.14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1</v>
      </c>
      <c r="AI235">
        <f>INDEX(Bang_xuyen_giap!$C$2:$C$8,MIN(7,MAX(1,MAX(1,2-(Vu_khi!$L$235-0))+1)))*IF($AA$235,INDEX(Bang_xuyen_qua!$C$2:$C$5,MIN(4,MAX(1,(Vu_khi!$L$235)-(0)-1))),1)</f>
        <v/>
      </c>
      <c r="AJ235" t="n">
        <v>0.75</v>
      </c>
      <c r="AK235">
        <f>IF($Q$235,$M$235*$AC$235*$U$235,0)</f>
        <v/>
      </c>
      <c r="AL235" t="n">
        <v>777.5999999999999</v>
      </c>
      <c r="AM235">
        <f>IF($Q$235,$M$235*$AE$235*$U$235,0)</f>
        <v/>
      </c>
      <c r="AN235" t="n">
        <v>984.9599999999999</v>
      </c>
      <c r="AO235">
        <f>IF($Q$235,$M$235*$AG$235*$U$235,0)</f>
        <v/>
      </c>
      <c r="AP235" t="n">
        <v>864</v>
      </c>
      <c r="AQ235">
        <f>IF($Q$235,$M$235*$AE$235*$Y$235,0)</f>
        <v/>
      </c>
      <c r="AR235" t="n">
        <v>574.5599999999999</v>
      </c>
      <c r="AS235">
        <f>IF($S$235,$M$235*$AI$235*$W$235,0)</f>
        <v/>
      </c>
      <c r="AT235" t="n">
        <v>162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3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LECH_DOT_1</t>
        </is>
      </c>
      <c r="BC235" t="inlineStr"/>
      <c r="BD235" t="inlineStr">
        <is>
          <t>Assets/MachineBrigade/Resources/Data/balance.json: weapons[id=p26_icarus_ic_coil] (lớp B trên 01_chien_dau/Vu_khi)</t>
        </is>
      </c>
      <c r="BE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432</v>
      </c>
      <c r="AO236">
        <f>IF($Q$236,$M$236*$AG$236*$U$236,0)</f>
        <v/>
      </c>
      <c r="AP236" t="n">
        <v>306</v>
      </c>
      <c r="AQ236">
        <f>IF($Q$236,$M$236*$AE$236*$Y$236,0)</f>
        <v/>
      </c>
      <c r="AR236" t="n">
        <v>192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1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inlineStr"/>
      <c r="BB236" t="inlineStr">
        <is>
          <t>ok</t>
        </is>
      </c>
      <c r="BC236" t="inlineStr"/>
      <c r="BD236" t="inlineStr">
        <is>
          <t>Assets/MachineBrigade/Resources/Data/balance.json: weapons[id=p26_icarus_ic_laser] (lớp B trên 01_chien_dau/Vu_khi)</t>
        </is>
      </c>
      <c r="BE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0.8999999999999999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1.14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1</v>
      </c>
      <c r="AI237">
        <f>INDEX(Bang_xuyen_giap!$C$2:$C$8,MIN(7,MAX(1,MAX(1,2-(Vu_khi!$L$237-0))+1)))*IF($AA$237,INDEX(Bang_xuyen_qua!$C$2:$C$5,MIN(4,MAX(1,(Vu_khi!$L$237)-(0)-1))),1)</f>
        <v/>
      </c>
      <c r="AJ237" t="n">
        <v>0.75</v>
      </c>
      <c r="AK237">
        <f>IF($Q$237,$M$237*$AC$237*$U$237,0)</f>
        <v/>
      </c>
      <c r="AL237" t="n">
        <v>323.9999999999999</v>
      </c>
      <c r="AM237">
        <f>IF($Q$237,$M$237*$AE$237*$U$237,0)</f>
        <v/>
      </c>
      <c r="AN237" t="n">
        <v>410.4</v>
      </c>
      <c r="AO237">
        <f>IF($Q$237,$M$237*$AG$237*$U$237,0)</f>
        <v/>
      </c>
      <c r="AP237" t="n">
        <v>360</v>
      </c>
      <c r="AQ237">
        <f>IF($Q$237,$M$237*$AE$237*$Y$237,0)</f>
        <v/>
      </c>
      <c r="AR237" t="n">
        <v>239.4</v>
      </c>
      <c r="AS237">
        <f>IF($S$237,$M$237*$AI$237*$W$237,0)</f>
        <v/>
      </c>
      <c r="AT237" t="n">
        <v>67.5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inlineStr"/>
      <c r="BB237" t="inlineStr">
        <is>
          <t>ok</t>
        </is>
      </c>
      <c r="BC237" t="b">
        <v>1</v>
      </c>
      <c r="BD237" t="inlineStr">
        <is>
          <t>Assets/MachineBrigade/Resources/Data/balance.json: weapons[id=p26_icarus_main_ic_coil] (lớp B trên 01_chien_dau/Vu_khi)</t>
        </is>
      </c>
      <c r="BE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432</v>
      </c>
      <c r="AO238">
        <f>IF($Q$238,$M$238*$AG$238*$U$238,0)</f>
        <v/>
      </c>
      <c r="AP238" t="n">
        <v>306</v>
      </c>
      <c r="AQ238">
        <f>IF($Q$238,$M$238*$AE$238*$Y$238,0)</f>
        <v/>
      </c>
      <c r="AR238" t="n">
        <v>192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inlineStr">
        <is>
          <t>Assets/MachineBrigade/Resources/Data/balance.json: weapons[id=p26_icarus_sec_orbital_laser] (lớp B trên 01_chien_dau/Vu_khi)</t>
        </is>
      </c>
      <c r="BE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57.59999999999999</v>
      </c>
      <c r="AM239">
        <f>IF($Q$239,$M$239*$AE$239*$U$239,0)</f>
        <v/>
      </c>
      <c r="AN239" t="n">
        <v>72.95999999999999</v>
      </c>
      <c r="AO239">
        <f>IF($Q$239,$M$239*$AG$239*$U$239,0)</f>
        <v/>
      </c>
      <c r="AP239" t="n">
        <v>64</v>
      </c>
      <c r="AQ239">
        <f>IF($Q$239,$M$239*$AE$239*$Y$239,0)</f>
        <v/>
      </c>
      <c r="AR239" t="n">
        <v>42.56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ok</t>
        </is>
      </c>
      <c r="BC239" t="b">
        <v>1</v>
      </c>
      <c r="BD239" t="inlineStr">
        <is>
          <t>Assets/MachineBrigade/Resources/Data/balance.json: weapons[id=p26_ixion_125] (lớp B trên 01_chien_dau/Vu_khi)</t>
        </is>
      </c>
      <c r="BE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0.65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64.01600000000001</v>
      </c>
      <c r="AM240">
        <f>IF($Q$240,$M$240*$AE$240*$U$240,0)</f>
        <v/>
      </c>
      <c r="AN240" t="n">
        <v>53.34666666666667</v>
      </c>
      <c r="AO240">
        <f>IF($Q$240,$M$240*$AG$240*$U$240,0)</f>
        <v/>
      </c>
      <c r="AP240" t="n">
        <v>34.67533333333333</v>
      </c>
      <c r="AQ240">
        <f>IF($Q$240,$M$240*$AE$240*$Y$240,0)</f>
        <v/>
      </c>
      <c r="AR240" t="n">
        <v>85.35466666666667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D240" t="inlineStr">
        <is>
          <t>Assets/MachineBrigade/Resources/Data/balance.json: weapons[id=p26_ixion_125_he] (lớp B trên 01_chien_dau/Vu_khi)</t>
        </is>
      </c>
      <c r="BE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135.8828991371436</v>
      </c>
      <c r="AM241">
        <f>IF($Q$241,$M$241*$AE$241*$U$241,0)</f>
        <v/>
      </c>
      <c r="AN241" t="n">
        <v>88.32388443914333</v>
      </c>
      <c r="AO241">
        <f>IF($Q$241,$M$241*$AG$241*$U$241,0)</f>
        <v/>
      </c>
      <c r="AP241" t="n">
        <v>20.38243487057154</v>
      </c>
      <c r="AQ241">
        <f>IF($Q$241,$M$241*$AE$241*$Y$241,0)</f>
        <v/>
      </c>
      <c r="AR241" t="n">
        <v>51.5222659228336</v>
      </c>
      <c r="AS241">
        <f>IF($S$241,$M$241*$AI$241*$W$241,0)</f>
        <v/>
      </c>
      <c r="AT241" t="n">
        <v>33.97072478428589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1.766227</v>
      </c>
      <c r="BB241" t="inlineStr">
        <is>
          <t>ok</t>
        </is>
      </c>
      <c r="BC241" t="b">
        <v>1</v>
      </c>
      <c r="BD241" t="inlineStr">
        <is>
          <t>Assets/MachineBrigade/Resources/Data/balance.json: weapons[id=p26_ixion_mg] (lớp B trên 01_chien_dau/Vu_khi)</t>
        </is>
      </c>
      <c r="BE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0.85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0.4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102.8810408921933</v>
      </c>
      <c r="AM242">
        <f>IF($Q$242,$M$242*$AE$242*$U$242,0)</f>
        <v/>
      </c>
      <c r="AN242" t="n">
        <v>72.87407063197026</v>
      </c>
      <c r="AO242">
        <f>IF($Q$242,$M$242*$AG$242*$U$242,0)</f>
        <v/>
      </c>
      <c r="AP242" t="n">
        <v>34.29368029739777</v>
      </c>
      <c r="AQ242">
        <f>IF($Q$242,$M$242*$AE$242*$Y$242,0)</f>
        <v/>
      </c>
      <c r="AR242" t="n">
        <v>16.19423791821561</v>
      </c>
      <c r="AS242">
        <f>IF($S$242,$M$242*$AI$242*$W$242,0)</f>
        <v/>
      </c>
      <c r="AT242" t="n">
        <v>257.2026022304833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2.405691</v>
      </c>
      <c r="BB242" t="inlineStr">
        <is>
          <t>ok</t>
        </is>
      </c>
      <c r="BC242" t="b">
        <v>1</v>
      </c>
      <c r="BD242" t="inlineStr">
        <is>
          <t>Assets/MachineBrigade/Resources/Data/balance.json: weapons[id=p26_jotunn_close_boss_flak] (lớp B trên 01_chien_dau/Vu_khi)</t>
        </is>
      </c>
      <c r="BE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inlineStr">
        <is>
          <t>Assets/MachineBrigade/Resources/Data/balance.json: weapons[id=p26_jotunn_direct_jo125] (lớp B trên 01_chien_dau/Vu_khi)</t>
        </is>
      </c>
      <c r="BE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AND(Vu_khi!$K$244="Kinetic",NOT(Vu_khi!$AG$244))</f>
        <v/>
      </c>
      <c r="AB244" t="b">
        <v>1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0.8999999999999999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1.14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1</v>
      </c>
      <c r="AI244">
        <f>INDEX(Bang_xuyen_giap!$C$2:$C$8,MIN(7,MAX(1,MAX(1,2-(Vu_khi!$L$244-0))+1)))*IF($AA$244,INDEX(Bang_xuyen_qua!$C$2:$C$5,MIN(4,MAX(1,(Vu_khi!$L$244)-(0)-1))),1)</f>
        <v/>
      </c>
      <c r="AJ244" t="n">
        <v>0.75</v>
      </c>
      <c r="AK244">
        <f>IF($Q$244,$M$244*$AC$244*$U$244,0)</f>
        <v/>
      </c>
      <c r="AL244" t="n">
        <v>151.2</v>
      </c>
      <c r="AM244">
        <f>IF($Q$244,$M$244*$AE$244*$U$244,0)</f>
        <v/>
      </c>
      <c r="AN244" t="n">
        <v>191.52</v>
      </c>
      <c r="AO244">
        <f>IF($Q$244,$M$244*$AG$244*$U$244,0)</f>
        <v/>
      </c>
      <c r="AP244" t="n">
        <v>168</v>
      </c>
      <c r="AQ244">
        <f>IF($Q$244,$M$244*$AE$244*$Y$244,0)</f>
        <v/>
      </c>
      <c r="AR244" t="n">
        <v>111.72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n">
        <v>0.186667</v>
      </c>
      <c r="BB244" t="inlineStr">
        <is>
          <t>NHANH_QUA;LECH_DOT_1</t>
        </is>
      </c>
      <c r="BC244" t="inlineStr"/>
      <c r="BD244" t="inlineStr">
        <is>
          <t>Assets/MachineBrigade/Resources/Data/balance.json: weapons[id=p26_jotunn_jo125] (lớp B trên 01_chien_dau/Vu_khi)</t>
        </is>
      </c>
      <c r="BE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45</v>
      </c>
      <c r="AO245">
        <f>IF($Q$245,$M$245*$AG$245*$U$245,0)</f>
        <v/>
      </c>
      <c r="AP245" t="n">
        <v>31.875</v>
      </c>
      <c r="AQ245">
        <f>IF($Q$245,$M$245*$AE$245*$Y$245,0)</f>
        <v/>
      </c>
      <c r="AR245" t="n">
        <v>72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1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2.5</v>
      </c>
      <c r="BA245" t="n">
        <v>0.7</v>
      </c>
      <c r="BB245" t="inlineStr">
        <is>
          <t>ok</t>
        </is>
      </c>
      <c r="BC245" t="b">
        <v>1</v>
      </c>
      <c r="BD245" t="inlineStr">
        <is>
          <t>Assets/MachineBrigade/Resources/Data/balance.json: weapons[id=p26_jotunn_jo203] (lớp B trên 01_chien_dau/Vu_khi)</t>
        </is>
      </c>
      <c r="BE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105.6</v>
      </c>
      <c r="AM246">
        <f>IF($Q$246,$M$246*$AE$246*$U$246,0)</f>
        <v/>
      </c>
      <c r="AN246" t="n">
        <v>74.8</v>
      </c>
      <c r="AO246">
        <f>IF($Q$246,$M$246*$AG$246*$U$246,0)</f>
        <v/>
      </c>
      <c r="AP246" t="n">
        <v>35.2</v>
      </c>
      <c r="AQ246">
        <f>IF($Q$246,$M$246*$AE$246*$Y$246,0)</f>
        <v/>
      </c>
      <c r="AR246" t="n">
        <v>119.68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1</v>
      </c>
      <c r="AW246">
        <f>IF(AND($B$246&lt;0,$AU$246),4,$B$246)</f>
        <v/>
      </c>
      <c r="AX246" t="n">
        <v>4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2.5</v>
      </c>
      <c r="BA246" t="n">
        <v>0.095</v>
      </c>
      <c r="BB246" t="inlineStr">
        <is>
          <t>NHANH_QUA;LECH_DOT_1</t>
        </is>
      </c>
      <c r="BC246" t="inlineStr"/>
      <c r="BD246" t="inlineStr">
        <is>
          <t>Assets/MachineBrigade/Resources/Data/balance.json: weapons[id=p26_jotunn_jo_rockets] (lớp B trên 01_chien_dau/Vu_khi)</t>
        </is>
      </c>
      <c r="BE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0.85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0.4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113.8339920948617</v>
      </c>
      <c r="AM247">
        <f>IF($Q$247,$M$247*$AE$247*$U$247,0)</f>
        <v/>
      </c>
      <c r="AN247" t="n">
        <v>80.63241106719369</v>
      </c>
      <c r="AO247">
        <f>IF($Q$247,$M$247*$AG$247*$U$247,0)</f>
        <v/>
      </c>
      <c r="AP247" t="n">
        <v>37.94466403162055</v>
      </c>
      <c r="AQ247">
        <f>IF($Q$247,$M$247*$AE$247*$Y$247,0)</f>
        <v/>
      </c>
      <c r="AR247" t="n">
        <v>129.0118577075099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1</v>
      </c>
      <c r="AW247">
        <f>IF(AND($B$247&lt;0,$AU$247),4,$B$247)</f>
        <v/>
      </c>
      <c r="AX247" t="n">
        <v>4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2.5</v>
      </c>
      <c r="BA247" t="n">
        <v>1.003833</v>
      </c>
      <c r="BB247" t="inlineStr">
        <is>
          <t>ok</t>
        </is>
      </c>
      <c r="BC247" t="b">
        <v>1</v>
      </c>
      <c r="BD247" t="inlineStr">
        <is>
          <t>Assets/MachineBrigade/Resources/Data/balance.json: weapons[id=p26_jotunn_sec_jo_rockets] (lớp B trên 01_chien_dau/Vu_khi)</t>
        </is>
      </c>
      <c r="BE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AND(Vu_khi!$K$248="Kinetic",NOT(Vu_khi!$AG$248))</f>
        <v/>
      </c>
      <c r="AB248" t="b">
        <v>0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1.2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0.85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0.4</v>
      </c>
      <c r="AI248">
        <f>INDEX(Bang_xuyen_giap!$C$2:$C$8,MIN(7,MAX(1,MAX(1,2-(Vu_khi!$L$248-0))+1)))*IF($AA$248,INDEX(Bang_xuyen_qua!$C$2:$C$5,MIN(4,MAX(1,(Vu_khi!$L$248)-(0)-1))),1)</f>
        <v/>
      </c>
      <c r="AJ248" t="n">
        <v>1</v>
      </c>
      <c r="AK248">
        <f>IF($Q$248,$M$248*$AC$248*$U$248,0)</f>
        <v/>
      </c>
      <c r="AL248" t="n">
        <v>272.5161290322581</v>
      </c>
      <c r="AM248">
        <f>IF($Q$248,$M$248*$AE$248*$U$248,0)</f>
        <v/>
      </c>
      <c r="AN248" t="n">
        <v>193.0322580645162</v>
      </c>
      <c r="AO248">
        <f>IF($Q$248,$M$248*$AG$248*$U$248,0)</f>
        <v/>
      </c>
      <c r="AP248" t="n">
        <v>90.83870967741937</v>
      </c>
      <c r="AQ248">
        <f>IF($Q$248,$M$248*$AE$248*$Y$248,0)</f>
        <v/>
      </c>
      <c r="AR248" t="n">
        <v>42.89605734767026</v>
      </c>
      <c r="AS248">
        <f>IF($S$248,$M$248*$AI$248*$W$248,0)</f>
        <v/>
      </c>
      <c r="AT248" t="n">
        <v>681.2903225806452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1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3.632812</v>
      </c>
      <c r="BB248" t="inlineStr">
        <is>
          <t>ok</t>
        </is>
      </c>
      <c r="BC248" t="b">
        <v>1</v>
      </c>
      <c r="BD248" t="inlineStr">
        <is>
          <t>Assets/MachineBrigade/Resources/Data/balance.json: weapons[id=p26_jotunn_tiny_twin_30_flak] (lớp B trên 01_chien_dau/Vu_khi)</t>
        </is>
      </c>
      <c r="BE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AND(Vu_khi!$K$249="Kinetic",NOT(Vu_khi!$AG$249))</f>
        <v/>
      </c>
      <c r="AB249" t="b">
        <v>1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0.8999999999999999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1.14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1</v>
      </c>
      <c r="AI249">
        <f>INDEX(Bang_xuyen_giap!$C$2:$C$8,MIN(7,MAX(1,MAX(1,2-(Vu_khi!$L$249-0))+1)))*IF($AA$249,INDEX(Bang_xuyen_qua!$C$2:$C$5,MIN(4,MAX(1,(Vu_khi!$L$249)-(0)-1))),1)</f>
        <v/>
      </c>
      <c r="AJ249" t="n">
        <v>0.75</v>
      </c>
      <c r="AK249">
        <f>IF($Q$249,$M$249*$AC$249*$U$249,0)</f>
        <v/>
      </c>
      <c r="AL249" t="n">
        <v>136.8</v>
      </c>
      <c r="AM249">
        <f>IF($Q$249,$M$249*$AE$249*$U$249,0)</f>
        <v/>
      </c>
      <c r="AN249" t="n">
        <v>173.28</v>
      </c>
      <c r="AO249">
        <f>IF($Q$249,$M$249*$AG$249*$U$249,0)</f>
        <v/>
      </c>
      <c r="AP249" t="n">
        <v>152</v>
      </c>
      <c r="AQ249">
        <f>IF($Q$249,$M$249*$AE$249*$Y$249,0)</f>
        <v/>
      </c>
      <c r="AR249" t="n">
        <v>101.08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1.05</v>
      </c>
      <c r="BB249" t="inlineStr">
        <is>
          <t>ok</t>
        </is>
      </c>
      <c r="BC249" t="b">
        <v>1</v>
      </c>
      <c r="BD249" t="inlineStr">
        <is>
          <t>Assets/MachineBrigade/Resources/Data/balance.json: weapons[id=p26_leviathan_direct_lev127] (lớp B trên 01_chien_dau/Vu_khi)</t>
        </is>
      </c>
      <c r="BE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172.8</v>
      </c>
      <c r="AM250">
        <f>IF($Q$250,$M$250*$AE$250*$U$250,0)</f>
        <v/>
      </c>
      <c r="AN250" t="n">
        <v>218.88</v>
      </c>
      <c r="AO250">
        <f>IF($Q$250,$M$250*$AG$250*$U$250,0)</f>
        <v/>
      </c>
      <c r="AP250" t="n">
        <v>192</v>
      </c>
      <c r="AQ250">
        <f>IF($Q$250,$M$250*$AE$250*$Y$250,0)</f>
        <v/>
      </c>
      <c r="AR250" t="n">
        <v>127.68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n">
        <v>0.7</v>
      </c>
      <c r="BB250" t="inlineStr">
        <is>
          <t>LECH_DOT_1</t>
        </is>
      </c>
      <c r="BC250" t="inlineStr"/>
      <c r="BD250" t="inlineStr">
        <is>
          <t>Assets/MachineBrigade/Resources/Data/balance.json: weapons[id=p26_leviathan_lev127] (lớp B trên 01_chien_dau/Vu_khi)</t>
        </is>
      </c>
      <c r="BE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0.65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122.4</v>
      </c>
      <c r="AM251">
        <f>IF($Q$251,$M$251*$AE$251*$U$251,0)</f>
        <v/>
      </c>
      <c r="AN251" t="n">
        <v>102</v>
      </c>
      <c r="AO251">
        <f>IF($Q$251,$M$251*$AG$251*$U$251,0)</f>
        <v/>
      </c>
      <c r="AP251" t="n">
        <v>66.3</v>
      </c>
      <c r="AQ251">
        <f>IF($Q$251,$M$251*$AE$251*$Y$251,0)</f>
        <v/>
      </c>
      <c r="AR251" t="n">
        <v>163.2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3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0.291667</v>
      </c>
      <c r="BB251" t="inlineStr">
        <is>
          <t>NHANH_QUA;LECH_DOT_1</t>
        </is>
      </c>
      <c r="BC251" t="inlineStr"/>
      <c r="BD251" t="inlineStr">
        <is>
          <t>Assets/MachineBrigade/Resources/Data/balance.json: weapons[id=p26_leviathan_lev155] (lớp B trên 01_chien_dau/Vu_khi)</t>
        </is>
      </c>
      <c r="BE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1.2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0.85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144</v>
      </c>
      <c r="AO252">
        <f>IF($Q$252,$M$252*$AG$252*$U$252,0)</f>
        <v/>
      </c>
      <c r="AP252" t="n">
        <v>102</v>
      </c>
      <c r="AQ252">
        <f>IF($Q$252,$M$252*$AE$252*$Y$252,0)</f>
        <v/>
      </c>
      <c r="AR252" t="n">
        <v>230.4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5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3.611111111111111</v>
      </c>
      <c r="BA252" t="n">
        <v>1.4</v>
      </c>
      <c r="BB252" t="inlineStr">
        <is>
          <t>ok</t>
        </is>
      </c>
      <c r="BC252" t="b">
        <v>1</v>
      </c>
      <c r="BD252" t="inlineStr">
        <is>
          <t>Assets/MachineBrigade/Resources/Data/balance.json: weapons[id=p26_leviathan_lev406] (lớp B trên 01_chien_dau/Vu_khi)</t>
        </is>
      </c>
      <c r="BE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205.7142857142857</v>
      </c>
      <c r="AM253">
        <f>IF($Q$253,$M$253*$AE$253*$U$253,0)</f>
        <v/>
      </c>
      <c r="AN253" t="n">
        <v>171.4285714285714</v>
      </c>
      <c r="AO253">
        <f>IF($Q$253,$M$253*$AG$253*$U$253,0)</f>
        <v/>
      </c>
      <c r="AP253" t="n">
        <v>111.4285714285714</v>
      </c>
      <c r="AQ253">
        <f>IF($Q$253,$M$253*$AE$253*$Y$253,0)</f>
        <v/>
      </c>
      <c r="AR253" t="n">
        <v>274.2857142857143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0.6125</v>
      </c>
      <c r="BB253" t="inlineStr">
        <is>
          <t>LECH_HO</t>
        </is>
      </c>
      <c r="BC253" t="b">
        <v>0</v>
      </c>
      <c r="BD253" t="inlineStr">
        <is>
          <t>Assets/MachineBrigade/Resources/Data/balance.json: weapons[id=p26_leviathan_sec_lev155] (lớp B trên 01_chien_dau/Vu_khi)</t>
        </is>
      </c>
      <c r="BE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1.2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0.85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0.4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102.8810408921933</v>
      </c>
      <c r="AM254">
        <f>IF($Q$254,$M$254*$AE$254*$U$254,0)</f>
        <v/>
      </c>
      <c r="AN254" t="n">
        <v>72.87407063197026</v>
      </c>
      <c r="AO254">
        <f>IF($Q$254,$M$254*$AG$254*$U$254,0)</f>
        <v/>
      </c>
      <c r="AP254" t="n">
        <v>34.29368029739777</v>
      </c>
      <c r="AQ254">
        <f>IF($Q$254,$M$254*$AE$254*$Y$254,0)</f>
        <v/>
      </c>
      <c r="AR254" t="n">
        <v>16.19423791821561</v>
      </c>
      <c r="AS254">
        <f>IF($S$254,$M$254*$AI$254*$W$254,0)</f>
        <v/>
      </c>
      <c r="AT254" t="n">
        <v>257.2026022304833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1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2.405691</v>
      </c>
      <c r="BB254" t="inlineStr">
        <is>
          <t>ok</t>
        </is>
      </c>
      <c r="BC254" t="b">
        <v>1</v>
      </c>
      <c r="BD254" t="inlineStr">
        <is>
          <t>Assets/MachineBrigade/Resources/Data/balance.json: weapons[id=p26_matriarch_close_boss_flak] (lớp B trên 01_chien_dau/Vu_khi)</t>
        </is>
      </c>
      <c r="BE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1.2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1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17.94</v>
      </c>
      <c r="AO255">
        <f>IF($Q$255,$M$255*$AG$255*$U$255,0)</f>
        <v/>
      </c>
      <c r="AP255" t="n">
        <v>14.95</v>
      </c>
      <c r="AQ255">
        <f>IF($Q$255,$M$255*$AE$255*$Y$255,0)</f>
        <v/>
      </c>
      <c r="AR255" t="n">
        <v>6.210000000000001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2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</v>
      </c>
      <c r="BB255" t="inlineStr">
        <is>
          <t>ok</t>
        </is>
      </c>
      <c r="BC255" t="b">
        <v>1</v>
      </c>
      <c r="BD255" t="inlineStr">
        <is>
          <t>Assets/MachineBrigade/Resources/Data/balance.json: weapons[id=p26_matriarch_direct_ma_atgm] (lớp B trên 01_chien_dau/Vu_khi)</t>
        </is>
      </c>
      <c r="BE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265.2</v>
      </c>
      <c r="AO256">
        <f>IF($Q$256,$M$256*$AG$256*$U$256,0)</f>
        <v/>
      </c>
      <c r="AP256" t="n">
        <v>221</v>
      </c>
      <c r="AQ256">
        <f>IF($Q$256,$M$256*$AE$256*$Y$256,0)</f>
        <v/>
      </c>
      <c r="AR256" t="n">
        <v>91.80000000000001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0.1</v>
      </c>
      <c r="BB256" t="inlineStr">
        <is>
          <t>NHANH_QUA;LECH_DOT_1</t>
        </is>
      </c>
      <c r="BC256" t="inlineStr"/>
      <c r="BD256" t="inlineStr">
        <is>
          <t>Assets/MachineBrigade/Resources/Data/balance.json: weapons[id=p26_matriarch_ma_atgm] (lớp B trên 01_chien_dau/Vu_khi)</t>
        </is>
      </c>
      <c r="BE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1.15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0.95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574.0799999999999</v>
      </c>
      <c r="AO257">
        <f>IF($Q$257,$M$257*$AG$257*$U$257,0)</f>
        <v/>
      </c>
      <c r="AP257" t="n">
        <v>474.24</v>
      </c>
      <c r="AQ257">
        <f>IF($Q$257,$M$257*$AE$257*$Y$257,0)</f>
        <v/>
      </c>
      <c r="AR257" t="n">
        <v>198.72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2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inlineStr"/>
      <c r="BB257" t="inlineStr">
        <is>
          <t>ok</t>
        </is>
      </c>
      <c r="BC257" t="b">
        <v>1</v>
      </c>
      <c r="BD257" t="inlineStr">
        <is>
          <t>Assets/MachineBrigade/Resources/Data/balance.json: weapons[id=p26_matriarch_ma_drones] (lớp B trên 01_chien_dau/Vu_khi)</t>
        </is>
      </c>
      <c r="BE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126.7250690027601</v>
      </c>
      <c r="AM258">
        <f>IF($Q$258,$M$258*$AE$258*$U$258,0)</f>
        <v/>
      </c>
      <c r="AN258" t="n">
        <v>89.76359054362173</v>
      </c>
      <c r="AO258">
        <f>IF($Q$258,$M$258*$AG$258*$U$258,0)</f>
        <v/>
      </c>
      <c r="AP258" t="n">
        <v>42.2416896675867</v>
      </c>
      <c r="AQ258">
        <f>IF($Q$258,$M$258*$AE$258*$Y$258,0)</f>
        <v/>
      </c>
      <c r="AR258" t="n">
        <v>52.36209448377934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3.3332</v>
      </c>
      <c r="BB258" t="inlineStr">
        <is>
          <t>ok</t>
        </is>
      </c>
      <c r="BC258" t="b">
        <v>1</v>
      </c>
      <c r="BD258" t="inlineStr">
        <is>
          <t>Assets/MachineBrigade/Resources/Data/balance.json: weapons[id=p26_matriarch_sec_autocannon_30] (lớp B trên 01_chien_dau/Vu_khi)</t>
        </is>
      </c>
      <c r="BE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134.2657342657343</v>
      </c>
      <c r="AM259">
        <f>IF($Q$259,$M$259*$AE$259*$U$259,0)</f>
        <v/>
      </c>
      <c r="AN259" t="n">
        <v>95.10489510489511</v>
      </c>
      <c r="AO259">
        <f>IF($Q$259,$M$259*$AG$259*$U$259,0)</f>
        <v/>
      </c>
      <c r="AP259" t="n">
        <v>44.75524475524476</v>
      </c>
      <c r="AQ259">
        <f>IF($Q$259,$M$259*$AE$259*$Y$259,0)</f>
        <v/>
      </c>
      <c r="AR259" t="n">
        <v>152.1678321678322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2.145</v>
      </c>
      <c r="BB259" t="inlineStr">
        <is>
          <t>ok</t>
        </is>
      </c>
      <c r="BC259" t="b">
        <v>1</v>
      </c>
      <c r="BD259" t="inlineStr">
        <is>
          <t>Assets/MachineBrigade/Resources/Data/balance.json: weapons[id=p26_matriarch_tiny_mothership_cannon] (lớp B trên 01_chien_dau/Vu_khi)</t>
        </is>
      </c>
      <c r="BE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102.8810408921933</v>
      </c>
      <c r="AM260">
        <f>IF($Q$260,$M$260*$AE$260*$U$260,0)</f>
        <v/>
      </c>
      <c r="AN260" t="n">
        <v>72.87407063197026</v>
      </c>
      <c r="AO260">
        <f>IF($Q$260,$M$260*$AG$260*$U$260,0)</f>
        <v/>
      </c>
      <c r="AP260" t="n">
        <v>34.29368029739777</v>
      </c>
      <c r="AQ260">
        <f>IF($Q$260,$M$260*$AE$260*$Y$260,0)</f>
        <v/>
      </c>
      <c r="AR260" t="n">
        <v>16.19423791821561</v>
      </c>
      <c r="AS260">
        <f>IF($S$260,$M$260*$AI$260*$W$260,0)</f>
        <v/>
      </c>
      <c r="AT260" t="n">
        <v>257.2026022304833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1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2.405691</v>
      </c>
      <c r="BB260" t="inlineStr">
        <is>
          <t>ok</t>
        </is>
      </c>
      <c r="BC260" t="b">
        <v>1</v>
      </c>
      <c r="BD260" t="inlineStr">
        <is>
          <t>Assets/MachineBrigade/Resources/Data/balance.json: weapons[id=p26_moloch_close_boss_flak] (lớp B trên 01_chien_dau/Vu_khi)</t>
        </is>
      </c>
      <c r="BE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AND(Vu_khi!$K$261="Kinetic",NOT(Vu_khi!$AG$261))</f>
        <v/>
      </c>
      <c r="AB261" t="b">
        <v>1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0.8999999999999999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1.14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1</v>
      </c>
      <c r="AI261">
        <f>INDEX(Bang_xuyen_giap!$C$2:$C$8,MIN(7,MAX(1,MAX(1,2-(Vu_khi!$L$261-0))+1)))*IF($AA$261,INDEX(Bang_xuyen_qua!$C$2:$C$5,MIN(4,MAX(1,(Vu_khi!$L$261)-(0)-1))),1)</f>
        <v/>
      </c>
      <c r="AJ261" t="n">
        <v>0.75</v>
      </c>
      <c r="AK261">
        <f>IF($Q$261,$M$261*$AC$261*$U$261,0)</f>
        <v/>
      </c>
      <c r="AL261" t="n">
        <v>74.87999999999998</v>
      </c>
      <c r="AM261">
        <f>IF($Q$261,$M$261*$AE$261*$U$261,0)</f>
        <v/>
      </c>
      <c r="AN261" t="n">
        <v>94.84799999999998</v>
      </c>
      <c r="AO261">
        <f>IF($Q$261,$M$261*$AG$261*$U$261,0)</f>
        <v/>
      </c>
      <c r="AP261" t="n">
        <v>83.19999999999999</v>
      </c>
      <c r="AQ261">
        <f>IF($Q$261,$M$261*$AE$261*$Y$261,0)</f>
        <v/>
      </c>
      <c r="AR261" t="n">
        <v>55.32799999999999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3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0.7</v>
      </c>
      <c r="BB261" t="inlineStr">
        <is>
          <t>ok</t>
        </is>
      </c>
      <c r="BC261" t="b">
        <v>1</v>
      </c>
      <c r="BD261" t="inlineStr">
        <is>
          <t>Assets/MachineBrigade/Resources/Data/balance.json: weapons[id=p26_moloch_direct_mo120ap] (lớp B trên 01_chien_dau/Vu_khi)</t>
        </is>
      </c>
      <c r="BE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AND(Vu_khi!$K$262="Kinetic",NOT(Vu_khi!$AG$262))</f>
        <v/>
      </c>
      <c r="AB262" t="b">
        <v>0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1.2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0.85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108.8</v>
      </c>
      <c r="AO262">
        <f>IF($Q$262,$M$262*$AG$262*$U$262,0)</f>
        <v/>
      </c>
      <c r="AP262" t="n">
        <v>77.06666666666666</v>
      </c>
      <c r="AQ262">
        <f>IF($Q$262,$M$262*$AE$262*$Y$262,0)</f>
        <v/>
      </c>
      <c r="AR262" t="n">
        <v>174.08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ok</t>
        </is>
      </c>
      <c r="BC262" t="b">
        <v>1</v>
      </c>
      <c r="BD262" t="inlineStr">
        <is>
          <t>Assets/MachineBrigade/Resources/Data/balance.json: weapons[id=p26_moloch_main_mo120] (lớp B trên 01_chien_dau/Vu_khi)</t>
        </is>
      </c>
      <c r="BE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1.2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0.85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135</v>
      </c>
      <c r="AO263">
        <f>IF($Q$263,$M$263*$AG$263*$U$263,0)</f>
        <v/>
      </c>
      <c r="AP263" t="n">
        <v>95.625</v>
      </c>
      <c r="AQ263">
        <f>IF($Q$263,$M$263*$AE$263*$Y$263,0)</f>
        <v/>
      </c>
      <c r="AR263" t="n">
        <v>216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0.186667</v>
      </c>
      <c r="BB263" t="inlineStr">
        <is>
          <t>NHANH_QUA;LECH_DOT_1</t>
        </is>
      </c>
      <c r="BC263" t="inlineStr"/>
      <c r="BD263" t="inlineStr">
        <is>
          <t>Assets/MachineBrigade/Resources/Data/balance.json: weapons[id=p26_moloch_mo120] (lớp B trên 01_chien_dau/Vu_khi)</t>
        </is>
      </c>
      <c r="BE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AND(Vu_khi!$K$264="Kinetic",NOT(Vu_khi!$AG$264))</f>
        <v/>
      </c>
      <c r="AB264" t="b">
        <v>1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0.8999999999999999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1.14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1</v>
      </c>
      <c r="AI264">
        <f>INDEX(Bang_xuyen_giap!$C$2:$C$8,MIN(7,MAX(1,MAX(1,2-(Vu_khi!$L$264-0))+1)))*IF($AA$264,INDEX(Bang_xuyen_qua!$C$2:$C$5,MIN(4,MAX(1,(Vu_khi!$L$264)-(0)-1))),1)</f>
        <v/>
      </c>
      <c r="AJ264" t="n">
        <v>0.75</v>
      </c>
      <c r="AK264">
        <f>IF($Q$264,$M$264*$AC$264*$U$264,0)</f>
        <v/>
      </c>
      <c r="AL264" t="n">
        <v>129.6</v>
      </c>
      <c r="AM264">
        <f>IF($Q$264,$M$264*$AE$264*$U$264,0)</f>
        <v/>
      </c>
      <c r="AN264" t="n">
        <v>164.16</v>
      </c>
      <c r="AO264">
        <f>IF($Q$264,$M$264*$AG$264*$U$264,0)</f>
        <v/>
      </c>
      <c r="AP264" t="n">
        <v>144</v>
      </c>
      <c r="AQ264">
        <f>IF($Q$264,$M$264*$AE$264*$Y$264,0)</f>
        <v/>
      </c>
      <c r="AR264" t="n">
        <v>95.75999999999999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0.186667</v>
      </c>
      <c r="BB264" t="inlineStr">
        <is>
          <t>NHANH_QUA;LECH_DOT_1</t>
        </is>
      </c>
      <c r="BC264" t="inlineStr"/>
      <c r="BD264" t="inlineStr">
        <is>
          <t>Assets/MachineBrigade/Resources/Data/balance.json: weapons[id=p26_moloch_mo120ap] (lớp B trên 01_chien_dau/Vu_khi)</t>
        </is>
      </c>
      <c r="BE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0.65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0.15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31.75403225806452</v>
      </c>
      <c r="AM265">
        <f>IF($Q$265,$M$265*$AE$265*$U$265,0)</f>
        <v/>
      </c>
      <c r="AN265" t="n">
        <v>20.64012096774194</v>
      </c>
      <c r="AO265">
        <f>IF($Q$265,$M$265*$AG$265*$U$265,0)</f>
        <v/>
      </c>
      <c r="AP265" t="n">
        <v>4.763104838709678</v>
      </c>
      <c r="AQ265">
        <f>IF($Q$265,$M$265*$AE$265*$Y$265,0)</f>
        <v/>
      </c>
      <c r="AR265" t="n">
        <v>4.586693548387097</v>
      </c>
      <c r="AS265">
        <f>IF($S$265,$M$265*$AI$265*$W$265,0)</f>
        <v/>
      </c>
      <c r="AT265" t="n">
        <v>95.26209677419355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1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1.653333</v>
      </c>
      <c r="BB265" t="inlineStr">
        <is>
          <t>ok</t>
        </is>
      </c>
      <c r="BC265" t="b">
        <v>1</v>
      </c>
      <c r="BD265" t="inlineStr">
        <is>
          <t>Assets/MachineBrigade/Resources/Data/balance.json: weapons[id=p26_moloch_tiny_zu23] (lớp B trên 01_chien_dau/Vu_khi)</t>
        </is>
      </c>
      <c r="BE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0.85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0.4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102.8810408921933</v>
      </c>
      <c r="AM266">
        <f>IF($Q$266,$M$266*$AE$266*$U$266,0)</f>
        <v/>
      </c>
      <c r="AN266" t="n">
        <v>72.87407063197026</v>
      </c>
      <c r="AO266">
        <f>IF($Q$266,$M$266*$AG$266*$U$266,0)</f>
        <v/>
      </c>
      <c r="AP266" t="n">
        <v>34.29368029739777</v>
      </c>
      <c r="AQ266">
        <f>IF($Q$266,$M$266*$AE$266*$Y$266,0)</f>
        <v/>
      </c>
      <c r="AR266" t="n">
        <v>16.19423791821561</v>
      </c>
      <c r="AS266">
        <f>IF($S$266,$M$266*$AI$266*$W$266,0)</f>
        <v/>
      </c>
      <c r="AT266" t="n">
        <v>257.2026022304833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1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2.405691</v>
      </c>
      <c r="BB266" t="inlineStr">
        <is>
          <t>ok</t>
        </is>
      </c>
      <c r="BC266" t="b">
        <v>1</v>
      </c>
      <c r="BD266" t="inlineStr">
        <is>
          <t>Assets/MachineBrigade/Resources/Data/balance.json: weapons[id=p26_nemesis_close_boss_flak] (lớp B trên 01_chien_dau/Vu_khi)</t>
        </is>
      </c>
      <c r="BE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57.59999999999999</v>
      </c>
      <c r="AM267">
        <f>IF($Q$267,$M$267*$AE$267*$U$267,0)</f>
        <v/>
      </c>
      <c r="AN267" t="n">
        <v>72.95999999999999</v>
      </c>
      <c r="AO267">
        <f>IF($Q$267,$M$267*$AG$267*$U$267,0)</f>
        <v/>
      </c>
      <c r="AP267" t="n">
        <v>64</v>
      </c>
      <c r="AQ267">
        <f>IF($Q$267,$M$267*$AE$267*$Y$267,0)</f>
        <v/>
      </c>
      <c r="AR267" t="n">
        <v>42.56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0.7</v>
      </c>
      <c r="BB267" t="inlineStr">
        <is>
          <t>ok</t>
        </is>
      </c>
      <c r="BC267" t="b">
        <v>1</v>
      </c>
      <c r="BD267" t="inlineStr">
        <is>
          <t>Assets/MachineBrigade/Resources/Data/balance.json: weapons[id=p26_nemesis_direct_ne125] (lớp B trên 01_chien_dau/Vu_khi)</t>
        </is>
      </c>
      <c r="BE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0.65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96</v>
      </c>
      <c r="AM268">
        <f>IF($Q$268,$M$268*$AE$268*$U$268,0)</f>
        <v/>
      </c>
      <c r="AN268" t="n">
        <v>80</v>
      </c>
      <c r="AO268">
        <f>IF($Q$268,$M$268*$AG$268*$U$268,0)</f>
        <v/>
      </c>
      <c r="AP268" t="n">
        <v>52</v>
      </c>
      <c r="AQ268">
        <f>IF($Q$268,$M$268*$AE$268*$Y$268,0)</f>
        <v/>
      </c>
      <c r="AR268" t="n">
        <v>128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0.7</v>
      </c>
      <c r="BB268" t="inlineStr">
        <is>
          <t>ok</t>
        </is>
      </c>
      <c r="BC268" t="b">
        <v>1</v>
      </c>
      <c r="BD268" t="inlineStr">
        <is>
          <t>Assets/MachineBrigade/Resources/Data/balance.json: weapons[id=p26_nemesis_main_ne152] (lớp B trên 01_chien_dau/Vu_khi)</t>
        </is>
      </c>
      <c r="BE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AND(Vu_khi!$K$269="Kinetic",NOT(Vu_khi!$AG$269))</f>
        <v/>
      </c>
      <c r="AB269" t="b">
        <v>1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0.8999999999999999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1.14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0.75</v>
      </c>
      <c r="AK269">
        <f>IF($Q$269,$M$269*$AC$269*$U$269,0)</f>
        <v/>
      </c>
      <c r="AL269" t="n">
        <v>151.2</v>
      </c>
      <c r="AM269">
        <f>IF($Q$269,$M$269*$AE$269*$U$269,0)</f>
        <v/>
      </c>
      <c r="AN269" t="n">
        <v>191.52</v>
      </c>
      <c r="AO269">
        <f>IF($Q$269,$M$269*$AG$269*$U$269,0)</f>
        <v/>
      </c>
      <c r="AP269" t="n">
        <v>168</v>
      </c>
      <c r="AQ269">
        <f>IF($Q$269,$M$269*$AE$269*$Y$269,0)</f>
        <v/>
      </c>
      <c r="AR269" t="n">
        <v>111.72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3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0.186667</v>
      </c>
      <c r="BB269" t="inlineStr">
        <is>
          <t>NHANH_QUA;LECH_DOT_1</t>
        </is>
      </c>
      <c r="BC269" t="inlineStr"/>
      <c r="BD269" t="inlineStr">
        <is>
          <t>Assets/MachineBrigade/Resources/Data/balance.json: weapons[id=p26_nemesis_ne125] (lớp B trên 01_chien_dau/Vu_khi)</t>
        </is>
      </c>
      <c r="BE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0.65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595.1999999999999</v>
      </c>
      <c r="AM270">
        <f>IF($Q$270,$M$270*$AE$270*$U$270,0)</f>
        <v/>
      </c>
      <c r="AN270" t="n">
        <v>496</v>
      </c>
      <c r="AO270">
        <f>IF($Q$270,$M$270*$AG$270*$U$270,0)</f>
        <v/>
      </c>
      <c r="AP270" t="n">
        <v>322.4</v>
      </c>
      <c r="AQ270">
        <f>IF($Q$270,$M$270*$AE$270*$Y$270,0)</f>
        <v/>
      </c>
      <c r="AR270" t="n">
        <v>793.6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3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0.116667</v>
      </c>
      <c r="BB270" t="inlineStr">
        <is>
          <t>NHANH_QUA;LECH_DOT_1</t>
        </is>
      </c>
      <c r="BC270" t="inlineStr"/>
      <c r="BD270" t="inlineStr">
        <is>
          <t>Assets/MachineBrigade/Resources/Data/balance.json: weapons[id=p26_nemesis_ne152] (lớp B trên 01_chien_dau/Vu_khi)</t>
        </is>
      </c>
      <c r="BE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437.5569735642661</v>
      </c>
      <c r="AM271">
        <f>IF($Q$271,$M$271*$AE$271*$U$271,0)</f>
        <v/>
      </c>
      <c r="AN271" t="n">
        <v>309.9361896080218</v>
      </c>
      <c r="AO271">
        <f>IF($Q$271,$M$271*$AG$271*$U$271,0)</f>
        <v/>
      </c>
      <c r="AP271" t="n">
        <v>145.852324521422</v>
      </c>
      <c r="AQ271">
        <f>IF($Q$271,$M$271*$AE$271*$Y$271,0)</f>
        <v/>
      </c>
      <c r="AR271" t="n">
        <v>495.897903372835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1</v>
      </c>
      <c r="BB271" t="inlineStr">
        <is>
          <t>LECH_HO</t>
        </is>
      </c>
      <c r="BC271" t="b">
        <v>0</v>
      </c>
      <c r="BD271" t="inlineStr">
        <is>
          <t>Assets/MachineBrigade/Resources/Data/balance.json: weapons[id=p26_nemesis_sec_boss_rockets] (lớp B trên 01_chien_dau/Vu_khi)</t>
        </is>
      </c>
      <c r="BE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160.6558762625195</v>
      </c>
      <c r="AM272">
        <f>IF($Q$272,$M$272*$AE$272*$U$272,0)</f>
        <v/>
      </c>
      <c r="AN272" t="n">
        <v>113.797912352618</v>
      </c>
      <c r="AO272">
        <f>IF($Q$272,$M$272*$AG$272*$U$272,0)</f>
        <v/>
      </c>
      <c r="AP272" t="n">
        <v>53.55195875417319</v>
      </c>
      <c r="AQ272">
        <f>IF($Q$272,$M$272*$AE$272*$Y$272,0)</f>
        <v/>
      </c>
      <c r="AR272" t="n">
        <v>66.38211553902717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5.258444</v>
      </c>
      <c r="BB272" t="inlineStr">
        <is>
          <t>ok</t>
        </is>
      </c>
      <c r="BC272" t="b">
        <v>1</v>
      </c>
      <c r="BD272" t="inlineStr">
        <is>
          <t>Assets/MachineBrigade/Resources/Data/balance.json: weapons[id=p26_roc_close_twin_30_bmpt] (lớp B trên 01_chien_dau/Vu_khi)</t>
        </is>
      </c>
      <c r="BE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35.88</v>
      </c>
      <c r="AO273">
        <f>IF($Q$273,$M$273*$AG$273*$U$273,0)</f>
        <v/>
      </c>
      <c r="AP273" t="n">
        <v>29.9</v>
      </c>
      <c r="AQ273">
        <f>IF($Q$273,$M$273*$AE$273*$Y$273,0)</f>
        <v/>
      </c>
      <c r="AR273" t="n">
        <v>12.42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2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1</v>
      </c>
      <c r="BB273" t="inlineStr">
        <is>
          <t>ok</t>
        </is>
      </c>
      <c r="BC273" t="b">
        <v>1</v>
      </c>
      <c r="BD273" t="inlineStr">
        <is>
          <t>Assets/MachineBrigade/Resources/Data/balance.json: weapons[id=p26_roc_direct_roc_atgm] (lớp B trên 01_chien_dau/Vu_khi)</t>
        </is>
      </c>
      <c r="BE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1.15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1.15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0.95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181.7155756207675</v>
      </c>
      <c r="AO274">
        <f>IF($Q$274,$M$274*$AG$274*$U$274,0)</f>
        <v/>
      </c>
      <c r="AP274" t="n">
        <v>150.1128668171557</v>
      </c>
      <c r="AQ274">
        <f>IF($Q$274,$M$274*$AE$274*$Y$274,0)</f>
        <v/>
      </c>
      <c r="AR274" t="n">
        <v>290.7449209932279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1</v>
      </c>
      <c r="AW274">
        <f>IF(AND($B$274&lt;0,$AU$274),4,$B$274)</f>
        <v/>
      </c>
      <c r="AX274" t="n">
        <v>4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2.722222222222222</v>
      </c>
      <c r="BA274" t="n">
        <v>3</v>
      </c>
      <c r="BB274" t="inlineStr">
        <is>
          <t>ok</t>
        </is>
      </c>
      <c r="BC274" t="b">
        <v>1</v>
      </c>
      <c r="BD274" t="inlineStr">
        <is>
          <t>Assets/MachineBrigade/Resources/Data/balance.json: weapons[id=p26_roc_main_roc_bombs] (lớp B trên 01_chien_dau/Vu_khi)</t>
        </is>
      </c>
      <c r="BE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60</v>
      </c>
      <c r="AM275">
        <f>IF($Q$275,$M$275*$AE$275*$U$275,0)</f>
        <v/>
      </c>
      <c r="AN275" t="n">
        <v>42.5</v>
      </c>
      <c r="AO275">
        <f>IF($Q$275,$M$275*$AG$275*$U$275,0)</f>
        <v/>
      </c>
      <c r="AP275" t="n">
        <v>20</v>
      </c>
      <c r="AQ275">
        <f>IF($Q$275,$M$275*$AE$275*$Y$275,0)</f>
        <v/>
      </c>
      <c r="AR275" t="n">
        <v>68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2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inlineStr">
        <is>
          <t>Assets/MachineBrigade/Resources/Data/balance.json: weapons[id=p26_roc_roc105] (lớp B trên 01_chien_dau/Vu_khi)</t>
        </is>
      </c>
      <c r="BE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234</v>
      </c>
      <c r="AO276">
        <f>IF($Q$276,$M$276*$AG$276*$U$276,0)</f>
        <v/>
      </c>
      <c r="AP276" t="n">
        <v>195</v>
      </c>
      <c r="AQ276">
        <f>IF($Q$276,$M$276*$AE$276*$Y$276,0)</f>
        <v/>
      </c>
      <c r="AR276" t="n">
        <v>81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2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</v>
      </c>
      <c r="BB276" t="inlineStr">
        <is>
          <t>NHANH_QUA;LECH_DOT_1</t>
        </is>
      </c>
      <c r="BC276" t="inlineStr"/>
      <c r="BD276" t="inlineStr">
        <is>
          <t>Assets/MachineBrigade/Resources/Data/balance.json: weapons[id=p26_roc_roc_atgm] (lớp B trên 01_chien_dau/Vu_khi)</t>
        </is>
      </c>
      <c r="BE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1.15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1.15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0.95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736</v>
      </c>
      <c r="AO277">
        <f>IF($Q$277,$M$277*$AG$277*$U$277,0)</f>
        <v/>
      </c>
      <c r="AP277" t="n">
        <v>608</v>
      </c>
      <c r="AQ277">
        <f>IF($Q$277,$M$277*$AE$277*$Y$277,0)</f>
        <v/>
      </c>
      <c r="AR277" t="n">
        <v>1177.6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1</v>
      </c>
      <c r="AW277">
        <f>IF(AND($B$277&lt;0,$AU$277),4,$B$277)</f>
        <v/>
      </c>
      <c r="AX277" t="n">
        <v>4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2.722222222222222</v>
      </c>
      <c r="BA277" t="n">
        <v>3</v>
      </c>
      <c r="BB277" t="inlineStr">
        <is>
          <t>LECH_DOT_1</t>
        </is>
      </c>
      <c r="BC277" t="inlineStr"/>
      <c r="BD277" t="inlineStr">
        <is>
          <t>Assets/MachineBrigade/Resources/Data/balance.json: weapons[id=p26_roc_roc_bombs] (lớp B trên 01_chien_dau/Vu_khi)</t>
        </is>
      </c>
      <c r="BE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1.2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1.2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0.85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205.7142857142857</v>
      </c>
      <c r="AO278">
        <f>IF($Q$278,$M$278*$AG$278*$U$278,0)</f>
        <v/>
      </c>
      <c r="AP278" t="n">
        <v>145.7142857142857</v>
      </c>
      <c r="AQ278">
        <f>IF($Q$278,$M$278*$AE$278*$Y$278,0)</f>
        <v/>
      </c>
      <c r="AR278" t="n">
        <v>329.1428571428571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2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1.225</v>
      </c>
      <c r="BB278" t="inlineStr">
        <is>
          <t>ok</t>
        </is>
      </c>
      <c r="BC278" t="b">
        <v>1</v>
      </c>
      <c r="BD278" t="inlineStr">
        <is>
          <t>Assets/MachineBrigade/Resources/Data/balance.json: weapons[id=p26_typhon_direct_ty100] (lớp B trên 01_chien_dau/Vu_khi)</t>
        </is>
      </c>
      <c r="BE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268.5314685314685</v>
      </c>
      <c r="AM279">
        <f>IF($Q$279,$M$279*$AE$279*$U$279,0)</f>
        <v/>
      </c>
      <c r="AN279" t="n">
        <v>223.7762237762238</v>
      </c>
      <c r="AO279">
        <f>IF($Q$279,$M$279*$AG$279*$U$279,0)</f>
        <v/>
      </c>
      <c r="AP279" t="n">
        <v>145.4545454545455</v>
      </c>
      <c r="AQ279">
        <f>IF($Q$279,$M$279*$AE$279*$Y$279,0)</f>
        <v/>
      </c>
      <c r="AR279" t="n">
        <v>358.0419580419581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2.145</v>
      </c>
      <c r="BB279" t="inlineStr">
        <is>
          <t>ok</t>
        </is>
      </c>
      <c r="BC279" t="b">
        <v>1</v>
      </c>
      <c r="BD279" t="inlineStr">
        <is>
          <t>Assets/MachineBrigade/Resources/Data/balance.json: weapons[id=p26_typhon_sec_ty57] (lớp B trên 01_chien_dau/Vu_khi)</t>
        </is>
      </c>
      <c r="BE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0.65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208</v>
      </c>
      <c r="AM280">
        <f>IF($Q$280,$M$280*$AE$280*$U$280,0)</f>
        <v/>
      </c>
      <c r="AN280" t="n">
        <v>173.3333333333333</v>
      </c>
      <c r="AO280">
        <f>IF($Q$280,$M$280*$AG$280*$U$280,0)</f>
        <v/>
      </c>
      <c r="AP280" t="n">
        <v>112.6666666666667</v>
      </c>
      <c r="AQ280">
        <f>IF($Q$280,$M$280*$AE$280*$Y$280,0)</f>
        <v/>
      </c>
      <c r="AR280" t="n">
        <v>277.3333333333334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1.5</v>
      </c>
      <c r="BB280" t="inlineStr">
        <is>
          <t>NHANH_QUA;LECH_DOT_1</t>
        </is>
      </c>
      <c r="BC280" t="inlineStr"/>
      <c r="BD280" t="inlineStr">
        <is>
          <t>Assets/MachineBrigade/Resources/Data/balance.json: weapons[id=p26_typhon_ty57] (lớp B trên 01_chien_dau/Vu_khi)</t>
        </is>
      </c>
      <c r="BE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1.2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0.85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288</v>
      </c>
      <c r="AO281">
        <f>IF($Q$281,$M$281*$AG$281*$U$281,0)</f>
        <v/>
      </c>
      <c r="AP281" t="n">
        <v>204</v>
      </c>
      <c r="AQ281">
        <f>IF($Q$281,$M$281*$AE$281*$Y$281,0)</f>
        <v/>
      </c>
      <c r="AR281" t="n">
        <v>460.8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2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1.75</v>
      </c>
      <c r="BB281" t="inlineStr">
        <is>
          <t>LECH_DOT_1</t>
        </is>
      </c>
      <c r="BC281" t="inlineStr"/>
      <c r="BD281" t="inlineStr">
        <is>
          <t>Assets/MachineBrigade/Resources/Data/balance.json: weapons[id=p26_typhon_ty100] (lớp B trên 01_chien_dau/Vu_khi)</t>
        </is>
      </c>
      <c r="BE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0.65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IF($Q$282,$M$282*$AG$282*$U$282,0)</f>
        <v/>
      </c>
      <c r="AP282" t="n">
        <v>0</v>
      </c>
      <c r="AQ282">
        <f>IF($Q$282,$M$282*$AE$282*$Y$282,0)</f>
        <v/>
      </c>
      <c r="AR282" t="n">
        <v>0</v>
      </c>
      <c r="AS282">
        <f>IF($S$282,$M$282*$AI$282*$W$282,0)</f>
        <v/>
      </c>
      <c r="AT282" t="n">
        <v>286.875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0.5333329999999999</v>
      </c>
      <c r="BB282" t="inlineStr">
        <is>
          <t>NHANH_QUA</t>
        </is>
      </c>
      <c r="BC282" t="inlineStr"/>
      <c r="BD282" t="inlineStr">
        <is>
          <t>Assets/MachineBrigade/Resources/Data/balance.json: weapons[id=patriot] (lớp B trên 01_chien_dau/Vu_khi)</t>
        </is>
      </c>
      <c r="BE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1.2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0.85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102.8571428571428</v>
      </c>
      <c r="AO283">
        <f>IF($Q$283,$M$283*$AG$283*$U$283,0)</f>
        <v/>
      </c>
      <c r="AP283" t="n">
        <v>72.85714285714285</v>
      </c>
      <c r="AQ283">
        <f>IF($Q$283,$M$283*$AE$283*$Y$283,0)</f>
        <v/>
      </c>
      <c r="AR283" t="n">
        <v>164.5714285714286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1</v>
      </c>
      <c r="AW283">
        <f>IF(AND($B$283&lt;0,$AU$283),4,$B$283)</f>
        <v/>
      </c>
      <c r="AX283" t="n">
        <v>4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2.5</v>
      </c>
      <c r="BA283" t="n">
        <v>2.94</v>
      </c>
      <c r="BB283" t="inlineStr">
        <is>
          <t>CHAM_QUA;LECH_DOT_1</t>
        </is>
      </c>
      <c r="BC283" t="b">
        <v>1</v>
      </c>
      <c r="BD283" t="inlineStr">
        <is>
          <t>Assets/MachineBrigade/Resources/Data/balance.json: weapons[id=pt14_co_203] (lớp B trên 01_chien_dau/Vu_khi)</t>
        </is>
      </c>
      <c r="BE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73.125</v>
      </c>
      <c r="AO284">
        <f>IF($Q$284,$M$284*$AG$284*$U$284,0)</f>
        <v/>
      </c>
      <c r="AP284" t="n">
        <v>51.796875</v>
      </c>
      <c r="AQ284">
        <f>IF($Q$284,$M$284*$AE$284*$Y$284,0)</f>
        <v/>
      </c>
      <c r="AR284" t="n">
        <v>25.3125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inlineStr"/>
      <c r="BB284" t="inlineStr">
        <is>
          <t>LECH_DOT_1</t>
        </is>
      </c>
      <c r="BC284" t="b">
        <v>1</v>
      </c>
      <c r="BD284" t="inlineStr">
        <is>
          <t>Assets/MachineBrigade/Resources/Data/balance.json: weapons[id=pt14_co_spike] (lớp B trên 01_chien_dau/Vu_khi)</t>
        </is>
      </c>
      <c r="BE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0.65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140.4878048780488</v>
      </c>
      <c r="AM285">
        <f>IF($Q$285,$M$285*$AE$285*$U$285,0)</f>
        <v/>
      </c>
      <c r="AN285" t="n">
        <v>117.0731707317073</v>
      </c>
      <c r="AO285">
        <f>IF($Q$285,$M$285*$AG$285*$U$285,0)</f>
        <v/>
      </c>
      <c r="AP285" t="n">
        <v>76.09756097560977</v>
      </c>
      <c r="AQ285">
        <f>IF($Q$285,$M$285*$AE$285*$Y$285,0)</f>
        <v/>
      </c>
      <c r="AR285" t="n">
        <v>187.3170731707317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2.87</v>
      </c>
      <c r="BB285" t="inlineStr">
        <is>
          <t>CHAM_QUA;LECH_DOT_1</t>
        </is>
      </c>
      <c r="BC285" t="b">
        <v>1</v>
      </c>
      <c r="BD285" t="inlineStr">
        <is>
          <t>Assets/MachineBrigade/Resources/Data/balance.json: weapons[id=pt14_co_v76] (lớp B trên 01_chien_dau/Vu_khi)</t>
        </is>
      </c>
      <c r="BE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AND(Vu_khi!$K$286="Kinetic",NOT(Vu_khi!$AG$286))</f>
        <v/>
      </c>
      <c r="AB286" t="b">
        <v>1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106.1052631578947</v>
      </c>
      <c r="AM286">
        <f>IF($Q$286,$M$286*$AE$286*$U$286,0)</f>
        <v/>
      </c>
      <c r="AN286" t="n">
        <v>75.1578947368421</v>
      </c>
      <c r="AO286">
        <f>IF($Q$286,$M$286*$AG$286*$U$286,0)</f>
        <v/>
      </c>
      <c r="AP286" t="n">
        <v>35.36842105263158</v>
      </c>
      <c r="AQ286">
        <f>IF($Q$286,$M$286*$AE$286*$Y$286,0)</f>
        <v/>
      </c>
      <c r="AR286" t="n">
        <v>43.84210526315789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1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14.25</v>
      </c>
      <c r="BB286" t="inlineStr">
        <is>
          <t>LECH_DOT_1</t>
        </is>
      </c>
      <c r="BC286" t="b">
        <v>1</v>
      </c>
      <c r="BD286" t="inlineStr">
        <is>
          <t>Assets/MachineBrigade/Resources/Data/balance.json: weapons[id=pt14_dd_v25] (lớp B trên 01_chien_dau/Vu_khi)</t>
        </is>
      </c>
      <c r="BE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268.5314685314685</v>
      </c>
      <c r="AO287">
        <f>IF($Q$287,$M$287*$AG$287*$U$287,0)</f>
        <v/>
      </c>
      <c r="AP287" t="n">
        <v>190.2097902097902</v>
      </c>
      <c r="AQ287">
        <f>IF($Q$287,$M$287*$AE$287*$Y$287,0)</f>
        <v/>
      </c>
      <c r="AR287" t="n">
        <v>429.6503496503497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2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2.145</v>
      </c>
      <c r="BB287" t="inlineStr">
        <is>
          <t>ok</t>
        </is>
      </c>
      <c r="BC287" t="b">
        <v>1</v>
      </c>
      <c r="BD287" t="inlineStr">
        <is>
          <t>Assets/MachineBrigade/Resources/Data/balance.json: weapons[id=pt14_dd_v57] (lớp B trên 01_chien_dau/Vu_khi)</t>
        </is>
      </c>
      <c r="BE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0.65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103.5971223021583</v>
      </c>
      <c r="AM288">
        <f>IF($Q$288,$M$288*$AE$288*$U$288,0)</f>
        <v/>
      </c>
      <c r="AN288" t="n">
        <v>86.33093525179856</v>
      </c>
      <c r="AO288">
        <f>IF($Q$288,$M$288*$AG$288*$U$288,0)</f>
        <v/>
      </c>
      <c r="AP288" t="n">
        <v>56.11510791366907</v>
      </c>
      <c r="AQ288">
        <f>IF($Q$288,$M$288*$AE$288*$Y$288,0)</f>
        <v/>
      </c>
      <c r="AR288" t="n">
        <v>138.1294964028777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0.810833</v>
      </c>
      <c r="BB288" t="inlineStr">
        <is>
          <t>LECH_DOT_1;LECH_HO</t>
        </is>
      </c>
      <c r="BC288" t="b">
        <v>0</v>
      </c>
      <c r="BD288" t="inlineStr">
        <is>
          <t>Assets/MachineBrigade/Resources/Data/balance.json: weapons[id=pt14_hp_155] (lớp B trên 01_chien_dau/Vu_khi)</t>
        </is>
      </c>
      <c r="BE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0.85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62.46575342465753</v>
      </c>
      <c r="AO289">
        <f>IF($Q$289,$M$289*$AG$289*$U$289,0)</f>
        <v/>
      </c>
      <c r="AP289" t="n">
        <v>44.24657534246575</v>
      </c>
      <c r="AQ289">
        <f>IF($Q$289,$M$289*$AE$289*$Y$289,0)</f>
        <v/>
      </c>
      <c r="AR289" t="n">
        <v>99.94520547945204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4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2.5</v>
      </c>
      <c r="BA289" t="n">
        <v>2.433333</v>
      </c>
      <c r="BB289" t="inlineStr">
        <is>
          <t>NHANH_QUA</t>
        </is>
      </c>
      <c r="BC289" t="b">
        <v>1</v>
      </c>
      <c r="BD289" t="inlineStr">
        <is>
          <t>Assets/MachineBrigade/Resources/Data/balance.json: weapons[id=pt14_hp_nsm] (lớp B trên 01_chien_dau/Vu_khi)</t>
        </is>
      </c>
      <c r="BE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182.4</v>
      </c>
      <c r="AM290">
        <f>IF($Q$290,$M$290*$AE$290*$U$290,0)</f>
        <v/>
      </c>
      <c r="AN290" t="n">
        <v>152</v>
      </c>
      <c r="AO290">
        <f>IF($Q$290,$M$290*$AG$290*$U$290,0)</f>
        <v/>
      </c>
      <c r="AP290" t="n">
        <v>98.8</v>
      </c>
      <c r="AQ290">
        <f>IF($Q$290,$M$290*$AE$290*$Y$290,0)</f>
        <v/>
      </c>
      <c r="AR290" t="n">
        <v>243.2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0.583333</v>
      </c>
      <c r="BB290" t="inlineStr">
        <is>
          <t>NHANH_QUA;LECH_DOT_1</t>
        </is>
      </c>
      <c r="BC290" t="b">
        <v>1</v>
      </c>
      <c r="BD290" t="inlineStr">
        <is>
          <t>Assets/MachineBrigade/Resources/Data/balance.json: weapons[id=pt14_hp_v127] (lớp B trên 01_chien_dau/Vu_khi)</t>
        </is>
      </c>
      <c r="BE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172.8</v>
      </c>
      <c r="AO291">
        <f>IF($Q$291,$M$291*$AG$291*$U$291,0)</f>
        <v/>
      </c>
      <c r="AP291" t="n">
        <v>122.4</v>
      </c>
      <c r="AQ291">
        <f>IF($Q$291,$M$291*$AE$291*$Y$291,0)</f>
        <v/>
      </c>
      <c r="AR291" t="n">
        <v>76.8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1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inlineStr"/>
      <c r="BB291" t="inlineStr">
        <is>
          <t>ok</t>
        </is>
      </c>
      <c r="BC291" t="b">
        <v>1</v>
      </c>
      <c r="BD291" t="inlineStr">
        <is>
          <t>Assets/MachineBrigade/Resources/Data/balance.json: weapons[id=pt14_hp_vlaser] (lớp B trên 01_chien_dau/Vu_khi)</t>
        </is>
      </c>
      <c r="BE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AND(Vu_khi!$K$292="Kinetic",NOT(Vu_khi!$AG$292))</f>
        <v/>
      </c>
      <c r="AB292" t="b">
        <v>1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0.85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0.4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59.24679150010519</v>
      </c>
      <c r="AM292">
        <f>IF($Q$292,$M$292*$AE$292*$U$292,0)</f>
        <v/>
      </c>
      <c r="AN292" t="n">
        <v>41.96647731257451</v>
      </c>
      <c r="AO292">
        <f>IF($Q$292,$M$292*$AG$292*$U$292,0)</f>
        <v/>
      </c>
      <c r="AP292" t="n">
        <v>19.74893050003507</v>
      </c>
      <c r="AQ292">
        <f>IF($Q$292,$M$292*$AE$292*$Y$292,0)</f>
        <v/>
      </c>
      <c r="AR292" t="n">
        <v>24.4804450990018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1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7.1295</v>
      </c>
      <c r="BB292" t="inlineStr">
        <is>
          <t>CHAM_QUA;LECH_DOT_1</t>
        </is>
      </c>
      <c r="BC292" t="b">
        <v>1</v>
      </c>
      <c r="BD292" t="inlineStr">
        <is>
          <t>Assets/MachineBrigade/Resources/Data/balance.json: weapons[id=pt14_ixion_30] (lớp B trên 01_chien_dau/Vu_khi)</t>
        </is>
      </c>
      <c r="BE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17.37020316027088</v>
      </c>
      <c r="AM293">
        <f>IF($Q$293,$M$293*$AE$293*$U$293,0)</f>
        <v/>
      </c>
      <c r="AN293" t="n">
        <v>14.76467268623025</v>
      </c>
      <c r="AO293">
        <f>IF($Q$293,$M$293*$AG$293*$U$293,0)</f>
        <v/>
      </c>
      <c r="AP293" t="n">
        <v>6.948081264108353</v>
      </c>
      <c r="AQ293">
        <f>IF($Q$293,$M$293*$AE$293*$Y$293,0)</f>
        <v/>
      </c>
      <c r="AR293" t="n">
        <v>23.6234762979684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3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</v>
      </c>
      <c r="BB293" t="inlineStr">
        <is>
          <t>ok</t>
        </is>
      </c>
      <c r="BC293" t="b">
        <v>1</v>
      </c>
      <c r="BD293" t="inlineStr">
        <is>
          <t>Assets/MachineBrigade/Resources/Data/balance.json: weapons[id=pt14_ixion_grad] (lớp B trên 01_chien_dau/Vu_khi)</t>
        </is>
      </c>
      <c r="BE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29.9</v>
      </c>
      <c r="AO294">
        <f>IF($Q$294,$M$294*$AG$294*$U$294,0)</f>
        <v/>
      </c>
      <c r="AP294" t="n">
        <v>21.17916666666667</v>
      </c>
      <c r="AQ294">
        <f>IF($Q$294,$M$294*$AE$294*$Y$294,0)</f>
        <v/>
      </c>
      <c r="AR294" t="n">
        <v>10.35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1.2</v>
      </c>
      <c r="BB294" t="inlineStr">
        <is>
          <t>LECH_DOT_1</t>
        </is>
      </c>
      <c r="BC294" t="b">
        <v>1</v>
      </c>
      <c r="BD294" t="inlineStr">
        <is>
          <t>Assets/MachineBrigade/Resources/Data/balance.json: weapons[id=pt14_ixion_kornet] (lớp B trên 01_chien_dau/Vu_khi)</t>
        </is>
      </c>
      <c r="BE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AND(Vu_khi!$K$295="Kinetic",NOT(Vu_khi!$AG$295))</f>
        <v/>
      </c>
      <c r="AB295" t="b">
        <v>1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0.85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0.4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80.3720930232558</v>
      </c>
      <c r="AM295">
        <f>IF($Q$295,$M$295*$AE$295*$U$295,0)</f>
        <v/>
      </c>
      <c r="AN295" t="n">
        <v>56.93023255813953</v>
      </c>
      <c r="AO295">
        <f>IF($Q$295,$M$295*$AG$295*$U$295,0)</f>
        <v/>
      </c>
      <c r="AP295" t="n">
        <v>26.7906976744186</v>
      </c>
      <c r="AQ295">
        <f>IF($Q$295,$M$295*$AE$295*$Y$295,0)</f>
        <v/>
      </c>
      <c r="AR295" t="n">
        <v>33.20930232558139</v>
      </c>
      <c r="AS295">
        <f>IF($S$295,$M$295*$AI$295*$W$295,0)</f>
        <v/>
      </c>
      <c r="AT295" t="n">
        <v>16.74418604651163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1.075</v>
      </c>
      <c r="BB295" t="inlineStr">
        <is>
          <t>LECH_DOT_1</t>
        </is>
      </c>
      <c r="BC295" t="b">
        <v>1</v>
      </c>
      <c r="BD295" t="inlineStr">
        <is>
          <t>Assets/MachineBrigade/Resources/Data/balance.json: weapons[id=pt14_mk0_v40] (lớp B trên 01_chien_dau/Vu_khi)</t>
        </is>
      </c>
      <c r="BE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97.47692307692307</v>
      </c>
      <c r="AM296">
        <f>IF($Q$296,$M$296*$AE$296*$U$296,0)</f>
        <v/>
      </c>
      <c r="AN296" t="n">
        <v>69.04615384615384</v>
      </c>
      <c r="AO296">
        <f>IF($Q$296,$M$296*$AG$296*$U$296,0)</f>
        <v/>
      </c>
      <c r="AP296" t="n">
        <v>32.49230769230769</v>
      </c>
      <c r="AQ296">
        <f>IF($Q$296,$M$296*$AE$296*$Y$296,0)</f>
        <v/>
      </c>
      <c r="AR296" t="n">
        <v>40.27692307692308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LECH_DOT_1</t>
        </is>
      </c>
      <c r="BC296" t="b">
        <v>1</v>
      </c>
      <c r="BD296" t="inlineStr">
        <is>
          <t>Assets/MachineBrigade/Resources/Data/balance.json: weapons[id=pt14_sb_v30] (lớp B trên 01_chien_dau/Vu_khi)</t>
        </is>
      </c>
      <c r="BE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60</v>
      </c>
      <c r="AM297">
        <f>IF($Q$297,$M$297*$AE$297*$U$297,0)</f>
        <v/>
      </c>
      <c r="AN297" t="n">
        <v>42.5</v>
      </c>
      <c r="AO297">
        <f>IF($Q$297,$M$297*$AG$297*$U$297,0)</f>
        <v/>
      </c>
      <c r="AP297" t="n">
        <v>20</v>
      </c>
      <c r="AQ297">
        <f>IF($Q$297,$M$297*$AE$297*$Y$297,0)</f>
        <v/>
      </c>
      <c r="AR297" t="n">
        <v>68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0.7</v>
      </c>
      <c r="BB297" t="inlineStr">
        <is>
          <t>LECH_DOT_1</t>
        </is>
      </c>
      <c r="BC297" t="b">
        <v>1</v>
      </c>
      <c r="BD297" t="inlineStr">
        <is>
          <t>Assets/MachineBrigade/Resources/Data/balance.json: weapons[id=pt14_sb_v105] (lớp B trên 01_chien_dau/Vu_khi)</t>
        </is>
      </c>
      <c r="BE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88.67368421052632</v>
      </c>
      <c r="AO298">
        <f>IF($Q$298,$M$298*$AG$298*$U$298,0)</f>
        <v/>
      </c>
      <c r="AP298" t="n">
        <v>62.81052631578947</v>
      </c>
      <c r="AQ298">
        <f>IF($Q$298,$M$298*$AE$298*$Y$298,0)</f>
        <v/>
      </c>
      <c r="AR298" t="n">
        <v>30.69473684210527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inlineStr"/>
      <c r="BB298" t="inlineStr">
        <is>
          <t>LECH_DOT_1</t>
        </is>
      </c>
      <c r="BC298" t="b">
        <v>1</v>
      </c>
      <c r="BD298" t="inlineStr">
        <is>
          <t>Assets/MachineBrigade/Resources/Data/balance.json: weapons[id=pt14_th_jagm] (lớp B trên 01_chien_dau/Vu_khi)</t>
        </is>
      </c>
      <c r="BE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IF($Q$299,$M$299*$AG$299*$U$299,0)</f>
        <v/>
      </c>
      <c r="AP299" t="n">
        <v>0</v>
      </c>
      <c r="AQ299">
        <f>IF($Q$299,$M$299*$AE$299*$Y$299,0)</f>
        <v/>
      </c>
      <c r="AR299" t="n">
        <v>0</v>
      </c>
      <c r="AS299">
        <f>IF($S$299,$M$299*$AI$299*$W$299,0)</f>
        <v/>
      </c>
      <c r="AT299" t="n">
        <v>134.9325337331335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inlineStr"/>
      <c r="BB299" t="inlineStr">
        <is>
          <t>ok</t>
        </is>
      </c>
      <c r="BC299" t="b">
        <v>1</v>
      </c>
      <c r="BD299" t="inlineStr">
        <is>
          <t>Assets/MachineBrigade/Resources/Data/balance.json: weapons[id=pt14_th_pd] (lớp B trên 01_chien_dau/Vu_khi)</t>
        </is>
      </c>
      <c r="BE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38.91891891891893</v>
      </c>
      <c r="AM300">
        <f>IF($Q$300,$M$300*$AE$300*$U$300,0)</f>
        <v/>
      </c>
      <c r="AN300" t="n">
        <v>27.56756756756757</v>
      </c>
      <c r="AO300">
        <f>IF($Q$300,$M$300*$AG$300*$U$300,0)</f>
        <v/>
      </c>
      <c r="AP300" t="n">
        <v>12.97297297297298</v>
      </c>
      <c r="AQ300">
        <f>IF($Q$300,$M$300*$AE$300*$Y$300,0)</f>
        <v/>
      </c>
      <c r="AR300" t="n">
        <v>6.126126126126127</v>
      </c>
      <c r="AS300">
        <f>IF($S$300,$M$300*$AI$300*$W$300,0)</f>
        <v/>
      </c>
      <c r="AT300" t="n">
        <v>97.29729729729731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6.359375</v>
      </c>
      <c r="BB300" t="inlineStr">
        <is>
          <t>CHAM_QUA;LECH_DOT_1</t>
        </is>
      </c>
      <c r="BC300" t="b">
        <v>1</v>
      </c>
      <c r="BD300" t="inlineStr">
        <is>
          <t>Assets/MachineBrigade/Resources/Data/balance.json: weapons[id=pt14_th_v35] (lớp B trên 01_chien_dau/Vu_khi)</t>
        </is>
      </c>
      <c r="BE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369.6682464454977</v>
      </c>
      <c r="AM301">
        <f>IF($Q$301,$M$301*$AE$301*$U$301,0)</f>
        <v/>
      </c>
      <c r="AN301" t="n">
        <v>261.8483412322275</v>
      </c>
      <c r="AO301">
        <f>IF($Q$301,$M$301*$AG$301*$U$301,0)</f>
        <v/>
      </c>
      <c r="AP301" t="n">
        <v>123.2227488151659</v>
      </c>
      <c r="AQ301">
        <f>IF($Q$301,$M$301*$AE$301*$Y$301,0)</f>
        <v/>
      </c>
      <c r="AR301" t="n">
        <v>418.9573459715641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1</v>
      </c>
      <c r="BB301" t="inlineStr">
        <is>
          <t>LECH_HO</t>
        </is>
      </c>
      <c r="BC301" t="b">
        <v>0</v>
      </c>
      <c r="BD301" t="inlineStr">
        <is>
          <t>Assets/MachineBrigade/Resources/Data/balance.json: weapons[id=pt14_train_grad] (lớp B trên 01_chien_dau/Vu_khi)</t>
        </is>
      </c>
      <c r="BE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0.85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0.4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IF($Q$302,$M$302*$AG$302*$U$302,0)</f>
        <v/>
      </c>
      <c r="AP302" t="n">
        <v>0</v>
      </c>
      <c r="AQ302">
        <f>IF($Q$302,$M$302*$AE$302*$Y$302,0)</f>
        <v/>
      </c>
      <c r="AR302" t="n">
        <v>0</v>
      </c>
      <c r="AS302">
        <f>IF($S$302,$M$302*$AI$302*$W$302,0)</f>
        <v/>
      </c>
      <c r="AT302" t="n">
        <v>35.48571428571429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ok</t>
        </is>
      </c>
      <c r="BC302" t="inlineStr"/>
      <c r="BD302" t="inlineStr">
        <is>
          <t>Assets/MachineBrigade/Resources/Data/balance.json: weapons[id=r60] (lớp B trên 01_chien_dau/Vu_khi)</t>
        </is>
      </c>
      <c r="BE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78.68571428571428</v>
      </c>
      <c r="AM303">
        <f>IF($Q$303,$M$303*$AE$303*$U$303,0)</f>
        <v/>
      </c>
      <c r="AN303" t="n">
        <v>99.66857142857143</v>
      </c>
      <c r="AO303">
        <f>IF($Q$303,$M$303*$AG$303*$U$303,0)</f>
        <v/>
      </c>
      <c r="AP303" t="n">
        <v>87.42857142857143</v>
      </c>
      <c r="AQ303">
        <f>IF($Q$303,$M$303*$AE$303*$Y$303,0)</f>
        <v/>
      </c>
      <c r="AR303" t="n">
        <v>58.14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inlineStr"/>
      <c r="BD303" t="inlineStr">
        <is>
          <t>Assets/MachineBrigade/Resources/Data/balance.json: weapons[id=railgun] (lớp B trên 01_chien_dau/Vu_khi)</t>
        </is>
      </c>
      <c r="BE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0.65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51.43217135657287</v>
      </c>
      <c r="AM304">
        <f>IF($Q$304,$M$304*$AE$304*$U$304,0)</f>
        <v/>
      </c>
      <c r="AN304" t="n">
        <v>42.86014279714406</v>
      </c>
      <c r="AO304">
        <f>IF($Q$304,$M$304*$AG$304*$U$304,0)</f>
        <v/>
      </c>
      <c r="AP304" t="n">
        <v>27.85909281814364</v>
      </c>
      <c r="AQ304">
        <f>IF($Q$304,$M$304*$AE$304*$Y$304,0)</f>
        <v/>
      </c>
      <c r="AR304" t="n">
        <v>14.83620327593448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2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0.555567</v>
      </c>
      <c r="BB304" t="inlineStr">
        <is>
          <t>NHANH_QUA</t>
        </is>
      </c>
      <c r="BC304" t="inlineStr"/>
      <c r="BD304" t="inlineStr">
        <is>
          <t>Assets/MachineBrigade/Resources/Data/balance.json: weapons[id=recoilless_106] (lớp B trên 01_chien_dau/Vu_khi)</t>
        </is>
      </c>
      <c r="BE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1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0.65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25.57377049180328</v>
      </c>
      <c r="AM305">
        <f>IF($Q$305,$M$305*$AE$305*$U$305,0)</f>
        <v/>
      </c>
      <c r="AN305" t="n">
        <v>21.31147540983606</v>
      </c>
      <c r="AO305">
        <f>IF($Q$305,$M$305*$AG$305*$U$305,0)</f>
        <v/>
      </c>
      <c r="AP305" t="n">
        <v>13.85245901639344</v>
      </c>
      <c r="AQ305">
        <f>IF($Q$305,$M$305*$AE$305*$Y$305,0)</f>
        <v/>
      </c>
      <c r="AR305" t="n">
        <v>7.377049180327869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2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inlineStr"/>
      <c r="BB305" t="inlineStr">
        <is>
          <t>ok</t>
        </is>
      </c>
      <c r="BC305" t="inlineStr"/>
      <c r="BD305" t="inlineStr">
        <is>
          <t>Assets/MachineBrigade/Resources/Data/balance.json: weapons[id=recon_missile] (lớp B trên 01_chien_dau/Vu_khi)</t>
        </is>
      </c>
      <c r="BE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0.65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64.93242142973457</v>
      </c>
      <c r="AO306">
        <f>IF($Q$306,$M$306*$AG$306*$U$306,0)</f>
        <v/>
      </c>
      <c r="AP306" t="n">
        <v>42.20607392932747</v>
      </c>
      <c r="AQ306">
        <f>IF($Q$306,$M$306*$AE$306*$Y$306,0)</f>
        <v/>
      </c>
      <c r="AR306" t="n">
        <v>103.8918742875753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1</v>
      </c>
      <c r="AW306">
        <f>IF(AND($B$306&lt;0,$AU$306),4,$B$306)</f>
        <v/>
      </c>
      <c r="AX306" t="n">
        <v>4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2.5</v>
      </c>
      <c r="BA306" t="n">
        <v>0.079167</v>
      </c>
      <c r="BB306" t="inlineStr">
        <is>
          <t>NHANH_QUA</t>
        </is>
      </c>
      <c r="BC306" t="inlineStr"/>
      <c r="BD306" t="inlineStr">
        <is>
          <t>Assets/MachineBrigade/Resources/Data/balance.json: weapons[id=rockets_300mm] (lớp B trên 01_chien_dau/Vu_khi)</t>
        </is>
      </c>
      <c r="BE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0.85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0.4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69.81818181818183</v>
      </c>
      <c r="AM307">
        <f>IF($Q$307,$M$307*$AE$307*$U$307,0)</f>
        <v/>
      </c>
      <c r="AN307" t="n">
        <v>49.45454545454546</v>
      </c>
      <c r="AO307">
        <f>IF($Q$307,$M$307*$AG$307*$U$307,0)</f>
        <v/>
      </c>
      <c r="AP307" t="n">
        <v>23.27272727272728</v>
      </c>
      <c r="AQ307">
        <f>IF($Q$307,$M$307*$AE$307*$Y$307,0)</f>
        <v/>
      </c>
      <c r="AR307" t="n">
        <v>79.12727272727274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0.75</v>
      </c>
      <c r="BB307" t="inlineStr">
        <is>
          <t>ok</t>
        </is>
      </c>
      <c r="BC307" t="inlineStr"/>
      <c r="BD307" t="inlineStr">
        <is>
          <t>Assets/MachineBrigade/Resources/Data/balance.json: weapons[id=s8_pods] (lớp B trên 01_chien_dau/Vu_khi)</t>
        </is>
      </c>
      <c r="BE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IF($Q$308,$M$308*$AG$308*$U$308,0)</f>
        <v/>
      </c>
      <c r="AP308" t="n">
        <v>0</v>
      </c>
      <c r="AQ308">
        <f>IF($Q$308,$M$308*$AE$308*$Y$308,0)</f>
        <v/>
      </c>
      <c r="AR308" t="n">
        <v>0</v>
      </c>
      <c r="AS308">
        <f>IF($S$308,$M$308*$AI$308*$W$308,0)</f>
        <v/>
      </c>
      <c r="AT308" t="n">
        <v>51.54986522911052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1.484</v>
      </c>
      <c r="BB308" t="inlineStr">
        <is>
          <t>ok</t>
        </is>
      </c>
      <c r="BC308" t="inlineStr"/>
      <c r="BD308" t="inlineStr">
        <is>
          <t>Assets/MachineBrigade/Resources/Data/balance.json: weapons[id=sam] (lớp B trên 01_chien_dau/Vu_khi)</t>
        </is>
      </c>
      <c r="BE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IF($Q$309,$M$309*$AG$309*$U$309,0)</f>
        <v/>
      </c>
      <c r="AP309" t="n">
        <v>0</v>
      </c>
      <c r="AQ309">
        <f>IF($Q$309,$M$309*$AE$309*$Y$309,0)</f>
        <v/>
      </c>
      <c r="AR309" t="n">
        <v>0</v>
      </c>
      <c r="AS309">
        <f>IF($S$309,$M$309*$AI$309*$W$309,0)</f>
        <v/>
      </c>
      <c r="AT309" t="n">
        <v>118.125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2.4</v>
      </c>
      <c r="BB309" t="inlineStr">
        <is>
          <t>ok</t>
        </is>
      </c>
      <c r="BC309" t="inlineStr"/>
      <c r="BD309" t="inlineStr">
        <is>
          <t>Assets/MachineBrigade/Resources/Data/balance.json: weapons[id=sam_48n6] (lớp B trên 01_chien_dau/Vu_khi)</t>
        </is>
      </c>
      <c r="BE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IF($Q$310,$M$310*$AG$310*$U$310,0)</f>
        <v/>
      </c>
      <c r="AP310" t="n">
        <v>0</v>
      </c>
      <c r="AQ310">
        <f>IF($Q$310,$M$310*$AE$310*$Y$310,0)</f>
        <v/>
      </c>
      <c r="AR310" t="n">
        <v>0</v>
      </c>
      <c r="AS310">
        <f>IF($S$310,$M$310*$AI$310*$W$310,0)</f>
        <v/>
      </c>
      <c r="AT310" t="n">
        <v>83.45454545454547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1.833333</v>
      </c>
      <c r="BB310" t="inlineStr">
        <is>
          <t>ok</t>
        </is>
      </c>
      <c r="BC310" t="b">
        <v>1</v>
      </c>
      <c r="BD310" t="inlineStr">
        <is>
          <t>Assets/MachineBrigade/Resources/Data/balance.json: weapons[id=sam_battery] (lớp B trên 01_chien_dau/Vu_khi)</t>
        </is>
      </c>
      <c r="BE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0.65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IF($Q$311,$M$311*$AG$311*$U$311,0)</f>
        <v/>
      </c>
      <c r="AP311" t="n">
        <v>0</v>
      </c>
      <c r="AQ311">
        <f>IF($Q$311,$M$311*$AE$311*$Y$311,0)</f>
        <v/>
      </c>
      <c r="AR311" t="n">
        <v>0</v>
      </c>
      <c r="AS311">
        <f>IF($S$311,$M$311*$AI$311*$W$311,0)</f>
        <v/>
      </c>
      <c r="AT311" t="n">
        <v>235.3846153846154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0.65</v>
      </c>
      <c r="BB311" t="inlineStr">
        <is>
          <t>NHANH_QUA</t>
        </is>
      </c>
      <c r="BC311" t="inlineStr"/>
      <c r="BD311" t="inlineStr">
        <is>
          <t>Assets/MachineBrigade/Resources/Data/balance.json: weapons[id=sam_battery_lrr] (lớp B trên 01_chien_dau/Vu_khi)</t>
        </is>
      </c>
      <c r="BE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0.65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138.6837881219904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0.7787500000000001</v>
      </c>
      <c r="BB312" t="inlineStr">
        <is>
          <t>NHANH_QUA</t>
        </is>
      </c>
      <c r="BC312" t="inlineStr"/>
      <c r="BD312" t="inlineStr">
        <is>
          <t>Assets/MachineBrigade/Resources/Data/balance.json: weapons[id=sam_long] (lớp B trên 01_chien_dau/Vu_khi)</t>
        </is>
      </c>
      <c r="BE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145.0746268656716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1.116667</v>
      </c>
      <c r="BB313" t="inlineStr">
        <is>
          <t>NHANH_QUA</t>
        </is>
      </c>
      <c r="BC313" t="inlineStr"/>
      <c r="BD313" t="inlineStr">
        <is>
          <t>Assets/MachineBrigade/Resources/Data/balance.json: weapons[id=sam_pac3] (lớp B trên 01_chien_dau/Vu_khi)</t>
        </is>
      </c>
      <c r="BE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196.3636363636363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0.55</v>
      </c>
      <c r="BB314" t="inlineStr">
        <is>
          <t>NHANH_QUA</t>
        </is>
      </c>
      <c r="BC314" t="b">
        <v>1</v>
      </c>
      <c r="BD314" t="inlineStr">
        <is>
          <t>Assets/MachineBrigade/Resources/Data/balance.json: weapons[id=sam_post] (lớp B trên 01_chien_dau/Vu_khi)</t>
        </is>
      </c>
      <c r="BE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50.17421602787457</v>
      </c>
      <c r="AM315">
        <f>IF($Q$315,$M$315*$AE$315*$U$315,0)</f>
        <v/>
      </c>
      <c r="AN315" t="n">
        <v>35.54006968641115</v>
      </c>
      <c r="AO315">
        <f>IF($Q$315,$M$315*$AG$315*$U$315,0)</f>
        <v/>
      </c>
      <c r="AP315" t="n">
        <v>16.72473867595819</v>
      </c>
      <c r="AQ315">
        <f>IF($Q$315,$M$315*$AE$315*$Y$315,0)</f>
        <v/>
      </c>
      <c r="AR315" t="n">
        <v>56.86411149825785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1.65</v>
      </c>
      <c r="BB315" t="inlineStr">
        <is>
          <t>ok</t>
        </is>
      </c>
      <c r="BC315" t="inlineStr"/>
      <c r="BD315" t="inlineStr">
        <is>
          <t>Assets/MachineBrigade/Resources/Data/balance.json: weapons[id=scout_rockets] (lớp B trên 01_chien_dau/Vu_khi)</t>
        </is>
      </c>
      <c r="BE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0.65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0.15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26.66666666666666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0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LECH_DOT_1</t>
        </is>
      </c>
      <c r="BC316" t="b">
        <v>1</v>
      </c>
      <c r="BD316" t="inlineStr">
        <is>
          <t>Assets/MachineBrigade/Resources/Data/balance.json: weapons[id=scylla_2m7] (lớp B trên 01_chien_dau/Vu_khi)</t>
        </is>
      </c>
      <c r="BE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0.65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0.15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162.8140703517588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1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inlineStr"/>
      <c r="BB317" t="inlineStr">
        <is>
          <t>LECH_DOT_1</t>
        </is>
      </c>
      <c r="BC317" t="b">
        <v>1</v>
      </c>
      <c r="BD317" t="inlineStr">
        <is>
          <t>Assets/MachineBrigade/Resources/Data/balance.json: weapons[id=scylla_ak230] (lớp B trên 01_chien_dau/Vu_khi)</t>
        </is>
      </c>
      <c r="BE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1.2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0.85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24.31718061674009</v>
      </c>
      <c r="AO318">
        <f>IF($Q$318,$M$318*$AG$318*$U$318,0)</f>
        <v/>
      </c>
      <c r="AP318" t="n">
        <v>17.22466960352423</v>
      </c>
      <c r="AQ318">
        <f>IF($Q$318,$M$318*$AE$318*$Y$318,0)</f>
        <v/>
      </c>
      <c r="AR318" t="n">
        <v>38.90748898678414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4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2.5</v>
      </c>
      <c r="BA318" t="inlineStr"/>
      <c r="BB318" t="inlineStr">
        <is>
          <t>ok</t>
        </is>
      </c>
      <c r="BC318" t="b">
        <v>1</v>
      </c>
      <c r="BD318" t="inlineStr">
        <is>
          <t>Assets/MachineBrigade/Resources/Data/balance.json: weapons[id=scylla_kh35] (lớp B trên 01_chien_dau/Vu_khi)</t>
        </is>
      </c>
      <c r="BE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1.15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1.1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0.75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38.78431372549019</v>
      </c>
      <c r="AM319">
        <f>IF($Q$319,$M$319*$AE$319*$U$319,0)</f>
        <v/>
      </c>
      <c r="AN319" t="n">
        <v>37.09803921568628</v>
      </c>
      <c r="AO319">
        <f>IF($Q$319,$M$319*$AG$319*$U$319,0)</f>
        <v/>
      </c>
      <c r="AP319" t="n">
        <v>25.29411764705883</v>
      </c>
      <c r="AQ319">
        <f>IF($Q$319,$M$319*$AE$319*$Y$319,0)</f>
        <v/>
      </c>
      <c r="AR319" t="n">
        <v>59.35686274509805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3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inlineStr"/>
      <c r="BB319" t="inlineStr">
        <is>
          <t>ok</t>
        </is>
      </c>
      <c r="BC319" t="inlineStr"/>
      <c r="BD319" t="inlineStr">
        <is>
          <t>Assets/MachineBrigade/Resources/Data/balance.json: weapons[id=shahed] (lớp B trên 01_chien_dau/Vu_khi)</t>
        </is>
      </c>
      <c r="BE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1.14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0.65</v>
      </c>
      <c r="AI320">
        <f>INDEX(Bang_xuyen_giap!$C$2:$C$8,MIN(7,MAX(1,MAX(1,2-(Vu_khi!$L$320-0))+1)))*IF($AA$320,INDEX(Bang_xuyen_qua!$C$2:$C$5,MIN(4,MAX(1,(Vu_khi!$L$320)-(0)-1))),1)</f>
        <v/>
      </c>
      <c r="AJ320" t="n">
        <v>0.95</v>
      </c>
      <c r="AK320">
        <f>IF($Q$320,$M$320*$AC$320*$U$320,0)</f>
        <v/>
      </c>
      <c r="AL320" t="n">
        <v>63.08080961801856</v>
      </c>
      <c r="AM320">
        <f>IF($Q$320,$M$320*$AE$320*$U$320,0)</f>
        <v/>
      </c>
      <c r="AN320" t="n">
        <v>55.33404352457769</v>
      </c>
      <c r="AO320">
        <f>IF($Q$320,$M$320*$AG$320*$U$320,0)</f>
        <v/>
      </c>
      <c r="AP320" t="n">
        <v>35.9671282909755</v>
      </c>
      <c r="AQ320">
        <f>IF($Q$320,$M$320*$AE$320*$Y$320,0)</f>
        <v/>
      </c>
      <c r="AR320" t="n">
        <v>32.27819205600365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0.766617</v>
      </c>
      <c r="BB320" t="inlineStr">
        <is>
          <t>LECH_DOT_1</t>
        </is>
      </c>
      <c r="BC320" t="inlineStr"/>
      <c r="BD320" t="inlineStr">
        <is>
          <t>Assets/MachineBrigade/Resources/Data/balance.json: weapons[id=siege_gun_105] (lớp B trên 01_chien_dau/Vu_khi)</t>
        </is>
      </c>
      <c r="BE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55.33404352457769</v>
      </c>
      <c r="AM321">
        <f>IF($Q$321,$M$321*$AE$321*$U$321,0)</f>
        <v/>
      </c>
      <c r="AN321" t="n">
        <v>39.19494749657586</v>
      </c>
      <c r="AO321">
        <f>IF($Q$321,$M$321*$AG$321*$U$321,0)</f>
        <v/>
      </c>
      <c r="AP321" t="n">
        <v>18.44468117485923</v>
      </c>
      <c r="AQ321">
        <f>IF($Q$321,$M$321*$AE$321*$Y$321,0)</f>
        <v/>
      </c>
      <c r="AR321" t="n">
        <v>62.71191599452138</v>
      </c>
      <c r="AS321">
        <f>IF($S$321,$M$321*$AI$321*$W$321,0)</f>
        <v/>
      </c>
      <c r="AT321" t="n">
        <v>0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D321" t="inlineStr">
        <is>
          <t>Assets/MachineBrigade/Resources/Data/balance.json: weapons[id=siege_gun_105_he] (lớp B trên 01_chien_dau/Vu_khi)</t>
        </is>
      </c>
      <c r="BE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46.79426533731169</v>
      </c>
      <c r="AO322">
        <f>IF($Q$322,$M$322*$AG$322*$U$322,0)</f>
        <v/>
      </c>
      <c r="AP322" t="n">
        <v>39.77512553671494</v>
      </c>
      <c r="AQ322">
        <f>IF($Q$322,$M$322*$AE$322*$Y$322,0)</f>
        <v/>
      </c>
      <c r="AR322" t="n">
        <v>74.87082453969872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n">
        <v>0.160312</v>
      </c>
      <c r="BB322" t="inlineStr">
        <is>
          <t>NHANH_QUA;LECH_DOT_1</t>
        </is>
      </c>
      <c r="BC322" t="inlineStr"/>
      <c r="BD322" t="inlineStr">
        <is>
          <t>Assets/MachineBrigade/Resources/Data/balance.json: weapons[id=siege_mortar_240] (lớp B trên 01_chien_dau/Vu_khi)</t>
        </is>
      </c>
      <c r="BE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42.07366984993179</v>
      </c>
      <c r="AM323">
        <f>IF($Q$323,$M$323*$AE$323*$U$323,0)</f>
        <v/>
      </c>
      <c r="AN323" t="n">
        <v>35.06139154160982</v>
      </c>
      <c r="AO323">
        <f>IF($Q$323,$M$323*$AG$323*$U$323,0)</f>
        <v/>
      </c>
      <c r="AP323" t="n">
        <v>22.78990450204639</v>
      </c>
      <c r="AQ323">
        <f>IF($Q$323,$M$323*$AE$323*$Y$323,0)</f>
        <v/>
      </c>
      <c r="AR323" t="n">
        <v>12.13663553363417</v>
      </c>
      <c r="AS323">
        <f>IF($S$323,$M$323*$AI$323*$W$323,0)</f>
        <v/>
      </c>
      <c r="AT323" t="n">
        <v>5.394060237170742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0.66703</v>
      </c>
      <c r="BB323" t="inlineStr">
        <is>
          <t>ok</t>
        </is>
      </c>
      <c r="BC323" t="inlineStr"/>
      <c r="BD323" t="inlineStr">
        <is>
          <t>Assets/MachineBrigade/Resources/Data/balance.json: weapons[id=spg9_73mm] (lớp B trên 01_chien_dau/Vu_khi)</t>
        </is>
      </c>
      <c r="BE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1.15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1.15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0.95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143.4685314685314</v>
      </c>
      <c r="AO324">
        <f>IF($Q$324,$M$324*$AG$324*$U$324,0)</f>
        <v/>
      </c>
      <c r="AP324" t="n">
        <v>118.5174825174825</v>
      </c>
      <c r="AQ324">
        <f>IF($Q$324,$M$324*$AE$324*$Y$324,0)</f>
        <v/>
      </c>
      <c r="AR324" t="n">
        <v>229.5496503496503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1</v>
      </c>
      <c r="AW324">
        <f>IF(AND($B$324&lt;0,$AU$324),4,$B$324)</f>
        <v/>
      </c>
      <c r="AX324" t="n">
        <v>4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3.388888888888889</v>
      </c>
      <c r="BA324" t="n">
        <v>3</v>
      </c>
      <c r="BB324" t="inlineStr">
        <is>
          <t>ok</t>
        </is>
      </c>
      <c r="BC324" t="inlineStr"/>
      <c r="BD324" t="inlineStr">
        <is>
          <t>Assets/MachineBrigade/Resources/Data/balance.json: weapons[id=stealth_payload] (lớp B trên 01_chien_dau/Vu_khi)</t>
        </is>
      </c>
      <c r="BE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26.49393605292172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inlineStr"/>
      <c r="BB325" t="inlineStr">
        <is>
          <t>ok</t>
        </is>
      </c>
      <c r="BC325" t="inlineStr"/>
      <c r="BD325" t="inlineStr">
        <is>
          <t>Assets/MachineBrigade/Resources/Data/balance.json: weapons[id=stinger_atas] (lớp B trên 01_chien_dau/Vu_khi)</t>
        </is>
      </c>
      <c r="BE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0.85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0.4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51.54986522911052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1.484</v>
      </c>
      <c r="BB326" t="inlineStr">
        <is>
          <t>ok</t>
        </is>
      </c>
      <c r="BC326" t="inlineStr"/>
      <c r="BD326" t="inlineStr">
        <is>
          <t>Assets/MachineBrigade/Resources/Data/balance.json: weapons[id=stinger_post] (lớp B trên 01_chien_dau/Vu_khi)</t>
        </is>
      </c>
      <c r="BE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1.15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1.1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0.75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63.42424242424243</v>
      </c>
      <c r="AM327">
        <f>IF($Q$327,$M$327*$AE$327*$U$327,0)</f>
        <v/>
      </c>
      <c r="AN327" t="n">
        <v>60.66666666666668</v>
      </c>
      <c r="AO327">
        <f>IF($Q$327,$M$327*$AG$327*$U$327,0)</f>
        <v/>
      </c>
      <c r="AP327" t="n">
        <v>41.36363636363637</v>
      </c>
      <c r="AQ327">
        <f>IF($Q$327,$M$327*$AE$327*$Y$327,0)</f>
        <v/>
      </c>
      <c r="AR327" t="n">
        <v>21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inlineStr"/>
      <c r="BB327" t="inlineStr">
        <is>
          <t>ok</t>
        </is>
      </c>
      <c r="BC327" t="inlineStr"/>
      <c r="BD327" t="inlineStr">
        <is>
          <t>Assets/MachineBrigade/Resources/Data/balance.json: weapons[id=swarm_drones] (lớp B trên 01_chien_dau/Vu_khi)</t>
        </is>
      </c>
      <c r="BE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IF($Q$328,$M$328*$AG$328*$U$328,0)</f>
        <v/>
      </c>
      <c r="AP328" t="n">
        <v>0</v>
      </c>
      <c r="AQ328">
        <f>IF($Q$328,$M$328*$AE$328*$Y$328,0)</f>
        <v/>
      </c>
      <c r="AR328" t="n">
        <v>0</v>
      </c>
      <c r="AS328">
        <f>IF($S$328,$M$328*$AI$328*$W$328,0)</f>
        <v/>
      </c>
      <c r="AT328" t="n">
        <v>21.73170731707317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6.833333</v>
      </c>
      <c r="BB328" t="inlineStr">
        <is>
          <t>CHAM_QUA</t>
        </is>
      </c>
      <c r="BC328" t="inlineStr"/>
      <c r="BD328" t="inlineStr">
        <is>
          <t>Assets/MachineBrigade/Resources/Data/balance.json: weapons[id=tamir] (lớp B trên 01_chien_dau/Vu_khi)</t>
        </is>
      </c>
      <c r="BE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23.34905660377359</v>
      </c>
      <c r="AM329">
        <f>IF($Q$329,$M$329*$AE$329*$U$329,0)</f>
        <v/>
      </c>
      <c r="AN329" t="n">
        <v>19.84669811320755</v>
      </c>
      <c r="AO329">
        <f>IF($Q$329,$M$329*$AG$329*$U$329,0)</f>
        <v/>
      </c>
      <c r="AP329" t="n">
        <v>9.339622641509434</v>
      </c>
      <c r="AQ329">
        <f>IF($Q$329,$M$329*$AE$329*$Y$329,0)</f>
        <v/>
      </c>
      <c r="AR329" t="n">
        <v>31.75471698113208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0.833333</v>
      </c>
      <c r="BB329" t="inlineStr">
        <is>
          <t>ok</t>
        </is>
      </c>
      <c r="BC329" t="inlineStr"/>
      <c r="BD329" t="inlineStr">
        <is>
          <t>Assets/MachineBrigade/Resources/Data/balance.json: weapons[id=technical_rockets] (lớp B trên 01_chien_dau/Vu_khi)</t>
        </is>
      </c>
      <c r="BE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0.65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47.52960391996734</v>
      </c>
      <c r="AO330">
        <f>IF($Q$330,$M$330*$AG$330*$U$330,0)</f>
        <v/>
      </c>
      <c r="AP330" t="n">
        <v>30.89424254797877</v>
      </c>
      <c r="AQ330">
        <f>IF($Q$330,$M$330*$AE$330*$Y$330,0)</f>
        <v/>
      </c>
      <c r="AR330" t="n">
        <v>95.05920783993467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1</v>
      </c>
      <c r="AW330">
        <f>IF(AND($B$330&lt;0,$AU$330),4,$B$330)</f>
        <v/>
      </c>
      <c r="AX330" t="n">
        <v>4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2.5</v>
      </c>
      <c r="BA330" t="n">
        <v>1.2</v>
      </c>
      <c r="BB330" t="inlineStr">
        <is>
          <t>ok</t>
        </is>
      </c>
      <c r="BC330" t="inlineStr"/>
      <c r="BD330" t="inlineStr">
        <is>
          <t>Assets/MachineBrigade/Resources/Data/balance.json: weapons[id=thermobaric_rockets] (lớp B trên 01_chien_dau/Vu_khi)</t>
        </is>
      </c>
      <c r="BE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96</v>
      </c>
      <c r="AM331">
        <f>IF($Q$331,$M$331*$AE$331*$U$331,0)</f>
        <v/>
      </c>
      <c r="AN331" t="n">
        <v>68</v>
      </c>
      <c r="AO331">
        <f>IF($Q$331,$M$331*$AG$331*$U$331,0)</f>
        <v/>
      </c>
      <c r="AP331" t="n">
        <v>32</v>
      </c>
      <c r="AQ331">
        <f>IF($Q$331,$M$331*$AE$331*$Y$331,0)</f>
        <v/>
      </c>
      <c r="AR331" t="n">
        <v>39.66666666666666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2.125</v>
      </c>
      <c r="BB331" t="inlineStr">
        <is>
          <t>ok</t>
        </is>
      </c>
      <c r="BC331" t="inlineStr"/>
      <c r="BD331" t="inlineStr">
        <is>
          <t>Assets/MachineBrigade/Resources/Data/balance.json: weapons[id=tower_ac25] (lớp B trên 01_chien_dau/Vu_khi)</t>
        </is>
      </c>
      <c r="BE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0.65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0.15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90.00000000000001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1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D332" t="inlineStr">
        <is>
          <t>Assets/MachineBrigade/Resources/Data/balance.json: weapons[id=tower_ac25_flak] (lớp B trên 01_chien_dau/Vu_khi)</t>
        </is>
      </c>
      <c r="BE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35.32075471698113</v>
      </c>
      <c r="AM333">
        <f>IF($Q$333,$M$333*$AE$333*$U$333,0)</f>
        <v/>
      </c>
      <c r="AN333" t="n">
        <v>25.0188679245283</v>
      </c>
      <c r="AO333">
        <f>IF($Q$333,$M$333*$AG$333*$U$333,0)</f>
        <v/>
      </c>
      <c r="AP333" t="n">
        <v>11.77358490566038</v>
      </c>
      <c r="AQ333">
        <f>IF($Q$333,$M$333*$AE$333*$Y$333,0)</f>
        <v/>
      </c>
      <c r="AR333" t="n">
        <v>40.03018867924529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1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5.520833</v>
      </c>
      <c r="BB333" t="inlineStr">
        <is>
          <t>LECH_DOT_1</t>
        </is>
      </c>
      <c r="BC333" t="inlineStr"/>
      <c r="BD333" t="inlineStr">
        <is>
          <t>Assets/MachineBrigade/Resources/Data/balance.json: weapons[id=tower_agl] (lớp B trên 01_chien_dau/Vu_khi)</t>
        </is>
      </c>
      <c r="BE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70.52238805970148</v>
      </c>
      <c r="AM334">
        <f>IF($Q$334,$M$334*$AE$334*$U$334,0)</f>
        <v/>
      </c>
      <c r="AN334" t="n">
        <v>49.95335820895522</v>
      </c>
      <c r="AO334">
        <f>IF($Q$334,$M$334*$AG$334*$U$334,0)</f>
        <v/>
      </c>
      <c r="AP334" t="n">
        <v>23.50746268656716</v>
      </c>
      <c r="AQ334">
        <f>IF($Q$334,$M$334*$AE$334*$Y$334,0)</f>
        <v/>
      </c>
      <c r="AR334" t="n">
        <v>11.10074626865672</v>
      </c>
      <c r="AS334">
        <f>IF($S$334,$M$334*$AI$334*$W$334,0)</f>
        <v/>
      </c>
      <c r="AT334" t="n">
        <v>176.3059701492537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4.466667</v>
      </c>
      <c r="BB334" t="inlineStr">
        <is>
          <t>ok</t>
        </is>
      </c>
      <c r="BC334" t="inlineStr"/>
      <c r="BD334" t="inlineStr">
        <is>
          <t>Assets/MachineBrigade/Resources/Data/balance.json: weapons[id=tower_flak_30] (lớp B trên 01_chien_dau/Vu_khi)</t>
        </is>
      </c>
      <c r="BE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188.0597014925373</v>
      </c>
      <c r="AM335">
        <f>IF($Q$335,$M$335*$AE$335*$U$335,0)</f>
        <v/>
      </c>
      <c r="AN335" t="n">
        <v>133.2089552238806</v>
      </c>
      <c r="AO335">
        <f>IF($Q$335,$M$335*$AG$335*$U$335,0)</f>
        <v/>
      </c>
      <c r="AP335" t="n">
        <v>62.6865671641791</v>
      </c>
      <c r="AQ335">
        <f>IF($Q$335,$M$335*$AE$335*$Y$335,0)</f>
        <v/>
      </c>
      <c r="AR335" t="n">
        <v>77.705223880597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D335" t="inlineStr">
        <is>
          <t>Assets/MachineBrigade/Resources/Data/balance.json: weapons[id=tower_flak_30_ap] (lớp B trên 01_chien_dau/Vu_khi)</t>
        </is>
      </c>
      <c r="BE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AND(Vu_khi!$K$336="Kinetic",NOT(Vu_khi!$AG$336))</f>
        <v/>
      </c>
      <c r="AB336" t="b">
        <v>1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91.2</v>
      </c>
      <c r="AM336">
        <f>IF($Q$336,$M$336*$AE$336*$U$336,0)</f>
        <v/>
      </c>
      <c r="AN336" t="n">
        <v>59.28</v>
      </c>
      <c r="AO336">
        <f>IF($Q$336,$M$336*$AG$336*$U$336,0)</f>
        <v/>
      </c>
      <c r="AP336" t="n">
        <v>13.68</v>
      </c>
      <c r="AQ336">
        <f>IF($Q$336,$M$336*$AE$336*$Y$336,0)</f>
        <v/>
      </c>
      <c r="AR336" t="n">
        <v>34.58</v>
      </c>
      <c r="AS336">
        <f>IF($S$336,$M$336*$AI$336*$W$336,0)</f>
        <v/>
      </c>
      <c r="AT336" t="n">
        <v>22.8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0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1.25</v>
      </c>
      <c r="BB336" t="inlineStr">
        <is>
          <t>ok</t>
        </is>
      </c>
      <c r="BC336" t="inlineStr"/>
      <c r="BD336" t="inlineStr">
        <is>
          <t>Assets/MachineBrigade/Resources/Data/balance.json: weapons[id=tower_hmg] (lớp B trên 01_chien_dau/Vu_khi)</t>
        </is>
      </c>
      <c r="BE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AND(Vu_khi!$K$337="Kinetic",NOT(Vu_khi!$AG$337))</f>
        <v/>
      </c>
      <c r="AB337" t="b">
        <v>1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109.44</v>
      </c>
      <c r="AM337">
        <f>IF($Q$337,$M$337*$AE$337*$U$337,0)</f>
        <v/>
      </c>
      <c r="AN337" t="n">
        <v>77.52</v>
      </c>
      <c r="AO337">
        <f>IF($Q$337,$M$337*$AG$337*$U$337,0)</f>
        <v/>
      </c>
      <c r="AP337" t="n">
        <v>36.48</v>
      </c>
      <c r="AQ337">
        <f>IF($Q$337,$M$337*$AE$337*$Y$337,0)</f>
        <v/>
      </c>
      <c r="AR337" t="n">
        <v>45.22</v>
      </c>
      <c r="AS337">
        <f>IF($S$337,$M$337*$AI$337*$W$337,0)</f>
        <v/>
      </c>
      <c r="AT337" t="n">
        <v>22.8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0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D337" t="inlineStr">
        <is>
          <t>Assets/MachineBrigade/Resources/Data/balance.json: weapons[id=tower_hmg_api] (lớp B trên 01_chien_dau/Vu_khi)</t>
        </is>
      </c>
      <c r="BE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1.2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0.85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129.2972972972973</v>
      </c>
      <c r="AO338">
        <f>IF($Q$338,$M$338*$AG$338*$U$338,0)</f>
        <v/>
      </c>
      <c r="AP338" t="n">
        <v>91.58558558558558</v>
      </c>
      <c r="AQ338">
        <f>IF($Q$338,$M$338*$AE$338*$Y$338,0)</f>
        <v/>
      </c>
      <c r="AR338" t="n">
        <v>44.75675675675676</v>
      </c>
      <c r="AS338">
        <f>IF($S$338,$M$338*$AI$338*$W$338,0)</f>
        <v/>
      </c>
      <c r="AT338" t="n">
        <v>0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0.2775</v>
      </c>
      <c r="BB338" t="inlineStr">
        <is>
          <t>NHANH_QUA</t>
        </is>
      </c>
      <c r="BC338" t="inlineStr"/>
      <c r="BD338" t="inlineStr">
        <is>
          <t>Assets/MachineBrigade/Resources/Data/balance.json: weapons[id=tower_kornet] (lớp B trên 01_chien_dau/Vu_khi)</t>
        </is>
      </c>
      <c r="BE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0.8999999999999999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1.14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1</v>
      </c>
      <c r="AI339">
        <f>INDEX(Bang_xuyen_giap!$C$2:$C$8,MIN(7,MAX(1,MAX(1,2-(Vu_khi!$L$339-0))+1)))*IF($AA$339,INDEX(Bang_xuyen_qua!$C$2:$C$5,MIN(4,MAX(1,(Vu_khi!$L$339)-(0)-1))),1)</f>
        <v/>
      </c>
      <c r="AJ339" t="n">
        <v>0.75</v>
      </c>
      <c r="AK339">
        <f>IF($Q$339,$M$339*$AC$339*$U$339,0)</f>
        <v/>
      </c>
      <c r="AL339" t="n">
        <v>80.99999999999999</v>
      </c>
      <c r="AM339">
        <f>IF($Q$339,$M$339*$AE$339*$U$339,0)</f>
        <v/>
      </c>
      <c r="AN339" t="n">
        <v>102.6</v>
      </c>
      <c r="AO339">
        <f>IF($Q$339,$M$339*$AG$339*$U$339,0)</f>
        <v/>
      </c>
      <c r="AP339" t="n">
        <v>90</v>
      </c>
      <c r="AQ339">
        <f>IF($Q$339,$M$339*$AE$339*$Y$339,0)</f>
        <v/>
      </c>
      <c r="AR339" t="n">
        <v>59.84999999999999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3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0.7</v>
      </c>
      <c r="BB339" t="inlineStr">
        <is>
          <t>ok</t>
        </is>
      </c>
      <c r="BC339" t="b">
        <v>1</v>
      </c>
      <c r="BD339" t="inlineStr">
        <is>
          <t>Assets/MachineBrigade/Resources/Data/balance.json: weapons[id=train_gun] (lớp B trên 01_chien_dau/Vu_khi)</t>
        </is>
      </c>
      <c r="BE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90</v>
      </c>
      <c r="AM340">
        <f>IF($Q$340,$M$340*$AE$340*$U$340,0)</f>
        <v/>
      </c>
      <c r="AN340" t="n">
        <v>63.75</v>
      </c>
      <c r="AO340">
        <f>IF($Q$340,$M$340*$AG$340*$U$340,0)</f>
        <v/>
      </c>
      <c r="AP340" t="n">
        <v>30</v>
      </c>
      <c r="AQ340">
        <f>IF($Q$340,$M$340*$AE$340*$Y$340,0)</f>
        <v/>
      </c>
      <c r="AR340" t="n">
        <v>102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D340" t="inlineStr">
        <is>
          <t>Assets/MachineBrigade/Resources/Data/balance.json: weapons[id=train_gun_he] (lớp B trên 01_chien_dau/Vu_khi)</t>
        </is>
      </c>
      <c r="BE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36.14457831325301</v>
      </c>
      <c r="AM341">
        <f>IF($Q$341,$M$341*$AE$341*$U$341,0)</f>
        <v/>
      </c>
      <c r="AN341" t="n">
        <v>30.72289156626506</v>
      </c>
      <c r="AO341">
        <f>IF($Q$341,$M$341*$AG$341*$U$341,0)</f>
        <v/>
      </c>
      <c r="AP341" t="n">
        <v>14.4578313253012</v>
      </c>
      <c r="AQ341">
        <f>IF($Q$341,$M$341*$AE$341*$Y$341,0)</f>
        <v/>
      </c>
      <c r="AR341" t="n">
        <v>49.15662650602409</v>
      </c>
      <c r="AS341">
        <f>IF($S$341,$M$341*$AI$341*$W$341,0)</f>
        <v/>
      </c>
      <c r="AT341" t="n">
        <v>0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3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1.4525</v>
      </c>
      <c r="BB341" t="inlineStr">
        <is>
          <t>ok</t>
        </is>
      </c>
      <c r="BC341" t="inlineStr"/>
      <c r="BD341" t="inlineStr">
        <is>
          <t>Assets/MachineBrigade/Resources/Data/balance.json: weapons[id=train_mortar] (lớp B trên 01_chien_dau/Vu_khi)</t>
        </is>
      </c>
      <c r="BE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0.65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40</v>
      </c>
      <c r="AO342">
        <f>IF($Q$342,$M$342*$AG$342*$U$342,0)</f>
        <v/>
      </c>
      <c r="AP342" t="n">
        <v>26</v>
      </c>
      <c r="AQ342">
        <f>IF($Q$342,$M$342*$AE$342*$Y$342,0)</f>
        <v/>
      </c>
      <c r="AR342" t="n">
        <v>64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1</v>
      </c>
      <c r="AW342">
        <f>IF(AND($B$342&lt;0,$AU$342),4,$B$342)</f>
        <v/>
      </c>
      <c r="AX342" t="n">
        <v>4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2.5</v>
      </c>
      <c r="BA342" t="n">
        <v>0.1</v>
      </c>
      <c r="BB342" t="inlineStr">
        <is>
          <t>NHANH_QUA</t>
        </is>
      </c>
      <c r="BC342" t="inlineStr"/>
      <c r="BD342" t="inlineStr">
        <is>
          <t>Assets/MachineBrigade/Resources/Data/balance.json: weapons[id=turret_gmlrs] (lớp B trên 01_chien_dau/Vu_khi)</t>
        </is>
      </c>
      <c r="BE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1.02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0.85</v>
      </c>
      <c r="AK343">
        <f>IF($Q$343,$M$343*$AC$343*$U$343,0)</f>
        <v/>
      </c>
      <c r="AL343" t="n">
        <v>102.0495867768595</v>
      </c>
      <c r="AM343">
        <f>IF($Q$343,$M$343*$AE$343*$U$343,0)</f>
        <v/>
      </c>
      <c r="AN343" t="n">
        <v>120.0583373845406</v>
      </c>
      <c r="AO343">
        <f>IF($Q$343,$M$343*$AG$343*$U$343,0)</f>
        <v/>
      </c>
      <c r="AP343" t="n">
        <v>85.04132231404958</v>
      </c>
      <c r="AQ343">
        <f>IF($Q$343,$M$343*$AE$343*$Y$343,0)</f>
        <v/>
      </c>
      <c r="AR343" t="n">
        <v>70.03403014098201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0.383973</v>
      </c>
      <c r="BB343" t="inlineStr">
        <is>
          <t>NHANH_QUA;LECH_DOT_1</t>
        </is>
      </c>
      <c r="BC343" t="inlineStr"/>
      <c r="BD343" t="inlineStr">
        <is>
          <t>Assets/MachineBrigade/Resources/Data/balance.json: weapons[id=turret_gun_120] (lớp B trên 01_chien_dau/Vu_khi)</t>
        </is>
      </c>
      <c r="BE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AND(Vu_khi!$K$344="Kinetic",NOT(Vu_khi!$AG$344))</f>
        <v/>
      </c>
      <c r="AB344" t="b">
        <v>1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1.02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1.2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0.85</v>
      </c>
      <c r="AK344">
        <f>IF($Q$344,$M$344*$AC$344*$U$344,0)</f>
        <v/>
      </c>
      <c r="AL344" t="n">
        <v>116.1682346430548</v>
      </c>
      <c r="AM344">
        <f>IF($Q$344,$M$344*$AE$344*$U$344,0)</f>
        <v/>
      </c>
      <c r="AN344" t="n">
        <v>136.6685113447703</v>
      </c>
      <c r="AO344">
        <f>IF($Q$344,$M$344*$AG$344*$U$344,0)</f>
        <v/>
      </c>
      <c r="AP344" t="n">
        <v>96.80686220254566</v>
      </c>
      <c r="AQ344">
        <f>IF($Q$344,$M$344*$AE$344*$Y$344,0)</f>
        <v/>
      </c>
      <c r="AR344" t="n">
        <v>79.72329828444936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n">
        <v>0.337307</v>
      </c>
      <c r="BB344" t="inlineStr">
        <is>
          <t>NHANH_QUA;LECH_DOT_1</t>
        </is>
      </c>
      <c r="BC344" t="inlineStr"/>
      <c r="BD344" t="inlineStr">
        <is>
          <t>Assets/MachineBrigade/Resources/Data/balance.json: weapons[id=turret_gun_120_auto] (lớp B trên 01_chien_dau/Vu_khi)</t>
        </is>
      </c>
      <c r="BE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100.0486144871171</v>
      </c>
      <c r="AM345">
        <f>IF($Q$345,$M$345*$AE$345*$U$345,0)</f>
        <v/>
      </c>
      <c r="AN345" t="n">
        <v>70.86776859504131</v>
      </c>
      <c r="AO345">
        <f>IF($Q$345,$M$345*$AG$345*$U$345,0)</f>
        <v/>
      </c>
      <c r="AP345" t="n">
        <v>33.34953816237239</v>
      </c>
      <c r="AQ345">
        <f>IF($Q$345,$M$345*$AE$345*$Y$345,0)</f>
        <v/>
      </c>
      <c r="AR345" t="n">
        <v>113.3884297520661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D345" t="inlineStr">
        <is>
          <t>Assets/MachineBrigade/Resources/Data/balance.json: weapons[id=turret_gun_120_he] (lớp B trên 01_chien_dau/Vu_khi)</t>
        </is>
      </c>
      <c r="BE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AND(Vu_khi!$K$346="Kinetic",NOT(Vu_khi!$AG$346))</f>
        <v/>
      </c>
      <c r="AB346" t="b">
        <v>1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0.8999999999999999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1.14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1</v>
      </c>
      <c r="AI346">
        <f>INDEX(Bang_xuyen_giap!$C$2:$C$8,MIN(7,MAX(1,MAX(1,2-(Vu_khi!$L$346-0))+1)))*IF($AA$346,INDEX(Bang_xuyen_qua!$C$2:$C$5,MIN(4,MAX(1,(Vu_khi!$L$346)-(0)-1))),1)</f>
        <v/>
      </c>
      <c r="AJ346" t="n">
        <v>0.75</v>
      </c>
      <c r="AK346">
        <f>IF($Q$346,$M$346*$AC$346*$U$346,0)</f>
        <v/>
      </c>
      <c r="AL346" t="n">
        <v>66.49434571890144</v>
      </c>
      <c r="AM346">
        <f>IF($Q$346,$M$346*$AE$346*$U$346,0)</f>
        <v/>
      </c>
      <c r="AN346" t="n">
        <v>84.22617124394183</v>
      </c>
      <c r="AO346">
        <f>IF($Q$346,$M$346*$AG$346*$U$346,0)</f>
        <v/>
      </c>
      <c r="AP346" t="n">
        <v>73.88260635433495</v>
      </c>
      <c r="AQ346">
        <f>IF($Q$346,$M$346*$AE$346*$Y$346,0)</f>
        <v/>
      </c>
      <c r="AR346" t="n">
        <v>49.13193322563274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3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0.51996</v>
      </c>
      <c r="BB346" t="inlineStr">
        <is>
          <t>NHANH_QUA;LECH_DOT_1</t>
        </is>
      </c>
      <c r="BC346" t="inlineStr"/>
      <c r="BD346" t="inlineStr">
        <is>
          <t>Assets/MachineBrigade/Resources/Data/balance.json: weapons[id=turret_gun_120_long] (lớp B trên 01_chien_dau/Vu_khi)</t>
        </is>
      </c>
      <c r="BE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73.88260635433495</v>
      </c>
      <c r="AM347">
        <f>IF($Q$347,$M$347*$AE$347*$U$347,0)</f>
        <v/>
      </c>
      <c r="AN347" t="n">
        <v>52.33351283432059</v>
      </c>
      <c r="AO347">
        <f>IF($Q$347,$M$347*$AG$347*$U$347,0)</f>
        <v/>
      </c>
      <c r="AP347" t="n">
        <v>24.62753545144498</v>
      </c>
      <c r="AQ347">
        <f>IF($Q$347,$M$347*$AE$347*$Y$347,0)</f>
        <v/>
      </c>
      <c r="AR347" t="n">
        <v>83.73362053491296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D347" t="inlineStr">
        <is>
          <t>Assets/MachineBrigade/Resources/Data/balance.json: weapons[id=turret_gun_120_long_he] (lớp B trên 01_chien_dau/Vu_khi)</t>
        </is>
      </c>
      <c r="BE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97.29729729729729</v>
      </c>
      <c r="AM348">
        <f>IF($Q$348,$M$348*$AE$348*$U$348,0)</f>
        <v/>
      </c>
      <c r="AN348" t="n">
        <v>82.70270270270269</v>
      </c>
      <c r="AO348">
        <f>IF($Q$348,$M$348*$AG$348*$U$348,0)</f>
        <v/>
      </c>
      <c r="AP348" t="n">
        <v>38.91891891891892</v>
      </c>
      <c r="AQ348">
        <f>IF($Q$348,$M$348*$AE$348*$Y$348,0)</f>
        <v/>
      </c>
      <c r="AR348" t="n">
        <v>132.3243243243243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1</v>
      </c>
      <c r="BB348" t="inlineStr">
        <is>
          <t>ok</t>
        </is>
      </c>
      <c r="BC348" t="inlineStr"/>
      <c r="BD348" t="inlineStr">
        <is>
          <t>Assets/MachineBrigade/Resources/Data/balance.json: weapons[id=turret_rockets] (lớp B trên 01_chien_dau/Vu_khi)</t>
        </is>
      </c>
      <c r="BE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87.24489795918367</v>
      </c>
      <c r="AM349">
        <f>IF($Q$349,$M$349*$AE$349*$U$349,0)</f>
        <v/>
      </c>
      <c r="AN349" t="n">
        <v>74.15816326530611</v>
      </c>
      <c r="AO349">
        <f>IF($Q$349,$M$349*$AG$349*$U$349,0)</f>
        <v/>
      </c>
      <c r="AP349" t="n">
        <v>34.89795918367347</v>
      </c>
      <c r="AQ349">
        <f>IF($Q$349,$M$349*$AE$349*$Y$349,0)</f>
        <v/>
      </c>
      <c r="AR349" t="n">
        <v>118.6530612244898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</v>
      </c>
      <c r="BB349" t="inlineStr">
        <is>
          <t>ok</t>
        </is>
      </c>
      <c r="BC349" t="inlineStr"/>
      <c r="BD349" t="inlineStr">
        <is>
          <t>Assets/MachineBrigade/Resources/Data/balance.json: weapons[id=turret_rockets_cluster] (lớp B trên 01_chien_dau/Vu_khi)</t>
        </is>
      </c>
      <c r="BE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0.85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0.4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59.07928388746804</v>
      </c>
      <c r="AM350">
        <f>IF($Q$350,$M$350*$AE$350*$U$350,0)</f>
        <v/>
      </c>
      <c r="AN350" t="n">
        <v>50.21739130434783</v>
      </c>
      <c r="AO350">
        <f>IF($Q$350,$M$350*$AG$350*$U$350,0)</f>
        <v/>
      </c>
      <c r="AP350" t="n">
        <v>23.63171355498721</v>
      </c>
      <c r="AQ350">
        <f>IF($Q$350,$M$350*$AE$350*$Y$350,0)</f>
        <v/>
      </c>
      <c r="AR350" t="n">
        <v>100.4347826086957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0.24</v>
      </c>
      <c r="BB350" t="inlineStr">
        <is>
          <t>NHANH_QUA;LECH_DOT_1</t>
        </is>
      </c>
      <c r="BC350" t="inlineStr"/>
      <c r="BD350" t="inlineStr">
        <is>
          <t>Assets/MachineBrigade/Resources/Data/balance.json: weapons[id=turret_thermobaric] (lớp B trên 01_chien_dau/Vu_khi)</t>
        </is>
      </c>
      <c r="BE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152.0883341334613</v>
      </c>
      <c r="AM351">
        <f>IF($Q$351,$M$351*$AE$351*$U$351,0)</f>
        <v/>
      </c>
      <c r="AN351" t="n">
        <v>107.7292366778685</v>
      </c>
      <c r="AO351">
        <f>IF($Q$351,$M$351*$AG$351*$U$351,0)</f>
        <v/>
      </c>
      <c r="AP351" t="n">
        <v>50.69611137782044</v>
      </c>
      <c r="AQ351">
        <f>IF($Q$351,$M$351*$AE$351*$Y$351,0)</f>
        <v/>
      </c>
      <c r="AR351" t="n">
        <v>62.84205472875659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1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5.554667</v>
      </c>
      <c r="BB351" t="inlineStr">
        <is>
          <t>CHAM_QUA</t>
        </is>
      </c>
      <c r="BC351" t="inlineStr"/>
      <c r="BD351" t="inlineStr">
        <is>
          <t>Assets/MachineBrigade/Resources/Data/balance.json: weapons[id=twin_30_bmpt] (lớp B trên 01_chien_dau/Vu_khi)</t>
        </is>
      </c>
      <c r="BE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142.58281325012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1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D352" t="inlineStr">
        <is>
          <t>Assets/MachineBrigade/Resources/Data/balance.json: weapons[id=twin_30_bmpt_flak] (lớp B trên 01_chien_dau/Vu_khi)</t>
        </is>
      </c>
      <c r="BE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92.57142857142857</v>
      </c>
      <c r="AM353">
        <f>IF($Q$353,$M$353*$AE$353*$U$353,0)</f>
        <v/>
      </c>
      <c r="AN353" t="n">
        <v>65.57142857142857</v>
      </c>
      <c r="AO353">
        <f>IF($Q$353,$M$353*$AG$353*$U$353,0)</f>
        <v/>
      </c>
      <c r="AP353" t="n">
        <v>30.85714285714286</v>
      </c>
      <c r="AQ353">
        <f>IF($Q$353,$M$353*$AE$353*$Y$353,0)</f>
        <v/>
      </c>
      <c r="AR353" t="n">
        <v>14.57142857142857</v>
      </c>
      <c r="AS353">
        <f>IF($S$353,$M$353*$AI$353*$W$353,0)</f>
        <v/>
      </c>
      <c r="AT353" t="n">
        <v>231.4285714285714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1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3.645833</v>
      </c>
      <c r="BB353" t="inlineStr">
        <is>
          <t>ok</t>
        </is>
      </c>
      <c r="BC353" t="inlineStr"/>
      <c r="BD353" t="inlineStr">
        <is>
          <t>Assets/MachineBrigade/Resources/Data/balance.json: weapons[id=twin_30_flak] (lớp B trên 01_chien_dau/Vu_khi)</t>
        </is>
      </c>
      <c r="BE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AND(Vu_khi!$K$354="Kinetic",NOT(Vu_khi!$AG$354))</f>
        <v/>
      </c>
      <c r="AB354" t="b">
        <v>1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246.8571428571428</v>
      </c>
      <c r="AM354">
        <f>IF($Q$354,$M$354*$AE$354*$U$354,0)</f>
        <v/>
      </c>
      <c r="AN354" t="n">
        <v>174.8571428571429</v>
      </c>
      <c r="AO354">
        <f>IF($Q$354,$M$354*$AG$354*$U$354,0)</f>
        <v/>
      </c>
      <c r="AP354" t="n">
        <v>82.28571428571428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1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inlineStr">
        <is>
          <t>Assets/MachineBrigade/Resources/Data/balance.json: weapons[id=twin_30_flak_ap] (lớp B trên 01_chien_dau/Vu_khi)</t>
        </is>
      </c>
      <c r="BE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54.97976765435322</v>
      </c>
      <c r="AM355">
        <f>IF($Q$355,$M$355*$AE$355*$U$355,0)</f>
        <v/>
      </c>
      <c r="AN355" t="n">
        <v>38.9440020885002</v>
      </c>
      <c r="AO355">
        <f>IF($Q$355,$M$355*$AG$355*$U$355,0)</f>
        <v/>
      </c>
      <c r="AP355" t="n">
        <v>18.32658921811774</v>
      </c>
      <c r="AQ355">
        <f>IF($Q$355,$M$355*$AE$355*$Y$355,0)</f>
        <v/>
      </c>
      <c r="AR355" t="n">
        <v>8.654222686333377</v>
      </c>
      <c r="AS355">
        <f>IF($S$355,$M$355*$AI$355*$W$355,0)</f>
        <v/>
      </c>
      <c r="AT355" t="n">
        <v>137.4494191358831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4.256111</v>
      </c>
      <c r="BB355" t="inlineStr">
        <is>
          <t>LECH_DOT_1</t>
        </is>
      </c>
      <c r="BC355" t="inlineStr"/>
      <c r="BD355" t="inlineStr">
        <is>
          <t>Assets/MachineBrigade/Resources/Data/balance.json: weapons[id=twin_35_ahead] (lớp B trên 01_chien_dau/Vu_khi)</t>
        </is>
      </c>
      <c r="BE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AND(Vu_khi!$K$356="Kinetic",NOT(Vu_khi!$AG$356))</f>
        <v/>
      </c>
      <c r="AB356" t="b">
        <v>1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146.6127137449419</v>
      </c>
      <c r="AM356">
        <f>IF($Q$356,$M$356*$AE$356*$U$356,0)</f>
        <v/>
      </c>
      <c r="AN356" t="n">
        <v>103.8506722360005</v>
      </c>
      <c r="AO356">
        <f>IF($Q$356,$M$356*$AG$356*$U$356,0)</f>
        <v/>
      </c>
      <c r="AP356" t="n">
        <v>48.8709045816473</v>
      </c>
      <c r="AQ356">
        <f>IF($Q$356,$M$356*$AE$356*$Y$356,0)</f>
        <v/>
      </c>
      <c r="AR356" t="n">
        <v>60.57955880433364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inlineStr">
        <is>
          <t>Assets/MachineBrigade/Resources/Data/balance.json: weapons[id=twin_35_ahead_ap] (lớp B trên 01_chien_dau/Vu_khi)</t>
        </is>
      </c>
      <c r="BE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103.3112582781457</v>
      </c>
      <c r="AO357">
        <f>IF($Q$357,$M$357*$AG$357*$U$357,0)</f>
        <v/>
      </c>
      <c r="AP357" t="n">
        <v>73.17880794701988</v>
      </c>
      <c r="AQ357">
        <f>IF($Q$357,$M$357*$AE$357*$Y$357,0)</f>
        <v/>
      </c>
      <c r="AR357" t="n">
        <v>35.76158940397352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2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inlineStr"/>
      <c r="BB357" t="inlineStr">
        <is>
          <t>ok</t>
        </is>
      </c>
      <c r="BC357" t="inlineStr"/>
      <c r="BD357" t="inlineStr">
        <is>
          <t>Assets/MachineBrigade/Resources/Data/balance.json: weapons[id=vikhr] (lớp B trên 01_chien_dau/Vu_khi)</t>
        </is>
      </c>
      <c r="BE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IF($Q$358,$M$358*$AG$358*$U$358,0)</f>
        <v/>
      </c>
      <c r="AP358" t="n">
        <v>0</v>
      </c>
      <c r="AQ358">
        <f>IF($Q$358,$M$358*$AE$358*$Y$358,0)</f>
        <v/>
      </c>
      <c r="AR358" t="n">
        <v>0</v>
      </c>
      <c r="AS358">
        <f>IF($S$358,$M$358*$AI$358*$W$358,0)</f>
        <v/>
      </c>
      <c r="AT358" t="n">
        <v>147.0990566037736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2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inlineStr">
        <is>
          <t>Assets/MachineBrigade/Resources/Data/balance.json: weapons[id=wvr_aam] (lớp B trên 01_chien_dau/Vu_khi)</t>
        </is>
      </c>
      <c r="BE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0.65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0.15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31.5</v>
      </c>
      <c r="AM359">
        <f>IF($Q$359,$M$359*$AE$359*$U$359,0)</f>
        <v/>
      </c>
      <c r="AN359" t="n">
        <v>20.475</v>
      </c>
      <c r="AO359">
        <f>IF($Q$359,$M$359*$AG$359*$U$359,0)</f>
        <v/>
      </c>
      <c r="AP359" t="n">
        <v>4.725000000000001</v>
      </c>
      <c r="AQ359">
        <f>IF($Q$359,$M$359*$AE$359*$Y$359,0)</f>
        <v/>
      </c>
      <c r="AR359" t="n">
        <v>4.55</v>
      </c>
      <c r="AS359">
        <f>IF($S$359,$M$359*$AI$359*$W$359,0)</f>
        <v/>
      </c>
      <c r="AT359" t="n">
        <v>94.5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1.666667</v>
      </c>
      <c r="BB359" t="inlineStr">
        <is>
          <t>ok</t>
        </is>
      </c>
      <c r="BC359" t="inlineStr"/>
      <c r="BD359" t="inlineStr">
        <is>
          <t>Assets/MachineBrigade/Resources/Data/balance.json: weapons[id=zu23] (lớp B trên 01_chien_dau/Vu_khi)</t>
        </is>
      </c>
      <c r="BE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100.8</v>
      </c>
      <c r="AM360">
        <f>IF($Q$360,$M$360*$AE$360*$U$360,0)</f>
        <v/>
      </c>
      <c r="AN360" t="n">
        <v>71.40000000000001</v>
      </c>
      <c r="AO360">
        <f>IF($Q$360,$M$360*$AG$360*$U$360,0)</f>
        <v/>
      </c>
      <c r="AP360" t="n">
        <v>33.6</v>
      </c>
      <c r="AQ360">
        <f>IF($Q$360,$M$360*$AE$360*$Y$360,0)</f>
        <v/>
      </c>
      <c r="AR360" t="n">
        <v>41.65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inlineStr">
        <is>
          <t>Assets/MachineBrigade/Resources/Data/balance.json: weapons[id=zu23_ap] (lớp B trên 01_chien_dau/Vu_khi)</t>
        </is>
      </c>
      <c r="BE360" t="inlineStr"/>
    </row>
  </sheetData>
  <autoFilter ref="A1:BE36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6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6" customWidth="1" min="62" max="62"/>
    <col width="18" customWidth="1" min="63" max="63"/>
    <col width="24" customWidth="1" min="64" max="64"/>
    <col width="16" customWidth="1" min="65" max="65"/>
    <col width="16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inlineStr">
        <is>
          <t>NEED_CODE_CHECK</t>
        </is>
      </c>
      <c r="BK2" t="inlineStr"/>
      <c r="BL2" t="inlineStr"/>
      <c r="BM2" t="inlineStr"/>
      <c r="BN2" t="inlineStr">
        <is>
          <t>NEED_CODE_CHECK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inlineStr">
        <is>
          <t>NEED_CODE_CHECK</t>
        </is>
      </c>
      <c r="BK3" t="inlineStr"/>
      <c r="BL3" t="inlineStr">
        <is>
          <t>elite_aa</t>
        </is>
      </c>
      <c r="BM3" t="inlineStr"/>
      <c r="BN3" t="inlineStr">
        <is>
          <t>NEED_CODE_CHECK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inlineStr">
        <is>
          <t>NEED_CODE_CHECK</t>
        </is>
      </c>
      <c r="BK4" t="inlineStr"/>
      <c r="BL4" t="inlineStr"/>
      <c r="BM4" t="inlineStr">
        <is>
          <t>repair</t>
        </is>
      </c>
      <c r="BN4" t="inlineStr">
        <is>
          <t>NEED_CODE_CHECK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inlineStr">
        <is>
          <t>NEED_CODE_CHECK</t>
        </is>
      </c>
      <c r="BK5" t="inlineStr"/>
      <c r="BL5" t="inlineStr"/>
      <c r="BM5" t="inlineStr">
        <is>
          <t>heavy</t>
        </is>
      </c>
      <c r="BN5" t="inlineStr">
        <is>
          <t>NEED_CODE_CHECK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inlineStr">
        <is>
          <t>NEED_CODE_CHECK</t>
        </is>
      </c>
      <c r="BK6" t="inlineStr"/>
      <c r="BL6" t="inlineStr"/>
      <c r="BM6" t="inlineStr">
        <is>
          <t>light;wheeled</t>
        </is>
      </c>
      <c r="BN6" t="inlineStr">
        <is>
          <t>NEED_CODE_CHECK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inlineStr">
        <is>
          <t>NEED_CODE_CHECK</t>
        </is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NEED_CODE_CHECK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inlineStr">
        <is>
          <t>NEED_CODE_CHECK</t>
        </is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inlineStr">
        <is>
          <t>NEED_CODE_CHECK</t>
        </is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NEED_CODE_CHECK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inlineStr">
        <is>
          <t>NEED_CODE_CHECK</t>
        </is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inlineStr">
        <is>
          <t>NEED_CODE_CHECK</t>
        </is>
      </c>
      <c r="BK9" t="inlineStr"/>
      <c r="BL9" t="inlineStr">
        <is>
          <t>elite_attack_jet</t>
        </is>
      </c>
      <c r="BM9" t="inlineStr"/>
      <c r="BN9" t="inlineStr">
        <is>
          <t>NEED_CODE_CHECK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inlineStr">
        <is>
          <t>NEED_CODE_CHECK</t>
        </is>
      </c>
      <c r="BK10" t="inlineStr"/>
      <c r="BL10" t="inlineStr"/>
      <c r="BM10" t="inlineStr"/>
      <c r="BN10" t="inlineStr">
        <is>
          <t>NEED_CODE_CHECK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inlineStr">
        <is>
          <t>NEED_CODE_CHECK</t>
        </is>
      </c>
      <c r="BK11" t="inlineStr"/>
      <c r="BL11" t="inlineStr"/>
      <c r="BM11" t="inlineStr"/>
      <c r="BN11" t="inlineStr">
        <is>
          <t>NEED_CODE_CHECK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inlineStr">
        <is>
          <t>NEED_CODE_CHECK</t>
        </is>
      </c>
      <c r="BK12" t="inlineStr"/>
      <c r="BL12" t="inlineStr"/>
      <c r="BM12" t="inlineStr">
        <is>
          <t>engineer</t>
        </is>
      </c>
      <c r="BN12" t="inlineStr">
        <is>
          <t>NEED_CODE_CHECK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inlineStr">
        <is>
          <t>NEED_CODE_CHECK</t>
        </is>
      </c>
      <c r="BK13" t="inlineStr"/>
      <c r="BL13" t="inlineStr"/>
      <c r="BM13" t="inlineStr"/>
      <c r="BN13" t="inlineStr">
        <is>
          <t>NEED_CODE_CHECK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inlineStr">
        <is>
          <t>NEED_CODE_CHECK</t>
        </is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inlineStr">
        <is>
          <t>NEED_CODE_CHECK</t>
        </is>
      </c>
      <c r="BK14" t="inlineStr">
        <is>
          <t>aa_vehicle</t>
        </is>
      </c>
      <c r="BL14" t="inlineStr"/>
      <c r="BM14" t="inlineStr"/>
      <c r="BN14" t="inlineStr">
        <is>
          <t>NEED_CODE_CHECK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inlineStr">
        <is>
          <t>NEED_CODE_CHECK</t>
        </is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inlineStr">
        <is>
          <t>NEED_CODE_CHECK</t>
        </is>
      </c>
      <c r="BK15" t="inlineStr">
        <is>
          <t>ifv</t>
        </is>
      </c>
      <c r="BL15" t="inlineStr"/>
      <c r="BM15" t="inlineStr"/>
      <c r="BN15" t="inlineStr">
        <is>
          <t>NEED_CODE_CHECK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inlineStr">
        <is>
          <t>NEED_CODE_CHECK</t>
        </is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inlineStr">
        <is>
          <t>NEED_CODE_CHECK</t>
        </is>
      </c>
      <c r="BK16" t="inlineStr">
        <is>
          <t>artillery</t>
        </is>
      </c>
      <c r="BL16" t="inlineStr"/>
      <c r="BM16" t="inlineStr"/>
      <c r="BN16" t="inlineStr">
        <is>
          <t>NEED_CODE_CHECK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inlineStr">
        <is>
          <t>NEED_CODE_CHECK</t>
        </is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inlineStr">
        <is>
          <t>NEED_CODE_CHECK</t>
        </is>
      </c>
      <c r="BK17" t="inlineStr">
        <is>
          <t>attack_helicopter</t>
        </is>
      </c>
      <c r="BL17" t="inlineStr"/>
      <c r="BM17" t="inlineStr"/>
      <c r="BN17" t="inlineStr">
        <is>
          <t>NEED_CODE_CHECK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inlineStr">
        <is>
          <t>NEED_CODE_CHECK</t>
        </is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inlineStr">
        <is>
          <t>NEED_CODE_CHECK</t>
        </is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inlineStr">
        <is>
          <t>NEED_CODE_CHECK</t>
        </is>
      </c>
      <c r="BK18" t="inlineStr">
        <is>
          <t>attack_jet</t>
        </is>
      </c>
      <c r="BL18" t="inlineStr"/>
      <c r="BM18" t="inlineStr"/>
      <c r="BN18" t="inlineStr">
        <is>
          <t>NEED_CODE_CHECK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inlineStr">
        <is>
          <t>NEED_CODE_CHECK</t>
        </is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inlineStr">
        <is>
          <t>NEED_CODE_CHECK</t>
        </is>
      </c>
      <c r="BK19" t="inlineStr">
        <is>
          <t>fpv_carrier</t>
        </is>
      </c>
      <c r="BL19" t="inlineStr"/>
      <c r="BM19" t="inlineStr"/>
      <c r="BN19" t="inlineStr">
        <is>
          <t>NEED_CODE_CHECK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inlineStr">
        <is>
          <t>NEED_CODE_CHECK</t>
        </is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inlineStr">
        <is>
          <t>NEED_CODE_CHECK</t>
        </is>
      </c>
      <c r="BK20" t="inlineStr">
        <is>
          <t>mlrs</t>
        </is>
      </c>
      <c r="BL20" t="inlineStr"/>
      <c r="BM20" t="inlineStr"/>
      <c r="BN20" t="inlineStr">
        <is>
          <t>NEED_CODE_CHECK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inlineStr">
        <is>
          <t>NEED_CODE_CHECK</t>
        </is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Q21" t="n">
        <v>4</v>
      </c>
      <c r="AR21" t="n">
        <v>5</v>
      </c>
      <c r="BI21" t="n">
        <v>26</v>
      </c>
      <c r="BJ21" t="inlineStr">
        <is>
          <t>NEED_CODE_CHECK</t>
        </is>
      </c>
      <c r="BK21" t="inlineStr">
        <is>
          <t>heavy_tank</t>
        </is>
      </c>
      <c r="BL21" t="inlineStr"/>
      <c r="BM21" t="inlineStr"/>
      <c r="BN21" t="inlineStr">
        <is>
          <t>NEED_CODE_CHECK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[5,3,2,2]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inlineStr">
        <is>
          <t>NEED_CODE_CHECK</t>
        </is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inlineStr">
        <is>
          <t>NEED_CODE_CHECK</t>
        </is>
      </c>
      <c r="BK22" t="inlineStr">
        <is>
          <t>long_sam</t>
        </is>
      </c>
      <c r="BL22" t="inlineStr"/>
      <c r="BM22" t="inlineStr"/>
      <c r="BN22" t="inlineStr">
        <is>
          <t>NEED_CODE_CHECK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inlineStr">
        <is>
          <t>NEED_CODE_CHECK</t>
        </is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inlineStr">
        <is>
          <t>NEED_CODE_CHECK</t>
        </is>
      </c>
      <c r="BK23" t="inlineStr">
        <is>
          <t>main_battle_tank</t>
        </is>
      </c>
      <c r="BL23" t="inlineStr"/>
      <c r="BM23" t="inlineStr"/>
      <c r="BN23" t="inlineStr">
        <is>
          <t>NEED_CODE_CHECK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inlineStr">
        <is>
          <t>NEED_CODE_CHECK</t>
        </is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inlineStr">
        <is>
          <t>NEED_CODE_CHECK</t>
        </is>
      </c>
      <c r="BK24" t="inlineStr">
        <is>
          <t>mlrs</t>
        </is>
      </c>
      <c r="BL24" t="inlineStr"/>
      <c r="BM24" t="inlineStr"/>
      <c r="BN24" t="inlineStr">
        <is>
          <t>NEED_CODE_CHECK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inlineStr">
        <is>
          <t>NEED_CODE_CHECK</t>
        </is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inlineStr">
        <is>
          <t>NEED_CODE_CHECK</t>
        </is>
      </c>
      <c r="BK25" t="inlineStr">
        <is>
          <t>tank_destroyer</t>
        </is>
      </c>
      <c r="BL25" t="inlineStr"/>
      <c r="BM25" t="inlineStr"/>
      <c r="BN25" t="inlineStr">
        <is>
          <t>NEED_CODE_CHECK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inlineStr">
        <is>
          <t>NEED_CODE_CHECK</t>
        </is>
      </c>
      <c r="BK26" t="inlineStr"/>
      <c r="BL26" t="inlineStr"/>
      <c r="BM26" t="inlineStr">
        <is>
          <t>engineer</t>
        </is>
      </c>
      <c r="BN26" t="inlineStr">
        <is>
          <t>NEED_CODE_CHECK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inlineStr">
        <is>
          <t>NEED_CODE_CHECK</t>
        </is>
      </c>
      <c r="BK27" t="inlineStr"/>
      <c r="BL27" t="inlineStr"/>
      <c r="BM27" t="inlineStr"/>
      <c r="BN27" t="inlineStr">
        <is>
          <t>NEED_CODE_CHECK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inlineStr">
        <is>
          <t>NEED_CODE_CHECK</t>
        </is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inlineStr">
        <is>
          <t>NEED_CODE_CHECK</t>
        </is>
      </c>
      <c r="BK28" t="inlineStr"/>
      <c r="BL28" t="inlineStr"/>
      <c r="BM28" t="inlineStr"/>
      <c r="BN28" t="inlineStr">
        <is>
          <t>NEED_CODE_CHECK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inlineStr">
        <is>
          <t>NEED_CODE_CHECK</t>
        </is>
      </c>
      <c r="BK29" t="inlineStr"/>
      <c r="BL29" t="inlineStr"/>
      <c r="BM29" t="inlineStr"/>
      <c r="BN29" t="inlineStr">
        <is>
          <t>NEED_CODE_CHECK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inlineStr">
        <is>
          <t>NEED_CODE_CHECK</t>
        </is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NEED_CODE_CHECK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inlineStr">
        <is>
          <t>NEED_CODE_CHECK</t>
        </is>
      </c>
      <c r="BK31" t="inlineStr"/>
      <c r="BL31" t="inlineStr"/>
      <c r="BM31" t="inlineStr"/>
      <c r="BN31" t="inlineStr">
        <is>
          <t>NEED_CODE_CHECK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inlineStr">
        <is>
          <t>NEED_CODE_CHECK</t>
        </is>
      </c>
      <c r="BK32" t="inlineStr"/>
      <c r="BL32" t="inlineStr"/>
      <c r="BM32" t="inlineStr"/>
      <c r="BN32" t="inlineStr">
        <is>
          <t>NEED_CODE_CHECK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inlineStr">
        <is>
          <t>NEED_CODE_CHECK</t>
        </is>
      </c>
      <c r="BK33" t="inlineStr"/>
      <c r="BL33" t="inlineStr"/>
      <c r="BM33" t="inlineStr"/>
      <c r="BN33" t="inlineStr">
        <is>
          <t>NEED_CODE_CHECK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inlineStr">
        <is>
          <t>NEED_CODE_CHECK</t>
        </is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inlineStr">
        <is>
          <t>NEED_CODE_CHECK</t>
        </is>
      </c>
      <c r="BK34" t="inlineStr"/>
      <c r="BL34" t="inlineStr"/>
      <c r="BM34" t="inlineStr"/>
      <c r="BN34" t="inlineStr">
        <is>
          <t>NEED_CODE_CHECK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inlineStr">
        <is>
          <t>NEED_CODE_CHECK</t>
        </is>
      </c>
      <c r="BK35" t="inlineStr"/>
      <c r="BL35" t="inlineStr"/>
      <c r="BM35" t="inlineStr"/>
      <c r="BN35" t="inlineStr">
        <is>
          <t>NEED_CODE_CHECK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inlineStr">
        <is>
          <t>NEED_CODE_CHECK</t>
        </is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NEED_CODE_CHECK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inlineStr">
        <is>
          <t>NEED_CODE_CHECK</t>
        </is>
      </c>
      <c r="BK37" t="inlineStr"/>
      <c r="BL37" t="inlineStr"/>
      <c r="BM37" t="inlineStr"/>
      <c r="BN37" t="inlineStr">
        <is>
          <t>NEED_CODE_CHECK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inlineStr">
        <is>
          <t>NEED_CODE_CHECK</t>
        </is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NEED_CODE_CHECK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inlineStr">
        <is>
          <t>NEED_CODE_CHECK</t>
        </is>
      </c>
      <c r="BK39" t="inlineStr"/>
      <c r="BL39" t="inlineStr"/>
      <c r="BM39" t="inlineStr"/>
      <c r="BN39" t="inlineStr">
        <is>
          <t>NEED_CODE_CHECK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inlineStr">
        <is>
          <t>NEED_CODE_CHECK</t>
        </is>
      </c>
      <c r="BK40" t="inlineStr"/>
      <c r="BL40" t="inlineStr"/>
      <c r="BM40" t="inlineStr"/>
      <c r="BN40" t="inlineStr">
        <is>
          <t>NEED_CODE_CHECK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inlineStr">
        <is>
          <t>NEED_CODE_CHECK</t>
        </is>
      </c>
      <c r="BK41" t="inlineStr"/>
      <c r="BL41" t="inlineStr"/>
      <c r="BM41" t="inlineStr"/>
      <c r="BN41" t="inlineStr">
        <is>
          <t>NEED_CODE_CHECK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inlineStr">
        <is>
          <t>NEED_CODE_CHECK</t>
        </is>
      </c>
      <c r="BK42" t="inlineStr"/>
      <c r="BL42" t="inlineStr"/>
      <c r="BM42" t="inlineStr">
        <is>
          <t>light_tank;tank</t>
        </is>
      </c>
      <c r="BN42" t="inlineStr">
        <is>
          <t>NEED_CODE_CHECK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inlineStr">
        <is>
          <t>NEED_CODE_CHECK</t>
        </is>
      </c>
      <c r="BK43" t="inlineStr"/>
      <c r="BL43" t="inlineStr">
        <is>
          <t>elite_long_sam</t>
        </is>
      </c>
      <c r="BM43" t="inlineStr"/>
      <c r="BN43" t="inlineStr">
        <is>
          <t>NEED_CODE_CHECK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inlineStr">
        <is>
          <t>NEED_CODE_CHECK</t>
        </is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NEED_CODE_CHECK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inlineStr">
        <is>
          <t>NEED_CODE_CHECK</t>
        </is>
      </c>
      <c r="BK45" t="inlineStr"/>
      <c r="BL45" t="inlineStr"/>
      <c r="BM45" t="inlineStr"/>
      <c r="BN45" t="inlineStr">
        <is>
          <t>NEED_CODE_CHECK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inlineStr">
        <is>
          <t>NEED_CODE_CHECK</t>
        </is>
      </c>
      <c r="BK46" t="inlineStr"/>
      <c r="BL46" t="inlineStr"/>
      <c r="BM46" t="inlineStr">
        <is>
          <t>mine_layer</t>
        </is>
      </c>
      <c r="BN46" t="inlineStr">
        <is>
          <t>NEED_CODE_CHECK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inlineStr">
        <is>
          <t>NEED_CODE_CHECK</t>
        </is>
      </c>
      <c r="BK47" t="inlineStr"/>
      <c r="BL47" t="inlineStr"/>
      <c r="BM47" t="inlineStr"/>
      <c r="BN47" t="inlineStr">
        <is>
          <t>NEED_CODE_CHECK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inlineStr">
        <is>
          <t>NEED_CODE_CHECK</t>
        </is>
      </c>
      <c r="BK48" t="inlineStr"/>
      <c r="BL48" t="inlineStr">
        <is>
          <t>elite_grad</t>
        </is>
      </c>
      <c r="BM48" t="inlineStr"/>
      <c r="BN48" t="inlineStr">
        <is>
          <t>NEED_CODE_CHECK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inlineStr">
        <is>
          <t>NEED_CODE_CHECK</t>
        </is>
      </c>
      <c r="BK49" t="inlineStr"/>
      <c r="BL49" t="inlineStr"/>
      <c r="BM49" t="inlineStr">
        <is>
          <t>artillery</t>
        </is>
      </c>
      <c r="BN49" t="inlineStr">
        <is>
          <t>NEED_CODE_CHECK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inlineStr">
        <is>
          <t>NEED_CODE_CHECK</t>
        </is>
      </c>
      <c r="BK50" t="inlineStr"/>
      <c r="BL50" t="inlineStr"/>
      <c r="BM50" t="inlineStr">
        <is>
          <t>mbt;tank</t>
        </is>
      </c>
      <c r="BN50" t="inlineStr">
        <is>
          <t>NEED_CODE_CHECK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inlineStr">
        <is>
          <t>NEED_CODE_CHECK</t>
        </is>
      </c>
      <c r="BK51" t="inlineStr"/>
      <c r="BL51" t="inlineStr"/>
      <c r="BM51" t="inlineStr"/>
      <c r="BN51" t="inlineStr">
        <is>
          <t>NEED_CODE_CHECK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inlineStr">
        <is>
          <t>NEED_CODE_CHECK</t>
        </is>
      </c>
      <c r="BK52" t="inlineStr"/>
      <c r="BL52" t="inlineStr"/>
      <c r="BM52" t="inlineStr">
        <is>
          <t>light</t>
        </is>
      </c>
      <c r="BN52" t="inlineStr">
        <is>
          <t>NEED_CODE_CHECK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inlineStr">
        <is>
          <t>NEED_CODE_CHECK</t>
        </is>
      </c>
      <c r="BK53" t="inlineStr"/>
      <c r="BL53" t="inlineStr"/>
      <c r="BM53" t="inlineStr"/>
      <c r="BN53" t="inlineStr">
        <is>
          <t>NEED_CODE_CHECK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inlineStr">
        <is>
          <t>NEED_CODE_CHECK</t>
        </is>
      </c>
      <c r="BK54" t="inlineStr"/>
      <c r="BL54" t="inlineStr"/>
      <c r="BM54" t="inlineStr"/>
      <c r="BN54" t="inlineStr">
        <is>
          <t>NEED_CODE_CHECK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inlineStr">
        <is>
          <t>NEED_CODE_CHECK</t>
        </is>
      </c>
      <c r="BK55" t="inlineStr"/>
      <c r="BL55" t="inlineStr"/>
      <c r="BM55" t="inlineStr"/>
      <c r="BN55" t="inlineStr">
        <is>
          <t>NEED_CODE_CHECK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inlineStr">
        <is>
          <t>NEED_CODE_CHECK</t>
        </is>
      </c>
      <c r="BK56" t="inlineStr"/>
      <c r="BL56" t="inlineStr"/>
      <c r="BM56" t="inlineStr">
        <is>
          <t>light</t>
        </is>
      </c>
      <c r="BN56" t="inlineStr">
        <is>
          <t>NEED_CODE_CHECK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inlineStr">
        <is>
          <t>NEED_CODE_CHECK</t>
        </is>
      </c>
      <c r="BK57" t="inlineStr"/>
      <c r="BL57" t="inlineStr"/>
      <c r="BM57" t="inlineStr"/>
      <c r="BN57" t="inlineStr">
        <is>
          <t>NEED_CODE_CHECK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inlineStr">
        <is>
          <t>NEED_CODE_CHECK</t>
        </is>
      </c>
      <c r="BK58" t="inlineStr"/>
      <c r="BL58" t="inlineStr"/>
      <c r="BM58" t="inlineStr">
        <is>
          <t>heli;scout_heli</t>
        </is>
      </c>
      <c r="BN58" t="inlineStr">
        <is>
          <t>NEED_CODE_CHECK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inlineStr">
        <is>
          <t>NEED_CODE_CHECK</t>
        </is>
      </c>
      <c r="BK59" t="inlineStr"/>
      <c r="BL59" t="inlineStr"/>
      <c r="BM59" t="inlineStr">
        <is>
          <t>scout</t>
        </is>
      </c>
      <c r="BN59" t="inlineStr">
        <is>
          <t>NEED_CODE_CHECK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inlineStr">
        <is>
          <t>NEED_CODE_CHECK</t>
        </is>
      </c>
      <c r="BK60" t="inlineStr"/>
      <c r="BL60" t="inlineStr"/>
      <c r="BM60" t="inlineStr"/>
      <c r="BN60" t="inlineStr">
        <is>
          <t>NEED_CODE_CHECK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inlineStr">
        <is>
          <t>NEED_CODE_CHECK</t>
        </is>
      </c>
      <c r="BK61" t="inlineStr"/>
      <c r="BL61" t="inlineStr"/>
      <c r="BM61" t="inlineStr"/>
      <c r="BN61" t="inlineStr">
        <is>
          <t>NEED_CODE_CHECK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inlineStr">
        <is>
          <t>NEED_CODE_CHECK</t>
        </is>
      </c>
      <c r="BK62" t="inlineStr"/>
      <c r="BL62" t="inlineStr"/>
      <c r="BM62" t="inlineStr"/>
      <c r="BN62" t="inlineStr">
        <is>
          <t>NEED_CODE_CHECK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inlineStr">
        <is>
          <t>NEED_CODE_CHECK</t>
        </is>
      </c>
      <c r="BK63" t="inlineStr"/>
      <c r="BL63" t="inlineStr"/>
      <c r="BM63" t="inlineStr"/>
      <c r="BN63" t="inlineStr">
        <is>
          <t>NEED_CODE_CHECK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inlineStr">
        <is>
          <t>NEED_CODE_CHECK</t>
        </is>
      </c>
      <c r="BK64" t="inlineStr"/>
      <c r="BL64" t="inlineStr"/>
      <c r="BM64" t="inlineStr">
        <is>
          <t>bunker;fortify</t>
        </is>
      </c>
      <c r="BN64" t="inlineStr">
        <is>
          <t>NEED_CODE_CHECK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inlineStr">
        <is>
          <t>NEED_CODE_CHECK</t>
        </is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inlineStr">
        <is>
          <t>NEED_CODE_CHECK</t>
        </is>
      </c>
      <c r="BK65" t="inlineStr"/>
      <c r="BL65" t="inlineStr"/>
      <c r="BM65" t="inlineStr"/>
      <c r="BN65" t="inlineStr">
        <is>
          <t>NEED_CODE_CHECK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inlineStr">
        <is>
          <t>NEED_CODE_CHECK</t>
        </is>
      </c>
      <c r="BK66" t="inlineStr"/>
      <c r="BL66" t="inlineStr"/>
      <c r="BM66" t="inlineStr">
        <is>
          <t>artillery</t>
        </is>
      </c>
      <c r="BN66" t="inlineStr">
        <is>
          <t>NEED_CODE_CHECK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inlineStr">
        <is>
          <t>NEED_CODE_CHECK</t>
        </is>
      </c>
      <c r="BK67" t="inlineStr"/>
      <c r="BL67" t="inlineStr"/>
      <c r="BM67" t="inlineStr"/>
      <c r="BN67" t="inlineStr">
        <is>
          <t>NEED_CODE_CHECK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inlineStr">
        <is>
          <t>NEED_CODE_CHECK</t>
        </is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inlineStr">
        <is>
          <t>NEED_CODE_CHECK</t>
        </is>
      </c>
      <c r="BK68" t="inlineStr"/>
      <c r="BL68" t="inlineStr"/>
      <c r="BM68" t="inlineStr"/>
      <c r="BN68" t="inlineStr">
        <is>
          <t>NEED_CODE_CHECK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inlineStr">
        <is>
          <t>NEED_CODE_CHECK</t>
        </is>
      </c>
      <c r="BK69" t="inlineStr"/>
      <c r="BL69" t="inlineStr"/>
      <c r="BM69" t="inlineStr"/>
      <c r="BN69" t="inlineStr">
        <is>
          <t>NEED_CODE_CHECK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inlineStr">
        <is>
          <t>NEED_CODE_CHECK</t>
        </is>
      </c>
      <c r="BK70" t="inlineStr"/>
      <c r="BL70" t="inlineStr"/>
      <c r="BM70" t="inlineStr"/>
      <c r="BN70" t="inlineStr">
        <is>
          <t>NEED_CODE_CHECK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inlineStr">
        <is>
          <t>NEED_CODE_CHECK</t>
        </is>
      </c>
      <c r="BK71" t="inlineStr"/>
      <c r="BL71" t="inlineStr"/>
      <c r="BM71" t="inlineStr"/>
      <c r="BN71" t="inlineStr">
        <is>
          <t>NEED_CODE_CHECK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inlineStr">
        <is>
          <t>NEED_CODE_CHECK</t>
        </is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inlineStr">
        <is>
          <t>NEED_CODE_CHECK</t>
        </is>
      </c>
      <c r="BK72" t="inlineStr"/>
      <c r="BL72" t="inlineStr"/>
      <c r="BM72" t="inlineStr"/>
      <c r="BN72" t="inlineStr">
        <is>
          <t>NEED_CODE_CHECK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inlineStr">
        <is>
          <t>NEED_CODE_CHECK</t>
        </is>
      </c>
      <c r="BK73" t="inlineStr"/>
      <c r="BL73" t="inlineStr">
        <is>
          <t>elite_tank_destroyer</t>
        </is>
      </c>
      <c r="BM73" t="inlineStr"/>
      <c r="BN73" t="inlineStr">
        <is>
          <t>NEED_CODE_CHECK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inlineStr">
        <is>
          <t>NEED_CODE_CHECK</t>
        </is>
      </c>
      <c r="BK74" t="inlineStr"/>
      <c r="BL74" t="inlineStr"/>
      <c r="BM74" t="inlineStr"/>
      <c r="BN74" t="inlineStr">
        <is>
          <t>NEED_CODE_CHECK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inlineStr">
        <is>
          <t>NEED_CODE_CHECK</t>
        </is>
      </c>
      <c r="BK75" t="inlineStr"/>
      <c r="BL75" t="inlineStr"/>
      <c r="BM75" t="inlineStr">
        <is>
          <t>heavy</t>
        </is>
      </c>
      <c r="BN75" t="inlineStr">
        <is>
          <t>NEED_CODE_CHECK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inlineStr">
        <is>
          <t>NEED_CODE_CHECK</t>
        </is>
      </c>
      <c r="BK76" t="inlineStr"/>
      <c r="BL76" t="inlineStr"/>
      <c r="BM76" t="inlineStr"/>
      <c r="BN76" t="inlineStr">
        <is>
          <t>NEED_CODE_CHECK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inlineStr">
        <is>
          <t>NEED_CODE_CHECK</t>
        </is>
      </c>
      <c r="BK77" t="inlineStr"/>
      <c r="BL77" t="inlineStr"/>
      <c r="BM77" t="inlineStr">
        <is>
          <t>heavy;mbt;tank</t>
        </is>
      </c>
      <c r="BN77" t="inlineStr">
        <is>
          <t>NEED_CODE_CHECK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inlineStr">
        <is>
          <t>NEED_CODE_CHECK</t>
        </is>
      </c>
      <c r="BK78" t="inlineStr"/>
      <c r="BL78" t="inlineStr"/>
      <c r="BM78" t="inlineStr"/>
      <c r="BN78" t="inlineStr">
        <is>
          <t>NEED_CODE_CHECK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inlineStr">
        <is>
          <t>NEED_CODE_CHECK</t>
        </is>
      </c>
      <c r="BK79" t="inlineStr"/>
      <c r="BL79" t="inlineStr"/>
      <c r="BM79" t="inlineStr">
        <is>
          <t>wheeled</t>
        </is>
      </c>
      <c r="BN79" t="inlineStr">
        <is>
          <t>NEED_CODE_CHECK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inlineStr">
        <is>
          <t>NEED_CODE_CHECK</t>
        </is>
      </c>
      <c r="BK80" t="inlineStr"/>
      <c r="BL80" t="inlineStr"/>
      <c r="BM80" t="inlineStr">
        <is>
          <t>light</t>
        </is>
      </c>
      <c r="BN80" t="inlineStr">
        <is>
          <t>NEED_CODE_CHECK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minigun)</t>
        </is>
      </c>
      <c r="L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mlrs_elite)</t>
        </is>
      </c>
      <c r="L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mlrs_rockets)</t>
        </is>
      </c>
      <c r="L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mortar_120)</t>
        </is>
      </c>
      <c r="L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naval_76)</t>
        </is>
      </c>
      <c r="L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b">
        <v>1</v>
      </c>
      <c r="K51" t="inlineStr">
        <is>
          <t>01_chien_dau/Vu_khi_suy_ra (id none)</t>
        </is>
      </c>
      <c r="L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railgun)</t>
        </is>
      </c>
      <c r="L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b">
        <v>0</v>
      </c>
      <c r="K53" t="inlineStr">
        <is>
          <t>01_chien_dau/Vu_khi_suy_ra (id recoilless_106)</t>
        </is>
      </c>
      <c r="L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recon_missile)</t>
        </is>
      </c>
      <c r="L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rockets_300mm)</t>
        </is>
      </c>
      <c r="L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b">
        <v>0</v>
      </c>
      <c r="K56" t="inlineStr">
        <is>
          <t>01_chien_dau/Vu_khi_suy_ra (id sam_48n6)</t>
        </is>
      </c>
      <c r="L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shahed)</t>
        </is>
      </c>
      <c r="L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siege_mortar_240)</t>
        </is>
      </c>
      <c r="L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stealth_payload)</t>
        </is>
      </c>
      <c r="L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b">
        <v>0</v>
      </c>
      <c r="K60" t="inlineStr">
        <is>
          <t>01_chien_dau/Vu_khi_suy_ra (id stinger_post)</t>
        </is>
      </c>
      <c r="L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b">
        <v>0</v>
      </c>
      <c r="K61" t="inlineStr">
        <is>
          <t>01_chien_dau/Vu_khi_suy_ra (id swarm_drones)</t>
        </is>
      </c>
      <c r="L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technical_rockets)</t>
        </is>
      </c>
      <c r="L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thermobaric_rockets)</t>
        </is>
      </c>
      <c r="L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b">
        <v>0</v>
      </c>
      <c r="K64" t="inlineStr">
        <is>
          <t>01_chien_dau/Vu_khi_suy_ra (id twin_30_flak)</t>
        </is>
      </c>
      <c r="L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twin_35_ahead)</t>
        </is>
      </c>
      <c r="L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zu23)</t>
        </is>
      </c>
      <c r="L66" t="inlineStr"/>
    </row>
  </sheetData>
  <autoFilter ref="A1:L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6" customWidth="1" min="12" max="12"/>
    <col width="16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inlineStr">
        <is>
          <t>NEED_CODE_CHECK</t>
        </is>
      </c>
      <c r="M2" t="inlineStr">
        <is>
          <t>NEED_CODE_CHECK</t>
        </is>
      </c>
      <c r="N2" t="inlineStr">
        <is>
          <t>NEED_CODE_CHECK</t>
        </is>
      </c>
      <c r="O2" t="inlineStr">
        <is>
          <t>NEED_CODE_CHECK</t>
        </is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inlineStr">
        <is>
          <t>NEED_CODE_CHECK</t>
        </is>
      </c>
      <c r="M3" t="inlineStr">
        <is>
          <t>NEED_CODE_CHECK</t>
        </is>
      </c>
      <c r="N3" t="inlineStr">
        <is>
          <t>NEED_CODE_CHECK</t>
        </is>
      </c>
      <c r="O3" t="inlineStr">
        <is>
          <t>NEED_CODE_CHECK</t>
        </is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inlineStr">
        <is>
          <t>NEED_CODE_CHECK</t>
        </is>
      </c>
      <c r="M4" t="inlineStr">
        <is>
          <t>NEED_CODE_CHECK</t>
        </is>
      </c>
      <c r="N4" t="inlineStr">
        <is>
          <t>NEED_CODE_CHECK</t>
        </is>
      </c>
      <c r="O4" t="inlineStr">
        <is>
          <t>NEED_CODE_CHECK</t>
        </is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inlineStr">
        <is>
          <t>NEED_CODE_CHECK</t>
        </is>
      </c>
      <c r="M5" t="inlineStr">
        <is>
          <t>NEED_CODE_CHECK</t>
        </is>
      </c>
      <c r="N5" t="inlineStr">
        <is>
          <t>NEED_CODE_CHECK</t>
        </is>
      </c>
      <c r="O5" t="inlineStr">
        <is>
          <t>NEED_CODE_CHECK</t>
        </is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inlineStr">
        <is>
          <t>NEED_CODE_CHECK</t>
        </is>
      </c>
      <c r="M6" t="inlineStr">
        <is>
          <t>NEED_CODE_CHECK</t>
        </is>
      </c>
      <c r="N6" t="inlineStr">
        <is>
          <t>NEED_CODE_CHECK</t>
        </is>
      </c>
      <c r="O6" t="inlineStr">
        <is>
          <t>NEED_CODE_CHECK</t>
        </is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inlineStr">
        <is>
          <t>NEED_CODE_CHECK</t>
        </is>
      </c>
      <c r="M7" t="inlineStr">
        <is>
          <t>NEED_CODE_CHECK</t>
        </is>
      </c>
      <c r="N7" t="inlineStr">
        <is>
          <t>NEED_CODE_CHECK</t>
        </is>
      </c>
      <c r="O7" t="inlineStr">
        <is>
          <t>NEED_CODE_CHECK</t>
        </is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inlineStr">
        <is>
          <t>NEED_CODE_CHECK</t>
        </is>
      </c>
      <c r="M8" t="inlineStr">
        <is>
          <t>NEED_CODE_CHECK</t>
        </is>
      </c>
      <c r="N8" t="inlineStr">
        <is>
          <t>NEED_CODE_CHECK</t>
        </is>
      </c>
      <c r="O8" t="inlineStr">
        <is>
          <t>NEED_CODE_CHECK</t>
        </is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inlineStr">
        <is>
          <t>NEED_CODE_CHECK</t>
        </is>
      </c>
      <c r="M9" t="inlineStr">
        <is>
          <t>NEED_CODE_CHECK</t>
        </is>
      </c>
      <c r="N9" t="inlineStr">
        <is>
          <t>NEED_CODE_CHECK</t>
        </is>
      </c>
      <c r="O9" t="inlineStr">
        <is>
          <t>NEED_CODE_CHECK</t>
        </is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inlineStr">
        <is>
          <t>NEED_CODE_CHECK</t>
        </is>
      </c>
      <c r="M10" t="inlineStr">
        <is>
          <t>NEED_CODE_CHECK</t>
        </is>
      </c>
      <c r="N10" t="inlineStr">
        <is>
          <t>NEED_CODE_CHECK</t>
        </is>
      </c>
      <c r="O10" t="inlineStr">
        <is>
          <t>NEED_CODE_CHECK</t>
        </is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inlineStr">
        <is>
          <t>NEED_CODE_CHECK</t>
        </is>
      </c>
      <c r="M11" t="inlineStr">
        <is>
          <t>NEED_CODE_CHECK</t>
        </is>
      </c>
      <c r="N11" t="inlineStr">
        <is>
          <t>NEED_CODE_CHECK</t>
        </is>
      </c>
      <c r="O11" t="inlineStr">
        <is>
          <t>NEED_CODE_CHECK</t>
        </is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inlineStr">
        <is>
          <t>NEED_CODE_CHECK</t>
        </is>
      </c>
      <c r="M12" t="inlineStr">
        <is>
          <t>NEED_CODE_CHECK</t>
        </is>
      </c>
      <c r="N12" t="inlineStr">
        <is>
          <t>NEED_CODE_CHECK</t>
        </is>
      </c>
      <c r="O12" t="inlineStr">
        <is>
          <t>NEED_CODE_CHECK</t>
        </is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inlineStr">
        <is>
          <t>NEED_CODE_CHECK</t>
        </is>
      </c>
      <c r="M13" t="inlineStr">
        <is>
          <t>NEED_CODE_CHECK</t>
        </is>
      </c>
      <c r="N13" t="inlineStr">
        <is>
          <t>NEED_CODE_CHECK</t>
        </is>
      </c>
      <c r="O13" t="inlineStr">
        <is>
          <t>NEED_CODE_CHECK</t>
        </is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inlineStr">
        <is>
          <t>NEED_CODE_CHECK</t>
        </is>
      </c>
      <c r="M14" t="inlineStr">
        <is>
          <t>NEED_CODE_CHECK</t>
        </is>
      </c>
      <c r="N14" t="inlineStr">
        <is>
          <t>NEED_CODE_CHECK</t>
        </is>
      </c>
      <c r="O14" t="inlineStr">
        <is>
          <t>NEED_CODE_CHECK</t>
        </is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inlineStr">
        <is>
          <t>NEED_CODE_CHECK</t>
        </is>
      </c>
      <c r="M15" t="inlineStr">
        <is>
          <t>NEED_CODE_CHECK</t>
        </is>
      </c>
      <c r="N15" t="inlineStr">
        <is>
          <t>NEED_CODE_CHECK</t>
        </is>
      </c>
      <c r="O15" t="inlineStr">
        <is>
          <t>NEED_CODE_CHECK</t>
        </is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inlineStr">
        <is>
          <t>NEED_CODE_CHECK</t>
        </is>
      </c>
      <c r="M16" t="inlineStr">
        <is>
          <t>NEED_CODE_CHECK</t>
        </is>
      </c>
      <c r="N16" t="inlineStr">
        <is>
          <t>NEED_CODE_CHECK</t>
        </is>
      </c>
      <c r="O16" t="inlineStr">
        <is>
          <t>NEED_CODE_CHECK</t>
        </is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inlineStr">
        <is>
          <t>NEED_CODE_CHECK</t>
        </is>
      </c>
      <c r="M17" t="inlineStr">
        <is>
          <t>NEED_CODE_CHECK</t>
        </is>
      </c>
      <c r="N17" t="inlineStr">
        <is>
          <t>NEED_CODE_CHECK</t>
        </is>
      </c>
      <c r="O17" t="inlineStr">
        <is>
          <t>NEED_CODE_CHECK</t>
        </is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inlineStr">
        <is>
          <t>NEED_CODE_CHECK</t>
        </is>
      </c>
      <c r="M18" t="inlineStr">
        <is>
          <t>NEED_CODE_CHECK</t>
        </is>
      </c>
      <c r="N18" t="inlineStr">
        <is>
          <t>NEED_CODE_CHECK</t>
        </is>
      </c>
      <c r="O18" t="inlineStr">
        <is>
          <t>NEED_CODE_CHECK</t>
        </is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inlineStr">
        <is>
          <t>NEED_CODE_CHECK</t>
        </is>
      </c>
      <c r="M19" t="inlineStr">
        <is>
          <t>NEED_CODE_CHECK</t>
        </is>
      </c>
      <c r="N19" t="inlineStr">
        <is>
          <t>NEED_CODE_CHECK</t>
        </is>
      </c>
      <c r="O19" t="inlineStr">
        <is>
          <t>NEED_CODE_CHECK</t>
        </is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inlineStr">
        <is>
          <t>NEED_CODE_CHECK</t>
        </is>
      </c>
      <c r="M20" t="inlineStr">
        <is>
          <t>NEED_CODE_CHECK</t>
        </is>
      </c>
      <c r="N20" t="inlineStr">
        <is>
          <t>NEED_CODE_CHECK</t>
        </is>
      </c>
      <c r="O20" t="inlineStr">
        <is>
          <t>NEED_CODE_CHECK</t>
        </is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inlineStr">
        <is>
          <t>NEED_CODE_CHECK</t>
        </is>
      </c>
      <c r="M21" t="inlineStr">
        <is>
          <t>NEED_CODE_CHECK</t>
        </is>
      </c>
      <c r="N21" t="inlineStr">
        <is>
          <t>NEED_CODE_CHECK</t>
        </is>
      </c>
      <c r="O21" t="inlineStr">
        <is>
          <t>NEED_CODE_CHECK</t>
        </is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inlineStr">
        <is>
          <t>NEED_CODE_CHECK</t>
        </is>
      </c>
      <c r="M22" t="inlineStr">
        <is>
          <t>NEED_CODE_CHECK</t>
        </is>
      </c>
      <c r="N22" t="inlineStr">
        <is>
          <t>NEED_CODE_CHECK</t>
        </is>
      </c>
      <c r="O22" t="inlineStr">
        <is>
          <t>NEED_CODE_CHECK</t>
        </is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inlineStr">
        <is>
          <t>NEED_CODE_CHECK</t>
        </is>
      </c>
      <c r="M23" t="inlineStr">
        <is>
          <t>NEED_CODE_CHECK</t>
        </is>
      </c>
      <c r="N23" t="inlineStr">
        <is>
          <t>NEED_CODE_CHECK</t>
        </is>
      </c>
      <c r="O23" t="inlineStr">
        <is>
          <t>NEED_CODE_CHECK</t>
        </is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inlineStr">
        <is>
          <t>NEED_CODE_CHECK</t>
        </is>
      </c>
      <c r="M24" t="inlineStr">
        <is>
          <t>NEED_CODE_CHECK</t>
        </is>
      </c>
      <c r="N24" t="inlineStr">
        <is>
          <t>NEED_CODE_CHECK</t>
        </is>
      </c>
      <c r="O24" t="inlineStr">
        <is>
          <t>NEED_CODE_CHECK</t>
        </is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inlineStr">
        <is>
          <t>NEED_CODE_CHECK</t>
        </is>
      </c>
      <c r="M25" t="inlineStr">
        <is>
          <t>NEED_CODE_CHECK</t>
        </is>
      </c>
      <c r="N25" t="inlineStr">
        <is>
          <t>NEED_CODE_CHECK</t>
        </is>
      </c>
      <c r="O25" t="inlineStr">
        <is>
          <t>NEED_CODE_CHECK</t>
        </is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inlineStr">
        <is>
          <t>NEED_CODE_CHECK</t>
        </is>
      </c>
      <c r="M26" t="inlineStr">
        <is>
          <t>NEED_CODE_CHECK</t>
        </is>
      </c>
      <c r="N26" t="inlineStr">
        <is>
          <t>NEED_CODE_CHECK</t>
        </is>
      </c>
      <c r="O26" t="inlineStr">
        <is>
          <t>NEED_CODE_CHECK</t>
        </is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inlineStr">
        <is>
          <t>NEED_CODE_CHECK</t>
        </is>
      </c>
      <c r="M27" t="inlineStr">
        <is>
          <t>NEED_CODE_CHECK</t>
        </is>
      </c>
      <c r="N27" t="inlineStr">
        <is>
          <t>NEED_CODE_CHECK</t>
        </is>
      </c>
      <c r="O27" t="inlineStr">
        <is>
          <t>NEED_CODE_CHECK</t>
        </is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inlineStr">
        <is>
          <t>NEED_CODE_CHECK</t>
        </is>
      </c>
      <c r="M28" t="inlineStr">
        <is>
          <t>NEED_CODE_CHECK</t>
        </is>
      </c>
      <c r="N28" t="inlineStr">
        <is>
          <t>NEED_CODE_CHECK</t>
        </is>
      </c>
      <c r="O28" t="inlineStr">
        <is>
          <t>NEED_CODE_CHECK</t>
        </is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inlineStr">
        <is>
          <t>NEED_CODE_CHECK</t>
        </is>
      </c>
      <c r="M29" t="inlineStr">
        <is>
          <t>NEED_CODE_CHECK</t>
        </is>
      </c>
      <c r="N29" t="inlineStr">
        <is>
          <t>NEED_CODE_CHECK</t>
        </is>
      </c>
      <c r="O29" t="inlineStr">
        <is>
          <t>NEED_CODE_CHECK</t>
        </is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inlineStr">
        <is>
          <t>NEED_CODE_CHECK</t>
        </is>
      </c>
      <c r="M30" t="inlineStr">
        <is>
          <t>NEED_CODE_CHECK</t>
        </is>
      </c>
      <c r="N30" t="inlineStr">
        <is>
          <t>NEED_CODE_CHECK</t>
        </is>
      </c>
      <c r="O30" t="inlineStr">
        <is>
          <t>NEED_CODE_CHECK</t>
        </is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inlineStr">
        <is>
          <t>NEED_CODE_CHECK</t>
        </is>
      </c>
      <c r="M31" t="inlineStr">
        <is>
          <t>NEED_CODE_CHECK</t>
        </is>
      </c>
      <c r="N31" t="inlineStr">
        <is>
          <t>NEED_CODE_CHECK</t>
        </is>
      </c>
      <c r="O31" t="inlineStr">
        <is>
          <t>NEED_CODE_CHECK</t>
        </is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inlineStr">
        <is>
          <t>NEED_CODE_CHECK</t>
        </is>
      </c>
      <c r="M32" t="inlineStr">
        <is>
          <t>NEED_CODE_CHECK</t>
        </is>
      </c>
      <c r="N32" t="inlineStr">
        <is>
          <t>NEED_CODE_CHECK</t>
        </is>
      </c>
      <c r="O32" t="inlineStr">
        <is>
          <t>NEED_CODE_CHECK</t>
        </is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inlineStr">
        <is>
          <t>NEED_CODE_CHECK</t>
        </is>
      </c>
      <c r="M33" t="inlineStr">
        <is>
          <t>NEED_CODE_CHECK</t>
        </is>
      </c>
      <c r="N33" t="inlineStr">
        <is>
          <t>NEED_CODE_CHECK</t>
        </is>
      </c>
      <c r="O33" t="inlineStr">
        <is>
          <t>NEED_CODE_CHECK</t>
        </is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inlineStr">
        <is>
          <t>NEED_CODE_CHECK</t>
        </is>
      </c>
      <c r="M34" t="inlineStr">
        <is>
          <t>NEED_CODE_CHECK</t>
        </is>
      </c>
      <c r="N34" t="inlineStr">
        <is>
          <t>NEED_CODE_CHECK</t>
        </is>
      </c>
      <c r="O34" t="inlineStr">
        <is>
          <t>NEED_CODE_CHECK</t>
        </is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inlineStr">
        <is>
          <t>NEED_CODE_CHECK</t>
        </is>
      </c>
      <c r="M35" t="inlineStr">
        <is>
          <t>NEED_CODE_CHECK</t>
        </is>
      </c>
      <c r="N35" t="inlineStr">
        <is>
          <t>NEED_CODE_CHECK</t>
        </is>
      </c>
      <c r="O35" t="inlineStr">
        <is>
          <t>NEED_CODE_CHECK</t>
        </is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inlineStr">
        <is>
          <t>NEED_CODE_CHECK</t>
        </is>
      </c>
      <c r="M36" t="inlineStr">
        <is>
          <t>NEED_CODE_CHECK</t>
        </is>
      </c>
      <c r="N36" t="inlineStr">
        <is>
          <t>NEED_CODE_CHECK</t>
        </is>
      </c>
      <c r="O36" t="inlineStr">
        <is>
          <t>NEED_CODE_CHECK</t>
        </is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inlineStr">
        <is>
          <t>NEED_CODE_CHECK</t>
        </is>
      </c>
      <c r="M37" t="inlineStr">
        <is>
          <t>NEED_CODE_CHECK</t>
        </is>
      </c>
      <c r="N37" t="inlineStr">
        <is>
          <t>NEED_CODE_CHECK</t>
        </is>
      </c>
      <c r="O37" t="inlineStr">
        <is>
          <t>NEED_CODE_CHECK</t>
        </is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inlineStr">
        <is>
          <t>NEED_CODE_CHECK</t>
        </is>
      </c>
      <c r="M38" t="inlineStr">
        <is>
          <t>NEED_CODE_CHECK</t>
        </is>
      </c>
      <c r="N38" t="inlineStr">
        <is>
          <t>NEED_CODE_CHECK</t>
        </is>
      </c>
      <c r="O38" t="inlineStr">
        <is>
          <t>NEED_CODE_CHECK</t>
        </is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inlineStr">
        <is>
          <t>NEED_CODE_CHECK</t>
        </is>
      </c>
      <c r="M39" t="inlineStr">
        <is>
          <t>NEED_CODE_CHECK</t>
        </is>
      </c>
      <c r="N39" t="inlineStr">
        <is>
          <t>NEED_CODE_CHECK</t>
        </is>
      </c>
      <c r="O39" t="inlineStr">
        <is>
          <t>NEED_CODE_CHECK</t>
        </is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inlineStr">
        <is>
          <t>NEED_CODE_CHECK</t>
        </is>
      </c>
      <c r="M40" t="inlineStr">
        <is>
          <t>NEED_CODE_CHECK</t>
        </is>
      </c>
      <c r="N40" t="inlineStr">
        <is>
          <t>NEED_CODE_CHECK</t>
        </is>
      </c>
      <c r="O40" t="inlineStr">
        <is>
          <t>NEED_CODE_CHECK</t>
        </is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inlineStr">
        <is>
          <t>NEED_CODE_CHECK</t>
        </is>
      </c>
      <c r="M41" t="inlineStr">
        <is>
          <t>NEED_CODE_CHECK</t>
        </is>
      </c>
      <c r="N41" t="inlineStr">
        <is>
          <t>NEED_CODE_CHECK</t>
        </is>
      </c>
      <c r="O41" t="inlineStr">
        <is>
          <t>NEED_CODE_CHECK</t>
        </is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inlineStr">
        <is>
          <t>NEED_CODE_CHECK</t>
        </is>
      </c>
      <c r="M42" t="inlineStr">
        <is>
          <t>NEED_CODE_CHECK</t>
        </is>
      </c>
      <c r="N42" t="inlineStr">
        <is>
          <t>NEED_CODE_CHECK</t>
        </is>
      </c>
      <c r="O42" t="inlineStr">
        <is>
          <t>NEED_CODE_CHECK</t>
        </is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inlineStr">
        <is>
          <t>NEED_CODE_CHECK</t>
        </is>
      </c>
      <c r="M43" t="inlineStr">
        <is>
          <t>NEED_CODE_CHECK</t>
        </is>
      </c>
      <c r="N43" t="inlineStr">
        <is>
          <t>NEED_CODE_CHECK</t>
        </is>
      </c>
      <c r="O43" t="inlineStr">
        <is>
          <t>NEED_CODE_CHECK</t>
        </is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inlineStr">
        <is>
          <t>NEED_CODE_CHECK</t>
        </is>
      </c>
      <c r="M44" t="inlineStr">
        <is>
          <t>NEED_CODE_CHECK</t>
        </is>
      </c>
      <c r="N44" t="inlineStr">
        <is>
          <t>NEED_CODE_CHECK</t>
        </is>
      </c>
      <c r="O44" t="inlineStr">
        <is>
          <t>NEED_CODE_CHECK</t>
        </is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inlineStr">
        <is>
          <t>NEED_CODE_CHECK</t>
        </is>
      </c>
      <c r="M45" t="inlineStr">
        <is>
          <t>NEED_CODE_CHECK</t>
        </is>
      </c>
      <c r="N45" t="inlineStr">
        <is>
          <t>NEED_CODE_CHECK</t>
        </is>
      </c>
      <c r="O45" t="inlineStr">
        <is>
          <t>NEED_CODE_CHECK</t>
        </is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inlineStr">
        <is>
          <t>NEED_CODE_CHECK</t>
        </is>
      </c>
      <c r="M46" t="inlineStr">
        <is>
          <t>NEED_CODE_CHECK</t>
        </is>
      </c>
      <c r="N46" t="inlineStr">
        <is>
          <t>NEED_CODE_CHECK</t>
        </is>
      </c>
      <c r="O46" t="inlineStr">
        <is>
          <t>NEED_CODE_CHECK</t>
        </is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inlineStr">
        <is>
          <t>NEED_CODE_CHECK</t>
        </is>
      </c>
      <c r="M47" t="inlineStr">
        <is>
          <t>NEED_CODE_CHECK</t>
        </is>
      </c>
      <c r="N47" t="inlineStr">
        <is>
          <t>NEED_CODE_CHECK</t>
        </is>
      </c>
      <c r="O47" t="inlineStr">
        <is>
          <t>NEED_CODE_CHECK</t>
        </is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inlineStr">
        <is>
          <t>NEED_CODE_CHECK</t>
        </is>
      </c>
      <c r="M48" t="inlineStr">
        <is>
          <t>NEED_CODE_CHECK</t>
        </is>
      </c>
      <c r="N48" t="inlineStr">
        <is>
          <t>NEED_CODE_CHECK</t>
        </is>
      </c>
      <c r="O48" t="inlineStr">
        <is>
          <t>NEED_CODE_CHECK</t>
        </is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inlineStr">
        <is>
          <t>NEED_CODE_CHECK</t>
        </is>
      </c>
      <c r="M49" t="inlineStr">
        <is>
          <t>NEED_CODE_CHECK</t>
        </is>
      </c>
      <c r="N49" t="inlineStr">
        <is>
          <t>NEED_CODE_CHECK</t>
        </is>
      </c>
      <c r="O49" t="inlineStr">
        <is>
          <t>NEED_CODE_CHECK</t>
        </is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inlineStr">
        <is>
          <t>NEED_CODE_CHECK</t>
        </is>
      </c>
      <c r="M50" t="inlineStr">
        <is>
          <t>NEED_CODE_CHECK</t>
        </is>
      </c>
      <c r="N50" t="inlineStr">
        <is>
          <t>NEED_CODE_CHECK</t>
        </is>
      </c>
      <c r="O50" t="inlineStr">
        <is>
          <t>NEED_CODE_CHECK</t>
        </is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inlineStr">
        <is>
          <t>NEED_CODE_CHECK</t>
        </is>
      </c>
      <c r="M51" t="inlineStr">
        <is>
          <t>NEED_CODE_CHECK</t>
        </is>
      </c>
      <c r="N51" t="inlineStr">
        <is>
          <t>NEED_CODE_CHECK</t>
        </is>
      </c>
      <c r="O51" t="inlineStr">
        <is>
          <t>NEED_CODE_CHECK</t>
        </is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inlineStr">
        <is>
          <t>NEED_CODE_CHECK</t>
        </is>
      </c>
      <c r="M52" t="inlineStr">
        <is>
          <t>NEED_CODE_CHECK</t>
        </is>
      </c>
      <c r="N52" t="inlineStr">
        <is>
          <t>NEED_CODE_CHECK</t>
        </is>
      </c>
      <c r="O52" t="inlineStr">
        <is>
          <t>NEED_CODE_CHECK</t>
        </is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inlineStr">
        <is>
          <t>NEED_CODE_CHECK</t>
        </is>
      </c>
      <c r="M53" t="inlineStr">
        <is>
          <t>NEED_CODE_CHECK</t>
        </is>
      </c>
      <c r="N53" t="inlineStr">
        <is>
          <t>NEED_CODE_CHECK</t>
        </is>
      </c>
      <c r="O53" t="inlineStr">
        <is>
          <t>NEED_CODE_CHECK</t>
        </is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inlineStr">
        <is>
          <t>NEED_CODE_CHECK</t>
        </is>
      </c>
      <c r="M54" t="inlineStr">
        <is>
          <t>NEED_CODE_CHECK</t>
        </is>
      </c>
      <c r="N54" t="inlineStr">
        <is>
          <t>NEED_CODE_CHECK</t>
        </is>
      </c>
      <c r="O54" t="inlineStr">
        <is>
          <t>NEED_CODE_CHECK</t>
        </is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inlineStr">
        <is>
          <t>NEED_CODE_CHECK</t>
        </is>
      </c>
      <c r="M55" t="inlineStr">
        <is>
          <t>NEED_CODE_CHECK</t>
        </is>
      </c>
      <c r="N55" t="inlineStr">
        <is>
          <t>NEED_CODE_CHECK</t>
        </is>
      </c>
      <c r="O55" t="inlineStr">
        <is>
          <t>NEED_CODE_CHECK</t>
        </is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inlineStr">
        <is>
          <t>NEED_CODE_CHECK</t>
        </is>
      </c>
      <c r="M56" t="inlineStr">
        <is>
          <t>NEED_CODE_CHECK</t>
        </is>
      </c>
      <c r="N56" t="inlineStr">
        <is>
          <t>NEED_CODE_CHECK</t>
        </is>
      </c>
      <c r="O56" t="inlineStr">
        <is>
          <t>NEED_CODE_CHECK</t>
        </is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inlineStr">
        <is>
          <t>NEED_CODE_CHECK</t>
        </is>
      </c>
      <c r="M57" t="inlineStr">
        <is>
          <t>NEED_CODE_CHECK</t>
        </is>
      </c>
      <c r="N57" t="inlineStr">
        <is>
          <t>NEED_CODE_CHECK</t>
        </is>
      </c>
      <c r="O57" t="inlineStr">
        <is>
          <t>NEED_CODE_CHECK</t>
        </is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inlineStr">
        <is>
          <t>NEED_CODE_CHECK</t>
        </is>
      </c>
      <c r="M58" t="inlineStr">
        <is>
          <t>NEED_CODE_CHECK</t>
        </is>
      </c>
      <c r="N58" t="inlineStr">
        <is>
          <t>NEED_CODE_CHECK</t>
        </is>
      </c>
      <c r="O58" t="inlineStr">
        <is>
          <t>NEED_CODE_CHECK</t>
        </is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inlineStr">
        <is>
          <t>NEED_CODE_CHECK</t>
        </is>
      </c>
      <c r="M59" t="inlineStr">
        <is>
          <t>NEED_CODE_CHECK</t>
        </is>
      </c>
      <c r="N59" t="inlineStr">
        <is>
          <t>NEED_CODE_CHECK</t>
        </is>
      </c>
      <c r="O59" t="inlineStr">
        <is>
          <t>NEED_CODE_CHECK</t>
        </is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inlineStr">
        <is>
          <t>NEED_CODE_CHECK</t>
        </is>
      </c>
      <c r="M60" t="inlineStr">
        <is>
          <t>NEED_CODE_CHECK</t>
        </is>
      </c>
      <c r="N60" t="inlineStr">
        <is>
          <t>NEED_CODE_CHECK</t>
        </is>
      </c>
      <c r="O60" t="inlineStr">
        <is>
          <t>NEED_CODE_CHECK</t>
        </is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inlineStr">
        <is>
          <t>NEED_CODE_CHECK</t>
        </is>
      </c>
      <c r="M61" t="inlineStr">
        <is>
          <t>NEED_CODE_CHECK</t>
        </is>
      </c>
      <c r="N61" t="inlineStr">
        <is>
          <t>NEED_CODE_CHECK</t>
        </is>
      </c>
      <c r="O61" t="inlineStr">
        <is>
          <t>NEED_CODE_CHECK</t>
        </is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inlineStr">
        <is>
          <t>NEED_CODE_CHECK</t>
        </is>
      </c>
      <c r="M62" t="inlineStr">
        <is>
          <t>NEED_CODE_CHECK</t>
        </is>
      </c>
      <c r="N62" t="inlineStr">
        <is>
          <t>NEED_CODE_CHECK</t>
        </is>
      </c>
      <c r="O62" t="inlineStr">
        <is>
          <t>NEED_CODE_CHECK</t>
        </is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inlineStr">
        <is>
          <t>NEED_CODE_CHECK</t>
        </is>
      </c>
      <c r="M63" t="inlineStr">
        <is>
          <t>NEED_CODE_CHECK</t>
        </is>
      </c>
      <c r="N63" t="inlineStr">
        <is>
          <t>NEED_CODE_CHECK</t>
        </is>
      </c>
      <c r="O63" t="inlineStr">
        <is>
          <t>NEED_CODE_CHECK</t>
        </is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inlineStr">
        <is>
          <t>NEED_CODE_CHECK</t>
        </is>
      </c>
      <c r="M64" t="inlineStr">
        <is>
          <t>NEED_CODE_CHECK</t>
        </is>
      </c>
      <c r="N64" t="inlineStr">
        <is>
          <t>NEED_CODE_CHECK</t>
        </is>
      </c>
      <c r="O64" t="inlineStr">
        <is>
          <t>NEED_CODE_CHECK</t>
        </is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inlineStr">
        <is>
          <t>NEED_CODE_CHECK</t>
        </is>
      </c>
      <c r="M65" t="inlineStr">
        <is>
          <t>NEED_CODE_CHECK</t>
        </is>
      </c>
      <c r="N65" t="inlineStr">
        <is>
          <t>NEED_CODE_CHECK</t>
        </is>
      </c>
      <c r="O65" t="inlineStr">
        <is>
          <t>NEED_CODE_CHECK</t>
        </is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inlineStr">
        <is>
          <t>NEED_CODE_CHECK</t>
        </is>
      </c>
      <c r="M66" t="inlineStr">
        <is>
          <t>NEED_CODE_CHECK</t>
        </is>
      </c>
      <c r="N66" t="inlineStr">
        <is>
          <t>NEED_CODE_CHECK</t>
        </is>
      </c>
      <c r="O66" t="inlineStr">
        <is>
          <t>NEED_CODE_CHECK</t>
        </is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inlineStr">
        <is>
          <t>NEED_CODE_CHECK</t>
        </is>
      </c>
      <c r="M67" t="inlineStr">
        <is>
          <t>NEED_CODE_CHECK</t>
        </is>
      </c>
      <c r="N67" t="inlineStr">
        <is>
          <t>NEED_CODE_CHECK</t>
        </is>
      </c>
      <c r="O67" t="inlineStr">
        <is>
          <t>NEED_CODE_CHECK</t>
        </is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inlineStr">
        <is>
          <t>NEED_CODE_CHECK</t>
        </is>
      </c>
      <c r="M68" t="inlineStr">
        <is>
          <t>NEED_CODE_CHECK</t>
        </is>
      </c>
      <c r="N68" t="inlineStr">
        <is>
          <t>NEED_CODE_CHECK</t>
        </is>
      </c>
      <c r="O68" t="inlineStr">
        <is>
          <t>NEED_CODE_CHECK</t>
        </is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inlineStr">
        <is>
          <t>NEED_CODE_CHECK</t>
        </is>
      </c>
      <c r="M69" t="inlineStr">
        <is>
          <t>NEED_CODE_CHECK</t>
        </is>
      </c>
      <c r="N69" t="inlineStr">
        <is>
          <t>NEED_CODE_CHECK</t>
        </is>
      </c>
      <c r="O69" t="inlineStr">
        <is>
          <t>NEED_CODE_CHECK</t>
        </is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inlineStr">
        <is>
          <t>NEED_CODE_CHECK</t>
        </is>
      </c>
      <c r="M70" t="inlineStr">
        <is>
          <t>NEED_CODE_CHECK</t>
        </is>
      </c>
      <c r="N70" t="inlineStr">
        <is>
          <t>NEED_CODE_CHECK</t>
        </is>
      </c>
      <c r="O70" t="inlineStr">
        <is>
          <t>NEED_CODE_CHECK</t>
        </is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inlineStr">
        <is>
          <t>NEED_CODE_CHECK</t>
        </is>
      </c>
      <c r="M71" t="inlineStr">
        <is>
          <t>NEED_CODE_CHECK</t>
        </is>
      </c>
      <c r="N71" t="inlineStr">
        <is>
          <t>NEED_CODE_CHECK</t>
        </is>
      </c>
      <c r="O71" t="inlineStr">
        <is>
          <t>NEED_CODE_CHECK</t>
        </is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inlineStr">
        <is>
          <t>NEED_CODE_CHECK</t>
        </is>
      </c>
      <c r="M72" t="inlineStr">
        <is>
          <t>NEED_CODE_CHECK</t>
        </is>
      </c>
      <c r="N72" t="inlineStr">
        <is>
          <t>NEED_CODE_CHECK</t>
        </is>
      </c>
      <c r="O72" t="inlineStr">
        <is>
          <t>NEED_CODE_CHECK</t>
        </is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inlineStr">
        <is>
          <t>NEED_CODE_CHECK</t>
        </is>
      </c>
      <c r="M73" t="inlineStr">
        <is>
          <t>NEED_CODE_CHECK</t>
        </is>
      </c>
      <c r="N73" t="inlineStr">
        <is>
          <t>NEED_CODE_CHECK</t>
        </is>
      </c>
      <c r="O73" t="inlineStr">
        <is>
          <t>NEED_CODE_CHECK</t>
        </is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inlineStr">
        <is>
          <t>NEED_CODE_CHECK</t>
        </is>
      </c>
      <c r="M74" t="inlineStr">
        <is>
          <t>NEED_CODE_CHECK</t>
        </is>
      </c>
      <c r="N74" t="inlineStr">
        <is>
          <t>NEED_CODE_CHECK</t>
        </is>
      </c>
      <c r="O74" t="inlineStr">
        <is>
          <t>NEED_CODE_CHECK</t>
        </is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inlineStr">
        <is>
          <t>NEED_CODE_CHECK</t>
        </is>
      </c>
      <c r="M75" t="inlineStr">
        <is>
          <t>NEED_CODE_CHECK</t>
        </is>
      </c>
      <c r="N75" t="inlineStr">
        <is>
          <t>NEED_CODE_CHECK</t>
        </is>
      </c>
      <c r="O75" t="inlineStr">
        <is>
          <t>NEED_CODE_CHECK</t>
        </is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inlineStr">
        <is>
          <t>NEED_CODE_CHECK</t>
        </is>
      </c>
      <c r="M76" t="inlineStr">
        <is>
          <t>NEED_CODE_CHECK</t>
        </is>
      </c>
      <c r="N76" t="inlineStr">
        <is>
          <t>NEED_CODE_CHECK</t>
        </is>
      </c>
      <c r="O76" t="inlineStr">
        <is>
          <t>NEED_CODE_CHECK</t>
        </is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inlineStr">
        <is>
          <t>NEED_CODE_CHECK</t>
        </is>
      </c>
      <c r="M77" t="inlineStr">
        <is>
          <t>NEED_CODE_CHECK</t>
        </is>
      </c>
      <c r="N77" t="inlineStr">
        <is>
          <t>NEED_CODE_CHECK</t>
        </is>
      </c>
      <c r="O77" t="inlineStr">
        <is>
          <t>NEED_CODE_CHECK</t>
        </is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inlineStr">
        <is>
          <t>NEED_CODE_CHECK</t>
        </is>
      </c>
      <c r="M78" t="inlineStr">
        <is>
          <t>NEED_CODE_CHECK</t>
        </is>
      </c>
      <c r="N78" t="inlineStr">
        <is>
          <t>NEED_CODE_CHECK</t>
        </is>
      </c>
      <c r="O78" t="inlineStr">
        <is>
          <t>NEED_CODE_CHECK</t>
        </is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inlineStr">
        <is>
          <t>NEED_CODE_CHECK</t>
        </is>
      </c>
      <c r="M79" t="inlineStr">
        <is>
          <t>NEED_CODE_CHECK</t>
        </is>
      </c>
      <c r="N79" t="inlineStr">
        <is>
          <t>NEED_CODE_CHECK</t>
        </is>
      </c>
      <c r="O79" t="inlineStr">
        <is>
          <t>NEED_CODE_CHECK</t>
        </is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inlineStr">
        <is>
          <t>NEED_CODE_CHECK</t>
        </is>
      </c>
      <c r="M80" t="inlineStr">
        <is>
          <t>NEED_CODE_CHECK</t>
        </is>
      </c>
      <c r="N80" t="inlineStr">
        <is>
          <t>NEED_CODE_CHECK</t>
        </is>
      </c>
      <c r="O80" t="inlineStr">
        <is>
          <t>NEED_CODE_CHECK</t>
        </is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F(INDEX(xe_input_vu_khi_suy_ra!$J$2:$J$66,MATCH(Xe!$AE$2,xe_input_vu_khi_suy_ra!$A$2:$A$66,0)),INDEX(xe_input_bang_xuyen_qua!$B$2:$B$5,MIN(4,MAX(1,(INDEX(xe_input_vu_khi!$F$2:$F$66,MATCH(Xe!$AE$2,xe_input_vu_khi!$A$2:$A$66,0)))-(1)-1))),1)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F(INDEX(xe_input_vu_khi_suy_ra!$J$2:$J$66,MATCH(Xe!$AE$2,xe_input_vu_khi_suy_ra!$A$2:$A$66,0)),INDEX(xe_input_bang_xuyen_qua!$B$2:$B$5,MIN(4,MAX(1,(INDEX(xe_input_vu_khi!$F$2:$F$66,MATCH(Xe!$AE$2,xe_input_vu_khi!$A$2:$A$66,0)))-(3)-1))),1)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F(INDEX(xe_input_vu_khi_suy_ra!$J$2:$J$66,MATCH(Xe!$AE$2,xe_input_vu_khi_suy_ra!$A$2:$A$66,0)),INDEX(xe_input_bang_xuyen_qua!$B$2:$B$5,MIN(4,MAX(1,(INDEX(xe_input_vu_khi!$F$2:$F$66,MATCH(Xe!$AE$2,xe_input_vu_khi!$A$2:$A$66,0)))-(0)-1))),1)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F(INDEX(xe_input_vu_khi_suy_ra!$J$2:$J$66,MATCH(Xe!$AE$3,xe_input_vu_khi_suy_ra!$A$2:$A$66,0)),INDEX(xe_input_bang_xuyen_qua!$B$2:$B$5,MIN(4,MAX(1,(INDEX(xe_input_vu_khi!$F$2:$F$66,MATCH(Xe!$AE$3,xe_input_vu_khi!$A$2:$A$66,0)))-(1)-1))),1)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F(INDEX(xe_input_vu_khi_suy_ra!$J$2:$J$66,MATCH(Xe!$AE$3,xe_input_vu_khi_suy_ra!$A$2:$A$66,0)),INDEX(xe_input_bang_xuyen_qua!$B$2:$B$5,MIN(4,MAX(1,(INDEX(xe_input_vu_khi!$F$2:$F$66,MATCH(Xe!$AE$3,xe_input_vu_khi!$A$2:$A$66,0)))-(3)-1))),1)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F(INDEX(xe_input_vu_khi_suy_ra!$J$2:$J$66,MATCH(Xe!$AE$3,xe_input_vu_khi_suy_ra!$A$2:$A$66,0)),INDEX(xe_input_bang_xuyen_qua!$B$2:$B$5,MIN(4,MAX(1,(INDEX(xe_input_vu_khi!$F$2:$F$66,MATCH(Xe!$AE$3,xe_input_vu_khi!$A$2:$A$66,0)))-(0)-1))),1)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F(INDEX(xe_input_vu_khi_suy_ra!$J$2:$J$66,MATCH(Xe!$AE$5,xe_input_vu_khi_suy_ra!$A$2:$A$66,0)),INDEX(xe_input_bang_xuyen_qua!$B$2:$B$5,MIN(4,MAX(1,(INDEX(xe_input_vu_khi!$F$2:$F$66,MATCH(Xe!$AE$5,xe_input_vu_khi!$A$2:$A$66,0)))-(1)-1))),1)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F(INDEX(xe_input_vu_khi_suy_ra!$J$2:$J$66,MATCH(Xe!$AE$5,xe_input_vu_khi_suy_ra!$A$2:$A$66,0)),INDEX(xe_input_bang_xuyen_qua!$B$2:$B$5,MIN(4,MAX(1,(INDEX(xe_input_vu_khi!$F$2:$F$66,MATCH(Xe!$AE$5,xe_input_vu_khi!$A$2:$A$66,0)))-(3)-1))),1)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F(INDEX(xe_input_vu_khi_suy_ra!$J$2:$J$66,MATCH(Xe!$AE$5,xe_input_vu_khi_suy_ra!$A$2:$A$66,0)),INDEX(xe_input_bang_xuyen_qua!$B$2:$B$5,MIN(4,MAX(1,(INDEX(xe_input_vu_khi!$F$2:$F$66,MATCH(Xe!$AE$5,xe_input_vu_khi!$A$2:$A$66,0)))-(0)-1))),1)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F(INDEX(xe_input_vu_khi_suy_ra!$J$2:$J$66,MATCH(Xe!$AE$6,xe_input_vu_khi_suy_ra!$A$2:$A$66,0)),INDEX(xe_input_bang_xuyen_qua!$B$2:$B$5,MIN(4,MAX(1,(INDEX(xe_input_vu_khi!$F$2:$F$66,MATCH(Xe!$AE$6,xe_input_vu_khi!$A$2:$A$66,0)))-(1)-1))),1)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F(INDEX(xe_input_vu_khi_suy_ra!$J$2:$J$66,MATCH(Xe!$AE$6,xe_input_vu_khi_suy_ra!$A$2:$A$66,0)),INDEX(xe_input_bang_xuyen_qua!$B$2:$B$5,MIN(4,MAX(1,(INDEX(xe_input_vu_khi!$F$2:$F$66,MATCH(Xe!$AE$6,xe_input_vu_khi!$A$2:$A$66,0)))-(3)-1))),1)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F(INDEX(xe_input_vu_khi_suy_ra!$J$2:$J$66,MATCH(Xe!$AE$6,xe_input_vu_khi_suy_ra!$A$2:$A$66,0)),INDEX(xe_input_bang_xuyen_qua!$B$2:$B$5,MIN(4,MAX(1,(INDEX(xe_input_vu_khi!$F$2:$F$66,MATCH(Xe!$AE$6,xe_input_vu_khi!$A$2:$A$66,0)))-(0)-1))),1)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F(INDEX(xe_input_vu_khi_suy_ra!$J$2:$J$66,MATCH(Xe!$AE$7,xe_input_vu_khi_suy_ra!$A$2:$A$66,0)),INDEX(xe_input_bang_xuyen_qua!$B$2:$B$5,MIN(4,MAX(1,(INDEX(xe_input_vu_khi!$F$2:$F$66,MATCH(Xe!$AE$7,xe_input_vu_khi!$A$2:$A$66,0)))-(1)-1))),1)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F(INDEX(xe_input_vu_khi_suy_ra!$J$2:$J$66,MATCH(Xe!$AE$7,xe_input_vu_khi_suy_ra!$A$2:$A$66,0)),INDEX(xe_input_bang_xuyen_qua!$B$2:$B$5,MIN(4,MAX(1,(INDEX(xe_input_vu_khi!$F$2:$F$66,MATCH(Xe!$AE$7,xe_input_vu_khi!$A$2:$A$66,0)))-(3)-1))),1)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F(INDEX(xe_input_vu_khi_suy_ra!$J$2:$J$66,MATCH(Xe!$AE$7,xe_input_vu_khi_suy_ra!$A$2:$A$66,0)),INDEX(xe_input_bang_xuyen_qua!$B$2:$B$5,MIN(4,MAX(1,(INDEX(xe_input_vu_khi!$F$2:$F$66,MATCH(Xe!$AE$7,xe_input_vu_khi!$A$2:$A$66,0)))-(0)-1))),1)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F(INDEX(xe_input_vu_khi_suy_ra!$J$2:$J$66,MATCH(Xe!$AE$8,xe_input_vu_khi_suy_ra!$A$2:$A$66,0)),INDEX(xe_input_bang_xuyen_qua!$B$2:$B$5,MIN(4,MAX(1,(INDEX(xe_input_vu_khi!$F$2:$F$66,MATCH(Xe!$AE$8,xe_input_vu_khi!$A$2:$A$66,0)))-(1)-1))),1)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F(INDEX(xe_input_vu_khi_suy_ra!$J$2:$J$66,MATCH(Xe!$AE$8,xe_input_vu_khi_suy_ra!$A$2:$A$66,0)),INDEX(xe_input_bang_xuyen_qua!$B$2:$B$5,MIN(4,MAX(1,(INDEX(xe_input_vu_khi!$F$2:$F$66,MATCH(Xe!$AE$8,xe_input_vu_khi!$A$2:$A$66,0)))-(3)-1))),1)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F(INDEX(xe_input_vu_khi_suy_ra!$J$2:$J$66,MATCH(Xe!$AE$8,xe_input_vu_khi_suy_ra!$A$2:$A$66,0)),INDEX(xe_input_bang_xuyen_qua!$B$2:$B$5,MIN(4,MAX(1,(INDEX(xe_input_vu_khi!$F$2:$F$66,MATCH(Xe!$AE$8,xe_input_vu_khi!$A$2:$A$66,0)))-(0)-1))),1)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F(INDEX(xe_input_vu_khi_suy_ra!$J$2:$J$66,MATCH(Xe!$AE$9,xe_input_vu_khi_suy_ra!$A$2:$A$66,0)),INDEX(xe_input_bang_xuyen_qua!$B$2:$B$5,MIN(4,MAX(1,(INDEX(xe_input_vu_khi!$F$2:$F$66,MATCH(Xe!$AE$9,xe_input_vu_khi!$A$2:$A$66,0)))-(1)-1))),1)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F(INDEX(xe_input_vu_khi_suy_ra!$J$2:$J$66,MATCH(Xe!$AE$9,xe_input_vu_khi_suy_ra!$A$2:$A$66,0)),INDEX(xe_input_bang_xuyen_qua!$B$2:$B$5,MIN(4,MAX(1,(INDEX(xe_input_vu_khi!$F$2:$F$66,MATCH(Xe!$AE$9,xe_input_vu_khi!$A$2:$A$66,0)))-(3)-1))),1)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F(INDEX(xe_input_vu_khi_suy_ra!$J$2:$J$66,MATCH(Xe!$AE$9,xe_input_vu_khi_suy_ra!$A$2:$A$66,0)),INDEX(xe_input_bang_xuyen_qua!$B$2:$B$5,MIN(4,MAX(1,(INDEX(xe_input_vu_khi!$F$2:$F$66,MATCH(Xe!$AE$9,xe_input_vu_khi!$A$2:$A$66,0)))-(0)-1))),1)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F(INDEX(xe_input_vu_khi_suy_ra!$J$2:$J$66,MATCH(Xe!$AE$10,xe_input_vu_khi_suy_ra!$A$2:$A$66,0)),INDEX(xe_input_bang_xuyen_qua!$B$2:$B$5,MIN(4,MAX(1,(INDEX(xe_input_vu_khi!$F$2:$F$66,MATCH(Xe!$AE$10,xe_input_vu_khi!$A$2:$A$66,0)))-(1)-1))),1)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F(INDEX(xe_input_vu_khi_suy_ra!$J$2:$J$66,MATCH(Xe!$AE$10,xe_input_vu_khi_suy_ra!$A$2:$A$66,0)),INDEX(xe_input_bang_xuyen_qua!$B$2:$B$5,MIN(4,MAX(1,(INDEX(xe_input_vu_khi!$F$2:$F$66,MATCH(Xe!$AE$10,xe_input_vu_khi!$A$2:$A$66,0)))-(3)-1))),1)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F(INDEX(xe_input_vu_khi_suy_ra!$J$2:$J$66,MATCH(Xe!$AE$10,xe_input_vu_khi_suy_ra!$A$2:$A$66,0)),INDEX(xe_input_bang_xuyen_qua!$B$2:$B$5,MIN(4,MAX(1,(INDEX(xe_input_vu_khi!$F$2:$F$66,MATCH(Xe!$AE$10,xe_input_vu_khi!$A$2:$A$66,0)))-(0)-1))),1)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F(INDEX(xe_input_vu_khi_suy_ra!$J$2:$J$66,MATCH(Xe!$AE$28,xe_input_vu_khi_suy_ra!$A$2:$A$66,0)),INDEX(xe_input_bang_xuyen_qua!$B$2:$B$5,MIN(4,MAX(1,(INDEX(xe_input_vu_khi!$F$2:$F$66,MATCH(Xe!$AE$28,xe_input_vu_khi!$A$2:$A$66,0)))-(1)-1))),1)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F(INDEX(xe_input_vu_khi_suy_ra!$J$2:$J$66,MATCH(Xe!$AE$28,xe_input_vu_khi_suy_ra!$A$2:$A$66,0)),INDEX(xe_input_bang_xuyen_qua!$B$2:$B$5,MIN(4,MAX(1,(INDEX(xe_input_vu_khi!$F$2:$F$66,MATCH(Xe!$AE$28,xe_input_vu_khi!$A$2:$A$66,0)))-(3)-1))),1)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F(INDEX(xe_input_vu_khi_suy_ra!$J$2:$J$66,MATCH(Xe!$AE$28,xe_input_vu_khi_suy_ra!$A$2:$A$66,0)),INDEX(xe_input_bang_xuyen_qua!$B$2:$B$5,MIN(4,MAX(1,(INDEX(xe_input_vu_khi!$F$2:$F$66,MATCH(Xe!$AE$28,xe_input_vu_khi!$A$2:$A$66,0)))-(0)-1))),1)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F(INDEX(xe_input_vu_khi_suy_ra!$J$2:$J$66,MATCH(Xe!$AE$29,xe_input_vu_khi_suy_ra!$A$2:$A$66,0)),INDEX(xe_input_bang_xuyen_qua!$B$2:$B$5,MIN(4,MAX(1,(INDEX(xe_input_vu_khi!$F$2:$F$66,MATCH(Xe!$AE$29,xe_input_vu_khi!$A$2:$A$66,0)))-(1)-1))),1)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F(INDEX(xe_input_vu_khi_suy_ra!$J$2:$J$66,MATCH(Xe!$AE$29,xe_input_vu_khi_suy_ra!$A$2:$A$66,0)),INDEX(xe_input_bang_xuyen_qua!$B$2:$B$5,MIN(4,MAX(1,(INDEX(xe_input_vu_khi!$F$2:$F$66,MATCH(Xe!$AE$29,xe_input_vu_khi!$A$2:$A$66,0)))-(3)-1))),1)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F(INDEX(xe_input_vu_khi_suy_ra!$J$2:$J$66,MATCH(Xe!$AE$29,xe_input_vu_khi_suy_ra!$A$2:$A$66,0)),INDEX(xe_input_bang_xuyen_qua!$B$2:$B$5,MIN(4,MAX(1,(INDEX(xe_input_vu_khi!$F$2:$F$66,MATCH(Xe!$AE$29,xe_input_vu_khi!$A$2:$A$66,0)))-(0)-1))),1)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F(INDEX(xe_input_vu_khi_suy_ra!$J$2:$J$66,MATCH(Xe!$AE$30,xe_input_vu_khi_suy_ra!$A$2:$A$66,0)),INDEX(xe_input_bang_xuyen_qua!$B$2:$B$5,MIN(4,MAX(1,(INDEX(xe_input_vu_khi!$F$2:$F$66,MATCH(Xe!$AE$30,xe_input_vu_khi!$A$2:$A$66,0)))-(1)-1))),1)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F(INDEX(xe_input_vu_khi_suy_ra!$J$2:$J$66,MATCH(Xe!$AE$30,xe_input_vu_khi_suy_ra!$A$2:$A$66,0)),INDEX(xe_input_bang_xuyen_qua!$B$2:$B$5,MIN(4,MAX(1,(INDEX(xe_input_vu_khi!$F$2:$F$66,MATCH(Xe!$AE$30,xe_input_vu_khi!$A$2:$A$66,0)))-(3)-1))),1)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F(INDEX(xe_input_vu_khi_suy_ra!$J$2:$J$66,MATCH(Xe!$AE$30,xe_input_vu_khi_suy_ra!$A$2:$A$66,0)),INDEX(xe_input_bang_xuyen_qua!$B$2:$B$5,MIN(4,MAX(1,(INDEX(xe_input_vu_khi!$F$2:$F$66,MATCH(Xe!$AE$30,xe_input_vu_khi!$A$2:$A$66,0)))-(0)-1))),1)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F(INDEX(xe_input_vu_khi_suy_ra!$J$2:$J$66,MATCH(Xe!$AE$32,xe_input_vu_khi_suy_ra!$A$2:$A$66,0)),INDEX(xe_input_bang_xuyen_qua!$B$2:$B$5,MIN(4,MAX(1,(INDEX(xe_input_vu_khi!$F$2:$F$66,MATCH(Xe!$AE$32,xe_input_vu_khi!$A$2:$A$66,0)))-(1)-1))),1)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F(INDEX(xe_input_vu_khi_suy_ra!$J$2:$J$66,MATCH(Xe!$AE$32,xe_input_vu_khi_suy_ra!$A$2:$A$66,0)),INDEX(xe_input_bang_xuyen_qua!$B$2:$B$5,MIN(4,MAX(1,(INDEX(xe_input_vu_khi!$F$2:$F$66,MATCH(Xe!$AE$32,xe_input_vu_khi!$A$2:$A$66,0)))-(3)-1))),1)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F(INDEX(xe_input_vu_khi_suy_ra!$J$2:$J$66,MATCH(Xe!$AE$32,xe_input_vu_khi_suy_ra!$A$2:$A$66,0)),INDEX(xe_input_bang_xuyen_qua!$B$2:$B$5,MIN(4,MAX(1,(INDEX(xe_input_vu_khi!$F$2:$F$66,MATCH(Xe!$AE$32,xe_input_vu_khi!$A$2:$A$66,0)))-(0)-1))),1)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F(INDEX(xe_input_vu_khi_suy_ra!$J$2:$J$66,MATCH(Xe!$AE$33,xe_input_vu_khi_suy_ra!$A$2:$A$66,0)),INDEX(xe_input_bang_xuyen_qua!$B$2:$B$5,MIN(4,MAX(1,(INDEX(xe_input_vu_khi!$F$2:$F$66,MATCH(Xe!$AE$33,xe_input_vu_khi!$A$2:$A$66,0)))-(1)-1))),1)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F(INDEX(xe_input_vu_khi_suy_ra!$J$2:$J$66,MATCH(Xe!$AE$33,xe_input_vu_khi_suy_ra!$A$2:$A$66,0)),INDEX(xe_input_bang_xuyen_qua!$B$2:$B$5,MIN(4,MAX(1,(INDEX(xe_input_vu_khi!$F$2:$F$66,MATCH(Xe!$AE$33,xe_input_vu_khi!$A$2:$A$66,0)))-(3)-1))),1)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F(INDEX(xe_input_vu_khi_suy_ra!$J$2:$J$66,MATCH(Xe!$AE$33,xe_input_vu_khi_suy_ra!$A$2:$A$66,0)),INDEX(xe_input_bang_xuyen_qua!$B$2:$B$5,MIN(4,MAX(1,(INDEX(xe_input_vu_khi!$F$2:$F$66,MATCH(Xe!$AE$33,xe_input_vu_khi!$A$2:$A$66,0)))-(0)-1))),1)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F(INDEX(xe_input_vu_khi_suy_ra!$J$2:$J$66,MATCH(Xe!$AE$34,xe_input_vu_khi_suy_ra!$A$2:$A$66,0)),INDEX(xe_input_bang_xuyen_qua!$B$2:$B$5,MIN(4,MAX(1,(INDEX(xe_input_vu_khi!$F$2:$F$66,MATCH(Xe!$AE$34,xe_input_vu_khi!$A$2:$A$66,0)))-(1)-1))),1)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F(INDEX(xe_input_vu_khi_suy_ra!$J$2:$J$66,MATCH(Xe!$AE$34,xe_input_vu_khi_suy_ra!$A$2:$A$66,0)),INDEX(xe_input_bang_xuyen_qua!$B$2:$B$5,MIN(4,MAX(1,(INDEX(xe_input_vu_khi!$F$2:$F$66,MATCH(Xe!$AE$34,xe_input_vu_khi!$A$2:$A$66,0)))-(3)-1))),1)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F(INDEX(xe_input_vu_khi_suy_ra!$J$2:$J$66,MATCH(Xe!$AE$34,xe_input_vu_khi_suy_ra!$A$2:$A$66,0)),INDEX(xe_input_bang_xuyen_qua!$B$2:$B$5,MIN(4,MAX(1,(INDEX(xe_input_vu_khi!$F$2:$F$66,MATCH(Xe!$AE$34,xe_input_vu_khi!$A$2:$A$66,0)))-(0)-1))),1)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F(INDEX(xe_input_vu_khi_suy_ra!$J$2:$J$66,MATCH(Xe!$AE$35,xe_input_vu_khi_suy_ra!$A$2:$A$66,0)),INDEX(xe_input_bang_xuyen_qua!$B$2:$B$5,MIN(4,MAX(1,(INDEX(xe_input_vu_khi!$F$2:$F$66,MATCH(Xe!$AE$35,xe_input_vu_khi!$A$2:$A$66,0)))-(1)-1))),1)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F(INDEX(xe_input_vu_khi_suy_ra!$J$2:$J$66,MATCH(Xe!$AE$35,xe_input_vu_khi_suy_ra!$A$2:$A$66,0)),INDEX(xe_input_bang_xuyen_qua!$B$2:$B$5,MIN(4,MAX(1,(INDEX(xe_input_vu_khi!$F$2:$F$66,MATCH(Xe!$AE$35,xe_input_vu_khi!$A$2:$A$66,0)))-(3)-1))),1)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F(INDEX(xe_input_vu_khi_suy_ra!$J$2:$J$66,MATCH(Xe!$AE$35,xe_input_vu_khi_suy_ra!$A$2:$A$66,0)),INDEX(xe_input_bang_xuyen_qua!$B$2:$B$5,MIN(4,MAX(1,(INDEX(xe_input_vu_khi!$F$2:$F$66,MATCH(Xe!$AE$35,xe_input_vu_khi!$A$2:$A$66,0)))-(0)-1))),1)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F(INDEX(xe_input_vu_khi_suy_ra!$J$2:$J$66,MATCH(Xe!$AE$36,xe_input_vu_khi_suy_ra!$A$2:$A$66,0)),INDEX(xe_input_bang_xuyen_qua!$B$2:$B$5,MIN(4,MAX(1,(INDEX(xe_input_vu_khi!$F$2:$F$66,MATCH(Xe!$AE$36,xe_input_vu_khi!$A$2:$A$66,0)))-(1)-1))),1)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F(INDEX(xe_input_vu_khi_suy_ra!$J$2:$J$66,MATCH(Xe!$AE$36,xe_input_vu_khi_suy_ra!$A$2:$A$66,0)),INDEX(xe_input_bang_xuyen_qua!$B$2:$B$5,MIN(4,MAX(1,(INDEX(xe_input_vu_khi!$F$2:$F$66,MATCH(Xe!$AE$36,xe_input_vu_khi!$A$2:$A$66,0)))-(3)-1))),1)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F(INDEX(xe_input_vu_khi_suy_ra!$J$2:$J$66,MATCH(Xe!$AE$36,xe_input_vu_khi_suy_ra!$A$2:$A$66,0)),INDEX(xe_input_bang_xuyen_qua!$B$2:$B$5,MIN(4,MAX(1,(INDEX(xe_input_vu_khi!$F$2:$F$66,MATCH(Xe!$AE$36,xe_input_vu_khi!$A$2:$A$66,0)))-(0)-1))),1)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F(INDEX(xe_input_vu_khi_suy_ra!$J$2:$J$66,MATCH(Xe!$AE$38,xe_input_vu_khi_suy_ra!$A$2:$A$66,0)),INDEX(xe_input_bang_xuyen_qua!$B$2:$B$5,MIN(4,MAX(1,(INDEX(xe_input_vu_khi!$F$2:$F$66,MATCH(Xe!$AE$38,xe_input_vu_khi!$A$2:$A$66,0)))-(1)-1))),1)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F(INDEX(xe_input_vu_khi_suy_ra!$J$2:$J$66,MATCH(Xe!$AE$38,xe_input_vu_khi_suy_ra!$A$2:$A$66,0)),INDEX(xe_input_bang_xuyen_qua!$B$2:$B$5,MIN(4,MAX(1,(INDEX(xe_input_vu_khi!$F$2:$F$66,MATCH(Xe!$AE$38,xe_input_vu_khi!$A$2:$A$66,0)))-(3)-1))),1)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F(INDEX(xe_input_vu_khi_suy_ra!$J$2:$J$66,MATCH(Xe!$AE$38,xe_input_vu_khi_suy_ra!$A$2:$A$66,0)),INDEX(xe_input_bang_xuyen_qua!$B$2:$B$5,MIN(4,MAX(1,(INDEX(xe_input_vu_khi!$F$2:$F$66,MATCH(Xe!$AE$38,xe_input_vu_khi!$A$2:$A$66,0)))-(0)-1))),1)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F(INDEX(xe_input_vu_khi_suy_ra!$J$2:$J$66,MATCH(Xe!$AE$39,xe_input_vu_khi_suy_ra!$A$2:$A$66,0)),INDEX(xe_input_bang_xuyen_qua!$B$2:$B$5,MIN(4,MAX(1,(INDEX(xe_input_vu_khi!$F$2:$F$66,MATCH(Xe!$AE$39,xe_input_vu_khi!$A$2:$A$66,0)))-(1)-1))),1)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F(INDEX(xe_input_vu_khi_suy_ra!$J$2:$J$66,MATCH(Xe!$AE$39,xe_input_vu_khi_suy_ra!$A$2:$A$66,0)),INDEX(xe_input_bang_xuyen_qua!$B$2:$B$5,MIN(4,MAX(1,(INDEX(xe_input_vu_khi!$F$2:$F$66,MATCH(Xe!$AE$39,xe_input_vu_khi!$A$2:$A$66,0)))-(3)-1))),1)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F(INDEX(xe_input_vu_khi_suy_ra!$J$2:$J$66,MATCH(Xe!$AE$39,xe_input_vu_khi_suy_ra!$A$2:$A$66,0)),INDEX(xe_input_bang_xuyen_qua!$B$2:$B$5,MIN(4,MAX(1,(INDEX(xe_input_vu_khi!$F$2:$F$66,MATCH(Xe!$AE$39,xe_input_vu_khi!$A$2:$A$66,0)))-(0)-1))),1)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F(INDEX(xe_input_vu_khi_suy_ra!$J$2:$J$66,MATCH(Xe!$AE$41,xe_input_vu_khi_suy_ra!$A$2:$A$66,0)),INDEX(xe_input_bang_xuyen_qua!$B$2:$B$5,MIN(4,MAX(1,(INDEX(xe_input_vu_khi!$F$2:$F$66,MATCH(Xe!$AE$41,xe_input_vu_khi!$A$2:$A$66,0)))-(1)-1))),1)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F(INDEX(xe_input_vu_khi_suy_ra!$J$2:$J$66,MATCH(Xe!$AE$41,xe_input_vu_khi_suy_ra!$A$2:$A$66,0)),INDEX(xe_input_bang_xuyen_qua!$B$2:$B$5,MIN(4,MAX(1,(INDEX(xe_input_vu_khi!$F$2:$F$66,MATCH(Xe!$AE$41,xe_input_vu_khi!$A$2:$A$66,0)))-(3)-1))),1)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F(INDEX(xe_input_vu_khi_suy_ra!$J$2:$J$66,MATCH(Xe!$AE$41,xe_input_vu_khi_suy_ra!$A$2:$A$66,0)),INDEX(xe_input_bang_xuyen_qua!$B$2:$B$5,MIN(4,MAX(1,(INDEX(xe_input_vu_khi!$F$2:$F$66,MATCH(Xe!$AE$41,xe_input_vu_khi!$A$2:$A$66,0)))-(0)-1))),1)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F(INDEX(xe_input_vu_khi_suy_ra!$J$2:$J$66,MATCH(Xe!$AE$42,xe_input_vu_khi_suy_ra!$A$2:$A$66,0)),INDEX(xe_input_bang_xuyen_qua!$B$2:$B$5,MIN(4,MAX(1,(INDEX(xe_input_vu_khi!$F$2:$F$66,MATCH(Xe!$AE$42,xe_input_vu_khi!$A$2:$A$66,0)))-(1)-1))),1)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F(INDEX(xe_input_vu_khi_suy_ra!$J$2:$J$66,MATCH(Xe!$AE$42,xe_input_vu_khi_suy_ra!$A$2:$A$66,0)),INDEX(xe_input_bang_xuyen_qua!$B$2:$B$5,MIN(4,MAX(1,(INDEX(xe_input_vu_khi!$F$2:$F$66,MATCH(Xe!$AE$42,xe_input_vu_khi!$A$2:$A$66,0)))-(3)-1))),1)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F(INDEX(xe_input_vu_khi_suy_ra!$J$2:$J$66,MATCH(Xe!$AE$42,xe_input_vu_khi_suy_ra!$A$2:$A$66,0)),INDEX(xe_input_bang_xuyen_qua!$B$2:$B$5,MIN(4,MAX(1,(INDEX(xe_input_vu_khi!$F$2:$F$66,MATCH(Xe!$AE$42,xe_input_vu_khi!$A$2:$A$66,0)))-(0)-1))),1)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F(INDEX(xe_input_vu_khi_suy_ra!$J$2:$J$66,MATCH(Xe!$AE$43,xe_input_vu_khi_suy_ra!$A$2:$A$66,0)),INDEX(xe_input_bang_xuyen_qua!$B$2:$B$5,MIN(4,MAX(1,(INDEX(xe_input_vu_khi!$F$2:$F$66,MATCH(Xe!$AE$43,xe_input_vu_khi!$A$2:$A$66,0)))-(1)-1))),1)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F(INDEX(xe_input_vu_khi_suy_ra!$J$2:$J$66,MATCH(Xe!$AE$43,xe_input_vu_khi_suy_ra!$A$2:$A$66,0)),INDEX(xe_input_bang_xuyen_qua!$B$2:$B$5,MIN(4,MAX(1,(INDEX(xe_input_vu_khi!$F$2:$F$66,MATCH(Xe!$AE$43,xe_input_vu_khi!$A$2:$A$66,0)))-(3)-1))),1)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F(INDEX(xe_input_vu_khi_suy_ra!$J$2:$J$66,MATCH(Xe!$AE$43,xe_input_vu_khi_suy_ra!$A$2:$A$66,0)),INDEX(xe_input_bang_xuyen_qua!$B$2:$B$5,MIN(4,MAX(1,(INDEX(xe_input_vu_khi!$F$2:$F$66,MATCH(Xe!$AE$43,xe_input_vu_khi!$A$2:$A$66,0)))-(0)-1))),1)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F(INDEX(xe_input_vu_khi_suy_ra!$J$2:$J$66,MATCH(Xe!$AE$44,xe_input_vu_khi_suy_ra!$A$2:$A$66,0)),INDEX(xe_input_bang_xuyen_qua!$B$2:$B$5,MIN(4,MAX(1,(INDEX(xe_input_vu_khi!$F$2:$F$66,MATCH(Xe!$AE$44,xe_input_vu_khi!$A$2:$A$66,0)))-(1)-1))),1)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F(INDEX(xe_input_vu_khi_suy_ra!$J$2:$J$66,MATCH(Xe!$AE$44,xe_input_vu_khi_suy_ra!$A$2:$A$66,0)),INDEX(xe_input_bang_xuyen_qua!$B$2:$B$5,MIN(4,MAX(1,(INDEX(xe_input_vu_khi!$F$2:$F$66,MATCH(Xe!$AE$44,xe_input_vu_khi!$A$2:$A$66,0)))-(3)-1))),1)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F(INDEX(xe_input_vu_khi_suy_ra!$J$2:$J$66,MATCH(Xe!$AE$44,xe_input_vu_khi_suy_ra!$A$2:$A$66,0)),INDEX(xe_input_bang_xuyen_qua!$B$2:$B$5,MIN(4,MAX(1,(INDEX(xe_input_vu_khi!$F$2:$F$66,MATCH(Xe!$AE$44,xe_input_vu_khi!$A$2:$A$66,0)))-(0)-1))),1)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F(INDEX(xe_input_vu_khi_suy_ra!$J$2:$J$66,MATCH(Xe!$AE$48,xe_input_vu_khi_suy_ra!$A$2:$A$66,0)),INDEX(xe_input_bang_xuyen_qua!$B$2:$B$5,MIN(4,MAX(1,(INDEX(xe_input_vu_khi!$F$2:$F$66,MATCH(Xe!$AE$48,xe_input_vu_khi!$A$2:$A$66,0)))-(1)-1))),1)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F(INDEX(xe_input_vu_khi_suy_ra!$J$2:$J$66,MATCH(Xe!$AE$48,xe_input_vu_khi_suy_ra!$A$2:$A$66,0)),INDEX(xe_input_bang_xuyen_qua!$B$2:$B$5,MIN(4,MAX(1,(INDEX(xe_input_vu_khi!$F$2:$F$66,MATCH(Xe!$AE$48,xe_input_vu_khi!$A$2:$A$66,0)))-(3)-1))),1)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F(INDEX(xe_input_vu_khi_suy_ra!$J$2:$J$66,MATCH(Xe!$AE$48,xe_input_vu_khi_suy_ra!$A$2:$A$66,0)),INDEX(xe_input_bang_xuyen_qua!$B$2:$B$5,MIN(4,MAX(1,(INDEX(xe_input_vu_khi!$F$2:$F$66,MATCH(Xe!$AE$48,xe_input_vu_khi!$A$2:$A$66,0)))-(0)-1))),1)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F(INDEX(xe_input_vu_khi_suy_ra!$J$2:$J$66,MATCH(Xe!$AE$49,xe_input_vu_khi_suy_ra!$A$2:$A$66,0)),INDEX(xe_input_bang_xuyen_qua!$B$2:$B$5,MIN(4,MAX(1,(INDEX(xe_input_vu_khi!$F$2:$F$66,MATCH(Xe!$AE$49,xe_input_vu_khi!$A$2:$A$66,0)))-(1)-1))),1)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F(INDEX(xe_input_vu_khi_suy_ra!$J$2:$J$66,MATCH(Xe!$AE$49,xe_input_vu_khi_suy_ra!$A$2:$A$66,0)),INDEX(xe_input_bang_xuyen_qua!$B$2:$B$5,MIN(4,MAX(1,(INDEX(xe_input_vu_khi!$F$2:$F$66,MATCH(Xe!$AE$49,xe_input_vu_khi!$A$2:$A$66,0)))-(3)-1))),1)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F(INDEX(xe_input_vu_khi_suy_ra!$J$2:$J$66,MATCH(Xe!$AE$49,xe_input_vu_khi_suy_ra!$A$2:$A$66,0)),INDEX(xe_input_bang_xuyen_qua!$B$2:$B$5,MIN(4,MAX(1,(INDEX(xe_input_vu_khi!$F$2:$F$66,MATCH(Xe!$AE$49,xe_input_vu_khi!$A$2:$A$66,0)))-(0)-1))),1)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F(INDEX(xe_input_vu_khi_suy_ra!$J$2:$J$66,MATCH(Xe!$AE$50,xe_input_vu_khi_suy_ra!$A$2:$A$66,0)),INDEX(xe_input_bang_xuyen_qua!$B$2:$B$5,MIN(4,MAX(1,(INDEX(xe_input_vu_khi!$F$2:$F$66,MATCH(Xe!$AE$50,xe_input_vu_khi!$A$2:$A$66,0)))-(1)-1))),1)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F(INDEX(xe_input_vu_khi_suy_ra!$J$2:$J$66,MATCH(Xe!$AE$50,xe_input_vu_khi_suy_ra!$A$2:$A$66,0)),INDEX(xe_input_bang_xuyen_qua!$B$2:$B$5,MIN(4,MAX(1,(INDEX(xe_input_vu_khi!$F$2:$F$66,MATCH(Xe!$AE$50,xe_input_vu_khi!$A$2:$A$66,0)))-(3)-1))),1)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F(INDEX(xe_input_vu_khi_suy_ra!$J$2:$J$66,MATCH(Xe!$AE$50,xe_input_vu_khi_suy_ra!$A$2:$A$66,0)),INDEX(xe_input_bang_xuyen_qua!$B$2:$B$5,MIN(4,MAX(1,(INDEX(xe_input_vu_khi!$F$2:$F$66,MATCH(Xe!$AE$50,xe_input_vu_khi!$A$2:$A$66,0)))-(0)-1))),1)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F(INDEX(xe_input_vu_khi_suy_ra!$J$2:$J$66,MATCH(Xe!$AE$51,xe_input_vu_khi_suy_ra!$A$2:$A$66,0)),INDEX(xe_input_bang_xuyen_qua!$B$2:$B$5,MIN(4,MAX(1,(INDEX(xe_input_vu_khi!$F$2:$F$66,MATCH(Xe!$AE$51,xe_input_vu_khi!$A$2:$A$66,0)))-(1)-1))),1)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F(INDEX(xe_input_vu_khi_suy_ra!$J$2:$J$66,MATCH(Xe!$AE$51,xe_input_vu_khi_suy_ra!$A$2:$A$66,0)),INDEX(xe_input_bang_xuyen_qua!$B$2:$B$5,MIN(4,MAX(1,(INDEX(xe_input_vu_khi!$F$2:$F$66,MATCH(Xe!$AE$51,xe_input_vu_khi!$A$2:$A$66,0)))-(3)-1))),1)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F(INDEX(xe_input_vu_khi_suy_ra!$J$2:$J$66,MATCH(Xe!$AE$51,xe_input_vu_khi_suy_ra!$A$2:$A$66,0)),INDEX(xe_input_bang_xuyen_qua!$B$2:$B$5,MIN(4,MAX(1,(INDEX(xe_input_vu_khi!$F$2:$F$66,MATCH(Xe!$AE$51,xe_input_vu_khi!$A$2:$A$66,0)))-(0)-1))),1)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F(INDEX(xe_input_vu_khi_suy_ra!$J$2:$J$66,MATCH(Xe!$AE$52,xe_input_vu_khi_suy_ra!$A$2:$A$66,0)),INDEX(xe_input_bang_xuyen_qua!$B$2:$B$5,MIN(4,MAX(1,(INDEX(xe_input_vu_khi!$F$2:$F$66,MATCH(Xe!$AE$52,xe_input_vu_khi!$A$2:$A$66,0)))-(1)-1))),1)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F(INDEX(xe_input_vu_khi_suy_ra!$J$2:$J$66,MATCH(Xe!$AE$52,xe_input_vu_khi_suy_ra!$A$2:$A$66,0)),INDEX(xe_input_bang_xuyen_qua!$B$2:$B$5,MIN(4,MAX(1,(INDEX(xe_input_vu_khi!$F$2:$F$66,MATCH(Xe!$AE$52,xe_input_vu_khi!$A$2:$A$66,0)))-(3)-1))),1)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F(INDEX(xe_input_vu_khi_suy_ra!$J$2:$J$66,MATCH(Xe!$AE$52,xe_input_vu_khi_suy_ra!$A$2:$A$66,0)),INDEX(xe_input_bang_xuyen_qua!$B$2:$B$5,MIN(4,MAX(1,(INDEX(xe_input_vu_khi!$F$2:$F$66,MATCH(Xe!$AE$52,xe_input_vu_khi!$A$2:$A$66,0)))-(0)-1))),1)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F(INDEX(xe_input_vu_khi_suy_ra!$J$2:$J$66,MATCH(Xe!$AE$53,xe_input_vu_khi_suy_ra!$A$2:$A$66,0)),INDEX(xe_input_bang_xuyen_qua!$B$2:$B$5,MIN(4,MAX(1,(INDEX(xe_input_vu_khi!$F$2:$F$66,MATCH(Xe!$AE$53,xe_input_vu_khi!$A$2:$A$66,0)))-(1)-1))),1)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F(INDEX(xe_input_vu_khi_suy_ra!$J$2:$J$66,MATCH(Xe!$AE$53,xe_input_vu_khi_suy_ra!$A$2:$A$66,0)),INDEX(xe_input_bang_xuyen_qua!$B$2:$B$5,MIN(4,MAX(1,(INDEX(xe_input_vu_khi!$F$2:$F$66,MATCH(Xe!$AE$53,xe_input_vu_khi!$A$2:$A$66,0)))-(3)-1))),1)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F(INDEX(xe_input_vu_khi_suy_ra!$J$2:$J$66,MATCH(Xe!$AE$53,xe_input_vu_khi_suy_ra!$A$2:$A$66,0)),INDEX(xe_input_bang_xuyen_qua!$B$2:$B$5,MIN(4,MAX(1,(INDEX(xe_input_vu_khi!$F$2:$F$66,MATCH(Xe!$AE$53,xe_input_vu_khi!$A$2:$A$66,0)))-(0)-1))),1)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F(INDEX(xe_input_vu_khi_suy_ra!$J$2:$J$66,MATCH(Xe!$AE$54,xe_input_vu_khi_suy_ra!$A$2:$A$66,0)),INDEX(xe_input_bang_xuyen_qua!$B$2:$B$5,MIN(4,MAX(1,(INDEX(xe_input_vu_khi!$F$2:$F$66,MATCH(Xe!$AE$54,xe_input_vu_khi!$A$2:$A$66,0)))-(1)-1))),1)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F(INDEX(xe_input_vu_khi_suy_ra!$J$2:$J$66,MATCH(Xe!$AE$54,xe_input_vu_khi_suy_ra!$A$2:$A$66,0)),INDEX(xe_input_bang_xuyen_qua!$B$2:$B$5,MIN(4,MAX(1,(INDEX(xe_input_vu_khi!$F$2:$F$66,MATCH(Xe!$AE$54,xe_input_vu_khi!$A$2:$A$66,0)))-(3)-1))),1)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F(INDEX(xe_input_vu_khi_suy_ra!$J$2:$J$66,MATCH(Xe!$AE$54,xe_input_vu_khi_suy_ra!$A$2:$A$66,0)),INDEX(xe_input_bang_xuyen_qua!$B$2:$B$5,MIN(4,MAX(1,(INDEX(xe_input_vu_khi!$F$2:$F$66,MATCH(Xe!$AE$54,xe_input_vu_khi!$A$2:$A$66,0)))-(0)-1))),1)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F(INDEX(xe_input_vu_khi_suy_ra!$J$2:$J$66,MATCH(Xe!$AE$55,xe_input_vu_khi_suy_ra!$A$2:$A$66,0)),INDEX(xe_input_bang_xuyen_qua!$B$2:$B$5,MIN(4,MAX(1,(INDEX(xe_input_vu_khi!$F$2:$F$66,MATCH(Xe!$AE$55,xe_input_vu_khi!$A$2:$A$66,0)))-(1)-1))),1)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F(INDEX(xe_input_vu_khi_suy_ra!$J$2:$J$66,MATCH(Xe!$AE$55,xe_input_vu_khi_suy_ra!$A$2:$A$66,0)),INDEX(xe_input_bang_xuyen_qua!$B$2:$B$5,MIN(4,MAX(1,(INDEX(xe_input_vu_khi!$F$2:$F$66,MATCH(Xe!$AE$55,xe_input_vu_khi!$A$2:$A$66,0)))-(3)-1))),1)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F(INDEX(xe_input_vu_khi_suy_ra!$J$2:$J$66,MATCH(Xe!$AE$55,xe_input_vu_khi_suy_ra!$A$2:$A$66,0)),INDEX(xe_input_bang_xuyen_qua!$B$2:$B$5,MIN(4,MAX(1,(INDEX(xe_input_vu_khi!$F$2:$F$66,MATCH(Xe!$AE$55,xe_input_vu_khi!$A$2:$A$66,0)))-(0)-1))),1)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F(INDEX(xe_input_vu_khi_suy_ra!$J$2:$J$66,MATCH(Xe!$AE$56,xe_input_vu_khi_suy_ra!$A$2:$A$66,0)),INDEX(xe_input_bang_xuyen_qua!$B$2:$B$5,MIN(4,MAX(1,(INDEX(xe_input_vu_khi!$F$2:$F$66,MATCH(Xe!$AE$56,xe_input_vu_khi!$A$2:$A$66,0)))-(1)-1))),1)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F(INDEX(xe_input_vu_khi_suy_ra!$J$2:$J$66,MATCH(Xe!$AE$56,xe_input_vu_khi_suy_ra!$A$2:$A$66,0)),INDEX(xe_input_bang_xuyen_qua!$B$2:$B$5,MIN(4,MAX(1,(INDEX(xe_input_vu_khi!$F$2:$F$66,MATCH(Xe!$AE$56,xe_input_vu_khi!$A$2:$A$66,0)))-(3)-1))),1)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F(INDEX(xe_input_vu_khi_suy_ra!$J$2:$J$66,MATCH(Xe!$AE$56,xe_input_vu_khi_suy_ra!$A$2:$A$66,0)),INDEX(xe_input_bang_xuyen_qua!$B$2:$B$5,MIN(4,MAX(1,(INDEX(xe_input_vu_khi!$F$2:$F$66,MATCH(Xe!$AE$56,xe_input_vu_khi!$A$2:$A$66,0)))-(0)-1))),1)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F(INDEX(xe_input_vu_khi_suy_ra!$J$2:$J$66,MATCH(Xe!$AE$57,xe_input_vu_khi_suy_ra!$A$2:$A$66,0)),INDEX(xe_input_bang_xuyen_qua!$B$2:$B$5,MIN(4,MAX(1,(INDEX(xe_input_vu_khi!$F$2:$F$66,MATCH(Xe!$AE$57,xe_input_vu_khi!$A$2:$A$66,0)))-(1)-1))),1)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F(INDEX(xe_input_vu_khi_suy_ra!$J$2:$J$66,MATCH(Xe!$AE$57,xe_input_vu_khi_suy_ra!$A$2:$A$66,0)),INDEX(xe_input_bang_xuyen_qua!$B$2:$B$5,MIN(4,MAX(1,(INDEX(xe_input_vu_khi!$F$2:$F$66,MATCH(Xe!$AE$57,xe_input_vu_khi!$A$2:$A$66,0)))-(3)-1))),1)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F(INDEX(xe_input_vu_khi_suy_ra!$J$2:$J$66,MATCH(Xe!$AE$57,xe_input_vu_khi_suy_ra!$A$2:$A$66,0)),INDEX(xe_input_bang_xuyen_qua!$B$2:$B$5,MIN(4,MAX(1,(INDEX(xe_input_vu_khi!$F$2:$F$66,MATCH(Xe!$AE$57,xe_input_vu_khi!$A$2:$A$66,0)))-(0)-1))),1)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F(INDEX(xe_input_vu_khi_suy_ra!$J$2:$J$66,MATCH(Xe!$AE$58,xe_input_vu_khi_suy_ra!$A$2:$A$66,0)),INDEX(xe_input_bang_xuyen_qua!$B$2:$B$5,MIN(4,MAX(1,(INDEX(xe_input_vu_khi!$F$2:$F$66,MATCH(Xe!$AE$58,xe_input_vu_khi!$A$2:$A$66,0)))-(1)-1))),1)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F(INDEX(xe_input_vu_khi_suy_ra!$J$2:$J$66,MATCH(Xe!$AE$58,xe_input_vu_khi_suy_ra!$A$2:$A$66,0)),INDEX(xe_input_bang_xuyen_qua!$B$2:$B$5,MIN(4,MAX(1,(INDEX(xe_input_vu_khi!$F$2:$F$66,MATCH(Xe!$AE$58,xe_input_vu_khi!$A$2:$A$66,0)))-(3)-1))),1)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F(INDEX(xe_input_vu_khi_suy_ra!$J$2:$J$66,MATCH(Xe!$AE$58,xe_input_vu_khi_suy_ra!$A$2:$A$66,0)),INDEX(xe_input_bang_xuyen_qua!$B$2:$B$5,MIN(4,MAX(1,(INDEX(xe_input_vu_khi!$F$2:$F$66,MATCH(Xe!$AE$58,xe_input_vu_khi!$A$2:$A$66,0)))-(0)-1))),1)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F(INDEX(xe_input_vu_khi_suy_ra!$J$2:$J$66,MATCH(Xe!$AE$59,xe_input_vu_khi_suy_ra!$A$2:$A$66,0)),INDEX(xe_input_bang_xuyen_qua!$B$2:$B$5,MIN(4,MAX(1,(INDEX(xe_input_vu_khi!$F$2:$F$66,MATCH(Xe!$AE$59,xe_input_vu_khi!$A$2:$A$66,0)))-(1)-1))),1)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F(INDEX(xe_input_vu_khi_suy_ra!$J$2:$J$66,MATCH(Xe!$AE$59,xe_input_vu_khi_suy_ra!$A$2:$A$66,0)),INDEX(xe_input_bang_xuyen_qua!$B$2:$B$5,MIN(4,MAX(1,(INDEX(xe_input_vu_khi!$F$2:$F$66,MATCH(Xe!$AE$59,xe_input_vu_khi!$A$2:$A$66,0)))-(3)-1))),1)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F(INDEX(xe_input_vu_khi_suy_ra!$J$2:$J$66,MATCH(Xe!$AE$59,xe_input_vu_khi_suy_ra!$A$2:$A$66,0)),INDEX(xe_input_bang_xuyen_qua!$B$2:$B$5,MIN(4,MAX(1,(INDEX(xe_input_vu_khi!$F$2:$F$66,MATCH(Xe!$AE$59,xe_input_vu_khi!$A$2:$A$66,0)))-(0)-1))),1)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F(INDEX(xe_input_vu_khi_suy_ra!$J$2:$J$66,MATCH(Xe!$AE$62,xe_input_vu_khi_suy_ra!$A$2:$A$66,0)),INDEX(xe_input_bang_xuyen_qua!$B$2:$B$5,MIN(4,MAX(1,(INDEX(xe_input_vu_khi!$F$2:$F$66,MATCH(Xe!$AE$62,xe_input_vu_khi!$A$2:$A$66,0)))-(1)-1))),1)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F(INDEX(xe_input_vu_khi_suy_ra!$J$2:$J$66,MATCH(Xe!$AE$62,xe_input_vu_khi_suy_ra!$A$2:$A$66,0)),INDEX(xe_input_bang_xuyen_qua!$B$2:$B$5,MIN(4,MAX(1,(INDEX(xe_input_vu_khi!$F$2:$F$66,MATCH(Xe!$AE$62,xe_input_vu_khi!$A$2:$A$66,0)))-(3)-1))),1)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F(INDEX(xe_input_vu_khi_suy_ra!$J$2:$J$66,MATCH(Xe!$AE$62,xe_input_vu_khi_suy_ra!$A$2:$A$66,0)),INDEX(xe_input_bang_xuyen_qua!$B$2:$B$5,MIN(4,MAX(1,(INDEX(xe_input_vu_khi!$F$2:$F$66,MATCH(Xe!$AE$62,xe_input_vu_khi!$A$2:$A$66,0)))-(0)-1))),1)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F(INDEX(xe_input_vu_khi_suy_ra!$J$2:$J$66,MATCH(Xe!$AE$64,xe_input_vu_khi_suy_ra!$A$2:$A$66,0)),INDEX(xe_input_bang_xuyen_qua!$B$2:$B$5,MIN(4,MAX(1,(INDEX(xe_input_vu_khi!$F$2:$F$66,MATCH(Xe!$AE$64,xe_input_vu_khi!$A$2:$A$66,0)))-(1)-1))),1)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F(INDEX(xe_input_vu_khi_suy_ra!$J$2:$J$66,MATCH(Xe!$AE$64,xe_input_vu_khi_suy_ra!$A$2:$A$66,0)),INDEX(xe_input_bang_xuyen_qua!$B$2:$B$5,MIN(4,MAX(1,(INDEX(xe_input_vu_khi!$F$2:$F$66,MATCH(Xe!$AE$64,xe_input_vu_khi!$A$2:$A$66,0)))-(3)-1))),1)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F(INDEX(xe_input_vu_khi_suy_ra!$J$2:$J$66,MATCH(Xe!$AE$64,xe_input_vu_khi_suy_ra!$A$2:$A$66,0)),INDEX(xe_input_bang_xuyen_qua!$B$2:$B$5,MIN(4,MAX(1,(INDEX(xe_input_vu_khi!$F$2:$F$66,MATCH(Xe!$AE$64,xe_input_vu_khi!$A$2:$A$66,0)))-(0)-1))),1)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F(INDEX(xe_input_vu_khi_suy_ra!$J$2:$J$66,MATCH(Xe!$AE$65,xe_input_vu_khi_suy_ra!$A$2:$A$66,0)),INDEX(xe_input_bang_xuyen_qua!$B$2:$B$5,MIN(4,MAX(1,(INDEX(xe_input_vu_khi!$F$2:$F$66,MATCH(Xe!$AE$65,xe_input_vu_khi!$A$2:$A$66,0)))-(1)-1))),1)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F(INDEX(xe_input_vu_khi_suy_ra!$J$2:$J$66,MATCH(Xe!$AE$65,xe_input_vu_khi_suy_ra!$A$2:$A$66,0)),INDEX(xe_input_bang_xuyen_qua!$B$2:$B$5,MIN(4,MAX(1,(INDEX(xe_input_vu_khi!$F$2:$F$66,MATCH(Xe!$AE$65,xe_input_vu_khi!$A$2:$A$66,0)))-(3)-1))),1)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F(INDEX(xe_input_vu_khi_suy_ra!$J$2:$J$66,MATCH(Xe!$AE$65,xe_input_vu_khi_suy_ra!$A$2:$A$66,0)),INDEX(xe_input_bang_xuyen_qua!$B$2:$B$5,MIN(4,MAX(1,(INDEX(xe_input_vu_khi!$F$2:$F$66,MATCH(Xe!$AE$65,xe_input_vu_khi!$A$2:$A$66,0)))-(0)-1))),1)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F(INDEX(xe_input_vu_khi_suy_ra!$J$2:$J$66,MATCH(Xe!$AE$66,xe_input_vu_khi_suy_ra!$A$2:$A$66,0)),INDEX(xe_input_bang_xuyen_qua!$B$2:$B$5,MIN(4,MAX(1,(INDEX(xe_input_vu_khi!$F$2:$F$66,MATCH(Xe!$AE$66,xe_input_vu_khi!$A$2:$A$66,0)))-(1)-1))),1)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F(INDEX(xe_input_vu_khi_suy_ra!$J$2:$J$66,MATCH(Xe!$AE$66,xe_input_vu_khi_suy_ra!$A$2:$A$66,0)),INDEX(xe_input_bang_xuyen_qua!$B$2:$B$5,MIN(4,MAX(1,(INDEX(xe_input_vu_khi!$F$2:$F$66,MATCH(Xe!$AE$66,xe_input_vu_khi!$A$2:$A$66,0)))-(3)-1))),1)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F(INDEX(xe_input_vu_khi_suy_ra!$J$2:$J$66,MATCH(Xe!$AE$66,xe_input_vu_khi_suy_ra!$A$2:$A$66,0)),INDEX(xe_input_bang_xuyen_qua!$B$2:$B$5,MIN(4,MAX(1,(INDEX(xe_input_vu_khi!$F$2:$F$66,MATCH(Xe!$AE$66,xe_input_vu_khi!$A$2:$A$66,0)))-(0)-1))),1)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F(INDEX(xe_input_vu_khi_suy_ra!$J$2:$J$66,MATCH(Xe!$AE$67,xe_input_vu_khi_suy_ra!$A$2:$A$66,0)),INDEX(xe_input_bang_xuyen_qua!$B$2:$B$5,MIN(4,MAX(1,(INDEX(xe_input_vu_khi!$F$2:$F$66,MATCH(Xe!$AE$67,xe_input_vu_khi!$A$2:$A$66,0)))-(1)-1))),1)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F(INDEX(xe_input_vu_khi_suy_ra!$J$2:$J$66,MATCH(Xe!$AE$67,xe_input_vu_khi_suy_ra!$A$2:$A$66,0)),INDEX(xe_input_bang_xuyen_qua!$B$2:$B$5,MIN(4,MAX(1,(INDEX(xe_input_vu_khi!$F$2:$F$66,MATCH(Xe!$AE$67,xe_input_vu_khi!$A$2:$A$66,0)))-(3)-1))),1)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F(INDEX(xe_input_vu_khi_suy_ra!$J$2:$J$66,MATCH(Xe!$AE$67,xe_input_vu_khi_suy_ra!$A$2:$A$66,0)),INDEX(xe_input_bang_xuyen_qua!$B$2:$B$5,MIN(4,MAX(1,(INDEX(xe_input_vu_khi!$F$2:$F$66,MATCH(Xe!$AE$67,xe_input_vu_khi!$A$2:$A$66,0)))-(0)-1))),1)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F(INDEX(xe_input_vu_khi_suy_ra!$J$2:$J$66,MATCH(Xe!$AE$68,xe_input_vu_khi_suy_ra!$A$2:$A$66,0)),INDEX(xe_input_bang_xuyen_qua!$B$2:$B$5,MIN(4,MAX(1,(INDEX(xe_input_vu_khi!$F$2:$F$66,MATCH(Xe!$AE$68,xe_input_vu_khi!$A$2:$A$66,0)))-(1)-1))),1)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F(INDEX(xe_input_vu_khi_suy_ra!$J$2:$J$66,MATCH(Xe!$AE$68,xe_input_vu_khi_suy_ra!$A$2:$A$66,0)),INDEX(xe_input_bang_xuyen_qua!$B$2:$B$5,MIN(4,MAX(1,(INDEX(xe_input_vu_khi!$F$2:$F$66,MATCH(Xe!$AE$68,xe_input_vu_khi!$A$2:$A$66,0)))-(3)-1))),1)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F(INDEX(xe_input_vu_khi_suy_ra!$J$2:$J$66,MATCH(Xe!$AE$68,xe_input_vu_khi_suy_ra!$A$2:$A$66,0)),INDEX(xe_input_bang_xuyen_qua!$B$2:$B$5,MIN(4,MAX(1,(INDEX(xe_input_vu_khi!$F$2:$F$66,MATCH(Xe!$AE$68,xe_input_vu_khi!$A$2:$A$66,0)))-(0)-1))),1)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F(INDEX(xe_input_vu_khi_suy_ra!$J$2:$J$66,MATCH(Xe!$AE$69,xe_input_vu_khi_suy_ra!$A$2:$A$66,0)),INDEX(xe_input_bang_xuyen_qua!$B$2:$B$5,MIN(4,MAX(1,(INDEX(xe_input_vu_khi!$F$2:$F$66,MATCH(Xe!$AE$69,xe_input_vu_khi!$A$2:$A$66,0)))-(1)-1))),1)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F(INDEX(xe_input_vu_khi_suy_ra!$J$2:$J$66,MATCH(Xe!$AE$69,xe_input_vu_khi_suy_ra!$A$2:$A$66,0)),INDEX(xe_input_bang_xuyen_qua!$B$2:$B$5,MIN(4,MAX(1,(INDEX(xe_input_vu_khi!$F$2:$F$66,MATCH(Xe!$AE$69,xe_input_vu_khi!$A$2:$A$66,0)))-(3)-1))),1)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F(INDEX(xe_input_vu_khi_suy_ra!$J$2:$J$66,MATCH(Xe!$AE$69,xe_input_vu_khi_suy_ra!$A$2:$A$66,0)),INDEX(xe_input_bang_xuyen_qua!$B$2:$B$5,MIN(4,MAX(1,(INDEX(xe_input_vu_khi!$F$2:$F$66,MATCH(Xe!$AE$69,xe_input_vu_khi!$A$2:$A$66,0)))-(0)-1))),1)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F(INDEX(xe_input_vu_khi_suy_ra!$J$2:$J$66,MATCH(Xe!$AE$70,xe_input_vu_khi_suy_ra!$A$2:$A$66,0)),INDEX(xe_input_bang_xuyen_qua!$B$2:$B$5,MIN(4,MAX(1,(INDEX(xe_input_vu_khi!$F$2:$F$66,MATCH(Xe!$AE$70,xe_input_vu_khi!$A$2:$A$66,0)))-(1)-1))),1)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F(INDEX(xe_input_vu_khi_suy_ra!$J$2:$J$66,MATCH(Xe!$AE$70,xe_input_vu_khi_suy_ra!$A$2:$A$66,0)),INDEX(xe_input_bang_xuyen_qua!$B$2:$B$5,MIN(4,MAX(1,(INDEX(xe_input_vu_khi!$F$2:$F$66,MATCH(Xe!$AE$70,xe_input_vu_khi!$A$2:$A$66,0)))-(3)-1))),1)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F(INDEX(xe_input_vu_khi_suy_ra!$J$2:$J$66,MATCH(Xe!$AE$70,xe_input_vu_khi_suy_ra!$A$2:$A$66,0)),INDEX(xe_input_bang_xuyen_qua!$B$2:$B$5,MIN(4,MAX(1,(INDEX(xe_input_vu_khi!$F$2:$F$66,MATCH(Xe!$AE$70,xe_input_vu_khi!$A$2:$A$66,0)))-(0)-1))),1)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F(INDEX(xe_input_vu_khi_suy_ra!$J$2:$J$66,MATCH(Xe!$AE$72,xe_input_vu_khi_suy_ra!$A$2:$A$66,0)),INDEX(xe_input_bang_xuyen_qua!$B$2:$B$5,MIN(4,MAX(1,(INDEX(xe_input_vu_khi!$F$2:$F$66,MATCH(Xe!$AE$72,xe_input_vu_khi!$A$2:$A$66,0)))-(1)-1))),1)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F(INDEX(xe_input_vu_khi_suy_ra!$J$2:$J$66,MATCH(Xe!$AE$72,xe_input_vu_khi_suy_ra!$A$2:$A$66,0)),INDEX(xe_input_bang_xuyen_qua!$B$2:$B$5,MIN(4,MAX(1,(INDEX(xe_input_vu_khi!$F$2:$F$66,MATCH(Xe!$AE$72,xe_input_vu_khi!$A$2:$A$66,0)))-(3)-1))),1)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F(INDEX(xe_input_vu_khi_suy_ra!$J$2:$J$66,MATCH(Xe!$AE$72,xe_input_vu_khi_suy_ra!$A$2:$A$66,0)),INDEX(xe_input_bang_xuyen_qua!$B$2:$B$5,MIN(4,MAX(1,(INDEX(xe_input_vu_khi!$F$2:$F$66,MATCH(Xe!$AE$72,xe_input_vu_khi!$A$2:$A$66,0)))-(0)-1))),1)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F(INDEX(xe_input_vu_khi_suy_ra!$J$2:$J$66,MATCH(Xe!$AE$73,xe_input_vu_khi_suy_ra!$A$2:$A$66,0)),INDEX(xe_input_bang_xuyen_qua!$B$2:$B$5,MIN(4,MAX(1,(INDEX(xe_input_vu_khi!$F$2:$F$66,MATCH(Xe!$AE$73,xe_input_vu_khi!$A$2:$A$66,0)))-(1)-1))),1)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F(INDEX(xe_input_vu_khi_suy_ra!$J$2:$J$66,MATCH(Xe!$AE$73,xe_input_vu_khi_suy_ra!$A$2:$A$66,0)),INDEX(xe_input_bang_xuyen_qua!$B$2:$B$5,MIN(4,MAX(1,(INDEX(xe_input_vu_khi!$F$2:$F$66,MATCH(Xe!$AE$73,xe_input_vu_khi!$A$2:$A$66,0)))-(3)-1))),1)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F(INDEX(xe_input_vu_khi_suy_ra!$J$2:$J$66,MATCH(Xe!$AE$73,xe_input_vu_khi_suy_ra!$A$2:$A$66,0)),INDEX(xe_input_bang_xuyen_qua!$B$2:$B$5,MIN(4,MAX(1,(INDEX(xe_input_vu_khi!$F$2:$F$66,MATCH(Xe!$AE$73,xe_input_vu_khi!$A$2:$A$66,0)))-(0)-1))),1)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F(INDEX(xe_input_vu_khi_suy_ra!$J$2:$J$66,MATCH(Xe!$AE$74,xe_input_vu_khi_suy_ra!$A$2:$A$66,0)),INDEX(xe_input_bang_xuyen_qua!$B$2:$B$5,MIN(4,MAX(1,(INDEX(xe_input_vu_khi!$F$2:$F$66,MATCH(Xe!$AE$74,xe_input_vu_khi!$A$2:$A$66,0)))-(1)-1))),1)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F(INDEX(xe_input_vu_khi_suy_ra!$J$2:$J$66,MATCH(Xe!$AE$74,xe_input_vu_khi_suy_ra!$A$2:$A$66,0)),INDEX(xe_input_bang_xuyen_qua!$B$2:$B$5,MIN(4,MAX(1,(INDEX(xe_input_vu_khi!$F$2:$F$66,MATCH(Xe!$AE$74,xe_input_vu_khi!$A$2:$A$66,0)))-(3)-1))),1)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F(INDEX(xe_input_vu_khi_suy_ra!$J$2:$J$66,MATCH(Xe!$AE$74,xe_input_vu_khi_suy_ra!$A$2:$A$66,0)),INDEX(xe_input_bang_xuyen_qua!$B$2:$B$5,MIN(4,MAX(1,(INDEX(xe_input_vu_khi!$F$2:$F$66,MATCH(Xe!$AE$74,xe_input_vu_khi!$A$2:$A$66,0)))-(0)-1))),1)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F(INDEX(xe_input_vu_khi_suy_ra!$J$2:$J$66,MATCH(Xe!$AE$75,xe_input_vu_khi_suy_ra!$A$2:$A$66,0)),INDEX(xe_input_bang_xuyen_qua!$B$2:$B$5,MIN(4,MAX(1,(INDEX(xe_input_vu_khi!$F$2:$F$66,MATCH(Xe!$AE$75,xe_input_vu_khi!$A$2:$A$66,0)))-(1)-1))),1)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F(INDEX(xe_input_vu_khi_suy_ra!$J$2:$J$66,MATCH(Xe!$AE$75,xe_input_vu_khi_suy_ra!$A$2:$A$66,0)),INDEX(xe_input_bang_xuyen_qua!$B$2:$B$5,MIN(4,MAX(1,(INDEX(xe_input_vu_khi!$F$2:$F$66,MATCH(Xe!$AE$75,xe_input_vu_khi!$A$2:$A$66,0)))-(3)-1))),1)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F(INDEX(xe_input_vu_khi_suy_ra!$J$2:$J$66,MATCH(Xe!$AE$75,xe_input_vu_khi_suy_ra!$A$2:$A$66,0)),INDEX(xe_input_bang_xuyen_qua!$B$2:$B$5,MIN(4,MAX(1,(INDEX(xe_input_vu_khi!$F$2:$F$66,MATCH(Xe!$AE$75,xe_input_vu_khi!$A$2:$A$66,0)))-(0)-1))),1)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F(INDEX(xe_input_vu_khi_suy_ra!$J$2:$J$66,MATCH(Xe!$AE$76,xe_input_vu_khi_suy_ra!$A$2:$A$66,0)),INDEX(xe_input_bang_xuyen_qua!$B$2:$B$5,MIN(4,MAX(1,(INDEX(xe_input_vu_khi!$F$2:$F$66,MATCH(Xe!$AE$76,xe_input_vu_khi!$A$2:$A$66,0)))-(1)-1))),1)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F(INDEX(xe_input_vu_khi_suy_ra!$J$2:$J$66,MATCH(Xe!$AE$76,xe_input_vu_khi_suy_ra!$A$2:$A$66,0)),INDEX(xe_input_bang_xuyen_qua!$B$2:$B$5,MIN(4,MAX(1,(INDEX(xe_input_vu_khi!$F$2:$F$66,MATCH(Xe!$AE$76,xe_input_vu_khi!$A$2:$A$66,0)))-(3)-1))),1)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F(INDEX(xe_input_vu_khi_suy_ra!$J$2:$J$66,MATCH(Xe!$AE$76,xe_input_vu_khi_suy_ra!$A$2:$A$66,0)),INDEX(xe_input_bang_xuyen_qua!$B$2:$B$5,MIN(4,MAX(1,(INDEX(xe_input_vu_khi!$F$2:$F$66,MATCH(Xe!$AE$76,xe_input_vu_khi!$A$2:$A$66,0)))-(0)-1))),1)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F(INDEX(xe_input_vu_khi_suy_ra!$J$2:$J$66,MATCH(Xe!$AE$77,xe_input_vu_khi_suy_ra!$A$2:$A$66,0)),INDEX(xe_input_bang_xuyen_qua!$B$2:$B$5,MIN(4,MAX(1,(INDEX(xe_input_vu_khi!$F$2:$F$66,MATCH(Xe!$AE$77,xe_input_vu_khi!$A$2:$A$66,0)))-(1)-1))),1)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F(INDEX(xe_input_vu_khi_suy_ra!$J$2:$J$66,MATCH(Xe!$AE$77,xe_input_vu_khi_suy_ra!$A$2:$A$66,0)),INDEX(xe_input_bang_xuyen_qua!$B$2:$B$5,MIN(4,MAX(1,(INDEX(xe_input_vu_khi!$F$2:$F$66,MATCH(Xe!$AE$77,xe_input_vu_khi!$A$2:$A$66,0)))-(3)-1))),1)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F(INDEX(xe_input_vu_khi_suy_ra!$J$2:$J$66,MATCH(Xe!$AE$77,xe_input_vu_khi_suy_ra!$A$2:$A$66,0)),INDEX(xe_input_bang_xuyen_qua!$B$2:$B$5,MIN(4,MAX(1,(INDEX(xe_input_vu_khi!$F$2:$F$66,MATCH(Xe!$AE$77,xe_input_vu_khi!$A$2:$A$66,0)))-(0)-1))),1)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F(INDEX(xe_input_vu_khi_suy_ra!$J$2:$J$66,MATCH(Xe!$AE$79,xe_input_vu_khi_suy_ra!$A$2:$A$66,0)),INDEX(xe_input_bang_xuyen_qua!$B$2:$B$5,MIN(4,MAX(1,(INDEX(xe_input_vu_khi!$F$2:$F$66,MATCH(Xe!$AE$79,xe_input_vu_khi!$A$2:$A$66,0)))-(1)-1))),1)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F(INDEX(xe_input_vu_khi_suy_ra!$J$2:$J$66,MATCH(Xe!$AE$79,xe_input_vu_khi_suy_ra!$A$2:$A$66,0)),INDEX(xe_input_bang_xuyen_qua!$B$2:$B$5,MIN(4,MAX(1,(INDEX(xe_input_vu_khi!$F$2:$F$66,MATCH(Xe!$AE$79,xe_input_vu_khi!$A$2:$A$66,0)))-(3)-1))),1)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F(INDEX(xe_input_vu_khi_suy_ra!$J$2:$J$66,MATCH(Xe!$AE$79,xe_input_vu_khi_suy_ra!$A$2:$A$66,0)),INDEX(xe_input_bang_xuyen_qua!$B$2:$B$5,MIN(4,MAX(1,(INDEX(xe_input_vu_khi!$F$2:$F$66,MATCH(Xe!$AE$79,xe_input_vu_khi!$A$2:$A$66,0)))-(0)-1))),1)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F(INDEX(xe_input_vu_khi_suy_ra!$J$2:$J$66,MATCH(Xe!$AE$80,xe_input_vu_khi_suy_ra!$A$2:$A$66,0)),INDEX(xe_input_bang_xuyen_qua!$B$2:$B$5,MIN(4,MAX(1,(INDEX(xe_input_vu_khi!$F$2:$F$66,MATCH(Xe!$AE$80,xe_input_vu_khi!$A$2:$A$66,0)))-(1)-1))),1)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F(INDEX(xe_input_vu_khi_suy_ra!$J$2:$J$66,MATCH(Xe!$AE$80,xe_input_vu_khi_suy_ra!$A$2:$A$66,0)),INDEX(xe_input_bang_xuyen_qua!$B$2:$B$5,MIN(4,MAX(1,(INDEX(xe_input_vu_khi!$F$2:$F$66,MATCH(Xe!$AE$80,xe_input_vu_khi!$A$2:$A$66,0)))-(3)-1))),1)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F(INDEX(xe_input_vu_khi_suy_ra!$J$2:$J$66,MATCH(Xe!$AE$80,xe_input_vu_khi_suy_ra!$A$2:$A$66,0)),INDEX(xe_input_bang_xuyen_qua!$B$2:$B$5,MIN(4,MAX(1,(INDEX(xe_input_vu_khi!$F$2:$F$66,MATCH(Xe!$AE$80,xe_input_vu_khi!$A$2:$A$66,0)))-(0)-1))),1)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6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F(INDEX(xe_input_vu_khi_suy_ra!$J$2:$J$66,MATCH("stinger_post",xe_input_vu_khi_suy_ra!$A$2:$A$66,0)),INDEX(xe_input_bang_xuyen_qua!$B$2:$B$5,MIN(4,MAX(1,(INDEX(xe_input_vu_khi!$F$2:$F$66,MATCH("stinger_post",xe_input_vu_khi!$A$2:$A$66,0)))-($C$2)-1))),1)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F(INDEX(xe_input_vu_khi_suy_ra!$J$2:$J$66,MATCH("buk_launcher",xe_input_vu_khi_suy_ra!$A$2:$A$66,0)),INDEX(xe_input_bang_xuyen_qua!$B$2:$B$5,MIN(4,MAX(1,(INDEX(xe_input_vu_khi!$F$2:$F$66,MATCH("buk_launcher",xe_input_vu_khi!$A$2:$A$66,0)))-($C$2)-1))),1)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F(INDEX(xe_input_vu_khi_suy_ra!$J$2:$J$66,MATCH("air_to_air",xe_input_vu_khi_suy_ra!$A$2:$A$66,0)),INDEX(xe_input_bang_xuyen_qua!$B$2:$B$5,MIN(4,MAX(1,(INDEX(xe_input_vu_khi!$F$2:$F$66,MATCH("air_to_air",xe_input_vu_khi!$A$2:$A$66,0)))-($C$2)-1))),1)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NEED_CODE_CHECK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F(INDEX(xe_input_vu_khi_suy_ra!$J$2:$J$66,MATCH("stinger_post",xe_input_vu_khi_suy_ra!$A$2:$A$66,0)),INDEX(xe_input_bang_xuyen_qua!$B$2:$B$5,MIN(4,MAX(1,(INDEX(xe_input_vu_khi!$F$2:$F$66,MATCH("stinger_post",xe_input_vu_khi!$A$2:$A$66,0)))-($C$3)-1))),1)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F(INDEX(xe_input_vu_khi_suy_ra!$J$2:$J$66,MATCH("buk_launcher",xe_input_vu_khi_suy_ra!$A$2:$A$66,0)),INDEX(xe_input_bang_xuyen_qua!$B$2:$B$5,MIN(4,MAX(1,(INDEX(xe_input_vu_khi!$F$2:$F$66,MATCH("buk_launcher",xe_input_vu_khi!$A$2:$A$66,0)))-($C$3)-1))),1)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F(INDEX(xe_input_vu_khi_suy_ra!$J$2:$J$66,MATCH("air_to_air",xe_input_vu_khi_suy_ra!$A$2:$A$66,0)),INDEX(xe_input_bang_xuyen_qua!$B$2:$B$5,MIN(4,MAX(1,(INDEX(xe_input_vu_khi!$F$2:$F$66,MATCH("air_to_air",xe_input_vu_khi!$A$2:$A$66,0)))-($C$3)-1))),1)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NEED_CODE_CHECK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F(INDEX(xe_input_vu_khi_suy_ra!$J$2:$J$66,MATCH("stinger_post",xe_input_vu_khi_suy_ra!$A$2:$A$66,0)),INDEX(xe_input_bang_xuyen_qua!$B$2:$B$5,MIN(4,MAX(1,(INDEX(xe_input_vu_khi!$F$2:$F$66,MATCH("stinger_post",xe_input_vu_khi!$A$2:$A$66,0)))-($C$4)-1))),1)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F(INDEX(xe_input_vu_khi_suy_ra!$J$2:$J$66,MATCH("buk_launcher",xe_input_vu_khi_suy_ra!$A$2:$A$66,0)),INDEX(xe_input_bang_xuyen_qua!$B$2:$B$5,MIN(4,MAX(1,(INDEX(xe_input_vu_khi!$F$2:$F$66,MATCH("buk_launcher",xe_input_vu_khi!$A$2:$A$66,0)))-($C$4)-1))),1)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F(INDEX(xe_input_vu_khi_suy_ra!$J$2:$J$66,MATCH("air_to_air",xe_input_vu_khi_suy_ra!$A$2:$A$66,0)),INDEX(xe_input_bang_xuyen_qua!$B$2:$B$5,MIN(4,MAX(1,(INDEX(xe_input_vu_khi!$F$2:$F$66,MATCH("air_to_air",xe_input_vu_khi!$A$2:$A$66,0)))-($C$4)-1))),1)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NEED_CODE_CHECK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F(INDEX(xe_input_vu_khi_suy_ra!$J$2:$J$66,MATCH("stinger_post",xe_input_vu_khi_suy_ra!$A$2:$A$66,0)),INDEX(xe_input_bang_xuyen_qua!$B$2:$B$5,MIN(4,MAX(1,(INDEX(xe_input_vu_khi!$F$2:$F$66,MATCH("stinger_post",xe_input_vu_khi!$A$2:$A$66,0)))-($C$5)-1))),1)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F(INDEX(xe_input_vu_khi_suy_ra!$J$2:$J$66,MATCH("buk_launcher",xe_input_vu_khi_suy_ra!$A$2:$A$66,0)),INDEX(xe_input_bang_xuyen_qua!$B$2:$B$5,MIN(4,MAX(1,(INDEX(xe_input_vu_khi!$F$2:$F$66,MATCH("buk_launcher",xe_input_vu_khi!$A$2:$A$66,0)))-($C$5)-1))),1)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F(INDEX(xe_input_vu_khi_suy_ra!$J$2:$J$66,MATCH("air_to_air",xe_input_vu_khi_suy_ra!$A$2:$A$66,0)),INDEX(xe_input_bang_xuyen_qua!$B$2:$B$5,MIN(4,MAX(1,(INDEX(xe_input_vu_khi!$F$2:$F$66,MATCH("air_to_air",xe_input_vu_khi!$A$2:$A$66,0)))-($C$5)-1))),1)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NEED_CODE_CHECK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F(INDEX(xe_input_vu_khi_suy_ra!$J$2:$J$66,MATCH("stinger_post",xe_input_vu_khi_suy_ra!$A$2:$A$66,0)),INDEX(xe_input_bang_xuyen_qua!$B$2:$B$5,MIN(4,MAX(1,(INDEX(xe_input_vu_khi!$F$2:$F$66,MATCH("stinger_post",xe_input_vu_khi!$A$2:$A$66,0)))-($C$6)-1))),1)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F(INDEX(xe_input_vu_khi_suy_ra!$J$2:$J$66,MATCH("buk_launcher",xe_input_vu_khi_suy_ra!$A$2:$A$66,0)),INDEX(xe_input_bang_xuyen_qua!$B$2:$B$5,MIN(4,MAX(1,(INDEX(xe_input_vu_khi!$F$2:$F$66,MATCH("buk_launcher",xe_input_vu_khi!$A$2:$A$66,0)))-($C$6)-1))),1)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F(INDEX(xe_input_vu_khi_suy_ra!$J$2:$J$66,MATCH("air_to_air",xe_input_vu_khi_suy_ra!$A$2:$A$66,0)),INDEX(xe_input_bang_xuyen_qua!$B$2:$B$5,MIN(4,MAX(1,(INDEX(xe_input_vu_khi!$F$2:$F$66,MATCH("air_to_air",xe_input_vu_khi!$A$2:$A$66,0)))-($C$6)-1))),1)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NEED_CODE_CHECK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F(INDEX(xe_input_vu_khi_suy_ra!$J$2:$J$66,MATCH("stinger_post",xe_input_vu_khi_suy_ra!$A$2:$A$66,0)),INDEX(xe_input_bang_xuyen_qua!$B$2:$B$5,MIN(4,MAX(1,(INDEX(xe_input_vu_khi!$F$2:$F$66,MATCH("stinger_post",xe_input_vu_khi!$A$2:$A$66,0)))-($C$7)-1))),1)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F(INDEX(xe_input_vu_khi_suy_ra!$J$2:$J$66,MATCH("buk_launcher",xe_input_vu_khi_suy_ra!$A$2:$A$66,0)),INDEX(xe_input_bang_xuyen_qua!$B$2:$B$5,MIN(4,MAX(1,(INDEX(xe_input_vu_khi!$F$2:$F$66,MATCH("buk_launcher",xe_input_vu_khi!$A$2:$A$66,0)))-($C$7)-1))),1)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F(INDEX(xe_input_vu_khi_suy_ra!$J$2:$J$66,MATCH("air_to_air",xe_input_vu_khi_suy_ra!$A$2:$A$66,0)),INDEX(xe_input_bang_xuyen_qua!$B$2:$B$5,MIN(4,MAX(1,(INDEX(xe_input_vu_khi!$F$2:$F$66,MATCH("air_to_air",xe_input_vu_khi!$A$2:$A$66,0)))-($C$7)-1))),1)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NEED_CODE_CHECK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F(INDEX(xe_input_vu_khi_suy_ra!$J$2:$J$66,MATCH("stinger_post",xe_input_vu_khi_suy_ra!$A$2:$A$66,0)),INDEX(xe_input_bang_xuyen_qua!$B$2:$B$5,MIN(4,MAX(1,(INDEX(xe_input_vu_khi!$F$2:$F$66,MATCH("stinger_post",xe_input_vu_khi!$A$2:$A$66,0)))-($C$8)-1))),1)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F(INDEX(xe_input_vu_khi_suy_ra!$J$2:$J$66,MATCH("buk_launcher",xe_input_vu_khi_suy_ra!$A$2:$A$66,0)),INDEX(xe_input_bang_xuyen_qua!$B$2:$B$5,MIN(4,MAX(1,(INDEX(xe_input_vu_khi!$F$2:$F$66,MATCH("buk_launcher",xe_input_vu_khi!$A$2:$A$66,0)))-($C$8)-1))),1)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F(INDEX(xe_input_vu_khi_suy_ra!$J$2:$J$66,MATCH("air_to_air",xe_input_vu_khi_suy_ra!$A$2:$A$66,0)),INDEX(xe_input_bang_xuyen_qua!$B$2:$B$5,MIN(4,MAX(1,(INDEX(xe_input_vu_khi!$F$2:$F$66,MATCH("air_to_air",xe_input_vu_khi!$A$2:$A$66,0)))-($C$8)-1))),1)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NEED_CODE_CHECK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F(INDEX(xe_input_vu_khi_suy_ra!$J$2:$J$66,MATCH("stinger_post",xe_input_vu_khi_suy_ra!$A$2:$A$66,0)),INDEX(xe_input_bang_xuyen_qua!$B$2:$B$5,MIN(4,MAX(1,(INDEX(xe_input_vu_khi!$F$2:$F$66,MATCH("stinger_post",xe_input_vu_khi!$A$2:$A$66,0)))-($C$9)-1))),1)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F(INDEX(xe_input_vu_khi_suy_ra!$J$2:$J$66,MATCH("buk_launcher",xe_input_vu_khi_suy_ra!$A$2:$A$66,0)),INDEX(xe_input_bang_xuyen_qua!$B$2:$B$5,MIN(4,MAX(1,(INDEX(xe_input_vu_khi!$F$2:$F$66,MATCH("buk_launcher",xe_input_vu_khi!$A$2:$A$66,0)))-($C$9)-1))),1)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F(INDEX(xe_input_vu_khi_suy_ra!$J$2:$J$66,MATCH("air_to_air",xe_input_vu_khi_suy_ra!$A$2:$A$66,0)),INDEX(xe_input_bang_xuyen_qua!$B$2:$B$5,MIN(4,MAX(1,(INDEX(xe_input_vu_khi!$F$2:$F$66,MATCH("air_to_air",xe_input_vu_khi!$A$2:$A$66,0)))-($C$9)-1))),1)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NEED_CODE_CHECK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F(INDEX(xe_input_vu_khi_suy_ra!$J$2:$J$66,MATCH("stinger_post",xe_input_vu_khi_suy_ra!$A$2:$A$66,0)),INDEX(xe_input_bang_xuyen_qua!$B$2:$B$5,MIN(4,MAX(1,(INDEX(xe_input_vu_khi!$F$2:$F$66,MATCH("stinger_post",xe_input_vu_khi!$A$2:$A$66,0)))-($C$10)-1))),1)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F(INDEX(xe_input_vu_khi_suy_ra!$J$2:$J$66,MATCH("buk_launcher",xe_input_vu_khi_suy_ra!$A$2:$A$66,0)),INDEX(xe_input_bang_xuyen_qua!$B$2:$B$5,MIN(4,MAX(1,(INDEX(xe_input_vu_khi!$F$2:$F$66,MATCH("buk_launcher",xe_input_vu_khi!$A$2:$A$66,0)))-($C$10)-1))),1)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F(INDEX(xe_input_vu_khi_suy_ra!$J$2:$J$66,MATCH("air_to_air",xe_input_vu_khi_suy_ra!$A$2:$A$66,0)),INDEX(xe_input_bang_xuyen_qua!$B$2:$B$5,MIN(4,MAX(1,(INDEX(xe_input_vu_khi!$F$2:$F$66,MATCH("air_to_air",xe_input_vu_khi!$A$2:$A$66,0)))-($C$10)-1))),1)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NEED_CODE_CHECK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F(INDEX(xe_input_vu_khi_suy_ra!$J$2:$J$66,MATCH("stinger_post",xe_input_vu_khi_suy_ra!$A$2:$A$66,0)),INDEX(xe_input_bang_xuyen_qua!$B$2:$B$5,MIN(4,MAX(1,(INDEX(xe_input_vu_khi!$F$2:$F$66,MATCH("stinger_post",xe_input_vu_khi!$A$2:$A$66,0)))-($C$11)-1))),1)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F(INDEX(xe_input_vu_khi_suy_ra!$J$2:$J$66,MATCH("buk_launcher",xe_input_vu_khi_suy_ra!$A$2:$A$66,0)),INDEX(xe_input_bang_xuyen_qua!$B$2:$B$5,MIN(4,MAX(1,(INDEX(xe_input_vu_khi!$F$2:$F$66,MATCH("buk_launcher",xe_input_vu_khi!$A$2:$A$66,0)))-($C$11)-1))),1)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F(INDEX(xe_input_vu_khi_suy_ra!$J$2:$J$66,MATCH("air_to_air",xe_input_vu_khi_suy_ra!$A$2:$A$66,0)),INDEX(xe_input_bang_xuyen_qua!$B$2:$B$5,MIN(4,MAX(1,(INDEX(xe_input_vu_khi!$F$2:$F$66,MATCH("air_to_air",xe_input_vu_khi!$A$2:$A$66,0)))-($C$11)-1))),1)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NEED_CODE_CHECK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F(INDEX(xe_input_vu_khi_suy_ra!$J$2:$J$66,MATCH("stinger_post",xe_input_vu_khi_suy_ra!$A$2:$A$66,0)),INDEX(xe_input_bang_xuyen_qua!$B$2:$B$5,MIN(4,MAX(1,(INDEX(xe_input_vu_khi!$F$2:$F$66,MATCH("stinger_post",xe_input_vu_khi!$A$2:$A$66,0)))-($C$12)-1))),1)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F(INDEX(xe_input_vu_khi_suy_ra!$J$2:$J$66,MATCH("buk_launcher",xe_input_vu_khi_suy_ra!$A$2:$A$66,0)),INDEX(xe_input_bang_xuyen_qua!$B$2:$B$5,MIN(4,MAX(1,(INDEX(xe_input_vu_khi!$F$2:$F$66,MATCH("buk_launcher",xe_input_vu_khi!$A$2:$A$66,0)))-($C$12)-1))),1)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F(INDEX(xe_input_vu_khi_suy_ra!$J$2:$J$66,MATCH("air_to_air",xe_input_vu_khi_suy_ra!$A$2:$A$66,0)),INDEX(xe_input_bang_xuyen_qua!$B$2:$B$5,MIN(4,MAX(1,(INDEX(xe_input_vu_khi!$F$2:$F$66,MATCH("air_to_air",xe_input_vu_khi!$A$2:$A$66,0)))-($C$12)-1))),1)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NEED_CODE_CHECK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F(INDEX(xe_input_vu_khi_suy_ra!$J$2:$J$66,MATCH("stinger_post",xe_input_vu_khi_suy_ra!$A$2:$A$66,0)),INDEX(xe_input_bang_xuyen_qua!$B$2:$B$5,MIN(4,MAX(1,(INDEX(xe_input_vu_khi!$F$2:$F$66,MATCH("stinger_post",xe_input_vu_khi!$A$2:$A$66,0)))-($C$13)-1))),1)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F(INDEX(xe_input_vu_khi_suy_ra!$J$2:$J$66,MATCH("buk_launcher",xe_input_vu_khi_suy_ra!$A$2:$A$66,0)),INDEX(xe_input_bang_xuyen_qua!$B$2:$B$5,MIN(4,MAX(1,(INDEX(xe_input_vu_khi!$F$2:$F$66,MATCH("buk_launcher",xe_input_vu_khi!$A$2:$A$66,0)))-($C$13)-1))),1)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F(INDEX(xe_input_vu_khi_suy_ra!$J$2:$J$66,MATCH("air_to_air",xe_input_vu_khi_suy_ra!$A$2:$A$66,0)),INDEX(xe_input_bang_xuyen_qua!$B$2:$B$5,MIN(4,MAX(1,(INDEX(xe_input_vu_khi!$F$2:$F$66,MATCH("air_to_air",xe_input_vu_khi!$A$2:$A$66,0)))-($C$13)-1))),1)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NEED_CODE_CHECK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F(INDEX(xe_input_vu_khi_suy_ra!$J$2:$J$66,MATCH("stinger_post",xe_input_vu_khi_suy_ra!$A$2:$A$66,0)),INDEX(xe_input_bang_xuyen_qua!$B$2:$B$5,MIN(4,MAX(1,(INDEX(xe_input_vu_khi!$F$2:$F$66,MATCH("stinger_post",xe_input_vu_khi!$A$2:$A$66,0)))-($C$14)-1))),1)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F(INDEX(xe_input_vu_khi_suy_ra!$J$2:$J$66,MATCH("buk_launcher",xe_input_vu_khi_suy_ra!$A$2:$A$66,0)),INDEX(xe_input_bang_xuyen_qua!$B$2:$B$5,MIN(4,MAX(1,(INDEX(xe_input_vu_khi!$F$2:$F$66,MATCH("buk_launcher",xe_input_vu_khi!$A$2:$A$66,0)))-($C$14)-1))),1)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F(INDEX(xe_input_vu_khi_suy_ra!$J$2:$J$66,MATCH("air_to_air",xe_input_vu_khi_suy_ra!$A$2:$A$66,0)),INDEX(xe_input_bang_xuyen_qua!$B$2:$B$5,MIN(4,MAX(1,(INDEX(xe_input_vu_khi!$F$2:$F$66,MATCH("air_to_air",xe_input_vu_khi!$A$2:$A$66,0)))-($C$14)-1))),1)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NEED_CODE_CHECK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F(INDEX(xe_input_vu_khi_suy_ra!$J$2:$J$66,MATCH("stinger_post",xe_input_vu_khi_suy_ra!$A$2:$A$66,0)),INDEX(xe_input_bang_xuyen_qua!$B$2:$B$5,MIN(4,MAX(1,(INDEX(xe_input_vu_khi!$F$2:$F$66,MATCH("stinger_post",xe_input_vu_khi!$A$2:$A$66,0)))-($C$15)-1))),1)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F(INDEX(xe_input_vu_khi_suy_ra!$J$2:$J$66,MATCH("buk_launcher",xe_input_vu_khi_suy_ra!$A$2:$A$66,0)),INDEX(xe_input_bang_xuyen_qua!$B$2:$B$5,MIN(4,MAX(1,(INDEX(xe_input_vu_khi!$F$2:$F$66,MATCH("buk_launcher",xe_input_vu_khi!$A$2:$A$66,0)))-($C$15)-1))),1)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F(INDEX(xe_input_vu_khi_suy_ra!$J$2:$J$66,MATCH("air_to_air",xe_input_vu_khi_suy_ra!$A$2:$A$66,0)),INDEX(xe_input_bang_xuyen_qua!$B$2:$B$5,MIN(4,MAX(1,(INDEX(xe_input_vu_khi!$F$2:$F$66,MATCH("air_to_air",xe_input_vu_khi!$A$2:$A$66,0)))-($C$15)-1))),1)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NEED_CODE_CHECK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23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NEED_CODE_CHECK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NEED_CODE_CHECK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NEED_CODE_CHECK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NEED_CODE_CHECK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NEED_CODE_CHECK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NEED_CODE_CHECK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NEED_CODE_CHECK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NEED_CODE_CHECK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NEED_CODE_CHECK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NEED_CODE_CHECK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NEED_CODE_CHECK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NEED_CODE_CHECK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NEED_CODE_CHECK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NEED_CODE_CHECK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NEED_CODE_CHECK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NEED_CODE_CHECK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NEED_CODE_CHECK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NEED_CODE_CHECK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NEED_CODE_CHECK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NEED_CODE_CHECK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NEED_CODE_CHECK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NEED_CODE_CHECK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NEED_CODE_CHECK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16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NEED_CODE_CHECK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inlineStr">
        <is>
          <t>NEED_CODE_CHECK</t>
        </is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inlineStr">
        <is>
          <t>NEED_CODE_CHECK</t>
        </is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NEED_CODE_CHECK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inlineStr">
        <is>
          <t>NEED_CODE_CHECK</t>
        </is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inlineStr">
        <is>
          <t>NEED_CODE_CHECK</t>
        </is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NEED_CODE_CHECK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inlineStr">
        <is>
          <t>NEED_CODE_CHECK</t>
        </is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NEED_CODE_CHECK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inlineStr">
        <is>
          <t>NEED_CODE_CHECK</t>
        </is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inlineStr">
        <is>
          <t>NEED_CODE_CHECK</t>
        </is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inlineStr">
        <is>
          <t>NEED_CODE_CHECK</t>
        </is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6" customWidth="1" min="8" max="8"/>
    <col width="26" customWidth="1" min="9" max="9"/>
    <col width="17" customWidth="1" min="10" max="10"/>
    <col width="14" customWidth="1" min="11" max="11"/>
    <col width="16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inlineStr">
        <is>
          <t>NEED_CODE_CHECK</t>
        </is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inlineStr">
        <is>
          <t>NEED_CODE_CHECK</t>
        </is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NEED_CODE_CHECK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inlineStr">
        <is>
          <t>NEED_CODE_CHECK</t>
        </is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NEED_CODE_CHECK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NEED_CODE_CHECK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inlineStr">
        <is>
          <t>NEED_CODE_CHECK</t>
        </is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inlineStr">
        <is>
          <t>NEED_CODE_CHECK</t>
        </is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inlineStr">
        <is>
          <t>NEED_CODE_CHECK</t>
        </is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inlineStr">
        <is>
          <t>NEED_CODE_CHECK</t>
        </is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inlineStr">
        <is>
          <t>NEED_CODE_CHECK</t>
        </is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inlineStr">
        <is>
          <t>NEED_CODE_CHECK</t>
        </is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inlineStr">
        <is>
          <t>NEED_CODE_CHECK</t>
        </is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inlineStr">
        <is>
          <t>NEED_CODE_CHECK</t>
        </is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inlineStr">
        <is>
          <t>NEED_CODE_CHECK</t>
        </is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