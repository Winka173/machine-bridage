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_khi" sheetId="1" state="visible" r:id="rId1"/>
    <sheet name="Vu_khi_he_so_thuong" sheetId="2" state="visible" r:id="rId2"/>
    <sheet name="Ho_vu_khi" sheetId="3" state="visible" r:id="rId3"/>
    <sheet name="Ho_vu_khi_bien_the" sheetId="4" state="visible" r:id="rId4"/>
    <sheet name="Dong_vu_khi" sheetId="5" state="visible" r:id="rId5"/>
    <sheet name="Dan_thay_the" sheetId="6" state="visible" r:id="rId6"/>
    <sheet name="Bang_sat_thuong" sheetId="7" state="visible" r:id="rId7"/>
    <sheet name="Bang_xuyen_giap" sheetId="8" state="visible" r:id="rId8"/>
    <sheet name="He_so_toan_cuc" sheetId="9" state="visible" r:id="rId9"/>
    <sheet name="Khac_che" sheetId="10" state="visible" r:id="rId10"/>
    <sheet name="Phao_sang" sheetId="11" state="visible" r:id="rId11"/>
    <sheet name="Hanh_vi_dan" sheetId="12" state="visible" r:id="rId12"/>
    <sheet name="Hanh_vi_dan_nhom" sheetId="13" state="visible" r:id="rId13"/>
    <sheet name="Drone" sheetId="14" state="visible" r:id="rId14"/>
    <sheet name="Ten_lua_tham_so" sheetId="15" state="visible" r:id="rId15"/>
    <sheet name="Canh_bao_vong" sheetId="16" state="visible" r:id="rId16"/>
    <sheet name="Bom_rai_tham" sheetId="17" state="visible" r:id="rId17"/>
    <sheet name="Vu_khi_suy_ra" sheetId="18" state="visible" r:id="rId18"/>
    <sheet name="Vu_khi_tham_chieu" sheetId="19" state="visible" r:id="rId19"/>
    <sheet name="Vu_khi_so_sanh_that" sheetId="20" state="visible" r:id="rId20"/>
    <sheet name="Xe" sheetId="21" state="visible" r:id="rId21"/>
    <sheet name="Xe_vu_khi" sheetId="22" state="visible" r:id="rId22"/>
    <sheet name="Xe_ten_lua" sheetId="23" state="visible" r:id="rId23"/>
    <sheet name="Xe_bo_phan" sheetId="24" state="visible" r:id="rId24"/>
    <sheet name="The_ho_tro" sheetId="25" state="visible" r:id="rId25"/>
    <sheet name="Ky_nang" sheetId="26" state="visible" r:id="rId26"/>
    <sheet name="Tinh_nhue_luat" sheetId="27" state="visible" r:id="rId27"/>
    <sheet name="Nhanh_xe" sheetId="28" state="visible" r:id="rId28"/>
    <sheet name="Do_ben" sheetId="29" state="visible" r:id="rId29"/>
    <sheet name="Trang_bi" sheetId="30" state="visible" r:id="rId30"/>
    <sheet name="Trang_bi_mo_dun" sheetId="31" state="visible" r:id="rId31"/>
    <sheet name="Trang_bi_dac_tinh" sheetId="32" state="visible" r:id="rId32"/>
    <sheet name="Trang_bi_dong_phu" sheetId="33" state="visible" r:id="rId33"/>
    <sheet name="Trang_bi_bo" sheetId="34" state="visible" r:id="rId34"/>
    <sheet name="Commander" sheetId="35" state="visible" r:id="rId35"/>
    <sheet name="Commander_noi_tai" sheetId="36" state="visible" r:id="rId36"/>
    <sheet name="Commander_gia" sheetId="37" state="visible" r:id="rId37"/>
    <sheet name="Doi_mo_man" sheetId="38" state="visible" r:id="rId38"/>
    <sheet name="Doi_mo_man_vai_tro" sheetId="39" state="visible" r:id="rId39"/>
    <sheet name="Doi_mo_man_luat" sheetId="40" state="visible" r:id="rId40"/>
    <sheet name="Xe_tham_chieu" sheetId="41" state="visible" r:id="rId41"/>
    <sheet name="xe_input_vu_khi" sheetId="42" state="visible" r:id="rId42"/>
    <sheet name="xe_input_vu_khi_suy_ra" sheetId="43" state="visible" r:id="rId43"/>
    <sheet name="xe_input_bang_xuyen_giap" sheetId="44" state="visible" r:id="rId44"/>
    <sheet name="Xe_suy_ra" sheetId="45" state="visible" r:id="rId45"/>
    <sheet name="Hoi_quy_du_lieu" sheetId="46" state="visible" r:id="rId46"/>
    <sheet name="Hoi_quy" sheetId="47" state="visible" r:id="rId47"/>
    <sheet name="May_bay_so_phat" sheetId="48" state="visible" r:id="rId48"/>
    <sheet name="Doi_mo_man_suy_ra" sheetId="49" state="visible" r:id="rId49"/>
    <sheet name="xe_input_kich_thuoc_that" sheetId="50" state="visible" r:id="rId50"/>
    <sheet name="Phuong_tien_tham_chieu" sheetId="51" state="visible" r:id="rId51"/>
    <sheet name="Phuong_tien_so_sanh_that" sheetId="52" state="visible" r:id="rId52"/>
    <sheet name="So_tay_dan" sheetId="53" state="visible" r:id="rId53"/>
    <sheet name="Hang_so_vu_khi" sheetId="54" state="visible" r:id="rId54"/>
    <sheet name="Hang_so_phuong_tien" sheetId="55" state="visible" r:id="rId55"/>
    <sheet name="Bom_vu_khi" sheetId="56" state="visible" r:id="rId56"/>
    <sheet name="Bom_don_vi" sheetId="57" state="visible" r:id="rId57"/>
    <sheet name="Bom_hanh_vi" sheetId="58" state="visible" r:id="rId58"/>
    <sheet name="Bom_canh_bao" sheetId="59" state="visible" r:id="rId59"/>
  </sheets>
  <definedNames>
    <definedName name="_xlnm._FilterDatabase" localSheetId="0" hidden="1">'Vu_khi'!$A$1:$GE$360</definedName>
    <definedName name="_xlnm._FilterDatabase" localSheetId="1" hidden="1">'Vu_khi_he_so_thuong'!$A$1:$J$28</definedName>
    <definedName name="_xlnm._FilterDatabase" localSheetId="2" hidden="1">'Ho_vu_khi'!$A$1:$K$106</definedName>
    <definedName name="_xlnm._FilterDatabase" localSheetId="3" hidden="1">'Ho_vu_khi_bien_the'!$A$1:$G$21</definedName>
    <definedName name="_xlnm._FilterDatabase" localSheetId="4" hidden="1">'Dong_vu_khi'!$A$1:$M$59</definedName>
    <definedName name="_xlnm._FilterDatabase" localSheetId="5" hidden="1">'Dan_thay_the'!$A$1:$O$69</definedName>
    <definedName name="_xlnm._FilterDatabase" localSheetId="6" hidden="1">'Bang_sat_thuong'!$A$1:$F$7</definedName>
    <definedName name="_xlnm._FilterDatabase" localSheetId="7" hidden="1">'Bang_xuyen_giap'!$A$1:$E$7</definedName>
    <definedName name="_xlnm._FilterDatabase" localSheetId="8" hidden="1">'He_so_toan_cuc'!$A$1:$H$5</definedName>
    <definedName name="_xlnm._FilterDatabase" localSheetId="9" hidden="1">'Khac_che'!$A$1:$AD$24</definedName>
    <definedName name="_xlnm._FilterDatabase" localSheetId="10" hidden="1">'Phao_sang'!$A$1:$S$12</definedName>
    <definedName name="_xlnm._FilterDatabase" localSheetId="11" hidden="1">'Hanh_vi_dan'!$A$1:$H$12</definedName>
    <definedName name="_xlnm._FilterDatabase" localSheetId="12" hidden="1">'Hanh_vi_dan_nhom'!$A$1:$L$8</definedName>
    <definedName name="_xlnm._FilterDatabase" localSheetId="13" hidden="1">'Drone'!$A$1:$S$14</definedName>
    <definedName name="_xlnm._FilterDatabase" localSheetId="14" hidden="1">'Ten_lua_tham_so'!$A$1:$U$53</definedName>
    <definedName name="_xlnm._FilterDatabase" localSheetId="15" hidden="1">'Canh_bao_vong'!$A$1:$H$14</definedName>
    <definedName name="_xlnm._FilterDatabase" localSheetId="16" hidden="1">'Bom_rai_tham'!$A$1:$Q$7</definedName>
    <definedName name="_xlnm._FilterDatabase" localSheetId="17" hidden="1">'Vu_khi_suy_ra'!$A$1:$BC$360</definedName>
    <definedName name="_xlnm._FilterDatabase" localSheetId="18" hidden="1">'Vu_khi_tham_chieu'!$A$1:$AG$360</definedName>
    <definedName name="_xlnm._FilterDatabase" localSheetId="19" hidden="1">'Vu_khi_so_sanh_that'!$A$1:$Q$262</definedName>
    <definedName name="_xlnm._FilterDatabase" localSheetId="20" hidden="1">'Xe'!$A$1:$FO$80</definedName>
    <definedName name="_xlnm._FilterDatabase" localSheetId="21" hidden="1">'Xe_vu_khi'!$A$1:$K$77</definedName>
    <definedName name="_xlnm._FilterDatabase" localSheetId="22" hidden="1">'Xe_ten_lua'!$A$1:$H$4</definedName>
    <definedName name="_xlnm._FilterDatabase" localSheetId="23" hidden="1">'Xe_bo_phan'!$A$1:$Q$7</definedName>
    <definedName name="_xlnm._FilterDatabase" localSheetId="24" hidden="1">'The_ho_tro'!$A$1:$AL$25</definedName>
    <definedName name="_xlnm._FilterDatabase" localSheetId="25" hidden="1">'Ky_nang'!$A$1:$O$22</definedName>
    <definedName name="_xlnm._FilterDatabase" localSheetId="26" hidden="1">'Tinh_nhue_luat'!$A$1:$H$21</definedName>
    <definedName name="_xlnm._FilterDatabase" localSheetId="27" hidden="1">'Nhanh_xe'!$A$1:$D$5</definedName>
    <definedName name="_xlnm._FilterDatabase" localSheetId="28" hidden="1">'Do_ben'!$A$1:$H$3</definedName>
    <definedName name="_xlnm._FilterDatabase" localSheetId="29" hidden="1">'Trang_bi'!$A$1:$Q$39</definedName>
    <definedName name="_xlnm._FilterDatabase" localSheetId="30" hidden="1">'Trang_bi_mo_dun'!$A$1:$J$15</definedName>
    <definedName name="_xlnm._FilterDatabase" localSheetId="31" hidden="1">'Trang_bi_dac_tinh'!$A$1:$H$46</definedName>
    <definedName name="_xlnm._FilterDatabase" localSheetId="32" hidden="1">'Trang_bi_dong_phu'!$A$1:$G$24</definedName>
    <definedName name="_xlnm._FilterDatabase" localSheetId="33" hidden="1">'Trang_bi_bo'!$A$1:$P$14</definedName>
    <definedName name="_xlnm._FilterDatabase" localSheetId="34" hidden="1">'Commander'!$A$1:$AF$23</definedName>
    <definedName name="_xlnm._FilterDatabase" localSheetId="35" hidden="1">'Commander_noi_tai'!$A$1:$H$46</definedName>
    <definedName name="_xlnm._FilterDatabase" localSheetId="36" hidden="1">'Commander_gia'!$A$1:$G$6</definedName>
    <definedName name="_xlnm._FilterDatabase" localSheetId="37" hidden="1">'Doi_mo_man'!$A$1:$G$24</definedName>
    <definedName name="_xlnm._FilterDatabase" localSheetId="38" hidden="1">'Doi_mo_man_vai_tro'!$A$1:$G$19</definedName>
    <definedName name="_xlnm._FilterDatabase" localSheetId="39" hidden="1">'Doi_mo_man_luat'!$A$1:$H$4</definedName>
    <definedName name="_xlnm._FilterDatabase" localSheetId="40" hidden="1">'Xe_tham_chieu'!$A$1:$J$7</definedName>
    <definedName name="_xlnm._FilterDatabase" localSheetId="41" hidden="1">'xe_input_vu_khi'!$A$1:$I$66</definedName>
    <definedName name="_xlnm._FilterDatabase" localSheetId="42" hidden="1">'xe_input_vu_khi_suy_ra'!$A$1:$K$66</definedName>
    <definedName name="_xlnm._FilterDatabase" localSheetId="43" hidden="1">'xe_input_bang_xuyen_giap'!$A$1:$D$7</definedName>
    <definedName name="_xlnm._FilterDatabase" localSheetId="44" hidden="1">'Xe_suy_ra'!$A$1:$Q$80</definedName>
    <definedName name="_xlnm._FilterDatabase" localSheetId="45" hidden="1">'Hoi_quy_du_lieu'!$A$1:$S$51</definedName>
    <definedName name="_xlnm._FilterDatabase" localSheetId="46" hidden="1">'Hoi_quy'!$A$1:$E$13</definedName>
    <definedName name="_xlnm._FilterDatabase" localSheetId="47" hidden="1">'May_bay_so_phat'!$A$1:$O$15</definedName>
    <definedName name="_xlnm._FilterDatabase" localSheetId="48" hidden="1">'Doi_mo_man_suy_ra'!$A$1:$G$24</definedName>
    <definedName name="_xlnm._FilterDatabase" localSheetId="49" hidden="1">'xe_input_kich_thuoc_that'!$A$1:$I$66</definedName>
    <definedName name="_xlnm._FilterDatabase" localSheetId="50" hidden="1">'Phuong_tien_tham_chieu'!$A$1:$AK$104</definedName>
    <definedName name="_xlnm._FilterDatabase" localSheetId="51" hidden="1">'Phuong_tien_so_sanh_that'!$A$1:$Q$222</definedName>
    <definedName name="_xlnm._FilterDatabase" localSheetId="52" hidden="1">'So_tay_dan'!$A$1:$H$3</definedName>
    <definedName name="_xlnm._FilterDatabase" localSheetId="53" hidden="1">'Hang_so_vu_khi'!$A$1:$K$41</definedName>
    <definedName name="_xlnm._FilterDatabase" localSheetId="54" hidden="1">'Hang_so_phuong_tien'!$A$1:$K$99</definedName>
    <definedName name="_xlnm._FilterDatabase" localSheetId="55" hidden="1">'Bom_vu_khi'!$A$1:$BV$15</definedName>
    <definedName name="_xlnm._FilterDatabase" localSheetId="56" hidden="1">'Bom_don_vi'!$A$1:$S$18</definedName>
    <definedName name="_xlnm._FilterDatabase" localSheetId="57" hidden="1">'Bom_hanh_vi'!$A$1:$G$19</definedName>
    <definedName name="_xlnm._FilterDatabase" localSheetId="58" hidden="1">'Bom_canh_bao'!$A$1:$M$15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31" customWidth="1" min="3" max="3"/>
    <col width="13" customWidth="1" min="4" max="4"/>
    <col width="32" customWidth="1" min="5" max="5"/>
    <col width="15" customWidth="1" min="6" max="6"/>
    <col width="8" customWidth="1" min="7" max="7"/>
    <col width="11" customWidth="1" min="8" max="8"/>
    <col width="14" customWidth="1" min="9" max="9"/>
    <col width="15" customWidth="1" min="10" max="10"/>
    <col width="17" customWidth="1" min="11" max="11"/>
    <col width="8" customWidth="1" min="12" max="12"/>
    <col width="10" customWidth="1" min="13" max="13"/>
    <col width="9" customWidth="1" min="14" max="14"/>
    <col width="13" customWidth="1" min="15" max="15"/>
    <col width="18" customWidth="1" min="16" max="16"/>
    <col width="26" customWidth="1" min="17" max="17"/>
    <col width="17" customWidth="1" min="18" max="18"/>
    <col width="10" customWidth="1" min="19" max="19"/>
    <col width="12" customWidth="1" min="20" max="20"/>
    <col width="14" customWidth="1" min="21" max="21"/>
    <col width="15" customWidth="1" min="22" max="22"/>
    <col width="21" customWidth="1" min="23" max="23"/>
    <col width="8" customWidth="1" min="24" max="24"/>
    <col width="8" customWidth="1" min="25" max="25"/>
    <col width="16" customWidth="1" min="26" max="26"/>
    <col width="8" customWidth="1" min="27" max="27"/>
    <col width="17" customWidth="1" min="28" max="28"/>
    <col width="10" customWidth="1" min="29" max="29"/>
    <col width="12" customWidth="1" min="30" max="30"/>
    <col width="8" customWidth="1" min="31" max="31"/>
    <col width="9" customWidth="1" min="32" max="32"/>
    <col width="10" customWidth="1" min="33" max="33"/>
    <col width="10" customWidth="1" min="34" max="34"/>
    <col width="10" customWidth="1" min="35" max="35"/>
    <col width="15" customWidth="1" min="36" max="36"/>
    <col width="14" customWidth="1" min="37" max="37"/>
    <col width="8" customWidth="1" min="38" max="38"/>
    <col width="11" customWidth="1" min="39" max="39"/>
    <col width="9" customWidth="1" min="40" max="40"/>
    <col width="22" customWidth="1" min="41" max="41"/>
    <col width="8" customWidth="1" min="42" max="42"/>
    <col width="24" customWidth="1" min="43" max="43"/>
    <col width="34" customWidth="1" min="44" max="44"/>
    <col width="19" customWidth="1" min="45" max="45"/>
    <col width="60" customWidth="1" min="46" max="46"/>
    <col width="16" customWidth="1" min="47" max="47"/>
    <col width="60" customWidth="1" min="48" max="48"/>
    <col width="22" customWidth="1" min="49" max="49"/>
    <col width="18" customWidth="1" min="50" max="50"/>
    <col width="14" customWidth="1" min="51" max="51"/>
    <col width="60" customWidth="1" min="52" max="52"/>
    <col width="30" customWidth="1" min="53" max="53"/>
    <col width="28" customWidth="1" min="54" max="54"/>
    <col width="29" customWidth="1" min="55" max="55"/>
    <col width="16" customWidth="1" min="56" max="56"/>
    <col width="60" customWidth="1" min="57" max="57"/>
    <col width="60" customWidth="1" min="58" max="58"/>
    <col width="16" customWidth="1" min="59" max="59"/>
    <col width="27" customWidth="1" min="60" max="60"/>
    <col width="25" customWidth="1" min="61" max="61"/>
    <col width="23" customWidth="1" min="62" max="62"/>
    <col width="21" customWidth="1" min="63" max="63"/>
    <col width="13" customWidth="1" min="64" max="64"/>
    <col width="11" customWidth="1" min="65" max="65"/>
    <col width="13" customWidth="1" min="66" max="66"/>
    <col width="11" customWidth="1" min="67" max="67"/>
    <col width="13" customWidth="1" min="68" max="68"/>
    <col width="11" customWidth="1" min="69" max="69"/>
    <col width="22" customWidth="1" min="70" max="70"/>
    <col width="20" customWidth="1" min="71" max="71"/>
    <col width="24" customWidth="1" min="72" max="72"/>
    <col width="22" customWidth="1" min="73" max="73"/>
    <col width="32" customWidth="1" min="74" max="74"/>
    <col width="30" customWidth="1" min="75" max="75"/>
    <col width="15" customWidth="1" min="76" max="76"/>
    <col width="13" customWidth="1" min="77" max="77"/>
    <col width="19" customWidth="1" min="78" max="78"/>
    <col width="17" customWidth="1" min="79" max="79"/>
    <col width="13" customWidth="1" min="80" max="80"/>
    <col width="11" customWidth="1" min="81" max="81"/>
    <col width="23" customWidth="1" min="82" max="82"/>
    <col width="21" customWidth="1" min="83" max="83"/>
    <col width="16" customWidth="1" min="84" max="84"/>
    <col width="14" customWidth="1" min="85" max="85"/>
    <col width="18" customWidth="1" min="86" max="86"/>
    <col width="16" customWidth="1" min="87" max="87"/>
    <col width="16" customWidth="1" min="88" max="88"/>
    <col width="14" customWidth="1" min="89" max="89"/>
    <col width="16" customWidth="1" min="90" max="90"/>
    <col width="14" customWidth="1" min="91" max="91"/>
    <col width="8" customWidth="1" min="92" max="92"/>
    <col width="9" customWidth="1" min="93" max="93"/>
    <col width="8" customWidth="1" min="94" max="94"/>
    <col width="9" customWidth="1" min="95" max="95"/>
    <col width="8" customWidth="1" min="96" max="96"/>
    <col width="18" customWidth="1" min="97" max="97"/>
    <col width="12" customWidth="1" min="98" max="98"/>
    <col width="11" customWidth="1" min="99" max="99"/>
    <col width="8" customWidth="1" min="100" max="100"/>
    <col width="8" customWidth="1" min="101" max="101"/>
    <col width="15" customWidth="1" min="102" max="102"/>
    <col width="15" customWidth="1" min="103" max="103"/>
    <col width="16" customWidth="1" min="104" max="104"/>
    <col width="18" customWidth="1" min="105" max="105"/>
    <col width="18" customWidth="1" min="106" max="106"/>
    <col width="14" customWidth="1" min="107" max="107"/>
    <col width="12" customWidth="1" min="108" max="108"/>
    <col width="8" customWidth="1" min="109" max="109"/>
    <col width="14" customWidth="1" min="110" max="110"/>
    <col width="8" customWidth="1" min="111" max="111"/>
    <col width="8" customWidth="1" min="112" max="112"/>
    <col width="11" customWidth="1" min="113" max="113"/>
    <col width="15" customWidth="1" min="114" max="114"/>
    <col width="14" customWidth="1" min="115" max="115"/>
    <col width="16" customWidth="1" min="116" max="116"/>
    <col width="16" customWidth="1" min="117" max="117"/>
    <col width="17" customWidth="1" min="118" max="118"/>
    <col width="20" customWidth="1" min="119" max="119"/>
    <col width="8" customWidth="1" min="120" max="120"/>
    <col width="18" customWidth="1" min="121" max="121"/>
    <col width="14" customWidth="1" min="122" max="122"/>
    <col width="13" customWidth="1" min="123" max="123"/>
    <col width="24" customWidth="1" min="124" max="124"/>
    <col width="16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13" customWidth="1" min="130" max="130"/>
    <col width="8" customWidth="1" min="131" max="131"/>
    <col width="8" customWidth="1" min="132" max="132"/>
    <col width="8" customWidth="1" min="133" max="133"/>
    <col width="12" customWidth="1" min="134" max="134"/>
    <col width="10" customWidth="1" min="135" max="135"/>
    <col width="10" customWidth="1" min="136" max="136"/>
    <col width="8" customWidth="1" min="137" max="137"/>
    <col width="12" customWidth="1" min="138" max="138"/>
    <col width="18" customWidth="1" min="139" max="139"/>
    <col width="18" customWidth="1" min="140" max="140"/>
    <col width="22" customWidth="1" min="141" max="141"/>
    <col width="11" customWidth="1" min="142" max="142"/>
    <col width="14" customWidth="1" min="143" max="143"/>
    <col width="16" customWidth="1" min="144" max="144"/>
    <col width="9" customWidth="1" min="145" max="145"/>
    <col width="9" customWidth="1" min="146" max="146"/>
    <col width="50" customWidth="1" min="147" max="147"/>
    <col width="10" customWidth="1" min="148" max="148"/>
    <col width="8" customWidth="1" min="149" max="149"/>
    <col width="14" customWidth="1" min="150" max="150"/>
    <col width="21" customWidth="1" min="151" max="151"/>
    <col width="14" customWidth="1" min="152" max="152"/>
    <col width="13" customWidth="1" min="153" max="153"/>
    <col width="8" customWidth="1" min="154" max="154"/>
    <col width="10" customWidth="1" min="155" max="155"/>
    <col width="8" customWidth="1" min="156" max="156"/>
    <col width="14" customWidth="1" min="157" max="157"/>
    <col width="18" customWidth="1" min="158" max="158"/>
    <col width="13" customWidth="1" min="159" max="159"/>
    <col width="12" customWidth="1" min="160" max="160"/>
    <col width="14" customWidth="1" min="161" max="161"/>
    <col width="19" customWidth="1" min="162" max="162"/>
    <col width="19" customWidth="1" min="163" max="163"/>
    <col width="18" customWidth="1" min="164" max="164"/>
    <col width="23" customWidth="1" min="165" max="165"/>
    <col width="22" customWidth="1" min="166" max="166"/>
    <col width="14" customWidth="1" min="167" max="167"/>
    <col width="16" customWidth="1" min="168" max="168"/>
    <col width="19" customWidth="1" min="169" max="169"/>
    <col width="12" customWidth="1" min="170" max="170"/>
    <col width="15" customWidth="1" min="171" max="171"/>
    <col width="25" customWidth="1" min="172" max="172"/>
    <col width="16" customWidth="1" min="173" max="173"/>
    <col width="17" customWidth="1" min="174" max="174"/>
    <col width="23" customWidth="1" min="175" max="175"/>
    <col width="18" customWidth="1" min="176" max="176"/>
    <col width="15" customWidth="1" min="177" max="177"/>
    <col width="8" customWidth="1" min="178" max="178"/>
    <col width="9" customWidth="1" min="179" max="179"/>
    <col width="13" customWidth="1" min="180" max="180"/>
    <col width="12" customWidth="1" min="181" max="181"/>
    <col width="12" customWidth="1" min="182" max="182"/>
    <col width="32" customWidth="1" min="183" max="183"/>
    <col width="31" customWidth="1" min="184" max="184"/>
    <col width="19" customWidth="1" min="185" max="185"/>
    <col width="60" customWidth="1" min="186" max="186"/>
    <col width="60" customWidth="1" min="187" max="187"/>
  </cols>
  <sheetData>
    <row r="1">
      <c r="A1" s="1" t="inlineStr">
        <is>
          <t>id</t>
        </is>
      </c>
      <c r="B1" s="1" t="inlineStr">
        <is>
          <t>ten_that</t>
        </is>
      </c>
      <c r="C1" s="1" t="inlineStr">
        <is>
          <t>ho_id</t>
        </is>
      </c>
      <c r="D1" s="1" t="inlineStr">
        <is>
          <t>bien_the_id</t>
        </is>
      </c>
      <c r="E1" s="1" t="inlineStr">
        <is>
          <t>dong_vu_khi_id</t>
        </is>
      </c>
      <c r="F1" s="1" t="inlineStr">
        <is>
          <t>nhom</t>
        </is>
      </c>
      <c r="G1" s="1" t="inlineStr">
        <is>
          <t>co_mm</t>
        </is>
      </c>
      <c r="H1" s="1" t="inlineStr">
        <is>
          <t>dau_no_kg</t>
        </is>
      </c>
      <c r="I1" s="1" t="inlineStr">
        <is>
          <t>cong_suat_kw</t>
        </is>
      </c>
      <c r="J1" s="1" t="inlineStr">
        <is>
          <t>nang_luong_mj</t>
        </is>
      </c>
      <c r="K1" s="1" t="inlineStr">
        <is>
          <t>loai_sat_thuong</t>
        </is>
      </c>
      <c r="L1" s="1" t="inlineStr">
        <is>
          <t>xuyen</t>
        </is>
      </c>
      <c r="M1" s="1" t="inlineStr">
        <is>
          <t>dang_dan</t>
        </is>
      </c>
      <c r="N1" s="1" t="inlineStr">
        <is>
          <t>so_nong</t>
        </is>
      </c>
      <c r="O1" s="1" t="inlineStr">
        <is>
          <t>che_do_nong</t>
        </is>
      </c>
      <c r="P1" s="1" t="inlineStr">
        <is>
          <t>so_phat_moi_loat</t>
        </is>
      </c>
      <c r="Q1" s="1" t="inlineStr">
        <is>
          <t>khoang_phat_trong_loat_s</t>
        </is>
      </c>
      <c r="R1" s="1" t="inlineStr">
        <is>
          <t>thoi_gian_nap_s</t>
        </is>
      </c>
      <c r="S1" s="1" t="inlineStr">
        <is>
          <t>bang_dan</t>
        </is>
      </c>
      <c r="T1" s="1" t="inlineStr">
        <is>
          <t>nap_bang_s</t>
        </is>
      </c>
      <c r="U1" s="1" t="inlineStr">
        <is>
          <t>so_loat_mang</t>
        </is>
      </c>
      <c r="V1" s="1" t="inlineStr">
        <is>
          <t>nap_lai_kho_s</t>
        </is>
      </c>
      <c r="W1" s="1" t="inlineStr">
        <is>
          <t>sat_thuong_moi_phat</t>
        </is>
      </c>
      <c r="X1" s="1" t="inlineStr">
        <is>
          <t>loi_m</t>
        </is>
      </c>
      <c r="Y1" s="1" t="inlineStr">
        <is>
          <t>ria_m</t>
        </is>
      </c>
      <c r="Z1" s="1" t="inlineStr">
        <is>
          <t>toc_do_dan_m_s</t>
        </is>
      </c>
      <c r="AA1" s="1" t="inlineStr">
        <is>
          <t>tam_m</t>
        </is>
      </c>
      <c r="AB1" s="1" t="inlineStr">
        <is>
          <t>tam_toi_thieu_m</t>
        </is>
      </c>
      <c r="AC1" s="1" t="inlineStr">
        <is>
          <t>muc_tieu</t>
        </is>
      </c>
      <c r="AD1" s="1" t="inlineStr">
        <is>
          <t>tran_ban_m</t>
        </is>
      </c>
      <c r="AE1" s="1" t="inlineStr">
        <is>
          <t>do_tan</t>
        </is>
      </c>
      <c r="AF1" s="1" t="inlineStr">
        <is>
          <t>bac_no</t>
        </is>
      </c>
      <c r="AG1" s="1" t="inlineStr">
        <is>
          <t>danh_noc</t>
        </is>
      </c>
      <c r="AH1" s="1" t="inlineStr">
        <is>
          <t>bay_cong</t>
        </is>
      </c>
      <c r="AI1" s="1" t="inlineStr">
        <is>
          <t>nhiet_ap</t>
        </is>
      </c>
      <c r="AJ1" s="1" t="inlineStr">
        <is>
          <t>chi_danh_chan</t>
        </is>
      </c>
      <c r="AK1" s="1" t="inlineStr">
        <is>
          <t>dat_boi_boss</t>
        </is>
      </c>
      <c r="AL1" s="1" t="inlineStr">
        <is>
          <t>tia</t>
        </is>
      </c>
      <c r="AM1" s="1" t="inlineStr">
        <is>
          <t>dan_huong</t>
        </is>
      </c>
      <c r="AN1" s="1" t="inlineStr">
        <is>
          <t>kich_co</t>
        </is>
      </c>
      <c r="AO1" s="1" t="inlineStr">
        <is>
          <t>so_vien_mang_may_bay</t>
        </is>
      </c>
      <c r="AP1" s="1" t="inlineStr">
        <is>
          <t>bac_co</t>
        </is>
      </c>
      <c r="AQ1" s="1" t="inlineStr">
        <is>
          <t>ke_thua_tu</t>
        </is>
      </c>
      <c r="AR1" s="1" t="inlineStr">
        <is>
          <t>dan_thay_the</t>
        </is>
      </c>
      <c r="AS1" s="1" t="inlineStr">
        <is>
          <t>cua_ai</t>
        </is>
      </c>
      <c r="AT1" s="1" t="inlineStr">
        <is>
          <t>mang_boi</t>
        </is>
      </c>
      <c r="AU1" s="1" t="inlineStr">
        <is>
          <t>so_don_vi_mang</t>
        </is>
      </c>
      <c r="AV1" s="1" t="inlineStr">
        <is>
          <t>ten_be</t>
        </is>
      </c>
      <c r="AW1" s="1" t="inlineStr">
        <is>
          <t>thoi_gian_canh_bao_s</t>
        </is>
      </c>
      <c r="AX1" s="1" t="inlineStr">
        <is>
          <t>co_vong_canh_bao</t>
        </is>
      </c>
      <c r="AY1" s="1" t="inlineStr">
        <is>
          <t>lech_nong_s</t>
        </is>
      </c>
      <c r="AZ1" s="1" t="inlineStr">
        <is>
          <t>thoi_gian_bay_toi_tam_s</t>
        </is>
      </c>
      <c r="BA1" s="1" t="inlineStr">
        <is>
          <t>thoi_gian_bay_toi_tam_s_game</t>
        </is>
      </c>
      <c r="BB1" s="1" t="inlineStr">
        <is>
          <t>ngoai_doi_phat_phut_toi_da</t>
        </is>
      </c>
      <c r="BC1" s="1" t="inlineStr">
        <is>
          <t>ngoai_doi_phat_phut_duy_tri</t>
        </is>
      </c>
      <c r="BD1" s="1" t="inlineStr">
        <is>
          <t>ngoai_doi_loai</t>
        </is>
      </c>
      <c r="BE1" s="1" t="inlineStr">
        <is>
          <t>ngoai_doi_nguon</t>
        </is>
      </c>
      <c r="BF1" s="1" t="inlineStr">
        <is>
          <t>ly_do_sua</t>
        </is>
      </c>
      <c r="BG1" s="1" t="inlineStr">
        <is>
          <t>so_voi_ban_goc</t>
        </is>
      </c>
      <c r="BH1" s="1" t="inlineStr">
        <is>
          <t>sat_thuong_moi_phat_truoc</t>
        </is>
      </c>
      <c r="BI1" s="1" t="inlineStr">
        <is>
          <t>sat_thuong_moi_phat_sau</t>
        </is>
      </c>
      <c r="BJ1" s="1" t="inlineStr">
        <is>
          <t>thoi_gian_nap_s_truoc</t>
        </is>
      </c>
      <c r="BK1" s="1" t="inlineStr">
        <is>
          <t>thoi_gian_nap_s_sau</t>
        </is>
      </c>
      <c r="BL1" s="1" t="inlineStr">
        <is>
          <t>tam_m_truoc</t>
        </is>
      </c>
      <c r="BM1" s="1" t="inlineStr">
        <is>
          <t>tam_m_sau</t>
        </is>
      </c>
      <c r="BN1" s="1" t="inlineStr">
        <is>
          <t>loi_m_truoc</t>
        </is>
      </c>
      <c r="BO1" s="1" t="inlineStr">
        <is>
          <t>loi_m_sau</t>
        </is>
      </c>
      <c r="BP1" s="1" t="inlineStr">
        <is>
          <t>ria_m_truoc</t>
        </is>
      </c>
      <c r="BQ1" s="1" t="inlineStr">
        <is>
          <t>ria_m_sau</t>
        </is>
      </c>
      <c r="BR1" s="1" t="inlineStr">
        <is>
          <t>toc_do_dan_m_s_truoc</t>
        </is>
      </c>
      <c r="BS1" s="1" t="inlineStr">
        <is>
          <t>toc_do_dan_m_s_sau</t>
        </is>
      </c>
      <c r="BT1" s="1" t="inlineStr">
        <is>
          <t>so_phat_moi_loat_truoc</t>
        </is>
      </c>
      <c r="BU1" s="1" t="inlineStr">
        <is>
          <t>so_phat_moi_loat_sau</t>
        </is>
      </c>
      <c r="BV1" s="1" t="inlineStr">
        <is>
          <t>khoang_phat_trong_loat_s_truoc</t>
        </is>
      </c>
      <c r="BW1" s="1" t="inlineStr">
        <is>
          <t>khoang_phat_trong_loat_s_sau</t>
        </is>
      </c>
      <c r="BX1" s="1" t="inlineStr">
        <is>
          <t>so_nong_truoc</t>
        </is>
      </c>
      <c r="BY1" s="1" t="inlineStr">
        <is>
          <t>so_nong_sau</t>
        </is>
      </c>
      <c r="BZ1" s="1" t="inlineStr">
        <is>
          <t>che_do_nong_truoc</t>
        </is>
      </c>
      <c r="CA1" s="1" t="inlineStr">
        <is>
          <t>che_do_nong_sau</t>
        </is>
      </c>
      <c r="CB1" s="1" t="inlineStr">
        <is>
          <t>xuyen_truoc</t>
        </is>
      </c>
      <c r="CC1" s="1" t="inlineStr">
        <is>
          <t>xuyen_sau</t>
        </is>
      </c>
      <c r="CD1" s="1" t="inlineStr">
        <is>
          <t>loai_sat_thuong_truoc</t>
        </is>
      </c>
      <c r="CE1" s="1" t="inlineStr">
        <is>
          <t>loai_sat_thuong_sau</t>
        </is>
      </c>
      <c r="CF1" s="1" t="inlineStr">
        <is>
          <t>bang_dan_truoc</t>
        </is>
      </c>
      <c r="CG1" s="1" t="inlineStr">
        <is>
          <t>bang_dan_sau</t>
        </is>
      </c>
      <c r="CH1" s="1" t="inlineStr">
        <is>
          <t>nap_bang_s_truoc</t>
        </is>
      </c>
      <c r="CI1" s="1" t="inlineStr">
        <is>
          <t>nap_bang_s_sau</t>
        </is>
      </c>
      <c r="CJ1" s="1" t="inlineStr">
        <is>
          <t>dang_dan_truoc</t>
        </is>
      </c>
      <c r="CK1" s="1" t="inlineStr">
        <is>
          <t>dang_dan_sau</t>
        </is>
      </c>
      <c r="CL1" s="1" t="inlineStr">
        <is>
          <t>muc_tieu_truoc</t>
        </is>
      </c>
      <c r="CM1" s="1" t="inlineStr">
        <is>
          <t>muc_tieu_sau</t>
        </is>
      </c>
      <c r="CN1" s="1" t="inlineStr">
        <is>
          <t>ammo</t>
        </is>
      </c>
      <c r="CO1" s="1" t="inlineStr">
        <is>
          <t>barrels</t>
        </is>
      </c>
      <c r="CP1" s="1" t="inlineStr">
        <is>
          <t>beam</t>
        </is>
      </c>
      <c r="CQ1" s="1" t="inlineStr">
        <is>
          <t>bonuses</t>
        </is>
      </c>
      <c r="CR1" s="1" t="inlineStr">
        <is>
          <t>burst</t>
        </is>
      </c>
      <c r="CS1" s="1" t="inlineStr">
        <is>
          <t>burst_interval_s</t>
        </is>
      </c>
      <c r="CT1" s="1" t="inlineStr">
        <is>
          <t>caliber_mm</t>
        </is>
      </c>
      <c r="CU1" s="1" t="inlineStr">
        <is>
          <t>ceiling_m</t>
        </is>
      </c>
      <c r="CV1" s="1" t="inlineStr">
        <is>
          <t>charge</t>
        </is>
      </c>
      <c r="CW1" s="1" t="inlineStr">
        <is>
          <t>clip</t>
        </is>
      </c>
      <c r="CX1" s="1" t="inlineStr">
        <is>
          <t>clip_reload_s</t>
        </is>
      </c>
      <c r="CY1" s="1" t="inlineStr">
        <is>
          <t>cluster_count</t>
        </is>
      </c>
      <c r="CZ1" s="1" t="inlineStr">
        <is>
          <t>cluster_damage</t>
        </is>
      </c>
      <c r="DA1" s="1" t="inlineStr">
        <is>
          <t>cluster_radius_m</t>
        </is>
      </c>
      <c r="DB1" s="1" t="inlineStr">
        <is>
          <t>cluster_splash_m</t>
        </is>
      </c>
      <c r="DC1" s="1" t="inlineStr">
        <is>
          <t>cluster_tier</t>
        </is>
      </c>
      <c r="DD1" s="1" t="inlineStr">
        <is>
          <t>cooldown_s</t>
        </is>
      </c>
      <c r="DE1" s="1" t="inlineStr">
        <is>
          <t>damage</t>
        </is>
      </c>
      <c r="DF1" s="1" t="inlineStr">
        <is>
          <t>damage_type</t>
        </is>
      </c>
      <c r="DG1" s="1" t="inlineStr">
        <is>
          <t>edge_m</t>
        </is>
      </c>
      <c r="DH1" s="1" t="inlineStr">
        <is>
          <t>elite</t>
        </is>
      </c>
      <c r="DI1" s="1" t="inlineStr">
        <is>
          <t>energy_mj</t>
        </is>
      </c>
      <c r="DJ1" s="1" t="inlineStr">
        <is>
          <t>family</t>
        </is>
      </c>
      <c r="DK1" s="1" t="inlineStr">
        <is>
          <t>flare_resist</t>
        </is>
      </c>
      <c r="DL1" s="1" t="inlineStr">
        <is>
          <t>flight_profile</t>
        </is>
      </c>
      <c r="DM1" s="1" t="inlineStr">
        <is>
          <t>for</t>
        </is>
      </c>
      <c r="DN1" s="1" t="inlineStr">
        <is>
          <t>form</t>
        </is>
      </c>
      <c r="DO1" s="1" t="inlineStr">
        <is>
          <t>ground_min_reach_m</t>
        </is>
      </c>
      <c r="DP1" s="1" t="inlineStr">
        <is>
          <t>guided</t>
        </is>
      </c>
      <c r="DQ1" s="1" t="inlineStr">
        <is>
          <t>he</t>
        </is>
      </c>
      <c r="DR1" s="1" t="inlineStr">
        <is>
          <t>impact_scale</t>
        </is>
      </c>
      <c r="DS1" s="1" t="inlineStr">
        <is>
          <t>impact_tier</t>
        </is>
      </c>
      <c r="DT1" s="1" t="inlineStr">
        <is>
          <t>inherits</t>
        </is>
      </c>
      <c r="DU1" s="1" t="inlineStr">
        <is>
          <t>intercept_only</t>
        </is>
      </c>
      <c r="DV1" s="1" t="inlineStr">
        <is>
          <t>laid</t>
        </is>
      </c>
      <c r="DW1" s="1" t="inlineStr">
        <is>
          <t>load</t>
        </is>
      </c>
      <c r="DX1" s="1" t="inlineStr">
        <is>
          <t>lobs</t>
        </is>
      </c>
      <c r="DY1" s="1" t="inlineStr">
        <is>
          <t>melee</t>
        </is>
      </c>
      <c r="DZ1" s="1" t="inlineStr">
        <is>
          <t>min_range_m</t>
        </is>
      </c>
      <c r="EA1" s="1" t="inlineStr">
        <is>
          <t>mrsi</t>
        </is>
      </c>
      <c r="EB1" s="1" t="inlineStr">
        <is>
          <t>pen</t>
        </is>
      </c>
      <c r="EC1" s="1" t="inlineStr">
        <is>
          <t>pierce</t>
        </is>
      </c>
      <c r="ED1" s="1" t="inlineStr">
        <is>
          <t>pierce_max</t>
        </is>
      </c>
      <c r="EE1" s="1" t="inlineStr">
        <is>
          <t>piercing</t>
        </is>
      </c>
      <c r="EF1" s="1" t="inlineStr">
        <is>
          <t>power_kw</t>
        </is>
      </c>
      <c r="EG1" s="1" t="inlineStr">
        <is>
          <t>prey</t>
        </is>
      </c>
      <c r="EH1" s="1" t="inlineStr">
        <is>
          <t>projectile</t>
        </is>
      </c>
      <c r="EI1" s="1" t="inlineStr">
        <is>
          <t>projectile_model</t>
        </is>
      </c>
      <c r="EJ1" s="1" t="inlineStr">
        <is>
          <t>projectile_scale</t>
        </is>
      </c>
      <c r="EK1" s="1" t="inlineStr">
        <is>
          <t>projectile_speed_m_s</t>
        </is>
      </c>
      <c r="EL1" s="1" t="inlineStr">
        <is>
          <t>ramp_from</t>
        </is>
      </c>
      <c r="EM1" s="1" t="inlineStr">
        <is>
          <t>ramp_grace_s</t>
        </is>
      </c>
      <c r="EN1" s="1" t="inlineStr">
        <is>
          <t>ramp_seconds_s</t>
        </is>
      </c>
      <c r="EO1" s="1" t="inlineStr">
        <is>
          <t>ramp_to</t>
        </is>
      </c>
      <c r="EP1" s="1" t="inlineStr">
        <is>
          <t>range_m</t>
        </is>
      </c>
      <c r="EQ1" s="1" t="inlineStr">
        <is>
          <t>real</t>
        </is>
      </c>
      <c r="ER1" s="1" t="inlineStr">
        <is>
          <t>reload_s</t>
        </is>
      </c>
      <c r="ES1" s="1" t="inlineStr">
        <is>
          <t>round</t>
        </is>
      </c>
      <c r="ET1" s="1" t="inlineStr">
        <is>
          <t>round_length</t>
        </is>
      </c>
      <c r="EU1" s="1" t="inlineStr">
        <is>
          <t>round_of</t>
        </is>
      </c>
      <c r="EV1" s="1" t="inlineStr">
        <is>
          <t>round_weight</t>
        </is>
      </c>
      <c r="EW1" s="1" t="inlineStr">
        <is>
          <t>salvo_mode</t>
        </is>
      </c>
      <c r="EX1" s="1" t="inlineStr">
        <is>
          <t>size</t>
        </is>
      </c>
      <c r="EY1" s="1" t="inlineStr">
        <is>
          <t>splash_m</t>
        </is>
      </c>
      <c r="EZ1" s="1" t="inlineStr">
        <is>
          <t>spread</t>
        </is>
      </c>
      <c r="FA1" s="1" t="inlineStr">
        <is>
          <t>stick_anchor</t>
        </is>
      </c>
      <c r="FB1" s="1" t="inlineStr">
        <is>
          <t>stick_bay_open_s</t>
        </is>
      </c>
      <c r="FC1" s="1" t="inlineStr">
        <is>
          <t>stick_bombs</t>
        </is>
      </c>
      <c r="FD1" s="1" t="inlineStr">
        <is>
          <t>stick_drop</t>
        </is>
      </c>
      <c r="FE1" s="1" t="inlineStr">
        <is>
          <t>stick_exit_m</t>
        </is>
      </c>
      <c r="FF1" s="1" t="inlineStr">
        <is>
          <t>stick_fall_time_s</t>
        </is>
      </c>
      <c r="FG1" s="1" t="inlineStr">
        <is>
          <t>stick_heading_deg</t>
        </is>
      </c>
      <c r="FH1" s="1" t="inlineStr">
        <is>
          <t>stick_interval_s</t>
        </is>
      </c>
      <c r="FI1" s="1" t="inlineStr">
        <is>
          <t>stick_jitter_across_m</t>
        </is>
      </c>
      <c r="FJ1" s="1" t="inlineStr">
        <is>
          <t>stick_jitter_along_m</t>
        </is>
      </c>
      <c r="FK1" s="1" t="inlineStr">
        <is>
          <t>stick_lead_m</t>
        </is>
      </c>
      <c r="FL1" s="1" t="inlineStr">
        <is>
          <t>stick_length_m</t>
        </is>
      </c>
      <c r="FM1" s="1" t="inlineStr">
        <is>
          <t>stick_min_targets</t>
        </is>
      </c>
      <c r="FN1" s="1" t="inlineStr">
        <is>
          <t>stick_mode</t>
        </is>
      </c>
      <c r="FO1" s="1" t="inlineStr">
        <is>
          <t>stick_overlap</t>
        </is>
      </c>
      <c r="FP1" s="1" t="inlineStr">
        <is>
          <t>stick_release_speed_m_s</t>
        </is>
      </c>
      <c r="FQ1" s="1" t="inlineStr">
        <is>
          <t>stick_safety_m</t>
        </is>
      </c>
      <c r="FR1" s="1" t="inlineStr">
        <is>
          <t>stick_spacing_m</t>
        </is>
      </c>
      <c r="FS1" s="1" t="inlineStr">
        <is>
          <t>stick_straight_time_s</t>
        </is>
      </c>
      <c r="FT1" s="1" t="inlineStr">
        <is>
          <t>stick_warn_shape</t>
        </is>
      </c>
      <c r="FU1" s="1" t="inlineStr">
        <is>
          <t>stick_width_m</t>
        </is>
      </c>
      <c r="FV1" s="1" t="inlineStr">
        <is>
          <t>swarm</t>
        </is>
      </c>
      <c r="FW1" s="1" t="inlineStr">
        <is>
          <t>targets</t>
        </is>
      </c>
      <c r="FX1" s="1" t="inlineStr">
        <is>
          <t>thermobaric</t>
        </is>
      </c>
      <c r="FY1" s="1" t="inlineStr">
        <is>
          <t>top_attack</t>
        </is>
      </c>
      <c r="FZ1" s="1" t="inlineStr">
        <is>
          <t>warhead_kg</t>
        </is>
      </c>
      <c r="GA1" s="1" t="inlineStr">
        <is>
          <t>weapon_family</t>
        </is>
      </c>
      <c r="GB1" s="1" t="inlineStr">
        <is>
          <t>weapon_family_id</t>
        </is>
      </c>
      <c r="GC1" s="1" t="inlineStr">
        <is>
          <t>weapon_variant_id</t>
        </is>
      </c>
      <c r="GD1" s="1" t="inlineStr">
        <is>
          <t>nguon</t>
        </is>
      </c>
      <c r="GE1" s="1" t="inlineStr">
        <is>
          <t>raw_json</t>
        </is>
      </c>
    </row>
    <row r="2">
      <c r="A2" t="inlineStr">
        <is>
          <t>aa_25_triple</t>
        </is>
      </c>
      <c r="B2" t="inlineStr">
        <is>
          <t>Type 96 25 mm (triple)</t>
        </is>
      </c>
      <c r="C2" t="inlineStr">
        <is>
          <t>cal_25</t>
        </is>
      </c>
      <c r="D2" t="inlineStr">
        <is>
          <t>flak</t>
        </is>
      </c>
      <c r="E2" t="inlineStr"/>
      <c r="F2" t="inlineStr">
        <is>
          <t>autocannon</t>
        </is>
      </c>
      <c r="G2" t="n">
        <v>25</v>
      </c>
      <c r="H2" t="inlineStr"/>
      <c r="I2" t="inlineStr"/>
      <c r="J2" t="inlineStr"/>
      <c r="K2" t="inlineStr">
        <is>
          <t>Fragmentation</t>
        </is>
      </c>
      <c r="L2" t="n">
        <v>1</v>
      </c>
      <c r="M2" t="inlineStr">
        <is>
          <t>Bullet</t>
        </is>
      </c>
      <c r="N2" t="n">
        <v>1</v>
      </c>
      <c r="O2" t="inlineStr">
        <is>
          <t>RIPPLE</t>
        </is>
      </c>
      <c r="P2" t="n">
        <v>1</v>
      </c>
      <c r="Q2" t="n">
        <v>0.1</v>
      </c>
      <c r="R2" t="n">
        <v>0.05</v>
      </c>
      <c r="S2" t="n">
        <v>15</v>
      </c>
      <c r="T2" t="n">
        <v>2.4</v>
      </c>
      <c r="U2" t="n">
        <v>0</v>
      </c>
      <c r="V2" t="n">
        <v>0</v>
      </c>
      <c r="W2" t="n">
        <v>17</v>
      </c>
      <c r="X2" t="n">
        <v>0</v>
      </c>
      <c r="Y2" t="n">
        <v>0</v>
      </c>
      <c r="Z2" t="n">
        <v>240</v>
      </c>
      <c r="AA2" t="n">
        <v>42</v>
      </c>
      <c r="AB2" t="n">
        <v>0</v>
      </c>
      <c r="AC2" t="inlineStr">
        <is>
          <t>Air</t>
        </is>
      </c>
      <c r="AD2" t="inlineStr"/>
      <c r="AE2" t="n">
        <v>1.6</v>
      </c>
      <c r="AF2" t="inlineStr">
        <is>
          <t>Small</t>
        </is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n">
        <v>25</v>
      </c>
      <c r="AO2" t="n">
        <v>0</v>
      </c>
      <c r="AP2" t="inlineStr">
        <is>
          <t>T1</t>
        </is>
      </c>
      <c r="AQ2" t="inlineStr">
        <is>
          <t>zu23</t>
        </is>
      </c>
      <c r="AR2" t="inlineStr">
        <is>
          <t>aa_25_triple_ap</t>
        </is>
      </c>
      <c r="AS2" t="inlineStr">
        <is>
          <t>boss</t>
        </is>
      </c>
      <c r="AT2" t="inlineStr">
        <is>
          <t>kraken;leviathan</t>
        </is>
      </c>
      <c r="AU2" t="n">
        <v>2</v>
      </c>
      <c r="AV2" t="inlineStr">
        <is>
          <t>kraken:10;kraken:11;kraken:12;kraken:13;kraken:14;kraken:7;kraken:8;kraken:9;leviathan:10;leviathan:11;leviathan:12;leviathan:13;leviathan:14;leviathan:7;leviathan:8;leviathan:9</t>
        </is>
      </c>
      <c r="AW2" t="n">
        <v>0</v>
      </c>
      <c r="AX2" t="b">
        <v>0</v>
      </c>
      <c r="AY2" t="inlineStr"/>
      <c r="AZ2">
        <f>IF(AND($AX$2,$AW$2&gt;$AA$2/$Z$2),$AW$2,$AA$2/$Z$2)</f>
        <v/>
      </c>
      <c r="BA2" t="n">
        <v>0.175</v>
      </c>
      <c r="BB2" t="n">
        <v>260</v>
      </c>
      <c r="BC2" t="n">
        <v>130</v>
      </c>
      <c r="BD2" t="inlineStr">
        <is>
          <t>aa</t>
        </is>
      </c>
      <c r="BE2" t="inlineStr">
        <is>
          <t>Wikipedia 'Type 96 25 mm AT/AA gun': 220-260 rpm a barrel</t>
        </is>
      </c>
      <c r="BG2" t="inlineStr">
        <is>
          <t>giong</t>
        </is>
      </c>
      <c r="CO2" t="n">
        <v>1</v>
      </c>
      <c r="CT2" t="n">
        <v>25</v>
      </c>
      <c r="CW2" t="n">
        <v>15</v>
      </c>
      <c r="CX2" t="n">
        <v>2.4</v>
      </c>
      <c r="DD2" t="n">
        <v>0.05</v>
      </c>
      <c r="DE2" t="n">
        <v>17</v>
      </c>
      <c r="DJ2" t="inlineStr">
        <is>
          <t>autocannon</t>
        </is>
      </c>
      <c r="DT2" t="inlineStr">
        <is>
          <t>zu23</t>
        </is>
      </c>
      <c r="EB2" t="n">
        <v>1</v>
      </c>
      <c r="EP2" t="n">
        <v>42</v>
      </c>
      <c r="EQ2" t="inlineStr">
        <is>
          <t>Type 96 25 mm (triple)</t>
        </is>
      </c>
      <c r="EX2" t="n">
        <v>25</v>
      </c>
      <c r="FW2" t="inlineStr">
        <is>
          <t>Air</t>
        </is>
      </c>
      <c r="GB2" t="inlineStr">
        <is>
          <t>cal_25</t>
        </is>
      </c>
      <c r="GC2" t="inlineStr">
        <is>
          <t>flak</t>
        </is>
      </c>
      <c r="GD2" t="inlineStr">
        <is>
          <t>Assets/MachineBrigade/Resources/Data/balance.json: weapons[290]</t>
        </is>
      </c>
      <c r="GE2" t="inlineStr">
        <is>
          <t>{"id":"aa_25_triple","inherits":"zu23","barrels":1,"weaponFamilyId":"cal_25","weaponVariantId":"flak","real":"Type 96 25 mm (triple)","family":"autocannon","size":25,"caliberMm":25,"pen":1,"damage":17,"cooldown":0.05,"range":42,"targets":"Air","clip":15,"clipReload":2.4}</t>
        </is>
      </c>
    </row>
    <row r="3">
      <c r="A3" t="inlineStr">
        <is>
          <t>aa_25_triple_ap</t>
        </is>
      </c>
      <c r="B3" t="inlineStr">
        <is>
          <t>Type 96 25 mm AP (triple)</t>
        </is>
      </c>
      <c r="C3" t="inlineStr">
        <is>
          <t>cal_25</t>
        </is>
      </c>
      <c r="D3" t="inlineStr"/>
      <c r="E3" t="inlineStr"/>
      <c r="F3" t="inlineStr">
        <is>
          <t>autocannon</t>
        </is>
      </c>
      <c r="G3" t="n">
        <v>25</v>
      </c>
      <c r="H3" t="inlineStr"/>
      <c r="I3" t="inlineStr"/>
      <c r="J3" t="inlineStr"/>
      <c r="K3" t="inlineStr">
        <is>
          <t>Kinetic</t>
        </is>
      </c>
      <c r="L3" t="n">
        <v>2</v>
      </c>
      <c r="M3" t="inlineStr">
        <is>
          <t>Bullet</t>
        </is>
      </c>
      <c r="N3" t="n">
        <v>1</v>
      </c>
      <c r="O3" t="inlineStr">
        <is>
          <t>RIPPLE</t>
        </is>
      </c>
      <c r="P3" t="n">
        <v>1</v>
      </c>
      <c r="Q3" t="n">
        <v>0.1</v>
      </c>
      <c r="R3" t="n">
        <v>0.05</v>
      </c>
      <c r="S3" t="n">
        <v>15</v>
      </c>
      <c r="T3" t="n">
        <v>2.4</v>
      </c>
      <c r="U3" t="n">
        <v>0</v>
      </c>
      <c r="V3" t="n">
        <v>0</v>
      </c>
      <c r="W3" t="n">
        <v>17</v>
      </c>
      <c r="X3" t="n">
        <v>0</v>
      </c>
      <c r="Y3" t="n">
        <v>0</v>
      </c>
      <c r="Z3" t="n">
        <v>240</v>
      </c>
      <c r="AA3" t="n">
        <v>42</v>
      </c>
      <c r="AB3" t="n">
        <v>0</v>
      </c>
      <c r="AC3" t="inlineStr">
        <is>
          <t>Ground</t>
        </is>
      </c>
      <c r="AD3" t="inlineStr"/>
      <c r="AE3" t="n">
        <v>1.6</v>
      </c>
      <c r="AF3" t="inlineStr">
        <is>
          <t>Small</t>
        </is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n">
        <v>25</v>
      </c>
      <c r="AO3" t="n">
        <v>0</v>
      </c>
      <c r="AP3" t="inlineStr">
        <is>
          <t>T1</t>
        </is>
      </c>
      <c r="AQ3" t="inlineStr">
        <is>
          <t>aa_25_triple</t>
        </is>
      </c>
      <c r="AR3" t="inlineStr"/>
      <c r="AS3" t="inlineStr"/>
      <c r="AT3" t="inlineStr"/>
      <c r="AU3" t="n">
        <v>0</v>
      </c>
      <c r="AV3" t="inlineStr"/>
      <c r="AW3" t="n">
        <v>0</v>
      </c>
      <c r="AX3" t="b">
        <v>0</v>
      </c>
      <c r="AY3" t="inlineStr"/>
      <c r="AZ3">
        <f>IF(AND($AX$3,$AW$3&gt;$AA$3/$Z$3),$AW$3,$AA$3/$Z$3)</f>
        <v/>
      </c>
      <c r="BA3" t="n">
        <v>0.175</v>
      </c>
      <c r="BB3" t="n">
        <v>260</v>
      </c>
      <c r="BC3" t="n">
        <v>130</v>
      </c>
      <c r="BD3" t="inlineStr">
        <is>
          <t>aa</t>
        </is>
      </c>
      <c r="BE3" t="inlineStr">
        <is>
          <t>Wikipedia 'Type 96 25 mm AT/AA gun': 220-260 rpm a barrel</t>
        </is>
      </c>
      <c r="BG3" t="inlineStr">
        <is>
          <t>giong</t>
        </is>
      </c>
      <c r="DE3" t="n">
        <v>17</v>
      </c>
      <c r="DF3" t="inlineStr">
        <is>
          <t>Kinetic</t>
        </is>
      </c>
      <c r="DM3" t="inlineStr">
        <is>
          <t>ground</t>
        </is>
      </c>
      <c r="DN3" t="inlineStr">
        <is>
          <t>BeltedAutocannon</t>
        </is>
      </c>
      <c r="DT3" t="inlineStr">
        <is>
          <t>aa_25_triple</t>
        </is>
      </c>
      <c r="EB3" t="n">
        <v>2</v>
      </c>
      <c r="EE3" t="b">
        <v>1</v>
      </c>
      <c r="EQ3" t="inlineStr">
        <is>
          <t>Type 96 25 mm AP (triple)</t>
        </is>
      </c>
      <c r="ES3" t="inlineStr">
        <is>
          <t>ap</t>
        </is>
      </c>
      <c r="EU3" t="inlineStr">
        <is>
          <t>aa_25_triple</t>
        </is>
      </c>
      <c r="EY3" t="n">
        <v>0</v>
      </c>
      <c r="FW3" t="inlineStr">
        <is>
          <t>Ground</t>
        </is>
      </c>
      <c r="GA3" t="inlineStr"/>
      <c r="GC3" t="inlineStr"/>
      <c r="GD3" t="inlineStr">
        <is>
          <t>Assets/MachineBrigade/Resources/Data/balance.json: secondRounds.rounds[0]</t>
        </is>
      </c>
      <c r="GE3" t="inlineStr">
        <is>
          <t>{"id":"aa_25_triple_ap","roundOf":"aa_25_triple","inherits":"aa_25_triple","weaponVariantId":"","weaponFamily":"","round":"ap","for":["ground"],"real":"Type 96 25 mm AP (triple)","damageType":"Kinetic","pen":2,"damage":17,"splash":0,"form":"BeltedAutocannon","piercing":true,"targets":"Ground"}</t>
        </is>
      </c>
    </row>
    <row r="4">
      <c r="A4" t="inlineStr">
        <is>
          <t>agl_40</t>
        </is>
      </c>
      <c r="B4" t="inlineStr">
        <is>
          <t>Mk 19 40 mm</t>
        </is>
      </c>
      <c r="C4" t="inlineStr">
        <is>
          <t>gl_40</t>
        </is>
      </c>
      <c r="D4" t="inlineStr"/>
      <c r="E4" t="inlineStr">
        <is>
          <t>mk_19_40_mm</t>
        </is>
      </c>
      <c r="F4" t="inlineStr">
        <is>
          <t>grenade</t>
        </is>
      </c>
      <c r="G4" t="n">
        <v>40</v>
      </c>
      <c r="H4" t="inlineStr"/>
      <c r="I4" t="inlineStr"/>
      <c r="J4" t="inlineStr"/>
      <c r="K4" t="inlineStr">
        <is>
          <t>HighExplosive</t>
        </is>
      </c>
      <c r="L4" t="n">
        <v>2</v>
      </c>
      <c r="M4" t="inlineStr">
        <is>
          <t>Bullet</t>
        </is>
      </c>
      <c r="N4" t="n">
        <v>1</v>
      </c>
      <c r="O4" t="inlineStr">
        <is>
          <t>RIPPLE</t>
        </is>
      </c>
      <c r="P4" t="n">
        <v>6</v>
      </c>
      <c r="Q4" t="n">
        <v>0.2</v>
      </c>
      <c r="R4" t="n">
        <v>3.2</v>
      </c>
      <c r="S4" t="n">
        <v>0</v>
      </c>
      <c r="T4" t="n">
        <v>0</v>
      </c>
      <c r="U4" t="n">
        <v>0</v>
      </c>
      <c r="V4" t="n">
        <v>0</v>
      </c>
      <c r="W4" t="n">
        <v>26</v>
      </c>
      <c r="X4" t="n">
        <v>2</v>
      </c>
      <c r="Y4" t="n">
        <v>0</v>
      </c>
      <c r="Z4" t="n">
        <v>70</v>
      </c>
      <c r="AA4" t="n">
        <v>30</v>
      </c>
      <c r="AB4" t="n">
        <v>0</v>
      </c>
      <c r="AC4" t="inlineStr">
        <is>
          <t>Ground</t>
        </is>
      </c>
      <c r="AD4" t="inlineStr"/>
      <c r="AE4" t="n">
        <v>2.2</v>
      </c>
      <c r="AF4" t="inlineStr">
        <is>
          <t>Small</t>
        </is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n">
        <v>40</v>
      </c>
      <c r="AO4" t="n">
        <v>0</v>
      </c>
      <c r="AP4" t="inlineStr">
        <is>
          <t>T1</t>
        </is>
      </c>
      <c r="AQ4" t="inlineStr"/>
      <c r="AR4" t="inlineStr"/>
      <c r="AS4" t="inlineStr">
        <is>
          <t>xe</t>
        </is>
      </c>
      <c r="AT4" t="inlineStr">
        <is>
          <t>river_patrol_boat;twin_rotor_gunship</t>
        </is>
      </c>
      <c r="AU4" t="n">
        <v>2</v>
      </c>
      <c r="AV4" t="inlineStr">
        <is>
          <t>river_patrol_boat:1;twin_rotor_gunship:1</t>
        </is>
      </c>
      <c r="AW4" t="n">
        <v>0</v>
      </c>
      <c r="AX4" t="b">
        <v>0</v>
      </c>
      <c r="AY4" t="inlineStr"/>
      <c r="AZ4">
        <f>IF(AND($AX$4,$AW$4&gt;$AA$4/$Z$4),$AW$4,$AA$4/$Z$4)</f>
        <v/>
      </c>
      <c r="BA4" t="n">
        <v>0.4285714285714285</v>
      </c>
      <c r="BB4" t="n">
        <v>375</v>
      </c>
      <c r="BC4" t="n">
        <v>60</v>
      </c>
      <c r="BD4" t="inlineStr">
        <is>
          <t>ac</t>
        </is>
      </c>
      <c r="BE4" t="inlineStr">
        <is>
          <t>US Army FM 3-22.27: 325-375 cyclic, 60 rapid</t>
        </is>
      </c>
      <c r="BG4" t="inlineStr">
        <is>
          <t>giong</t>
        </is>
      </c>
      <c r="CR4" t="n">
        <v>6</v>
      </c>
      <c r="CS4" t="n">
        <v>0.2</v>
      </c>
      <c r="CT4" t="n">
        <v>40</v>
      </c>
      <c r="DD4" t="n">
        <v>3.2</v>
      </c>
      <c r="DE4" t="n">
        <v>26</v>
      </c>
      <c r="DF4" t="inlineStr">
        <is>
          <t>HighExplosive</t>
        </is>
      </c>
      <c r="DJ4" t="inlineStr">
        <is>
          <t>grenade</t>
        </is>
      </c>
      <c r="DS4" t="inlineStr">
        <is>
          <t>Small</t>
        </is>
      </c>
      <c r="EB4" t="n">
        <v>2</v>
      </c>
      <c r="EH4" t="inlineStr">
        <is>
          <t>Bullet</t>
        </is>
      </c>
      <c r="EP4" t="n">
        <v>30</v>
      </c>
      <c r="EQ4" t="inlineStr">
        <is>
          <t>Mk 19 40 mm</t>
        </is>
      </c>
      <c r="EX4" t="n">
        <v>40</v>
      </c>
      <c r="EZ4" t="n">
        <v>2.2</v>
      </c>
      <c r="GA4" t="inlineStr">
        <is>
          <t>mk_19_40_mm</t>
        </is>
      </c>
      <c r="GB4" t="inlineStr">
        <is>
          <t>gl_40</t>
        </is>
      </c>
      <c r="GD4" t="inlineStr">
        <is>
          <t>Assets/MachineBrigade/Resources/Data/balance.json: weapons[234]</t>
        </is>
      </c>
      <c r="GE4" t="inlineStr">
        <is>
          <t>{"id":"agl_40","weaponFamilyId":"gl_40","weaponFamily":"mk_19_40_mm","real":"Mk 19 40 mm","family":"grenade","size":40,"caliberMm":40,"pen":2,"damageType":"HighExplosive","damage":26,"cooldown":3.2,"range":30,"spread":2.2,"impactTier":"Small","projectile":"Bullet","burst":6,"burstInterval":0.2}</t>
        </is>
      </c>
    </row>
    <row r="5">
      <c r="A5" t="inlineStr">
        <is>
          <t>air_cruise_missile</t>
        </is>
      </c>
      <c r="B5" t="inlineStr">
        <is>
          <t>Kh-101 (400 kg)</t>
        </is>
      </c>
      <c r="C5" t="inlineStr">
        <is>
          <t>cruise_kh_101</t>
        </is>
      </c>
      <c r="D5" t="inlineStr"/>
      <c r="E5" t="inlineStr"/>
      <c r="F5" t="inlineStr">
        <is>
          <t>cruise</t>
        </is>
      </c>
      <c r="G5" t="inlineStr"/>
      <c r="H5" t="n">
        <v>400</v>
      </c>
      <c r="I5" t="inlineStr"/>
      <c r="J5" t="inlineStr"/>
      <c r="K5" t="inlineStr">
        <is>
          <t>HighExplosive</t>
        </is>
      </c>
      <c r="L5" t="n">
        <v>3</v>
      </c>
      <c r="M5" t="inlineStr">
        <is>
          <t>Missile</t>
        </is>
      </c>
      <c r="N5" t="n">
        <v>1</v>
      </c>
      <c r="O5" t="inlineStr">
        <is>
          <t>RIPPLE</t>
        </is>
      </c>
      <c r="P5" t="n">
        <v>1</v>
      </c>
      <c r="Q5" t="n">
        <v>0.1</v>
      </c>
      <c r="R5" t="n">
        <v>11.2</v>
      </c>
      <c r="S5" t="n">
        <v>0</v>
      </c>
      <c r="T5" t="n">
        <v>0</v>
      </c>
      <c r="U5" t="n">
        <v>0</v>
      </c>
      <c r="V5" t="n">
        <v>0</v>
      </c>
      <c r="W5" t="n">
        <v>378</v>
      </c>
      <c r="X5" t="n">
        <v>9</v>
      </c>
      <c r="Y5" t="n">
        <v>0</v>
      </c>
      <c r="Z5" t="n">
        <v>65</v>
      </c>
      <c r="AA5" t="n">
        <v>110</v>
      </c>
      <c r="AB5" t="n">
        <v>0</v>
      </c>
      <c r="AC5" t="inlineStr">
        <is>
          <t>Ground</t>
        </is>
      </c>
      <c r="AD5" t="inlineStr"/>
      <c r="AE5" t="n">
        <v>0</v>
      </c>
      <c r="AF5" t="inlineStr">
        <is>
          <t>Huge</t>
        </is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n">
        <v>400</v>
      </c>
      <c r="AO5" t="n">
        <v>2</v>
      </c>
      <c r="AP5" t="inlineStr">
        <is>
          <t>T4</t>
        </is>
      </c>
      <c r="AQ5" t="inlineStr"/>
      <c r="AR5" t="inlineStr"/>
      <c r="AS5" t="inlineStr">
        <is>
          <t>xe</t>
        </is>
      </c>
      <c r="AT5" t="inlineStr">
        <is>
          <t>heavy_bomber</t>
        </is>
      </c>
      <c r="AU5" t="n">
        <v>1</v>
      </c>
      <c r="AV5" t="inlineStr">
        <is>
          <t>heavy_bomber:2</t>
        </is>
      </c>
      <c r="AW5" t="n">
        <v>2.5</v>
      </c>
      <c r="AX5" t="b">
        <v>0</v>
      </c>
      <c r="AY5" t="inlineStr"/>
      <c r="AZ5">
        <f>IF(AND($AX$5,$AW$5&gt;$AA$5/$Z$5),$AW$5,$AA$5/$Z$5)</f>
        <v/>
      </c>
      <c r="BA5" t="n">
        <v>1.692307692307692</v>
      </c>
      <c r="BB5" t="n">
        <v>20</v>
      </c>
      <c r="BC5" t="n">
        <v>6</v>
      </c>
      <c r="BD5" t="inlineStr">
        <is>
          <t>missile</t>
        </is>
      </c>
      <c r="BE5" t="inlineStr">
        <is>
          <t>cruise missiles: ~3 s between launches (est.)</t>
        </is>
      </c>
      <c r="BG5" t="inlineStr">
        <is>
          <t>doi</t>
        </is>
      </c>
      <c r="BR5" t="n">
        <v>22</v>
      </c>
      <c r="BS5" t="n">
        <v>65</v>
      </c>
      <c r="DD5" t="n">
        <v>11.2</v>
      </c>
      <c r="DE5" t="n">
        <v>378</v>
      </c>
      <c r="DF5" t="inlineStr">
        <is>
          <t>HighExplosive</t>
        </is>
      </c>
      <c r="DJ5" t="inlineStr">
        <is>
          <t>cruise</t>
        </is>
      </c>
      <c r="DS5" t="inlineStr">
        <is>
          <t>Huge</t>
        </is>
      </c>
      <c r="DW5" t="n">
        <v>2</v>
      </c>
      <c r="EB5" t="n">
        <v>3</v>
      </c>
      <c r="EH5" t="inlineStr">
        <is>
          <t>Missile</t>
        </is>
      </c>
      <c r="EI5" t="inlineStr">
        <is>
          <t>cruise_missile</t>
        </is>
      </c>
      <c r="EK5" t="n">
        <v>65</v>
      </c>
      <c r="EP5" t="n">
        <v>110</v>
      </c>
      <c r="EQ5" t="inlineStr">
        <is>
          <t>Kh-101 (400 kg)</t>
        </is>
      </c>
      <c r="EV5" t="n">
        <v>450</v>
      </c>
      <c r="EX5" t="n">
        <v>400</v>
      </c>
      <c r="EY5" t="n">
        <v>9</v>
      </c>
      <c r="FZ5" t="n">
        <v>400</v>
      </c>
      <c r="GB5" t="inlineStr">
        <is>
          <t>cruise_kh_101</t>
        </is>
      </c>
      <c r="GD5" t="inlineStr">
        <is>
          <t>Assets/MachineBrigade/Resources/Data/balance.json: weapons[68]</t>
        </is>
      </c>
      <c r="GE5" t="inlineStr">
        <is>
          <t>{"id":"air_cruise_missile","weaponFamilyId":"cruise_kh_101","load":2,"real":"Kh-101 (400 kg)","family":"cruise","size":400,"warheadKg":400,"pen":3,"projectileModel":"cruise_missile","damageType":"HighExplosive","damage":378,"cooldown":11.2,"range":110,"projectileSpeed":65,"splash":9,"impactTier":"Huge","projectile":"Missile","roundWeight":450}</t>
        </is>
      </c>
    </row>
    <row r="6">
      <c r="A6" t="inlineStr">
        <is>
          <t>air_to_air</t>
        </is>
      </c>
      <c r="B6" t="inlineStr">
        <is>
          <t>AIM-120 AMRAAM</t>
        </is>
      </c>
      <c r="C6" t="inlineStr">
        <is>
          <t>sam_aim_120_amraam</t>
        </is>
      </c>
      <c r="D6" t="inlineStr"/>
      <c r="E6" t="inlineStr"/>
      <c r="F6" t="inlineStr">
        <is>
          <t>aa_missile</t>
        </is>
      </c>
      <c r="G6" t="inlineStr"/>
      <c r="H6" t="n">
        <v>20</v>
      </c>
      <c r="I6" t="inlineStr"/>
      <c r="J6" t="inlineStr"/>
      <c r="K6" t="inlineStr">
        <is>
          <t>Fragmentation</t>
        </is>
      </c>
      <c r="L6" t="n">
        <v>3</v>
      </c>
      <c r="M6" t="inlineStr">
        <is>
          <t>Missile</t>
        </is>
      </c>
      <c r="N6" t="n">
        <v>1</v>
      </c>
      <c r="O6" t="inlineStr">
        <is>
          <t>RIPPLE</t>
        </is>
      </c>
      <c r="P6" t="n">
        <v>1</v>
      </c>
      <c r="Q6" t="n">
        <v>0.1</v>
      </c>
      <c r="R6" t="n">
        <v>3.99</v>
      </c>
      <c r="S6" t="n">
        <v>0</v>
      </c>
      <c r="T6" t="n">
        <v>0</v>
      </c>
      <c r="U6" t="n">
        <v>0</v>
      </c>
      <c r="V6" t="n">
        <v>0</v>
      </c>
      <c r="W6" t="n">
        <v>294</v>
      </c>
      <c r="X6" t="n">
        <v>2</v>
      </c>
      <c r="Y6" t="n">
        <v>0</v>
      </c>
      <c r="Z6" t="n">
        <v>300</v>
      </c>
      <c r="AA6" t="n">
        <v>60</v>
      </c>
      <c r="AB6" t="n">
        <v>0</v>
      </c>
      <c r="AC6" t="inlineStr">
        <is>
          <t>Air</t>
        </is>
      </c>
      <c r="AD6" t="inlineStr">
        <is>
          <t>high</t>
        </is>
      </c>
      <c r="AE6" t="n">
        <v>0</v>
      </c>
      <c r="AF6" t="inlineStr">
        <is>
          <t>Medium</t>
        </is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n">
        <v>20</v>
      </c>
      <c r="AO6" t="n">
        <v>4</v>
      </c>
      <c r="AP6" t="inlineStr">
        <is>
          <t>T2</t>
        </is>
      </c>
      <c r="AQ6" t="inlineStr"/>
      <c r="AR6" t="inlineStr"/>
      <c r="AS6" t="inlineStr">
        <is>
          <t>xe</t>
        </is>
      </c>
      <c r="AT6" t="inlineStr">
        <is>
          <t>fighter_jet;stealth_fighter</t>
        </is>
      </c>
      <c r="AU6" t="n">
        <v>2</v>
      </c>
      <c r="AV6" t="inlineStr">
        <is>
          <t>fighter_jet:0;stealth_fighter:0</t>
        </is>
      </c>
      <c r="AW6" t="n">
        <v>0</v>
      </c>
      <c r="AX6" t="b">
        <v>0</v>
      </c>
      <c r="AY6" t="inlineStr"/>
      <c r="AZ6">
        <f>IF(AND($AX$6,$AW$6&gt;$AA$6/$Z$6),$AW$6,$AA$6/$Z$6)</f>
        <v/>
      </c>
      <c r="BA6" t="n">
        <v>0.2</v>
      </c>
      <c r="BB6" t="n">
        <v>60</v>
      </c>
      <c r="BC6" t="inlineStr"/>
      <c r="BD6" t="inlineStr">
        <is>
          <t>missile</t>
        </is>
      </c>
      <c r="BE6" t="inlineStr">
        <is>
          <t>air-to-air: ~1 s between launches (est.)</t>
        </is>
      </c>
      <c r="BG6" t="inlineStr">
        <is>
          <t>doi</t>
        </is>
      </c>
      <c r="BR6" t="n">
        <v>60</v>
      </c>
      <c r="BS6" t="n">
        <v>300</v>
      </c>
      <c r="CU6" t="inlineStr">
        <is>
          <t>high</t>
        </is>
      </c>
      <c r="DD6" t="n">
        <v>3.99</v>
      </c>
      <c r="DE6" t="n">
        <v>294</v>
      </c>
      <c r="DF6" t="inlineStr">
        <is>
          <t>Fragmentation</t>
        </is>
      </c>
      <c r="DJ6" t="inlineStr">
        <is>
          <t>aa_missile</t>
        </is>
      </c>
      <c r="DS6" t="inlineStr">
        <is>
          <t>Medium</t>
        </is>
      </c>
      <c r="DW6" t="n">
        <v>4</v>
      </c>
      <c r="EB6" t="n">
        <v>3</v>
      </c>
      <c r="EH6" t="inlineStr">
        <is>
          <t>Missile</t>
        </is>
      </c>
      <c r="EI6" t="inlineStr">
        <is>
          <t>aim120</t>
        </is>
      </c>
      <c r="EJ6" t="n">
        <v>0.85</v>
      </c>
      <c r="EK6" t="n">
        <v>300</v>
      </c>
      <c r="EP6" t="n">
        <v>60</v>
      </c>
      <c r="EQ6" t="inlineStr">
        <is>
          <t>AIM-120 AMRAAM</t>
        </is>
      </c>
      <c r="EV6" t="n">
        <v>351</v>
      </c>
      <c r="EX6" t="n">
        <v>20</v>
      </c>
      <c r="EY6" t="n">
        <v>2</v>
      </c>
      <c r="FW6" t="inlineStr">
        <is>
          <t>Air</t>
        </is>
      </c>
      <c r="FZ6" t="n">
        <v>20</v>
      </c>
      <c r="GB6" t="inlineStr">
        <is>
          <t>sam_aim_120_amraam</t>
        </is>
      </c>
      <c r="GD6" t="inlineStr">
        <is>
          <t>Assets/MachineBrigade/Resources/Data/balance.json: weapons[62]</t>
        </is>
      </c>
      <c r="GE6" t="inlineStr">
        <is>
          <t>{"id":"air_to_air","weaponFamilyId":"sam_aim_120_amraam","ceiling":"high","load":4,"real":"AIM-120 AMRAAM","family":"aa_missile","size":20,"warheadKg":20,"pen":3,"projectileModel":"aim120","projectileScale":0.85,"damageType":"Fragmentation","damage":294,"cooldown":3.99,"range":60,"projectileSpeed":300,"splash":2,"impactTier":"Medium","projectile":"Missile","targets":"Air","roundWeight":351}</t>
        </is>
      </c>
    </row>
    <row r="7">
      <c r="A7" t="inlineStr">
        <is>
          <t>airship_drones</t>
        </is>
      </c>
      <c r="B7" t="inlineStr">
        <is>
          <t>FPV drone (1.5 kg)</t>
        </is>
      </c>
      <c r="C7" t="inlineStr">
        <is>
          <t>drone_fpv_drone</t>
        </is>
      </c>
      <c r="D7" t="inlineStr"/>
      <c r="E7" t="inlineStr">
        <is>
          <t>fpv_drone</t>
        </is>
      </c>
      <c r="F7" t="inlineStr">
        <is>
          <t>drone</t>
        </is>
      </c>
      <c r="G7" t="inlineStr"/>
      <c r="H7" t="n">
        <v>1.5</v>
      </c>
      <c r="I7" t="inlineStr"/>
      <c r="J7" t="inlineStr"/>
      <c r="K7" t="inlineStr">
        <is>
          <t>ShapedCharge</t>
        </is>
      </c>
      <c r="L7" t="n">
        <v>3</v>
      </c>
      <c r="M7" t="inlineStr">
        <is>
          <t>Drone</t>
        </is>
      </c>
      <c r="N7" t="n">
        <v>1</v>
      </c>
      <c r="O7" t="inlineStr">
        <is>
          <t>RIPPLE</t>
        </is>
      </c>
      <c r="P7" t="n">
        <v>3</v>
      </c>
      <c r="Q7" t="n">
        <v>0.35</v>
      </c>
      <c r="R7" t="n">
        <v>8.35</v>
      </c>
      <c r="S7" t="n">
        <v>0</v>
      </c>
      <c r="T7" t="n">
        <v>0</v>
      </c>
      <c r="U7" t="n">
        <v>0</v>
      </c>
      <c r="V7" t="n">
        <v>0</v>
      </c>
      <c r="W7" t="n">
        <v>140</v>
      </c>
      <c r="X7" t="n">
        <v>2.5</v>
      </c>
      <c r="Y7" t="n">
        <v>0</v>
      </c>
      <c r="Z7" t="n">
        <v>26</v>
      </c>
      <c r="AA7" t="n">
        <v>70</v>
      </c>
      <c r="AB7" t="n">
        <v>0</v>
      </c>
      <c r="AC7" t="inlineStr">
        <is>
          <t>Ground</t>
        </is>
      </c>
      <c r="AD7" t="inlineStr"/>
      <c r="AE7" t="n">
        <v>0</v>
      </c>
      <c r="AF7" t="inlineStr">
        <is>
          <t>Large</t>
        </is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n">
        <v>1.5</v>
      </c>
      <c r="AO7" t="n">
        <v>0</v>
      </c>
      <c r="AP7" t="inlineStr">
        <is>
          <t>T2</t>
        </is>
      </c>
      <c r="AQ7" t="inlineStr"/>
      <c r="AR7" t="inlineStr"/>
      <c r="AS7" t="inlineStr"/>
      <c r="AT7" t="inlineStr"/>
      <c r="AU7" t="n">
        <v>0</v>
      </c>
      <c r="AV7" t="inlineStr"/>
      <c r="AW7" t="n">
        <v>0</v>
      </c>
      <c r="AX7" t="b">
        <v>0</v>
      </c>
      <c r="AY7" t="inlineStr"/>
      <c r="AZ7">
        <f>IF(AND($AX$7,$AW$7&gt;$AA$7/$Z$7),$AW$7,$AA$7/$Z$7)</f>
        <v/>
      </c>
      <c r="BA7" t="n">
        <v>2.692307692307693</v>
      </c>
      <c r="BB7" t="inlineStr">
        <is>
          <t>NEED_SOURCE</t>
        </is>
      </c>
      <c r="BC7" t="inlineStr">
        <is>
          <t>NEED_SOURCE</t>
        </is>
      </c>
      <c r="BE7" t="inlineStr">
        <is>
          <t>NEED_SOURCE</t>
        </is>
      </c>
      <c r="BG7" t="inlineStr">
        <is>
          <t>giong</t>
        </is>
      </c>
      <c r="CR7" t="n">
        <v>3</v>
      </c>
      <c r="CS7" t="n">
        <v>0.35</v>
      </c>
      <c r="DD7" t="n">
        <v>8.35</v>
      </c>
      <c r="DE7" t="n">
        <v>140</v>
      </c>
      <c r="DF7" t="inlineStr">
        <is>
          <t>ShapedCharge</t>
        </is>
      </c>
      <c r="DJ7" t="inlineStr">
        <is>
          <t>drone</t>
        </is>
      </c>
      <c r="DS7" t="inlineStr">
        <is>
          <t>Large</t>
        </is>
      </c>
      <c r="EB7" t="n">
        <v>3</v>
      </c>
      <c r="EE7" t="b">
        <v>1</v>
      </c>
      <c r="EH7" t="inlineStr">
        <is>
          <t>Drone</t>
        </is>
      </c>
      <c r="EP7" t="n">
        <v>70</v>
      </c>
      <c r="EQ7" t="inlineStr">
        <is>
          <t>FPV drone (1.5 kg)</t>
        </is>
      </c>
      <c r="EX7" t="n">
        <v>1.5</v>
      </c>
      <c r="FY7" t="b">
        <v>1</v>
      </c>
      <c r="FZ7" t="n">
        <v>1.5</v>
      </c>
      <c r="GA7" t="inlineStr">
        <is>
          <t>fpv_drone</t>
        </is>
      </c>
      <c r="GB7" t="inlineStr">
        <is>
          <t>drone_fpv_drone</t>
        </is>
      </c>
      <c r="GD7" t="inlineStr">
        <is>
          <t>Assets/MachineBrigade/Resources/Data/balance.json: weapons[246]</t>
        </is>
      </c>
      <c r="GE7" t="inlineStr">
        <is>
          <t>{"id":"airship_drones","weaponFamilyId":"drone_fpv_drone","weaponFamily":"fpv_drone","real":"FPV drone (1.5 kg)","family":"drone","size":1.5,"warheadKg":1.5,"pen":3,"topAttack":true,"piercing":true,"damageType":"ShapedCharge","damage":140,"cooldown":8.35,"range":70,"impactTier":"Large","projectile":"Drone","burst":3,"burstInterval":0.35}</t>
        </is>
      </c>
    </row>
    <row r="8">
      <c r="A8" t="inlineStr">
        <is>
          <t>airship_flak</t>
        </is>
      </c>
      <c r="B8" t="inlineStr">
        <is>
          <t>S-60 57 mm</t>
        </is>
      </c>
      <c r="C8" t="inlineStr">
        <is>
          <t>cal_57</t>
        </is>
      </c>
      <c r="D8" t="inlineStr">
        <is>
          <t>flak</t>
        </is>
      </c>
      <c r="E8" t="inlineStr"/>
      <c r="F8" t="inlineStr">
        <is>
          <t>autocannon</t>
        </is>
      </c>
      <c r="G8" t="n">
        <v>57</v>
      </c>
      <c r="H8" t="inlineStr"/>
      <c r="I8" t="inlineStr"/>
      <c r="J8" t="inlineStr"/>
      <c r="K8" t="inlineStr">
        <is>
          <t>Fragmentation</t>
        </is>
      </c>
      <c r="L8" t="n">
        <v>2</v>
      </c>
      <c r="M8" t="inlineStr">
        <is>
          <t>Bullet</t>
        </is>
      </c>
      <c r="N8" t="n">
        <v>1</v>
      </c>
      <c r="O8" t="inlineStr">
        <is>
          <t>RIPPLE</t>
        </is>
      </c>
      <c r="P8" t="n">
        <v>1</v>
      </c>
      <c r="Q8" t="n">
        <v>0.1</v>
      </c>
      <c r="R8" t="n">
        <v>0.5</v>
      </c>
      <c r="S8" t="n">
        <v>8</v>
      </c>
      <c r="T8" t="n">
        <v>1.38</v>
      </c>
      <c r="U8" t="n">
        <v>0</v>
      </c>
      <c r="V8" t="n">
        <v>0</v>
      </c>
      <c r="W8" t="n">
        <v>70</v>
      </c>
      <c r="X8" t="n">
        <v>3</v>
      </c>
      <c r="Y8" t="n">
        <v>0</v>
      </c>
      <c r="Z8" t="n">
        <v>280</v>
      </c>
      <c r="AA8" t="n">
        <v>48</v>
      </c>
      <c r="AB8" t="n">
        <v>0</v>
      </c>
      <c r="AC8" t="inlineStr">
        <is>
          <t>All</t>
        </is>
      </c>
      <c r="AD8" t="inlineStr"/>
      <c r="AE8" t="n">
        <v>1.4</v>
      </c>
      <c r="AF8" t="inlineStr">
        <is>
          <t>Medium</t>
        </is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n">
        <v>57</v>
      </c>
      <c r="AO8" t="n">
        <v>0</v>
      </c>
      <c r="AP8" t="inlineStr">
        <is>
          <t>T2</t>
        </is>
      </c>
      <c r="AQ8" t="inlineStr"/>
      <c r="AR8" t="inlineStr"/>
      <c r="AS8" t="inlineStr"/>
      <c r="AT8" t="inlineStr"/>
      <c r="AU8" t="n">
        <v>0</v>
      </c>
      <c r="AV8" t="inlineStr"/>
      <c r="AW8" t="n">
        <v>0</v>
      </c>
      <c r="AX8" t="b">
        <v>0</v>
      </c>
      <c r="AY8" t="inlineStr"/>
      <c r="AZ8">
        <f>IF(AND($AX$8,$AW$8&gt;$AA$8/$Z$8),$AW$8,$AA$8/$Z$8)</f>
        <v/>
      </c>
      <c r="BA8" t="n">
        <v>0.1714285714285714</v>
      </c>
      <c r="BB8" t="n">
        <v>120</v>
      </c>
      <c r="BC8" t="n">
        <v>70</v>
      </c>
      <c r="BD8" t="inlineStr">
        <is>
          <t>aa</t>
        </is>
      </c>
      <c r="BE8" t="inlineStr">
        <is>
          <t>Wikipedia 'AZP S-60': 105-120 cyclic, 70 practical</t>
        </is>
      </c>
      <c r="BG8" t="inlineStr">
        <is>
          <t>giong</t>
        </is>
      </c>
      <c r="CT8" t="n">
        <v>57</v>
      </c>
      <c r="CW8" t="n">
        <v>8</v>
      </c>
      <c r="CX8" t="n">
        <v>1.38</v>
      </c>
      <c r="DD8" t="n">
        <v>0.5</v>
      </c>
      <c r="DE8" t="n">
        <v>70</v>
      </c>
      <c r="DF8" t="inlineStr">
        <is>
          <t>Fragmentation</t>
        </is>
      </c>
      <c r="DJ8" t="inlineStr">
        <is>
          <t>autocannon</t>
        </is>
      </c>
      <c r="DS8" t="inlineStr">
        <is>
          <t>Medium</t>
        </is>
      </c>
      <c r="EB8" t="n">
        <v>2</v>
      </c>
      <c r="EH8" t="inlineStr">
        <is>
          <t>Bullet</t>
        </is>
      </c>
      <c r="EK8" t="n">
        <v>280</v>
      </c>
      <c r="EP8" t="n">
        <v>48</v>
      </c>
      <c r="EQ8" t="inlineStr">
        <is>
          <t>S-60 57 mm</t>
        </is>
      </c>
      <c r="EX8" t="n">
        <v>57</v>
      </c>
      <c r="EY8" t="n">
        <v>3</v>
      </c>
      <c r="EZ8" t="n">
        <v>1.4</v>
      </c>
      <c r="FW8" t="inlineStr">
        <is>
          <t>All</t>
        </is>
      </c>
      <c r="GB8" t="inlineStr">
        <is>
          <t>cal_57</t>
        </is>
      </c>
      <c r="GC8" t="inlineStr">
        <is>
          <t>flak</t>
        </is>
      </c>
      <c r="GD8" t="inlineStr">
        <is>
          <t>Assets/MachineBrigade/Resources/Data/balance.json: weapons[245]</t>
        </is>
      </c>
      <c r="GE8" t="inlineStr">
        <is>
          <t>{"id":"airship_flak","weaponFamilyId":"cal_57","weaponVariantId":"flak","real":"S-60 57 mm","family":"autocannon","size":57,"caliberMm":57,"pen":2,"damageType":"Fragmentation","damage":70,"cooldown":0.5,"range":48,"projectileSpeed":280,"splash":3,"spread":1.4,"impactTier":"Medium","projectile":"Bullet","targets":"All","clip":8,"clipReload":1.38}</t>
        </is>
      </c>
    </row>
    <row r="9">
      <c r="A9" t="inlineStr">
        <is>
          <t>amos_120</t>
        </is>
      </c>
      <c r="B9" t="inlineStr">
        <is>
          <t>120 mm AMOS (twin)</t>
        </is>
      </c>
      <c r="C9" t="inlineStr">
        <is>
          <t>cal_120_he</t>
        </is>
      </c>
      <c r="D9" t="inlineStr">
        <is>
          <t>mortar</t>
        </is>
      </c>
      <c r="E9" t="inlineStr"/>
      <c r="F9" t="inlineStr">
        <is>
          <t>mortar</t>
        </is>
      </c>
      <c r="G9" t="n">
        <v>120</v>
      </c>
      <c r="H9" t="inlineStr"/>
      <c r="I9" t="inlineStr"/>
      <c r="J9" t="inlineStr"/>
      <c r="K9" t="inlineStr">
        <is>
          <t>HighExplosive</t>
        </is>
      </c>
      <c r="L9" t="n">
        <v>2</v>
      </c>
      <c r="M9" t="inlineStr">
        <is>
          <t>Shell</t>
        </is>
      </c>
      <c r="N9" t="n">
        <v>1</v>
      </c>
      <c r="O9" t="inlineStr">
        <is>
          <t>RIPPLE</t>
        </is>
      </c>
      <c r="P9" t="n">
        <v>4</v>
      </c>
      <c r="Q9" t="n">
        <v>0.25</v>
      </c>
      <c r="R9" t="n">
        <v>14.607</v>
      </c>
      <c r="S9" t="n">
        <v>0</v>
      </c>
      <c r="T9" t="n">
        <v>0</v>
      </c>
      <c r="U9" t="n">
        <v>0</v>
      </c>
      <c r="V9" t="n">
        <v>0</v>
      </c>
      <c r="W9" t="n">
        <v>214</v>
      </c>
      <c r="X9" t="n">
        <v>5</v>
      </c>
      <c r="Y9" t="n">
        <v>0</v>
      </c>
      <c r="Z9" t="n">
        <v>60</v>
      </c>
      <c r="AA9" t="n">
        <v>60</v>
      </c>
      <c r="AB9" t="n">
        <v>10</v>
      </c>
      <c r="AC9" t="inlineStr">
        <is>
          <t>Ground</t>
        </is>
      </c>
      <c r="AD9" t="inlineStr"/>
      <c r="AE9" t="n">
        <v>4.5</v>
      </c>
      <c r="AF9" t="inlineStr">
        <is>
          <t>Large</t>
        </is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n">
        <v>120</v>
      </c>
      <c r="AO9" t="n">
        <v>0</v>
      </c>
      <c r="AP9" t="inlineStr">
        <is>
          <t>T3</t>
        </is>
      </c>
      <c r="AQ9" t="inlineStr"/>
      <c r="AR9" t="inlineStr"/>
      <c r="AS9" t="inlineStr">
        <is>
          <t>xe</t>
        </is>
      </c>
      <c r="AT9" t="inlineStr">
        <is>
          <t>sp_mortar</t>
        </is>
      </c>
      <c r="AU9" t="n">
        <v>1</v>
      </c>
      <c r="AV9" t="inlineStr">
        <is>
          <t>sp_mortar:0</t>
        </is>
      </c>
      <c r="AW9" t="n">
        <v>0</v>
      </c>
      <c r="AX9" t="b">
        <v>0</v>
      </c>
      <c r="AY9" t="inlineStr"/>
      <c r="AZ9">
        <f>IF(AND($AX$9,$AW$9&gt;$AA$9/$Z$9),$AW$9,$AA$9/$Z$9)</f>
        <v/>
      </c>
      <c r="BA9" t="n">
        <v>1</v>
      </c>
      <c r="BB9" t="n">
        <v>13</v>
      </c>
      <c r="BC9" t="n">
        <v>10</v>
      </c>
      <c r="BD9" t="inlineStr">
        <is>
          <t>gun</t>
        </is>
      </c>
      <c r="BE9" t="inlineStr">
        <is>
          <t>Wikipedia 'AMOS': 26 rpm the twin-barrel turret</t>
        </is>
      </c>
      <c r="BG9" t="inlineStr">
        <is>
          <t>doi</t>
        </is>
      </c>
      <c r="BH9" t="n">
        <v>150</v>
      </c>
      <c r="BI9" t="n">
        <v>214</v>
      </c>
      <c r="BJ9" t="n">
        <v>10</v>
      </c>
      <c r="BK9" t="n">
        <v>14.607</v>
      </c>
      <c r="BR9" t="n">
        <v>32</v>
      </c>
      <c r="BS9" t="n">
        <v>60</v>
      </c>
      <c r="CR9" t="n">
        <v>4</v>
      </c>
      <c r="CS9" t="n">
        <v>0.25</v>
      </c>
      <c r="CT9" t="n">
        <v>120</v>
      </c>
      <c r="DD9" t="n">
        <v>14.607</v>
      </c>
      <c r="DE9" t="n">
        <v>214</v>
      </c>
      <c r="DF9" t="inlineStr">
        <is>
          <t>HighExplosive</t>
        </is>
      </c>
      <c r="DJ9" t="inlineStr">
        <is>
          <t>mortar</t>
        </is>
      </c>
      <c r="DS9" t="inlineStr">
        <is>
          <t>Large</t>
        </is>
      </c>
      <c r="DZ9" t="n">
        <v>10</v>
      </c>
      <c r="EA9" t="b">
        <v>1</v>
      </c>
      <c r="EB9" t="n">
        <v>2</v>
      </c>
      <c r="EI9" t="inlineStr">
        <is>
          <t>mortar_bomb</t>
        </is>
      </c>
      <c r="EK9" t="n">
        <v>60</v>
      </c>
      <c r="EP9" t="n">
        <v>60</v>
      </c>
      <c r="EQ9" t="inlineStr">
        <is>
          <t>120 mm AMOS (twin)</t>
        </is>
      </c>
      <c r="EX9" t="n">
        <v>120</v>
      </c>
      <c r="EY9" t="n">
        <v>5</v>
      </c>
      <c r="EZ9" t="n">
        <v>4.5</v>
      </c>
      <c r="GB9" t="inlineStr">
        <is>
          <t>cal_120_he</t>
        </is>
      </c>
      <c r="GC9" t="inlineStr">
        <is>
          <t>mortar</t>
        </is>
      </c>
      <c r="GD9" t="inlineStr">
        <is>
          <t>Assets/MachineBrigade/Resources/Data/balance.json: weapons[281]</t>
        </is>
      </c>
      <c r="GE9" t="inlineStr">
        <is>
          <t>{"id":"amos_120","weaponFamilyId":"cal_120_he","weaponVariantId":"mortar","real":"120 mm AMOS (twin)","family":"mortar","size":120,"caliberMm":120,"pen":2,"damageType":"HighExplosive","damage":214,"burst":4,"burstInterval":0.25,"cooldown":14.607,"range":60,"minRange":10,"projectileSpeed":60,"splash":5,"spread":4.5,"impactTier":"Large","projectileModel":"mortar_bomb","mrsi":true}</t>
        </is>
      </c>
    </row>
    <row r="10">
      <c r="A10" t="inlineStr">
        <is>
          <t>anti_ship_missile</t>
        </is>
      </c>
      <c r="B10" t="inlineStr">
        <is>
          <t>NSM / P-800 Oniks</t>
        </is>
      </c>
      <c r="C10" t="inlineStr">
        <is>
          <t>msl_nsm_p_800_oniks</t>
        </is>
      </c>
      <c r="D10" t="inlineStr"/>
      <c r="E10" t="inlineStr">
        <is>
          <t>nsm_oniks</t>
        </is>
      </c>
      <c r="F10" t="inlineStr">
        <is>
          <t>missile</t>
        </is>
      </c>
      <c r="G10" t="inlineStr"/>
      <c r="H10" t="n">
        <v>250</v>
      </c>
      <c r="I10" t="inlineStr"/>
      <c r="J10" t="inlineStr"/>
      <c r="K10" t="inlineStr">
        <is>
          <t>HighExplosive</t>
        </is>
      </c>
      <c r="L10" t="n">
        <v>4</v>
      </c>
      <c r="M10" t="inlineStr">
        <is>
          <t>Missile</t>
        </is>
      </c>
      <c r="N10" t="n">
        <v>1</v>
      </c>
      <c r="O10" t="inlineStr">
        <is>
          <t>RIPPLE</t>
        </is>
      </c>
      <c r="P10" t="n">
        <v>1</v>
      </c>
      <c r="Q10" t="n">
        <v>0.1</v>
      </c>
      <c r="R10" t="n">
        <v>30</v>
      </c>
      <c r="S10" t="n">
        <v>0</v>
      </c>
      <c r="T10" t="n">
        <v>0</v>
      </c>
      <c r="U10" t="n">
        <v>0</v>
      </c>
      <c r="V10" t="n">
        <v>0</v>
      </c>
      <c r="W10" t="n">
        <v>450</v>
      </c>
      <c r="X10" t="n">
        <v>7</v>
      </c>
      <c r="Y10" t="n">
        <v>0</v>
      </c>
      <c r="Z10" t="n">
        <v>225</v>
      </c>
      <c r="AA10" t="n">
        <v>140</v>
      </c>
      <c r="AB10" t="n">
        <v>0</v>
      </c>
      <c r="AC10" t="inlineStr">
        <is>
          <t>Ground</t>
        </is>
      </c>
      <c r="AD10" t="inlineStr"/>
      <c r="AE10" t="n">
        <v>0</v>
      </c>
      <c r="AF10" t="inlineStr">
        <is>
          <t>Huge</t>
        </is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n">
        <v>680</v>
      </c>
      <c r="AO10" t="n">
        <v>0</v>
      </c>
      <c r="AP10" t="inlineStr">
        <is>
          <t>T4</t>
        </is>
      </c>
      <c r="AQ10" t="inlineStr"/>
      <c r="AR10" t="inlineStr"/>
      <c r="AS10" t="inlineStr"/>
      <c r="AT10" t="inlineStr"/>
      <c r="AU10" t="n">
        <v>0</v>
      </c>
      <c r="AV10" t="inlineStr"/>
      <c r="AW10" t="n">
        <v>2.5</v>
      </c>
      <c r="AX10" t="b">
        <v>0</v>
      </c>
      <c r="AY10" t="inlineStr"/>
      <c r="AZ10">
        <f>IF(AND($AX$10,$AW$10&gt;$AA$10/$Z$10),$AW$10,$AA$10/$Z$10)</f>
        <v/>
      </c>
      <c r="BA10" t="n">
        <v>0.6222222222222222</v>
      </c>
      <c r="BB10" t="n">
        <v>20</v>
      </c>
      <c r="BC10" t="n">
        <v>6</v>
      </c>
      <c r="BD10" t="inlineStr">
        <is>
          <t>missile</t>
        </is>
      </c>
      <c r="BE10" t="inlineStr">
        <is>
          <t>cruise missiles: ~3 s between launches (est.)</t>
        </is>
      </c>
      <c r="BG10" t="inlineStr">
        <is>
          <t>doi</t>
        </is>
      </c>
      <c r="BR10" t="n">
        <v>30</v>
      </c>
      <c r="BS10" t="n">
        <v>225</v>
      </c>
      <c r="DD10" t="n">
        <v>30</v>
      </c>
      <c r="DE10" t="n">
        <v>450</v>
      </c>
      <c r="DF10" t="inlineStr">
        <is>
          <t>HighExplosive</t>
        </is>
      </c>
      <c r="DJ10" t="inlineStr">
        <is>
          <t>missile</t>
        </is>
      </c>
      <c r="DS10" t="inlineStr">
        <is>
          <t>Huge</t>
        </is>
      </c>
      <c r="EB10" t="n">
        <v>4</v>
      </c>
      <c r="EH10" t="inlineStr">
        <is>
          <t>Missile</t>
        </is>
      </c>
      <c r="EI10" t="inlineStr">
        <is>
          <t>nsm_oniks</t>
        </is>
      </c>
      <c r="EK10" t="n">
        <v>30</v>
      </c>
      <c r="EP10" t="n">
        <v>140</v>
      </c>
      <c r="EQ10" t="inlineStr">
        <is>
          <t>NSM / P-800 Oniks</t>
        </is>
      </c>
      <c r="ET10" t="n">
        <v>3.17</v>
      </c>
      <c r="EX10" t="n">
        <v>680</v>
      </c>
      <c r="EY10" t="n">
        <v>7</v>
      </c>
      <c r="FZ10" t="n">
        <v>250</v>
      </c>
      <c r="GA10" t="inlineStr">
        <is>
          <t>nsm_oniks</t>
        </is>
      </c>
      <c r="GB10" t="inlineStr">
        <is>
          <t>msl_nsm_p_800_oniks</t>
        </is>
      </c>
      <c r="GD10" t="inlineStr">
        <is>
          <t>Assets/MachineBrigade/Resources/Data/balance.json: weapons[292]</t>
        </is>
      </c>
      <c r="GE10" t="inlineStr">
        <is>
          <t>{"id":"anti_ship_missile","weaponFamilyId":"msl_nsm_p_800_oniks","real":"NSM / P-800 Oniks","weaponFamily":"nsm_oniks","family":"missile","size":680,"warheadKg":250,"pen":4,"damageType":"HighExplosive","damage":450,"cooldown":30,"range":140,"projectileSpeed":30,"splash":7,"impactTier":"Huge","projectile":"Missile","projectileModel":"nsm_oniks","roundLength":3.17}</t>
        </is>
      </c>
    </row>
    <row r="11">
      <c r="A11" t="inlineStr">
        <is>
          <t>apkws_rocket</t>
        </is>
      </c>
      <c r="B11" t="inlineStr">
        <is>
          <t>APKWS (laser-guided Hydra 70)</t>
        </is>
      </c>
      <c r="C11" t="inlineStr">
        <is>
          <t>rkt_70_80</t>
        </is>
      </c>
      <c r="D11" t="inlineStr">
        <is>
          <t>guided</t>
        </is>
      </c>
      <c r="E11" t="inlineStr">
        <is>
          <t>apkws</t>
        </is>
      </c>
      <c r="F11" t="inlineStr">
        <is>
          <t>rocket</t>
        </is>
      </c>
      <c r="G11" t="n">
        <v>70</v>
      </c>
      <c r="H11" t="inlineStr"/>
      <c r="I11" t="inlineStr"/>
      <c r="J11" t="inlineStr"/>
      <c r="K11" t="inlineStr">
        <is>
          <t>ShapedCharge</t>
        </is>
      </c>
      <c r="L11" t="n">
        <v>2</v>
      </c>
      <c r="M11" t="inlineStr">
        <is>
          <t>Rocket</t>
        </is>
      </c>
      <c r="N11" t="n">
        <v>1</v>
      </c>
      <c r="O11" t="inlineStr">
        <is>
          <t>RIPPLE</t>
        </is>
      </c>
      <c r="P11" t="n">
        <v>1</v>
      </c>
      <c r="Q11" t="n">
        <v>0.1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90</v>
      </c>
      <c r="X11" t="n">
        <v>2</v>
      </c>
      <c r="Y11" t="n">
        <v>0</v>
      </c>
      <c r="Z11" t="n">
        <v>180</v>
      </c>
      <c r="AA11" t="n">
        <v>40</v>
      </c>
      <c r="AB11" t="n">
        <v>0</v>
      </c>
      <c r="AC11" t="inlineStr">
        <is>
          <t>All</t>
        </is>
      </c>
      <c r="AD11" t="inlineStr"/>
      <c r="AE11" t="n">
        <v>0</v>
      </c>
      <c r="AF11" t="inlineStr">
        <is>
          <t>Medium</t>
        </is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n">
        <v>70</v>
      </c>
      <c r="AO11" t="n">
        <v>0</v>
      </c>
      <c r="AP11" t="inlineStr">
        <is>
          <t>T2</t>
        </is>
      </c>
      <c r="AQ11" t="inlineStr"/>
      <c r="AR11" t="inlineStr"/>
      <c r="AS11" t="inlineStr">
        <is>
          <t>xe</t>
        </is>
      </c>
      <c r="AT11" t="inlineStr">
        <is>
          <t>attack_helicopter</t>
        </is>
      </c>
      <c r="AU11" t="n">
        <v>1</v>
      </c>
      <c r="AV11" t="inlineStr">
        <is>
          <t>attack_helicopter:4</t>
        </is>
      </c>
      <c r="AW11" t="n">
        <v>0</v>
      </c>
      <c r="AX11" t="b">
        <v>0</v>
      </c>
      <c r="AY11" t="inlineStr"/>
      <c r="AZ11">
        <f>IF(AND($AX$11,$AW$11&gt;$AA$11/$Z$11),$AW$11,$AA$11/$Z$11)</f>
        <v/>
      </c>
      <c r="BA11" t="n">
        <v>0.2222222222222222</v>
      </c>
      <c r="BB11" t="n">
        <v>900</v>
      </c>
      <c r="BC11" t="inlineStr"/>
      <c r="BD11" t="inlineStr">
        <is>
          <t>rocket</t>
        </is>
      </c>
      <c r="BE11" t="inlineStr">
        <is>
          <t>rocket pods: ripples of 0.05-0.12 s (DECISIONS 19R)</t>
        </is>
      </c>
      <c r="BG11" t="inlineStr">
        <is>
          <t>doi</t>
        </is>
      </c>
      <c r="BR11" t="n">
        <v>45</v>
      </c>
      <c r="BS11" t="n">
        <v>180</v>
      </c>
      <c r="CT11" t="n">
        <v>70</v>
      </c>
      <c r="DD11" t="n">
        <v>1</v>
      </c>
      <c r="DE11" t="n">
        <v>90</v>
      </c>
      <c r="DF11" t="inlineStr">
        <is>
          <t>ShapedCharge</t>
        </is>
      </c>
      <c r="DJ11" t="inlineStr">
        <is>
          <t>rocket</t>
        </is>
      </c>
      <c r="DS11" t="inlineStr">
        <is>
          <t>Medium</t>
        </is>
      </c>
      <c r="EB11" t="n">
        <v>2</v>
      </c>
      <c r="EH11" t="inlineStr">
        <is>
          <t>Rocket</t>
        </is>
      </c>
      <c r="EI11" t="inlineStr">
        <is>
          <t>apkws</t>
        </is>
      </c>
      <c r="EK11" t="n">
        <v>45</v>
      </c>
      <c r="EP11" t="n">
        <v>40</v>
      </c>
      <c r="EQ11" t="inlineStr">
        <is>
          <t>APKWS (laser-guided Hydra 70)</t>
        </is>
      </c>
      <c r="ET11" t="n">
        <v>0.8</v>
      </c>
      <c r="EX11" t="n">
        <v>70</v>
      </c>
      <c r="EY11" t="n">
        <v>2</v>
      </c>
      <c r="FW11" t="inlineStr">
        <is>
          <t>All</t>
        </is>
      </c>
      <c r="GA11" t="inlineStr">
        <is>
          <t>apkws</t>
        </is>
      </c>
      <c r="GB11" t="inlineStr">
        <is>
          <t>rkt_70_80</t>
        </is>
      </c>
      <c r="GC11" t="inlineStr">
        <is>
          <t>guided</t>
        </is>
      </c>
      <c r="GD11" t="inlineStr">
        <is>
          <t>Assets/MachineBrigade/Resources/Data/balance.json: weapons[291]</t>
        </is>
      </c>
      <c r="GE11" t="inlineStr">
        <is>
          <t>{"id":"apkws_rocket","weaponFamilyId":"rkt_70_80","weaponVariantId":"guided","real":"APKWS (laser-guided Hydra 70)","weaponFamily":"apkws","family":"rocket","size":70,"caliberMm":70,"pen":2,"damageType":"ShapedCharge","damage":90,"cooldown":1,"range":40,"projectileSpeed":45,"splash":2,"impactTier":"Medium","projectile":"Rocket","projectileModel":"apkws","roundLength":0.8,"targets":"All"}</t>
        </is>
      </c>
    </row>
    <row r="12">
      <c r="A12" t="inlineStr">
        <is>
          <t>atgm</t>
        </is>
      </c>
      <c r="B12" t="inlineStr">
        <is>
          <t>BGM-71 TOW-2</t>
        </is>
      </c>
      <c r="C12" t="inlineStr">
        <is>
          <t>atgm_bgm_71_tow_2</t>
        </is>
      </c>
      <c r="D12" t="inlineStr"/>
      <c r="E12" t="inlineStr"/>
      <c r="F12" t="inlineStr">
        <is>
          <t>atgm</t>
        </is>
      </c>
      <c r="G12" t="inlineStr"/>
      <c r="H12" t="n">
        <v>5.9</v>
      </c>
      <c r="I12" t="inlineStr"/>
      <c r="J12" t="inlineStr"/>
      <c r="K12" t="inlineStr">
        <is>
          <t>ShapedCharge</t>
        </is>
      </c>
      <c r="L12" t="n">
        <v>4</v>
      </c>
      <c r="M12" t="inlineStr">
        <is>
          <t>Missile</t>
        </is>
      </c>
      <c r="N12" t="n">
        <v>1</v>
      </c>
      <c r="O12" t="inlineStr">
        <is>
          <t>RIPPLE</t>
        </is>
      </c>
      <c r="P12" t="n">
        <v>1</v>
      </c>
      <c r="Q12" t="n">
        <v>0.1</v>
      </c>
      <c r="R12" t="n">
        <v>12.33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n">
        <v>0</v>
      </c>
      <c r="Y12" t="n">
        <v>0</v>
      </c>
      <c r="Z12" t="n">
        <v>80</v>
      </c>
      <c r="AA12" t="n">
        <v>40</v>
      </c>
      <c r="AB12" t="n">
        <v>0</v>
      </c>
      <c r="AC12" t="inlineStr">
        <is>
          <t>Ground</t>
        </is>
      </c>
      <c r="AD12" t="inlineStr"/>
      <c r="AE12" t="n">
        <v>0</v>
      </c>
      <c r="AF12" t="inlineStr">
        <is>
          <t>Medium</t>
        </is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n">
        <v>22.6</v>
      </c>
      <c r="AO12" t="n">
        <v>0</v>
      </c>
      <c r="AP12" t="inlineStr">
        <is>
          <t>T2</t>
        </is>
      </c>
      <c r="AQ12" t="inlineStr"/>
      <c r="AR12" t="inlineStr"/>
      <c r="AS12" t="inlineStr">
        <is>
          <t>xe</t>
        </is>
      </c>
      <c r="AT12" t="inlineStr">
        <is>
          <t>elite_apc;ifv;titan_tank</t>
        </is>
      </c>
      <c r="AU12" t="n">
        <v>3</v>
      </c>
      <c r="AV12" t="inlineStr">
        <is>
          <t>elite_apc:2;ifv:2;titan_tank:3</t>
        </is>
      </c>
      <c r="AW12" t="n">
        <v>0</v>
      </c>
      <c r="AX12" t="b">
        <v>0</v>
      </c>
      <c r="AY12" t="inlineStr"/>
      <c r="AZ12">
        <f>IF(AND($AX$12,$AW$12&gt;$AA$12/$Z$12),$AW$12,$AA$12/$Z$12)</f>
        <v/>
      </c>
      <c r="BA12" t="n">
        <v>0.5</v>
      </c>
      <c r="BB12" t="n">
        <v>3</v>
      </c>
      <c r="BC12" t="n">
        <v>2</v>
      </c>
      <c r="BD12" t="inlineStr">
        <is>
          <t>atgm</t>
        </is>
      </c>
      <c r="BE12" t="inlineStr">
        <is>
          <t>Wikipedia 'BGM-71 TOW': ~3 rpm</t>
        </is>
      </c>
      <c r="BG12" t="inlineStr">
        <is>
          <t>doi</t>
        </is>
      </c>
      <c r="BR12" t="n">
        <v>20</v>
      </c>
      <c r="BS12" t="n">
        <v>80</v>
      </c>
      <c r="DD12" t="n">
        <v>12.33</v>
      </c>
      <c r="DE12" t="n">
        <v>190</v>
      </c>
      <c r="DF12" t="inlineStr">
        <is>
          <t>ShapedCharge</t>
        </is>
      </c>
      <c r="DJ12" t="inlineStr">
        <is>
          <t>atgm</t>
        </is>
      </c>
      <c r="DS12" t="inlineStr">
        <is>
          <t>Medium</t>
        </is>
      </c>
      <c r="EB12" t="n">
        <v>4</v>
      </c>
      <c r="EE12" t="b">
        <v>1</v>
      </c>
      <c r="EH12" t="inlineStr">
        <is>
          <t>Missile</t>
        </is>
      </c>
      <c r="EI12" t="inlineStr">
        <is>
          <t>atgm_tow</t>
        </is>
      </c>
      <c r="EJ12" t="n">
        <v>0.8</v>
      </c>
      <c r="EK12" t="n">
        <v>80</v>
      </c>
      <c r="EP12" t="n">
        <v>40</v>
      </c>
      <c r="EQ12" t="inlineStr">
        <is>
          <t>BGM-71 TOW-2</t>
        </is>
      </c>
      <c r="EX12" t="n">
        <v>22.6</v>
      </c>
      <c r="FZ12" t="n">
        <v>5.9</v>
      </c>
      <c r="GB12" t="inlineStr">
        <is>
          <t>atgm_bgm_71_tow_2</t>
        </is>
      </c>
      <c r="GD12" t="inlineStr">
        <is>
          <t>Assets/MachineBrigade/Resources/Data/balance.json: weapons[13]</t>
        </is>
      </c>
      <c r="GE12" t="inlineStr">
        <is>
          <t>{"id":"atgm","weaponFamilyId":"atgm_bgm_71_tow_2","real":"BGM-71 TOW-2","family":"atgm","size":22.6,"warheadKg":5.9,"pen":4,"piercing":true,"projectileModel":"atgm_tow","projectileScale":0.8,"damageType":"ShapedCharge","damage":190,"cooldown":12.33,"range":40,"projectileSpeed":80,"impactTier":"Medium","projectile":"Missile"}</t>
        </is>
      </c>
    </row>
    <row r="13">
      <c r="A13" t="inlineStr">
        <is>
          <t>atgm_heavy</t>
        </is>
      </c>
      <c r="B13" t="inlineStr">
        <is>
          <t>9M133 Kornet</t>
        </is>
      </c>
      <c r="C13" t="inlineStr">
        <is>
          <t>atgm_kornet</t>
        </is>
      </c>
      <c r="D13" t="inlineStr"/>
      <c r="E13" t="inlineStr">
        <is>
          <t>9m133_kornet</t>
        </is>
      </c>
      <c r="F13" t="inlineStr">
        <is>
          <t>atgm</t>
        </is>
      </c>
      <c r="G13" t="inlineStr"/>
      <c r="H13" t="n">
        <v>7</v>
      </c>
      <c r="I13" t="inlineStr"/>
      <c r="J13" t="inlineStr"/>
      <c r="K13" t="inlineStr">
        <is>
          <t>ShapedCharge</t>
        </is>
      </c>
      <c r="L13" t="n">
        <v>4</v>
      </c>
      <c r="M13" t="inlineStr">
        <is>
          <t>Missile</t>
        </is>
      </c>
      <c r="N13" t="n">
        <v>1</v>
      </c>
      <c r="O13" t="inlineStr">
        <is>
          <t>RIPPLE</t>
        </is>
      </c>
      <c r="P13" t="n">
        <v>2</v>
      </c>
      <c r="Q13" t="n">
        <v>0.7</v>
      </c>
      <c r="R13" t="n">
        <v>6.8</v>
      </c>
      <c r="S13" t="n">
        <v>0</v>
      </c>
      <c r="T13" t="n">
        <v>0</v>
      </c>
      <c r="U13" t="n">
        <v>0</v>
      </c>
      <c r="V13" t="n">
        <v>0</v>
      </c>
      <c r="W13" t="n">
        <v>230</v>
      </c>
      <c r="X13" t="n">
        <v>0</v>
      </c>
      <c r="Y13" t="n">
        <v>0</v>
      </c>
      <c r="Z13" t="n">
        <v>80</v>
      </c>
      <c r="AA13" t="n">
        <v>42</v>
      </c>
      <c r="AB13" t="n">
        <v>0</v>
      </c>
      <c r="AC13" t="inlineStr">
        <is>
          <t>Ground</t>
        </is>
      </c>
      <c r="AD13" t="inlineStr"/>
      <c r="AE13" t="n">
        <v>0</v>
      </c>
      <c r="AF13" t="inlineStr">
        <is>
          <t>Medium</t>
        </is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n">
        <v>29</v>
      </c>
      <c r="AO13" t="n">
        <v>0</v>
      </c>
      <c r="AP13" t="inlineStr">
        <is>
          <t>T2</t>
        </is>
      </c>
      <c r="AQ13" t="inlineStr"/>
      <c r="AR13" t="inlineStr"/>
      <c r="AS13" t="inlineStr"/>
      <c r="AT13" t="inlineStr"/>
      <c r="AU13" t="n">
        <v>0</v>
      </c>
      <c r="AV13" t="inlineStr"/>
      <c r="AW13" t="n">
        <v>0</v>
      </c>
      <c r="AX13" t="b">
        <v>0</v>
      </c>
      <c r="AY13" t="inlineStr"/>
      <c r="AZ13">
        <f>IF(AND($AX$13,$AW$13&gt;$AA$13/$Z$13),$AW$13,$AA$13/$Z$13)</f>
        <v/>
      </c>
      <c r="BA13" t="n">
        <v>0.525</v>
      </c>
      <c r="BB13" t="n">
        <v>3</v>
      </c>
      <c r="BC13" t="n">
        <v>3</v>
      </c>
      <c r="BD13" t="inlineStr">
        <is>
          <t>atgm</t>
        </is>
      </c>
      <c r="BE13" t="inlineStr">
        <is>
          <t>Wikipedia '9M133 Kornet': 2-3 rpm</t>
        </is>
      </c>
      <c r="BG13" t="inlineStr">
        <is>
          <t>doi</t>
        </is>
      </c>
      <c r="BR13" t="n">
        <v>22</v>
      </c>
      <c r="BS13" t="n">
        <v>80</v>
      </c>
      <c r="CR13" t="n">
        <v>2</v>
      </c>
      <c r="CS13" t="n">
        <v>0.7</v>
      </c>
      <c r="DD13" t="n">
        <v>6.8</v>
      </c>
      <c r="DE13" t="n">
        <v>230</v>
      </c>
      <c r="DF13" t="inlineStr">
        <is>
          <t>ShapedCharge</t>
        </is>
      </c>
      <c r="DJ13" t="inlineStr">
        <is>
          <t>atgm</t>
        </is>
      </c>
      <c r="DS13" t="inlineStr">
        <is>
          <t>Medium</t>
        </is>
      </c>
      <c r="EB13" t="n">
        <v>4</v>
      </c>
      <c r="EE13" t="b">
        <v>1</v>
      </c>
      <c r="EH13" t="inlineStr">
        <is>
          <t>Missile</t>
        </is>
      </c>
      <c r="EP13" t="n">
        <v>42</v>
      </c>
      <c r="EQ13" t="inlineStr">
        <is>
          <t>9M133 Kornet</t>
        </is>
      </c>
      <c r="EX13" t="n">
        <v>29</v>
      </c>
      <c r="FZ13" t="n">
        <v>7</v>
      </c>
      <c r="GA13" t="inlineStr">
        <is>
          <t>9m133_kornet</t>
        </is>
      </c>
      <c r="GB13" t="inlineStr">
        <is>
          <t>atgm_kornet</t>
        </is>
      </c>
      <c r="GD13" t="inlineStr">
        <is>
          <t>Assets/MachineBrigade/Resources/Data/balance.json: weapons[34]</t>
        </is>
      </c>
      <c r="GE13" t="inlineStr">
        <is>
          <t>{"id":"atgm_heavy","weaponFamilyId":"atgm_kornet","weaponFamily":"9m133_kornet","real":"9M133 Kornet","family":"atgm","size":29,"warheadKg":7,"pen":4,"piercing":true,"damageType":"ShapedCharge","damage":230,"cooldown":6.8,"range":42,"impactTier":"Medium","projectile":"Missile","burst":2,"burstInterval":0.7}</t>
        </is>
      </c>
    </row>
    <row r="14">
      <c r="A14" t="inlineStr">
        <is>
          <t>atgm_post</t>
        </is>
      </c>
      <c r="B14" t="inlineStr">
        <is>
          <t>9M113 Konkurs</t>
        </is>
      </c>
      <c r="C14" t="inlineStr">
        <is>
          <t>atgm_9m113_konkurs</t>
        </is>
      </c>
      <c r="D14" t="inlineStr"/>
      <c r="E14" t="inlineStr"/>
      <c r="F14" t="inlineStr">
        <is>
          <t>atgm</t>
        </is>
      </c>
      <c r="G14" t="inlineStr"/>
      <c r="H14" t="n">
        <v>2.7</v>
      </c>
      <c r="I14" t="inlineStr"/>
      <c r="J14" t="inlineStr"/>
      <c r="K14" t="inlineStr">
        <is>
          <t>ShapedCharge</t>
        </is>
      </c>
      <c r="L14" t="n">
        <v>3</v>
      </c>
      <c r="M14" t="inlineStr">
        <is>
          <t>Missile</t>
        </is>
      </c>
      <c r="N14" t="n">
        <v>1</v>
      </c>
      <c r="O14" t="inlineStr">
        <is>
          <t>RIPPLE</t>
        </is>
      </c>
      <c r="P14" t="n">
        <v>1</v>
      </c>
      <c r="Q14" t="n">
        <v>0.1</v>
      </c>
      <c r="R14" t="n">
        <v>12.1</v>
      </c>
      <c r="S14" t="n">
        <v>0</v>
      </c>
      <c r="T14" t="n">
        <v>0</v>
      </c>
      <c r="U14" t="n">
        <v>0</v>
      </c>
      <c r="V14" t="n">
        <v>0</v>
      </c>
      <c r="W14" t="n">
        <v>190</v>
      </c>
      <c r="X14" t="n">
        <v>0</v>
      </c>
      <c r="Y14" t="n">
        <v>0</v>
      </c>
      <c r="Z14" t="n">
        <v>60</v>
      </c>
      <c r="AA14" t="n">
        <v>34</v>
      </c>
      <c r="AB14" t="n">
        <v>0</v>
      </c>
      <c r="AC14" t="inlineStr">
        <is>
          <t>Ground</t>
        </is>
      </c>
      <c r="AD14" t="inlineStr"/>
      <c r="AE14" t="n">
        <v>0</v>
      </c>
      <c r="AF14" t="inlineStr">
        <is>
          <t>Medium</t>
        </is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n">
        <v>25</v>
      </c>
      <c r="AO14" t="n">
        <v>0</v>
      </c>
      <c r="AP14" t="inlineStr">
        <is>
          <t>T2</t>
        </is>
      </c>
      <c r="AQ14" t="inlineStr"/>
      <c r="AR14" t="inlineStr"/>
      <c r="AS14" t="inlineStr"/>
      <c r="AT14" t="inlineStr"/>
      <c r="AU14" t="n">
        <v>0</v>
      </c>
      <c r="AV14" t="inlineStr"/>
      <c r="AW14" t="n">
        <v>0</v>
      </c>
      <c r="AX14" t="b">
        <v>0</v>
      </c>
      <c r="AY14" t="inlineStr"/>
      <c r="AZ14">
        <f>IF(AND($AX$14,$AW$14&gt;$AA$14/$Z$14),$AW$14,$AA$14/$Z$14)</f>
        <v/>
      </c>
      <c r="BA14" t="n">
        <v>0.5666666666666667</v>
      </c>
      <c r="BB14" t="n">
        <v>3</v>
      </c>
      <c r="BC14" t="n">
        <v>2</v>
      </c>
      <c r="BD14" t="inlineStr">
        <is>
          <t>atgm</t>
        </is>
      </c>
      <c r="BE14" t="inlineStr">
        <is>
          <t>Wikipedia '9M113 Konkurs': 2-3 rpm</t>
        </is>
      </c>
      <c r="BG14" t="inlineStr">
        <is>
          <t>doi</t>
        </is>
      </c>
      <c r="BR14" t="n">
        <v>19</v>
      </c>
      <c r="BS14" t="n">
        <v>60</v>
      </c>
      <c r="DD14" t="n">
        <v>12.1</v>
      </c>
      <c r="DE14" t="n">
        <v>190</v>
      </c>
      <c r="DF14" t="inlineStr">
        <is>
          <t>ShapedCharge</t>
        </is>
      </c>
      <c r="DJ14" t="inlineStr">
        <is>
          <t>atgm</t>
        </is>
      </c>
      <c r="DS14" t="inlineStr">
        <is>
          <t>Medium</t>
        </is>
      </c>
      <c r="EB14" t="n">
        <v>3</v>
      </c>
      <c r="EE14" t="b">
        <v>1</v>
      </c>
      <c r="EH14" t="inlineStr">
        <is>
          <t>Missile</t>
        </is>
      </c>
      <c r="EI14" t="inlineStr">
        <is>
          <t>atgm_kornet</t>
        </is>
      </c>
      <c r="EK14" t="n">
        <v>60</v>
      </c>
      <c r="EP14" t="n">
        <v>34</v>
      </c>
      <c r="EQ14" t="inlineStr">
        <is>
          <t>9M113 Konkurs</t>
        </is>
      </c>
      <c r="EX14" t="n">
        <v>25</v>
      </c>
      <c r="FZ14" t="n">
        <v>2.7</v>
      </c>
      <c r="GB14" t="inlineStr">
        <is>
          <t>atgm_9m113_konkurs</t>
        </is>
      </c>
      <c r="GD14" t="inlineStr">
        <is>
          <t>Assets/MachineBrigade/Resources/Data/balance.json: weapons[237]</t>
        </is>
      </c>
      <c r="GE14" t="inlineStr">
        <is>
          <t>{"id":"atgm_post","weaponFamilyId":"atgm_9m113_konkurs","real":"9M113 Konkurs","family":"atgm","size":25,"warheadKg":2.7,"pen":3,"piercing":true,"projectileModel":"atgm_kornet","damageType":"ShapedCharge","damage":190,"cooldown":12.1,"range":34,"projectileSpeed":60,"impactTier":"Medium","projectile":"Missile"}</t>
        </is>
      </c>
    </row>
    <row r="15">
      <c r="A15" t="inlineStr">
        <is>
          <t>autocannon_25</t>
        </is>
      </c>
      <c r="B15" t="inlineStr">
        <is>
          <t>M242 Bushmaster 25 mm</t>
        </is>
      </c>
      <c r="C15" t="inlineStr">
        <is>
          <t>cal_25</t>
        </is>
      </c>
      <c r="D15" t="inlineStr"/>
      <c r="E15" t="inlineStr">
        <is>
          <t>m242_bushmaster_25_mm</t>
        </is>
      </c>
      <c r="F15" t="inlineStr">
        <is>
          <t>autocannon</t>
        </is>
      </c>
      <c r="G15" t="n">
        <v>25</v>
      </c>
      <c r="H15" t="inlineStr"/>
      <c r="I15" t="inlineStr"/>
      <c r="J15" t="inlineStr"/>
      <c r="K15" t="inlineStr">
        <is>
          <t>Kinetic</t>
        </is>
      </c>
      <c r="L15" t="n">
        <v>2</v>
      </c>
      <c r="M15" t="inlineStr">
        <is>
          <t>Bullet</t>
        </is>
      </c>
      <c r="N15" t="n">
        <v>1</v>
      </c>
      <c r="O15" t="inlineStr">
        <is>
          <t>RIPPLE</t>
        </is>
      </c>
      <c r="P15" t="n">
        <v>8</v>
      </c>
      <c r="Q15" t="n">
        <v>0.1667</v>
      </c>
      <c r="R15" t="n">
        <v>1.4667</v>
      </c>
      <c r="S15" t="n">
        <v>0</v>
      </c>
      <c r="T15" t="n">
        <v>0</v>
      </c>
      <c r="U15" t="n">
        <v>0</v>
      </c>
      <c r="V15" t="n">
        <v>0</v>
      </c>
      <c r="W15" t="n">
        <v>17</v>
      </c>
      <c r="X15" t="n">
        <v>0</v>
      </c>
      <c r="Y15" t="n">
        <v>0</v>
      </c>
      <c r="Z15" t="n">
        <v>210</v>
      </c>
      <c r="AA15" t="n">
        <v>30</v>
      </c>
      <c r="AB15" t="n">
        <v>0</v>
      </c>
      <c r="AC15" t="inlineStr">
        <is>
          <t>Ground</t>
        </is>
      </c>
      <c r="AD15" t="inlineStr"/>
      <c r="AE15" t="n">
        <v>0.9</v>
      </c>
      <c r="AF15" t="inlineStr">
        <is>
          <t>Small</t>
        </is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n">
        <v>25</v>
      </c>
      <c r="AO15" t="n">
        <v>0</v>
      </c>
      <c r="AP15" t="inlineStr">
        <is>
          <t>T1</t>
        </is>
      </c>
      <c r="AQ15" t="inlineStr"/>
      <c r="AR15" t="inlineStr">
        <is>
          <t>autocannon_25_flak</t>
        </is>
      </c>
      <c r="AS15" t="inlineStr">
        <is>
          <t>thap;xe</t>
        </is>
      </c>
      <c r="AT15" t="inlineStr">
        <is>
          <t>armored_car;guard_tower.nest</t>
        </is>
      </c>
      <c r="AU15" t="n">
        <v>2</v>
      </c>
      <c r="AV15" t="inlineStr">
        <is>
          <t>armored_car:0;guard_tower.nest:other</t>
        </is>
      </c>
      <c r="AW15" t="n">
        <v>0</v>
      </c>
      <c r="AX15" t="b">
        <v>0</v>
      </c>
      <c r="AY15" t="inlineStr"/>
      <c r="AZ15">
        <f>IF(AND($AX$15,$AW$15&gt;$AA$15/$Z$15),$AW$15,$AA$15/$Z$15)</f>
        <v/>
      </c>
      <c r="BA15" t="n">
        <v>0.1428571428571428</v>
      </c>
      <c r="BB15" t="n">
        <v>500</v>
      </c>
      <c r="BC15" t="n">
        <v>200</v>
      </c>
      <c r="BD15" t="inlineStr">
        <is>
          <t>ac</t>
        </is>
      </c>
      <c r="BE15" t="inlineStr">
        <is>
          <t>Wikipedia 'M242 Bushmaster': 200 or 500 rpm</t>
        </is>
      </c>
      <c r="BG15" t="inlineStr">
        <is>
          <t>giong</t>
        </is>
      </c>
      <c r="CR15" t="n">
        <v>8</v>
      </c>
      <c r="CS15" t="n">
        <v>0.1667</v>
      </c>
      <c r="CT15" t="n">
        <v>25</v>
      </c>
      <c r="DD15" t="n">
        <v>1.4667</v>
      </c>
      <c r="DE15" t="n">
        <v>17</v>
      </c>
      <c r="DF15" t="inlineStr">
        <is>
          <t>Kinetic</t>
        </is>
      </c>
      <c r="DJ15" t="inlineStr">
        <is>
          <t>autocannon</t>
        </is>
      </c>
      <c r="DS15" t="inlineStr">
        <is>
          <t>Small</t>
        </is>
      </c>
      <c r="EB15" t="n">
        <v>2</v>
      </c>
      <c r="EH15" t="inlineStr">
        <is>
          <t>Bullet</t>
        </is>
      </c>
      <c r="EP15" t="n">
        <v>30</v>
      </c>
      <c r="EQ15" t="inlineStr">
        <is>
          <t>M242 Bushmaster 25 mm</t>
        </is>
      </c>
      <c r="EV15" t="n">
        <v>22</v>
      </c>
      <c r="EX15" t="n">
        <v>25</v>
      </c>
      <c r="EZ15" t="n">
        <v>0.9</v>
      </c>
      <c r="FW15" t="inlineStr">
        <is>
          <t>Ground</t>
        </is>
      </c>
      <c r="GA15" t="inlineStr">
        <is>
          <t>m242_bushmaster_25_mm</t>
        </is>
      </c>
      <c r="GB15" t="inlineStr">
        <is>
          <t>cal_25</t>
        </is>
      </c>
      <c r="GD15" t="inlineStr">
        <is>
          <t>Assets/MachineBrigade/Resources/Data/balance.json: weapons[25]</t>
        </is>
      </c>
      <c r="GE15" t="inlineStr">
        <is>
          <t>{"id":"autocannon_25","weaponFamilyId":"cal_25","weaponFamily":"m242_bushmaster_25_mm","burstInterval":0.1667,"burst":8,"real":"M242 Bushmaster 25 mm","family":"autocannon","size":25,"caliberMm":25,"pen":2,"damageType":"Kinetic","damage":17,"cooldown":1.4667,"range":30,"spread":0.9,"impactTier":"Small","projectile":"Bullet","targets":"Ground","roundWeight":22}</t>
        </is>
      </c>
    </row>
    <row r="16">
      <c r="A16" t="inlineStr">
        <is>
          <t>autocannon_25_flak</t>
        </is>
      </c>
      <c r="B16" t="inlineStr">
        <is>
          <t>M242 Bushmaster 25 mm air-burst</t>
        </is>
      </c>
      <c r="C16" t="inlineStr">
        <is>
          <t>cal_25</t>
        </is>
      </c>
      <c r="D16" t="inlineStr">
        <is>
          <t>flak</t>
        </is>
      </c>
      <c r="E16" t="inlineStr">
        <is>
          <t>m242_bushmaster_25_mm_air_burst</t>
        </is>
      </c>
      <c r="F16" t="inlineStr">
        <is>
          <t>autocannon</t>
        </is>
      </c>
      <c r="G16" t="n">
        <v>25</v>
      </c>
      <c r="H16" t="inlineStr"/>
      <c r="I16" t="inlineStr"/>
      <c r="J16" t="inlineStr"/>
      <c r="K16" t="inlineStr">
        <is>
          <t>Fragmentation</t>
        </is>
      </c>
      <c r="L16" t="n">
        <v>1</v>
      </c>
      <c r="M16" t="inlineStr">
        <is>
          <t>Bullet</t>
        </is>
      </c>
      <c r="N16" t="n">
        <v>1</v>
      </c>
      <c r="O16" t="inlineStr">
        <is>
          <t>RIPPLE</t>
        </is>
      </c>
      <c r="P16" t="n">
        <v>8</v>
      </c>
      <c r="Q16" t="n">
        <v>0.1667</v>
      </c>
      <c r="R16" t="n">
        <v>1.4667</v>
      </c>
      <c r="S16" t="n">
        <v>0</v>
      </c>
      <c r="T16" t="n">
        <v>0</v>
      </c>
      <c r="U16" t="n">
        <v>0</v>
      </c>
      <c r="V16" t="n">
        <v>0</v>
      </c>
      <c r="W16" t="n">
        <v>17</v>
      </c>
      <c r="X16" t="n">
        <v>2</v>
      </c>
      <c r="Y16" t="n">
        <v>0</v>
      </c>
      <c r="Z16" t="n">
        <v>210</v>
      </c>
      <c r="AA16" t="n">
        <v>30</v>
      </c>
      <c r="AB16" t="n">
        <v>0</v>
      </c>
      <c r="AC16" t="inlineStr">
        <is>
          <t>Air</t>
        </is>
      </c>
      <c r="AD16" t="inlineStr"/>
      <c r="AE16" t="n">
        <v>0.9</v>
      </c>
      <c r="AF16" t="inlineStr">
        <is>
          <t>Small</t>
        </is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n">
        <v>25</v>
      </c>
      <c r="AO16" t="n">
        <v>0</v>
      </c>
      <c r="AP16" t="inlineStr">
        <is>
          <t>T1</t>
        </is>
      </c>
      <c r="AQ16" t="inlineStr">
        <is>
          <t>autocannon_25</t>
        </is>
      </c>
      <c r="AR16" t="inlineStr"/>
      <c r="AS16" t="inlineStr"/>
      <c r="AT16" t="inlineStr"/>
      <c r="AU16" t="n">
        <v>0</v>
      </c>
      <c r="AV16" t="inlineStr"/>
      <c r="AW16" t="n">
        <v>0</v>
      </c>
      <c r="AX16" t="b">
        <v>0</v>
      </c>
      <c r="AY16" t="inlineStr"/>
      <c r="AZ16">
        <f>IF(AND($AX$16,$AW$16&gt;$AA$16/$Z$16),$AW$16,$AA$16/$Z$16)</f>
        <v/>
      </c>
      <c r="BA16" t="n">
        <v>0.1428571428571428</v>
      </c>
      <c r="BB16" t="n">
        <v>500</v>
      </c>
      <c r="BC16" t="n">
        <v>200</v>
      </c>
      <c r="BD16" t="inlineStr">
        <is>
          <t>ac</t>
        </is>
      </c>
      <c r="BE16" t="inlineStr">
        <is>
          <t>Wikipedia 'M242 Bushmaster': 200 or 500 rpm</t>
        </is>
      </c>
      <c r="BG16" t="inlineStr">
        <is>
          <t>giong</t>
        </is>
      </c>
      <c r="DE16" t="n">
        <v>17</v>
      </c>
      <c r="DF16" t="inlineStr">
        <is>
          <t>Fragmentation</t>
        </is>
      </c>
      <c r="DM16" t="inlineStr">
        <is>
          <t>air</t>
        </is>
      </c>
      <c r="DN16" t="inlineStr">
        <is>
          <t>Airburst</t>
        </is>
      </c>
      <c r="DT16" t="inlineStr">
        <is>
          <t>autocannon_25</t>
        </is>
      </c>
      <c r="EB16" t="n">
        <v>1</v>
      </c>
      <c r="EE16" t="b">
        <v>0</v>
      </c>
      <c r="EQ16" t="inlineStr">
        <is>
          <t>M242 Bushmaster 25 mm air-burst</t>
        </is>
      </c>
      <c r="ES16" t="inlineStr">
        <is>
          <t>flak</t>
        </is>
      </c>
      <c r="EU16" t="inlineStr">
        <is>
          <t>autocannon_25</t>
        </is>
      </c>
      <c r="EY16" t="n">
        <v>2</v>
      </c>
      <c r="FW16" t="inlineStr">
        <is>
          <t>Air</t>
        </is>
      </c>
      <c r="GA16" t="inlineStr">
        <is>
          <t>m242_bushmaster_25_mm_air_burst</t>
        </is>
      </c>
      <c r="GC16" t="inlineStr">
        <is>
          <t>flak</t>
        </is>
      </c>
      <c r="GD16" t="inlineStr">
        <is>
          <t>Assets/MachineBrigade/Resources/Data/balance.json: secondRounds.rounds[1]</t>
        </is>
      </c>
      <c r="GE16" t="inlineStr">
        <is>
          <t>{"id":"autocannon_25_flak","roundOf":"autocannon_25","inherits":"autocannon_25","weaponVariantId":"flak","weaponFamily":"m242_bushmaster_25_mm_air_burst","round":"flak","for":["air"],"real":"M242 Bushmaster 25 mm air-burst","damageType":"Fragmentation","pen":1,"damage":17,"splash":2,"form":"Airburst","piercing":false,"targets":"Air"}</t>
        </is>
      </c>
    </row>
    <row r="17">
      <c r="A17" t="inlineStr">
        <is>
          <t>autocannon_30</t>
        </is>
      </c>
      <c r="B17" t="inlineStr">
        <is>
          <t>2A42 30 mm</t>
        </is>
      </c>
      <c r="C17" t="inlineStr">
        <is>
          <t>cal_30</t>
        </is>
      </c>
      <c r="D17" t="inlineStr"/>
      <c r="E17" t="inlineStr">
        <is>
          <t>2a42_30_mm</t>
        </is>
      </c>
      <c r="F17" t="inlineStr">
        <is>
          <t>autocannon</t>
        </is>
      </c>
      <c r="G17" t="n">
        <v>30</v>
      </c>
      <c r="H17" t="inlineStr"/>
      <c r="I17" t="inlineStr"/>
      <c r="J17" t="inlineStr"/>
      <c r="K17" t="inlineStr">
        <is>
          <t>Kinetic</t>
        </is>
      </c>
      <c r="L17" t="n">
        <v>2</v>
      </c>
      <c r="M17" t="inlineStr">
        <is>
          <t>Bullet</t>
        </is>
      </c>
      <c r="N17" t="n">
        <v>1</v>
      </c>
      <c r="O17" t="inlineStr">
        <is>
          <t>RIPPLE</t>
        </is>
      </c>
      <c r="P17" t="n">
        <v>10</v>
      </c>
      <c r="Q17" t="n">
        <v>0.1111</v>
      </c>
      <c r="R17" t="n">
        <v>1.6111</v>
      </c>
      <c r="S17" t="n">
        <v>0</v>
      </c>
      <c r="T17" t="n">
        <v>0</v>
      </c>
      <c r="U17" t="n">
        <v>0</v>
      </c>
      <c r="V17" t="n">
        <v>0</v>
      </c>
      <c r="W17" t="n">
        <v>22</v>
      </c>
      <c r="X17" t="n">
        <v>0</v>
      </c>
      <c r="Y17" t="n">
        <v>0</v>
      </c>
      <c r="Z17" t="n">
        <v>200</v>
      </c>
      <c r="AA17" t="n">
        <v>30</v>
      </c>
      <c r="AB17" t="n">
        <v>0</v>
      </c>
      <c r="AC17" t="inlineStr">
        <is>
          <t>Ground</t>
        </is>
      </c>
      <c r="AD17" t="inlineStr"/>
      <c r="AE17" t="n">
        <v>0.8</v>
      </c>
      <c r="AF17" t="inlineStr">
        <is>
          <t>Small</t>
        </is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n">
        <v>30</v>
      </c>
      <c r="AO17" t="n">
        <v>0</v>
      </c>
      <c r="AP17" t="inlineStr">
        <is>
          <t>T1</t>
        </is>
      </c>
      <c r="AQ17" t="inlineStr"/>
      <c r="AR17" t="inlineStr">
        <is>
          <t>autocannon_30_flak</t>
        </is>
      </c>
      <c r="AS17" t="inlineStr">
        <is>
          <t>boss_part;xe</t>
        </is>
      </c>
      <c r="AT17" t="inlineStr">
        <is>
          <t>elite_apc;elite_heavy_tank;gun_30;heavy_tank</t>
        </is>
      </c>
      <c r="AU17" t="n">
        <v>4</v>
      </c>
      <c r="AV17" t="inlineStr">
        <is>
          <t>elite_apc:0;elite_heavy_tank:1;gun_30:part;heavy_tank:1</t>
        </is>
      </c>
      <c r="AW17" t="n">
        <v>0</v>
      </c>
      <c r="AX17" t="b">
        <v>0</v>
      </c>
      <c r="AY17" t="inlineStr"/>
      <c r="AZ17">
        <f>IF(AND($AX$17,$AW$17&gt;$AA$17/$Z$17),$AW$17,$AA$17/$Z$17)</f>
        <v/>
      </c>
      <c r="BA17" t="n">
        <v>0.15</v>
      </c>
      <c r="BB17" t="n">
        <v>800</v>
      </c>
      <c r="BC17" t="n">
        <v>300</v>
      </c>
      <c r="BD17" t="inlineStr">
        <is>
          <t>ac</t>
        </is>
      </c>
      <c r="BE17" t="inlineStr">
        <is>
          <t>Wikipedia '2A42': 550-800 high, 200-300 low rpm</t>
        </is>
      </c>
      <c r="BG17" t="inlineStr">
        <is>
          <t>giong</t>
        </is>
      </c>
      <c r="CR17" t="n">
        <v>10</v>
      </c>
      <c r="CS17" t="n">
        <v>0.1111</v>
      </c>
      <c r="CT17" t="n">
        <v>30</v>
      </c>
      <c r="DD17" t="n">
        <v>1.6111</v>
      </c>
      <c r="DE17" t="n">
        <v>22</v>
      </c>
      <c r="DF17" t="inlineStr">
        <is>
          <t>Kinetic</t>
        </is>
      </c>
      <c r="DJ17" t="inlineStr">
        <is>
          <t>autocannon</t>
        </is>
      </c>
      <c r="DS17" t="inlineStr">
        <is>
          <t>Small</t>
        </is>
      </c>
      <c r="EB17" t="n">
        <v>2</v>
      </c>
      <c r="EH17" t="inlineStr">
        <is>
          <t>Bullet</t>
        </is>
      </c>
      <c r="EP17" t="n">
        <v>30</v>
      </c>
      <c r="EQ17" t="inlineStr">
        <is>
          <t>2A42 30 mm</t>
        </is>
      </c>
      <c r="EX17" t="n">
        <v>30</v>
      </c>
      <c r="EZ17" t="n">
        <v>0.8</v>
      </c>
      <c r="FW17" t="inlineStr">
        <is>
          <t>Ground</t>
        </is>
      </c>
      <c r="GA17" t="inlineStr">
        <is>
          <t>2a42_30_mm</t>
        </is>
      </c>
      <c r="GB17" t="inlineStr">
        <is>
          <t>cal_30</t>
        </is>
      </c>
      <c r="GD17" t="inlineStr">
        <is>
          <t>Assets/MachineBrigade/Resources/Data/balance.json: weapons[8]</t>
        </is>
      </c>
      <c r="GE17" t="inlineStr">
        <is>
          <t>{"id":"autocannon_30","weaponFamilyId":"cal_30","weaponFamily":"2a42_30_mm","burstInterval":0.1111,"burst":10,"real":"2A42 30 mm","family":"autocannon","size":30,"caliberMm":30,"pen":2,"damageType":"Kinetic","damage":22,"cooldown":1.6111,"range":30,"spread":0.8,"impactTier":"Small","projectile":"Bullet","targets":"Ground"}</t>
        </is>
      </c>
    </row>
    <row r="18">
      <c r="A18" t="inlineStr">
        <is>
          <t>autocannon_30_flak</t>
        </is>
      </c>
      <c r="B18" t="inlineStr">
        <is>
          <t>2A42 30 mm air-burst</t>
        </is>
      </c>
      <c r="C18" t="inlineStr">
        <is>
          <t>cal_30</t>
        </is>
      </c>
      <c r="D18" t="inlineStr">
        <is>
          <t>flak</t>
        </is>
      </c>
      <c r="E18" t="inlineStr">
        <is>
          <t>2a42_30_mm_air_burst</t>
        </is>
      </c>
      <c r="F18" t="inlineStr">
        <is>
          <t>autocannon</t>
        </is>
      </c>
      <c r="G18" t="n">
        <v>30</v>
      </c>
      <c r="H18" t="inlineStr"/>
      <c r="I18" t="inlineStr"/>
      <c r="J18" t="inlineStr"/>
      <c r="K18" t="inlineStr">
        <is>
          <t>Fragmentation</t>
        </is>
      </c>
      <c r="L18" t="n">
        <v>2</v>
      </c>
      <c r="M18" t="inlineStr">
        <is>
          <t>Bullet</t>
        </is>
      </c>
      <c r="N18" t="n">
        <v>1</v>
      </c>
      <c r="O18" t="inlineStr">
        <is>
          <t>RIPPLE</t>
        </is>
      </c>
      <c r="P18" t="n">
        <v>10</v>
      </c>
      <c r="Q18" t="n">
        <v>0.1111</v>
      </c>
      <c r="R18" t="n">
        <v>1.6111</v>
      </c>
      <c r="S18" t="n">
        <v>0</v>
      </c>
      <c r="T18" t="n">
        <v>0</v>
      </c>
      <c r="U18" t="n">
        <v>0</v>
      </c>
      <c r="V18" t="n">
        <v>0</v>
      </c>
      <c r="W18" t="n">
        <v>22</v>
      </c>
      <c r="X18" t="n">
        <v>2.5</v>
      </c>
      <c r="Y18" t="n">
        <v>0</v>
      </c>
      <c r="Z18" t="n">
        <v>200</v>
      </c>
      <c r="AA18" t="n">
        <v>30</v>
      </c>
      <c r="AB18" t="n">
        <v>0</v>
      </c>
      <c r="AC18" t="inlineStr">
        <is>
          <t>Air</t>
        </is>
      </c>
      <c r="AD18" t="inlineStr"/>
      <c r="AE18" t="n">
        <v>0.8</v>
      </c>
      <c r="AF18" t="inlineStr">
        <is>
          <t>Small</t>
        </is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n">
        <v>30</v>
      </c>
      <c r="AO18" t="n">
        <v>0</v>
      </c>
      <c r="AP18" t="inlineStr">
        <is>
          <t>T1</t>
        </is>
      </c>
      <c r="AQ18" t="inlineStr">
        <is>
          <t>autocannon_30</t>
        </is>
      </c>
      <c r="AR18" t="inlineStr"/>
      <c r="AS18" t="inlineStr"/>
      <c r="AT18" t="inlineStr"/>
      <c r="AU18" t="n">
        <v>0</v>
      </c>
      <c r="AV18" t="inlineStr"/>
      <c r="AW18" t="n">
        <v>0</v>
      </c>
      <c r="AX18" t="b">
        <v>0</v>
      </c>
      <c r="AY18" t="inlineStr"/>
      <c r="AZ18">
        <f>IF(AND($AX$18,$AW$18&gt;$AA$18/$Z$18),$AW$18,$AA$18/$Z$18)</f>
        <v/>
      </c>
      <c r="BA18" t="n">
        <v>0.15</v>
      </c>
      <c r="BB18" t="n">
        <v>800</v>
      </c>
      <c r="BC18" t="n">
        <v>300</v>
      </c>
      <c r="BD18" t="inlineStr">
        <is>
          <t>ac</t>
        </is>
      </c>
      <c r="BE18" t="inlineStr">
        <is>
          <t>Wikipedia '2A42': 550-800 high, 200-300 low rpm</t>
        </is>
      </c>
      <c r="BG18" t="inlineStr">
        <is>
          <t>giong</t>
        </is>
      </c>
      <c r="DE18" t="n">
        <v>22</v>
      </c>
      <c r="DF18" t="inlineStr">
        <is>
          <t>Fragmentation</t>
        </is>
      </c>
      <c r="DM18" t="inlineStr">
        <is>
          <t>air</t>
        </is>
      </c>
      <c r="DN18" t="inlineStr">
        <is>
          <t>Airburst</t>
        </is>
      </c>
      <c r="DT18" t="inlineStr">
        <is>
          <t>autocannon_30</t>
        </is>
      </c>
      <c r="EB18" t="n">
        <v>2</v>
      </c>
      <c r="EE18" t="b">
        <v>0</v>
      </c>
      <c r="EQ18" t="inlineStr">
        <is>
          <t>2A42 30 mm air-burst</t>
        </is>
      </c>
      <c r="ES18" t="inlineStr">
        <is>
          <t>flak</t>
        </is>
      </c>
      <c r="EU18" t="inlineStr">
        <is>
          <t>autocannon_30</t>
        </is>
      </c>
      <c r="EY18" t="n">
        <v>2.5</v>
      </c>
      <c r="FW18" t="inlineStr">
        <is>
          <t>Air</t>
        </is>
      </c>
      <c r="GA18" t="inlineStr">
        <is>
          <t>2a42_30_mm_air_burst</t>
        </is>
      </c>
      <c r="GC18" t="inlineStr">
        <is>
          <t>flak</t>
        </is>
      </c>
      <c r="GD18" t="inlineStr">
        <is>
          <t>Assets/MachineBrigade/Resources/Data/balance.json: secondRounds.rounds[2]</t>
        </is>
      </c>
      <c r="GE18" t="inlineStr">
        <is>
          <t>{"id":"autocannon_30_flak","roundOf":"autocannon_30","inherits":"autocannon_30","weaponVariantId":"flak","weaponFamily":"2a42_30_mm_air_burst","round":"flak","for":["air"],"real":"2A42 30 mm air-burst","damageType":"Fragmentation","pen":2,"damage":22,"splash":2.5,"form":"Airburst","piercing":false,"targets":"Air"}</t>
        </is>
      </c>
    </row>
    <row r="19">
      <c r="A19" t="inlineStr">
        <is>
          <t>autocannon_40</t>
        </is>
      </c>
      <c r="B19" t="inlineStr">
        <is>
          <t>Bofors 40 mm</t>
        </is>
      </c>
      <c r="C19" t="inlineStr">
        <is>
          <t>cal_40</t>
        </is>
      </c>
      <c r="D19" t="inlineStr"/>
      <c r="E19" t="inlineStr"/>
      <c r="F19" t="inlineStr">
        <is>
          <t>autocannon</t>
        </is>
      </c>
      <c r="G19" t="n">
        <v>40</v>
      </c>
      <c r="H19" t="inlineStr"/>
      <c r="I19" t="inlineStr"/>
      <c r="J19" t="inlineStr"/>
      <c r="K19" t="inlineStr">
        <is>
          <t>Kinetic</t>
        </is>
      </c>
      <c r="L19" t="n">
        <v>2</v>
      </c>
      <c r="M19" t="inlineStr">
        <is>
          <t>Bullet</t>
        </is>
      </c>
      <c r="N19" t="n">
        <v>1</v>
      </c>
      <c r="O19" t="inlineStr">
        <is>
          <t>RIPPLE</t>
        </is>
      </c>
      <c r="P19" t="n">
        <v>1</v>
      </c>
      <c r="Q19" t="n">
        <v>0.1</v>
      </c>
      <c r="R19" t="n">
        <v>0.2</v>
      </c>
      <c r="S19" t="n">
        <v>10</v>
      </c>
      <c r="T19" t="n">
        <v>1.72</v>
      </c>
      <c r="U19" t="n">
        <v>0</v>
      </c>
      <c r="V19" t="n">
        <v>0</v>
      </c>
      <c r="W19" t="n">
        <v>30</v>
      </c>
      <c r="X19" t="n">
        <v>1</v>
      </c>
      <c r="Y19" t="n">
        <v>0</v>
      </c>
      <c r="Z19" t="n">
        <v>210</v>
      </c>
      <c r="AA19" t="n">
        <v>28</v>
      </c>
      <c r="AB19" t="n">
        <v>0</v>
      </c>
      <c r="AC19" t="inlineStr">
        <is>
          <t>All</t>
        </is>
      </c>
      <c r="AD19" t="inlineStr"/>
      <c r="AE19" t="n">
        <v>0.8</v>
      </c>
      <c r="AF19" t="inlineStr">
        <is>
          <t>Small</t>
        </is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n">
        <v>40</v>
      </c>
      <c r="AO19" t="n">
        <v>0</v>
      </c>
      <c r="AP19" t="inlineStr">
        <is>
          <t>T1</t>
        </is>
      </c>
      <c r="AQ19" t="inlineStr"/>
      <c r="AR19" t="inlineStr">
        <is>
          <t>autocannon_40_flak</t>
        </is>
      </c>
      <c r="AS19" t="inlineStr">
        <is>
          <t>boss_part</t>
        </is>
      </c>
      <c r="AT19" t="inlineStr">
        <is>
          <t>gun_40</t>
        </is>
      </c>
      <c r="AU19" t="n">
        <v>1</v>
      </c>
      <c r="AV19" t="inlineStr">
        <is>
          <t>gun_40:part</t>
        </is>
      </c>
      <c r="AW19" t="n">
        <v>0</v>
      </c>
      <c r="AX19" t="b">
        <v>0</v>
      </c>
      <c r="AY19" t="inlineStr"/>
      <c r="AZ19">
        <f>IF(AND($AX$19,$AW$19&gt;$AA$19/$Z$19),$AW$19,$AA$19/$Z$19)</f>
        <v/>
      </c>
      <c r="BA19" t="n">
        <v>0.1333333333333333</v>
      </c>
      <c r="BB19" t="n">
        <v>330</v>
      </c>
      <c r="BC19" t="n">
        <v>120</v>
      </c>
      <c r="BD19" t="inlineStr">
        <is>
          <t>aa</t>
        </is>
      </c>
      <c r="BE19" t="inlineStr">
        <is>
          <t>Wikipedia 'Bofors 40 mm L/70': 240-330 rpm</t>
        </is>
      </c>
      <c r="BF19" t="inlineStr">
        <is>
          <t>Gungnir's 40 mm guns: frozen (fix rule 8); their 1 m burst is Gungnir's own</t>
        </is>
      </c>
      <c r="BG19" t="inlineStr">
        <is>
          <t>giong</t>
        </is>
      </c>
      <c r="CT19" t="n">
        <v>40</v>
      </c>
      <c r="CW19" t="n">
        <v>10</v>
      </c>
      <c r="CX19" t="n">
        <v>1.72</v>
      </c>
      <c r="DD19" t="n">
        <v>0.2</v>
      </c>
      <c r="DE19" t="n">
        <v>30</v>
      </c>
      <c r="DF19" t="inlineStr">
        <is>
          <t>Kinetic</t>
        </is>
      </c>
      <c r="DJ19" t="inlineStr">
        <is>
          <t>autocannon</t>
        </is>
      </c>
      <c r="DS19" t="inlineStr">
        <is>
          <t>Small</t>
        </is>
      </c>
      <c r="EB19" t="n">
        <v>2</v>
      </c>
      <c r="EH19" t="inlineStr">
        <is>
          <t>Bullet</t>
        </is>
      </c>
      <c r="EK19" t="n">
        <v>210</v>
      </c>
      <c r="EP19" t="n">
        <v>28</v>
      </c>
      <c r="EQ19" t="inlineStr">
        <is>
          <t>Bofors 40 mm</t>
        </is>
      </c>
      <c r="EV19" t="n">
        <v>51</v>
      </c>
      <c r="EX19" t="n">
        <v>40</v>
      </c>
      <c r="EY19" t="n">
        <v>1</v>
      </c>
      <c r="EZ19" t="n">
        <v>0.8</v>
      </c>
      <c r="FW19" t="inlineStr">
        <is>
          <t>All</t>
        </is>
      </c>
      <c r="GB19" t="inlineStr">
        <is>
          <t>cal_40</t>
        </is>
      </c>
      <c r="GD19" t="inlineStr">
        <is>
          <t>Assets/MachineBrigade/Resources/Data/balance.json: weapons[99]</t>
        </is>
      </c>
      <c r="GE19" t="inlineStr">
        <is>
          <t>{"id":"autocannon_40","weaponFamilyId":"cal_40","real":"Bofors 40 mm","family":"autocannon","size":40,"caliberMm":40,"pen":2,"damageType":"Kinetic","damage":30,"cooldown":0.2,"range":28,"projectileSpeed":210,"splash":1,"spread":0.8,"impactTier":"Small","projectile":"Bullet","targets":"All","clip":10,"clipReload":1.72,"roundWeight":51}</t>
        </is>
      </c>
    </row>
    <row r="20">
      <c r="A20" t="inlineStr">
        <is>
          <t>autocannon_40_flak</t>
        </is>
      </c>
      <c r="B20" t="inlineStr">
        <is>
          <t>Bofors 40 mm air-burst</t>
        </is>
      </c>
      <c r="C20" t="inlineStr">
        <is>
          <t>cal_40</t>
        </is>
      </c>
      <c r="D20" t="inlineStr">
        <is>
          <t>flak</t>
        </is>
      </c>
      <c r="E20" t="inlineStr"/>
      <c r="F20" t="inlineStr">
        <is>
          <t>autocannon</t>
        </is>
      </c>
      <c r="G20" t="n">
        <v>40</v>
      </c>
      <c r="H20" t="inlineStr"/>
      <c r="I20" t="inlineStr"/>
      <c r="J20" t="inlineStr"/>
      <c r="K20" t="inlineStr">
        <is>
          <t>Fragmentation</t>
        </is>
      </c>
      <c r="L20" t="n">
        <v>2</v>
      </c>
      <c r="M20" t="inlineStr">
        <is>
          <t>Bullet</t>
        </is>
      </c>
      <c r="N20" t="n">
        <v>1</v>
      </c>
      <c r="O20" t="inlineStr">
        <is>
          <t>RIPPLE</t>
        </is>
      </c>
      <c r="P20" t="n">
        <v>1</v>
      </c>
      <c r="Q20" t="n">
        <v>0.1</v>
      </c>
      <c r="R20" t="n">
        <v>0.2</v>
      </c>
      <c r="S20" t="n">
        <v>10</v>
      </c>
      <c r="T20" t="n">
        <v>1.72</v>
      </c>
      <c r="U20" t="n">
        <v>0</v>
      </c>
      <c r="V20" t="n">
        <v>0</v>
      </c>
      <c r="W20" t="n">
        <v>30</v>
      </c>
      <c r="X20" t="n">
        <v>3.5</v>
      </c>
      <c r="Y20" t="n">
        <v>0</v>
      </c>
      <c r="Z20" t="n">
        <v>210</v>
      </c>
      <c r="AA20" t="n">
        <v>28</v>
      </c>
      <c r="AB20" t="n">
        <v>0</v>
      </c>
      <c r="AC20" t="inlineStr">
        <is>
          <t>Air</t>
        </is>
      </c>
      <c r="AD20" t="inlineStr"/>
      <c r="AE20" t="n">
        <v>0.8</v>
      </c>
      <c r="AF20" t="inlineStr">
        <is>
          <t>Small</t>
        </is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n">
        <v>40</v>
      </c>
      <c r="AO20" t="n">
        <v>0</v>
      </c>
      <c r="AP20" t="inlineStr">
        <is>
          <t>T1</t>
        </is>
      </c>
      <c r="AQ20" t="inlineStr">
        <is>
          <t>autocannon_40</t>
        </is>
      </c>
      <c r="AR20" t="inlineStr"/>
      <c r="AS20" t="inlineStr"/>
      <c r="AT20" t="inlineStr"/>
      <c r="AU20" t="n">
        <v>0</v>
      </c>
      <c r="AV20" t="inlineStr"/>
      <c r="AW20" t="n">
        <v>0</v>
      </c>
      <c r="AX20" t="b">
        <v>0</v>
      </c>
      <c r="AY20" t="inlineStr"/>
      <c r="AZ20">
        <f>IF(AND($AX$20,$AW$20&gt;$AA$20/$Z$20),$AW$20,$AA$20/$Z$20)</f>
        <v/>
      </c>
      <c r="BA20" t="n">
        <v>0.1333333333333333</v>
      </c>
      <c r="BB20" t="n">
        <v>330</v>
      </c>
      <c r="BC20" t="n">
        <v>120</v>
      </c>
      <c r="BD20" t="inlineStr">
        <is>
          <t>aa</t>
        </is>
      </c>
      <c r="BE20" t="inlineStr">
        <is>
          <t>Wikipedia 'Bofors 40 mm L/70': 240-330 rpm</t>
        </is>
      </c>
      <c r="BG20" t="inlineStr">
        <is>
          <t>giong</t>
        </is>
      </c>
      <c r="DE20" t="n">
        <v>30</v>
      </c>
      <c r="DF20" t="inlineStr">
        <is>
          <t>Fragmentation</t>
        </is>
      </c>
      <c r="DM20" t="inlineStr">
        <is>
          <t>air</t>
        </is>
      </c>
      <c r="DN20" t="inlineStr">
        <is>
          <t>Airburst</t>
        </is>
      </c>
      <c r="DT20" t="inlineStr">
        <is>
          <t>autocannon_40</t>
        </is>
      </c>
      <c r="EB20" t="n">
        <v>2</v>
      </c>
      <c r="EE20" t="b">
        <v>0</v>
      </c>
      <c r="EQ20" t="inlineStr">
        <is>
          <t>Bofors 40 mm air-burst</t>
        </is>
      </c>
      <c r="ES20" t="inlineStr">
        <is>
          <t>flak</t>
        </is>
      </c>
      <c r="EU20" t="inlineStr">
        <is>
          <t>autocannon_40</t>
        </is>
      </c>
      <c r="EY20" t="n">
        <v>3.5</v>
      </c>
      <c r="FW20" t="inlineStr">
        <is>
          <t>Air</t>
        </is>
      </c>
      <c r="GA20" t="inlineStr"/>
      <c r="GC20" t="inlineStr">
        <is>
          <t>flak</t>
        </is>
      </c>
      <c r="GD20" t="inlineStr">
        <is>
          <t>Assets/MachineBrigade/Resources/Data/balance.json: secondRounds.rounds[3]</t>
        </is>
      </c>
      <c r="GE20" t="inlineStr">
        <is>
          <t>{"id":"autocannon_40_flak","roundOf":"autocannon_40","inherits":"autocannon_40","weaponVariantId":"flak","weaponFamily":"","round":"flak","for":["air"],"real":"Bofors 40 mm air-burst","damageType":"Fragmentation","pen":2,"damage":30,"splash":3.5,"form":"Airburst","piercing":false,"targets":"Air"}</t>
        </is>
      </c>
    </row>
    <row r="21">
      <c r="A21" t="inlineStr">
        <is>
          <t>ballistic_missile</t>
        </is>
      </c>
      <c r="B21" t="inlineStr">
        <is>
          <t>9M723 Iskander (700 kg)</t>
        </is>
      </c>
      <c r="C21" t="inlineStr">
        <is>
          <t>bal_9m723_iskander</t>
        </is>
      </c>
      <c r="D21" t="inlineStr"/>
      <c r="E21" t="inlineStr"/>
      <c r="F21" t="inlineStr">
        <is>
          <t>ballistic</t>
        </is>
      </c>
      <c r="G21" t="inlineStr"/>
      <c r="H21" t="n">
        <v>480</v>
      </c>
      <c r="I21" t="inlineStr"/>
      <c r="J21" t="inlineStr"/>
      <c r="K21" t="inlineStr">
        <is>
          <t>HighExplosive</t>
        </is>
      </c>
      <c r="L21" t="n">
        <v>4</v>
      </c>
      <c r="M21" t="inlineStr">
        <is>
          <t>Rocket</t>
        </is>
      </c>
      <c r="N21" t="n">
        <v>1</v>
      </c>
      <c r="O21" t="inlineStr">
        <is>
          <t>RIPPLE</t>
        </is>
      </c>
      <c r="P21" t="n">
        <v>2</v>
      </c>
      <c r="Q21" t="n">
        <v>1.5</v>
      </c>
      <c r="R21" t="n">
        <v>22.71</v>
      </c>
      <c r="S21" t="n">
        <v>0</v>
      </c>
      <c r="T21" t="n">
        <v>0</v>
      </c>
      <c r="U21" t="n">
        <v>2</v>
      </c>
      <c r="V21" t="n">
        <v>0</v>
      </c>
      <c r="W21" t="n">
        <v>630</v>
      </c>
      <c r="X21" t="n">
        <v>10</v>
      </c>
      <c r="Y21" t="n">
        <v>0</v>
      </c>
      <c r="Z21" t="n">
        <v>200</v>
      </c>
      <c r="AA21" t="n">
        <v>180</v>
      </c>
      <c r="AB21" t="n">
        <v>40</v>
      </c>
      <c r="AC21" t="inlineStr">
        <is>
          <t>Ground</t>
        </is>
      </c>
      <c r="AD21" t="inlineStr"/>
      <c r="AE21" t="n">
        <v>5</v>
      </c>
      <c r="AF21" t="inlineStr">
        <is>
          <t>Ultimate</t>
        </is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n">
        <v>700</v>
      </c>
      <c r="AO21" t="n">
        <v>0</v>
      </c>
      <c r="AP21" t="inlineStr">
        <is>
          <t>T4</t>
        </is>
      </c>
      <c r="AQ21" t="inlineStr"/>
      <c r="AR21" t="inlineStr"/>
      <c r="AS21" t="inlineStr">
        <is>
          <t>xe</t>
        </is>
      </c>
      <c r="AT21" t="inlineStr">
        <is>
          <t>ballistic_launcher</t>
        </is>
      </c>
      <c r="AU21" t="n">
        <v>1</v>
      </c>
      <c r="AV21" t="inlineStr">
        <is>
          <t>ballistic_launcher:0</t>
        </is>
      </c>
      <c r="AW21" t="n">
        <v>2.722222222222222</v>
      </c>
      <c r="AX21" t="b">
        <v>1</v>
      </c>
      <c r="AY21" t="inlineStr"/>
      <c r="AZ21">
        <f>IF(AND($AX$21,$AW$21&gt;$AA$21/$Z$21),$AW$21,$AA$21/$Z$21)</f>
        <v/>
      </c>
      <c r="BA21" t="n">
        <v>2.722222222222222</v>
      </c>
      <c r="BB21" t="n">
        <v>2</v>
      </c>
      <c r="BC21" t="n">
        <v>2</v>
      </c>
      <c r="BD21" t="inlineStr">
        <is>
          <t>missile</t>
        </is>
      </c>
      <c r="BE21" t="inlineStr">
        <is>
          <t>Wikipedia '9K720 Iskander': two missiles within a minute</t>
        </is>
      </c>
      <c r="BG21" t="inlineStr">
        <is>
          <t>doi</t>
        </is>
      </c>
      <c r="BR21" t="n">
        <v>50</v>
      </c>
      <c r="BS21" t="n">
        <v>200</v>
      </c>
      <c r="CN21" t="n">
        <v>2</v>
      </c>
      <c r="CR21" t="n">
        <v>2</v>
      </c>
      <c r="CS21" t="n">
        <v>1.5</v>
      </c>
      <c r="DD21" t="n">
        <v>22.71</v>
      </c>
      <c r="DE21" t="n">
        <v>630</v>
      </c>
      <c r="DF21" t="inlineStr">
        <is>
          <t>HighExplosive</t>
        </is>
      </c>
      <c r="DJ21" t="inlineStr">
        <is>
          <t>ballistic</t>
        </is>
      </c>
      <c r="DS21" t="inlineStr">
        <is>
          <t>Ultimate</t>
        </is>
      </c>
      <c r="DZ21" t="n">
        <v>40</v>
      </c>
      <c r="EB21" t="n">
        <v>4</v>
      </c>
      <c r="EH21" t="inlineStr">
        <is>
          <t>Rocket</t>
        </is>
      </c>
      <c r="EJ21" t="n">
        <v>0.85</v>
      </c>
      <c r="EK21" t="n">
        <v>200</v>
      </c>
      <c r="EP21" t="n">
        <v>180</v>
      </c>
      <c r="EQ21" t="inlineStr">
        <is>
          <t>9M723 Iskander (700 kg)</t>
        </is>
      </c>
      <c r="EV21" t="n">
        <v>700</v>
      </c>
      <c r="EX21" t="n">
        <v>700</v>
      </c>
      <c r="EY21" t="n">
        <v>10</v>
      </c>
      <c r="EZ21" t="n">
        <v>5</v>
      </c>
      <c r="FZ21" t="n">
        <v>480</v>
      </c>
      <c r="GB21" t="inlineStr">
        <is>
          <t>bal_9m723_iskander</t>
        </is>
      </c>
      <c r="GD21" t="inlineStr">
        <is>
          <t>Assets/MachineBrigade/Resources/Data/balance.json: weapons[59]</t>
        </is>
      </c>
      <c r="GE21" t="inlineStr">
        <is>
          <t>{"id":"ballistic_missile","weaponFamilyId":"bal_9m723_iskander","real":"9M723 Iskander (700 kg)","family":"ballistic","size":700,"warheadKg":480,"pen":4,"projectileScale":0.85,"damageType":"HighExplosive","damage":630,"cooldown":22.71,"range":180,"minRange":40,"projectileSpeed":200,"splash":10,"spread":5,"impactTier":"Ultimate","projectile":"Rocket","burst":2,"burstInterval":1.5,"ammo":2,"roundWeight":700}</t>
        </is>
      </c>
    </row>
    <row r="22">
      <c r="A22" t="inlineStr">
        <is>
          <t>bastion_gun</t>
        </is>
      </c>
      <c r="B22" t="inlineStr">
        <is>
          <t>2A83 152 mm (twin)</t>
        </is>
      </c>
      <c r="C22" t="inlineStr">
        <is>
          <t>cal_152_155</t>
        </is>
      </c>
      <c r="D22" t="inlineStr">
        <is>
          <t>ap</t>
        </is>
      </c>
      <c r="E22" t="inlineStr">
        <is>
          <t>2a83_152_mm</t>
        </is>
      </c>
      <c r="F22" t="inlineStr">
        <is>
          <t>tank_gun</t>
        </is>
      </c>
      <c r="G22" t="n">
        <v>152</v>
      </c>
      <c r="H22" t="inlineStr"/>
      <c r="I22" t="inlineStr"/>
      <c r="J22" t="inlineStr"/>
      <c r="K22" t="inlineStr">
        <is>
          <t>Kinetic</t>
        </is>
      </c>
      <c r="L22" t="n">
        <v>4</v>
      </c>
      <c r="M22" t="inlineStr">
        <is>
          <t>Shell</t>
        </is>
      </c>
      <c r="N22" t="n">
        <v>2</v>
      </c>
      <c r="O22" t="inlineStr">
        <is>
          <t>SIMULTANEOUS</t>
        </is>
      </c>
      <c r="P22" t="n">
        <v>1</v>
      </c>
      <c r="Q22" t="n">
        <v>0.05</v>
      </c>
      <c r="R22" t="n">
        <v>7.443</v>
      </c>
      <c r="S22" t="n">
        <v>0</v>
      </c>
      <c r="T22" t="n">
        <v>0</v>
      </c>
      <c r="U22" t="n">
        <v>0</v>
      </c>
      <c r="V22" t="n">
        <v>0</v>
      </c>
      <c r="W22" t="n">
        <v>457</v>
      </c>
      <c r="X22" t="n">
        <v>2.5</v>
      </c>
      <c r="Y22" t="n">
        <v>0</v>
      </c>
      <c r="Z22" t="n">
        <v>160</v>
      </c>
      <c r="AA22" t="n">
        <v>40</v>
      </c>
      <c r="AB22" t="n">
        <v>0</v>
      </c>
      <c r="AC22" t="inlineStr">
        <is>
          <t>Ground</t>
        </is>
      </c>
      <c r="AD22" t="inlineStr"/>
      <c r="AE22" t="n">
        <v>0.3</v>
      </c>
      <c r="AF22" t="inlineStr">
        <is>
          <t>Large</t>
        </is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n">
        <v>152</v>
      </c>
      <c r="AO22" t="n">
        <v>0</v>
      </c>
      <c r="AP22" t="inlineStr">
        <is>
          <t>T3</t>
        </is>
      </c>
      <c r="AQ22" t="inlineStr"/>
      <c r="AR22" t="inlineStr">
        <is>
          <t>bastion_gun_he</t>
        </is>
      </c>
      <c r="AS22" t="inlineStr">
        <is>
          <t>cong_trinh;thap</t>
        </is>
      </c>
      <c r="AT22" t="inlineStr">
        <is>
          <t>headquarters;headquarters.fortress_air;headquarters.fortress_ground;headquarters.shield;spawn_bastion</t>
        </is>
      </c>
      <c r="AU22" t="n">
        <v>5</v>
      </c>
      <c r="AV22" t="inlineStr">
        <is>
          <t>headquarters:0;headquarters.fortress_air:0;headquarters.fortress_ground:0;headquarters.shield:0;spawn_bastion:0</t>
        </is>
      </c>
      <c r="AW22" t="n">
        <v>0</v>
      </c>
      <c r="AX22" t="b">
        <v>0</v>
      </c>
      <c r="AY22" t="inlineStr"/>
      <c r="AZ22">
        <f>IF(AND($AX$22,$AW$22&gt;$AA$22/$Z$22),$AW$22,$AA$22/$Z$22)</f>
        <v/>
      </c>
      <c r="BA22" t="n">
        <v>0.25</v>
      </c>
      <c r="BB22" t="n">
        <v>10</v>
      </c>
      <c r="BC22" t="n">
        <v>8</v>
      </c>
      <c r="BD22" t="inlineStr">
        <is>
          <t>gun</t>
        </is>
      </c>
      <c r="BE22" t="inlineStr">
        <is>
          <t>Object 195 / T-14 152 mm, est. ~10 rpm (the sheet)</t>
        </is>
      </c>
      <c r="BG22" t="inlineStr">
        <is>
          <t>doi</t>
        </is>
      </c>
      <c r="BH22" t="n">
        <v>320</v>
      </c>
      <c r="BI22" t="n">
        <v>457</v>
      </c>
      <c r="BJ22" t="n">
        <v>5.16</v>
      </c>
      <c r="BK22" t="n">
        <v>7.443</v>
      </c>
      <c r="BT22" t="n">
        <v>2</v>
      </c>
      <c r="BU22" t="n">
        <v>1</v>
      </c>
      <c r="BX22" t="n">
        <v>1</v>
      </c>
      <c r="BY22" t="n">
        <v>2</v>
      </c>
      <c r="BZ22" t="inlineStr">
        <is>
          <t>RIPPLE</t>
        </is>
      </c>
      <c r="CA22" t="inlineStr">
        <is>
          <t>SIMULTANEOUS</t>
        </is>
      </c>
      <c r="CO22" t="n">
        <v>2</v>
      </c>
      <c r="CR22" t="n">
        <v>1</v>
      </c>
      <c r="CS22" t="n">
        <v>0.05</v>
      </c>
      <c r="CT22" t="n">
        <v>152</v>
      </c>
      <c r="DD22" t="n">
        <v>7.443</v>
      </c>
      <c r="DE22" t="n">
        <v>457</v>
      </c>
      <c r="DF22" t="inlineStr">
        <is>
          <t>Kinetic</t>
        </is>
      </c>
      <c r="DJ22" t="inlineStr">
        <is>
          <t>tank_gun</t>
        </is>
      </c>
      <c r="DR22" t="n">
        <v>1.5</v>
      </c>
      <c r="DS22" t="inlineStr">
        <is>
          <t>Large</t>
        </is>
      </c>
      <c r="EB22" t="n">
        <v>4</v>
      </c>
      <c r="EE22" t="b">
        <v>1</v>
      </c>
      <c r="EP22" t="n">
        <v>40</v>
      </c>
      <c r="EQ22" t="inlineStr">
        <is>
          <t>2A83 152 mm (twin)</t>
        </is>
      </c>
      <c r="EW22" t="inlineStr">
        <is>
          <t>SIMULTANEOUS</t>
        </is>
      </c>
      <c r="EX22" t="n">
        <v>152</v>
      </c>
      <c r="EZ22" t="n">
        <v>0.3</v>
      </c>
      <c r="GA22" t="inlineStr">
        <is>
          <t>2a83_152_mm</t>
        </is>
      </c>
      <c r="GB22" t="inlineStr">
        <is>
          <t>cal_152_155</t>
        </is>
      </c>
      <c r="GC22" t="inlineStr">
        <is>
          <t>ap</t>
        </is>
      </c>
      <c r="GD22" t="inlineStr">
        <is>
          <t>Assets/MachineBrigade/Resources/Data/balance.json: weapons[91]</t>
        </is>
      </c>
      <c r="GE22" t="inlineStr">
        <is>
          <t>{"id":"bastion_gun","weaponFamilyId":"cal_152_155","weaponVariantId":"ap","salvoMode":"SIMULTANEOUS","barrels":2,"weaponFamily":"2a83_152_mm","real":"2A83 152 mm (twin)","family":"tank_gun","size":152,"caliberMm":152,"pen":4,"piercing":true,"damageType":"Kinetic","damage":457,"cooldown":7.443,"range":40,"spread":0.3,"impactTier":"Large","burst":1,"burstInterval":0.05,"impactScale":1.5}</t>
        </is>
      </c>
    </row>
    <row r="23">
      <c r="A23" t="inlineStr">
        <is>
          <t>bastion_gun_he</t>
        </is>
      </c>
      <c r="B23" t="inlineStr">
        <is>
          <t>2A83 152 mm HE-FRAG (twin)</t>
        </is>
      </c>
      <c r="C23" t="inlineStr">
        <is>
          <t>cal_152_155</t>
        </is>
      </c>
      <c r="D23" t="inlineStr"/>
      <c r="E23" t="inlineStr">
        <is>
          <t>2a83_152_mm_he_frag</t>
        </is>
      </c>
      <c r="F23" t="inlineStr">
        <is>
          <t>tank_gun</t>
        </is>
      </c>
      <c r="G23" t="n">
        <v>152</v>
      </c>
      <c r="H23" t="inlineStr"/>
      <c r="I23" t="inlineStr"/>
      <c r="J23" t="inlineStr"/>
      <c r="K23" t="inlineStr">
        <is>
          <t>HighExplosive</t>
        </is>
      </c>
      <c r="L23" t="n">
        <v>3</v>
      </c>
      <c r="M23" t="inlineStr">
        <is>
          <t>Shell</t>
        </is>
      </c>
      <c r="N23" t="n">
        <v>2</v>
      </c>
      <c r="O23" t="inlineStr">
        <is>
          <t>SIMULTANEOUS</t>
        </is>
      </c>
      <c r="P23" t="n">
        <v>1</v>
      </c>
      <c r="Q23" t="n">
        <v>0.05</v>
      </c>
      <c r="R23" t="n">
        <v>7.443</v>
      </c>
      <c r="S23" t="n">
        <v>0</v>
      </c>
      <c r="T23" t="n">
        <v>0</v>
      </c>
      <c r="U23" t="n">
        <v>0</v>
      </c>
      <c r="V23" t="n">
        <v>0</v>
      </c>
      <c r="W23" t="n">
        <v>457</v>
      </c>
      <c r="X23" t="n">
        <v>6.5</v>
      </c>
      <c r="Y23" t="n">
        <v>0</v>
      </c>
      <c r="Z23" t="n">
        <v>150</v>
      </c>
      <c r="AA23" t="n">
        <v>40</v>
      </c>
      <c r="AB23" t="n">
        <v>0</v>
      </c>
      <c r="AC23" t="inlineStr">
        <is>
          <t>Ground</t>
        </is>
      </c>
      <c r="AD23" t="inlineStr"/>
      <c r="AE23" t="n">
        <v>0.3</v>
      </c>
      <c r="AF23" t="inlineStr">
        <is>
          <t>Huge</t>
        </is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n">
        <v>152</v>
      </c>
      <c r="AO23" t="n">
        <v>0</v>
      </c>
      <c r="AP23" t="inlineStr">
        <is>
          <t>T3</t>
        </is>
      </c>
      <c r="AQ23" t="inlineStr">
        <is>
          <t>bastion_gun</t>
        </is>
      </c>
      <c r="AR23" t="inlineStr"/>
      <c r="AS23" t="inlineStr"/>
      <c r="AT23" t="inlineStr"/>
      <c r="AU23" t="n">
        <v>0</v>
      </c>
      <c r="AV23" t="inlineStr"/>
      <c r="AW23" t="n">
        <v>0</v>
      </c>
      <c r="AX23" t="b">
        <v>0</v>
      </c>
      <c r="AY23" t="inlineStr"/>
      <c r="AZ23">
        <f>IF(AND($AX$23,$AW$23&gt;$AA$23/$Z$23),$AW$23,$AA$23/$Z$23)</f>
        <v/>
      </c>
      <c r="BA23" t="n">
        <v>0.2666666666666667</v>
      </c>
      <c r="BB23" t="n">
        <v>10</v>
      </c>
      <c r="BC23" t="n">
        <v>8</v>
      </c>
      <c r="BD23" t="inlineStr">
        <is>
          <t>gun</t>
        </is>
      </c>
      <c r="BE23" t="inlineStr">
        <is>
          <t>Object 195 / T-14 152 mm, est. ~10 rpm (the sheet)</t>
        </is>
      </c>
      <c r="BG23" t="inlineStr">
        <is>
          <t>doi</t>
        </is>
      </c>
      <c r="BH23" t="n">
        <v>320</v>
      </c>
      <c r="BI23" t="n">
        <v>457</v>
      </c>
      <c r="BJ23" t="n">
        <v>5.16</v>
      </c>
      <c r="BK23" t="n">
        <v>7.443</v>
      </c>
      <c r="BT23" t="n">
        <v>2</v>
      </c>
      <c r="BU23" t="n">
        <v>1</v>
      </c>
      <c r="BX23" t="n">
        <v>1</v>
      </c>
      <c r="BY23" t="n">
        <v>2</v>
      </c>
      <c r="BZ23" t="inlineStr">
        <is>
          <t>RIPPLE</t>
        </is>
      </c>
      <c r="CA23" t="inlineStr">
        <is>
          <t>SIMULTANEOUS</t>
        </is>
      </c>
      <c r="DE23" t="n">
        <v>457</v>
      </c>
      <c r="DF23" t="inlineStr">
        <is>
          <t>HighExplosive</t>
        </is>
      </c>
      <c r="DM23" t="inlineStr">
        <is>
          <t>light;structure</t>
        </is>
      </c>
      <c r="DN23" t="inlineStr">
        <is>
          <t>HeShell</t>
        </is>
      </c>
      <c r="DS23" t="inlineStr">
        <is>
          <t>Huge</t>
        </is>
      </c>
      <c r="DT23" t="inlineStr">
        <is>
          <t>bastion_gun</t>
        </is>
      </c>
      <c r="EB23" t="n">
        <v>3</v>
      </c>
      <c r="EE23" t="b">
        <v>0</v>
      </c>
      <c r="EK23" t="n">
        <v>150</v>
      </c>
      <c r="EQ23" t="inlineStr">
        <is>
          <t>2A83 152 mm HE-FRAG (twin)</t>
        </is>
      </c>
      <c r="ES23" t="inlineStr">
        <is>
          <t>he</t>
        </is>
      </c>
      <c r="EU23" t="inlineStr">
        <is>
          <t>bastion_gun</t>
        </is>
      </c>
      <c r="EV23" t="n">
        <v>343</v>
      </c>
      <c r="EY23" t="n">
        <v>6.5</v>
      </c>
      <c r="FW23" t="inlineStr">
        <is>
          <t>Ground</t>
        </is>
      </c>
      <c r="GA23" t="inlineStr">
        <is>
          <t>2a83_152_mm_he_frag</t>
        </is>
      </c>
      <c r="GC23" t="inlineStr"/>
      <c r="GD23" t="inlineStr">
        <is>
          <t>Assets/MachineBrigade/Resources/Data/balance.json: secondRounds.rounds[4]</t>
        </is>
      </c>
      <c r="GE23" t="inlineStr">
        <is>
          <t>{"id":"bastion_gun_he","roundOf":"bastion_gun","inherits":"bastion_gun","weaponVariantId":"","weaponFamily":"2a83_152_mm_he_frag","round":"he","for":["light","structure"],"real":"2A83 152 mm HE-FRAG (twin)","damageType":"HighExplosive","pen":3,"damage":457,"splash":6.5,"form":"HeShell","piercing":false,"targets":"Ground","projectileSpeed":150,"impactTier":"Huge","roundWeight":343}</t>
        </is>
      </c>
    </row>
    <row r="24">
      <c r="A24" t="inlineStr">
        <is>
          <t>boat_rockets</t>
        </is>
      </c>
      <c r="B24" t="inlineStr">
        <is>
          <t>S-8 80 mm</t>
        </is>
      </c>
      <c r="C24" t="inlineStr">
        <is>
          <t>rkt_70_80</t>
        </is>
      </c>
      <c r="D24" t="inlineStr"/>
      <c r="E24" t="inlineStr">
        <is>
          <t>s_8_80_mm_boat</t>
        </is>
      </c>
      <c r="F24" t="inlineStr">
        <is>
          <t>rocket</t>
        </is>
      </c>
      <c r="G24" t="n">
        <v>80</v>
      </c>
      <c r="H24" t="inlineStr"/>
      <c r="I24" t="inlineStr"/>
      <c r="J24" t="inlineStr"/>
      <c r="K24" t="inlineStr">
        <is>
          <t>HighExplosive</t>
        </is>
      </c>
      <c r="L24" t="n">
        <v>2</v>
      </c>
      <c r="M24" t="inlineStr">
        <is>
          <t>Rocket</t>
        </is>
      </c>
      <c r="N24" t="n">
        <v>1</v>
      </c>
      <c r="O24" t="inlineStr">
        <is>
          <t>RIPPLE</t>
        </is>
      </c>
      <c r="P24" t="n">
        <v>10</v>
      </c>
      <c r="Q24" t="n">
        <v>0.12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  <c r="W24" t="n">
        <v>32</v>
      </c>
      <c r="X24" t="n">
        <v>3.5</v>
      </c>
      <c r="Y24" t="n">
        <v>7</v>
      </c>
      <c r="Z24" t="n">
        <v>180</v>
      </c>
      <c r="AA24" t="n">
        <v>55</v>
      </c>
      <c r="AB24" t="n">
        <v>0</v>
      </c>
      <c r="AC24" t="inlineStr">
        <is>
          <t>Ground</t>
        </is>
      </c>
      <c r="AD24" t="inlineStr"/>
      <c r="AE24" t="n">
        <v>4</v>
      </c>
      <c r="AF24" t="inlineStr">
        <is>
          <t>Medium</t>
        </is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n">
        <v>80</v>
      </c>
      <c r="AO24" t="n">
        <v>0</v>
      </c>
      <c r="AP24" t="inlineStr">
        <is>
          <t>T2</t>
        </is>
      </c>
      <c r="AQ24" t="inlineStr"/>
      <c r="AR24" t="inlineStr"/>
      <c r="AS24" t="inlineStr">
        <is>
          <t>xe</t>
        </is>
      </c>
      <c r="AT24" t="inlineStr">
        <is>
          <t>missile_boat</t>
        </is>
      </c>
      <c r="AU24" t="n">
        <v>1</v>
      </c>
      <c r="AV24" t="inlineStr">
        <is>
          <t>missile_boat:0</t>
        </is>
      </c>
      <c r="AW24" t="n">
        <v>0</v>
      </c>
      <c r="AX24" t="b">
        <v>0</v>
      </c>
      <c r="AY24" t="inlineStr"/>
      <c r="AZ24">
        <f>IF(AND($AX$24,$AW$24&gt;$AA$24/$Z$24),$AW$24,$AA$24/$Z$24)</f>
        <v/>
      </c>
      <c r="BA24" t="n">
        <v>0.3055555555555556</v>
      </c>
      <c r="BB24" t="n">
        <v>900</v>
      </c>
      <c r="BC24" t="inlineStr"/>
      <c r="BD24" t="inlineStr">
        <is>
          <t>rocket</t>
        </is>
      </c>
      <c r="BE24" t="inlineStr">
        <is>
          <t>rocket pods: ripples of 0.05-0.12 s (DECISIONS 19R)</t>
        </is>
      </c>
      <c r="BG24" t="inlineStr">
        <is>
          <t>doi</t>
        </is>
      </c>
      <c r="BN24" t="n">
        <v>3</v>
      </c>
      <c r="BO24" t="n">
        <v>3.5</v>
      </c>
      <c r="BP24" t="n">
        <v>0</v>
      </c>
      <c r="BQ24" t="n">
        <v>7</v>
      </c>
      <c r="BR24" t="n">
        <v>40</v>
      </c>
      <c r="BS24" t="n">
        <v>180</v>
      </c>
      <c r="CR24" t="n">
        <v>10</v>
      </c>
      <c r="CS24" t="n">
        <v>0.12</v>
      </c>
      <c r="CT24" t="n">
        <v>80</v>
      </c>
      <c r="DD24" t="n">
        <v>7</v>
      </c>
      <c r="DE24" t="n">
        <v>32</v>
      </c>
      <c r="DF24" t="inlineStr">
        <is>
          <t>HighExplosive</t>
        </is>
      </c>
      <c r="DG24" t="n">
        <v>7</v>
      </c>
      <c r="DJ24" t="inlineStr">
        <is>
          <t>rocket</t>
        </is>
      </c>
      <c r="DS24" t="inlineStr">
        <is>
          <t>Medium</t>
        </is>
      </c>
      <c r="EB24" t="n">
        <v>2</v>
      </c>
      <c r="EH24" t="inlineStr">
        <is>
          <t>Rocket</t>
        </is>
      </c>
      <c r="EJ24" t="n">
        <v>0.9</v>
      </c>
      <c r="EP24" t="n">
        <v>55</v>
      </c>
      <c r="EQ24" t="inlineStr">
        <is>
          <t>S-8 80 mm</t>
        </is>
      </c>
      <c r="EX24" t="n">
        <v>80</v>
      </c>
      <c r="EZ24" t="n">
        <v>4</v>
      </c>
      <c r="GA24" t="inlineStr">
        <is>
          <t>s_8_80_mm_boat</t>
        </is>
      </c>
      <c r="GB24" t="inlineStr">
        <is>
          <t>rkt_70_80</t>
        </is>
      </c>
      <c r="GD24" t="inlineStr">
        <is>
          <t>Assets/MachineBrigade/Resources/Data/balance.json: weapons[255]</t>
        </is>
      </c>
      <c r="GE24" t="inlineStr">
        <is>
          <t>{"id":"boat_rockets","weaponFamilyId":"rkt_70_80","weaponFamily":"s_8_80_mm_boat","real":"S-8 80 mm","family":"rocket","size":80,"caliberMm":80,"pen":2,"projectileScale":0.9,"damageType":"HighExplosive","damage":32,"cooldown":7,"edge":7,"range":55,"spread":4,"impactTier":"Medium","projectile":"Rocket","burst":10,"burstInterval":0.12}</t>
        </is>
      </c>
    </row>
    <row r="25">
      <c r="A25" t="inlineStr">
        <is>
          <t>bofors_l70</t>
        </is>
      </c>
      <c r="B25" t="inlineStr">
        <is>
          <t>Bofors 40 mm L/70</t>
        </is>
      </c>
      <c r="C25" t="inlineStr">
        <is>
          <t>cal_40</t>
        </is>
      </c>
      <c r="D25" t="inlineStr">
        <is>
          <t>flak</t>
        </is>
      </c>
      <c r="E25" t="inlineStr">
        <is>
          <t>bofors_40_mm_l_70</t>
        </is>
      </c>
      <c r="F25" t="inlineStr">
        <is>
          <t>autocannon</t>
        </is>
      </c>
      <c r="G25" t="n">
        <v>40</v>
      </c>
      <c r="H25" t="inlineStr"/>
      <c r="I25" t="inlineStr"/>
      <c r="J25" t="inlineStr"/>
      <c r="K25" t="inlineStr">
        <is>
          <t>Fragmentation</t>
        </is>
      </c>
      <c r="L25" t="n">
        <v>2</v>
      </c>
      <c r="M25" t="inlineStr">
        <is>
          <t>Bullet</t>
        </is>
      </c>
      <c r="N25" t="n">
        <v>1</v>
      </c>
      <c r="O25" t="inlineStr">
        <is>
          <t>RIPPLE</t>
        </is>
      </c>
      <c r="P25" t="n">
        <v>1</v>
      </c>
      <c r="Q25" t="n">
        <v>0.1</v>
      </c>
      <c r="R25" t="n">
        <v>0.25</v>
      </c>
      <c r="S25" t="n">
        <v>20</v>
      </c>
      <c r="T25" t="n">
        <v>3</v>
      </c>
      <c r="U25" t="n">
        <v>0</v>
      </c>
      <c r="V25" t="n">
        <v>0</v>
      </c>
      <c r="W25" t="n">
        <v>30</v>
      </c>
      <c r="X25" t="n">
        <v>2.5</v>
      </c>
      <c r="Y25" t="n">
        <v>0</v>
      </c>
      <c r="Z25" t="n">
        <v>220</v>
      </c>
      <c r="AA25" t="n">
        <v>48</v>
      </c>
      <c r="AB25" t="n">
        <v>0</v>
      </c>
      <c r="AC25" t="inlineStr">
        <is>
          <t>All</t>
        </is>
      </c>
      <c r="AD25" t="inlineStr"/>
      <c r="AE25" t="n">
        <v>1.2</v>
      </c>
      <c r="AF25" t="inlineStr">
        <is>
          <t>Small</t>
        </is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n">
        <v>40</v>
      </c>
      <c r="AO25" t="n">
        <v>0</v>
      </c>
      <c r="AP25" t="inlineStr">
        <is>
          <t>T1</t>
        </is>
      </c>
      <c r="AQ25" t="inlineStr"/>
      <c r="AR25" t="inlineStr"/>
      <c r="AS25" t="inlineStr">
        <is>
          <t>cong_trinh;thap;xe</t>
        </is>
      </c>
      <c r="AT25" t="inlineStr">
        <is>
          <t>aa_gun_tower;aa_gun_vehicle;headquarters.fortress_air</t>
        </is>
      </c>
      <c r="AU25" t="n">
        <v>3</v>
      </c>
      <c r="AV25" t="inlineStr">
        <is>
          <t>aa_gun_tower:0;aa_gun_vehicle:0;headquarters.fortress_air:4</t>
        </is>
      </c>
      <c r="AW25" t="n">
        <v>0</v>
      </c>
      <c r="AX25" t="b">
        <v>0</v>
      </c>
      <c r="AY25" t="inlineStr"/>
      <c r="AZ25">
        <f>IF(AND($AX$25,$AW$25&gt;$AA$25/$Z$25),$AW$25,$AA$25/$Z$25)</f>
        <v/>
      </c>
      <c r="BA25" t="n">
        <v>0.2181818181818182</v>
      </c>
      <c r="BB25" t="n">
        <v>330</v>
      </c>
      <c r="BC25" t="n">
        <v>120</v>
      </c>
      <c r="BD25" t="inlineStr">
        <is>
          <t>aa</t>
        </is>
      </c>
      <c r="BE25" t="inlineStr">
        <is>
          <t>Wikipedia 'Bofors 40 mm L/70': 240-330 rpm</t>
        </is>
      </c>
      <c r="BG25" t="inlineStr">
        <is>
          <t>giong</t>
        </is>
      </c>
      <c r="CT25" t="n">
        <v>40</v>
      </c>
      <c r="CW25" t="n">
        <v>20</v>
      </c>
      <c r="CX25" t="n">
        <v>3</v>
      </c>
      <c r="DD25" t="n">
        <v>0.25</v>
      </c>
      <c r="DE25" t="n">
        <v>30</v>
      </c>
      <c r="DF25" t="inlineStr">
        <is>
          <t>Fragmentation</t>
        </is>
      </c>
      <c r="DJ25" t="inlineStr">
        <is>
          <t>autocannon</t>
        </is>
      </c>
      <c r="DS25" t="inlineStr">
        <is>
          <t>Small</t>
        </is>
      </c>
      <c r="EB25" t="n">
        <v>2</v>
      </c>
      <c r="EH25" t="inlineStr">
        <is>
          <t>Bullet</t>
        </is>
      </c>
      <c r="EP25" t="n">
        <v>48</v>
      </c>
      <c r="EQ25" t="inlineStr">
        <is>
          <t>Bofors 40 mm L/70</t>
        </is>
      </c>
      <c r="EX25" t="n">
        <v>40</v>
      </c>
      <c r="EZ25" t="n">
        <v>1.2</v>
      </c>
      <c r="FW25" t="inlineStr">
        <is>
          <t>All</t>
        </is>
      </c>
      <c r="GA25" t="inlineStr">
        <is>
          <t>bofors_40_mm_l_70</t>
        </is>
      </c>
      <c r="GB25" t="inlineStr">
        <is>
          <t>cal_40</t>
        </is>
      </c>
      <c r="GC25" t="inlineStr">
        <is>
          <t>flak</t>
        </is>
      </c>
      <c r="GD25" t="inlineStr">
        <is>
          <t>Assets/MachineBrigade/Resources/Data/balance.json: weapons[279]</t>
        </is>
      </c>
      <c r="GE25" t="inlineStr">
        <is>
          <t>{"id":"bofors_l70","weaponFamilyId":"cal_40","weaponVariantId":"flak","weaponFamily":"bofors_40_mm_l_70","real":"Bofors 40 mm L/70","family":"autocannon","size":40,"caliberMm":40,"pen":2,"damageType":"Fragmentation","damage":30,"cooldown":0.25,"range":48,"spread":1.2,"impactTier":"Small","projectile":"Bullet","targets":"All","clip":20,"clipReload":3}</t>
        </is>
      </c>
    </row>
    <row r="26">
      <c r="A26" t="inlineStr">
        <is>
          <t>bomber_payload</t>
        </is>
      </c>
      <c r="B26" t="inlineStr">
        <is>
          <t>FAB-500 (500 kg)</t>
        </is>
      </c>
      <c r="C26" t="inlineStr">
        <is>
          <t>bomb_fab_500</t>
        </is>
      </c>
      <c r="D26" t="inlineStr"/>
      <c r="E26" t="inlineStr"/>
      <c r="F26" t="inlineStr">
        <is>
          <t>bomb</t>
        </is>
      </c>
      <c r="G26" t="inlineStr"/>
      <c r="H26" t="n">
        <v>500</v>
      </c>
      <c r="I26" t="inlineStr"/>
      <c r="J26" t="inlineStr"/>
      <c r="K26" t="inlineStr">
        <is>
          <t>HighExplosive</t>
        </is>
      </c>
      <c r="L26" t="n">
        <v>3</v>
      </c>
      <c r="M26" t="inlineStr">
        <is>
          <t>Bomb</t>
        </is>
      </c>
      <c r="N26" t="n">
        <v>1</v>
      </c>
      <c r="O26" t="inlineStr">
        <is>
          <t>RIPPLE</t>
        </is>
      </c>
      <c r="P26" t="n">
        <v>7</v>
      </c>
      <c r="Q26" t="n">
        <v>0.2</v>
      </c>
      <c r="R26" t="n">
        <v>11.2</v>
      </c>
      <c r="S26" t="n">
        <v>0</v>
      </c>
      <c r="T26" t="n">
        <v>0</v>
      </c>
      <c r="U26" t="n">
        <v>0</v>
      </c>
      <c r="V26" t="n">
        <v>0</v>
      </c>
      <c r="W26" t="n">
        <v>420</v>
      </c>
      <c r="X26" t="n">
        <v>10</v>
      </c>
      <c r="Y26" t="n">
        <v>0</v>
      </c>
      <c r="Z26" t="n">
        <v>35</v>
      </c>
      <c r="AA26" t="n">
        <v>28</v>
      </c>
      <c r="AB26" t="n">
        <v>0</v>
      </c>
      <c r="AC26" t="inlineStr">
        <is>
          <t>Ground</t>
        </is>
      </c>
      <c r="AD26" t="inlineStr"/>
      <c r="AE26" t="n">
        <v>7</v>
      </c>
      <c r="AF26" t="inlineStr">
        <is>
          <t>Huge</t>
        </is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n">
        <v>500</v>
      </c>
      <c r="AO26" t="n">
        <v>7</v>
      </c>
      <c r="AP26" t="inlineStr">
        <is>
          <t>T4</t>
        </is>
      </c>
      <c r="AQ26" t="inlineStr"/>
      <c r="AR26" t="inlineStr"/>
      <c r="AS26" t="inlineStr">
        <is>
          <t>xe</t>
        </is>
      </c>
      <c r="AT26" t="inlineStr">
        <is>
          <t>heavy_bomber</t>
        </is>
      </c>
      <c r="AU26" t="n">
        <v>1</v>
      </c>
      <c r="AV26" t="inlineStr">
        <is>
          <t>heavy_bomber:0</t>
        </is>
      </c>
      <c r="AW26" t="n">
        <v>2.722222222222222</v>
      </c>
      <c r="AX26" t="b">
        <v>1</v>
      </c>
      <c r="AY26" t="inlineStr"/>
      <c r="AZ26">
        <f>IF(AND($AX$26,$AW$26&gt;$AA$26/$Z$26),$AW$26,$AA$26/$Z$26)</f>
        <v/>
      </c>
      <c r="BA26" t="n">
        <v>0.8</v>
      </c>
      <c r="BB26" t="n">
        <v>600</v>
      </c>
      <c r="BC26" t="inlineStr"/>
      <c r="BD26" t="inlineStr">
        <is>
          <t>bomb</t>
        </is>
      </c>
      <c r="BE26" t="inlineStr">
        <is>
          <t>a stick's release, 0.1 s and up (est.)</t>
        </is>
      </c>
      <c r="BG26" t="inlineStr">
        <is>
          <t>giong</t>
        </is>
      </c>
      <c r="CR26" t="n">
        <v>7</v>
      </c>
      <c r="CS26" t="n">
        <v>0.2</v>
      </c>
      <c r="DD26" t="n">
        <v>11.2</v>
      </c>
      <c r="DE26" t="n">
        <v>420</v>
      </c>
      <c r="DF26" t="inlineStr">
        <is>
          <t>HighExplosive</t>
        </is>
      </c>
      <c r="DJ26" t="inlineStr">
        <is>
          <t>bomb</t>
        </is>
      </c>
      <c r="DS26" t="inlineStr">
        <is>
          <t>Huge</t>
        </is>
      </c>
      <c r="DW26" t="n">
        <v>7</v>
      </c>
      <c r="EB26" t="n">
        <v>3</v>
      </c>
      <c r="EH26" t="inlineStr">
        <is>
          <t>Bomb</t>
        </is>
      </c>
      <c r="EI26" t="inlineStr">
        <is>
          <t>bomb</t>
        </is>
      </c>
      <c r="EJ26" t="n">
        <v>0.7324000000000001</v>
      </c>
      <c r="EK26" t="n">
        <v>35</v>
      </c>
      <c r="EP26" t="n">
        <v>28</v>
      </c>
      <c r="EQ26" t="inlineStr">
        <is>
          <t>FAB-500 (500 kg)</t>
        </is>
      </c>
      <c r="ET26" t="n">
        <v>1.2</v>
      </c>
      <c r="EX26" t="n">
        <v>500</v>
      </c>
      <c r="EY26" t="n">
        <v>10</v>
      </c>
      <c r="EZ26" t="n">
        <v>7</v>
      </c>
      <c r="FA26" t="inlineStr">
        <is>
          <t>CENTER</t>
        </is>
      </c>
      <c r="FB26" t="n">
        <v>1.5</v>
      </c>
      <c r="FC26" t="n">
        <v>7</v>
      </c>
      <c r="FD26" t="inlineStr">
        <is>
          <t>OVERFLY</t>
        </is>
      </c>
      <c r="FE26" t="n">
        <v>40</v>
      </c>
      <c r="FF26" t="n">
        <v>1.449</v>
      </c>
      <c r="FG26" t="inlineStr">
        <is>
          <t>AXIS</t>
        </is>
      </c>
      <c r="FH26" t="n">
        <v>0.625</v>
      </c>
      <c r="FI26" t="n">
        <v>2.5</v>
      </c>
      <c r="FJ26" t="n">
        <v>1.65</v>
      </c>
      <c r="FK26" t="n">
        <v>25.5</v>
      </c>
      <c r="FL26" t="n">
        <v>66</v>
      </c>
      <c r="FM26" t="n">
        <v>3</v>
      </c>
      <c r="FN26" t="inlineStr">
        <is>
          <t>STICK</t>
        </is>
      </c>
      <c r="FO26" t="n">
        <v>0.909</v>
      </c>
      <c r="FP26" t="n">
        <v>17.6</v>
      </c>
      <c r="FQ26" t="n">
        <v>10</v>
      </c>
      <c r="FR26" t="n">
        <v>11</v>
      </c>
      <c r="FS26" t="n">
        <v>6.2</v>
      </c>
      <c r="FT26" t="inlineStr">
        <is>
          <t>STICK_RECT</t>
        </is>
      </c>
      <c r="FU26" t="n">
        <v>25</v>
      </c>
      <c r="FZ26" t="n">
        <v>500</v>
      </c>
      <c r="GB26" t="inlineStr">
        <is>
          <t>bomb_fab_500</t>
        </is>
      </c>
      <c r="GD26" t="inlineStr">
        <is>
          <t>Assets/MachineBrigade/Resources/Data/balance.json: weapons[48]</t>
        </is>
      </c>
      <c r="GE26" t="inlineStr">
        <is>
          <t>{"id":"bomber_payload","weaponFamilyId":"bomb_fab_500","load":7,"real":"FAB-500 (500 kg)","family":"bomb","size":500,"warheadKg":500,"pen":3,"projectileModel":"bomb","projectileScale":0.7324,"roundLength":1.2,"damageType":"HighExplosive","damage":420,"cooldown":11.2,"range":28,"projectileSpeed":35,"splash":10,"spread":7,"impactTier":"Huge","projectile":"Bomb","burst":7,"burstInterval":0.2,"stick":{"mode":"STICK","bombs":7,"spacing":11,"length":66,"interval":0.625,"releaseSpeed":17.6,"fallTime":1.449,"lead":25.5,"heading":"AXIS","anchor":"CENTER","drop":"OVERFLY","jitterAcross":2.5,"jitterAlong":1.65,"overlap":0.909,"width":25,"minTargets":3,"safety":10,"straightTime":6.2,"exit":40,"bayOpen":1.5,"warnShape":"STICK_RECT"}}</t>
        </is>
      </c>
    </row>
    <row r="27">
      <c r="A27" t="inlineStr">
        <is>
          <t>bomber_tail_guns</t>
        </is>
      </c>
      <c r="B27" t="inlineStr">
        <is>
          <t>M3 12.7 mm (quad tail)</t>
        </is>
      </c>
      <c r="C27" t="inlineStr">
        <is>
          <t>cal_12_7</t>
        </is>
      </c>
      <c r="D27" t="inlineStr"/>
      <c r="E27" t="inlineStr"/>
      <c r="F27" t="inlineStr">
        <is>
          <t>mg</t>
        </is>
      </c>
      <c r="G27" t="n">
        <v>12.7</v>
      </c>
      <c r="H27" t="inlineStr"/>
      <c r="I27" t="inlineStr"/>
      <c r="J27" t="inlineStr"/>
      <c r="K27" t="inlineStr">
        <is>
          <t>Kinetic</t>
        </is>
      </c>
      <c r="L27" t="n">
        <v>1</v>
      </c>
      <c r="M27" t="inlineStr">
        <is>
          <t>Bullet</t>
        </is>
      </c>
      <c r="N27" t="n">
        <v>1</v>
      </c>
      <c r="O27" t="inlineStr">
        <is>
          <t>RIPPLE</t>
        </is>
      </c>
      <c r="P27" t="n">
        <v>1</v>
      </c>
      <c r="Q27" t="n">
        <v>0.1</v>
      </c>
      <c r="R27" t="n">
        <v>0.0167</v>
      </c>
      <c r="S27" t="n">
        <v>26</v>
      </c>
      <c r="T27" t="n">
        <v>2.78</v>
      </c>
      <c r="U27" t="n">
        <v>0</v>
      </c>
      <c r="V27" t="n">
        <v>0</v>
      </c>
      <c r="W27" t="n">
        <v>9.5</v>
      </c>
      <c r="X27" t="n">
        <v>0</v>
      </c>
      <c r="Y27" t="n">
        <v>0</v>
      </c>
      <c r="Z27" t="n">
        <v>240</v>
      </c>
      <c r="AA27" t="n">
        <v>30</v>
      </c>
      <c r="AB27" t="n">
        <v>0</v>
      </c>
      <c r="AC27" t="inlineStr">
        <is>
          <t>Air</t>
        </is>
      </c>
      <c r="AD27" t="inlineStr"/>
      <c r="AE27" t="n">
        <v>1.5</v>
      </c>
      <c r="AF27" t="inlineStr">
        <is>
          <t>Small</t>
        </is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n">
        <v>12.7</v>
      </c>
      <c r="AO27" t="n">
        <v>0</v>
      </c>
      <c r="AP27" t="inlineStr">
        <is>
          <t>T0</t>
        </is>
      </c>
      <c r="AQ27" t="inlineStr"/>
      <c r="AR27" t="inlineStr">
        <is>
          <t>bomber_tail_guns_api</t>
        </is>
      </c>
      <c r="AS27" t="inlineStr">
        <is>
          <t>xe</t>
        </is>
      </c>
      <c r="AT27" t="inlineStr">
        <is>
          <t>heavy_bomber</t>
        </is>
      </c>
      <c r="AU27" t="n">
        <v>1</v>
      </c>
      <c r="AV27" t="inlineStr">
        <is>
          <t>heavy_bomber:1</t>
        </is>
      </c>
      <c r="AW27" t="n">
        <v>0</v>
      </c>
      <c r="AX27" t="b">
        <v>0</v>
      </c>
      <c r="AY27" t="inlineStr"/>
      <c r="AZ27">
        <f>IF(AND($AX$27,$AW$27&gt;$AA$27/$Z$27),$AW$27,$AA$27/$Z$27)</f>
        <v/>
      </c>
      <c r="BA27" t="n">
        <v>0.125</v>
      </c>
      <c r="BB27" t="n">
        <v>1200</v>
      </c>
      <c r="BC27" t="n">
        <v>200</v>
      </c>
      <c r="BD27" t="inlineStr">
        <is>
          <t>mg</t>
        </is>
      </c>
      <c r="BE27" t="inlineStr">
        <is>
          <t>Wikipedia 'M3 Browning' (AN/M3): 1,100-1,250 rpm</t>
        </is>
      </c>
      <c r="BG27" t="inlineStr">
        <is>
          <t>giong</t>
        </is>
      </c>
      <c r="CT27" t="n">
        <v>12.7</v>
      </c>
      <c r="CW27" t="n">
        <v>26</v>
      </c>
      <c r="CX27" t="n">
        <v>2.78</v>
      </c>
      <c r="DD27" t="n">
        <v>0.0167</v>
      </c>
      <c r="DE27" t="n">
        <v>9.5</v>
      </c>
      <c r="DF27" t="inlineStr">
        <is>
          <t>Kinetic</t>
        </is>
      </c>
      <c r="DJ27" t="inlineStr">
        <is>
          <t>mg</t>
        </is>
      </c>
      <c r="DS27" t="inlineStr">
        <is>
          <t>Small</t>
        </is>
      </c>
      <c r="EB27" t="n">
        <v>1</v>
      </c>
      <c r="EH27" t="inlineStr">
        <is>
          <t>Bullet</t>
        </is>
      </c>
      <c r="EK27" t="n">
        <v>240</v>
      </c>
      <c r="EP27" t="n">
        <v>30</v>
      </c>
      <c r="EQ27" t="inlineStr">
        <is>
          <t>M3 12.7 mm (quad tail)</t>
        </is>
      </c>
      <c r="EV27" t="n">
        <v>19</v>
      </c>
      <c r="EX27" t="n">
        <v>12.7</v>
      </c>
      <c r="EZ27" t="n">
        <v>1.5</v>
      </c>
      <c r="FW27" t="inlineStr">
        <is>
          <t>Air</t>
        </is>
      </c>
      <c r="GB27" t="inlineStr">
        <is>
          <t>cal_12_7</t>
        </is>
      </c>
      <c r="GD27" t="inlineStr">
        <is>
          <t>Assets/MachineBrigade/Resources/Data/balance.json: weapons[49]</t>
        </is>
      </c>
      <c r="GE27" t="inlineStr">
        <is>
          <t>{"id":"bomber_tail_guns","weaponFamilyId":"cal_12_7","real":"M3 12.7 mm (quad tail)","family":"mg","size":12.7,"caliberMm":12.7,"pen":1,"damageType":"Kinetic","damage":9.5,"cooldown":0.0167,"range":30,"projectileSpeed":240,"spread":1.5,"impactTier":"Small","projectile":"Bullet","targets":"Air","roundWeight":19,"clip":26,"clipReload":2.78}</t>
        </is>
      </c>
    </row>
    <row r="28">
      <c r="A28" t="inlineStr">
        <is>
          <t>bomber_tail_guns_api</t>
        </is>
      </c>
      <c r="B28" t="inlineStr">
        <is>
          <t>M3 12.7 mm API (quad tail)</t>
        </is>
      </c>
      <c r="C28" t="inlineStr">
        <is>
          <t>cal_12_7</t>
        </is>
      </c>
      <c r="D28" t="inlineStr"/>
      <c r="E28" t="inlineStr"/>
      <c r="F28" t="inlineStr">
        <is>
          <t>mg</t>
        </is>
      </c>
      <c r="G28" t="n">
        <v>12.7</v>
      </c>
      <c r="H28" t="inlineStr"/>
      <c r="I28" t="inlineStr"/>
      <c r="J28" t="inlineStr"/>
      <c r="K28" t="inlineStr">
        <is>
          <t>Kinetic</t>
        </is>
      </c>
      <c r="L28" t="n">
        <v>2</v>
      </c>
      <c r="M28" t="inlineStr">
        <is>
          <t>Bullet</t>
        </is>
      </c>
      <c r="N28" t="n">
        <v>1</v>
      </c>
      <c r="O28" t="inlineStr">
        <is>
          <t>RIPPLE</t>
        </is>
      </c>
      <c r="P28" t="n">
        <v>1</v>
      </c>
      <c r="Q28" t="n">
        <v>0.1</v>
      </c>
      <c r="R28" t="n">
        <v>0.0167</v>
      </c>
      <c r="S28" t="n">
        <v>26</v>
      </c>
      <c r="T28" t="n">
        <v>2.78</v>
      </c>
      <c r="U28" t="n">
        <v>0</v>
      </c>
      <c r="V28" t="n">
        <v>0</v>
      </c>
      <c r="W28" t="n">
        <v>9.5</v>
      </c>
      <c r="X28" t="n">
        <v>0</v>
      </c>
      <c r="Y28" t="n">
        <v>0</v>
      </c>
      <c r="Z28" t="n">
        <v>240</v>
      </c>
      <c r="AA28" t="n">
        <v>30</v>
      </c>
      <c r="AB28" t="n">
        <v>0</v>
      </c>
      <c r="AC28" t="inlineStr">
        <is>
          <t>Air</t>
        </is>
      </c>
      <c r="AD28" t="inlineStr"/>
      <c r="AE28" t="n">
        <v>1.5</v>
      </c>
      <c r="AF28" t="inlineStr">
        <is>
          <t>Small</t>
        </is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n">
        <v>12.7</v>
      </c>
      <c r="AO28" t="n">
        <v>0</v>
      </c>
      <c r="AP28" t="inlineStr">
        <is>
          <t>T0</t>
        </is>
      </c>
      <c r="AQ28" t="inlineStr">
        <is>
          <t>bomber_tail_guns</t>
        </is>
      </c>
      <c r="AR28" t="inlineStr"/>
      <c r="AS28" t="inlineStr"/>
      <c r="AT28" t="inlineStr"/>
      <c r="AU28" t="n">
        <v>0</v>
      </c>
      <c r="AV28" t="inlineStr"/>
      <c r="AW28" t="n">
        <v>0</v>
      </c>
      <c r="AX28" t="b">
        <v>0</v>
      </c>
      <c r="AY28" t="inlineStr"/>
      <c r="AZ28">
        <f>IF(AND($AX$28,$AW$28&gt;$AA$28/$Z$28),$AW$28,$AA$28/$Z$28)</f>
        <v/>
      </c>
      <c r="BA28" t="n">
        <v>0.125</v>
      </c>
      <c r="BB28" t="n">
        <v>1200</v>
      </c>
      <c r="BC28" t="n">
        <v>200</v>
      </c>
      <c r="BD28" t="inlineStr">
        <is>
          <t>mg</t>
        </is>
      </c>
      <c r="BE28" t="inlineStr">
        <is>
          <t>Wikipedia 'M3 Browning' (AN/M3): 1,100-1,250 rpm</t>
        </is>
      </c>
      <c r="BG28" t="inlineStr">
        <is>
          <t>giong</t>
        </is>
      </c>
      <c r="DE28" t="n">
        <v>9.5</v>
      </c>
      <c r="DF28" t="inlineStr">
        <is>
          <t>Kinetic</t>
        </is>
      </c>
      <c r="DH28" t="b">
        <v>1</v>
      </c>
      <c r="DM28" t="inlineStr">
        <is>
          <t>any</t>
        </is>
      </c>
      <c r="DN28" t="inlineStr">
        <is>
          <t>BulletBig</t>
        </is>
      </c>
      <c r="DT28" t="inlineStr">
        <is>
          <t>bomber_tail_guns</t>
        </is>
      </c>
      <c r="EB28" t="n">
        <v>2</v>
      </c>
      <c r="EE28" t="b">
        <v>1</v>
      </c>
      <c r="EQ28" t="inlineStr">
        <is>
          <t>M3 12.7 mm API (quad tail)</t>
        </is>
      </c>
      <c r="ES28" t="inlineStr">
        <is>
          <t>api</t>
        </is>
      </c>
      <c r="EU28" t="inlineStr">
        <is>
          <t>bomber_tail_guns</t>
        </is>
      </c>
      <c r="GA28" t="inlineStr"/>
      <c r="GD28" t="inlineStr">
        <is>
          <t>Assets/MachineBrigade/Resources/Data/balance.json: secondRounds.rounds[5]</t>
        </is>
      </c>
      <c r="GE28" t="inlineStr">
        <is>
          <t>{"id":"bomber_tail_guns_api","roundOf":"bomber_tail_guns","inherits":"bomber_tail_guns","weaponFamily":"","round":"api","for":["any"],"elite":true,"real":"M3 12.7 mm API (quad tail)","damageType":"Kinetic","pen":2,"damage":9.5,"form":"BulletBig","piercing":true}</t>
        </is>
      </c>
    </row>
    <row r="29">
      <c r="A29" t="inlineStr">
        <is>
          <t>borer_cannon</t>
        </is>
      </c>
      <c r="B29" t="inlineStr">
        <is>
          <t>2A70 100/76 mm</t>
        </is>
      </c>
      <c r="C29" t="inlineStr">
        <is>
          <t>cal_76</t>
        </is>
      </c>
      <c r="D29" t="inlineStr"/>
      <c r="E29" t="inlineStr"/>
      <c r="F29" t="inlineStr">
        <is>
          <t>tank_gun</t>
        </is>
      </c>
      <c r="G29" t="n">
        <v>76</v>
      </c>
      <c r="H29" t="inlineStr"/>
      <c r="I29" t="inlineStr"/>
      <c r="J29" t="inlineStr"/>
      <c r="K29" t="inlineStr">
        <is>
          <t>Kinetic</t>
        </is>
      </c>
      <c r="L29" t="n">
        <v>3</v>
      </c>
      <c r="M29" t="inlineStr">
        <is>
          <t>Shell</t>
        </is>
      </c>
      <c r="N29" t="n">
        <v>1</v>
      </c>
      <c r="O29" t="inlineStr">
        <is>
          <t>RIPPLE</t>
        </is>
      </c>
      <c r="P29" t="n">
        <v>1</v>
      </c>
      <c r="Q29" t="n">
        <v>0.1</v>
      </c>
      <c r="R29" t="n">
        <v>6</v>
      </c>
      <c r="S29" t="n">
        <v>0</v>
      </c>
      <c r="T29" t="n">
        <v>0</v>
      </c>
      <c r="U29" t="n">
        <v>0</v>
      </c>
      <c r="V29" t="n">
        <v>0</v>
      </c>
      <c r="W29" t="n">
        <v>120</v>
      </c>
      <c r="X29" t="n">
        <v>1.5</v>
      </c>
      <c r="Y29" t="n">
        <v>0</v>
      </c>
      <c r="Z29" t="n">
        <v>170</v>
      </c>
      <c r="AA29" t="n">
        <v>34</v>
      </c>
      <c r="AB29" t="n">
        <v>0</v>
      </c>
      <c r="AC29" t="inlineStr">
        <is>
          <t>Ground</t>
        </is>
      </c>
      <c r="AD29" t="inlineStr"/>
      <c r="AE29" t="n">
        <v>0.7</v>
      </c>
      <c r="AF29" t="inlineStr">
        <is>
          <t>Medium</t>
        </is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n">
        <v>76</v>
      </c>
      <c r="AO29" t="n">
        <v>0</v>
      </c>
      <c r="AP29" t="inlineStr">
        <is>
          <t>T2</t>
        </is>
      </c>
      <c r="AQ29" t="inlineStr"/>
      <c r="AR29" t="inlineStr">
        <is>
          <t>borer_cannon_he</t>
        </is>
      </c>
      <c r="AS29" t="inlineStr">
        <is>
          <t>boss</t>
        </is>
      </c>
      <c r="AT29" t="inlineStr">
        <is>
          <t>earth_borer</t>
        </is>
      </c>
      <c r="AU29" t="n">
        <v>1</v>
      </c>
      <c r="AV29" t="inlineStr">
        <is>
          <t>earth_borer:1;earth_borer:2</t>
        </is>
      </c>
      <c r="AW29" t="n">
        <v>0</v>
      </c>
      <c r="AX29" t="b">
        <v>0</v>
      </c>
      <c r="AY29" t="inlineStr"/>
      <c r="AZ29">
        <f>IF(AND($AX$29,$AW$29&gt;$AA$29/$Z$29),$AW$29,$AA$29/$Z$29)</f>
        <v/>
      </c>
      <c r="BA29" t="n">
        <v>0.2</v>
      </c>
      <c r="BB29" t="n">
        <v>10</v>
      </c>
      <c r="BC29" t="n">
        <v>8</v>
      </c>
      <c r="BD29" t="inlineStr">
        <is>
          <t>gun</t>
        </is>
      </c>
      <c r="BE29" t="inlineStr">
        <is>
          <t>Wikipedia '2A70': 10 rpm (100 mm), BMP-3</t>
        </is>
      </c>
      <c r="BF29" t="inlineStr">
        <is>
          <t>real 2A70 10 rpm (6 s); 2.08 s was too fast</t>
        </is>
      </c>
      <c r="BG29" t="inlineStr">
        <is>
          <t>doi</t>
        </is>
      </c>
      <c r="BJ29" t="n">
        <v>2.08</v>
      </c>
      <c r="BK29" t="n">
        <v>6</v>
      </c>
      <c r="CT29" t="n">
        <v>76</v>
      </c>
      <c r="DD29" t="n">
        <v>6</v>
      </c>
      <c r="DE29" t="n">
        <v>120</v>
      </c>
      <c r="DF29" t="inlineStr">
        <is>
          <t>Kinetic</t>
        </is>
      </c>
      <c r="DJ29" t="inlineStr">
        <is>
          <t>tank_gun</t>
        </is>
      </c>
      <c r="DO29" t="n">
        <v>16</v>
      </c>
      <c r="DS29" t="inlineStr">
        <is>
          <t>Medium</t>
        </is>
      </c>
      <c r="EB29" t="n">
        <v>3</v>
      </c>
      <c r="EE29" t="b">
        <v>1</v>
      </c>
      <c r="EK29" t="n">
        <v>170</v>
      </c>
      <c r="EP29" t="n">
        <v>34</v>
      </c>
      <c r="EQ29" t="inlineStr">
        <is>
          <t>2A70 100/76 mm</t>
        </is>
      </c>
      <c r="EV29" t="n">
        <v>150</v>
      </c>
      <c r="EX29" t="n">
        <v>76</v>
      </c>
      <c r="EY29" t="n">
        <v>1.5</v>
      </c>
      <c r="EZ29" t="n">
        <v>0.7</v>
      </c>
      <c r="GB29" t="inlineStr">
        <is>
          <t>cal_76</t>
        </is>
      </c>
      <c r="GD29" t="inlineStr">
        <is>
          <t>Assets/MachineBrigade/Resources/Data/balance.json: weapons[244]</t>
        </is>
      </c>
      <c r="GE29" t="inlineStr">
        <is>
          <t>{"id":"borer_cannon","groundMinReach":16,"weaponFamilyId":"cal_76","real":"2A70 100/76 mm","family":"tank_gun","size":76,"caliberMm":76,"pen":3,"piercing":true,"damageType":"Kinetic","damage":120,"cooldown":6,"range":34,"projectileSpeed":170,"splash":1.5,"spread":0.7,"impactTier":"Medium","roundWeight":150}</t>
        </is>
      </c>
    </row>
    <row r="30">
      <c r="A30" t="inlineStr">
        <is>
          <t>borer_cannon_he</t>
        </is>
      </c>
      <c r="B30" t="inlineStr">
        <is>
          <t>2A70 100/76 mm HE</t>
        </is>
      </c>
      <c r="C30" t="inlineStr">
        <is>
          <t>cal_76</t>
        </is>
      </c>
      <c r="D30" t="inlineStr"/>
      <c r="E30" t="inlineStr"/>
      <c r="F30" t="inlineStr">
        <is>
          <t>tank_gun</t>
        </is>
      </c>
      <c r="G30" t="n">
        <v>76</v>
      </c>
      <c r="H30" t="inlineStr"/>
      <c r="I30" t="inlineStr"/>
      <c r="J30" t="inlineStr"/>
      <c r="K30" t="inlineStr">
        <is>
          <t>HighExplosive</t>
        </is>
      </c>
      <c r="L30" t="n">
        <v>2</v>
      </c>
      <c r="M30" t="inlineStr">
        <is>
          <t>Shell</t>
        </is>
      </c>
      <c r="N30" t="n">
        <v>1</v>
      </c>
      <c r="O30" t="inlineStr">
        <is>
          <t>RIPPLE</t>
        </is>
      </c>
      <c r="P30" t="n">
        <v>1</v>
      </c>
      <c r="Q30" t="n">
        <v>0.1</v>
      </c>
      <c r="R30" t="n">
        <v>6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3</v>
      </c>
      <c r="Y30" t="n">
        <v>0</v>
      </c>
      <c r="Z30" t="n">
        <v>170</v>
      </c>
      <c r="AA30" t="n">
        <v>34</v>
      </c>
      <c r="AB30" t="n">
        <v>0</v>
      </c>
      <c r="AC30" t="inlineStr">
        <is>
          <t>Ground</t>
        </is>
      </c>
      <c r="AD30" t="inlineStr"/>
      <c r="AE30" t="n">
        <v>0.7</v>
      </c>
      <c r="AF30" t="inlineStr">
        <is>
          <t>Large</t>
        </is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n">
        <v>76</v>
      </c>
      <c r="AO30" t="n">
        <v>0</v>
      </c>
      <c r="AP30" t="inlineStr">
        <is>
          <t>T2</t>
        </is>
      </c>
      <c r="AQ30" t="inlineStr">
        <is>
          <t>borer_cannon</t>
        </is>
      </c>
      <c r="AR30" t="inlineStr"/>
      <c r="AS30" t="inlineStr"/>
      <c r="AT30" t="inlineStr"/>
      <c r="AU30" t="n">
        <v>0</v>
      </c>
      <c r="AV30" t="inlineStr"/>
      <c r="AW30" t="n">
        <v>0</v>
      </c>
      <c r="AX30" t="b">
        <v>0</v>
      </c>
      <c r="AY30" t="inlineStr"/>
      <c r="AZ30">
        <f>IF(AND($AX$30,$AW$30&gt;$AA$30/$Z$30),$AW$30,$AA$30/$Z$30)</f>
        <v/>
      </c>
      <c r="BA30" t="n">
        <v>0.2</v>
      </c>
      <c r="BB30" t="n">
        <v>10</v>
      </c>
      <c r="BC30" t="n">
        <v>8</v>
      </c>
      <c r="BD30" t="inlineStr">
        <is>
          <t>gun</t>
        </is>
      </c>
      <c r="BE30" t="inlineStr">
        <is>
          <t>Wikipedia '2A70': 10 rpm (100 mm), BMP-3</t>
        </is>
      </c>
      <c r="BG30" t="inlineStr">
        <is>
          <t>doi</t>
        </is>
      </c>
      <c r="BJ30" t="n">
        <v>2.08</v>
      </c>
      <c r="BK30" t="n">
        <v>6</v>
      </c>
      <c r="DE30" t="n">
        <v>120</v>
      </c>
      <c r="DF30" t="inlineStr">
        <is>
          <t>HighExplosive</t>
        </is>
      </c>
      <c r="DM30" t="inlineStr">
        <is>
          <t>light;structure</t>
        </is>
      </c>
      <c r="DN30" t="inlineStr">
        <is>
          <t>HeShell</t>
        </is>
      </c>
      <c r="DS30" t="inlineStr">
        <is>
          <t>Large</t>
        </is>
      </c>
      <c r="DT30" t="inlineStr">
        <is>
          <t>borer_cannon</t>
        </is>
      </c>
      <c r="EB30" t="n">
        <v>2</v>
      </c>
      <c r="EE30" t="b">
        <v>0</v>
      </c>
      <c r="EQ30" t="inlineStr">
        <is>
          <t>2A70 100/76 mm HE</t>
        </is>
      </c>
      <c r="ES30" t="inlineStr">
        <is>
          <t>he</t>
        </is>
      </c>
      <c r="EU30" t="inlineStr">
        <is>
          <t>borer_cannon</t>
        </is>
      </c>
      <c r="EY30" t="n">
        <v>3</v>
      </c>
      <c r="FW30" t="inlineStr">
        <is>
          <t>Ground</t>
        </is>
      </c>
      <c r="GA30" t="inlineStr"/>
      <c r="GD30" t="inlineStr">
        <is>
          <t>Assets/MachineBrigade/Resources/Data/balance.json: secondRounds.rounds[7]</t>
        </is>
      </c>
      <c r="GE30" t="inlineStr">
        <is>
          <t>{"id":"borer_cannon_he","roundOf":"borer_cannon","inherits":"borer_cannon","weaponFamily":"","round":"he","for":["light","structure"],"real":"2A70 100/76 mm HE","damageType":"HighExplosive","pen":2,"damage":120,"splash":3,"form":"HeShell","piercing":false,"targets":"Ground","impactTier":"Large"}</t>
        </is>
      </c>
    </row>
    <row r="31">
      <c r="A31" t="inlineStr">
        <is>
          <t>borer_drill</t>
        </is>
      </c>
      <c r="B31" t="inlineStr">
        <is>
          <t>drill head</t>
        </is>
      </c>
      <c r="C31" t="inlineStr">
        <is>
          <t>melee_drill_head</t>
        </is>
      </c>
      <c r="D31" t="inlineStr"/>
      <c r="E31" t="inlineStr"/>
      <c r="F31" t="inlineStr">
        <is>
          <t>melee</t>
        </is>
      </c>
      <c r="G31" t="inlineStr"/>
      <c r="H31" t="inlineStr"/>
      <c r="I31" t="inlineStr"/>
      <c r="J31" t="inlineStr"/>
      <c r="K31" t="inlineStr">
        <is>
          <t>Kinetic</t>
        </is>
      </c>
      <c r="L31" t="n">
        <v>4</v>
      </c>
      <c r="M31" t="inlineStr">
        <is>
          <t>Bullet</t>
        </is>
      </c>
      <c r="N31" t="n">
        <v>1</v>
      </c>
      <c r="O31" t="inlineStr">
        <is>
          <t>RIPPLE</t>
        </is>
      </c>
      <c r="P31" t="n">
        <v>1</v>
      </c>
      <c r="Q31" t="n">
        <v>0.1</v>
      </c>
      <c r="R31" t="n">
        <v>1.5</v>
      </c>
      <c r="S31" t="n">
        <v>0</v>
      </c>
      <c r="T31" t="n">
        <v>0</v>
      </c>
      <c r="U31" t="n">
        <v>0</v>
      </c>
      <c r="V31" t="n">
        <v>0</v>
      </c>
      <c r="W31" t="n">
        <v>260</v>
      </c>
      <c r="X31" t="n">
        <v>0</v>
      </c>
      <c r="Y31" t="n">
        <v>0</v>
      </c>
      <c r="Z31" t="n">
        <v>400</v>
      </c>
      <c r="AA31" t="n">
        <v>7</v>
      </c>
      <c r="AB31" t="n">
        <v>0</v>
      </c>
      <c r="AC31" t="inlineStr">
        <is>
          <t>Ground</t>
        </is>
      </c>
      <c r="AD31" t="inlineStr"/>
      <c r="AE31" t="n">
        <v>0</v>
      </c>
      <c r="AF31" t="inlineStr">
        <is>
          <t>Large</t>
        </is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n">
        <v>2</v>
      </c>
      <c r="AO31" t="n">
        <v>0</v>
      </c>
      <c r="AP31" t="inlineStr">
        <is>
          <t>T0</t>
        </is>
      </c>
      <c r="AQ31" t="inlineStr"/>
      <c r="AR31" t="inlineStr"/>
      <c r="AS31" t="inlineStr">
        <is>
          <t>boss</t>
        </is>
      </c>
      <c r="AT31" t="inlineStr">
        <is>
          <t>earth_borer</t>
        </is>
      </c>
      <c r="AU31" t="n">
        <v>1</v>
      </c>
      <c r="AV31" t="inlineStr">
        <is>
          <t>earth_borer:0</t>
        </is>
      </c>
      <c r="AW31" t="n">
        <v>0</v>
      </c>
      <c r="AX31" t="b">
        <v>0</v>
      </c>
      <c r="AY31" t="inlineStr"/>
      <c r="AZ31">
        <f>IF(AND($AX$31,$AW$31&gt;$AA$31/$Z$31),$AW$31,$AA$31/$Z$31)</f>
        <v/>
      </c>
      <c r="BA31" t="n">
        <v>0.0175</v>
      </c>
      <c r="BB31" t="inlineStr">
        <is>
          <t>NEED_SOURCE</t>
        </is>
      </c>
      <c r="BC31" t="inlineStr">
        <is>
          <t>NEED_SOURCE</t>
        </is>
      </c>
      <c r="BE31" t="inlineStr">
        <is>
          <t>NEED_SOURCE</t>
        </is>
      </c>
      <c r="BG31" t="inlineStr">
        <is>
          <t>giong</t>
        </is>
      </c>
      <c r="DD31" t="n">
        <v>1.5</v>
      </c>
      <c r="DE31" t="n">
        <v>260</v>
      </c>
      <c r="DF31" t="inlineStr">
        <is>
          <t>Kinetic</t>
        </is>
      </c>
      <c r="DJ31" t="inlineStr">
        <is>
          <t>melee</t>
        </is>
      </c>
      <c r="DS31" t="inlineStr">
        <is>
          <t>Large</t>
        </is>
      </c>
      <c r="DY31" t="b">
        <v>1</v>
      </c>
      <c r="EB31" t="n">
        <v>4</v>
      </c>
      <c r="EE31" t="b">
        <v>1</v>
      </c>
      <c r="EH31" t="inlineStr">
        <is>
          <t>Bullet</t>
        </is>
      </c>
      <c r="EK31" t="n">
        <v>400</v>
      </c>
      <c r="EP31" t="n">
        <v>7</v>
      </c>
      <c r="EQ31" t="inlineStr">
        <is>
          <t>drill head</t>
        </is>
      </c>
      <c r="EX31" t="n">
        <v>2</v>
      </c>
      <c r="FW31" t="inlineStr">
        <is>
          <t>Ground</t>
        </is>
      </c>
      <c r="GB31" t="inlineStr">
        <is>
          <t>melee_drill_head</t>
        </is>
      </c>
      <c r="GD31" t="inlineStr">
        <is>
          <t>Assets/MachineBrigade/Resources/Data/balance.json: weapons[243]</t>
        </is>
      </c>
      <c r="GE31" t="inlineStr">
        <is>
          <t>{"id":"borer_drill","weaponFamilyId":"melee_drill_head","real":"drill head","family":"melee","size":2,"pen":4,"piercing":true,"melee":true,"damageType":"Kinetic","damage":260,"cooldown":1.5,"range":7,"projectileSpeed":400,"impactTier":"Large","projectile":"Bullet","targets":"Ground","bonuses":[{"armor":"Structure","mult":2}]}</t>
        </is>
      </c>
    </row>
    <row r="32">
      <c r="A32" t="inlineStr">
        <is>
          <t>boss_flak</t>
        </is>
      </c>
      <c r="B32" t="inlineStr">
        <is>
          <t>Oerlikon 35 mm (twin)</t>
        </is>
      </c>
      <c r="C32" t="inlineStr">
        <is>
          <t>cal_35</t>
        </is>
      </c>
      <c r="D32" t="inlineStr"/>
      <c r="E32" t="inlineStr">
        <is>
          <t>oerlikon_35_mm</t>
        </is>
      </c>
      <c r="F32" t="inlineStr">
        <is>
          <t>autocannon</t>
        </is>
      </c>
      <c r="G32" t="n">
        <v>35</v>
      </c>
      <c r="H32" t="inlineStr"/>
      <c r="I32" t="inlineStr"/>
      <c r="J32" t="inlineStr"/>
      <c r="K32" t="inlineStr">
        <is>
          <t>Fragmentation</t>
        </is>
      </c>
      <c r="L32" t="n">
        <v>2</v>
      </c>
      <c r="M32" t="inlineStr">
        <is>
          <t>Bullet</t>
        </is>
      </c>
      <c r="N32" t="n">
        <v>1</v>
      </c>
      <c r="O32" t="inlineStr">
        <is>
          <t>RIPPLE</t>
        </is>
      </c>
      <c r="P32" t="n">
        <v>1</v>
      </c>
      <c r="Q32" t="n">
        <v>0.1</v>
      </c>
      <c r="R32" t="n">
        <v>0.05</v>
      </c>
      <c r="S32" t="n">
        <v>41</v>
      </c>
      <c r="T32" t="n">
        <v>3.38</v>
      </c>
      <c r="U32" t="n">
        <v>0</v>
      </c>
      <c r="V32" t="n">
        <v>0</v>
      </c>
      <c r="W32" t="n">
        <v>25</v>
      </c>
      <c r="X32" t="n">
        <v>2.5</v>
      </c>
      <c r="Y32" t="n">
        <v>0</v>
      </c>
      <c r="Z32" t="n">
        <v>260</v>
      </c>
      <c r="AA32" t="n">
        <v>40</v>
      </c>
      <c r="AB32" t="n">
        <v>0</v>
      </c>
      <c r="AC32" t="inlineStr">
        <is>
          <t>All</t>
        </is>
      </c>
      <c r="AD32" t="inlineStr"/>
      <c r="AE32" t="n">
        <v>1.5</v>
      </c>
      <c r="AF32" t="inlineStr">
        <is>
          <t>Small</t>
        </is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n">
        <v>35</v>
      </c>
      <c r="AO32" t="n">
        <v>0</v>
      </c>
      <c r="AP32" t="inlineStr">
        <is>
          <t>T1</t>
        </is>
      </c>
      <c r="AQ32" t="inlineStr"/>
      <c r="AR32" t="inlineStr">
        <is>
          <t>boss_flak_ap</t>
        </is>
      </c>
      <c r="AS32" t="inlineStr">
        <is>
          <t>boss;boss_part;xe</t>
        </is>
      </c>
      <c r="AT32" t="inlineStr">
        <is>
          <t>armored_train;flak_35;mara_behemoth</t>
        </is>
      </c>
      <c r="AU32" t="n">
        <v>3</v>
      </c>
      <c r="AV32" t="inlineStr">
        <is>
          <t>armored_train:3;armored_train:5;flak_35:part;mara_behemoth:2;mara_behemoth:3</t>
        </is>
      </c>
      <c r="AW32" t="n">
        <v>0</v>
      </c>
      <c r="AX32" t="b">
        <v>0</v>
      </c>
      <c r="AY32" t="inlineStr"/>
      <c r="AZ32">
        <f>IF(AND($AX$32,$AW$32&gt;$AA$32/$Z$32),$AW$32,$AA$32/$Z$32)</f>
        <v/>
      </c>
      <c r="BA32" t="n">
        <v>0.1538461538461539</v>
      </c>
      <c r="BB32" t="n">
        <v>550</v>
      </c>
      <c r="BC32" t="n">
        <v>300</v>
      </c>
      <c r="BD32" t="inlineStr">
        <is>
          <t>aa</t>
        </is>
      </c>
      <c r="BE32" t="inlineStr">
        <is>
          <t>Wikipedia 'Oerlikon GDF': 550 rpm a gun (the twin: 1,100)</t>
        </is>
      </c>
      <c r="BG32" t="inlineStr">
        <is>
          <t>giong</t>
        </is>
      </c>
      <c r="CT32" t="n">
        <v>35</v>
      </c>
      <c r="CW32" t="n">
        <v>41</v>
      </c>
      <c r="CX32" t="n">
        <v>3.38</v>
      </c>
      <c r="DD32" t="n">
        <v>0.05</v>
      </c>
      <c r="DE32" t="n">
        <v>25</v>
      </c>
      <c r="DF32" t="inlineStr">
        <is>
          <t>Fragmentation</t>
        </is>
      </c>
      <c r="DJ32" t="inlineStr">
        <is>
          <t>autocannon</t>
        </is>
      </c>
      <c r="DS32" t="inlineStr">
        <is>
          <t>Small</t>
        </is>
      </c>
      <c r="EB32" t="n">
        <v>2</v>
      </c>
      <c r="EH32" t="inlineStr">
        <is>
          <t>Bullet</t>
        </is>
      </c>
      <c r="EP32" t="n">
        <v>40</v>
      </c>
      <c r="EQ32" t="inlineStr">
        <is>
          <t>Oerlikon 35 mm (twin)</t>
        </is>
      </c>
      <c r="EX32" t="n">
        <v>35</v>
      </c>
      <c r="EZ32" t="n">
        <v>1.5</v>
      </c>
      <c r="FW32" t="inlineStr">
        <is>
          <t>All</t>
        </is>
      </c>
      <c r="GA32" t="inlineStr">
        <is>
          <t>oerlikon_35_mm</t>
        </is>
      </c>
      <c r="GB32" t="inlineStr">
        <is>
          <t>cal_35</t>
        </is>
      </c>
      <c r="GD32" t="inlineStr">
        <is>
          <t>Assets/MachineBrigade/Resources/Data/balance.json: weapons[232]</t>
        </is>
      </c>
      <c r="GE32" t="inlineStr">
        <is>
          <t>{"id":"boss_flak","weaponFamilyId":"cal_35","weaponFamily":"oerlikon_35_mm","real":"Oerlikon 35 mm (twin)","family":"autocannon","size":35,"caliberMm":35,"pen":2,"damageType":"Fragmentation","damage":25,"cooldown":0.05,"range":40,"spread":1.5,"impactTier":"Small","projectile":"Bullet","targets":"All","clip":41,"clipReload":3.38}</t>
        </is>
      </c>
    </row>
    <row r="33">
      <c r="A33" t="inlineStr">
        <is>
          <t>boss_flak_ap</t>
        </is>
      </c>
      <c r="B33" t="inlineStr">
        <is>
          <t>Oerlikon 35 mm AP (twin)</t>
        </is>
      </c>
      <c r="C33" t="inlineStr">
        <is>
          <t>cal_35</t>
        </is>
      </c>
      <c r="D33" t="inlineStr">
        <is>
          <t>ap</t>
        </is>
      </c>
      <c r="E33" t="inlineStr">
        <is>
          <t>oerlikon_35_mm_ap</t>
        </is>
      </c>
      <c r="F33" t="inlineStr">
        <is>
          <t>autocannon</t>
        </is>
      </c>
      <c r="G33" t="n">
        <v>35</v>
      </c>
      <c r="H33" t="inlineStr"/>
      <c r="I33" t="inlineStr"/>
      <c r="J33" t="inlineStr"/>
      <c r="K33" t="inlineStr">
        <is>
          <t>Kinetic</t>
        </is>
      </c>
      <c r="L33" t="n">
        <v>2</v>
      </c>
      <c r="M33" t="inlineStr">
        <is>
          <t>Bullet</t>
        </is>
      </c>
      <c r="N33" t="n">
        <v>1</v>
      </c>
      <c r="O33" t="inlineStr">
        <is>
          <t>RIPPLE</t>
        </is>
      </c>
      <c r="P33" t="n">
        <v>1</v>
      </c>
      <c r="Q33" t="n">
        <v>0.1</v>
      </c>
      <c r="R33" t="n">
        <v>0.05</v>
      </c>
      <c r="S33" t="n">
        <v>41</v>
      </c>
      <c r="T33" t="n">
        <v>3.38</v>
      </c>
      <c r="U33" t="n">
        <v>0</v>
      </c>
      <c r="V33" t="n">
        <v>0</v>
      </c>
      <c r="W33" t="n">
        <v>25</v>
      </c>
      <c r="X33" t="n">
        <v>0</v>
      </c>
      <c r="Y33" t="n">
        <v>0</v>
      </c>
      <c r="Z33" t="n">
        <v>260</v>
      </c>
      <c r="AA33" t="n">
        <v>40</v>
      </c>
      <c r="AB33" t="n">
        <v>0</v>
      </c>
      <c r="AC33" t="inlineStr">
        <is>
          <t>Ground</t>
        </is>
      </c>
      <c r="AD33" t="inlineStr"/>
      <c r="AE33" t="n">
        <v>1.5</v>
      </c>
      <c r="AF33" t="inlineStr">
        <is>
          <t>Small</t>
        </is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n">
        <v>35</v>
      </c>
      <c r="AO33" t="n">
        <v>0</v>
      </c>
      <c r="AP33" t="inlineStr">
        <is>
          <t>T1</t>
        </is>
      </c>
      <c r="AQ33" t="inlineStr">
        <is>
          <t>boss_flak</t>
        </is>
      </c>
      <c r="AR33" t="inlineStr"/>
      <c r="AS33" t="inlineStr"/>
      <c r="AT33" t="inlineStr"/>
      <c r="AU33" t="n">
        <v>0</v>
      </c>
      <c r="AV33" t="inlineStr"/>
      <c r="AW33" t="n">
        <v>0</v>
      </c>
      <c r="AX33" t="b">
        <v>0</v>
      </c>
      <c r="AY33" t="inlineStr"/>
      <c r="AZ33">
        <f>IF(AND($AX$33,$AW$33&gt;$AA$33/$Z$33),$AW$33,$AA$33/$Z$33)</f>
        <v/>
      </c>
      <c r="BA33" t="n">
        <v>0.1538461538461539</v>
      </c>
      <c r="BB33" t="n">
        <v>550</v>
      </c>
      <c r="BC33" t="n">
        <v>300</v>
      </c>
      <c r="BD33" t="inlineStr">
        <is>
          <t>aa</t>
        </is>
      </c>
      <c r="BE33" t="inlineStr">
        <is>
          <t>Wikipedia 'Oerlikon GDF': 550 rpm a gun (the twin: 1,100)</t>
        </is>
      </c>
      <c r="BG33" t="inlineStr">
        <is>
          <t>giong</t>
        </is>
      </c>
      <c r="DE33" t="n">
        <v>25</v>
      </c>
      <c r="DF33" t="inlineStr">
        <is>
          <t>Kinetic</t>
        </is>
      </c>
      <c r="DM33" t="inlineStr">
        <is>
          <t>ground</t>
        </is>
      </c>
      <c r="DN33" t="inlineStr">
        <is>
          <t>BeltedAutocannon</t>
        </is>
      </c>
      <c r="DT33" t="inlineStr">
        <is>
          <t>boss_flak</t>
        </is>
      </c>
      <c r="EB33" t="n">
        <v>2</v>
      </c>
      <c r="EE33" t="b">
        <v>1</v>
      </c>
      <c r="EQ33" t="inlineStr">
        <is>
          <t>Oerlikon 35 mm AP (twin)</t>
        </is>
      </c>
      <c r="ES33" t="inlineStr">
        <is>
          <t>ap</t>
        </is>
      </c>
      <c r="EU33" t="inlineStr">
        <is>
          <t>boss_flak</t>
        </is>
      </c>
      <c r="EY33" t="n">
        <v>0</v>
      </c>
      <c r="FW33" t="inlineStr">
        <is>
          <t>Ground</t>
        </is>
      </c>
      <c r="GA33" t="inlineStr">
        <is>
          <t>oerlikon_35_mm_ap</t>
        </is>
      </c>
      <c r="GC33" t="inlineStr">
        <is>
          <t>ap</t>
        </is>
      </c>
      <c r="GD33" t="inlineStr">
        <is>
          <t>Assets/MachineBrigade/Resources/Data/balance.json: secondRounds.rounds[8]</t>
        </is>
      </c>
      <c r="GE33" t="inlineStr">
        <is>
          <t>{"id":"boss_flak_ap","roundOf":"boss_flak","inherits":"boss_flak","weaponVariantId":"ap","weaponFamily":"oerlikon_35_mm_ap","round":"ap","for":["ground"],"real":"Oerlikon 35 mm AP (twin)","damageType":"Kinetic","pen":2,"damage":25,"splash":0,"form":"BeltedAutocannon","piercing":true,"targets":"Ground"}</t>
        </is>
      </c>
    </row>
    <row r="34">
      <c r="A34" t="inlineStr">
        <is>
          <t>boss_flamer</t>
        </is>
      </c>
      <c r="B34" t="inlineStr">
        <is>
          <t>flamethrower (heavy)</t>
        </is>
      </c>
      <c r="C34" t="inlineStr">
        <is>
          <t>flame_flamethrower</t>
        </is>
      </c>
      <c r="D34" t="inlineStr"/>
      <c r="E34" t="inlineStr"/>
      <c r="F34" t="inlineStr">
        <is>
          <t>flame</t>
        </is>
      </c>
      <c r="G34" t="inlineStr"/>
      <c r="H34" t="inlineStr"/>
      <c r="I34" t="inlineStr"/>
      <c r="J34" t="inlineStr"/>
      <c r="K34" t="inlineStr">
        <is>
          <t>Fire</t>
        </is>
      </c>
      <c r="L34" t="n">
        <v>2</v>
      </c>
      <c r="M34" t="inlineStr">
        <is>
          <t>Flame</t>
        </is>
      </c>
      <c r="N34" t="n">
        <v>1</v>
      </c>
      <c r="O34" t="inlineStr">
        <is>
          <t>RIPPLE</t>
        </is>
      </c>
      <c r="P34" t="n">
        <v>1</v>
      </c>
      <c r="Q34" t="n">
        <v>0.1</v>
      </c>
      <c r="R34" t="n">
        <v>0.25</v>
      </c>
      <c r="S34" t="n">
        <v>0</v>
      </c>
      <c r="T34" t="n">
        <v>0</v>
      </c>
      <c r="U34" t="n">
        <v>0</v>
      </c>
      <c r="V34" t="n">
        <v>0</v>
      </c>
      <c r="W34" t="n">
        <v>30</v>
      </c>
      <c r="X34" t="n">
        <v>3.5</v>
      </c>
      <c r="Y34" t="n">
        <v>0</v>
      </c>
      <c r="Z34" t="n">
        <v>38</v>
      </c>
      <c r="AA34" t="n">
        <v>20</v>
      </c>
      <c r="AB34" t="n">
        <v>0</v>
      </c>
      <c r="AC34" t="inlineStr">
        <is>
          <t>Ground</t>
        </is>
      </c>
      <c r="AD34" t="inlineStr"/>
      <c r="AE34" t="n">
        <v>0.8</v>
      </c>
      <c r="AF34" t="inlineStr">
        <is>
          <t>Medium</t>
        </is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n">
        <v>3</v>
      </c>
      <c r="AO34" t="n">
        <v>0</v>
      </c>
      <c r="AP34" t="inlineStr">
        <is>
          <t>T1</t>
        </is>
      </c>
      <c r="AQ34" t="inlineStr"/>
      <c r="AR34" t="inlineStr"/>
      <c r="AS34" t="inlineStr">
        <is>
          <t>boss</t>
        </is>
      </c>
      <c r="AT34" t="inlineStr">
        <is>
          <t>behemoth_inferno</t>
        </is>
      </c>
      <c r="AU34" t="n">
        <v>1</v>
      </c>
      <c r="AV34" t="inlineStr">
        <is>
          <t>behemoth_inferno:0;behemoth_inferno:2</t>
        </is>
      </c>
      <c r="AW34" t="n">
        <v>0</v>
      </c>
      <c r="AX34" t="b">
        <v>0</v>
      </c>
      <c r="AY34" t="inlineStr"/>
      <c r="AZ34">
        <f>IF(AND($AX$34,$AW$34&gt;$AA$34/$Z$34),$AW$34,$AA$34/$Z$34)</f>
        <v/>
      </c>
      <c r="BA34" t="n">
        <v>0.5263157894736842</v>
      </c>
      <c r="BB34" t="inlineStr">
        <is>
          <t>NEED_SOURCE</t>
        </is>
      </c>
      <c r="BC34" t="inlineStr">
        <is>
          <t>NEED_SOURCE</t>
        </is>
      </c>
      <c r="BE34" t="inlineStr">
        <is>
          <t>NEED_SOURCE</t>
        </is>
      </c>
      <c r="BG34" t="inlineStr">
        <is>
          <t>giong</t>
        </is>
      </c>
      <c r="DD34" t="n">
        <v>0.25</v>
      </c>
      <c r="DE34" t="n">
        <v>30</v>
      </c>
      <c r="DF34" t="inlineStr">
        <is>
          <t>Fire</t>
        </is>
      </c>
      <c r="DJ34" t="inlineStr">
        <is>
          <t>flame</t>
        </is>
      </c>
      <c r="DS34" t="inlineStr">
        <is>
          <t>Medium</t>
        </is>
      </c>
      <c r="EB34" t="n">
        <v>2</v>
      </c>
      <c r="EH34" t="inlineStr">
        <is>
          <t>Flame</t>
        </is>
      </c>
      <c r="EK34" t="n">
        <v>38</v>
      </c>
      <c r="EP34" t="n">
        <v>20</v>
      </c>
      <c r="EQ34" t="inlineStr">
        <is>
          <t>flamethrower (heavy)</t>
        </is>
      </c>
      <c r="EX34" t="n">
        <v>3</v>
      </c>
      <c r="EY34" t="n">
        <v>3.5</v>
      </c>
      <c r="EZ34" t="n">
        <v>0.8</v>
      </c>
      <c r="GB34" t="inlineStr">
        <is>
          <t>flame_flamethrower</t>
        </is>
      </c>
      <c r="GD34" t="inlineStr">
        <is>
          <t>Assets/MachineBrigade/Resources/Data/balance.json: weapons[239]</t>
        </is>
      </c>
      <c r="GE34" t="inlineStr">
        <is>
          <t>{"id":"boss_flamer","weaponFamilyId":"flame_flamethrower","real":"flamethrower (heavy)","family":"flame","size":3,"pen":2,"damageType":"Fire","damage":30,"cooldown":0.25,"range":20,"projectileSpeed":38,"splash":3.5,"spread":0.8,"impactTier":"Medium","projectile":"Flame"}</t>
        </is>
      </c>
    </row>
    <row r="35">
      <c r="A35" t="inlineStr">
        <is>
          <t>boss_heli_gun</t>
        </is>
      </c>
      <c r="B35" t="inlineStr">
        <is>
          <t>M230 30 mm</t>
        </is>
      </c>
      <c r="C35" t="inlineStr">
        <is>
          <t>cal_30</t>
        </is>
      </c>
      <c r="D35" t="inlineStr"/>
      <c r="E35" t="inlineStr"/>
      <c r="F35" t="inlineStr">
        <is>
          <t>autocannon</t>
        </is>
      </c>
      <c r="G35" t="n">
        <v>30</v>
      </c>
      <c r="H35" t="inlineStr"/>
      <c r="I35" t="inlineStr"/>
      <c r="J35" t="inlineStr"/>
      <c r="K35" t="inlineStr">
        <is>
          <t>Kinetic</t>
        </is>
      </c>
      <c r="L35" t="n">
        <v>2</v>
      </c>
      <c r="M35" t="inlineStr">
        <is>
          <t>Bullet</t>
        </is>
      </c>
      <c r="N35" t="n">
        <v>1</v>
      </c>
      <c r="O35" t="inlineStr">
        <is>
          <t>RIPPLE</t>
        </is>
      </c>
      <c r="P35" t="n">
        <v>1</v>
      </c>
      <c r="Q35" t="n">
        <v>0.1</v>
      </c>
      <c r="R35" t="n">
        <v>0.1667</v>
      </c>
      <c r="S35" t="n">
        <v>40</v>
      </c>
      <c r="T35" t="n">
        <v>3.167</v>
      </c>
      <c r="U35" t="n">
        <v>0</v>
      </c>
      <c r="V35" t="n">
        <v>0</v>
      </c>
      <c r="W35" t="n">
        <v>22</v>
      </c>
      <c r="X35" t="n">
        <v>0</v>
      </c>
      <c r="Y35" t="n">
        <v>0</v>
      </c>
      <c r="Z35" t="n">
        <v>200</v>
      </c>
      <c r="AA35" t="n">
        <v>26</v>
      </c>
      <c r="AB35" t="n">
        <v>0</v>
      </c>
      <c r="AC35" t="inlineStr">
        <is>
          <t>All</t>
        </is>
      </c>
      <c r="AD35" t="inlineStr"/>
      <c r="AE35" t="n">
        <v>1.3</v>
      </c>
      <c r="AF35" t="inlineStr">
        <is>
          <t>Small</t>
        </is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n">
        <v>30</v>
      </c>
      <c r="AO35" t="n">
        <v>0</v>
      </c>
      <c r="AP35" t="inlineStr">
        <is>
          <t>T1</t>
        </is>
      </c>
      <c r="AQ35" t="inlineStr">
        <is>
          <t>heli_gun</t>
        </is>
      </c>
      <c r="AR35" t="inlineStr">
        <is>
          <t>boss_heli_gun_flak</t>
        </is>
      </c>
      <c r="AS35" t="inlineStr">
        <is>
          <t>boss</t>
        </is>
      </c>
      <c r="AT35" t="inlineStr">
        <is>
          <t>mega_gunship</t>
        </is>
      </c>
      <c r="AU35" t="n">
        <v>1</v>
      </c>
      <c r="AV35" t="inlineStr">
        <is>
          <t>mega_gunship:1;mega_gunship:2</t>
        </is>
      </c>
      <c r="AW35" t="n">
        <v>0</v>
      </c>
      <c r="AX35" t="b">
        <v>0</v>
      </c>
      <c r="AY35" t="inlineStr"/>
      <c r="AZ35">
        <f>IF(AND($AX$35,$AW$35&gt;$AA$35/$Z$35),$AW$35,$AA$35/$Z$35)</f>
        <v/>
      </c>
      <c r="BA35" t="n">
        <v>0.13</v>
      </c>
      <c r="BB35" t="n">
        <v>625</v>
      </c>
      <c r="BC35" t="n">
        <v>300</v>
      </c>
      <c r="BD35" t="inlineStr">
        <is>
          <t>ac</t>
        </is>
      </c>
      <c r="BE35" t="inlineStr">
        <is>
          <t>Wikipedia 'M230 chain gun': 625 rpm</t>
        </is>
      </c>
      <c r="BG35" t="inlineStr">
        <is>
          <t>doi</t>
        </is>
      </c>
      <c r="BR35" t="n">
        <v>220</v>
      </c>
      <c r="BS35" t="n">
        <v>200</v>
      </c>
      <c r="CH35" t="n">
        <v>3.1667</v>
      </c>
      <c r="CI35" t="n">
        <v>3.167</v>
      </c>
      <c r="CT35" t="n">
        <v>30</v>
      </c>
      <c r="CW35" t="n">
        <v>40</v>
      </c>
      <c r="CX35" t="n">
        <v>3.167</v>
      </c>
      <c r="DD35" t="n">
        <v>0.1667</v>
      </c>
      <c r="DJ35" t="inlineStr">
        <is>
          <t>autocannon</t>
        </is>
      </c>
      <c r="DT35" t="inlineStr">
        <is>
          <t>heli_gun</t>
        </is>
      </c>
      <c r="EB35" t="n">
        <v>2</v>
      </c>
      <c r="EK35" t="n">
        <v>200</v>
      </c>
      <c r="EQ35" t="inlineStr">
        <is>
          <t>M230 30 mm</t>
        </is>
      </c>
      <c r="EX35" t="n">
        <v>30</v>
      </c>
      <c r="EY35" t="n">
        <v>0</v>
      </c>
      <c r="GA35" t="inlineStr"/>
      <c r="GD35" t="inlineStr">
        <is>
          <t>Assets/MachineBrigade/Resources/Data/balance.json: weapons[247]</t>
        </is>
      </c>
      <c r="GE35" t="inlineStr">
        <is>
          <t>{"id":"boss_heli_gun","weaponFamily":"","real":"M230 30 mm","family":"autocannon","size":30,"caliberMm":30,"pen":2,"inherits":"heli_gun","splash":0,"projectileSpeed":200,"cooldown":0.1667,"clip":40,"clipReload":3.167}</t>
        </is>
      </c>
    </row>
    <row r="36">
      <c r="A36" t="inlineStr">
        <is>
          <t>boss_heli_gun_flak</t>
        </is>
      </c>
      <c r="B36" t="inlineStr">
        <is>
          <t>M230 30 mm air-burst</t>
        </is>
      </c>
      <c r="C36" t="inlineStr">
        <is>
          <t>cal_30</t>
        </is>
      </c>
      <c r="D36" t="inlineStr">
        <is>
          <t>flak</t>
        </is>
      </c>
      <c r="E36" t="inlineStr">
        <is>
          <t>m230_30_mm_air_burst</t>
        </is>
      </c>
      <c r="F36" t="inlineStr">
        <is>
          <t>autocannon</t>
        </is>
      </c>
      <c r="G36" t="n">
        <v>30</v>
      </c>
      <c r="H36" t="inlineStr"/>
      <c r="I36" t="inlineStr"/>
      <c r="J36" t="inlineStr"/>
      <c r="K36" t="inlineStr">
        <is>
          <t>Fragmentation</t>
        </is>
      </c>
      <c r="L36" t="n">
        <v>2</v>
      </c>
      <c r="M36" t="inlineStr">
        <is>
          <t>Bullet</t>
        </is>
      </c>
      <c r="N36" t="n">
        <v>1</v>
      </c>
      <c r="O36" t="inlineStr">
        <is>
          <t>RIPPLE</t>
        </is>
      </c>
      <c r="P36" t="n">
        <v>1</v>
      </c>
      <c r="Q36" t="n">
        <v>0.1</v>
      </c>
      <c r="R36" t="n">
        <v>0.1667</v>
      </c>
      <c r="S36" t="n">
        <v>40</v>
      </c>
      <c r="T36" t="n">
        <v>3.167</v>
      </c>
      <c r="U36" t="n">
        <v>0</v>
      </c>
      <c r="V36" t="n">
        <v>0</v>
      </c>
      <c r="W36" t="n">
        <v>22</v>
      </c>
      <c r="X36" t="n">
        <v>2.5</v>
      </c>
      <c r="Y36" t="n">
        <v>0</v>
      </c>
      <c r="Z36" t="n">
        <v>220</v>
      </c>
      <c r="AA36" t="n">
        <v>26</v>
      </c>
      <c r="AB36" t="n">
        <v>0</v>
      </c>
      <c r="AC36" t="inlineStr">
        <is>
          <t>Air</t>
        </is>
      </c>
      <c r="AD36" t="inlineStr"/>
      <c r="AE36" t="n">
        <v>1.3</v>
      </c>
      <c r="AF36" t="inlineStr">
        <is>
          <t>Small</t>
        </is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n">
        <v>30</v>
      </c>
      <c r="AO36" t="n">
        <v>0</v>
      </c>
      <c r="AP36" t="inlineStr">
        <is>
          <t>T1</t>
        </is>
      </c>
      <c r="AQ36" t="inlineStr">
        <is>
          <t>boss_heli_gun</t>
        </is>
      </c>
      <c r="AR36" t="inlineStr"/>
      <c r="AS36" t="inlineStr"/>
      <c r="AT36" t="inlineStr"/>
      <c r="AU36" t="n">
        <v>0</v>
      </c>
      <c r="AV36" t="inlineStr"/>
      <c r="AW36" t="n">
        <v>0</v>
      </c>
      <c r="AX36" t="b">
        <v>0</v>
      </c>
      <c r="AY36" t="inlineStr"/>
      <c r="AZ36">
        <f>IF(AND($AX$36,$AW$36&gt;$AA$36/$Z$36),$AW$36,$AA$36/$Z$36)</f>
        <v/>
      </c>
      <c r="BA36" t="n">
        <v>0.1181818181818182</v>
      </c>
      <c r="BB36" t="n">
        <v>625</v>
      </c>
      <c r="BC36" t="n">
        <v>300</v>
      </c>
      <c r="BD36" t="inlineStr">
        <is>
          <t>ac</t>
        </is>
      </c>
      <c r="BE36" t="inlineStr">
        <is>
          <t>Wikipedia 'M230 chain gun': 625 rpm</t>
        </is>
      </c>
      <c r="BG36" t="inlineStr">
        <is>
          <t>doi</t>
        </is>
      </c>
      <c r="CH36" t="n">
        <v>3.1667</v>
      </c>
      <c r="CI36" t="n">
        <v>3.167</v>
      </c>
      <c r="DE36" t="n">
        <v>22</v>
      </c>
      <c r="DF36" t="inlineStr">
        <is>
          <t>Fragmentation</t>
        </is>
      </c>
      <c r="DM36" t="inlineStr">
        <is>
          <t>air</t>
        </is>
      </c>
      <c r="DN36" t="inlineStr">
        <is>
          <t>Airburst</t>
        </is>
      </c>
      <c r="DT36" t="inlineStr">
        <is>
          <t>boss_heli_gun</t>
        </is>
      </c>
      <c r="EB36" t="n">
        <v>2</v>
      </c>
      <c r="EE36" t="b">
        <v>0</v>
      </c>
      <c r="EQ36" t="inlineStr">
        <is>
          <t>M230 30 mm air-burst</t>
        </is>
      </c>
      <c r="ES36" t="inlineStr">
        <is>
          <t>flak</t>
        </is>
      </c>
      <c r="EU36" t="inlineStr">
        <is>
          <t>boss_heli_gun</t>
        </is>
      </c>
      <c r="EY36" t="n">
        <v>2.5</v>
      </c>
      <c r="FW36" t="inlineStr">
        <is>
          <t>Air</t>
        </is>
      </c>
      <c r="GA36" t="inlineStr">
        <is>
          <t>m230_30_mm_air_burst</t>
        </is>
      </c>
      <c r="GC36" t="inlineStr">
        <is>
          <t>flak</t>
        </is>
      </c>
      <c r="GD36" t="inlineStr">
        <is>
          <t>Assets/MachineBrigade/Resources/Data/balance.json: secondRounds.rounds[9]</t>
        </is>
      </c>
      <c r="GE36" t="inlineStr">
        <is>
          <t>{"id":"boss_heli_gun_flak","roundOf":"boss_heli_gun","inherits":"boss_heli_gun","weaponVariantId":"flak","weaponFamily":"m230_30_mm_air_burst","round":"flak","for":["air"],"real":"M230 30 mm air-burst","damageType":"Fragmentation","pen":2,"damage":22,"splash":2.5,"form":"Airburst","piercing":false,"targets":"Air"}</t>
        </is>
      </c>
    </row>
    <row r="37">
      <c r="A37" t="inlineStr">
        <is>
          <t>boss_hmg</t>
        </is>
      </c>
      <c r="B37" t="inlineStr">
        <is>
          <t>NSV 12.7 mm</t>
        </is>
      </c>
      <c r="C37" t="inlineStr">
        <is>
          <t>cal_12_7</t>
        </is>
      </c>
      <c r="D37" t="inlineStr"/>
      <c r="E37" t="inlineStr">
        <is>
          <t>nsv_12_7_mm</t>
        </is>
      </c>
      <c r="F37" t="inlineStr">
        <is>
          <t>mg</t>
        </is>
      </c>
      <c r="G37" t="n">
        <v>12.7</v>
      </c>
      <c r="H37" t="inlineStr"/>
      <c r="I37" t="inlineStr"/>
      <c r="J37" t="inlineStr"/>
      <c r="K37" t="inlineStr">
        <is>
          <t>Kinetic</t>
        </is>
      </c>
      <c r="L37" t="n">
        <v>1</v>
      </c>
      <c r="M37" t="inlineStr">
        <is>
          <t>Bullet</t>
        </is>
      </c>
      <c r="N37" t="n">
        <v>1</v>
      </c>
      <c r="O37" t="inlineStr">
        <is>
          <t>RIPPLE</t>
        </is>
      </c>
      <c r="P37" t="n">
        <v>1</v>
      </c>
      <c r="Q37" t="n">
        <v>0.1</v>
      </c>
      <c r="R37" t="n">
        <v>0.0833</v>
      </c>
      <c r="S37" t="n">
        <v>100</v>
      </c>
      <c r="T37" t="n">
        <v>5</v>
      </c>
      <c r="U37" t="n">
        <v>0</v>
      </c>
      <c r="V37" t="n">
        <v>0</v>
      </c>
      <c r="W37" t="n">
        <v>15</v>
      </c>
      <c r="X37" t="n">
        <v>0</v>
      </c>
      <c r="Y37" t="n">
        <v>0</v>
      </c>
      <c r="Z37" t="n">
        <v>240</v>
      </c>
      <c r="AA37" t="n">
        <v>30</v>
      </c>
      <c r="AB37" t="n">
        <v>0</v>
      </c>
      <c r="AC37" t="inlineStr">
        <is>
          <t>All</t>
        </is>
      </c>
      <c r="AD37" t="inlineStr"/>
      <c r="AE37" t="n">
        <v>1.3</v>
      </c>
      <c r="AF37" t="inlineStr">
        <is>
          <t>Small</t>
        </is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n">
        <v>12.7</v>
      </c>
      <c r="AO37" t="n">
        <v>0</v>
      </c>
      <c r="AP37" t="inlineStr">
        <is>
          <t>T0</t>
        </is>
      </c>
      <c r="AQ37" t="inlineStr">
        <is>
          <t>hmg_roof</t>
        </is>
      </c>
      <c r="AR37" t="inlineStr">
        <is>
          <t>boss_hmg_api</t>
        </is>
      </c>
      <c r="AS37" t="inlineStr">
        <is>
          <t>boss</t>
        </is>
      </c>
      <c r="AT37" t="inlineStr">
        <is>
          <t>armored_train;mega_gunship</t>
        </is>
      </c>
      <c r="AU37" t="n">
        <v>2</v>
      </c>
      <c r="AV37" t="inlineStr">
        <is>
          <t>armored_train:2;mega_gunship:5;mega_gunship:6</t>
        </is>
      </c>
      <c r="AW37" t="n">
        <v>0</v>
      </c>
      <c r="AX37" t="b">
        <v>0</v>
      </c>
      <c r="AY37" t="inlineStr"/>
      <c r="AZ37">
        <f>IF(AND($AX$37,$AW$37&gt;$AA$37/$Z$37),$AW$37,$AA$37/$Z$37)</f>
        <v/>
      </c>
      <c r="BA37" t="n">
        <v>0.125</v>
      </c>
      <c r="BB37" t="n">
        <v>800</v>
      </c>
      <c r="BC37" t="n">
        <v>100</v>
      </c>
      <c r="BD37" t="inlineStr">
        <is>
          <t>mg</t>
        </is>
      </c>
      <c r="BE37" t="inlineStr">
        <is>
          <t>Wikipedia 'NSV machine gun': 700-800 cyclic, 100 practical</t>
        </is>
      </c>
      <c r="BF37" t="inlineStr">
        <is>
          <t>wave 1 boss_hmg: 100 rounds at 720 rpm, changed in 5 s (NSV 700-800 rpm)</t>
        </is>
      </c>
      <c r="BG37" t="inlineStr">
        <is>
          <t>doi</t>
        </is>
      </c>
      <c r="BH37" t="n">
        <v>9.5</v>
      </c>
      <c r="BI37" t="n">
        <v>15</v>
      </c>
      <c r="CH37" t="n">
        <v>5.0833</v>
      </c>
      <c r="CI37" t="n">
        <v>5</v>
      </c>
      <c r="CT37" t="n">
        <v>12.7</v>
      </c>
      <c r="CW37" t="n">
        <v>100</v>
      </c>
      <c r="CX37" t="n">
        <v>5</v>
      </c>
      <c r="DD37" t="n">
        <v>0.0833</v>
      </c>
      <c r="DE37" t="n">
        <v>15</v>
      </c>
      <c r="DJ37" t="inlineStr">
        <is>
          <t>mg</t>
        </is>
      </c>
      <c r="DT37" t="inlineStr">
        <is>
          <t>hmg_roof</t>
        </is>
      </c>
      <c r="EB37" t="n">
        <v>1</v>
      </c>
      <c r="EQ37" t="inlineStr">
        <is>
          <t>NSV 12.7 mm</t>
        </is>
      </c>
      <c r="EX37" t="n">
        <v>12.7</v>
      </c>
      <c r="GA37" t="inlineStr">
        <is>
          <t>nsv_12_7_mm</t>
        </is>
      </c>
      <c r="GD37" t="inlineStr">
        <is>
          <t>Assets/MachineBrigade/Resources/Data/balance.json: weapons[249]</t>
        </is>
      </c>
      <c r="GE37" t="inlineStr">
        <is>
          <t>{"id":"boss_hmg","weaponFamily":"nsv_12_7_mm","real":"NSV 12.7 mm","family":"mg","size":12.7,"caliberMm":12.7,"pen":1,"inherits":"hmg_roof","damage":15,"cooldown":0.0833,"clip":100,"clipReload":5}</t>
        </is>
      </c>
    </row>
    <row r="38">
      <c r="A38" t="inlineStr">
        <is>
          <t>boss_hmg_api</t>
        </is>
      </c>
      <c r="B38" t="inlineStr">
        <is>
          <t>NSV 12.7 mm API</t>
        </is>
      </c>
      <c r="C38" t="inlineStr">
        <is>
          <t>cal_12_7</t>
        </is>
      </c>
      <c r="D38" t="inlineStr"/>
      <c r="E38" t="inlineStr">
        <is>
          <t>nsv_12_7_mm_api</t>
        </is>
      </c>
      <c r="F38" t="inlineStr">
        <is>
          <t>mg</t>
        </is>
      </c>
      <c r="G38" t="n">
        <v>12.7</v>
      </c>
      <c r="H38" t="inlineStr"/>
      <c r="I38" t="inlineStr"/>
      <c r="J38" t="inlineStr"/>
      <c r="K38" t="inlineStr">
        <is>
          <t>Kinetic</t>
        </is>
      </c>
      <c r="L38" t="n">
        <v>2</v>
      </c>
      <c r="M38" t="inlineStr">
        <is>
          <t>Bullet</t>
        </is>
      </c>
      <c r="N38" t="n">
        <v>1</v>
      </c>
      <c r="O38" t="inlineStr">
        <is>
          <t>RIPPLE</t>
        </is>
      </c>
      <c r="P38" t="n">
        <v>1</v>
      </c>
      <c r="Q38" t="n">
        <v>0.1</v>
      </c>
      <c r="R38" t="n">
        <v>0.0833</v>
      </c>
      <c r="S38" t="n">
        <v>100</v>
      </c>
      <c r="T38" t="n">
        <v>5</v>
      </c>
      <c r="U38" t="n">
        <v>0</v>
      </c>
      <c r="V38" t="n">
        <v>0</v>
      </c>
      <c r="W38" t="n">
        <v>15</v>
      </c>
      <c r="X38" t="n">
        <v>0</v>
      </c>
      <c r="Y38" t="n">
        <v>0</v>
      </c>
      <c r="Z38" t="n">
        <v>240</v>
      </c>
      <c r="AA38" t="n">
        <v>30</v>
      </c>
      <c r="AB38" t="n">
        <v>0</v>
      </c>
      <c r="AC38" t="inlineStr">
        <is>
          <t>All</t>
        </is>
      </c>
      <c r="AD38" t="inlineStr"/>
      <c r="AE38" t="n">
        <v>1.3</v>
      </c>
      <c r="AF38" t="inlineStr">
        <is>
          <t>Small</t>
        </is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n">
        <v>12.7</v>
      </c>
      <c r="AO38" t="n">
        <v>0</v>
      </c>
      <c r="AP38" t="inlineStr">
        <is>
          <t>T0</t>
        </is>
      </c>
      <c r="AQ38" t="inlineStr">
        <is>
          <t>boss_hmg</t>
        </is>
      </c>
      <c r="AR38" t="inlineStr"/>
      <c r="AS38" t="inlineStr"/>
      <c r="AT38" t="inlineStr"/>
      <c r="AU38" t="n">
        <v>0</v>
      </c>
      <c r="AV38" t="inlineStr"/>
      <c r="AW38" t="n">
        <v>0</v>
      </c>
      <c r="AX38" t="b">
        <v>0</v>
      </c>
      <c r="AY38" t="inlineStr"/>
      <c r="AZ38">
        <f>IF(AND($AX$38,$AW$38&gt;$AA$38/$Z$38),$AW$38,$AA$38/$Z$38)</f>
        <v/>
      </c>
      <c r="BA38" t="n">
        <v>0.125</v>
      </c>
      <c r="BB38" t="n">
        <v>800</v>
      </c>
      <c r="BC38" t="n">
        <v>100</v>
      </c>
      <c r="BD38" t="inlineStr">
        <is>
          <t>mg</t>
        </is>
      </c>
      <c r="BE38" t="inlineStr">
        <is>
          <t>Wikipedia 'NSV machine gun': 700-800 cyclic, 100 practical</t>
        </is>
      </c>
      <c r="BG38" t="inlineStr">
        <is>
          <t>doi</t>
        </is>
      </c>
      <c r="BH38" t="n">
        <v>9.5</v>
      </c>
      <c r="BI38" t="n">
        <v>15</v>
      </c>
      <c r="CH38" t="n">
        <v>5.0833</v>
      </c>
      <c r="CI38" t="n">
        <v>5</v>
      </c>
      <c r="DE38" t="n">
        <v>15</v>
      </c>
      <c r="DF38" t="inlineStr">
        <is>
          <t>Kinetic</t>
        </is>
      </c>
      <c r="DH38" t="b">
        <v>1</v>
      </c>
      <c r="DM38" t="inlineStr">
        <is>
          <t>any</t>
        </is>
      </c>
      <c r="DN38" t="inlineStr">
        <is>
          <t>BulletBig</t>
        </is>
      </c>
      <c r="DT38" t="inlineStr">
        <is>
          <t>boss_hmg</t>
        </is>
      </c>
      <c r="EB38" t="n">
        <v>2</v>
      </c>
      <c r="EE38" t="b">
        <v>1</v>
      </c>
      <c r="EQ38" t="inlineStr">
        <is>
          <t>NSV 12.7 mm API</t>
        </is>
      </c>
      <c r="ES38" t="inlineStr">
        <is>
          <t>api</t>
        </is>
      </c>
      <c r="EU38" t="inlineStr">
        <is>
          <t>boss_hmg</t>
        </is>
      </c>
      <c r="GA38" t="inlineStr">
        <is>
          <t>nsv_12_7_mm_api</t>
        </is>
      </c>
      <c r="GD38" t="inlineStr">
        <is>
          <t>Assets/MachineBrigade/Resources/Data/balance.json: secondRounds.rounds[10]</t>
        </is>
      </c>
      <c r="GE38" t="inlineStr">
        <is>
          <t>{"id":"boss_hmg_api","roundOf":"boss_hmg","inherits":"boss_hmg","weaponFamily":"nsv_12_7_mm_api","round":"api","for":["any"],"elite":true,"real":"NSV 12.7 mm API","damageType":"Kinetic","pen":2,"damage":15,"form":"BulletBig","piercing":true}</t>
        </is>
      </c>
    </row>
    <row r="39">
      <c r="A39" t="inlineStr">
        <is>
          <t>boss_howitzer</t>
        </is>
      </c>
      <c r="B39" t="inlineStr">
        <is>
          <t>2A44 203 mm</t>
        </is>
      </c>
      <c r="C39" t="inlineStr">
        <is>
          <t>cal_203</t>
        </is>
      </c>
      <c r="D39" t="inlineStr"/>
      <c r="E39" t="inlineStr"/>
      <c r="F39" t="inlineStr">
        <is>
          <t>howitzer</t>
        </is>
      </c>
      <c r="G39" t="n">
        <v>203</v>
      </c>
      <c r="H39" t="inlineStr"/>
      <c r="I39" t="inlineStr"/>
      <c r="J39" t="inlineStr"/>
      <c r="K39" t="inlineStr">
        <is>
          <t>HighExplosive</t>
        </is>
      </c>
      <c r="L39" t="n">
        <v>4</v>
      </c>
      <c r="M39" t="inlineStr">
        <is>
          <t>Shell</t>
        </is>
      </c>
      <c r="N39" t="n">
        <v>1</v>
      </c>
      <c r="O39" t="inlineStr">
        <is>
          <t>RIPPLE</t>
        </is>
      </c>
      <c r="P39" t="n">
        <v>1</v>
      </c>
      <c r="Q39" t="n">
        <v>0.1</v>
      </c>
      <c r="R39" t="n">
        <v>9.44</v>
      </c>
      <c r="S39" t="n">
        <v>0</v>
      </c>
      <c r="T39" t="n">
        <v>0</v>
      </c>
      <c r="U39" t="n">
        <v>0</v>
      </c>
      <c r="V39" t="n">
        <v>0</v>
      </c>
      <c r="W39" t="n">
        <v>420</v>
      </c>
      <c r="X39" t="n">
        <v>8</v>
      </c>
      <c r="Y39" t="n">
        <v>0</v>
      </c>
      <c r="Z39" t="n">
        <v>100</v>
      </c>
      <c r="AA39" t="n">
        <v>60</v>
      </c>
      <c r="AB39" t="n">
        <v>0</v>
      </c>
      <c r="AC39" t="inlineStr">
        <is>
          <t>Ground</t>
        </is>
      </c>
      <c r="AD39" t="inlineStr"/>
      <c r="AE39" t="n">
        <v>3</v>
      </c>
      <c r="AF39" t="inlineStr">
        <is>
          <t>Huge</t>
        </is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n">
        <v>203</v>
      </c>
      <c r="AO39" t="n">
        <v>0</v>
      </c>
      <c r="AP39" t="inlineStr">
        <is>
          <t>T4</t>
        </is>
      </c>
      <c r="AQ39" t="inlineStr"/>
      <c r="AR39" t="inlineStr">
        <is>
          <t>boss_howitzer_guided</t>
        </is>
      </c>
      <c r="AS39" t="inlineStr">
        <is>
          <t>boss_part</t>
        </is>
      </c>
      <c r="AT39" t="inlineStr">
        <is>
          <t>howitzer_203</t>
        </is>
      </c>
      <c r="AU39" t="n">
        <v>1</v>
      </c>
      <c r="AV39" t="inlineStr">
        <is>
          <t>howitzer_203:part</t>
        </is>
      </c>
      <c r="AW39" t="n">
        <v>2.5</v>
      </c>
      <c r="AX39" t="b">
        <v>1</v>
      </c>
      <c r="AY39" t="inlineStr"/>
      <c r="AZ39">
        <f>IF(AND($AX$39,$AW$39&gt;$AA$39/$Z$39),$AW$39,$AA$39/$Z$39)</f>
        <v/>
      </c>
      <c r="BA39" t="n">
        <v>2.5</v>
      </c>
      <c r="BB39" t="n">
        <v>2.5</v>
      </c>
      <c r="BC39" t="n">
        <v>1</v>
      </c>
      <c r="BD39" t="inlineStr">
        <is>
          <t>gun</t>
        </is>
      </c>
      <c r="BE39" t="inlineStr">
        <is>
          <t>Wikipedia '2S7 Pion': 1.5 rpm (2S7M Malka 2.5)</t>
        </is>
      </c>
      <c r="BG39" t="inlineStr">
        <is>
          <t>doi</t>
        </is>
      </c>
      <c r="BR39" t="n">
        <v>60</v>
      </c>
      <c r="BS39" t="n">
        <v>100</v>
      </c>
      <c r="CT39" t="n">
        <v>203</v>
      </c>
      <c r="DD39" t="n">
        <v>9.44</v>
      </c>
      <c r="DE39" t="n">
        <v>420</v>
      </c>
      <c r="DF39" t="inlineStr">
        <is>
          <t>HighExplosive</t>
        </is>
      </c>
      <c r="DJ39" t="inlineStr">
        <is>
          <t>howitzer</t>
        </is>
      </c>
      <c r="DS39" t="inlineStr">
        <is>
          <t>Huge</t>
        </is>
      </c>
      <c r="DX39" t="b">
        <v>1</v>
      </c>
      <c r="EB39" t="n">
        <v>4</v>
      </c>
      <c r="EI39" t="inlineStr">
        <is>
          <t>shell_155</t>
        </is>
      </c>
      <c r="EJ39" t="n">
        <v>0.9455</v>
      </c>
      <c r="EK39" t="n">
        <v>100</v>
      </c>
      <c r="EP39" t="n">
        <v>60</v>
      </c>
      <c r="EQ39" t="inlineStr">
        <is>
          <t>2A44 203 mm</t>
        </is>
      </c>
      <c r="ET39" t="n">
        <v>1.04</v>
      </c>
      <c r="EX39" t="n">
        <v>203</v>
      </c>
      <c r="EY39" t="n">
        <v>8</v>
      </c>
      <c r="EZ39" t="n">
        <v>3</v>
      </c>
      <c r="GB39" t="inlineStr">
        <is>
          <t>cal_203</t>
        </is>
      </c>
      <c r="GD39" t="inlineStr">
        <is>
          <t>Assets/MachineBrigade/Resources/Data/balance.json: weapons[137]</t>
        </is>
      </c>
      <c r="GE39" t="inlineStr">
        <is>
          <t>{"id":"boss_howitzer","lobs":true,"weaponFamilyId":"cal_203","real":"2A44 203 mm","family":"howitzer","size":203,"caliberMm":203,"pen":4,"projectileModel":"shell_155","projectileScale":0.9455,"roundLength":1.04,"damageType":"HighExplosive","damage":420,"cooldown":9.44,"range":60,"projectileSpeed":100,"splash":8,"spread":3,"impactTier":"Huge"}</t>
        </is>
      </c>
    </row>
    <row r="40">
      <c r="A40" t="inlineStr">
        <is>
          <t>boss_howitzer_guided</t>
        </is>
      </c>
      <c r="B40" t="inlineStr">
        <is>
          <t>2A44 203 mm guided</t>
        </is>
      </c>
      <c r="C40" t="inlineStr">
        <is>
          <t>cal_203</t>
        </is>
      </c>
      <c r="D40" t="inlineStr"/>
      <c r="E40" t="inlineStr"/>
      <c r="F40" t="inlineStr">
        <is>
          <t>howitzer</t>
        </is>
      </c>
      <c r="G40" t="n">
        <v>203</v>
      </c>
      <c r="H40" t="inlineStr"/>
      <c r="I40" t="inlineStr"/>
      <c r="J40" t="inlineStr"/>
      <c r="K40" t="inlineStr">
        <is>
          <t>HighExplosive</t>
        </is>
      </c>
      <c r="L40" t="n">
        <v>4</v>
      </c>
      <c r="M40" t="inlineStr">
        <is>
          <t>Shell</t>
        </is>
      </c>
      <c r="N40" t="n">
        <v>1</v>
      </c>
      <c r="O40" t="inlineStr">
        <is>
          <t>RIPPLE</t>
        </is>
      </c>
      <c r="P40" t="n">
        <v>1</v>
      </c>
      <c r="Q40" t="n">
        <v>0.1</v>
      </c>
      <c r="R40" t="n">
        <v>9.44</v>
      </c>
      <c r="S40" t="n">
        <v>0</v>
      </c>
      <c r="T40" t="n">
        <v>0</v>
      </c>
      <c r="U40" t="n">
        <v>0</v>
      </c>
      <c r="V40" t="n">
        <v>0</v>
      </c>
      <c r="W40" t="n">
        <v>420</v>
      </c>
      <c r="X40" t="n">
        <v>8</v>
      </c>
      <c r="Y40" t="n">
        <v>0</v>
      </c>
      <c r="Z40" t="n">
        <v>100</v>
      </c>
      <c r="AA40" t="n">
        <v>60</v>
      </c>
      <c r="AB40" t="n">
        <v>0</v>
      </c>
      <c r="AC40" t="inlineStr">
        <is>
          <t>Ground</t>
        </is>
      </c>
      <c r="AD40" t="inlineStr"/>
      <c r="AE40" t="n">
        <v>0</v>
      </c>
      <c r="AF40" t="inlineStr">
        <is>
          <t>Huge</t>
        </is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n">
        <v>203</v>
      </c>
      <c r="AO40" t="n">
        <v>0</v>
      </c>
      <c r="AP40" t="inlineStr">
        <is>
          <t>T4</t>
        </is>
      </c>
      <c r="AQ40" t="inlineStr">
        <is>
          <t>boss_howitzer</t>
        </is>
      </c>
      <c r="AR40" t="inlineStr"/>
      <c r="AS40" t="inlineStr"/>
      <c r="AT40" t="inlineStr"/>
      <c r="AU40" t="n">
        <v>0</v>
      </c>
      <c r="AV40" t="inlineStr"/>
      <c r="AW40" t="n">
        <v>2.5</v>
      </c>
      <c r="AX40" t="b">
        <v>1</v>
      </c>
      <c r="AY40" t="inlineStr"/>
      <c r="AZ40">
        <f>IF(AND($AX$40,$AW$40&gt;$AA$40/$Z$40),$AW$40,$AA$40/$Z$40)</f>
        <v/>
      </c>
      <c r="BA40" t="n">
        <v>2.5</v>
      </c>
      <c r="BB40" t="n">
        <v>2.5</v>
      </c>
      <c r="BC40" t="n">
        <v>1</v>
      </c>
      <c r="BD40" t="inlineStr">
        <is>
          <t>gun</t>
        </is>
      </c>
      <c r="BE40" t="inlineStr">
        <is>
          <t>Wikipedia '2S7 Pion': 1.5 rpm (2S7M Malka 2.5)</t>
        </is>
      </c>
      <c r="BG40" t="inlineStr">
        <is>
          <t>doi</t>
        </is>
      </c>
      <c r="BR40" t="n">
        <v>60</v>
      </c>
      <c r="BS40" t="n">
        <v>100</v>
      </c>
      <c r="CR40" t="n">
        <v>1</v>
      </c>
      <c r="DE40" t="n">
        <v>420</v>
      </c>
      <c r="DF40" t="inlineStr">
        <is>
          <t>HighExplosive</t>
        </is>
      </c>
      <c r="DH40" t="b">
        <v>1</v>
      </c>
      <c r="DM40" t="inlineStr">
        <is>
          <t>armour</t>
        </is>
      </c>
      <c r="DN40" t="inlineStr">
        <is>
          <t>HeShell</t>
        </is>
      </c>
      <c r="DP40" t="b">
        <v>1</v>
      </c>
      <c r="DT40" t="inlineStr">
        <is>
          <t>boss_howitzer</t>
        </is>
      </c>
      <c r="EB40" t="n">
        <v>4</v>
      </c>
      <c r="EQ40" t="inlineStr">
        <is>
          <t>2A44 203 mm guided</t>
        </is>
      </c>
      <c r="ES40" t="inlineStr">
        <is>
          <t>guided</t>
        </is>
      </c>
      <c r="EU40" t="inlineStr">
        <is>
          <t>boss_howitzer</t>
        </is>
      </c>
      <c r="EZ40" t="n">
        <v>0</v>
      </c>
      <c r="FW40" t="inlineStr">
        <is>
          <t>Ground</t>
        </is>
      </c>
      <c r="GA40" t="inlineStr"/>
      <c r="GD40" t="inlineStr">
        <is>
          <t>Assets/MachineBrigade/Resources/Data/balance.json: secondRounds.rounds[11]</t>
        </is>
      </c>
      <c r="GE40" t="inlineStr">
        <is>
          <t>{"id":"boss_howitzer_guided","roundOf":"boss_howitzer","inherits":"boss_howitzer","weaponFamily":"","round":"guided","for":["armour"],"elite":true,"real":"2A44 203 mm guided","damageType":"HighExplosive","pen":4,"damage":420,"spread":0,"burst":1,"guided":true,"form":"HeShell","targets":"Ground"}</t>
        </is>
      </c>
    </row>
    <row r="41">
      <c r="A41" t="inlineStr">
        <is>
          <t>boss_minigun</t>
        </is>
      </c>
      <c r="B41" t="inlineStr">
        <is>
          <t>GShG 7.62 mm</t>
        </is>
      </c>
      <c r="C41" t="inlineStr">
        <is>
          <t>cal_7_62</t>
        </is>
      </c>
      <c r="D41" t="inlineStr"/>
      <c r="E41" t="inlineStr"/>
      <c r="F41" t="inlineStr">
        <is>
          <t>mg</t>
        </is>
      </c>
      <c r="G41" t="n">
        <v>7.62</v>
      </c>
      <c r="H41" t="inlineStr"/>
      <c r="I41" t="inlineStr"/>
      <c r="J41" t="inlineStr"/>
      <c r="K41" t="inlineStr">
        <is>
          <t>Kinetic</t>
        </is>
      </c>
      <c r="L41" t="n">
        <v>0</v>
      </c>
      <c r="M41" t="inlineStr">
        <is>
          <t>Bullet</t>
        </is>
      </c>
      <c r="N41" t="n">
        <v>1</v>
      </c>
      <c r="O41" t="inlineStr">
        <is>
          <t>RIPPLE</t>
        </is>
      </c>
      <c r="P41" t="n">
        <v>1</v>
      </c>
      <c r="Q41" t="n">
        <v>0.1</v>
      </c>
      <c r="R41" t="n">
        <v>0.0172</v>
      </c>
      <c r="S41" t="n">
        <v>40</v>
      </c>
      <c r="T41" t="n">
        <v>6.09</v>
      </c>
      <c r="U41" t="n">
        <v>0</v>
      </c>
      <c r="V41" t="n">
        <v>0</v>
      </c>
      <c r="W41" t="n">
        <v>5.5</v>
      </c>
      <c r="X41" t="n">
        <v>0</v>
      </c>
      <c r="Y41" t="n">
        <v>0</v>
      </c>
      <c r="Z41" t="n">
        <v>240</v>
      </c>
      <c r="AA41" t="n">
        <v>24</v>
      </c>
      <c r="AB41" t="n">
        <v>0</v>
      </c>
      <c r="AC41" t="inlineStr">
        <is>
          <t>All</t>
        </is>
      </c>
      <c r="AD41" t="inlineStr"/>
      <c r="AE41" t="n">
        <v>1.4</v>
      </c>
      <c r="AF41" t="inlineStr">
        <is>
          <t>Small</t>
        </is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n">
        <v>7.62</v>
      </c>
      <c r="AO41" t="n">
        <v>0</v>
      </c>
      <c r="AP41" t="inlineStr">
        <is>
          <t>T0</t>
        </is>
      </c>
      <c r="AQ41" t="inlineStr">
        <is>
          <t>minigun</t>
        </is>
      </c>
      <c r="AR41" t="inlineStr"/>
      <c r="AS41" t="inlineStr">
        <is>
          <t>boss</t>
        </is>
      </c>
      <c r="AT41" t="inlineStr">
        <is>
          <t>mega_gunship</t>
        </is>
      </c>
      <c r="AU41" t="n">
        <v>1</v>
      </c>
      <c r="AV41" t="inlineStr">
        <is>
          <t>mega_gunship:3</t>
        </is>
      </c>
      <c r="AW41" t="n">
        <v>0</v>
      </c>
      <c r="AX41" t="b">
        <v>0</v>
      </c>
      <c r="AY41" t="inlineStr"/>
      <c r="AZ41">
        <f>IF(AND($AX$41,$AW$41&gt;$AA$41/$Z$41),$AW$41,$AA$41/$Z$41)</f>
        <v/>
      </c>
      <c r="BA41" t="n">
        <v>0.1</v>
      </c>
      <c r="BB41" t="n">
        <v>6000</v>
      </c>
      <c r="BC41" t="inlineStr"/>
      <c r="BD41" t="inlineStr">
        <is>
          <t>mg</t>
        </is>
      </c>
      <c r="BE41" t="inlineStr">
        <is>
          <t>Wikipedia 'GShG-7.62': 3,500 / 6,000 rpm</t>
        </is>
      </c>
      <c r="BG41" t="inlineStr">
        <is>
          <t>giong</t>
        </is>
      </c>
      <c r="CT41" t="n">
        <v>7.62</v>
      </c>
      <c r="CW41" t="n">
        <v>40</v>
      </c>
      <c r="CX41" t="n">
        <v>6.09</v>
      </c>
      <c r="DD41" t="n">
        <v>0.0172</v>
      </c>
      <c r="DJ41" t="inlineStr">
        <is>
          <t>mg</t>
        </is>
      </c>
      <c r="DT41" t="inlineStr">
        <is>
          <t>minigun</t>
        </is>
      </c>
      <c r="EB41" t="n">
        <v>0</v>
      </c>
      <c r="EQ41" t="inlineStr">
        <is>
          <t>GShG 7.62 mm</t>
        </is>
      </c>
      <c r="EV41" t="n">
        <v>7</v>
      </c>
      <c r="EX41" t="n">
        <v>7.62</v>
      </c>
      <c r="GD41" t="inlineStr">
        <is>
          <t>Assets/MachineBrigade/Resources/Data/balance.json: weapons[248]</t>
        </is>
      </c>
      <c r="GE41" t="inlineStr">
        <is>
          <t>{"id":"boss_minigun","real":"GShG 7.62 mm","family":"mg","size":7.62,"caliberMm":7.62,"pen":0,"inherits":"minigun","cooldown":0.0172,"roundWeight":7,"clip":40,"clipReload":6.09}</t>
        </is>
      </c>
    </row>
    <row r="42">
      <c r="A42" t="inlineStr">
        <is>
          <t>boss_missiles</t>
        </is>
      </c>
      <c r="B42" t="inlineStr">
        <is>
          <t>9M133 Kornet</t>
        </is>
      </c>
      <c r="C42" t="inlineStr">
        <is>
          <t>atgm_kornet</t>
        </is>
      </c>
      <c r="D42" t="inlineStr"/>
      <c r="E42" t="inlineStr">
        <is>
          <t>9m133_kornet</t>
        </is>
      </c>
      <c r="F42" t="inlineStr">
        <is>
          <t>atgm</t>
        </is>
      </c>
      <c r="G42" t="inlineStr"/>
      <c r="H42" t="n">
        <v>7</v>
      </c>
      <c r="I42" t="inlineStr"/>
      <c r="J42" t="inlineStr"/>
      <c r="K42" t="inlineStr">
        <is>
          <t>ShapedCharge</t>
        </is>
      </c>
      <c r="L42" t="n">
        <v>4</v>
      </c>
      <c r="M42" t="inlineStr">
        <is>
          <t>Missile</t>
        </is>
      </c>
      <c r="N42" t="n">
        <v>1</v>
      </c>
      <c r="O42" t="inlineStr">
        <is>
          <t>RIPPLE</t>
        </is>
      </c>
      <c r="P42" t="n">
        <v>1</v>
      </c>
      <c r="Q42" t="n">
        <v>0.1</v>
      </c>
      <c r="R42" t="n">
        <v>6.39</v>
      </c>
      <c r="S42" t="n">
        <v>0</v>
      </c>
      <c r="T42" t="n">
        <v>0</v>
      </c>
      <c r="U42" t="n">
        <v>0</v>
      </c>
      <c r="V42" t="n">
        <v>0</v>
      </c>
      <c r="W42" t="n">
        <v>230</v>
      </c>
      <c r="X42" t="n">
        <v>0</v>
      </c>
      <c r="Y42" t="n">
        <v>0</v>
      </c>
      <c r="Z42" t="n">
        <v>80</v>
      </c>
      <c r="AA42" t="n">
        <v>45</v>
      </c>
      <c r="AB42" t="n">
        <v>0</v>
      </c>
      <c r="AC42" t="inlineStr">
        <is>
          <t>Ground</t>
        </is>
      </c>
      <c r="AD42" t="inlineStr"/>
      <c r="AE42" t="n">
        <v>0</v>
      </c>
      <c r="AF42" t="inlineStr">
        <is>
          <t>Medium</t>
        </is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n">
        <v>29</v>
      </c>
      <c r="AO42" t="n">
        <v>0</v>
      </c>
      <c r="AP42" t="inlineStr">
        <is>
          <t>T2</t>
        </is>
      </c>
      <c r="AQ42" t="inlineStr"/>
      <c r="AR42" t="inlineStr"/>
      <c r="AS42" t="inlineStr">
        <is>
          <t>xe</t>
        </is>
      </c>
      <c r="AT42" t="inlineStr">
        <is>
          <t>mara_behemoth</t>
        </is>
      </c>
      <c r="AU42" t="n">
        <v>1</v>
      </c>
      <c r="AV42" t="inlineStr">
        <is>
          <t>mara_behemoth:4;mara_behemoth:5</t>
        </is>
      </c>
      <c r="AW42" t="n">
        <v>0</v>
      </c>
      <c r="AX42" t="b">
        <v>0</v>
      </c>
      <c r="AY42" t="inlineStr"/>
      <c r="AZ42">
        <f>IF(AND($AX$42,$AW$42&gt;$AA$42/$Z$42),$AW$42,$AA$42/$Z$42)</f>
        <v/>
      </c>
      <c r="BA42" t="n">
        <v>0.5625</v>
      </c>
      <c r="BB42" t="n">
        <v>3</v>
      </c>
      <c r="BC42" t="n">
        <v>3</v>
      </c>
      <c r="BD42" t="inlineStr">
        <is>
          <t>atgm</t>
        </is>
      </c>
      <c r="BE42" t="inlineStr">
        <is>
          <t>Wikipedia '9M133 Kornet': 2-3 rpm</t>
        </is>
      </c>
      <c r="BG42" t="inlineStr">
        <is>
          <t>doi</t>
        </is>
      </c>
      <c r="BR42" t="n">
        <v>22</v>
      </c>
      <c r="BS42" t="n">
        <v>80</v>
      </c>
      <c r="DD42" t="n">
        <v>6.39</v>
      </c>
      <c r="DE42" t="n">
        <v>230</v>
      </c>
      <c r="DF42" t="inlineStr">
        <is>
          <t>ShapedCharge</t>
        </is>
      </c>
      <c r="DJ42" t="inlineStr">
        <is>
          <t>atgm</t>
        </is>
      </c>
      <c r="DS42" t="inlineStr">
        <is>
          <t>Medium</t>
        </is>
      </c>
      <c r="EB42" t="n">
        <v>4</v>
      </c>
      <c r="EE42" t="b">
        <v>1</v>
      </c>
      <c r="EH42" t="inlineStr">
        <is>
          <t>Missile</t>
        </is>
      </c>
      <c r="EP42" t="n">
        <v>45</v>
      </c>
      <c r="EQ42" t="inlineStr">
        <is>
          <t>9M133 Kornet</t>
        </is>
      </c>
      <c r="EX42" t="n">
        <v>29</v>
      </c>
      <c r="FW42" t="inlineStr">
        <is>
          <t>Ground</t>
        </is>
      </c>
      <c r="FZ42" t="n">
        <v>7</v>
      </c>
      <c r="GA42" t="inlineStr">
        <is>
          <t>9m133_kornet</t>
        </is>
      </c>
      <c r="GB42" t="inlineStr">
        <is>
          <t>atgm_kornet</t>
        </is>
      </c>
      <c r="GD42" t="inlineStr">
        <is>
          <t>Assets/MachineBrigade/Resources/Data/balance.json: weapons[139]</t>
        </is>
      </c>
      <c r="GE42" t="inlineStr">
        <is>
          <t>{"id":"boss_missiles","weaponFamilyId":"atgm_kornet","weaponFamily":"9m133_kornet","real":"9M133 Kornet","family":"atgm","size":29,"warheadKg":7,"pen":4,"piercing":true,"damageType":"ShapedCharge","damage":230,"cooldown":6.39,"range":45,"impactTier":"Medium","projectile":"Missile","targets":"Ground"}</t>
        </is>
      </c>
    </row>
    <row r="43">
      <c r="A43" t="inlineStr">
        <is>
          <t>boss_mortar</t>
        </is>
      </c>
      <c r="B43" t="inlineStr">
        <is>
          <t>2B8 240 mm</t>
        </is>
      </c>
      <c r="C43" t="inlineStr">
        <is>
          <t>cal_240</t>
        </is>
      </c>
      <c r="D43" t="inlineStr"/>
      <c r="E43" t="inlineStr">
        <is>
          <t>2b8_240_mm</t>
        </is>
      </c>
      <c r="F43" t="inlineStr">
        <is>
          <t>mortar</t>
        </is>
      </c>
      <c r="G43" t="n">
        <v>240</v>
      </c>
      <c r="H43" t="inlineStr"/>
      <c r="I43" t="inlineStr"/>
      <c r="J43" t="inlineStr"/>
      <c r="K43" t="inlineStr">
        <is>
          <t>HighExplosive</t>
        </is>
      </c>
      <c r="L43" t="n">
        <v>4</v>
      </c>
      <c r="M43" t="inlineStr">
        <is>
          <t>Shell</t>
        </is>
      </c>
      <c r="N43" t="n">
        <v>1</v>
      </c>
      <c r="O43" t="inlineStr">
        <is>
          <t>RIPPLE</t>
        </is>
      </c>
      <c r="P43" t="n">
        <v>1</v>
      </c>
      <c r="Q43" t="n">
        <v>0.1</v>
      </c>
      <c r="R43" t="n">
        <v>9.779999999999999</v>
      </c>
      <c r="S43" t="n">
        <v>0</v>
      </c>
      <c r="T43" t="n">
        <v>0</v>
      </c>
      <c r="U43" t="n">
        <v>0</v>
      </c>
      <c r="V43" t="n">
        <v>0</v>
      </c>
      <c r="W43" t="n">
        <v>450</v>
      </c>
      <c r="X43" t="n">
        <v>9</v>
      </c>
      <c r="Y43" t="n">
        <v>0</v>
      </c>
      <c r="Z43" t="n">
        <v>60</v>
      </c>
      <c r="AA43" t="n">
        <v>80</v>
      </c>
      <c r="AB43" t="n">
        <v>12</v>
      </c>
      <c r="AC43" t="inlineStr">
        <is>
          <t>Ground</t>
        </is>
      </c>
      <c r="AD43" t="inlineStr"/>
      <c r="AE43" t="n">
        <v>3.5</v>
      </c>
      <c r="AF43" t="inlineStr">
        <is>
          <t>Huge</t>
        </is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n">
        <v>240</v>
      </c>
      <c r="AO43" t="n">
        <v>0</v>
      </c>
      <c r="AP43" t="inlineStr">
        <is>
          <t>T4</t>
        </is>
      </c>
      <c r="AQ43" t="inlineStr"/>
      <c r="AR43" t="inlineStr"/>
      <c r="AS43" t="inlineStr"/>
      <c r="AT43" t="inlineStr"/>
      <c r="AU43" t="n">
        <v>0</v>
      </c>
      <c r="AV43" t="inlineStr"/>
      <c r="AW43" t="n">
        <v>2.5</v>
      </c>
      <c r="AX43" t="b">
        <v>1</v>
      </c>
      <c r="AY43" t="inlineStr"/>
      <c r="AZ43">
        <f>IF(AND($AX$43,$AW$43&gt;$AA$43/$Z$43),$AW$43,$AA$43/$Z$43)</f>
        <v/>
      </c>
      <c r="BA43" t="n">
        <v>2.5</v>
      </c>
      <c r="BB43" t="n">
        <v>1</v>
      </c>
      <c r="BC43" t="n">
        <v>1</v>
      </c>
      <c r="BD43" t="inlineStr">
        <is>
          <t>gun</t>
        </is>
      </c>
      <c r="BE43" t="inlineStr">
        <is>
          <t>Wikipedia '2S4 Tyulpan': ~1 rpm</t>
        </is>
      </c>
      <c r="BG43" t="inlineStr">
        <is>
          <t>doi</t>
        </is>
      </c>
      <c r="BR43" t="n">
        <v>38</v>
      </c>
      <c r="BS43" t="n">
        <v>60</v>
      </c>
      <c r="CT43" t="n">
        <v>240</v>
      </c>
      <c r="DD43" t="n">
        <v>9.779999999999999</v>
      </c>
      <c r="DE43" t="n">
        <v>450</v>
      </c>
      <c r="DF43" t="inlineStr">
        <is>
          <t>HighExplosive</t>
        </is>
      </c>
      <c r="DJ43" t="inlineStr">
        <is>
          <t>mortar</t>
        </is>
      </c>
      <c r="DS43" t="inlineStr">
        <is>
          <t>Huge</t>
        </is>
      </c>
      <c r="DZ43" t="n">
        <v>12</v>
      </c>
      <c r="EB43" t="n">
        <v>4</v>
      </c>
      <c r="EH43" t="inlineStr">
        <is>
          <t>Shell</t>
        </is>
      </c>
      <c r="EP43" t="n">
        <v>80</v>
      </c>
      <c r="EQ43" t="inlineStr">
        <is>
          <t>2B8 240 mm</t>
        </is>
      </c>
      <c r="EX43" t="n">
        <v>240</v>
      </c>
      <c r="EZ43" t="n">
        <v>3.5</v>
      </c>
      <c r="GA43" t="inlineStr">
        <is>
          <t>2b8_240_mm</t>
        </is>
      </c>
      <c r="GB43" t="inlineStr">
        <is>
          <t>cal_240</t>
        </is>
      </c>
      <c r="GD43" t="inlineStr">
        <is>
          <t>Assets/MachineBrigade/Resources/Data/balance.json: weapons[242]</t>
        </is>
      </c>
      <c r="GE43" t="inlineStr">
        <is>
          <t>{"id":"boss_mortar","weaponFamilyId":"cal_240","weaponFamily":"2b8_240_mm","real":"2B8 240 mm","family":"mortar","size":240,"caliberMm":240,"pen":4,"damageType":"HighExplosive","damage":450,"cooldown":9.78,"range":80,"minRange":12,"spread":3.5,"impactTier":"Huge","projectile":"Shell"}</t>
        </is>
      </c>
    </row>
    <row r="44">
      <c r="A44" t="inlineStr">
        <is>
          <t>boss_railgun</t>
        </is>
      </c>
      <c r="B44" t="inlineStr">
        <is>
          <t>railgun (64 MJ)</t>
        </is>
      </c>
      <c r="C44" t="inlineStr">
        <is>
          <t>rail_railgun</t>
        </is>
      </c>
      <c r="D44" t="inlineStr"/>
      <c r="E44" t="inlineStr"/>
      <c r="F44" t="inlineStr">
        <is>
          <t>railgun</t>
        </is>
      </c>
      <c r="G44" t="inlineStr"/>
      <c r="H44" t="inlineStr"/>
      <c r="I44" t="inlineStr"/>
      <c r="J44" t="n">
        <v>64</v>
      </c>
      <c r="K44" t="inlineStr">
        <is>
          <t>Kinetic</t>
        </is>
      </c>
      <c r="L44" t="n">
        <v>4</v>
      </c>
      <c r="M44" t="inlineStr">
        <is>
          <t>Bullet</t>
        </is>
      </c>
      <c r="N44" t="n">
        <v>1</v>
      </c>
      <c r="O44" t="inlineStr">
        <is>
          <t>RIPPLE</t>
        </is>
      </c>
      <c r="P44" t="n">
        <v>1</v>
      </c>
      <c r="Q44" t="n">
        <v>0.1</v>
      </c>
      <c r="R44" t="n">
        <v>8</v>
      </c>
      <c r="S44" t="n">
        <v>0</v>
      </c>
      <c r="T44" t="n">
        <v>0</v>
      </c>
      <c r="U44" t="n">
        <v>0</v>
      </c>
      <c r="V44" t="n">
        <v>0</v>
      </c>
      <c r="W44" t="n">
        <v>720</v>
      </c>
      <c r="X44" t="n">
        <v>0</v>
      </c>
      <c r="Y44" t="n">
        <v>0</v>
      </c>
      <c r="Z44" t="n">
        <v>700</v>
      </c>
      <c r="AA44" t="n">
        <v>80</v>
      </c>
      <c r="AB44" t="n">
        <v>0</v>
      </c>
      <c r="AC44" t="inlineStr">
        <is>
          <t>Ground</t>
        </is>
      </c>
      <c r="AD44" t="inlineStr"/>
      <c r="AE44" t="n">
        <v>0.4</v>
      </c>
      <c r="AF44" t="inlineStr">
        <is>
          <t>Large</t>
        </is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n">
        <v>64</v>
      </c>
      <c r="AO44" t="n">
        <v>0</v>
      </c>
      <c r="AP44" t="inlineStr">
        <is>
          <t>T3</t>
        </is>
      </c>
      <c r="AQ44" t="inlineStr"/>
      <c r="AR44" t="inlineStr"/>
      <c r="AS44" t="inlineStr">
        <is>
          <t>boss</t>
        </is>
      </c>
      <c r="AT44" t="inlineStr">
        <is>
          <t>behemoth_tempest</t>
        </is>
      </c>
      <c r="AU44" t="n">
        <v>1</v>
      </c>
      <c r="AV44" t="inlineStr">
        <is>
          <t>behemoth_tempest:0</t>
        </is>
      </c>
      <c r="AW44" t="n">
        <v>0</v>
      </c>
      <c r="AX44" t="b">
        <v>0</v>
      </c>
      <c r="AY44" t="inlineStr"/>
      <c r="AZ44">
        <f>IF(AND($AX$44,$AW$44&gt;$AA$44/$Z$44),$AW$44,$AA$44/$Z$44)</f>
        <v/>
      </c>
      <c r="BA44" t="n">
        <v>0.1142857142857143</v>
      </c>
      <c r="BB44" t="inlineStr">
        <is>
          <t>NEED_SOURCE</t>
        </is>
      </c>
      <c r="BC44" t="inlineStr">
        <is>
          <t>NEED_SOURCE</t>
        </is>
      </c>
      <c r="BE44" t="inlineStr">
        <is>
          <t>NEED_SOURCE</t>
        </is>
      </c>
      <c r="BG44" t="inlineStr">
        <is>
          <t>giong</t>
        </is>
      </c>
      <c r="CV44" t="n">
        <v>1</v>
      </c>
      <c r="DD44" t="n">
        <v>8</v>
      </c>
      <c r="DE44" t="n">
        <v>720</v>
      </c>
      <c r="DF44" t="inlineStr">
        <is>
          <t>Kinetic</t>
        </is>
      </c>
      <c r="DI44" t="n">
        <v>64</v>
      </c>
      <c r="DJ44" t="inlineStr">
        <is>
          <t>railgun</t>
        </is>
      </c>
      <c r="DO44" t="n">
        <v>33</v>
      </c>
      <c r="DR44" t="n">
        <v>1.6</v>
      </c>
      <c r="DS44" t="inlineStr">
        <is>
          <t>Large</t>
        </is>
      </c>
      <c r="EB44" t="n">
        <v>4</v>
      </c>
      <c r="EC44" t="b">
        <v>1</v>
      </c>
      <c r="EE44" t="b">
        <v>1</v>
      </c>
      <c r="EH44" t="inlineStr">
        <is>
          <t>Bullet</t>
        </is>
      </c>
      <c r="EI44" t="inlineStr">
        <is>
          <t>rail_slug</t>
        </is>
      </c>
      <c r="EK44" t="n">
        <v>700</v>
      </c>
      <c r="EP44" t="n">
        <v>80</v>
      </c>
      <c r="EQ44" t="inlineStr">
        <is>
          <t>railgun (64 MJ)</t>
        </is>
      </c>
      <c r="EX44" t="n">
        <v>64</v>
      </c>
      <c r="EZ44" t="n">
        <v>0.4</v>
      </c>
      <c r="GB44" t="inlineStr">
        <is>
          <t>rail_railgun</t>
        </is>
      </c>
      <c r="GD44" t="inlineStr">
        <is>
          <t>Assets/MachineBrigade/Resources/Data/balance.json: weapons[241]</t>
        </is>
      </c>
      <c r="GE44" t="inlineStr">
        <is>
          <t>{"id":"boss_railgun","groundMinReach":33,"weaponFamilyId":"rail_railgun","real":"railgun (64 MJ)","family":"railgun","size":64,"energyMj":64,"pen":4,"piercing":true,"charge":1.0,"projectileModel":"rail_slug","damageType":"Kinetic","damage":720,"cooldown":8,"range":80,"projectileSpeed":700,"spread":0.4,"impactTier":"Large","projectile":"Bullet","pierce":true,"impactScale":1.6}</t>
        </is>
      </c>
    </row>
    <row r="45">
      <c r="A45" t="inlineStr">
        <is>
          <t>boss_rockets</t>
        </is>
      </c>
      <c r="B45" t="inlineStr">
        <is>
          <t>BM-21 Grad 122 mm</t>
        </is>
      </c>
      <c r="C45" t="inlineStr">
        <is>
          <t>rkt_grad_122</t>
        </is>
      </c>
      <c r="D45" t="inlineStr"/>
      <c r="E45" t="inlineStr"/>
      <c r="F45" t="inlineStr">
        <is>
          <t>rocket</t>
        </is>
      </c>
      <c r="G45" t="n">
        <v>122</v>
      </c>
      <c r="H45" t="inlineStr"/>
      <c r="I45" t="inlineStr"/>
      <c r="J45" t="inlineStr"/>
      <c r="K45" t="inlineStr">
        <is>
          <t>HighExplosive</t>
        </is>
      </c>
      <c r="L45" t="n">
        <v>2</v>
      </c>
      <c r="M45" t="inlineStr">
        <is>
          <t>Rocket</t>
        </is>
      </c>
      <c r="N45" t="n">
        <v>1</v>
      </c>
      <c r="O45" t="inlineStr">
        <is>
          <t>RIPPLE</t>
        </is>
      </c>
      <c r="P45" t="n">
        <v>13</v>
      </c>
      <c r="Q45" t="n">
        <v>0.5</v>
      </c>
      <c r="R45" t="n">
        <v>2.44</v>
      </c>
      <c r="S45" t="n">
        <v>0</v>
      </c>
      <c r="T45" t="n">
        <v>0</v>
      </c>
      <c r="U45" t="n">
        <v>0</v>
      </c>
      <c r="V45" t="n">
        <v>0</v>
      </c>
      <c r="W45" t="n">
        <v>200</v>
      </c>
      <c r="X45" t="n">
        <v>4.5</v>
      </c>
      <c r="Y45" t="n">
        <v>9</v>
      </c>
      <c r="Z45" t="n">
        <v>65</v>
      </c>
      <c r="AA45" t="n">
        <v>45</v>
      </c>
      <c r="AB45" t="n">
        <v>0</v>
      </c>
      <c r="AC45" t="inlineStr">
        <is>
          <t>Ground</t>
        </is>
      </c>
      <c r="AD45" t="inlineStr"/>
      <c r="AE45" t="n">
        <v>5</v>
      </c>
      <c r="AF45" t="inlineStr">
        <is>
          <t>Medium</t>
        </is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n">
        <v>122</v>
      </c>
      <c r="AO45" t="n">
        <v>0</v>
      </c>
      <c r="AP45" t="inlineStr">
        <is>
          <t>T3</t>
        </is>
      </c>
      <c r="AQ45" t="inlineStr"/>
      <c r="AR45" t="inlineStr"/>
      <c r="AS45" t="inlineStr">
        <is>
          <t>boss_part</t>
        </is>
      </c>
      <c r="AT45" t="inlineStr">
        <is>
          <t>rocket_pod</t>
        </is>
      </c>
      <c r="AU45" t="n">
        <v>1</v>
      </c>
      <c r="AV45" t="inlineStr">
        <is>
          <t>rocket_pod:part</t>
        </is>
      </c>
      <c r="AW45" t="n">
        <v>0</v>
      </c>
      <c r="AX45" t="b">
        <v>0</v>
      </c>
      <c r="AY45" t="inlineStr"/>
      <c r="AZ45">
        <f>IF(AND($AX$45,$AW$45&gt;$AA$45/$Z$45),$AW$45,$AA$45/$Z$45)</f>
        <v/>
      </c>
      <c r="BA45" t="n">
        <v>0.6923076923076923</v>
      </c>
      <c r="BB45" t="n">
        <v>120</v>
      </c>
      <c r="BC45" t="inlineStr"/>
      <c r="BD45" t="inlineStr">
        <is>
          <t>rocket</t>
        </is>
      </c>
      <c r="BE45" t="inlineStr">
        <is>
          <t>Wikipedia 'BM-21 Grad': 40 rockets in 20 s</t>
        </is>
      </c>
      <c r="BF45" t="inlineStr">
        <is>
          <t>wave 1 boss_rockets: rockets 0.5 s apart (BM-21: 40 in 20 s), 2.44 s after the ripple; each pod keeps its rockets; made up: a full BM-21 pack of 40 tubes (8 before); made up: a full BM-21 pack of 40 tubes (13 before)</t>
        </is>
      </c>
      <c r="BG45" t="inlineStr">
        <is>
          <t>doi</t>
        </is>
      </c>
      <c r="BH45" t="n">
        <v>57</v>
      </c>
      <c r="BI45" t="n">
        <v>200</v>
      </c>
      <c r="BJ45" t="n">
        <v>2.94</v>
      </c>
      <c r="BK45" t="n">
        <v>2.44</v>
      </c>
      <c r="BP45" t="n">
        <v>0</v>
      </c>
      <c r="BQ45" t="n">
        <v>9</v>
      </c>
      <c r="BR45" t="n">
        <v>45</v>
      </c>
      <c r="BS45" t="n">
        <v>65</v>
      </c>
      <c r="CR45" t="n">
        <v>13</v>
      </c>
      <c r="CS45" t="n">
        <v>0.5</v>
      </c>
      <c r="CT45" t="n">
        <v>122</v>
      </c>
      <c r="DD45" t="n">
        <v>2.44</v>
      </c>
      <c r="DE45" t="n">
        <v>200</v>
      </c>
      <c r="DF45" t="inlineStr">
        <is>
          <t>HighExplosive</t>
        </is>
      </c>
      <c r="DG45" t="n">
        <v>9</v>
      </c>
      <c r="DJ45" t="inlineStr">
        <is>
          <t>rocket</t>
        </is>
      </c>
      <c r="DL45" t="inlineStr">
        <is>
          <t>Ballistic</t>
        </is>
      </c>
      <c r="DO45" t="n">
        <v>14</v>
      </c>
      <c r="DS45" t="inlineStr">
        <is>
          <t>Medium</t>
        </is>
      </c>
      <c r="EB45" t="n">
        <v>2</v>
      </c>
      <c r="EH45" t="inlineStr">
        <is>
          <t>Rocket</t>
        </is>
      </c>
      <c r="EI45" t="inlineStr">
        <is>
          <t>grad</t>
        </is>
      </c>
      <c r="EK45" t="n">
        <v>65</v>
      </c>
      <c r="EP45" t="n">
        <v>45</v>
      </c>
      <c r="EQ45" t="inlineStr">
        <is>
          <t>BM-21 Grad 122 mm</t>
        </is>
      </c>
      <c r="EX45" t="n">
        <v>122</v>
      </c>
      <c r="EY45" t="n">
        <v>4.5</v>
      </c>
      <c r="EZ45" t="n">
        <v>5</v>
      </c>
      <c r="GB45" t="inlineStr">
        <is>
          <t>rkt_grad_122</t>
        </is>
      </c>
      <c r="GD45" t="inlineStr">
        <is>
          <t>Assets/MachineBrigade/Resources/Data/balance.json: weapons[138]</t>
        </is>
      </c>
      <c r="GE45" t="inlineStr">
        <is>
          <t>{"id":"boss_rockets","groundMinReach":14,"flightProfile":"Ballistic","weaponFamilyId":"rkt_grad_122","edge":9,"real":"BM-21 Grad 122 mm","family":"rocket","size":122,"caliberMm":122,"pen":2,"projectileModel":"grad","damageType":"HighExplosive","damage":200,"cooldown":2.44,"range":45,"projectileSpeed":65,"splash":4.5,"spread":5,"impactTier":"Medium","projectile":"Rocket","burst":13,"burstInterval":0.5}</t>
        </is>
      </c>
    </row>
    <row r="46">
      <c r="A46" t="inlineStr">
        <is>
          <t>boss_thermo</t>
        </is>
      </c>
      <c r="B46" t="inlineStr">
        <is>
          <t>2A46M 125 mm, 3VOF128 thermobaric</t>
        </is>
      </c>
      <c r="C46" t="inlineStr">
        <is>
          <t>cal_125_he</t>
        </is>
      </c>
      <c r="D46" t="inlineStr"/>
      <c r="E46" t="inlineStr"/>
      <c r="F46" t="inlineStr">
        <is>
          <t>tank_gun</t>
        </is>
      </c>
      <c r="G46" t="n">
        <v>125</v>
      </c>
      <c r="H46" t="inlineStr"/>
      <c r="I46" t="inlineStr"/>
      <c r="J46" t="inlineStr"/>
      <c r="K46" t="inlineStr">
        <is>
          <t>HighExplosive</t>
        </is>
      </c>
      <c r="L46" t="n">
        <v>3</v>
      </c>
      <c r="M46" t="inlineStr">
        <is>
          <t>Shell</t>
        </is>
      </c>
      <c r="N46" t="n">
        <v>1</v>
      </c>
      <c r="O46" t="inlineStr">
        <is>
          <t>RIPPLE</t>
        </is>
      </c>
      <c r="P46" t="n">
        <v>1</v>
      </c>
      <c r="Q46" t="n">
        <v>0.1</v>
      </c>
      <c r="R46" t="n">
        <v>6.255</v>
      </c>
      <c r="S46" t="n">
        <v>0</v>
      </c>
      <c r="T46" t="n">
        <v>0</v>
      </c>
      <c r="U46" t="n">
        <v>0</v>
      </c>
      <c r="V46" t="n">
        <v>0</v>
      </c>
      <c r="W46" t="n">
        <v>291</v>
      </c>
      <c r="X46" t="n">
        <v>7</v>
      </c>
      <c r="Y46" t="n">
        <v>0</v>
      </c>
      <c r="Z46" t="n">
        <v>170</v>
      </c>
      <c r="AA46" t="n">
        <v>46</v>
      </c>
      <c r="AB46" t="n">
        <v>0</v>
      </c>
      <c r="AC46" t="inlineStr">
        <is>
          <t>Ground</t>
        </is>
      </c>
      <c r="AD46" t="inlineStr"/>
      <c r="AE46" t="n">
        <v>1</v>
      </c>
      <c r="AF46" t="inlineStr">
        <is>
          <t>Large</t>
        </is>
      </c>
      <c r="AG46" t="b">
        <v>0</v>
      </c>
      <c r="AH46" t="b">
        <v>0</v>
      </c>
      <c r="AI46" t="b">
        <v>1</v>
      </c>
      <c r="AJ46" t="b">
        <v>0</v>
      </c>
      <c r="AK46" t="b">
        <v>0</v>
      </c>
      <c r="AL46" t="b">
        <v>0</v>
      </c>
      <c r="AM46" t="b">
        <v>0</v>
      </c>
      <c r="AN46" t="n">
        <v>125</v>
      </c>
      <c r="AO46" t="n">
        <v>0</v>
      </c>
      <c r="AP46" t="inlineStr">
        <is>
          <t>T3</t>
        </is>
      </c>
      <c r="AQ46" t="inlineStr"/>
      <c r="AR46" t="inlineStr"/>
      <c r="AS46" t="inlineStr">
        <is>
          <t>boss</t>
        </is>
      </c>
      <c r="AT46" t="inlineStr">
        <is>
          <t>behemoth_inferno</t>
        </is>
      </c>
      <c r="AU46" t="n">
        <v>1</v>
      </c>
      <c r="AV46" t="inlineStr">
        <is>
          <t>behemoth_inferno:1</t>
        </is>
      </c>
      <c r="AW46" t="n">
        <v>0</v>
      </c>
      <c r="AX46" t="b">
        <v>0</v>
      </c>
      <c r="AY46" t="inlineStr"/>
      <c r="AZ46">
        <f>IF(AND($AX$46,$AW$46&gt;$AA$46/$Z$46),$AW$46,$AA$46/$Z$46)</f>
        <v/>
      </c>
      <c r="BA46" t="n">
        <v>0.2705882352941176</v>
      </c>
      <c r="BB46" t="n">
        <v>8</v>
      </c>
      <c r="BC46" t="n">
        <v>7</v>
      </c>
      <c r="BD46" t="inlineStr">
        <is>
          <t>gun</t>
        </is>
      </c>
      <c r="BE46" t="inlineStr">
        <is>
          <t>Wikipedia '2A46': 7-8 rpm with the autoloader</t>
        </is>
      </c>
      <c r="BG46" t="inlineStr">
        <is>
          <t>doi</t>
        </is>
      </c>
      <c r="BH46" t="n">
        <v>97</v>
      </c>
      <c r="BI46" t="n">
        <v>291</v>
      </c>
      <c r="BJ46" t="n">
        <v>12.51</v>
      </c>
      <c r="BK46" t="n">
        <v>6.255</v>
      </c>
      <c r="BR46" t="n">
        <v>35</v>
      </c>
      <c r="BS46" t="n">
        <v>170</v>
      </c>
      <c r="BT46" t="n">
        <v>6</v>
      </c>
      <c r="BU46" t="n">
        <v>1</v>
      </c>
      <c r="BV46" t="n">
        <v>0.3</v>
      </c>
      <c r="BW46" t="n">
        <v>0.1</v>
      </c>
      <c r="CJ46" t="inlineStr">
        <is>
          <t>Rocket</t>
        </is>
      </c>
      <c r="CK46" t="inlineStr">
        <is>
          <t>Shell</t>
        </is>
      </c>
      <c r="CT46" t="n">
        <v>125</v>
      </c>
      <c r="DD46" t="n">
        <v>6.255</v>
      </c>
      <c r="DE46" t="n">
        <v>291</v>
      </c>
      <c r="DF46" t="inlineStr">
        <is>
          <t>HighExplosive</t>
        </is>
      </c>
      <c r="DJ46" t="inlineStr">
        <is>
          <t>tank_gun</t>
        </is>
      </c>
      <c r="DO46" t="n">
        <v>21</v>
      </c>
      <c r="DS46" t="inlineStr">
        <is>
          <t>Large</t>
        </is>
      </c>
      <c r="EB46" t="n">
        <v>3</v>
      </c>
      <c r="EH46" t="inlineStr">
        <is>
          <t>Shell</t>
        </is>
      </c>
      <c r="EK46" t="n">
        <v>170</v>
      </c>
      <c r="EP46" t="n">
        <v>46</v>
      </c>
      <c r="EQ46" t="inlineStr">
        <is>
          <t>2A46M 125 mm, 3VOF128 thermobaric</t>
        </is>
      </c>
      <c r="EX46" t="n">
        <v>125</v>
      </c>
      <c r="EY46" t="n">
        <v>7</v>
      </c>
      <c r="EZ46" t="n">
        <v>1</v>
      </c>
      <c r="FX46" t="b">
        <v>1</v>
      </c>
      <c r="GB46" t="inlineStr">
        <is>
          <t>cal_125_he</t>
        </is>
      </c>
      <c r="GD46" t="inlineStr">
        <is>
          <t>Assets/MachineBrigade/Resources/Data/balance.json: weapons[240]</t>
        </is>
      </c>
      <c r="GE46" t="inlineStr">
        <is>
          <t>{"id":"boss_thermo","groundMinReach":21,"weaponFamilyId":"cal_125_he","real":"2A46M 125 mm, 3VOF128 thermobaric","family":"tank_gun","size":125,"caliberMm":125,"pen":3,"thermobaric":true,"damageType":"HighExplosive","damage":291,"cooldown":6.255,"range":46,"projectileSpeed":170,"splash":7,"spread":1,"impactTier":"Large","projectile":"Shell"}</t>
        </is>
      </c>
    </row>
    <row r="47">
      <c r="A47" t="inlineStr">
        <is>
          <t>buk_launcher</t>
        </is>
      </c>
      <c r="B47" t="inlineStr">
        <is>
          <t>9M317 Buk</t>
        </is>
      </c>
      <c r="C47" t="inlineStr">
        <is>
          <t>sam_9m317_buk</t>
        </is>
      </c>
      <c r="D47" t="inlineStr"/>
      <c r="E47" t="inlineStr">
        <is>
          <t>9m317_buk</t>
        </is>
      </c>
      <c r="F47" t="inlineStr">
        <is>
          <t>aa_missile</t>
        </is>
      </c>
      <c r="G47" t="inlineStr"/>
      <c r="H47" t="n">
        <v>70</v>
      </c>
      <c r="I47" t="inlineStr"/>
      <c r="J47" t="inlineStr"/>
      <c r="K47" t="inlineStr">
        <is>
          <t>Fragmentation</t>
        </is>
      </c>
      <c r="L47" t="n">
        <v>3</v>
      </c>
      <c r="M47" t="inlineStr">
        <is>
          <t>Missile</t>
        </is>
      </c>
      <c r="N47" t="n">
        <v>1</v>
      </c>
      <c r="O47" t="inlineStr">
        <is>
          <t>RIPPLE</t>
        </is>
      </c>
      <c r="P47" t="n">
        <v>2</v>
      </c>
      <c r="Q47" t="n">
        <v>0.5</v>
      </c>
      <c r="R47" t="n">
        <v>2.8</v>
      </c>
      <c r="S47" t="n">
        <v>0</v>
      </c>
      <c r="T47" t="n">
        <v>0</v>
      </c>
      <c r="U47" t="n">
        <v>0</v>
      </c>
      <c r="V47" t="n">
        <v>0</v>
      </c>
      <c r="W47" t="n">
        <v>320</v>
      </c>
      <c r="X47" t="n">
        <v>2</v>
      </c>
      <c r="Y47" t="n">
        <v>0</v>
      </c>
      <c r="Z47" t="n">
        <v>250</v>
      </c>
      <c r="AA47" t="n">
        <v>55</v>
      </c>
      <c r="AB47" t="n">
        <v>0</v>
      </c>
      <c r="AC47" t="inlineStr">
        <is>
          <t>Air</t>
        </is>
      </c>
      <c r="AD47" t="inlineStr"/>
      <c r="AE47" t="n">
        <v>0</v>
      </c>
      <c r="AF47" t="inlineStr">
        <is>
          <t>Medium</t>
        </is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n">
        <v>70</v>
      </c>
      <c r="AO47" t="n">
        <v>0</v>
      </c>
      <c r="AP47" t="inlineStr">
        <is>
          <t>T2</t>
        </is>
      </c>
      <c r="AQ47" t="inlineStr">
        <is>
          <t>sam_long</t>
        </is>
      </c>
      <c r="AR47" t="inlineStr"/>
      <c r="AS47" t="inlineStr">
        <is>
          <t>xe</t>
        </is>
      </c>
      <c r="AT47" t="inlineStr">
        <is>
          <t>sam_launcher</t>
        </is>
      </c>
      <c r="AU47" t="n">
        <v>1</v>
      </c>
      <c r="AV47" t="inlineStr">
        <is>
          <t>sam_launcher:0</t>
        </is>
      </c>
      <c r="AW47" t="n">
        <v>0</v>
      </c>
      <c r="AX47" t="b">
        <v>0</v>
      </c>
      <c r="AY47" t="inlineStr"/>
      <c r="AZ47">
        <f>IF(AND($AX$47,$AW$47&gt;$AA$47/$Z$47),$AW$47,$AA$47/$Z$47)</f>
        <v/>
      </c>
      <c r="BA47" t="n">
        <v>0.22</v>
      </c>
      <c r="BB47" t="n">
        <v>15</v>
      </c>
      <c r="BC47" t="n">
        <v>15</v>
      </c>
      <c r="BD47" t="inlineStr">
        <is>
          <t>missile</t>
        </is>
      </c>
      <c r="BE47" t="inlineStr">
        <is>
          <t>Wikipedia 'Buk missile system': 4 s between launches</t>
        </is>
      </c>
      <c r="BG47" t="inlineStr">
        <is>
          <t>doi</t>
        </is>
      </c>
      <c r="BR47" t="n">
        <v>50</v>
      </c>
      <c r="BS47" t="n">
        <v>250</v>
      </c>
      <c r="DD47" t="n">
        <v>2.8</v>
      </c>
      <c r="DJ47" t="inlineStr">
        <is>
          <t>aa_missile</t>
        </is>
      </c>
      <c r="DT47" t="inlineStr">
        <is>
          <t>sam_long</t>
        </is>
      </c>
      <c r="EB47" t="n">
        <v>3</v>
      </c>
      <c r="EQ47" t="inlineStr">
        <is>
          <t>9M317 Buk</t>
        </is>
      </c>
      <c r="EX47" t="n">
        <v>70</v>
      </c>
      <c r="FZ47" t="n">
        <v>70</v>
      </c>
      <c r="GA47" t="inlineStr">
        <is>
          <t>9m317_buk</t>
        </is>
      </c>
      <c r="GD47" t="inlineStr">
        <is>
          <t>Assets/MachineBrigade/Resources/Data/balance.json: weapons[30]</t>
        </is>
      </c>
      <c r="GE47" t="inlineStr">
        <is>
          <t>{"id":"buk_launcher","weaponFamily":"9m317_buk","real":"9M317 Buk","family":"aa_missile","size":70,"warheadKg":70,"pen":3,"inherits":"sam_long","cooldown":2.8}</t>
        </is>
      </c>
    </row>
    <row r="48">
      <c r="A48" t="inlineStr">
        <is>
          <t>bunker_flame</t>
        </is>
      </c>
      <c r="B48" t="inlineStr">
        <is>
          <t>flamethrower (bunker)</t>
        </is>
      </c>
      <c r="C48" t="inlineStr">
        <is>
          <t>flame_flamethrower</t>
        </is>
      </c>
      <c r="D48" t="inlineStr"/>
      <c r="E48" t="inlineStr"/>
      <c r="F48" t="inlineStr">
        <is>
          <t>flame</t>
        </is>
      </c>
      <c r="G48" t="inlineStr"/>
      <c r="H48" t="inlineStr"/>
      <c r="I48" t="inlineStr"/>
      <c r="J48" t="inlineStr"/>
      <c r="K48" t="inlineStr">
        <is>
          <t>Fire</t>
        </is>
      </c>
      <c r="L48" t="n">
        <v>1</v>
      </c>
      <c r="M48" t="inlineStr">
        <is>
          <t>Flame</t>
        </is>
      </c>
      <c r="N48" t="n">
        <v>1</v>
      </c>
      <c r="O48" t="inlineStr">
        <is>
          <t>RIPPLE</t>
        </is>
      </c>
      <c r="P48" t="n">
        <v>1</v>
      </c>
      <c r="Q48" t="n">
        <v>0.1</v>
      </c>
      <c r="R48" t="n">
        <v>0.195</v>
      </c>
      <c r="S48" t="n">
        <v>0</v>
      </c>
      <c r="T48" t="n">
        <v>0</v>
      </c>
      <c r="U48" t="n">
        <v>0</v>
      </c>
      <c r="V48" t="n">
        <v>0</v>
      </c>
      <c r="W48" t="n">
        <v>26</v>
      </c>
      <c r="X48" t="n">
        <v>4.5</v>
      </c>
      <c r="Y48" t="n">
        <v>0</v>
      </c>
      <c r="Z48" t="n">
        <v>36</v>
      </c>
      <c r="AA48" t="n">
        <v>16</v>
      </c>
      <c r="AB48" t="n">
        <v>0</v>
      </c>
      <c r="AC48" t="inlineStr">
        <is>
          <t>Ground</t>
        </is>
      </c>
      <c r="AD48" t="inlineStr"/>
      <c r="AE48" t="n">
        <v>1.2</v>
      </c>
      <c r="AF48" t="inlineStr">
        <is>
          <t>Small</t>
        </is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n">
        <v>2</v>
      </c>
      <c r="AO48" t="n">
        <v>0</v>
      </c>
      <c r="AP48" t="inlineStr">
        <is>
          <t>T1</t>
        </is>
      </c>
      <c r="AQ48" t="inlineStr">
        <is>
          <t>flamethrower</t>
        </is>
      </c>
      <c r="AR48" t="inlineStr"/>
      <c r="AS48" t="inlineStr">
        <is>
          <t>thap</t>
        </is>
      </c>
      <c r="AT48" t="inlineStr">
        <is>
          <t>mg_bunker.flame</t>
        </is>
      </c>
      <c r="AU48" t="n">
        <v>1</v>
      </c>
      <c r="AV48" t="inlineStr">
        <is>
          <t>mg_bunker.flame:0</t>
        </is>
      </c>
      <c r="AW48" t="n">
        <v>0</v>
      </c>
      <c r="AX48" t="b">
        <v>0</v>
      </c>
      <c r="AY48" t="inlineStr"/>
      <c r="AZ48">
        <f>IF(AND($AX$48,$AW$48&gt;$AA$48/$Z$48),$AW$48,$AA$48/$Z$48)</f>
        <v/>
      </c>
      <c r="BA48" t="n">
        <v>0.4444444444444444</v>
      </c>
      <c r="BB48" t="inlineStr">
        <is>
          <t>NEED_SOURCE</t>
        </is>
      </c>
      <c r="BC48" t="inlineStr">
        <is>
          <t>NEED_SOURCE</t>
        </is>
      </c>
      <c r="BE48" t="inlineStr">
        <is>
          <t>NEED_SOURCE</t>
        </is>
      </c>
      <c r="BG48" t="inlineStr">
        <is>
          <t>giong</t>
        </is>
      </c>
      <c r="DD48" t="n">
        <v>0.195</v>
      </c>
      <c r="DE48" t="n">
        <v>26</v>
      </c>
      <c r="DJ48" t="inlineStr">
        <is>
          <t>flame</t>
        </is>
      </c>
      <c r="DT48" t="inlineStr">
        <is>
          <t>flamethrower</t>
        </is>
      </c>
      <c r="EB48" t="n">
        <v>1</v>
      </c>
      <c r="EP48" t="n">
        <v>16</v>
      </c>
      <c r="EQ48" t="inlineStr">
        <is>
          <t>flamethrower (bunker)</t>
        </is>
      </c>
      <c r="EX48" t="n">
        <v>2</v>
      </c>
      <c r="EY48" t="n">
        <v>4.5</v>
      </c>
      <c r="GD48" t="inlineStr">
        <is>
          <t>Assets/MachineBrigade/Resources/Data/balance.json: weapons[112]</t>
        </is>
      </c>
      <c r="GE48" t="inlineStr">
        <is>
          <t>{"id":"bunker_flame","splash":4.5,"cooldown":0.195,"real":"flamethrower (bunker)","family":"flame","size":2,"pen":1,"inherits":"flamethrower","range":16,"damage":26}</t>
        </is>
      </c>
    </row>
    <row r="49">
      <c r="A49" t="inlineStr">
        <is>
          <t>bunker_hmg</t>
        </is>
      </c>
      <c r="B49" t="inlineStr">
        <is>
          <t>NSV 12.7 mm</t>
        </is>
      </c>
      <c r="C49" t="inlineStr">
        <is>
          <t>cal_12_7</t>
        </is>
      </c>
      <c r="D49" t="inlineStr"/>
      <c r="E49" t="inlineStr">
        <is>
          <t>nsv_12_7_mm</t>
        </is>
      </c>
      <c r="F49" t="inlineStr">
        <is>
          <t>mg</t>
        </is>
      </c>
      <c r="G49" t="n">
        <v>12.7</v>
      </c>
      <c r="H49" t="inlineStr"/>
      <c r="I49" t="inlineStr"/>
      <c r="J49" t="inlineStr"/>
      <c r="K49" t="inlineStr">
        <is>
          <t>Kinetic</t>
        </is>
      </c>
      <c r="L49" t="n">
        <v>1</v>
      </c>
      <c r="M49" t="inlineStr">
        <is>
          <t>Bullet</t>
        </is>
      </c>
      <c r="N49" t="n">
        <v>1</v>
      </c>
      <c r="O49" t="inlineStr">
        <is>
          <t>RIPPLE</t>
        </is>
      </c>
      <c r="P49" t="n">
        <v>1</v>
      </c>
      <c r="Q49" t="n">
        <v>0.1</v>
      </c>
      <c r="R49" t="n">
        <v>0.062</v>
      </c>
      <c r="S49" t="n">
        <v>150</v>
      </c>
      <c r="T49" t="n">
        <v>4.062</v>
      </c>
      <c r="U49" t="n">
        <v>0</v>
      </c>
      <c r="V49" t="n">
        <v>0</v>
      </c>
      <c r="W49" t="n">
        <v>9.5</v>
      </c>
      <c r="X49" t="n">
        <v>0</v>
      </c>
      <c r="Y49" t="n">
        <v>0</v>
      </c>
      <c r="Z49" t="n">
        <v>240</v>
      </c>
      <c r="AA49" t="n">
        <v>32</v>
      </c>
      <c r="AB49" t="n">
        <v>0</v>
      </c>
      <c r="AC49" t="inlineStr">
        <is>
          <t>All</t>
        </is>
      </c>
      <c r="AD49" t="inlineStr"/>
      <c r="AE49" t="n">
        <v>1.4</v>
      </c>
      <c r="AF49" t="inlineStr">
        <is>
          <t>Small</t>
        </is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n">
        <v>12.7</v>
      </c>
      <c r="AO49" t="n">
        <v>0</v>
      </c>
      <c r="AP49" t="inlineStr">
        <is>
          <t>T0</t>
        </is>
      </c>
      <c r="AQ49" t="inlineStr"/>
      <c r="AR49" t="inlineStr">
        <is>
          <t>bunker_hmg_api</t>
        </is>
      </c>
      <c r="AS49" t="inlineStr">
        <is>
          <t>thap</t>
        </is>
      </c>
      <c r="AT49" t="inlineStr">
        <is>
          <t>bulwark_post;mg_bunker</t>
        </is>
      </c>
      <c r="AU49" t="n">
        <v>2</v>
      </c>
      <c r="AV49" t="inlineStr">
        <is>
          <t>bulwark_post:0;mg_bunker:0</t>
        </is>
      </c>
      <c r="AW49" t="n">
        <v>0</v>
      </c>
      <c r="AX49" t="b">
        <v>0</v>
      </c>
      <c r="AY49" t="inlineStr"/>
      <c r="AZ49">
        <f>IF(AND($AX$49,$AW$49&gt;$AA$49/$Z$49),$AW$49,$AA$49/$Z$49)</f>
        <v/>
      </c>
      <c r="BA49" t="n">
        <v>0.1333333333333333</v>
      </c>
      <c r="BB49" t="n">
        <v>800</v>
      </c>
      <c r="BC49" t="n">
        <v>100</v>
      </c>
      <c r="BD49" t="inlineStr">
        <is>
          <t>mg</t>
        </is>
      </c>
      <c r="BE49" t="inlineStr">
        <is>
          <t>Wikipedia 'NSV machine gun': 700-800 cyclic, 100 practical</t>
        </is>
      </c>
      <c r="BG49" t="inlineStr">
        <is>
          <t>giong</t>
        </is>
      </c>
      <c r="CT49" t="n">
        <v>12.7</v>
      </c>
      <c r="CW49" t="n">
        <v>150</v>
      </c>
      <c r="CX49" t="n">
        <v>4.062</v>
      </c>
      <c r="DD49" t="n">
        <v>0.062</v>
      </c>
      <c r="DE49" t="n">
        <v>9.5</v>
      </c>
      <c r="DF49" t="inlineStr">
        <is>
          <t>Kinetic</t>
        </is>
      </c>
      <c r="DJ49" t="inlineStr">
        <is>
          <t>mg</t>
        </is>
      </c>
      <c r="DS49" t="inlineStr">
        <is>
          <t>Small</t>
        </is>
      </c>
      <c r="EB49" t="n">
        <v>1</v>
      </c>
      <c r="EH49" t="inlineStr">
        <is>
          <t>Bullet</t>
        </is>
      </c>
      <c r="EP49" t="n">
        <v>32</v>
      </c>
      <c r="EQ49" t="inlineStr">
        <is>
          <t>NSV 12.7 mm</t>
        </is>
      </c>
      <c r="EX49" t="n">
        <v>12.7</v>
      </c>
      <c r="EZ49" t="n">
        <v>1.4</v>
      </c>
      <c r="FW49" t="inlineStr">
        <is>
          <t>All</t>
        </is>
      </c>
      <c r="GA49" t="inlineStr">
        <is>
          <t>nsv_12_7_mm</t>
        </is>
      </c>
      <c r="GB49" t="inlineStr">
        <is>
          <t>cal_12_7</t>
        </is>
      </c>
      <c r="GD49" t="inlineStr">
        <is>
          <t>Assets/MachineBrigade/Resources/Data/balance.json: weapons[131]</t>
        </is>
      </c>
      <c r="GE49" t="inlineStr">
        <is>
          <t>{"id":"bunker_hmg","weaponFamilyId":"cal_12_7","weaponFamily":"nsv_12_7_mm","real":"NSV 12.7 mm","family":"mg","size":12.7,"caliberMm":12.7,"pen":1,"damageType":"Kinetic","damage":9.5,"cooldown":0.062,"range":32,"spread":1.4,"impactTier":"Small","projectile":"Bullet","targets":"All","clip":150,"clipReload":4.062}</t>
        </is>
      </c>
    </row>
    <row r="50">
      <c r="A50" t="inlineStr">
        <is>
          <t>bunker_hmg_api</t>
        </is>
      </c>
      <c r="B50" t="inlineStr">
        <is>
          <t>NSV 12.7 mm API</t>
        </is>
      </c>
      <c r="C50" t="inlineStr">
        <is>
          <t>cal_12_7</t>
        </is>
      </c>
      <c r="D50" t="inlineStr"/>
      <c r="E50" t="inlineStr">
        <is>
          <t>nsv_12_7_mm_api</t>
        </is>
      </c>
      <c r="F50" t="inlineStr">
        <is>
          <t>mg</t>
        </is>
      </c>
      <c r="G50" t="n">
        <v>12.7</v>
      </c>
      <c r="H50" t="inlineStr"/>
      <c r="I50" t="inlineStr"/>
      <c r="J50" t="inlineStr"/>
      <c r="K50" t="inlineStr">
        <is>
          <t>Kinetic</t>
        </is>
      </c>
      <c r="L50" t="n">
        <v>2</v>
      </c>
      <c r="M50" t="inlineStr">
        <is>
          <t>Bullet</t>
        </is>
      </c>
      <c r="N50" t="n">
        <v>1</v>
      </c>
      <c r="O50" t="inlineStr">
        <is>
          <t>RIPPLE</t>
        </is>
      </c>
      <c r="P50" t="n">
        <v>1</v>
      </c>
      <c r="Q50" t="n">
        <v>0.1</v>
      </c>
      <c r="R50" t="n">
        <v>0.062</v>
      </c>
      <c r="S50" t="n">
        <v>150</v>
      </c>
      <c r="T50" t="n">
        <v>4.062</v>
      </c>
      <c r="U50" t="n">
        <v>0</v>
      </c>
      <c r="V50" t="n">
        <v>0</v>
      </c>
      <c r="W50" t="n">
        <v>9.5</v>
      </c>
      <c r="X50" t="n">
        <v>0</v>
      </c>
      <c r="Y50" t="n">
        <v>0</v>
      </c>
      <c r="Z50" t="n">
        <v>240</v>
      </c>
      <c r="AA50" t="n">
        <v>32</v>
      </c>
      <c r="AB50" t="n">
        <v>0</v>
      </c>
      <c r="AC50" t="inlineStr">
        <is>
          <t>All</t>
        </is>
      </c>
      <c r="AD50" t="inlineStr"/>
      <c r="AE50" t="n">
        <v>1.4</v>
      </c>
      <c r="AF50" t="inlineStr">
        <is>
          <t>Small</t>
        </is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n">
        <v>12.7</v>
      </c>
      <c r="AO50" t="n">
        <v>0</v>
      </c>
      <c r="AP50" t="inlineStr">
        <is>
          <t>T0</t>
        </is>
      </c>
      <c r="AQ50" t="inlineStr">
        <is>
          <t>bunker_hmg</t>
        </is>
      </c>
      <c r="AR50" t="inlineStr"/>
      <c r="AS50" t="inlineStr"/>
      <c r="AT50" t="inlineStr"/>
      <c r="AU50" t="n">
        <v>0</v>
      </c>
      <c r="AV50" t="inlineStr"/>
      <c r="AW50" t="n">
        <v>0</v>
      </c>
      <c r="AX50" t="b">
        <v>0</v>
      </c>
      <c r="AY50" t="inlineStr"/>
      <c r="AZ50">
        <f>IF(AND($AX$50,$AW$50&gt;$AA$50/$Z$50),$AW$50,$AA$50/$Z$50)</f>
        <v/>
      </c>
      <c r="BA50" t="n">
        <v>0.1333333333333333</v>
      </c>
      <c r="BB50" t="n">
        <v>800</v>
      </c>
      <c r="BC50" t="n">
        <v>100</v>
      </c>
      <c r="BD50" t="inlineStr">
        <is>
          <t>mg</t>
        </is>
      </c>
      <c r="BE50" t="inlineStr">
        <is>
          <t>Wikipedia 'NSV machine gun': 700-800 cyclic, 100 practical</t>
        </is>
      </c>
      <c r="BG50" t="inlineStr">
        <is>
          <t>giong</t>
        </is>
      </c>
      <c r="DE50" t="n">
        <v>9.5</v>
      </c>
      <c r="DF50" t="inlineStr">
        <is>
          <t>Kinetic</t>
        </is>
      </c>
      <c r="DH50" t="b">
        <v>1</v>
      </c>
      <c r="DM50" t="inlineStr">
        <is>
          <t>any</t>
        </is>
      </c>
      <c r="DN50" t="inlineStr">
        <is>
          <t>BulletBig</t>
        </is>
      </c>
      <c r="DT50" t="inlineStr">
        <is>
          <t>bunker_hmg</t>
        </is>
      </c>
      <c r="EB50" t="n">
        <v>2</v>
      </c>
      <c r="EE50" t="b">
        <v>1</v>
      </c>
      <c r="EQ50" t="inlineStr">
        <is>
          <t>NSV 12.7 mm API</t>
        </is>
      </c>
      <c r="ES50" t="inlineStr">
        <is>
          <t>api</t>
        </is>
      </c>
      <c r="EU50" t="inlineStr">
        <is>
          <t>bunker_hmg</t>
        </is>
      </c>
      <c r="GA50" t="inlineStr">
        <is>
          <t>nsv_12_7_mm_api</t>
        </is>
      </c>
      <c r="GD50" t="inlineStr">
        <is>
          <t>Assets/MachineBrigade/Resources/Data/balance.json: secondRounds.rounds[12]</t>
        </is>
      </c>
      <c r="GE50" t="inlineStr">
        <is>
          <t>{"id":"bunker_hmg_api","roundOf":"bunker_hmg","inherits":"bunker_hmg","weaponFamily":"nsv_12_7_mm_api","round":"api","for":["any"],"elite":true,"real":"NSV 12.7 mm API","damageType":"Kinetic","pen":2,"damage":9.5,"form":"BulletBig","piercing":true}</t>
        </is>
      </c>
    </row>
    <row r="51">
      <c r="A51" t="inlineStr">
        <is>
          <t>bunker_hmg_twin</t>
        </is>
      </c>
      <c r="B51" t="inlineStr">
        <is>
          <t>NSV 12.7 mm (twin)</t>
        </is>
      </c>
      <c r="C51" t="inlineStr">
        <is>
          <t>cal_12_7</t>
        </is>
      </c>
      <c r="D51" t="inlineStr"/>
      <c r="E51" t="inlineStr">
        <is>
          <t>nsv_12_7_mm</t>
        </is>
      </c>
      <c r="F51" t="inlineStr">
        <is>
          <t>mg</t>
        </is>
      </c>
      <c r="G51" t="n">
        <v>12.7</v>
      </c>
      <c r="H51" t="inlineStr"/>
      <c r="I51" t="inlineStr"/>
      <c r="J51" t="inlineStr"/>
      <c r="K51" t="inlineStr">
        <is>
          <t>Kinetic</t>
        </is>
      </c>
      <c r="L51" t="n">
        <v>1</v>
      </c>
      <c r="M51" t="inlineStr">
        <is>
          <t>Bullet</t>
        </is>
      </c>
      <c r="N51" t="n">
        <v>1</v>
      </c>
      <c r="O51" t="inlineStr">
        <is>
          <t>RIPPLE</t>
        </is>
      </c>
      <c r="P51" t="n">
        <v>1</v>
      </c>
      <c r="Q51" t="n">
        <v>0.1</v>
      </c>
      <c r="R51" t="n">
        <v>0.05</v>
      </c>
      <c r="S51" t="n">
        <v>150</v>
      </c>
      <c r="T51" t="n">
        <v>4.05</v>
      </c>
      <c r="U51" t="n">
        <v>0</v>
      </c>
      <c r="V51" t="n">
        <v>0</v>
      </c>
      <c r="W51" t="n">
        <v>9.5</v>
      </c>
      <c r="X51" t="n">
        <v>0</v>
      </c>
      <c r="Y51" t="n">
        <v>0</v>
      </c>
      <c r="Z51" t="n">
        <v>240</v>
      </c>
      <c r="AA51" t="n">
        <v>28</v>
      </c>
      <c r="AB51" t="n">
        <v>0</v>
      </c>
      <c r="AC51" t="inlineStr">
        <is>
          <t>All</t>
        </is>
      </c>
      <c r="AD51" t="inlineStr"/>
      <c r="AE51" t="n">
        <v>1.4</v>
      </c>
      <c r="AF51" t="inlineStr">
        <is>
          <t>Small</t>
        </is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n">
        <v>12.7</v>
      </c>
      <c r="AO51" t="n">
        <v>0</v>
      </c>
      <c r="AP51" t="inlineStr">
        <is>
          <t>T0</t>
        </is>
      </c>
      <c r="AQ51" t="inlineStr">
        <is>
          <t>bunker_hmg</t>
        </is>
      </c>
      <c r="AR51" t="inlineStr">
        <is>
          <t>bunker_hmg_twin_api</t>
        </is>
      </c>
      <c r="AS51" t="inlineStr">
        <is>
          <t>thap</t>
        </is>
      </c>
      <c r="AT51" t="inlineStr">
        <is>
          <t>mg_bunker.twin</t>
        </is>
      </c>
      <c r="AU51" t="n">
        <v>1</v>
      </c>
      <c r="AV51" t="inlineStr">
        <is>
          <t>mg_bunker.twin:0</t>
        </is>
      </c>
      <c r="AW51" t="n">
        <v>0</v>
      </c>
      <c r="AX51" t="b">
        <v>0</v>
      </c>
      <c r="AY51" t="inlineStr"/>
      <c r="AZ51">
        <f>IF(AND($AX$51,$AW$51&gt;$AA$51/$Z$51),$AW$51,$AA$51/$Z$51)</f>
        <v/>
      </c>
      <c r="BA51" t="n">
        <v>0.1166666666666667</v>
      </c>
      <c r="BB51" t="n">
        <v>800</v>
      </c>
      <c r="BC51" t="n">
        <v>100</v>
      </c>
      <c r="BD51" t="inlineStr">
        <is>
          <t>mg</t>
        </is>
      </c>
      <c r="BE51" t="inlineStr">
        <is>
          <t>Wikipedia 'NSV machine gun': 700-800 cyclic, 100 practical</t>
        </is>
      </c>
      <c r="BG51" t="inlineStr">
        <is>
          <t>giong</t>
        </is>
      </c>
      <c r="CT51" t="n">
        <v>12.7</v>
      </c>
      <c r="CW51" t="n">
        <v>150</v>
      </c>
      <c r="CX51" t="n">
        <v>4.05</v>
      </c>
      <c r="DD51" t="n">
        <v>0.05</v>
      </c>
      <c r="DJ51" t="inlineStr">
        <is>
          <t>mg</t>
        </is>
      </c>
      <c r="DT51" t="inlineStr">
        <is>
          <t>bunker_hmg</t>
        </is>
      </c>
      <c r="EB51" t="n">
        <v>1</v>
      </c>
      <c r="EP51" t="n">
        <v>28</v>
      </c>
      <c r="EQ51" t="inlineStr">
        <is>
          <t>NSV 12.7 mm (twin)</t>
        </is>
      </c>
      <c r="EX51" t="n">
        <v>12.7</v>
      </c>
      <c r="GA51" t="inlineStr">
        <is>
          <t>nsv_12_7_mm</t>
        </is>
      </c>
      <c r="GD51" t="inlineStr">
        <is>
          <t>Assets/MachineBrigade/Resources/Data/balance.json: weapons[110]</t>
        </is>
      </c>
      <c r="GE51" t="inlineStr">
        <is>
          <t>{"id":"bunker_hmg_twin","weaponFamily":"nsv_12_7_mm","real":"NSV 12.7 mm (twin)","family":"mg","size":12.7,"caliberMm":12.7,"pen":1,"inherits":"bunker_hmg","cooldown":0.05,"range":28,"clip":150,"clipReload":4.05}</t>
        </is>
      </c>
    </row>
    <row r="52">
      <c r="A52" t="inlineStr">
        <is>
          <t>bunker_hmg_twin_api</t>
        </is>
      </c>
      <c r="B52" t="inlineStr">
        <is>
          <t>NSV 12.7 mm API (twin)</t>
        </is>
      </c>
      <c r="C52" t="inlineStr">
        <is>
          <t>cal_12_7</t>
        </is>
      </c>
      <c r="D52" t="inlineStr"/>
      <c r="E52" t="inlineStr">
        <is>
          <t>nsv_12_7_mm_api</t>
        </is>
      </c>
      <c r="F52" t="inlineStr">
        <is>
          <t>mg</t>
        </is>
      </c>
      <c r="G52" t="n">
        <v>12.7</v>
      </c>
      <c r="H52" t="inlineStr"/>
      <c r="I52" t="inlineStr"/>
      <c r="J52" t="inlineStr"/>
      <c r="K52" t="inlineStr">
        <is>
          <t>Kinetic</t>
        </is>
      </c>
      <c r="L52" t="n">
        <v>2</v>
      </c>
      <c r="M52" t="inlineStr">
        <is>
          <t>Bullet</t>
        </is>
      </c>
      <c r="N52" t="n">
        <v>1</v>
      </c>
      <c r="O52" t="inlineStr">
        <is>
          <t>RIPPLE</t>
        </is>
      </c>
      <c r="P52" t="n">
        <v>1</v>
      </c>
      <c r="Q52" t="n">
        <v>0.1</v>
      </c>
      <c r="R52" t="n">
        <v>0.05</v>
      </c>
      <c r="S52" t="n">
        <v>150</v>
      </c>
      <c r="T52" t="n">
        <v>4.05</v>
      </c>
      <c r="U52" t="n">
        <v>0</v>
      </c>
      <c r="V52" t="n">
        <v>0</v>
      </c>
      <c r="W52" t="n">
        <v>9.5</v>
      </c>
      <c r="X52" t="n">
        <v>0</v>
      </c>
      <c r="Y52" t="n">
        <v>0</v>
      </c>
      <c r="Z52" t="n">
        <v>240</v>
      </c>
      <c r="AA52" t="n">
        <v>28</v>
      </c>
      <c r="AB52" t="n">
        <v>0</v>
      </c>
      <c r="AC52" t="inlineStr">
        <is>
          <t>All</t>
        </is>
      </c>
      <c r="AD52" t="inlineStr"/>
      <c r="AE52" t="n">
        <v>1.4</v>
      </c>
      <c r="AF52" t="inlineStr">
        <is>
          <t>Small</t>
        </is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n">
        <v>12.7</v>
      </c>
      <c r="AO52" t="n">
        <v>0</v>
      </c>
      <c r="AP52" t="inlineStr">
        <is>
          <t>T0</t>
        </is>
      </c>
      <c r="AQ52" t="inlineStr">
        <is>
          <t>bunker_hmg_twin</t>
        </is>
      </c>
      <c r="AR52" t="inlineStr"/>
      <c r="AS52" t="inlineStr"/>
      <c r="AT52" t="inlineStr"/>
      <c r="AU52" t="n">
        <v>0</v>
      </c>
      <c r="AV52" t="inlineStr"/>
      <c r="AW52" t="n">
        <v>0</v>
      </c>
      <c r="AX52" t="b">
        <v>0</v>
      </c>
      <c r="AY52" t="inlineStr"/>
      <c r="AZ52">
        <f>IF(AND($AX$52,$AW$52&gt;$AA$52/$Z$52),$AW$52,$AA$52/$Z$52)</f>
        <v/>
      </c>
      <c r="BA52" t="n">
        <v>0.1166666666666667</v>
      </c>
      <c r="BB52" t="n">
        <v>800</v>
      </c>
      <c r="BC52" t="n">
        <v>100</v>
      </c>
      <c r="BD52" t="inlineStr">
        <is>
          <t>mg</t>
        </is>
      </c>
      <c r="BE52" t="inlineStr">
        <is>
          <t>Wikipedia 'NSV machine gun': 700-800 cyclic, 100 practical</t>
        </is>
      </c>
      <c r="BG52" t="inlineStr">
        <is>
          <t>giong</t>
        </is>
      </c>
      <c r="DE52" t="n">
        <v>9.5</v>
      </c>
      <c r="DF52" t="inlineStr">
        <is>
          <t>Kinetic</t>
        </is>
      </c>
      <c r="DH52" t="b">
        <v>1</v>
      </c>
      <c r="DM52" t="inlineStr">
        <is>
          <t>any</t>
        </is>
      </c>
      <c r="DN52" t="inlineStr">
        <is>
          <t>BulletBig</t>
        </is>
      </c>
      <c r="DT52" t="inlineStr">
        <is>
          <t>bunker_hmg_twin</t>
        </is>
      </c>
      <c r="EB52" t="n">
        <v>2</v>
      </c>
      <c r="EE52" t="b">
        <v>1</v>
      </c>
      <c r="EQ52" t="inlineStr">
        <is>
          <t>NSV 12.7 mm API (twin)</t>
        </is>
      </c>
      <c r="ES52" t="inlineStr">
        <is>
          <t>api</t>
        </is>
      </c>
      <c r="EU52" t="inlineStr">
        <is>
          <t>bunker_hmg_twin</t>
        </is>
      </c>
      <c r="GA52" t="inlineStr">
        <is>
          <t>nsv_12_7_mm_api</t>
        </is>
      </c>
      <c r="GD52" t="inlineStr">
        <is>
          <t>Assets/MachineBrigade/Resources/Data/balance.json: secondRounds.rounds[13]</t>
        </is>
      </c>
      <c r="GE52" t="inlineStr">
        <is>
          <t>{"id":"bunker_hmg_twin_api","roundOf":"bunker_hmg_twin","inherits":"bunker_hmg_twin","weaponFamily":"nsv_12_7_mm_api","round":"api","for":["any"],"elite":true,"real":"NSV 12.7 mm API (twin)","damageType":"Kinetic","pen":2,"damage":9.5,"form":"BulletBig","piercing":true}</t>
        </is>
      </c>
    </row>
    <row r="53">
      <c r="A53" t="inlineStr">
        <is>
          <t>bunker_pkm</t>
        </is>
      </c>
      <c r="B53" t="inlineStr">
        <is>
          <t>PKM 7.62 mm (bunker embrasure)</t>
        </is>
      </c>
      <c r="C53" t="inlineStr">
        <is>
          <t>cal_7_62</t>
        </is>
      </c>
      <c r="D53" t="inlineStr"/>
      <c r="E53" t="inlineStr">
        <is>
          <t>pkt_m240_7_62_mm</t>
        </is>
      </c>
      <c r="F53" t="inlineStr">
        <is>
          <t>mg</t>
        </is>
      </c>
      <c r="G53" t="n">
        <v>7.62</v>
      </c>
      <c r="H53" t="inlineStr"/>
      <c r="I53" t="inlineStr"/>
      <c r="J53" t="inlineStr"/>
      <c r="K53" t="inlineStr">
        <is>
          <t>Kinetic</t>
        </is>
      </c>
      <c r="L53" t="n">
        <v>0</v>
      </c>
      <c r="M53" t="inlineStr">
        <is>
          <t>Bullet</t>
        </is>
      </c>
      <c r="N53" t="n">
        <v>1</v>
      </c>
      <c r="O53" t="inlineStr">
        <is>
          <t>RIPPLE</t>
        </is>
      </c>
      <c r="P53" t="n">
        <v>1</v>
      </c>
      <c r="Q53" t="n">
        <v>0.1</v>
      </c>
      <c r="R53" t="n">
        <v>0.092</v>
      </c>
      <c r="S53" t="n">
        <v>100</v>
      </c>
      <c r="T53" t="n">
        <v>6</v>
      </c>
      <c r="U53" t="n">
        <v>0</v>
      </c>
      <c r="V53" t="n">
        <v>0</v>
      </c>
      <c r="W53" t="n">
        <v>1.6</v>
      </c>
      <c r="X53" t="n">
        <v>0</v>
      </c>
      <c r="Y53" t="n">
        <v>0</v>
      </c>
      <c r="Z53" t="n">
        <v>240</v>
      </c>
      <c r="AA53" t="n">
        <v>28</v>
      </c>
      <c r="AB53" t="n">
        <v>0</v>
      </c>
      <c r="AC53" t="inlineStr">
        <is>
          <t>All</t>
        </is>
      </c>
      <c r="AD53" t="inlineStr"/>
      <c r="AE53" t="n">
        <v>1</v>
      </c>
      <c r="AF53" t="inlineStr">
        <is>
          <t>Small</t>
        </is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n">
        <v>7.62</v>
      </c>
      <c r="AO53" t="n">
        <v>0</v>
      </c>
      <c r="AP53" t="inlineStr">
        <is>
          <t>T0</t>
        </is>
      </c>
      <c r="AQ53" t="inlineStr">
        <is>
          <t>mg_coax</t>
        </is>
      </c>
      <c r="AR53" t="inlineStr"/>
      <c r="AS53" t="inlineStr">
        <is>
          <t>thap</t>
        </is>
      </c>
      <c r="AT53" t="inlineStr">
        <is>
          <t>mg_bunker;mg_bunker.twin</t>
        </is>
      </c>
      <c r="AU53" t="n">
        <v>2</v>
      </c>
      <c r="AV53" t="inlineStr">
        <is>
          <t>mg_bunker:1;mg_bunker:2;mg_bunker:3;mg_bunker:4;mg_bunker.twin:1;mg_bunker.twin:2;mg_bunker.twin:3;mg_bunker.twin:4</t>
        </is>
      </c>
      <c r="AW53" t="n">
        <v>0</v>
      </c>
      <c r="AX53" t="b">
        <v>0</v>
      </c>
      <c r="AY53" t="inlineStr"/>
      <c r="AZ53">
        <f>IF(AND($AX$53,$AW$53&gt;$AA$53/$Z$53),$AW$53,$AA$53/$Z$53)</f>
        <v/>
      </c>
      <c r="BA53" t="n">
        <v>0.1166666666666667</v>
      </c>
      <c r="BB53" t="inlineStr">
        <is>
          <t>NEED_SOURCE</t>
        </is>
      </c>
      <c r="BC53" t="inlineStr">
        <is>
          <t>NEED_SOURCE</t>
        </is>
      </c>
      <c r="BE53" t="inlineStr">
        <is>
          <t>NEED_SOURCE</t>
        </is>
      </c>
      <c r="BG53" t="inlineStr">
        <is>
          <t>moi</t>
        </is>
      </c>
      <c r="CT53" t="n">
        <v>7.62</v>
      </c>
      <c r="CW53" t="n">
        <v>100</v>
      </c>
      <c r="CX53" t="n">
        <v>6</v>
      </c>
      <c r="DD53" t="n">
        <v>0.092</v>
      </c>
      <c r="DE53" t="n">
        <v>1.6</v>
      </c>
      <c r="DJ53" t="inlineStr">
        <is>
          <t>mg</t>
        </is>
      </c>
      <c r="DT53" t="inlineStr">
        <is>
          <t>mg_coax</t>
        </is>
      </c>
      <c r="EB53" t="n">
        <v>0</v>
      </c>
      <c r="EP53" t="n">
        <v>28</v>
      </c>
      <c r="EQ53" t="inlineStr">
        <is>
          <t>PKM 7.62 mm (bunker embrasure)</t>
        </is>
      </c>
      <c r="EX53" t="n">
        <v>7.62</v>
      </c>
      <c r="GA53" t="inlineStr">
        <is>
          <t>pkt_m240_7_62_mm</t>
        </is>
      </c>
      <c r="GD53" t="inlineStr">
        <is>
          <t>Assets/MachineBrigade/Resources/Data/balance.json: weapons[111]</t>
        </is>
      </c>
      <c r="GE53" t="inlineStr">
        <is>
          <t>{"id":"bunker_pkm","weaponFamily":"pkt_m240_7_62_mm","real":"PKM 7.62 mm (bunker embrasure)","family":"mg","size":7.62,"caliberMm":7.62,"pen":0,"inherits":"mg_coax","damage":1.6,"cooldown":0.092,"range":28,"clip":100,"clipReload":6.0}</t>
        </is>
      </c>
    </row>
    <row r="54">
      <c r="A54" t="inlineStr">
        <is>
          <t>c_ram_gatling</t>
        </is>
      </c>
      <c r="B54" t="inlineStr">
        <is>
          <t>Phalanx M61 20 mm</t>
        </is>
      </c>
      <c r="C54" t="inlineStr">
        <is>
          <t>cal_20</t>
        </is>
      </c>
      <c r="D54" t="inlineStr"/>
      <c r="E54" t="inlineStr"/>
      <c r="F54" t="inlineStr">
        <is>
          <t>autocannon</t>
        </is>
      </c>
      <c r="G54" t="n">
        <v>20</v>
      </c>
      <c r="H54" t="inlineStr"/>
      <c r="I54" t="inlineStr"/>
      <c r="J54" t="inlineStr"/>
      <c r="K54" t="inlineStr">
        <is>
          <t>Fragmentation</t>
        </is>
      </c>
      <c r="L54" t="n">
        <v>1</v>
      </c>
      <c r="M54" t="inlineStr">
        <is>
          <t>Bullet</t>
        </is>
      </c>
      <c r="N54" t="n">
        <v>1</v>
      </c>
      <c r="O54" t="inlineStr">
        <is>
          <t>RIPPLE</t>
        </is>
      </c>
      <c r="P54" t="n">
        <v>1</v>
      </c>
      <c r="Q54" t="n">
        <v>0.1</v>
      </c>
      <c r="R54" t="n">
        <v>0.02</v>
      </c>
      <c r="S54" t="n">
        <v>200</v>
      </c>
      <c r="T54" t="n">
        <v>3.02</v>
      </c>
      <c r="U54" t="n">
        <v>0</v>
      </c>
      <c r="V54" t="n">
        <v>0</v>
      </c>
      <c r="W54" t="n">
        <v>2</v>
      </c>
      <c r="X54" t="n">
        <v>1.2</v>
      </c>
      <c r="Y54" t="n">
        <v>0</v>
      </c>
      <c r="Z54" t="n">
        <v>380</v>
      </c>
      <c r="AA54" t="n">
        <v>32</v>
      </c>
      <c r="AB54" t="n">
        <v>0</v>
      </c>
      <c r="AC54" t="inlineStr">
        <is>
          <t>Air</t>
        </is>
      </c>
      <c r="AD54" t="inlineStr"/>
      <c r="AE54" t="n">
        <v>1.2</v>
      </c>
      <c r="AF54" t="inlineStr">
        <is>
          <t>Small</t>
        </is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n">
        <v>20</v>
      </c>
      <c r="AO54" t="n">
        <v>0</v>
      </c>
      <c r="AP54" t="inlineStr">
        <is>
          <t>T1</t>
        </is>
      </c>
      <c r="AQ54" t="inlineStr"/>
      <c r="AR54" t="inlineStr"/>
      <c r="AS54" t="inlineStr">
        <is>
          <t>thap</t>
        </is>
      </c>
      <c r="AT54" t="inlineStr">
        <is>
          <t>c_ram;c_ram.centurion</t>
        </is>
      </c>
      <c r="AU54" t="n">
        <v>2</v>
      </c>
      <c r="AV54" t="inlineStr">
        <is>
          <t>c_ram:0;c_ram.centurion:0</t>
        </is>
      </c>
      <c r="AW54" t="n">
        <v>0</v>
      </c>
      <c r="AX54" t="b">
        <v>0</v>
      </c>
      <c r="AY54" t="inlineStr"/>
      <c r="AZ54">
        <f>IF(AND($AX$54,$AW$54&gt;$AA$54/$Z$54),$AW$54,$AA$54/$Z$54)</f>
        <v/>
      </c>
      <c r="BA54" t="n">
        <v>0.08421052631578947</v>
      </c>
      <c r="BB54" t="n">
        <v>4500</v>
      </c>
      <c r="BC54" t="inlineStr"/>
      <c r="BD54" t="inlineStr">
        <is>
          <t>aa</t>
        </is>
      </c>
      <c r="BE54" t="inlineStr">
        <is>
          <t>Wikipedia 'Phalanx CIWS': 4,500 rpm (C-RAM)</t>
        </is>
      </c>
      <c r="BG54" t="inlineStr">
        <is>
          <t>giong</t>
        </is>
      </c>
      <c r="CT54" t="n">
        <v>20</v>
      </c>
      <c r="CW54" t="n">
        <v>200</v>
      </c>
      <c r="CX54" t="n">
        <v>3.02</v>
      </c>
      <c r="DD54" t="n">
        <v>0.02</v>
      </c>
      <c r="DE54" t="n">
        <v>2</v>
      </c>
      <c r="DF54" t="inlineStr">
        <is>
          <t>Fragmentation</t>
        </is>
      </c>
      <c r="DJ54" t="inlineStr">
        <is>
          <t>autocannon</t>
        </is>
      </c>
      <c r="DS54" t="inlineStr">
        <is>
          <t>Small</t>
        </is>
      </c>
      <c r="DU54" t="b">
        <v>1</v>
      </c>
      <c r="EB54" t="n">
        <v>1</v>
      </c>
      <c r="EH54" t="inlineStr">
        <is>
          <t>Bullet</t>
        </is>
      </c>
      <c r="EK54" t="n">
        <v>380</v>
      </c>
      <c r="EP54" t="n">
        <v>32</v>
      </c>
      <c r="EQ54" t="inlineStr">
        <is>
          <t>Phalanx M61 20 mm</t>
        </is>
      </c>
      <c r="EX54" t="n">
        <v>20</v>
      </c>
      <c r="EY54" t="n">
        <v>1.2</v>
      </c>
      <c r="EZ54" t="n">
        <v>1.2</v>
      </c>
      <c r="FW54" t="inlineStr">
        <is>
          <t>Air</t>
        </is>
      </c>
      <c r="GB54" t="inlineStr">
        <is>
          <t>cal_20</t>
        </is>
      </c>
      <c r="GD54" t="inlineStr">
        <is>
          <t>Assets/MachineBrigade/Resources/Data/balance.json: weapons[107]</t>
        </is>
      </c>
      <c r="GE54" t="inlineStr">
        <is>
          <t>{"id":"c_ram_gatling","weaponFamilyId":"cal_20","real":"Phalanx M61 20 mm","family":"autocannon","size":20,"caliberMm":20,"pen":1,"damageType":"Fragmentation","damage":2,"cooldown":0.02,"range":32,"projectileSpeed":380,"splash":1.2,"spread":1.2,"impactTier":"Small","projectile":"Bullet","targets":"Air","interceptOnly":true,"clip":200,"clipReload":3.02}</t>
        </is>
      </c>
    </row>
    <row r="55">
      <c r="A55" t="inlineStr">
        <is>
          <t>casemate_155</t>
        </is>
      </c>
      <c r="B55" t="inlineStr">
        <is>
          <t>M284 155 mm (casemate)</t>
        </is>
      </c>
      <c r="C55" t="inlineStr">
        <is>
          <t>cal_152_155</t>
        </is>
      </c>
      <c r="D55" t="inlineStr"/>
      <c r="E55" t="inlineStr">
        <is>
          <t>m284_155_mm_casemate</t>
        </is>
      </c>
      <c r="F55" t="inlineStr">
        <is>
          <t>howitzer</t>
        </is>
      </c>
      <c r="G55" t="n">
        <v>155</v>
      </c>
      <c r="H55" t="inlineStr"/>
      <c r="I55" t="inlineStr"/>
      <c r="J55" t="inlineStr"/>
      <c r="K55" t="inlineStr">
        <is>
          <t>HighExplosive</t>
        </is>
      </c>
      <c r="L55" t="n">
        <v>3</v>
      </c>
      <c r="M55" t="inlineStr">
        <is>
          <t>Shell</t>
        </is>
      </c>
      <c r="N55" t="n">
        <v>1</v>
      </c>
      <c r="O55" t="inlineStr">
        <is>
          <t>RIPPLE</t>
        </is>
      </c>
      <c r="P55" t="n">
        <v>1</v>
      </c>
      <c r="Q55" t="n">
        <v>0.1</v>
      </c>
      <c r="R55" t="n">
        <v>12.81</v>
      </c>
      <c r="S55" t="n">
        <v>0</v>
      </c>
      <c r="T55" t="n">
        <v>0</v>
      </c>
      <c r="U55" t="n">
        <v>0</v>
      </c>
      <c r="V55" t="n">
        <v>0</v>
      </c>
      <c r="W55" t="n">
        <v>620</v>
      </c>
      <c r="X55" t="n">
        <v>8</v>
      </c>
      <c r="Y55" t="n">
        <v>16</v>
      </c>
      <c r="Z55" t="n">
        <v>100</v>
      </c>
      <c r="AA55" t="n">
        <v>75</v>
      </c>
      <c r="AB55" t="n">
        <v>20</v>
      </c>
      <c r="AC55" t="inlineStr">
        <is>
          <t>Ground</t>
        </is>
      </c>
      <c r="AD55" t="inlineStr"/>
      <c r="AE55" t="n">
        <v>4.5</v>
      </c>
      <c r="AF55" t="inlineStr">
        <is>
          <t>Huge</t>
        </is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n">
        <v>155</v>
      </c>
      <c r="AO55" t="n">
        <v>0</v>
      </c>
      <c r="AP55" t="inlineStr">
        <is>
          <t>T3</t>
        </is>
      </c>
      <c r="AQ55" t="inlineStr">
        <is>
          <t>gun_155_sph</t>
        </is>
      </c>
      <c r="AR55" t="inlineStr">
        <is>
          <t>casemate_155_guided</t>
        </is>
      </c>
      <c r="AS55" t="inlineStr">
        <is>
          <t>boss_part</t>
        </is>
      </c>
      <c r="AT55" t="inlineStr">
        <is>
          <t>casemate_155</t>
        </is>
      </c>
      <c r="AU55" t="n">
        <v>1</v>
      </c>
      <c r="AV55" t="inlineStr">
        <is>
          <t>casemate_155:part</t>
        </is>
      </c>
      <c r="AW55" t="n">
        <v>0</v>
      </c>
      <c r="AX55" t="b">
        <v>0</v>
      </c>
      <c r="AY55" t="inlineStr"/>
      <c r="AZ55">
        <f>IF(AND($AX$55,$AW$55&gt;$AA$55/$Z$55),$AW$55,$AA$55/$Z$55)</f>
        <v/>
      </c>
      <c r="BA55" t="n">
        <v>0.75</v>
      </c>
      <c r="BB55" t="n">
        <v>4</v>
      </c>
      <c r="BC55" t="n">
        <v>1</v>
      </c>
      <c r="BD55" t="inlineStr">
        <is>
          <t>gun</t>
        </is>
      </c>
      <c r="BE55" t="inlineStr">
        <is>
          <t>US Army M109A7 fact file: 4 rpm for 3 min, 1 rpm sustained</t>
        </is>
      </c>
      <c r="BG55" t="inlineStr">
        <is>
          <t>doi</t>
        </is>
      </c>
      <c r="BH55" t="n">
        <v>320</v>
      </c>
      <c r="BI55" t="n">
        <v>620</v>
      </c>
      <c r="BN55" t="n">
        <v>7</v>
      </c>
      <c r="BO55" t="n">
        <v>8</v>
      </c>
      <c r="BP55" t="n">
        <v>0</v>
      </c>
      <c r="BQ55" t="n">
        <v>16</v>
      </c>
      <c r="BR55" t="n">
        <v>45</v>
      </c>
      <c r="BS55" t="n">
        <v>100</v>
      </c>
      <c r="CN55" t="n">
        <v>0</v>
      </c>
      <c r="CT55" t="n">
        <v>155</v>
      </c>
      <c r="DE55" t="n">
        <v>620</v>
      </c>
      <c r="DG55" t="n">
        <v>16</v>
      </c>
      <c r="DJ55" t="inlineStr">
        <is>
          <t>howitzer</t>
        </is>
      </c>
      <c r="DT55" t="inlineStr">
        <is>
          <t>gun_155_sph</t>
        </is>
      </c>
      <c r="DZ55" t="n">
        <v>20</v>
      </c>
      <c r="EB55" t="n">
        <v>3</v>
      </c>
      <c r="EP55" t="n">
        <v>75</v>
      </c>
      <c r="EQ55" t="inlineStr">
        <is>
          <t>M284 155 mm (casemate)</t>
        </is>
      </c>
      <c r="ER55" t="n">
        <v>0</v>
      </c>
      <c r="EX55" t="n">
        <v>155</v>
      </c>
      <c r="GA55" t="inlineStr">
        <is>
          <t>m284_155_mm_casemate</t>
        </is>
      </c>
      <c r="GD55" t="inlineStr">
        <is>
          <t>Assets/MachineBrigade/Resources/Data/balance.json: weapons[267]</t>
        </is>
      </c>
      <c r="GE55" t="inlineStr">
        <is>
          <t>{"id":"casemate_155","weaponFamily":"m284_155_mm_casemate","inherits":"gun_155_sph","real":"M284 155 mm (casemate)","family":"howitzer","size":155,"caliberMm":155,"pen":3,"damage":620,"edge":16,"range":75,"minRange":20,"ammo":0,"reload":0}</t>
        </is>
      </c>
    </row>
    <row r="56">
      <c r="A56" t="inlineStr">
        <is>
          <t>casemate_155_guided</t>
        </is>
      </c>
      <c r="B56" t="inlineStr">
        <is>
          <t>M284 155 mm guided (casemate)</t>
        </is>
      </c>
      <c r="C56" t="inlineStr">
        <is>
          <t>cal_152_155</t>
        </is>
      </c>
      <c r="D56" t="inlineStr">
        <is>
          <t>guided</t>
        </is>
      </c>
      <c r="E56" t="inlineStr">
        <is>
          <t>m284_155_mm_guided</t>
        </is>
      </c>
      <c r="F56" t="inlineStr">
        <is>
          <t>howitzer</t>
        </is>
      </c>
      <c r="G56" t="n">
        <v>155</v>
      </c>
      <c r="H56" t="inlineStr"/>
      <c r="I56" t="inlineStr"/>
      <c r="J56" t="inlineStr"/>
      <c r="K56" t="inlineStr">
        <is>
          <t>HighExplosive</t>
        </is>
      </c>
      <c r="L56" t="n">
        <v>3</v>
      </c>
      <c r="M56" t="inlineStr">
        <is>
          <t>Shell</t>
        </is>
      </c>
      <c r="N56" t="n">
        <v>1</v>
      </c>
      <c r="O56" t="inlineStr">
        <is>
          <t>RIPPLE</t>
        </is>
      </c>
      <c r="P56" t="n">
        <v>1</v>
      </c>
      <c r="Q56" t="n">
        <v>0.1</v>
      </c>
      <c r="R56" t="n">
        <v>12.81</v>
      </c>
      <c r="S56" t="n">
        <v>0</v>
      </c>
      <c r="T56" t="n">
        <v>0</v>
      </c>
      <c r="U56" t="n">
        <v>0</v>
      </c>
      <c r="V56" t="n">
        <v>0</v>
      </c>
      <c r="W56" t="n">
        <v>620</v>
      </c>
      <c r="X56" t="n">
        <v>7</v>
      </c>
      <c r="Y56" t="n">
        <v>16</v>
      </c>
      <c r="Z56" t="n">
        <v>45</v>
      </c>
      <c r="AA56" t="n">
        <v>75</v>
      </c>
      <c r="AB56" t="n">
        <v>20</v>
      </c>
      <c r="AC56" t="inlineStr">
        <is>
          <t>Ground</t>
        </is>
      </c>
      <c r="AD56" t="inlineStr"/>
      <c r="AE56" t="n">
        <v>0</v>
      </c>
      <c r="AF56" t="inlineStr">
        <is>
          <t>Huge</t>
        </is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  <c r="AN56" t="n">
        <v>155</v>
      </c>
      <c r="AO56" t="n">
        <v>0</v>
      </c>
      <c r="AP56" t="inlineStr">
        <is>
          <t>T3</t>
        </is>
      </c>
      <c r="AQ56" t="inlineStr">
        <is>
          <t>casemate_155</t>
        </is>
      </c>
      <c r="AR56" t="inlineStr"/>
      <c r="AS56" t="inlineStr"/>
      <c r="AT56" t="inlineStr"/>
      <c r="AU56" t="n">
        <v>0</v>
      </c>
      <c r="AV56" t="inlineStr"/>
      <c r="AW56" t="n">
        <v>0</v>
      </c>
      <c r="AX56" t="b">
        <v>0</v>
      </c>
      <c r="AY56" t="inlineStr"/>
      <c r="AZ56">
        <f>IF(AND($AX$56,$AW$56&gt;$AA$56/$Z$56),$AW$56,$AA$56/$Z$56)</f>
        <v/>
      </c>
      <c r="BA56" t="n">
        <v>1.666666666666667</v>
      </c>
      <c r="BB56" t="n">
        <v>4</v>
      </c>
      <c r="BC56" t="n">
        <v>1</v>
      </c>
      <c r="BD56" t="inlineStr">
        <is>
          <t>gun</t>
        </is>
      </c>
      <c r="BE56" t="inlineStr">
        <is>
          <t>US Army M109A7 fact file: 4 rpm for 3 min, 1 rpm sustained</t>
        </is>
      </c>
      <c r="BG56" t="inlineStr">
        <is>
          <t>doi</t>
        </is>
      </c>
      <c r="BH56" t="n">
        <v>320</v>
      </c>
      <c r="BI56" t="n">
        <v>620</v>
      </c>
      <c r="BP56" t="n">
        <v>0</v>
      </c>
      <c r="BQ56" t="n">
        <v>16</v>
      </c>
      <c r="CR56" t="n">
        <v>1</v>
      </c>
      <c r="DE56" t="n">
        <v>620</v>
      </c>
      <c r="DF56" t="inlineStr">
        <is>
          <t>HighExplosive</t>
        </is>
      </c>
      <c r="DH56" t="b">
        <v>1</v>
      </c>
      <c r="DM56" t="inlineStr">
        <is>
          <t>armour</t>
        </is>
      </c>
      <c r="DN56" t="inlineStr">
        <is>
          <t>HeShell</t>
        </is>
      </c>
      <c r="DP56" t="b">
        <v>1</v>
      </c>
      <c r="DT56" t="inlineStr">
        <is>
          <t>casemate_155</t>
        </is>
      </c>
      <c r="EB56" t="n">
        <v>3</v>
      </c>
      <c r="EQ56" t="inlineStr">
        <is>
          <t>M284 155 mm guided (casemate)</t>
        </is>
      </c>
      <c r="ES56" t="inlineStr">
        <is>
          <t>guided</t>
        </is>
      </c>
      <c r="EU56" t="inlineStr">
        <is>
          <t>casemate_155</t>
        </is>
      </c>
      <c r="EZ56" t="n">
        <v>0</v>
      </c>
      <c r="FW56" t="inlineStr">
        <is>
          <t>Ground</t>
        </is>
      </c>
      <c r="GA56" t="inlineStr">
        <is>
          <t>m284_155_mm_guided</t>
        </is>
      </c>
      <c r="GC56" t="inlineStr">
        <is>
          <t>guided</t>
        </is>
      </c>
      <c r="GD56" t="inlineStr">
        <is>
          <t>Assets/MachineBrigade/Resources/Data/balance.json: secondRounds.rounds[14]</t>
        </is>
      </c>
      <c r="GE56" t="inlineStr">
        <is>
          <t>{"id":"casemate_155_guided","roundOf":"casemate_155","inherits":"casemate_155","weaponVariantId":"guided","weaponFamily":"m284_155_mm_guided","round":"guided","for":["armour"],"elite":true,"real":"M284 155 mm guided (casemate)","damageType":"HighExplosive","pen":3,"damage":620,"spread":0,"burst":1,"guided":true,"form":"HeShell","targets":"Ground"}</t>
        </is>
      </c>
    </row>
    <row r="57">
      <c r="A57" t="inlineStr">
        <is>
          <t>ciws_aa</t>
        </is>
      </c>
      <c r="B57" t="inlineStr">
        <is>
          <t>AK-630 30 mm</t>
        </is>
      </c>
      <c r="C57" t="inlineStr">
        <is>
          <t>cal_30</t>
        </is>
      </c>
      <c r="D57" t="inlineStr">
        <is>
          <t>ciws</t>
        </is>
      </c>
      <c r="E57" t="inlineStr">
        <is>
          <t>ak_630_30_mm</t>
        </is>
      </c>
      <c r="F57" t="inlineStr">
        <is>
          <t>autocannon</t>
        </is>
      </c>
      <c r="G57" t="n">
        <v>30</v>
      </c>
      <c r="H57" t="inlineStr"/>
      <c r="I57" t="inlineStr"/>
      <c r="J57" t="inlineStr"/>
      <c r="K57" t="inlineStr">
        <is>
          <t>Kinetic</t>
        </is>
      </c>
      <c r="L57" t="n">
        <v>2</v>
      </c>
      <c r="M57" t="inlineStr">
        <is>
          <t>Bullet</t>
        </is>
      </c>
      <c r="N57" t="n">
        <v>1</v>
      </c>
      <c r="O57" t="inlineStr">
        <is>
          <t>RIPPLE</t>
        </is>
      </c>
      <c r="P57" t="n">
        <v>1</v>
      </c>
      <c r="Q57" t="n">
        <v>0.1</v>
      </c>
      <c r="R57" t="n">
        <v>0.0167</v>
      </c>
      <c r="S57" t="n">
        <v>60</v>
      </c>
      <c r="T57" t="n">
        <v>5.0167</v>
      </c>
      <c r="U57" t="n">
        <v>0</v>
      </c>
      <c r="V57" t="n">
        <v>0</v>
      </c>
      <c r="W57" t="n">
        <v>12</v>
      </c>
      <c r="X57" t="n">
        <v>0</v>
      </c>
      <c r="Y57" t="n">
        <v>0</v>
      </c>
      <c r="Z57" t="n">
        <v>300</v>
      </c>
      <c r="AA57" t="n">
        <v>34</v>
      </c>
      <c r="AB57" t="n">
        <v>0</v>
      </c>
      <c r="AC57" t="inlineStr">
        <is>
          <t>Air</t>
        </is>
      </c>
      <c r="AD57" t="inlineStr"/>
      <c r="AE57" t="n">
        <v>1.3</v>
      </c>
      <c r="AF57" t="inlineStr">
        <is>
          <t>Small</t>
        </is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n">
        <v>30</v>
      </c>
      <c r="AO57" t="n">
        <v>0</v>
      </c>
      <c r="AP57" t="inlineStr">
        <is>
          <t>T1</t>
        </is>
      </c>
      <c r="AQ57" t="inlineStr">
        <is>
          <t>hover_ciws</t>
        </is>
      </c>
      <c r="AR57" t="inlineStr">
        <is>
          <t>ciws_aa_flak</t>
        </is>
      </c>
      <c r="AS57" t="inlineStr">
        <is>
          <t>boss</t>
        </is>
      </c>
      <c r="AT57" t="inlineStr">
        <is>
          <t>landing_hovercraft</t>
        </is>
      </c>
      <c r="AU57" t="n">
        <v>1</v>
      </c>
      <c r="AV57" t="inlineStr">
        <is>
          <t>landing_hovercraft:2</t>
        </is>
      </c>
      <c r="AW57" t="n">
        <v>0</v>
      </c>
      <c r="AX57" t="b">
        <v>0</v>
      </c>
      <c r="AY57" t="inlineStr"/>
      <c r="AZ57">
        <f>IF(AND($AX$57,$AW$57&gt;$AA$57/$Z$57),$AW$57,$AA$57/$Z$57)</f>
        <v/>
      </c>
      <c r="BA57" t="n">
        <v>0.1133333333333333</v>
      </c>
      <c r="BB57" t="n">
        <v>5000</v>
      </c>
      <c r="BC57" t="n">
        <v>1000</v>
      </c>
      <c r="BD57" t="inlineStr">
        <is>
          <t>aa</t>
        </is>
      </c>
      <c r="BE57" t="inlineStr">
        <is>
          <t>Wikipedia 'AK-630': 4,000-5,000 rpm, 2,000-round belt</t>
        </is>
      </c>
      <c r="BG57" t="inlineStr">
        <is>
          <t>giong</t>
        </is>
      </c>
      <c r="CT57" t="n">
        <v>30</v>
      </c>
      <c r="DJ57" t="inlineStr">
        <is>
          <t>autocannon</t>
        </is>
      </c>
      <c r="DT57" t="inlineStr">
        <is>
          <t>hover_ciws</t>
        </is>
      </c>
      <c r="EB57" t="n">
        <v>2</v>
      </c>
      <c r="EQ57" t="inlineStr">
        <is>
          <t>AK-630 30 mm</t>
        </is>
      </c>
      <c r="EX57" t="n">
        <v>30</v>
      </c>
      <c r="FW57" t="inlineStr">
        <is>
          <t>Air</t>
        </is>
      </c>
      <c r="GA57" t="inlineStr">
        <is>
          <t>ak_630_30_mm</t>
        </is>
      </c>
      <c r="GD57" t="inlineStr">
        <is>
          <t>Assets/MachineBrigade/Resources/Data/balance.json: weapons[258]</t>
        </is>
      </c>
      <c r="GE57" t="inlineStr">
        <is>
          <t>{"id":"ciws_aa","weaponFamily":"ak_630_30_mm","real":"AK-630 30 mm","family":"autocannon","size":30,"caliberMm":30,"pen":2,"inherits":"hover_ciws","targets":"Air"}</t>
        </is>
      </c>
    </row>
    <row r="58">
      <c r="A58" t="inlineStr">
        <is>
          <t>ciws_aa_flak</t>
        </is>
      </c>
      <c r="B58" t="inlineStr">
        <is>
          <t>AK-630 30 mm air-burst</t>
        </is>
      </c>
      <c r="C58" t="inlineStr">
        <is>
          <t>cal_30</t>
        </is>
      </c>
      <c r="D58" t="inlineStr">
        <is>
          <t>flak</t>
        </is>
      </c>
      <c r="E58" t="inlineStr">
        <is>
          <t>ak_630_30_mm_air_burst</t>
        </is>
      </c>
      <c r="F58" t="inlineStr">
        <is>
          <t>autocannon</t>
        </is>
      </c>
      <c r="G58" t="n">
        <v>30</v>
      </c>
      <c r="H58" t="inlineStr"/>
      <c r="I58" t="inlineStr"/>
      <c r="J58" t="inlineStr"/>
      <c r="K58" t="inlineStr">
        <is>
          <t>Fragmentation</t>
        </is>
      </c>
      <c r="L58" t="n">
        <v>2</v>
      </c>
      <c r="M58" t="inlineStr">
        <is>
          <t>Bullet</t>
        </is>
      </c>
      <c r="N58" t="n">
        <v>1</v>
      </c>
      <c r="O58" t="inlineStr">
        <is>
          <t>RIPPLE</t>
        </is>
      </c>
      <c r="P58" t="n">
        <v>1</v>
      </c>
      <c r="Q58" t="n">
        <v>0.1</v>
      </c>
      <c r="R58" t="n">
        <v>0.0167</v>
      </c>
      <c r="S58" t="n">
        <v>60</v>
      </c>
      <c r="T58" t="n">
        <v>5.0167</v>
      </c>
      <c r="U58" t="n">
        <v>0</v>
      </c>
      <c r="V58" t="n">
        <v>0</v>
      </c>
      <c r="W58" t="n">
        <v>12</v>
      </c>
      <c r="X58" t="n">
        <v>2.5</v>
      </c>
      <c r="Y58" t="n">
        <v>0</v>
      </c>
      <c r="Z58" t="n">
        <v>300</v>
      </c>
      <c r="AA58" t="n">
        <v>34</v>
      </c>
      <c r="AB58" t="n">
        <v>0</v>
      </c>
      <c r="AC58" t="inlineStr">
        <is>
          <t>Air</t>
        </is>
      </c>
      <c r="AD58" t="inlineStr"/>
      <c r="AE58" t="n">
        <v>1.3</v>
      </c>
      <c r="AF58" t="inlineStr">
        <is>
          <t>Small</t>
        </is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n">
        <v>30</v>
      </c>
      <c r="AO58" t="n">
        <v>0</v>
      </c>
      <c r="AP58" t="inlineStr">
        <is>
          <t>T1</t>
        </is>
      </c>
      <c r="AQ58" t="inlineStr">
        <is>
          <t>ciws_aa</t>
        </is>
      </c>
      <c r="AR58" t="inlineStr"/>
      <c r="AS58" t="inlineStr"/>
      <c r="AT58" t="inlineStr"/>
      <c r="AU58" t="n">
        <v>0</v>
      </c>
      <c r="AV58" t="inlineStr"/>
      <c r="AW58" t="n">
        <v>0</v>
      </c>
      <c r="AX58" t="b">
        <v>0</v>
      </c>
      <c r="AY58" t="inlineStr"/>
      <c r="AZ58">
        <f>IF(AND($AX$58,$AW$58&gt;$AA$58/$Z$58),$AW$58,$AA$58/$Z$58)</f>
        <v/>
      </c>
      <c r="BA58" t="n">
        <v>0.1133333333333333</v>
      </c>
      <c r="BB58" t="n">
        <v>5000</v>
      </c>
      <c r="BC58" t="n">
        <v>1000</v>
      </c>
      <c r="BD58" t="inlineStr">
        <is>
          <t>aa</t>
        </is>
      </c>
      <c r="BE58" t="inlineStr">
        <is>
          <t>Wikipedia 'AK-630': 4,000-5,000 rpm, 2,000-round belt</t>
        </is>
      </c>
      <c r="BG58" t="inlineStr">
        <is>
          <t>giong</t>
        </is>
      </c>
      <c r="DE58" t="n">
        <v>12</v>
      </c>
      <c r="DF58" t="inlineStr">
        <is>
          <t>Fragmentation</t>
        </is>
      </c>
      <c r="DM58" t="inlineStr">
        <is>
          <t>air</t>
        </is>
      </c>
      <c r="DN58" t="inlineStr">
        <is>
          <t>Airburst</t>
        </is>
      </c>
      <c r="DT58" t="inlineStr">
        <is>
          <t>ciws_aa</t>
        </is>
      </c>
      <c r="EB58" t="n">
        <v>2</v>
      </c>
      <c r="EE58" t="b">
        <v>0</v>
      </c>
      <c r="EQ58" t="inlineStr">
        <is>
          <t>AK-630 30 mm air-burst</t>
        </is>
      </c>
      <c r="ES58" t="inlineStr">
        <is>
          <t>flak</t>
        </is>
      </c>
      <c r="EU58" t="inlineStr">
        <is>
          <t>ciws_aa</t>
        </is>
      </c>
      <c r="EY58" t="n">
        <v>2.5</v>
      </c>
      <c r="FW58" t="inlineStr">
        <is>
          <t>Air</t>
        </is>
      </c>
      <c r="GA58" t="inlineStr">
        <is>
          <t>ak_630_30_mm_air_burst</t>
        </is>
      </c>
      <c r="GC58" t="inlineStr">
        <is>
          <t>flak</t>
        </is>
      </c>
      <c r="GD58" t="inlineStr">
        <is>
          <t>Assets/MachineBrigade/Resources/Data/balance.json: secondRounds.rounds[15]</t>
        </is>
      </c>
      <c r="GE58" t="inlineStr">
        <is>
          <t>{"id":"ciws_aa_flak","roundOf":"ciws_aa","inherits":"ciws_aa","weaponVariantId":"flak","weaponFamily":"ak_630_30_mm_air_burst","round":"flak","for":["air"],"real":"AK-630 30 mm air-burst","damageType":"Fragmentation","pen":2,"damage":12,"splash":2.5,"form":"Airburst","piercing":false,"targets":"Air"}</t>
        </is>
      </c>
    </row>
    <row r="59">
      <c r="A59" t="inlineStr">
        <is>
          <t>coilgun</t>
        </is>
      </c>
      <c r="B59" t="inlineStr">
        <is>
          <t>coilgun (10 MJ)</t>
        </is>
      </c>
      <c r="C59" t="inlineStr">
        <is>
          <t>rail_coilgun</t>
        </is>
      </c>
      <c r="D59" t="inlineStr"/>
      <c r="E59" t="inlineStr"/>
      <c r="F59" t="inlineStr">
        <is>
          <t>railgun</t>
        </is>
      </c>
      <c r="G59" t="inlineStr"/>
      <c r="H59" t="inlineStr"/>
      <c r="I59" t="inlineStr"/>
      <c r="J59" t="n">
        <v>10</v>
      </c>
      <c r="K59" t="inlineStr">
        <is>
          <t>Kinetic</t>
        </is>
      </c>
      <c r="L59" t="n">
        <v>4</v>
      </c>
      <c r="M59" t="inlineStr">
        <is>
          <t>Bullet</t>
        </is>
      </c>
      <c r="N59" t="n">
        <v>1</v>
      </c>
      <c r="O59" t="inlineStr">
        <is>
          <t>RIPPLE</t>
        </is>
      </c>
      <c r="P59" t="n">
        <v>2</v>
      </c>
      <c r="Q59" t="n">
        <v>0.25</v>
      </c>
      <c r="R59" t="n">
        <v>4.54</v>
      </c>
      <c r="S59" t="n">
        <v>0</v>
      </c>
      <c r="T59" t="n">
        <v>0</v>
      </c>
      <c r="U59" t="n">
        <v>0</v>
      </c>
      <c r="V59" t="n">
        <v>0</v>
      </c>
      <c r="W59" t="n">
        <v>250</v>
      </c>
      <c r="X59" t="n">
        <v>0</v>
      </c>
      <c r="Y59" t="n">
        <v>0</v>
      </c>
      <c r="Z59" t="n">
        <v>420</v>
      </c>
      <c r="AA59" t="n">
        <v>55</v>
      </c>
      <c r="AB59" t="n">
        <v>0</v>
      </c>
      <c r="AC59" t="inlineStr">
        <is>
          <t>All</t>
        </is>
      </c>
      <c r="AD59" t="inlineStr"/>
      <c r="AE59" t="n">
        <v>0.6</v>
      </c>
      <c r="AF59" t="inlineStr">
        <is>
          <t>Large</t>
        </is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n">
        <v>10</v>
      </c>
      <c r="AO59" t="n">
        <v>0</v>
      </c>
      <c r="AP59" t="inlineStr">
        <is>
          <t>T3</t>
        </is>
      </c>
      <c r="AQ59" t="inlineStr"/>
      <c r="AR59" t="inlineStr"/>
      <c r="AS59" t="inlineStr">
        <is>
          <t>boss</t>
        </is>
      </c>
      <c r="AT59" t="inlineStr">
        <is>
          <t>behemoth_tempest</t>
        </is>
      </c>
      <c r="AU59" t="n">
        <v>1</v>
      </c>
      <c r="AV59" t="inlineStr">
        <is>
          <t>behemoth_tempest:1;behemoth_tempest:2</t>
        </is>
      </c>
      <c r="AW59" t="n">
        <v>0</v>
      </c>
      <c r="AX59" t="b">
        <v>0</v>
      </c>
      <c r="AY59" t="inlineStr"/>
      <c r="AZ59">
        <f>IF(AND($AX$59,$AW$59&gt;$AA$59/$Z$59),$AW$59,$AA$59/$Z$59)</f>
        <v/>
      </c>
      <c r="BA59" t="n">
        <v>0.130952380952381</v>
      </c>
      <c r="BB59" t="inlineStr">
        <is>
          <t>NEED_SOURCE</t>
        </is>
      </c>
      <c r="BC59" t="inlineStr">
        <is>
          <t>NEED_SOURCE</t>
        </is>
      </c>
      <c r="BE59" t="inlineStr">
        <is>
          <t>NEED_SOURCE</t>
        </is>
      </c>
      <c r="BG59" t="inlineStr">
        <is>
          <t>giong</t>
        </is>
      </c>
      <c r="CR59" t="n">
        <v>2</v>
      </c>
      <c r="CS59" t="n">
        <v>0.25</v>
      </c>
      <c r="CV59" t="n">
        <v>0.5</v>
      </c>
      <c r="DD59" t="n">
        <v>4.54</v>
      </c>
      <c r="DE59" t="n">
        <v>250</v>
      </c>
      <c r="DF59" t="inlineStr">
        <is>
          <t>Kinetic</t>
        </is>
      </c>
      <c r="DI59" t="n">
        <v>10</v>
      </c>
      <c r="DJ59" t="inlineStr">
        <is>
          <t>railgun</t>
        </is>
      </c>
      <c r="DO59" t="n">
        <v>17</v>
      </c>
      <c r="DS59" t="inlineStr">
        <is>
          <t>Large</t>
        </is>
      </c>
      <c r="EB59" t="n">
        <v>4</v>
      </c>
      <c r="EE59" t="b">
        <v>1</v>
      </c>
      <c r="EH59" t="inlineStr">
        <is>
          <t>Bullet</t>
        </is>
      </c>
      <c r="EK59" t="n">
        <v>420</v>
      </c>
      <c r="EP59" t="n">
        <v>55</v>
      </c>
      <c r="EQ59" t="inlineStr">
        <is>
          <t>coilgun (10 MJ)</t>
        </is>
      </c>
      <c r="EX59" t="n">
        <v>10</v>
      </c>
      <c r="EZ59" t="n">
        <v>0.6</v>
      </c>
      <c r="FW59" t="inlineStr">
        <is>
          <t>All</t>
        </is>
      </c>
      <c r="GB59" t="inlineStr">
        <is>
          <t>rail_coilgun</t>
        </is>
      </c>
      <c r="GD59" t="inlineStr">
        <is>
          <t>Assets/MachineBrigade/Resources/Data/balance.json: weapons[133]</t>
        </is>
      </c>
      <c r="GE59" t="inlineStr">
        <is>
          <t>{"id":"coilgun","groundMinReach":17,"weaponFamilyId":"rail_coilgun","real":"coilgun (10 MJ)","family":"railgun","size":10,"energyMj":10,"pen":4,"piercing":true,"charge":0.5,"damageType":"Kinetic","damage":250,"cooldown":4.54,"range":55,"projectileSpeed":420,"spread":0.6,"impactTier":"Large","projectile":"Bullet","targets":"All","burst":2,"burstInterval":0.25}</t>
        </is>
      </c>
    </row>
    <row r="60">
      <c r="A60" t="inlineStr">
        <is>
          <t>cruise_missile_ground</t>
        </is>
      </c>
      <c r="B60" t="inlineStr">
        <is>
          <t>Typhon MRC (ground-launched Tomahawk)</t>
        </is>
      </c>
      <c r="C60" t="inlineStr">
        <is>
          <t>cruise_typhon_mrc</t>
        </is>
      </c>
      <c r="D60" t="inlineStr"/>
      <c r="E60" t="inlineStr"/>
      <c r="F60" t="inlineStr">
        <is>
          <t>cruise_missile</t>
        </is>
      </c>
      <c r="G60" t="inlineStr"/>
      <c r="H60" t="n">
        <v>450</v>
      </c>
      <c r="I60" t="inlineStr"/>
      <c r="J60" t="inlineStr"/>
      <c r="K60" t="inlineStr">
        <is>
          <t>ShapedCharge</t>
        </is>
      </c>
      <c r="L60" t="n">
        <v>4</v>
      </c>
      <c r="M60" t="inlineStr">
        <is>
          <t>Missile</t>
        </is>
      </c>
      <c r="N60" t="n">
        <v>1</v>
      </c>
      <c r="O60" t="inlineStr">
        <is>
          <t>RIPPLE</t>
        </is>
      </c>
      <c r="P60" t="n">
        <v>1</v>
      </c>
      <c r="Q60" t="n">
        <v>0.1</v>
      </c>
      <c r="R60" t="n">
        <v>15</v>
      </c>
      <c r="S60" t="n">
        <v>2</v>
      </c>
      <c r="T60" t="n">
        <v>30</v>
      </c>
      <c r="U60" t="n">
        <v>0</v>
      </c>
      <c r="V60" t="n">
        <v>0</v>
      </c>
      <c r="W60" t="n">
        <v>450</v>
      </c>
      <c r="X60" t="n">
        <v>0</v>
      </c>
      <c r="Y60" t="n">
        <v>0</v>
      </c>
      <c r="Z60" t="n">
        <v>70</v>
      </c>
      <c r="AA60" t="n">
        <v>180</v>
      </c>
      <c r="AB60" t="n">
        <v>0</v>
      </c>
      <c r="AC60" t="inlineStr">
        <is>
          <t>All</t>
        </is>
      </c>
      <c r="AD60" t="inlineStr"/>
      <c r="AE60" t="n">
        <v>0</v>
      </c>
      <c r="AF60" t="inlineStr">
        <is>
          <t>Huge</t>
        </is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n">
        <v>450</v>
      </c>
      <c r="AO60" t="n">
        <v>0</v>
      </c>
      <c r="AP60" t="inlineStr">
        <is>
          <t>T4</t>
        </is>
      </c>
      <c r="AQ60" t="inlineStr"/>
      <c r="AR60" t="inlineStr"/>
      <c r="AS60" t="inlineStr">
        <is>
          <t>xe</t>
        </is>
      </c>
      <c r="AT60" t="inlineStr">
        <is>
          <t>ground_cruise_missile_vehicle</t>
        </is>
      </c>
      <c r="AU60" t="n">
        <v>1</v>
      </c>
      <c r="AV60" t="inlineStr">
        <is>
          <t>ground_cruise_missile_vehicle:0</t>
        </is>
      </c>
      <c r="AW60" t="n">
        <v>2.5</v>
      </c>
      <c r="AX60" t="b">
        <v>0</v>
      </c>
      <c r="AY60" t="inlineStr"/>
      <c r="AZ60">
        <f>IF(AND($AX$60,$AW$60&gt;$AA$60/$Z$60),$AW$60,$AA$60/$Z$60)</f>
        <v/>
      </c>
      <c r="BA60" t="n">
        <v>2.571428571428572</v>
      </c>
      <c r="BB60" t="n">
        <v>20</v>
      </c>
      <c r="BC60" t="n">
        <v>6</v>
      </c>
      <c r="BD60" t="inlineStr">
        <is>
          <t>missile</t>
        </is>
      </c>
      <c r="BE60" t="inlineStr">
        <is>
          <t>cruise missiles: ~3 s between launches (est.)</t>
        </is>
      </c>
      <c r="BG60" t="inlineStr">
        <is>
          <t>doi</t>
        </is>
      </c>
      <c r="BR60" t="n">
        <v>22</v>
      </c>
      <c r="BS60" t="n">
        <v>70</v>
      </c>
      <c r="CW60" t="n">
        <v>2</v>
      </c>
      <c r="CX60" t="n">
        <v>30</v>
      </c>
      <c r="DD60" t="n">
        <v>15</v>
      </c>
      <c r="DE60" t="n">
        <v>450</v>
      </c>
      <c r="DF60" t="inlineStr">
        <is>
          <t>ShapedCharge</t>
        </is>
      </c>
      <c r="DJ60" t="inlineStr">
        <is>
          <t>cruise_missile</t>
        </is>
      </c>
      <c r="DL60" t="inlineStr">
        <is>
          <t>Loft</t>
        </is>
      </c>
      <c r="DS60" t="inlineStr">
        <is>
          <t>Huge</t>
        </is>
      </c>
      <c r="EB60" t="n">
        <v>4</v>
      </c>
      <c r="EH60" t="inlineStr">
        <is>
          <t>Missile</t>
        </is>
      </c>
      <c r="EK60" t="n">
        <v>70</v>
      </c>
      <c r="EP60" t="n">
        <v>180</v>
      </c>
      <c r="EQ60" t="inlineStr">
        <is>
          <t>Typhon MRC (ground-launched Tomahawk)</t>
        </is>
      </c>
      <c r="EX60" t="n">
        <v>450</v>
      </c>
      <c r="FW60" t="inlineStr">
        <is>
          <t>All</t>
        </is>
      </c>
      <c r="FZ60" t="n">
        <v>450</v>
      </c>
      <c r="GB60" t="inlineStr">
        <is>
          <t>cruise_typhon_mrc</t>
        </is>
      </c>
      <c r="GD60" t="inlineStr">
        <is>
          <t>Assets/MachineBrigade/Resources/Data/balance.json: weapons[287]</t>
        </is>
      </c>
      <c r="GE60" t="inlineStr">
        <is>
          <t>{"id":"cruise_missile_ground","flightProfile":"Loft","weaponFamilyId":"cruise_typhon_mrc","real":"Typhon MRC (ground-launched Tomahawk)","family":"cruise_missile","size":450,"warheadKg":450,"pen":4,"damageType":"ShapedCharge","damage":450,"cooldown":15,"range":180,"projectileSpeed":70,"impactTier":"Huge","projectile":"Missile","targets":"All","clip":2,"clipReload":30}</t>
        </is>
      </c>
    </row>
    <row r="61">
      <c r="A61" t="inlineStr">
        <is>
          <t>cruiser_203</t>
        </is>
      </c>
      <c r="B61" t="inlineStr">
        <is>
          <t>Mk 71 203 mm (twin)</t>
        </is>
      </c>
      <c r="C61" t="inlineStr">
        <is>
          <t>cal_203</t>
        </is>
      </c>
      <c r="D61" t="inlineStr"/>
      <c r="E61" t="inlineStr"/>
      <c r="F61" t="inlineStr">
        <is>
          <t>howitzer</t>
        </is>
      </c>
      <c r="G61" t="n">
        <v>203</v>
      </c>
      <c r="H61" t="inlineStr"/>
      <c r="I61" t="inlineStr"/>
      <c r="J61" t="inlineStr"/>
      <c r="K61" t="inlineStr">
        <is>
          <t>HighExplosive</t>
        </is>
      </c>
      <c r="L61" t="n">
        <v>4</v>
      </c>
      <c r="M61" t="inlineStr">
        <is>
          <t>Shell</t>
        </is>
      </c>
      <c r="N61" t="n">
        <v>2</v>
      </c>
      <c r="O61" t="inlineStr">
        <is>
          <t>SIMULTANEOUS</t>
        </is>
      </c>
      <c r="P61" t="n">
        <v>1</v>
      </c>
      <c r="Q61" t="n">
        <v>0.4</v>
      </c>
      <c r="R61" t="n">
        <v>16.857</v>
      </c>
      <c r="S61" t="n">
        <v>0</v>
      </c>
      <c r="T61" t="n">
        <v>0</v>
      </c>
      <c r="U61" t="n">
        <v>0</v>
      </c>
      <c r="V61" t="n">
        <v>0</v>
      </c>
      <c r="W61" t="n">
        <v>600</v>
      </c>
      <c r="X61" t="n">
        <v>8</v>
      </c>
      <c r="Y61" t="n">
        <v>0</v>
      </c>
      <c r="Z61" t="n">
        <v>110</v>
      </c>
      <c r="AA61" t="n">
        <v>105</v>
      </c>
      <c r="AB61" t="n">
        <v>0</v>
      </c>
      <c r="AC61" t="inlineStr">
        <is>
          <t>Ground</t>
        </is>
      </c>
      <c r="AD61" t="inlineStr"/>
      <c r="AE61" t="n">
        <v>2.6</v>
      </c>
      <c r="AF61" t="inlineStr">
        <is>
          <t>Huge</t>
        </is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n">
        <v>203</v>
      </c>
      <c r="AO61" t="n">
        <v>0</v>
      </c>
      <c r="AP61" t="inlineStr">
        <is>
          <t>T4</t>
        </is>
      </c>
      <c r="AQ61" t="inlineStr">
        <is>
          <t>naval_76</t>
        </is>
      </c>
      <c r="AR61" t="inlineStr">
        <is>
          <t>cruiser_203_guided</t>
        </is>
      </c>
      <c r="AS61" t="inlineStr">
        <is>
          <t>xe</t>
        </is>
      </c>
      <c r="AT61" t="inlineStr">
        <is>
          <t>sea_cruiser</t>
        </is>
      </c>
      <c r="AU61" t="n">
        <v>1</v>
      </c>
      <c r="AV61" t="inlineStr">
        <is>
          <t>sea_cruiser:0;sea_cruiser:1</t>
        </is>
      </c>
      <c r="AW61" t="n">
        <v>2.5</v>
      </c>
      <c r="AX61" t="b">
        <v>1</v>
      </c>
      <c r="AY61" t="inlineStr"/>
      <c r="AZ61">
        <f>IF(AND($AX$61,$AW$61&gt;$AA$61/$Z$61),$AW$61,$AA$61/$Z$61)</f>
        <v/>
      </c>
      <c r="BA61" t="n">
        <v>2.5</v>
      </c>
      <c r="BB61" t="n">
        <v>12</v>
      </c>
      <c r="BC61" t="n">
        <v>12</v>
      </c>
      <c r="BD61" t="inlineStr">
        <is>
          <t>gun</t>
        </is>
      </c>
      <c r="BE61" t="inlineStr">
        <is>
          <t>Wikipedia '8"/55 caliber Mark 71': 12 rpm</t>
        </is>
      </c>
      <c r="BG61" t="inlineStr">
        <is>
          <t>doi</t>
        </is>
      </c>
      <c r="BH61" t="n">
        <v>420</v>
      </c>
      <c r="BI61" t="n">
        <v>600</v>
      </c>
      <c r="BJ61" t="n">
        <v>11.4</v>
      </c>
      <c r="BK61" t="n">
        <v>16.857</v>
      </c>
      <c r="BR61" t="n">
        <v>70</v>
      </c>
      <c r="BS61" t="n">
        <v>110</v>
      </c>
      <c r="BT61" t="n">
        <v>2</v>
      </c>
      <c r="BU61" t="n">
        <v>1</v>
      </c>
      <c r="BX61" t="n">
        <v>1</v>
      </c>
      <c r="BY61" t="n">
        <v>2</v>
      </c>
      <c r="BZ61" t="inlineStr">
        <is>
          <t>RIPPLE</t>
        </is>
      </c>
      <c r="CA61" t="inlineStr">
        <is>
          <t>SIMULTANEOUS</t>
        </is>
      </c>
      <c r="CO61" t="n">
        <v>2</v>
      </c>
      <c r="CR61" t="n">
        <v>1</v>
      </c>
      <c r="CS61" t="n">
        <v>0.4</v>
      </c>
      <c r="CT61" t="n">
        <v>203</v>
      </c>
      <c r="DD61" t="n">
        <v>16.857</v>
      </c>
      <c r="DE61" t="n">
        <v>600</v>
      </c>
      <c r="DJ61" t="inlineStr">
        <is>
          <t>howitzer</t>
        </is>
      </c>
      <c r="DS61" t="inlineStr">
        <is>
          <t>Huge</t>
        </is>
      </c>
      <c r="DT61" t="inlineStr">
        <is>
          <t>naval_76</t>
        </is>
      </c>
      <c r="EB61" t="n">
        <v>4</v>
      </c>
      <c r="EI61" t="inlineStr">
        <is>
          <t>shell_155</t>
        </is>
      </c>
      <c r="EJ61" t="n">
        <v>0.9455</v>
      </c>
      <c r="EK61" t="n">
        <v>110</v>
      </c>
      <c r="EP61" t="n">
        <v>105</v>
      </c>
      <c r="EQ61" t="inlineStr">
        <is>
          <t>Mk 71 203 mm (twin)</t>
        </is>
      </c>
      <c r="ET61" t="n">
        <v>1.04</v>
      </c>
      <c r="EW61" t="inlineStr">
        <is>
          <t>SIMULTANEOUS</t>
        </is>
      </c>
      <c r="EX61" t="n">
        <v>203</v>
      </c>
      <c r="EY61" t="n">
        <v>8</v>
      </c>
      <c r="EZ61" t="n">
        <v>2.6</v>
      </c>
      <c r="GB61" t="inlineStr">
        <is>
          <t>cal_203</t>
        </is>
      </c>
      <c r="GD61" t="inlineStr">
        <is>
          <t>Assets/MachineBrigade/Resources/Data/balance.json: weapons[252]</t>
        </is>
      </c>
      <c r="GE61" t="inlineStr">
        <is>
          <t>{"id":"cruiser_203","inherits":"naval_76","weaponFamilyId":"cal_203","salvoMode":"SIMULTANEOUS","barrels":2,"real":"Mk 71 203 mm (twin)","family":"howitzer","size":203,"caliberMm":203,"pen":4,"projectileModel":"shell_155","roundLength":1.04,"projectileScale":0.9455,"damage":600,"cooldown":16.857,"range":105,"projectileSpeed":110,"splash":8,"spread":2.6,"impactTier":"Huge","burst":1,"burstInterval":0.4}</t>
        </is>
      </c>
    </row>
    <row r="62">
      <c r="A62" t="inlineStr">
        <is>
          <t>cruiser_203_guided</t>
        </is>
      </c>
      <c r="B62" t="inlineStr">
        <is>
          <t>Mk 71 203 mm guided (twin)</t>
        </is>
      </c>
      <c r="C62" t="inlineStr">
        <is>
          <t>cal_203</t>
        </is>
      </c>
      <c r="D62" t="inlineStr"/>
      <c r="E62" t="inlineStr"/>
      <c r="F62" t="inlineStr">
        <is>
          <t>howitzer</t>
        </is>
      </c>
      <c r="G62" t="n">
        <v>203</v>
      </c>
      <c r="H62" t="inlineStr"/>
      <c r="I62" t="inlineStr"/>
      <c r="J62" t="inlineStr"/>
      <c r="K62" t="inlineStr">
        <is>
          <t>HighExplosive</t>
        </is>
      </c>
      <c r="L62" t="n">
        <v>4</v>
      </c>
      <c r="M62" t="inlineStr">
        <is>
          <t>Shell</t>
        </is>
      </c>
      <c r="N62" t="n">
        <v>1</v>
      </c>
      <c r="O62" t="inlineStr">
        <is>
          <t>RIPPLE</t>
        </is>
      </c>
      <c r="P62" t="n">
        <v>1</v>
      </c>
      <c r="Q62" t="n">
        <v>0.4</v>
      </c>
      <c r="R62" t="n">
        <v>16.857</v>
      </c>
      <c r="S62" t="n">
        <v>0</v>
      </c>
      <c r="T62" t="n">
        <v>0</v>
      </c>
      <c r="U62" t="n">
        <v>0</v>
      </c>
      <c r="V62" t="n">
        <v>0</v>
      </c>
      <c r="W62" t="n">
        <v>600</v>
      </c>
      <c r="X62" t="n">
        <v>8</v>
      </c>
      <c r="Y62" t="n">
        <v>0</v>
      </c>
      <c r="Z62" t="n">
        <v>110</v>
      </c>
      <c r="AA62" t="n">
        <v>105</v>
      </c>
      <c r="AB62" t="n">
        <v>0</v>
      </c>
      <c r="AC62" t="inlineStr">
        <is>
          <t>Ground</t>
        </is>
      </c>
      <c r="AD62" t="inlineStr"/>
      <c r="AE62" t="n">
        <v>0</v>
      </c>
      <c r="AF62" t="inlineStr">
        <is>
          <t>Huge</t>
        </is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  <c r="AN62" t="n">
        <v>203</v>
      </c>
      <c r="AO62" t="n">
        <v>0</v>
      </c>
      <c r="AP62" t="inlineStr">
        <is>
          <t>T4</t>
        </is>
      </c>
      <c r="AQ62" t="inlineStr">
        <is>
          <t>cruiser_203</t>
        </is>
      </c>
      <c r="AR62" t="inlineStr"/>
      <c r="AS62" t="inlineStr"/>
      <c r="AT62" t="inlineStr"/>
      <c r="AU62" t="n">
        <v>0</v>
      </c>
      <c r="AV62" t="inlineStr"/>
      <c r="AW62" t="n">
        <v>2.5</v>
      </c>
      <c r="AX62" t="b">
        <v>1</v>
      </c>
      <c r="AY62" t="inlineStr"/>
      <c r="AZ62">
        <f>IF(AND($AX$62,$AW$62&gt;$AA$62/$Z$62),$AW$62,$AA$62/$Z$62)</f>
        <v/>
      </c>
      <c r="BA62" t="n">
        <v>2.5</v>
      </c>
      <c r="BB62" t="n">
        <v>12</v>
      </c>
      <c r="BC62" t="n">
        <v>12</v>
      </c>
      <c r="BD62" t="inlineStr">
        <is>
          <t>gun</t>
        </is>
      </c>
      <c r="BE62" t="inlineStr">
        <is>
          <t>Wikipedia '8"/55 caliber Mark 71': 12 rpm</t>
        </is>
      </c>
      <c r="BG62" t="inlineStr">
        <is>
          <t>doi</t>
        </is>
      </c>
      <c r="BH62" t="n">
        <v>420</v>
      </c>
      <c r="BI62" t="n">
        <v>600</v>
      </c>
      <c r="BJ62" t="n">
        <v>11.4</v>
      </c>
      <c r="BK62" t="n">
        <v>16.857</v>
      </c>
      <c r="BR62" t="n">
        <v>70</v>
      </c>
      <c r="BS62" t="n">
        <v>110</v>
      </c>
      <c r="CO62" t="n">
        <v>1</v>
      </c>
      <c r="CR62" t="n">
        <v>1</v>
      </c>
      <c r="DE62" t="n">
        <v>600</v>
      </c>
      <c r="DF62" t="inlineStr">
        <is>
          <t>HighExplosive</t>
        </is>
      </c>
      <c r="DH62" t="b">
        <v>1</v>
      </c>
      <c r="DM62" t="inlineStr">
        <is>
          <t>armour</t>
        </is>
      </c>
      <c r="DN62" t="inlineStr">
        <is>
          <t>HeShell</t>
        </is>
      </c>
      <c r="DP62" t="b">
        <v>1</v>
      </c>
      <c r="DT62" t="inlineStr">
        <is>
          <t>cruiser_203</t>
        </is>
      </c>
      <c r="EB62" t="n">
        <v>4</v>
      </c>
      <c r="EQ62" t="inlineStr">
        <is>
          <t>Mk 71 203 mm guided (twin)</t>
        </is>
      </c>
      <c r="ES62" t="inlineStr">
        <is>
          <t>guided</t>
        </is>
      </c>
      <c r="EU62" t="inlineStr">
        <is>
          <t>cruiser_203</t>
        </is>
      </c>
      <c r="EW62" t="inlineStr">
        <is>
          <t>RIPPLE</t>
        </is>
      </c>
      <c r="EZ62" t="n">
        <v>0</v>
      </c>
      <c r="FW62" t="inlineStr">
        <is>
          <t>Ground</t>
        </is>
      </c>
      <c r="GA62" t="inlineStr"/>
      <c r="GD62" t="inlineStr">
        <is>
          <t>Assets/MachineBrigade/Resources/Data/balance.json: secondRounds.rounds[16]</t>
        </is>
      </c>
      <c r="GE62" t="inlineStr">
        <is>
          <t>{"id":"cruiser_203_guided","roundOf":"cruiser_203","inherits":"cruiser_203","salvoMode":"RIPPLE","barrels":1,"weaponFamily":"","round":"guided","for":["armour"],"elite":true,"real":"Mk 71 203 mm guided (twin)","damageType":"HighExplosive","pen":4,"damage":600,"spread":0,"burst":1,"guided":true,"form":"HeShell","targets":"Ground"}</t>
        </is>
      </c>
    </row>
    <row r="63">
      <c r="A63" t="inlineStr">
        <is>
          <t>detonator</t>
        </is>
      </c>
      <c r="B63" t="inlineStr">
        <is>
          <t>car bomb (900 kg)</t>
        </is>
      </c>
      <c r="C63" t="inlineStr">
        <is>
          <t>bomb_car_bomb</t>
        </is>
      </c>
      <c r="D63" t="inlineStr"/>
      <c r="E63" t="inlineStr"/>
      <c r="F63" t="inlineStr">
        <is>
          <t>bomb</t>
        </is>
      </c>
      <c r="G63" t="inlineStr"/>
      <c r="H63" t="n">
        <v>900</v>
      </c>
      <c r="I63" t="inlineStr"/>
      <c r="J63" t="inlineStr"/>
      <c r="K63" t="inlineStr">
        <is>
          <t>HighExplosive</t>
        </is>
      </c>
      <c r="L63" t="n">
        <v>4</v>
      </c>
      <c r="M63" t="inlineStr">
        <is>
          <t>Shell</t>
        </is>
      </c>
      <c r="N63" t="n">
        <v>1</v>
      </c>
      <c r="O63" t="inlineStr">
        <is>
          <t>RIPPLE</t>
        </is>
      </c>
      <c r="P63" t="n">
        <v>1</v>
      </c>
      <c r="Q63" t="n">
        <v>0.1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770</v>
      </c>
      <c r="X63" t="n">
        <v>10</v>
      </c>
      <c r="Y63" t="n">
        <v>0</v>
      </c>
      <c r="Z63" t="n">
        <v>100</v>
      </c>
      <c r="AA63" t="n">
        <v>3</v>
      </c>
      <c r="AB63" t="n">
        <v>0</v>
      </c>
      <c r="AC63" t="inlineStr">
        <is>
          <t>Ground</t>
        </is>
      </c>
      <c r="AD63" t="inlineStr"/>
      <c r="AE63" t="n">
        <v>0</v>
      </c>
      <c r="AF63" t="inlineStr">
        <is>
          <t>Ultimate</t>
        </is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n">
        <v>900</v>
      </c>
      <c r="AO63" t="n">
        <v>0</v>
      </c>
      <c r="AP63" t="inlineStr">
        <is>
          <t>T4</t>
        </is>
      </c>
      <c r="AQ63" t="inlineStr"/>
      <c r="AR63" t="inlineStr"/>
      <c r="AS63" t="inlineStr">
        <is>
          <t>xe</t>
        </is>
      </c>
      <c r="AT63" t="inlineStr">
        <is>
          <t>vbied</t>
        </is>
      </c>
      <c r="AU63" t="n">
        <v>1</v>
      </c>
      <c r="AV63" t="inlineStr">
        <is>
          <t>vbied:0</t>
        </is>
      </c>
      <c r="AW63" t="n">
        <v>2.722222222222222</v>
      </c>
      <c r="AX63" t="b">
        <v>1</v>
      </c>
      <c r="AY63" t="inlineStr"/>
      <c r="AZ63">
        <f>IF(AND($AX$63,$AW$63&gt;$AA$63/$Z$63),$AW$63,$AA$63/$Z$63)</f>
        <v/>
      </c>
      <c r="BA63" t="n">
        <v>2.722222222222222</v>
      </c>
      <c r="BB63" t="n">
        <v>600</v>
      </c>
      <c r="BC63" t="inlineStr"/>
      <c r="BD63" t="inlineStr">
        <is>
          <t>bomb</t>
        </is>
      </c>
      <c r="BE63" t="inlineStr">
        <is>
          <t>a stick's release, 0.1 s and up (est.)</t>
        </is>
      </c>
      <c r="BG63" t="inlineStr">
        <is>
          <t>giong</t>
        </is>
      </c>
      <c r="DD63" t="n">
        <v>1</v>
      </c>
      <c r="DE63" t="n">
        <v>770</v>
      </c>
      <c r="DF63" t="inlineStr">
        <is>
          <t>HighExplosive</t>
        </is>
      </c>
      <c r="DJ63" t="inlineStr">
        <is>
          <t>bomb</t>
        </is>
      </c>
      <c r="DN63" t="inlineStr">
        <is>
          <t>CarBomb</t>
        </is>
      </c>
      <c r="DS63" t="inlineStr">
        <is>
          <t>Ultimate</t>
        </is>
      </c>
      <c r="EB63" t="n">
        <v>4</v>
      </c>
      <c r="EK63" t="n">
        <v>100</v>
      </c>
      <c r="EP63" t="n">
        <v>3</v>
      </c>
      <c r="EQ63" t="inlineStr">
        <is>
          <t>car bomb (900 kg)</t>
        </is>
      </c>
      <c r="EX63" t="n">
        <v>900</v>
      </c>
      <c r="EY63" t="n">
        <v>10</v>
      </c>
      <c r="FZ63" t="n">
        <v>900</v>
      </c>
      <c r="GB63" t="inlineStr">
        <is>
          <t>bomb_car_bomb</t>
        </is>
      </c>
      <c r="GD63" t="inlineStr">
        <is>
          <t>Assets/MachineBrigade/Resources/Data/balance.json: weapons[72]</t>
        </is>
      </c>
      <c r="GE63" t="inlineStr">
        <is>
          <t>{"id":"detonator","weaponFamilyId":"bomb_car_bomb","real":"car bomb (900 kg)","family":"bomb","size":900,"warheadKg":900,"pen":4,"form":"CarBomb","damageType":"HighExplosive","damage":770,"cooldown":1,"range":3,"projectileSpeed":100,"splash":10,"impactTier":"Ultimate","bonuses":[{"armor":"Structure","mult":0.5}]}</t>
        </is>
      </c>
    </row>
    <row r="64">
      <c r="A64" t="inlineStr">
        <is>
          <t>dozer_blade</t>
        </is>
      </c>
      <c r="B64" t="inlineStr">
        <is>
          <t>dozer blade</t>
        </is>
      </c>
      <c r="C64" t="inlineStr">
        <is>
          <t>melee_dozer_blade</t>
        </is>
      </c>
      <c r="D64" t="inlineStr"/>
      <c r="E64" t="inlineStr"/>
      <c r="F64" t="inlineStr">
        <is>
          <t>melee</t>
        </is>
      </c>
      <c r="G64" t="inlineStr"/>
      <c r="H64" t="inlineStr"/>
      <c r="I64" t="inlineStr"/>
      <c r="J64" t="inlineStr"/>
      <c r="K64" t="inlineStr">
        <is>
          <t>Kinetic</t>
        </is>
      </c>
      <c r="L64" t="n">
        <v>3</v>
      </c>
      <c r="M64" t="inlineStr">
        <is>
          <t>Bullet</t>
        </is>
      </c>
      <c r="N64" t="n">
        <v>1</v>
      </c>
      <c r="O64" t="inlineStr">
        <is>
          <t>RIPPLE</t>
        </is>
      </c>
      <c r="P64" t="n">
        <v>1</v>
      </c>
      <c r="Q64" t="n">
        <v>0.1</v>
      </c>
      <c r="R64" t="n">
        <v>1.6</v>
      </c>
      <c r="S64" t="n">
        <v>0</v>
      </c>
      <c r="T64" t="n">
        <v>0</v>
      </c>
      <c r="U64" t="n">
        <v>0</v>
      </c>
      <c r="V64" t="n">
        <v>0</v>
      </c>
      <c r="W64" t="n">
        <v>110</v>
      </c>
      <c r="X64" t="n">
        <v>0</v>
      </c>
      <c r="Y64" t="n">
        <v>0</v>
      </c>
      <c r="Z64" t="n">
        <v>400</v>
      </c>
      <c r="AA64" t="n">
        <v>4</v>
      </c>
      <c r="AB64" t="n">
        <v>0</v>
      </c>
      <c r="AC64" t="inlineStr">
        <is>
          <t>Ground</t>
        </is>
      </c>
      <c r="AD64" t="inlineStr"/>
      <c r="AE64" t="n">
        <v>0</v>
      </c>
      <c r="AF64" t="inlineStr">
        <is>
          <t>Medium</t>
        </is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n">
        <v>1</v>
      </c>
      <c r="AO64" t="n">
        <v>0</v>
      </c>
      <c r="AP64" t="inlineStr">
        <is>
          <t>T0</t>
        </is>
      </c>
      <c r="AQ64" t="inlineStr"/>
      <c r="AR64" t="inlineStr"/>
      <c r="AS64" t="inlineStr">
        <is>
          <t>xe</t>
        </is>
      </c>
      <c r="AT64" t="inlineStr">
        <is>
          <t>armored_bulldozer</t>
        </is>
      </c>
      <c r="AU64" t="n">
        <v>1</v>
      </c>
      <c r="AV64" t="inlineStr">
        <is>
          <t>armored_bulldozer:0</t>
        </is>
      </c>
      <c r="AW64" t="n">
        <v>0</v>
      </c>
      <c r="AX64" t="b">
        <v>0</v>
      </c>
      <c r="AY64" t="inlineStr"/>
      <c r="AZ64">
        <f>IF(AND($AX$64,$AW$64&gt;$AA$64/$Z$64),$AW$64,$AA$64/$Z$64)</f>
        <v/>
      </c>
      <c r="BA64" t="n">
        <v>0.01</v>
      </c>
      <c r="BB64" t="inlineStr">
        <is>
          <t>NEED_SOURCE</t>
        </is>
      </c>
      <c r="BC64" t="inlineStr">
        <is>
          <t>NEED_SOURCE</t>
        </is>
      </c>
      <c r="BE64" t="inlineStr">
        <is>
          <t>NEED_SOURCE</t>
        </is>
      </c>
      <c r="BG64" t="inlineStr">
        <is>
          <t>giong</t>
        </is>
      </c>
      <c r="DD64" t="n">
        <v>1.6</v>
      </c>
      <c r="DE64" t="n">
        <v>110</v>
      </c>
      <c r="DF64" t="inlineStr">
        <is>
          <t>Kinetic</t>
        </is>
      </c>
      <c r="DJ64" t="inlineStr">
        <is>
          <t>melee</t>
        </is>
      </c>
      <c r="DS64" t="inlineStr">
        <is>
          <t>Medium</t>
        </is>
      </c>
      <c r="DY64" t="b">
        <v>1</v>
      </c>
      <c r="EB64" t="n">
        <v>3</v>
      </c>
      <c r="EE64" t="b">
        <v>1</v>
      </c>
      <c r="EH64" t="inlineStr">
        <is>
          <t>Bullet</t>
        </is>
      </c>
      <c r="EK64" t="n">
        <v>400</v>
      </c>
      <c r="EP64" t="n">
        <v>4</v>
      </c>
      <c r="EQ64" t="inlineStr">
        <is>
          <t>dozer blade</t>
        </is>
      </c>
      <c r="EX64" t="n">
        <v>1</v>
      </c>
      <c r="FW64" t="inlineStr">
        <is>
          <t>Ground</t>
        </is>
      </c>
      <c r="GB64" t="inlineStr">
        <is>
          <t>melee_dozer_blade</t>
        </is>
      </c>
      <c r="GD64" t="inlineStr">
        <is>
          <t>Assets/MachineBrigade/Resources/Data/balance.json: weapons[104]</t>
        </is>
      </c>
      <c r="GE64" t="inlineStr">
        <is>
          <t>{"id":"dozer_blade","weaponFamilyId":"melee_dozer_blade","real":"dozer blade","family":"melee","size":1,"pen":3,"piercing":true,"melee":true,"damageType":"Kinetic","damage":110,"cooldown":1.6,"range":4,"projectileSpeed":400,"impactTier":"Medium","projectile":"Bullet","targets":"Ground","bonuses":[{"armor":"Structure","mult":3},{"armor":"Heavy","mult":0.4},{"armor":"Light","mult":0.55}]}</t>
        </is>
      </c>
    </row>
    <row r="65">
      <c r="A65" t="inlineStr">
        <is>
          <t>drone_gun</t>
        </is>
      </c>
      <c r="B65" t="inlineStr">
        <is>
          <t>M3P 12.7 mm</t>
        </is>
      </c>
      <c r="C65" t="inlineStr">
        <is>
          <t>cal_12_7</t>
        </is>
      </c>
      <c r="D65" t="inlineStr"/>
      <c r="E65" t="inlineStr"/>
      <c r="F65" t="inlineStr">
        <is>
          <t>mg</t>
        </is>
      </c>
      <c r="G65" t="n">
        <v>12.7</v>
      </c>
      <c r="H65" t="inlineStr"/>
      <c r="I65" t="inlineStr"/>
      <c r="J65" t="inlineStr"/>
      <c r="K65" t="inlineStr">
        <is>
          <t>Kinetic</t>
        </is>
      </c>
      <c r="L65" t="n">
        <v>1</v>
      </c>
      <c r="M65" t="inlineStr">
        <is>
          <t>Bullet</t>
        </is>
      </c>
      <c r="N65" t="n">
        <v>1</v>
      </c>
      <c r="O65" t="inlineStr">
        <is>
          <t>RIPPLE</t>
        </is>
      </c>
      <c r="P65" t="n">
        <v>1</v>
      </c>
      <c r="Q65" t="n">
        <v>0.1</v>
      </c>
      <c r="R65" t="n">
        <v>0.158</v>
      </c>
      <c r="S65" t="n">
        <v>0</v>
      </c>
      <c r="T65" t="n">
        <v>0</v>
      </c>
      <c r="U65" t="n">
        <v>0</v>
      </c>
      <c r="V65" t="n">
        <v>0</v>
      </c>
      <c r="W65" t="n">
        <v>9.5</v>
      </c>
      <c r="X65" t="n">
        <v>0</v>
      </c>
      <c r="Y65" t="n">
        <v>0</v>
      </c>
      <c r="Z65" t="n">
        <v>220</v>
      </c>
      <c r="AA65" t="n">
        <v>26</v>
      </c>
      <c r="AB65" t="n">
        <v>0</v>
      </c>
      <c r="AC65" t="inlineStr">
        <is>
          <t>Ground</t>
        </is>
      </c>
      <c r="AD65" t="inlineStr"/>
      <c r="AE65" t="n">
        <v>1.4</v>
      </c>
      <c r="AF65" t="inlineStr">
        <is>
          <t>Small</t>
        </is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n">
        <v>12.7</v>
      </c>
      <c r="AO65" t="n">
        <v>0</v>
      </c>
      <c r="AP65" t="inlineStr">
        <is>
          <t>T0</t>
        </is>
      </c>
      <c r="AQ65" t="inlineStr"/>
      <c r="AR65" t="inlineStr"/>
      <c r="AS65" t="inlineStr"/>
      <c r="AT65" t="inlineStr"/>
      <c r="AU65" t="n">
        <v>0</v>
      </c>
      <c r="AV65" t="inlineStr"/>
      <c r="AW65" t="n">
        <v>0</v>
      </c>
      <c r="AX65" t="b">
        <v>0</v>
      </c>
      <c r="AY65" t="inlineStr"/>
      <c r="AZ65">
        <f>IF(AND($AX$65,$AW$65&gt;$AA$65/$Z$65),$AW$65,$AA$65/$Z$65)</f>
        <v/>
      </c>
      <c r="BA65" t="n">
        <v>0.1181818181818182</v>
      </c>
      <c r="BB65" t="n">
        <v>1200</v>
      </c>
      <c r="BC65" t="n">
        <v>200</v>
      </c>
      <c r="BD65" t="inlineStr">
        <is>
          <t>mg</t>
        </is>
      </c>
      <c r="BE65" t="inlineStr">
        <is>
          <t>Wikipedia 'M3 Browning' (AN/M3): 1,100-1,250 rpm</t>
        </is>
      </c>
      <c r="BG65" t="inlineStr">
        <is>
          <t>giong</t>
        </is>
      </c>
      <c r="CT65" t="n">
        <v>12.7</v>
      </c>
      <c r="DD65" t="n">
        <v>0.158</v>
      </c>
      <c r="DE65" t="n">
        <v>9.5</v>
      </c>
      <c r="DF65" t="inlineStr">
        <is>
          <t>Kinetic</t>
        </is>
      </c>
      <c r="DJ65" t="inlineStr">
        <is>
          <t>mg</t>
        </is>
      </c>
      <c r="DS65" t="inlineStr">
        <is>
          <t>Small</t>
        </is>
      </c>
      <c r="EB65" t="n">
        <v>1</v>
      </c>
      <c r="EH65" t="inlineStr">
        <is>
          <t>Bullet</t>
        </is>
      </c>
      <c r="EK65" t="n">
        <v>220</v>
      </c>
      <c r="EP65" t="n">
        <v>26</v>
      </c>
      <c r="EQ65" t="inlineStr">
        <is>
          <t>M3P 12.7 mm</t>
        </is>
      </c>
      <c r="EV65" t="n">
        <v>12</v>
      </c>
      <c r="EX65" t="n">
        <v>12.7</v>
      </c>
      <c r="EZ65" t="n">
        <v>1.4</v>
      </c>
      <c r="GB65" t="inlineStr">
        <is>
          <t>cal_12_7</t>
        </is>
      </c>
      <c r="GD65" t="inlineStr">
        <is>
          <t>Assets/MachineBrigade/Resources/Data/balance.json: weapons[238]</t>
        </is>
      </c>
      <c r="GE65" t="inlineStr">
        <is>
          <t>{"id":"drone_gun","weaponFamilyId":"cal_12_7","real":"M3P 12.7 mm","family":"mg","size":12.7,"caliberMm":12.7,"pen":1,"damageType":"Kinetic","damage":9.5,"cooldown":0.158,"range":26,"projectileSpeed":220,"spread":1.4,"impactTier":"Small","projectile":"Bullet","roundWeight":12}</t>
        </is>
      </c>
    </row>
    <row r="66">
      <c r="A66" t="inlineStr">
        <is>
          <t>drone_missile</t>
        </is>
      </c>
      <c r="B66" t="inlineStr">
        <is>
          <t>AGM-114 Hellfire</t>
        </is>
      </c>
      <c r="C66" t="inlineStr">
        <is>
          <t>atgm_agm_114_hellfire</t>
        </is>
      </c>
      <c r="D66" t="inlineStr"/>
      <c r="E66" t="inlineStr">
        <is>
          <t>agm_114_hellfire</t>
        </is>
      </c>
      <c r="F66" t="inlineStr">
        <is>
          <t>atgm</t>
        </is>
      </c>
      <c r="G66" t="inlineStr"/>
      <c r="H66" t="n">
        <v>9</v>
      </c>
      <c r="I66" t="inlineStr"/>
      <c r="J66" t="inlineStr"/>
      <c r="K66" t="inlineStr">
        <is>
          <t>ShapedCharge</t>
        </is>
      </c>
      <c r="L66" t="n">
        <v>4</v>
      </c>
      <c r="M66" t="inlineStr">
        <is>
          <t>Missile</t>
        </is>
      </c>
      <c r="N66" t="n">
        <v>1</v>
      </c>
      <c r="O66" t="inlineStr">
        <is>
          <t>RIPPLE</t>
        </is>
      </c>
      <c r="P66" t="n">
        <v>1</v>
      </c>
      <c r="Q66" t="n">
        <v>0.1</v>
      </c>
      <c r="R66" t="n">
        <v>3.58</v>
      </c>
      <c r="S66" t="n">
        <v>0</v>
      </c>
      <c r="T66" t="n">
        <v>0</v>
      </c>
      <c r="U66" t="n">
        <v>0</v>
      </c>
      <c r="V66" t="n">
        <v>0</v>
      </c>
      <c r="W66" t="n">
        <v>260</v>
      </c>
      <c r="X66" t="n">
        <v>0</v>
      </c>
      <c r="Y66" t="n">
        <v>0</v>
      </c>
      <c r="Z66" t="n">
        <v>110</v>
      </c>
      <c r="AA66" t="n">
        <v>48</v>
      </c>
      <c r="AB66" t="n">
        <v>0</v>
      </c>
      <c r="AC66" t="inlineStr">
        <is>
          <t>Ground</t>
        </is>
      </c>
      <c r="AD66" t="inlineStr"/>
      <c r="AE66" t="n">
        <v>0</v>
      </c>
      <c r="AF66" t="inlineStr">
        <is>
          <t>Medium</t>
        </is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n">
        <v>49</v>
      </c>
      <c r="AO66" t="n">
        <v>3</v>
      </c>
      <c r="AP66" t="inlineStr">
        <is>
          <t>T2</t>
        </is>
      </c>
      <c r="AQ66" t="inlineStr"/>
      <c r="AR66" t="inlineStr"/>
      <c r="AS66" t="inlineStr">
        <is>
          <t>xe</t>
        </is>
      </c>
      <c r="AT66" t="inlineStr">
        <is>
          <t>strike_drone</t>
        </is>
      </c>
      <c r="AU66" t="n">
        <v>1</v>
      </c>
      <c r="AV66" t="inlineStr">
        <is>
          <t>strike_drone:0</t>
        </is>
      </c>
      <c r="AW66" t="n">
        <v>0</v>
      </c>
      <c r="AX66" t="b">
        <v>0</v>
      </c>
      <c r="AY66" t="inlineStr"/>
      <c r="AZ66">
        <f>IF(AND($AX$66,$AW$66&gt;$AA$66/$Z$66),$AW$66,$AA$66/$Z$66)</f>
        <v/>
      </c>
      <c r="BA66" t="n">
        <v>0.4363636363636363</v>
      </c>
      <c r="BB66" t="n">
        <v>60</v>
      </c>
      <c r="BC66" t="n">
        <v>10</v>
      </c>
      <c r="BD66" t="inlineStr">
        <is>
          <t>atgm</t>
        </is>
      </c>
      <c r="BE66" t="inlineStr">
        <is>
          <t>air-launched: ripples ~1 s apart, est. 6 s an aimed shot</t>
        </is>
      </c>
      <c r="BG66" t="inlineStr">
        <is>
          <t>doi</t>
        </is>
      </c>
      <c r="BR66" t="n">
        <v>26</v>
      </c>
      <c r="BS66" t="n">
        <v>110</v>
      </c>
      <c r="DD66" t="n">
        <v>3.58</v>
      </c>
      <c r="DE66" t="n">
        <v>260</v>
      </c>
      <c r="DF66" t="inlineStr">
        <is>
          <t>ShapedCharge</t>
        </is>
      </c>
      <c r="DJ66" t="inlineStr">
        <is>
          <t>atgm</t>
        </is>
      </c>
      <c r="DS66" t="inlineStr">
        <is>
          <t>Medium</t>
        </is>
      </c>
      <c r="DW66" t="n">
        <v>3</v>
      </c>
      <c r="EB66" t="n">
        <v>4</v>
      </c>
      <c r="EE66" t="b">
        <v>1</v>
      </c>
      <c r="EH66" t="inlineStr">
        <is>
          <t>Missile</t>
        </is>
      </c>
      <c r="EJ66" t="n">
        <v>0.65</v>
      </c>
      <c r="EP66" t="n">
        <v>48</v>
      </c>
      <c r="EQ66" t="inlineStr">
        <is>
          <t>AGM-114 Hellfire</t>
        </is>
      </c>
      <c r="EX66" t="n">
        <v>49</v>
      </c>
      <c r="FZ66" t="n">
        <v>9</v>
      </c>
      <c r="GA66" t="inlineStr">
        <is>
          <t>agm_114_hellfire</t>
        </is>
      </c>
      <c r="GB66" t="inlineStr">
        <is>
          <t>atgm_agm_114_hellfire</t>
        </is>
      </c>
      <c r="GD66" t="inlineStr">
        <is>
          <t>Assets/MachineBrigade/Resources/Data/balance.json: weapons[41]</t>
        </is>
      </c>
      <c r="GE66" t="inlineStr">
        <is>
          <t>{"id":"drone_missile","weaponFamilyId":"atgm_agm_114_hellfire","weaponFamily":"agm_114_hellfire","load":3,"real":"AGM-114 Hellfire","family":"atgm","size":49,"warheadKg":9,"pen":4,"piercing":true,"projectileScale":0.65,"damageType":"ShapedCharge","damage":260,"cooldown":3.58,"range":48,"impactTier":"Medium","projectile":"Missile","bonuses":[{"armor":"Structure","mult":1.5}]}</t>
        </is>
      </c>
    </row>
    <row r="67">
      <c r="A67" t="inlineStr">
        <is>
          <t>fighter_cannon</t>
        </is>
      </c>
      <c r="B67" t="inlineStr">
        <is>
          <t>GAU-22/A 25 mm</t>
        </is>
      </c>
      <c r="C67" t="inlineStr">
        <is>
          <t>cal_25</t>
        </is>
      </c>
      <c r="D67" t="inlineStr">
        <is>
          <t>flak</t>
        </is>
      </c>
      <c r="E67" t="inlineStr"/>
      <c r="F67" t="inlineStr">
        <is>
          <t>autocannon</t>
        </is>
      </c>
      <c r="G67" t="n">
        <v>25</v>
      </c>
      <c r="H67" t="inlineStr"/>
      <c r="I67" t="inlineStr"/>
      <c r="J67" t="inlineStr"/>
      <c r="K67" t="inlineStr">
        <is>
          <t>Fragmentation</t>
        </is>
      </c>
      <c r="L67" t="n">
        <v>2</v>
      </c>
      <c r="M67" t="inlineStr">
        <is>
          <t>Bullet</t>
        </is>
      </c>
      <c r="N67" t="n">
        <v>1</v>
      </c>
      <c r="O67" t="inlineStr">
        <is>
          <t>RIPPLE</t>
        </is>
      </c>
      <c r="P67" t="n">
        <v>1</v>
      </c>
      <c r="Q67" t="n">
        <v>0.1</v>
      </c>
      <c r="R67" t="n">
        <v>0.1151</v>
      </c>
      <c r="S67" t="n">
        <v>44</v>
      </c>
      <c r="T67" t="n">
        <v>1</v>
      </c>
      <c r="U67" t="n">
        <v>0</v>
      </c>
      <c r="V67" t="n">
        <v>0</v>
      </c>
      <c r="W67" t="n">
        <v>18</v>
      </c>
      <c r="X67" t="n">
        <v>0</v>
      </c>
      <c r="Y67" t="n">
        <v>0</v>
      </c>
      <c r="Z67" t="n">
        <v>320</v>
      </c>
      <c r="AA67" t="n">
        <v>30</v>
      </c>
      <c r="AB67" t="n">
        <v>0</v>
      </c>
      <c r="AC67" t="inlineStr">
        <is>
          <t>All</t>
        </is>
      </c>
      <c r="AD67" t="inlineStr"/>
      <c r="AE67" t="n">
        <v>1.5</v>
      </c>
      <c r="AF67" t="inlineStr">
        <is>
          <t>Small</t>
        </is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n">
        <v>25</v>
      </c>
      <c r="AO67" t="n">
        <v>0</v>
      </c>
      <c r="AP67" t="inlineStr">
        <is>
          <t>T1</t>
        </is>
      </c>
      <c r="AQ67" t="inlineStr"/>
      <c r="AR67" t="inlineStr">
        <is>
          <t>fighter_cannon_ap</t>
        </is>
      </c>
      <c r="AS67" t="inlineStr">
        <is>
          <t>xe</t>
        </is>
      </c>
      <c r="AT67" t="inlineStr">
        <is>
          <t>fighter_jet;stealth_fighter</t>
        </is>
      </c>
      <c r="AU67" t="n">
        <v>2</v>
      </c>
      <c r="AV67" t="inlineStr">
        <is>
          <t>fighter_jet:2;stealth_fighter:2</t>
        </is>
      </c>
      <c r="AW67" t="n">
        <v>0</v>
      </c>
      <c r="AX67" t="b">
        <v>0</v>
      </c>
      <c r="AY67" t="inlineStr"/>
      <c r="AZ67">
        <f>IF(AND($AX$67,$AW$67&gt;$AA$67/$Z$67),$AW$67,$AA$67/$Z$67)</f>
        <v/>
      </c>
      <c r="BA67" t="n">
        <v>0.09375</v>
      </c>
      <c r="BB67" t="n">
        <v>3300</v>
      </c>
      <c r="BC67" t="inlineStr"/>
      <c r="BD67" t="inlineStr">
        <is>
          <t>ac</t>
        </is>
      </c>
      <c r="BE67" t="inlineStr">
        <is>
          <t>Wikipedia 'GAU-22/A': 3,300 rpm</t>
        </is>
      </c>
      <c r="BG67" t="inlineStr">
        <is>
          <t>giong</t>
        </is>
      </c>
      <c r="CT67" t="n">
        <v>25</v>
      </c>
      <c r="CW67" t="n">
        <v>44</v>
      </c>
      <c r="CX67" t="n">
        <v>1</v>
      </c>
      <c r="DD67" t="n">
        <v>0.1151</v>
      </c>
      <c r="DE67" t="n">
        <v>18</v>
      </c>
      <c r="DF67" t="inlineStr">
        <is>
          <t>Fragmentation</t>
        </is>
      </c>
      <c r="DJ67" t="inlineStr">
        <is>
          <t>autocannon</t>
        </is>
      </c>
      <c r="DN67" t="inlineStr">
        <is>
          <t>BeltedAutocannon</t>
        </is>
      </c>
      <c r="DS67" t="inlineStr">
        <is>
          <t>Small</t>
        </is>
      </c>
      <c r="EB67" t="n">
        <v>2</v>
      </c>
      <c r="EH67" t="inlineStr">
        <is>
          <t>Bullet</t>
        </is>
      </c>
      <c r="EK67" t="n">
        <v>320</v>
      </c>
      <c r="EP67" t="n">
        <v>30</v>
      </c>
      <c r="EQ67" t="inlineStr">
        <is>
          <t>GAU-22/A 25 mm</t>
        </is>
      </c>
      <c r="EV67" t="n">
        <v>30</v>
      </c>
      <c r="EX67" t="n">
        <v>25</v>
      </c>
      <c r="EZ67" t="n">
        <v>1.5</v>
      </c>
      <c r="FW67" t="inlineStr">
        <is>
          <t>All</t>
        </is>
      </c>
      <c r="GB67" t="inlineStr">
        <is>
          <t>cal_25</t>
        </is>
      </c>
      <c r="GC67" t="inlineStr">
        <is>
          <t>flak</t>
        </is>
      </c>
      <c r="GD67" t="inlineStr">
        <is>
          <t>Assets/MachineBrigade/Resources/Data/balance.json: weapons[80]</t>
        </is>
      </c>
      <c r="GE67" t="inlineStr">
        <is>
          <t>{"id":"fighter_cannon","weaponFamilyId":"cal_25","weaponVariantId":"flak","real":"GAU-22/A 25 mm","family":"autocannon","size":25,"caliberMm":25,"pen":2,"form":"BeltedAutocannon","damageType":"Fragmentation","damage":18,"cooldown":0.1151,"range":30,"projectileSpeed":320,"spread":1.5,"impactTier":"Small","projectile":"Bullet","targets":"All","clip":44,"clipReload":1,"roundWeight":30}</t>
        </is>
      </c>
    </row>
    <row r="68">
      <c r="A68" t="inlineStr">
        <is>
          <t>fighter_cannon_ap</t>
        </is>
      </c>
      <c r="B68" t="inlineStr">
        <is>
          <t>GAU-22/A 25 mm AP</t>
        </is>
      </c>
      <c r="C68" t="inlineStr">
        <is>
          <t>cal_25</t>
        </is>
      </c>
      <c r="D68" t="inlineStr"/>
      <c r="E68" t="inlineStr"/>
      <c r="F68" t="inlineStr">
        <is>
          <t>autocannon</t>
        </is>
      </c>
      <c r="G68" t="n">
        <v>25</v>
      </c>
      <c r="H68" t="inlineStr"/>
      <c r="I68" t="inlineStr"/>
      <c r="J68" t="inlineStr"/>
      <c r="K68" t="inlineStr">
        <is>
          <t>Kinetic</t>
        </is>
      </c>
      <c r="L68" t="n">
        <v>2</v>
      </c>
      <c r="M68" t="inlineStr">
        <is>
          <t>Bullet</t>
        </is>
      </c>
      <c r="N68" t="n">
        <v>1</v>
      </c>
      <c r="O68" t="inlineStr">
        <is>
          <t>RIPPLE</t>
        </is>
      </c>
      <c r="P68" t="n">
        <v>1</v>
      </c>
      <c r="Q68" t="n">
        <v>0.1</v>
      </c>
      <c r="R68" t="n">
        <v>0.1151</v>
      </c>
      <c r="S68" t="n">
        <v>44</v>
      </c>
      <c r="T68" t="n">
        <v>1</v>
      </c>
      <c r="U68" t="n">
        <v>0</v>
      </c>
      <c r="V68" t="n">
        <v>0</v>
      </c>
      <c r="W68" t="n">
        <v>18</v>
      </c>
      <c r="X68" t="n">
        <v>0</v>
      </c>
      <c r="Y68" t="n">
        <v>0</v>
      </c>
      <c r="Z68" t="n">
        <v>320</v>
      </c>
      <c r="AA68" t="n">
        <v>30</v>
      </c>
      <c r="AB68" t="n">
        <v>0</v>
      </c>
      <c r="AC68" t="inlineStr">
        <is>
          <t>Ground</t>
        </is>
      </c>
      <c r="AD68" t="inlineStr"/>
      <c r="AE68" t="n">
        <v>1.5</v>
      </c>
      <c r="AF68" t="inlineStr">
        <is>
          <t>Small</t>
        </is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n">
        <v>25</v>
      </c>
      <c r="AO68" t="n">
        <v>0</v>
      </c>
      <c r="AP68" t="inlineStr">
        <is>
          <t>T1</t>
        </is>
      </c>
      <c r="AQ68" t="inlineStr">
        <is>
          <t>fighter_cannon</t>
        </is>
      </c>
      <c r="AR68" t="inlineStr"/>
      <c r="AS68" t="inlineStr"/>
      <c r="AT68" t="inlineStr"/>
      <c r="AU68" t="n">
        <v>0</v>
      </c>
      <c r="AV68" t="inlineStr"/>
      <c r="AW68" t="n">
        <v>0</v>
      </c>
      <c r="AX68" t="b">
        <v>0</v>
      </c>
      <c r="AY68" t="inlineStr"/>
      <c r="AZ68">
        <f>IF(AND($AX$68,$AW$68&gt;$AA$68/$Z$68),$AW$68,$AA$68/$Z$68)</f>
        <v/>
      </c>
      <c r="BA68" t="n">
        <v>0.09375</v>
      </c>
      <c r="BB68" t="n">
        <v>3300</v>
      </c>
      <c r="BC68" t="inlineStr"/>
      <c r="BD68" t="inlineStr">
        <is>
          <t>ac</t>
        </is>
      </c>
      <c r="BE68" t="inlineStr">
        <is>
          <t>Wikipedia 'GAU-22/A': 3,300 rpm</t>
        </is>
      </c>
      <c r="BG68" t="inlineStr">
        <is>
          <t>giong</t>
        </is>
      </c>
      <c r="DE68" t="n">
        <v>18</v>
      </c>
      <c r="DF68" t="inlineStr">
        <is>
          <t>Kinetic</t>
        </is>
      </c>
      <c r="DM68" t="inlineStr">
        <is>
          <t>ground</t>
        </is>
      </c>
      <c r="DN68" t="inlineStr">
        <is>
          <t>BeltedAutocannon</t>
        </is>
      </c>
      <c r="DT68" t="inlineStr">
        <is>
          <t>fighter_cannon</t>
        </is>
      </c>
      <c r="EB68" t="n">
        <v>2</v>
      </c>
      <c r="EE68" t="b">
        <v>1</v>
      </c>
      <c r="EQ68" t="inlineStr">
        <is>
          <t>GAU-22/A 25 mm AP</t>
        </is>
      </c>
      <c r="ES68" t="inlineStr">
        <is>
          <t>ap</t>
        </is>
      </c>
      <c r="EU68" t="inlineStr">
        <is>
          <t>fighter_cannon</t>
        </is>
      </c>
      <c r="EY68" t="n">
        <v>0</v>
      </c>
      <c r="FW68" t="inlineStr">
        <is>
          <t>Ground</t>
        </is>
      </c>
      <c r="GA68" t="inlineStr"/>
      <c r="GC68" t="inlineStr"/>
      <c r="GD68" t="inlineStr">
        <is>
          <t>Assets/MachineBrigade/Resources/Data/balance.json: secondRounds.rounds[17]</t>
        </is>
      </c>
      <c r="GE68" t="inlineStr">
        <is>
          <t>{"id":"fighter_cannon_ap","roundOf":"fighter_cannon","inherits":"fighter_cannon","weaponVariantId":"","weaponFamily":"","round":"ap","for":["ground"],"real":"GAU-22/A 25 mm AP","damageType":"Kinetic","pen":2,"damage":18,"splash":0,"form":"BeltedAutocannon","piercing":true,"targets":"Ground"}</t>
        </is>
      </c>
    </row>
    <row r="69">
      <c r="A69" t="inlineStr">
        <is>
          <t>flak_35</t>
        </is>
      </c>
      <c r="B69" t="inlineStr">
        <is>
          <t>Oerlikon KDA 35 mm (Gepard)</t>
        </is>
      </c>
      <c r="C69" t="inlineStr">
        <is>
          <t>cal_35</t>
        </is>
      </c>
      <c r="D69" t="inlineStr"/>
      <c r="E69" t="inlineStr">
        <is>
          <t>oerlikon_35_mm</t>
        </is>
      </c>
      <c r="F69" t="inlineStr">
        <is>
          <t>autocannon</t>
        </is>
      </c>
      <c r="G69" t="n">
        <v>35</v>
      </c>
      <c r="H69" t="inlineStr"/>
      <c r="I69" t="inlineStr"/>
      <c r="J69" t="inlineStr"/>
      <c r="K69" t="inlineStr">
        <is>
          <t>Fragmentation</t>
        </is>
      </c>
      <c r="L69" t="n">
        <v>2</v>
      </c>
      <c r="M69" t="inlineStr">
        <is>
          <t>Bullet</t>
        </is>
      </c>
      <c r="N69" t="n">
        <v>1</v>
      </c>
      <c r="O69" t="inlineStr">
        <is>
          <t>RIPPLE</t>
        </is>
      </c>
      <c r="P69" t="n">
        <v>1</v>
      </c>
      <c r="Q69" t="n">
        <v>0.1</v>
      </c>
      <c r="R69" t="n">
        <v>0.25</v>
      </c>
      <c r="S69" t="n">
        <v>22</v>
      </c>
      <c r="T69" t="n">
        <v>1.25</v>
      </c>
      <c r="U69" t="n">
        <v>0</v>
      </c>
      <c r="V69" t="n">
        <v>0</v>
      </c>
      <c r="W69" t="n">
        <v>26</v>
      </c>
      <c r="X69" t="n">
        <v>2.5</v>
      </c>
      <c r="Y69" t="n">
        <v>0</v>
      </c>
      <c r="Z69" t="n">
        <v>260</v>
      </c>
      <c r="AA69" t="n">
        <v>36</v>
      </c>
      <c r="AB69" t="n">
        <v>0</v>
      </c>
      <c r="AC69" t="inlineStr">
        <is>
          <t>All</t>
        </is>
      </c>
      <c r="AD69" t="inlineStr"/>
      <c r="AE69" t="n">
        <v>1.5</v>
      </c>
      <c r="AF69" t="inlineStr">
        <is>
          <t>Small</t>
        </is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n">
        <v>35</v>
      </c>
      <c r="AO69" t="n">
        <v>0</v>
      </c>
      <c r="AP69" t="inlineStr">
        <is>
          <t>T1</t>
        </is>
      </c>
      <c r="AQ69" t="inlineStr"/>
      <c r="AR69" t="inlineStr">
        <is>
          <t>flak_35_ap</t>
        </is>
      </c>
      <c r="AS69" t="inlineStr">
        <is>
          <t>xe</t>
        </is>
      </c>
      <c r="AT69" t="inlineStr">
        <is>
          <t>aa_vehicle</t>
        </is>
      </c>
      <c r="AU69" t="n">
        <v>1</v>
      </c>
      <c r="AV69" t="inlineStr">
        <is>
          <t>aa_vehicle:0</t>
        </is>
      </c>
      <c r="AW69" t="n">
        <v>0</v>
      </c>
      <c r="AX69" t="b">
        <v>0</v>
      </c>
      <c r="AY69" t="inlineStr"/>
      <c r="AZ69">
        <f>IF(AND($AX$69,$AW$69&gt;$AA$69/$Z$69),$AW$69,$AA$69/$Z$69)</f>
        <v/>
      </c>
      <c r="BA69" t="n">
        <v>0.1384615384615385</v>
      </c>
      <c r="BB69" t="n">
        <v>550</v>
      </c>
      <c r="BC69" t="n">
        <v>300</v>
      </c>
      <c r="BD69" t="inlineStr">
        <is>
          <t>aa</t>
        </is>
      </c>
      <c r="BE69" t="inlineStr">
        <is>
          <t>Wikipedia 'Oerlikon GDF' / 'Gepard': 2 x 550 rpm</t>
        </is>
      </c>
      <c r="BG69" t="inlineStr">
        <is>
          <t>giong</t>
        </is>
      </c>
      <c r="CT69" t="n">
        <v>35</v>
      </c>
      <c r="CW69" t="n">
        <v>22</v>
      </c>
      <c r="CX69" t="n">
        <v>1.25</v>
      </c>
      <c r="DD69" t="n">
        <v>0.25</v>
      </c>
      <c r="DE69" t="n">
        <v>26</v>
      </c>
      <c r="DF69" t="inlineStr">
        <is>
          <t>Fragmentation</t>
        </is>
      </c>
      <c r="DJ69" t="inlineStr">
        <is>
          <t>autocannon</t>
        </is>
      </c>
      <c r="DS69" t="inlineStr">
        <is>
          <t>Small</t>
        </is>
      </c>
      <c r="EB69" t="n">
        <v>2</v>
      </c>
      <c r="EH69" t="inlineStr">
        <is>
          <t>Bullet</t>
        </is>
      </c>
      <c r="EP69" t="n">
        <v>36</v>
      </c>
      <c r="EQ69" t="inlineStr">
        <is>
          <t>Oerlikon KDA 35 mm (Gepard)</t>
        </is>
      </c>
      <c r="EX69" t="n">
        <v>35</v>
      </c>
      <c r="EZ69" t="n">
        <v>1.5</v>
      </c>
      <c r="FW69" t="inlineStr">
        <is>
          <t>All</t>
        </is>
      </c>
      <c r="GA69" t="inlineStr">
        <is>
          <t>oerlikon_35_mm</t>
        </is>
      </c>
      <c r="GB69" t="inlineStr">
        <is>
          <t>cal_35</t>
        </is>
      </c>
      <c r="GD69" t="inlineStr">
        <is>
          <t>Assets/MachineBrigade/Resources/Data/balance.json: weapons[19]</t>
        </is>
      </c>
      <c r="GE69" t="inlineStr">
        <is>
          <t>{"id":"flak_35","weaponFamilyId":"cal_35","weaponFamily":"oerlikon_35_mm","real":"Oerlikon KDA 35 mm (Gepard)","family":"autocannon","size":35,"caliberMm":35,"pen":2,"damageType":"Fragmentation","damage":26,"cooldown":0.25,"range":36,"spread":1.5,"impactTier":"Small","projectile":"Bullet","targets":"All","clip":22,"clipReload":1.25,"bonuses":[{"class":"Plane","mult":1.5}]}</t>
        </is>
      </c>
    </row>
    <row r="70">
      <c r="A70" t="inlineStr">
        <is>
          <t>flak_35_ap</t>
        </is>
      </c>
      <c r="B70" t="inlineStr">
        <is>
          <t>Oerlikon 35 mm AP (Gepard)</t>
        </is>
      </c>
      <c r="C70" t="inlineStr">
        <is>
          <t>cal_35</t>
        </is>
      </c>
      <c r="D70" t="inlineStr">
        <is>
          <t>ap</t>
        </is>
      </c>
      <c r="E70" t="inlineStr">
        <is>
          <t>oerlikon_35_mm_ap</t>
        </is>
      </c>
      <c r="F70" t="inlineStr">
        <is>
          <t>autocannon</t>
        </is>
      </c>
      <c r="G70" t="n">
        <v>35</v>
      </c>
      <c r="H70" t="inlineStr"/>
      <c r="I70" t="inlineStr"/>
      <c r="J70" t="inlineStr"/>
      <c r="K70" t="inlineStr">
        <is>
          <t>Kinetic</t>
        </is>
      </c>
      <c r="L70" t="n">
        <v>2</v>
      </c>
      <c r="M70" t="inlineStr">
        <is>
          <t>Bullet</t>
        </is>
      </c>
      <c r="N70" t="n">
        <v>1</v>
      </c>
      <c r="O70" t="inlineStr">
        <is>
          <t>RIPPLE</t>
        </is>
      </c>
      <c r="P70" t="n">
        <v>1</v>
      </c>
      <c r="Q70" t="n">
        <v>0.1</v>
      </c>
      <c r="R70" t="n">
        <v>0.25</v>
      </c>
      <c r="S70" t="n">
        <v>22</v>
      </c>
      <c r="T70" t="n">
        <v>1.25</v>
      </c>
      <c r="U70" t="n">
        <v>0</v>
      </c>
      <c r="V70" t="n">
        <v>0</v>
      </c>
      <c r="W70" t="n">
        <v>26</v>
      </c>
      <c r="X70" t="n">
        <v>0</v>
      </c>
      <c r="Y70" t="n">
        <v>0</v>
      </c>
      <c r="Z70" t="n">
        <v>260</v>
      </c>
      <c r="AA70" t="n">
        <v>36</v>
      </c>
      <c r="AB70" t="n">
        <v>0</v>
      </c>
      <c r="AC70" t="inlineStr">
        <is>
          <t>Ground</t>
        </is>
      </c>
      <c r="AD70" t="inlineStr"/>
      <c r="AE70" t="n">
        <v>1.5</v>
      </c>
      <c r="AF70" t="inlineStr">
        <is>
          <t>Small</t>
        </is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n">
        <v>35</v>
      </c>
      <c r="AO70" t="n">
        <v>0</v>
      </c>
      <c r="AP70" t="inlineStr">
        <is>
          <t>T1</t>
        </is>
      </c>
      <c r="AQ70" t="inlineStr">
        <is>
          <t>flak_35</t>
        </is>
      </c>
      <c r="AR70" t="inlineStr"/>
      <c r="AS70" t="inlineStr"/>
      <c r="AT70" t="inlineStr"/>
      <c r="AU70" t="n">
        <v>0</v>
      </c>
      <c r="AV70" t="inlineStr"/>
      <c r="AW70" t="n">
        <v>0</v>
      </c>
      <c r="AX70" t="b">
        <v>0</v>
      </c>
      <c r="AY70" t="inlineStr"/>
      <c r="AZ70">
        <f>IF(AND($AX$70,$AW$70&gt;$AA$70/$Z$70),$AW$70,$AA$70/$Z$70)</f>
        <v/>
      </c>
      <c r="BA70" t="n">
        <v>0.1384615384615385</v>
      </c>
      <c r="BB70" t="n">
        <v>550</v>
      </c>
      <c r="BC70" t="n">
        <v>300</v>
      </c>
      <c r="BD70" t="inlineStr">
        <is>
          <t>aa</t>
        </is>
      </c>
      <c r="BE70" t="inlineStr">
        <is>
          <t>Wikipedia 'Oerlikon GDF': 550 rpm a gun (the twin: 1,100)</t>
        </is>
      </c>
      <c r="BG70" t="inlineStr">
        <is>
          <t>giong</t>
        </is>
      </c>
      <c r="CQ70" t="inlineStr"/>
      <c r="DE70" t="n">
        <v>26</v>
      </c>
      <c r="DF70" t="inlineStr">
        <is>
          <t>Kinetic</t>
        </is>
      </c>
      <c r="DM70" t="inlineStr">
        <is>
          <t>ground</t>
        </is>
      </c>
      <c r="DN70" t="inlineStr">
        <is>
          <t>BeltedAutocannon</t>
        </is>
      </c>
      <c r="DT70" t="inlineStr">
        <is>
          <t>flak_35</t>
        </is>
      </c>
      <c r="EB70" t="n">
        <v>2</v>
      </c>
      <c r="EE70" t="b">
        <v>1</v>
      </c>
      <c r="EQ70" t="inlineStr">
        <is>
          <t>Oerlikon 35 mm AP (Gepard)</t>
        </is>
      </c>
      <c r="ES70" t="inlineStr">
        <is>
          <t>ap</t>
        </is>
      </c>
      <c r="EU70" t="inlineStr">
        <is>
          <t>flak_35</t>
        </is>
      </c>
      <c r="EY70" t="n">
        <v>0</v>
      </c>
      <c r="FW70" t="inlineStr">
        <is>
          <t>Ground</t>
        </is>
      </c>
      <c r="GA70" t="inlineStr">
        <is>
          <t>oerlikon_35_mm_ap</t>
        </is>
      </c>
      <c r="GC70" t="inlineStr">
        <is>
          <t>ap</t>
        </is>
      </c>
      <c r="GD70" t="inlineStr">
        <is>
          <t>Assets/MachineBrigade/Resources/Data/balance.json: secondRounds.rounds[18]</t>
        </is>
      </c>
      <c r="GE70" t="inlineStr">
        <is>
          <t>{"id":"flak_35_ap","roundOf":"flak_35","inherits":"flak_35","weaponVariantId":"ap","weaponFamily":"oerlikon_35_mm_ap","round":"ap","for":["ground"],"real":"Oerlikon 35 mm AP (Gepard)","damageType":"Kinetic","pen":2,"damage":26,"splash":0,"form":"BeltedAutocannon","piercing":true,"targets":"Ground","bonuses":[]}</t>
        </is>
      </c>
    </row>
    <row r="71">
      <c r="A71" t="inlineStr">
        <is>
          <t>flak_quad</t>
        </is>
      </c>
      <c r="B71" t="inlineStr">
        <is>
          <t>ZSU-23-4 23 mm (quad)</t>
        </is>
      </c>
      <c r="C71" t="inlineStr">
        <is>
          <t>cal_23</t>
        </is>
      </c>
      <c r="D71" t="inlineStr"/>
      <c r="E71" t="inlineStr"/>
      <c r="F71" t="inlineStr">
        <is>
          <t>autocannon</t>
        </is>
      </c>
      <c r="G71" t="n">
        <v>23</v>
      </c>
      <c r="H71" t="inlineStr"/>
      <c r="I71" t="inlineStr"/>
      <c r="J71" t="inlineStr"/>
      <c r="K71" t="inlineStr">
        <is>
          <t>Fragmentation</t>
        </is>
      </c>
      <c r="L71" t="n">
        <v>1</v>
      </c>
      <c r="M71" t="inlineStr">
        <is>
          <t>Bullet</t>
        </is>
      </c>
      <c r="N71" t="n">
        <v>1</v>
      </c>
      <c r="O71" t="inlineStr">
        <is>
          <t>RIPPLE</t>
        </is>
      </c>
      <c r="P71" t="n">
        <v>1</v>
      </c>
      <c r="Q71" t="n">
        <v>0.1</v>
      </c>
      <c r="R71" t="n">
        <v>0.0324</v>
      </c>
      <c r="S71" t="n">
        <v>54</v>
      </c>
      <c r="T71" t="n">
        <v>1.5</v>
      </c>
      <c r="U71" t="n">
        <v>0</v>
      </c>
      <c r="V71" t="n">
        <v>0</v>
      </c>
      <c r="W71" t="n">
        <v>14</v>
      </c>
      <c r="X71" t="n">
        <v>3.5</v>
      </c>
      <c r="Y71" t="n">
        <v>0</v>
      </c>
      <c r="Z71" t="n">
        <v>300</v>
      </c>
      <c r="AA71" t="n">
        <v>46</v>
      </c>
      <c r="AB71" t="n">
        <v>0</v>
      </c>
      <c r="AC71" t="inlineStr">
        <is>
          <t>All</t>
        </is>
      </c>
      <c r="AD71" t="inlineStr"/>
      <c r="AE71" t="n">
        <v>1.6</v>
      </c>
      <c r="AF71" t="inlineStr">
        <is>
          <t>Medium</t>
        </is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n">
        <v>23</v>
      </c>
      <c r="AO71" t="n">
        <v>0</v>
      </c>
      <c r="AP71" t="inlineStr">
        <is>
          <t>T1</t>
        </is>
      </c>
      <c r="AQ71" t="inlineStr"/>
      <c r="AR71" t="inlineStr">
        <is>
          <t>flak_quad_ap</t>
        </is>
      </c>
      <c r="AS71" t="inlineStr">
        <is>
          <t>thap</t>
        </is>
      </c>
      <c r="AT71" t="inlineStr">
        <is>
          <t>aa_turret.flak</t>
        </is>
      </c>
      <c r="AU71" t="n">
        <v>1</v>
      </c>
      <c r="AV71" t="inlineStr">
        <is>
          <t>aa_turret.flak:0</t>
        </is>
      </c>
      <c r="AW71" t="n">
        <v>0</v>
      </c>
      <c r="AX71" t="b">
        <v>0</v>
      </c>
      <c r="AY71" t="inlineStr"/>
      <c r="AZ71">
        <f>IF(AND($AX$71,$AW$71&gt;$AA$71/$Z$71),$AW$71,$AA$71/$Z$71)</f>
        <v/>
      </c>
      <c r="BA71" t="n">
        <v>0.1533333333333333</v>
      </c>
      <c r="BB71" t="n">
        <v>1000</v>
      </c>
      <c r="BC71" t="n">
        <v>400</v>
      </c>
      <c r="BD71" t="inlineStr">
        <is>
          <t>aa</t>
        </is>
      </c>
      <c r="BE71" t="inlineStr">
        <is>
          <t>Wikipedia 'ZSU-23-4 Shilka': 4 x 850-1,000 rpm</t>
        </is>
      </c>
      <c r="BG71" t="inlineStr">
        <is>
          <t>giong</t>
        </is>
      </c>
      <c r="CT71" t="n">
        <v>23</v>
      </c>
      <c r="CW71" t="n">
        <v>54</v>
      </c>
      <c r="CX71" t="n">
        <v>1.5</v>
      </c>
      <c r="DD71" t="n">
        <v>0.0324</v>
      </c>
      <c r="DE71" t="n">
        <v>14</v>
      </c>
      <c r="DF71" t="inlineStr">
        <is>
          <t>Fragmentation</t>
        </is>
      </c>
      <c r="DJ71" t="inlineStr">
        <is>
          <t>autocannon</t>
        </is>
      </c>
      <c r="DS71" t="inlineStr">
        <is>
          <t>Medium</t>
        </is>
      </c>
      <c r="EB71" t="n">
        <v>1</v>
      </c>
      <c r="EH71" t="inlineStr">
        <is>
          <t>Bullet</t>
        </is>
      </c>
      <c r="EK71" t="n">
        <v>300</v>
      </c>
      <c r="EP71" t="n">
        <v>46</v>
      </c>
      <c r="EQ71" t="inlineStr">
        <is>
          <t>ZSU-23-4 23 mm (quad)</t>
        </is>
      </c>
      <c r="EV71" t="n">
        <v>22</v>
      </c>
      <c r="EX71" t="n">
        <v>23</v>
      </c>
      <c r="EY71" t="n">
        <v>3.5</v>
      </c>
      <c r="EZ71" t="n">
        <v>1.6</v>
      </c>
      <c r="FW71" t="inlineStr">
        <is>
          <t>All</t>
        </is>
      </c>
      <c r="GB71" t="inlineStr">
        <is>
          <t>cal_23</t>
        </is>
      </c>
      <c r="GD71" t="inlineStr">
        <is>
          <t>Assets/MachineBrigade/Resources/Data/balance.json: weapons[86]</t>
        </is>
      </c>
      <c r="GE71" t="inlineStr">
        <is>
          <t>{"id":"flak_quad","weaponFamilyId":"cal_23","real":"ZSU-23-4 23 mm (quad)","family":"autocannon","size":23,"caliberMm":23,"pen":1,"damageType":"Fragmentation","damage":14,"cooldown":0.0324,"range":46,"projectileSpeed":300,"splash":3.5,"spread":1.6,"impactTier":"Medium","projectile":"Bullet","targets":"All","clip":54,"clipReload":1.5,"roundWeight":22}</t>
        </is>
      </c>
    </row>
    <row r="72">
      <c r="A72" t="inlineStr">
        <is>
          <t>flak_quad_ap</t>
        </is>
      </c>
      <c r="B72" t="inlineStr">
        <is>
          <t>ZSU-23-4 23 mm AP (quad)</t>
        </is>
      </c>
      <c r="C72" t="inlineStr">
        <is>
          <t>cal_23</t>
        </is>
      </c>
      <c r="D72" t="inlineStr"/>
      <c r="E72" t="inlineStr"/>
      <c r="F72" t="inlineStr">
        <is>
          <t>autocannon</t>
        </is>
      </c>
      <c r="G72" t="n">
        <v>23</v>
      </c>
      <c r="H72" t="inlineStr"/>
      <c r="I72" t="inlineStr"/>
      <c r="J72" t="inlineStr"/>
      <c r="K72" t="inlineStr">
        <is>
          <t>Kinetic</t>
        </is>
      </c>
      <c r="L72" t="n">
        <v>2</v>
      </c>
      <c r="M72" t="inlineStr">
        <is>
          <t>Bullet</t>
        </is>
      </c>
      <c r="N72" t="n">
        <v>1</v>
      </c>
      <c r="O72" t="inlineStr">
        <is>
          <t>RIPPLE</t>
        </is>
      </c>
      <c r="P72" t="n">
        <v>1</v>
      </c>
      <c r="Q72" t="n">
        <v>0.1</v>
      </c>
      <c r="R72" t="n">
        <v>0.0324</v>
      </c>
      <c r="S72" t="n">
        <v>54</v>
      </c>
      <c r="T72" t="n">
        <v>1.5</v>
      </c>
      <c r="U72" t="n">
        <v>0</v>
      </c>
      <c r="V72" t="n">
        <v>0</v>
      </c>
      <c r="W72" t="n">
        <v>14</v>
      </c>
      <c r="X72" t="n">
        <v>0</v>
      </c>
      <c r="Y72" t="n">
        <v>0</v>
      </c>
      <c r="Z72" t="n">
        <v>300</v>
      </c>
      <c r="AA72" t="n">
        <v>46</v>
      </c>
      <c r="AB72" t="n">
        <v>0</v>
      </c>
      <c r="AC72" t="inlineStr">
        <is>
          <t>Ground</t>
        </is>
      </c>
      <c r="AD72" t="inlineStr"/>
      <c r="AE72" t="n">
        <v>1.6</v>
      </c>
      <c r="AF72" t="inlineStr">
        <is>
          <t>Medium</t>
        </is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n">
        <v>23</v>
      </c>
      <c r="AO72" t="n">
        <v>0</v>
      </c>
      <c r="AP72" t="inlineStr">
        <is>
          <t>T1</t>
        </is>
      </c>
      <c r="AQ72" t="inlineStr">
        <is>
          <t>flak_quad</t>
        </is>
      </c>
      <c r="AR72" t="inlineStr"/>
      <c r="AS72" t="inlineStr"/>
      <c r="AT72" t="inlineStr"/>
      <c r="AU72" t="n">
        <v>0</v>
      </c>
      <c r="AV72" t="inlineStr"/>
      <c r="AW72" t="n">
        <v>0</v>
      </c>
      <c r="AX72" t="b">
        <v>0</v>
      </c>
      <c r="AY72" t="inlineStr"/>
      <c r="AZ72">
        <f>IF(AND($AX$72,$AW$72&gt;$AA$72/$Z$72),$AW$72,$AA$72/$Z$72)</f>
        <v/>
      </c>
      <c r="BA72" t="n">
        <v>0.1533333333333333</v>
      </c>
      <c r="BB72" t="n">
        <v>1000</v>
      </c>
      <c r="BC72" t="n">
        <v>400</v>
      </c>
      <c r="BD72" t="inlineStr">
        <is>
          <t>aa</t>
        </is>
      </c>
      <c r="BE72" t="inlineStr">
        <is>
          <t>Wikipedia 'ZSU-23-4 Shilka': 4 x 850-1,000 rpm</t>
        </is>
      </c>
      <c r="BG72" t="inlineStr">
        <is>
          <t>giong</t>
        </is>
      </c>
      <c r="DE72" t="n">
        <v>14</v>
      </c>
      <c r="DF72" t="inlineStr">
        <is>
          <t>Kinetic</t>
        </is>
      </c>
      <c r="DM72" t="inlineStr">
        <is>
          <t>ground</t>
        </is>
      </c>
      <c r="DN72" t="inlineStr">
        <is>
          <t>BeltedAutocannon</t>
        </is>
      </c>
      <c r="DT72" t="inlineStr">
        <is>
          <t>flak_quad</t>
        </is>
      </c>
      <c r="EB72" t="n">
        <v>2</v>
      </c>
      <c r="EE72" t="b">
        <v>1</v>
      </c>
      <c r="EQ72" t="inlineStr">
        <is>
          <t>ZSU-23-4 23 mm AP (quad)</t>
        </is>
      </c>
      <c r="ES72" t="inlineStr">
        <is>
          <t>ap</t>
        </is>
      </c>
      <c r="EU72" t="inlineStr">
        <is>
          <t>flak_quad</t>
        </is>
      </c>
      <c r="EY72" t="n">
        <v>0</v>
      </c>
      <c r="FW72" t="inlineStr">
        <is>
          <t>Ground</t>
        </is>
      </c>
      <c r="GA72" t="inlineStr"/>
      <c r="GD72" t="inlineStr">
        <is>
          <t>Assets/MachineBrigade/Resources/Data/balance.json: secondRounds.rounds[19]</t>
        </is>
      </c>
      <c r="GE72" t="inlineStr">
        <is>
          <t>{"id":"flak_quad_ap","roundOf":"flak_quad","inherits":"flak_quad","weaponFamily":"","round":"ap","for":["ground"],"real":"ZSU-23-4 23 mm AP (quad)","damageType":"Kinetic","pen":2,"damage":14,"splash":0,"form":"BeltedAutocannon","piercing":true,"targets":"Ground"}</t>
        </is>
      </c>
    </row>
    <row r="73">
      <c r="A73" t="inlineStr">
        <is>
          <t>flamethrower</t>
        </is>
      </c>
      <c r="B73" t="inlineStr">
        <is>
          <t>flamethrower</t>
        </is>
      </c>
      <c r="C73" t="inlineStr">
        <is>
          <t>flame_flamethrower</t>
        </is>
      </c>
      <c r="D73" t="inlineStr"/>
      <c r="E73" t="inlineStr"/>
      <c r="F73" t="inlineStr">
        <is>
          <t>flame</t>
        </is>
      </c>
      <c r="G73" t="inlineStr"/>
      <c r="H73" t="inlineStr"/>
      <c r="I73" t="inlineStr"/>
      <c r="J73" t="inlineStr"/>
      <c r="K73" t="inlineStr">
        <is>
          <t>Fire</t>
        </is>
      </c>
      <c r="L73" t="n">
        <v>1</v>
      </c>
      <c r="M73" t="inlineStr">
        <is>
          <t>Flame</t>
        </is>
      </c>
      <c r="N73" t="n">
        <v>1</v>
      </c>
      <c r="O73" t="inlineStr">
        <is>
          <t>RIPPLE</t>
        </is>
      </c>
      <c r="P73" t="n">
        <v>1</v>
      </c>
      <c r="Q73" t="n">
        <v>0.1</v>
      </c>
      <c r="R73" t="n">
        <v>0.25</v>
      </c>
      <c r="S73" t="n">
        <v>0</v>
      </c>
      <c r="T73" t="n">
        <v>0</v>
      </c>
      <c r="U73" t="n">
        <v>0</v>
      </c>
      <c r="V73" t="n">
        <v>0</v>
      </c>
      <c r="W73" t="n">
        <v>21</v>
      </c>
      <c r="X73" t="n">
        <v>2.5</v>
      </c>
      <c r="Y73" t="n">
        <v>0</v>
      </c>
      <c r="Z73" t="n">
        <v>36</v>
      </c>
      <c r="AA73" t="n">
        <v>13</v>
      </c>
      <c r="AB73" t="n">
        <v>0</v>
      </c>
      <c r="AC73" t="inlineStr">
        <is>
          <t>Ground</t>
        </is>
      </c>
      <c r="AD73" t="inlineStr"/>
      <c r="AE73" t="n">
        <v>1.2</v>
      </c>
      <c r="AF73" t="inlineStr">
        <is>
          <t>Small</t>
        </is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n">
        <v>1</v>
      </c>
      <c r="AO73" t="n">
        <v>0</v>
      </c>
      <c r="AP73" t="inlineStr">
        <is>
          <t>T1</t>
        </is>
      </c>
      <c r="AQ73" t="inlineStr"/>
      <c r="AR73" t="inlineStr"/>
      <c r="AS73" t="inlineStr">
        <is>
          <t>xe</t>
        </is>
      </c>
      <c r="AT73" t="inlineStr">
        <is>
          <t>flame_tank</t>
        </is>
      </c>
      <c r="AU73" t="n">
        <v>1</v>
      </c>
      <c r="AV73" t="inlineStr">
        <is>
          <t>flame_tank:0</t>
        </is>
      </c>
      <c r="AW73" t="n">
        <v>0</v>
      </c>
      <c r="AX73" t="b">
        <v>0</v>
      </c>
      <c r="AY73" t="inlineStr"/>
      <c r="AZ73">
        <f>IF(AND($AX$73,$AW$73&gt;$AA$73/$Z$73),$AW$73,$AA$73/$Z$73)</f>
        <v/>
      </c>
      <c r="BA73" t="n">
        <v>0.3611111111111111</v>
      </c>
      <c r="BB73" t="inlineStr">
        <is>
          <t>NEED_SOURCE</t>
        </is>
      </c>
      <c r="BC73" t="inlineStr">
        <is>
          <t>NEED_SOURCE</t>
        </is>
      </c>
      <c r="BE73" t="inlineStr">
        <is>
          <t>NEED_SOURCE</t>
        </is>
      </c>
      <c r="BG73" t="inlineStr">
        <is>
          <t>giong</t>
        </is>
      </c>
      <c r="DD73" t="n">
        <v>0.25</v>
      </c>
      <c r="DE73" t="n">
        <v>21</v>
      </c>
      <c r="DF73" t="inlineStr">
        <is>
          <t>Fire</t>
        </is>
      </c>
      <c r="DJ73" t="inlineStr">
        <is>
          <t>flame</t>
        </is>
      </c>
      <c r="DS73" t="inlineStr">
        <is>
          <t>Small</t>
        </is>
      </c>
      <c r="EB73" t="n">
        <v>1</v>
      </c>
      <c r="EH73" t="inlineStr">
        <is>
          <t>Flame</t>
        </is>
      </c>
      <c r="EK73" t="n">
        <v>36</v>
      </c>
      <c r="EP73" t="n">
        <v>13</v>
      </c>
      <c r="EQ73" t="inlineStr">
        <is>
          <t>flamethrower</t>
        </is>
      </c>
      <c r="EX73" t="n">
        <v>1</v>
      </c>
      <c r="EY73" t="n">
        <v>2.5</v>
      </c>
      <c r="EZ73" t="n">
        <v>1.2</v>
      </c>
      <c r="GB73" t="inlineStr">
        <is>
          <t>flame_flamethrower</t>
        </is>
      </c>
      <c r="GD73" t="inlineStr">
        <is>
          <t>Assets/MachineBrigade/Resources/Data/balance.json: weapons[15]</t>
        </is>
      </c>
      <c r="GE73" t="inlineStr">
        <is>
          <t>{"id":"flamethrower","weaponFamilyId":"flame_flamethrower","real":"flamethrower","family":"flame","size":1,"pen":1,"damageType":"Fire","damage":21,"cooldown":0.25,"range":13,"projectileSpeed":36,"splash":2.5,"spread":1.2,"impactTier":"Small","projectile":"Flame"}</t>
        </is>
      </c>
    </row>
    <row r="74">
      <c r="A74" t="inlineStr">
        <is>
          <t>focus_laser</t>
        </is>
      </c>
      <c r="B74" t="inlineStr">
        <is>
          <t>focused laser (300 kW)</t>
        </is>
      </c>
      <c r="C74" t="inlineStr">
        <is>
          <t>laser_focused_laser</t>
        </is>
      </c>
      <c r="D74" t="inlineStr"/>
      <c r="E74" t="inlineStr"/>
      <c r="F74" t="inlineStr">
        <is>
          <t>laser</t>
        </is>
      </c>
      <c r="G74" t="inlineStr"/>
      <c r="H74" t="inlineStr"/>
      <c r="I74" t="n">
        <v>300</v>
      </c>
      <c r="J74" t="inlineStr"/>
      <c r="K74" t="inlineStr">
        <is>
          <t>Energy</t>
        </is>
      </c>
      <c r="L74" t="n">
        <v>4</v>
      </c>
      <c r="M74" t="inlineStr">
        <is>
          <t>Bullet</t>
        </is>
      </c>
      <c r="N74" t="n">
        <v>1</v>
      </c>
      <c r="O74" t="inlineStr">
        <is>
          <t>RIPPLE</t>
        </is>
      </c>
      <c r="P74" t="n">
        <v>1</v>
      </c>
      <c r="Q74" t="n">
        <v>0.1</v>
      </c>
      <c r="R74" t="n">
        <v>0.1</v>
      </c>
      <c r="S74" t="n">
        <v>80</v>
      </c>
      <c r="T74" t="n">
        <v>1.5</v>
      </c>
      <c r="U74" t="n">
        <v>0</v>
      </c>
      <c r="V74" t="n">
        <v>0</v>
      </c>
      <c r="W74" t="n">
        <v>12.5</v>
      </c>
      <c r="X74" t="n">
        <v>0</v>
      </c>
      <c r="Y74" t="n">
        <v>0</v>
      </c>
      <c r="Z74" t="n">
        <v>3000</v>
      </c>
      <c r="AA74" t="n">
        <v>40</v>
      </c>
      <c r="AB74" t="n">
        <v>0</v>
      </c>
      <c r="AC74" t="inlineStr">
        <is>
          <t>Ground</t>
        </is>
      </c>
      <c r="AD74" t="inlineStr"/>
      <c r="AE74" t="n">
        <v>0</v>
      </c>
      <c r="AF74" t="inlineStr">
        <is>
          <t>Small</t>
        </is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1</v>
      </c>
      <c r="AM74" t="b">
        <v>0</v>
      </c>
      <c r="AN74" t="n">
        <v>300</v>
      </c>
      <c r="AO74" t="n">
        <v>0</v>
      </c>
      <c r="AP74" t="inlineStr">
        <is>
          <t>T1</t>
        </is>
      </c>
      <c r="AQ74" t="inlineStr"/>
      <c r="AR74" t="inlineStr"/>
      <c r="AS74" t="inlineStr">
        <is>
          <t>xe</t>
        </is>
      </c>
      <c r="AT74" t="inlineStr">
        <is>
          <t>laser_tank</t>
        </is>
      </c>
      <c r="AU74" t="n">
        <v>1</v>
      </c>
      <c r="AV74" t="inlineStr">
        <is>
          <t>laser_tank:0</t>
        </is>
      </c>
      <c r="AW74" t="n">
        <v>0</v>
      </c>
      <c r="AX74" t="b">
        <v>0</v>
      </c>
      <c r="AY74" t="inlineStr"/>
      <c r="AZ74">
        <f>IF(AND($AX$74,$AW$74&gt;$AA$74/$Z$74),$AW$74,$AA$74/$Z$74)</f>
        <v/>
      </c>
      <c r="BA74" t="n">
        <v>0.01333333333333333</v>
      </c>
      <c r="BB74" t="inlineStr">
        <is>
          <t>NEED_SOURCE</t>
        </is>
      </c>
      <c r="BC74" t="inlineStr">
        <is>
          <t>NEED_SOURCE</t>
        </is>
      </c>
      <c r="BE74" t="inlineStr">
        <is>
          <t>NEED_SOURCE</t>
        </is>
      </c>
      <c r="BG74" t="inlineStr">
        <is>
          <t>giong</t>
        </is>
      </c>
      <c r="CP74" t="b">
        <v>1</v>
      </c>
      <c r="CW74" t="n">
        <v>80</v>
      </c>
      <c r="CX74" t="n">
        <v>1.5</v>
      </c>
      <c r="DD74" t="n">
        <v>0.1</v>
      </c>
      <c r="DE74" t="n">
        <v>12.5</v>
      </c>
      <c r="DF74" t="inlineStr">
        <is>
          <t>Energy</t>
        </is>
      </c>
      <c r="DJ74" t="inlineStr">
        <is>
          <t>laser</t>
        </is>
      </c>
      <c r="DS74" t="inlineStr">
        <is>
          <t>Small</t>
        </is>
      </c>
      <c r="EB74" t="n">
        <v>4</v>
      </c>
      <c r="EF74" t="n">
        <v>300</v>
      </c>
      <c r="EH74" t="inlineStr">
        <is>
          <t>Bullet</t>
        </is>
      </c>
      <c r="EK74" t="n">
        <v>3000</v>
      </c>
      <c r="EL74" t="n">
        <v>0.3</v>
      </c>
      <c r="EM74" t="n">
        <v>2</v>
      </c>
      <c r="EN74" t="n">
        <v>4</v>
      </c>
      <c r="EO74" t="n">
        <v>2</v>
      </c>
      <c r="EP74" t="n">
        <v>40</v>
      </c>
      <c r="EQ74" t="inlineStr">
        <is>
          <t>focused laser (300 kW)</t>
        </is>
      </c>
      <c r="EX74" t="n">
        <v>300</v>
      </c>
      <c r="GB74" t="inlineStr">
        <is>
          <t>laser_focused_laser</t>
        </is>
      </c>
      <c r="GD74" t="inlineStr">
        <is>
          <t>Assets/MachineBrigade/Resources/Data/balance.json: weapons[261]</t>
        </is>
      </c>
      <c r="GE74" t="inlineStr">
        <is>
          <t>{"id":"focus_laser","weaponFamilyId":"laser_focused_laser","real":"focused laser (300 kW)","family":"laser","size":300,"powerKw":300,"pen":4,"damageType":"Energy","damage":12.5,"cooldown":0.1,"range":40,"projectileSpeed":3000,"impactTier":"Small","projectile":"Bullet","beam":true,"clip":80,"clipReload":1.5,"ramp":{"from":0.3,"to":2.0,"seconds":4,"grace":2.0}}</t>
        </is>
      </c>
    </row>
    <row r="75">
      <c r="A75" t="inlineStr">
        <is>
          <t>fpv_hangar</t>
        </is>
      </c>
      <c r="B75" t="inlineStr">
        <is>
          <t>FPV drone (1.5 kg)</t>
        </is>
      </c>
      <c r="C75" t="inlineStr">
        <is>
          <t>drone_fpv_drone</t>
        </is>
      </c>
      <c r="D75" t="inlineStr"/>
      <c r="E75" t="inlineStr">
        <is>
          <t>fpv_drone</t>
        </is>
      </c>
      <c r="F75" t="inlineStr">
        <is>
          <t>drone</t>
        </is>
      </c>
      <c r="G75" t="inlineStr"/>
      <c r="H75" t="n">
        <v>1.5</v>
      </c>
      <c r="I75" t="inlineStr"/>
      <c r="J75" t="inlineStr"/>
      <c r="K75" t="inlineStr">
        <is>
          <t>ShapedCharge</t>
        </is>
      </c>
      <c r="L75" t="n">
        <v>3</v>
      </c>
      <c r="M75" t="inlineStr">
        <is>
          <t>Drone</t>
        </is>
      </c>
      <c r="N75" t="n">
        <v>1</v>
      </c>
      <c r="O75" t="inlineStr">
        <is>
          <t>RIPPLE</t>
        </is>
      </c>
      <c r="P75" t="n">
        <v>4</v>
      </c>
      <c r="Q75" t="n">
        <v>1</v>
      </c>
      <c r="R75" t="n">
        <v>7.5</v>
      </c>
      <c r="S75" t="n">
        <v>0</v>
      </c>
      <c r="T75" t="n">
        <v>0</v>
      </c>
      <c r="U75" t="n">
        <v>0</v>
      </c>
      <c r="V75" t="n">
        <v>9</v>
      </c>
      <c r="W75" t="n">
        <v>140</v>
      </c>
      <c r="X75" t="n">
        <v>2.5</v>
      </c>
      <c r="Y75" t="n">
        <v>0</v>
      </c>
      <c r="Z75" t="n">
        <v>26</v>
      </c>
      <c r="AA75" t="n">
        <v>70</v>
      </c>
      <c r="AB75" t="n">
        <v>8</v>
      </c>
      <c r="AC75" t="inlineStr">
        <is>
          <t>Ground</t>
        </is>
      </c>
      <c r="AD75" t="inlineStr"/>
      <c r="AE75" t="n">
        <v>0</v>
      </c>
      <c r="AF75" t="inlineStr">
        <is>
          <t>Medium</t>
        </is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n">
        <v>1.5</v>
      </c>
      <c r="AO75" t="n">
        <v>0</v>
      </c>
      <c r="AP75" t="inlineStr">
        <is>
          <t>T2</t>
        </is>
      </c>
      <c r="AQ75" t="inlineStr">
        <is>
          <t>fpv_swarm</t>
        </is>
      </c>
      <c r="AR75" t="inlineStr"/>
      <c r="AS75" t="inlineStr">
        <is>
          <t>thap</t>
        </is>
      </c>
      <c r="AT75" t="inlineStr">
        <is>
          <t>drone_hangar</t>
        </is>
      </c>
      <c r="AU75" t="n">
        <v>1</v>
      </c>
      <c r="AV75" t="inlineStr">
        <is>
          <t>drone_hangar:0</t>
        </is>
      </c>
      <c r="AW75" t="n">
        <v>0</v>
      </c>
      <c r="AX75" t="b">
        <v>0</v>
      </c>
      <c r="AY75" t="inlineStr"/>
      <c r="AZ75">
        <f>IF(AND($AX$75,$AW$75&gt;$AA$75/$Z$75),$AW$75,$AA$75/$Z$75)</f>
        <v/>
      </c>
      <c r="BA75" t="n">
        <v>2.692307692307693</v>
      </c>
      <c r="BB75" t="inlineStr">
        <is>
          <t>NEED_SOURCE</t>
        </is>
      </c>
      <c r="BC75" t="inlineStr">
        <is>
          <t>NEED_SOURCE</t>
        </is>
      </c>
      <c r="BE75" t="inlineStr">
        <is>
          <t>NEED_SOURCE</t>
        </is>
      </c>
      <c r="BG75" t="inlineStr">
        <is>
          <t>giong</t>
        </is>
      </c>
      <c r="CN75" t="n">
        <v>0</v>
      </c>
      <c r="CR75" t="n">
        <v>4</v>
      </c>
      <c r="CS75" t="n">
        <v>1</v>
      </c>
      <c r="DD75" t="n">
        <v>7.5</v>
      </c>
      <c r="DJ75" t="inlineStr">
        <is>
          <t>drone</t>
        </is>
      </c>
      <c r="DT75" t="inlineStr">
        <is>
          <t>fpv_swarm</t>
        </is>
      </c>
      <c r="DZ75" t="n">
        <v>8</v>
      </c>
      <c r="EB75" t="n">
        <v>3</v>
      </c>
      <c r="EP75" t="n">
        <v>70</v>
      </c>
      <c r="EQ75" t="inlineStr">
        <is>
          <t>FPV drone (1.5 kg)</t>
        </is>
      </c>
      <c r="EX75" t="n">
        <v>1.5</v>
      </c>
      <c r="FY75" t="b">
        <v>1</v>
      </c>
      <c r="FZ75" t="n">
        <v>1.5</v>
      </c>
      <c r="GA75" t="inlineStr">
        <is>
          <t>fpv_drone</t>
        </is>
      </c>
      <c r="GD75" t="inlineStr">
        <is>
          <t>Assets/MachineBrigade/Resources/Data/balance.json: weapons[109]</t>
        </is>
      </c>
      <c r="GE75" t="inlineStr">
        <is>
          <t>{"id":"fpv_hangar","weaponFamily":"fpv_drone","real":"FPV drone (1.5 kg)","family":"drone","size":1.5,"warheadKg":1.5,"pen":3,"topAttack":true,"inherits":"fpv_swarm","cooldown":7.5,"range":70,"minRange":8,"burst":4,"burstInterval":1.0,"ammo":0}</t>
        </is>
      </c>
    </row>
    <row r="76">
      <c r="A76" t="inlineStr">
        <is>
          <t>fpv_hangar_swarm</t>
        </is>
      </c>
      <c r="B76" t="inlineStr">
        <is>
          <t>FPV drone (1.5 kg)</t>
        </is>
      </c>
      <c r="C76" t="inlineStr">
        <is>
          <t>drone_fpv_drone</t>
        </is>
      </c>
      <c r="D76" t="inlineStr"/>
      <c r="E76" t="inlineStr">
        <is>
          <t>fpv_drone</t>
        </is>
      </c>
      <c r="F76" t="inlineStr">
        <is>
          <t>drone</t>
        </is>
      </c>
      <c r="G76" t="inlineStr"/>
      <c r="H76" t="n">
        <v>1.5</v>
      </c>
      <c r="I76" t="inlineStr"/>
      <c r="J76" t="inlineStr"/>
      <c r="K76" t="inlineStr">
        <is>
          <t>ShapedCharge</t>
        </is>
      </c>
      <c r="L76" t="n">
        <v>3</v>
      </c>
      <c r="M76" t="inlineStr">
        <is>
          <t>Drone</t>
        </is>
      </c>
      <c r="N76" t="n">
        <v>1</v>
      </c>
      <c r="O76" t="inlineStr">
        <is>
          <t>RIPPLE</t>
        </is>
      </c>
      <c r="P76" t="n">
        <v>4</v>
      </c>
      <c r="Q76" t="n">
        <v>0.6</v>
      </c>
      <c r="R76" t="n">
        <v>6.1</v>
      </c>
      <c r="S76" t="n">
        <v>0</v>
      </c>
      <c r="T76" t="n">
        <v>0</v>
      </c>
      <c r="U76" t="n">
        <v>0</v>
      </c>
      <c r="V76" t="n">
        <v>9</v>
      </c>
      <c r="W76" t="n">
        <v>140</v>
      </c>
      <c r="X76" t="n">
        <v>2.5</v>
      </c>
      <c r="Y76" t="n">
        <v>0</v>
      </c>
      <c r="Z76" t="n">
        <v>26</v>
      </c>
      <c r="AA76" t="n">
        <v>70</v>
      </c>
      <c r="AB76" t="n">
        <v>8</v>
      </c>
      <c r="AC76" t="inlineStr">
        <is>
          <t>Ground</t>
        </is>
      </c>
      <c r="AD76" t="inlineStr"/>
      <c r="AE76" t="n">
        <v>0</v>
      </c>
      <c r="AF76" t="inlineStr">
        <is>
          <t>Medium</t>
        </is>
      </c>
      <c r="AG76" t="b">
        <v>1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n">
        <v>1.5</v>
      </c>
      <c r="AO76" t="n">
        <v>0</v>
      </c>
      <c r="AP76" t="inlineStr">
        <is>
          <t>T2</t>
        </is>
      </c>
      <c r="AQ76" t="inlineStr">
        <is>
          <t>fpv_hangar</t>
        </is>
      </c>
      <c r="AR76" t="inlineStr"/>
      <c r="AS76" t="inlineStr">
        <is>
          <t>thap</t>
        </is>
      </c>
      <c r="AT76" t="inlineStr">
        <is>
          <t>drone_hangar.swarm</t>
        </is>
      </c>
      <c r="AU76" t="n">
        <v>1</v>
      </c>
      <c r="AV76" t="inlineStr">
        <is>
          <t>drone_hangar.swarm:0</t>
        </is>
      </c>
      <c r="AW76" t="n">
        <v>0</v>
      </c>
      <c r="AX76" t="b">
        <v>0</v>
      </c>
      <c r="AY76" t="inlineStr"/>
      <c r="AZ76">
        <f>IF(AND($AX$76,$AW$76&gt;$AA$76/$Z$76),$AW$76,$AA$76/$Z$76)</f>
        <v/>
      </c>
      <c r="BA76" t="n">
        <v>2.692307692307693</v>
      </c>
      <c r="BB76" t="inlineStr">
        <is>
          <t>NEED_SOURCE</t>
        </is>
      </c>
      <c r="BC76" t="inlineStr">
        <is>
          <t>NEED_SOURCE</t>
        </is>
      </c>
      <c r="BE76" t="inlineStr">
        <is>
          <t>NEED_SOURCE</t>
        </is>
      </c>
      <c r="BG76" t="inlineStr">
        <is>
          <t>giong</t>
        </is>
      </c>
      <c r="CR76" t="n">
        <v>4</v>
      </c>
      <c r="CS76" t="n">
        <v>0.6</v>
      </c>
      <c r="DD76" t="n">
        <v>6.1</v>
      </c>
      <c r="DJ76" t="inlineStr">
        <is>
          <t>drone</t>
        </is>
      </c>
      <c r="DT76" t="inlineStr">
        <is>
          <t>fpv_hangar</t>
        </is>
      </c>
      <c r="EB76" t="n">
        <v>3</v>
      </c>
      <c r="EQ76" t="inlineStr">
        <is>
          <t>FPV drone (1.5 kg)</t>
        </is>
      </c>
      <c r="EX76" t="n">
        <v>1.5</v>
      </c>
      <c r="FY76" t="b">
        <v>1</v>
      </c>
      <c r="FZ76" t="n">
        <v>1.5</v>
      </c>
      <c r="GA76" t="inlineStr">
        <is>
          <t>fpv_drone</t>
        </is>
      </c>
      <c r="GD76" t="inlineStr">
        <is>
          <t>Assets/MachineBrigade/Resources/Data/balance.json: weapons[128]</t>
        </is>
      </c>
      <c r="GE76" t="inlineStr">
        <is>
          <t>{"id":"fpv_hangar_swarm","weaponFamily":"fpv_drone","real":"FPV drone (1.5 kg)","family":"drone","size":1.5,"warheadKg":1.5,"pen":3,"topAttack":true,"inherits":"fpv_hangar","cooldown":6.1,"burst":4,"burstInterval":0.6}</t>
        </is>
      </c>
    </row>
    <row r="77">
      <c r="A77" t="inlineStr">
        <is>
          <t>fpv_swarm</t>
        </is>
      </c>
      <c r="B77" t="inlineStr">
        <is>
          <t>FPV drone (1.5 kg)</t>
        </is>
      </c>
      <c r="C77" t="inlineStr">
        <is>
          <t>drone_fpv_drone</t>
        </is>
      </c>
      <c r="D77" t="inlineStr"/>
      <c r="E77" t="inlineStr">
        <is>
          <t>fpv_drone</t>
        </is>
      </c>
      <c r="F77" t="inlineStr">
        <is>
          <t>drone</t>
        </is>
      </c>
      <c r="G77" t="inlineStr"/>
      <c r="H77" t="n">
        <v>1.5</v>
      </c>
      <c r="I77" t="inlineStr"/>
      <c r="J77" t="inlineStr"/>
      <c r="K77" t="inlineStr">
        <is>
          <t>ShapedCharge</t>
        </is>
      </c>
      <c r="L77" t="n">
        <v>3</v>
      </c>
      <c r="M77" t="inlineStr">
        <is>
          <t>Drone</t>
        </is>
      </c>
      <c r="N77" t="n">
        <v>1</v>
      </c>
      <c r="O77" t="inlineStr">
        <is>
          <t>RIPPLE</t>
        </is>
      </c>
      <c r="P77" t="n">
        <v>1</v>
      </c>
      <c r="Q77" t="n">
        <v>0.1</v>
      </c>
      <c r="R77" t="n">
        <v>2.8</v>
      </c>
      <c r="S77" t="n">
        <v>0</v>
      </c>
      <c r="T77" t="n">
        <v>0</v>
      </c>
      <c r="U77" t="n">
        <v>16</v>
      </c>
      <c r="V77" t="n">
        <v>9</v>
      </c>
      <c r="W77" t="n">
        <v>140</v>
      </c>
      <c r="X77" t="n">
        <v>2.5</v>
      </c>
      <c r="Y77" t="n">
        <v>0</v>
      </c>
      <c r="Z77" t="n">
        <v>26</v>
      </c>
      <c r="AA77" t="n">
        <v>75</v>
      </c>
      <c r="AB77" t="n">
        <v>12</v>
      </c>
      <c r="AC77" t="inlineStr">
        <is>
          <t>Ground</t>
        </is>
      </c>
      <c r="AD77" t="inlineStr"/>
      <c r="AE77" t="n">
        <v>0</v>
      </c>
      <c r="AF77" t="inlineStr">
        <is>
          <t>Medium</t>
        </is>
      </c>
      <c r="AG77" t="b">
        <v>1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n">
        <v>1.5</v>
      </c>
      <c r="AO77" t="n">
        <v>0</v>
      </c>
      <c r="AP77" t="inlineStr">
        <is>
          <t>T2</t>
        </is>
      </c>
      <c r="AQ77" t="inlineStr"/>
      <c r="AR77" t="inlineStr"/>
      <c r="AS77" t="inlineStr">
        <is>
          <t>xe</t>
        </is>
      </c>
      <c r="AT77" t="inlineStr">
        <is>
          <t>elite_fpv_carrier;fpv_carrier</t>
        </is>
      </c>
      <c r="AU77" t="n">
        <v>2</v>
      </c>
      <c r="AV77" t="inlineStr">
        <is>
          <t>elite_fpv_carrier:0;fpv_carrier:0</t>
        </is>
      </c>
      <c r="AW77" t="n">
        <v>0</v>
      </c>
      <c r="AX77" t="b">
        <v>0</v>
      </c>
      <c r="AY77" t="inlineStr"/>
      <c r="AZ77">
        <f>IF(AND($AX$77,$AW$77&gt;$AA$77/$Z$77),$AW$77,$AA$77/$Z$77)</f>
        <v/>
      </c>
      <c r="BA77" t="n">
        <v>2.884615384615385</v>
      </c>
      <c r="BB77" t="inlineStr">
        <is>
          <t>NEED_SOURCE</t>
        </is>
      </c>
      <c r="BC77" t="inlineStr">
        <is>
          <t>NEED_SOURCE</t>
        </is>
      </c>
      <c r="BE77" t="inlineStr">
        <is>
          <t>NEED_SOURCE</t>
        </is>
      </c>
      <c r="BG77" t="inlineStr">
        <is>
          <t>giong</t>
        </is>
      </c>
      <c r="CN77" t="n">
        <v>16</v>
      </c>
      <c r="DD77" t="n">
        <v>2.8</v>
      </c>
      <c r="DE77" t="n">
        <v>140</v>
      </c>
      <c r="DF77" t="inlineStr">
        <is>
          <t>ShapedCharge</t>
        </is>
      </c>
      <c r="DJ77" t="inlineStr">
        <is>
          <t>drone</t>
        </is>
      </c>
      <c r="DS77" t="inlineStr">
        <is>
          <t>Medium</t>
        </is>
      </c>
      <c r="DZ77" t="n">
        <v>12</v>
      </c>
      <c r="EB77" t="n">
        <v>3</v>
      </c>
      <c r="EE77" t="b">
        <v>1</v>
      </c>
      <c r="EH77" t="inlineStr">
        <is>
          <t>Drone</t>
        </is>
      </c>
      <c r="EP77" t="n">
        <v>75</v>
      </c>
      <c r="EQ77" t="inlineStr">
        <is>
          <t>FPV drone (1.5 kg)</t>
        </is>
      </c>
      <c r="ER77" t="n">
        <v>9</v>
      </c>
      <c r="EX77" t="n">
        <v>1.5</v>
      </c>
      <c r="FY77" t="b">
        <v>1</v>
      </c>
      <c r="FZ77" t="n">
        <v>1.5</v>
      </c>
      <c r="GA77" t="inlineStr">
        <is>
          <t>fpv_drone</t>
        </is>
      </c>
      <c r="GB77" t="inlineStr">
        <is>
          <t>drone_fpv_drone</t>
        </is>
      </c>
      <c r="GD77" t="inlineStr">
        <is>
          <t>Assets/MachineBrigade/Resources/Data/balance.json: weapons[61]</t>
        </is>
      </c>
      <c r="GE77" t="inlineStr">
        <is>
          <t>{"id":"fpv_swarm","weaponFamilyId":"drone_fpv_drone","weaponFamily":"fpv_drone","real":"FPV drone (1.5 kg)","family":"drone","size":1.5,"warheadKg":1.5,"pen":3,"topAttack":true,"piercing":true,"damageType":"ShapedCharge","damage":140,"cooldown":2.8,"range":75,"minRange":12,"impactTier":"Medium","projectile":"Drone","ammo":16,"reload":9,"bonuses":[{"armor":"Structure","mult":1.5}]}</t>
        </is>
      </c>
    </row>
    <row r="78">
      <c r="A78" t="inlineStr">
        <is>
          <t>gau_gatling</t>
        </is>
      </c>
      <c r="B78" t="inlineStr">
        <is>
          <t>GAU-8 Avenger 30 mm</t>
        </is>
      </c>
      <c r="C78" t="inlineStr">
        <is>
          <t>cal_30</t>
        </is>
      </c>
      <c r="D78" t="inlineStr"/>
      <c r="E78" t="inlineStr"/>
      <c r="F78" t="inlineStr">
        <is>
          <t>autocannon</t>
        </is>
      </c>
      <c r="G78" t="n">
        <v>30</v>
      </c>
      <c r="H78" t="inlineStr"/>
      <c r="I78" t="inlineStr"/>
      <c r="J78" t="inlineStr"/>
      <c r="K78" t="inlineStr">
        <is>
          <t>Kinetic</t>
        </is>
      </c>
      <c r="L78" t="n">
        <v>3</v>
      </c>
      <c r="M78" t="inlineStr">
        <is>
          <t>Bullet</t>
        </is>
      </c>
      <c r="N78" t="n">
        <v>1</v>
      </c>
      <c r="O78" t="inlineStr">
        <is>
          <t>RIPPLE</t>
        </is>
      </c>
      <c r="P78" t="n">
        <v>1</v>
      </c>
      <c r="Q78" t="n">
        <v>0.1</v>
      </c>
      <c r="R78" t="n">
        <v>0.0167</v>
      </c>
      <c r="S78" t="n">
        <v>113</v>
      </c>
      <c r="T78" t="n">
        <v>2.79</v>
      </c>
      <c r="U78" t="n">
        <v>0</v>
      </c>
      <c r="V78" t="n">
        <v>0</v>
      </c>
      <c r="W78" t="n">
        <v>22</v>
      </c>
      <c r="X78" t="n">
        <v>0</v>
      </c>
      <c r="Y78" t="n">
        <v>0</v>
      </c>
      <c r="Z78" t="n">
        <v>320</v>
      </c>
      <c r="AA78" t="n">
        <v>32</v>
      </c>
      <c r="AB78" t="n">
        <v>0</v>
      </c>
      <c r="AC78" t="inlineStr">
        <is>
          <t>Ground</t>
        </is>
      </c>
      <c r="AD78" t="inlineStr"/>
      <c r="AE78" t="n">
        <v>2.2</v>
      </c>
      <c r="AF78" t="inlineStr">
        <is>
          <t>Small</t>
        </is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n">
        <v>30</v>
      </c>
      <c r="AO78" t="n">
        <v>0</v>
      </c>
      <c r="AP78" t="inlineStr">
        <is>
          <t>T1</t>
        </is>
      </c>
      <c r="AQ78" t="inlineStr"/>
      <c r="AR78" t="inlineStr"/>
      <c r="AS78" t="inlineStr"/>
      <c r="AT78" t="inlineStr"/>
      <c r="AU78" t="n">
        <v>0</v>
      </c>
      <c r="AV78" t="inlineStr"/>
      <c r="AW78" t="n">
        <v>0</v>
      </c>
      <c r="AX78" t="b">
        <v>0</v>
      </c>
      <c r="AY78" t="inlineStr"/>
      <c r="AZ78">
        <f>IF(AND($AX$78,$AW$78&gt;$AA$78/$Z$78),$AW$78,$AA$78/$Z$78)</f>
        <v/>
      </c>
      <c r="BA78" t="n">
        <v>0.1</v>
      </c>
      <c r="BB78" t="n">
        <v>3900</v>
      </c>
      <c r="BC78" t="inlineStr"/>
      <c r="BD78" t="inlineStr">
        <is>
          <t>ac</t>
        </is>
      </c>
      <c r="BE78" t="inlineStr">
        <is>
          <t>Wikipedia 'GAU-8 Avenger': 3,900 rpm</t>
        </is>
      </c>
      <c r="BG78" t="inlineStr">
        <is>
          <t>giong</t>
        </is>
      </c>
      <c r="CT78" t="n">
        <v>30</v>
      </c>
      <c r="CW78" t="n">
        <v>113</v>
      </c>
      <c r="CX78" t="n">
        <v>2.79</v>
      </c>
      <c r="DD78" t="n">
        <v>0.0167</v>
      </c>
      <c r="DE78" t="n">
        <v>22</v>
      </c>
      <c r="DF78" t="inlineStr">
        <is>
          <t>Kinetic</t>
        </is>
      </c>
      <c r="DJ78" t="inlineStr">
        <is>
          <t>autocannon</t>
        </is>
      </c>
      <c r="DS78" t="inlineStr">
        <is>
          <t>Small</t>
        </is>
      </c>
      <c r="EB78" t="n">
        <v>3</v>
      </c>
      <c r="EE78" t="b">
        <v>1</v>
      </c>
      <c r="EH78" t="inlineStr">
        <is>
          <t>Bullet</t>
        </is>
      </c>
      <c r="EK78" t="n">
        <v>320</v>
      </c>
      <c r="EP78" t="n">
        <v>32</v>
      </c>
      <c r="EQ78" t="inlineStr">
        <is>
          <t>GAU-8 Avenger 30 mm</t>
        </is>
      </c>
      <c r="EV78" t="n">
        <v>27</v>
      </c>
      <c r="EX78" t="n">
        <v>30</v>
      </c>
      <c r="EZ78" t="n">
        <v>2.2</v>
      </c>
      <c r="GB78" t="inlineStr">
        <is>
          <t>cal_30</t>
        </is>
      </c>
      <c r="GD78" t="inlineStr">
        <is>
          <t>Assets/MachineBrigade/Resources/Data/balance.json: weapons[81]</t>
        </is>
      </c>
      <c r="GE78" t="inlineStr">
        <is>
          <t>{"id":"gau_gatling","weaponFamilyId":"cal_30","real":"GAU-8 Avenger 30 mm","family":"autocannon","size":30,"caliberMm":30,"pen":3,"piercing":true,"damageType":"Kinetic","damage":22,"cooldown":0.0167,"range":32,"projectileSpeed":320,"spread":2.2,"impactTier":"Small","projectile":"Bullet","clip":113,"clipReload":2.79,"roundWeight":27}</t>
        </is>
      </c>
    </row>
    <row r="79">
      <c r="A79" t="inlineStr">
        <is>
          <t>grad_cluster</t>
        </is>
      </c>
      <c r="B79" t="inlineStr">
        <is>
          <t>BM-21 Grad 122 mm (cluster)</t>
        </is>
      </c>
      <c r="C79" t="inlineStr">
        <is>
          <t>rkt_grad_122</t>
        </is>
      </c>
      <c r="D79" t="inlineStr">
        <is>
          <t>cluster</t>
        </is>
      </c>
      <c r="E79" t="inlineStr">
        <is>
          <t>bm_21_grad_122_mm_2</t>
        </is>
      </c>
      <c r="F79" t="inlineStr">
        <is>
          <t>rocket</t>
        </is>
      </c>
      <c r="G79" t="n">
        <v>122</v>
      </c>
      <c r="H79" t="inlineStr"/>
      <c r="I79" t="inlineStr"/>
      <c r="J79" t="inlineStr"/>
      <c r="K79" t="inlineStr">
        <is>
          <t>HighExplosive</t>
        </is>
      </c>
      <c r="L79" t="n">
        <v>2</v>
      </c>
      <c r="M79" t="inlineStr">
        <is>
          <t>Rocket</t>
        </is>
      </c>
      <c r="N79" t="n">
        <v>1</v>
      </c>
      <c r="O79" t="inlineStr">
        <is>
          <t>RIPPLE</t>
        </is>
      </c>
      <c r="P79" t="n">
        <v>11</v>
      </c>
      <c r="Q79" t="n">
        <v>0.5</v>
      </c>
      <c r="R79" t="n">
        <v>8</v>
      </c>
      <c r="S79" t="n">
        <v>0</v>
      </c>
      <c r="T79" t="n">
        <v>0</v>
      </c>
      <c r="U79" t="n">
        <v>3</v>
      </c>
      <c r="V79" t="n">
        <v>13.67</v>
      </c>
      <c r="W79" t="n">
        <v>57</v>
      </c>
      <c r="X79" t="n">
        <v>4</v>
      </c>
      <c r="Y79" t="n">
        <v>0</v>
      </c>
      <c r="Z79" t="n">
        <v>130</v>
      </c>
      <c r="AA79" t="n">
        <v>78</v>
      </c>
      <c r="AB79" t="n">
        <v>18</v>
      </c>
      <c r="AC79" t="inlineStr">
        <is>
          <t>Ground</t>
        </is>
      </c>
      <c r="AD79" t="inlineStr"/>
      <c r="AE79" t="n">
        <v>8</v>
      </c>
      <c r="AF79" t="inlineStr">
        <is>
          <t>Medium</t>
        </is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n">
        <v>122</v>
      </c>
      <c r="AO79" t="n">
        <v>0</v>
      </c>
      <c r="AP79" t="inlineStr">
        <is>
          <t>T3</t>
        </is>
      </c>
      <c r="AQ79" t="inlineStr"/>
      <c r="AR79" t="inlineStr"/>
      <c r="AS79" t="inlineStr">
        <is>
          <t>xe</t>
        </is>
      </c>
      <c r="AT79" t="inlineStr">
        <is>
          <t>elite_grad</t>
        </is>
      </c>
      <c r="AU79" t="n">
        <v>1</v>
      </c>
      <c r="AV79" t="inlineStr">
        <is>
          <t>elite_grad:0</t>
        </is>
      </c>
      <c r="AW79" t="n">
        <v>0</v>
      </c>
      <c r="AX79" t="b">
        <v>0</v>
      </c>
      <c r="AY79" t="inlineStr"/>
      <c r="AZ79">
        <f>IF(AND($AX$79,$AW$79&gt;$AA$79/$Z$79),$AW$79,$AA$79/$Z$79)</f>
        <v/>
      </c>
      <c r="BA79" t="n">
        <v>0.6</v>
      </c>
      <c r="BB79" t="n">
        <v>120</v>
      </c>
      <c r="BC79" t="inlineStr"/>
      <c r="BD79" t="inlineStr">
        <is>
          <t>rocket</t>
        </is>
      </c>
      <c r="BE79" t="inlineStr">
        <is>
          <t>Wikipedia 'BM-21 Grad': 40 rockets in 20 s</t>
        </is>
      </c>
      <c r="BG79" t="inlineStr">
        <is>
          <t>doi</t>
        </is>
      </c>
      <c r="BR79" t="n">
        <v>45</v>
      </c>
      <c r="BS79" t="n">
        <v>130</v>
      </c>
      <c r="CN79" t="n">
        <v>3</v>
      </c>
      <c r="CR79" t="n">
        <v>11</v>
      </c>
      <c r="CS79" t="n">
        <v>0.5</v>
      </c>
      <c r="CT79" t="n">
        <v>122</v>
      </c>
      <c r="CY79" t="n">
        <v>4</v>
      </c>
      <c r="CZ79" t="n">
        <v>15</v>
      </c>
      <c r="DA79" t="n">
        <v>5</v>
      </c>
      <c r="DB79" t="n">
        <v>2.2</v>
      </c>
      <c r="DC79" t="inlineStr">
        <is>
          <t>Small</t>
        </is>
      </c>
      <c r="DD79" t="n">
        <v>8</v>
      </c>
      <c r="DE79" t="n">
        <v>57</v>
      </c>
      <c r="DF79" t="inlineStr">
        <is>
          <t>HighExplosive</t>
        </is>
      </c>
      <c r="DJ79" t="inlineStr">
        <is>
          <t>rocket</t>
        </is>
      </c>
      <c r="DS79" t="inlineStr">
        <is>
          <t>Medium</t>
        </is>
      </c>
      <c r="DZ79" t="n">
        <v>18</v>
      </c>
      <c r="EB79" t="n">
        <v>2</v>
      </c>
      <c r="EH79" t="inlineStr">
        <is>
          <t>Rocket</t>
        </is>
      </c>
      <c r="EP79" t="n">
        <v>78</v>
      </c>
      <c r="EQ79" t="inlineStr">
        <is>
          <t>BM-21 Grad 122 mm (cluster)</t>
        </is>
      </c>
      <c r="ER79" t="n">
        <v>13.67</v>
      </c>
      <c r="EX79" t="n">
        <v>122</v>
      </c>
      <c r="EZ79" t="n">
        <v>8</v>
      </c>
      <c r="GA79" t="inlineStr">
        <is>
          <t>bm_21_grad_122_mm_2</t>
        </is>
      </c>
      <c r="GB79" t="inlineStr">
        <is>
          <t>rkt_grad_122</t>
        </is>
      </c>
      <c r="GC79" t="inlineStr">
        <is>
          <t>cluster</t>
        </is>
      </c>
      <c r="GD79" t="inlineStr">
        <is>
          <t>Assets/MachineBrigade/Resources/Data/balance.json: weapons[96]</t>
        </is>
      </c>
      <c r="GE79" t="inlineStr">
        <is>
          <t>{"id":"grad_cluster","weaponFamilyId":"rkt_grad_122","weaponVariantId":"cluster","weaponFamily":"bm_21_grad_122_mm_2","real":"BM-21 Grad 122 mm (cluster)","family":"rocket","size":122,"caliberMm":122,"pen":2,"reload":13.67,"damageType":"HighExplosive","damage":57,"cooldown":8,"range":78,"minRange":18,"spread":8,"impactTier":"Medium","projectile":"Rocket","burst":11,"burstInterval":0.5,"ammo":3,"cluster":{"count":4,"radius":5,"damage":15,"splash":2.2,"tier":"Small"}}</t>
        </is>
      </c>
    </row>
    <row r="80">
      <c r="A80" t="inlineStr">
        <is>
          <t>grad_rockets</t>
        </is>
      </c>
      <c r="B80" t="inlineStr">
        <is>
          <t>BM-21 Grad 122 mm</t>
        </is>
      </c>
      <c r="C80" t="inlineStr">
        <is>
          <t>rkt_grad_122</t>
        </is>
      </c>
      <c r="D80" t="inlineStr"/>
      <c r="E80" t="inlineStr">
        <is>
          <t>bm_21_grad_122_mm</t>
        </is>
      </c>
      <c r="F80" t="inlineStr">
        <is>
          <t>rocket</t>
        </is>
      </c>
      <c r="G80" t="n">
        <v>122</v>
      </c>
      <c r="H80" t="inlineStr"/>
      <c r="I80" t="inlineStr"/>
      <c r="J80" t="inlineStr"/>
      <c r="K80" t="inlineStr">
        <is>
          <t>HighExplosive</t>
        </is>
      </c>
      <c r="L80" t="n">
        <v>2</v>
      </c>
      <c r="M80" t="inlineStr">
        <is>
          <t>Rocket</t>
        </is>
      </c>
      <c r="N80" t="n">
        <v>1</v>
      </c>
      <c r="O80" t="inlineStr">
        <is>
          <t>RIPPLE</t>
        </is>
      </c>
      <c r="P80" t="n">
        <v>9</v>
      </c>
      <c r="Q80" t="n">
        <v>0.5</v>
      </c>
      <c r="R80" t="n">
        <v>11.31</v>
      </c>
      <c r="S80" t="n">
        <v>0</v>
      </c>
      <c r="T80" t="n">
        <v>0</v>
      </c>
      <c r="U80" t="n">
        <v>3</v>
      </c>
      <c r="V80" t="n">
        <v>16.6</v>
      </c>
      <c r="W80" t="n">
        <v>57</v>
      </c>
      <c r="X80" t="n">
        <v>4.5</v>
      </c>
      <c r="Y80" t="n">
        <v>0</v>
      </c>
      <c r="Z80" t="n">
        <v>130</v>
      </c>
      <c r="AA80" t="n">
        <v>55</v>
      </c>
      <c r="AB80" t="n">
        <v>18</v>
      </c>
      <c r="AC80" t="inlineStr">
        <is>
          <t>Ground</t>
        </is>
      </c>
      <c r="AD80" t="inlineStr"/>
      <c r="AE80" t="n">
        <v>7</v>
      </c>
      <c r="AF80" t="inlineStr">
        <is>
          <t>Medium</t>
        </is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n">
        <v>122</v>
      </c>
      <c r="AO80" t="n">
        <v>0</v>
      </c>
      <c r="AP80" t="inlineStr">
        <is>
          <t>T3</t>
        </is>
      </c>
      <c r="AQ80" t="inlineStr"/>
      <c r="AR80" t="inlineStr"/>
      <c r="AS80" t="inlineStr"/>
      <c r="AT80" t="inlineStr"/>
      <c r="AU80" t="n">
        <v>0</v>
      </c>
      <c r="AV80" t="inlineStr"/>
      <c r="AW80" t="n">
        <v>0</v>
      </c>
      <c r="AX80" t="b">
        <v>0</v>
      </c>
      <c r="AY80" t="inlineStr"/>
      <c r="AZ80">
        <f>IF(AND($AX$80,$AW$80&gt;$AA$80/$Z$80),$AW$80,$AA$80/$Z$80)</f>
        <v/>
      </c>
      <c r="BA80" t="n">
        <v>0.4230769230769231</v>
      </c>
      <c r="BB80" t="n">
        <v>120</v>
      </c>
      <c r="BC80" t="inlineStr"/>
      <c r="BD80" t="inlineStr">
        <is>
          <t>rocket</t>
        </is>
      </c>
      <c r="BE80" t="inlineStr">
        <is>
          <t>Wikipedia 'BM-21 Grad': 40 rockets in 20 s</t>
        </is>
      </c>
      <c r="BG80" t="inlineStr">
        <is>
          <t>doi</t>
        </is>
      </c>
      <c r="BR80" t="n">
        <v>45</v>
      </c>
      <c r="BS80" t="n">
        <v>130</v>
      </c>
      <c r="CN80" t="n">
        <v>3</v>
      </c>
      <c r="CR80" t="n">
        <v>9</v>
      </c>
      <c r="CS80" t="n">
        <v>0.5</v>
      </c>
      <c r="CT80" t="n">
        <v>122</v>
      </c>
      <c r="DD80" t="n">
        <v>11.31</v>
      </c>
      <c r="DE80" t="n">
        <v>57</v>
      </c>
      <c r="DF80" t="inlineStr">
        <is>
          <t>HighExplosive</t>
        </is>
      </c>
      <c r="DJ80" t="inlineStr">
        <is>
          <t>rocket</t>
        </is>
      </c>
      <c r="DS80" t="inlineStr">
        <is>
          <t>Medium</t>
        </is>
      </c>
      <c r="DZ80" t="n">
        <v>18</v>
      </c>
      <c r="EB80" t="n">
        <v>2</v>
      </c>
      <c r="EH80" t="inlineStr">
        <is>
          <t>Rocket</t>
        </is>
      </c>
      <c r="EP80" t="n">
        <v>55</v>
      </c>
      <c r="EQ80" t="inlineStr">
        <is>
          <t>BM-21 Grad 122 mm</t>
        </is>
      </c>
      <c r="ER80" t="n">
        <v>16.6</v>
      </c>
      <c r="EX80" t="n">
        <v>122</v>
      </c>
      <c r="EZ80" t="n">
        <v>7</v>
      </c>
      <c r="GA80" t="inlineStr">
        <is>
          <t>bm_21_grad_122_mm</t>
        </is>
      </c>
      <c r="GB80" t="inlineStr">
        <is>
          <t>rkt_grad_122</t>
        </is>
      </c>
      <c r="GD80" t="inlineStr">
        <is>
          <t>Assets/MachineBrigade/Resources/Data/balance.json: weapons[33]</t>
        </is>
      </c>
      <c r="GE80" t="inlineStr">
        <is>
          <t>{"id":"grad_rockets","weaponFamilyId":"rkt_grad_122","weaponFamily":"bm_21_grad_122_mm","real":"BM-21 Grad 122 mm","family":"rocket","size":122,"caliberMm":122,"pen":2,"damageType":"HighExplosive","damage":57,"cooldown":11.31,"range":55,"minRange":18,"spread":7,"impactTier":"Medium","projectile":"Rocket","burst":9,"burstInterval":0.5,"ammo":3,"reload":16.6}</t>
        </is>
      </c>
    </row>
    <row r="81">
      <c r="A81" t="inlineStr">
        <is>
          <t>gsh_23v</t>
        </is>
      </c>
      <c r="B81" t="inlineStr">
        <is>
          <t>GSh-23V 23 mm</t>
        </is>
      </c>
      <c r="C81" t="inlineStr">
        <is>
          <t>cal_23</t>
        </is>
      </c>
      <c r="D81" t="inlineStr"/>
      <c r="E81" t="inlineStr"/>
      <c r="F81" t="inlineStr">
        <is>
          <t>autocannon</t>
        </is>
      </c>
      <c r="G81" t="n">
        <v>23</v>
      </c>
      <c r="H81" t="inlineStr"/>
      <c r="I81" t="inlineStr"/>
      <c r="J81" t="inlineStr"/>
      <c r="K81" t="inlineStr">
        <is>
          <t>Kinetic</t>
        </is>
      </c>
      <c r="L81" t="n">
        <v>2</v>
      </c>
      <c r="M81" t="inlineStr">
        <is>
          <t>Bullet</t>
        </is>
      </c>
      <c r="N81" t="n">
        <v>1</v>
      </c>
      <c r="O81" t="inlineStr">
        <is>
          <t>RIPPLE</t>
        </is>
      </c>
      <c r="P81" t="n">
        <v>1</v>
      </c>
      <c r="Q81" t="n">
        <v>0.1</v>
      </c>
      <c r="R81" t="n">
        <v>0.0182</v>
      </c>
      <c r="S81" t="n">
        <v>44</v>
      </c>
      <c r="T81" t="n">
        <v>5.6</v>
      </c>
      <c r="U81" t="n">
        <v>0</v>
      </c>
      <c r="V81" t="n">
        <v>0</v>
      </c>
      <c r="W81" t="n">
        <v>14</v>
      </c>
      <c r="X81" t="n">
        <v>0</v>
      </c>
      <c r="Y81" t="n">
        <v>0</v>
      </c>
      <c r="Z81" t="n">
        <v>240</v>
      </c>
      <c r="AA81" t="n">
        <v>26</v>
      </c>
      <c r="AB81" t="n">
        <v>0</v>
      </c>
      <c r="AC81" t="inlineStr">
        <is>
          <t>All</t>
        </is>
      </c>
      <c r="AD81" t="inlineStr"/>
      <c r="AE81" t="n">
        <v>1.3</v>
      </c>
      <c r="AF81" t="inlineStr">
        <is>
          <t>Small</t>
        </is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n">
        <v>23</v>
      </c>
      <c r="AO81" t="n">
        <v>0</v>
      </c>
      <c r="AP81" t="inlineStr">
        <is>
          <t>T1</t>
        </is>
      </c>
      <c r="AQ81" t="inlineStr"/>
      <c r="AR81" t="inlineStr"/>
      <c r="AS81" t="inlineStr"/>
      <c r="AT81" t="inlineStr"/>
      <c r="AU81" t="n">
        <v>0</v>
      </c>
      <c r="AV81" t="inlineStr"/>
      <c r="AW81" t="n">
        <v>0</v>
      </c>
      <c r="AX81" t="b">
        <v>0</v>
      </c>
      <c r="AY81" t="inlineStr"/>
      <c r="AZ81">
        <f>IF(AND($AX$81,$AW$81&gt;$AA$81/$Z$81),$AW$81,$AA$81/$Z$81)</f>
        <v/>
      </c>
      <c r="BA81" t="n">
        <v>0.1083333333333333</v>
      </c>
      <c r="BB81" t="n">
        <v>3400</v>
      </c>
      <c r="BC81" t="inlineStr"/>
      <c r="BD81" t="inlineStr">
        <is>
          <t>ac</t>
        </is>
      </c>
      <c r="BE81" t="inlineStr">
        <is>
          <t>Wikipedia 'Gryazev-Shipunov GSh-23': 3,000-3,400 rpm (GSh-23V)</t>
        </is>
      </c>
      <c r="BG81" t="inlineStr">
        <is>
          <t>giong</t>
        </is>
      </c>
      <c r="CT81" t="n">
        <v>23</v>
      </c>
      <c r="CW81" t="n">
        <v>44</v>
      </c>
      <c r="CX81" t="n">
        <v>5.6</v>
      </c>
      <c r="DD81" t="n">
        <v>0.0182</v>
      </c>
      <c r="DE81" t="n">
        <v>14</v>
      </c>
      <c r="DF81" t="inlineStr">
        <is>
          <t>Kinetic</t>
        </is>
      </c>
      <c r="DJ81" t="inlineStr">
        <is>
          <t>autocannon</t>
        </is>
      </c>
      <c r="DS81" t="inlineStr">
        <is>
          <t>Small</t>
        </is>
      </c>
      <c r="EB81" t="n">
        <v>2</v>
      </c>
      <c r="EH81" t="inlineStr">
        <is>
          <t>Bullet</t>
        </is>
      </c>
      <c r="EK81" t="n">
        <v>240</v>
      </c>
      <c r="EP81" t="n">
        <v>26</v>
      </c>
      <c r="EQ81" t="inlineStr">
        <is>
          <t>GSh-23V 23 mm</t>
        </is>
      </c>
      <c r="EX81" t="n">
        <v>23</v>
      </c>
      <c r="EZ81" t="n">
        <v>1.3</v>
      </c>
      <c r="FW81" t="inlineStr">
        <is>
          <t>All</t>
        </is>
      </c>
      <c r="GB81" t="inlineStr">
        <is>
          <t>cal_23</t>
        </is>
      </c>
      <c r="GD81" t="inlineStr">
        <is>
          <t>Assets/MachineBrigade/Resources/Data/balance.json: weapons[71]</t>
        </is>
      </c>
      <c r="GE81" t="inlineStr">
        <is>
          <t>{"id":"gsh_23v","weaponFamilyId":"cal_23","real":"GSh-23V 23 mm","family":"autocannon","size":23,"caliberMm":23,"pen":2,"damageType":"Kinetic","damage":14,"cooldown":0.0182,"range":26,"projectileSpeed":240,"spread":1.3,"impactTier":"Small","projectile":"Bullet","targets":"All","clip":44,"clipReload":5.6}</t>
        </is>
      </c>
    </row>
    <row r="82">
      <c r="A82" t="inlineStr">
        <is>
          <t>guided_bomb</t>
        </is>
      </c>
      <c r="B82" t="inlineStr">
        <is>
          <t>GBU-39 SDB (110 kg)</t>
        </is>
      </c>
      <c r="C82" t="inlineStr">
        <is>
          <t>bomb_gbu_39_sdb</t>
        </is>
      </c>
      <c r="D82" t="inlineStr"/>
      <c r="E82" t="inlineStr"/>
      <c r="F82" t="inlineStr">
        <is>
          <t>bomb</t>
        </is>
      </c>
      <c r="G82" t="inlineStr"/>
      <c r="H82" t="n">
        <v>110</v>
      </c>
      <c r="I82" t="inlineStr"/>
      <c r="J82" t="inlineStr"/>
      <c r="K82" t="inlineStr">
        <is>
          <t>HighExplosive</t>
        </is>
      </c>
      <c r="L82" t="n">
        <v>3</v>
      </c>
      <c r="M82" t="inlineStr">
        <is>
          <t>Bomb</t>
        </is>
      </c>
      <c r="N82" t="n">
        <v>1</v>
      </c>
      <c r="O82" t="inlineStr">
        <is>
          <t>RIPPLE</t>
        </is>
      </c>
      <c r="P82" t="n">
        <v>1</v>
      </c>
      <c r="Q82" t="n">
        <v>0.1</v>
      </c>
      <c r="R82" t="n">
        <v>6.651</v>
      </c>
      <c r="S82" t="n">
        <v>0</v>
      </c>
      <c r="T82" t="n">
        <v>0</v>
      </c>
      <c r="U82" t="n">
        <v>0</v>
      </c>
      <c r="V82" t="n">
        <v>0</v>
      </c>
      <c r="W82" t="n">
        <v>210</v>
      </c>
      <c r="X82" t="n">
        <v>4</v>
      </c>
      <c r="Y82" t="n">
        <v>0</v>
      </c>
      <c r="Z82" t="n">
        <v>40</v>
      </c>
      <c r="AA82" t="n">
        <v>30</v>
      </c>
      <c r="AB82" t="n">
        <v>0</v>
      </c>
      <c r="AC82" t="inlineStr">
        <is>
          <t>Ground</t>
        </is>
      </c>
      <c r="AD82" t="inlineStr"/>
      <c r="AE82" t="n">
        <v>1</v>
      </c>
      <c r="AF82" t="inlineStr">
        <is>
          <t>Large</t>
        </is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n">
        <v>110</v>
      </c>
      <c r="AO82" t="n">
        <v>2</v>
      </c>
      <c r="AP82" t="inlineStr">
        <is>
          <t>T2</t>
        </is>
      </c>
      <c r="AQ82" t="inlineStr"/>
      <c r="AR82" t="inlineStr"/>
      <c r="AS82" t="inlineStr">
        <is>
          <t>xe</t>
        </is>
      </c>
      <c r="AT82" t="inlineStr">
        <is>
          <t>stealth_fighter;strike_drone</t>
        </is>
      </c>
      <c r="AU82" t="n">
        <v>2</v>
      </c>
      <c r="AV82" t="inlineStr">
        <is>
          <t>stealth_fighter:1;strike_drone:1</t>
        </is>
      </c>
      <c r="AW82" t="n">
        <v>0</v>
      </c>
      <c r="AX82" t="b">
        <v>0</v>
      </c>
      <c r="AY82" t="inlineStr"/>
      <c r="AZ82">
        <f>IF(AND($AX$82,$AW$82&gt;$AA$82/$Z$82),$AW$82,$AA$82/$Z$82)</f>
        <v/>
      </c>
      <c r="BA82" t="n">
        <v>0.75</v>
      </c>
      <c r="BB82" t="n">
        <v>600</v>
      </c>
      <c r="BC82" t="inlineStr"/>
      <c r="BD82" t="inlineStr">
        <is>
          <t>bomb</t>
        </is>
      </c>
      <c r="BE82" t="inlineStr">
        <is>
          <t>a stick's release, 0.1 s and up (est.)</t>
        </is>
      </c>
      <c r="BG82" t="inlineStr">
        <is>
          <t>giong</t>
        </is>
      </c>
      <c r="DD82" t="n">
        <v>6.651</v>
      </c>
      <c r="DE82" t="n">
        <v>210</v>
      </c>
      <c r="DF82" t="inlineStr">
        <is>
          <t>HighExplosive</t>
        </is>
      </c>
      <c r="DJ82" t="inlineStr">
        <is>
          <t>bomb</t>
        </is>
      </c>
      <c r="DN82" t="inlineStr">
        <is>
          <t>GuidedBomb</t>
        </is>
      </c>
      <c r="DS82" t="inlineStr">
        <is>
          <t>Large</t>
        </is>
      </c>
      <c r="DW82" t="n">
        <v>2</v>
      </c>
      <c r="EB82" t="n">
        <v>3</v>
      </c>
      <c r="EH82" t="inlineStr">
        <is>
          <t>Bomb</t>
        </is>
      </c>
      <c r="EI82" t="inlineStr">
        <is>
          <t>gbu39</t>
        </is>
      </c>
      <c r="EJ82" t="n">
        <v>0.4091</v>
      </c>
      <c r="EK82" t="n">
        <v>40</v>
      </c>
      <c r="EP82" t="n">
        <v>30</v>
      </c>
      <c r="EQ82" t="inlineStr">
        <is>
          <t>GBU-39 SDB (110 kg)</t>
        </is>
      </c>
      <c r="ET82" t="n">
        <v>0.9</v>
      </c>
      <c r="EV82" t="n">
        <v>297</v>
      </c>
      <c r="EX82" t="n">
        <v>110</v>
      </c>
      <c r="EY82" t="n">
        <v>4</v>
      </c>
      <c r="EZ82" t="n">
        <v>1</v>
      </c>
      <c r="FA82" t="inlineStr">
        <is>
          <t>CENTER</t>
        </is>
      </c>
      <c r="FB82" t="n">
        <v>0.5</v>
      </c>
      <c r="FC82" t="n">
        <v>1</v>
      </c>
      <c r="FD82" t="inlineStr">
        <is>
          <t>OVERFLY</t>
        </is>
      </c>
      <c r="FE82" t="n">
        <v>0</v>
      </c>
      <c r="FF82" t="n">
        <v>0</v>
      </c>
      <c r="FG82" t="inlineStr">
        <is>
          <t>APPROACH</t>
        </is>
      </c>
      <c r="FH82" t="n">
        <v>0.1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inlineStr">
        <is>
          <t>POINT</t>
        </is>
      </c>
      <c r="FO82" t="n">
        <v>0</v>
      </c>
      <c r="FP82" t="n">
        <v>0</v>
      </c>
      <c r="FQ82" t="n">
        <v>8</v>
      </c>
      <c r="FR82" t="n">
        <v>0</v>
      </c>
      <c r="FS82" t="n">
        <v>0</v>
      </c>
      <c r="FT82" t="inlineStr">
        <is>
          <t>NONE</t>
        </is>
      </c>
      <c r="FU82" t="n">
        <v>8</v>
      </c>
      <c r="FZ82" t="n">
        <v>110</v>
      </c>
      <c r="GB82" t="inlineStr">
        <is>
          <t>bomb_gbu_39_sdb</t>
        </is>
      </c>
      <c r="GD82" t="inlineStr">
        <is>
          <t>Assets/MachineBrigade/Resources/Data/balance.json: weapons[236]</t>
        </is>
      </c>
      <c r="GE82" t="inlineStr">
        <is>
          <t>{"id":"guided_bomb","weaponFamilyId":"bomb_gbu_39_sdb","load":2,"real":"GBU-39 SDB (110 kg)","family":"bomb","size":110,"warheadKg":110,"pen":3,"form":"GuidedBomb","projectileModel":"gbu39","projectileScale":0.4091,"roundLength":0.9,"damageType":"HighExplosive","damage":210,"cooldown":6.651,"range":30,"projectileSpeed":40,"splash":4,"spread":1,"impactTier":"Large","projectile":"Bomb","roundWeight":297,"stick":{"mode":"POINT","bombs":1,"spacing":0,"length":0,"interval":0.1,"releaseSpeed":0,"fallTime":0,"lead":0,"heading":"APPROACH","anchor":"CENTER","drop":"OVERFLY","jitterAcross":0,"jitterAlong":0,"overlap":0,"width":8,"minTargets":0,"safety":8,"straightTime":0,"exit":0,"bayOpen":0.5,"warnShape":"NONE"}}</t>
        </is>
      </c>
    </row>
    <row r="83">
      <c r="A83" t="inlineStr">
        <is>
          <t>gun_57_air</t>
        </is>
      </c>
      <c r="B83" t="inlineStr">
        <is>
          <t>AU-220 57 mm (air burst)</t>
        </is>
      </c>
      <c r="C83" t="inlineStr">
        <is>
          <t>cal_57</t>
        </is>
      </c>
      <c r="D83" t="inlineStr">
        <is>
          <t>flak</t>
        </is>
      </c>
      <c r="E83" t="inlineStr"/>
      <c r="F83" t="inlineStr">
        <is>
          <t>autocannon</t>
        </is>
      </c>
      <c r="G83" t="n">
        <v>57</v>
      </c>
      <c r="H83" t="inlineStr"/>
      <c r="I83" t="inlineStr"/>
      <c r="J83" t="inlineStr"/>
      <c r="K83" t="inlineStr">
        <is>
          <t>Fragmentation</t>
        </is>
      </c>
      <c r="L83" t="n">
        <v>2</v>
      </c>
      <c r="M83" t="inlineStr">
        <is>
          <t>Bullet</t>
        </is>
      </c>
      <c r="N83" t="n">
        <v>1</v>
      </c>
      <c r="O83" t="inlineStr">
        <is>
          <t>RIPPLE</t>
        </is>
      </c>
      <c r="P83" t="n">
        <v>1</v>
      </c>
      <c r="Q83" t="n">
        <v>0.1</v>
      </c>
      <c r="R83" t="n">
        <v>0.5</v>
      </c>
      <c r="S83" t="n">
        <v>6</v>
      </c>
      <c r="T83" t="n">
        <v>2.4</v>
      </c>
      <c r="U83" t="n">
        <v>0</v>
      </c>
      <c r="V83" t="n">
        <v>0</v>
      </c>
      <c r="W83" t="n">
        <v>70</v>
      </c>
      <c r="X83" t="n">
        <v>3</v>
      </c>
      <c r="Y83" t="n">
        <v>0</v>
      </c>
      <c r="Z83" t="n">
        <v>260</v>
      </c>
      <c r="AA83" t="n">
        <v>40</v>
      </c>
      <c r="AB83" t="n">
        <v>0</v>
      </c>
      <c r="AC83" t="inlineStr">
        <is>
          <t>Air</t>
        </is>
      </c>
      <c r="AD83" t="inlineStr"/>
      <c r="AE83" t="n">
        <v>1.2</v>
      </c>
      <c r="AF83" t="inlineStr">
        <is>
          <t>Medium</t>
        </is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n">
        <v>57</v>
      </c>
      <c r="AO83" t="n">
        <v>0</v>
      </c>
      <c r="AP83" t="inlineStr">
        <is>
          <t>T2</t>
        </is>
      </c>
      <c r="AQ83" t="inlineStr"/>
      <c r="AR83" t="inlineStr"/>
      <c r="AS83" t="inlineStr"/>
      <c r="AT83" t="inlineStr"/>
      <c r="AU83" t="n">
        <v>0</v>
      </c>
      <c r="AV83" t="inlineStr"/>
      <c r="AW83" t="n">
        <v>0</v>
      </c>
      <c r="AX83" t="b">
        <v>0</v>
      </c>
      <c r="AY83" t="inlineStr"/>
      <c r="AZ83">
        <f>IF(AND($AX$83,$AW$83&gt;$AA$83/$Z$83),$AW$83,$AA$83/$Z$83)</f>
        <v/>
      </c>
      <c r="BA83" t="n">
        <v>0.1538461538461539</v>
      </c>
      <c r="BB83" t="n">
        <v>120</v>
      </c>
      <c r="BC83" t="n">
        <v>80</v>
      </c>
      <c r="BD83" t="inlineStr">
        <is>
          <t>ac</t>
        </is>
      </c>
      <c r="BE83" t="inlineStr">
        <is>
          <t>Wikipedia 'AU-220M': 80-120 rpm</t>
        </is>
      </c>
      <c r="BG83" t="inlineStr">
        <is>
          <t>giong</t>
        </is>
      </c>
      <c r="CT83" t="n">
        <v>57</v>
      </c>
      <c r="CW83" t="n">
        <v>6</v>
      </c>
      <c r="CX83" t="n">
        <v>2.4</v>
      </c>
      <c r="DD83" t="n">
        <v>0.5</v>
      </c>
      <c r="DE83" t="n">
        <v>70</v>
      </c>
      <c r="DF83" t="inlineStr">
        <is>
          <t>Fragmentation</t>
        </is>
      </c>
      <c r="DJ83" t="inlineStr">
        <is>
          <t>autocannon</t>
        </is>
      </c>
      <c r="DS83" t="inlineStr">
        <is>
          <t>Medium</t>
        </is>
      </c>
      <c r="EB83" t="n">
        <v>2</v>
      </c>
      <c r="EH83" t="inlineStr">
        <is>
          <t>Bullet</t>
        </is>
      </c>
      <c r="EK83" t="n">
        <v>260</v>
      </c>
      <c r="EP83" t="n">
        <v>40</v>
      </c>
      <c r="EQ83" t="inlineStr">
        <is>
          <t>AU-220 57 mm (air burst)</t>
        </is>
      </c>
      <c r="EV83" t="n">
        <v>70</v>
      </c>
      <c r="EX83" t="n">
        <v>57</v>
      </c>
      <c r="EY83" t="n">
        <v>3</v>
      </c>
      <c r="EZ83" t="n">
        <v>1.2</v>
      </c>
      <c r="FW83" t="inlineStr">
        <is>
          <t>Air</t>
        </is>
      </c>
      <c r="GB83" t="inlineStr">
        <is>
          <t>cal_57</t>
        </is>
      </c>
      <c r="GC83" t="inlineStr">
        <is>
          <t>flak</t>
        </is>
      </c>
      <c r="GD83" t="inlineStr">
        <is>
          <t>Assets/MachineBrigade/Resources/Data/balance.json: weapons[116]</t>
        </is>
      </c>
      <c r="GE83" t="inlineStr">
        <is>
          <t>{"id":"gun_57_air","weaponFamilyId":"cal_57","weaponVariantId":"flak","real":"AU-220 57 mm (air burst)","family":"autocannon","size":57,"caliberMm":57,"pen":2,"damageType":"Fragmentation","damage":70,"cooldown":0.5,"clip":6,"clipReload":2.4,"range":40,"projectileSpeed":260,"splash":3,"spread":1.2,"impactTier":"Medium","projectile":"Bullet","targets":"Air","roundWeight":70}</t>
        </is>
      </c>
    </row>
    <row r="84">
      <c r="A84" t="inlineStr">
        <is>
          <t>gun_57_auto</t>
        </is>
      </c>
      <c r="B84" t="inlineStr">
        <is>
          <t>AU-220 57 mm (tower, twin)</t>
        </is>
      </c>
      <c r="C84" t="inlineStr">
        <is>
          <t>cal_57</t>
        </is>
      </c>
      <c r="D84" t="inlineStr">
        <is>
          <t>ap</t>
        </is>
      </c>
      <c r="E84" t="inlineStr"/>
      <c r="F84" t="inlineStr">
        <is>
          <t>autocannon</t>
        </is>
      </c>
      <c r="G84" t="n">
        <v>57</v>
      </c>
      <c r="H84" t="inlineStr"/>
      <c r="I84" t="inlineStr"/>
      <c r="J84" t="inlineStr"/>
      <c r="K84" t="inlineStr">
        <is>
          <t>Kinetic</t>
        </is>
      </c>
      <c r="L84" t="n">
        <v>2</v>
      </c>
      <c r="M84" t="inlineStr">
        <is>
          <t>Bullet</t>
        </is>
      </c>
      <c r="N84" t="n">
        <v>2</v>
      </c>
      <c r="O84" t="inlineStr">
        <is>
          <t>RIPPLE</t>
        </is>
      </c>
      <c r="P84" t="n">
        <v>1</v>
      </c>
      <c r="Q84" t="n">
        <v>0.1</v>
      </c>
      <c r="R84" t="n">
        <v>0.25</v>
      </c>
      <c r="S84" t="n">
        <v>12</v>
      </c>
      <c r="T84" t="n">
        <v>2.65</v>
      </c>
      <c r="U84" t="n">
        <v>0</v>
      </c>
      <c r="V84" t="n">
        <v>0</v>
      </c>
      <c r="W84" t="n">
        <v>35</v>
      </c>
      <c r="X84" t="n">
        <v>1.5</v>
      </c>
      <c r="Y84" t="n">
        <v>0</v>
      </c>
      <c r="Z84" t="n">
        <v>260</v>
      </c>
      <c r="AA84" t="n">
        <v>40</v>
      </c>
      <c r="AB84" t="n">
        <v>0</v>
      </c>
      <c r="AC84" t="inlineStr">
        <is>
          <t>Ground</t>
        </is>
      </c>
      <c r="AD84" t="inlineStr"/>
      <c r="AE84" t="n">
        <v>0.9</v>
      </c>
      <c r="AF84" t="inlineStr">
        <is>
          <t>Medium</t>
        </is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n">
        <v>57</v>
      </c>
      <c r="AO84" t="n">
        <v>0</v>
      </c>
      <c r="AP84" t="inlineStr">
        <is>
          <t>T2</t>
        </is>
      </c>
      <c r="AQ84" t="inlineStr"/>
      <c r="AR84" t="inlineStr"/>
      <c r="AS84" t="inlineStr">
        <is>
          <t>thap</t>
        </is>
      </c>
      <c r="AT84" t="inlineStr">
        <is>
          <t>gun_turret.auto</t>
        </is>
      </c>
      <c r="AU84" t="n">
        <v>1</v>
      </c>
      <c r="AV84" t="inlineStr">
        <is>
          <t>gun_turret.auto:0</t>
        </is>
      </c>
      <c r="AW84" t="n">
        <v>0</v>
      </c>
      <c r="AX84" t="b">
        <v>0</v>
      </c>
      <c r="AY84" t="inlineStr">
        <is>
          <t>KHONG_AP_DUNG</t>
        </is>
      </c>
      <c r="AZ84">
        <f>IF(AND($AX$84,$AW$84&gt;$AA$84/$Z$84),$AW$84,$AA$84/$Z$84)</f>
        <v/>
      </c>
      <c r="BA84" t="n">
        <v>0.1538461538461539</v>
      </c>
      <c r="BB84" t="n">
        <v>120</v>
      </c>
      <c r="BC84" t="n">
        <v>80</v>
      </c>
      <c r="BD84" t="inlineStr">
        <is>
          <t>ac</t>
        </is>
      </c>
      <c r="BE84" t="inlineStr">
        <is>
          <t>Wikipedia 'AU-220M': 80-120 rpm</t>
        </is>
      </c>
      <c r="BG84" t="inlineStr">
        <is>
          <t>doi</t>
        </is>
      </c>
      <c r="BH84" t="n">
        <v>70</v>
      </c>
      <c r="BI84" t="n">
        <v>35</v>
      </c>
      <c r="BJ84" t="n">
        <v>0.5</v>
      </c>
      <c r="BK84" t="n">
        <v>0.25</v>
      </c>
      <c r="BX84" t="n">
        <v>1</v>
      </c>
      <c r="BY84" t="n">
        <v>2</v>
      </c>
      <c r="CF84" t="n">
        <v>6</v>
      </c>
      <c r="CG84" t="n">
        <v>12</v>
      </c>
      <c r="CH84" t="n">
        <v>2.9</v>
      </c>
      <c r="CI84" t="n">
        <v>2.65</v>
      </c>
      <c r="CL84" t="inlineStr">
        <is>
          <t>All</t>
        </is>
      </c>
      <c r="CM84" t="inlineStr">
        <is>
          <t>Ground</t>
        </is>
      </c>
      <c r="CO84" t="n">
        <v>2</v>
      </c>
      <c r="CT84" t="n">
        <v>57</v>
      </c>
      <c r="CW84" t="n">
        <v>12</v>
      </c>
      <c r="CX84" t="n">
        <v>2.65</v>
      </c>
      <c r="DD84" t="n">
        <v>0.25</v>
      </c>
      <c r="DE84" t="n">
        <v>35</v>
      </c>
      <c r="DF84" t="inlineStr">
        <is>
          <t>Kinetic</t>
        </is>
      </c>
      <c r="DJ84" t="inlineStr">
        <is>
          <t>autocannon</t>
        </is>
      </c>
      <c r="DS84" t="inlineStr">
        <is>
          <t>Medium</t>
        </is>
      </c>
      <c r="EB84" t="n">
        <v>2</v>
      </c>
      <c r="EG84" t="inlineStr">
        <is>
          <t>Light</t>
        </is>
      </c>
      <c r="EH84" t="inlineStr">
        <is>
          <t>Bullet</t>
        </is>
      </c>
      <c r="EK84" t="n">
        <v>260</v>
      </c>
      <c r="EP84" t="n">
        <v>40</v>
      </c>
      <c r="EQ84" t="inlineStr">
        <is>
          <t>AU-220 57 mm (tower, twin)</t>
        </is>
      </c>
      <c r="EV84" t="n">
        <v>70</v>
      </c>
      <c r="EX84" t="n">
        <v>57</v>
      </c>
      <c r="EY84" t="n">
        <v>1.5</v>
      </c>
      <c r="EZ84" t="n">
        <v>0.9</v>
      </c>
      <c r="FW84" t="inlineStr">
        <is>
          <t>Ground</t>
        </is>
      </c>
      <c r="GB84" t="inlineStr">
        <is>
          <t>cal_57</t>
        </is>
      </c>
      <c r="GC84" t="inlineStr">
        <is>
          <t>ap</t>
        </is>
      </c>
      <c r="GD84" t="inlineStr">
        <is>
          <t>Assets/MachineBrigade/Resources/Data/balance.json: weapons[115]</t>
        </is>
      </c>
      <c r="GE84" t="inlineStr">
        <is>
          <t>{"id":"gun_57_auto","weaponFamilyId":"cal_57","weaponVariantId":"ap","prey":"Light","real":"AU-220 57 mm (tower, twin)","family":"autocannon","size":57,"caliberMm":57,"barrels":2,"pen":2,"damageType":"Kinetic","damage":35,"cooldown":0.25,"clip":12,"clipReload":2.65,"range":40,"projectileSpeed":260,"splash":1.5,"spread":0.9,"impactTier":"Medium","projectile":"Bullet","targets":"Ground","roundWeight":70}</t>
        </is>
      </c>
    </row>
    <row r="85">
      <c r="A85" t="inlineStr">
        <is>
          <t>gun_57mm</t>
        </is>
      </c>
      <c r="B85" t="inlineStr">
        <is>
          <t>S-60 57 mm (2A91)</t>
        </is>
      </c>
      <c r="C85" t="inlineStr">
        <is>
          <t>cal_57</t>
        </is>
      </c>
      <c r="D85" t="inlineStr">
        <is>
          <t>ap</t>
        </is>
      </c>
      <c r="E85" t="inlineStr"/>
      <c r="F85" t="inlineStr">
        <is>
          <t>tank_gun</t>
        </is>
      </c>
      <c r="G85" t="n">
        <v>57</v>
      </c>
      <c r="H85" t="inlineStr"/>
      <c r="I85" t="inlineStr"/>
      <c r="J85" t="inlineStr"/>
      <c r="K85" t="inlineStr">
        <is>
          <t>Kinetic</t>
        </is>
      </c>
      <c r="L85" t="n">
        <v>2</v>
      </c>
      <c r="M85" t="inlineStr">
        <is>
          <t>Shell</t>
        </is>
      </c>
      <c r="N85" t="n">
        <v>1</v>
      </c>
      <c r="O85" t="inlineStr">
        <is>
          <t>RIPPLE</t>
        </is>
      </c>
      <c r="P85" t="n">
        <v>2</v>
      </c>
      <c r="Q85" t="n">
        <v>0.5</v>
      </c>
      <c r="R85" t="n">
        <v>5.929</v>
      </c>
      <c r="S85" t="n">
        <v>0</v>
      </c>
      <c r="T85" t="n">
        <v>0</v>
      </c>
      <c r="U85" t="n">
        <v>0</v>
      </c>
      <c r="V85" t="n">
        <v>0</v>
      </c>
      <c r="W85" t="n">
        <v>110</v>
      </c>
      <c r="X85" t="n">
        <v>0</v>
      </c>
      <c r="Y85" t="n">
        <v>0</v>
      </c>
      <c r="Z85" t="n">
        <v>150</v>
      </c>
      <c r="AA85" t="n">
        <v>28</v>
      </c>
      <c r="AB85" t="n">
        <v>0</v>
      </c>
      <c r="AC85" t="inlineStr">
        <is>
          <t>Ground</t>
        </is>
      </c>
      <c r="AD85" t="inlineStr"/>
      <c r="AE85" t="n">
        <v>0.8</v>
      </c>
      <c r="AF85" t="inlineStr">
        <is>
          <t>Medium</t>
        </is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n">
        <v>57</v>
      </c>
      <c r="AO85" t="n">
        <v>0</v>
      </c>
      <c r="AP85" t="inlineStr">
        <is>
          <t>T2</t>
        </is>
      </c>
      <c r="AQ85" t="inlineStr"/>
      <c r="AR85" t="inlineStr">
        <is>
          <t>gun_57mm_he</t>
        </is>
      </c>
      <c r="AS85" t="inlineStr">
        <is>
          <t>xe</t>
        </is>
      </c>
      <c r="AT85" t="inlineStr">
        <is>
          <t>light_tank</t>
        </is>
      </c>
      <c r="AU85" t="n">
        <v>1</v>
      </c>
      <c r="AV85" t="inlineStr">
        <is>
          <t>light_tank:0</t>
        </is>
      </c>
      <c r="AW85" t="n">
        <v>0</v>
      </c>
      <c r="AX85" t="b">
        <v>0</v>
      </c>
      <c r="AY85" t="inlineStr"/>
      <c r="AZ85">
        <f>IF(AND($AX$85,$AW$85&gt;$AA$85/$Z$85),$AW$85,$AA$85/$Z$85)</f>
        <v/>
      </c>
      <c r="BA85" t="n">
        <v>0.1866666666666667</v>
      </c>
      <c r="BB85" t="n">
        <v>120</v>
      </c>
      <c r="BC85" t="n">
        <v>80</v>
      </c>
      <c r="BD85" t="inlineStr">
        <is>
          <t>ac</t>
        </is>
      </c>
      <c r="BE85" t="inlineStr">
        <is>
          <t>Wikipedia 'AU-220M': 80-120 rpm</t>
        </is>
      </c>
      <c r="BG85" t="inlineStr">
        <is>
          <t>doi</t>
        </is>
      </c>
      <c r="BH85" t="n">
        <v>77</v>
      </c>
      <c r="BI85" t="n">
        <v>110</v>
      </c>
      <c r="BJ85" t="n">
        <v>4</v>
      </c>
      <c r="BK85" t="n">
        <v>5.929</v>
      </c>
      <c r="CR85" t="n">
        <v>2</v>
      </c>
      <c r="CS85" t="n">
        <v>0.5</v>
      </c>
      <c r="CT85" t="n">
        <v>57</v>
      </c>
      <c r="DD85" t="n">
        <v>5.929</v>
      </c>
      <c r="DE85" t="n">
        <v>110</v>
      </c>
      <c r="DF85" t="inlineStr">
        <is>
          <t>Kinetic</t>
        </is>
      </c>
      <c r="DJ85" t="inlineStr">
        <is>
          <t>tank_gun</t>
        </is>
      </c>
      <c r="DS85" t="inlineStr">
        <is>
          <t>Medium</t>
        </is>
      </c>
      <c r="EB85" t="n">
        <v>2</v>
      </c>
      <c r="EE85" t="b">
        <v>1</v>
      </c>
      <c r="EK85" t="n">
        <v>150</v>
      </c>
      <c r="EP85" t="n">
        <v>28</v>
      </c>
      <c r="EQ85" t="inlineStr">
        <is>
          <t>S-60 57 mm (2A91)</t>
        </is>
      </c>
      <c r="EV85" t="n">
        <v>79</v>
      </c>
      <c r="EX85" t="n">
        <v>57</v>
      </c>
      <c r="EZ85" t="n">
        <v>0.8</v>
      </c>
      <c r="GB85" t="inlineStr">
        <is>
          <t>cal_57</t>
        </is>
      </c>
      <c r="GC85" t="inlineStr">
        <is>
          <t>ap</t>
        </is>
      </c>
      <c r="GD85" t="inlineStr">
        <is>
          <t>Assets/MachineBrigade/Resources/Data/balance.json: weapons[10]</t>
        </is>
      </c>
      <c r="GE85" t="inlineStr">
        <is>
          <t>{"id":"gun_57mm","weaponFamilyId":"cal_57","weaponVariantId":"ap","burstInterval":0.5,"burst":2,"real":"S-60 57 mm (2A91)","family":"tank_gun","size":57,"caliberMm":57,"pen":2,"piercing":true,"damageType":"Kinetic","damage":110,"cooldown":5.929,"range":28,"projectileSpeed":150,"spread":0.8,"impactTier":"Medium","roundWeight":79}</t>
        </is>
      </c>
    </row>
    <row r="86">
      <c r="A86" t="inlineStr">
        <is>
          <t>gun_57mm_he</t>
        </is>
      </c>
      <c r="B86" t="inlineStr">
        <is>
          <t>S-60 57 mm HE (2A91)</t>
        </is>
      </c>
      <c r="C86" t="inlineStr">
        <is>
          <t>cal_57</t>
        </is>
      </c>
      <c r="D86" t="inlineStr"/>
      <c r="E86" t="inlineStr"/>
      <c r="F86" t="inlineStr">
        <is>
          <t>tank_gun</t>
        </is>
      </c>
      <c r="G86" t="n">
        <v>57</v>
      </c>
      <c r="H86" t="inlineStr"/>
      <c r="I86" t="inlineStr"/>
      <c r="J86" t="inlineStr"/>
      <c r="K86" t="inlineStr">
        <is>
          <t>HighExplosive</t>
        </is>
      </c>
      <c r="L86" t="n">
        <v>2</v>
      </c>
      <c r="M86" t="inlineStr">
        <is>
          <t>Shell</t>
        </is>
      </c>
      <c r="N86" t="n">
        <v>1</v>
      </c>
      <c r="O86" t="inlineStr">
        <is>
          <t>RIPPLE</t>
        </is>
      </c>
      <c r="P86" t="n">
        <v>2</v>
      </c>
      <c r="Q86" t="n">
        <v>0.5</v>
      </c>
      <c r="R86" t="n">
        <v>5.929</v>
      </c>
      <c r="S86" t="n">
        <v>0</v>
      </c>
      <c r="T86" t="n">
        <v>0</v>
      </c>
      <c r="U86" t="n">
        <v>0</v>
      </c>
      <c r="V86" t="n">
        <v>0</v>
      </c>
      <c r="W86" t="n">
        <v>110</v>
      </c>
      <c r="X86" t="n">
        <v>3</v>
      </c>
      <c r="Y86" t="n">
        <v>0</v>
      </c>
      <c r="Z86" t="n">
        <v>150</v>
      </c>
      <c r="AA86" t="n">
        <v>28</v>
      </c>
      <c r="AB86" t="n">
        <v>0</v>
      </c>
      <c r="AC86" t="inlineStr">
        <is>
          <t>Ground</t>
        </is>
      </c>
      <c r="AD86" t="inlineStr"/>
      <c r="AE86" t="n">
        <v>0.8</v>
      </c>
      <c r="AF86" t="inlineStr">
        <is>
          <t>Large</t>
        </is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n">
        <v>57</v>
      </c>
      <c r="AO86" t="n">
        <v>0</v>
      </c>
      <c r="AP86" t="inlineStr">
        <is>
          <t>T2</t>
        </is>
      </c>
      <c r="AQ86" t="inlineStr">
        <is>
          <t>gun_57mm</t>
        </is>
      </c>
      <c r="AR86" t="inlineStr"/>
      <c r="AS86" t="inlineStr"/>
      <c r="AT86" t="inlineStr"/>
      <c r="AU86" t="n">
        <v>0</v>
      </c>
      <c r="AV86" t="inlineStr"/>
      <c r="AW86" t="n">
        <v>0</v>
      </c>
      <c r="AX86" t="b">
        <v>0</v>
      </c>
      <c r="AY86" t="inlineStr"/>
      <c r="AZ86">
        <f>IF(AND($AX$86,$AW$86&gt;$AA$86/$Z$86),$AW$86,$AA$86/$Z$86)</f>
        <v/>
      </c>
      <c r="BA86" t="n">
        <v>0.1866666666666667</v>
      </c>
      <c r="BB86" t="n">
        <v>120</v>
      </c>
      <c r="BC86" t="n">
        <v>80</v>
      </c>
      <c r="BD86" t="inlineStr">
        <is>
          <t>ac</t>
        </is>
      </c>
      <c r="BE86" t="inlineStr">
        <is>
          <t>Wikipedia 'AU-220M': 80-120 rpm</t>
        </is>
      </c>
      <c r="BG86" t="inlineStr">
        <is>
          <t>doi</t>
        </is>
      </c>
      <c r="BH86" t="n">
        <v>77</v>
      </c>
      <c r="BI86" t="n">
        <v>110</v>
      </c>
      <c r="BJ86" t="n">
        <v>4</v>
      </c>
      <c r="BK86" t="n">
        <v>5.929</v>
      </c>
      <c r="DE86" t="n">
        <v>110</v>
      </c>
      <c r="DF86" t="inlineStr">
        <is>
          <t>HighExplosive</t>
        </is>
      </c>
      <c r="DM86" t="inlineStr">
        <is>
          <t>light;structure</t>
        </is>
      </c>
      <c r="DN86" t="inlineStr">
        <is>
          <t>HeShell</t>
        </is>
      </c>
      <c r="DS86" t="inlineStr">
        <is>
          <t>Large</t>
        </is>
      </c>
      <c r="DT86" t="inlineStr">
        <is>
          <t>gun_57mm</t>
        </is>
      </c>
      <c r="EB86" t="n">
        <v>2</v>
      </c>
      <c r="EE86" t="b">
        <v>0</v>
      </c>
      <c r="EQ86" t="inlineStr">
        <is>
          <t>S-60 57 mm HE (2A91)</t>
        </is>
      </c>
      <c r="ES86" t="inlineStr">
        <is>
          <t>he</t>
        </is>
      </c>
      <c r="EU86" t="inlineStr">
        <is>
          <t>gun_57mm</t>
        </is>
      </c>
      <c r="EY86" t="n">
        <v>3</v>
      </c>
      <c r="FW86" t="inlineStr">
        <is>
          <t>Ground</t>
        </is>
      </c>
      <c r="GA86" t="inlineStr"/>
      <c r="GC86" t="inlineStr"/>
      <c r="GD86" t="inlineStr">
        <is>
          <t>Assets/MachineBrigade/Resources/Data/balance.json: secondRounds.rounds[32]</t>
        </is>
      </c>
      <c r="GE86" t="inlineStr">
        <is>
          <t>{"id":"gun_57mm_he","roundOf":"gun_57mm","inherits":"gun_57mm","weaponVariantId":"","weaponFamily":"","round":"he","for":["light","structure"],"real":"S-60 57 mm HE (2A91)","damageType":"HighExplosive","pen":2,"damage":110,"splash":3,"form":"HeShell","piercing":false,"targets":"Ground","impactTier":"Large"}</t>
        </is>
      </c>
    </row>
    <row r="87">
      <c r="A87" t="inlineStr">
        <is>
          <t>gun_100_river</t>
        </is>
      </c>
      <c r="B87" t="inlineStr">
        <is>
          <t>A-190 100 mm (Buyan-class river gunboat)</t>
        </is>
      </c>
      <c r="C87" t="inlineStr">
        <is>
          <t>cal_100_105_he</t>
        </is>
      </c>
      <c r="D87" t="inlineStr"/>
      <c r="E87" t="inlineStr"/>
      <c r="F87" t="inlineStr">
        <is>
          <t>naval_gun</t>
        </is>
      </c>
      <c r="G87" t="n">
        <v>100</v>
      </c>
      <c r="H87" t="inlineStr"/>
      <c r="I87" t="inlineStr"/>
      <c r="J87" t="inlineStr"/>
      <c r="K87" t="inlineStr">
        <is>
          <t>HighExplosive</t>
        </is>
      </c>
      <c r="L87" t="n">
        <v>2</v>
      </c>
      <c r="M87" t="inlineStr">
        <is>
          <t>Shell</t>
        </is>
      </c>
      <c r="N87" t="n">
        <v>1</v>
      </c>
      <c r="O87" t="inlineStr">
        <is>
          <t>RIPPLE</t>
        </is>
      </c>
      <c r="P87" t="n">
        <v>1</v>
      </c>
      <c r="Q87" t="n">
        <v>0.1</v>
      </c>
      <c r="R87" t="n">
        <v>4.286</v>
      </c>
      <c r="S87" t="n">
        <v>0</v>
      </c>
      <c r="T87" t="n">
        <v>0</v>
      </c>
      <c r="U87" t="n">
        <v>0</v>
      </c>
      <c r="V87" t="n">
        <v>0</v>
      </c>
      <c r="W87" t="n">
        <v>229</v>
      </c>
      <c r="X87" t="n">
        <v>4</v>
      </c>
      <c r="Y87" t="n">
        <v>0</v>
      </c>
      <c r="Z87" t="n">
        <v>170</v>
      </c>
      <c r="AA87" t="n">
        <v>70</v>
      </c>
      <c r="AB87" t="n">
        <v>0</v>
      </c>
      <c r="AC87" t="inlineStr">
        <is>
          <t>Ground</t>
        </is>
      </c>
      <c r="AD87" t="inlineStr"/>
      <c r="AE87" t="n">
        <v>0</v>
      </c>
      <c r="AF87" t="inlineStr">
        <is>
          <t>Large</t>
        </is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n">
        <v>100</v>
      </c>
      <c r="AO87" t="n">
        <v>0</v>
      </c>
      <c r="AP87" t="inlineStr">
        <is>
          <t>T2</t>
        </is>
      </c>
      <c r="AQ87" t="inlineStr"/>
      <c r="AR87" t="inlineStr"/>
      <c r="AS87" t="inlineStr">
        <is>
          <t>xe</t>
        </is>
      </c>
      <c r="AT87" t="inlineStr">
        <is>
          <t>river_gunboat</t>
        </is>
      </c>
      <c r="AU87" t="n">
        <v>1</v>
      </c>
      <c r="AV87" t="inlineStr">
        <is>
          <t>river_gunboat:0</t>
        </is>
      </c>
      <c r="AW87" t="n">
        <v>0</v>
      </c>
      <c r="AX87" t="b">
        <v>0</v>
      </c>
      <c r="AY87" t="inlineStr"/>
      <c r="AZ87">
        <f>IF(AND($AX$87,$AW$87&gt;$AA$87/$Z$87),$AW$87,$AA$87/$Z$87)</f>
        <v/>
      </c>
      <c r="BA87" t="n">
        <v>0.4117647058823529</v>
      </c>
      <c r="BB87" t="n">
        <v>80</v>
      </c>
      <c r="BC87" t="n">
        <v>40</v>
      </c>
      <c r="BD87" t="inlineStr">
        <is>
          <t>gun</t>
        </is>
      </c>
      <c r="BE87" t="inlineStr">
        <is>
          <t>Wikipedia 'A-190': 80 rpm</t>
        </is>
      </c>
      <c r="BG87" t="inlineStr">
        <is>
          <t>doi</t>
        </is>
      </c>
      <c r="BH87" t="n">
        <v>160</v>
      </c>
      <c r="BI87" t="n">
        <v>229</v>
      </c>
      <c r="BJ87" t="n">
        <v>3</v>
      </c>
      <c r="BK87" t="n">
        <v>4.286</v>
      </c>
      <c r="CL87" t="inlineStr">
        <is>
          <t>All</t>
        </is>
      </c>
      <c r="CM87" t="inlineStr">
        <is>
          <t>Ground</t>
        </is>
      </c>
      <c r="CT87" t="n">
        <v>100</v>
      </c>
      <c r="DD87" t="n">
        <v>4.286</v>
      </c>
      <c r="DE87" t="n">
        <v>229</v>
      </c>
      <c r="DF87" t="inlineStr">
        <is>
          <t>HighExplosive</t>
        </is>
      </c>
      <c r="DJ87" t="inlineStr">
        <is>
          <t>naval_gun</t>
        </is>
      </c>
      <c r="DS87" t="inlineStr">
        <is>
          <t>Large</t>
        </is>
      </c>
      <c r="EB87" t="n">
        <v>2</v>
      </c>
      <c r="EH87" t="inlineStr">
        <is>
          <t>Shell</t>
        </is>
      </c>
      <c r="EK87" t="n">
        <v>170</v>
      </c>
      <c r="EP87" t="n">
        <v>70</v>
      </c>
      <c r="EQ87" t="inlineStr">
        <is>
          <t>A-190 100 mm (Buyan-class river gunboat)</t>
        </is>
      </c>
      <c r="EX87" t="n">
        <v>100</v>
      </c>
      <c r="EY87" t="n">
        <v>4</v>
      </c>
      <c r="FW87" t="inlineStr">
        <is>
          <t>Ground</t>
        </is>
      </c>
      <c r="GB87" t="inlineStr">
        <is>
          <t>cal_100_105_he</t>
        </is>
      </c>
      <c r="GD87" t="inlineStr">
        <is>
          <t>Assets/MachineBrigade/Resources/Data/balance.json: weapons[285]</t>
        </is>
      </c>
      <c r="GE87" t="inlineStr">
        <is>
          <t>{"id":"gun_100_river","weaponFamilyId":"cal_100_105_he","real":"A-190 100 mm (Buyan-class river gunboat)","family":"naval_gun","size":100,"caliberMm":100,"pen":2,"damageType":"HighExplosive","damage":229,"cooldown":4.286,"range":70,"projectileSpeed":170,"splash":4,"impactTier":"Large","projectile":"Shell","targets":"Ground"}</t>
        </is>
      </c>
    </row>
    <row r="88">
      <c r="A88" t="inlineStr">
        <is>
          <t>gun_105_apfsds</t>
        </is>
      </c>
      <c r="B88" t="inlineStr">
        <is>
          <t>2A75 125 mm APFSDS</t>
        </is>
      </c>
      <c r="C88" t="inlineStr">
        <is>
          <t>cal_125_ap</t>
        </is>
      </c>
      <c r="D88" t="inlineStr"/>
      <c r="E88" t="inlineStr"/>
      <c r="F88" t="inlineStr">
        <is>
          <t>tank_gun</t>
        </is>
      </c>
      <c r="G88" t="n">
        <v>125</v>
      </c>
      <c r="H88" t="inlineStr"/>
      <c r="I88" t="inlineStr"/>
      <c r="J88" t="inlineStr"/>
      <c r="K88" t="inlineStr">
        <is>
          <t>Kinetic</t>
        </is>
      </c>
      <c r="L88" t="n">
        <v>4</v>
      </c>
      <c r="M88" t="inlineStr">
        <is>
          <t>Shell</t>
        </is>
      </c>
      <c r="N88" t="n">
        <v>1</v>
      </c>
      <c r="O88" t="inlineStr">
        <is>
          <t>RIPPLE</t>
        </is>
      </c>
      <c r="P88" t="n">
        <v>1</v>
      </c>
      <c r="Q88" t="n">
        <v>0.1</v>
      </c>
      <c r="R88" t="n">
        <v>5.583</v>
      </c>
      <c r="S88" t="n">
        <v>0</v>
      </c>
      <c r="T88" t="n">
        <v>0</v>
      </c>
      <c r="U88" t="n">
        <v>0</v>
      </c>
      <c r="V88" t="n">
        <v>0</v>
      </c>
      <c r="W88" t="n">
        <v>371</v>
      </c>
      <c r="X88" t="n">
        <v>0</v>
      </c>
      <c r="Y88" t="n">
        <v>0</v>
      </c>
      <c r="Z88" t="n">
        <v>260</v>
      </c>
      <c r="AA88" t="n">
        <v>46</v>
      </c>
      <c r="AB88" t="n">
        <v>0</v>
      </c>
      <c r="AC88" t="inlineStr">
        <is>
          <t>Ground</t>
        </is>
      </c>
      <c r="AD88" t="inlineStr"/>
      <c r="AE88" t="n">
        <v>0.3</v>
      </c>
      <c r="AF88" t="inlineStr">
        <is>
          <t>Medium</t>
        </is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n">
        <v>125</v>
      </c>
      <c r="AO88" t="n">
        <v>0</v>
      </c>
      <c r="AP88" t="inlineStr">
        <is>
          <t>T3</t>
        </is>
      </c>
      <c r="AQ88" t="inlineStr"/>
      <c r="AR88" t="inlineStr">
        <is>
          <t>gun_105_apfsds_he</t>
        </is>
      </c>
      <c r="AS88" t="inlineStr">
        <is>
          <t>xe</t>
        </is>
      </c>
      <c r="AT88" t="inlineStr">
        <is>
          <t>elite_tank_destroyer</t>
        </is>
      </c>
      <c r="AU88" t="n">
        <v>1</v>
      </c>
      <c r="AV88" t="inlineStr">
        <is>
          <t>elite_tank_destroyer:0</t>
        </is>
      </c>
      <c r="AW88" t="n">
        <v>0</v>
      </c>
      <c r="AX88" t="b">
        <v>0</v>
      </c>
      <c r="AY88" t="inlineStr"/>
      <c r="AZ88">
        <f>IF(AND($AX$88,$AW$88&gt;$AA$88/$Z$88),$AW$88,$AA$88/$Z$88)</f>
        <v/>
      </c>
      <c r="BA88" t="n">
        <v>0.1769230769230769</v>
      </c>
      <c r="BB88" t="n">
        <v>7</v>
      </c>
      <c r="BC88" t="n">
        <v>7</v>
      </c>
      <c r="BD88" t="inlineStr">
        <is>
          <t>gun</t>
        </is>
      </c>
      <c r="BE88" t="inlineStr">
        <is>
          <t>Wikipedia '2S25 Sprut-SD': ~7 rpm</t>
        </is>
      </c>
      <c r="BG88" t="inlineStr">
        <is>
          <t>doi</t>
        </is>
      </c>
      <c r="BH88" t="n">
        <v>260</v>
      </c>
      <c r="BI88" t="n">
        <v>371</v>
      </c>
      <c r="BJ88" t="n">
        <v>3.908</v>
      </c>
      <c r="BK88" t="n">
        <v>5.583</v>
      </c>
      <c r="CT88" t="n">
        <v>125</v>
      </c>
      <c r="DD88" t="n">
        <v>5.583</v>
      </c>
      <c r="DE88" t="n">
        <v>371</v>
      </c>
      <c r="DF88" t="inlineStr">
        <is>
          <t>Kinetic</t>
        </is>
      </c>
      <c r="DJ88" t="inlineStr">
        <is>
          <t>tank_gun</t>
        </is>
      </c>
      <c r="DS88" t="inlineStr">
        <is>
          <t>Medium</t>
        </is>
      </c>
      <c r="EB88" t="n">
        <v>4</v>
      </c>
      <c r="EE88" t="b">
        <v>1</v>
      </c>
      <c r="EK88" t="n">
        <v>260</v>
      </c>
      <c r="EP88" t="n">
        <v>46</v>
      </c>
      <c r="EQ88" t="inlineStr">
        <is>
          <t>2A75 125 mm APFSDS</t>
        </is>
      </c>
      <c r="EV88" t="n">
        <v>345</v>
      </c>
      <c r="EX88" t="n">
        <v>125</v>
      </c>
      <c r="EZ88" t="n">
        <v>0.3</v>
      </c>
      <c r="GB88" t="inlineStr">
        <is>
          <t>cal_125_ap</t>
        </is>
      </c>
      <c r="GD88" t="inlineStr">
        <is>
          <t>Assets/MachineBrigade/Resources/Data/balance.json: weapons[93]</t>
        </is>
      </c>
      <c r="GE88" t="inlineStr">
        <is>
          <t>{"id":"gun_105_apfsds","weaponFamilyId":"cal_125_ap","real":"2A75 125 mm APFSDS","family":"tank_gun","size":125,"caliberMm":125,"pen":4,"piercing":true,"damageType":"Kinetic","damage":371,"cooldown":5.583,"range":46,"projectileSpeed":260,"spread":0.3,"impactTier":"Medium","roundWeight":345}</t>
        </is>
      </c>
    </row>
    <row r="89">
      <c r="A89" t="inlineStr">
        <is>
          <t>gun_105_apfsds_he</t>
        </is>
      </c>
      <c r="B89" t="inlineStr">
        <is>
          <t>2A75 125 mm HE</t>
        </is>
      </c>
      <c r="C89" t="inlineStr">
        <is>
          <t>cal_125_he</t>
        </is>
      </c>
      <c r="D89" t="inlineStr"/>
      <c r="E89" t="inlineStr">
        <is>
          <t>2a75_125_mm_he</t>
        </is>
      </c>
      <c r="F89" t="inlineStr">
        <is>
          <t>tank_gun</t>
        </is>
      </c>
      <c r="G89" t="n">
        <v>125</v>
      </c>
      <c r="H89" t="inlineStr"/>
      <c r="I89" t="inlineStr"/>
      <c r="J89" t="inlineStr"/>
      <c r="K89" t="inlineStr">
        <is>
          <t>HighExplosive</t>
        </is>
      </c>
      <c r="L89" t="n">
        <v>2</v>
      </c>
      <c r="M89" t="inlineStr">
        <is>
          <t>Shell</t>
        </is>
      </c>
      <c r="N89" t="n">
        <v>1</v>
      </c>
      <c r="O89" t="inlineStr">
        <is>
          <t>RIPPLE</t>
        </is>
      </c>
      <c r="P89" t="n">
        <v>1</v>
      </c>
      <c r="Q89" t="n">
        <v>0.1</v>
      </c>
      <c r="R89" t="n">
        <v>5.583</v>
      </c>
      <c r="S89" t="n">
        <v>0</v>
      </c>
      <c r="T89" t="n">
        <v>0</v>
      </c>
      <c r="U89" t="n">
        <v>0</v>
      </c>
      <c r="V89" t="n">
        <v>0</v>
      </c>
      <c r="W89" t="n">
        <v>371</v>
      </c>
      <c r="X89" t="n">
        <v>3</v>
      </c>
      <c r="Y89" t="n">
        <v>0</v>
      </c>
      <c r="Z89" t="n">
        <v>260</v>
      </c>
      <c r="AA89" t="n">
        <v>46</v>
      </c>
      <c r="AB89" t="n">
        <v>0</v>
      </c>
      <c r="AC89" t="inlineStr">
        <is>
          <t>Ground</t>
        </is>
      </c>
      <c r="AD89" t="inlineStr"/>
      <c r="AE89" t="n">
        <v>0.3</v>
      </c>
      <c r="AF89" t="inlineStr">
        <is>
          <t>Large</t>
        </is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n">
        <v>125</v>
      </c>
      <c r="AO89" t="n">
        <v>0</v>
      </c>
      <c r="AP89" t="inlineStr">
        <is>
          <t>T3</t>
        </is>
      </c>
      <c r="AQ89" t="inlineStr">
        <is>
          <t>gun_105_apfsds</t>
        </is>
      </c>
      <c r="AR89" t="inlineStr"/>
      <c r="AS89" t="inlineStr"/>
      <c r="AT89" t="inlineStr"/>
      <c r="AU89" t="n">
        <v>0</v>
      </c>
      <c r="AV89" t="inlineStr"/>
      <c r="AW89" t="n">
        <v>0</v>
      </c>
      <c r="AX89" t="b">
        <v>0</v>
      </c>
      <c r="AY89" t="inlineStr"/>
      <c r="AZ89">
        <f>IF(AND($AX$89,$AW$89&gt;$AA$89/$Z$89),$AW$89,$AA$89/$Z$89)</f>
        <v/>
      </c>
      <c r="BA89" t="n">
        <v>0.1769230769230769</v>
      </c>
      <c r="BB89" t="n">
        <v>7</v>
      </c>
      <c r="BC89" t="n">
        <v>7</v>
      </c>
      <c r="BD89" t="inlineStr">
        <is>
          <t>gun</t>
        </is>
      </c>
      <c r="BE89" t="inlineStr">
        <is>
          <t>Wikipedia '2S25 Sprut-SD': ~7 rpm</t>
        </is>
      </c>
      <c r="BG89" t="inlineStr">
        <is>
          <t>doi</t>
        </is>
      </c>
      <c r="BH89" t="n">
        <v>260</v>
      </c>
      <c r="BI89" t="n">
        <v>371</v>
      </c>
      <c r="BJ89" t="n">
        <v>3.908</v>
      </c>
      <c r="BK89" t="n">
        <v>5.583</v>
      </c>
      <c r="DE89" t="n">
        <v>371</v>
      </c>
      <c r="DF89" t="inlineStr">
        <is>
          <t>HighExplosive</t>
        </is>
      </c>
      <c r="DM89" t="inlineStr">
        <is>
          <t>light;structure</t>
        </is>
      </c>
      <c r="DN89" t="inlineStr">
        <is>
          <t>HeShell</t>
        </is>
      </c>
      <c r="DS89" t="inlineStr">
        <is>
          <t>Large</t>
        </is>
      </c>
      <c r="DT89" t="inlineStr">
        <is>
          <t>gun_105_apfsds</t>
        </is>
      </c>
      <c r="EB89" t="n">
        <v>2</v>
      </c>
      <c r="EE89" t="b">
        <v>0</v>
      </c>
      <c r="EQ89" t="inlineStr">
        <is>
          <t>2A75 125 mm HE</t>
        </is>
      </c>
      <c r="ES89" t="inlineStr">
        <is>
          <t>he</t>
        </is>
      </c>
      <c r="EU89" t="inlineStr">
        <is>
          <t>gun_105_apfsds</t>
        </is>
      </c>
      <c r="EY89" t="n">
        <v>3</v>
      </c>
      <c r="FW89" t="inlineStr">
        <is>
          <t>Ground</t>
        </is>
      </c>
      <c r="GA89" t="inlineStr">
        <is>
          <t>2a75_125_mm_he</t>
        </is>
      </c>
      <c r="GB89" t="inlineStr">
        <is>
          <t>cal_125_he</t>
        </is>
      </c>
      <c r="GD89" t="inlineStr">
        <is>
          <t>Assets/MachineBrigade/Resources/Data/balance.json: secondRounds.rounds[20]</t>
        </is>
      </c>
      <c r="GE89" t="inlineStr">
        <is>
          <t>{"id":"gun_105_apfsds_he","roundOf":"gun_105_apfsds","inherits":"gun_105_apfsds","weaponFamilyId":"cal_125_he","weaponFamily":"2a75_125_mm_he","round":"he","for":["light","structure"],"real":"2A75 125 mm HE","damageType":"HighExplosive","pen":2,"damage":371,"splash":3,"form":"HeShell","piercing":false,"targets":"Ground","impactTier":"Large"}</t>
        </is>
      </c>
    </row>
    <row r="90">
      <c r="A90" t="inlineStr">
        <is>
          <t>gun_105_bunker</t>
        </is>
      </c>
      <c r="B90" t="inlineStr">
        <is>
          <t>L7 105 mm</t>
        </is>
      </c>
      <c r="C90" t="inlineStr">
        <is>
          <t>cal_100_105_ap</t>
        </is>
      </c>
      <c r="D90" t="inlineStr"/>
      <c r="E90" t="inlineStr">
        <is>
          <t>l7_105_mm</t>
        </is>
      </c>
      <c r="F90" t="inlineStr">
        <is>
          <t>tank_gun</t>
        </is>
      </c>
      <c r="G90" t="n">
        <v>105</v>
      </c>
      <c r="H90" t="inlineStr"/>
      <c r="I90" t="inlineStr"/>
      <c r="J90" t="inlineStr"/>
      <c r="K90" t="inlineStr">
        <is>
          <t>Kinetic</t>
        </is>
      </c>
      <c r="L90" t="n">
        <v>3</v>
      </c>
      <c r="M90" t="inlineStr">
        <is>
          <t>Shell</t>
        </is>
      </c>
      <c r="N90" t="n">
        <v>1</v>
      </c>
      <c r="O90" t="inlineStr">
        <is>
          <t>RIPPLE</t>
        </is>
      </c>
      <c r="P90" t="n">
        <v>1</v>
      </c>
      <c r="Q90" t="n">
        <v>0.1</v>
      </c>
      <c r="R90" t="n">
        <v>4.536</v>
      </c>
      <c r="S90" t="n">
        <v>0</v>
      </c>
      <c r="T90" t="n">
        <v>0</v>
      </c>
      <c r="U90" t="n">
        <v>0</v>
      </c>
      <c r="V90" t="n">
        <v>0</v>
      </c>
      <c r="W90" t="n">
        <v>250</v>
      </c>
      <c r="X90" t="n">
        <v>1.5</v>
      </c>
      <c r="Y90" t="n">
        <v>0</v>
      </c>
      <c r="Z90" t="n">
        <v>190</v>
      </c>
      <c r="AA90" t="n">
        <v>34</v>
      </c>
      <c r="AB90" t="n">
        <v>0</v>
      </c>
      <c r="AC90" t="inlineStr">
        <is>
          <t>Ground</t>
        </is>
      </c>
      <c r="AD90" t="inlineStr"/>
      <c r="AE90" t="n">
        <v>0.6</v>
      </c>
      <c r="AF90" t="inlineStr">
        <is>
          <t>Medium</t>
        </is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n">
        <v>105</v>
      </c>
      <c r="AO90" t="n">
        <v>0</v>
      </c>
      <c r="AP90" t="inlineStr">
        <is>
          <t>T2</t>
        </is>
      </c>
      <c r="AQ90" t="inlineStr"/>
      <c r="AR90" t="inlineStr">
        <is>
          <t>gun_105_bunker_he</t>
        </is>
      </c>
      <c r="AS90" t="inlineStr"/>
      <c r="AT90" t="inlineStr"/>
      <c r="AU90" t="n">
        <v>0</v>
      </c>
      <c r="AV90" t="inlineStr"/>
      <c r="AW90" t="n">
        <v>0</v>
      </c>
      <c r="AX90" t="b">
        <v>0</v>
      </c>
      <c r="AY90" t="inlineStr"/>
      <c r="AZ90">
        <f>IF(AND($AX$90,$AW$90&gt;$AA$90/$Z$90),$AW$90,$AA$90/$Z$90)</f>
        <v/>
      </c>
      <c r="BA90" t="n">
        <v>0.1789473684210526</v>
      </c>
      <c r="BB90" t="n">
        <v>10</v>
      </c>
      <c r="BC90" t="n">
        <v>6</v>
      </c>
      <c r="BD90" t="inlineStr">
        <is>
          <t>gun</t>
        </is>
      </c>
      <c r="BE90" t="inlineStr">
        <is>
          <t>Wikipedia 'Royal Ordnance L7': 6-10 rpm</t>
        </is>
      </c>
      <c r="BG90" t="inlineStr">
        <is>
          <t>doi</t>
        </is>
      </c>
      <c r="BH90" t="n">
        <v>212</v>
      </c>
      <c r="BI90" t="n">
        <v>250</v>
      </c>
      <c r="CT90" t="n">
        <v>105</v>
      </c>
      <c r="DD90" t="n">
        <v>4.536</v>
      </c>
      <c r="DE90" t="n">
        <v>250</v>
      </c>
      <c r="DF90" t="inlineStr">
        <is>
          <t>Kinetic</t>
        </is>
      </c>
      <c r="DJ90" t="inlineStr">
        <is>
          <t>tank_gun</t>
        </is>
      </c>
      <c r="DS90" t="inlineStr">
        <is>
          <t>Medium</t>
        </is>
      </c>
      <c r="EB90" t="n">
        <v>3</v>
      </c>
      <c r="EE90" t="b">
        <v>1</v>
      </c>
      <c r="EP90" t="n">
        <v>34</v>
      </c>
      <c r="EQ90" t="inlineStr">
        <is>
          <t>L7 105 mm</t>
        </is>
      </c>
      <c r="EX90" t="n">
        <v>105</v>
      </c>
      <c r="EZ90" t="n">
        <v>0.6</v>
      </c>
      <c r="GA90" t="inlineStr">
        <is>
          <t>l7_105_mm</t>
        </is>
      </c>
      <c r="GB90" t="inlineStr">
        <is>
          <t>cal_100_105_ap</t>
        </is>
      </c>
      <c r="GD90" t="inlineStr">
        <is>
          <t>Assets/MachineBrigade/Resources/Data/balance.json: weapons[263]</t>
        </is>
      </c>
      <c r="GE90" t="inlineStr">
        <is>
          <t>{"id":"gun_105_bunker","weaponFamilyId":"cal_100_105_ap","weaponFamily":"l7_105_mm","real":"L7 105 mm","family":"tank_gun","size":105,"caliberMm":105,"pen":3,"piercing":true,"damageType":"Kinetic","damage":250,"cooldown":4.536,"range":34,"spread":0.6,"impactTier":"Medium"}</t>
        </is>
      </c>
    </row>
    <row r="91">
      <c r="A91" t="inlineStr">
        <is>
          <t>gun_105_bunker_he</t>
        </is>
      </c>
      <c r="B91" t="inlineStr">
        <is>
          <t>L7 105 mm HE</t>
        </is>
      </c>
      <c r="C91" t="inlineStr">
        <is>
          <t>cal_100_105_he</t>
        </is>
      </c>
      <c r="D91" t="inlineStr"/>
      <c r="E91" t="inlineStr">
        <is>
          <t>l7_105_mm_he_bunker</t>
        </is>
      </c>
      <c r="F91" t="inlineStr">
        <is>
          <t>tank_gun</t>
        </is>
      </c>
      <c r="G91" t="n">
        <v>105</v>
      </c>
      <c r="H91" t="inlineStr"/>
      <c r="I91" t="inlineStr"/>
      <c r="J91" t="inlineStr"/>
      <c r="K91" t="inlineStr">
        <is>
          <t>HighExplosive</t>
        </is>
      </c>
      <c r="L91" t="n">
        <v>2</v>
      </c>
      <c r="M91" t="inlineStr">
        <is>
          <t>Shell</t>
        </is>
      </c>
      <c r="N91" t="n">
        <v>1</v>
      </c>
      <c r="O91" t="inlineStr">
        <is>
          <t>RIPPLE</t>
        </is>
      </c>
      <c r="P91" t="n">
        <v>1</v>
      </c>
      <c r="Q91" t="n">
        <v>0.1</v>
      </c>
      <c r="R91" t="n">
        <v>4.536</v>
      </c>
      <c r="S91" t="n">
        <v>0</v>
      </c>
      <c r="T91" t="n">
        <v>0</v>
      </c>
      <c r="U91" t="n">
        <v>0</v>
      </c>
      <c r="V91" t="n">
        <v>0</v>
      </c>
      <c r="W91" t="n">
        <v>300</v>
      </c>
      <c r="X91" t="n">
        <v>5.5</v>
      </c>
      <c r="Y91" t="n">
        <v>11</v>
      </c>
      <c r="Z91" t="n">
        <v>190</v>
      </c>
      <c r="AA91" t="n">
        <v>34</v>
      </c>
      <c r="AB91" t="n">
        <v>0</v>
      </c>
      <c r="AC91" t="inlineStr">
        <is>
          <t>Ground</t>
        </is>
      </c>
      <c r="AD91" t="inlineStr"/>
      <c r="AE91" t="n">
        <v>0.6</v>
      </c>
      <c r="AF91" t="inlineStr">
        <is>
          <t>Large</t>
        </is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n">
        <v>105</v>
      </c>
      <c r="AO91" t="n">
        <v>0</v>
      </c>
      <c r="AP91" t="inlineStr">
        <is>
          <t>T2</t>
        </is>
      </c>
      <c r="AQ91" t="inlineStr">
        <is>
          <t>gun_105_bunker</t>
        </is>
      </c>
      <c r="AR91" t="inlineStr"/>
      <c r="AS91" t="inlineStr"/>
      <c r="AT91" t="inlineStr"/>
      <c r="AU91" t="n">
        <v>0</v>
      </c>
      <c r="AV91" t="inlineStr"/>
      <c r="AW91" t="n">
        <v>0</v>
      </c>
      <c r="AX91" t="b">
        <v>0</v>
      </c>
      <c r="AY91" t="inlineStr"/>
      <c r="AZ91">
        <f>IF(AND($AX$91,$AW$91&gt;$AA$91/$Z$91),$AW$91,$AA$91/$Z$91)</f>
        <v/>
      </c>
      <c r="BA91" t="n">
        <v>0.1789473684210526</v>
      </c>
      <c r="BB91" t="n">
        <v>10</v>
      </c>
      <c r="BC91" t="n">
        <v>6</v>
      </c>
      <c r="BD91" t="inlineStr">
        <is>
          <t>gun</t>
        </is>
      </c>
      <c r="BE91" t="inlineStr">
        <is>
          <t>Wikipedia 'Royal Ordnance L7': 6-10 rpm</t>
        </is>
      </c>
      <c r="BG91" t="inlineStr">
        <is>
          <t>doi</t>
        </is>
      </c>
      <c r="BH91" t="n">
        <v>212</v>
      </c>
      <c r="BI91" t="n">
        <v>300</v>
      </c>
      <c r="BN91" t="n">
        <v>3</v>
      </c>
      <c r="BO91" t="n">
        <v>5.5</v>
      </c>
      <c r="BP91" t="n">
        <v>0</v>
      </c>
      <c r="BQ91" t="n">
        <v>11</v>
      </c>
      <c r="DE91" t="n">
        <v>300</v>
      </c>
      <c r="DF91" t="inlineStr">
        <is>
          <t>HighExplosive</t>
        </is>
      </c>
      <c r="DG91" t="n">
        <v>11</v>
      </c>
      <c r="DM91" t="inlineStr">
        <is>
          <t>light;structure</t>
        </is>
      </c>
      <c r="DN91" t="inlineStr">
        <is>
          <t>HeShell</t>
        </is>
      </c>
      <c r="DS91" t="inlineStr">
        <is>
          <t>Large</t>
        </is>
      </c>
      <c r="DT91" t="inlineStr">
        <is>
          <t>gun_105_bunker</t>
        </is>
      </c>
      <c r="EB91" t="n">
        <v>2</v>
      </c>
      <c r="EE91" t="b">
        <v>0</v>
      </c>
      <c r="EQ91" t="inlineStr">
        <is>
          <t>L7 105 mm HE</t>
        </is>
      </c>
      <c r="ES91" t="inlineStr">
        <is>
          <t>he</t>
        </is>
      </c>
      <c r="EU91" t="inlineStr">
        <is>
          <t>gun_105_bunker</t>
        </is>
      </c>
      <c r="EY91" t="n">
        <v>3</v>
      </c>
      <c r="FW91" t="inlineStr">
        <is>
          <t>Ground</t>
        </is>
      </c>
      <c r="GA91" t="inlineStr">
        <is>
          <t>l7_105_mm_he_bunker</t>
        </is>
      </c>
      <c r="GB91" t="inlineStr">
        <is>
          <t>cal_100_105_he</t>
        </is>
      </c>
      <c r="GD91" t="inlineStr">
        <is>
          <t>Assets/MachineBrigade/Resources/Data/balance.json: secondRounds.rounds[21]</t>
        </is>
      </c>
      <c r="GE91" t="inlineStr">
        <is>
          <t>{"id":"gun_105_bunker_he","roundOf":"gun_105_bunker","inherits":"gun_105_bunker","weaponFamilyId":"cal_100_105_he","weaponFamily":"l7_105_mm_he_bunker","round":"he","for":["light","structure"],"real":"L7 105 mm HE","damageType":"HighExplosive","pen":2,"damage":300,"splash":3,"edge":11,"form":"HeShell","piercing":false,"targets":"Ground","impactTier":"Large"}</t>
        </is>
      </c>
    </row>
    <row r="92">
      <c r="A92" t="inlineStr">
        <is>
          <t>gun_105_long</t>
        </is>
      </c>
      <c r="B92" t="inlineStr">
        <is>
          <t>2A75 125 mm (2S25 Sprut)</t>
        </is>
      </c>
      <c r="C92" t="inlineStr">
        <is>
          <t>cal_125_ap</t>
        </is>
      </c>
      <c r="D92" t="inlineStr"/>
      <c r="E92" t="inlineStr"/>
      <c r="F92" t="inlineStr">
        <is>
          <t>tank_gun</t>
        </is>
      </c>
      <c r="G92" t="n">
        <v>125</v>
      </c>
      <c r="H92" t="inlineStr"/>
      <c r="I92" t="inlineStr"/>
      <c r="J92" t="inlineStr"/>
      <c r="K92" t="inlineStr">
        <is>
          <t>Kinetic</t>
        </is>
      </c>
      <c r="L92" t="n">
        <v>4</v>
      </c>
      <c r="M92" t="inlineStr">
        <is>
          <t>Shell</t>
        </is>
      </c>
      <c r="N92" t="n">
        <v>1</v>
      </c>
      <c r="O92" t="inlineStr">
        <is>
          <t>RIPPLE</t>
        </is>
      </c>
      <c r="P92" t="n">
        <v>1</v>
      </c>
      <c r="Q92" t="n">
        <v>0.1</v>
      </c>
      <c r="R92" t="n">
        <v>4.762</v>
      </c>
      <c r="S92" t="n">
        <v>0</v>
      </c>
      <c r="T92" t="n">
        <v>0</v>
      </c>
      <c r="U92" t="n">
        <v>0</v>
      </c>
      <c r="V92" t="n">
        <v>0</v>
      </c>
      <c r="W92" t="n">
        <v>371</v>
      </c>
      <c r="X92" t="n">
        <v>0</v>
      </c>
      <c r="Y92" t="n">
        <v>0</v>
      </c>
      <c r="Z92" t="n">
        <v>220</v>
      </c>
      <c r="AA92" t="n">
        <v>46</v>
      </c>
      <c r="AB92" t="n">
        <v>0</v>
      </c>
      <c r="AC92" t="inlineStr">
        <is>
          <t>Ground</t>
        </is>
      </c>
      <c r="AD92" t="inlineStr"/>
      <c r="AE92" t="n">
        <v>0.4</v>
      </c>
      <c r="AF92" t="inlineStr">
        <is>
          <t>Medium</t>
        </is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n">
        <v>125</v>
      </c>
      <c r="AO92" t="n">
        <v>0</v>
      </c>
      <c r="AP92" t="inlineStr">
        <is>
          <t>T3</t>
        </is>
      </c>
      <c r="AQ92" t="inlineStr"/>
      <c r="AR92" t="inlineStr">
        <is>
          <t>gun_105_long_he</t>
        </is>
      </c>
      <c r="AS92" t="inlineStr">
        <is>
          <t>xe</t>
        </is>
      </c>
      <c r="AT92" t="inlineStr">
        <is>
          <t>tank_destroyer</t>
        </is>
      </c>
      <c r="AU92" t="n">
        <v>1</v>
      </c>
      <c r="AV92" t="inlineStr">
        <is>
          <t>tank_destroyer:0</t>
        </is>
      </c>
      <c r="AW92" t="n">
        <v>0</v>
      </c>
      <c r="AX92" t="b">
        <v>0</v>
      </c>
      <c r="AY92" t="inlineStr"/>
      <c r="AZ92">
        <f>IF(AND($AX$92,$AW$92&gt;$AA$92/$Z$92),$AW$92,$AA$92/$Z$92)</f>
        <v/>
      </c>
      <c r="BA92" t="n">
        <v>0.2090909090909091</v>
      </c>
      <c r="BB92" t="n">
        <v>7</v>
      </c>
      <c r="BC92" t="n">
        <v>7</v>
      </c>
      <c r="BD92" t="inlineStr">
        <is>
          <t>gun</t>
        </is>
      </c>
      <c r="BE92" t="inlineStr">
        <is>
          <t>Wikipedia '2S25 Sprut-SD': ~7 rpm</t>
        </is>
      </c>
      <c r="BG92" t="inlineStr">
        <is>
          <t>doi</t>
        </is>
      </c>
      <c r="BH92" t="n">
        <v>260</v>
      </c>
      <c r="BI92" t="n">
        <v>371</v>
      </c>
      <c r="BJ92" t="n">
        <v>3.3333</v>
      </c>
      <c r="BK92" t="n">
        <v>4.762</v>
      </c>
      <c r="CT92" t="n">
        <v>125</v>
      </c>
      <c r="DD92" t="n">
        <v>4.762</v>
      </c>
      <c r="DE92" t="n">
        <v>371</v>
      </c>
      <c r="DF92" t="inlineStr">
        <is>
          <t>Kinetic</t>
        </is>
      </c>
      <c r="DJ92" t="inlineStr">
        <is>
          <t>tank_gun</t>
        </is>
      </c>
      <c r="DS92" t="inlineStr">
        <is>
          <t>Medium</t>
        </is>
      </c>
      <c r="EB92" t="n">
        <v>4</v>
      </c>
      <c r="EE92" t="b">
        <v>1</v>
      </c>
      <c r="EK92" t="n">
        <v>220</v>
      </c>
      <c r="EP92" t="n">
        <v>46</v>
      </c>
      <c r="EQ92" t="inlineStr">
        <is>
          <t>2A75 125 mm (2S25 Sprut)</t>
        </is>
      </c>
      <c r="EV92" t="n">
        <v>357</v>
      </c>
      <c r="EX92" t="n">
        <v>125</v>
      </c>
      <c r="EZ92" t="n">
        <v>0.4</v>
      </c>
      <c r="GB92" t="inlineStr">
        <is>
          <t>cal_125_ap</t>
        </is>
      </c>
      <c r="GD92" t="inlineStr">
        <is>
          <t>Assets/MachineBrigade/Resources/Data/balance.json: weapons[27]</t>
        </is>
      </c>
      <c r="GE92" t="inlineStr">
        <is>
          <t>{"id":"gun_105_long","weaponFamilyId":"cal_125_ap","real":"2A75 125 mm (2S25 Sprut)","family":"tank_gun","size":125,"caliberMm":125,"pen":4,"piercing":true,"damageType":"Kinetic","damage":371,"cooldown":4.762,"range":46,"projectileSpeed":220,"spread":0.4,"impactTier":"Medium","roundWeight":357}</t>
        </is>
      </c>
    </row>
    <row r="93">
      <c r="A93" t="inlineStr">
        <is>
          <t>gun_105_long_he</t>
        </is>
      </c>
      <c r="B93" t="inlineStr">
        <is>
          <t>2A75 125 mm HE (2S25 Sprut)</t>
        </is>
      </c>
      <c r="C93" t="inlineStr">
        <is>
          <t>cal_125_he</t>
        </is>
      </c>
      <c r="D93" t="inlineStr"/>
      <c r="E93" t="inlineStr">
        <is>
          <t>2a75_125_mm_he</t>
        </is>
      </c>
      <c r="F93" t="inlineStr">
        <is>
          <t>tank_gun</t>
        </is>
      </c>
      <c r="G93" t="n">
        <v>125</v>
      </c>
      <c r="H93" t="inlineStr"/>
      <c r="I93" t="inlineStr"/>
      <c r="J93" t="inlineStr"/>
      <c r="K93" t="inlineStr">
        <is>
          <t>HighExplosive</t>
        </is>
      </c>
      <c r="L93" t="n">
        <v>2</v>
      </c>
      <c r="M93" t="inlineStr">
        <is>
          <t>Shell</t>
        </is>
      </c>
      <c r="N93" t="n">
        <v>1</v>
      </c>
      <c r="O93" t="inlineStr">
        <is>
          <t>RIPPLE</t>
        </is>
      </c>
      <c r="P93" t="n">
        <v>1</v>
      </c>
      <c r="Q93" t="n">
        <v>0.1</v>
      </c>
      <c r="R93" t="n">
        <v>4.762</v>
      </c>
      <c r="S93" t="n">
        <v>0</v>
      </c>
      <c r="T93" t="n">
        <v>0</v>
      </c>
      <c r="U93" t="n">
        <v>0</v>
      </c>
      <c r="V93" t="n">
        <v>0</v>
      </c>
      <c r="W93" t="n">
        <v>371</v>
      </c>
      <c r="X93" t="n">
        <v>3</v>
      </c>
      <c r="Y93" t="n">
        <v>0</v>
      </c>
      <c r="Z93" t="n">
        <v>260</v>
      </c>
      <c r="AA93" t="n">
        <v>46</v>
      </c>
      <c r="AB93" t="n">
        <v>0</v>
      </c>
      <c r="AC93" t="inlineStr">
        <is>
          <t>Ground</t>
        </is>
      </c>
      <c r="AD93" t="inlineStr"/>
      <c r="AE93" t="n">
        <v>0.4</v>
      </c>
      <c r="AF93" t="inlineStr">
        <is>
          <t>Large</t>
        </is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n">
        <v>125</v>
      </c>
      <c r="AO93" t="n">
        <v>0</v>
      </c>
      <c r="AP93" t="inlineStr">
        <is>
          <t>T3</t>
        </is>
      </c>
      <c r="AQ93" t="inlineStr">
        <is>
          <t>gun_105_long</t>
        </is>
      </c>
      <c r="AR93" t="inlineStr"/>
      <c r="AS93" t="inlineStr"/>
      <c r="AT93" t="inlineStr"/>
      <c r="AU93" t="n">
        <v>0</v>
      </c>
      <c r="AV93" t="inlineStr"/>
      <c r="AW93" t="n">
        <v>0</v>
      </c>
      <c r="AX93" t="b">
        <v>0</v>
      </c>
      <c r="AY93" t="inlineStr"/>
      <c r="AZ93">
        <f>IF(AND($AX$93,$AW$93&gt;$AA$93/$Z$93),$AW$93,$AA$93/$Z$93)</f>
        <v/>
      </c>
      <c r="BA93" t="n">
        <v>0.1769230769230769</v>
      </c>
      <c r="BB93" t="n">
        <v>7</v>
      </c>
      <c r="BC93" t="n">
        <v>7</v>
      </c>
      <c r="BD93" t="inlineStr">
        <is>
          <t>gun</t>
        </is>
      </c>
      <c r="BE93" t="inlineStr">
        <is>
          <t>Wikipedia '2S25 Sprut-SD': ~7 rpm</t>
        </is>
      </c>
      <c r="BG93" t="inlineStr">
        <is>
          <t>doi</t>
        </is>
      </c>
      <c r="BH93" t="n">
        <v>260</v>
      </c>
      <c r="BI93" t="n">
        <v>371</v>
      </c>
      <c r="BJ93" t="n">
        <v>3.3333</v>
      </c>
      <c r="BK93" t="n">
        <v>4.762</v>
      </c>
      <c r="DE93" t="n">
        <v>371</v>
      </c>
      <c r="DF93" t="inlineStr">
        <is>
          <t>HighExplosive</t>
        </is>
      </c>
      <c r="DM93" t="inlineStr">
        <is>
          <t>light;structure</t>
        </is>
      </c>
      <c r="DN93" t="inlineStr">
        <is>
          <t>HeShell</t>
        </is>
      </c>
      <c r="DS93" t="inlineStr">
        <is>
          <t>Large</t>
        </is>
      </c>
      <c r="DT93" t="inlineStr">
        <is>
          <t>gun_105_long</t>
        </is>
      </c>
      <c r="EB93" t="n">
        <v>2</v>
      </c>
      <c r="EE93" t="b">
        <v>0</v>
      </c>
      <c r="EQ93" t="inlineStr">
        <is>
          <t>2A75 125 mm HE (2S25 Sprut)</t>
        </is>
      </c>
      <c r="ES93" t="inlineStr">
        <is>
          <t>he</t>
        </is>
      </c>
      <c r="EU93" t="inlineStr">
        <is>
          <t>gun_105_long</t>
        </is>
      </c>
      <c r="EY93" t="n">
        <v>3</v>
      </c>
      <c r="FW93" t="inlineStr">
        <is>
          <t>Ground</t>
        </is>
      </c>
      <c r="GA93" t="inlineStr">
        <is>
          <t>2a75_125_mm_he</t>
        </is>
      </c>
      <c r="GB93" t="inlineStr">
        <is>
          <t>cal_125_he</t>
        </is>
      </c>
      <c r="GD93" t="inlineStr">
        <is>
          <t>Assets/MachineBrigade/Resources/Data/balance.json: secondRounds.rounds[22]</t>
        </is>
      </c>
      <c r="GE93" t="inlineStr">
        <is>
          <t>{"id":"gun_105_long_he","roundOf":"gun_105_long","inherits":"gun_105_long","weaponFamilyId":"cal_125_he","weaponFamily":"2a75_125_mm_he","round":"he","for":["light","structure"],"real":"2A75 125 mm HE (2S25 Sprut)","damageType":"HighExplosive","pen":2,"damage":371,"splash":3,"form":"HeShell","piercing":false,"targets":"Ground","impactTier":"Large"}</t>
        </is>
      </c>
    </row>
    <row r="94">
      <c r="A94" t="inlineStr">
        <is>
          <t>gun_105_twin</t>
        </is>
      </c>
      <c r="B94" t="inlineStr">
        <is>
          <t>L7 105 mm (twin)</t>
        </is>
      </c>
      <c r="C94" t="inlineStr">
        <is>
          <t>cal_100_105_ap</t>
        </is>
      </c>
      <c r="D94" t="inlineStr"/>
      <c r="E94" t="inlineStr">
        <is>
          <t>l7_105_mm</t>
        </is>
      </c>
      <c r="F94" t="inlineStr">
        <is>
          <t>tank_gun</t>
        </is>
      </c>
      <c r="G94" t="n">
        <v>105</v>
      </c>
      <c r="H94" t="inlineStr"/>
      <c r="I94" t="inlineStr"/>
      <c r="J94" t="inlineStr"/>
      <c r="K94" t="inlineStr">
        <is>
          <t>Kinetic</t>
        </is>
      </c>
      <c r="L94" t="n">
        <v>3</v>
      </c>
      <c r="M94" t="inlineStr">
        <is>
          <t>Shell</t>
        </is>
      </c>
      <c r="N94" t="n">
        <v>1</v>
      </c>
      <c r="O94" t="inlineStr">
        <is>
          <t>RIPPLE</t>
        </is>
      </c>
      <c r="P94" t="n">
        <v>2</v>
      </c>
      <c r="Q94" t="n">
        <v>0.05</v>
      </c>
      <c r="R94" t="n">
        <v>5.69</v>
      </c>
      <c r="S94" t="n">
        <v>0</v>
      </c>
      <c r="T94" t="n">
        <v>0</v>
      </c>
      <c r="U94" t="n">
        <v>0</v>
      </c>
      <c r="V94" t="n">
        <v>0</v>
      </c>
      <c r="W94" t="n">
        <v>212</v>
      </c>
      <c r="X94" t="n">
        <v>1.5</v>
      </c>
      <c r="Y94" t="n">
        <v>0</v>
      </c>
      <c r="Z94" t="n">
        <v>190</v>
      </c>
      <c r="AA94" t="n">
        <v>34</v>
      </c>
      <c r="AB94" t="n">
        <v>0</v>
      </c>
      <c r="AC94" t="inlineStr">
        <is>
          <t>Ground</t>
        </is>
      </c>
      <c r="AD94" t="inlineStr"/>
      <c r="AE94" t="n">
        <v>0.6</v>
      </c>
      <c r="AF94" t="inlineStr">
        <is>
          <t>Medium</t>
        </is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n">
        <v>105</v>
      </c>
      <c r="AO94" t="n">
        <v>0</v>
      </c>
      <c r="AP94" t="inlineStr">
        <is>
          <t>T2</t>
        </is>
      </c>
      <c r="AQ94" t="inlineStr"/>
      <c r="AR94" t="inlineStr"/>
      <c r="AS94" t="inlineStr"/>
      <c r="AT94" t="inlineStr"/>
      <c r="AU94" t="n">
        <v>0</v>
      </c>
      <c r="AV94" t="inlineStr"/>
      <c r="AW94" t="n">
        <v>0</v>
      </c>
      <c r="AX94" t="b">
        <v>0</v>
      </c>
      <c r="AY94" t="inlineStr"/>
      <c r="AZ94">
        <f>IF(AND($AX$94,$AW$94&gt;$AA$94/$Z$94),$AW$94,$AA$94/$Z$94)</f>
        <v/>
      </c>
      <c r="BA94" t="n">
        <v>0.1789473684210526</v>
      </c>
      <c r="BB94" t="n">
        <v>10</v>
      </c>
      <c r="BC94" t="n">
        <v>6</v>
      </c>
      <c r="BD94" t="inlineStr">
        <is>
          <t>gun</t>
        </is>
      </c>
      <c r="BE94" t="inlineStr">
        <is>
          <t>Wikipedia 'Royal Ordnance L7': 6-10 rpm</t>
        </is>
      </c>
      <c r="BG94" t="inlineStr">
        <is>
          <t>giong</t>
        </is>
      </c>
      <c r="CR94" t="n">
        <v>2</v>
      </c>
      <c r="CS94" t="n">
        <v>0.05</v>
      </c>
      <c r="CT94" t="n">
        <v>105</v>
      </c>
      <c r="DD94" t="n">
        <v>5.69</v>
      </c>
      <c r="DE94" t="n">
        <v>212</v>
      </c>
      <c r="DF94" t="inlineStr">
        <is>
          <t>Kinetic</t>
        </is>
      </c>
      <c r="DJ94" t="inlineStr">
        <is>
          <t>tank_gun</t>
        </is>
      </c>
      <c r="DS94" t="inlineStr">
        <is>
          <t>Medium</t>
        </is>
      </c>
      <c r="EB94" t="n">
        <v>3</v>
      </c>
      <c r="EE94" t="b">
        <v>1</v>
      </c>
      <c r="EP94" t="n">
        <v>34</v>
      </c>
      <c r="EQ94" t="inlineStr">
        <is>
          <t>L7 105 mm (twin)</t>
        </is>
      </c>
      <c r="EX94" t="n">
        <v>105</v>
      </c>
      <c r="EZ94" t="n">
        <v>0.6</v>
      </c>
      <c r="GA94" t="inlineStr">
        <is>
          <t>l7_105_mm</t>
        </is>
      </c>
      <c r="GB94" t="inlineStr">
        <is>
          <t>cal_100_105_ap</t>
        </is>
      </c>
      <c r="GD94" t="inlineStr">
        <is>
          <t>Assets/MachineBrigade/Resources/Data/balance.json: weapons[54]</t>
        </is>
      </c>
      <c r="GE94" t="inlineStr">
        <is>
          <t>{"id":"gun_105_twin","weaponFamilyId":"cal_100_105_ap","weaponFamily":"l7_105_mm","real":"L7 105 mm (twin)","family":"tank_gun","size":105,"caliberMm":105,"pen":3,"piercing":true,"damageType":"Kinetic","damage":212,"cooldown":5.69,"range":34,"spread":0.6,"impactTier":"Medium","burst":2,"burstInterval":0.05}</t>
        </is>
      </c>
    </row>
    <row r="95">
      <c r="A95" t="inlineStr">
        <is>
          <t>gun_105_wheeled</t>
        </is>
      </c>
      <c r="B95" t="inlineStr">
        <is>
          <t>Centauro II 120 mm</t>
        </is>
      </c>
      <c r="C95" t="inlineStr">
        <is>
          <t>cal_120_ap</t>
        </is>
      </c>
      <c r="D95" t="inlineStr"/>
      <c r="E95" t="inlineStr"/>
      <c r="F95" t="inlineStr">
        <is>
          <t>tank_gun</t>
        </is>
      </c>
      <c r="G95" t="n">
        <v>120</v>
      </c>
      <c r="H95" t="inlineStr"/>
      <c r="I95" t="inlineStr"/>
      <c r="J95" t="inlineStr"/>
      <c r="K95" t="inlineStr">
        <is>
          <t>Kinetic</t>
        </is>
      </c>
      <c r="L95" t="n">
        <v>4</v>
      </c>
      <c r="M95" t="inlineStr">
        <is>
          <t>Shell</t>
        </is>
      </c>
      <c r="N95" t="n">
        <v>1</v>
      </c>
      <c r="O95" t="inlineStr">
        <is>
          <t>RIPPLE</t>
        </is>
      </c>
      <c r="P95" t="n">
        <v>1</v>
      </c>
      <c r="Q95" t="n">
        <v>0.1</v>
      </c>
      <c r="R95" t="n">
        <v>5.291</v>
      </c>
      <c r="S95" t="n">
        <v>0</v>
      </c>
      <c r="T95" t="n">
        <v>0</v>
      </c>
      <c r="U95" t="n">
        <v>0</v>
      </c>
      <c r="V95" t="n">
        <v>0</v>
      </c>
      <c r="W95" t="n">
        <v>369</v>
      </c>
      <c r="X95" t="n">
        <v>0</v>
      </c>
      <c r="Y95" t="n">
        <v>0</v>
      </c>
      <c r="Z95" t="n">
        <v>230</v>
      </c>
      <c r="AA95" t="n">
        <v>38</v>
      </c>
      <c r="AB95" t="n">
        <v>0</v>
      </c>
      <c r="AC95" t="inlineStr">
        <is>
          <t>Ground</t>
        </is>
      </c>
      <c r="AD95" t="inlineStr"/>
      <c r="AE95" t="n">
        <v>0.4</v>
      </c>
      <c r="AF95" t="inlineStr">
        <is>
          <t>Medium</t>
        </is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n">
        <v>120</v>
      </c>
      <c r="AO95" t="n">
        <v>0</v>
      </c>
      <c r="AP95" t="inlineStr">
        <is>
          <t>T3</t>
        </is>
      </c>
      <c r="AQ95" t="inlineStr"/>
      <c r="AR95" t="inlineStr">
        <is>
          <t>gun_105_wheeled_he</t>
        </is>
      </c>
      <c r="AS95" t="inlineStr">
        <is>
          <t>xe</t>
        </is>
      </c>
      <c r="AT95" t="inlineStr">
        <is>
          <t>wheeled_gun</t>
        </is>
      </c>
      <c r="AU95" t="n">
        <v>1</v>
      </c>
      <c r="AV95" t="inlineStr">
        <is>
          <t>wheeled_gun:0</t>
        </is>
      </c>
      <c r="AW95" t="n">
        <v>0</v>
      </c>
      <c r="AX95" t="b">
        <v>0</v>
      </c>
      <c r="AY95" t="inlineStr"/>
      <c r="AZ95">
        <f>IF(AND($AX$95,$AW$95&gt;$AA$95/$Z$95),$AW$95,$AA$95/$Z$95)</f>
        <v/>
      </c>
      <c r="BA95" t="n">
        <v>0.1652173913043478</v>
      </c>
      <c r="BB95" t="n">
        <v>8</v>
      </c>
      <c r="BC95" t="n">
        <v>6</v>
      </c>
      <c r="BD95" t="inlineStr">
        <is>
          <t>gun</t>
        </is>
      </c>
      <c r="BE95" t="inlineStr">
        <is>
          <t>Centauro II 120 mm, manual: 6-8 rpm (the sheet)</t>
        </is>
      </c>
      <c r="BG95" t="inlineStr">
        <is>
          <t>doi</t>
        </is>
      </c>
      <c r="BH95" t="n">
        <v>258</v>
      </c>
      <c r="BI95" t="n">
        <v>369</v>
      </c>
      <c r="BJ95" t="n">
        <v>3.7037</v>
      </c>
      <c r="BK95" t="n">
        <v>5.291</v>
      </c>
      <c r="CT95" t="n">
        <v>120</v>
      </c>
      <c r="DD95" t="n">
        <v>5.291</v>
      </c>
      <c r="DE95" t="n">
        <v>369</v>
      </c>
      <c r="DF95" t="inlineStr">
        <is>
          <t>Kinetic</t>
        </is>
      </c>
      <c r="DJ95" t="inlineStr">
        <is>
          <t>tank_gun</t>
        </is>
      </c>
      <c r="DS95" t="inlineStr">
        <is>
          <t>Medium</t>
        </is>
      </c>
      <c r="EB95" t="n">
        <v>4</v>
      </c>
      <c r="EE95" t="b">
        <v>1</v>
      </c>
      <c r="EK95" t="n">
        <v>230</v>
      </c>
      <c r="EP95" t="n">
        <v>38</v>
      </c>
      <c r="EQ95" t="inlineStr">
        <is>
          <t>Centauro II 120 mm</t>
        </is>
      </c>
      <c r="EV95" t="n">
        <v>300</v>
      </c>
      <c r="EX95" t="n">
        <v>120</v>
      </c>
      <c r="EZ95" t="n">
        <v>0.4</v>
      </c>
      <c r="GB95" t="inlineStr">
        <is>
          <t>cal_120_ap</t>
        </is>
      </c>
      <c r="GD95" t="inlineStr">
        <is>
          <t>Assets/MachineBrigade/Resources/Data/balance.json: weapons[100]</t>
        </is>
      </c>
      <c r="GE95" t="inlineStr">
        <is>
          <t>{"id":"gun_105_wheeled","weaponFamilyId":"cal_120_ap","real":"Centauro II 120 mm","family":"tank_gun","size":120,"caliberMm":120,"pen":4,"piercing":true,"roundWeight":300,"damageType":"Kinetic","damage":369,"cooldown":5.291,"range":38,"projectileSpeed":230,"spread":0.4,"impactTier":"Medium","bonuses":[{"flank":true,"mult":1.25}]}</t>
        </is>
      </c>
    </row>
    <row r="96">
      <c r="A96" t="inlineStr">
        <is>
          <t>gun_105_wheeled_he</t>
        </is>
      </c>
      <c r="B96" t="inlineStr">
        <is>
          <t>Centauro II 120 mm HE</t>
        </is>
      </c>
      <c r="C96" t="inlineStr">
        <is>
          <t>cal_120_he</t>
        </is>
      </c>
      <c r="D96" t="inlineStr"/>
      <c r="E96" t="inlineStr"/>
      <c r="F96" t="inlineStr">
        <is>
          <t>tank_gun</t>
        </is>
      </c>
      <c r="G96" t="n">
        <v>120</v>
      </c>
      <c r="H96" t="inlineStr"/>
      <c r="I96" t="inlineStr"/>
      <c r="J96" t="inlineStr"/>
      <c r="K96" t="inlineStr">
        <is>
          <t>HighExplosive</t>
        </is>
      </c>
      <c r="L96" t="n">
        <v>2</v>
      </c>
      <c r="M96" t="inlineStr">
        <is>
          <t>Shell</t>
        </is>
      </c>
      <c r="N96" t="n">
        <v>1</v>
      </c>
      <c r="O96" t="inlineStr">
        <is>
          <t>RIPPLE</t>
        </is>
      </c>
      <c r="P96" t="n">
        <v>1</v>
      </c>
      <c r="Q96" t="n">
        <v>0.1</v>
      </c>
      <c r="R96" t="n">
        <v>5.291</v>
      </c>
      <c r="S96" t="n">
        <v>0</v>
      </c>
      <c r="T96" t="n">
        <v>0</v>
      </c>
      <c r="U96" t="n">
        <v>0</v>
      </c>
      <c r="V96" t="n">
        <v>0</v>
      </c>
      <c r="W96" t="n">
        <v>369</v>
      </c>
      <c r="X96" t="n">
        <v>3</v>
      </c>
      <c r="Y96" t="n">
        <v>0</v>
      </c>
      <c r="Z96" t="n">
        <v>230</v>
      </c>
      <c r="AA96" t="n">
        <v>38</v>
      </c>
      <c r="AB96" t="n">
        <v>0</v>
      </c>
      <c r="AC96" t="inlineStr">
        <is>
          <t>Ground</t>
        </is>
      </c>
      <c r="AD96" t="inlineStr"/>
      <c r="AE96" t="n">
        <v>0.4</v>
      </c>
      <c r="AF96" t="inlineStr">
        <is>
          <t>Large</t>
        </is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n">
        <v>120</v>
      </c>
      <c r="AO96" t="n">
        <v>0</v>
      </c>
      <c r="AP96" t="inlineStr">
        <is>
          <t>T3</t>
        </is>
      </c>
      <c r="AQ96" t="inlineStr">
        <is>
          <t>gun_105_wheeled</t>
        </is>
      </c>
      <c r="AR96" t="inlineStr"/>
      <c r="AS96" t="inlineStr"/>
      <c r="AT96" t="inlineStr"/>
      <c r="AU96" t="n">
        <v>0</v>
      </c>
      <c r="AV96" t="inlineStr"/>
      <c r="AW96" t="n">
        <v>0</v>
      </c>
      <c r="AX96" t="b">
        <v>0</v>
      </c>
      <c r="AY96" t="inlineStr"/>
      <c r="AZ96">
        <f>IF(AND($AX$96,$AW$96&gt;$AA$96/$Z$96),$AW$96,$AA$96/$Z$96)</f>
        <v/>
      </c>
      <c r="BA96" t="n">
        <v>0.1652173913043478</v>
      </c>
      <c r="BB96" t="n">
        <v>8</v>
      </c>
      <c r="BC96" t="n">
        <v>6</v>
      </c>
      <c r="BD96" t="inlineStr">
        <is>
          <t>gun</t>
        </is>
      </c>
      <c r="BE96" t="inlineStr">
        <is>
          <t>Centauro II 120 mm, manual: 6-8 rpm (the sheet)</t>
        </is>
      </c>
      <c r="BG96" t="inlineStr">
        <is>
          <t>doi</t>
        </is>
      </c>
      <c r="BH96" t="n">
        <v>258</v>
      </c>
      <c r="BI96" t="n">
        <v>369</v>
      </c>
      <c r="BJ96" t="n">
        <v>3.7037</v>
      </c>
      <c r="BK96" t="n">
        <v>5.291</v>
      </c>
      <c r="CQ96" t="inlineStr"/>
      <c r="DE96" t="n">
        <v>369</v>
      </c>
      <c r="DF96" t="inlineStr">
        <is>
          <t>HighExplosive</t>
        </is>
      </c>
      <c r="DM96" t="inlineStr">
        <is>
          <t>light;structure</t>
        </is>
      </c>
      <c r="DN96" t="inlineStr">
        <is>
          <t>HeShell</t>
        </is>
      </c>
      <c r="DS96" t="inlineStr">
        <is>
          <t>Large</t>
        </is>
      </c>
      <c r="DT96" t="inlineStr">
        <is>
          <t>gun_105_wheeled</t>
        </is>
      </c>
      <c r="EB96" t="n">
        <v>2</v>
      </c>
      <c r="EE96" t="b">
        <v>0</v>
      </c>
      <c r="EQ96" t="inlineStr">
        <is>
          <t>Centauro II 120 mm HE</t>
        </is>
      </c>
      <c r="ES96" t="inlineStr">
        <is>
          <t>he</t>
        </is>
      </c>
      <c r="EU96" t="inlineStr">
        <is>
          <t>gun_105_wheeled</t>
        </is>
      </c>
      <c r="EY96" t="n">
        <v>3</v>
      </c>
      <c r="FW96" t="inlineStr">
        <is>
          <t>Ground</t>
        </is>
      </c>
      <c r="GA96" t="inlineStr"/>
      <c r="GB96" t="inlineStr">
        <is>
          <t>cal_120_he</t>
        </is>
      </c>
      <c r="GD96" t="inlineStr">
        <is>
          <t>Assets/MachineBrigade/Resources/Data/balance.json: secondRounds.rounds[23]</t>
        </is>
      </c>
      <c r="GE96" t="inlineStr">
        <is>
          <t>{"id":"gun_105_wheeled_he","roundOf":"gun_105_wheeled","inherits":"gun_105_wheeled","weaponFamilyId":"cal_120_he","weaponFamily":"","round":"he","for":["light","structure"],"real":"Centauro II 120 mm HE","damageType":"HighExplosive","pen":2,"damage":369,"splash":3,"form":"HeShell","piercing":false,"targets":"Ground","impactTier":"Large","bonuses":[]}</t>
        </is>
      </c>
    </row>
    <row r="97">
      <c r="A97" t="inlineStr">
        <is>
          <t>gun_120_twin</t>
        </is>
      </c>
      <c r="B97" t="inlineStr">
        <is>
          <t>Rh-120 L/44 120 mm (twin)</t>
        </is>
      </c>
      <c r="C97" t="inlineStr">
        <is>
          <t>cal_120_ap</t>
        </is>
      </c>
      <c r="D97" t="inlineStr"/>
      <c r="E97" t="inlineStr">
        <is>
          <t>rh_120_l_44_120_mm</t>
        </is>
      </c>
      <c r="F97" t="inlineStr">
        <is>
          <t>tank_gun</t>
        </is>
      </c>
      <c r="G97" t="n">
        <v>120</v>
      </c>
      <c r="H97" t="inlineStr"/>
      <c r="I97" t="inlineStr"/>
      <c r="J97" t="inlineStr"/>
      <c r="K97" t="inlineStr">
        <is>
          <t>Kinetic</t>
        </is>
      </c>
      <c r="L97" t="n">
        <v>4</v>
      </c>
      <c r="M97" t="inlineStr">
        <is>
          <t>Shell</t>
        </is>
      </c>
      <c r="N97" t="n">
        <v>1</v>
      </c>
      <c r="O97" t="inlineStr">
        <is>
          <t>RIPPLE</t>
        </is>
      </c>
      <c r="P97" t="n">
        <v>2</v>
      </c>
      <c r="Q97" t="n">
        <v>0.05</v>
      </c>
      <c r="R97" t="n">
        <v>7.326</v>
      </c>
      <c r="S97" t="n">
        <v>0</v>
      </c>
      <c r="T97" t="n">
        <v>0</v>
      </c>
      <c r="U97" t="n">
        <v>0</v>
      </c>
      <c r="V97" t="n">
        <v>0</v>
      </c>
      <c r="W97" t="n">
        <v>343</v>
      </c>
      <c r="X97" t="n">
        <v>1.5</v>
      </c>
      <c r="Y97" t="n">
        <v>0</v>
      </c>
      <c r="Z97" t="n">
        <v>170</v>
      </c>
      <c r="AA97" t="n">
        <v>34</v>
      </c>
      <c r="AB97" t="n">
        <v>0</v>
      </c>
      <c r="AC97" t="inlineStr">
        <is>
          <t>Ground</t>
        </is>
      </c>
      <c r="AD97" t="inlineStr"/>
      <c r="AE97" t="n">
        <v>0.5</v>
      </c>
      <c r="AF97" t="inlineStr">
        <is>
          <t>Medium</t>
        </is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n">
        <v>120</v>
      </c>
      <c r="AO97" t="n">
        <v>0</v>
      </c>
      <c r="AP97" t="inlineStr">
        <is>
          <t>T3</t>
        </is>
      </c>
      <c r="AQ97" t="inlineStr"/>
      <c r="AR97" t="inlineStr">
        <is>
          <t>gun_120_twin_he</t>
        </is>
      </c>
      <c r="AS97" t="inlineStr">
        <is>
          <t>xe</t>
        </is>
      </c>
      <c r="AT97" t="inlineStr">
        <is>
          <t>twin_tank</t>
        </is>
      </c>
      <c r="AU97" t="n">
        <v>1</v>
      </c>
      <c r="AV97" t="inlineStr">
        <is>
          <t>twin_tank:0</t>
        </is>
      </c>
      <c r="AW97" t="n">
        <v>0</v>
      </c>
      <c r="AX97" t="b">
        <v>0</v>
      </c>
      <c r="AY97" t="inlineStr"/>
      <c r="AZ97">
        <f>IF(AND($AX$97,$AW$97&gt;$AA$97/$Z$97),$AW$97,$AA$97/$Z$97)</f>
        <v/>
      </c>
      <c r="BA97" t="n">
        <v>0.2</v>
      </c>
      <c r="BB97" t="n">
        <v>8</v>
      </c>
      <c r="BC97" t="n">
        <v>6</v>
      </c>
      <c r="BD97" t="inlineStr">
        <is>
          <t>gun</t>
        </is>
      </c>
      <c r="BE97" t="inlineStr">
        <is>
          <t>the sheet's 'Ngoài đời': Rh-120 6-8 rpm with a loader (Wikipedia 'Rheinmetall 120 mm gun')</t>
        </is>
      </c>
      <c r="BG97" t="inlineStr">
        <is>
          <t>doi</t>
        </is>
      </c>
      <c r="BH97" t="n">
        <v>240</v>
      </c>
      <c r="BI97" t="n">
        <v>343</v>
      </c>
      <c r="BJ97" t="n">
        <v>5.113</v>
      </c>
      <c r="BK97" t="n">
        <v>7.326</v>
      </c>
      <c r="CR97" t="n">
        <v>2</v>
      </c>
      <c r="CS97" t="n">
        <v>0.05</v>
      </c>
      <c r="CT97" t="n">
        <v>120</v>
      </c>
      <c r="DD97" t="n">
        <v>7.326</v>
      </c>
      <c r="DE97" t="n">
        <v>343</v>
      </c>
      <c r="DF97" t="inlineStr">
        <is>
          <t>Kinetic</t>
        </is>
      </c>
      <c r="DJ97" t="inlineStr">
        <is>
          <t>tank_gun</t>
        </is>
      </c>
      <c r="DS97" t="inlineStr">
        <is>
          <t>Medium</t>
        </is>
      </c>
      <c r="EB97" t="n">
        <v>4</v>
      </c>
      <c r="EE97" t="b">
        <v>1</v>
      </c>
      <c r="EP97" t="n">
        <v>34</v>
      </c>
      <c r="EQ97" t="inlineStr">
        <is>
          <t>Rh-120 L/44 120 mm (twin)</t>
        </is>
      </c>
      <c r="EX97" t="n">
        <v>120</v>
      </c>
      <c r="EZ97" t="n">
        <v>0.5</v>
      </c>
      <c r="GA97" t="inlineStr">
        <is>
          <t>rh_120_l_44_120_mm</t>
        </is>
      </c>
      <c r="GB97" t="inlineStr">
        <is>
          <t>cal_120_ap</t>
        </is>
      </c>
      <c r="GD97" t="inlineStr">
        <is>
          <t>Assets/MachineBrigade/Resources/Data/balance.json: weapons[265]</t>
        </is>
      </c>
      <c r="GE97" t="inlineStr">
        <is>
          <t>{"id":"gun_120_twin","weaponFamilyId":"cal_120_ap","weaponFamily":"rh_120_l_44_120_mm","real":"Rh-120 L/44 120 mm (twin)","family":"tank_gun","size":120,"caliberMm":120,"pen":4,"piercing":true,"damageType":"Kinetic","damage":343,"cooldown":7.326,"range":34,"spread":0.5,"impactTier":"Medium","burst":2,"burstInterval":0.05}</t>
        </is>
      </c>
    </row>
    <row r="98">
      <c r="A98" t="inlineStr">
        <is>
          <t>gun_120_twin_he</t>
        </is>
      </c>
      <c r="B98" t="inlineStr">
        <is>
          <t>Rh-120 L/44 120 mm HE (twin)</t>
        </is>
      </c>
      <c r="C98" t="inlineStr">
        <is>
          <t>cal_120_he</t>
        </is>
      </c>
      <c r="D98" t="inlineStr"/>
      <c r="E98" t="inlineStr">
        <is>
          <t>rh_120_l_44_120_mm_he</t>
        </is>
      </c>
      <c r="F98" t="inlineStr">
        <is>
          <t>tank_gun</t>
        </is>
      </c>
      <c r="G98" t="n">
        <v>120</v>
      </c>
      <c r="H98" t="inlineStr"/>
      <c r="I98" t="inlineStr"/>
      <c r="J98" t="inlineStr"/>
      <c r="K98" t="inlineStr">
        <is>
          <t>HighExplosive</t>
        </is>
      </c>
      <c r="L98" t="n">
        <v>2</v>
      </c>
      <c r="M98" t="inlineStr">
        <is>
          <t>Shell</t>
        </is>
      </c>
      <c r="N98" t="n">
        <v>1</v>
      </c>
      <c r="O98" t="inlineStr">
        <is>
          <t>RIPPLE</t>
        </is>
      </c>
      <c r="P98" t="n">
        <v>2</v>
      </c>
      <c r="Q98" t="n">
        <v>0.05</v>
      </c>
      <c r="R98" t="n">
        <v>7.326</v>
      </c>
      <c r="S98" t="n">
        <v>0</v>
      </c>
      <c r="T98" t="n">
        <v>0</v>
      </c>
      <c r="U98" t="n">
        <v>0</v>
      </c>
      <c r="V98" t="n">
        <v>0</v>
      </c>
      <c r="W98" t="n">
        <v>343</v>
      </c>
      <c r="X98" t="n">
        <v>3</v>
      </c>
      <c r="Y98" t="n">
        <v>0</v>
      </c>
      <c r="Z98" t="n">
        <v>170</v>
      </c>
      <c r="AA98" t="n">
        <v>34</v>
      </c>
      <c r="AB98" t="n">
        <v>0</v>
      </c>
      <c r="AC98" t="inlineStr">
        <is>
          <t>Ground</t>
        </is>
      </c>
      <c r="AD98" t="inlineStr"/>
      <c r="AE98" t="n">
        <v>0.5</v>
      </c>
      <c r="AF98" t="inlineStr">
        <is>
          <t>Large</t>
        </is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n">
        <v>120</v>
      </c>
      <c r="AO98" t="n">
        <v>0</v>
      </c>
      <c r="AP98" t="inlineStr">
        <is>
          <t>T3</t>
        </is>
      </c>
      <c r="AQ98" t="inlineStr">
        <is>
          <t>gun_120_twin</t>
        </is>
      </c>
      <c r="AR98" t="inlineStr"/>
      <c r="AS98" t="inlineStr"/>
      <c r="AT98" t="inlineStr"/>
      <c r="AU98" t="n">
        <v>0</v>
      </c>
      <c r="AV98" t="inlineStr"/>
      <c r="AW98" t="n">
        <v>0</v>
      </c>
      <c r="AX98" t="b">
        <v>0</v>
      </c>
      <c r="AY98" t="inlineStr"/>
      <c r="AZ98">
        <f>IF(AND($AX$98,$AW$98&gt;$AA$98/$Z$98),$AW$98,$AA$98/$Z$98)</f>
        <v/>
      </c>
      <c r="BA98" t="n">
        <v>0.2</v>
      </c>
      <c r="BB98" t="n">
        <v>8</v>
      </c>
      <c r="BC98" t="n">
        <v>6</v>
      </c>
      <c r="BD98" t="inlineStr">
        <is>
          <t>gun</t>
        </is>
      </c>
      <c r="BE98" t="inlineStr">
        <is>
          <t>the sheet's 'Ngoài đời': Rh-120 6-8 rpm with a loader (Wikipedia 'Rheinmetall 120 mm gun')</t>
        </is>
      </c>
      <c r="BG98" t="inlineStr">
        <is>
          <t>doi</t>
        </is>
      </c>
      <c r="BH98" t="n">
        <v>240</v>
      </c>
      <c r="BI98" t="n">
        <v>343</v>
      </c>
      <c r="BJ98" t="n">
        <v>5.113</v>
      </c>
      <c r="BK98" t="n">
        <v>7.326</v>
      </c>
      <c r="DE98" t="n">
        <v>343</v>
      </c>
      <c r="DF98" t="inlineStr">
        <is>
          <t>HighExplosive</t>
        </is>
      </c>
      <c r="DM98" t="inlineStr">
        <is>
          <t>light;structure</t>
        </is>
      </c>
      <c r="DN98" t="inlineStr">
        <is>
          <t>HeShell</t>
        </is>
      </c>
      <c r="DS98" t="inlineStr">
        <is>
          <t>Large</t>
        </is>
      </c>
      <c r="DT98" t="inlineStr">
        <is>
          <t>gun_120_twin</t>
        </is>
      </c>
      <c r="EB98" t="n">
        <v>2</v>
      </c>
      <c r="EE98" t="b">
        <v>0</v>
      </c>
      <c r="EQ98" t="inlineStr">
        <is>
          <t>Rh-120 L/44 120 mm HE (twin)</t>
        </is>
      </c>
      <c r="ES98" t="inlineStr">
        <is>
          <t>he</t>
        </is>
      </c>
      <c r="EU98" t="inlineStr">
        <is>
          <t>gun_120_twin</t>
        </is>
      </c>
      <c r="EY98" t="n">
        <v>3</v>
      </c>
      <c r="FW98" t="inlineStr">
        <is>
          <t>Ground</t>
        </is>
      </c>
      <c r="GA98" t="inlineStr">
        <is>
          <t>rh_120_l_44_120_mm_he</t>
        </is>
      </c>
      <c r="GB98" t="inlineStr">
        <is>
          <t>cal_120_he</t>
        </is>
      </c>
      <c r="GD98" t="inlineStr">
        <is>
          <t>Assets/MachineBrigade/Resources/Data/balance.json: secondRounds.rounds[24]</t>
        </is>
      </c>
      <c r="GE98" t="inlineStr">
        <is>
          <t>{"id":"gun_120_twin_he","roundOf":"gun_120_twin","inherits":"gun_120_twin","weaponFamilyId":"cal_120_he","weaponFamily":"rh_120_l_44_120_mm_he","round":"he","for":["light","structure"],"real":"Rh-120 L/44 120 mm HE (twin)","damageType":"HighExplosive","pen":2,"damage":343,"splash":3,"form":"HeShell","piercing":false,"targets":"Ground","impactTier":"Large"}</t>
        </is>
      </c>
    </row>
    <row r="99">
      <c r="A99" t="inlineStr">
        <is>
          <t>gun_120mm</t>
        </is>
      </c>
      <c r="B99" t="inlineStr">
        <is>
          <t>Rh-120 L/44 120 mm</t>
        </is>
      </c>
      <c r="C99" t="inlineStr">
        <is>
          <t>cal_120_ap</t>
        </is>
      </c>
      <c r="D99" t="inlineStr"/>
      <c r="E99" t="inlineStr">
        <is>
          <t>rh_120_l_44_120_mm</t>
        </is>
      </c>
      <c r="F99" t="inlineStr">
        <is>
          <t>tank_gun</t>
        </is>
      </c>
      <c r="G99" t="n">
        <v>120</v>
      </c>
      <c r="H99" t="inlineStr"/>
      <c r="I99" t="inlineStr"/>
      <c r="J99" t="inlineStr"/>
      <c r="K99" t="inlineStr">
        <is>
          <t>Kinetic</t>
        </is>
      </c>
      <c r="L99" t="n">
        <v>4</v>
      </c>
      <c r="M99" t="inlineStr">
        <is>
          <t>Shell</t>
        </is>
      </c>
      <c r="N99" t="n">
        <v>1</v>
      </c>
      <c r="O99" t="inlineStr">
        <is>
          <t>RIPPLE</t>
        </is>
      </c>
      <c r="P99" t="n">
        <v>1</v>
      </c>
      <c r="Q99" t="n">
        <v>0.1</v>
      </c>
      <c r="R99" t="n">
        <v>7.283</v>
      </c>
      <c r="S99" t="n">
        <v>0</v>
      </c>
      <c r="T99" t="n">
        <v>0</v>
      </c>
      <c r="U99" t="n">
        <v>0</v>
      </c>
      <c r="V99" t="n">
        <v>0</v>
      </c>
      <c r="W99" t="n">
        <v>343</v>
      </c>
      <c r="X99" t="n">
        <v>1.5</v>
      </c>
      <c r="Y99" t="n">
        <v>0</v>
      </c>
      <c r="Z99" t="n">
        <v>170</v>
      </c>
      <c r="AA99" t="n">
        <v>32</v>
      </c>
      <c r="AB99" t="n">
        <v>0</v>
      </c>
      <c r="AC99" t="inlineStr">
        <is>
          <t>Ground</t>
        </is>
      </c>
      <c r="AD99" t="inlineStr"/>
      <c r="AE99" t="n">
        <v>0.6</v>
      </c>
      <c r="AF99" t="inlineStr">
        <is>
          <t>Medium</t>
        </is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n">
        <v>120</v>
      </c>
      <c r="AO99" t="n">
        <v>0</v>
      </c>
      <c r="AP99" t="inlineStr">
        <is>
          <t>T3</t>
        </is>
      </c>
      <c r="AQ99" t="inlineStr"/>
      <c r="AR99" t="inlineStr">
        <is>
          <t>gun_120mm_he</t>
        </is>
      </c>
      <c r="AS99" t="inlineStr">
        <is>
          <t>boss_part;xe</t>
        </is>
      </c>
      <c r="AT99" t="inlineStr">
        <is>
          <t>main_battle_tank;mara_behemoth;side_gun_120;turret_120</t>
        </is>
      </c>
      <c r="AU99" t="n">
        <v>4</v>
      </c>
      <c r="AV99" t="inlineStr">
        <is>
          <t>main_battle_tank:0;mara_behemoth:1;side_gun_120:part;turret_120:part</t>
        </is>
      </c>
      <c r="AW99" t="n">
        <v>0</v>
      </c>
      <c r="AX99" t="b">
        <v>0</v>
      </c>
      <c r="AY99" t="inlineStr"/>
      <c r="AZ99">
        <f>IF(AND($AX$99,$AW$99&gt;$AA$99/$Z$99),$AW$99,$AA$99/$Z$99)</f>
        <v/>
      </c>
      <c r="BA99" t="n">
        <v>0.1882352941176471</v>
      </c>
      <c r="BB99" t="n">
        <v>8</v>
      </c>
      <c r="BC99" t="n">
        <v>6</v>
      </c>
      <c r="BD99" t="inlineStr">
        <is>
          <t>gun</t>
        </is>
      </c>
      <c r="BE99" t="inlineStr">
        <is>
          <t>the sheet's 'Ngoài đời': Rh-120 6-8 rpm with a loader (Wikipedia 'Rheinmetall 120 mm gun')</t>
        </is>
      </c>
      <c r="BG99" t="inlineStr">
        <is>
          <t>doi</t>
        </is>
      </c>
      <c r="BH99" t="n">
        <v>240</v>
      </c>
      <c r="BI99" t="n">
        <v>343</v>
      </c>
      <c r="BJ99" t="n">
        <v>5.098</v>
      </c>
      <c r="BK99" t="n">
        <v>7.283</v>
      </c>
      <c r="CT99" t="n">
        <v>120</v>
      </c>
      <c r="DD99" t="n">
        <v>7.283</v>
      </c>
      <c r="DE99" t="n">
        <v>343</v>
      </c>
      <c r="DF99" t="inlineStr">
        <is>
          <t>Kinetic</t>
        </is>
      </c>
      <c r="DJ99" t="inlineStr">
        <is>
          <t>tank_gun</t>
        </is>
      </c>
      <c r="DS99" t="inlineStr">
        <is>
          <t>Medium</t>
        </is>
      </c>
      <c r="EB99" t="n">
        <v>4</v>
      </c>
      <c r="EE99" t="b">
        <v>1</v>
      </c>
      <c r="EP99" t="n">
        <v>32</v>
      </c>
      <c r="EQ99" t="inlineStr">
        <is>
          <t>Rh-120 L/44 120 mm</t>
        </is>
      </c>
      <c r="EX99" t="n">
        <v>120</v>
      </c>
      <c r="EZ99" t="n">
        <v>0.6</v>
      </c>
      <c r="GA99" t="inlineStr">
        <is>
          <t>rh_120_l_44_120_mm</t>
        </is>
      </c>
      <c r="GB99" t="inlineStr">
        <is>
          <t>cal_120_ap</t>
        </is>
      </c>
      <c r="GD99" t="inlineStr">
        <is>
          <t>Assets/MachineBrigade/Resources/Data/balance.json: weapons[11]</t>
        </is>
      </c>
      <c r="GE99" t="inlineStr">
        <is>
          <t>{"id":"gun_120mm","weaponFamilyId":"cal_120_ap","weaponFamily":"rh_120_l_44_120_mm","real":"Rh-120 L/44 120 mm","family":"tank_gun","size":120,"caliberMm":120,"pen":4,"piercing":true,"damageType":"Kinetic","damage":343,"cooldown":7.283,"range":32,"spread":0.6,"impactTier":"Medium"}</t>
        </is>
      </c>
    </row>
    <row r="100">
      <c r="A100" t="inlineStr">
        <is>
          <t>gun_120mm_he</t>
        </is>
      </c>
      <c r="B100" t="inlineStr">
        <is>
          <t>Rh-120 L/44 120 mm HE</t>
        </is>
      </c>
      <c r="C100" t="inlineStr">
        <is>
          <t>cal_120_he</t>
        </is>
      </c>
      <c r="D100" t="inlineStr"/>
      <c r="E100" t="inlineStr">
        <is>
          <t>rh_120_l_44_120_mm_he</t>
        </is>
      </c>
      <c r="F100" t="inlineStr">
        <is>
          <t>tank_gun</t>
        </is>
      </c>
      <c r="G100" t="n">
        <v>120</v>
      </c>
      <c r="H100" t="inlineStr"/>
      <c r="I100" t="inlineStr"/>
      <c r="J100" t="inlineStr"/>
      <c r="K100" t="inlineStr">
        <is>
          <t>HighExplosive</t>
        </is>
      </c>
      <c r="L100" t="n">
        <v>2</v>
      </c>
      <c r="M100" t="inlineStr">
        <is>
          <t>Shell</t>
        </is>
      </c>
      <c r="N100" t="n">
        <v>1</v>
      </c>
      <c r="O100" t="inlineStr">
        <is>
          <t>RIPPLE</t>
        </is>
      </c>
      <c r="P100" t="n">
        <v>1</v>
      </c>
      <c r="Q100" t="n">
        <v>0.1</v>
      </c>
      <c r="R100" t="n">
        <v>7.283</v>
      </c>
      <c r="S100" t="n">
        <v>0</v>
      </c>
      <c r="T100" t="n">
        <v>0</v>
      </c>
      <c r="U100" t="n">
        <v>0</v>
      </c>
      <c r="V100" t="n">
        <v>0</v>
      </c>
      <c r="W100" t="n">
        <v>343</v>
      </c>
      <c r="X100" t="n">
        <v>3</v>
      </c>
      <c r="Y100" t="n">
        <v>0</v>
      </c>
      <c r="Z100" t="n">
        <v>170</v>
      </c>
      <c r="AA100" t="n">
        <v>32</v>
      </c>
      <c r="AB100" t="n">
        <v>0</v>
      </c>
      <c r="AC100" t="inlineStr">
        <is>
          <t>Ground</t>
        </is>
      </c>
      <c r="AD100" t="inlineStr"/>
      <c r="AE100" t="n">
        <v>0.6</v>
      </c>
      <c r="AF100" t="inlineStr">
        <is>
          <t>Large</t>
        </is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n">
        <v>120</v>
      </c>
      <c r="AO100" t="n">
        <v>0</v>
      </c>
      <c r="AP100" t="inlineStr">
        <is>
          <t>T3</t>
        </is>
      </c>
      <c r="AQ100" t="inlineStr">
        <is>
          <t>gun_120mm</t>
        </is>
      </c>
      <c r="AR100" t="inlineStr"/>
      <c r="AS100" t="inlineStr"/>
      <c r="AT100" t="inlineStr"/>
      <c r="AU100" t="n">
        <v>0</v>
      </c>
      <c r="AV100" t="inlineStr"/>
      <c r="AW100" t="n">
        <v>0</v>
      </c>
      <c r="AX100" t="b">
        <v>0</v>
      </c>
      <c r="AY100" t="inlineStr"/>
      <c r="AZ100">
        <f>IF(AND($AX$100,$AW$100&gt;$AA$100/$Z$100),$AW$100,$AA$100/$Z$100)</f>
        <v/>
      </c>
      <c r="BA100" t="n">
        <v>0.1882352941176471</v>
      </c>
      <c r="BB100" t="n">
        <v>8</v>
      </c>
      <c r="BC100" t="n">
        <v>6</v>
      </c>
      <c r="BD100" t="inlineStr">
        <is>
          <t>gun</t>
        </is>
      </c>
      <c r="BE100" t="inlineStr">
        <is>
          <t>the sheet's 'Ngoài đời': Rh-120 6-8 rpm with a loader (Wikipedia 'Rheinmetall 120 mm gun')</t>
        </is>
      </c>
      <c r="BG100" t="inlineStr">
        <is>
          <t>doi</t>
        </is>
      </c>
      <c r="BH100" t="n">
        <v>240</v>
      </c>
      <c r="BI100" t="n">
        <v>343</v>
      </c>
      <c r="BJ100" t="n">
        <v>5.098</v>
      </c>
      <c r="BK100" t="n">
        <v>7.283</v>
      </c>
      <c r="DE100" t="n">
        <v>343</v>
      </c>
      <c r="DF100" t="inlineStr">
        <is>
          <t>HighExplosive</t>
        </is>
      </c>
      <c r="DM100" t="inlineStr">
        <is>
          <t>light;structure</t>
        </is>
      </c>
      <c r="DN100" t="inlineStr">
        <is>
          <t>HeShell</t>
        </is>
      </c>
      <c r="DS100" t="inlineStr">
        <is>
          <t>Large</t>
        </is>
      </c>
      <c r="DT100" t="inlineStr">
        <is>
          <t>gun_120mm</t>
        </is>
      </c>
      <c r="EB100" t="n">
        <v>2</v>
      </c>
      <c r="EE100" t="b">
        <v>0</v>
      </c>
      <c r="EQ100" t="inlineStr">
        <is>
          <t>Rh-120 L/44 120 mm HE</t>
        </is>
      </c>
      <c r="ES100" t="inlineStr">
        <is>
          <t>he</t>
        </is>
      </c>
      <c r="EU100" t="inlineStr">
        <is>
          <t>gun_120mm</t>
        </is>
      </c>
      <c r="EY100" t="n">
        <v>3</v>
      </c>
      <c r="FW100" t="inlineStr">
        <is>
          <t>Ground</t>
        </is>
      </c>
      <c r="GA100" t="inlineStr">
        <is>
          <t>rh_120_l_44_120_mm_he</t>
        </is>
      </c>
      <c r="GB100" t="inlineStr">
        <is>
          <t>cal_120_he</t>
        </is>
      </c>
      <c r="GD100" t="inlineStr">
        <is>
          <t>Assets/MachineBrigade/Resources/Data/balance.json: secondRounds.rounds[25]</t>
        </is>
      </c>
      <c r="GE100" t="inlineStr">
        <is>
          <t>{"id":"gun_120mm_he","roundOf":"gun_120mm","inherits":"gun_120mm","weaponFamilyId":"cal_120_he","weaponFamily":"rh_120_l_44_120_mm_he","round":"he","for":["light","structure"],"real":"Rh-120 L/44 120 mm HE","damageType":"HighExplosive","pen":2,"damage":343,"splash":3,"form":"HeShell","piercing":false,"targets":"Ground","impactTier":"Large"}</t>
        </is>
      </c>
    </row>
    <row r="101">
      <c r="A101" t="inlineStr">
        <is>
          <t>gun_125_armata_ke</t>
        </is>
      </c>
      <c r="B101" t="inlineStr">
        <is>
          <t>125 mm smoothbore (T-14 Armata)</t>
        </is>
      </c>
      <c r="C101" t="inlineStr">
        <is>
          <t>cal_125_ap</t>
        </is>
      </c>
      <c r="D101" t="inlineStr"/>
      <c r="E101" t="inlineStr"/>
      <c r="F101" t="inlineStr">
        <is>
          <t>tank_gun</t>
        </is>
      </c>
      <c r="G101" t="n">
        <v>125</v>
      </c>
      <c r="H101" t="inlineStr"/>
      <c r="I101" t="inlineStr"/>
      <c r="J101" t="inlineStr"/>
      <c r="K101" t="inlineStr">
        <is>
          <t>Kinetic</t>
        </is>
      </c>
      <c r="L101" t="n">
        <v>4</v>
      </c>
      <c r="M101" t="inlineStr">
        <is>
          <t>Shell</t>
        </is>
      </c>
      <c r="N101" t="n">
        <v>1</v>
      </c>
      <c r="O101" t="inlineStr">
        <is>
          <t>RIPPLE</t>
        </is>
      </c>
      <c r="P101" t="n">
        <v>1</v>
      </c>
      <c r="Q101" t="n">
        <v>0.1</v>
      </c>
      <c r="R101" t="n">
        <v>7.143</v>
      </c>
      <c r="S101" t="n">
        <v>0</v>
      </c>
      <c r="T101" t="n">
        <v>0</v>
      </c>
      <c r="U101" t="n">
        <v>0</v>
      </c>
      <c r="V101" t="n">
        <v>0</v>
      </c>
      <c r="W101" t="n">
        <v>371</v>
      </c>
      <c r="X101" t="n">
        <v>0</v>
      </c>
      <c r="Y101" t="n">
        <v>0</v>
      </c>
      <c r="Z101" t="n">
        <v>210</v>
      </c>
      <c r="AA101" t="n">
        <v>34</v>
      </c>
      <c r="AB101" t="n">
        <v>0</v>
      </c>
      <c r="AC101" t="inlineStr">
        <is>
          <t>All</t>
        </is>
      </c>
      <c r="AD101" t="inlineStr"/>
      <c r="AE101" t="n">
        <v>0.8</v>
      </c>
      <c r="AF101" t="inlineStr">
        <is>
          <t>Large</t>
        </is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n">
        <v>125</v>
      </c>
      <c r="AO101" t="n">
        <v>0</v>
      </c>
      <c r="AP101" t="inlineStr">
        <is>
          <t>T3</t>
        </is>
      </c>
      <c r="AQ101" t="inlineStr"/>
      <c r="AR101" t="inlineStr"/>
      <c r="AS101" t="inlineStr">
        <is>
          <t>xe</t>
        </is>
      </c>
      <c r="AT101" t="inlineStr">
        <is>
          <t>next_gen_tank</t>
        </is>
      </c>
      <c r="AU101" t="n">
        <v>1</v>
      </c>
      <c r="AV101" t="inlineStr">
        <is>
          <t>next_gen_tank:0</t>
        </is>
      </c>
      <c r="AW101" t="n">
        <v>0</v>
      </c>
      <c r="AX101" t="b">
        <v>0</v>
      </c>
      <c r="AY101" t="inlineStr"/>
      <c r="AZ101">
        <f>IF(AND($AX$101,$AW$101&gt;$AA$101/$Z$101),$AW$101,$AA$101/$Z$101)</f>
        <v/>
      </c>
      <c r="BA101" t="n">
        <v>0.1619047619047619</v>
      </c>
      <c r="BB101" t="n">
        <v>8</v>
      </c>
      <c r="BC101" t="n">
        <v>7</v>
      </c>
      <c r="BD101" t="inlineStr">
        <is>
          <t>gun</t>
        </is>
      </c>
      <c r="BE101" t="inlineStr">
        <is>
          <t>Wikipedia '2A46': 7-8 rpm with the autoloader</t>
        </is>
      </c>
      <c r="BG101" t="inlineStr">
        <is>
          <t>doi</t>
        </is>
      </c>
      <c r="BH101" t="n">
        <v>260</v>
      </c>
      <c r="BI101" t="n">
        <v>371</v>
      </c>
      <c r="BJ101" t="n">
        <v>5</v>
      </c>
      <c r="BK101" t="n">
        <v>7.143</v>
      </c>
      <c r="CT101" t="n">
        <v>125</v>
      </c>
      <c r="DD101" t="n">
        <v>7.143</v>
      </c>
      <c r="DE101" t="n">
        <v>371</v>
      </c>
      <c r="DF101" t="inlineStr">
        <is>
          <t>Kinetic</t>
        </is>
      </c>
      <c r="DJ101" t="inlineStr">
        <is>
          <t>tank_gun</t>
        </is>
      </c>
      <c r="DS101" t="inlineStr">
        <is>
          <t>Large</t>
        </is>
      </c>
      <c r="EB101" t="n">
        <v>4</v>
      </c>
      <c r="EH101" t="inlineStr">
        <is>
          <t>Shell</t>
        </is>
      </c>
      <c r="EK101" t="n">
        <v>210</v>
      </c>
      <c r="EP101" t="n">
        <v>34</v>
      </c>
      <c r="EQ101" t="inlineStr">
        <is>
          <t>125 mm smoothbore (T-14 Armata)</t>
        </is>
      </c>
      <c r="EX101" t="n">
        <v>125</v>
      </c>
      <c r="EZ101" t="n">
        <v>0.8</v>
      </c>
      <c r="FW101" t="inlineStr">
        <is>
          <t>All</t>
        </is>
      </c>
      <c r="GB101" t="inlineStr">
        <is>
          <t>cal_125_ap</t>
        </is>
      </c>
      <c r="GD101" t="inlineStr">
        <is>
          <t>Assets/MachineBrigade/Resources/Data/balance.json: weapons[284]</t>
        </is>
      </c>
      <c r="GE101" t="inlineStr">
        <is>
          <t>{"id":"gun_125_armata_ke","weaponFamilyId":"cal_125_ap","real":"125 mm smoothbore (T-14 Armata)","family":"tank_gun","size":125,"caliberMm":125,"pen":4,"damageType":"Kinetic","damage":371,"cooldown":7.143,"range":34,"projectileSpeed":210,"spread":0.8,"impactTier":"Large","projectile":"Shell","targets":"All"}</t>
        </is>
      </c>
    </row>
    <row r="102">
      <c r="A102" t="inlineStr">
        <is>
          <t>gun_125_elite</t>
        </is>
      </c>
      <c r="B102" t="inlineStr">
        <is>
          <t>2A46M-5 125 mm</t>
        </is>
      </c>
      <c r="C102" t="inlineStr">
        <is>
          <t>cal_125_ap</t>
        </is>
      </c>
      <c r="D102" t="inlineStr"/>
      <c r="E102" t="inlineStr"/>
      <c r="F102" t="inlineStr">
        <is>
          <t>tank_gun</t>
        </is>
      </c>
      <c r="G102" t="n">
        <v>125</v>
      </c>
      <c r="H102" t="inlineStr"/>
      <c r="I102" t="inlineStr"/>
      <c r="J102" t="inlineStr"/>
      <c r="K102" t="inlineStr">
        <is>
          <t>Kinetic</t>
        </is>
      </c>
      <c r="L102" t="n">
        <v>4</v>
      </c>
      <c r="M102" t="inlineStr">
        <is>
          <t>Shell</t>
        </is>
      </c>
      <c r="N102" t="n">
        <v>1</v>
      </c>
      <c r="O102" t="inlineStr">
        <is>
          <t>RIPPLE</t>
        </is>
      </c>
      <c r="P102" t="n">
        <v>1</v>
      </c>
      <c r="Q102" t="n">
        <v>0.1</v>
      </c>
      <c r="R102" t="n">
        <v>8.086</v>
      </c>
      <c r="S102" t="n">
        <v>0</v>
      </c>
      <c r="T102" t="n">
        <v>0</v>
      </c>
      <c r="U102" t="n">
        <v>0</v>
      </c>
      <c r="V102" t="n">
        <v>0</v>
      </c>
      <c r="W102" t="n">
        <v>371</v>
      </c>
      <c r="X102" t="n">
        <v>1.5</v>
      </c>
      <c r="Y102" t="n">
        <v>0</v>
      </c>
      <c r="Z102" t="n">
        <v>190</v>
      </c>
      <c r="AA102" t="n">
        <v>34</v>
      </c>
      <c r="AB102" t="n">
        <v>0</v>
      </c>
      <c r="AC102" t="inlineStr">
        <is>
          <t>Ground</t>
        </is>
      </c>
      <c r="AD102" t="inlineStr"/>
      <c r="AE102" t="n">
        <v>0.5</v>
      </c>
      <c r="AF102" t="inlineStr">
        <is>
          <t>Large</t>
        </is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n">
        <v>125</v>
      </c>
      <c r="AO102" t="n">
        <v>0</v>
      </c>
      <c r="AP102" t="inlineStr">
        <is>
          <t>T3</t>
        </is>
      </c>
      <c r="AQ102" t="inlineStr"/>
      <c r="AR102" t="inlineStr">
        <is>
          <t>gun_125_elite_he</t>
        </is>
      </c>
      <c r="AS102" t="inlineStr">
        <is>
          <t>xe</t>
        </is>
      </c>
      <c r="AT102" t="inlineStr">
        <is>
          <t>elite_mbt</t>
        </is>
      </c>
      <c r="AU102" t="n">
        <v>1</v>
      </c>
      <c r="AV102" t="inlineStr">
        <is>
          <t>elite_mbt:0</t>
        </is>
      </c>
      <c r="AW102" t="n">
        <v>0</v>
      </c>
      <c r="AX102" t="b">
        <v>0</v>
      </c>
      <c r="AY102" t="inlineStr"/>
      <c r="AZ102">
        <f>IF(AND($AX$102,$AW$102&gt;$AA$102/$Z$102),$AW$102,$AA$102/$Z$102)</f>
        <v/>
      </c>
      <c r="BA102" t="n">
        <v>0.1789473684210526</v>
      </c>
      <c r="BB102" t="n">
        <v>8</v>
      </c>
      <c r="BC102" t="n">
        <v>7</v>
      </c>
      <c r="BD102" t="inlineStr">
        <is>
          <t>gun</t>
        </is>
      </c>
      <c r="BE102" t="inlineStr">
        <is>
          <t>Wikipedia '2A46': 7-8 rpm with the autoloader</t>
        </is>
      </c>
      <c r="BG102" t="inlineStr">
        <is>
          <t>doi</t>
        </is>
      </c>
      <c r="BH102" t="n">
        <v>260</v>
      </c>
      <c r="BI102" t="n">
        <v>371</v>
      </c>
      <c r="BJ102" t="n">
        <v>5.66</v>
      </c>
      <c r="BK102" t="n">
        <v>8.086</v>
      </c>
      <c r="CT102" t="n">
        <v>125</v>
      </c>
      <c r="DD102" t="n">
        <v>8.086</v>
      </c>
      <c r="DE102" t="n">
        <v>371</v>
      </c>
      <c r="DF102" t="inlineStr">
        <is>
          <t>Kinetic</t>
        </is>
      </c>
      <c r="DJ102" t="inlineStr">
        <is>
          <t>tank_gun</t>
        </is>
      </c>
      <c r="DS102" t="inlineStr">
        <is>
          <t>Large</t>
        </is>
      </c>
      <c r="EB102" t="n">
        <v>4</v>
      </c>
      <c r="EE102" t="b">
        <v>1</v>
      </c>
      <c r="EK102" t="n">
        <v>190</v>
      </c>
      <c r="EP102" t="n">
        <v>34</v>
      </c>
      <c r="EQ102" t="inlineStr">
        <is>
          <t>2A46M-5 125 mm</t>
        </is>
      </c>
      <c r="EX102" t="n">
        <v>125</v>
      </c>
      <c r="EY102" t="n">
        <v>1.5</v>
      </c>
      <c r="EZ102" t="n">
        <v>0.5</v>
      </c>
      <c r="GB102" t="inlineStr">
        <is>
          <t>cal_125_ap</t>
        </is>
      </c>
      <c r="GD102" t="inlineStr">
        <is>
          <t>Assets/MachineBrigade/Resources/Data/balance.json: weapons[97]</t>
        </is>
      </c>
      <c r="GE102" t="inlineStr">
        <is>
          <t>{"id":"gun_125_elite","weaponFamilyId":"cal_125_ap","real":"2A46M-5 125 mm","family":"tank_gun","size":125,"caliberMm":125,"pen":4,"piercing":true,"damageType":"Kinetic","damage":371,"cooldown":8.086,"range":34,"projectileSpeed":190,"splash":1.5,"spread":0.5,"impactTier":"Large"}</t>
        </is>
      </c>
    </row>
    <row r="103">
      <c r="A103" t="inlineStr">
        <is>
          <t>gun_125_elite_he</t>
        </is>
      </c>
      <c r="B103" t="inlineStr">
        <is>
          <t>2A46M-5 125 mm HE</t>
        </is>
      </c>
      <c r="C103" t="inlineStr">
        <is>
          <t>cal_125_he</t>
        </is>
      </c>
      <c r="D103" t="inlineStr"/>
      <c r="E103" t="inlineStr"/>
      <c r="F103" t="inlineStr">
        <is>
          <t>tank_gun</t>
        </is>
      </c>
      <c r="G103" t="n">
        <v>125</v>
      </c>
      <c r="H103" t="inlineStr"/>
      <c r="I103" t="inlineStr"/>
      <c r="J103" t="inlineStr"/>
      <c r="K103" t="inlineStr">
        <is>
          <t>HighExplosive</t>
        </is>
      </c>
      <c r="L103" t="n">
        <v>2</v>
      </c>
      <c r="M103" t="inlineStr">
        <is>
          <t>Shell</t>
        </is>
      </c>
      <c r="N103" t="n">
        <v>1</v>
      </c>
      <c r="O103" t="inlineStr">
        <is>
          <t>RIPPLE</t>
        </is>
      </c>
      <c r="P103" t="n">
        <v>1</v>
      </c>
      <c r="Q103" t="n">
        <v>0.1</v>
      </c>
      <c r="R103" t="n">
        <v>8.086</v>
      </c>
      <c r="S103" t="n">
        <v>0</v>
      </c>
      <c r="T103" t="n">
        <v>0</v>
      </c>
      <c r="U103" t="n">
        <v>0</v>
      </c>
      <c r="V103" t="n">
        <v>0</v>
      </c>
      <c r="W103" t="n">
        <v>371</v>
      </c>
      <c r="X103" t="n">
        <v>3</v>
      </c>
      <c r="Y103" t="n">
        <v>0</v>
      </c>
      <c r="Z103" t="n">
        <v>190</v>
      </c>
      <c r="AA103" t="n">
        <v>34</v>
      </c>
      <c r="AB103" t="n">
        <v>0</v>
      </c>
      <c r="AC103" t="inlineStr">
        <is>
          <t>Ground</t>
        </is>
      </c>
      <c r="AD103" t="inlineStr"/>
      <c r="AE103" t="n">
        <v>0.5</v>
      </c>
      <c r="AF103" t="inlineStr">
        <is>
          <t>Huge</t>
        </is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n">
        <v>125</v>
      </c>
      <c r="AO103" t="n">
        <v>0</v>
      </c>
      <c r="AP103" t="inlineStr">
        <is>
          <t>T3</t>
        </is>
      </c>
      <c r="AQ103" t="inlineStr">
        <is>
          <t>gun_125_elite</t>
        </is>
      </c>
      <c r="AR103" t="inlineStr"/>
      <c r="AS103" t="inlineStr"/>
      <c r="AT103" t="inlineStr"/>
      <c r="AU103" t="n">
        <v>0</v>
      </c>
      <c r="AV103" t="inlineStr"/>
      <c r="AW103" t="n">
        <v>0</v>
      </c>
      <c r="AX103" t="b">
        <v>0</v>
      </c>
      <c r="AY103" t="inlineStr"/>
      <c r="AZ103">
        <f>IF(AND($AX$103,$AW$103&gt;$AA$103/$Z$103),$AW$103,$AA$103/$Z$103)</f>
        <v/>
      </c>
      <c r="BA103" t="n">
        <v>0.1789473684210526</v>
      </c>
      <c r="BB103" t="n">
        <v>8</v>
      </c>
      <c r="BC103" t="n">
        <v>7</v>
      </c>
      <c r="BD103" t="inlineStr">
        <is>
          <t>gun</t>
        </is>
      </c>
      <c r="BE103" t="inlineStr">
        <is>
          <t>Wikipedia '2A46': 7-8 rpm with the autoloader</t>
        </is>
      </c>
      <c r="BG103" t="inlineStr">
        <is>
          <t>doi</t>
        </is>
      </c>
      <c r="BH103" t="n">
        <v>260</v>
      </c>
      <c r="BI103" t="n">
        <v>371</v>
      </c>
      <c r="BJ103" t="n">
        <v>5.66</v>
      </c>
      <c r="BK103" t="n">
        <v>8.086</v>
      </c>
      <c r="DE103" t="n">
        <v>371</v>
      </c>
      <c r="DF103" t="inlineStr">
        <is>
          <t>HighExplosive</t>
        </is>
      </c>
      <c r="DM103" t="inlineStr">
        <is>
          <t>light;structure</t>
        </is>
      </c>
      <c r="DN103" t="inlineStr">
        <is>
          <t>HeShell</t>
        </is>
      </c>
      <c r="DS103" t="inlineStr">
        <is>
          <t>Huge</t>
        </is>
      </c>
      <c r="DT103" t="inlineStr">
        <is>
          <t>gun_125_elite</t>
        </is>
      </c>
      <c r="EB103" t="n">
        <v>2</v>
      </c>
      <c r="EE103" t="b">
        <v>0</v>
      </c>
      <c r="EQ103" t="inlineStr">
        <is>
          <t>2A46M-5 125 mm HE</t>
        </is>
      </c>
      <c r="ES103" t="inlineStr">
        <is>
          <t>he</t>
        </is>
      </c>
      <c r="EU103" t="inlineStr">
        <is>
          <t>gun_125_elite</t>
        </is>
      </c>
      <c r="EY103" t="n">
        <v>3</v>
      </c>
      <c r="FW103" t="inlineStr">
        <is>
          <t>Ground</t>
        </is>
      </c>
      <c r="GA103" t="inlineStr"/>
      <c r="GB103" t="inlineStr">
        <is>
          <t>cal_125_he</t>
        </is>
      </c>
      <c r="GD103" t="inlineStr">
        <is>
          <t>Assets/MachineBrigade/Resources/Data/balance.json: secondRounds.rounds[26]</t>
        </is>
      </c>
      <c r="GE103" t="inlineStr">
        <is>
          <t>{"id":"gun_125_elite_he","roundOf":"gun_125_elite","inherits":"gun_125_elite","weaponFamilyId":"cal_125_he","weaponFamily":"","round":"he","for":["light","structure"],"real":"2A46M-5 125 mm HE","damageType":"HighExplosive","pen":2,"damage":371,"splash":3,"form":"HeShell","piercing":false,"targets":"Ground","impactTier":"Huge"}</t>
        </is>
      </c>
    </row>
    <row r="104">
      <c r="A104" t="inlineStr">
        <is>
          <t>gun_140_twin</t>
        </is>
      </c>
      <c r="B104" t="inlineStr">
        <is>
          <t>NPzK 140 mm (twin)</t>
        </is>
      </c>
      <c r="C104" t="inlineStr">
        <is>
          <t>cal_140</t>
        </is>
      </c>
      <c r="D104" t="inlineStr"/>
      <c r="E104" t="inlineStr"/>
      <c r="F104" t="inlineStr">
        <is>
          <t>tank_gun</t>
        </is>
      </c>
      <c r="G104" t="n">
        <v>140</v>
      </c>
      <c r="H104" t="inlineStr"/>
      <c r="I104" t="inlineStr"/>
      <c r="J104" t="inlineStr"/>
      <c r="K104" t="inlineStr">
        <is>
          <t>Kinetic</t>
        </is>
      </c>
      <c r="L104" t="n">
        <v>4</v>
      </c>
      <c r="M104" t="inlineStr">
        <is>
          <t>Shell</t>
        </is>
      </c>
      <c r="N104" t="n">
        <v>2</v>
      </c>
      <c r="O104" t="inlineStr">
        <is>
          <t>SIMULTANEOUS</t>
        </is>
      </c>
      <c r="P104" t="n">
        <v>1</v>
      </c>
      <c r="Q104" t="n">
        <v>0.05</v>
      </c>
      <c r="R104" t="n">
        <v>6.481</v>
      </c>
      <c r="S104" t="n">
        <v>0</v>
      </c>
      <c r="T104" t="n">
        <v>0</v>
      </c>
      <c r="U104" t="n">
        <v>0</v>
      </c>
      <c r="V104" t="n">
        <v>0</v>
      </c>
      <c r="W104" t="n">
        <v>414</v>
      </c>
      <c r="X104" t="n">
        <v>2</v>
      </c>
      <c r="Y104" t="n">
        <v>0</v>
      </c>
      <c r="Z104" t="n">
        <v>200</v>
      </c>
      <c r="AA104" t="n">
        <v>40</v>
      </c>
      <c r="AB104" t="n">
        <v>0</v>
      </c>
      <c r="AC104" t="inlineStr">
        <is>
          <t>Ground</t>
        </is>
      </c>
      <c r="AD104" t="inlineStr"/>
      <c r="AE104" t="n">
        <v>0.5</v>
      </c>
      <c r="AF104" t="inlineStr">
        <is>
          <t>Large</t>
        </is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n">
        <v>140</v>
      </c>
      <c r="AO104" t="n">
        <v>0</v>
      </c>
      <c r="AP104" t="inlineStr">
        <is>
          <t>T3</t>
        </is>
      </c>
      <c r="AQ104" t="inlineStr"/>
      <c r="AR104" t="inlineStr">
        <is>
          <t>gun_140_twin_he</t>
        </is>
      </c>
      <c r="AS104" t="inlineStr">
        <is>
          <t>xe</t>
        </is>
      </c>
      <c r="AT104" t="inlineStr">
        <is>
          <t>titan_tank</t>
        </is>
      </c>
      <c r="AU104" t="n">
        <v>1</v>
      </c>
      <c r="AV104" t="inlineStr">
        <is>
          <t>titan_tank:0</t>
        </is>
      </c>
      <c r="AW104" t="n">
        <v>0</v>
      </c>
      <c r="AX104" t="b">
        <v>0</v>
      </c>
      <c r="AY104" t="inlineStr"/>
      <c r="AZ104">
        <f>IF(AND($AX$104,$AW$104&gt;$AA$104/$Z$104),$AW$104,$AA$104/$Z$104)</f>
        <v/>
      </c>
      <c r="BA104" t="n">
        <v>0.2</v>
      </c>
      <c r="BB104" t="n">
        <v>10</v>
      </c>
      <c r="BC104" t="n">
        <v>8</v>
      </c>
      <c r="BD104" t="inlineStr">
        <is>
          <t>gun</t>
        </is>
      </c>
      <c r="BE104" t="inlineStr">
        <is>
          <t>NPzK 140 mm (experimental), est. 10 rpm with an autoloader (Leclerc-class)</t>
        </is>
      </c>
      <c r="BG104" t="inlineStr">
        <is>
          <t>doi</t>
        </is>
      </c>
      <c r="BH104" t="n">
        <v>290</v>
      </c>
      <c r="BI104" t="n">
        <v>414</v>
      </c>
      <c r="BJ104" t="n">
        <v>4.487</v>
      </c>
      <c r="BK104" t="n">
        <v>6.481</v>
      </c>
      <c r="BT104" t="n">
        <v>2</v>
      </c>
      <c r="BU104" t="n">
        <v>1</v>
      </c>
      <c r="BX104" t="n">
        <v>1</v>
      </c>
      <c r="BY104" t="n">
        <v>2</v>
      </c>
      <c r="BZ104" t="inlineStr">
        <is>
          <t>RIPPLE</t>
        </is>
      </c>
      <c r="CA104" t="inlineStr">
        <is>
          <t>SIMULTANEOUS</t>
        </is>
      </c>
      <c r="CO104" t="n">
        <v>2</v>
      </c>
      <c r="CR104" t="n">
        <v>1</v>
      </c>
      <c r="CS104" t="n">
        <v>0.05</v>
      </c>
      <c r="CT104" t="n">
        <v>140</v>
      </c>
      <c r="DD104" t="n">
        <v>6.481</v>
      </c>
      <c r="DE104" t="n">
        <v>414</v>
      </c>
      <c r="DF104" t="inlineStr">
        <is>
          <t>Kinetic</t>
        </is>
      </c>
      <c r="DJ104" t="inlineStr">
        <is>
          <t>tank_gun</t>
        </is>
      </c>
      <c r="DS104" t="inlineStr">
        <is>
          <t>Large</t>
        </is>
      </c>
      <c r="EB104" t="n">
        <v>4</v>
      </c>
      <c r="EE104" t="b">
        <v>1</v>
      </c>
      <c r="EK104" t="n">
        <v>200</v>
      </c>
      <c r="EP104" t="n">
        <v>40</v>
      </c>
      <c r="EQ104" t="inlineStr">
        <is>
          <t>NPzK 140 mm (twin)</t>
        </is>
      </c>
      <c r="EV104" t="n">
        <v>299</v>
      </c>
      <c r="EW104" t="inlineStr">
        <is>
          <t>SIMULTANEOUS</t>
        </is>
      </c>
      <c r="EX104" t="n">
        <v>140</v>
      </c>
      <c r="EY104" t="n">
        <v>2</v>
      </c>
      <c r="EZ104" t="n">
        <v>0.5</v>
      </c>
      <c r="GB104" t="inlineStr">
        <is>
          <t>cal_140</t>
        </is>
      </c>
      <c r="GD104" t="inlineStr">
        <is>
          <t>Assets/MachineBrigade/Resources/Data/balance.json: weapons[47]</t>
        </is>
      </c>
      <c r="GE104" t="inlineStr">
        <is>
          <t>{"id":"gun_140_twin","weaponFamilyId":"cal_140","salvoMode":"SIMULTANEOUS","barrels":2,"real":"NPzK 140 mm (twin)","family":"tank_gun","size":140,"caliberMm":140,"pen":4,"piercing":true,"damageType":"Kinetic","damage":414,"cooldown":6.481,"range":40,"projectileSpeed":200,"splash":2,"spread":0.5,"impactTier":"Large","burst":1,"burstInterval":0.05,"roundWeight":299}</t>
        </is>
      </c>
    </row>
    <row r="105">
      <c r="A105" t="inlineStr">
        <is>
          <t>gun_140_twin_he</t>
        </is>
      </c>
      <c r="B105" t="inlineStr">
        <is>
          <t>NPzK 140 mm HE (twin)</t>
        </is>
      </c>
      <c r="C105" t="inlineStr">
        <is>
          <t>cal_140</t>
        </is>
      </c>
      <c r="D105" t="inlineStr"/>
      <c r="E105" t="inlineStr"/>
      <c r="F105" t="inlineStr">
        <is>
          <t>tank_gun</t>
        </is>
      </c>
      <c r="G105" t="n">
        <v>140</v>
      </c>
      <c r="H105" t="inlineStr"/>
      <c r="I105" t="inlineStr"/>
      <c r="J105" t="inlineStr"/>
      <c r="K105" t="inlineStr">
        <is>
          <t>HighExplosive</t>
        </is>
      </c>
      <c r="L105" t="n">
        <v>2</v>
      </c>
      <c r="M105" t="inlineStr">
        <is>
          <t>Shell</t>
        </is>
      </c>
      <c r="N105" t="n">
        <v>2</v>
      </c>
      <c r="O105" t="inlineStr">
        <is>
          <t>SIMULTANEOUS</t>
        </is>
      </c>
      <c r="P105" t="n">
        <v>1</v>
      </c>
      <c r="Q105" t="n">
        <v>0.05</v>
      </c>
      <c r="R105" t="n">
        <v>6.481</v>
      </c>
      <c r="S105" t="n">
        <v>0</v>
      </c>
      <c r="T105" t="n">
        <v>0</v>
      </c>
      <c r="U105" t="n">
        <v>0</v>
      </c>
      <c r="V105" t="n">
        <v>0</v>
      </c>
      <c r="W105" t="n">
        <v>414</v>
      </c>
      <c r="X105" t="n">
        <v>3</v>
      </c>
      <c r="Y105" t="n">
        <v>0</v>
      </c>
      <c r="Z105" t="n">
        <v>200</v>
      </c>
      <c r="AA105" t="n">
        <v>40</v>
      </c>
      <c r="AB105" t="n">
        <v>0</v>
      </c>
      <c r="AC105" t="inlineStr">
        <is>
          <t>Ground</t>
        </is>
      </c>
      <c r="AD105" t="inlineStr"/>
      <c r="AE105" t="n">
        <v>0.5</v>
      </c>
      <c r="AF105" t="inlineStr">
        <is>
          <t>Huge</t>
        </is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n">
        <v>140</v>
      </c>
      <c r="AO105" t="n">
        <v>0</v>
      </c>
      <c r="AP105" t="inlineStr">
        <is>
          <t>T3</t>
        </is>
      </c>
      <c r="AQ105" t="inlineStr">
        <is>
          <t>gun_140_twin</t>
        </is>
      </c>
      <c r="AR105" t="inlineStr"/>
      <c r="AS105" t="inlineStr"/>
      <c r="AT105" t="inlineStr"/>
      <c r="AU105" t="n">
        <v>0</v>
      </c>
      <c r="AV105" t="inlineStr"/>
      <c r="AW105" t="n">
        <v>0</v>
      </c>
      <c r="AX105" t="b">
        <v>0</v>
      </c>
      <c r="AY105" t="inlineStr"/>
      <c r="AZ105">
        <f>IF(AND($AX$105,$AW$105&gt;$AA$105/$Z$105),$AW$105,$AA$105/$Z$105)</f>
        <v/>
      </c>
      <c r="BA105" t="n">
        <v>0.2</v>
      </c>
      <c r="BB105" t="n">
        <v>10</v>
      </c>
      <c r="BC105" t="n">
        <v>8</v>
      </c>
      <c r="BD105" t="inlineStr">
        <is>
          <t>gun</t>
        </is>
      </c>
      <c r="BE105" t="inlineStr">
        <is>
          <t>NPzK 140 mm (experimental), est. 10 rpm with an autoloader (Leclerc-class)</t>
        </is>
      </c>
      <c r="BG105" t="inlineStr">
        <is>
          <t>doi</t>
        </is>
      </c>
      <c r="BH105" t="n">
        <v>290</v>
      </c>
      <c r="BI105" t="n">
        <v>414</v>
      </c>
      <c r="BJ105" t="n">
        <v>4.487</v>
      </c>
      <c r="BK105" t="n">
        <v>6.481</v>
      </c>
      <c r="BT105" t="n">
        <v>2</v>
      </c>
      <c r="BU105" t="n">
        <v>1</v>
      </c>
      <c r="BX105" t="n">
        <v>1</v>
      </c>
      <c r="BY105" t="n">
        <v>2</v>
      </c>
      <c r="BZ105" t="inlineStr">
        <is>
          <t>RIPPLE</t>
        </is>
      </c>
      <c r="CA105" t="inlineStr">
        <is>
          <t>SIMULTANEOUS</t>
        </is>
      </c>
      <c r="DE105" t="n">
        <v>414</v>
      </c>
      <c r="DF105" t="inlineStr">
        <is>
          <t>HighExplosive</t>
        </is>
      </c>
      <c r="DM105" t="inlineStr">
        <is>
          <t>light;structure</t>
        </is>
      </c>
      <c r="DN105" t="inlineStr">
        <is>
          <t>HeShell</t>
        </is>
      </c>
      <c r="DS105" t="inlineStr">
        <is>
          <t>Huge</t>
        </is>
      </c>
      <c r="DT105" t="inlineStr">
        <is>
          <t>gun_140_twin</t>
        </is>
      </c>
      <c r="EB105" t="n">
        <v>2</v>
      </c>
      <c r="EE105" t="b">
        <v>0</v>
      </c>
      <c r="EQ105" t="inlineStr">
        <is>
          <t>NPzK 140 mm HE (twin)</t>
        </is>
      </c>
      <c r="ES105" t="inlineStr">
        <is>
          <t>he</t>
        </is>
      </c>
      <c r="EU105" t="inlineStr">
        <is>
          <t>gun_140_twin</t>
        </is>
      </c>
      <c r="EY105" t="n">
        <v>3</v>
      </c>
      <c r="FW105" t="inlineStr">
        <is>
          <t>Ground</t>
        </is>
      </c>
      <c r="GA105" t="inlineStr"/>
      <c r="GD105" t="inlineStr">
        <is>
          <t>Assets/MachineBrigade/Resources/Data/balance.json: secondRounds.rounds[27]</t>
        </is>
      </c>
      <c r="GE105" t="inlineStr">
        <is>
          <t>{"id":"gun_140_twin_he","roundOf":"gun_140_twin","inherits":"gun_140_twin","weaponFamily":"","round":"he","for":["light","structure"],"real":"NPzK 140 mm HE (twin)","damageType":"HighExplosive","pen":2,"damage":414,"splash":3,"form":"HeShell","piercing":false,"targets":"Ground","impactTier":"Huge"}</t>
        </is>
      </c>
    </row>
    <row r="106">
      <c r="A106" t="inlineStr">
        <is>
          <t>gun_152</t>
        </is>
      </c>
      <c r="B106" t="inlineStr">
        <is>
          <t>2A83 152 mm</t>
        </is>
      </c>
      <c r="C106" t="inlineStr">
        <is>
          <t>cal_152_155</t>
        </is>
      </c>
      <c r="D106" t="inlineStr">
        <is>
          <t>ap</t>
        </is>
      </c>
      <c r="E106" t="inlineStr">
        <is>
          <t>2a83_152_mm</t>
        </is>
      </c>
      <c r="F106" t="inlineStr">
        <is>
          <t>tank_gun</t>
        </is>
      </c>
      <c r="G106" t="n">
        <v>152</v>
      </c>
      <c r="H106" t="inlineStr"/>
      <c r="I106" t="inlineStr"/>
      <c r="J106" t="inlineStr"/>
      <c r="K106" t="inlineStr">
        <is>
          <t>Kinetic</t>
        </is>
      </c>
      <c r="L106" t="n">
        <v>4</v>
      </c>
      <c r="M106" t="inlineStr">
        <is>
          <t>Shell</t>
        </is>
      </c>
      <c r="N106" t="n">
        <v>1</v>
      </c>
      <c r="O106" t="inlineStr">
        <is>
          <t>RIPPLE</t>
        </is>
      </c>
      <c r="P106" t="n">
        <v>1</v>
      </c>
      <c r="Q106" t="n">
        <v>0.1</v>
      </c>
      <c r="R106" t="n">
        <v>8.163</v>
      </c>
      <c r="S106" t="n">
        <v>0</v>
      </c>
      <c r="T106" t="n">
        <v>0</v>
      </c>
      <c r="U106" t="n">
        <v>0</v>
      </c>
      <c r="V106" t="n">
        <v>0</v>
      </c>
      <c r="W106" t="n">
        <v>457</v>
      </c>
      <c r="X106" t="n">
        <v>2.5</v>
      </c>
      <c r="Y106" t="n">
        <v>0</v>
      </c>
      <c r="Z106" t="n">
        <v>160</v>
      </c>
      <c r="AA106" t="n">
        <v>34</v>
      </c>
      <c r="AB106" t="n">
        <v>0</v>
      </c>
      <c r="AC106" t="inlineStr">
        <is>
          <t>Ground</t>
        </is>
      </c>
      <c r="AD106" t="inlineStr"/>
      <c r="AE106" t="n">
        <v>0.7</v>
      </c>
      <c r="AF106" t="inlineStr">
        <is>
          <t>Large</t>
        </is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n">
        <v>152</v>
      </c>
      <c r="AO106" t="n">
        <v>0</v>
      </c>
      <c r="AP106" t="inlineStr">
        <is>
          <t>T3</t>
        </is>
      </c>
      <c r="AQ106" t="inlineStr"/>
      <c r="AR106" t="inlineStr">
        <is>
          <t>gun_152_he</t>
        </is>
      </c>
      <c r="AS106" t="inlineStr">
        <is>
          <t>xe</t>
        </is>
      </c>
      <c r="AT106" t="inlineStr">
        <is>
          <t>heavy_tank</t>
        </is>
      </c>
      <c r="AU106" t="n">
        <v>1</v>
      </c>
      <c r="AV106" t="inlineStr">
        <is>
          <t>heavy_tank:0</t>
        </is>
      </c>
      <c r="AW106" t="n">
        <v>0</v>
      </c>
      <c r="AX106" t="b">
        <v>0</v>
      </c>
      <c r="AY106" t="inlineStr"/>
      <c r="AZ106">
        <f>IF(AND($AX$106,$AW$106&gt;$AA$106/$Z$106),$AW$106,$AA$106/$Z$106)</f>
        <v/>
      </c>
      <c r="BA106" t="n">
        <v>0.2125</v>
      </c>
      <c r="BB106" t="n">
        <v>10</v>
      </c>
      <c r="BC106" t="n">
        <v>8</v>
      </c>
      <c r="BD106" t="inlineStr">
        <is>
          <t>gun</t>
        </is>
      </c>
      <c r="BE106" t="inlineStr">
        <is>
          <t>Object 195 / T-14 152 mm, est. ~10 rpm (the sheet)</t>
        </is>
      </c>
      <c r="BG106" t="inlineStr">
        <is>
          <t>doi</t>
        </is>
      </c>
      <c r="BH106" t="n">
        <v>320</v>
      </c>
      <c r="BI106" t="n">
        <v>457</v>
      </c>
      <c r="BJ106" t="n">
        <v>5.714</v>
      </c>
      <c r="BK106" t="n">
        <v>8.163</v>
      </c>
      <c r="CT106" t="n">
        <v>152</v>
      </c>
      <c r="DD106" t="n">
        <v>8.163</v>
      </c>
      <c r="DE106" t="n">
        <v>457</v>
      </c>
      <c r="DF106" t="inlineStr">
        <is>
          <t>Kinetic</t>
        </is>
      </c>
      <c r="DJ106" t="inlineStr">
        <is>
          <t>tank_gun</t>
        </is>
      </c>
      <c r="DQ106" t="inlineStr">
        <is>
          <t>gun_152_he</t>
        </is>
      </c>
      <c r="DS106" t="inlineStr">
        <is>
          <t>Large</t>
        </is>
      </c>
      <c r="EB106" t="n">
        <v>4</v>
      </c>
      <c r="EE106" t="b">
        <v>1</v>
      </c>
      <c r="EP106" t="n">
        <v>34</v>
      </c>
      <c r="EQ106" t="inlineStr">
        <is>
          <t>2A83 152 mm</t>
        </is>
      </c>
      <c r="EX106" t="n">
        <v>152</v>
      </c>
      <c r="EZ106" t="n">
        <v>0.7</v>
      </c>
      <c r="GA106" t="inlineStr">
        <is>
          <t>2a83_152_mm</t>
        </is>
      </c>
      <c r="GB106" t="inlineStr">
        <is>
          <t>cal_152_155</t>
        </is>
      </c>
      <c r="GC106" t="inlineStr">
        <is>
          <t>ap</t>
        </is>
      </c>
      <c r="GD106" t="inlineStr">
        <is>
          <t>Assets/MachineBrigade/Resources/Data/balance.json: weapons[28]</t>
        </is>
      </c>
      <c r="GE106" t="inlineStr">
        <is>
          <t>{"id":"gun_152","weaponFamilyId":"cal_152_155","weaponVariantId":"ap","weaponFamily":"2a83_152_mm","real":"2A83 152 mm","family":"tank_gun","size":152,"caliberMm":152,"pen":4,"piercing":true,"he":"gun_152_he","damageType":"Kinetic","damage":457,"cooldown":8.163,"range":34,"spread":0.7,"impactTier":"Large"}</t>
        </is>
      </c>
    </row>
    <row r="107">
      <c r="A107" t="inlineStr">
        <is>
          <t>gun_152_he</t>
        </is>
      </c>
      <c r="B107" t="inlineStr">
        <is>
          <t>2A83 152 mm HE-FRAG</t>
        </is>
      </c>
      <c r="C107" t="inlineStr">
        <is>
          <t>cal_152_155</t>
        </is>
      </c>
      <c r="D107" t="inlineStr"/>
      <c r="E107" t="inlineStr">
        <is>
          <t>2a83_152_mm_he_frag</t>
        </is>
      </c>
      <c r="F107" t="inlineStr">
        <is>
          <t>tank_gun</t>
        </is>
      </c>
      <c r="G107" t="n">
        <v>152</v>
      </c>
      <c r="H107" t="inlineStr"/>
      <c r="I107" t="inlineStr"/>
      <c r="J107" t="inlineStr"/>
      <c r="K107" t="inlineStr">
        <is>
          <t>HighExplosive</t>
        </is>
      </c>
      <c r="L107" t="n">
        <v>3</v>
      </c>
      <c r="M107" t="inlineStr">
        <is>
          <t>Shell</t>
        </is>
      </c>
      <c r="N107" t="n">
        <v>1</v>
      </c>
      <c r="O107" t="inlineStr">
        <is>
          <t>RIPPLE</t>
        </is>
      </c>
      <c r="P107" t="n">
        <v>1</v>
      </c>
      <c r="Q107" t="n">
        <v>0.1</v>
      </c>
      <c r="R107" t="n">
        <v>8.571</v>
      </c>
      <c r="S107" t="n">
        <v>0</v>
      </c>
      <c r="T107" t="n">
        <v>0</v>
      </c>
      <c r="U107" t="n">
        <v>0</v>
      </c>
      <c r="V107" t="n">
        <v>0</v>
      </c>
      <c r="W107" t="n">
        <v>457</v>
      </c>
      <c r="X107" t="n">
        <v>6.5</v>
      </c>
      <c r="Y107" t="n">
        <v>0</v>
      </c>
      <c r="Z107" t="n">
        <v>150</v>
      </c>
      <c r="AA107" t="n">
        <v>34</v>
      </c>
      <c r="AB107" t="n">
        <v>0</v>
      </c>
      <c r="AC107" t="inlineStr">
        <is>
          <t>Ground</t>
        </is>
      </c>
      <c r="AD107" t="inlineStr"/>
      <c r="AE107" t="n">
        <v>0.7</v>
      </c>
      <c r="AF107" t="inlineStr">
        <is>
          <t>Huge</t>
        </is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n">
        <v>152</v>
      </c>
      <c r="AO107" t="n">
        <v>0</v>
      </c>
      <c r="AP107" t="inlineStr">
        <is>
          <t>T3</t>
        </is>
      </c>
      <c r="AQ107" t="inlineStr"/>
      <c r="AR107" t="inlineStr"/>
      <c r="AS107" t="inlineStr">
        <is>
          <t>boss_part</t>
        </is>
      </c>
      <c r="AT107" t="inlineStr">
        <is>
          <t>gun_152_car</t>
        </is>
      </c>
      <c r="AU107" t="n">
        <v>1</v>
      </c>
      <c r="AV107" t="inlineStr">
        <is>
          <t>gun_152_car:part</t>
        </is>
      </c>
      <c r="AW107" t="n">
        <v>0</v>
      </c>
      <c r="AX107" t="b">
        <v>0</v>
      </c>
      <c r="AY107" t="inlineStr"/>
      <c r="AZ107">
        <f>IF(AND($AX$107,$AW$107&gt;$AA$107/$Z$107),$AW$107,$AA$107/$Z$107)</f>
        <v/>
      </c>
      <c r="BA107" t="n">
        <v>0.2266666666666667</v>
      </c>
      <c r="BB107" t="n">
        <v>10</v>
      </c>
      <c r="BC107" t="n">
        <v>8</v>
      </c>
      <c r="BD107" t="inlineStr">
        <is>
          <t>gun</t>
        </is>
      </c>
      <c r="BE107" t="inlineStr">
        <is>
          <t>Object 195 / T-14 152 mm, est. ~10 rpm (the sheet)</t>
        </is>
      </c>
      <c r="BG107" t="inlineStr">
        <is>
          <t>doi</t>
        </is>
      </c>
      <c r="BH107" t="n">
        <v>320</v>
      </c>
      <c r="BI107" t="n">
        <v>457</v>
      </c>
      <c r="BJ107" t="n">
        <v>6</v>
      </c>
      <c r="BK107" t="n">
        <v>8.571</v>
      </c>
      <c r="CT107" t="n">
        <v>152</v>
      </c>
      <c r="DD107" t="n">
        <v>8.571</v>
      </c>
      <c r="DE107" t="n">
        <v>457</v>
      </c>
      <c r="DF107" t="inlineStr">
        <is>
          <t>HighExplosive</t>
        </is>
      </c>
      <c r="DJ107" t="inlineStr">
        <is>
          <t>tank_gun</t>
        </is>
      </c>
      <c r="DS107" t="inlineStr">
        <is>
          <t>Huge</t>
        </is>
      </c>
      <c r="EB107" t="n">
        <v>3</v>
      </c>
      <c r="EK107" t="n">
        <v>150</v>
      </c>
      <c r="EP107" t="n">
        <v>34</v>
      </c>
      <c r="EQ107" t="inlineStr">
        <is>
          <t>2A83 152 mm HE-FRAG</t>
        </is>
      </c>
      <c r="EV107" t="n">
        <v>343</v>
      </c>
      <c r="EX107" t="n">
        <v>152</v>
      </c>
      <c r="EY107" t="n">
        <v>6.5</v>
      </c>
      <c r="EZ107" t="n">
        <v>0.7</v>
      </c>
      <c r="GA107" t="inlineStr">
        <is>
          <t>2a83_152_mm_he_frag</t>
        </is>
      </c>
      <c r="GB107" t="inlineStr">
        <is>
          <t>cal_152_155</t>
        </is>
      </c>
      <c r="GD107" t="inlineStr">
        <is>
          <t>Assets/MachineBrigade/Resources/Data/balance.json: weapons[264]</t>
        </is>
      </c>
      <c r="GE107" t="inlineStr">
        <is>
          <t>{"id":"gun_152_he","weaponFamilyId":"cal_152_155","weaponFamily":"2a83_152_mm_he_frag","real":"2A83 152 mm HE-FRAG","family":"tank_gun","size":152,"caliberMm":152,"pen":3,"damageType":"HighExplosive","damage":457,"cooldown":8.571,"range":34,"projectileSpeed":150,"splash":6.5,"spread":0.7,"impactTier":"Huge","roundWeight":343}</t>
        </is>
      </c>
    </row>
    <row r="108">
      <c r="A108" t="inlineStr">
        <is>
          <t>gun_152_heat</t>
        </is>
      </c>
      <c r="B108" t="inlineStr">
        <is>
          <t>2A83 152 mm HEAT</t>
        </is>
      </c>
      <c r="C108" t="inlineStr">
        <is>
          <t>cal_152_155</t>
        </is>
      </c>
      <c r="D108" t="inlineStr">
        <is>
          <t>heat</t>
        </is>
      </c>
      <c r="E108" t="inlineStr"/>
      <c r="F108" t="inlineStr">
        <is>
          <t>tank_gun</t>
        </is>
      </c>
      <c r="G108" t="n">
        <v>152</v>
      </c>
      <c r="H108" t="inlineStr"/>
      <c r="I108" t="inlineStr"/>
      <c r="J108" t="inlineStr"/>
      <c r="K108" t="inlineStr">
        <is>
          <t>ShapedCharge</t>
        </is>
      </c>
      <c r="L108" t="n">
        <v>4</v>
      </c>
      <c r="M108" t="inlineStr">
        <is>
          <t>Shell</t>
        </is>
      </c>
      <c r="N108" t="n">
        <v>1</v>
      </c>
      <c r="O108" t="inlineStr">
        <is>
          <t>RIPPLE</t>
        </is>
      </c>
      <c r="P108" t="n">
        <v>1</v>
      </c>
      <c r="Q108" t="n">
        <v>0.1</v>
      </c>
      <c r="R108" t="n">
        <v>9.042999999999999</v>
      </c>
      <c r="S108" t="n">
        <v>0</v>
      </c>
      <c r="T108" t="n">
        <v>0</v>
      </c>
      <c r="U108" t="n">
        <v>0</v>
      </c>
      <c r="V108" t="n">
        <v>0</v>
      </c>
      <c r="W108" t="n">
        <v>480</v>
      </c>
      <c r="X108" t="n">
        <v>3.5</v>
      </c>
      <c r="Y108" t="n">
        <v>0</v>
      </c>
      <c r="Z108" t="n">
        <v>170</v>
      </c>
      <c r="AA108" t="n">
        <v>36</v>
      </c>
      <c r="AB108" t="n">
        <v>0</v>
      </c>
      <c r="AC108" t="inlineStr">
        <is>
          <t>Ground</t>
        </is>
      </c>
      <c r="AD108" t="inlineStr"/>
      <c r="AE108" t="n">
        <v>0.6</v>
      </c>
      <c r="AF108" t="inlineStr">
        <is>
          <t>Large</t>
        </is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n">
        <v>152</v>
      </c>
      <c r="AO108" t="n">
        <v>0</v>
      </c>
      <c r="AP108" t="inlineStr">
        <is>
          <t>T3</t>
        </is>
      </c>
      <c r="AQ108" t="inlineStr"/>
      <c r="AR108" t="inlineStr">
        <is>
          <t>gun_152_heat_he</t>
        </is>
      </c>
      <c r="AS108" t="inlineStr">
        <is>
          <t>xe</t>
        </is>
      </c>
      <c r="AT108" t="inlineStr">
        <is>
          <t>elite_heavy_tank</t>
        </is>
      </c>
      <c r="AU108" t="n">
        <v>1</v>
      </c>
      <c r="AV108" t="inlineStr">
        <is>
          <t>elite_heavy_tank:0</t>
        </is>
      </c>
      <c r="AW108" t="n">
        <v>0</v>
      </c>
      <c r="AX108" t="b">
        <v>0</v>
      </c>
      <c r="AY108" t="inlineStr"/>
      <c r="AZ108">
        <f>IF(AND($AX$108,$AW$108&gt;$AA$108/$Z$108),$AW$108,$AA$108/$Z$108)</f>
        <v/>
      </c>
      <c r="BA108" t="n">
        <v>0.2117647058823529</v>
      </c>
      <c r="BB108" t="n">
        <v>10</v>
      </c>
      <c r="BC108" t="n">
        <v>8</v>
      </c>
      <c r="BD108" t="inlineStr">
        <is>
          <t>gun</t>
        </is>
      </c>
      <c r="BE108" t="inlineStr">
        <is>
          <t>Object 195 / T-14 152 mm, est. ~10 rpm (the sheet)</t>
        </is>
      </c>
      <c r="BG108" t="inlineStr">
        <is>
          <t>doi</t>
        </is>
      </c>
      <c r="BH108" t="n">
        <v>336</v>
      </c>
      <c r="BI108" t="n">
        <v>480</v>
      </c>
      <c r="BJ108" t="n">
        <v>6.33</v>
      </c>
      <c r="BK108" t="n">
        <v>9.042999999999999</v>
      </c>
      <c r="CT108" t="n">
        <v>152</v>
      </c>
      <c r="DD108" t="n">
        <v>9.042999999999999</v>
      </c>
      <c r="DE108" t="n">
        <v>480</v>
      </c>
      <c r="DF108" t="inlineStr">
        <is>
          <t>ShapedCharge</t>
        </is>
      </c>
      <c r="DJ108" t="inlineStr">
        <is>
          <t>tank_gun</t>
        </is>
      </c>
      <c r="DN108" t="inlineStr">
        <is>
          <t>DoubleDart</t>
        </is>
      </c>
      <c r="DS108" t="inlineStr">
        <is>
          <t>Large</t>
        </is>
      </c>
      <c r="EB108" t="n">
        <v>4</v>
      </c>
      <c r="EE108" t="b">
        <v>1</v>
      </c>
      <c r="EK108" t="n">
        <v>170</v>
      </c>
      <c r="EP108" t="n">
        <v>36</v>
      </c>
      <c r="EQ108" t="inlineStr">
        <is>
          <t>2A83 152 mm HEAT</t>
        </is>
      </c>
      <c r="EV108" t="n">
        <v>325</v>
      </c>
      <c r="EX108" t="n">
        <v>152</v>
      </c>
      <c r="EY108" t="n">
        <v>3.5</v>
      </c>
      <c r="EZ108" t="n">
        <v>0.6</v>
      </c>
      <c r="GB108" t="inlineStr">
        <is>
          <t>cal_152_155</t>
        </is>
      </c>
      <c r="GC108" t="inlineStr">
        <is>
          <t>heat</t>
        </is>
      </c>
      <c r="GD108" t="inlineStr">
        <is>
          <t>Assets/MachineBrigade/Resources/Data/balance.json: weapons[92]</t>
        </is>
      </c>
      <c r="GE108" t="inlineStr">
        <is>
          <t>{"id":"gun_152_heat","weaponFamilyId":"cal_152_155","weaponVariantId":"heat","real":"2A83 152 mm HEAT","family":"tank_gun","size":152,"caliberMm":152,"pen":4,"form":"DoubleDart","piercing":true,"damageType":"ShapedCharge","damage":480,"cooldown":9.043,"range":36,"projectileSpeed":170,"splash":3.5,"spread":0.6,"impactTier":"Large","roundWeight":325}</t>
        </is>
      </c>
    </row>
    <row r="109">
      <c r="A109" t="inlineStr">
        <is>
          <t>gun_152_heat_he</t>
        </is>
      </c>
      <c r="B109" t="inlineStr">
        <is>
          <t>2A83 152 mm HE-FRAG</t>
        </is>
      </c>
      <c r="C109" t="inlineStr">
        <is>
          <t>cal_152_155</t>
        </is>
      </c>
      <c r="D109" t="inlineStr"/>
      <c r="E109" t="inlineStr">
        <is>
          <t>2a83_152_mm_he_frag</t>
        </is>
      </c>
      <c r="F109" t="inlineStr">
        <is>
          <t>tank_gun</t>
        </is>
      </c>
      <c r="G109" t="n">
        <v>152</v>
      </c>
      <c r="H109" t="inlineStr"/>
      <c r="I109" t="inlineStr"/>
      <c r="J109" t="inlineStr"/>
      <c r="K109" t="inlineStr">
        <is>
          <t>HighExplosive</t>
        </is>
      </c>
      <c r="L109" t="n">
        <v>3</v>
      </c>
      <c r="M109" t="inlineStr">
        <is>
          <t>Shell</t>
        </is>
      </c>
      <c r="N109" t="n">
        <v>1</v>
      </c>
      <c r="O109" t="inlineStr">
        <is>
          <t>RIPPLE</t>
        </is>
      </c>
      <c r="P109" t="n">
        <v>1</v>
      </c>
      <c r="Q109" t="n">
        <v>0.1</v>
      </c>
      <c r="R109" t="n">
        <v>9.042999999999999</v>
      </c>
      <c r="S109" t="n">
        <v>0</v>
      </c>
      <c r="T109" t="n">
        <v>0</v>
      </c>
      <c r="U109" t="n">
        <v>0</v>
      </c>
      <c r="V109" t="n">
        <v>0</v>
      </c>
      <c r="W109" t="n">
        <v>457</v>
      </c>
      <c r="X109" t="n">
        <v>6.5</v>
      </c>
      <c r="Y109" t="n">
        <v>0</v>
      </c>
      <c r="Z109" t="n">
        <v>150</v>
      </c>
      <c r="AA109" t="n">
        <v>36</v>
      </c>
      <c r="AB109" t="n">
        <v>0</v>
      </c>
      <c r="AC109" t="inlineStr">
        <is>
          <t>Ground</t>
        </is>
      </c>
      <c r="AD109" t="inlineStr"/>
      <c r="AE109" t="n">
        <v>0.6</v>
      </c>
      <c r="AF109" t="inlineStr">
        <is>
          <t>Huge</t>
        </is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n">
        <v>152</v>
      </c>
      <c r="AO109" t="n">
        <v>0</v>
      </c>
      <c r="AP109" t="inlineStr">
        <is>
          <t>T3</t>
        </is>
      </c>
      <c r="AQ109" t="inlineStr">
        <is>
          <t>gun_152_heat</t>
        </is>
      </c>
      <c r="AR109" t="inlineStr"/>
      <c r="AS109" t="inlineStr"/>
      <c r="AT109" t="inlineStr"/>
      <c r="AU109" t="n">
        <v>0</v>
      </c>
      <c r="AV109" t="inlineStr"/>
      <c r="AW109" t="n">
        <v>0</v>
      </c>
      <c r="AX109" t="b">
        <v>0</v>
      </c>
      <c r="AY109" t="inlineStr"/>
      <c r="AZ109">
        <f>IF(AND($AX$109,$AW$109&gt;$AA$109/$Z$109),$AW$109,$AA$109/$Z$109)</f>
        <v/>
      </c>
      <c r="BA109" t="n">
        <v>0.24</v>
      </c>
      <c r="BB109" t="n">
        <v>10</v>
      </c>
      <c r="BC109" t="n">
        <v>8</v>
      </c>
      <c r="BD109" t="inlineStr">
        <is>
          <t>gun</t>
        </is>
      </c>
      <c r="BE109" t="inlineStr">
        <is>
          <t>Object 195 / T-14 152 mm, est. ~10 rpm (the sheet)</t>
        </is>
      </c>
      <c r="BG109" t="inlineStr">
        <is>
          <t>doi</t>
        </is>
      </c>
      <c r="BH109" t="n">
        <v>320</v>
      </c>
      <c r="BI109" t="n">
        <v>457</v>
      </c>
      <c r="BJ109" t="n">
        <v>6.33</v>
      </c>
      <c r="BK109" t="n">
        <v>9.042999999999999</v>
      </c>
      <c r="DE109" t="n">
        <v>457</v>
      </c>
      <c r="DF109" t="inlineStr">
        <is>
          <t>HighExplosive</t>
        </is>
      </c>
      <c r="DM109" t="inlineStr">
        <is>
          <t>light;structure</t>
        </is>
      </c>
      <c r="DN109" t="inlineStr">
        <is>
          <t>HeShell</t>
        </is>
      </c>
      <c r="DS109" t="inlineStr">
        <is>
          <t>Huge</t>
        </is>
      </c>
      <c r="DT109" t="inlineStr">
        <is>
          <t>gun_152_heat</t>
        </is>
      </c>
      <c r="EB109" t="n">
        <v>3</v>
      </c>
      <c r="EE109" t="b">
        <v>0</v>
      </c>
      <c r="EK109" t="n">
        <v>150</v>
      </c>
      <c r="EQ109" t="inlineStr">
        <is>
          <t>2A83 152 mm HE-FRAG</t>
        </is>
      </c>
      <c r="ES109" t="inlineStr">
        <is>
          <t>he</t>
        </is>
      </c>
      <c r="EU109" t="inlineStr">
        <is>
          <t>gun_152_heat</t>
        </is>
      </c>
      <c r="EV109" t="n">
        <v>343</v>
      </c>
      <c r="EY109" t="n">
        <v>6.5</v>
      </c>
      <c r="FW109" t="inlineStr">
        <is>
          <t>Ground</t>
        </is>
      </c>
      <c r="GA109" t="inlineStr">
        <is>
          <t>2a83_152_mm_he_frag</t>
        </is>
      </c>
      <c r="GC109" t="inlineStr"/>
      <c r="GD109" t="inlineStr">
        <is>
          <t>Assets/MachineBrigade/Resources/Data/balance.json: secondRounds.rounds[28]</t>
        </is>
      </c>
      <c r="GE109" t="inlineStr">
        <is>
          <t>{"id":"gun_152_heat_he","roundOf":"gun_152_heat","inherits":"gun_152_heat","weaponVariantId":"","weaponFamily":"2a83_152_mm_he_frag","round":"he","for":["light","structure"],"real":"2A83 152 mm HE-FRAG","damageType":"HighExplosive","pen":3,"damage":457,"splash":6.5,"form":"HeShell","piercing":false,"targets":"Ground","projectileSpeed":150,"impactTier":"Huge","roundWeight":343}</t>
        </is>
      </c>
    </row>
    <row r="110">
      <c r="A110" t="inlineStr">
        <is>
          <t>gun_155_coastal</t>
        </is>
      </c>
      <c r="B110" t="inlineStr">
        <is>
          <t>M284 155 mm (coastal battery)</t>
        </is>
      </c>
      <c r="C110" t="inlineStr">
        <is>
          <t>cal_152_155</t>
        </is>
      </c>
      <c r="D110" t="inlineStr"/>
      <c r="E110" t="inlineStr">
        <is>
          <t>m284_155_mm</t>
        </is>
      </c>
      <c r="F110" t="inlineStr">
        <is>
          <t>howitzer</t>
        </is>
      </c>
      <c r="G110" t="n">
        <v>155</v>
      </c>
      <c r="H110" t="inlineStr"/>
      <c r="I110" t="inlineStr"/>
      <c r="J110" t="inlineStr"/>
      <c r="K110" t="inlineStr">
        <is>
          <t>HighExplosive</t>
        </is>
      </c>
      <c r="L110" t="n">
        <v>3</v>
      </c>
      <c r="M110" t="inlineStr">
        <is>
          <t>Shell</t>
        </is>
      </c>
      <c r="N110" t="n">
        <v>1</v>
      </c>
      <c r="O110" t="inlineStr">
        <is>
          <t>RIPPLE</t>
        </is>
      </c>
      <c r="P110" t="n">
        <v>2</v>
      </c>
      <c r="Q110" t="n">
        <v>0.05</v>
      </c>
      <c r="R110" t="n">
        <v>12.579</v>
      </c>
      <c r="S110" t="n">
        <v>0</v>
      </c>
      <c r="T110" t="n">
        <v>0</v>
      </c>
      <c r="U110" t="n">
        <v>0</v>
      </c>
      <c r="V110" t="n">
        <v>0</v>
      </c>
      <c r="W110" t="n">
        <v>457</v>
      </c>
      <c r="X110" t="n">
        <v>7</v>
      </c>
      <c r="Y110" t="n">
        <v>0</v>
      </c>
      <c r="Z110" t="n">
        <v>150</v>
      </c>
      <c r="AA110" t="n">
        <v>135</v>
      </c>
      <c r="AB110" t="n">
        <v>0</v>
      </c>
      <c r="AC110" t="inlineStr">
        <is>
          <t>Ground</t>
        </is>
      </c>
      <c r="AD110" t="inlineStr"/>
      <c r="AE110" t="n">
        <v>0.9</v>
      </c>
      <c r="AF110" t="inlineStr">
        <is>
          <t>Huge</t>
        </is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n">
        <v>155</v>
      </c>
      <c r="AO110" t="n">
        <v>0</v>
      </c>
      <c r="AP110" t="inlineStr">
        <is>
          <t>T3</t>
        </is>
      </c>
      <c r="AQ110" t="inlineStr">
        <is>
          <t>gun_155_twin</t>
        </is>
      </c>
      <c r="AR110" t="inlineStr">
        <is>
          <t>gun_155_coastal_guided</t>
        </is>
      </c>
      <c r="AS110" t="inlineStr">
        <is>
          <t>thap</t>
        </is>
      </c>
      <c r="AT110" t="inlineStr">
        <is>
          <t>coastal_battery</t>
        </is>
      </c>
      <c r="AU110" t="n">
        <v>1</v>
      </c>
      <c r="AV110" t="inlineStr">
        <is>
          <t>coastal_battery:0</t>
        </is>
      </c>
      <c r="AW110" t="n">
        <v>0</v>
      </c>
      <c r="AX110" t="b">
        <v>0</v>
      </c>
      <c r="AY110" t="inlineStr"/>
      <c r="AZ110">
        <f>IF(AND($AX$110,$AW$110&gt;$AA$110/$Z$110),$AW$110,$AA$110/$Z$110)</f>
        <v/>
      </c>
      <c r="BA110" t="n">
        <v>0.9</v>
      </c>
      <c r="BB110" t="n">
        <v>4</v>
      </c>
      <c r="BC110" t="n">
        <v>1</v>
      </c>
      <c r="BD110" t="inlineStr">
        <is>
          <t>gun</t>
        </is>
      </c>
      <c r="BE110" t="inlineStr">
        <is>
          <t>US Army M109A7 fact file: 4 rpm for 3 min, 1 rpm sustained</t>
        </is>
      </c>
      <c r="BG110" t="inlineStr">
        <is>
          <t>doi</t>
        </is>
      </c>
      <c r="BH110" t="n">
        <v>320</v>
      </c>
      <c r="BI110" t="n">
        <v>457</v>
      </c>
      <c r="BJ110" t="n">
        <v>8.789999999999999</v>
      </c>
      <c r="BK110" t="n">
        <v>12.579</v>
      </c>
      <c r="CT110" t="n">
        <v>155</v>
      </c>
      <c r="DD110" t="n">
        <v>12.579</v>
      </c>
      <c r="DE110" t="n">
        <v>457</v>
      </c>
      <c r="DJ110" t="inlineStr">
        <is>
          <t>howitzer</t>
        </is>
      </c>
      <c r="DT110" t="inlineStr">
        <is>
          <t>gun_155_twin</t>
        </is>
      </c>
      <c r="EB110" t="n">
        <v>3</v>
      </c>
      <c r="EP110" t="n">
        <v>135</v>
      </c>
      <c r="EQ110" t="inlineStr">
        <is>
          <t>M284 155 mm (coastal battery)</t>
        </is>
      </c>
      <c r="EX110" t="n">
        <v>155</v>
      </c>
      <c r="GA110" t="inlineStr">
        <is>
          <t>m284_155_mm</t>
        </is>
      </c>
      <c r="GD110" t="inlineStr">
        <is>
          <t>Assets/MachineBrigade/Resources/Data/balance.json: weapons[256]</t>
        </is>
      </c>
      <c r="GE110" t="inlineStr">
        <is>
          <t>{"id":"gun_155_coastal","weaponFamily":"m284_155_mm","real":"M284 155 mm (coastal battery)","family":"howitzer","size":155,"caliberMm":155,"pen":3,"cooldown":12.579,"damage":457,"inherits":"gun_155_twin","range":135}</t>
        </is>
      </c>
    </row>
    <row r="111">
      <c r="A111" t="inlineStr">
        <is>
          <t>gun_155_coastal_guided</t>
        </is>
      </c>
      <c r="B111" t="inlineStr">
        <is>
          <t>M284 155 mm guided (coastal battery)</t>
        </is>
      </c>
      <c r="C111" t="inlineStr">
        <is>
          <t>cal_152_155</t>
        </is>
      </c>
      <c r="D111" t="inlineStr">
        <is>
          <t>guided</t>
        </is>
      </c>
      <c r="E111" t="inlineStr">
        <is>
          <t>m284_155_mm_guided_direct</t>
        </is>
      </c>
      <c r="F111" t="inlineStr">
        <is>
          <t>howitzer</t>
        </is>
      </c>
      <c r="G111" t="n">
        <v>155</v>
      </c>
      <c r="H111" t="inlineStr"/>
      <c r="I111" t="inlineStr"/>
      <c r="J111" t="inlineStr"/>
      <c r="K111" t="inlineStr">
        <is>
          <t>HighExplosive</t>
        </is>
      </c>
      <c r="L111" t="n">
        <v>3</v>
      </c>
      <c r="M111" t="inlineStr">
        <is>
          <t>Shell</t>
        </is>
      </c>
      <c r="N111" t="n">
        <v>1</v>
      </c>
      <c r="O111" t="inlineStr">
        <is>
          <t>RIPPLE</t>
        </is>
      </c>
      <c r="P111" t="n">
        <v>1</v>
      </c>
      <c r="Q111" t="n">
        <v>0.05</v>
      </c>
      <c r="R111" t="n">
        <v>12.579</v>
      </c>
      <c r="S111" t="n">
        <v>0</v>
      </c>
      <c r="T111" t="n">
        <v>0</v>
      </c>
      <c r="U111" t="n">
        <v>0</v>
      </c>
      <c r="V111" t="n">
        <v>0</v>
      </c>
      <c r="W111" t="n">
        <v>457</v>
      </c>
      <c r="X111" t="n">
        <v>7</v>
      </c>
      <c r="Y111" t="n">
        <v>0</v>
      </c>
      <c r="Z111" t="n">
        <v>150</v>
      </c>
      <c r="AA111" t="n">
        <v>135</v>
      </c>
      <c r="AB111" t="n">
        <v>0</v>
      </c>
      <c r="AC111" t="inlineStr">
        <is>
          <t>Ground</t>
        </is>
      </c>
      <c r="AD111" t="inlineStr"/>
      <c r="AE111" t="n">
        <v>0</v>
      </c>
      <c r="AF111" t="inlineStr">
        <is>
          <t>Huge</t>
        </is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n">
        <v>155</v>
      </c>
      <c r="AO111" t="n">
        <v>0</v>
      </c>
      <c r="AP111" t="inlineStr">
        <is>
          <t>T3</t>
        </is>
      </c>
      <c r="AQ111" t="inlineStr">
        <is>
          <t>gun_155_coastal</t>
        </is>
      </c>
      <c r="AR111" t="inlineStr"/>
      <c r="AS111" t="inlineStr"/>
      <c r="AT111" t="inlineStr"/>
      <c r="AU111" t="n">
        <v>0</v>
      </c>
      <c r="AV111" t="inlineStr"/>
      <c r="AW111" t="n">
        <v>0</v>
      </c>
      <c r="AX111" t="b">
        <v>0</v>
      </c>
      <c r="AY111" t="inlineStr"/>
      <c r="AZ111">
        <f>IF(AND($AX$111,$AW$111&gt;$AA$111/$Z$111),$AW$111,$AA$111/$Z$111)</f>
        <v/>
      </c>
      <c r="BA111" t="n">
        <v>0.9</v>
      </c>
      <c r="BB111" t="n">
        <v>4</v>
      </c>
      <c r="BC111" t="n">
        <v>1</v>
      </c>
      <c r="BD111" t="inlineStr">
        <is>
          <t>gun</t>
        </is>
      </c>
      <c r="BE111" t="inlineStr">
        <is>
          <t>US Army M109A7 fact file: 4 rpm for 3 min, 1 rpm sustained</t>
        </is>
      </c>
      <c r="BG111" t="inlineStr">
        <is>
          <t>doi</t>
        </is>
      </c>
      <c r="BH111" t="n">
        <v>320</v>
      </c>
      <c r="BI111" t="n">
        <v>457</v>
      </c>
      <c r="BJ111" t="n">
        <v>8.789999999999999</v>
      </c>
      <c r="BK111" t="n">
        <v>12.579</v>
      </c>
      <c r="CR111" t="n">
        <v>1</v>
      </c>
      <c r="DE111" t="n">
        <v>457</v>
      </c>
      <c r="DF111" t="inlineStr">
        <is>
          <t>HighExplosive</t>
        </is>
      </c>
      <c r="DH111" t="b">
        <v>1</v>
      </c>
      <c r="DM111" t="inlineStr">
        <is>
          <t>armour</t>
        </is>
      </c>
      <c r="DN111" t="inlineStr">
        <is>
          <t>HeShell</t>
        </is>
      </c>
      <c r="DP111" t="b">
        <v>1</v>
      </c>
      <c r="DT111" t="inlineStr">
        <is>
          <t>gun_155_coastal</t>
        </is>
      </c>
      <c r="EB111" t="n">
        <v>3</v>
      </c>
      <c r="EQ111" t="inlineStr">
        <is>
          <t>M284 155 mm guided (coastal battery)</t>
        </is>
      </c>
      <c r="ES111" t="inlineStr">
        <is>
          <t>guided</t>
        </is>
      </c>
      <c r="EU111" t="inlineStr">
        <is>
          <t>gun_155_coastal</t>
        </is>
      </c>
      <c r="EZ111" t="n">
        <v>0</v>
      </c>
      <c r="FW111" t="inlineStr">
        <is>
          <t>Ground</t>
        </is>
      </c>
      <c r="GA111" t="inlineStr">
        <is>
          <t>m284_155_mm_guided_direct</t>
        </is>
      </c>
      <c r="GC111" t="inlineStr">
        <is>
          <t>guided</t>
        </is>
      </c>
      <c r="GD111" t="inlineStr">
        <is>
          <t>Assets/MachineBrigade/Resources/Data/balance.json: secondRounds.rounds[29]</t>
        </is>
      </c>
      <c r="GE111" t="inlineStr">
        <is>
          <t>{"id":"gun_155_coastal_guided","roundOf":"gun_155_coastal","inherits":"gun_155_coastal","weaponVariantId":"guided","weaponFamily":"m284_155_mm_guided_direct","round":"guided","for":["armour"],"elite":true,"real":"M284 155 mm guided (coastal battery)","damageType":"HighExplosive","pen":3,"damage":457,"spread":0,"burst":1,"guided":true,"form":"HeShell","targets":"Ground"}</t>
        </is>
      </c>
    </row>
    <row r="112">
      <c r="A112" t="inlineStr">
        <is>
          <t>gun_155_sph</t>
        </is>
      </c>
      <c r="B112" t="inlineStr">
        <is>
          <t>M284 155 mm</t>
        </is>
      </c>
      <c r="C112" t="inlineStr">
        <is>
          <t>cal_152_155</t>
        </is>
      </c>
      <c r="D112" t="inlineStr"/>
      <c r="E112" t="inlineStr">
        <is>
          <t>m284_155_mm_2</t>
        </is>
      </c>
      <c r="F112" t="inlineStr">
        <is>
          <t>howitzer</t>
        </is>
      </c>
      <c r="G112" t="n">
        <v>155</v>
      </c>
      <c r="H112" t="inlineStr"/>
      <c r="I112" t="inlineStr"/>
      <c r="J112" t="inlineStr"/>
      <c r="K112" t="inlineStr">
        <is>
          <t>HighExplosive</t>
        </is>
      </c>
      <c r="L112" t="n">
        <v>3</v>
      </c>
      <c r="M112" t="inlineStr">
        <is>
          <t>Shell</t>
        </is>
      </c>
      <c r="N112" t="n">
        <v>1</v>
      </c>
      <c r="O112" t="inlineStr">
        <is>
          <t>RIPPLE</t>
        </is>
      </c>
      <c r="P112" t="n">
        <v>1</v>
      </c>
      <c r="Q112" t="n">
        <v>0.1</v>
      </c>
      <c r="R112" t="n">
        <v>12.81</v>
      </c>
      <c r="S112" t="n">
        <v>0</v>
      </c>
      <c r="T112" t="n">
        <v>0</v>
      </c>
      <c r="U112" t="n">
        <v>16</v>
      </c>
      <c r="V112" t="n">
        <v>41.9</v>
      </c>
      <c r="W112" t="n">
        <v>320</v>
      </c>
      <c r="X112" t="n">
        <v>7</v>
      </c>
      <c r="Y112" t="n">
        <v>0</v>
      </c>
      <c r="Z112" t="n">
        <v>100</v>
      </c>
      <c r="AA112" t="n">
        <v>100</v>
      </c>
      <c r="AB112" t="n">
        <v>25</v>
      </c>
      <c r="AC112" t="inlineStr">
        <is>
          <t>Ground</t>
        </is>
      </c>
      <c r="AD112" t="inlineStr"/>
      <c r="AE112" t="n">
        <v>4.5</v>
      </c>
      <c r="AF112" t="inlineStr">
        <is>
          <t>Huge</t>
        </is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n">
        <v>155</v>
      </c>
      <c r="AO112" t="n">
        <v>0</v>
      </c>
      <c r="AP112" t="inlineStr">
        <is>
          <t>T3</t>
        </is>
      </c>
      <c r="AQ112" t="inlineStr"/>
      <c r="AR112" t="inlineStr"/>
      <c r="AS112" t="inlineStr"/>
      <c r="AT112" t="inlineStr"/>
      <c r="AU112" t="n">
        <v>0</v>
      </c>
      <c r="AV112" t="inlineStr"/>
      <c r="AW112" t="n">
        <v>0</v>
      </c>
      <c r="AX112" t="b">
        <v>0</v>
      </c>
      <c r="AY112" t="inlineStr"/>
      <c r="AZ112">
        <f>IF(AND($AX$112,$AW$112&gt;$AA$112/$Z$112),$AW$112,$AA$112/$Z$112)</f>
        <v/>
      </c>
      <c r="BA112" t="n">
        <v>1</v>
      </c>
      <c r="BB112" t="n">
        <v>4</v>
      </c>
      <c r="BC112" t="n">
        <v>1</v>
      </c>
      <c r="BD112" t="inlineStr">
        <is>
          <t>gun</t>
        </is>
      </c>
      <c r="BE112" t="inlineStr">
        <is>
          <t>US Army M109A7 fact file: 4 rpm for 3 min, 1 rpm sustained</t>
        </is>
      </c>
      <c r="BG112" t="inlineStr">
        <is>
          <t>doi</t>
        </is>
      </c>
      <c r="BR112" t="n">
        <v>45</v>
      </c>
      <c r="BS112" t="n">
        <v>100</v>
      </c>
      <c r="CN112" t="n">
        <v>16</v>
      </c>
      <c r="CT112" t="n">
        <v>155</v>
      </c>
      <c r="DD112" t="n">
        <v>12.81</v>
      </c>
      <c r="DE112" t="n">
        <v>320</v>
      </c>
      <c r="DF112" t="inlineStr">
        <is>
          <t>HighExplosive</t>
        </is>
      </c>
      <c r="DJ112" t="inlineStr">
        <is>
          <t>howitzer</t>
        </is>
      </c>
      <c r="DS112" t="inlineStr">
        <is>
          <t>Huge</t>
        </is>
      </c>
      <c r="DZ112" t="n">
        <v>25</v>
      </c>
      <c r="EB112" t="n">
        <v>3</v>
      </c>
      <c r="EP112" t="n">
        <v>100</v>
      </c>
      <c r="EQ112" t="inlineStr">
        <is>
          <t>M284 155 mm</t>
        </is>
      </c>
      <c r="ER112" t="n">
        <v>41.9</v>
      </c>
      <c r="EX112" t="n">
        <v>155</v>
      </c>
      <c r="EZ112" t="n">
        <v>4.5</v>
      </c>
      <c r="GA112" t="inlineStr">
        <is>
          <t>m284_155_mm_2</t>
        </is>
      </c>
      <c r="GB112" t="inlineStr">
        <is>
          <t>cal_152_155</t>
        </is>
      </c>
      <c r="GD112" t="inlineStr">
        <is>
          <t>Assets/MachineBrigade/Resources/Data/balance.json: weapons[42]</t>
        </is>
      </c>
      <c r="GE112" t="inlineStr">
        <is>
          <t>{"id":"gun_155_sph","weaponFamilyId":"cal_152_155","weaponFamily":"m284_155_mm_2","real":"M284 155 mm","family":"howitzer","size":155,"caliberMm":155,"pen":3,"damageType":"HighExplosive","damage":320,"cooldown":12.81,"range":100,"minRange":25,"spread":4.5,"impactTier":"Huge","ammo":16,"reload":41.9}</t>
        </is>
      </c>
    </row>
    <row r="113">
      <c r="A113" t="inlineStr">
        <is>
          <t>gun_155_twin</t>
        </is>
      </c>
      <c r="B113" t="inlineStr">
        <is>
          <t>M284 155 mm (twin)</t>
        </is>
      </c>
      <c r="C113" t="inlineStr">
        <is>
          <t>cal_152_155</t>
        </is>
      </c>
      <c r="D113" t="inlineStr"/>
      <c r="E113" t="inlineStr">
        <is>
          <t>m284_155_mm</t>
        </is>
      </c>
      <c r="F113" t="inlineStr">
        <is>
          <t>howitzer</t>
        </is>
      </c>
      <c r="G113" t="n">
        <v>155</v>
      </c>
      <c r="H113" t="inlineStr"/>
      <c r="I113" t="inlineStr"/>
      <c r="J113" t="inlineStr"/>
      <c r="K113" t="inlineStr">
        <is>
          <t>HighExplosive</t>
        </is>
      </c>
      <c r="L113" t="n">
        <v>3</v>
      </c>
      <c r="M113" t="inlineStr">
        <is>
          <t>Shell</t>
        </is>
      </c>
      <c r="N113" t="n">
        <v>1</v>
      </c>
      <c r="O113" t="inlineStr">
        <is>
          <t>RIPPLE</t>
        </is>
      </c>
      <c r="P113" t="n">
        <v>2</v>
      </c>
      <c r="Q113" t="n">
        <v>0.05</v>
      </c>
      <c r="R113" t="n">
        <v>8.789999999999999</v>
      </c>
      <c r="S113" t="n">
        <v>0</v>
      </c>
      <c r="T113" t="n">
        <v>0</v>
      </c>
      <c r="U113" t="n">
        <v>0</v>
      </c>
      <c r="V113" t="n">
        <v>0</v>
      </c>
      <c r="W113" t="n">
        <v>320</v>
      </c>
      <c r="X113" t="n">
        <v>7</v>
      </c>
      <c r="Y113" t="n">
        <v>0</v>
      </c>
      <c r="Z113" t="n">
        <v>150</v>
      </c>
      <c r="AA113" t="n">
        <v>50</v>
      </c>
      <c r="AB113" t="n">
        <v>0</v>
      </c>
      <c r="AC113" t="inlineStr">
        <is>
          <t>Ground</t>
        </is>
      </c>
      <c r="AD113" t="inlineStr"/>
      <c r="AE113" t="n">
        <v>0.9</v>
      </c>
      <c r="AF113" t="inlineStr">
        <is>
          <t>Huge</t>
        </is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n">
        <v>155</v>
      </c>
      <c r="AO113" t="n">
        <v>0</v>
      </c>
      <c r="AP113" t="inlineStr">
        <is>
          <t>T3</t>
        </is>
      </c>
      <c r="AQ113" t="inlineStr"/>
      <c r="AR113" t="inlineStr"/>
      <c r="AS113" t="inlineStr"/>
      <c r="AT113" t="inlineStr"/>
      <c r="AU113" t="n">
        <v>0</v>
      </c>
      <c r="AV113" t="inlineStr"/>
      <c r="AW113" t="n">
        <v>0</v>
      </c>
      <c r="AX113" t="b">
        <v>0</v>
      </c>
      <c r="AY113" t="inlineStr"/>
      <c r="AZ113">
        <f>IF(AND($AX$113,$AW$113&gt;$AA$113/$Z$113),$AW$113,$AA$113/$Z$113)</f>
        <v/>
      </c>
      <c r="BA113" t="n">
        <v>0.3333333333333333</v>
      </c>
      <c r="BB113" t="n">
        <v>4</v>
      </c>
      <c r="BC113" t="n">
        <v>1</v>
      </c>
      <c r="BD113" t="inlineStr">
        <is>
          <t>gun</t>
        </is>
      </c>
      <c r="BE113" t="inlineStr">
        <is>
          <t>US Army M109A7 fact file: 4 rpm for 3 min, 1 rpm sustained</t>
        </is>
      </c>
      <c r="BG113" t="inlineStr">
        <is>
          <t>giong</t>
        </is>
      </c>
      <c r="CR113" t="n">
        <v>2</v>
      </c>
      <c r="CS113" t="n">
        <v>0.05</v>
      </c>
      <c r="CT113" t="n">
        <v>155</v>
      </c>
      <c r="DD113" t="n">
        <v>8.789999999999999</v>
      </c>
      <c r="DE113" t="n">
        <v>320</v>
      </c>
      <c r="DF113" t="inlineStr">
        <is>
          <t>HighExplosive</t>
        </is>
      </c>
      <c r="DJ113" t="inlineStr">
        <is>
          <t>howitzer</t>
        </is>
      </c>
      <c r="DR113" t="n">
        <v>1.3</v>
      </c>
      <c r="DS113" t="inlineStr">
        <is>
          <t>Huge</t>
        </is>
      </c>
      <c r="EB113" t="n">
        <v>3</v>
      </c>
      <c r="EP113" t="n">
        <v>50</v>
      </c>
      <c r="EQ113" t="inlineStr">
        <is>
          <t>M284 155 mm (twin)</t>
        </is>
      </c>
      <c r="EX113" t="n">
        <v>155</v>
      </c>
      <c r="EZ113" t="n">
        <v>0.9</v>
      </c>
      <c r="GA113" t="inlineStr">
        <is>
          <t>m284_155_mm</t>
        </is>
      </c>
      <c r="GB113" t="inlineStr">
        <is>
          <t>cal_152_155</t>
        </is>
      </c>
      <c r="GD113" t="inlineStr">
        <is>
          <t>Assets/MachineBrigade/Resources/Data/balance.json: weapons[85]</t>
        </is>
      </c>
      <c r="GE113" t="inlineStr">
        <is>
          <t>{"id":"gun_155_twin","weaponFamilyId":"cal_152_155","weaponFamily":"m284_155_mm","real":"M284 155 mm (twin)","family":"howitzer","size":155,"caliberMm":155,"pen":3,"damageType":"HighExplosive","damage":320,"cooldown":8.79,"range":50,"spread":0.9,"impactTier":"Huge","burst":2,"burstInterval":0.05,"impactScale":1.3}</t>
        </is>
      </c>
    </row>
    <row r="114">
      <c r="A114" t="inlineStr">
        <is>
          <t>gun_155_twin_ap</t>
        </is>
      </c>
      <c r="B114" t="inlineStr">
        <is>
          <t>M284 155 mm (twin) AP</t>
        </is>
      </c>
      <c r="C114" t="inlineStr">
        <is>
          <t>cal_152_155</t>
        </is>
      </c>
      <c r="D114" t="inlineStr">
        <is>
          <t>ap</t>
        </is>
      </c>
      <c r="E114" t="inlineStr"/>
      <c r="F114" t="inlineStr">
        <is>
          <t>howitzer</t>
        </is>
      </c>
      <c r="G114" t="n">
        <v>155</v>
      </c>
      <c r="H114" t="inlineStr"/>
      <c r="I114" t="inlineStr"/>
      <c r="J114" t="inlineStr"/>
      <c r="K114" t="inlineStr">
        <is>
          <t>Kinetic</t>
        </is>
      </c>
      <c r="L114" t="n">
        <v>4</v>
      </c>
      <c r="M114" t="inlineStr">
        <is>
          <t>Shell</t>
        </is>
      </c>
      <c r="N114" t="n">
        <v>2</v>
      </c>
      <c r="O114" t="inlineStr">
        <is>
          <t>SIMULTANEOUS</t>
        </is>
      </c>
      <c r="P114" t="n">
        <v>1</v>
      </c>
      <c r="Q114" t="n">
        <v>0.05</v>
      </c>
      <c r="R114" t="n">
        <v>7.929</v>
      </c>
      <c r="S114" t="n">
        <v>0</v>
      </c>
      <c r="T114" t="n">
        <v>0</v>
      </c>
      <c r="U114" t="n">
        <v>0</v>
      </c>
      <c r="V114" t="n">
        <v>0</v>
      </c>
      <c r="W114" t="n">
        <v>429</v>
      </c>
      <c r="X114" t="n">
        <v>0</v>
      </c>
      <c r="Y114" t="n">
        <v>0</v>
      </c>
      <c r="Z114" t="n">
        <v>150</v>
      </c>
      <c r="AA114" t="n">
        <v>50</v>
      </c>
      <c r="AB114" t="n">
        <v>0</v>
      </c>
      <c r="AC114" t="inlineStr">
        <is>
          <t>Ground</t>
        </is>
      </c>
      <c r="AD114" t="inlineStr"/>
      <c r="AE114" t="n">
        <v>0.9</v>
      </c>
      <c r="AF114" t="inlineStr">
        <is>
          <t>Huge</t>
        </is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n">
        <v>155</v>
      </c>
      <c r="AO114" t="n">
        <v>0</v>
      </c>
      <c r="AP114" t="inlineStr">
        <is>
          <t>T3</t>
        </is>
      </c>
      <c r="AQ114" t="inlineStr">
        <is>
          <t>gun_155_twin_fort</t>
        </is>
      </c>
      <c r="AR114" t="inlineStr">
        <is>
          <t>gun_155_twin_fort</t>
        </is>
      </c>
      <c r="AS114" t="inlineStr">
        <is>
          <t>thap</t>
        </is>
      </c>
      <c r="AT114" t="inlineStr">
        <is>
          <t>heavy_turret;heavy_turret.bastion</t>
        </is>
      </c>
      <c r="AU114" t="n">
        <v>2</v>
      </c>
      <c r="AV114" t="inlineStr">
        <is>
          <t>heavy_turret:0;heavy_turret.bastion:0</t>
        </is>
      </c>
      <c r="AW114" t="n">
        <v>0</v>
      </c>
      <c r="AX114" t="b">
        <v>0</v>
      </c>
      <c r="AY114" t="inlineStr"/>
      <c r="AZ114">
        <f>IF(AND($AX$114,$AW$114&gt;$AA$114/$Z$114),$AW$114,$AA$114/$Z$114)</f>
        <v/>
      </c>
      <c r="BA114" t="n">
        <v>0.3333333333333333</v>
      </c>
      <c r="BB114" t="n">
        <v>4</v>
      </c>
      <c r="BC114" t="n">
        <v>1</v>
      </c>
      <c r="BD114" t="inlineStr">
        <is>
          <t>gun</t>
        </is>
      </c>
      <c r="BE114" t="inlineStr">
        <is>
          <t>US Army M109A7 fact file: 4 rpm for 3 min, 1 rpm sustained</t>
        </is>
      </c>
      <c r="BG114" t="inlineStr">
        <is>
          <t>doi</t>
        </is>
      </c>
      <c r="BH114" t="n">
        <v>300</v>
      </c>
      <c r="BI114" t="n">
        <v>429</v>
      </c>
      <c r="BJ114" t="n">
        <v>5.5</v>
      </c>
      <c r="BK114" t="n">
        <v>7.929</v>
      </c>
      <c r="BT114" t="n">
        <v>2</v>
      </c>
      <c r="BU114" t="n">
        <v>1</v>
      </c>
      <c r="BX114" t="n">
        <v>1</v>
      </c>
      <c r="BY114" t="n">
        <v>2</v>
      </c>
      <c r="BZ114" t="inlineStr">
        <is>
          <t>RIPPLE</t>
        </is>
      </c>
      <c r="CA114" t="inlineStr">
        <is>
          <t>SIMULTANEOUS</t>
        </is>
      </c>
      <c r="CO114" t="n">
        <v>2</v>
      </c>
      <c r="CR114" t="n">
        <v>1</v>
      </c>
      <c r="DD114" t="n">
        <v>7.929</v>
      </c>
      <c r="DE114" t="n">
        <v>429</v>
      </c>
      <c r="DF114" t="inlineStr">
        <is>
          <t>Kinetic</t>
        </is>
      </c>
      <c r="DQ114" t="inlineStr">
        <is>
          <t>gun_155_twin_fort</t>
        </is>
      </c>
      <c r="DT114" t="inlineStr">
        <is>
          <t>gun_155_twin_fort</t>
        </is>
      </c>
      <c r="EB114" t="n">
        <v>4</v>
      </c>
      <c r="EE114" t="b">
        <v>1</v>
      </c>
      <c r="EQ114" t="inlineStr">
        <is>
          <t>M284 155 mm (twin) AP</t>
        </is>
      </c>
      <c r="EW114" t="inlineStr">
        <is>
          <t>SIMULTANEOUS</t>
        </is>
      </c>
      <c r="EY114" t="n">
        <v>0</v>
      </c>
      <c r="GA114" t="inlineStr"/>
      <c r="GC114" t="inlineStr">
        <is>
          <t>ap</t>
        </is>
      </c>
      <c r="GD114" t="inlineStr">
        <is>
          <t>Assets/MachineBrigade/Resources/Data/balance.json: weapons[90]</t>
        </is>
      </c>
      <c r="GE114" t="inlineStr">
        <is>
          <t>{"id":"gun_155_twin_ap","weaponFamily":"","inherits":"gun_155_twin_fort","weaponVariantId":"ap","cooldown":7.929,"burst":1,"salvoMode":"SIMULTANEOUS","barrels":2,"real":"M284 155 mm (twin) AP","damageType":"Kinetic","damage":429,"pen":4,"splash":0,"piercing":true,"he":"gun_155_twin_fort"}</t>
        </is>
      </c>
    </row>
    <row r="115">
      <c r="A115" t="inlineStr">
        <is>
          <t>gun_155_twin_coastlr</t>
        </is>
      </c>
      <c r="B115" t="inlineStr">
        <is>
          <t>M284 155 mm (twin, long-range coastal)</t>
        </is>
      </c>
      <c r="C115" t="inlineStr">
        <is>
          <t>cal_152_155</t>
        </is>
      </c>
      <c r="D115" t="inlineStr"/>
      <c r="E115" t="inlineStr">
        <is>
          <t>m284_155_mm</t>
        </is>
      </c>
      <c r="F115" t="inlineStr">
        <is>
          <t>howitzer</t>
        </is>
      </c>
      <c r="G115" t="n">
        <v>155</v>
      </c>
      <c r="H115" t="inlineStr"/>
      <c r="I115" t="inlineStr"/>
      <c r="J115" t="inlineStr"/>
      <c r="K115" t="inlineStr">
        <is>
          <t>HighExplosive</t>
        </is>
      </c>
      <c r="L115" t="n">
        <v>3</v>
      </c>
      <c r="M115" t="inlineStr">
        <is>
          <t>Shell</t>
        </is>
      </c>
      <c r="N115" t="n">
        <v>2</v>
      </c>
      <c r="O115" t="inlineStr">
        <is>
          <t>SIMULTANEOUS</t>
        </is>
      </c>
      <c r="P115" t="n">
        <v>1</v>
      </c>
      <c r="Q115" t="n">
        <v>0.05</v>
      </c>
      <c r="R115" t="n">
        <v>7.929</v>
      </c>
      <c r="S115" t="n">
        <v>0</v>
      </c>
      <c r="T115" t="n">
        <v>0</v>
      </c>
      <c r="U115" t="n">
        <v>0</v>
      </c>
      <c r="V115" t="n">
        <v>0</v>
      </c>
      <c r="W115" t="n">
        <v>457</v>
      </c>
      <c r="X115" t="n">
        <v>7</v>
      </c>
      <c r="Y115" t="n">
        <v>0</v>
      </c>
      <c r="Z115" t="n">
        <v>150</v>
      </c>
      <c r="AA115" t="n">
        <v>72</v>
      </c>
      <c r="AB115" t="n">
        <v>0</v>
      </c>
      <c r="AC115" t="inlineStr">
        <is>
          <t>Ground</t>
        </is>
      </c>
      <c r="AD115" t="inlineStr"/>
      <c r="AE115" t="n">
        <v>0.9</v>
      </c>
      <c r="AF115" t="inlineStr">
        <is>
          <t>Huge</t>
        </is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n">
        <v>155</v>
      </c>
      <c r="AO115" t="n">
        <v>0</v>
      </c>
      <c r="AP115" t="inlineStr">
        <is>
          <t>T3</t>
        </is>
      </c>
      <c r="AQ115" t="inlineStr">
        <is>
          <t>gun_155_twin_fort</t>
        </is>
      </c>
      <c r="AR115" t="inlineStr">
        <is>
          <t>gun_155_twin_coastlr_guided</t>
        </is>
      </c>
      <c r="AS115" t="inlineStr">
        <is>
          <t>thap</t>
        </is>
      </c>
      <c r="AT115" t="inlineStr">
        <is>
          <t>heavy_turret.coastal</t>
        </is>
      </c>
      <c r="AU115" t="n">
        <v>1</v>
      </c>
      <c r="AV115" t="inlineStr">
        <is>
          <t>heavy_turret.coastal:0</t>
        </is>
      </c>
      <c r="AW115" t="n">
        <v>0</v>
      </c>
      <c r="AX115" t="b">
        <v>0</v>
      </c>
      <c r="AY115" t="inlineStr"/>
      <c r="AZ115">
        <f>IF(AND($AX$115,$AW$115&gt;$AA$115/$Z$115),$AW$115,$AA$115/$Z$115)</f>
        <v/>
      </c>
      <c r="BA115" t="n">
        <v>0.48</v>
      </c>
      <c r="BB115" t="n">
        <v>4</v>
      </c>
      <c r="BC115" t="n">
        <v>1</v>
      </c>
      <c r="BD115" t="inlineStr">
        <is>
          <t>gun</t>
        </is>
      </c>
      <c r="BE115" t="inlineStr">
        <is>
          <t>US Army M109A7 fact file: 4 rpm for 3 min, 1 rpm sustained</t>
        </is>
      </c>
      <c r="BG115" t="inlineStr">
        <is>
          <t>doi</t>
        </is>
      </c>
      <c r="BH115" t="n">
        <v>320</v>
      </c>
      <c r="BI115" t="n">
        <v>457</v>
      </c>
      <c r="BJ115" t="n">
        <v>5.5</v>
      </c>
      <c r="BK115" t="n">
        <v>7.929</v>
      </c>
      <c r="BT115" t="n">
        <v>2</v>
      </c>
      <c r="BU115" t="n">
        <v>1</v>
      </c>
      <c r="BX115" t="n">
        <v>1</v>
      </c>
      <c r="BY115" t="n">
        <v>2</v>
      </c>
      <c r="BZ115" t="inlineStr">
        <is>
          <t>RIPPLE</t>
        </is>
      </c>
      <c r="CA115" t="inlineStr">
        <is>
          <t>SIMULTANEOUS</t>
        </is>
      </c>
      <c r="CO115" t="n">
        <v>2</v>
      </c>
      <c r="CR115" t="n">
        <v>1</v>
      </c>
      <c r="CT115" t="n">
        <v>155</v>
      </c>
      <c r="DD115" t="n">
        <v>7.929</v>
      </c>
      <c r="DE115" t="n">
        <v>457</v>
      </c>
      <c r="DJ115" t="inlineStr">
        <is>
          <t>howitzer</t>
        </is>
      </c>
      <c r="DT115" t="inlineStr">
        <is>
          <t>gun_155_twin_fort</t>
        </is>
      </c>
      <c r="EB115" t="n">
        <v>3</v>
      </c>
      <c r="EP115" t="n">
        <v>72</v>
      </c>
      <c r="EQ115" t="inlineStr">
        <is>
          <t>M284 155 mm (twin, long-range coastal)</t>
        </is>
      </c>
      <c r="EW115" t="inlineStr">
        <is>
          <t>SIMULTANEOUS</t>
        </is>
      </c>
      <c r="EX115" t="n">
        <v>155</v>
      </c>
      <c r="GA115" t="inlineStr">
        <is>
          <t>m284_155_mm</t>
        </is>
      </c>
      <c r="GD115" t="inlineStr">
        <is>
          <t>Assets/MachineBrigade/Resources/Data/balance.json: weapons[257]</t>
        </is>
      </c>
      <c r="GE115" t="inlineStr">
        <is>
          <t>{"id":"gun_155_twin_coastlr","weaponFamily":"m284_155_mm","real":"M284 155 mm (twin, long-range coastal)","family":"howitzer","size":155,"caliberMm":155,"pen":3,"inherits":"gun_155_twin_fort","cooldown":7.929,"damage":457,"burst":1,"salvoMode":"SIMULTANEOUS","barrels":2,"range":72}</t>
        </is>
      </c>
    </row>
    <row r="116">
      <c r="A116" t="inlineStr">
        <is>
          <t>gun_155_twin_coastlr_guided</t>
        </is>
      </c>
      <c r="B116" t="inlineStr">
        <is>
          <t>M284 155 mm guided (twin, long-range coastal)</t>
        </is>
      </c>
      <c r="C116" t="inlineStr">
        <is>
          <t>cal_152_155</t>
        </is>
      </c>
      <c r="D116" t="inlineStr">
        <is>
          <t>guided</t>
        </is>
      </c>
      <c r="E116" t="inlineStr">
        <is>
          <t>m284_155_mm_guided_direct</t>
        </is>
      </c>
      <c r="F116" t="inlineStr">
        <is>
          <t>howitzer</t>
        </is>
      </c>
      <c r="G116" t="n">
        <v>155</v>
      </c>
      <c r="H116" t="inlineStr"/>
      <c r="I116" t="inlineStr"/>
      <c r="J116" t="inlineStr"/>
      <c r="K116" t="inlineStr">
        <is>
          <t>HighExplosive</t>
        </is>
      </c>
      <c r="L116" t="n">
        <v>3</v>
      </c>
      <c r="M116" t="inlineStr">
        <is>
          <t>Shell</t>
        </is>
      </c>
      <c r="N116" t="n">
        <v>1</v>
      </c>
      <c r="O116" t="inlineStr">
        <is>
          <t>RIPPLE</t>
        </is>
      </c>
      <c r="P116" t="n">
        <v>1</v>
      </c>
      <c r="Q116" t="n">
        <v>0.05</v>
      </c>
      <c r="R116" t="n">
        <v>7.929</v>
      </c>
      <c r="S116" t="n">
        <v>0</v>
      </c>
      <c r="T116" t="n">
        <v>0</v>
      </c>
      <c r="U116" t="n">
        <v>0</v>
      </c>
      <c r="V116" t="n">
        <v>0</v>
      </c>
      <c r="W116" t="n">
        <v>457</v>
      </c>
      <c r="X116" t="n">
        <v>7</v>
      </c>
      <c r="Y116" t="n">
        <v>0</v>
      </c>
      <c r="Z116" t="n">
        <v>150</v>
      </c>
      <c r="AA116" t="n">
        <v>72</v>
      </c>
      <c r="AB116" t="n">
        <v>0</v>
      </c>
      <c r="AC116" t="inlineStr">
        <is>
          <t>Ground</t>
        </is>
      </c>
      <c r="AD116" t="inlineStr"/>
      <c r="AE116" t="n">
        <v>0</v>
      </c>
      <c r="AF116" t="inlineStr">
        <is>
          <t>Huge</t>
        </is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  <c r="AN116" t="n">
        <v>155</v>
      </c>
      <c r="AO116" t="n">
        <v>0</v>
      </c>
      <c r="AP116" t="inlineStr">
        <is>
          <t>T3</t>
        </is>
      </c>
      <c r="AQ116" t="inlineStr">
        <is>
          <t>gun_155_twin_coastlr</t>
        </is>
      </c>
      <c r="AR116" t="inlineStr"/>
      <c r="AS116" t="inlineStr"/>
      <c r="AT116" t="inlineStr"/>
      <c r="AU116" t="n">
        <v>0</v>
      </c>
      <c r="AV116" t="inlineStr"/>
      <c r="AW116" t="n">
        <v>0</v>
      </c>
      <c r="AX116" t="b">
        <v>0</v>
      </c>
      <c r="AY116" t="inlineStr"/>
      <c r="AZ116">
        <f>IF(AND($AX$116,$AW$116&gt;$AA$116/$Z$116),$AW$116,$AA$116/$Z$116)</f>
        <v/>
      </c>
      <c r="BA116" t="n">
        <v>0.48</v>
      </c>
      <c r="BB116" t="n">
        <v>4</v>
      </c>
      <c r="BC116" t="n">
        <v>1</v>
      </c>
      <c r="BD116" t="inlineStr">
        <is>
          <t>gun</t>
        </is>
      </c>
      <c r="BE116" t="inlineStr">
        <is>
          <t>US Army M109A7 fact file: 4 rpm for 3 min, 1 rpm sustained</t>
        </is>
      </c>
      <c r="BG116" t="inlineStr">
        <is>
          <t>doi</t>
        </is>
      </c>
      <c r="BH116" t="n">
        <v>320</v>
      </c>
      <c r="BI116" t="n">
        <v>457</v>
      </c>
      <c r="BJ116" t="n">
        <v>5.5</v>
      </c>
      <c r="BK116" t="n">
        <v>7.929</v>
      </c>
      <c r="CO116" t="n">
        <v>1</v>
      </c>
      <c r="CR116" t="n">
        <v>1</v>
      </c>
      <c r="DE116" t="n">
        <v>457</v>
      </c>
      <c r="DF116" t="inlineStr">
        <is>
          <t>HighExplosive</t>
        </is>
      </c>
      <c r="DH116" t="b">
        <v>1</v>
      </c>
      <c r="DM116" t="inlineStr">
        <is>
          <t>armour</t>
        </is>
      </c>
      <c r="DN116" t="inlineStr">
        <is>
          <t>HeShell</t>
        </is>
      </c>
      <c r="DP116" t="b">
        <v>1</v>
      </c>
      <c r="DT116" t="inlineStr">
        <is>
          <t>gun_155_twin_coastlr</t>
        </is>
      </c>
      <c r="EB116" t="n">
        <v>3</v>
      </c>
      <c r="EQ116" t="inlineStr">
        <is>
          <t>M284 155 mm guided (twin, long-range coastal)</t>
        </is>
      </c>
      <c r="ES116" t="inlineStr">
        <is>
          <t>guided</t>
        </is>
      </c>
      <c r="EU116" t="inlineStr">
        <is>
          <t>gun_155_twin_coastlr</t>
        </is>
      </c>
      <c r="EW116" t="inlineStr">
        <is>
          <t>RIPPLE</t>
        </is>
      </c>
      <c r="EZ116" t="n">
        <v>0</v>
      </c>
      <c r="FW116" t="inlineStr">
        <is>
          <t>Ground</t>
        </is>
      </c>
      <c r="GA116" t="inlineStr">
        <is>
          <t>m284_155_mm_guided_direct</t>
        </is>
      </c>
      <c r="GC116" t="inlineStr">
        <is>
          <t>guided</t>
        </is>
      </c>
      <c r="GD116" t="inlineStr">
        <is>
          <t>Assets/MachineBrigade/Resources/Data/balance.json: secondRounds.rounds[30]</t>
        </is>
      </c>
      <c r="GE116" t="inlineStr">
        <is>
          <t>{"id":"gun_155_twin_coastlr_guided","roundOf":"gun_155_twin_coastlr","inherits":"gun_155_twin_coastlr","weaponVariantId":"guided","salvoMode":"RIPPLE","barrels":1,"weaponFamily":"m284_155_mm_guided_direct","round":"guided","for":["armour"],"elite":true,"real":"M284 155 mm guided (twin, long-range coastal)","damageType":"HighExplosive","pen":3,"damage":457,"spread":0,"burst":1,"guided":true,"form":"HeShell","targets":"Ground"}</t>
        </is>
      </c>
    </row>
    <row r="117">
      <c r="A117" t="inlineStr">
        <is>
          <t>gun_155_twin_fort</t>
        </is>
      </c>
      <c r="B117" t="inlineStr">
        <is>
          <t>M284 155 mm (twin)</t>
        </is>
      </c>
      <c r="C117" t="inlineStr">
        <is>
          <t>cal_152_155</t>
        </is>
      </c>
      <c r="D117" t="inlineStr"/>
      <c r="E117" t="inlineStr">
        <is>
          <t>m284_155_mm</t>
        </is>
      </c>
      <c r="F117" t="inlineStr">
        <is>
          <t>howitzer</t>
        </is>
      </c>
      <c r="G117" t="n">
        <v>155</v>
      </c>
      <c r="H117" t="inlineStr"/>
      <c r="I117" t="inlineStr"/>
      <c r="J117" t="inlineStr"/>
      <c r="K117" t="inlineStr">
        <is>
          <t>HighExplosive</t>
        </is>
      </c>
      <c r="L117" t="n">
        <v>3</v>
      </c>
      <c r="M117" t="inlineStr">
        <is>
          <t>Shell</t>
        </is>
      </c>
      <c r="N117" t="n">
        <v>2</v>
      </c>
      <c r="O117" t="inlineStr">
        <is>
          <t>SIMULTANEOUS</t>
        </is>
      </c>
      <c r="P117" t="n">
        <v>1</v>
      </c>
      <c r="Q117" t="n">
        <v>0.05</v>
      </c>
      <c r="R117" t="n">
        <v>7.929</v>
      </c>
      <c r="S117" t="n">
        <v>0</v>
      </c>
      <c r="T117" t="n">
        <v>0</v>
      </c>
      <c r="U117" t="n">
        <v>0</v>
      </c>
      <c r="V117" t="n">
        <v>0</v>
      </c>
      <c r="W117" t="n">
        <v>457</v>
      </c>
      <c r="X117" t="n">
        <v>7</v>
      </c>
      <c r="Y117" t="n">
        <v>0</v>
      </c>
      <c r="Z117" t="n">
        <v>150</v>
      </c>
      <c r="AA117" t="n">
        <v>50</v>
      </c>
      <c r="AB117" t="n">
        <v>0</v>
      </c>
      <c r="AC117" t="inlineStr">
        <is>
          <t>Ground</t>
        </is>
      </c>
      <c r="AD117" t="inlineStr"/>
      <c r="AE117" t="n">
        <v>0.9</v>
      </c>
      <c r="AF117" t="inlineStr">
        <is>
          <t>Huge</t>
        </is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n">
        <v>155</v>
      </c>
      <c r="AO117" t="n">
        <v>0</v>
      </c>
      <c r="AP117" t="inlineStr">
        <is>
          <t>T3</t>
        </is>
      </c>
      <c r="AQ117" t="inlineStr">
        <is>
          <t>gun_155_twin</t>
        </is>
      </c>
      <c r="AR117" t="inlineStr">
        <is>
          <t>gun_155_twin_fort_guided</t>
        </is>
      </c>
      <c r="AS117" t="inlineStr"/>
      <c r="AT117" t="inlineStr"/>
      <c r="AU117" t="n">
        <v>0</v>
      </c>
      <c r="AV117" t="inlineStr"/>
      <c r="AW117" t="n">
        <v>0</v>
      </c>
      <c r="AX117" t="b">
        <v>0</v>
      </c>
      <c r="AY117" t="inlineStr"/>
      <c r="AZ117">
        <f>IF(AND($AX$117,$AW$117&gt;$AA$117/$Z$117),$AW$117,$AA$117/$Z$117)</f>
        <v/>
      </c>
      <c r="BA117" t="n">
        <v>0.3333333333333333</v>
      </c>
      <c r="BB117" t="n">
        <v>4</v>
      </c>
      <c r="BC117" t="n">
        <v>1</v>
      </c>
      <c r="BD117" t="inlineStr">
        <is>
          <t>gun</t>
        </is>
      </c>
      <c r="BE117" t="inlineStr">
        <is>
          <t>US Army M109A7 fact file: 4 rpm for 3 min, 1 rpm sustained</t>
        </is>
      </c>
      <c r="BG117" t="inlineStr">
        <is>
          <t>doi</t>
        </is>
      </c>
      <c r="BH117" t="n">
        <v>320</v>
      </c>
      <c r="BI117" t="n">
        <v>457</v>
      </c>
      <c r="BJ117" t="n">
        <v>5.5</v>
      </c>
      <c r="BK117" t="n">
        <v>7.929</v>
      </c>
      <c r="BT117" t="n">
        <v>2</v>
      </c>
      <c r="BU117" t="n">
        <v>1</v>
      </c>
      <c r="BX117" t="n">
        <v>1</v>
      </c>
      <c r="BY117" t="n">
        <v>2</v>
      </c>
      <c r="BZ117" t="inlineStr">
        <is>
          <t>RIPPLE</t>
        </is>
      </c>
      <c r="CA117" t="inlineStr">
        <is>
          <t>SIMULTANEOUS</t>
        </is>
      </c>
      <c r="CO117" t="n">
        <v>2</v>
      </c>
      <c r="CR117" t="n">
        <v>1</v>
      </c>
      <c r="CT117" t="n">
        <v>155</v>
      </c>
      <c r="DD117" t="n">
        <v>7.929</v>
      </c>
      <c r="DE117" t="n">
        <v>457</v>
      </c>
      <c r="DJ117" t="inlineStr">
        <is>
          <t>howitzer</t>
        </is>
      </c>
      <c r="DT117" t="inlineStr">
        <is>
          <t>gun_155_twin</t>
        </is>
      </c>
      <c r="EB117" t="n">
        <v>3</v>
      </c>
      <c r="EQ117" t="inlineStr">
        <is>
          <t>M284 155 mm (twin)</t>
        </is>
      </c>
      <c r="EW117" t="inlineStr">
        <is>
          <t>SIMULTANEOUS</t>
        </is>
      </c>
      <c r="EX117" t="n">
        <v>155</v>
      </c>
      <c r="GA117" t="inlineStr">
        <is>
          <t>m284_155_mm</t>
        </is>
      </c>
      <c r="GD117" t="inlineStr">
        <is>
          <t>Assets/MachineBrigade/Resources/Data/balance.json: weapons[89]</t>
        </is>
      </c>
      <c r="GE117" t="inlineStr">
        <is>
          <t>{"id":"gun_155_twin_fort","weaponFamily":"m284_155_mm","real":"M284 155 mm (twin)","family":"howitzer","size":155,"caliberMm":155,"pen":3,"inherits":"gun_155_twin","burst":1,"salvoMode":"SIMULTANEOUS","barrels":2,"cooldown":7.929,"damage":457}</t>
        </is>
      </c>
    </row>
    <row r="118">
      <c r="A118" t="inlineStr">
        <is>
          <t>gun_155_twin_fort_guided</t>
        </is>
      </c>
      <c r="B118" t="inlineStr">
        <is>
          <t>M284 155 mm guided (twin)</t>
        </is>
      </c>
      <c r="C118" t="inlineStr">
        <is>
          <t>cal_152_155</t>
        </is>
      </c>
      <c r="D118" t="inlineStr">
        <is>
          <t>guided</t>
        </is>
      </c>
      <c r="E118" t="inlineStr">
        <is>
          <t>m284_155_mm_guided_direct</t>
        </is>
      </c>
      <c r="F118" t="inlineStr">
        <is>
          <t>howitzer</t>
        </is>
      </c>
      <c r="G118" t="n">
        <v>155</v>
      </c>
      <c r="H118" t="inlineStr"/>
      <c r="I118" t="inlineStr"/>
      <c r="J118" t="inlineStr"/>
      <c r="K118" t="inlineStr">
        <is>
          <t>HighExplosive</t>
        </is>
      </c>
      <c r="L118" t="n">
        <v>3</v>
      </c>
      <c r="M118" t="inlineStr">
        <is>
          <t>Shell</t>
        </is>
      </c>
      <c r="N118" t="n">
        <v>1</v>
      </c>
      <c r="O118" t="inlineStr">
        <is>
          <t>RIPPLE</t>
        </is>
      </c>
      <c r="P118" t="n">
        <v>1</v>
      </c>
      <c r="Q118" t="n">
        <v>0.05</v>
      </c>
      <c r="R118" t="n">
        <v>7.929</v>
      </c>
      <c r="S118" t="n">
        <v>0</v>
      </c>
      <c r="T118" t="n">
        <v>0</v>
      </c>
      <c r="U118" t="n">
        <v>0</v>
      </c>
      <c r="V118" t="n">
        <v>0</v>
      </c>
      <c r="W118" t="n">
        <v>457</v>
      </c>
      <c r="X118" t="n">
        <v>7</v>
      </c>
      <c r="Y118" t="n">
        <v>0</v>
      </c>
      <c r="Z118" t="n">
        <v>150</v>
      </c>
      <c r="AA118" t="n">
        <v>50</v>
      </c>
      <c r="AB118" t="n">
        <v>0</v>
      </c>
      <c r="AC118" t="inlineStr">
        <is>
          <t>Ground</t>
        </is>
      </c>
      <c r="AD118" t="inlineStr"/>
      <c r="AE118" t="n">
        <v>0</v>
      </c>
      <c r="AF118" t="inlineStr">
        <is>
          <t>Huge</t>
        </is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1</v>
      </c>
      <c r="AN118" t="n">
        <v>155</v>
      </c>
      <c r="AO118" t="n">
        <v>0</v>
      </c>
      <c r="AP118" t="inlineStr">
        <is>
          <t>T3</t>
        </is>
      </c>
      <c r="AQ118" t="inlineStr">
        <is>
          <t>gun_155_twin_fort</t>
        </is>
      </c>
      <c r="AR118" t="inlineStr"/>
      <c r="AS118" t="inlineStr"/>
      <c r="AT118" t="inlineStr"/>
      <c r="AU118" t="n">
        <v>0</v>
      </c>
      <c r="AV118" t="inlineStr"/>
      <c r="AW118" t="n">
        <v>0</v>
      </c>
      <c r="AX118" t="b">
        <v>0</v>
      </c>
      <c r="AY118" t="inlineStr"/>
      <c r="AZ118">
        <f>IF(AND($AX$118,$AW$118&gt;$AA$118/$Z$118),$AW$118,$AA$118/$Z$118)</f>
        <v/>
      </c>
      <c r="BA118" t="n">
        <v>0.3333333333333333</v>
      </c>
      <c r="BB118" t="n">
        <v>4</v>
      </c>
      <c r="BC118" t="n">
        <v>1</v>
      </c>
      <c r="BD118" t="inlineStr">
        <is>
          <t>gun</t>
        </is>
      </c>
      <c r="BE118" t="inlineStr">
        <is>
          <t>US Army M109A7 fact file: 4 rpm for 3 min, 1 rpm sustained</t>
        </is>
      </c>
      <c r="BG118" t="inlineStr">
        <is>
          <t>doi</t>
        </is>
      </c>
      <c r="BH118" t="n">
        <v>320</v>
      </c>
      <c r="BI118" t="n">
        <v>457</v>
      </c>
      <c r="BJ118" t="n">
        <v>5.5</v>
      </c>
      <c r="BK118" t="n">
        <v>7.929</v>
      </c>
      <c r="CO118" t="n">
        <v>1</v>
      </c>
      <c r="CR118" t="n">
        <v>1</v>
      </c>
      <c r="DE118" t="n">
        <v>457</v>
      </c>
      <c r="DF118" t="inlineStr">
        <is>
          <t>HighExplosive</t>
        </is>
      </c>
      <c r="DH118" t="b">
        <v>1</v>
      </c>
      <c r="DM118" t="inlineStr">
        <is>
          <t>armour</t>
        </is>
      </c>
      <c r="DN118" t="inlineStr">
        <is>
          <t>HeShell</t>
        </is>
      </c>
      <c r="DP118" t="b">
        <v>1</v>
      </c>
      <c r="DT118" t="inlineStr">
        <is>
          <t>gun_155_twin_fort</t>
        </is>
      </c>
      <c r="EB118" t="n">
        <v>3</v>
      </c>
      <c r="EQ118" t="inlineStr">
        <is>
          <t>M284 155 mm guided (twin)</t>
        </is>
      </c>
      <c r="ES118" t="inlineStr">
        <is>
          <t>guided</t>
        </is>
      </c>
      <c r="EU118" t="inlineStr">
        <is>
          <t>gun_155_twin_fort</t>
        </is>
      </c>
      <c r="EW118" t="inlineStr">
        <is>
          <t>RIPPLE</t>
        </is>
      </c>
      <c r="EZ118" t="n">
        <v>0</v>
      </c>
      <c r="FW118" t="inlineStr">
        <is>
          <t>Ground</t>
        </is>
      </c>
      <c r="GA118" t="inlineStr">
        <is>
          <t>m284_155_mm_guided_direct</t>
        </is>
      </c>
      <c r="GC118" t="inlineStr">
        <is>
          <t>guided</t>
        </is>
      </c>
      <c r="GD118" t="inlineStr">
        <is>
          <t>Assets/MachineBrigade/Resources/Data/balance.json: secondRounds.rounds[31]</t>
        </is>
      </c>
      <c r="GE118" t="inlineStr">
        <is>
          <t>{"id":"gun_155_twin_fort_guided","roundOf":"gun_155_twin_fort","inherits":"gun_155_twin_fort","weaponVariantId":"guided","salvoMode":"RIPPLE","barrels":1,"weaponFamily":"m284_155_mm_guided_direct","round":"guided","for":["armour"],"elite":true,"real":"M284 155 mm guided (twin)","damageType":"HighExplosive","pen":3,"damage":457,"spread":0,"burst":1,"guided":true,"form":"HeShell","targets":"Ground"}</t>
        </is>
      </c>
    </row>
    <row r="119">
      <c r="A119" t="inlineStr">
        <is>
          <t>gun_155_twin_long</t>
        </is>
      </c>
      <c r="B119" t="inlineStr">
        <is>
          <t>M284 155 mm (twin, long)</t>
        </is>
      </c>
      <c r="C119" t="inlineStr">
        <is>
          <t>cal_152_155</t>
        </is>
      </c>
      <c r="D119" t="inlineStr"/>
      <c r="E119" t="inlineStr">
        <is>
          <t>m284_155_mm</t>
        </is>
      </c>
      <c r="F119" t="inlineStr">
        <is>
          <t>howitzer</t>
        </is>
      </c>
      <c r="G119" t="n">
        <v>155</v>
      </c>
      <c r="H119" t="inlineStr"/>
      <c r="I119" t="inlineStr"/>
      <c r="J119" t="inlineStr"/>
      <c r="K119" t="inlineStr">
        <is>
          <t>HighExplosive</t>
        </is>
      </c>
      <c r="L119" t="n">
        <v>3</v>
      </c>
      <c r="M119" t="inlineStr">
        <is>
          <t>Shell</t>
        </is>
      </c>
      <c r="N119" t="n">
        <v>1</v>
      </c>
      <c r="O119" t="inlineStr">
        <is>
          <t>RIPPLE</t>
        </is>
      </c>
      <c r="P119" t="n">
        <v>2</v>
      </c>
      <c r="Q119" t="n">
        <v>0.05</v>
      </c>
      <c r="R119" t="n">
        <v>8.789999999999999</v>
      </c>
      <c r="S119" t="n">
        <v>0</v>
      </c>
      <c r="T119" t="n">
        <v>0</v>
      </c>
      <c r="U119" t="n">
        <v>0</v>
      </c>
      <c r="V119" t="n">
        <v>0</v>
      </c>
      <c r="W119" t="n">
        <v>320</v>
      </c>
      <c r="X119" t="n">
        <v>7</v>
      </c>
      <c r="Y119" t="n">
        <v>0</v>
      </c>
      <c r="Z119" t="n">
        <v>150</v>
      </c>
      <c r="AA119" t="n">
        <v>60</v>
      </c>
      <c r="AB119" t="n">
        <v>0</v>
      </c>
      <c r="AC119" t="inlineStr">
        <is>
          <t>Ground</t>
        </is>
      </c>
      <c r="AD119" t="inlineStr"/>
      <c r="AE119" t="n">
        <v>0.9</v>
      </c>
      <c r="AF119" t="inlineStr">
        <is>
          <t>Huge</t>
        </is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n">
        <v>155</v>
      </c>
      <c r="AO119" t="n">
        <v>0</v>
      </c>
      <c r="AP119" t="inlineStr">
        <is>
          <t>T3</t>
        </is>
      </c>
      <c r="AQ119" t="inlineStr">
        <is>
          <t>gun_155_twin</t>
        </is>
      </c>
      <c r="AR119" t="inlineStr"/>
      <c r="AS119" t="inlineStr"/>
      <c r="AT119" t="inlineStr"/>
      <c r="AU119" t="n">
        <v>0</v>
      </c>
      <c r="AV119" t="inlineStr"/>
      <c r="AW119" t="n">
        <v>0</v>
      </c>
      <c r="AX119" t="b">
        <v>0</v>
      </c>
      <c r="AY119" t="inlineStr"/>
      <c r="AZ119">
        <f>IF(AND($AX$119,$AW$119&gt;$AA$119/$Z$119),$AW$119,$AA$119/$Z$119)</f>
        <v/>
      </c>
      <c r="BA119" t="n">
        <v>0.4</v>
      </c>
      <c r="BB119" t="n">
        <v>4</v>
      </c>
      <c r="BC119" t="n">
        <v>1</v>
      </c>
      <c r="BD119" t="inlineStr">
        <is>
          <t>gun</t>
        </is>
      </c>
      <c r="BE119" t="inlineStr">
        <is>
          <t>US Army M109A7 fact file: 4 rpm for 3 min, 1 rpm sustained</t>
        </is>
      </c>
      <c r="BG119" t="inlineStr">
        <is>
          <t>giong</t>
        </is>
      </c>
      <c r="CT119" t="n">
        <v>155</v>
      </c>
      <c r="DJ119" t="inlineStr">
        <is>
          <t>howitzer</t>
        </is>
      </c>
      <c r="DT119" t="inlineStr">
        <is>
          <t>gun_155_twin</t>
        </is>
      </c>
      <c r="EB119" t="n">
        <v>3</v>
      </c>
      <c r="EP119" t="n">
        <v>60</v>
      </c>
      <c r="EQ119" t="inlineStr">
        <is>
          <t>M284 155 mm (twin, long)</t>
        </is>
      </c>
      <c r="EX119" t="n">
        <v>155</v>
      </c>
      <c r="GA119" t="inlineStr">
        <is>
          <t>m284_155_mm</t>
        </is>
      </c>
      <c r="GD119" t="inlineStr">
        <is>
          <t>Assets/MachineBrigade/Resources/Data/balance.json: weapons[129]</t>
        </is>
      </c>
      <c r="GE119" t="inlineStr">
        <is>
          <t>{"id":"gun_155_twin_long","weaponFamily":"m284_155_mm","real":"M284 155 mm (twin, long)","family":"howitzer","size":155,"caliberMm":155,"pen":3,"inherits":"gun_155_twin","range":60}</t>
        </is>
      </c>
    </row>
    <row r="120">
      <c r="A120" t="inlineStr">
        <is>
          <t>gun_203_siege</t>
        </is>
      </c>
      <c r="B120" t="inlineStr">
        <is>
          <t>M110 203 mm</t>
        </is>
      </c>
      <c r="C120" t="inlineStr">
        <is>
          <t>cal_203</t>
        </is>
      </c>
      <c r="D120" t="inlineStr"/>
      <c r="E120" t="inlineStr"/>
      <c r="F120" t="inlineStr">
        <is>
          <t>howitzer</t>
        </is>
      </c>
      <c r="G120" t="n">
        <v>203</v>
      </c>
      <c r="H120" t="inlineStr"/>
      <c r="I120" t="inlineStr"/>
      <c r="J120" t="inlineStr"/>
      <c r="K120" t="inlineStr">
        <is>
          <t>HighExplosive</t>
        </is>
      </c>
      <c r="L120" t="n">
        <v>4</v>
      </c>
      <c r="M120" t="inlineStr">
        <is>
          <t>Shell</t>
        </is>
      </c>
      <c r="N120" t="n">
        <v>1</v>
      </c>
      <c r="O120" t="inlineStr">
        <is>
          <t>RIPPLE</t>
        </is>
      </c>
      <c r="P120" t="n">
        <v>1</v>
      </c>
      <c r="Q120" t="n">
        <v>0.1</v>
      </c>
      <c r="R120" t="n">
        <v>9.75</v>
      </c>
      <c r="S120" t="n">
        <v>0</v>
      </c>
      <c r="T120" t="n">
        <v>0</v>
      </c>
      <c r="U120" t="n">
        <v>12</v>
      </c>
      <c r="V120" t="n">
        <v>29.4</v>
      </c>
      <c r="W120" t="n">
        <v>420</v>
      </c>
      <c r="X120" t="n">
        <v>8</v>
      </c>
      <c r="Y120" t="n">
        <v>0</v>
      </c>
      <c r="Z120" t="n">
        <v>110</v>
      </c>
      <c r="AA120" t="n">
        <v>62</v>
      </c>
      <c r="AB120" t="n">
        <v>10</v>
      </c>
      <c r="AC120" t="inlineStr">
        <is>
          <t>Ground</t>
        </is>
      </c>
      <c r="AD120" t="inlineStr"/>
      <c r="AE120" t="n">
        <v>2.5</v>
      </c>
      <c r="AF120" t="inlineStr">
        <is>
          <t>Huge</t>
        </is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n">
        <v>203</v>
      </c>
      <c r="AO120" t="n">
        <v>0</v>
      </c>
      <c r="AP120" t="inlineStr">
        <is>
          <t>T4</t>
        </is>
      </c>
      <c r="AQ120" t="inlineStr"/>
      <c r="AR120" t="inlineStr"/>
      <c r="AS120" t="inlineStr"/>
      <c r="AT120" t="inlineStr"/>
      <c r="AU120" t="n">
        <v>0</v>
      </c>
      <c r="AV120" t="inlineStr"/>
      <c r="AW120" t="n">
        <v>2.5</v>
      </c>
      <c r="AX120" t="b">
        <v>1</v>
      </c>
      <c r="AY120" t="inlineStr"/>
      <c r="AZ120">
        <f>IF(AND($AX$120,$AW$120&gt;$AA$120/$Z$120),$AW$120,$AA$120/$Z$120)</f>
        <v/>
      </c>
      <c r="BA120" t="n">
        <v>2.5</v>
      </c>
      <c r="BB120" t="n">
        <v>2</v>
      </c>
      <c r="BC120" t="n">
        <v>1</v>
      </c>
      <c r="BD120" t="inlineStr">
        <is>
          <t>gun</t>
        </is>
      </c>
      <c r="BE120" t="inlineStr">
        <is>
          <t>Wikipedia 'M110 howitzer': 1.5-2 rpm</t>
        </is>
      </c>
      <c r="BG120" t="inlineStr">
        <is>
          <t>giong</t>
        </is>
      </c>
      <c r="CN120" t="n">
        <v>12</v>
      </c>
      <c r="CT120" t="n">
        <v>203</v>
      </c>
      <c r="DD120" t="n">
        <v>9.75</v>
      </c>
      <c r="DE120" t="n">
        <v>420</v>
      </c>
      <c r="DF120" t="inlineStr">
        <is>
          <t>HighExplosive</t>
        </is>
      </c>
      <c r="DJ120" t="inlineStr">
        <is>
          <t>howitzer</t>
        </is>
      </c>
      <c r="DS120" t="inlineStr">
        <is>
          <t>Huge</t>
        </is>
      </c>
      <c r="DZ120" t="n">
        <v>10</v>
      </c>
      <c r="EB120" t="n">
        <v>4</v>
      </c>
      <c r="EI120" t="inlineStr">
        <is>
          <t>shell_155</t>
        </is>
      </c>
      <c r="EJ120" t="n">
        <v>0.9455</v>
      </c>
      <c r="EK120" t="n">
        <v>110</v>
      </c>
      <c r="EP120" t="n">
        <v>62</v>
      </c>
      <c r="EQ120" t="inlineStr">
        <is>
          <t>M110 203 mm</t>
        </is>
      </c>
      <c r="ER120" t="n">
        <v>29.4</v>
      </c>
      <c r="ET120" t="n">
        <v>1.04</v>
      </c>
      <c r="EX120" t="n">
        <v>203</v>
      </c>
      <c r="EY120" t="n">
        <v>8</v>
      </c>
      <c r="EZ120" t="n">
        <v>2.5</v>
      </c>
      <c r="GB120" t="inlineStr">
        <is>
          <t>cal_203</t>
        </is>
      </c>
      <c r="GD120" t="inlineStr">
        <is>
          <t>Assets/MachineBrigade/Resources/Data/balance.json: weapons[55]</t>
        </is>
      </c>
      <c r="GE120" t="inlineStr">
        <is>
          <t>{"id":"gun_203_siege","weaponFamilyId":"cal_203","real":"M110 203 mm","family":"howitzer","size":203,"caliberMm":203,"pen":4,"projectileModel":"shell_155","roundLength":1.04,"projectileScale":0.9455,"damageType":"HighExplosive","damage":420,"cooldown":9.75,"range":62,"minRange":10,"projectileSpeed":110,"splash":8,"spread":2.5,"impactTier":"Huge","bonuses":[{"armor":"Structure","mult":2.4}],"ammo":12,"reload":29.4}</t>
        </is>
      </c>
    </row>
    <row r="121">
      <c r="A121" t="inlineStr">
        <is>
          <t>gun_behemoth</t>
        </is>
      </c>
      <c r="B121" t="inlineStr">
        <is>
          <t>2A65 152 mm (twin)</t>
        </is>
      </c>
      <c r="C121" t="inlineStr">
        <is>
          <t>cal_152_155</t>
        </is>
      </c>
      <c r="D121" t="inlineStr"/>
      <c r="E121" t="inlineStr"/>
      <c r="F121" t="inlineStr">
        <is>
          <t>howitzer</t>
        </is>
      </c>
      <c r="G121" t="n">
        <v>152</v>
      </c>
      <c r="H121" t="inlineStr"/>
      <c r="I121" t="inlineStr"/>
      <c r="J121" t="inlineStr"/>
      <c r="K121" t="inlineStr">
        <is>
          <t>HighExplosive</t>
        </is>
      </c>
      <c r="L121" t="n">
        <v>3</v>
      </c>
      <c r="M121" t="inlineStr">
        <is>
          <t>Shell</t>
        </is>
      </c>
      <c r="N121" t="n">
        <v>1</v>
      </c>
      <c r="O121" t="inlineStr">
        <is>
          <t>RIPPLE</t>
        </is>
      </c>
      <c r="P121" t="n">
        <v>2</v>
      </c>
      <c r="Q121" t="n">
        <v>0.05</v>
      </c>
      <c r="R121" t="n">
        <v>8.93</v>
      </c>
      <c r="S121" t="n">
        <v>0</v>
      </c>
      <c r="T121" t="n">
        <v>0</v>
      </c>
      <c r="U121" t="n">
        <v>0</v>
      </c>
      <c r="V121" t="n">
        <v>0</v>
      </c>
      <c r="W121" t="n">
        <v>320</v>
      </c>
      <c r="X121" t="n">
        <v>6.5</v>
      </c>
      <c r="Y121" t="n">
        <v>0</v>
      </c>
      <c r="Z121" t="n">
        <v>150</v>
      </c>
      <c r="AA121" t="n">
        <v>40</v>
      </c>
      <c r="AB121" t="n">
        <v>0</v>
      </c>
      <c r="AC121" t="inlineStr">
        <is>
          <t>Ground</t>
        </is>
      </c>
      <c r="AD121" t="inlineStr"/>
      <c r="AE121" t="n">
        <v>0.8</v>
      </c>
      <c r="AF121" t="inlineStr">
        <is>
          <t>Huge</t>
        </is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n">
        <v>152</v>
      </c>
      <c r="AO121" t="n">
        <v>0</v>
      </c>
      <c r="AP121" t="inlineStr">
        <is>
          <t>T3</t>
        </is>
      </c>
      <c r="AQ121" t="inlineStr"/>
      <c r="AR121" t="inlineStr">
        <is>
          <t>gun_behemoth_guided</t>
        </is>
      </c>
      <c r="AS121" t="inlineStr">
        <is>
          <t>xe</t>
        </is>
      </c>
      <c r="AT121" t="inlineStr">
        <is>
          <t>mara_behemoth</t>
        </is>
      </c>
      <c r="AU121" t="n">
        <v>1</v>
      </c>
      <c r="AV121" t="inlineStr">
        <is>
          <t>mara_behemoth:0</t>
        </is>
      </c>
      <c r="AW121" t="n">
        <v>0</v>
      </c>
      <c r="AX121" t="b">
        <v>0</v>
      </c>
      <c r="AY121" t="inlineStr"/>
      <c r="AZ121">
        <f>IF(AND($AX$121,$AW$121&gt;$AA$121/$Z$121),$AW$121,$AA$121/$Z$121)</f>
        <v/>
      </c>
      <c r="BA121" t="n">
        <v>0.2666666666666667</v>
      </c>
      <c r="BB121" t="n">
        <v>8</v>
      </c>
      <c r="BC121" t="n">
        <v>6</v>
      </c>
      <c r="BD121" t="inlineStr">
        <is>
          <t>gun</t>
        </is>
      </c>
      <c r="BE121" t="inlineStr">
        <is>
          <t>Wikipedia '2A65 Msta-B': 7-8 rpm</t>
        </is>
      </c>
      <c r="BG121" t="inlineStr">
        <is>
          <t>giong</t>
        </is>
      </c>
      <c r="CR121" t="n">
        <v>2</v>
      </c>
      <c r="CS121" t="n">
        <v>0.05</v>
      </c>
      <c r="CT121" t="n">
        <v>152</v>
      </c>
      <c r="DD121" t="n">
        <v>8.93</v>
      </c>
      <c r="DE121" t="n">
        <v>320</v>
      </c>
      <c r="DF121" t="inlineStr">
        <is>
          <t>HighExplosive</t>
        </is>
      </c>
      <c r="DJ121" t="inlineStr">
        <is>
          <t>howitzer</t>
        </is>
      </c>
      <c r="DS121" t="inlineStr">
        <is>
          <t>Huge</t>
        </is>
      </c>
      <c r="EB121" t="n">
        <v>3</v>
      </c>
      <c r="EK121" t="n">
        <v>150</v>
      </c>
      <c r="EP121" t="n">
        <v>40</v>
      </c>
      <c r="EQ121" t="inlineStr">
        <is>
          <t>2A65 152 mm (twin)</t>
        </is>
      </c>
      <c r="EX121" t="n">
        <v>152</v>
      </c>
      <c r="EY121" t="n">
        <v>6.5</v>
      </c>
      <c r="EZ121" t="n">
        <v>0.8</v>
      </c>
      <c r="GB121" t="inlineStr">
        <is>
          <t>cal_152_155</t>
        </is>
      </c>
      <c r="GD121" t="inlineStr">
        <is>
          <t>Assets/MachineBrigade/Resources/Data/balance.json: weapons[136]</t>
        </is>
      </c>
      <c r="GE121" t="inlineStr">
        <is>
          <t>{"id":"gun_behemoth","weaponFamilyId":"cal_152_155","real":"2A65 152 mm (twin)","family":"howitzer","size":152,"caliberMm":152,"pen":3,"damageType":"HighExplosive","damage":320,"cooldown":8.93,"range":40,"projectileSpeed":150,"splash":6.5,"spread":0.8,"impactTier":"Huge","burst":2,"burstInterval":0.05}</t>
        </is>
      </c>
    </row>
    <row r="122">
      <c r="A122" t="inlineStr">
        <is>
          <t>gun_behemoth_guided</t>
        </is>
      </c>
      <c r="B122" t="inlineStr">
        <is>
          <t>2A65 152 mm guided (twin)</t>
        </is>
      </c>
      <c r="C122" t="inlineStr">
        <is>
          <t>cal_152_155</t>
        </is>
      </c>
      <c r="D122" t="inlineStr">
        <is>
          <t>guided</t>
        </is>
      </c>
      <c r="E122" t="inlineStr"/>
      <c r="F122" t="inlineStr">
        <is>
          <t>howitzer</t>
        </is>
      </c>
      <c r="G122" t="n">
        <v>152</v>
      </c>
      <c r="H122" t="inlineStr"/>
      <c r="I122" t="inlineStr"/>
      <c r="J122" t="inlineStr"/>
      <c r="K122" t="inlineStr">
        <is>
          <t>HighExplosive</t>
        </is>
      </c>
      <c r="L122" t="n">
        <v>3</v>
      </c>
      <c r="M122" t="inlineStr">
        <is>
          <t>Shell</t>
        </is>
      </c>
      <c r="N122" t="n">
        <v>1</v>
      </c>
      <c r="O122" t="inlineStr">
        <is>
          <t>RIPPLE</t>
        </is>
      </c>
      <c r="P122" t="n">
        <v>1</v>
      </c>
      <c r="Q122" t="n">
        <v>0.05</v>
      </c>
      <c r="R122" t="n">
        <v>8.93</v>
      </c>
      <c r="S122" t="n">
        <v>0</v>
      </c>
      <c r="T122" t="n">
        <v>0</v>
      </c>
      <c r="U122" t="n">
        <v>0</v>
      </c>
      <c r="V122" t="n">
        <v>0</v>
      </c>
      <c r="W122" t="n">
        <v>320</v>
      </c>
      <c r="X122" t="n">
        <v>6.5</v>
      </c>
      <c r="Y122" t="n">
        <v>0</v>
      </c>
      <c r="Z122" t="n">
        <v>150</v>
      </c>
      <c r="AA122" t="n">
        <v>40</v>
      </c>
      <c r="AB122" t="n">
        <v>0</v>
      </c>
      <c r="AC122" t="inlineStr">
        <is>
          <t>Ground</t>
        </is>
      </c>
      <c r="AD122" t="inlineStr"/>
      <c r="AE122" t="n">
        <v>0</v>
      </c>
      <c r="AF122" t="inlineStr">
        <is>
          <t>Huge</t>
        </is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n">
        <v>152</v>
      </c>
      <c r="AO122" t="n">
        <v>0</v>
      </c>
      <c r="AP122" t="inlineStr">
        <is>
          <t>T3</t>
        </is>
      </c>
      <c r="AQ122" t="inlineStr">
        <is>
          <t>gun_behemoth</t>
        </is>
      </c>
      <c r="AR122" t="inlineStr"/>
      <c r="AS122" t="inlineStr"/>
      <c r="AT122" t="inlineStr"/>
      <c r="AU122" t="n">
        <v>0</v>
      </c>
      <c r="AV122" t="inlineStr"/>
      <c r="AW122" t="n">
        <v>0</v>
      </c>
      <c r="AX122" t="b">
        <v>0</v>
      </c>
      <c r="AY122" t="inlineStr"/>
      <c r="AZ122">
        <f>IF(AND($AX$122,$AW$122&gt;$AA$122/$Z$122),$AW$122,$AA$122/$Z$122)</f>
        <v/>
      </c>
      <c r="BA122" t="n">
        <v>0.2666666666666667</v>
      </c>
      <c r="BB122" t="n">
        <v>8</v>
      </c>
      <c r="BC122" t="n">
        <v>6</v>
      </c>
      <c r="BD122" t="inlineStr">
        <is>
          <t>gun</t>
        </is>
      </c>
      <c r="BE122" t="inlineStr">
        <is>
          <t>Wikipedia '2A65 Msta-B': 7-8 rpm</t>
        </is>
      </c>
      <c r="BG122" t="inlineStr">
        <is>
          <t>giong</t>
        </is>
      </c>
      <c r="CR122" t="n">
        <v>1</v>
      </c>
      <c r="DE122" t="n">
        <v>320</v>
      </c>
      <c r="DF122" t="inlineStr">
        <is>
          <t>HighExplosive</t>
        </is>
      </c>
      <c r="DH122" t="b">
        <v>1</v>
      </c>
      <c r="DM122" t="inlineStr">
        <is>
          <t>armour</t>
        </is>
      </c>
      <c r="DN122" t="inlineStr">
        <is>
          <t>HeShell</t>
        </is>
      </c>
      <c r="DP122" t="b">
        <v>1</v>
      </c>
      <c r="DT122" t="inlineStr">
        <is>
          <t>gun_behemoth</t>
        </is>
      </c>
      <c r="EB122" t="n">
        <v>3</v>
      </c>
      <c r="EQ122" t="inlineStr">
        <is>
          <t>2A65 152 mm guided (twin)</t>
        </is>
      </c>
      <c r="ES122" t="inlineStr">
        <is>
          <t>guided</t>
        </is>
      </c>
      <c r="EU122" t="inlineStr">
        <is>
          <t>gun_behemoth</t>
        </is>
      </c>
      <c r="EZ122" t="n">
        <v>0</v>
      </c>
      <c r="FW122" t="inlineStr">
        <is>
          <t>Ground</t>
        </is>
      </c>
      <c r="GA122" t="inlineStr"/>
      <c r="GC122" t="inlineStr">
        <is>
          <t>guided</t>
        </is>
      </c>
      <c r="GD122" t="inlineStr">
        <is>
          <t>Assets/MachineBrigade/Resources/Data/balance.json: secondRounds.rounds[33]</t>
        </is>
      </c>
      <c r="GE122" t="inlineStr">
        <is>
          <t>{"id":"gun_behemoth_guided","roundOf":"gun_behemoth","inherits":"gun_behemoth","weaponVariantId":"guided","weaponFamily":"","round":"guided","for":["armour"],"elite":true,"real":"2A65 152 mm guided (twin)","damageType":"HighExplosive","pen":3,"damage":320,"spread":0,"burst":1,"guided":true,"form":"HeShell","targets":"Ground"}</t>
        </is>
      </c>
    </row>
    <row r="123">
      <c r="A123" t="inlineStr">
        <is>
          <t>gun_launched_atgm</t>
        </is>
      </c>
      <c r="B123" t="inlineStr">
        <is>
          <t>gun-launched ATGM (9M117 class)</t>
        </is>
      </c>
      <c r="C123" t="inlineStr">
        <is>
          <t>atgm_gun_launched_atgm</t>
        </is>
      </c>
      <c r="D123" t="inlineStr"/>
      <c r="E123" t="inlineStr"/>
      <c r="F123" t="inlineStr">
        <is>
          <t>atgm</t>
        </is>
      </c>
      <c r="G123" t="inlineStr"/>
      <c r="H123" t="n">
        <v>4.5</v>
      </c>
      <c r="I123" t="inlineStr"/>
      <c r="J123" t="inlineStr"/>
      <c r="K123" t="inlineStr">
        <is>
          <t>ShapedCharge</t>
        </is>
      </c>
      <c r="L123" t="n">
        <v>3</v>
      </c>
      <c r="M123" t="inlineStr">
        <is>
          <t>Missile</t>
        </is>
      </c>
      <c r="N123" t="n">
        <v>1</v>
      </c>
      <c r="O123" t="inlineStr">
        <is>
          <t>RIPPLE</t>
        </is>
      </c>
      <c r="P123" t="n">
        <v>1</v>
      </c>
      <c r="Q123" t="n">
        <v>0.1</v>
      </c>
      <c r="R123" t="n">
        <v>20</v>
      </c>
      <c r="S123" t="n">
        <v>0</v>
      </c>
      <c r="T123" t="n">
        <v>0</v>
      </c>
      <c r="U123" t="n">
        <v>0</v>
      </c>
      <c r="V123" t="n">
        <v>0</v>
      </c>
      <c r="W123" t="n">
        <v>200</v>
      </c>
      <c r="X123" t="n">
        <v>0</v>
      </c>
      <c r="Y123" t="n">
        <v>0</v>
      </c>
      <c r="Z123" t="n">
        <v>90</v>
      </c>
      <c r="AA123" t="n">
        <v>34</v>
      </c>
      <c r="AB123" t="n">
        <v>0</v>
      </c>
      <c r="AC123" t="inlineStr">
        <is>
          <t>Ground</t>
        </is>
      </c>
      <c r="AD123" t="inlineStr"/>
      <c r="AE123" t="n">
        <v>0</v>
      </c>
      <c r="AF123" t="inlineStr">
        <is>
          <t>Medium</t>
        </is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n">
        <v>24</v>
      </c>
      <c r="AO123" t="n">
        <v>0</v>
      </c>
      <c r="AP123" t="inlineStr">
        <is>
          <t>T2</t>
        </is>
      </c>
      <c r="AQ123" t="inlineStr"/>
      <c r="AR123" t="inlineStr"/>
      <c r="AS123" t="inlineStr">
        <is>
          <t>xe</t>
        </is>
      </c>
      <c r="AT123" t="inlineStr">
        <is>
          <t>light_tank</t>
        </is>
      </c>
      <c r="AU123" t="n">
        <v>1</v>
      </c>
      <c r="AV123" t="inlineStr">
        <is>
          <t>light_tank:2</t>
        </is>
      </c>
      <c r="AW123" t="n">
        <v>0</v>
      </c>
      <c r="AX123" t="b">
        <v>0</v>
      </c>
      <c r="AY123" t="inlineStr"/>
      <c r="AZ123">
        <f>IF(AND($AX$123,$AW$123&gt;$AA$123/$Z$123),$AW$123,$AA$123/$Z$123)</f>
        <v/>
      </c>
      <c r="BA123" t="n">
        <v>0.3777777777777778</v>
      </c>
      <c r="BB123" t="n">
        <v>4</v>
      </c>
      <c r="BC123" t="n">
        <v>3</v>
      </c>
      <c r="BD123" t="inlineStr">
        <is>
          <t>atgm</t>
        </is>
      </c>
      <c r="BE123" t="inlineStr">
        <is>
          <t>the gun's own rate with a loaded missile, est. 4 rpm</t>
        </is>
      </c>
      <c r="BG123" t="inlineStr">
        <is>
          <t>doi</t>
        </is>
      </c>
      <c r="BR123" t="n">
        <v>22</v>
      </c>
      <c r="BS123" t="n">
        <v>90</v>
      </c>
      <c r="DD123" t="n">
        <v>20</v>
      </c>
      <c r="DE123" t="n">
        <v>200</v>
      </c>
      <c r="DF123" t="inlineStr">
        <is>
          <t>ShapedCharge</t>
        </is>
      </c>
      <c r="DJ123" t="inlineStr">
        <is>
          <t>atgm</t>
        </is>
      </c>
      <c r="DS123" t="inlineStr">
        <is>
          <t>Medium</t>
        </is>
      </c>
      <c r="EB123" t="n">
        <v>3</v>
      </c>
      <c r="EE123" t="b">
        <v>1</v>
      </c>
      <c r="EH123" t="inlineStr">
        <is>
          <t>Missile</t>
        </is>
      </c>
      <c r="EI123" t="inlineStr">
        <is>
          <t>atgm_kornet</t>
        </is>
      </c>
      <c r="EJ123" t="n">
        <v>0.7</v>
      </c>
      <c r="EK123" t="n">
        <v>90</v>
      </c>
      <c r="EP123" t="n">
        <v>34</v>
      </c>
      <c r="EQ123" t="inlineStr">
        <is>
          <t>gun-launched ATGM (9M117 class)</t>
        </is>
      </c>
      <c r="EX123" t="n">
        <v>24</v>
      </c>
      <c r="FZ123" t="n">
        <v>4.5</v>
      </c>
      <c r="GB123" t="inlineStr">
        <is>
          <t>atgm_gun_launched_atgm</t>
        </is>
      </c>
      <c r="GD123" t="inlineStr">
        <is>
          <t>Assets/MachineBrigade/Resources/Data/balance.json: weapons[14]</t>
        </is>
      </c>
      <c r="GE123" t="inlineStr">
        <is>
          <t>{"id":"gun_launched_atgm","weaponFamilyId":"atgm_gun_launched_atgm","real":"gun-launched ATGM (9M117 class)","family":"atgm","size":24,"warheadKg":4.5,"pen":3,"piercing":true,"projectileModel":"atgm_kornet","projectileScale":0.7,"damageType":"ShapedCharge","damage":200,"cooldown":20,"range":34,"projectileSpeed":90,"impactTier":"Medium","projectile":"Missile"}</t>
        </is>
      </c>
    </row>
    <row r="124">
      <c r="A124" t="inlineStr">
        <is>
          <t>gun_pit_105</t>
        </is>
      </c>
      <c r="B124" t="inlineStr">
        <is>
          <t>Rh-120 L/44 120 mm (dug in)</t>
        </is>
      </c>
      <c r="C124" t="inlineStr">
        <is>
          <t>cal_120_ap</t>
        </is>
      </c>
      <c r="D124" t="inlineStr"/>
      <c r="E124" t="inlineStr">
        <is>
          <t>rh_120_l_44_120_mm</t>
        </is>
      </c>
      <c r="F124" t="inlineStr">
        <is>
          <t>tank_gun</t>
        </is>
      </c>
      <c r="G124" t="n">
        <v>120</v>
      </c>
      <c r="H124" t="inlineStr"/>
      <c r="I124" t="inlineStr"/>
      <c r="J124" t="inlineStr"/>
      <c r="K124" t="inlineStr">
        <is>
          <t>Kinetic</t>
        </is>
      </c>
      <c r="L124" t="n">
        <v>4</v>
      </c>
      <c r="M124" t="inlineStr">
        <is>
          <t>Shell</t>
        </is>
      </c>
      <c r="N124" t="n">
        <v>1</v>
      </c>
      <c r="O124" t="inlineStr">
        <is>
          <t>RIPPLE</t>
        </is>
      </c>
      <c r="P124" t="n">
        <v>1</v>
      </c>
      <c r="Q124" t="n">
        <v>0.1</v>
      </c>
      <c r="R124" t="n">
        <v>4.63</v>
      </c>
      <c r="S124" t="n">
        <v>0</v>
      </c>
      <c r="T124" t="n">
        <v>0</v>
      </c>
      <c r="U124" t="n">
        <v>0</v>
      </c>
      <c r="V124" t="n">
        <v>0</v>
      </c>
      <c r="W124" t="n">
        <v>240</v>
      </c>
      <c r="X124" t="n">
        <v>1.5</v>
      </c>
      <c r="Y124" t="n">
        <v>0</v>
      </c>
      <c r="Z124" t="n">
        <v>170</v>
      </c>
      <c r="AA124" t="n">
        <v>36</v>
      </c>
      <c r="AB124" t="n">
        <v>0</v>
      </c>
      <c r="AC124" t="inlineStr">
        <is>
          <t>Ground</t>
        </is>
      </c>
      <c r="AD124" t="inlineStr"/>
      <c r="AE124" t="n">
        <v>0.4</v>
      </c>
      <c r="AF124" t="inlineStr">
        <is>
          <t>Medium</t>
        </is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n">
        <v>120</v>
      </c>
      <c r="AO124" t="n">
        <v>0</v>
      </c>
      <c r="AP124" t="inlineStr">
        <is>
          <t>T3</t>
        </is>
      </c>
      <c r="AQ124" t="inlineStr"/>
      <c r="AR124" t="inlineStr"/>
      <c r="AS124" t="inlineStr"/>
      <c r="AT124" t="inlineStr"/>
      <c r="AU124" t="n">
        <v>0</v>
      </c>
      <c r="AV124" t="inlineStr"/>
      <c r="AW124" t="n">
        <v>0</v>
      </c>
      <c r="AX124" t="b">
        <v>0</v>
      </c>
      <c r="AY124" t="inlineStr"/>
      <c r="AZ124">
        <f>IF(AND($AX$124,$AW$124&gt;$AA$124/$Z$124),$AW$124,$AA$124/$Z$124)</f>
        <v/>
      </c>
      <c r="BA124" t="n">
        <v>0.2117647058823529</v>
      </c>
      <c r="BB124" t="n">
        <v>8</v>
      </c>
      <c r="BC124" t="n">
        <v>6</v>
      </c>
      <c r="BD124" t="inlineStr">
        <is>
          <t>gun</t>
        </is>
      </c>
      <c r="BE124" t="inlineStr">
        <is>
          <t>the sheet's 'Ngoài đời': Rh-120 6-8 rpm with a loader (Wikipedia 'Rheinmetall 120 mm gun')</t>
        </is>
      </c>
      <c r="BG124" t="inlineStr">
        <is>
          <t>giong</t>
        </is>
      </c>
      <c r="CT124" t="n">
        <v>120</v>
      </c>
      <c r="DD124" t="n">
        <v>4.63</v>
      </c>
      <c r="DE124" t="n">
        <v>240</v>
      </c>
      <c r="DF124" t="inlineStr">
        <is>
          <t>Kinetic</t>
        </is>
      </c>
      <c r="DJ124" t="inlineStr">
        <is>
          <t>tank_gun</t>
        </is>
      </c>
      <c r="DS124" t="inlineStr">
        <is>
          <t>Medium</t>
        </is>
      </c>
      <c r="EB124" t="n">
        <v>4</v>
      </c>
      <c r="EE124" t="b">
        <v>1</v>
      </c>
      <c r="EP124" t="n">
        <v>36</v>
      </c>
      <c r="EQ124" t="inlineStr">
        <is>
          <t>Rh-120 L/44 120 mm (dug in)</t>
        </is>
      </c>
      <c r="EX124" t="n">
        <v>120</v>
      </c>
      <c r="EZ124" t="n">
        <v>0.4</v>
      </c>
      <c r="GA124" t="inlineStr">
        <is>
          <t>rh_120_l_44_120_mm</t>
        </is>
      </c>
      <c r="GB124" t="inlineStr">
        <is>
          <t>cal_120_ap</t>
        </is>
      </c>
      <c r="GD124" t="inlineStr">
        <is>
          <t>Assets/MachineBrigade/Resources/Data/balance.json: weapons[108]</t>
        </is>
      </c>
      <c r="GE124" t="inlineStr">
        <is>
          <t>{"id":"gun_pit_105","weaponFamilyId":"cal_120_ap","weaponFamily":"rh_120_l_44_120_mm","real":"Rh-120 L/44 120 mm (dug in)","family":"tank_gun","size":120,"caliberMm":120,"pen":4,"piercing":true,"damageType":"Kinetic","damage":240,"cooldown":4.63,"range":36,"spread":0.4,"impactTier":"Medium"}</t>
        </is>
      </c>
    </row>
    <row r="125">
      <c r="A125" t="inlineStr">
        <is>
          <t>gunship_25mm</t>
        </is>
      </c>
      <c r="B125" t="inlineStr">
        <is>
          <t>GAU-12 Equalizer 25 mm</t>
        </is>
      </c>
      <c r="C125" t="inlineStr">
        <is>
          <t>cal_25</t>
        </is>
      </c>
      <c r="D125" t="inlineStr"/>
      <c r="E125" t="inlineStr"/>
      <c r="F125" t="inlineStr">
        <is>
          <t>autocannon</t>
        </is>
      </c>
      <c r="G125" t="n">
        <v>25</v>
      </c>
      <c r="H125" t="inlineStr"/>
      <c r="I125" t="inlineStr"/>
      <c r="J125" t="inlineStr"/>
      <c r="K125" t="inlineStr">
        <is>
          <t>Kinetic</t>
        </is>
      </c>
      <c r="L125" t="n">
        <v>2</v>
      </c>
      <c r="M125" t="inlineStr">
        <is>
          <t>Bullet</t>
        </is>
      </c>
      <c r="N125" t="n">
        <v>1</v>
      </c>
      <c r="O125" t="inlineStr">
        <is>
          <t>RIPPLE</t>
        </is>
      </c>
      <c r="P125" t="n">
        <v>1</v>
      </c>
      <c r="Q125" t="n">
        <v>0.1</v>
      </c>
      <c r="R125" t="n">
        <v>0.0911</v>
      </c>
      <c r="S125" t="n">
        <v>56</v>
      </c>
      <c r="T125" t="n">
        <v>1</v>
      </c>
      <c r="U125" t="n">
        <v>0</v>
      </c>
      <c r="V125" t="n">
        <v>0</v>
      </c>
      <c r="W125" t="n">
        <v>17</v>
      </c>
      <c r="X125" t="n">
        <v>0</v>
      </c>
      <c r="Y125" t="n">
        <v>0</v>
      </c>
      <c r="Z125" t="n">
        <v>280</v>
      </c>
      <c r="AA125" t="n">
        <v>50</v>
      </c>
      <c r="AB125" t="n">
        <v>0</v>
      </c>
      <c r="AC125" t="inlineStr">
        <is>
          <t>Ground</t>
        </is>
      </c>
      <c r="AD125" t="inlineStr"/>
      <c r="AE125" t="n">
        <v>2.2</v>
      </c>
      <c r="AF125" t="inlineStr">
        <is>
          <t>Small</t>
        </is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n">
        <v>25</v>
      </c>
      <c r="AO125" t="n">
        <v>0</v>
      </c>
      <c r="AP125" t="inlineStr">
        <is>
          <t>T1</t>
        </is>
      </c>
      <c r="AQ125" t="inlineStr"/>
      <c r="AR125" t="inlineStr">
        <is>
          <t>gunship_25mm_flak</t>
        </is>
      </c>
      <c r="AS125" t="inlineStr">
        <is>
          <t>xe</t>
        </is>
      </c>
      <c r="AT125" t="inlineStr">
        <is>
          <t>sky_gunship</t>
        </is>
      </c>
      <c r="AU125" t="n">
        <v>1</v>
      </c>
      <c r="AV125" t="inlineStr">
        <is>
          <t>sky_gunship:2</t>
        </is>
      </c>
      <c r="AW125" t="n">
        <v>0</v>
      </c>
      <c r="AX125" t="b">
        <v>0</v>
      </c>
      <c r="AY125" t="inlineStr"/>
      <c r="AZ125">
        <f>IF(AND($AX$125,$AW$125&gt;$AA$125/$Z$125),$AW$125,$AA$125/$Z$125)</f>
        <v/>
      </c>
      <c r="BA125" t="n">
        <v>0.1785714285714286</v>
      </c>
      <c r="BB125" t="n">
        <v>4200</v>
      </c>
      <c r="BC125" t="inlineStr"/>
      <c r="BD125" t="inlineStr">
        <is>
          <t>ac</t>
        </is>
      </c>
      <c r="BE125" t="inlineStr">
        <is>
          <t>Wikipedia 'GAU-12 Equalizer': 3,600-4,200 rpm (1,800 on the AC-130U)</t>
        </is>
      </c>
      <c r="BG125" t="inlineStr">
        <is>
          <t>giong</t>
        </is>
      </c>
      <c r="CT125" t="n">
        <v>25</v>
      </c>
      <c r="CW125" t="n">
        <v>56</v>
      </c>
      <c r="CX125" t="n">
        <v>1</v>
      </c>
      <c r="DD125" t="n">
        <v>0.0911</v>
      </c>
      <c r="DE125" t="n">
        <v>17</v>
      </c>
      <c r="DF125" t="inlineStr">
        <is>
          <t>Kinetic</t>
        </is>
      </c>
      <c r="DJ125" t="inlineStr">
        <is>
          <t>autocannon</t>
        </is>
      </c>
      <c r="DS125" t="inlineStr">
        <is>
          <t>Small</t>
        </is>
      </c>
      <c r="EB125" t="n">
        <v>2</v>
      </c>
      <c r="EH125" t="inlineStr">
        <is>
          <t>Bullet</t>
        </is>
      </c>
      <c r="EK125" t="n">
        <v>280</v>
      </c>
      <c r="EP125" t="n">
        <v>50</v>
      </c>
      <c r="EQ125" t="inlineStr">
        <is>
          <t>GAU-12 Equalizer 25 mm</t>
        </is>
      </c>
      <c r="EV125" t="n">
        <v>19</v>
      </c>
      <c r="EX125" t="n">
        <v>25</v>
      </c>
      <c r="EZ125" t="n">
        <v>2.2</v>
      </c>
      <c r="GB125" t="inlineStr">
        <is>
          <t>cal_25</t>
        </is>
      </c>
      <c r="GD125" t="inlineStr">
        <is>
          <t>Assets/MachineBrigade/Resources/Data/balance.json: weapons[53]</t>
        </is>
      </c>
      <c r="GE125" t="inlineStr">
        <is>
          <t>{"id":"gunship_25mm","weaponFamilyId":"cal_25","real":"GAU-12 Equalizer 25 mm","family":"autocannon","size":25,"caliberMm":25,"pen":2,"damageType":"Kinetic","damage":17,"cooldown":0.0911,"range":50,"projectileSpeed":280,"spread":2.2,"impactTier":"Small","projectile":"Bullet","clip":56,"clipReload":1,"roundWeight":19}</t>
        </is>
      </c>
    </row>
    <row r="126">
      <c r="A126" t="inlineStr">
        <is>
          <t>gunship_25mm_flak</t>
        </is>
      </c>
      <c r="B126" t="inlineStr">
        <is>
          <t>GAU-12 Equalizer 25 mm air-burst</t>
        </is>
      </c>
      <c r="C126" t="inlineStr">
        <is>
          <t>cal_25</t>
        </is>
      </c>
      <c r="D126" t="inlineStr">
        <is>
          <t>flak</t>
        </is>
      </c>
      <c r="E126" t="inlineStr"/>
      <c r="F126" t="inlineStr">
        <is>
          <t>autocannon</t>
        </is>
      </c>
      <c r="G126" t="n">
        <v>25</v>
      </c>
      <c r="H126" t="inlineStr"/>
      <c r="I126" t="inlineStr"/>
      <c r="J126" t="inlineStr"/>
      <c r="K126" t="inlineStr">
        <is>
          <t>Fragmentation</t>
        </is>
      </c>
      <c r="L126" t="n">
        <v>1</v>
      </c>
      <c r="M126" t="inlineStr">
        <is>
          <t>Bullet</t>
        </is>
      </c>
      <c r="N126" t="n">
        <v>1</v>
      </c>
      <c r="O126" t="inlineStr">
        <is>
          <t>RIPPLE</t>
        </is>
      </c>
      <c r="P126" t="n">
        <v>1</v>
      </c>
      <c r="Q126" t="n">
        <v>0.1</v>
      </c>
      <c r="R126" t="n">
        <v>0.0911</v>
      </c>
      <c r="S126" t="n">
        <v>56</v>
      </c>
      <c r="T126" t="n">
        <v>1</v>
      </c>
      <c r="U126" t="n">
        <v>0</v>
      </c>
      <c r="V126" t="n">
        <v>0</v>
      </c>
      <c r="W126" t="n">
        <v>17</v>
      </c>
      <c r="X126" t="n">
        <v>2</v>
      </c>
      <c r="Y126" t="n">
        <v>0</v>
      </c>
      <c r="Z126" t="n">
        <v>280</v>
      </c>
      <c r="AA126" t="n">
        <v>50</v>
      </c>
      <c r="AB126" t="n">
        <v>0</v>
      </c>
      <c r="AC126" t="inlineStr">
        <is>
          <t>Air</t>
        </is>
      </c>
      <c r="AD126" t="inlineStr"/>
      <c r="AE126" t="n">
        <v>2.2</v>
      </c>
      <c r="AF126" t="inlineStr">
        <is>
          <t>Small</t>
        </is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n">
        <v>25</v>
      </c>
      <c r="AO126" t="n">
        <v>0</v>
      </c>
      <c r="AP126" t="inlineStr">
        <is>
          <t>T1</t>
        </is>
      </c>
      <c r="AQ126" t="inlineStr">
        <is>
          <t>gunship_25mm</t>
        </is>
      </c>
      <c r="AR126" t="inlineStr"/>
      <c r="AS126" t="inlineStr"/>
      <c r="AT126" t="inlineStr"/>
      <c r="AU126" t="n">
        <v>0</v>
      </c>
      <c r="AV126" t="inlineStr"/>
      <c r="AW126" t="n">
        <v>0</v>
      </c>
      <c r="AX126" t="b">
        <v>0</v>
      </c>
      <c r="AY126" t="inlineStr"/>
      <c r="AZ126">
        <f>IF(AND($AX$126,$AW$126&gt;$AA$126/$Z$126),$AW$126,$AA$126/$Z$126)</f>
        <v/>
      </c>
      <c r="BA126" t="n">
        <v>0.1785714285714286</v>
      </c>
      <c r="BB126" t="n">
        <v>4200</v>
      </c>
      <c r="BC126" t="inlineStr"/>
      <c r="BD126" t="inlineStr">
        <is>
          <t>ac</t>
        </is>
      </c>
      <c r="BE126" t="inlineStr">
        <is>
          <t>Wikipedia 'GAU-12 Equalizer': 3,600-4,200 rpm (1,800 on the AC-130U)</t>
        </is>
      </c>
      <c r="BG126" t="inlineStr">
        <is>
          <t>giong</t>
        </is>
      </c>
      <c r="DE126" t="n">
        <v>17</v>
      </c>
      <c r="DF126" t="inlineStr">
        <is>
          <t>Fragmentation</t>
        </is>
      </c>
      <c r="DM126" t="inlineStr">
        <is>
          <t>air</t>
        </is>
      </c>
      <c r="DN126" t="inlineStr">
        <is>
          <t>Airburst</t>
        </is>
      </c>
      <c r="DT126" t="inlineStr">
        <is>
          <t>gunship_25mm</t>
        </is>
      </c>
      <c r="EB126" t="n">
        <v>1</v>
      </c>
      <c r="EE126" t="b">
        <v>0</v>
      </c>
      <c r="EQ126" t="inlineStr">
        <is>
          <t>GAU-12 Equalizer 25 mm air-burst</t>
        </is>
      </c>
      <c r="ES126" t="inlineStr">
        <is>
          <t>flak</t>
        </is>
      </c>
      <c r="EU126" t="inlineStr">
        <is>
          <t>gunship_25mm</t>
        </is>
      </c>
      <c r="EY126" t="n">
        <v>2</v>
      </c>
      <c r="FW126" t="inlineStr">
        <is>
          <t>Air</t>
        </is>
      </c>
      <c r="GA126" t="inlineStr"/>
      <c r="GC126" t="inlineStr">
        <is>
          <t>flak</t>
        </is>
      </c>
      <c r="GD126" t="inlineStr">
        <is>
          <t>Assets/MachineBrigade/Resources/Data/balance.json: secondRounds.rounds[35]</t>
        </is>
      </c>
      <c r="GE126" t="inlineStr">
        <is>
          <t>{"id":"gunship_25mm_flak","roundOf":"gunship_25mm","inherits":"gunship_25mm","weaponVariantId":"flak","weaponFamily":"","round":"flak","for":["air"],"real":"GAU-12 Equalizer 25 mm air-burst","damageType":"Fragmentation","pen":1,"damage":17,"splash":2,"form":"Airburst","piercing":false,"targets":"Air"}</t>
        </is>
      </c>
    </row>
    <row r="127">
      <c r="A127" t="inlineStr">
        <is>
          <t>gunship_40mm</t>
        </is>
      </c>
      <c r="B127" t="inlineStr">
        <is>
          <t>Bofors L/60 40 mm</t>
        </is>
      </c>
      <c r="C127" t="inlineStr">
        <is>
          <t>cal_40</t>
        </is>
      </c>
      <c r="D127" t="inlineStr">
        <is>
          <t>he</t>
        </is>
      </c>
      <c r="E127" t="inlineStr"/>
      <c r="F127" t="inlineStr">
        <is>
          <t>autocannon</t>
        </is>
      </c>
      <c r="G127" t="n">
        <v>40</v>
      </c>
      <c r="H127" t="inlineStr"/>
      <c r="I127" t="inlineStr"/>
      <c r="J127" t="inlineStr"/>
      <c r="K127" t="inlineStr">
        <is>
          <t>HighExplosive</t>
        </is>
      </c>
      <c r="L127" t="n">
        <v>2</v>
      </c>
      <c r="M127" t="inlineStr">
        <is>
          <t>Shell</t>
        </is>
      </c>
      <c r="N127" t="n">
        <v>1</v>
      </c>
      <c r="O127" t="inlineStr">
        <is>
          <t>RIPPLE</t>
        </is>
      </c>
      <c r="P127" t="n">
        <v>1</v>
      </c>
      <c r="Q127" t="n">
        <v>0.1</v>
      </c>
      <c r="R127" t="n">
        <v>0.1783</v>
      </c>
      <c r="S127" t="n">
        <v>29</v>
      </c>
      <c r="T127" t="n">
        <v>1</v>
      </c>
      <c r="U127" t="n">
        <v>0</v>
      </c>
      <c r="V127" t="n">
        <v>0</v>
      </c>
      <c r="W127" t="n">
        <v>30</v>
      </c>
      <c r="X127" t="n">
        <v>3</v>
      </c>
      <c r="Y127" t="n">
        <v>0</v>
      </c>
      <c r="Z127" t="n">
        <v>200</v>
      </c>
      <c r="AA127" t="n">
        <v>55</v>
      </c>
      <c r="AB127" t="n">
        <v>0</v>
      </c>
      <c r="AC127" t="inlineStr">
        <is>
          <t>Ground</t>
        </is>
      </c>
      <c r="AD127" t="inlineStr"/>
      <c r="AE127" t="n">
        <v>2.5</v>
      </c>
      <c r="AF127" t="inlineStr">
        <is>
          <t>Medium</t>
        </is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n">
        <v>40</v>
      </c>
      <c r="AO127" t="n">
        <v>0</v>
      </c>
      <c r="AP127" t="inlineStr">
        <is>
          <t>T1</t>
        </is>
      </c>
      <c r="AQ127" t="inlineStr"/>
      <c r="AR127" t="inlineStr">
        <is>
          <t>gunship_40mm_ap;gunship_40mm_flak</t>
        </is>
      </c>
      <c r="AS127" t="inlineStr">
        <is>
          <t>xe</t>
        </is>
      </c>
      <c r="AT127" t="inlineStr">
        <is>
          <t>sky_gunship</t>
        </is>
      </c>
      <c r="AU127" t="n">
        <v>1</v>
      </c>
      <c r="AV127" t="inlineStr">
        <is>
          <t>sky_gunship:1</t>
        </is>
      </c>
      <c r="AW127" t="n">
        <v>0</v>
      </c>
      <c r="AX127" t="b">
        <v>0</v>
      </c>
      <c r="AY127" t="inlineStr"/>
      <c r="AZ127">
        <f>IF(AND($AX$127,$AW$127&gt;$AA$127/$Z$127),$AW$127,$AA$127/$Z$127)</f>
        <v/>
      </c>
      <c r="BA127" t="n">
        <v>0.275</v>
      </c>
      <c r="BB127" t="n">
        <v>120</v>
      </c>
      <c r="BC127" t="n">
        <v>80</v>
      </c>
      <c r="BD127" t="inlineStr">
        <is>
          <t>aa</t>
        </is>
      </c>
      <c r="BE127" t="inlineStr">
        <is>
          <t>Wikipedia 'Bofors 40 mm L/60': 120 rpm</t>
        </is>
      </c>
      <c r="BG127" t="inlineStr">
        <is>
          <t>giong</t>
        </is>
      </c>
      <c r="CT127" t="n">
        <v>40</v>
      </c>
      <c r="CW127" t="n">
        <v>29</v>
      </c>
      <c r="CX127" t="n">
        <v>1</v>
      </c>
      <c r="DD127" t="n">
        <v>0.1783</v>
      </c>
      <c r="DE127" t="n">
        <v>30</v>
      </c>
      <c r="DF127" t="inlineStr">
        <is>
          <t>HighExplosive</t>
        </is>
      </c>
      <c r="DJ127" t="inlineStr">
        <is>
          <t>autocannon</t>
        </is>
      </c>
      <c r="DN127" t="inlineStr">
        <is>
          <t>BeltedAutocannon</t>
        </is>
      </c>
      <c r="DS127" t="inlineStr">
        <is>
          <t>Medium</t>
        </is>
      </c>
      <c r="EB127" t="n">
        <v>2</v>
      </c>
      <c r="EK127" t="n">
        <v>200</v>
      </c>
      <c r="EP127" t="n">
        <v>55</v>
      </c>
      <c r="EQ127" t="inlineStr">
        <is>
          <t>Bofors L/60 40 mm</t>
        </is>
      </c>
      <c r="EV127" t="n">
        <v>79</v>
      </c>
      <c r="EX127" t="n">
        <v>40</v>
      </c>
      <c r="EY127" t="n">
        <v>3</v>
      </c>
      <c r="EZ127" t="n">
        <v>2.5</v>
      </c>
      <c r="GB127" t="inlineStr">
        <is>
          <t>cal_40</t>
        </is>
      </c>
      <c r="GC127" t="inlineStr">
        <is>
          <t>he</t>
        </is>
      </c>
      <c r="GD127" t="inlineStr">
        <is>
          <t>Assets/MachineBrigade/Resources/Data/balance.json: weapons[52]</t>
        </is>
      </c>
      <c r="GE127" t="inlineStr">
        <is>
          <t>{"id":"gunship_40mm","weaponFamilyId":"cal_40","weaponVariantId":"he","real":"Bofors L/60 40 mm","family":"autocannon","size":40,"caliberMm":40,"pen":2,"form":"BeltedAutocannon","damageType":"HighExplosive","damage":30,"cooldown":0.1783,"range":55,"projectileSpeed":200,"splash":3,"spread":2.5,"impactTier":"Medium","roundWeight":79,"clip":29,"clipReload":1}</t>
        </is>
      </c>
    </row>
    <row r="128">
      <c r="A128" t="inlineStr">
        <is>
          <t>gunship_40mm_ap</t>
        </is>
      </c>
      <c r="B128" t="inlineStr">
        <is>
          <t>Bofors L/60 40 mm AP</t>
        </is>
      </c>
      <c r="C128" t="inlineStr">
        <is>
          <t>cal_40</t>
        </is>
      </c>
      <c r="D128" t="inlineStr"/>
      <c r="E128" t="inlineStr"/>
      <c r="F128" t="inlineStr">
        <is>
          <t>autocannon</t>
        </is>
      </c>
      <c r="G128" t="n">
        <v>40</v>
      </c>
      <c r="H128" t="inlineStr"/>
      <c r="I128" t="inlineStr"/>
      <c r="J128" t="inlineStr"/>
      <c r="K128" t="inlineStr">
        <is>
          <t>Kinetic</t>
        </is>
      </c>
      <c r="L128" t="n">
        <v>2</v>
      </c>
      <c r="M128" t="inlineStr">
        <is>
          <t>Shell</t>
        </is>
      </c>
      <c r="N128" t="n">
        <v>1</v>
      </c>
      <c r="O128" t="inlineStr">
        <is>
          <t>RIPPLE</t>
        </is>
      </c>
      <c r="P128" t="n">
        <v>1</v>
      </c>
      <c r="Q128" t="n">
        <v>0.1</v>
      </c>
      <c r="R128" t="n">
        <v>0.1783</v>
      </c>
      <c r="S128" t="n">
        <v>29</v>
      </c>
      <c r="T128" t="n">
        <v>1</v>
      </c>
      <c r="U128" t="n">
        <v>0</v>
      </c>
      <c r="V128" t="n">
        <v>0</v>
      </c>
      <c r="W128" t="n">
        <v>30</v>
      </c>
      <c r="X128" t="n">
        <v>0</v>
      </c>
      <c r="Y128" t="n">
        <v>0</v>
      </c>
      <c r="Z128" t="n">
        <v>200</v>
      </c>
      <c r="AA128" t="n">
        <v>55</v>
      </c>
      <c r="AB128" t="n">
        <v>0</v>
      </c>
      <c r="AC128" t="inlineStr">
        <is>
          <t>Ground</t>
        </is>
      </c>
      <c r="AD128" t="inlineStr"/>
      <c r="AE128" t="n">
        <v>2.5</v>
      </c>
      <c r="AF128" t="inlineStr">
        <is>
          <t>Medium</t>
        </is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n">
        <v>40</v>
      </c>
      <c r="AO128" t="n">
        <v>0</v>
      </c>
      <c r="AP128" t="inlineStr">
        <is>
          <t>T1</t>
        </is>
      </c>
      <c r="AQ128" t="inlineStr">
        <is>
          <t>gunship_40mm</t>
        </is>
      </c>
      <c r="AR128" t="inlineStr"/>
      <c r="AS128" t="inlineStr"/>
      <c r="AT128" t="inlineStr"/>
      <c r="AU128" t="n">
        <v>0</v>
      </c>
      <c r="AV128" t="inlineStr"/>
      <c r="AW128" t="n">
        <v>0</v>
      </c>
      <c r="AX128" t="b">
        <v>0</v>
      </c>
      <c r="AY128" t="inlineStr"/>
      <c r="AZ128">
        <f>IF(AND($AX$128,$AW$128&gt;$AA$128/$Z$128),$AW$128,$AA$128/$Z$128)</f>
        <v/>
      </c>
      <c r="BA128" t="n">
        <v>0.275</v>
      </c>
      <c r="BB128" t="n">
        <v>120</v>
      </c>
      <c r="BC128" t="n">
        <v>80</v>
      </c>
      <c r="BD128" t="inlineStr">
        <is>
          <t>aa</t>
        </is>
      </c>
      <c r="BE128" t="inlineStr">
        <is>
          <t>Wikipedia 'Bofors 40 mm L/60': 120 rpm</t>
        </is>
      </c>
      <c r="BG128" t="inlineStr">
        <is>
          <t>giong</t>
        </is>
      </c>
      <c r="DE128" t="n">
        <v>30</v>
      </c>
      <c r="DF128" t="inlineStr">
        <is>
          <t>Kinetic</t>
        </is>
      </c>
      <c r="DM128" t="inlineStr">
        <is>
          <t>armour</t>
        </is>
      </c>
      <c r="DN128" t="inlineStr">
        <is>
          <t>BeltedAutocannon</t>
        </is>
      </c>
      <c r="DT128" t="inlineStr">
        <is>
          <t>gunship_40mm</t>
        </is>
      </c>
      <c r="EB128" t="n">
        <v>2</v>
      </c>
      <c r="EE128" t="b">
        <v>1</v>
      </c>
      <c r="EQ128" t="inlineStr">
        <is>
          <t>Bofors L/60 40 mm AP</t>
        </is>
      </c>
      <c r="ES128" t="inlineStr">
        <is>
          <t>ap</t>
        </is>
      </c>
      <c r="EU128" t="inlineStr">
        <is>
          <t>gunship_40mm</t>
        </is>
      </c>
      <c r="EY128" t="n">
        <v>0</v>
      </c>
      <c r="FW128" t="inlineStr">
        <is>
          <t>Ground</t>
        </is>
      </c>
      <c r="GA128" t="inlineStr"/>
      <c r="GC128" t="inlineStr"/>
      <c r="GD128" t="inlineStr">
        <is>
          <t>Assets/MachineBrigade/Resources/Data/balance.json: secondRounds.rounds[36]</t>
        </is>
      </c>
      <c r="GE128" t="inlineStr">
        <is>
          <t>{"id":"gunship_40mm_ap","roundOf":"gunship_40mm","inherits":"gunship_40mm","weaponVariantId":"","weaponFamily":"","round":"ap","for":["armour"],"real":"Bofors L/60 40 mm AP","damageType":"Kinetic","pen":2,"damage":30,"splash":0,"form":"BeltedAutocannon","piercing":true,"targets":"Ground"}</t>
        </is>
      </c>
    </row>
    <row r="129">
      <c r="A129" t="inlineStr">
        <is>
          <t>gunship_40mm_flak</t>
        </is>
      </c>
      <c r="B129" t="inlineStr">
        <is>
          <t>Bofors L/60 40 mm air-burst</t>
        </is>
      </c>
      <c r="C129" t="inlineStr">
        <is>
          <t>cal_40</t>
        </is>
      </c>
      <c r="D129" t="inlineStr">
        <is>
          <t>flak</t>
        </is>
      </c>
      <c r="E129" t="inlineStr"/>
      <c r="F129" t="inlineStr">
        <is>
          <t>autocannon</t>
        </is>
      </c>
      <c r="G129" t="n">
        <v>40</v>
      </c>
      <c r="H129" t="inlineStr"/>
      <c r="I129" t="inlineStr"/>
      <c r="J129" t="inlineStr"/>
      <c r="K129" t="inlineStr">
        <is>
          <t>Fragmentation</t>
        </is>
      </c>
      <c r="L129" t="n">
        <v>2</v>
      </c>
      <c r="M129" t="inlineStr">
        <is>
          <t>Shell</t>
        </is>
      </c>
      <c r="N129" t="n">
        <v>1</v>
      </c>
      <c r="O129" t="inlineStr">
        <is>
          <t>RIPPLE</t>
        </is>
      </c>
      <c r="P129" t="n">
        <v>1</v>
      </c>
      <c r="Q129" t="n">
        <v>0.1</v>
      </c>
      <c r="R129" t="n">
        <v>0.1783</v>
      </c>
      <c r="S129" t="n">
        <v>29</v>
      </c>
      <c r="T129" t="n">
        <v>1</v>
      </c>
      <c r="U129" t="n">
        <v>0</v>
      </c>
      <c r="V129" t="n">
        <v>0</v>
      </c>
      <c r="W129" t="n">
        <v>30</v>
      </c>
      <c r="X129" t="n">
        <v>3.5</v>
      </c>
      <c r="Y129" t="n">
        <v>0</v>
      </c>
      <c r="Z129" t="n">
        <v>200</v>
      </c>
      <c r="AA129" t="n">
        <v>55</v>
      </c>
      <c r="AB129" t="n">
        <v>0</v>
      </c>
      <c r="AC129" t="inlineStr">
        <is>
          <t>Air</t>
        </is>
      </c>
      <c r="AD129" t="inlineStr"/>
      <c r="AE129" t="n">
        <v>2.5</v>
      </c>
      <c r="AF129" t="inlineStr">
        <is>
          <t>Medium</t>
        </is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n">
        <v>40</v>
      </c>
      <c r="AO129" t="n">
        <v>0</v>
      </c>
      <c r="AP129" t="inlineStr">
        <is>
          <t>T1</t>
        </is>
      </c>
      <c r="AQ129" t="inlineStr">
        <is>
          <t>gunship_40mm</t>
        </is>
      </c>
      <c r="AR129" t="inlineStr"/>
      <c r="AS129" t="inlineStr"/>
      <c r="AT129" t="inlineStr"/>
      <c r="AU129" t="n">
        <v>0</v>
      </c>
      <c r="AV129" t="inlineStr"/>
      <c r="AW129" t="n">
        <v>0</v>
      </c>
      <c r="AX129" t="b">
        <v>0</v>
      </c>
      <c r="AY129" t="inlineStr"/>
      <c r="AZ129">
        <f>IF(AND($AX$129,$AW$129&gt;$AA$129/$Z$129),$AW$129,$AA$129/$Z$129)</f>
        <v/>
      </c>
      <c r="BA129" t="n">
        <v>0.275</v>
      </c>
      <c r="BB129" t="n">
        <v>120</v>
      </c>
      <c r="BC129" t="n">
        <v>80</v>
      </c>
      <c r="BD129" t="inlineStr">
        <is>
          <t>aa</t>
        </is>
      </c>
      <c r="BE129" t="inlineStr">
        <is>
          <t>Wikipedia 'Bofors 40 mm L/60': 120 rpm</t>
        </is>
      </c>
      <c r="BG129" t="inlineStr">
        <is>
          <t>giong</t>
        </is>
      </c>
      <c r="DE129" t="n">
        <v>30</v>
      </c>
      <c r="DF129" t="inlineStr">
        <is>
          <t>Fragmentation</t>
        </is>
      </c>
      <c r="DM129" t="inlineStr">
        <is>
          <t>air</t>
        </is>
      </c>
      <c r="DN129" t="inlineStr">
        <is>
          <t>Airburst</t>
        </is>
      </c>
      <c r="DT129" t="inlineStr">
        <is>
          <t>gunship_40mm</t>
        </is>
      </c>
      <c r="EB129" t="n">
        <v>2</v>
      </c>
      <c r="EE129" t="b">
        <v>0</v>
      </c>
      <c r="EQ129" t="inlineStr">
        <is>
          <t>Bofors L/60 40 mm air-burst</t>
        </is>
      </c>
      <c r="ES129" t="inlineStr">
        <is>
          <t>flak</t>
        </is>
      </c>
      <c r="EU129" t="inlineStr">
        <is>
          <t>gunship_40mm</t>
        </is>
      </c>
      <c r="EY129" t="n">
        <v>3.5</v>
      </c>
      <c r="FW129" t="inlineStr">
        <is>
          <t>Air</t>
        </is>
      </c>
      <c r="GA129" t="inlineStr"/>
      <c r="GC129" t="inlineStr">
        <is>
          <t>flak</t>
        </is>
      </c>
      <c r="GD129" t="inlineStr">
        <is>
          <t>Assets/MachineBrigade/Resources/Data/balance.json: secondRounds.rounds[37]</t>
        </is>
      </c>
      <c r="GE129" t="inlineStr">
        <is>
          <t>{"id":"gunship_40mm_flak","roundOf":"gunship_40mm","inherits":"gunship_40mm","weaponVariantId":"flak","weaponFamily":"","round":"flak","for":["air"],"real":"Bofors L/60 40 mm air-burst","damageType":"Fragmentation","pen":2,"damage":30,"splash":3.5,"form":"Airburst","piercing":false,"targets":"Air"}</t>
        </is>
      </c>
    </row>
    <row r="130">
      <c r="A130" t="inlineStr">
        <is>
          <t>gunship_105</t>
        </is>
      </c>
      <c r="B130" t="inlineStr">
        <is>
          <t>M102 105 mm</t>
        </is>
      </c>
      <c r="C130" t="inlineStr">
        <is>
          <t>cal_100_105_he</t>
        </is>
      </c>
      <c r="D130" t="inlineStr"/>
      <c r="E130" t="inlineStr"/>
      <c r="F130" t="inlineStr">
        <is>
          <t>howitzer</t>
        </is>
      </c>
      <c r="G130" t="n">
        <v>105</v>
      </c>
      <c r="H130" t="inlineStr"/>
      <c r="I130" t="inlineStr"/>
      <c r="J130" t="inlineStr"/>
      <c r="K130" t="inlineStr">
        <is>
          <t>HighExplosive</t>
        </is>
      </c>
      <c r="L130" t="n">
        <v>2</v>
      </c>
      <c r="M130" t="inlineStr">
        <is>
          <t>Shell</t>
        </is>
      </c>
      <c r="N130" t="n">
        <v>1</v>
      </c>
      <c r="O130" t="inlineStr">
        <is>
          <t>RIPPLE</t>
        </is>
      </c>
      <c r="P130" t="n">
        <v>1</v>
      </c>
      <c r="Q130" t="n">
        <v>0.1</v>
      </c>
      <c r="R130" t="n">
        <v>3.919</v>
      </c>
      <c r="S130" t="n">
        <v>0</v>
      </c>
      <c r="T130" t="n">
        <v>0</v>
      </c>
      <c r="U130" t="n">
        <v>0</v>
      </c>
      <c r="V130" t="n">
        <v>0</v>
      </c>
      <c r="W130" t="n">
        <v>286</v>
      </c>
      <c r="X130" t="n">
        <v>5.5</v>
      </c>
      <c r="Y130" t="n">
        <v>0</v>
      </c>
      <c r="Z130" t="n">
        <v>120</v>
      </c>
      <c r="AA130" t="n">
        <v>58</v>
      </c>
      <c r="AB130" t="n">
        <v>0</v>
      </c>
      <c r="AC130" t="inlineStr">
        <is>
          <t>Ground</t>
        </is>
      </c>
      <c r="AD130" t="inlineStr"/>
      <c r="AE130" t="n">
        <v>3</v>
      </c>
      <c r="AF130" t="inlineStr">
        <is>
          <t>Huge</t>
        </is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n">
        <v>105</v>
      </c>
      <c r="AO130" t="n">
        <v>0</v>
      </c>
      <c r="AP130" t="inlineStr">
        <is>
          <t>T2</t>
        </is>
      </c>
      <c r="AQ130" t="inlineStr"/>
      <c r="AR130" t="inlineStr">
        <is>
          <t>gunship_105_guided</t>
        </is>
      </c>
      <c r="AS130" t="inlineStr">
        <is>
          <t>boss_part;xe</t>
        </is>
      </c>
      <c r="AT130" t="inlineStr">
        <is>
          <t>pod_105;sky_gunship</t>
        </is>
      </c>
      <c r="AU130" t="n">
        <v>2</v>
      </c>
      <c r="AV130" t="inlineStr">
        <is>
          <t>pod_105:part;sky_gunship:0</t>
        </is>
      </c>
      <c r="AW130" t="n">
        <v>0</v>
      </c>
      <c r="AX130" t="b">
        <v>0</v>
      </c>
      <c r="AY130" t="inlineStr"/>
      <c r="AZ130">
        <f>IF(AND($AX$130,$AW$130&gt;$AA$130/$Z$130),$AW$130,$AA$130/$Z$130)</f>
        <v/>
      </c>
      <c r="BA130" t="n">
        <v>0.4833333333333333</v>
      </c>
      <c r="BB130" t="n">
        <v>10</v>
      </c>
      <c r="BC130" t="n">
        <v>3</v>
      </c>
      <c r="BD130" t="inlineStr">
        <is>
          <t>gun</t>
        </is>
      </c>
      <c r="BE130" t="inlineStr">
        <is>
          <t>the sheet's 'Ngoài đời': M102 10 rpm (Wikipedia 'M102 howitzer')</t>
        </is>
      </c>
      <c r="BF130" t="inlineStr">
        <is>
          <t>shared with the player's AC-130: the player rule (Docs/balance/player_weapon_waitlist.md)</t>
        </is>
      </c>
      <c r="BG130" t="inlineStr">
        <is>
          <t>doi</t>
        </is>
      </c>
      <c r="BH130" t="n">
        <v>200</v>
      </c>
      <c r="BI130" t="n">
        <v>286</v>
      </c>
      <c r="BJ130" t="n">
        <v>2.743</v>
      </c>
      <c r="BK130" t="n">
        <v>3.919</v>
      </c>
      <c r="CT130" t="n">
        <v>105</v>
      </c>
      <c r="DD130" t="n">
        <v>3.919</v>
      </c>
      <c r="DE130" t="n">
        <v>286</v>
      </c>
      <c r="DF130" t="inlineStr">
        <is>
          <t>HighExplosive</t>
        </is>
      </c>
      <c r="DJ130" t="inlineStr">
        <is>
          <t>howitzer</t>
        </is>
      </c>
      <c r="DS130" t="inlineStr">
        <is>
          <t>Huge</t>
        </is>
      </c>
      <c r="EB130" t="n">
        <v>2</v>
      </c>
      <c r="EK130" t="n">
        <v>120</v>
      </c>
      <c r="EP130" t="n">
        <v>58</v>
      </c>
      <c r="EQ130" t="inlineStr">
        <is>
          <t>M102 105 mm</t>
        </is>
      </c>
      <c r="EV130" t="n">
        <v>347</v>
      </c>
      <c r="EX130" t="n">
        <v>105</v>
      </c>
      <c r="EY130" t="n">
        <v>5.5</v>
      </c>
      <c r="EZ130" t="n">
        <v>3</v>
      </c>
      <c r="GB130" t="inlineStr">
        <is>
          <t>cal_100_105_he</t>
        </is>
      </c>
      <c r="GD130" t="inlineStr">
        <is>
          <t>Assets/MachineBrigade/Resources/Data/balance.json: weapons[51]</t>
        </is>
      </c>
      <c r="GE130" t="inlineStr">
        <is>
          <t>{"id":"gunship_105","weaponFamilyId":"cal_100_105_he","real":"M102 105 mm","family":"howitzer","size":105,"caliberMm":105,"pen":2,"damageType":"HighExplosive","damage":286,"cooldown":3.919,"range":58,"projectileSpeed":120,"splash":5.5,"spread":3,"impactTier":"Huge","roundWeight":347}</t>
        </is>
      </c>
    </row>
    <row r="131">
      <c r="A131" t="inlineStr">
        <is>
          <t>gunship_105_guided</t>
        </is>
      </c>
      <c r="B131" t="inlineStr">
        <is>
          <t>M102 105 mm guided</t>
        </is>
      </c>
      <c r="C131" t="inlineStr">
        <is>
          <t>cal_100_105_he</t>
        </is>
      </c>
      <c r="D131" t="inlineStr"/>
      <c r="E131" t="inlineStr"/>
      <c r="F131" t="inlineStr">
        <is>
          <t>howitzer</t>
        </is>
      </c>
      <c r="G131" t="n">
        <v>105</v>
      </c>
      <c r="H131" t="inlineStr"/>
      <c r="I131" t="inlineStr"/>
      <c r="J131" t="inlineStr"/>
      <c r="K131" t="inlineStr">
        <is>
          <t>HighExplosive</t>
        </is>
      </c>
      <c r="L131" t="n">
        <v>2</v>
      </c>
      <c r="M131" t="inlineStr">
        <is>
          <t>Shell</t>
        </is>
      </c>
      <c r="N131" t="n">
        <v>1</v>
      </c>
      <c r="O131" t="inlineStr">
        <is>
          <t>RIPPLE</t>
        </is>
      </c>
      <c r="P131" t="n">
        <v>1</v>
      </c>
      <c r="Q131" t="n">
        <v>0.1</v>
      </c>
      <c r="R131" t="n">
        <v>3.919</v>
      </c>
      <c r="S131" t="n">
        <v>0</v>
      </c>
      <c r="T131" t="n">
        <v>0</v>
      </c>
      <c r="U131" t="n">
        <v>0</v>
      </c>
      <c r="V131" t="n">
        <v>0</v>
      </c>
      <c r="W131" t="n">
        <v>286</v>
      </c>
      <c r="X131" t="n">
        <v>5.5</v>
      </c>
      <c r="Y131" t="n">
        <v>0</v>
      </c>
      <c r="Z131" t="n">
        <v>120</v>
      </c>
      <c r="AA131" t="n">
        <v>58</v>
      </c>
      <c r="AB131" t="n">
        <v>0</v>
      </c>
      <c r="AC131" t="inlineStr">
        <is>
          <t>Ground</t>
        </is>
      </c>
      <c r="AD131" t="inlineStr"/>
      <c r="AE131" t="n">
        <v>0</v>
      </c>
      <c r="AF131" t="inlineStr">
        <is>
          <t>Huge</t>
        </is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1</v>
      </c>
      <c r="AN131" t="n">
        <v>105</v>
      </c>
      <c r="AO131" t="n">
        <v>0</v>
      </c>
      <c r="AP131" t="inlineStr">
        <is>
          <t>T2</t>
        </is>
      </c>
      <c r="AQ131" t="inlineStr">
        <is>
          <t>gunship_105</t>
        </is>
      </c>
      <c r="AR131" t="inlineStr"/>
      <c r="AS131" t="inlineStr"/>
      <c r="AT131" t="inlineStr"/>
      <c r="AU131" t="n">
        <v>0</v>
      </c>
      <c r="AV131" t="inlineStr"/>
      <c r="AW131" t="n">
        <v>0</v>
      </c>
      <c r="AX131" t="b">
        <v>0</v>
      </c>
      <c r="AY131" t="inlineStr"/>
      <c r="AZ131">
        <f>IF(AND($AX$131,$AW$131&gt;$AA$131/$Z$131),$AW$131,$AA$131/$Z$131)</f>
        <v/>
      </c>
      <c r="BA131" t="n">
        <v>0.4833333333333333</v>
      </c>
      <c r="BB131" t="n">
        <v>10</v>
      </c>
      <c r="BC131" t="n">
        <v>3</v>
      </c>
      <c r="BD131" t="inlineStr">
        <is>
          <t>gun</t>
        </is>
      </c>
      <c r="BE131" t="inlineStr">
        <is>
          <t>the sheet's 'Ngoài đời': M102 10 rpm (Wikipedia 'M102 howitzer')</t>
        </is>
      </c>
      <c r="BG131" t="inlineStr">
        <is>
          <t>doi</t>
        </is>
      </c>
      <c r="BH131" t="n">
        <v>200</v>
      </c>
      <c r="BI131" t="n">
        <v>286</v>
      </c>
      <c r="BJ131" t="n">
        <v>2.743</v>
      </c>
      <c r="BK131" t="n">
        <v>3.919</v>
      </c>
      <c r="CR131" t="n">
        <v>1</v>
      </c>
      <c r="DE131" t="n">
        <v>286</v>
      </c>
      <c r="DF131" t="inlineStr">
        <is>
          <t>HighExplosive</t>
        </is>
      </c>
      <c r="DH131" t="b">
        <v>1</v>
      </c>
      <c r="DM131" t="inlineStr">
        <is>
          <t>armour</t>
        </is>
      </c>
      <c r="DN131" t="inlineStr">
        <is>
          <t>HeShell</t>
        </is>
      </c>
      <c r="DP131" t="b">
        <v>1</v>
      </c>
      <c r="DT131" t="inlineStr">
        <is>
          <t>gunship_105</t>
        </is>
      </c>
      <c r="EB131" t="n">
        <v>2</v>
      </c>
      <c r="EQ131" t="inlineStr">
        <is>
          <t>M102 105 mm guided</t>
        </is>
      </c>
      <c r="ES131" t="inlineStr">
        <is>
          <t>guided</t>
        </is>
      </c>
      <c r="EU131" t="inlineStr">
        <is>
          <t>gunship_105</t>
        </is>
      </c>
      <c r="EZ131" t="n">
        <v>0</v>
      </c>
      <c r="FW131" t="inlineStr">
        <is>
          <t>Ground</t>
        </is>
      </c>
      <c r="GA131" t="inlineStr"/>
      <c r="GD131" t="inlineStr">
        <is>
          <t>Assets/MachineBrigade/Resources/Data/balance.json: secondRounds.rounds[34]</t>
        </is>
      </c>
      <c r="GE131" t="inlineStr">
        <is>
          <t>{"id":"gunship_105_guided","roundOf":"gunship_105","inherits":"gunship_105","weaponFamily":"","round":"guided","for":["armour"],"elite":true,"real":"M102 105 mm guided","damageType":"HighExplosive","pen":2,"damage":286,"spread":0,"burst":1,"guided":true,"form":"HeShell","targets":"Ground"}</t>
        </is>
      </c>
    </row>
    <row r="132">
      <c r="A132" t="inlineStr">
        <is>
          <t>gunship_rockets</t>
        </is>
      </c>
      <c r="B132" t="inlineStr">
        <is>
          <t>S-8 80 mm</t>
        </is>
      </c>
      <c r="C132" t="inlineStr">
        <is>
          <t>rkt_70_80</t>
        </is>
      </c>
      <c r="D132" t="inlineStr"/>
      <c r="E132" t="inlineStr">
        <is>
          <t>s_8_80_mm</t>
        </is>
      </c>
      <c r="F132" t="inlineStr">
        <is>
          <t>rocket</t>
        </is>
      </c>
      <c r="G132" t="n">
        <v>80</v>
      </c>
      <c r="H132" t="inlineStr"/>
      <c r="I132" t="inlineStr"/>
      <c r="J132" t="inlineStr"/>
      <c r="K132" t="inlineStr">
        <is>
          <t>HighExplosive</t>
        </is>
      </c>
      <c r="L132" t="n">
        <v>2</v>
      </c>
      <c r="M132" t="inlineStr">
        <is>
          <t>Rocket</t>
        </is>
      </c>
      <c r="N132" t="n">
        <v>1</v>
      </c>
      <c r="O132" t="inlineStr">
        <is>
          <t>RIPPLE</t>
        </is>
      </c>
      <c r="P132" t="n">
        <v>16</v>
      </c>
      <c r="Q132" t="n">
        <v>0.1</v>
      </c>
      <c r="R132" t="n">
        <v>8.271000000000001</v>
      </c>
      <c r="S132" t="n">
        <v>0</v>
      </c>
      <c r="T132" t="n">
        <v>0</v>
      </c>
      <c r="U132" t="n">
        <v>0</v>
      </c>
      <c r="V132" t="n">
        <v>0</v>
      </c>
      <c r="W132" t="n">
        <v>32</v>
      </c>
      <c r="X132" t="n">
        <v>3</v>
      </c>
      <c r="Y132" t="n">
        <v>0</v>
      </c>
      <c r="Z132" t="n">
        <v>180</v>
      </c>
      <c r="AA132" t="n">
        <v>34</v>
      </c>
      <c r="AB132" t="n">
        <v>0</v>
      </c>
      <c r="AC132" t="inlineStr">
        <is>
          <t>Ground</t>
        </is>
      </c>
      <c r="AD132" t="inlineStr"/>
      <c r="AE132" t="n">
        <v>3.5</v>
      </c>
      <c r="AF132" t="inlineStr">
        <is>
          <t>Medium</t>
        </is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n">
        <v>80</v>
      </c>
      <c r="AO132" t="n">
        <v>32</v>
      </c>
      <c r="AP132" t="inlineStr">
        <is>
          <t>T2</t>
        </is>
      </c>
      <c r="AQ132" t="inlineStr"/>
      <c r="AR132" t="inlineStr"/>
      <c r="AS132" t="inlineStr">
        <is>
          <t>boss</t>
        </is>
      </c>
      <c r="AT132" t="inlineStr">
        <is>
          <t>mega_gunship</t>
        </is>
      </c>
      <c r="AU132" t="n">
        <v>1</v>
      </c>
      <c r="AV132" t="inlineStr">
        <is>
          <t>mega_gunship:0;mega_gunship:4</t>
        </is>
      </c>
      <c r="AW132" t="n">
        <v>0</v>
      </c>
      <c r="AX132" t="b">
        <v>0</v>
      </c>
      <c r="AY132" t="inlineStr"/>
      <c r="AZ132">
        <f>IF(AND($AX$132,$AW$132&gt;$AA$132/$Z$132),$AW$132,$AA$132/$Z$132)</f>
        <v/>
      </c>
      <c r="BA132" t="n">
        <v>0.1888888888888889</v>
      </c>
      <c r="BB132" t="n">
        <v>900</v>
      </c>
      <c r="BC132" t="inlineStr"/>
      <c r="BD132" t="inlineStr">
        <is>
          <t>rocket</t>
        </is>
      </c>
      <c r="BE132" t="inlineStr">
        <is>
          <t>rocket pods: ripples of 0.05-0.12 s (DECISIONS 19R)</t>
        </is>
      </c>
      <c r="BG132" t="inlineStr">
        <is>
          <t>doi</t>
        </is>
      </c>
      <c r="BR132" t="n">
        <v>40</v>
      </c>
      <c r="BS132" t="n">
        <v>180</v>
      </c>
      <c r="CR132" t="n">
        <v>16</v>
      </c>
      <c r="CS132" t="n">
        <v>0.1</v>
      </c>
      <c r="CT132" t="n">
        <v>80</v>
      </c>
      <c r="DD132" t="n">
        <v>8.271000000000001</v>
      </c>
      <c r="DE132" t="n">
        <v>32</v>
      </c>
      <c r="DF132" t="inlineStr">
        <is>
          <t>HighExplosive</t>
        </is>
      </c>
      <c r="DJ132" t="inlineStr">
        <is>
          <t>rocket</t>
        </is>
      </c>
      <c r="DO132" t="n">
        <v>9</v>
      </c>
      <c r="DS132" t="inlineStr">
        <is>
          <t>Medium</t>
        </is>
      </c>
      <c r="DW132" t="n">
        <v>32</v>
      </c>
      <c r="EB132" t="n">
        <v>2</v>
      </c>
      <c r="EH132" t="inlineStr">
        <is>
          <t>Rocket</t>
        </is>
      </c>
      <c r="EJ132" t="n">
        <v>0.9</v>
      </c>
      <c r="EP132" t="n">
        <v>34</v>
      </c>
      <c r="EQ132" t="inlineStr">
        <is>
          <t>S-8 80 mm</t>
        </is>
      </c>
      <c r="EX132" t="n">
        <v>80</v>
      </c>
      <c r="EZ132" t="n">
        <v>3.5</v>
      </c>
      <c r="GA132" t="inlineStr">
        <is>
          <t>s_8_80_mm</t>
        </is>
      </c>
      <c r="GB132" t="inlineStr">
        <is>
          <t>rkt_70_80</t>
        </is>
      </c>
      <c r="GD132" t="inlineStr">
        <is>
          <t>Assets/MachineBrigade/Resources/Data/balance.json: weapons[35]</t>
        </is>
      </c>
      <c r="GE132" t="inlineStr">
        <is>
          <t>{"id":"gunship_rockets","groundMinReach":9,"weaponFamilyId":"rkt_70_80","weaponFamily":"s_8_80_mm","load":32,"real":"S-8 80 mm","family":"rocket","size":80,"caliberMm":80,"pen":2,"projectileScale":0.9,"damageType":"HighExplosive","damage":32,"cooldown":8.271,"range":34,"spread":3.5,"impactTier":"Medium","projectile":"Rocket","burst":16,"burstInterval":0.1}</t>
        </is>
      </c>
    </row>
    <row r="133">
      <c r="A133" t="inlineStr">
        <is>
          <t>hel_beam</t>
        </is>
      </c>
      <c r="B133" t="inlineStr">
        <is>
          <t>Iron Beam laser (100 kW)</t>
        </is>
      </c>
      <c r="C133" t="inlineStr">
        <is>
          <t>laser_iron_beam_laser</t>
        </is>
      </c>
      <c r="D133" t="inlineStr"/>
      <c r="E133" t="inlineStr"/>
      <c r="F133" t="inlineStr">
        <is>
          <t>laser</t>
        </is>
      </c>
      <c r="G133" t="inlineStr"/>
      <c r="H133" t="inlineStr"/>
      <c r="I133" t="n">
        <v>100</v>
      </c>
      <c r="J133" t="inlineStr"/>
      <c r="K133" t="inlineStr">
        <is>
          <t>Energy</t>
        </is>
      </c>
      <c r="L133" t="n">
        <v>2</v>
      </c>
      <c r="M133" t="inlineStr">
        <is>
          <t>Bullet</t>
        </is>
      </c>
      <c r="N133" t="n">
        <v>1</v>
      </c>
      <c r="O133" t="inlineStr">
        <is>
          <t>RIPPLE</t>
        </is>
      </c>
      <c r="P133" t="n">
        <v>1</v>
      </c>
      <c r="Q133" t="n">
        <v>0.1</v>
      </c>
      <c r="R133" t="n">
        <v>0.0525</v>
      </c>
      <c r="S133" t="n">
        <v>0</v>
      </c>
      <c r="T133" t="n">
        <v>0</v>
      </c>
      <c r="U133" t="n">
        <v>0</v>
      </c>
      <c r="V133" t="n">
        <v>0</v>
      </c>
      <c r="W133" t="n">
        <v>10</v>
      </c>
      <c r="X133" t="n">
        <v>0</v>
      </c>
      <c r="Y133" t="n">
        <v>0</v>
      </c>
      <c r="Z133" t="n">
        <v>3000</v>
      </c>
      <c r="AA133" t="n">
        <v>45</v>
      </c>
      <c r="AB133" t="n">
        <v>0</v>
      </c>
      <c r="AC133" t="inlineStr">
        <is>
          <t>Air</t>
        </is>
      </c>
      <c r="AD133" t="inlineStr"/>
      <c r="AE133" t="n">
        <v>0</v>
      </c>
      <c r="AF133" t="inlineStr">
        <is>
          <t>Small</t>
        </is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n">
        <v>100</v>
      </c>
      <c r="AO133" t="n">
        <v>0</v>
      </c>
      <c r="AP133" t="inlineStr">
        <is>
          <t>T1</t>
        </is>
      </c>
      <c r="AQ133" t="inlineStr"/>
      <c r="AR133" t="inlineStr"/>
      <c r="AS133" t="inlineStr">
        <is>
          <t>xe</t>
        </is>
      </c>
      <c r="AT133" t="inlineStr">
        <is>
          <t>iron_beam</t>
        </is>
      </c>
      <c r="AU133" t="n">
        <v>1</v>
      </c>
      <c r="AV133" t="inlineStr">
        <is>
          <t>iron_beam:0</t>
        </is>
      </c>
      <c r="AW133" t="n">
        <v>0</v>
      </c>
      <c r="AX133" t="b">
        <v>0</v>
      </c>
      <c r="AY133" t="inlineStr"/>
      <c r="AZ133">
        <f>IF(AND($AX$133,$AW$133&gt;$AA$133/$Z$133),$AW$133,$AA$133/$Z$133)</f>
        <v/>
      </c>
      <c r="BA133" t="n">
        <v>0.015</v>
      </c>
      <c r="BB133" t="inlineStr">
        <is>
          <t>NEED_SOURCE</t>
        </is>
      </c>
      <c r="BC133" t="inlineStr">
        <is>
          <t>NEED_SOURCE</t>
        </is>
      </c>
      <c r="BE133" t="inlineStr">
        <is>
          <t>NEED_SOURCE</t>
        </is>
      </c>
      <c r="BG133" t="inlineStr">
        <is>
          <t>giong</t>
        </is>
      </c>
      <c r="CP133" t="b">
        <v>1</v>
      </c>
      <c r="DD133" t="n">
        <v>0.0525</v>
      </c>
      <c r="DE133" t="n">
        <v>10</v>
      </c>
      <c r="DF133" t="inlineStr">
        <is>
          <t>Energy</t>
        </is>
      </c>
      <c r="DJ133" t="inlineStr">
        <is>
          <t>laser</t>
        </is>
      </c>
      <c r="DS133" t="inlineStr">
        <is>
          <t>Small</t>
        </is>
      </c>
      <c r="EB133" t="n">
        <v>2</v>
      </c>
      <c r="EF133" t="n">
        <v>100</v>
      </c>
      <c r="EH133" t="inlineStr">
        <is>
          <t>Bullet</t>
        </is>
      </c>
      <c r="EK133" t="n">
        <v>3000</v>
      </c>
      <c r="EP133" t="n">
        <v>45</v>
      </c>
      <c r="EQ133" t="inlineStr">
        <is>
          <t>Iron Beam laser (100 kW)</t>
        </is>
      </c>
      <c r="EX133" t="n">
        <v>100</v>
      </c>
      <c r="FW133" t="inlineStr">
        <is>
          <t>Air</t>
        </is>
      </c>
      <c r="GB133" t="inlineStr">
        <is>
          <t>laser_iron_beam_laser</t>
        </is>
      </c>
      <c r="GD133" t="inlineStr">
        <is>
          <t>Assets/MachineBrigade/Resources/Data/balance.json: weapons[76]</t>
        </is>
      </c>
      <c r="GE133" t="inlineStr">
        <is>
          <t>{"id":"hel_beam","weaponFamilyId":"laser_iron_beam_laser","real":"Iron Beam laser (100 kW)","family":"laser","size":100,"powerKw":100,"pen":2,"damageType":"Energy","damage":10,"cooldown":0.0525,"range":45,"projectileSpeed":3000,"impactTier":"Small","projectile":"Bullet","targets":"Air","beam":true}</t>
        </is>
      </c>
    </row>
    <row r="134">
      <c r="A134" t="inlineStr">
        <is>
          <t>heli_gun</t>
        </is>
      </c>
      <c r="B134" t="inlineStr">
        <is>
          <t>M230 30 mm</t>
        </is>
      </c>
      <c r="C134" t="inlineStr">
        <is>
          <t>cal_30</t>
        </is>
      </c>
      <c r="D134" t="inlineStr"/>
      <c r="E134" t="inlineStr">
        <is>
          <t>m230_30_mm</t>
        </is>
      </c>
      <c r="F134" t="inlineStr">
        <is>
          <t>autocannon</t>
        </is>
      </c>
      <c r="G134" t="n">
        <v>30</v>
      </c>
      <c r="H134" t="inlineStr"/>
      <c r="I134" t="inlineStr"/>
      <c r="J134" t="inlineStr"/>
      <c r="K134" t="inlineStr">
        <is>
          <t>Kinetic</t>
        </is>
      </c>
      <c r="L134" t="n">
        <v>2</v>
      </c>
      <c r="M134" t="inlineStr">
        <is>
          <t>Bullet</t>
        </is>
      </c>
      <c r="N134" t="n">
        <v>1</v>
      </c>
      <c r="O134" t="inlineStr">
        <is>
          <t>RIPPLE</t>
        </is>
      </c>
      <c r="P134" t="n">
        <v>1</v>
      </c>
      <c r="Q134" t="n">
        <v>0.1</v>
      </c>
      <c r="R134" t="n">
        <v>0.1667</v>
      </c>
      <c r="S134" t="n">
        <v>40</v>
      </c>
      <c r="T134" t="n">
        <v>3.1667</v>
      </c>
      <c r="U134" t="n">
        <v>0</v>
      </c>
      <c r="V134" t="n">
        <v>0</v>
      </c>
      <c r="W134" t="n">
        <v>22</v>
      </c>
      <c r="X134" t="n">
        <v>0</v>
      </c>
      <c r="Y134" t="n">
        <v>0</v>
      </c>
      <c r="Z134" t="n">
        <v>220</v>
      </c>
      <c r="AA134" t="n">
        <v>26</v>
      </c>
      <c r="AB134" t="n">
        <v>0</v>
      </c>
      <c r="AC134" t="inlineStr">
        <is>
          <t>All</t>
        </is>
      </c>
      <c r="AD134" t="inlineStr"/>
      <c r="AE134" t="n">
        <v>1.3</v>
      </c>
      <c r="AF134" t="inlineStr">
        <is>
          <t>Small</t>
        </is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n">
        <v>30</v>
      </c>
      <c r="AO134" t="n">
        <v>0</v>
      </c>
      <c r="AP134" t="inlineStr">
        <is>
          <t>T1</t>
        </is>
      </c>
      <c r="AQ134" t="inlineStr"/>
      <c r="AR134" t="inlineStr">
        <is>
          <t>heli_gun_flak</t>
        </is>
      </c>
      <c r="AS134" t="inlineStr">
        <is>
          <t>xe</t>
        </is>
      </c>
      <c r="AT134" t="inlineStr">
        <is>
          <t>attack_helicopter;elite_attack_helicopter;twin_rotor_gunship</t>
        </is>
      </c>
      <c r="AU134" t="n">
        <v>3</v>
      </c>
      <c r="AV134" t="inlineStr">
        <is>
          <t>attack_helicopter:1;elite_attack_helicopter:1;twin_rotor_gunship:0</t>
        </is>
      </c>
      <c r="AW134" t="n">
        <v>0</v>
      </c>
      <c r="AX134" t="b">
        <v>0</v>
      </c>
      <c r="AY134" t="inlineStr"/>
      <c r="AZ134">
        <f>IF(AND($AX$134,$AW$134&gt;$AA$134/$Z$134),$AW$134,$AA$134/$Z$134)</f>
        <v/>
      </c>
      <c r="BA134" t="n">
        <v>0.1181818181818182</v>
      </c>
      <c r="BB134" t="n">
        <v>625</v>
      </c>
      <c r="BC134" t="n">
        <v>300</v>
      </c>
      <c r="BD134" t="inlineStr">
        <is>
          <t>ac</t>
        </is>
      </c>
      <c r="BE134" t="inlineStr">
        <is>
          <t>Wikipedia 'M230 chain gun': 625 rpm</t>
        </is>
      </c>
      <c r="BG134" t="inlineStr">
        <is>
          <t>giong</t>
        </is>
      </c>
      <c r="CT134" t="n">
        <v>30</v>
      </c>
      <c r="CW134" t="n">
        <v>40</v>
      </c>
      <c r="CX134" t="n">
        <v>3.1667</v>
      </c>
      <c r="DD134" t="n">
        <v>0.1667</v>
      </c>
      <c r="DE134" t="n">
        <v>22</v>
      </c>
      <c r="DF134" t="inlineStr">
        <is>
          <t>Kinetic</t>
        </is>
      </c>
      <c r="DJ134" t="inlineStr">
        <is>
          <t>autocannon</t>
        </is>
      </c>
      <c r="DS134" t="inlineStr">
        <is>
          <t>Small</t>
        </is>
      </c>
      <c r="EB134" t="n">
        <v>2</v>
      </c>
      <c r="EH134" t="inlineStr">
        <is>
          <t>Bullet</t>
        </is>
      </c>
      <c r="EP134" t="n">
        <v>26</v>
      </c>
      <c r="EQ134" t="inlineStr">
        <is>
          <t>M230 30 mm</t>
        </is>
      </c>
      <c r="EX134" t="n">
        <v>30</v>
      </c>
      <c r="EZ134" t="n">
        <v>1.3</v>
      </c>
      <c r="FW134" t="inlineStr">
        <is>
          <t>All</t>
        </is>
      </c>
      <c r="GA134" t="inlineStr">
        <is>
          <t>m230_30_mm</t>
        </is>
      </c>
      <c r="GB134" t="inlineStr">
        <is>
          <t>cal_30</t>
        </is>
      </c>
      <c r="GD134" t="inlineStr">
        <is>
          <t>Assets/MachineBrigade/Resources/Data/balance.json: weapons[23]</t>
        </is>
      </c>
      <c r="GE134" t="inlineStr">
        <is>
          <t>{"id":"heli_gun","weaponFamilyId":"cal_30","weaponFamily":"m230_30_mm","real":"M230 30 mm","family":"autocannon","size":30,"caliberMm":30,"pen":2,"damageType":"Kinetic","damage":22,"cooldown":0.1667,"range":26,"spread":1.3,"impactTier":"Small","projectile":"Bullet","targets":"All","clip":40,"clipReload":3.1667}</t>
        </is>
      </c>
    </row>
    <row r="135">
      <c r="A135" t="inlineStr">
        <is>
          <t>heli_gun_flak</t>
        </is>
      </c>
      <c r="B135" t="inlineStr">
        <is>
          <t>M230 30 mm air-burst</t>
        </is>
      </c>
      <c r="C135" t="inlineStr">
        <is>
          <t>cal_30</t>
        </is>
      </c>
      <c r="D135" t="inlineStr">
        <is>
          <t>flak</t>
        </is>
      </c>
      <c r="E135" t="inlineStr">
        <is>
          <t>m230_30_mm_air_burst</t>
        </is>
      </c>
      <c r="F135" t="inlineStr">
        <is>
          <t>autocannon</t>
        </is>
      </c>
      <c r="G135" t="n">
        <v>30</v>
      </c>
      <c r="H135" t="inlineStr"/>
      <c r="I135" t="inlineStr"/>
      <c r="J135" t="inlineStr"/>
      <c r="K135" t="inlineStr">
        <is>
          <t>Fragmentation</t>
        </is>
      </c>
      <c r="L135" t="n">
        <v>2</v>
      </c>
      <c r="M135" t="inlineStr">
        <is>
          <t>Bullet</t>
        </is>
      </c>
      <c r="N135" t="n">
        <v>1</v>
      </c>
      <c r="O135" t="inlineStr">
        <is>
          <t>RIPPLE</t>
        </is>
      </c>
      <c r="P135" t="n">
        <v>1</v>
      </c>
      <c r="Q135" t="n">
        <v>0.1</v>
      </c>
      <c r="R135" t="n">
        <v>0.1667</v>
      </c>
      <c r="S135" t="n">
        <v>40</v>
      </c>
      <c r="T135" t="n">
        <v>3.1667</v>
      </c>
      <c r="U135" t="n">
        <v>0</v>
      </c>
      <c r="V135" t="n">
        <v>0</v>
      </c>
      <c r="W135" t="n">
        <v>22</v>
      </c>
      <c r="X135" t="n">
        <v>2.5</v>
      </c>
      <c r="Y135" t="n">
        <v>0</v>
      </c>
      <c r="Z135" t="n">
        <v>220</v>
      </c>
      <c r="AA135" t="n">
        <v>26</v>
      </c>
      <c r="AB135" t="n">
        <v>0</v>
      </c>
      <c r="AC135" t="inlineStr">
        <is>
          <t>Air</t>
        </is>
      </c>
      <c r="AD135" t="inlineStr"/>
      <c r="AE135" t="n">
        <v>1.3</v>
      </c>
      <c r="AF135" t="inlineStr">
        <is>
          <t>Small</t>
        </is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n">
        <v>30</v>
      </c>
      <c r="AO135" t="n">
        <v>0</v>
      </c>
      <c r="AP135" t="inlineStr">
        <is>
          <t>T1</t>
        </is>
      </c>
      <c r="AQ135" t="inlineStr">
        <is>
          <t>heli_gun</t>
        </is>
      </c>
      <c r="AR135" t="inlineStr"/>
      <c r="AS135" t="inlineStr"/>
      <c r="AT135" t="inlineStr"/>
      <c r="AU135" t="n">
        <v>0</v>
      </c>
      <c r="AV135" t="inlineStr"/>
      <c r="AW135" t="n">
        <v>0</v>
      </c>
      <c r="AX135" t="b">
        <v>0</v>
      </c>
      <c r="AY135" t="inlineStr"/>
      <c r="AZ135">
        <f>IF(AND($AX$135,$AW$135&gt;$AA$135/$Z$135),$AW$135,$AA$135/$Z$135)</f>
        <v/>
      </c>
      <c r="BA135" t="n">
        <v>0.1181818181818182</v>
      </c>
      <c r="BB135" t="n">
        <v>625</v>
      </c>
      <c r="BC135" t="n">
        <v>300</v>
      </c>
      <c r="BD135" t="inlineStr">
        <is>
          <t>ac</t>
        </is>
      </c>
      <c r="BE135" t="inlineStr">
        <is>
          <t>Wikipedia 'M230 chain gun': 625 rpm</t>
        </is>
      </c>
      <c r="BG135" t="inlineStr">
        <is>
          <t>giong</t>
        </is>
      </c>
      <c r="DE135" t="n">
        <v>22</v>
      </c>
      <c r="DF135" t="inlineStr">
        <is>
          <t>Fragmentation</t>
        </is>
      </c>
      <c r="DM135" t="inlineStr">
        <is>
          <t>air</t>
        </is>
      </c>
      <c r="DN135" t="inlineStr">
        <is>
          <t>Airburst</t>
        </is>
      </c>
      <c r="DT135" t="inlineStr">
        <is>
          <t>heli_gun</t>
        </is>
      </c>
      <c r="EB135" t="n">
        <v>2</v>
      </c>
      <c r="EE135" t="b">
        <v>0</v>
      </c>
      <c r="EQ135" t="inlineStr">
        <is>
          <t>M230 30 mm air-burst</t>
        </is>
      </c>
      <c r="ES135" t="inlineStr">
        <is>
          <t>flak</t>
        </is>
      </c>
      <c r="EU135" t="inlineStr">
        <is>
          <t>heli_gun</t>
        </is>
      </c>
      <c r="EY135" t="n">
        <v>2.5</v>
      </c>
      <c r="FW135" t="inlineStr">
        <is>
          <t>Air</t>
        </is>
      </c>
      <c r="GA135" t="inlineStr">
        <is>
          <t>m230_30_mm_air_burst</t>
        </is>
      </c>
      <c r="GC135" t="inlineStr">
        <is>
          <t>flak</t>
        </is>
      </c>
      <c r="GD135" t="inlineStr">
        <is>
          <t>Assets/MachineBrigade/Resources/Data/balance.json: secondRounds.rounds[38]</t>
        </is>
      </c>
      <c r="GE135" t="inlineStr">
        <is>
          <t>{"id":"heli_gun_flak","roundOf":"heli_gun","inherits":"heli_gun","weaponVariantId":"flak","weaponFamily":"m230_30_mm_air_burst","round":"flak","for":["air"],"real":"M230 30 mm air-burst","damageType":"Fragmentation","pen":2,"damage":22,"splash":2.5,"form":"Airburst","piercing":false,"targets":"Air"}</t>
        </is>
      </c>
    </row>
    <row r="136">
      <c r="A136" t="inlineStr">
        <is>
          <t>heli_rockets</t>
        </is>
      </c>
      <c r="B136" t="inlineStr">
        <is>
          <t>Hydra 70 mm</t>
        </is>
      </c>
      <c r="C136" t="inlineStr">
        <is>
          <t>rkt_70_80</t>
        </is>
      </c>
      <c r="D136" t="inlineStr"/>
      <c r="E136" t="inlineStr">
        <is>
          <t>hydra_70_mm</t>
        </is>
      </c>
      <c r="F136" t="inlineStr">
        <is>
          <t>rocket</t>
        </is>
      </c>
      <c r="G136" t="n">
        <v>70</v>
      </c>
      <c r="H136" t="inlineStr"/>
      <c r="I136" t="inlineStr"/>
      <c r="J136" t="inlineStr"/>
      <c r="K136" t="inlineStr">
        <is>
          <t>HighExplosive</t>
        </is>
      </c>
      <c r="L136" t="n">
        <v>2</v>
      </c>
      <c r="M136" t="inlineStr">
        <is>
          <t>Rocket</t>
        </is>
      </c>
      <c r="N136" t="n">
        <v>1</v>
      </c>
      <c r="O136" t="inlineStr">
        <is>
          <t>RIPPLE</t>
        </is>
      </c>
      <c r="P136" t="n">
        <v>11</v>
      </c>
      <c r="Q136" t="n">
        <v>0.12</v>
      </c>
      <c r="R136" t="n">
        <v>7.31</v>
      </c>
      <c r="S136" t="n">
        <v>0</v>
      </c>
      <c r="T136" t="n">
        <v>0</v>
      </c>
      <c r="U136" t="n">
        <v>0</v>
      </c>
      <c r="V136" t="n">
        <v>0</v>
      </c>
      <c r="W136" t="n">
        <v>30</v>
      </c>
      <c r="X136" t="n">
        <v>3</v>
      </c>
      <c r="Y136" t="n">
        <v>0</v>
      </c>
      <c r="Z136" t="n">
        <v>180</v>
      </c>
      <c r="AA136" t="n">
        <v>30</v>
      </c>
      <c r="AB136" t="n">
        <v>0</v>
      </c>
      <c r="AC136" t="inlineStr">
        <is>
          <t>Ground</t>
        </is>
      </c>
      <c r="AD136" t="inlineStr"/>
      <c r="AE136" t="n">
        <v>3</v>
      </c>
      <c r="AF136" t="inlineStr">
        <is>
          <t>Medium</t>
        </is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n">
        <v>70</v>
      </c>
      <c r="AO136" t="n">
        <v>22</v>
      </c>
      <c r="AP136" t="inlineStr">
        <is>
          <t>T2</t>
        </is>
      </c>
      <c r="AQ136" t="inlineStr"/>
      <c r="AR136" t="inlineStr"/>
      <c r="AS136" t="inlineStr">
        <is>
          <t>xe</t>
        </is>
      </c>
      <c r="AT136" t="inlineStr">
        <is>
          <t>attack_helicopter;elite_attack_helicopter</t>
        </is>
      </c>
      <c r="AU136" t="n">
        <v>2</v>
      </c>
      <c r="AV136" t="inlineStr">
        <is>
          <t>attack_helicopter:2;elite_attack_helicopter:2</t>
        </is>
      </c>
      <c r="AW136" t="n">
        <v>0</v>
      </c>
      <c r="AX136" t="b">
        <v>0</v>
      </c>
      <c r="AY136" t="inlineStr"/>
      <c r="AZ136">
        <f>IF(AND($AX$136,$AW$136&gt;$AA$136/$Z$136),$AW$136,$AA$136/$Z$136)</f>
        <v/>
      </c>
      <c r="BA136" t="n">
        <v>0.1666666666666667</v>
      </c>
      <c r="BB136" t="n">
        <v>900</v>
      </c>
      <c r="BC136" t="inlineStr"/>
      <c r="BD136" t="inlineStr">
        <is>
          <t>rocket</t>
        </is>
      </c>
      <c r="BE136" t="inlineStr">
        <is>
          <t>rocket pods: ripples of 0.05-0.12 s (DECISIONS 19R)</t>
        </is>
      </c>
      <c r="BG136" t="inlineStr">
        <is>
          <t>doi</t>
        </is>
      </c>
      <c r="BR136" t="n">
        <v>40</v>
      </c>
      <c r="BS136" t="n">
        <v>180</v>
      </c>
      <c r="CR136" t="n">
        <v>11</v>
      </c>
      <c r="CS136" t="n">
        <v>0.12</v>
      </c>
      <c r="CT136" t="n">
        <v>70</v>
      </c>
      <c r="DD136" t="n">
        <v>7.31</v>
      </c>
      <c r="DE136" t="n">
        <v>30</v>
      </c>
      <c r="DF136" t="inlineStr">
        <is>
          <t>HighExplosive</t>
        </is>
      </c>
      <c r="DJ136" t="inlineStr">
        <is>
          <t>rocket</t>
        </is>
      </c>
      <c r="DS136" t="inlineStr">
        <is>
          <t>Medium</t>
        </is>
      </c>
      <c r="DW136" t="n">
        <v>22</v>
      </c>
      <c r="EB136" t="n">
        <v>2</v>
      </c>
      <c r="EH136" t="inlineStr">
        <is>
          <t>Rocket</t>
        </is>
      </c>
      <c r="EP136" t="n">
        <v>30</v>
      </c>
      <c r="EQ136" t="inlineStr">
        <is>
          <t>Hydra 70 mm</t>
        </is>
      </c>
      <c r="EX136" t="n">
        <v>70</v>
      </c>
      <c r="EZ136" t="n">
        <v>3</v>
      </c>
      <c r="GA136" t="inlineStr">
        <is>
          <t>hydra_70_mm</t>
        </is>
      </c>
      <c r="GB136" t="inlineStr">
        <is>
          <t>rkt_70_80</t>
        </is>
      </c>
      <c r="GD136" t="inlineStr">
        <is>
          <t>Assets/MachineBrigade/Resources/Data/balance.json: weapons[24]</t>
        </is>
      </c>
      <c r="GE136" t="inlineStr">
        <is>
          <t>{"id":"heli_rockets","weaponFamilyId":"rkt_70_80","weaponFamily":"hydra_70_mm","load":22,"real":"Hydra 70 mm","family":"rocket","size":70,"caliberMm":70,"pen":2,"damageType":"HighExplosive","damage":30,"cooldown":7.31,"range":30,"spread":3,"impactTier":"Medium","projectile":"Rocket","burst":11,"burstInterval":0.12}</t>
        </is>
      </c>
    </row>
    <row r="137">
      <c r="A137" t="inlineStr">
        <is>
          <t>hellfire_standoff</t>
        </is>
      </c>
      <c r="B137" t="inlineStr">
        <is>
          <t>AGM-114L Hellfire Longbow</t>
        </is>
      </c>
      <c r="C137" t="inlineStr">
        <is>
          <t>atgm_agm_114l_hellfire_longbow</t>
        </is>
      </c>
      <c r="D137" t="inlineStr"/>
      <c r="E137" t="inlineStr">
        <is>
          <t>agm_114_hellfire</t>
        </is>
      </c>
      <c r="F137" t="inlineStr">
        <is>
          <t>atgm</t>
        </is>
      </c>
      <c r="G137" t="inlineStr"/>
      <c r="H137" t="n">
        <v>9</v>
      </c>
      <c r="I137" t="inlineStr"/>
      <c r="J137" t="inlineStr"/>
      <c r="K137" t="inlineStr">
        <is>
          <t>ShapedCharge</t>
        </is>
      </c>
      <c r="L137" t="n">
        <v>4</v>
      </c>
      <c r="M137" t="inlineStr">
        <is>
          <t>Missile</t>
        </is>
      </c>
      <c r="N137" t="n">
        <v>1</v>
      </c>
      <c r="O137" t="inlineStr">
        <is>
          <t>RIPPLE</t>
        </is>
      </c>
      <c r="P137" t="n">
        <v>2</v>
      </c>
      <c r="Q137" t="n">
        <v>0.45</v>
      </c>
      <c r="R137" t="n">
        <v>7.55</v>
      </c>
      <c r="S137" t="n">
        <v>0</v>
      </c>
      <c r="T137" t="n">
        <v>0</v>
      </c>
      <c r="U137" t="n">
        <v>0</v>
      </c>
      <c r="V137" t="n">
        <v>0</v>
      </c>
      <c r="W137" t="n">
        <v>260</v>
      </c>
      <c r="X137" t="n">
        <v>0</v>
      </c>
      <c r="Y137" t="n">
        <v>0</v>
      </c>
      <c r="Z137" t="n">
        <v>110</v>
      </c>
      <c r="AA137" t="n">
        <v>55</v>
      </c>
      <c r="AB137" t="n">
        <v>0</v>
      </c>
      <c r="AC137" t="inlineStr">
        <is>
          <t>Ground</t>
        </is>
      </c>
      <c r="AD137" t="inlineStr"/>
      <c r="AE137" t="n">
        <v>0</v>
      </c>
      <c r="AF137" t="inlineStr">
        <is>
          <t>Medium</t>
        </is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n">
        <v>49</v>
      </c>
      <c r="AO137" t="n">
        <v>8</v>
      </c>
      <c r="AP137" t="inlineStr">
        <is>
          <t>T2</t>
        </is>
      </c>
      <c r="AQ137" t="inlineStr"/>
      <c r="AR137" t="inlineStr"/>
      <c r="AS137" t="inlineStr">
        <is>
          <t>xe</t>
        </is>
      </c>
      <c r="AT137" t="inlineStr">
        <is>
          <t>attack_helicopter</t>
        </is>
      </c>
      <c r="AU137" t="n">
        <v>1</v>
      </c>
      <c r="AV137" t="inlineStr">
        <is>
          <t>attack_helicopter:0</t>
        </is>
      </c>
      <c r="AW137" t="n">
        <v>0</v>
      </c>
      <c r="AX137" t="b">
        <v>0</v>
      </c>
      <c r="AY137" t="inlineStr"/>
      <c r="AZ137">
        <f>IF(AND($AX$137,$AW$137&gt;$AA$137/$Z$137),$AW$137,$AA$137/$Z$137)</f>
        <v/>
      </c>
      <c r="BA137" t="n">
        <v>0.5</v>
      </c>
      <c r="BB137" t="n">
        <v>60</v>
      </c>
      <c r="BC137" t="n">
        <v>10</v>
      </c>
      <c r="BD137" t="inlineStr">
        <is>
          <t>atgm</t>
        </is>
      </c>
      <c r="BE137" t="inlineStr">
        <is>
          <t>air-launched: ripples ~1 s apart, est. 6 s an aimed shot</t>
        </is>
      </c>
      <c r="BG137" t="inlineStr">
        <is>
          <t>doi</t>
        </is>
      </c>
      <c r="BR137" t="n">
        <v>26</v>
      </c>
      <c r="BS137" t="n">
        <v>110</v>
      </c>
      <c r="CR137" t="n">
        <v>2</v>
      </c>
      <c r="CS137" t="n">
        <v>0.45</v>
      </c>
      <c r="DD137" t="n">
        <v>7.55</v>
      </c>
      <c r="DE137" t="n">
        <v>260</v>
      </c>
      <c r="DF137" t="inlineStr">
        <is>
          <t>ShapedCharge</t>
        </is>
      </c>
      <c r="DJ137" t="inlineStr">
        <is>
          <t>atgm</t>
        </is>
      </c>
      <c r="DS137" t="inlineStr">
        <is>
          <t>Medium</t>
        </is>
      </c>
      <c r="DW137" t="n">
        <v>8</v>
      </c>
      <c r="EB137" t="n">
        <v>4</v>
      </c>
      <c r="EE137" t="b">
        <v>1</v>
      </c>
      <c r="EH137" t="inlineStr">
        <is>
          <t>Missile</t>
        </is>
      </c>
      <c r="EJ137" t="n">
        <v>0.65</v>
      </c>
      <c r="EP137" t="n">
        <v>55</v>
      </c>
      <c r="EQ137" t="inlineStr">
        <is>
          <t>AGM-114L Hellfire Longbow</t>
        </is>
      </c>
      <c r="EX137" t="n">
        <v>49</v>
      </c>
      <c r="FW137" t="inlineStr">
        <is>
          <t>Ground</t>
        </is>
      </c>
      <c r="FZ137" t="n">
        <v>9</v>
      </c>
      <c r="GA137" t="inlineStr">
        <is>
          <t>agm_114_hellfire</t>
        </is>
      </c>
      <c r="GB137" t="inlineStr">
        <is>
          <t>atgm_agm_114l_hellfire_longbow</t>
        </is>
      </c>
      <c r="GD137" t="inlineStr">
        <is>
          <t>Assets/MachineBrigade/Resources/Data/balance.json: weapons[266]</t>
        </is>
      </c>
      <c r="GE137" t="inlineStr">
        <is>
          <t>{"id":"hellfire_standoff","weaponFamilyId":"atgm_agm_114l_hellfire_longbow","weaponFamily":"agm_114_hellfire","load":8,"real":"AGM-114L Hellfire Longbow","family":"atgm","size":49,"warheadKg":9,"pen":4,"piercing":true,"projectileScale":0.65,"damageType":"ShapedCharge","damage":260,"cooldown":7.55,"range":55,"impactTier":"Medium","projectile":"Missile","targets":"Ground","burst":2,"burstInterval":0.45}</t>
        </is>
      </c>
    </row>
    <row r="138">
      <c r="A138" t="inlineStr">
        <is>
          <t>hellfire_volley</t>
        </is>
      </c>
      <c r="B138" t="inlineStr">
        <is>
          <t>AGM-114L Hellfire Longbow</t>
        </is>
      </c>
      <c r="C138" t="inlineStr">
        <is>
          <t>atgm_agm_114l_hellfire_longbow</t>
        </is>
      </c>
      <c r="D138" t="inlineStr"/>
      <c r="E138" t="inlineStr">
        <is>
          <t>agm_114_hellfire</t>
        </is>
      </c>
      <c r="F138" t="inlineStr">
        <is>
          <t>atgm</t>
        </is>
      </c>
      <c r="G138" t="inlineStr"/>
      <c r="H138" t="n">
        <v>9</v>
      </c>
      <c r="I138" t="inlineStr"/>
      <c r="J138" t="inlineStr"/>
      <c r="K138" t="inlineStr">
        <is>
          <t>ShapedCharge</t>
        </is>
      </c>
      <c r="L138" t="n">
        <v>4</v>
      </c>
      <c r="M138" t="inlineStr">
        <is>
          <t>Missile</t>
        </is>
      </c>
      <c r="N138" t="n">
        <v>1</v>
      </c>
      <c r="O138" t="inlineStr">
        <is>
          <t>RIPPLE</t>
        </is>
      </c>
      <c r="P138" t="n">
        <v>2</v>
      </c>
      <c r="Q138" t="n">
        <v>0.45</v>
      </c>
      <c r="R138" t="n">
        <v>10.64</v>
      </c>
      <c r="S138" t="n">
        <v>0</v>
      </c>
      <c r="T138" t="n">
        <v>0</v>
      </c>
      <c r="U138" t="n">
        <v>0</v>
      </c>
      <c r="V138" t="n">
        <v>0</v>
      </c>
      <c r="W138" t="n">
        <v>260</v>
      </c>
      <c r="X138" t="n">
        <v>0</v>
      </c>
      <c r="Y138" t="n">
        <v>0</v>
      </c>
      <c r="Z138" t="n">
        <v>110</v>
      </c>
      <c r="AA138" t="n">
        <v>45</v>
      </c>
      <c r="AB138" t="n">
        <v>0</v>
      </c>
      <c r="AC138" t="inlineStr">
        <is>
          <t>Ground</t>
        </is>
      </c>
      <c r="AD138" t="inlineStr"/>
      <c r="AE138" t="n">
        <v>0</v>
      </c>
      <c r="AF138" t="inlineStr">
        <is>
          <t>Medium</t>
        </is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n">
        <v>49</v>
      </c>
      <c r="AO138" t="n">
        <v>8</v>
      </c>
      <c r="AP138" t="inlineStr">
        <is>
          <t>T2</t>
        </is>
      </c>
      <c r="AQ138" t="inlineStr"/>
      <c r="AR138" t="inlineStr"/>
      <c r="AS138" t="inlineStr">
        <is>
          <t>xe</t>
        </is>
      </c>
      <c r="AT138" t="inlineStr">
        <is>
          <t>elite_attack_helicopter</t>
        </is>
      </c>
      <c r="AU138" t="n">
        <v>1</v>
      </c>
      <c r="AV138" t="inlineStr">
        <is>
          <t>elite_attack_helicopter:0</t>
        </is>
      </c>
      <c r="AW138" t="n">
        <v>0</v>
      </c>
      <c r="AX138" t="b">
        <v>0</v>
      </c>
      <c r="AY138" t="inlineStr"/>
      <c r="AZ138">
        <f>IF(AND($AX$138,$AW$138&gt;$AA$138/$Z$138),$AW$138,$AA$138/$Z$138)</f>
        <v/>
      </c>
      <c r="BA138" t="n">
        <v>0.4090909090909091</v>
      </c>
      <c r="BB138" t="n">
        <v>60</v>
      </c>
      <c r="BC138" t="n">
        <v>10</v>
      </c>
      <c r="BD138" t="inlineStr">
        <is>
          <t>atgm</t>
        </is>
      </c>
      <c r="BE138" t="inlineStr">
        <is>
          <t>air-launched: ripples ~1 s apart, est. 6 s an aimed shot</t>
        </is>
      </c>
      <c r="BG138" t="inlineStr">
        <is>
          <t>doi</t>
        </is>
      </c>
      <c r="BR138" t="n">
        <v>26</v>
      </c>
      <c r="BS138" t="n">
        <v>110</v>
      </c>
      <c r="CR138" t="n">
        <v>2</v>
      </c>
      <c r="CS138" t="n">
        <v>0.45</v>
      </c>
      <c r="DD138" t="n">
        <v>10.64</v>
      </c>
      <c r="DE138" t="n">
        <v>260</v>
      </c>
      <c r="DF138" t="inlineStr">
        <is>
          <t>ShapedCharge</t>
        </is>
      </c>
      <c r="DJ138" t="inlineStr">
        <is>
          <t>atgm</t>
        </is>
      </c>
      <c r="DS138" t="inlineStr">
        <is>
          <t>Medium</t>
        </is>
      </c>
      <c r="DW138" t="n">
        <v>8</v>
      </c>
      <c r="EB138" t="n">
        <v>4</v>
      </c>
      <c r="EE138" t="b">
        <v>1</v>
      </c>
      <c r="EH138" t="inlineStr">
        <is>
          <t>Missile</t>
        </is>
      </c>
      <c r="EJ138" t="n">
        <v>0.65</v>
      </c>
      <c r="EP138" t="n">
        <v>45</v>
      </c>
      <c r="EQ138" t="inlineStr">
        <is>
          <t>AGM-114L Hellfire Longbow</t>
        </is>
      </c>
      <c r="EX138" t="n">
        <v>49</v>
      </c>
      <c r="FZ138" t="n">
        <v>9</v>
      </c>
      <c r="GA138" t="inlineStr">
        <is>
          <t>agm_114_hellfire</t>
        </is>
      </c>
      <c r="GB138" t="inlineStr">
        <is>
          <t>atgm_agm_114l_hellfire_longbow</t>
        </is>
      </c>
      <c r="GD138" t="inlineStr">
        <is>
          <t>Assets/MachineBrigade/Resources/Data/balance.json: weapons[94]</t>
        </is>
      </c>
      <c r="GE138" t="inlineStr">
        <is>
          <t>{"id":"hellfire_volley","weaponFamilyId":"atgm_agm_114l_hellfire_longbow","weaponFamily":"agm_114_hellfire","load":8,"real":"AGM-114L Hellfire Longbow","family":"atgm","size":49,"warheadKg":9,"pen":4,"piercing":true,"projectileScale":0.65,"damageType":"ShapedCharge","damage":260,"cooldown":10.64,"range":45,"impactTier":"Medium","projectile":"Missile","burst":2,"burstInterval":0.45}</t>
        </is>
      </c>
    </row>
    <row r="139">
      <c r="A139" t="inlineStr">
        <is>
          <t>hind_rockets</t>
        </is>
      </c>
      <c r="B139" t="inlineStr">
        <is>
          <t>S-8 80 mm</t>
        </is>
      </c>
      <c r="C139" t="inlineStr">
        <is>
          <t>rkt_70_80</t>
        </is>
      </c>
      <c r="D139" t="inlineStr"/>
      <c r="E139" t="inlineStr">
        <is>
          <t>s_8_80_mm</t>
        </is>
      </c>
      <c r="F139" t="inlineStr">
        <is>
          <t>rocket</t>
        </is>
      </c>
      <c r="G139" t="n">
        <v>80</v>
      </c>
      <c r="H139" t="inlineStr"/>
      <c r="I139" t="inlineStr"/>
      <c r="J139" t="inlineStr"/>
      <c r="K139" t="inlineStr">
        <is>
          <t>HighExplosive</t>
        </is>
      </c>
      <c r="L139" t="n">
        <v>2</v>
      </c>
      <c r="M139" t="inlineStr">
        <is>
          <t>Rocket</t>
        </is>
      </c>
      <c r="N139" t="n">
        <v>1</v>
      </c>
      <c r="O139" t="inlineStr">
        <is>
          <t>RIPPLE</t>
        </is>
      </c>
      <c r="P139" t="n">
        <v>38</v>
      </c>
      <c r="Q139" t="n">
        <v>0.07000000000000001</v>
      </c>
      <c r="R139" t="n">
        <v>6.86</v>
      </c>
      <c r="S139" t="n">
        <v>0</v>
      </c>
      <c r="T139" t="n">
        <v>0</v>
      </c>
      <c r="U139" t="n">
        <v>0</v>
      </c>
      <c r="V139" t="n">
        <v>0</v>
      </c>
      <c r="W139" t="n">
        <v>32</v>
      </c>
      <c r="X139" t="n">
        <v>3</v>
      </c>
      <c r="Y139" t="n">
        <v>0</v>
      </c>
      <c r="Z139" t="n">
        <v>180</v>
      </c>
      <c r="AA139" t="n">
        <v>36</v>
      </c>
      <c r="AB139" t="n">
        <v>0</v>
      </c>
      <c r="AC139" t="inlineStr">
        <is>
          <t>Ground</t>
        </is>
      </c>
      <c r="AD139" t="inlineStr"/>
      <c r="AE139" t="n">
        <v>3.5</v>
      </c>
      <c r="AF139" t="inlineStr">
        <is>
          <t>Medium</t>
        </is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n">
        <v>80</v>
      </c>
      <c r="AO139" t="n">
        <v>0</v>
      </c>
      <c r="AP139" t="inlineStr">
        <is>
          <t>T2</t>
        </is>
      </c>
      <c r="AQ139" t="inlineStr"/>
      <c r="AR139" t="inlineStr"/>
      <c r="AS139" t="inlineStr"/>
      <c r="AT139" t="inlineStr"/>
      <c r="AU139" t="n">
        <v>0</v>
      </c>
      <c r="AV139" t="inlineStr"/>
      <c r="AW139" t="n">
        <v>0</v>
      </c>
      <c r="AX139" t="b">
        <v>0</v>
      </c>
      <c r="AY139" t="inlineStr"/>
      <c r="AZ139">
        <f>IF(AND($AX$139,$AW$139&gt;$AA$139/$Z$139),$AW$139,$AA$139/$Z$139)</f>
        <v/>
      </c>
      <c r="BA139" t="n">
        <v>0.2</v>
      </c>
      <c r="BB139" t="n">
        <v>900</v>
      </c>
      <c r="BC139" t="inlineStr"/>
      <c r="BD139" t="inlineStr">
        <is>
          <t>rocket</t>
        </is>
      </c>
      <c r="BE139" t="inlineStr">
        <is>
          <t>rocket pods: ripples of 0.05-0.12 s (DECISIONS 19R)</t>
        </is>
      </c>
      <c r="BG139" t="inlineStr">
        <is>
          <t>doi</t>
        </is>
      </c>
      <c r="BR139" t="n">
        <v>40</v>
      </c>
      <c r="BS139" t="n">
        <v>180</v>
      </c>
      <c r="CR139" t="n">
        <v>38</v>
      </c>
      <c r="CS139" t="n">
        <v>0.07000000000000001</v>
      </c>
      <c r="CT139" t="n">
        <v>80</v>
      </c>
      <c r="DD139" t="n">
        <v>6.86</v>
      </c>
      <c r="DE139" t="n">
        <v>32</v>
      </c>
      <c r="DF139" t="inlineStr">
        <is>
          <t>HighExplosive</t>
        </is>
      </c>
      <c r="DJ139" t="inlineStr">
        <is>
          <t>rocket</t>
        </is>
      </c>
      <c r="DS139" t="inlineStr">
        <is>
          <t>Medium</t>
        </is>
      </c>
      <c r="EB139" t="n">
        <v>2</v>
      </c>
      <c r="EH139" t="inlineStr">
        <is>
          <t>Rocket</t>
        </is>
      </c>
      <c r="EJ139" t="n">
        <v>0.9</v>
      </c>
      <c r="EP139" t="n">
        <v>36</v>
      </c>
      <c r="EQ139" t="inlineStr">
        <is>
          <t>S-8 80 mm</t>
        </is>
      </c>
      <c r="EX139" t="n">
        <v>80</v>
      </c>
      <c r="EZ139" t="n">
        <v>3.5</v>
      </c>
      <c r="GA139" t="inlineStr">
        <is>
          <t>s_8_80_mm</t>
        </is>
      </c>
      <c r="GB139" t="inlineStr">
        <is>
          <t>rkt_70_80</t>
        </is>
      </c>
      <c r="GD139" t="inlineStr">
        <is>
          <t>Assets/MachineBrigade/Resources/Data/balance.json: weapons[84]</t>
        </is>
      </c>
      <c r="GE139" t="inlineStr">
        <is>
          <t>{"id":"hind_rockets","weaponFamilyId":"rkt_70_80","weaponFamily":"s_8_80_mm","real":"S-8 80 mm","family":"rocket","size":80,"caliberMm":80,"pen":2,"projectileScale":0.9,"damageType":"HighExplosive","damage":32,"cooldown":6.86,"range":36,"spread":3.5,"impactTier":"Medium","projectile":"Rocket","burst":38,"burstInterval":0.07}</t>
        </is>
      </c>
    </row>
    <row r="140">
      <c r="A140" t="inlineStr">
        <is>
          <t>hmg_roof</t>
        </is>
      </c>
      <c r="B140" t="inlineStr">
        <is>
          <t>M2 Browning 12.7 mm</t>
        </is>
      </c>
      <c r="C140" t="inlineStr">
        <is>
          <t>cal_12_7</t>
        </is>
      </c>
      <c r="D140" t="inlineStr"/>
      <c r="E140" t="inlineStr">
        <is>
          <t>m2_browning_12_7_mm</t>
        </is>
      </c>
      <c r="F140" t="inlineStr">
        <is>
          <t>mg</t>
        </is>
      </c>
      <c r="G140" t="n">
        <v>12.7</v>
      </c>
      <c r="H140" t="inlineStr"/>
      <c r="I140" t="inlineStr"/>
      <c r="J140" t="inlineStr"/>
      <c r="K140" t="inlineStr">
        <is>
          <t>Kinetic</t>
        </is>
      </c>
      <c r="L140" t="n">
        <v>1</v>
      </c>
      <c r="M140" t="inlineStr">
        <is>
          <t>Bullet</t>
        </is>
      </c>
      <c r="N140" t="n">
        <v>1</v>
      </c>
      <c r="O140" t="inlineStr">
        <is>
          <t>RIPPLE</t>
        </is>
      </c>
      <c r="P140" t="n">
        <v>1</v>
      </c>
      <c r="Q140" t="n">
        <v>0.1</v>
      </c>
      <c r="R140" t="n">
        <v>0.1111</v>
      </c>
      <c r="S140" t="n">
        <v>100</v>
      </c>
      <c r="T140" t="n">
        <v>5.1111</v>
      </c>
      <c r="U140" t="n">
        <v>0</v>
      </c>
      <c r="V140" t="n">
        <v>0</v>
      </c>
      <c r="W140" t="n">
        <v>9.5</v>
      </c>
      <c r="X140" t="n">
        <v>0</v>
      </c>
      <c r="Y140" t="n">
        <v>0</v>
      </c>
      <c r="Z140" t="n">
        <v>230</v>
      </c>
      <c r="AA140" t="n">
        <v>30</v>
      </c>
      <c r="AB140" t="n">
        <v>0</v>
      </c>
      <c r="AC140" t="inlineStr">
        <is>
          <t>All</t>
        </is>
      </c>
      <c r="AD140" t="inlineStr"/>
      <c r="AE140" t="n">
        <v>1.3</v>
      </c>
      <c r="AF140" t="inlineStr">
        <is>
          <t>Small</t>
        </is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n">
        <v>12.7</v>
      </c>
      <c r="AO140" t="n">
        <v>0</v>
      </c>
      <c r="AP140" t="inlineStr">
        <is>
          <t>T0</t>
        </is>
      </c>
      <c r="AQ140" t="inlineStr"/>
      <c r="AR140" t="inlineStr">
        <is>
          <t>hmg_roof_api</t>
        </is>
      </c>
      <c r="AS140" t="inlineStr">
        <is>
          <t>thap;xe</t>
        </is>
      </c>
      <c r="AT140" t="inlineStr">
        <is>
          <t>armored_bulldozer;elite_heavy_tank;elite_mbt;elite_tank_destroyer;heavy_tank;heavy_turret.bastion;landing_craft;main_battle_tank;missile_boat;tank_destroyer;titan_tank;twin_tank;wheeled_gun</t>
        </is>
      </c>
      <c r="AU140" t="n">
        <v>13</v>
      </c>
      <c r="AV140" t="inlineStr">
        <is>
          <t>armored_bulldozer:1;elite_heavy_tank:2;elite_mbt:2;elite_tank_destroyer:1;heavy_tank:2;heavy_turret.bastion:1;heavy_turret.bastion:2;landing_craft:0;main_battle_tank:2;missile_boat:1;tank_destroyer:1;titan_tank:2;twin_tank:2;wheeled_gun:2</t>
        </is>
      </c>
      <c r="AW140" t="n">
        <v>0</v>
      </c>
      <c r="AX140" t="b">
        <v>0</v>
      </c>
      <c r="AY140" t="inlineStr"/>
      <c r="AZ140">
        <f>IF(AND($AX$140,$AW$140&gt;$AA$140/$Z$140),$AW$140,$AA$140/$Z$140)</f>
        <v/>
      </c>
      <c r="BA140" t="n">
        <v>0.1304347826086956</v>
      </c>
      <c r="BB140" t="n">
        <v>600</v>
      </c>
      <c r="BC140" t="n">
        <v>40</v>
      </c>
      <c r="BD140" t="inlineStr">
        <is>
          <t>mg</t>
        </is>
      </c>
      <c r="BE140" t="inlineStr">
        <is>
          <t>US Army FM 3-22.65: cyclic 450-600, rapid 40 rpm</t>
        </is>
      </c>
      <c r="BG140" t="inlineStr">
        <is>
          <t>giong</t>
        </is>
      </c>
      <c r="CT140" t="n">
        <v>12.7</v>
      </c>
      <c r="CW140" t="n">
        <v>100</v>
      </c>
      <c r="CX140" t="n">
        <v>5.1111</v>
      </c>
      <c r="DD140" t="n">
        <v>0.1111</v>
      </c>
      <c r="DE140" t="n">
        <v>9.5</v>
      </c>
      <c r="DF140" t="inlineStr">
        <is>
          <t>Kinetic</t>
        </is>
      </c>
      <c r="DJ140" t="inlineStr">
        <is>
          <t>mg</t>
        </is>
      </c>
      <c r="DS140" t="inlineStr">
        <is>
          <t>Small</t>
        </is>
      </c>
      <c r="EB140" t="n">
        <v>1</v>
      </c>
      <c r="EH140" t="inlineStr">
        <is>
          <t>Bullet</t>
        </is>
      </c>
      <c r="EP140" t="n">
        <v>30</v>
      </c>
      <c r="EQ140" t="inlineStr">
        <is>
          <t>M2 Browning 12.7 mm</t>
        </is>
      </c>
      <c r="EX140" t="n">
        <v>12.7</v>
      </c>
      <c r="EZ140" t="n">
        <v>1.3</v>
      </c>
      <c r="FW140" t="inlineStr">
        <is>
          <t>All</t>
        </is>
      </c>
      <c r="GA140" t="inlineStr">
        <is>
          <t>m2_browning_12_7_mm</t>
        </is>
      </c>
      <c r="GB140" t="inlineStr">
        <is>
          <t>cal_12_7</t>
        </is>
      </c>
      <c r="GD140" t="inlineStr">
        <is>
          <t>Assets/MachineBrigade/Resources/Data/balance.json: weapons[2]</t>
        </is>
      </c>
      <c r="GE140" t="inlineStr">
        <is>
          <t>{"id":"hmg_roof","weaponFamilyId":"cal_12_7","weaponFamily":"m2_browning_12_7_mm","real":"M2 Browning 12.7 mm","family":"mg","size":12.7,"caliberMm":12.7,"pen":1,"damageType":"Kinetic","damage":9.5,"cooldown":0.1111,"range":30,"spread":1.3,"impactTier":"Small","projectile":"Bullet","targets":"All","clip":100,"clipReload":5.1111}</t>
        </is>
      </c>
    </row>
    <row r="141">
      <c r="A141" t="inlineStr">
        <is>
          <t>hmg_roof_api</t>
        </is>
      </c>
      <c r="B141" t="inlineStr">
        <is>
          <t>M2 Browning 12.7 mm API</t>
        </is>
      </c>
      <c r="C141" t="inlineStr">
        <is>
          <t>cal_12_7</t>
        </is>
      </c>
      <c r="D141" t="inlineStr"/>
      <c r="E141" t="inlineStr">
        <is>
          <t>m2_browning_12_7_mm_api</t>
        </is>
      </c>
      <c r="F141" t="inlineStr">
        <is>
          <t>mg</t>
        </is>
      </c>
      <c r="G141" t="n">
        <v>12.7</v>
      </c>
      <c r="H141" t="inlineStr"/>
      <c r="I141" t="inlineStr"/>
      <c r="J141" t="inlineStr"/>
      <c r="K141" t="inlineStr">
        <is>
          <t>Kinetic</t>
        </is>
      </c>
      <c r="L141" t="n">
        <v>2</v>
      </c>
      <c r="M141" t="inlineStr">
        <is>
          <t>Bullet</t>
        </is>
      </c>
      <c r="N141" t="n">
        <v>1</v>
      </c>
      <c r="O141" t="inlineStr">
        <is>
          <t>RIPPLE</t>
        </is>
      </c>
      <c r="P141" t="n">
        <v>1</v>
      </c>
      <c r="Q141" t="n">
        <v>0.1</v>
      </c>
      <c r="R141" t="n">
        <v>0.1111</v>
      </c>
      <c r="S141" t="n">
        <v>100</v>
      </c>
      <c r="T141" t="n">
        <v>5.1111</v>
      </c>
      <c r="U141" t="n">
        <v>0</v>
      </c>
      <c r="V141" t="n">
        <v>0</v>
      </c>
      <c r="W141" t="n">
        <v>9.5</v>
      </c>
      <c r="X141" t="n">
        <v>0</v>
      </c>
      <c r="Y141" t="n">
        <v>0</v>
      </c>
      <c r="Z141" t="n">
        <v>230</v>
      </c>
      <c r="AA141" t="n">
        <v>30</v>
      </c>
      <c r="AB141" t="n">
        <v>0</v>
      </c>
      <c r="AC141" t="inlineStr">
        <is>
          <t>All</t>
        </is>
      </c>
      <c r="AD141" t="inlineStr"/>
      <c r="AE141" t="n">
        <v>1.3</v>
      </c>
      <c r="AF141" t="inlineStr">
        <is>
          <t>Small</t>
        </is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n">
        <v>12.7</v>
      </c>
      <c r="AO141" t="n">
        <v>0</v>
      </c>
      <c r="AP141" t="inlineStr">
        <is>
          <t>T0</t>
        </is>
      </c>
      <c r="AQ141" t="inlineStr">
        <is>
          <t>hmg_roof</t>
        </is>
      </c>
      <c r="AR141" t="inlineStr"/>
      <c r="AS141" t="inlineStr"/>
      <c r="AT141" t="inlineStr"/>
      <c r="AU141" t="n">
        <v>0</v>
      </c>
      <c r="AV141" t="inlineStr"/>
      <c r="AW141" t="n">
        <v>0</v>
      </c>
      <c r="AX141" t="b">
        <v>0</v>
      </c>
      <c r="AY141" t="inlineStr"/>
      <c r="AZ141">
        <f>IF(AND($AX$141,$AW$141&gt;$AA$141/$Z$141),$AW$141,$AA$141/$Z$141)</f>
        <v/>
      </c>
      <c r="BA141" t="n">
        <v>0.1304347826086956</v>
      </c>
      <c r="BB141" t="n">
        <v>600</v>
      </c>
      <c r="BC141" t="n">
        <v>40</v>
      </c>
      <c r="BD141" t="inlineStr">
        <is>
          <t>mg</t>
        </is>
      </c>
      <c r="BE141" t="inlineStr">
        <is>
          <t>US Army FM 3-22.65: cyclic 450-600, rapid 40 rpm</t>
        </is>
      </c>
      <c r="BG141" t="inlineStr">
        <is>
          <t>giong</t>
        </is>
      </c>
      <c r="DE141" t="n">
        <v>9.5</v>
      </c>
      <c r="DF141" t="inlineStr">
        <is>
          <t>Kinetic</t>
        </is>
      </c>
      <c r="DH141" t="b">
        <v>1</v>
      </c>
      <c r="DM141" t="inlineStr">
        <is>
          <t>any</t>
        </is>
      </c>
      <c r="DN141" t="inlineStr">
        <is>
          <t>BulletBig</t>
        </is>
      </c>
      <c r="DT141" t="inlineStr">
        <is>
          <t>hmg_roof</t>
        </is>
      </c>
      <c r="EB141" t="n">
        <v>2</v>
      </c>
      <c r="EE141" t="b">
        <v>1</v>
      </c>
      <c r="EQ141" t="inlineStr">
        <is>
          <t>M2 Browning 12.7 mm API</t>
        </is>
      </c>
      <c r="ES141" t="inlineStr">
        <is>
          <t>api</t>
        </is>
      </c>
      <c r="EU141" t="inlineStr">
        <is>
          <t>hmg_roof</t>
        </is>
      </c>
      <c r="GA141" t="inlineStr">
        <is>
          <t>m2_browning_12_7_mm_api</t>
        </is>
      </c>
      <c r="GD141" t="inlineStr">
        <is>
          <t>Assets/MachineBrigade/Resources/Data/balance.json: secondRounds.rounds[39]</t>
        </is>
      </c>
      <c r="GE141" t="inlineStr">
        <is>
          <t>{"id":"hmg_roof_api","roundOf":"hmg_roof","inherits":"hmg_roof","weaponFamily":"m2_browning_12_7_mm_api","round":"api","for":["any"],"elite":true,"real":"M2 Browning 12.7 mm API","damageType":"Kinetic","pen":2,"damage":9.5,"form":"BulletBig","piercing":true}</t>
        </is>
      </c>
    </row>
    <row r="142">
      <c r="A142" t="inlineStr">
        <is>
          <t>hmg_selfdef_15</t>
        </is>
      </c>
      <c r="B142" t="inlineStr">
        <is>
          <t>M2 Browning 12.7 mm</t>
        </is>
      </c>
      <c r="C142" t="inlineStr">
        <is>
          <t>cal_12_7</t>
        </is>
      </c>
      <c r="D142" t="inlineStr"/>
      <c r="E142" t="inlineStr">
        <is>
          <t>m2_browning_12_7_mm</t>
        </is>
      </c>
      <c r="F142" t="inlineStr">
        <is>
          <t>mg</t>
        </is>
      </c>
      <c r="G142" t="n">
        <v>12.7</v>
      </c>
      <c r="H142" t="inlineStr"/>
      <c r="I142" t="inlineStr"/>
      <c r="J142" t="inlineStr"/>
      <c r="K142" t="inlineStr">
        <is>
          <t>Kinetic</t>
        </is>
      </c>
      <c r="L142" t="n">
        <v>1</v>
      </c>
      <c r="M142" t="inlineStr">
        <is>
          <t>Bullet</t>
        </is>
      </c>
      <c r="N142" t="n">
        <v>1</v>
      </c>
      <c r="O142" t="inlineStr">
        <is>
          <t>RIPPLE</t>
        </is>
      </c>
      <c r="P142" t="n">
        <v>1</v>
      </c>
      <c r="Q142" t="n">
        <v>0.1</v>
      </c>
      <c r="R142" t="n">
        <v>0.1111</v>
      </c>
      <c r="S142" t="n">
        <v>100</v>
      </c>
      <c r="T142" t="n">
        <v>5.1111</v>
      </c>
      <c r="U142" t="n">
        <v>0</v>
      </c>
      <c r="V142" t="n">
        <v>0</v>
      </c>
      <c r="W142" t="n">
        <v>9.5</v>
      </c>
      <c r="X142" t="n">
        <v>0</v>
      </c>
      <c r="Y142" t="n">
        <v>0</v>
      </c>
      <c r="Z142" t="n">
        <v>230</v>
      </c>
      <c r="AA142" t="n">
        <v>15</v>
      </c>
      <c r="AB142" t="n">
        <v>0</v>
      </c>
      <c r="AC142" t="inlineStr">
        <is>
          <t>All</t>
        </is>
      </c>
      <c r="AD142" t="inlineStr"/>
      <c r="AE142" t="n">
        <v>1.3</v>
      </c>
      <c r="AF142" t="inlineStr">
        <is>
          <t>Small</t>
        </is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n">
        <v>12.7</v>
      </c>
      <c r="AO142" t="n">
        <v>0</v>
      </c>
      <c r="AP142" t="inlineStr">
        <is>
          <t>T0</t>
        </is>
      </c>
      <c r="AQ142" t="inlineStr">
        <is>
          <t>hmg_roof</t>
        </is>
      </c>
      <c r="AR142" t="inlineStr">
        <is>
          <t>hmg_selfdef_15_api</t>
        </is>
      </c>
      <c r="AS142" t="inlineStr">
        <is>
          <t>xe</t>
        </is>
      </c>
      <c r="AT142" t="inlineStr">
        <is>
          <t>ammo_carrier;artillery;command_vehicle;demolition_line_vehicle;elite_artillery;elite_grad;elite_mlrs;engineer_vehicle;ew_jammer;gps_jammer_vehicle;mine_layer;shahed_truck;shield_carrier</t>
        </is>
      </c>
      <c r="AU142" t="n">
        <v>13</v>
      </c>
      <c r="AV142" t="inlineStr">
        <is>
          <t>ammo_carrier:0;artillery:1;command_vehicle:0;demolition_line_vehicle:0;elite_artillery:1;elite_grad:1;elite_mlrs:1;engineer_vehicle:0;ew_jammer:0;gps_jammer_vehicle:0;mine_layer:0;shahed_truck:1;shield_carrier:0</t>
        </is>
      </c>
      <c r="AW142" t="n">
        <v>0</v>
      </c>
      <c r="AX142" t="b">
        <v>0</v>
      </c>
      <c r="AY142" t="inlineStr"/>
      <c r="AZ142">
        <f>IF(AND($AX$142,$AW$142&gt;$AA$142/$Z$142),$AW$142,$AA$142/$Z$142)</f>
        <v/>
      </c>
      <c r="BA142" t="n">
        <v>0.06521739130434782</v>
      </c>
      <c r="BB142" t="n">
        <v>600</v>
      </c>
      <c r="BC142" t="n">
        <v>40</v>
      </c>
      <c r="BD142" t="inlineStr">
        <is>
          <t>mg</t>
        </is>
      </c>
      <c r="BE142" t="inlineStr">
        <is>
          <t>US Army FM 3-22.65: cyclic 450-600, rapid 40 rpm</t>
        </is>
      </c>
      <c r="BG142" t="inlineStr">
        <is>
          <t>giong</t>
        </is>
      </c>
      <c r="DT142" t="inlineStr">
        <is>
          <t>hmg_roof</t>
        </is>
      </c>
      <c r="EP142" t="n">
        <v>15</v>
      </c>
      <c r="GA142" t="inlineStr">
        <is>
          <t>m2_browning_12_7_mm</t>
        </is>
      </c>
      <c r="GD142" t="inlineStr">
        <is>
          <t>Assets/MachineBrigade/Resources/Data/balance.json: weapons[5]</t>
        </is>
      </c>
      <c r="GE142" t="inlineStr">
        <is>
          <t>{"id":"hmg_selfdef_15","weaponFamily":"m2_browning_12_7_mm","inherits":"hmg_roof","range":15}</t>
        </is>
      </c>
    </row>
    <row r="143">
      <c r="A143" t="inlineStr">
        <is>
          <t>hmg_selfdef_15_api</t>
        </is>
      </c>
      <c r="B143" t="inlineStr">
        <is>
          <t>M2 Browning 12.7 mm API</t>
        </is>
      </c>
      <c r="C143" t="inlineStr">
        <is>
          <t>cal_12_7</t>
        </is>
      </c>
      <c r="D143" t="inlineStr"/>
      <c r="E143" t="inlineStr">
        <is>
          <t>m2_browning_12_7_mm_api</t>
        </is>
      </c>
      <c r="F143" t="inlineStr">
        <is>
          <t>mg</t>
        </is>
      </c>
      <c r="G143" t="n">
        <v>12.7</v>
      </c>
      <c r="H143" t="inlineStr"/>
      <c r="I143" t="inlineStr"/>
      <c r="J143" t="inlineStr"/>
      <c r="K143" t="inlineStr">
        <is>
          <t>Kinetic</t>
        </is>
      </c>
      <c r="L143" t="n">
        <v>2</v>
      </c>
      <c r="M143" t="inlineStr">
        <is>
          <t>Bullet</t>
        </is>
      </c>
      <c r="N143" t="n">
        <v>1</v>
      </c>
      <c r="O143" t="inlineStr">
        <is>
          <t>RIPPLE</t>
        </is>
      </c>
      <c r="P143" t="n">
        <v>1</v>
      </c>
      <c r="Q143" t="n">
        <v>0.1</v>
      </c>
      <c r="R143" t="n">
        <v>0.1111</v>
      </c>
      <c r="S143" t="n">
        <v>100</v>
      </c>
      <c r="T143" t="n">
        <v>5.1111</v>
      </c>
      <c r="U143" t="n">
        <v>0</v>
      </c>
      <c r="V143" t="n">
        <v>0</v>
      </c>
      <c r="W143" t="n">
        <v>9.5</v>
      </c>
      <c r="X143" t="n">
        <v>0</v>
      </c>
      <c r="Y143" t="n">
        <v>0</v>
      </c>
      <c r="Z143" t="n">
        <v>230</v>
      </c>
      <c r="AA143" t="n">
        <v>15</v>
      </c>
      <c r="AB143" t="n">
        <v>0</v>
      </c>
      <c r="AC143" t="inlineStr">
        <is>
          <t>All</t>
        </is>
      </c>
      <c r="AD143" t="inlineStr"/>
      <c r="AE143" t="n">
        <v>1.3</v>
      </c>
      <c r="AF143" t="inlineStr">
        <is>
          <t>Small</t>
        </is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n">
        <v>12.7</v>
      </c>
      <c r="AO143" t="n">
        <v>0</v>
      </c>
      <c r="AP143" t="inlineStr">
        <is>
          <t>T0</t>
        </is>
      </c>
      <c r="AQ143" t="inlineStr">
        <is>
          <t>hmg_selfdef_15</t>
        </is>
      </c>
      <c r="AR143" t="inlineStr"/>
      <c r="AS143" t="inlineStr"/>
      <c r="AT143" t="inlineStr"/>
      <c r="AU143" t="n">
        <v>0</v>
      </c>
      <c r="AV143" t="inlineStr"/>
      <c r="AW143" t="n">
        <v>0</v>
      </c>
      <c r="AX143" t="b">
        <v>0</v>
      </c>
      <c r="AY143" t="inlineStr"/>
      <c r="AZ143">
        <f>IF(AND($AX$143,$AW$143&gt;$AA$143/$Z$143),$AW$143,$AA$143/$Z$143)</f>
        <v/>
      </c>
      <c r="BA143" t="n">
        <v>0.06521739130434782</v>
      </c>
      <c r="BB143" t="n">
        <v>600</v>
      </c>
      <c r="BC143" t="n">
        <v>40</v>
      </c>
      <c r="BD143" t="inlineStr">
        <is>
          <t>mg</t>
        </is>
      </c>
      <c r="BE143" t="inlineStr">
        <is>
          <t>US Army FM 3-22.65: cyclic 450-600, rapid 40 rpm</t>
        </is>
      </c>
      <c r="BG143" t="inlineStr">
        <is>
          <t>giong</t>
        </is>
      </c>
      <c r="DE143" t="n">
        <v>9.5</v>
      </c>
      <c r="DF143" t="inlineStr">
        <is>
          <t>Kinetic</t>
        </is>
      </c>
      <c r="DH143" t="b">
        <v>1</v>
      </c>
      <c r="DM143" t="inlineStr">
        <is>
          <t>any</t>
        </is>
      </c>
      <c r="DN143" t="inlineStr">
        <is>
          <t>BulletBig</t>
        </is>
      </c>
      <c r="DT143" t="inlineStr">
        <is>
          <t>hmg_selfdef_15</t>
        </is>
      </c>
      <c r="EB143" t="n">
        <v>2</v>
      </c>
      <c r="EE143" t="b">
        <v>1</v>
      </c>
      <c r="EQ143" t="inlineStr">
        <is>
          <t>M2 Browning 12.7 mm API</t>
        </is>
      </c>
      <c r="ES143" t="inlineStr">
        <is>
          <t>api</t>
        </is>
      </c>
      <c r="EU143" t="inlineStr">
        <is>
          <t>hmg_selfdef_15</t>
        </is>
      </c>
      <c r="GA143" t="inlineStr">
        <is>
          <t>m2_browning_12_7_mm_api</t>
        </is>
      </c>
      <c r="GD143" t="inlineStr">
        <is>
          <t>Assets/MachineBrigade/Resources/Data/balance.json: secondRounds.rounds[40]</t>
        </is>
      </c>
      <c r="GE143" t="inlineStr">
        <is>
          <t>{"id":"hmg_selfdef_15_api","roundOf":"hmg_selfdef_15","inherits":"hmg_selfdef_15","weaponFamily":"m2_browning_12_7_mm_api","round":"api","for":["any"],"elite":true,"real":"M2 Browning 12.7 mm API","damageType":"Kinetic","pen":2,"damage":9.5,"form":"BulletBig","piercing":true}</t>
        </is>
      </c>
    </row>
    <row r="144">
      <c r="A144" t="inlineStr">
        <is>
          <t>hmg_selfdef_18</t>
        </is>
      </c>
      <c r="B144" t="inlineStr">
        <is>
          <t>M2 Browning 12.7 mm</t>
        </is>
      </c>
      <c r="C144" t="inlineStr">
        <is>
          <t>cal_12_7</t>
        </is>
      </c>
      <c r="D144" t="inlineStr"/>
      <c r="E144" t="inlineStr">
        <is>
          <t>m2_browning_12_7_mm</t>
        </is>
      </c>
      <c r="F144" t="inlineStr">
        <is>
          <t>mg</t>
        </is>
      </c>
      <c r="G144" t="n">
        <v>12.7</v>
      </c>
      <c r="H144" t="inlineStr"/>
      <c r="I144" t="inlineStr"/>
      <c r="J144" t="inlineStr"/>
      <c r="K144" t="inlineStr">
        <is>
          <t>Kinetic</t>
        </is>
      </c>
      <c r="L144" t="n">
        <v>1</v>
      </c>
      <c r="M144" t="inlineStr">
        <is>
          <t>Bullet</t>
        </is>
      </c>
      <c r="N144" t="n">
        <v>1</v>
      </c>
      <c r="O144" t="inlineStr">
        <is>
          <t>RIPPLE</t>
        </is>
      </c>
      <c r="P144" t="n">
        <v>1</v>
      </c>
      <c r="Q144" t="n">
        <v>0.1</v>
      </c>
      <c r="R144" t="n">
        <v>0.1111</v>
      </c>
      <c r="S144" t="n">
        <v>100</v>
      </c>
      <c r="T144" t="n">
        <v>5.1111</v>
      </c>
      <c r="U144" t="n">
        <v>0</v>
      </c>
      <c r="V144" t="n">
        <v>0</v>
      </c>
      <c r="W144" t="n">
        <v>9.5</v>
      </c>
      <c r="X144" t="n">
        <v>0</v>
      </c>
      <c r="Y144" t="n">
        <v>0</v>
      </c>
      <c r="Z144" t="n">
        <v>230</v>
      </c>
      <c r="AA144" t="n">
        <v>18</v>
      </c>
      <c r="AB144" t="n">
        <v>0</v>
      </c>
      <c r="AC144" t="inlineStr">
        <is>
          <t>All</t>
        </is>
      </c>
      <c r="AD144" t="inlineStr"/>
      <c r="AE144" t="n">
        <v>1.3</v>
      </c>
      <c r="AF144" t="inlineStr">
        <is>
          <t>Small</t>
        </is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n">
        <v>12.7</v>
      </c>
      <c r="AO144" t="n">
        <v>0</v>
      </c>
      <c r="AP144" t="inlineStr">
        <is>
          <t>T0</t>
        </is>
      </c>
      <c r="AQ144" t="inlineStr">
        <is>
          <t>hmg_roof</t>
        </is>
      </c>
      <c r="AR144" t="inlineStr">
        <is>
          <t>hmg_selfdef_18_api</t>
        </is>
      </c>
      <c r="AS144" t="inlineStr">
        <is>
          <t>xe</t>
        </is>
      </c>
      <c r="AT144" t="inlineStr">
        <is>
          <t>elite_fpv_carrier;fpv_carrier;mortar_carrier;sp_mortar;thermobaric_launcher</t>
        </is>
      </c>
      <c r="AU144" t="n">
        <v>5</v>
      </c>
      <c r="AV144" t="inlineStr">
        <is>
          <t>elite_fpv_carrier:1;fpv_carrier:1;mortar_carrier:1;sp_mortar:1;thermobaric_launcher:1</t>
        </is>
      </c>
      <c r="AW144" t="n">
        <v>0</v>
      </c>
      <c r="AX144" t="b">
        <v>0</v>
      </c>
      <c r="AY144" t="inlineStr"/>
      <c r="AZ144">
        <f>IF(AND($AX$144,$AW$144&gt;$AA$144/$Z$144),$AW$144,$AA$144/$Z$144)</f>
        <v/>
      </c>
      <c r="BA144" t="n">
        <v>0.0782608695652174</v>
      </c>
      <c r="BB144" t="n">
        <v>600</v>
      </c>
      <c r="BC144" t="n">
        <v>40</v>
      </c>
      <c r="BD144" t="inlineStr">
        <is>
          <t>mg</t>
        </is>
      </c>
      <c r="BE144" t="inlineStr">
        <is>
          <t>US Army FM 3-22.65: cyclic 450-600, rapid 40 rpm</t>
        </is>
      </c>
      <c r="BG144" t="inlineStr">
        <is>
          <t>giong</t>
        </is>
      </c>
      <c r="DT144" t="inlineStr">
        <is>
          <t>hmg_roof</t>
        </is>
      </c>
      <c r="EP144" t="n">
        <v>18</v>
      </c>
      <c r="GA144" t="inlineStr">
        <is>
          <t>m2_browning_12_7_mm</t>
        </is>
      </c>
      <c r="GD144" t="inlineStr">
        <is>
          <t>Assets/MachineBrigade/Resources/Data/balance.json: weapons[4]</t>
        </is>
      </c>
      <c r="GE144" t="inlineStr">
        <is>
          <t>{"id":"hmg_selfdef_18","weaponFamily":"m2_browning_12_7_mm","inherits":"hmg_roof","range":18}</t>
        </is>
      </c>
    </row>
    <row r="145">
      <c r="A145" t="inlineStr">
        <is>
          <t>hmg_selfdef_18_api</t>
        </is>
      </c>
      <c r="B145" t="inlineStr">
        <is>
          <t>M2 Browning 12.7 mm API</t>
        </is>
      </c>
      <c r="C145" t="inlineStr">
        <is>
          <t>cal_12_7</t>
        </is>
      </c>
      <c r="D145" t="inlineStr"/>
      <c r="E145" t="inlineStr">
        <is>
          <t>m2_browning_12_7_mm_api</t>
        </is>
      </c>
      <c r="F145" t="inlineStr">
        <is>
          <t>mg</t>
        </is>
      </c>
      <c r="G145" t="n">
        <v>12.7</v>
      </c>
      <c r="H145" t="inlineStr"/>
      <c r="I145" t="inlineStr"/>
      <c r="J145" t="inlineStr"/>
      <c r="K145" t="inlineStr">
        <is>
          <t>Kinetic</t>
        </is>
      </c>
      <c r="L145" t="n">
        <v>2</v>
      </c>
      <c r="M145" t="inlineStr">
        <is>
          <t>Bullet</t>
        </is>
      </c>
      <c r="N145" t="n">
        <v>1</v>
      </c>
      <c r="O145" t="inlineStr">
        <is>
          <t>RIPPLE</t>
        </is>
      </c>
      <c r="P145" t="n">
        <v>1</v>
      </c>
      <c r="Q145" t="n">
        <v>0.1</v>
      </c>
      <c r="R145" t="n">
        <v>0.1111</v>
      </c>
      <c r="S145" t="n">
        <v>100</v>
      </c>
      <c r="T145" t="n">
        <v>5.1111</v>
      </c>
      <c r="U145" t="n">
        <v>0</v>
      </c>
      <c r="V145" t="n">
        <v>0</v>
      </c>
      <c r="W145" t="n">
        <v>9.5</v>
      </c>
      <c r="X145" t="n">
        <v>0</v>
      </c>
      <c r="Y145" t="n">
        <v>0</v>
      </c>
      <c r="Z145" t="n">
        <v>230</v>
      </c>
      <c r="AA145" t="n">
        <v>18</v>
      </c>
      <c r="AB145" t="n">
        <v>0</v>
      </c>
      <c r="AC145" t="inlineStr">
        <is>
          <t>All</t>
        </is>
      </c>
      <c r="AD145" t="inlineStr"/>
      <c r="AE145" t="n">
        <v>1.3</v>
      </c>
      <c r="AF145" t="inlineStr">
        <is>
          <t>Small</t>
        </is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n">
        <v>12.7</v>
      </c>
      <c r="AO145" t="n">
        <v>0</v>
      </c>
      <c r="AP145" t="inlineStr">
        <is>
          <t>T0</t>
        </is>
      </c>
      <c r="AQ145" t="inlineStr">
        <is>
          <t>hmg_selfdef_18</t>
        </is>
      </c>
      <c r="AR145" t="inlineStr"/>
      <c r="AS145" t="inlineStr"/>
      <c r="AT145" t="inlineStr"/>
      <c r="AU145" t="n">
        <v>0</v>
      </c>
      <c r="AV145" t="inlineStr"/>
      <c r="AW145" t="n">
        <v>0</v>
      </c>
      <c r="AX145" t="b">
        <v>0</v>
      </c>
      <c r="AY145" t="inlineStr"/>
      <c r="AZ145">
        <f>IF(AND($AX$145,$AW$145&gt;$AA$145/$Z$145),$AW$145,$AA$145/$Z$145)</f>
        <v/>
      </c>
      <c r="BA145" t="n">
        <v>0.0782608695652174</v>
      </c>
      <c r="BB145" t="n">
        <v>600</v>
      </c>
      <c r="BC145" t="n">
        <v>40</v>
      </c>
      <c r="BD145" t="inlineStr">
        <is>
          <t>mg</t>
        </is>
      </c>
      <c r="BE145" t="inlineStr">
        <is>
          <t>US Army FM 3-22.65: cyclic 450-600, rapid 40 rpm</t>
        </is>
      </c>
      <c r="BG145" t="inlineStr">
        <is>
          <t>giong</t>
        </is>
      </c>
      <c r="DE145" t="n">
        <v>9.5</v>
      </c>
      <c r="DF145" t="inlineStr">
        <is>
          <t>Kinetic</t>
        </is>
      </c>
      <c r="DH145" t="b">
        <v>1</v>
      </c>
      <c r="DM145" t="inlineStr">
        <is>
          <t>any</t>
        </is>
      </c>
      <c r="DN145" t="inlineStr">
        <is>
          <t>BulletBig</t>
        </is>
      </c>
      <c r="DT145" t="inlineStr">
        <is>
          <t>hmg_selfdef_18</t>
        </is>
      </c>
      <c r="EB145" t="n">
        <v>2</v>
      </c>
      <c r="EE145" t="b">
        <v>1</v>
      </c>
      <c r="EQ145" t="inlineStr">
        <is>
          <t>M2 Browning 12.7 mm API</t>
        </is>
      </c>
      <c r="ES145" t="inlineStr">
        <is>
          <t>api</t>
        </is>
      </c>
      <c r="EU145" t="inlineStr">
        <is>
          <t>hmg_selfdef_18</t>
        </is>
      </c>
      <c r="GA145" t="inlineStr">
        <is>
          <t>m2_browning_12_7_mm_api</t>
        </is>
      </c>
      <c r="GD145" t="inlineStr">
        <is>
          <t>Assets/MachineBrigade/Resources/Data/balance.json: secondRounds.rounds[41]</t>
        </is>
      </c>
      <c r="GE145" t="inlineStr">
        <is>
          <t>{"id":"hmg_selfdef_18_api","roundOf":"hmg_selfdef_18","inherits":"hmg_selfdef_18","weaponFamily":"m2_browning_12_7_mm_api","round":"api","for":["any"],"elite":true,"real":"M2 Browning 12.7 mm API","damageType":"Kinetic","pen":2,"damage":9.5,"form":"BulletBig","piercing":true}</t>
        </is>
      </c>
    </row>
    <row r="146">
      <c r="A146" t="inlineStr">
        <is>
          <t>hmg_selfdef_21</t>
        </is>
      </c>
      <c r="B146" t="inlineStr">
        <is>
          <t>M2 Browning 12.7 mm</t>
        </is>
      </c>
      <c r="C146" t="inlineStr">
        <is>
          <t>cal_12_7</t>
        </is>
      </c>
      <c r="D146" t="inlineStr"/>
      <c r="E146" t="inlineStr">
        <is>
          <t>m2_browning_12_7_mm</t>
        </is>
      </c>
      <c r="F146" t="inlineStr">
        <is>
          <t>mg</t>
        </is>
      </c>
      <c r="G146" t="n">
        <v>12.7</v>
      </c>
      <c r="H146" t="inlineStr"/>
      <c r="I146" t="inlineStr"/>
      <c r="J146" t="inlineStr"/>
      <c r="K146" t="inlineStr">
        <is>
          <t>Kinetic</t>
        </is>
      </c>
      <c r="L146" t="n">
        <v>1</v>
      </c>
      <c r="M146" t="inlineStr">
        <is>
          <t>Bullet</t>
        </is>
      </c>
      <c r="N146" t="n">
        <v>1</v>
      </c>
      <c r="O146" t="inlineStr">
        <is>
          <t>RIPPLE</t>
        </is>
      </c>
      <c r="P146" t="n">
        <v>1</v>
      </c>
      <c r="Q146" t="n">
        <v>0.1</v>
      </c>
      <c r="R146" t="n">
        <v>0.1111</v>
      </c>
      <c r="S146" t="n">
        <v>100</v>
      </c>
      <c r="T146" t="n">
        <v>5.1111</v>
      </c>
      <c r="U146" t="n">
        <v>0</v>
      </c>
      <c r="V146" t="n">
        <v>0</v>
      </c>
      <c r="W146" t="n">
        <v>9.5</v>
      </c>
      <c r="X146" t="n">
        <v>0</v>
      </c>
      <c r="Y146" t="n">
        <v>0</v>
      </c>
      <c r="Z146" t="n">
        <v>230</v>
      </c>
      <c r="AA146" t="n">
        <v>21</v>
      </c>
      <c r="AB146" t="n">
        <v>0</v>
      </c>
      <c r="AC146" t="inlineStr">
        <is>
          <t>All</t>
        </is>
      </c>
      <c r="AD146" t="inlineStr"/>
      <c r="AE146" t="n">
        <v>1.3</v>
      </c>
      <c r="AF146" t="inlineStr">
        <is>
          <t>Small</t>
        </is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n">
        <v>12.7</v>
      </c>
      <c r="AO146" t="n">
        <v>0</v>
      </c>
      <c r="AP146" t="inlineStr">
        <is>
          <t>T0</t>
        </is>
      </c>
      <c r="AQ146" t="inlineStr">
        <is>
          <t>hmg_roof</t>
        </is>
      </c>
      <c r="AR146" t="inlineStr">
        <is>
          <t>hmg_selfdef_21_api</t>
        </is>
      </c>
      <c r="AS146" t="inlineStr">
        <is>
          <t>xe</t>
        </is>
      </c>
      <c r="AT146" t="inlineStr">
        <is>
          <t>siege_tank</t>
        </is>
      </c>
      <c r="AU146" t="n">
        <v>1</v>
      </c>
      <c r="AV146" t="inlineStr">
        <is>
          <t>siege_tank:2</t>
        </is>
      </c>
      <c r="AW146" t="n">
        <v>0</v>
      </c>
      <c r="AX146" t="b">
        <v>0</v>
      </c>
      <c r="AY146" t="inlineStr"/>
      <c r="AZ146">
        <f>IF(AND($AX$146,$AW$146&gt;$AA$146/$Z$146),$AW$146,$AA$146/$Z$146)</f>
        <v/>
      </c>
      <c r="BA146" t="n">
        <v>0.09130434782608696</v>
      </c>
      <c r="BB146" t="n">
        <v>600</v>
      </c>
      <c r="BC146" t="n">
        <v>40</v>
      </c>
      <c r="BD146" t="inlineStr">
        <is>
          <t>mg</t>
        </is>
      </c>
      <c r="BE146" t="inlineStr">
        <is>
          <t>US Army FM 3-22.65: cyclic 450-600, rapid 40 rpm</t>
        </is>
      </c>
      <c r="BG146" t="inlineStr">
        <is>
          <t>giong</t>
        </is>
      </c>
      <c r="DT146" t="inlineStr">
        <is>
          <t>hmg_roof</t>
        </is>
      </c>
      <c r="EP146" t="n">
        <v>21</v>
      </c>
      <c r="GA146" t="inlineStr">
        <is>
          <t>m2_browning_12_7_mm</t>
        </is>
      </c>
      <c r="GD146" t="inlineStr">
        <is>
          <t>Assets/MachineBrigade/Resources/Data/balance.json: weapons[3]</t>
        </is>
      </c>
      <c r="GE146" t="inlineStr">
        <is>
          <t>{"id":"hmg_selfdef_21","weaponFamily":"m2_browning_12_7_mm","inherits":"hmg_roof","range":21}</t>
        </is>
      </c>
    </row>
    <row r="147">
      <c r="A147" t="inlineStr">
        <is>
          <t>hmg_selfdef_21_api</t>
        </is>
      </c>
      <c r="B147" t="inlineStr">
        <is>
          <t>M2 Browning 12.7 mm API</t>
        </is>
      </c>
      <c r="C147" t="inlineStr">
        <is>
          <t>cal_12_7</t>
        </is>
      </c>
      <c r="D147" t="inlineStr"/>
      <c r="E147" t="inlineStr">
        <is>
          <t>m2_browning_12_7_mm_api</t>
        </is>
      </c>
      <c r="F147" t="inlineStr">
        <is>
          <t>mg</t>
        </is>
      </c>
      <c r="G147" t="n">
        <v>12.7</v>
      </c>
      <c r="H147" t="inlineStr"/>
      <c r="I147" t="inlineStr"/>
      <c r="J147" t="inlineStr"/>
      <c r="K147" t="inlineStr">
        <is>
          <t>Kinetic</t>
        </is>
      </c>
      <c r="L147" t="n">
        <v>2</v>
      </c>
      <c r="M147" t="inlineStr">
        <is>
          <t>Bullet</t>
        </is>
      </c>
      <c r="N147" t="n">
        <v>1</v>
      </c>
      <c r="O147" t="inlineStr">
        <is>
          <t>RIPPLE</t>
        </is>
      </c>
      <c r="P147" t="n">
        <v>1</v>
      </c>
      <c r="Q147" t="n">
        <v>0.1</v>
      </c>
      <c r="R147" t="n">
        <v>0.1111</v>
      </c>
      <c r="S147" t="n">
        <v>100</v>
      </c>
      <c r="T147" t="n">
        <v>5.1111</v>
      </c>
      <c r="U147" t="n">
        <v>0</v>
      </c>
      <c r="V147" t="n">
        <v>0</v>
      </c>
      <c r="W147" t="n">
        <v>9.5</v>
      </c>
      <c r="X147" t="n">
        <v>0</v>
      </c>
      <c r="Y147" t="n">
        <v>0</v>
      </c>
      <c r="Z147" t="n">
        <v>230</v>
      </c>
      <c r="AA147" t="n">
        <v>21</v>
      </c>
      <c r="AB147" t="n">
        <v>0</v>
      </c>
      <c r="AC147" t="inlineStr">
        <is>
          <t>All</t>
        </is>
      </c>
      <c r="AD147" t="inlineStr"/>
      <c r="AE147" t="n">
        <v>1.3</v>
      </c>
      <c r="AF147" t="inlineStr">
        <is>
          <t>Small</t>
        </is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n">
        <v>12.7</v>
      </c>
      <c r="AO147" t="n">
        <v>0</v>
      </c>
      <c r="AP147" t="inlineStr">
        <is>
          <t>T0</t>
        </is>
      </c>
      <c r="AQ147" t="inlineStr">
        <is>
          <t>hmg_selfdef_21</t>
        </is>
      </c>
      <c r="AR147" t="inlineStr"/>
      <c r="AS147" t="inlineStr"/>
      <c r="AT147" t="inlineStr"/>
      <c r="AU147" t="n">
        <v>0</v>
      </c>
      <c r="AV147" t="inlineStr"/>
      <c r="AW147" t="n">
        <v>0</v>
      </c>
      <c r="AX147" t="b">
        <v>0</v>
      </c>
      <c r="AY147" t="inlineStr"/>
      <c r="AZ147">
        <f>IF(AND($AX$147,$AW$147&gt;$AA$147/$Z$147),$AW$147,$AA$147/$Z$147)</f>
        <v/>
      </c>
      <c r="BA147" t="n">
        <v>0.09130434782608696</v>
      </c>
      <c r="BB147" t="n">
        <v>600</v>
      </c>
      <c r="BC147" t="n">
        <v>40</v>
      </c>
      <c r="BD147" t="inlineStr">
        <is>
          <t>mg</t>
        </is>
      </c>
      <c r="BE147" t="inlineStr">
        <is>
          <t>US Army FM 3-22.65: cyclic 450-600, rapid 40 rpm</t>
        </is>
      </c>
      <c r="BG147" t="inlineStr">
        <is>
          <t>giong</t>
        </is>
      </c>
      <c r="DE147" t="n">
        <v>9.5</v>
      </c>
      <c r="DF147" t="inlineStr">
        <is>
          <t>Kinetic</t>
        </is>
      </c>
      <c r="DH147" t="b">
        <v>1</v>
      </c>
      <c r="DM147" t="inlineStr">
        <is>
          <t>any</t>
        </is>
      </c>
      <c r="DN147" t="inlineStr">
        <is>
          <t>BulletBig</t>
        </is>
      </c>
      <c r="DT147" t="inlineStr">
        <is>
          <t>hmg_selfdef_21</t>
        </is>
      </c>
      <c r="EB147" t="n">
        <v>2</v>
      </c>
      <c r="EE147" t="b">
        <v>1</v>
      </c>
      <c r="EQ147" t="inlineStr">
        <is>
          <t>M2 Browning 12.7 mm API</t>
        </is>
      </c>
      <c r="ES147" t="inlineStr">
        <is>
          <t>api</t>
        </is>
      </c>
      <c r="EU147" t="inlineStr">
        <is>
          <t>hmg_selfdef_21</t>
        </is>
      </c>
      <c r="GA147" t="inlineStr">
        <is>
          <t>m2_browning_12_7_mm_api</t>
        </is>
      </c>
      <c r="GD147" t="inlineStr">
        <is>
          <t>Assets/MachineBrigade/Resources/Data/balance.json: secondRounds.rounds[42]</t>
        </is>
      </c>
      <c r="GE147" t="inlineStr">
        <is>
          <t>{"id":"hmg_selfdef_21_api","roundOf":"hmg_selfdef_21","inherits":"hmg_selfdef_21","weaponFamily":"m2_browning_12_7_mm_api","round":"api","for":["any"],"elite":true,"real":"M2 Browning 12.7 mm API","damageType":"Kinetic","pen":2,"damage":9.5,"form":"BulletBig","piercing":true}</t>
        </is>
      </c>
    </row>
    <row r="148">
      <c r="A148" t="inlineStr">
        <is>
          <t>hover_ciws</t>
        </is>
      </c>
      <c r="B148" t="inlineStr">
        <is>
          <t>AK-630 30 mm</t>
        </is>
      </c>
      <c r="C148" t="inlineStr">
        <is>
          <t>cal_30</t>
        </is>
      </c>
      <c r="D148" t="inlineStr">
        <is>
          <t>ciws</t>
        </is>
      </c>
      <c r="E148" t="inlineStr">
        <is>
          <t>ak_630_30_mm</t>
        </is>
      </c>
      <c r="F148" t="inlineStr">
        <is>
          <t>autocannon</t>
        </is>
      </c>
      <c r="G148" t="n">
        <v>30</v>
      </c>
      <c r="H148" t="inlineStr"/>
      <c r="I148" t="inlineStr"/>
      <c r="J148" t="inlineStr"/>
      <c r="K148" t="inlineStr">
        <is>
          <t>Kinetic</t>
        </is>
      </c>
      <c r="L148" t="n">
        <v>2</v>
      </c>
      <c r="M148" t="inlineStr">
        <is>
          <t>Bullet</t>
        </is>
      </c>
      <c r="N148" t="n">
        <v>1</v>
      </c>
      <c r="O148" t="inlineStr">
        <is>
          <t>RIPPLE</t>
        </is>
      </c>
      <c r="P148" t="n">
        <v>1</v>
      </c>
      <c r="Q148" t="n">
        <v>0.1</v>
      </c>
      <c r="R148" t="n">
        <v>0.0167</v>
      </c>
      <c r="S148" t="n">
        <v>60</v>
      </c>
      <c r="T148" t="n">
        <v>5.0167</v>
      </c>
      <c r="U148" t="n">
        <v>0</v>
      </c>
      <c r="V148" t="n">
        <v>0</v>
      </c>
      <c r="W148" t="n">
        <v>12</v>
      </c>
      <c r="X148" t="n">
        <v>0</v>
      </c>
      <c r="Y148" t="n">
        <v>0</v>
      </c>
      <c r="Z148" t="n">
        <v>300</v>
      </c>
      <c r="AA148" t="n">
        <v>34</v>
      </c>
      <c r="AB148" t="n">
        <v>0</v>
      </c>
      <c r="AC148" t="inlineStr">
        <is>
          <t>All</t>
        </is>
      </c>
      <c r="AD148" t="inlineStr"/>
      <c r="AE148" t="n">
        <v>1.3</v>
      </c>
      <c r="AF148" t="inlineStr">
        <is>
          <t>Small</t>
        </is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n">
        <v>30</v>
      </c>
      <c r="AO148" t="n">
        <v>0</v>
      </c>
      <c r="AP148" t="inlineStr">
        <is>
          <t>T1</t>
        </is>
      </c>
      <c r="AQ148" t="inlineStr"/>
      <c r="AR148" t="inlineStr">
        <is>
          <t>hover_ciws_flak</t>
        </is>
      </c>
      <c r="AS148" t="inlineStr">
        <is>
          <t>boss;xe</t>
        </is>
      </c>
      <c r="AT148" t="inlineStr">
        <is>
          <t>hover_gunboat;landing_hovercraft;sea_corvette;sea_cruiser</t>
        </is>
      </c>
      <c r="AU148" t="n">
        <v>4</v>
      </c>
      <c r="AV148" t="inlineStr">
        <is>
          <t>hover_gunboat:0;landing_hovercraft:0;landing_hovercraft:1;sea_corvette:1;sea_cruiser:2;sea_cruiser:3</t>
        </is>
      </c>
      <c r="AW148" t="n">
        <v>0</v>
      </c>
      <c r="AX148" t="b">
        <v>0</v>
      </c>
      <c r="AY148" t="inlineStr"/>
      <c r="AZ148">
        <f>IF(AND($AX$148,$AW$148&gt;$AA$148/$Z$148),$AW$148,$AA$148/$Z$148)</f>
        <v/>
      </c>
      <c r="BA148" t="n">
        <v>0.1133333333333333</v>
      </c>
      <c r="BB148" t="n">
        <v>5000</v>
      </c>
      <c r="BC148" t="n">
        <v>1000</v>
      </c>
      <c r="BD148" t="inlineStr">
        <is>
          <t>aa</t>
        </is>
      </c>
      <c r="BE148" t="inlineStr">
        <is>
          <t>Wikipedia 'AK-630': 4,000-5,000 rpm, 2,000-round belt</t>
        </is>
      </c>
      <c r="BG148" t="inlineStr">
        <is>
          <t>giong</t>
        </is>
      </c>
      <c r="CT148" t="n">
        <v>30</v>
      </c>
      <c r="CW148" t="n">
        <v>60</v>
      </c>
      <c r="CX148" t="n">
        <v>5.0167</v>
      </c>
      <c r="DD148" t="n">
        <v>0.0167</v>
      </c>
      <c r="DE148" t="n">
        <v>12</v>
      </c>
      <c r="DF148" t="inlineStr">
        <is>
          <t>Kinetic</t>
        </is>
      </c>
      <c r="DJ148" t="inlineStr">
        <is>
          <t>autocannon</t>
        </is>
      </c>
      <c r="DS148" t="inlineStr">
        <is>
          <t>Small</t>
        </is>
      </c>
      <c r="EB148" t="n">
        <v>2</v>
      </c>
      <c r="EH148" t="inlineStr">
        <is>
          <t>Bullet</t>
        </is>
      </c>
      <c r="EP148" t="n">
        <v>34</v>
      </c>
      <c r="EQ148" t="inlineStr">
        <is>
          <t>AK-630 30 mm</t>
        </is>
      </c>
      <c r="EX148" t="n">
        <v>30</v>
      </c>
      <c r="EZ148" t="n">
        <v>1.3</v>
      </c>
      <c r="FW148" t="inlineStr">
        <is>
          <t>All</t>
        </is>
      </c>
      <c r="GA148" t="inlineStr">
        <is>
          <t>ak_630_30_mm</t>
        </is>
      </c>
      <c r="GB148" t="inlineStr">
        <is>
          <t>cal_30</t>
        </is>
      </c>
      <c r="GC148" t="inlineStr">
        <is>
          <t>ciws</t>
        </is>
      </c>
      <c r="GD148" t="inlineStr">
        <is>
          <t>Assets/MachineBrigade/Resources/Data/balance.json: weapons[250]</t>
        </is>
      </c>
      <c r="GE148" t="inlineStr">
        <is>
          <t>{"id":"hover_ciws","weaponFamilyId":"cal_30","weaponVariantId":"ciws","weaponFamily":"ak_630_30_mm","real":"AK-630 30 mm","family":"autocannon","size":30,"caliberMm":30,"pen":2,"damageType":"Kinetic","damage":12,"cooldown":0.0167,"range":34,"spread":1.3,"impactTier":"Small","projectile":"Bullet","targets":"All","clip":60,"clipReload":5.0167}</t>
        </is>
      </c>
    </row>
    <row r="149">
      <c r="A149" t="inlineStr">
        <is>
          <t>hover_ciws_flak</t>
        </is>
      </c>
      <c r="B149" t="inlineStr">
        <is>
          <t>AK-630 30 mm air-burst</t>
        </is>
      </c>
      <c r="C149" t="inlineStr">
        <is>
          <t>cal_30</t>
        </is>
      </c>
      <c r="D149" t="inlineStr">
        <is>
          <t>flak</t>
        </is>
      </c>
      <c r="E149" t="inlineStr">
        <is>
          <t>ak_630_30_mm_air_burst</t>
        </is>
      </c>
      <c r="F149" t="inlineStr">
        <is>
          <t>autocannon</t>
        </is>
      </c>
      <c r="G149" t="n">
        <v>30</v>
      </c>
      <c r="H149" t="inlineStr"/>
      <c r="I149" t="inlineStr"/>
      <c r="J149" t="inlineStr"/>
      <c r="K149" t="inlineStr">
        <is>
          <t>Fragmentation</t>
        </is>
      </c>
      <c r="L149" t="n">
        <v>2</v>
      </c>
      <c r="M149" t="inlineStr">
        <is>
          <t>Bullet</t>
        </is>
      </c>
      <c r="N149" t="n">
        <v>1</v>
      </c>
      <c r="O149" t="inlineStr">
        <is>
          <t>RIPPLE</t>
        </is>
      </c>
      <c r="P149" t="n">
        <v>1</v>
      </c>
      <c r="Q149" t="n">
        <v>0.1</v>
      </c>
      <c r="R149" t="n">
        <v>0.0167</v>
      </c>
      <c r="S149" t="n">
        <v>60</v>
      </c>
      <c r="T149" t="n">
        <v>5.0167</v>
      </c>
      <c r="U149" t="n">
        <v>0</v>
      </c>
      <c r="V149" t="n">
        <v>0</v>
      </c>
      <c r="W149" t="n">
        <v>12</v>
      </c>
      <c r="X149" t="n">
        <v>2.5</v>
      </c>
      <c r="Y149" t="n">
        <v>0</v>
      </c>
      <c r="Z149" t="n">
        <v>300</v>
      </c>
      <c r="AA149" t="n">
        <v>34</v>
      </c>
      <c r="AB149" t="n">
        <v>0</v>
      </c>
      <c r="AC149" t="inlineStr">
        <is>
          <t>Air</t>
        </is>
      </c>
      <c r="AD149" t="inlineStr"/>
      <c r="AE149" t="n">
        <v>1.3</v>
      </c>
      <c r="AF149" t="inlineStr">
        <is>
          <t>Small</t>
        </is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n">
        <v>30</v>
      </c>
      <c r="AO149" t="n">
        <v>0</v>
      </c>
      <c r="AP149" t="inlineStr">
        <is>
          <t>T1</t>
        </is>
      </c>
      <c r="AQ149" t="inlineStr">
        <is>
          <t>hover_ciws</t>
        </is>
      </c>
      <c r="AR149" t="inlineStr"/>
      <c r="AS149" t="inlineStr"/>
      <c r="AT149" t="inlineStr"/>
      <c r="AU149" t="n">
        <v>0</v>
      </c>
      <c r="AV149" t="inlineStr"/>
      <c r="AW149" t="n">
        <v>0</v>
      </c>
      <c r="AX149" t="b">
        <v>0</v>
      </c>
      <c r="AY149" t="inlineStr"/>
      <c r="AZ149">
        <f>IF(AND($AX$149,$AW$149&gt;$AA$149/$Z$149),$AW$149,$AA$149/$Z$149)</f>
        <v/>
      </c>
      <c r="BA149" t="n">
        <v>0.1133333333333333</v>
      </c>
      <c r="BB149" t="n">
        <v>5000</v>
      </c>
      <c r="BC149" t="n">
        <v>1000</v>
      </c>
      <c r="BD149" t="inlineStr">
        <is>
          <t>aa</t>
        </is>
      </c>
      <c r="BE149" t="inlineStr">
        <is>
          <t>Wikipedia 'AK-630': 4,000-5,000 rpm, 2,000-round belt</t>
        </is>
      </c>
      <c r="BG149" t="inlineStr">
        <is>
          <t>giong</t>
        </is>
      </c>
      <c r="DE149" t="n">
        <v>12</v>
      </c>
      <c r="DF149" t="inlineStr">
        <is>
          <t>Fragmentation</t>
        </is>
      </c>
      <c r="DM149" t="inlineStr">
        <is>
          <t>air</t>
        </is>
      </c>
      <c r="DN149" t="inlineStr">
        <is>
          <t>Airburst</t>
        </is>
      </c>
      <c r="DT149" t="inlineStr">
        <is>
          <t>hover_ciws</t>
        </is>
      </c>
      <c r="EB149" t="n">
        <v>2</v>
      </c>
      <c r="EE149" t="b">
        <v>0</v>
      </c>
      <c r="EQ149" t="inlineStr">
        <is>
          <t>AK-630 30 mm air-burst</t>
        </is>
      </c>
      <c r="ES149" t="inlineStr">
        <is>
          <t>flak</t>
        </is>
      </c>
      <c r="EU149" t="inlineStr">
        <is>
          <t>hover_ciws</t>
        </is>
      </c>
      <c r="EY149" t="n">
        <v>2.5</v>
      </c>
      <c r="FW149" t="inlineStr">
        <is>
          <t>Air</t>
        </is>
      </c>
      <c r="GA149" t="inlineStr">
        <is>
          <t>ak_630_30_mm_air_burst</t>
        </is>
      </c>
      <c r="GC149" t="inlineStr">
        <is>
          <t>flak</t>
        </is>
      </c>
      <c r="GD149" t="inlineStr">
        <is>
          <t>Assets/MachineBrigade/Resources/Data/balance.json: secondRounds.rounds[43]</t>
        </is>
      </c>
      <c r="GE149" t="inlineStr">
        <is>
          <t>{"id":"hover_ciws_flak","roundOf":"hover_ciws","inherits":"hover_ciws","weaponVariantId":"flak","weaponFamily":"ak_630_30_mm_air_burst","round":"flak","for":["air"],"real":"AK-630 30 mm air-burst","damageType":"Fragmentation","pen":2,"damage":12,"splash":2.5,"form":"Airburst","piercing":false,"targets":"Air"}</t>
        </is>
      </c>
    </row>
    <row r="150">
      <c r="A150" t="inlineStr">
        <is>
          <t>hover_rockets</t>
        </is>
      </c>
      <c r="B150" t="inlineStr">
        <is>
          <t>A-22 Ogon 140 mm</t>
        </is>
      </c>
      <c r="C150" t="inlineStr">
        <is>
          <t>rkt_140</t>
        </is>
      </c>
      <c r="D150" t="inlineStr"/>
      <c r="E150" t="inlineStr"/>
      <c r="F150" t="inlineStr">
        <is>
          <t>rocket</t>
        </is>
      </c>
      <c r="G150" t="n">
        <v>140</v>
      </c>
      <c r="H150" t="inlineStr"/>
      <c r="I150" t="inlineStr"/>
      <c r="J150" t="inlineStr"/>
      <c r="K150" t="inlineStr">
        <is>
          <t>HighExplosive</t>
        </is>
      </c>
      <c r="L150" t="n">
        <v>2</v>
      </c>
      <c r="M150" t="inlineStr">
        <is>
          <t>Rocket</t>
        </is>
      </c>
      <c r="N150" t="n">
        <v>1</v>
      </c>
      <c r="O150" t="inlineStr">
        <is>
          <t>RIPPLE</t>
        </is>
      </c>
      <c r="P150" t="n">
        <v>11</v>
      </c>
      <c r="Q150" t="n">
        <v>0.5</v>
      </c>
      <c r="R150" t="n">
        <v>22</v>
      </c>
      <c r="S150" t="n">
        <v>0</v>
      </c>
      <c r="T150" t="n">
        <v>0</v>
      </c>
      <c r="U150" t="n">
        <v>0</v>
      </c>
      <c r="V150" t="n">
        <v>0</v>
      </c>
      <c r="W150" t="n">
        <v>65</v>
      </c>
      <c r="X150" t="n">
        <v>4</v>
      </c>
      <c r="Y150" t="n">
        <v>0</v>
      </c>
      <c r="Z150" t="n">
        <v>85</v>
      </c>
      <c r="AA150" t="n">
        <v>55</v>
      </c>
      <c r="AB150" t="n">
        <v>12</v>
      </c>
      <c r="AC150" t="inlineStr">
        <is>
          <t>Ground</t>
        </is>
      </c>
      <c r="AD150" t="inlineStr"/>
      <c r="AE150" t="n">
        <v>5.5</v>
      </c>
      <c r="AF150" t="inlineStr">
        <is>
          <t>Medium</t>
        </is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n">
        <v>140</v>
      </c>
      <c r="AO150" t="n">
        <v>0</v>
      </c>
      <c r="AP150" t="inlineStr">
        <is>
          <t>T3</t>
        </is>
      </c>
      <c r="AQ150" t="inlineStr"/>
      <c r="AR150" t="inlineStr"/>
      <c r="AS150" t="inlineStr">
        <is>
          <t>boss</t>
        </is>
      </c>
      <c r="AT150" t="inlineStr">
        <is>
          <t>landing_hovercraft</t>
        </is>
      </c>
      <c r="AU150" t="n">
        <v>1</v>
      </c>
      <c r="AV150" t="inlineStr">
        <is>
          <t>landing_hovercraft:3;landing_hovercraft:4</t>
        </is>
      </c>
      <c r="AW150" t="n">
        <v>0</v>
      </c>
      <c r="AX150" t="b">
        <v>0</v>
      </c>
      <c r="AY150" t="inlineStr"/>
      <c r="AZ150">
        <f>IF(AND($AX$150,$AW$150&gt;$AA$150/$Z$150),$AW$150,$AA$150/$Z$150)</f>
        <v/>
      </c>
      <c r="BA150" t="n">
        <v>0.6470588235294118</v>
      </c>
      <c r="BB150" t="n">
        <v>120</v>
      </c>
      <c r="BC150" t="inlineStr"/>
      <c r="BD150" t="inlineStr">
        <is>
          <t>rocket</t>
        </is>
      </c>
      <c r="BE150" t="inlineStr">
        <is>
          <t>A-22 Ogon 140 mm (Zubr hovercraft), est. 0.5 s a rocket</t>
        </is>
      </c>
      <c r="BF150" t="inlineStr">
        <is>
          <t>A-22 Ogon 140 mm: est. 0.5 s a rocket (0.1 s was too fast), the 22 s pause kept</t>
        </is>
      </c>
      <c r="BG150" t="inlineStr">
        <is>
          <t>doi</t>
        </is>
      </c>
      <c r="BR150" t="n">
        <v>50</v>
      </c>
      <c r="BS150" t="n">
        <v>85</v>
      </c>
      <c r="BV150" t="n">
        <v>0.1</v>
      </c>
      <c r="BW150" t="n">
        <v>0.5</v>
      </c>
      <c r="CR150" t="n">
        <v>11</v>
      </c>
      <c r="CS150" t="n">
        <v>0.5</v>
      </c>
      <c r="CT150" t="n">
        <v>140</v>
      </c>
      <c r="DD150" t="n">
        <v>22</v>
      </c>
      <c r="DE150" t="n">
        <v>65</v>
      </c>
      <c r="DF150" t="inlineStr">
        <is>
          <t>HighExplosive</t>
        </is>
      </c>
      <c r="DJ150" t="inlineStr">
        <is>
          <t>rocket</t>
        </is>
      </c>
      <c r="DS150" t="inlineStr">
        <is>
          <t>Medium</t>
        </is>
      </c>
      <c r="DZ150" t="n">
        <v>12</v>
      </c>
      <c r="EB150" t="n">
        <v>2</v>
      </c>
      <c r="EH150" t="inlineStr">
        <is>
          <t>Rocket</t>
        </is>
      </c>
      <c r="EI150" t="inlineStr">
        <is>
          <t>grad</t>
        </is>
      </c>
      <c r="EK150" t="n">
        <v>85</v>
      </c>
      <c r="EP150" t="n">
        <v>55</v>
      </c>
      <c r="EQ150" t="inlineStr">
        <is>
          <t>A-22 Ogon 140 mm</t>
        </is>
      </c>
      <c r="EX150" t="n">
        <v>140</v>
      </c>
      <c r="EY150" t="n">
        <v>4</v>
      </c>
      <c r="EZ150" t="n">
        <v>5.5</v>
      </c>
      <c r="GB150" t="inlineStr">
        <is>
          <t>rkt_140</t>
        </is>
      </c>
      <c r="GD150" t="inlineStr">
        <is>
          <t>Assets/MachineBrigade/Resources/Data/balance.json: weapons[260]</t>
        </is>
      </c>
      <c r="GE150" t="inlineStr">
        <is>
          <t>{"id":"hover_rockets","weaponFamilyId":"rkt_140","real":"A-22 Ogon 140 mm","family":"rocket","size":140,"caliberMm":140,"pen":2,"projectileModel":"grad","damageType":"HighExplosive","damage":65,"cooldown":22,"range":55,"minRange":12,"projectileSpeed":85,"splash":4,"spread":5.5,"impactTier":"Medium","projectile":"Rocket","burst":11,"burstInterval":0.5}</t>
        </is>
      </c>
    </row>
    <row r="151">
      <c r="A151" t="inlineStr">
        <is>
          <t>howitzer</t>
        </is>
      </c>
      <c r="B151" t="inlineStr">
        <is>
          <t>M284 155 mm</t>
        </is>
      </c>
      <c r="C151" t="inlineStr">
        <is>
          <t>cal_152_155</t>
        </is>
      </c>
      <c r="D151" t="inlineStr"/>
      <c r="E151" t="inlineStr">
        <is>
          <t>m284_155_mm_2</t>
        </is>
      </c>
      <c r="F151" t="inlineStr">
        <is>
          <t>howitzer</t>
        </is>
      </c>
      <c r="G151" t="n">
        <v>155</v>
      </c>
      <c r="H151" t="inlineStr"/>
      <c r="I151" t="inlineStr"/>
      <c r="J151" t="inlineStr"/>
      <c r="K151" t="inlineStr">
        <is>
          <t>HighExplosive</t>
        </is>
      </c>
      <c r="L151" t="n">
        <v>3</v>
      </c>
      <c r="M151" t="inlineStr">
        <is>
          <t>Shell</t>
        </is>
      </c>
      <c r="N151" t="n">
        <v>1</v>
      </c>
      <c r="O151" t="inlineStr">
        <is>
          <t>RIPPLE</t>
        </is>
      </c>
      <c r="P151" t="n">
        <v>1</v>
      </c>
      <c r="Q151" t="n">
        <v>0.1</v>
      </c>
      <c r="R151" t="n">
        <v>10.204</v>
      </c>
      <c r="S151" t="n">
        <v>0</v>
      </c>
      <c r="T151" t="n">
        <v>0</v>
      </c>
      <c r="U151" t="n">
        <v>20</v>
      </c>
      <c r="V151" t="n">
        <v>33.49</v>
      </c>
      <c r="W151" t="n">
        <v>457</v>
      </c>
      <c r="X151" t="n">
        <v>7</v>
      </c>
      <c r="Y151" t="n">
        <v>0</v>
      </c>
      <c r="Z151" t="n">
        <v>100</v>
      </c>
      <c r="AA151" t="n">
        <v>90</v>
      </c>
      <c r="AB151" t="n">
        <v>25</v>
      </c>
      <c r="AC151" t="inlineStr">
        <is>
          <t>Ground</t>
        </is>
      </c>
      <c r="AD151" t="inlineStr"/>
      <c r="AE151" t="n">
        <v>5</v>
      </c>
      <c r="AF151" t="inlineStr">
        <is>
          <t>Large</t>
        </is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n">
        <v>155</v>
      </c>
      <c r="AO151" t="n">
        <v>0</v>
      </c>
      <c r="AP151" t="inlineStr">
        <is>
          <t>T3</t>
        </is>
      </c>
      <c r="AQ151" t="inlineStr"/>
      <c r="AR151" t="inlineStr">
        <is>
          <t>howitzer_guided</t>
        </is>
      </c>
      <c r="AS151" t="inlineStr">
        <is>
          <t>boss;xe</t>
        </is>
      </c>
      <c r="AT151" t="inlineStr">
        <is>
          <t>artillery;elite_artillery;mobile_fortress</t>
        </is>
      </c>
      <c r="AU151" t="n">
        <v>3</v>
      </c>
      <c r="AV151" t="inlineStr">
        <is>
          <t>artillery:0;elite_artillery:0;mobile_fortress:other</t>
        </is>
      </c>
      <c r="AW151" t="n">
        <v>0</v>
      </c>
      <c r="AX151" t="b">
        <v>0</v>
      </c>
      <c r="AY151" t="inlineStr"/>
      <c r="AZ151">
        <f>IF(AND($AX$151,$AW$151&gt;$AA$151/$Z$151),$AW$151,$AA$151/$Z$151)</f>
        <v/>
      </c>
      <c r="BA151" t="n">
        <v>0.9</v>
      </c>
      <c r="BB151" t="n">
        <v>4</v>
      </c>
      <c r="BC151" t="n">
        <v>1</v>
      </c>
      <c r="BD151" t="inlineStr">
        <is>
          <t>gun</t>
        </is>
      </c>
      <c r="BE151" t="inlineStr">
        <is>
          <t>US Army M109A7 fact file: 4 rpm for 3 min, 1 rpm sustained</t>
        </is>
      </c>
      <c r="BG151" t="inlineStr">
        <is>
          <t>doi</t>
        </is>
      </c>
      <c r="BH151" t="n">
        <v>320</v>
      </c>
      <c r="BI151" t="n">
        <v>457</v>
      </c>
      <c r="BJ151" t="n">
        <v>7.1429</v>
      </c>
      <c r="BK151" t="n">
        <v>10.204</v>
      </c>
      <c r="BR151" t="n">
        <v>45</v>
      </c>
      <c r="BS151" t="n">
        <v>100</v>
      </c>
      <c r="CN151" t="n">
        <v>20</v>
      </c>
      <c r="CT151" t="n">
        <v>155</v>
      </c>
      <c r="DD151" t="n">
        <v>10.204</v>
      </c>
      <c r="DE151" t="n">
        <v>457</v>
      </c>
      <c r="DF151" t="inlineStr">
        <is>
          <t>HighExplosive</t>
        </is>
      </c>
      <c r="DJ151" t="inlineStr">
        <is>
          <t>howitzer</t>
        </is>
      </c>
      <c r="DS151" t="inlineStr">
        <is>
          <t>Large</t>
        </is>
      </c>
      <c r="DZ151" t="n">
        <v>25</v>
      </c>
      <c r="EB151" t="n">
        <v>3</v>
      </c>
      <c r="EP151" t="n">
        <v>90</v>
      </c>
      <c r="EQ151" t="inlineStr">
        <is>
          <t>M284 155 mm</t>
        </is>
      </c>
      <c r="ER151" t="n">
        <v>33.49</v>
      </c>
      <c r="EX151" t="n">
        <v>155</v>
      </c>
      <c r="EZ151" t="n">
        <v>5</v>
      </c>
      <c r="GA151" t="inlineStr">
        <is>
          <t>m284_155_mm_2</t>
        </is>
      </c>
      <c r="GB151" t="inlineStr">
        <is>
          <t>cal_152_155</t>
        </is>
      </c>
      <c r="GD151" t="inlineStr">
        <is>
          <t>Assets/MachineBrigade/Resources/Data/balance.json: weapons[16]</t>
        </is>
      </c>
      <c r="GE151" t="inlineStr">
        <is>
          <t>{"id":"howitzer","weaponFamilyId":"cal_152_155","weaponFamily":"m284_155_mm_2","real":"M284 155 mm","family":"howitzer","size":155,"caliberMm":155,"pen":3,"damageType":"HighExplosive","damage":457,"cooldown":10.204,"range":90,"minRange":25,"spread":5,"impactTier":"Large","ammo":20,"reload":33.49}</t>
        </is>
      </c>
    </row>
    <row r="152">
      <c r="A152" t="inlineStr">
        <is>
          <t>howitzer_ext</t>
        </is>
      </c>
      <c r="B152" t="inlineStr">
        <is>
          <t>M284 155 mm (base bleed)</t>
        </is>
      </c>
      <c r="C152" t="inlineStr">
        <is>
          <t>cal_152_155</t>
        </is>
      </c>
      <c r="D152" t="inlineStr"/>
      <c r="E152" t="inlineStr">
        <is>
          <t>m284_155_mm_2</t>
        </is>
      </c>
      <c r="F152" t="inlineStr">
        <is>
          <t>howitzer</t>
        </is>
      </c>
      <c r="G152" t="n">
        <v>155</v>
      </c>
      <c r="H152" t="inlineStr"/>
      <c r="I152" t="inlineStr"/>
      <c r="J152" t="inlineStr"/>
      <c r="K152" t="inlineStr">
        <is>
          <t>HighExplosive</t>
        </is>
      </c>
      <c r="L152" t="n">
        <v>3</v>
      </c>
      <c r="M152" t="inlineStr">
        <is>
          <t>Shell</t>
        </is>
      </c>
      <c r="N152" t="n">
        <v>1</v>
      </c>
      <c r="O152" t="inlineStr">
        <is>
          <t>RIPPLE</t>
        </is>
      </c>
      <c r="P152" t="n">
        <v>1</v>
      </c>
      <c r="Q152" t="n">
        <v>0.1</v>
      </c>
      <c r="R152" t="n">
        <v>7.571</v>
      </c>
      <c r="S152" t="n">
        <v>0</v>
      </c>
      <c r="T152" t="n">
        <v>0</v>
      </c>
      <c r="U152" t="n">
        <v>20</v>
      </c>
      <c r="V152" t="n">
        <v>21</v>
      </c>
      <c r="W152" t="n">
        <v>457</v>
      </c>
      <c r="X152" t="n">
        <v>7</v>
      </c>
      <c r="Y152" t="n">
        <v>14</v>
      </c>
      <c r="Z152" t="n">
        <v>100</v>
      </c>
      <c r="AA152" t="n">
        <v>112</v>
      </c>
      <c r="AB152" t="n">
        <v>25</v>
      </c>
      <c r="AC152" t="inlineStr">
        <is>
          <t>Ground</t>
        </is>
      </c>
      <c r="AD152" t="inlineStr"/>
      <c r="AE152" t="n">
        <v>5</v>
      </c>
      <c r="AF152" t="inlineStr">
        <is>
          <t>Large</t>
        </is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n">
        <v>155</v>
      </c>
      <c r="AO152" t="n">
        <v>0</v>
      </c>
      <c r="AP152" t="inlineStr">
        <is>
          <t>T3</t>
        </is>
      </c>
      <c r="AQ152" t="inlineStr">
        <is>
          <t>howitzer_fixed</t>
        </is>
      </c>
      <c r="AR152" t="inlineStr"/>
      <c r="AS152" t="inlineStr"/>
      <c r="AT152" t="inlineStr"/>
      <c r="AU152" t="n">
        <v>0</v>
      </c>
      <c r="AV152" t="inlineStr"/>
      <c r="AW152" t="n">
        <v>0</v>
      </c>
      <c r="AX152" t="b">
        <v>0</v>
      </c>
      <c r="AY152" t="inlineStr"/>
      <c r="AZ152">
        <f>IF(AND($AX$152,$AW$152&gt;$AA$152/$Z$152),$AW$152,$AA$152/$Z$152)</f>
        <v/>
      </c>
      <c r="BA152" t="n">
        <v>1.12</v>
      </c>
      <c r="BB152" t="n">
        <v>4</v>
      </c>
      <c r="BC152" t="n">
        <v>1</v>
      </c>
      <c r="BD152" t="inlineStr">
        <is>
          <t>gun</t>
        </is>
      </c>
      <c r="BE152" t="inlineStr">
        <is>
          <t>US Army M109A7 fact file: 4 rpm for 3 min, 1 rpm sustained</t>
        </is>
      </c>
      <c r="BG152" t="inlineStr">
        <is>
          <t>doi</t>
        </is>
      </c>
      <c r="BH152" t="n">
        <v>320</v>
      </c>
      <c r="BI152" t="n">
        <v>457</v>
      </c>
      <c r="BJ152" t="n">
        <v>5.3</v>
      </c>
      <c r="BK152" t="n">
        <v>7.571</v>
      </c>
      <c r="BP152" t="n">
        <v>0</v>
      </c>
      <c r="BQ152" t="n">
        <v>14</v>
      </c>
      <c r="BR152" t="n">
        <v>45</v>
      </c>
      <c r="BS152" t="n">
        <v>100</v>
      </c>
      <c r="CT152" t="n">
        <v>155</v>
      </c>
      <c r="DD152" t="n">
        <v>7.571</v>
      </c>
      <c r="DE152" t="n">
        <v>457</v>
      </c>
      <c r="DJ152" t="inlineStr">
        <is>
          <t>howitzer</t>
        </is>
      </c>
      <c r="DT152" t="inlineStr">
        <is>
          <t>howitzer_fixed</t>
        </is>
      </c>
      <c r="EB152" t="n">
        <v>3</v>
      </c>
      <c r="EP152" t="n">
        <v>112</v>
      </c>
      <c r="EQ152" t="inlineStr">
        <is>
          <t>M284 155 mm (base bleed)</t>
        </is>
      </c>
      <c r="ER152" t="n">
        <v>21</v>
      </c>
      <c r="EX152" t="n">
        <v>155</v>
      </c>
      <c r="GA152" t="inlineStr">
        <is>
          <t>m284_155_mm_2</t>
        </is>
      </c>
      <c r="GD152" t="inlineStr">
        <is>
          <t>Assets/MachineBrigade/Resources/Data/balance.json: weapons[124]</t>
        </is>
      </c>
      <c r="GE152" t="inlineStr">
        <is>
          <t>{"id":"howitzer_ext","weaponFamily":"m284_155_mm_2","real":"M284 155 mm (base bleed)","family":"howitzer","size":155,"caliberMm":155,"pen":3,"inherits":"howitzer_fixed","range":112,"cooldown":7.571,"damage":457,"reload":21}</t>
        </is>
      </c>
    </row>
    <row r="153">
      <c r="A153" t="inlineStr">
        <is>
          <t>howitzer_fixed</t>
        </is>
      </c>
      <c r="B153" t="inlineStr">
        <is>
          <t>M284 155 mm</t>
        </is>
      </c>
      <c r="C153" t="inlineStr">
        <is>
          <t>cal_152_155</t>
        </is>
      </c>
      <c r="D153" t="inlineStr"/>
      <c r="E153" t="inlineStr">
        <is>
          <t>m284_155_mm_2</t>
        </is>
      </c>
      <c r="F153" t="inlineStr">
        <is>
          <t>howitzer</t>
        </is>
      </c>
      <c r="G153" t="n">
        <v>155</v>
      </c>
      <c r="H153" t="inlineStr"/>
      <c r="I153" t="inlineStr"/>
      <c r="J153" t="inlineStr"/>
      <c r="K153" t="inlineStr">
        <is>
          <t>HighExplosive</t>
        </is>
      </c>
      <c r="L153" t="n">
        <v>3</v>
      </c>
      <c r="M153" t="inlineStr">
        <is>
          <t>Shell</t>
        </is>
      </c>
      <c r="N153" t="n">
        <v>1</v>
      </c>
      <c r="O153" t="inlineStr">
        <is>
          <t>RIPPLE</t>
        </is>
      </c>
      <c r="P153" t="n">
        <v>1</v>
      </c>
      <c r="Q153" t="n">
        <v>0.1</v>
      </c>
      <c r="R153" t="n">
        <v>10</v>
      </c>
      <c r="S153" t="n">
        <v>0</v>
      </c>
      <c r="T153" t="n">
        <v>0</v>
      </c>
      <c r="U153" t="n">
        <v>20</v>
      </c>
      <c r="V153" t="n">
        <v>13</v>
      </c>
      <c r="W153" t="n">
        <v>520</v>
      </c>
      <c r="X153" t="n">
        <v>7</v>
      </c>
      <c r="Y153" t="n">
        <v>14</v>
      </c>
      <c r="Z153" t="n">
        <v>100</v>
      </c>
      <c r="AA153" t="n">
        <v>90</v>
      </c>
      <c r="AB153" t="n">
        <v>25</v>
      </c>
      <c r="AC153" t="inlineStr">
        <is>
          <t>Ground</t>
        </is>
      </c>
      <c r="AD153" t="inlineStr"/>
      <c r="AE153" t="n">
        <v>5</v>
      </c>
      <c r="AF153" t="inlineStr">
        <is>
          <t>Large</t>
        </is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n">
        <v>155</v>
      </c>
      <c r="AO153" t="n">
        <v>0</v>
      </c>
      <c r="AP153" t="inlineStr">
        <is>
          <t>T3</t>
        </is>
      </c>
      <c r="AQ153" t="inlineStr">
        <is>
          <t>howitzer</t>
        </is>
      </c>
      <c r="AR153" t="inlineStr">
        <is>
          <t>howitzer_fixed_guided</t>
        </is>
      </c>
      <c r="AS153" t="inlineStr"/>
      <c r="AT153" t="inlineStr"/>
      <c r="AU153" t="n">
        <v>0</v>
      </c>
      <c r="AV153" t="inlineStr"/>
      <c r="AW153" t="n">
        <v>0</v>
      </c>
      <c r="AX153" t="b">
        <v>0</v>
      </c>
      <c r="AY153" t="inlineStr"/>
      <c r="AZ153">
        <f>IF(AND($AX$153,$AW$153&gt;$AA$153/$Z$153),$AW$153,$AA$153/$Z$153)</f>
        <v/>
      </c>
      <c r="BA153" t="n">
        <v>0.9</v>
      </c>
      <c r="BB153" t="n">
        <v>4</v>
      </c>
      <c r="BC153" t="n">
        <v>1</v>
      </c>
      <c r="BD153" t="inlineStr">
        <is>
          <t>gun</t>
        </is>
      </c>
      <c r="BE153" t="inlineStr">
        <is>
          <t>US Army M109A7 fact file: 4 rpm for 3 min, 1 rpm sustained</t>
        </is>
      </c>
      <c r="BG153" t="inlineStr">
        <is>
          <t>doi</t>
        </is>
      </c>
      <c r="BH153" t="n">
        <v>320</v>
      </c>
      <c r="BI153" t="n">
        <v>520</v>
      </c>
      <c r="BJ153" t="n">
        <v>3.9</v>
      </c>
      <c r="BK153" t="n">
        <v>10</v>
      </c>
      <c r="BP153" t="n">
        <v>0</v>
      </c>
      <c r="BQ153" t="n">
        <v>14</v>
      </c>
      <c r="BR153" t="n">
        <v>45</v>
      </c>
      <c r="BS153" t="n">
        <v>100</v>
      </c>
      <c r="CT153" t="n">
        <v>155</v>
      </c>
      <c r="DD153" t="n">
        <v>10</v>
      </c>
      <c r="DE153" t="n">
        <v>520</v>
      </c>
      <c r="DG153" t="n">
        <v>14</v>
      </c>
      <c r="DJ153" t="inlineStr">
        <is>
          <t>howitzer</t>
        </is>
      </c>
      <c r="DT153" t="inlineStr">
        <is>
          <t>howitzer</t>
        </is>
      </c>
      <c r="EB153" t="n">
        <v>3</v>
      </c>
      <c r="EQ153" t="inlineStr">
        <is>
          <t>M284 155 mm</t>
        </is>
      </c>
      <c r="ER153" t="n">
        <v>13</v>
      </c>
      <c r="EX153" t="n">
        <v>155</v>
      </c>
      <c r="GA153" t="inlineStr">
        <is>
          <t>m284_155_mm_2</t>
        </is>
      </c>
      <c r="GD153" t="inlineStr">
        <is>
          <t>Assets/MachineBrigade/Resources/Data/balance.json: weapons[17]</t>
        </is>
      </c>
      <c r="GE153" t="inlineStr">
        <is>
          <t>{"id":"howitzer_fixed","weaponFamily":"m284_155_mm_2","real":"M284 155 mm","family":"howitzer","size":155,"caliberMm":155,"pen":3,"inherits":"howitzer","cooldown":10,"edge":14,"damage":520,"reload":13}</t>
        </is>
      </c>
    </row>
    <row r="154">
      <c r="A154" t="inlineStr">
        <is>
          <t>howitzer_fixed_guided</t>
        </is>
      </c>
      <c r="B154" t="inlineStr">
        <is>
          <t>M284 155 mm guided</t>
        </is>
      </c>
      <c r="C154" t="inlineStr">
        <is>
          <t>cal_152_155</t>
        </is>
      </c>
      <c r="D154" t="inlineStr">
        <is>
          <t>guided</t>
        </is>
      </c>
      <c r="E154" t="inlineStr">
        <is>
          <t>m284_155_mm_guided</t>
        </is>
      </c>
      <c r="F154" t="inlineStr">
        <is>
          <t>howitzer</t>
        </is>
      </c>
      <c r="G154" t="n">
        <v>155</v>
      </c>
      <c r="H154" t="inlineStr"/>
      <c r="I154" t="inlineStr"/>
      <c r="J154" t="inlineStr"/>
      <c r="K154" t="inlineStr">
        <is>
          <t>HighExplosive</t>
        </is>
      </c>
      <c r="L154" t="n">
        <v>3</v>
      </c>
      <c r="M154" t="inlineStr">
        <is>
          <t>Shell</t>
        </is>
      </c>
      <c r="N154" t="n">
        <v>1</v>
      </c>
      <c r="O154" t="inlineStr">
        <is>
          <t>RIPPLE</t>
        </is>
      </c>
      <c r="P154" t="n">
        <v>1</v>
      </c>
      <c r="Q154" t="n">
        <v>0.1</v>
      </c>
      <c r="R154" t="n">
        <v>10</v>
      </c>
      <c r="S154" t="n">
        <v>0</v>
      </c>
      <c r="T154" t="n">
        <v>0</v>
      </c>
      <c r="U154" t="n">
        <v>20</v>
      </c>
      <c r="V154" t="n">
        <v>13</v>
      </c>
      <c r="W154" t="n">
        <v>520</v>
      </c>
      <c r="X154" t="n">
        <v>7</v>
      </c>
      <c r="Y154" t="n">
        <v>14</v>
      </c>
      <c r="Z154" t="n">
        <v>45</v>
      </c>
      <c r="AA154" t="n">
        <v>90</v>
      </c>
      <c r="AB154" t="n">
        <v>25</v>
      </c>
      <c r="AC154" t="inlineStr">
        <is>
          <t>Ground</t>
        </is>
      </c>
      <c r="AD154" t="inlineStr"/>
      <c r="AE154" t="n">
        <v>0</v>
      </c>
      <c r="AF154" t="inlineStr">
        <is>
          <t>Large</t>
        </is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1</v>
      </c>
      <c r="AN154" t="n">
        <v>155</v>
      </c>
      <c r="AO154" t="n">
        <v>0</v>
      </c>
      <c r="AP154" t="inlineStr">
        <is>
          <t>T3</t>
        </is>
      </c>
      <c r="AQ154" t="inlineStr">
        <is>
          <t>howitzer_fixed</t>
        </is>
      </c>
      <c r="AR154" t="inlineStr"/>
      <c r="AS154" t="inlineStr"/>
      <c r="AT154" t="inlineStr"/>
      <c r="AU154" t="n">
        <v>0</v>
      </c>
      <c r="AV154" t="inlineStr"/>
      <c r="AW154" t="n">
        <v>0</v>
      </c>
      <c r="AX154" t="b">
        <v>0</v>
      </c>
      <c r="AY154" t="inlineStr"/>
      <c r="AZ154">
        <f>IF(AND($AX$154,$AW$154&gt;$AA$154/$Z$154),$AW$154,$AA$154/$Z$154)</f>
        <v/>
      </c>
      <c r="BA154" t="n">
        <v>2</v>
      </c>
      <c r="BB154" t="n">
        <v>4</v>
      </c>
      <c r="BC154" t="n">
        <v>1</v>
      </c>
      <c r="BD154" t="inlineStr">
        <is>
          <t>gun</t>
        </is>
      </c>
      <c r="BE154" t="inlineStr">
        <is>
          <t>US Army M109A7 fact file: 4 rpm for 3 min, 1 rpm sustained</t>
        </is>
      </c>
      <c r="BG154" t="inlineStr">
        <is>
          <t>doi</t>
        </is>
      </c>
      <c r="BH154" t="n">
        <v>320</v>
      </c>
      <c r="BI154" t="n">
        <v>520</v>
      </c>
      <c r="BJ154" t="n">
        <v>3.9</v>
      </c>
      <c r="BK154" t="n">
        <v>10</v>
      </c>
      <c r="BP154" t="n">
        <v>0</v>
      </c>
      <c r="BQ154" t="n">
        <v>14</v>
      </c>
      <c r="CR154" t="n">
        <v>1</v>
      </c>
      <c r="DE154" t="n">
        <v>520</v>
      </c>
      <c r="DF154" t="inlineStr">
        <is>
          <t>HighExplosive</t>
        </is>
      </c>
      <c r="DH154" t="b">
        <v>1</v>
      </c>
      <c r="DM154" t="inlineStr">
        <is>
          <t>armour</t>
        </is>
      </c>
      <c r="DN154" t="inlineStr">
        <is>
          <t>HeShell</t>
        </is>
      </c>
      <c r="DP154" t="b">
        <v>1</v>
      </c>
      <c r="DT154" t="inlineStr">
        <is>
          <t>howitzer_fixed</t>
        </is>
      </c>
      <c r="EB154" t="n">
        <v>3</v>
      </c>
      <c r="EQ154" t="inlineStr">
        <is>
          <t>M284 155 mm guided</t>
        </is>
      </c>
      <c r="ES154" t="inlineStr">
        <is>
          <t>guided</t>
        </is>
      </c>
      <c r="EU154" t="inlineStr">
        <is>
          <t>howitzer_fixed</t>
        </is>
      </c>
      <c r="EZ154" t="n">
        <v>0</v>
      </c>
      <c r="FW154" t="inlineStr">
        <is>
          <t>Ground</t>
        </is>
      </c>
      <c r="GA154" t="inlineStr">
        <is>
          <t>m284_155_mm_guided</t>
        </is>
      </c>
      <c r="GC154" t="inlineStr">
        <is>
          <t>guided</t>
        </is>
      </c>
      <c r="GD154" t="inlineStr">
        <is>
          <t>Assets/MachineBrigade/Resources/Data/balance.json: secondRounds.rounds[45]</t>
        </is>
      </c>
      <c r="GE154" t="inlineStr">
        <is>
          <t>{"id":"howitzer_fixed_guided","roundOf":"howitzer_fixed","inherits":"howitzer_fixed","weaponVariantId":"guided","weaponFamily":"m284_155_mm_guided","round":"guided","for":["armour"],"elite":true,"real":"M284 155 mm guided","damageType":"HighExplosive","pen":3,"damage":520,"spread":0,"burst":1,"guided":true,"form":"HeShell","targets":"Ground"}</t>
        </is>
      </c>
    </row>
    <row r="155">
      <c r="A155" t="inlineStr">
        <is>
          <t>howitzer_guided</t>
        </is>
      </c>
      <c r="B155" t="inlineStr">
        <is>
          <t>M284 155 mm guided</t>
        </is>
      </c>
      <c r="C155" t="inlineStr">
        <is>
          <t>cal_152_155</t>
        </is>
      </c>
      <c r="D155" t="inlineStr">
        <is>
          <t>guided</t>
        </is>
      </c>
      <c r="E155" t="inlineStr">
        <is>
          <t>m284_155_mm_guided</t>
        </is>
      </c>
      <c r="F155" t="inlineStr">
        <is>
          <t>howitzer</t>
        </is>
      </c>
      <c r="G155" t="n">
        <v>155</v>
      </c>
      <c r="H155" t="inlineStr"/>
      <c r="I155" t="inlineStr"/>
      <c r="J155" t="inlineStr"/>
      <c r="K155" t="inlineStr">
        <is>
          <t>HighExplosive</t>
        </is>
      </c>
      <c r="L155" t="n">
        <v>3</v>
      </c>
      <c r="M155" t="inlineStr">
        <is>
          <t>Shell</t>
        </is>
      </c>
      <c r="N155" t="n">
        <v>1</v>
      </c>
      <c r="O155" t="inlineStr">
        <is>
          <t>RIPPLE</t>
        </is>
      </c>
      <c r="P155" t="n">
        <v>1</v>
      </c>
      <c r="Q155" t="n">
        <v>0.1</v>
      </c>
      <c r="R155" t="n">
        <v>10.204</v>
      </c>
      <c r="S155" t="n">
        <v>0</v>
      </c>
      <c r="T155" t="n">
        <v>0</v>
      </c>
      <c r="U155" t="n">
        <v>20</v>
      </c>
      <c r="V155" t="n">
        <v>33.49</v>
      </c>
      <c r="W155" t="n">
        <v>457</v>
      </c>
      <c r="X155" t="n">
        <v>7</v>
      </c>
      <c r="Y155" t="n">
        <v>0</v>
      </c>
      <c r="Z155" t="n">
        <v>45</v>
      </c>
      <c r="AA155" t="n">
        <v>90</v>
      </c>
      <c r="AB155" t="n">
        <v>25</v>
      </c>
      <c r="AC155" t="inlineStr">
        <is>
          <t>Ground</t>
        </is>
      </c>
      <c r="AD155" t="inlineStr"/>
      <c r="AE155" t="n">
        <v>0</v>
      </c>
      <c r="AF155" t="inlineStr">
        <is>
          <t>Large</t>
        </is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1</v>
      </c>
      <c r="AN155" t="n">
        <v>155</v>
      </c>
      <c r="AO155" t="n">
        <v>0</v>
      </c>
      <c r="AP155" t="inlineStr">
        <is>
          <t>T3</t>
        </is>
      </c>
      <c r="AQ155" t="inlineStr">
        <is>
          <t>howitzer</t>
        </is>
      </c>
      <c r="AR155" t="inlineStr"/>
      <c r="AS155" t="inlineStr"/>
      <c r="AT155" t="inlineStr"/>
      <c r="AU155" t="n">
        <v>0</v>
      </c>
      <c r="AV155" t="inlineStr"/>
      <c r="AW155" t="n">
        <v>0</v>
      </c>
      <c r="AX155" t="b">
        <v>0</v>
      </c>
      <c r="AY155" t="inlineStr"/>
      <c r="AZ155">
        <f>IF(AND($AX$155,$AW$155&gt;$AA$155/$Z$155),$AW$155,$AA$155/$Z$155)</f>
        <v/>
      </c>
      <c r="BA155" t="n">
        <v>2</v>
      </c>
      <c r="BB155" t="n">
        <v>4</v>
      </c>
      <c r="BC155" t="n">
        <v>1</v>
      </c>
      <c r="BD155" t="inlineStr">
        <is>
          <t>gun</t>
        </is>
      </c>
      <c r="BE155" t="inlineStr">
        <is>
          <t>US Army M109A7 fact file: 4 rpm for 3 min, 1 rpm sustained</t>
        </is>
      </c>
      <c r="BG155" t="inlineStr">
        <is>
          <t>doi</t>
        </is>
      </c>
      <c r="BH155" t="n">
        <v>320</v>
      </c>
      <c r="BI155" t="n">
        <v>457</v>
      </c>
      <c r="BJ155" t="n">
        <v>7.1429</v>
      </c>
      <c r="BK155" t="n">
        <v>10.204</v>
      </c>
      <c r="CR155" t="n">
        <v>1</v>
      </c>
      <c r="DE155" t="n">
        <v>457</v>
      </c>
      <c r="DF155" t="inlineStr">
        <is>
          <t>HighExplosive</t>
        </is>
      </c>
      <c r="DH155" t="b">
        <v>1</v>
      </c>
      <c r="DM155" t="inlineStr">
        <is>
          <t>armour</t>
        </is>
      </c>
      <c r="DN155" t="inlineStr">
        <is>
          <t>HeShell</t>
        </is>
      </c>
      <c r="DP155" t="b">
        <v>1</v>
      </c>
      <c r="DT155" t="inlineStr">
        <is>
          <t>howitzer</t>
        </is>
      </c>
      <c r="EB155" t="n">
        <v>3</v>
      </c>
      <c r="EQ155" t="inlineStr">
        <is>
          <t>M284 155 mm guided</t>
        </is>
      </c>
      <c r="ES155" t="inlineStr">
        <is>
          <t>guided</t>
        </is>
      </c>
      <c r="EU155" t="inlineStr">
        <is>
          <t>howitzer</t>
        </is>
      </c>
      <c r="EZ155" t="n">
        <v>0</v>
      </c>
      <c r="FW155" t="inlineStr">
        <is>
          <t>Ground</t>
        </is>
      </c>
      <c r="GA155" t="inlineStr">
        <is>
          <t>m284_155_mm_guided</t>
        </is>
      </c>
      <c r="GC155" t="inlineStr">
        <is>
          <t>guided</t>
        </is>
      </c>
      <c r="GD155" t="inlineStr">
        <is>
          <t>Assets/MachineBrigade/Resources/Data/balance.json: secondRounds.rounds[44]</t>
        </is>
      </c>
      <c r="GE155" t="inlineStr">
        <is>
          <t>{"id":"howitzer_guided","roundOf":"howitzer","inherits":"howitzer","weaponVariantId":"guided","weaponFamily":"m284_155_mm_guided","round":"guided","for":["armour"],"elite":true,"real":"M284 155 mm guided","damageType":"HighExplosive","pen":3,"damage":457,"spread":0,"burst":1,"guided":true,"form":"HeShell","targets":"Ground"}</t>
        </is>
      </c>
    </row>
    <row r="156">
      <c r="A156" t="inlineStr">
        <is>
          <t>hq_flak</t>
        </is>
      </c>
      <c r="B156" t="inlineStr">
        <is>
          <t>2A38 30 mm (twin)</t>
        </is>
      </c>
      <c r="C156" t="inlineStr">
        <is>
          <t>cal_30</t>
        </is>
      </c>
      <c r="D156" t="inlineStr">
        <is>
          <t>flak</t>
        </is>
      </c>
      <c r="E156" t="inlineStr">
        <is>
          <t>2a38_30_mm</t>
        </is>
      </c>
      <c r="F156" t="inlineStr">
        <is>
          <t>autocannon</t>
        </is>
      </c>
      <c r="G156" t="n">
        <v>30</v>
      </c>
      <c r="H156" t="inlineStr"/>
      <c r="I156" t="inlineStr"/>
      <c r="J156" t="inlineStr"/>
      <c r="K156" t="inlineStr">
        <is>
          <t>Fragmentation</t>
        </is>
      </c>
      <c r="L156" t="n">
        <v>2</v>
      </c>
      <c r="M156" t="inlineStr">
        <is>
          <t>Bullet</t>
        </is>
      </c>
      <c r="N156" t="n">
        <v>1</v>
      </c>
      <c r="O156" t="inlineStr">
        <is>
          <t>RIPPLE</t>
        </is>
      </c>
      <c r="P156" t="n">
        <v>1</v>
      </c>
      <c r="Q156" t="n">
        <v>0.1</v>
      </c>
      <c r="R156" t="n">
        <v>0.0286</v>
      </c>
      <c r="S156" t="n">
        <v>120</v>
      </c>
      <c r="T156" t="n">
        <v>3.0286</v>
      </c>
      <c r="U156" t="n">
        <v>0</v>
      </c>
      <c r="V156" t="n">
        <v>0</v>
      </c>
      <c r="W156" t="n">
        <v>7.5</v>
      </c>
      <c r="X156" t="n">
        <v>2.5</v>
      </c>
      <c r="Y156" t="n">
        <v>0</v>
      </c>
      <c r="Z156" t="n">
        <v>280</v>
      </c>
      <c r="AA156" t="n">
        <v>42</v>
      </c>
      <c r="AB156" t="n">
        <v>0</v>
      </c>
      <c r="AC156" t="inlineStr">
        <is>
          <t>All</t>
        </is>
      </c>
      <c r="AD156" t="inlineStr"/>
      <c r="AE156" t="n">
        <v>1.4</v>
      </c>
      <c r="AF156" t="inlineStr">
        <is>
          <t>Small</t>
        </is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n">
        <v>30</v>
      </c>
      <c r="AO156" t="n">
        <v>0</v>
      </c>
      <c r="AP156" t="inlineStr">
        <is>
          <t>T1</t>
        </is>
      </c>
      <c r="AQ156" t="inlineStr">
        <is>
          <t>twin_30_flak</t>
        </is>
      </c>
      <c r="AR156" t="inlineStr">
        <is>
          <t>hq_flak_ap</t>
        </is>
      </c>
      <c r="AS156" t="inlineStr">
        <is>
          <t>cong_trinh</t>
        </is>
      </c>
      <c r="AT156" t="inlineStr">
        <is>
          <t>headquarters;headquarters.fortress_air;headquarters.fortress_ground;headquarters.shield</t>
        </is>
      </c>
      <c r="AU156" t="n">
        <v>4</v>
      </c>
      <c r="AV156" t="inlineStr">
        <is>
          <t>headquarters:1;headquarters:2;headquarters.fortress_air:1;headquarters.fortress_air:2;headquarters.fortress_ground:1;headquarters.fortress_ground:2;headquarters.shield:1;headquarters.shield:2</t>
        </is>
      </c>
      <c r="AW156" t="n">
        <v>0</v>
      </c>
      <c r="AX156" t="b">
        <v>0</v>
      </c>
      <c r="AY156" t="inlineStr"/>
      <c r="AZ156">
        <f>IF(AND($AX$156,$AW$156&gt;$AA$156/$Z$156),$AW$156,$AA$156/$Z$156)</f>
        <v/>
      </c>
      <c r="BA156" t="n">
        <v>0.15</v>
      </c>
      <c r="BB156" t="n">
        <v>2500</v>
      </c>
      <c r="BC156" t="n">
        <v>1000</v>
      </c>
      <c r="BD156" t="inlineStr">
        <is>
          <t>aa</t>
        </is>
      </c>
      <c r="BE156" t="inlineStr">
        <is>
          <t>Wikipedia '2A38': 4,060-5,000 rpm the twin mount</t>
        </is>
      </c>
      <c r="BG156" t="inlineStr">
        <is>
          <t>giong</t>
        </is>
      </c>
      <c r="CQ156" t="inlineStr"/>
      <c r="CT156" t="n">
        <v>30</v>
      </c>
      <c r="CW156" t="n">
        <v>120</v>
      </c>
      <c r="CX156" t="n">
        <v>3.0286</v>
      </c>
      <c r="DD156" t="n">
        <v>0.0286</v>
      </c>
      <c r="DJ156" t="inlineStr">
        <is>
          <t>autocannon</t>
        </is>
      </c>
      <c r="DT156" t="inlineStr">
        <is>
          <t>twin_30_flak</t>
        </is>
      </c>
      <c r="EB156" t="n">
        <v>2</v>
      </c>
      <c r="EQ156" t="inlineStr">
        <is>
          <t>2A38 30 mm (twin)</t>
        </is>
      </c>
      <c r="EX156" t="n">
        <v>30</v>
      </c>
      <c r="GA156" t="inlineStr">
        <is>
          <t>2a38_30_mm</t>
        </is>
      </c>
      <c r="GD156" t="inlineStr">
        <is>
          <t>Assets/MachineBrigade/Resources/Data/balance.json: weapons[46]</t>
        </is>
      </c>
      <c r="GE156" t="inlineStr">
        <is>
          <t>{"id":"hq_flak","weaponFamily":"2a38_30_mm","real":"2A38 30 mm (twin)","family":"autocannon","size":30,"caliberMm":30,"pen":2,"inherits":"twin_30_flak","cooldown":0.0286,"clip":120,"clipReload":3.0286,"bonuses":[]}</t>
        </is>
      </c>
    </row>
    <row r="157">
      <c r="A157" t="inlineStr">
        <is>
          <t>hq_flak_ap</t>
        </is>
      </c>
      <c r="B157" t="inlineStr">
        <is>
          <t>2A38 30 mm AP (twin)</t>
        </is>
      </c>
      <c r="C157" t="inlineStr">
        <is>
          <t>cal_30</t>
        </is>
      </c>
      <c r="D157" t="inlineStr"/>
      <c r="E157" t="inlineStr">
        <is>
          <t>2a38_30_mm_ap</t>
        </is>
      </c>
      <c r="F157" t="inlineStr">
        <is>
          <t>autocannon</t>
        </is>
      </c>
      <c r="G157" t="n">
        <v>30</v>
      </c>
      <c r="H157" t="inlineStr"/>
      <c r="I157" t="inlineStr"/>
      <c r="J157" t="inlineStr"/>
      <c r="K157" t="inlineStr">
        <is>
          <t>Kinetic</t>
        </is>
      </c>
      <c r="L157" t="n">
        <v>2</v>
      </c>
      <c r="M157" t="inlineStr">
        <is>
          <t>Bullet</t>
        </is>
      </c>
      <c r="N157" t="n">
        <v>1</v>
      </c>
      <c r="O157" t="inlineStr">
        <is>
          <t>RIPPLE</t>
        </is>
      </c>
      <c r="P157" t="n">
        <v>1</v>
      </c>
      <c r="Q157" t="n">
        <v>0.1</v>
      </c>
      <c r="R157" t="n">
        <v>0.0286</v>
      </c>
      <c r="S157" t="n">
        <v>120</v>
      </c>
      <c r="T157" t="n">
        <v>3.0286</v>
      </c>
      <c r="U157" t="n">
        <v>0</v>
      </c>
      <c r="V157" t="n">
        <v>0</v>
      </c>
      <c r="W157" t="n">
        <v>7.5</v>
      </c>
      <c r="X157" t="n">
        <v>0</v>
      </c>
      <c r="Y157" t="n">
        <v>0</v>
      </c>
      <c r="Z157" t="n">
        <v>280</v>
      </c>
      <c r="AA157" t="n">
        <v>42</v>
      </c>
      <c r="AB157" t="n">
        <v>0</v>
      </c>
      <c r="AC157" t="inlineStr">
        <is>
          <t>Ground</t>
        </is>
      </c>
      <c r="AD157" t="inlineStr"/>
      <c r="AE157" t="n">
        <v>1.4</v>
      </c>
      <c r="AF157" t="inlineStr">
        <is>
          <t>Small</t>
        </is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n">
        <v>30</v>
      </c>
      <c r="AO157" t="n">
        <v>0</v>
      </c>
      <c r="AP157" t="inlineStr">
        <is>
          <t>T1</t>
        </is>
      </c>
      <c r="AQ157" t="inlineStr">
        <is>
          <t>hq_flak</t>
        </is>
      </c>
      <c r="AR157" t="inlineStr"/>
      <c r="AS157" t="inlineStr"/>
      <c r="AT157" t="inlineStr"/>
      <c r="AU157" t="n">
        <v>0</v>
      </c>
      <c r="AV157" t="inlineStr"/>
      <c r="AW157" t="n">
        <v>0</v>
      </c>
      <c r="AX157" t="b">
        <v>0</v>
      </c>
      <c r="AY157" t="inlineStr"/>
      <c r="AZ157">
        <f>IF(AND($AX$157,$AW$157&gt;$AA$157/$Z$157),$AW$157,$AA$157/$Z$157)</f>
        <v/>
      </c>
      <c r="BA157" t="n">
        <v>0.15</v>
      </c>
      <c r="BB157" t="n">
        <v>2500</v>
      </c>
      <c r="BC157" t="n">
        <v>1000</v>
      </c>
      <c r="BD157" t="inlineStr">
        <is>
          <t>aa</t>
        </is>
      </c>
      <c r="BE157" t="inlineStr">
        <is>
          <t>Wikipedia '2A38': 4,060-5,000 rpm the twin mount</t>
        </is>
      </c>
      <c r="BG157" t="inlineStr">
        <is>
          <t>giong</t>
        </is>
      </c>
      <c r="DE157" t="n">
        <v>7.5</v>
      </c>
      <c r="DF157" t="inlineStr">
        <is>
          <t>Kinetic</t>
        </is>
      </c>
      <c r="DM157" t="inlineStr">
        <is>
          <t>ground</t>
        </is>
      </c>
      <c r="DN157" t="inlineStr">
        <is>
          <t>BeltedAutocannon</t>
        </is>
      </c>
      <c r="DT157" t="inlineStr">
        <is>
          <t>hq_flak</t>
        </is>
      </c>
      <c r="EB157" t="n">
        <v>2</v>
      </c>
      <c r="EE157" t="b">
        <v>1</v>
      </c>
      <c r="EQ157" t="inlineStr">
        <is>
          <t>2A38 30 mm AP (twin)</t>
        </is>
      </c>
      <c r="ES157" t="inlineStr">
        <is>
          <t>ap</t>
        </is>
      </c>
      <c r="EU157" t="inlineStr">
        <is>
          <t>hq_flak</t>
        </is>
      </c>
      <c r="EY157" t="n">
        <v>0</v>
      </c>
      <c r="FW157" t="inlineStr">
        <is>
          <t>Ground</t>
        </is>
      </c>
      <c r="GA157" t="inlineStr">
        <is>
          <t>2a38_30_mm_ap</t>
        </is>
      </c>
      <c r="GC157" t="inlineStr"/>
      <c r="GD157" t="inlineStr">
        <is>
          <t>Assets/MachineBrigade/Resources/Data/balance.json: secondRounds.rounds[46]</t>
        </is>
      </c>
      <c r="GE157" t="inlineStr">
        <is>
          <t>{"id":"hq_flak_ap","roundOf":"hq_flak","inherits":"hq_flak","weaponVariantId":"","weaponFamily":"2a38_30_mm_ap","round":"ap","for":["ground"],"real":"2A38 30 mm AP (twin)","damageType":"Kinetic","pen":2,"damage":7.5,"splash":0,"form":"BeltedAutocannon","piercing":true,"targets":"Ground"}</t>
        </is>
      </c>
    </row>
    <row r="158">
      <c r="A158" t="inlineStr">
        <is>
          <t>hydra_club_s</t>
        </is>
      </c>
      <c r="B158" t="inlineStr">
        <is>
          <t>3M-54 Club-S (submarine-launched, vertical tubes)</t>
        </is>
      </c>
      <c r="C158" t="inlineStr">
        <is>
          <t>cruise_3m_54_kalibr</t>
        </is>
      </c>
      <c r="D158" t="inlineStr"/>
      <c r="E158" t="inlineStr"/>
      <c r="F158" t="inlineStr">
        <is>
          <t>cruise</t>
        </is>
      </c>
      <c r="G158" t="inlineStr"/>
      <c r="H158" t="n">
        <v>200</v>
      </c>
      <c r="I158" t="inlineStr"/>
      <c r="J158" t="inlineStr"/>
      <c r="K158" t="inlineStr">
        <is>
          <t>HighExplosive</t>
        </is>
      </c>
      <c r="L158" t="n">
        <v>3</v>
      </c>
      <c r="M158" t="inlineStr">
        <is>
          <t>Missile</t>
        </is>
      </c>
      <c r="N158" t="n">
        <v>1</v>
      </c>
      <c r="O158" t="inlineStr">
        <is>
          <t>RIPPLE</t>
        </is>
      </c>
      <c r="P158" t="n">
        <v>1</v>
      </c>
      <c r="Q158" t="n">
        <v>0.1</v>
      </c>
      <c r="R158" t="n">
        <v>50</v>
      </c>
      <c r="S158" t="n">
        <v>0</v>
      </c>
      <c r="T158" t="n">
        <v>0</v>
      </c>
      <c r="U158" t="n">
        <v>0</v>
      </c>
      <c r="V158" t="n">
        <v>0</v>
      </c>
      <c r="W158" t="n">
        <v>520</v>
      </c>
      <c r="X158" t="n">
        <v>10</v>
      </c>
      <c r="Y158" t="n">
        <v>0</v>
      </c>
      <c r="Z158" t="n">
        <v>70</v>
      </c>
      <c r="AA158" t="n">
        <v>400</v>
      </c>
      <c r="AB158" t="n">
        <v>0</v>
      </c>
      <c r="AC158" t="inlineStr">
        <is>
          <t>Ground</t>
        </is>
      </c>
      <c r="AD158" t="inlineStr"/>
      <c r="AE158" t="n">
        <v>0</v>
      </c>
      <c r="AF158" t="inlineStr">
        <is>
          <t>Large</t>
        </is>
      </c>
      <c r="AG158" t="b">
        <v>0</v>
      </c>
      <c r="AH158" t="b">
        <v>0</v>
      </c>
      <c r="AI158" t="b">
        <v>0</v>
      </c>
      <c r="AJ158" t="b">
        <v>0</v>
      </c>
      <c r="AK158" t="b">
        <v>1</v>
      </c>
      <c r="AL158" t="b">
        <v>0</v>
      </c>
      <c r="AM158" t="b">
        <v>0</v>
      </c>
      <c r="AN158" t="n">
        <v>500</v>
      </c>
      <c r="AO158" t="n">
        <v>0</v>
      </c>
      <c r="AP158" t="inlineStr">
        <is>
          <t>T4</t>
        </is>
      </c>
      <c r="AQ158" t="inlineStr">
        <is>
          <t>leviathan_cruise</t>
        </is>
      </c>
      <c r="AR158" t="inlineStr"/>
      <c r="AS158" t="inlineStr">
        <is>
          <t>boss</t>
        </is>
      </c>
      <c r="AT158" t="inlineStr">
        <is>
          <t>hydra</t>
        </is>
      </c>
      <c r="AU158" t="n">
        <v>1</v>
      </c>
      <c r="AV158" t="inlineStr">
        <is>
          <t>hydra:other</t>
        </is>
      </c>
      <c r="AW158" t="n">
        <v>2.722222222222222</v>
      </c>
      <c r="AX158" t="b">
        <v>0</v>
      </c>
      <c r="AY158" t="inlineStr"/>
      <c r="AZ158">
        <f>IF(AND($AX$158,$AW$158&gt;$AA$158/$Z$158),$AW$158,$AA$158/$Z$158)</f>
        <v/>
      </c>
      <c r="BA158" t="n">
        <v>5.714285714285714</v>
      </c>
      <c r="BB158" t="inlineStr">
        <is>
          <t>NEED_SOURCE</t>
        </is>
      </c>
      <c r="BC158" t="inlineStr">
        <is>
          <t>NEED_SOURCE</t>
        </is>
      </c>
      <c r="BE158" t="inlineStr">
        <is>
          <t>NEED_SOURCE</t>
        </is>
      </c>
      <c r="BG158" t="inlineStr">
        <is>
          <t>moi</t>
        </is>
      </c>
      <c r="DS158" t="inlineStr">
        <is>
          <t>Large</t>
        </is>
      </c>
      <c r="DT158" t="inlineStr">
        <is>
          <t>leviathan_cruise</t>
        </is>
      </c>
      <c r="EQ158" t="inlineStr">
        <is>
          <t>3M-54 Club-S (submarine-launched, vertical tubes)</t>
        </is>
      </c>
      <c r="GD158" t="inlineStr">
        <is>
          <t>Assets/MachineBrigade/Resources/Data/balance.json: weapons[278]</t>
        </is>
      </c>
      <c r="GE158" t="inlineStr">
        <is>
          <t>{"id":"hydra_club_s","inherits":"leviathan_cruise","real":"3M-54 Club-S (submarine-launched, vertical tubes)","impactTier":"Large"}</t>
        </is>
      </c>
    </row>
    <row r="159">
      <c r="A159" t="inlineStr">
        <is>
          <t>ifv_30</t>
        </is>
      </c>
      <c r="B159" t="inlineStr">
        <is>
          <t>2A42 30 mm</t>
        </is>
      </c>
      <c r="C159" t="inlineStr">
        <is>
          <t>cal_30</t>
        </is>
      </c>
      <c r="D159" t="inlineStr"/>
      <c r="E159" t="inlineStr">
        <is>
          <t>2a42_30_mm</t>
        </is>
      </c>
      <c r="F159" t="inlineStr">
        <is>
          <t>autocannon</t>
        </is>
      </c>
      <c r="G159" t="n">
        <v>30</v>
      </c>
      <c r="H159" t="inlineStr"/>
      <c r="I159" t="inlineStr"/>
      <c r="J159" t="inlineStr"/>
      <c r="K159" t="inlineStr">
        <is>
          <t>Kinetic</t>
        </is>
      </c>
      <c r="L159" t="n">
        <v>2</v>
      </c>
      <c r="M159" t="inlineStr">
        <is>
          <t>Bullet</t>
        </is>
      </c>
      <c r="N159" t="n">
        <v>1</v>
      </c>
      <c r="O159" t="inlineStr">
        <is>
          <t>RIPPLE</t>
        </is>
      </c>
      <c r="P159" t="n">
        <v>10</v>
      </c>
      <c r="Q159" t="n">
        <v>0.1111</v>
      </c>
      <c r="R159" t="n">
        <v>1.6111</v>
      </c>
      <c r="S159" t="n">
        <v>0</v>
      </c>
      <c r="T159" t="n">
        <v>0</v>
      </c>
      <c r="U159" t="n">
        <v>0</v>
      </c>
      <c r="V159" t="n">
        <v>0</v>
      </c>
      <c r="W159" t="n">
        <v>22</v>
      </c>
      <c r="X159" t="n">
        <v>0</v>
      </c>
      <c r="Y159" t="n">
        <v>0</v>
      </c>
      <c r="Z159" t="n">
        <v>200</v>
      </c>
      <c r="AA159" t="n">
        <v>30</v>
      </c>
      <c r="AB159" t="n">
        <v>0</v>
      </c>
      <c r="AC159" t="inlineStr">
        <is>
          <t>Ground</t>
        </is>
      </c>
      <c r="AD159" t="inlineStr"/>
      <c r="AE159" t="n">
        <v>0.8</v>
      </c>
      <c r="AF159" t="inlineStr">
        <is>
          <t>Small</t>
        </is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n">
        <v>30</v>
      </c>
      <c r="AO159" t="n">
        <v>0</v>
      </c>
      <c r="AP159" t="inlineStr">
        <is>
          <t>T1</t>
        </is>
      </c>
      <c r="AQ159" t="inlineStr">
        <is>
          <t>autocannon_30</t>
        </is>
      </c>
      <c r="AR159" t="inlineStr">
        <is>
          <t>ifv_30_flak</t>
        </is>
      </c>
      <c r="AS159" t="inlineStr">
        <is>
          <t>xe</t>
        </is>
      </c>
      <c r="AT159" t="inlineStr">
        <is>
          <t>ifv</t>
        </is>
      </c>
      <c r="AU159" t="n">
        <v>1</v>
      </c>
      <c r="AV159" t="inlineStr">
        <is>
          <t>ifv:0</t>
        </is>
      </c>
      <c r="AW159" t="n">
        <v>0</v>
      </c>
      <c r="AX159" t="b">
        <v>0</v>
      </c>
      <c r="AY159" t="inlineStr"/>
      <c r="AZ159">
        <f>IF(AND($AX$159,$AW$159&gt;$AA$159/$Z$159),$AW$159,$AA$159/$Z$159)</f>
        <v/>
      </c>
      <c r="BA159" t="n">
        <v>0.15</v>
      </c>
      <c r="BB159" t="n">
        <v>800</v>
      </c>
      <c r="BC159" t="n">
        <v>300</v>
      </c>
      <c r="BD159" t="inlineStr">
        <is>
          <t>ac</t>
        </is>
      </c>
      <c r="BE159" t="inlineStr">
        <is>
          <t>Wikipedia '2A42': 550-800 high, 200-300 low rpm</t>
        </is>
      </c>
      <c r="BG159" t="inlineStr">
        <is>
          <t>giong</t>
        </is>
      </c>
      <c r="CR159" t="n">
        <v>10</v>
      </c>
      <c r="CS159" t="n">
        <v>0.1111</v>
      </c>
      <c r="CT159" t="n">
        <v>30</v>
      </c>
      <c r="CW159" t="n">
        <v>0</v>
      </c>
      <c r="CX159" t="n">
        <v>0</v>
      </c>
      <c r="DD159" t="n">
        <v>1.6111</v>
      </c>
      <c r="DJ159" t="inlineStr">
        <is>
          <t>autocannon</t>
        </is>
      </c>
      <c r="DT159" t="inlineStr">
        <is>
          <t>autocannon_30</t>
        </is>
      </c>
      <c r="EB159" t="n">
        <v>2</v>
      </c>
      <c r="EQ159" t="inlineStr">
        <is>
          <t>2A42 30 mm</t>
        </is>
      </c>
      <c r="EX159" t="n">
        <v>30</v>
      </c>
      <c r="GA159" t="inlineStr">
        <is>
          <t>2a42_30_mm</t>
        </is>
      </c>
      <c r="GD159" t="inlineStr">
        <is>
          <t>Assets/MachineBrigade/Resources/Data/balance.json: weapons[9]</t>
        </is>
      </c>
      <c r="GE159" t="inlineStr">
        <is>
          <t>{"id":"ifv_30","weaponFamily":"2a42_30_mm","burstInterval":0.1111,"burst":10,"real":"2A42 30 mm","family":"autocannon","size":30,"caliberMm":30,"pen":2,"inherits":"autocannon_30","cooldown":1.6111,"clipReload":0,"clip":0}</t>
        </is>
      </c>
    </row>
    <row r="160">
      <c r="A160" t="inlineStr">
        <is>
          <t>ifv_30_flak</t>
        </is>
      </c>
      <c r="B160" t="inlineStr">
        <is>
          <t>2A42 30 mm air-burst</t>
        </is>
      </c>
      <c r="C160" t="inlineStr">
        <is>
          <t>cal_30</t>
        </is>
      </c>
      <c r="D160" t="inlineStr">
        <is>
          <t>flak</t>
        </is>
      </c>
      <c r="E160" t="inlineStr">
        <is>
          <t>2a42_30_mm_air_burst</t>
        </is>
      </c>
      <c r="F160" t="inlineStr">
        <is>
          <t>autocannon</t>
        </is>
      </c>
      <c r="G160" t="n">
        <v>30</v>
      </c>
      <c r="H160" t="inlineStr"/>
      <c r="I160" t="inlineStr"/>
      <c r="J160" t="inlineStr"/>
      <c r="K160" t="inlineStr">
        <is>
          <t>Fragmentation</t>
        </is>
      </c>
      <c r="L160" t="n">
        <v>2</v>
      </c>
      <c r="M160" t="inlineStr">
        <is>
          <t>Bullet</t>
        </is>
      </c>
      <c r="N160" t="n">
        <v>1</v>
      </c>
      <c r="O160" t="inlineStr">
        <is>
          <t>RIPPLE</t>
        </is>
      </c>
      <c r="P160" t="n">
        <v>10</v>
      </c>
      <c r="Q160" t="n">
        <v>0.1111</v>
      </c>
      <c r="R160" t="n">
        <v>1.6111</v>
      </c>
      <c r="S160" t="n">
        <v>0</v>
      </c>
      <c r="T160" t="n">
        <v>0</v>
      </c>
      <c r="U160" t="n">
        <v>0</v>
      </c>
      <c r="V160" t="n">
        <v>0</v>
      </c>
      <c r="W160" t="n">
        <v>22</v>
      </c>
      <c r="X160" t="n">
        <v>2.5</v>
      </c>
      <c r="Y160" t="n">
        <v>0</v>
      </c>
      <c r="Z160" t="n">
        <v>200</v>
      </c>
      <c r="AA160" t="n">
        <v>30</v>
      </c>
      <c r="AB160" t="n">
        <v>0</v>
      </c>
      <c r="AC160" t="inlineStr">
        <is>
          <t>Air</t>
        </is>
      </c>
      <c r="AD160" t="inlineStr"/>
      <c r="AE160" t="n">
        <v>0.8</v>
      </c>
      <c r="AF160" t="inlineStr">
        <is>
          <t>Small</t>
        </is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n">
        <v>30</v>
      </c>
      <c r="AO160" t="n">
        <v>0</v>
      </c>
      <c r="AP160" t="inlineStr">
        <is>
          <t>T1</t>
        </is>
      </c>
      <c r="AQ160" t="inlineStr">
        <is>
          <t>ifv_30</t>
        </is>
      </c>
      <c r="AR160" t="inlineStr"/>
      <c r="AS160" t="inlineStr"/>
      <c r="AT160" t="inlineStr"/>
      <c r="AU160" t="n">
        <v>0</v>
      </c>
      <c r="AV160" t="inlineStr"/>
      <c r="AW160" t="n">
        <v>0</v>
      </c>
      <c r="AX160" t="b">
        <v>0</v>
      </c>
      <c r="AY160" t="inlineStr"/>
      <c r="AZ160">
        <f>IF(AND($AX$160,$AW$160&gt;$AA$160/$Z$160),$AW$160,$AA$160/$Z$160)</f>
        <v/>
      </c>
      <c r="BA160" t="n">
        <v>0.15</v>
      </c>
      <c r="BB160" t="n">
        <v>800</v>
      </c>
      <c r="BC160" t="n">
        <v>300</v>
      </c>
      <c r="BD160" t="inlineStr">
        <is>
          <t>ac</t>
        </is>
      </c>
      <c r="BE160" t="inlineStr">
        <is>
          <t>Wikipedia '2A42': 550-800 high, 200-300 low rpm</t>
        </is>
      </c>
      <c r="BG160" t="inlineStr">
        <is>
          <t>giong</t>
        </is>
      </c>
      <c r="DE160" t="n">
        <v>22</v>
      </c>
      <c r="DF160" t="inlineStr">
        <is>
          <t>Fragmentation</t>
        </is>
      </c>
      <c r="DM160" t="inlineStr">
        <is>
          <t>air</t>
        </is>
      </c>
      <c r="DN160" t="inlineStr">
        <is>
          <t>Airburst</t>
        </is>
      </c>
      <c r="DT160" t="inlineStr">
        <is>
          <t>ifv_30</t>
        </is>
      </c>
      <c r="EB160" t="n">
        <v>2</v>
      </c>
      <c r="EE160" t="b">
        <v>0</v>
      </c>
      <c r="EQ160" t="inlineStr">
        <is>
          <t>2A42 30 mm air-burst</t>
        </is>
      </c>
      <c r="ES160" t="inlineStr">
        <is>
          <t>flak</t>
        </is>
      </c>
      <c r="EU160" t="inlineStr">
        <is>
          <t>ifv_30</t>
        </is>
      </c>
      <c r="EY160" t="n">
        <v>2.5</v>
      </c>
      <c r="FW160" t="inlineStr">
        <is>
          <t>Air</t>
        </is>
      </c>
      <c r="GA160" t="inlineStr">
        <is>
          <t>2a42_30_mm_air_burst</t>
        </is>
      </c>
      <c r="GC160" t="inlineStr">
        <is>
          <t>flak</t>
        </is>
      </c>
      <c r="GD160" t="inlineStr">
        <is>
          <t>Assets/MachineBrigade/Resources/Data/balance.json: secondRounds.rounds[47]</t>
        </is>
      </c>
      <c r="GE160" t="inlineStr">
        <is>
          <t>{"id":"ifv_30_flak","roundOf":"ifv_30","inherits":"ifv_30","weaponVariantId":"flak","weaponFamily":"2a42_30_mm_air_burst","round":"flak","for":["air"],"real":"2A42 30 mm air-burst","damageType":"Fragmentation","pen":2,"damage":22,"splash":2.5,"form":"Airburst","piercing":false,"targets":"Air"}</t>
        </is>
      </c>
    </row>
    <row r="161">
      <c r="A161" t="inlineStr">
        <is>
          <t>igla_v</t>
        </is>
      </c>
      <c r="B161" t="inlineStr">
        <is>
          <t>9K38 Igla-V</t>
        </is>
      </c>
      <c r="C161" t="inlineStr">
        <is>
          <t>sam_9k38_igla_v</t>
        </is>
      </c>
      <c r="D161" t="inlineStr"/>
      <c r="E161" t="inlineStr"/>
      <c r="F161" t="inlineStr">
        <is>
          <t>aa_missile</t>
        </is>
      </c>
      <c r="G161" t="inlineStr"/>
      <c r="H161" t="n">
        <v>1.2</v>
      </c>
      <c r="I161" t="inlineStr"/>
      <c r="J161" t="inlineStr"/>
      <c r="K161" t="inlineStr">
        <is>
          <t>Fragmentation</t>
        </is>
      </c>
      <c r="L161" t="n">
        <v>2</v>
      </c>
      <c r="M161" t="inlineStr">
        <is>
          <t>Missile</t>
        </is>
      </c>
      <c r="N161" t="n">
        <v>1</v>
      </c>
      <c r="O161" t="inlineStr">
        <is>
          <t>RIPPLE</t>
        </is>
      </c>
      <c r="P161" t="n">
        <v>1</v>
      </c>
      <c r="Q161" t="n">
        <v>0.1</v>
      </c>
      <c r="R161" t="n">
        <v>8.33</v>
      </c>
      <c r="S161" t="n">
        <v>0</v>
      </c>
      <c r="T161" t="n">
        <v>0</v>
      </c>
      <c r="U161" t="n">
        <v>0</v>
      </c>
      <c r="V161" t="n">
        <v>0</v>
      </c>
      <c r="W161" t="n">
        <v>150</v>
      </c>
      <c r="X161" t="n">
        <v>1.5</v>
      </c>
      <c r="Y161" t="n">
        <v>0</v>
      </c>
      <c r="Z161" t="n">
        <v>170</v>
      </c>
      <c r="AA161" t="n">
        <v>32</v>
      </c>
      <c r="AB161" t="n">
        <v>0</v>
      </c>
      <c r="AC161" t="inlineStr">
        <is>
          <t>Air</t>
        </is>
      </c>
      <c r="AD161" t="inlineStr"/>
      <c r="AE161" t="n">
        <v>0</v>
      </c>
      <c r="AF161" t="inlineStr">
        <is>
          <t>Medium</t>
        </is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n">
        <v>1.2</v>
      </c>
      <c r="AO161" t="n">
        <v>2</v>
      </c>
      <c r="AP161" t="inlineStr">
        <is>
          <t>T2</t>
        </is>
      </c>
      <c r="AQ161" t="inlineStr"/>
      <c r="AR161" t="inlineStr"/>
      <c r="AS161" t="inlineStr"/>
      <c r="AT161" t="inlineStr"/>
      <c r="AU161" t="n">
        <v>0</v>
      </c>
      <c r="AV161" t="inlineStr"/>
      <c r="AW161" t="n">
        <v>0</v>
      </c>
      <c r="AX161" t="b">
        <v>0</v>
      </c>
      <c r="AY161" t="inlineStr"/>
      <c r="AZ161">
        <f>IF(AND($AX$161,$AW$161&gt;$AA$161/$Z$161),$AW$161,$AA$161/$Z$161)</f>
        <v/>
      </c>
      <c r="BA161" t="n">
        <v>0.1882352941176471</v>
      </c>
      <c r="BB161" t="n">
        <v>20</v>
      </c>
      <c r="BC161" t="n">
        <v>10</v>
      </c>
      <c r="BD161" t="inlineStr">
        <is>
          <t>missile</t>
        </is>
      </c>
      <c r="BE161" t="inlineStr">
        <is>
          <t>air-launched Igla-V pairs, est. 3 s</t>
        </is>
      </c>
      <c r="BG161" t="inlineStr">
        <is>
          <t>doi</t>
        </is>
      </c>
      <c r="BR161" t="n">
        <v>24</v>
      </c>
      <c r="BS161" t="n">
        <v>170</v>
      </c>
      <c r="DD161" t="n">
        <v>8.33</v>
      </c>
      <c r="DE161" t="n">
        <v>150</v>
      </c>
      <c r="DF161" t="inlineStr">
        <is>
          <t>Fragmentation</t>
        </is>
      </c>
      <c r="DJ161" t="inlineStr">
        <is>
          <t>aa_missile</t>
        </is>
      </c>
      <c r="DS161" t="inlineStr">
        <is>
          <t>Medium</t>
        </is>
      </c>
      <c r="DW161" t="n">
        <v>2</v>
      </c>
      <c r="EB161" t="n">
        <v>2</v>
      </c>
      <c r="EH161" t="inlineStr">
        <is>
          <t>Missile</t>
        </is>
      </c>
      <c r="EI161" t="inlineStr">
        <is>
          <t>igla</t>
        </is>
      </c>
      <c r="EJ161" t="n">
        <v>0.78</v>
      </c>
      <c r="EK161" t="n">
        <v>170</v>
      </c>
      <c r="EP161" t="n">
        <v>32</v>
      </c>
      <c r="EQ161" t="inlineStr">
        <is>
          <t>9K38 Igla-V</t>
        </is>
      </c>
      <c r="EV161" t="n">
        <v>180</v>
      </c>
      <c r="EX161" t="n">
        <v>1.2</v>
      </c>
      <c r="EY161" t="n">
        <v>1.5</v>
      </c>
      <c r="FW161" t="inlineStr">
        <is>
          <t>Air</t>
        </is>
      </c>
      <c r="FZ161" t="n">
        <v>1.2</v>
      </c>
      <c r="GB161" t="inlineStr">
        <is>
          <t>sam_9k38_igla_v</t>
        </is>
      </c>
      <c r="GD161" t="inlineStr">
        <is>
          <t>Assets/MachineBrigade/Resources/Data/balance.json: weapons[65]</t>
        </is>
      </c>
      <c r="GE161" t="inlineStr">
        <is>
          <t>{"id":"igla_v","weaponFamilyId":"sam_9k38_igla_v","load":2,"real":"9K38 Igla-V","family":"aa_missile","size":1.2,"warheadKg":1.2,"pen":2,"projectileModel":"igla","projectileScale":0.78,"damageType":"Fragmentation","damage":150,"cooldown":8.33,"range":32,"projectileSpeed":170,"splash":1.5,"impactTier":"Medium","projectile":"Missile","targets":"Air","roundWeight":180}</t>
        </is>
      </c>
    </row>
    <row r="162">
      <c r="A162" t="inlineStr">
        <is>
          <t>illum_flare</t>
        </is>
      </c>
      <c r="B162" t="inlineStr">
        <is>
          <t>Illumination flare</t>
        </is>
      </c>
      <c r="C162" t="inlineStr">
        <is>
          <t>special_illumination_flare</t>
        </is>
      </c>
      <c r="D162" t="inlineStr"/>
      <c r="E162" t="inlineStr"/>
      <c r="F162" t="inlineStr">
        <is>
          <t>special</t>
        </is>
      </c>
      <c r="G162" t="inlineStr"/>
      <c r="H162" t="inlineStr"/>
      <c r="I162" t="inlineStr"/>
      <c r="J162" t="inlineStr"/>
      <c r="K162" t="inlineStr">
        <is>
          <t>HighExplosive</t>
        </is>
      </c>
      <c r="L162" t="n">
        <v>0</v>
      </c>
      <c r="M162" t="inlineStr">
        <is>
          <t>Shell</t>
        </is>
      </c>
      <c r="N162" t="n">
        <v>1</v>
      </c>
      <c r="O162" t="inlineStr">
        <is>
          <t>RIPPLE</t>
        </is>
      </c>
      <c r="P162" t="n">
        <v>1</v>
      </c>
      <c r="Q162" t="n">
        <v>0.1</v>
      </c>
      <c r="R162" t="n">
        <v>15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35</v>
      </c>
      <c r="AA162" t="n">
        <v>40</v>
      </c>
      <c r="AB162" t="n">
        <v>0</v>
      </c>
      <c r="AC162" t="inlineStr">
        <is>
          <t>Ground</t>
        </is>
      </c>
      <c r="AD162" t="inlineStr"/>
      <c r="AE162" t="n">
        <v>0</v>
      </c>
      <c r="AF162" t="inlineStr">
        <is>
          <t>Small</t>
        </is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n">
        <v>81</v>
      </c>
      <c r="AO162" t="n">
        <v>0</v>
      </c>
      <c r="AP162" t="inlineStr">
        <is>
          <t>T0</t>
        </is>
      </c>
      <c r="AQ162" t="inlineStr"/>
      <c r="AR162" t="inlineStr"/>
      <c r="AS162" t="inlineStr">
        <is>
          <t>thap</t>
        </is>
      </c>
      <c r="AT162" t="inlineStr">
        <is>
          <t>flare_searchlight_tower;flare_tower</t>
        </is>
      </c>
      <c r="AU162" t="n">
        <v>2</v>
      </c>
      <c r="AV162" t="inlineStr">
        <is>
          <t>flare_searchlight_tower:0;flare_tower:0</t>
        </is>
      </c>
      <c r="AW162" t="n">
        <v>0</v>
      </c>
      <c r="AX162" t="b">
        <v>0</v>
      </c>
      <c r="AY162" t="inlineStr"/>
      <c r="AZ162">
        <f>IF(AND($AX$162,$AW$162&gt;$AA$162/$Z$162),$AW$162,$AA$162/$Z$162)</f>
        <v/>
      </c>
      <c r="BA162" t="n">
        <v>1.142857142857143</v>
      </c>
      <c r="BB162" t="inlineStr">
        <is>
          <t>NEED_SOURCE</t>
        </is>
      </c>
      <c r="BC162" t="inlineStr">
        <is>
          <t>NEED_SOURCE</t>
        </is>
      </c>
      <c r="BE162" t="inlineStr">
        <is>
          <t>NEED_SOURCE</t>
        </is>
      </c>
      <c r="BG162" t="inlineStr">
        <is>
          <t>giong</t>
        </is>
      </c>
      <c r="DD162" t="n">
        <v>15</v>
      </c>
      <c r="DE162" t="n">
        <v>0</v>
      </c>
      <c r="DF162" t="inlineStr">
        <is>
          <t>HighExplosive</t>
        </is>
      </c>
      <c r="DJ162" t="inlineStr">
        <is>
          <t>special</t>
        </is>
      </c>
      <c r="DN162" t="inlineStr">
        <is>
          <t>None</t>
        </is>
      </c>
      <c r="DS162" t="inlineStr">
        <is>
          <t>Small</t>
        </is>
      </c>
      <c r="EB162" t="n">
        <v>0</v>
      </c>
      <c r="EH162" t="inlineStr">
        <is>
          <t>Shell</t>
        </is>
      </c>
      <c r="EK162" t="n">
        <v>35</v>
      </c>
      <c r="EP162" t="n">
        <v>40</v>
      </c>
      <c r="EQ162" t="inlineStr">
        <is>
          <t>Illumination flare</t>
        </is>
      </c>
      <c r="EX162" t="n">
        <v>81</v>
      </c>
      <c r="GB162" t="inlineStr">
        <is>
          <t>special_illumination_flare</t>
        </is>
      </c>
      <c r="GD162" t="inlineStr">
        <is>
          <t>Assets/MachineBrigade/Resources/Data/balance.json: weapons[282]</t>
        </is>
      </c>
      <c r="GE162" t="inlineStr">
        <is>
          <t>{"id":"illum_flare","weaponFamilyId":"special_illumination_flare","real":"Illumination flare","family":"special","size":81,"pen":0,"form":"None","damageType":"HighExplosive","damage":0,"cooldown":15,"range":40,"projectileSpeed":35,"impactTier":"Small","projectile":"Shell"}</t>
        </is>
      </c>
    </row>
    <row r="163">
      <c r="A163" t="inlineStr">
        <is>
          <t>jassm</t>
        </is>
      </c>
      <c r="B163" t="inlineStr">
        <is>
          <t>AGM-158 JASSM (450 kg)</t>
        </is>
      </c>
      <c r="C163" t="inlineStr">
        <is>
          <t>cruise_agm_158_jassm</t>
        </is>
      </c>
      <c r="D163" t="inlineStr"/>
      <c r="E163" t="inlineStr"/>
      <c r="F163" t="inlineStr">
        <is>
          <t>cruise</t>
        </is>
      </c>
      <c r="G163" t="inlineStr"/>
      <c r="H163" t="n">
        <v>450</v>
      </c>
      <c r="I163" t="inlineStr"/>
      <c r="J163" t="inlineStr"/>
      <c r="K163" t="inlineStr">
        <is>
          <t>HighExplosive</t>
        </is>
      </c>
      <c r="L163" t="n">
        <v>3</v>
      </c>
      <c r="M163" t="inlineStr">
        <is>
          <t>Missile</t>
        </is>
      </c>
      <c r="N163" t="n">
        <v>1</v>
      </c>
      <c r="O163" t="inlineStr">
        <is>
          <t>RIPPLE</t>
        </is>
      </c>
      <c r="P163" t="n">
        <v>2</v>
      </c>
      <c r="Q163" t="n">
        <v>0.6</v>
      </c>
      <c r="R163" t="n">
        <v>9.84</v>
      </c>
      <c r="S163" t="n">
        <v>0</v>
      </c>
      <c r="T163" t="n">
        <v>0</v>
      </c>
      <c r="U163" t="n">
        <v>0</v>
      </c>
      <c r="V163" t="n">
        <v>0</v>
      </c>
      <c r="W163" t="n">
        <v>410</v>
      </c>
      <c r="X163" t="n">
        <v>9</v>
      </c>
      <c r="Y163" t="n">
        <v>0</v>
      </c>
      <c r="Z163" t="n">
        <v>70</v>
      </c>
      <c r="AA163" t="n">
        <v>90</v>
      </c>
      <c r="AB163" t="n">
        <v>0</v>
      </c>
      <c r="AC163" t="inlineStr">
        <is>
          <t>Ground</t>
        </is>
      </c>
      <c r="AD163" t="inlineStr"/>
      <c r="AE163" t="n">
        <v>0</v>
      </c>
      <c r="AF163" t="inlineStr">
        <is>
          <t>Huge</t>
        </is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n">
        <v>450</v>
      </c>
      <c r="AO163" t="n">
        <v>4</v>
      </c>
      <c r="AP163" t="inlineStr">
        <is>
          <t>T4</t>
        </is>
      </c>
      <c r="AQ163" t="inlineStr"/>
      <c r="AR163" t="inlineStr"/>
      <c r="AS163" t="inlineStr">
        <is>
          <t>xe</t>
        </is>
      </c>
      <c r="AT163" t="inlineStr">
        <is>
          <t>stealth_bomber;swarm_carrier</t>
        </is>
      </c>
      <c r="AU163" t="n">
        <v>2</v>
      </c>
      <c r="AV163" t="inlineStr">
        <is>
          <t>stealth_bomber:1;swarm_carrier:1</t>
        </is>
      </c>
      <c r="AW163" t="n">
        <v>2.5</v>
      </c>
      <c r="AX163" t="b">
        <v>0</v>
      </c>
      <c r="AY163" t="inlineStr"/>
      <c r="AZ163">
        <f>IF(AND($AX$163,$AW$163&gt;$AA$163/$Z$163),$AW$163,$AA$163/$Z$163)</f>
        <v/>
      </c>
      <c r="BA163" t="n">
        <v>1.285714285714286</v>
      </c>
      <c r="BB163" t="n">
        <v>20</v>
      </c>
      <c r="BC163" t="n">
        <v>6</v>
      </c>
      <c r="BD163" t="inlineStr">
        <is>
          <t>missile</t>
        </is>
      </c>
      <c r="BE163" t="inlineStr">
        <is>
          <t>cruise missiles: ~3 s between launches (est.)</t>
        </is>
      </c>
      <c r="BG163" t="inlineStr">
        <is>
          <t>doi</t>
        </is>
      </c>
      <c r="BR163" t="n">
        <v>20</v>
      </c>
      <c r="BS163" t="n">
        <v>70</v>
      </c>
      <c r="CR163" t="n">
        <v>2</v>
      </c>
      <c r="CS163" t="n">
        <v>0.6</v>
      </c>
      <c r="DD163" t="n">
        <v>9.84</v>
      </c>
      <c r="DE163" t="n">
        <v>410</v>
      </c>
      <c r="DF163" t="inlineStr">
        <is>
          <t>HighExplosive</t>
        </is>
      </c>
      <c r="DJ163" t="inlineStr">
        <is>
          <t>cruise</t>
        </is>
      </c>
      <c r="DS163" t="inlineStr">
        <is>
          <t>Huge</t>
        </is>
      </c>
      <c r="DW163" t="n">
        <v>4</v>
      </c>
      <c r="EB163" t="n">
        <v>3</v>
      </c>
      <c r="EH163" t="inlineStr">
        <is>
          <t>Missile</t>
        </is>
      </c>
      <c r="EI163" t="inlineStr">
        <is>
          <t>jassm</t>
        </is>
      </c>
      <c r="EJ163" t="n">
        <v>0.7091</v>
      </c>
      <c r="EK163" t="n">
        <v>70</v>
      </c>
      <c r="EP163" t="n">
        <v>90</v>
      </c>
      <c r="EQ163" t="inlineStr">
        <is>
          <t>AGM-158 JASSM (450 kg)</t>
        </is>
      </c>
      <c r="ET163" t="n">
        <v>2.135</v>
      </c>
      <c r="EV163" t="n">
        <v>420</v>
      </c>
      <c r="EX163" t="n">
        <v>450</v>
      </c>
      <c r="EY163" t="n">
        <v>9</v>
      </c>
      <c r="FZ163" t="n">
        <v>450</v>
      </c>
      <c r="GB163" t="inlineStr">
        <is>
          <t>cruise_agm_158_jassm</t>
        </is>
      </c>
      <c r="GD163" t="inlineStr">
        <is>
          <t>Assets/MachineBrigade/Resources/Data/balance.json: weapons[67]</t>
        </is>
      </c>
      <c r="GE163" t="inlineStr">
        <is>
          <t>{"id":"jassm","weaponFamilyId":"cruise_agm_158_jassm","load":4,"real":"AGM-158 JASSM (450 kg)","family":"cruise","size":450,"warheadKg":450,"pen":3,"projectileModel":"jassm","projectileScale":0.7091,"roundLength":2.135,"damageType":"HighExplosive","damage":410,"cooldown":9.84,"range":90,"projectileSpeed":70,"splash":9,"impactTier":"Huge","projectile":"Missile","burst":2,"burstInterval":0.6,"roundWeight":420}</t>
        </is>
      </c>
    </row>
    <row r="164">
      <c r="A164" t="inlineStr">
        <is>
          <t>jet_bombs</t>
        </is>
      </c>
      <c r="B164" t="inlineStr">
        <is>
          <t>FAB-250 (250 kg)</t>
        </is>
      </c>
      <c r="C164" t="inlineStr">
        <is>
          <t>bomb_fab_250</t>
        </is>
      </c>
      <c r="D164" t="inlineStr"/>
      <c r="E164" t="inlineStr"/>
      <c r="F164" t="inlineStr">
        <is>
          <t>bomb</t>
        </is>
      </c>
      <c r="G164" t="inlineStr"/>
      <c r="H164" t="n">
        <v>250</v>
      </c>
      <c r="I164" t="inlineStr"/>
      <c r="J164" t="inlineStr"/>
      <c r="K164" t="inlineStr">
        <is>
          <t>HighExplosive</t>
        </is>
      </c>
      <c r="L164" t="n">
        <v>2</v>
      </c>
      <c r="M164" t="inlineStr">
        <is>
          <t>Bomb</t>
        </is>
      </c>
      <c r="N164" t="n">
        <v>1</v>
      </c>
      <c r="O164" t="inlineStr">
        <is>
          <t>RIPPLE</t>
        </is>
      </c>
      <c r="P164" t="n">
        <v>2</v>
      </c>
      <c r="Q164" t="n">
        <v>0.25</v>
      </c>
      <c r="R164" t="n">
        <v>10.05</v>
      </c>
      <c r="S164" t="n">
        <v>0</v>
      </c>
      <c r="T164" t="n">
        <v>0</v>
      </c>
      <c r="U164" t="n">
        <v>0</v>
      </c>
      <c r="V164" t="n">
        <v>0</v>
      </c>
      <c r="W164" t="n">
        <v>310</v>
      </c>
      <c r="X164" t="n">
        <v>8</v>
      </c>
      <c r="Y164" t="n">
        <v>0</v>
      </c>
      <c r="Z164" t="n">
        <v>35</v>
      </c>
      <c r="AA164" t="n">
        <v>26</v>
      </c>
      <c r="AB164" t="n">
        <v>0</v>
      </c>
      <c r="AC164" t="inlineStr">
        <is>
          <t>Ground</t>
        </is>
      </c>
      <c r="AD164" t="inlineStr"/>
      <c r="AE164" t="n">
        <v>3</v>
      </c>
      <c r="AF164" t="inlineStr">
        <is>
          <t>Huge</t>
        </is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n">
        <v>250</v>
      </c>
      <c r="AO164" t="n">
        <v>3</v>
      </c>
      <c r="AP164" t="inlineStr">
        <is>
          <t>T3</t>
        </is>
      </c>
      <c r="AQ164" t="inlineStr"/>
      <c r="AR164" t="inlineStr"/>
      <c r="AS164" t="inlineStr">
        <is>
          <t>xe</t>
        </is>
      </c>
      <c r="AT164" t="inlineStr">
        <is>
          <t>attack_jet;elite_attack_jet;stealth_naval_strike</t>
        </is>
      </c>
      <c r="AU164" t="n">
        <v>3</v>
      </c>
      <c r="AV164" t="inlineStr">
        <is>
          <t>attack_jet:2;elite_attack_jet:2;stealth_naval_strike:1</t>
        </is>
      </c>
      <c r="AW164" t="n">
        <v>0</v>
      </c>
      <c r="AX164" t="b">
        <v>0</v>
      </c>
      <c r="AY164" t="inlineStr"/>
      <c r="AZ164">
        <f>IF(AND($AX$164,$AW$164&gt;$AA$164/$Z$164),$AW$164,$AA$164/$Z$164)</f>
        <v/>
      </c>
      <c r="BA164" t="n">
        <v>0.7429</v>
      </c>
      <c r="BB164" t="n">
        <v>600</v>
      </c>
      <c r="BC164" t="inlineStr"/>
      <c r="BD164" t="inlineStr">
        <is>
          <t>bomb</t>
        </is>
      </c>
      <c r="BE164" t="inlineStr">
        <is>
          <t>a stick's release, 0.1 s and up (est.)</t>
        </is>
      </c>
      <c r="BG164" t="inlineStr">
        <is>
          <t>giong</t>
        </is>
      </c>
      <c r="CR164" t="n">
        <v>2</v>
      </c>
      <c r="CS164" t="n">
        <v>0.25</v>
      </c>
      <c r="DD164" t="n">
        <v>10.05</v>
      </c>
      <c r="DE164" t="n">
        <v>310</v>
      </c>
      <c r="DF164" t="inlineStr">
        <is>
          <t>HighExplosive</t>
        </is>
      </c>
      <c r="DJ164" t="inlineStr">
        <is>
          <t>bomb</t>
        </is>
      </c>
      <c r="DS164" t="inlineStr">
        <is>
          <t>Huge</t>
        </is>
      </c>
      <c r="DW164" t="n">
        <v>3</v>
      </c>
      <c r="EB164" t="n">
        <v>2</v>
      </c>
      <c r="EH164" t="inlineStr">
        <is>
          <t>Bomb</t>
        </is>
      </c>
      <c r="EI164" t="inlineStr">
        <is>
          <t>bomb_fab</t>
        </is>
      </c>
      <c r="EJ164" t="n">
        <v>0.5444</v>
      </c>
      <c r="EK164" t="n">
        <v>35</v>
      </c>
      <c r="EP164" t="n">
        <v>26</v>
      </c>
      <c r="EQ164" t="inlineStr">
        <is>
          <t>FAB-250 (250 kg)</t>
        </is>
      </c>
      <c r="ET164" t="n">
        <v>0.98</v>
      </c>
      <c r="EV164" t="n">
        <v>351</v>
      </c>
      <c r="EX164" t="n">
        <v>250</v>
      </c>
      <c r="EY164" t="n">
        <v>8</v>
      </c>
      <c r="EZ164" t="n">
        <v>3</v>
      </c>
      <c r="FA164" t="inlineStr">
        <is>
          <t>CENTER</t>
        </is>
      </c>
      <c r="FB164" t="n">
        <v>1</v>
      </c>
      <c r="FC164" t="n">
        <v>2</v>
      </c>
      <c r="FD164" t="inlineStr">
        <is>
          <t>OVERFLY</t>
        </is>
      </c>
      <c r="FE164" t="n">
        <v>40</v>
      </c>
      <c r="FF164" t="n">
        <v>1.225</v>
      </c>
      <c r="FG164" t="inlineStr">
        <is>
          <t>APPROACH</t>
        </is>
      </c>
      <c r="FH164" t="n">
        <v>0.3438</v>
      </c>
      <c r="FI164" t="n">
        <v>2</v>
      </c>
      <c r="FJ164" t="n">
        <v>1.32</v>
      </c>
      <c r="FK164" t="n">
        <v>31.4</v>
      </c>
      <c r="FL164" t="n">
        <v>8.800000000000001</v>
      </c>
      <c r="FM164" t="n">
        <v>3</v>
      </c>
      <c r="FN164" t="inlineStr">
        <is>
          <t>STICK</t>
        </is>
      </c>
      <c r="FO164" t="n">
        <v>0.909</v>
      </c>
      <c r="FP164" t="n">
        <v>25.6</v>
      </c>
      <c r="FQ164" t="n">
        <v>8</v>
      </c>
      <c r="FR164" t="n">
        <v>8.800000000000001</v>
      </c>
      <c r="FS164" t="n">
        <v>2.57</v>
      </c>
      <c r="FT164" t="inlineStr">
        <is>
          <t>NONE</t>
        </is>
      </c>
      <c r="FU164" t="n">
        <v>20</v>
      </c>
      <c r="FZ164" t="n">
        <v>250</v>
      </c>
      <c r="GB164" t="inlineStr">
        <is>
          <t>bomb_fab_250</t>
        </is>
      </c>
      <c r="GD164" t="inlineStr">
        <is>
          <t>Assets/MachineBrigade/Resources/Data/balance.json: weapons[40]</t>
        </is>
      </c>
      <c r="GE164" t="inlineStr">
        <is>
          <t>{"id":"jet_bombs","weaponFamilyId":"bomb_fab_250","load":3,"real":"FAB-250 (250 kg)","family":"bomb","size":250,"warheadKg":250,"pen":2,"projectileModel":"bomb_fab","projectileScale":0.5444,"roundLength":0.98,"damageType":"HighExplosive","damage":310,"cooldown":10.05,"range":26,"projectileSpeed":35,"splash":8,"spread":3,"impactTier":"Huge","projectile":"Bomb","burst":2,"burstInterval":0.25,"roundWeight":351,"stick":{"mode":"STICK","bombs":2,"spacing":8.8,"length":8.8,"interval":0.3438,"releaseSpeed":25.6,"fallTime":1.225,"lead":31.4,"heading":"APPROACH","anchor":"CENTER","drop":"OVERFLY","jitterAcross":2,"jitterAlong":1.32,"overlap":0.909,"width":20,"minTargets":3,"safety":8,"straightTime":2.57,"exit":40,"bayOpen":1.0,"warnShape":"NONE"}}</t>
        </is>
      </c>
    </row>
    <row r="165">
      <c r="A165" t="inlineStr">
        <is>
          <t>jet_cannon</t>
        </is>
      </c>
      <c r="B165" t="inlineStr">
        <is>
          <t>GSh-30-2 30 mm</t>
        </is>
      </c>
      <c r="C165" t="inlineStr">
        <is>
          <t>cal_30</t>
        </is>
      </c>
      <c r="D165" t="inlineStr"/>
      <c r="E165" t="inlineStr"/>
      <c r="F165" t="inlineStr">
        <is>
          <t>autocannon</t>
        </is>
      </c>
      <c r="G165" t="n">
        <v>30</v>
      </c>
      <c r="H165" t="inlineStr"/>
      <c r="I165" t="inlineStr"/>
      <c r="J165" t="inlineStr"/>
      <c r="K165" t="inlineStr">
        <is>
          <t>Kinetic</t>
        </is>
      </c>
      <c r="L165" t="n">
        <v>2</v>
      </c>
      <c r="M165" t="inlineStr">
        <is>
          <t>Bullet</t>
        </is>
      </c>
      <c r="N165" t="n">
        <v>1</v>
      </c>
      <c r="O165" t="inlineStr">
        <is>
          <t>RIPPLE</t>
        </is>
      </c>
      <c r="P165" t="n">
        <v>1</v>
      </c>
      <c r="Q165" t="n">
        <v>0.1</v>
      </c>
      <c r="R165" t="n">
        <v>0.0526</v>
      </c>
      <c r="S165" t="n">
        <v>70</v>
      </c>
      <c r="T165" t="n">
        <v>1.5526</v>
      </c>
      <c r="U165" t="n">
        <v>0</v>
      </c>
      <c r="V165" t="n">
        <v>0</v>
      </c>
      <c r="W165" t="n">
        <v>23</v>
      </c>
      <c r="X165" t="n">
        <v>0</v>
      </c>
      <c r="Y165" t="n">
        <v>0</v>
      </c>
      <c r="Z165" t="n">
        <v>300</v>
      </c>
      <c r="AA165" t="n">
        <v>30</v>
      </c>
      <c r="AB165" t="n">
        <v>0</v>
      </c>
      <c r="AC165" t="inlineStr">
        <is>
          <t>Ground</t>
        </is>
      </c>
      <c r="AD165" t="inlineStr"/>
      <c r="AE165" t="n">
        <v>2.5</v>
      </c>
      <c r="AF165" t="inlineStr">
        <is>
          <t>Small</t>
        </is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n">
        <v>30</v>
      </c>
      <c r="AO165" t="n">
        <v>0</v>
      </c>
      <c r="AP165" t="inlineStr">
        <is>
          <t>T1</t>
        </is>
      </c>
      <c r="AQ165" t="inlineStr"/>
      <c r="AR165" t="inlineStr">
        <is>
          <t>jet_cannon_flak</t>
        </is>
      </c>
      <c r="AS165" t="inlineStr">
        <is>
          <t>xe</t>
        </is>
      </c>
      <c r="AT165" t="inlineStr">
        <is>
          <t>attack_jet;elite_attack_jet</t>
        </is>
      </c>
      <c r="AU165" t="n">
        <v>2</v>
      </c>
      <c r="AV165" t="inlineStr">
        <is>
          <t>attack_jet:0;elite_attack_jet:0</t>
        </is>
      </c>
      <c r="AW165" t="n">
        <v>0</v>
      </c>
      <c r="AX165" t="b">
        <v>0</v>
      </c>
      <c r="AY165" t="inlineStr"/>
      <c r="AZ165">
        <f>IF(AND($AX$165,$AW$165&gt;$AA$165/$Z$165),$AW$165,$AA$165/$Z$165)</f>
        <v/>
      </c>
      <c r="BA165" t="n">
        <v>0.1</v>
      </c>
      <c r="BB165" t="n">
        <v>3000</v>
      </c>
      <c r="BC165" t="inlineStr"/>
      <c r="BD165" t="inlineStr">
        <is>
          <t>ac</t>
        </is>
      </c>
      <c r="BE165" t="inlineStr">
        <is>
          <t>Wikipedia 'GSh-30-2': 3,000 rpm</t>
        </is>
      </c>
      <c r="BG165" t="inlineStr">
        <is>
          <t>giong</t>
        </is>
      </c>
      <c r="CT165" t="n">
        <v>30</v>
      </c>
      <c r="CW165" t="n">
        <v>70</v>
      </c>
      <c r="CX165" t="n">
        <v>1.5526</v>
      </c>
      <c r="DD165" t="n">
        <v>0.0526</v>
      </c>
      <c r="DE165" t="n">
        <v>23</v>
      </c>
      <c r="DF165" t="inlineStr">
        <is>
          <t>Kinetic</t>
        </is>
      </c>
      <c r="DJ165" t="inlineStr">
        <is>
          <t>autocannon</t>
        </is>
      </c>
      <c r="DS165" t="inlineStr">
        <is>
          <t>Small</t>
        </is>
      </c>
      <c r="EB165" t="n">
        <v>2</v>
      </c>
      <c r="EE165" t="b">
        <v>1</v>
      </c>
      <c r="EH165" t="inlineStr">
        <is>
          <t>Bullet</t>
        </is>
      </c>
      <c r="EK165" t="n">
        <v>300</v>
      </c>
      <c r="EP165" t="n">
        <v>30</v>
      </c>
      <c r="EQ165" t="inlineStr">
        <is>
          <t>GSh-30-2 30 mm</t>
        </is>
      </c>
      <c r="EX165" t="n">
        <v>30</v>
      </c>
      <c r="EZ165" t="n">
        <v>2.5</v>
      </c>
      <c r="GB165" t="inlineStr">
        <is>
          <t>cal_30</t>
        </is>
      </c>
      <c r="GD165" t="inlineStr">
        <is>
          <t>Assets/MachineBrigade/Resources/Data/balance.json: weapons[38]</t>
        </is>
      </c>
      <c r="GE165" t="inlineStr">
        <is>
          <t>{"id":"jet_cannon","weaponFamilyId":"cal_30","real":"GSh-30-2 30 mm","family":"autocannon","size":30,"caliberMm":30,"pen":2,"piercing":true,"damageType":"Kinetic","damage":23,"cooldown":0.0526,"range":30,"projectileSpeed":300,"spread":2.5,"impactTier":"Small","projectile":"Bullet","clip":70,"clipReload":1.5526}</t>
        </is>
      </c>
    </row>
    <row r="166">
      <c r="A166" t="inlineStr">
        <is>
          <t>jet_cannon_flak</t>
        </is>
      </c>
      <c r="B166" t="inlineStr">
        <is>
          <t>GSh-30-2 30 mm air-burst</t>
        </is>
      </c>
      <c r="C166" t="inlineStr">
        <is>
          <t>cal_30</t>
        </is>
      </c>
      <c r="D166" t="inlineStr">
        <is>
          <t>flak</t>
        </is>
      </c>
      <c r="E166" t="inlineStr"/>
      <c r="F166" t="inlineStr">
        <is>
          <t>autocannon</t>
        </is>
      </c>
      <c r="G166" t="n">
        <v>30</v>
      </c>
      <c r="H166" t="inlineStr"/>
      <c r="I166" t="inlineStr"/>
      <c r="J166" t="inlineStr"/>
      <c r="K166" t="inlineStr">
        <is>
          <t>Fragmentation</t>
        </is>
      </c>
      <c r="L166" t="n">
        <v>2</v>
      </c>
      <c r="M166" t="inlineStr">
        <is>
          <t>Bullet</t>
        </is>
      </c>
      <c r="N166" t="n">
        <v>1</v>
      </c>
      <c r="O166" t="inlineStr">
        <is>
          <t>RIPPLE</t>
        </is>
      </c>
      <c r="P166" t="n">
        <v>1</v>
      </c>
      <c r="Q166" t="n">
        <v>0.1</v>
      </c>
      <c r="R166" t="n">
        <v>0.0526</v>
      </c>
      <c r="S166" t="n">
        <v>70</v>
      </c>
      <c r="T166" t="n">
        <v>1.5526</v>
      </c>
      <c r="U166" t="n">
        <v>0</v>
      </c>
      <c r="V166" t="n">
        <v>0</v>
      </c>
      <c r="W166" t="n">
        <v>23</v>
      </c>
      <c r="X166" t="n">
        <v>2.5</v>
      </c>
      <c r="Y166" t="n">
        <v>0</v>
      </c>
      <c r="Z166" t="n">
        <v>300</v>
      </c>
      <c r="AA166" t="n">
        <v>30</v>
      </c>
      <c r="AB166" t="n">
        <v>0</v>
      </c>
      <c r="AC166" t="inlineStr">
        <is>
          <t>Air</t>
        </is>
      </c>
      <c r="AD166" t="inlineStr"/>
      <c r="AE166" t="n">
        <v>2.5</v>
      </c>
      <c r="AF166" t="inlineStr">
        <is>
          <t>Small</t>
        </is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n">
        <v>30</v>
      </c>
      <c r="AO166" t="n">
        <v>0</v>
      </c>
      <c r="AP166" t="inlineStr">
        <is>
          <t>T1</t>
        </is>
      </c>
      <c r="AQ166" t="inlineStr">
        <is>
          <t>jet_cannon</t>
        </is>
      </c>
      <c r="AR166" t="inlineStr"/>
      <c r="AS166" t="inlineStr"/>
      <c r="AT166" t="inlineStr"/>
      <c r="AU166" t="n">
        <v>0</v>
      </c>
      <c r="AV166" t="inlineStr"/>
      <c r="AW166" t="n">
        <v>0</v>
      </c>
      <c r="AX166" t="b">
        <v>0</v>
      </c>
      <c r="AY166" t="inlineStr"/>
      <c r="AZ166">
        <f>IF(AND($AX$166,$AW$166&gt;$AA$166/$Z$166),$AW$166,$AA$166/$Z$166)</f>
        <v/>
      </c>
      <c r="BA166" t="n">
        <v>0.1</v>
      </c>
      <c r="BB166" t="n">
        <v>3000</v>
      </c>
      <c r="BC166" t="inlineStr"/>
      <c r="BD166" t="inlineStr">
        <is>
          <t>ac</t>
        </is>
      </c>
      <c r="BE166" t="inlineStr">
        <is>
          <t>Wikipedia 'GSh-30-2': 3,000 rpm</t>
        </is>
      </c>
      <c r="BG166" t="inlineStr">
        <is>
          <t>giong</t>
        </is>
      </c>
      <c r="DE166" t="n">
        <v>23</v>
      </c>
      <c r="DF166" t="inlineStr">
        <is>
          <t>Fragmentation</t>
        </is>
      </c>
      <c r="DM166" t="inlineStr">
        <is>
          <t>air</t>
        </is>
      </c>
      <c r="DN166" t="inlineStr">
        <is>
          <t>Airburst</t>
        </is>
      </c>
      <c r="DT166" t="inlineStr">
        <is>
          <t>jet_cannon</t>
        </is>
      </c>
      <c r="EB166" t="n">
        <v>2</v>
      </c>
      <c r="EE166" t="b">
        <v>0</v>
      </c>
      <c r="EQ166" t="inlineStr">
        <is>
          <t>GSh-30-2 30 mm air-burst</t>
        </is>
      </c>
      <c r="ES166" t="inlineStr">
        <is>
          <t>flak</t>
        </is>
      </c>
      <c r="EU166" t="inlineStr">
        <is>
          <t>jet_cannon</t>
        </is>
      </c>
      <c r="EY166" t="n">
        <v>2.5</v>
      </c>
      <c r="FW166" t="inlineStr">
        <is>
          <t>Air</t>
        </is>
      </c>
      <c r="GA166" t="inlineStr"/>
      <c r="GC166" t="inlineStr">
        <is>
          <t>flak</t>
        </is>
      </c>
      <c r="GD166" t="inlineStr">
        <is>
          <t>Assets/MachineBrigade/Resources/Data/balance.json: secondRounds.rounds[48]</t>
        </is>
      </c>
      <c r="GE166" t="inlineStr">
        <is>
          <t>{"id":"jet_cannon_flak","roundOf":"jet_cannon","inherits":"jet_cannon","weaponVariantId":"flak","weaponFamily":"","round":"flak","for":["air"],"real":"GSh-30-2 30 mm air-burst","damageType":"Fragmentation","pen":2,"damage":23,"splash":2.5,"form":"Airburst","piercing":false,"targets":"Air"}</t>
        </is>
      </c>
    </row>
    <row r="167">
      <c r="A167" t="inlineStr">
        <is>
          <t>jet_rockets</t>
        </is>
      </c>
      <c r="B167" t="inlineStr">
        <is>
          <t>Hydra 70 mm</t>
        </is>
      </c>
      <c r="C167" t="inlineStr">
        <is>
          <t>rkt_70_80</t>
        </is>
      </c>
      <c r="D167" t="inlineStr"/>
      <c r="E167" t="inlineStr">
        <is>
          <t>hydra_70_mm</t>
        </is>
      </c>
      <c r="F167" t="inlineStr">
        <is>
          <t>rocket</t>
        </is>
      </c>
      <c r="G167" t="n">
        <v>70</v>
      </c>
      <c r="H167" t="inlineStr"/>
      <c r="I167" t="inlineStr"/>
      <c r="J167" t="inlineStr"/>
      <c r="K167" t="inlineStr">
        <is>
          <t>HighExplosive</t>
        </is>
      </c>
      <c r="L167" t="n">
        <v>2</v>
      </c>
      <c r="M167" t="inlineStr">
        <is>
          <t>Rocket</t>
        </is>
      </c>
      <c r="N167" t="n">
        <v>1</v>
      </c>
      <c r="O167" t="inlineStr">
        <is>
          <t>RIPPLE</t>
        </is>
      </c>
      <c r="P167" t="n">
        <v>7</v>
      </c>
      <c r="Q167" t="n">
        <v>0.08</v>
      </c>
      <c r="R167" t="n">
        <v>2.55</v>
      </c>
      <c r="S167" t="n">
        <v>0</v>
      </c>
      <c r="T167" t="n">
        <v>0</v>
      </c>
      <c r="U167" t="n">
        <v>0</v>
      </c>
      <c r="V167" t="n">
        <v>0</v>
      </c>
      <c r="W167" t="n">
        <v>30</v>
      </c>
      <c r="X167" t="n">
        <v>3</v>
      </c>
      <c r="Y167" t="n">
        <v>0</v>
      </c>
      <c r="Z167" t="n">
        <v>180</v>
      </c>
      <c r="AA167" t="n">
        <v>36</v>
      </c>
      <c r="AB167" t="n">
        <v>0</v>
      </c>
      <c r="AC167" t="inlineStr">
        <is>
          <t>Ground</t>
        </is>
      </c>
      <c r="AD167" t="inlineStr"/>
      <c r="AE167" t="n">
        <v>4</v>
      </c>
      <c r="AF167" t="inlineStr">
        <is>
          <t>Medium</t>
        </is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n">
        <v>70</v>
      </c>
      <c r="AO167" t="n">
        <v>14</v>
      </c>
      <c r="AP167" t="inlineStr">
        <is>
          <t>T2</t>
        </is>
      </c>
      <c r="AQ167" t="inlineStr"/>
      <c r="AR167" t="inlineStr"/>
      <c r="AS167" t="inlineStr"/>
      <c r="AT167" t="inlineStr"/>
      <c r="AU167" t="n">
        <v>0</v>
      </c>
      <c r="AV167" t="inlineStr"/>
      <c r="AW167" t="n">
        <v>0</v>
      </c>
      <c r="AX167" t="b">
        <v>0</v>
      </c>
      <c r="AY167" t="inlineStr"/>
      <c r="AZ167">
        <f>IF(AND($AX$167,$AW$167&gt;$AA$167/$Z$167),$AW$167,$AA$167/$Z$167)</f>
        <v/>
      </c>
      <c r="BA167" t="n">
        <v>0.2</v>
      </c>
      <c r="BB167" t="n">
        <v>900</v>
      </c>
      <c r="BC167" t="inlineStr"/>
      <c r="BD167" t="inlineStr">
        <is>
          <t>rocket</t>
        </is>
      </c>
      <c r="BE167" t="inlineStr">
        <is>
          <t>rocket pods: ripples of 0.05-0.12 s (DECISIONS 19R)</t>
        </is>
      </c>
      <c r="BG167" t="inlineStr">
        <is>
          <t>doi</t>
        </is>
      </c>
      <c r="BR167" t="n">
        <v>40</v>
      </c>
      <c r="BS167" t="n">
        <v>180</v>
      </c>
      <c r="CR167" t="n">
        <v>7</v>
      </c>
      <c r="CS167" t="n">
        <v>0.08</v>
      </c>
      <c r="CT167" t="n">
        <v>70</v>
      </c>
      <c r="DD167" t="n">
        <v>2.55</v>
      </c>
      <c r="DE167" t="n">
        <v>30</v>
      </c>
      <c r="DF167" t="inlineStr">
        <is>
          <t>HighExplosive</t>
        </is>
      </c>
      <c r="DJ167" t="inlineStr">
        <is>
          <t>rocket</t>
        </is>
      </c>
      <c r="DS167" t="inlineStr">
        <is>
          <t>Medium</t>
        </is>
      </c>
      <c r="DW167" t="n">
        <v>14</v>
      </c>
      <c r="EB167" t="n">
        <v>2</v>
      </c>
      <c r="EH167" t="inlineStr">
        <is>
          <t>Rocket</t>
        </is>
      </c>
      <c r="EP167" t="n">
        <v>36</v>
      </c>
      <c r="EQ167" t="inlineStr">
        <is>
          <t>Hydra 70 mm</t>
        </is>
      </c>
      <c r="EX167" t="n">
        <v>70</v>
      </c>
      <c r="EZ167" t="n">
        <v>4</v>
      </c>
      <c r="GA167" t="inlineStr">
        <is>
          <t>hydra_70_mm</t>
        </is>
      </c>
      <c r="GB167" t="inlineStr">
        <is>
          <t>rkt_70_80</t>
        </is>
      </c>
      <c r="GD167" t="inlineStr">
        <is>
          <t>Assets/MachineBrigade/Resources/Data/balance.json: weapons[39]</t>
        </is>
      </c>
      <c r="GE167" t="inlineStr">
        <is>
          <t>{"id":"jet_rockets","weaponFamilyId":"rkt_70_80","weaponFamily":"hydra_70_mm","load":14,"real":"Hydra 70 mm","family":"rocket","size":70,"caliberMm":70,"pen":2,"damageType":"HighExplosive","damage":30,"cooldown":2.55,"range":36,"spread":4,"impactTier":"Medium","projectile":"Rocket","burst":7,"burstInterval":0.08}</t>
        </is>
      </c>
    </row>
    <row r="168">
      <c r="A168" t="inlineStr">
        <is>
          <t>kh29</t>
        </is>
      </c>
      <c r="B168" t="inlineStr">
        <is>
          <t>Kh-29L</t>
        </is>
      </c>
      <c r="C168" t="inlineStr">
        <is>
          <t>atgm_kh_29l</t>
        </is>
      </c>
      <c r="D168" t="inlineStr"/>
      <c r="E168" t="inlineStr"/>
      <c r="F168" t="inlineStr">
        <is>
          <t>atgm</t>
        </is>
      </c>
      <c r="G168" t="inlineStr"/>
      <c r="H168" t="n">
        <v>320</v>
      </c>
      <c r="I168" t="inlineStr"/>
      <c r="J168" t="inlineStr"/>
      <c r="K168" t="inlineStr">
        <is>
          <t>ShapedCharge</t>
        </is>
      </c>
      <c r="L168" t="n">
        <v>4</v>
      </c>
      <c r="M168" t="inlineStr">
        <is>
          <t>Missile</t>
        </is>
      </c>
      <c r="N168" t="n">
        <v>1</v>
      </c>
      <c r="O168" t="inlineStr">
        <is>
          <t>RIPPLE</t>
        </is>
      </c>
      <c r="P168" t="n">
        <v>1</v>
      </c>
      <c r="Q168" t="n">
        <v>0.1</v>
      </c>
      <c r="R168" t="n">
        <v>7.86</v>
      </c>
      <c r="S168" t="n">
        <v>0</v>
      </c>
      <c r="T168" t="n">
        <v>0</v>
      </c>
      <c r="U168" t="n">
        <v>0</v>
      </c>
      <c r="V168" t="n">
        <v>0</v>
      </c>
      <c r="W168" t="n">
        <v>378</v>
      </c>
      <c r="X168" t="n">
        <v>0</v>
      </c>
      <c r="Y168" t="n">
        <v>0</v>
      </c>
      <c r="Z168" t="n">
        <v>120</v>
      </c>
      <c r="AA168" t="n">
        <v>40</v>
      </c>
      <c r="AB168" t="n">
        <v>0</v>
      </c>
      <c r="AC168" t="inlineStr">
        <is>
          <t>Ground</t>
        </is>
      </c>
      <c r="AD168" t="inlineStr"/>
      <c r="AE168" t="n">
        <v>0</v>
      </c>
      <c r="AF168" t="inlineStr">
        <is>
          <t>Large</t>
        </is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n">
        <v>680</v>
      </c>
      <c r="AO168" t="n">
        <v>2</v>
      </c>
      <c r="AP168" t="inlineStr">
        <is>
          <t>T4</t>
        </is>
      </c>
      <c r="AQ168" t="inlineStr"/>
      <c r="AR168" t="inlineStr"/>
      <c r="AS168" t="inlineStr">
        <is>
          <t>xe</t>
        </is>
      </c>
      <c r="AT168" t="inlineStr">
        <is>
          <t>attack_jet;elite_attack_jet</t>
        </is>
      </c>
      <c r="AU168" t="n">
        <v>2</v>
      </c>
      <c r="AV168" t="inlineStr">
        <is>
          <t>attack_jet:3;elite_attack_jet:3</t>
        </is>
      </c>
      <c r="AW168" t="n">
        <v>2.5</v>
      </c>
      <c r="AX168" t="b">
        <v>0</v>
      </c>
      <c r="AY168" t="inlineStr"/>
      <c r="AZ168">
        <f>IF(AND($AX$168,$AW$168&gt;$AA$168/$Z$168),$AW$168,$AA$168/$Z$168)</f>
        <v/>
      </c>
      <c r="BA168" t="n">
        <v>0.3333333333333333</v>
      </c>
      <c r="BB168" t="n">
        <v>60</v>
      </c>
      <c r="BC168" t="n">
        <v>10</v>
      </c>
      <c r="BD168" t="inlineStr">
        <is>
          <t>atgm</t>
        </is>
      </c>
      <c r="BE168" t="inlineStr">
        <is>
          <t>air-launched: ripples ~1 s apart, est. 6 s an aimed shot</t>
        </is>
      </c>
      <c r="BG168" t="inlineStr">
        <is>
          <t>doi</t>
        </is>
      </c>
      <c r="BR168" t="n">
        <v>32</v>
      </c>
      <c r="BS168" t="n">
        <v>120</v>
      </c>
      <c r="DD168" t="n">
        <v>7.86</v>
      </c>
      <c r="DE168" t="n">
        <v>378</v>
      </c>
      <c r="DF168" t="inlineStr">
        <is>
          <t>ShapedCharge</t>
        </is>
      </c>
      <c r="DJ168" t="inlineStr">
        <is>
          <t>atgm</t>
        </is>
      </c>
      <c r="DS168" t="inlineStr">
        <is>
          <t>Large</t>
        </is>
      </c>
      <c r="DW168" t="n">
        <v>2</v>
      </c>
      <c r="EB168" t="n">
        <v>4</v>
      </c>
      <c r="EE168" t="b">
        <v>1</v>
      </c>
      <c r="EH168" t="inlineStr">
        <is>
          <t>Missile</t>
        </is>
      </c>
      <c r="EI168" t="inlineStr">
        <is>
          <t>kh29l</t>
        </is>
      </c>
      <c r="EJ168" t="n">
        <v>0.975</v>
      </c>
      <c r="EK168" t="n">
        <v>120</v>
      </c>
      <c r="EP168" t="n">
        <v>40</v>
      </c>
      <c r="EQ168" t="inlineStr">
        <is>
          <t>Kh-29L</t>
        </is>
      </c>
      <c r="ET168" t="n">
        <v>1.95</v>
      </c>
      <c r="EV168" t="n">
        <v>690</v>
      </c>
      <c r="EX168" t="n">
        <v>680</v>
      </c>
      <c r="FZ168" t="n">
        <v>320</v>
      </c>
      <c r="GB168" t="inlineStr">
        <is>
          <t>atgm_kh_29l</t>
        </is>
      </c>
      <c r="GD168" t="inlineStr">
        <is>
          <t>Assets/MachineBrigade/Resources/Data/balance.json: weapons[69]</t>
        </is>
      </c>
      <c r="GE168" t="inlineStr">
        <is>
          <t>{"id":"kh29","weaponFamilyId":"atgm_kh_29l","load":2,"real":"Kh-29L","family":"atgm","size":680,"warheadKg":320,"pen":4,"piercing":true,"projectileModel":"kh29l","roundLength":1.95,"projectileScale":0.975,"damageType":"ShapedCharge","damage":378,"cooldown":7.86,"range":40,"projectileSpeed":120,"impactTier":"Large","projectile":"Missile","roundWeight":690}</t>
        </is>
      </c>
    </row>
    <row r="169">
      <c r="A169" t="inlineStr">
        <is>
          <t>kornet_multi</t>
        </is>
      </c>
      <c r="B169" t="inlineStr">
        <is>
          <t>9M133 Kornet</t>
        </is>
      </c>
      <c r="C169" t="inlineStr">
        <is>
          <t>atgm_kornet</t>
        </is>
      </c>
      <c r="D169" t="inlineStr"/>
      <c r="E169" t="inlineStr">
        <is>
          <t>9m133_kornet</t>
        </is>
      </c>
      <c r="F169" t="inlineStr">
        <is>
          <t>atgm</t>
        </is>
      </c>
      <c r="G169" t="inlineStr"/>
      <c r="H169" t="n">
        <v>7</v>
      </c>
      <c r="I169" t="inlineStr"/>
      <c r="J169" t="inlineStr"/>
      <c r="K169" t="inlineStr">
        <is>
          <t>ShapedCharge</t>
        </is>
      </c>
      <c r="L169" t="n">
        <v>4</v>
      </c>
      <c r="M169" t="inlineStr">
        <is>
          <t>Missile</t>
        </is>
      </c>
      <c r="N169" t="n">
        <v>1</v>
      </c>
      <c r="O169" t="inlineStr">
        <is>
          <t>RIPPLE</t>
        </is>
      </c>
      <c r="P169" t="n">
        <v>2</v>
      </c>
      <c r="Q169" t="n">
        <v>0.6</v>
      </c>
      <c r="R169" t="n">
        <v>4.95</v>
      </c>
      <c r="S169" t="n">
        <v>0</v>
      </c>
      <c r="T169" t="n">
        <v>0</v>
      </c>
      <c r="U169" t="n">
        <v>0</v>
      </c>
      <c r="V169" t="n">
        <v>0</v>
      </c>
      <c r="W169" t="n">
        <v>230</v>
      </c>
      <c r="X169" t="n">
        <v>0</v>
      </c>
      <c r="Y169" t="n">
        <v>0</v>
      </c>
      <c r="Z169" t="n">
        <v>80</v>
      </c>
      <c r="AA169" t="n">
        <v>50</v>
      </c>
      <c r="AB169" t="n">
        <v>0</v>
      </c>
      <c r="AC169" t="inlineStr">
        <is>
          <t>All</t>
        </is>
      </c>
      <c r="AD169" t="inlineStr"/>
      <c r="AE169" t="n">
        <v>0</v>
      </c>
      <c r="AF169" t="inlineStr">
        <is>
          <t>Medium</t>
        </is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n">
        <v>29</v>
      </c>
      <c r="AO169" t="n">
        <v>0</v>
      </c>
      <c r="AP169" t="inlineStr">
        <is>
          <t>T2</t>
        </is>
      </c>
      <c r="AQ169" t="inlineStr">
        <is>
          <t>tower_kornet</t>
        </is>
      </c>
      <c r="AR169" t="inlineStr"/>
      <c r="AS169" t="inlineStr">
        <is>
          <t>thap</t>
        </is>
      </c>
      <c r="AT169" t="inlineStr">
        <is>
          <t>atgm_tower.multi</t>
        </is>
      </c>
      <c r="AU169" t="n">
        <v>1</v>
      </c>
      <c r="AV169" t="inlineStr">
        <is>
          <t>atgm_tower.multi:0</t>
        </is>
      </c>
      <c r="AW169" t="n">
        <v>0</v>
      </c>
      <c r="AX169" t="b">
        <v>0</v>
      </c>
      <c r="AY169" t="inlineStr"/>
      <c r="AZ169">
        <f>IF(AND($AX$169,$AW$169&gt;$AA$169/$Z$169),$AW$169,$AA$169/$Z$169)</f>
        <v/>
      </c>
      <c r="BA169" t="n">
        <v>0.625</v>
      </c>
      <c r="BB169" t="n">
        <v>3</v>
      </c>
      <c r="BC169" t="n">
        <v>3</v>
      </c>
      <c r="BD169" t="inlineStr">
        <is>
          <t>atgm</t>
        </is>
      </c>
      <c r="BE169" t="inlineStr">
        <is>
          <t>Wikipedia '9M133 Kornet': 2-3 rpm</t>
        </is>
      </c>
      <c r="BG169" t="inlineStr">
        <is>
          <t>doi</t>
        </is>
      </c>
      <c r="BR169" t="n">
        <v>22</v>
      </c>
      <c r="BS169" t="n">
        <v>80</v>
      </c>
      <c r="DD169" t="n">
        <v>4.95</v>
      </c>
      <c r="DJ169" t="inlineStr">
        <is>
          <t>atgm</t>
        </is>
      </c>
      <c r="DT169" t="inlineStr">
        <is>
          <t>tower_kornet</t>
        </is>
      </c>
      <c r="EB169" t="n">
        <v>4</v>
      </c>
      <c r="EQ169" t="inlineStr">
        <is>
          <t>9M133 Kornet</t>
        </is>
      </c>
      <c r="EX169" t="n">
        <v>29</v>
      </c>
      <c r="FW169" t="inlineStr">
        <is>
          <t>All</t>
        </is>
      </c>
      <c r="FZ169" t="n">
        <v>7</v>
      </c>
      <c r="GA169" t="inlineStr">
        <is>
          <t>9m133_kornet</t>
        </is>
      </c>
      <c r="GD169" t="inlineStr">
        <is>
          <t>Assets/MachineBrigade/Resources/Data/balance.json: weapons[118]</t>
        </is>
      </c>
      <c r="GE169" t="inlineStr">
        <is>
          <t>{"id":"kornet_multi","weaponFamily":"9m133_kornet","cooldown":4.95,"real":"9M133 Kornet","family":"atgm","size":29,"warheadKg":7,"pen":4,"inherits":"tower_kornet","targets":"All","bonuses":[{"armor":"Light","mult":0.6},{"armor":"Heavy","mult":0.85}]}</t>
        </is>
      </c>
    </row>
    <row r="170">
      <c r="A170" t="inlineStr">
        <is>
          <t>kornet_top</t>
        </is>
      </c>
      <c r="B170" t="inlineStr">
        <is>
          <t>9M133 Kornet</t>
        </is>
      </c>
      <c r="C170" t="inlineStr">
        <is>
          <t>atgm_kornet</t>
        </is>
      </c>
      <c r="D170" t="inlineStr"/>
      <c r="E170" t="inlineStr">
        <is>
          <t>9m133_kornet</t>
        </is>
      </c>
      <c r="F170" t="inlineStr">
        <is>
          <t>atgm</t>
        </is>
      </c>
      <c r="G170" t="inlineStr"/>
      <c r="H170" t="n">
        <v>7</v>
      </c>
      <c r="I170" t="inlineStr"/>
      <c r="J170" t="inlineStr"/>
      <c r="K170" t="inlineStr">
        <is>
          <t>ShapedCharge</t>
        </is>
      </c>
      <c r="L170" t="n">
        <v>4</v>
      </c>
      <c r="M170" t="inlineStr">
        <is>
          <t>Missile</t>
        </is>
      </c>
      <c r="N170" t="n">
        <v>1</v>
      </c>
      <c r="O170" t="inlineStr">
        <is>
          <t>RIPPLE</t>
        </is>
      </c>
      <c r="P170" t="n">
        <v>2</v>
      </c>
      <c r="Q170" t="n">
        <v>0.6</v>
      </c>
      <c r="R170" t="n">
        <v>4.6</v>
      </c>
      <c r="S170" t="n">
        <v>0</v>
      </c>
      <c r="T170" t="n">
        <v>0</v>
      </c>
      <c r="U170" t="n">
        <v>0</v>
      </c>
      <c r="V170" t="n">
        <v>0</v>
      </c>
      <c r="W170" t="n">
        <v>230</v>
      </c>
      <c r="X170" t="n">
        <v>0</v>
      </c>
      <c r="Y170" t="n">
        <v>0</v>
      </c>
      <c r="Z170" t="n">
        <v>80</v>
      </c>
      <c r="AA170" t="n">
        <v>50</v>
      </c>
      <c r="AB170" t="n">
        <v>0</v>
      </c>
      <c r="AC170" t="inlineStr">
        <is>
          <t>Ground</t>
        </is>
      </c>
      <c r="AD170" t="inlineStr"/>
      <c r="AE170" t="n">
        <v>0</v>
      </c>
      <c r="AF170" t="inlineStr">
        <is>
          <t>Medium</t>
        </is>
      </c>
      <c r="AG170" t="b">
        <v>1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n">
        <v>29</v>
      </c>
      <c r="AO170" t="n">
        <v>0</v>
      </c>
      <c r="AP170" t="inlineStr">
        <is>
          <t>T2</t>
        </is>
      </c>
      <c r="AQ170" t="inlineStr">
        <is>
          <t>tower_kornet</t>
        </is>
      </c>
      <c r="AR170" t="inlineStr"/>
      <c r="AS170" t="inlineStr">
        <is>
          <t>thap</t>
        </is>
      </c>
      <c r="AT170" t="inlineStr">
        <is>
          <t>atgm_tower.top</t>
        </is>
      </c>
      <c r="AU170" t="n">
        <v>1</v>
      </c>
      <c r="AV170" t="inlineStr">
        <is>
          <t>atgm_tower.top:0</t>
        </is>
      </c>
      <c r="AW170" t="n">
        <v>0</v>
      </c>
      <c r="AX170" t="b">
        <v>0</v>
      </c>
      <c r="AY170" t="inlineStr"/>
      <c r="AZ170">
        <f>IF(AND($AX$170,$AW$170&gt;$AA$170/$Z$170),$AW$170,$AA$170/$Z$170)</f>
        <v/>
      </c>
      <c r="BA170" t="n">
        <v>0.625</v>
      </c>
      <c r="BB170" t="n">
        <v>3</v>
      </c>
      <c r="BC170" t="n">
        <v>3</v>
      </c>
      <c r="BD170" t="inlineStr">
        <is>
          <t>atgm</t>
        </is>
      </c>
      <c r="BE170" t="inlineStr">
        <is>
          <t>Wikipedia '9M133 Kornet': 2-3 rpm</t>
        </is>
      </c>
      <c r="BG170" t="inlineStr">
        <is>
          <t>doi</t>
        </is>
      </c>
      <c r="BR170" t="n">
        <v>22</v>
      </c>
      <c r="BS170" t="n">
        <v>80</v>
      </c>
      <c r="DD170" t="n">
        <v>4.6</v>
      </c>
      <c r="DJ170" t="inlineStr">
        <is>
          <t>atgm</t>
        </is>
      </c>
      <c r="DT170" t="inlineStr">
        <is>
          <t>tower_kornet</t>
        </is>
      </c>
      <c r="EB170" t="n">
        <v>4</v>
      </c>
      <c r="EQ170" t="inlineStr">
        <is>
          <t>9M133 Kornet</t>
        </is>
      </c>
      <c r="EX170" t="n">
        <v>29</v>
      </c>
      <c r="FY170" t="b">
        <v>1</v>
      </c>
      <c r="FZ170" t="n">
        <v>7</v>
      </c>
      <c r="GA170" t="inlineStr">
        <is>
          <t>9m133_kornet</t>
        </is>
      </c>
      <c r="GD170" t="inlineStr">
        <is>
          <t>Assets/MachineBrigade/Resources/Data/balance.json: weapons[117]</t>
        </is>
      </c>
      <c r="GE170" t="inlineStr">
        <is>
          <t>{"id":"kornet_top","weaponFamily":"9m133_kornet","cooldown":4.6,"real":"9M133 Kornet","family":"atgm","size":29,"warheadKg":7,"pen":4,"topAttack":true,"inherits":"tower_kornet"}</t>
        </is>
      </c>
    </row>
    <row r="171">
      <c r="A171" t="inlineStr">
        <is>
          <t>kornet_twin</t>
        </is>
      </c>
      <c r="B171" t="inlineStr">
        <is>
          <t>9M133 Kornet</t>
        </is>
      </c>
      <c r="C171" t="inlineStr">
        <is>
          <t>atgm_kornet</t>
        </is>
      </c>
      <c r="D171" t="inlineStr"/>
      <c r="E171" t="inlineStr">
        <is>
          <t>9m133_kornet</t>
        </is>
      </c>
      <c r="F171" t="inlineStr">
        <is>
          <t>atgm</t>
        </is>
      </c>
      <c r="G171" t="inlineStr"/>
      <c r="H171" t="n">
        <v>7</v>
      </c>
      <c r="I171" t="inlineStr"/>
      <c r="J171" t="inlineStr"/>
      <c r="K171" t="inlineStr">
        <is>
          <t>ShapedCharge</t>
        </is>
      </c>
      <c r="L171" t="n">
        <v>4</v>
      </c>
      <c r="M171" t="inlineStr">
        <is>
          <t>Missile</t>
        </is>
      </c>
      <c r="N171" t="n">
        <v>1</v>
      </c>
      <c r="O171" t="inlineStr">
        <is>
          <t>RIPPLE</t>
        </is>
      </c>
      <c r="P171" t="n">
        <v>2</v>
      </c>
      <c r="Q171" t="n">
        <v>0.6</v>
      </c>
      <c r="R171" t="n">
        <v>10.51</v>
      </c>
      <c r="S171" t="n">
        <v>0</v>
      </c>
      <c r="T171" t="n">
        <v>0</v>
      </c>
      <c r="U171" t="n">
        <v>0</v>
      </c>
      <c r="V171" t="n">
        <v>0</v>
      </c>
      <c r="W171" t="n">
        <v>230</v>
      </c>
      <c r="X171" t="n">
        <v>0</v>
      </c>
      <c r="Y171" t="n">
        <v>0</v>
      </c>
      <c r="Z171" t="n">
        <v>80</v>
      </c>
      <c r="AA171" t="n">
        <v>50</v>
      </c>
      <c r="AB171" t="n">
        <v>0</v>
      </c>
      <c r="AC171" t="inlineStr">
        <is>
          <t>Ground</t>
        </is>
      </c>
      <c r="AD171" t="inlineStr"/>
      <c r="AE171" t="n">
        <v>0</v>
      </c>
      <c r="AF171" t="inlineStr">
        <is>
          <t>Medium</t>
        </is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n">
        <v>29</v>
      </c>
      <c r="AO171" t="n">
        <v>0</v>
      </c>
      <c r="AP171" t="inlineStr">
        <is>
          <t>T2</t>
        </is>
      </c>
      <c r="AQ171" t="inlineStr"/>
      <c r="AR171" t="inlineStr"/>
      <c r="AS171" t="inlineStr"/>
      <c r="AT171" t="inlineStr"/>
      <c r="AU171" t="n">
        <v>0</v>
      </c>
      <c r="AV171" t="inlineStr"/>
      <c r="AW171" t="n">
        <v>0</v>
      </c>
      <c r="AX171" t="b">
        <v>0</v>
      </c>
      <c r="AY171" t="inlineStr"/>
      <c r="AZ171">
        <f>IF(AND($AX$171,$AW$171&gt;$AA$171/$Z$171),$AW$171,$AA$171/$Z$171)</f>
        <v/>
      </c>
      <c r="BA171" t="n">
        <v>0.625</v>
      </c>
      <c r="BB171" t="n">
        <v>3</v>
      </c>
      <c r="BC171" t="n">
        <v>3</v>
      </c>
      <c r="BD171" t="inlineStr">
        <is>
          <t>atgm</t>
        </is>
      </c>
      <c r="BE171" t="inlineStr">
        <is>
          <t>Wikipedia '9M133 Kornet': 2-3 rpm</t>
        </is>
      </c>
      <c r="BG171" t="inlineStr">
        <is>
          <t>doi</t>
        </is>
      </c>
      <c r="BR171" t="n">
        <v>22</v>
      </c>
      <c r="BS171" t="n">
        <v>80</v>
      </c>
      <c r="CR171" t="n">
        <v>2</v>
      </c>
      <c r="CS171" t="n">
        <v>0.6</v>
      </c>
      <c r="DD171" t="n">
        <v>10.51</v>
      </c>
      <c r="DE171" t="n">
        <v>230</v>
      </c>
      <c r="DF171" t="inlineStr">
        <is>
          <t>ShapedCharge</t>
        </is>
      </c>
      <c r="DJ171" t="inlineStr">
        <is>
          <t>atgm</t>
        </is>
      </c>
      <c r="DS171" t="inlineStr">
        <is>
          <t>Medium</t>
        </is>
      </c>
      <c r="EB171" t="n">
        <v>4</v>
      </c>
      <c r="EE171" t="b">
        <v>1</v>
      </c>
      <c r="EH171" t="inlineStr">
        <is>
          <t>Missile</t>
        </is>
      </c>
      <c r="EP171" t="n">
        <v>50</v>
      </c>
      <c r="EQ171" t="inlineStr">
        <is>
          <t>9M133 Kornet</t>
        </is>
      </c>
      <c r="EX171" t="n">
        <v>29</v>
      </c>
      <c r="FZ171" t="n">
        <v>7</v>
      </c>
      <c r="GA171" t="inlineStr">
        <is>
          <t>9m133_kornet</t>
        </is>
      </c>
      <c r="GB171" t="inlineStr">
        <is>
          <t>atgm_kornet</t>
        </is>
      </c>
      <c r="GD171" t="inlineStr">
        <is>
          <t>Assets/MachineBrigade/Resources/Data/balance.json: weapons[102]</t>
        </is>
      </c>
      <c r="GE171" t="inlineStr">
        <is>
          <t>{"id":"kornet_twin","weaponFamilyId":"atgm_kornet","weaponFamily":"9m133_kornet","real":"9M133 Kornet","family":"atgm","size":29,"warheadKg":7,"pen":4,"piercing":true,"damageType":"ShapedCharge","damage":230,"cooldown":10.51,"range":50,"impactTier":"Medium","projectile":"Missile","burst":2,"burstInterval":0.6}</t>
        </is>
      </c>
    </row>
    <row r="172">
      <c r="A172" t="inlineStr">
        <is>
          <t>lancet</t>
        </is>
      </c>
      <c r="B172" t="inlineStr">
        <is>
          <t>ZALA Lancet-3 (3 kg)</t>
        </is>
      </c>
      <c r="C172" t="inlineStr">
        <is>
          <t>drone_zala_lancet_3</t>
        </is>
      </c>
      <c r="D172" t="inlineStr"/>
      <c r="E172" t="inlineStr">
        <is>
          <t>zala_lancet_3</t>
        </is>
      </c>
      <c r="F172" t="inlineStr">
        <is>
          <t>drone</t>
        </is>
      </c>
      <c r="G172" t="inlineStr"/>
      <c r="H172" t="n">
        <v>3</v>
      </c>
      <c r="I172" t="inlineStr"/>
      <c r="J172" t="inlineStr"/>
      <c r="K172" t="inlineStr">
        <is>
          <t>ShapedCharge</t>
        </is>
      </c>
      <c r="L172" t="n">
        <v>4</v>
      </c>
      <c r="M172" t="inlineStr">
        <is>
          <t>Drone</t>
        </is>
      </c>
      <c r="N172" t="n">
        <v>1</v>
      </c>
      <c r="O172" t="inlineStr">
        <is>
          <t>RIPPLE</t>
        </is>
      </c>
      <c r="P172" t="n">
        <v>1</v>
      </c>
      <c r="Q172" t="n">
        <v>0.1</v>
      </c>
      <c r="R172" t="n">
        <v>8.372</v>
      </c>
      <c r="S172" t="n">
        <v>0</v>
      </c>
      <c r="T172" t="n">
        <v>0</v>
      </c>
      <c r="U172" t="n">
        <v>8</v>
      </c>
      <c r="V172" t="n">
        <v>0</v>
      </c>
      <c r="W172" t="n">
        <v>240</v>
      </c>
      <c r="X172" t="n">
        <v>3</v>
      </c>
      <c r="Y172" t="n">
        <v>0</v>
      </c>
      <c r="Z172" t="n">
        <v>28</v>
      </c>
      <c r="AA172" t="n">
        <v>100</v>
      </c>
      <c r="AB172" t="n">
        <v>0</v>
      </c>
      <c r="AC172" t="inlineStr">
        <is>
          <t>Ground</t>
        </is>
      </c>
      <c r="AD172" t="inlineStr"/>
      <c r="AE172" t="n">
        <v>0</v>
      </c>
      <c r="AF172" t="inlineStr">
        <is>
          <t>Medium</t>
        </is>
      </c>
      <c r="AG172" t="b">
        <v>1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n">
        <v>3</v>
      </c>
      <c r="AO172" t="n">
        <v>0</v>
      </c>
      <c r="AP172" t="inlineStr">
        <is>
          <t>T2</t>
        </is>
      </c>
      <c r="AQ172" t="inlineStr"/>
      <c r="AR172" t="inlineStr"/>
      <c r="AS172" t="inlineStr"/>
      <c r="AT172" t="inlineStr"/>
      <c r="AU172" t="n">
        <v>0</v>
      </c>
      <c r="AV172" t="inlineStr"/>
      <c r="AW172" t="n">
        <v>0</v>
      </c>
      <c r="AX172" t="b">
        <v>0</v>
      </c>
      <c r="AY172" t="inlineStr"/>
      <c r="AZ172">
        <f>IF(AND($AX$172,$AW$172&gt;$AA$172/$Z$172),$AW$172,$AA$172/$Z$172)</f>
        <v/>
      </c>
      <c r="BA172" t="n">
        <v>3.571428571428572</v>
      </c>
      <c r="BB172" t="inlineStr">
        <is>
          <t>NEED_SOURCE</t>
        </is>
      </c>
      <c r="BC172" t="inlineStr">
        <is>
          <t>NEED_SOURCE</t>
        </is>
      </c>
      <c r="BE172" t="inlineStr">
        <is>
          <t>NEED_SOURCE</t>
        </is>
      </c>
      <c r="BG172" t="inlineStr">
        <is>
          <t>giong</t>
        </is>
      </c>
      <c r="CN172" t="n">
        <v>8</v>
      </c>
      <c r="DD172" t="n">
        <v>8.372</v>
      </c>
      <c r="DE172" t="n">
        <v>240</v>
      </c>
      <c r="DF172" t="inlineStr">
        <is>
          <t>ShapedCharge</t>
        </is>
      </c>
      <c r="DJ172" t="inlineStr">
        <is>
          <t>drone</t>
        </is>
      </c>
      <c r="DR172" t="n">
        <v>1.2</v>
      </c>
      <c r="DS172" t="inlineStr">
        <is>
          <t>Medium</t>
        </is>
      </c>
      <c r="EB172" t="n">
        <v>4</v>
      </c>
      <c r="EE172" t="b">
        <v>1</v>
      </c>
      <c r="EH172" t="inlineStr">
        <is>
          <t>Drone</t>
        </is>
      </c>
      <c r="EP172" t="n">
        <v>100</v>
      </c>
      <c r="EQ172" t="inlineStr">
        <is>
          <t>ZALA Lancet-3 (3 kg)</t>
        </is>
      </c>
      <c r="EX172" t="n">
        <v>3</v>
      </c>
      <c r="FY172" t="b">
        <v>1</v>
      </c>
      <c r="FZ172" t="n">
        <v>3</v>
      </c>
      <c r="GA172" t="inlineStr">
        <is>
          <t>zala_lancet_3</t>
        </is>
      </c>
      <c r="GB172" t="inlineStr">
        <is>
          <t>drone_zala_lancet_3</t>
        </is>
      </c>
      <c r="GD172" t="inlineStr">
        <is>
          <t>Assets/MachineBrigade/Resources/Data/balance.json: weapons[74]</t>
        </is>
      </c>
      <c r="GE172" t="inlineStr">
        <is>
          <t>{"id":"lancet","weaponFamilyId":"drone_zala_lancet_3","weaponFamily":"zala_lancet_3","real":"ZALA Lancet-3 (3 kg)","family":"drone","size":3,"warheadKg":3,"pen":4,"topAttack":true,"piercing":true,"damageType":"ShapedCharge","damage":240,"cooldown":8.372,"range":100,"impactTier":"Medium","impactScale":1.2,"projectile":"Drone","ammo":8,"bonuses":[{"class":"Artillery","mult":2},{"still":3,"mult":2},{"armor":"Structure","mult":1.5}]}</t>
        </is>
      </c>
    </row>
    <row r="173">
      <c r="A173" t="inlineStr">
        <is>
          <t>lancet_hangar</t>
        </is>
      </c>
      <c r="B173" t="inlineStr">
        <is>
          <t>ZALA Lancet-3 (3 kg)</t>
        </is>
      </c>
      <c r="C173" t="inlineStr">
        <is>
          <t>drone_zala_lancet_3</t>
        </is>
      </c>
      <c r="D173" t="inlineStr"/>
      <c r="E173" t="inlineStr">
        <is>
          <t>zala_lancet_3</t>
        </is>
      </c>
      <c r="F173" t="inlineStr">
        <is>
          <t>drone</t>
        </is>
      </c>
      <c r="G173" t="inlineStr"/>
      <c r="H173" t="n">
        <v>3</v>
      </c>
      <c r="I173" t="inlineStr"/>
      <c r="J173" t="inlineStr"/>
      <c r="K173" t="inlineStr">
        <is>
          <t>ShapedCharge</t>
        </is>
      </c>
      <c r="L173" t="n">
        <v>4</v>
      </c>
      <c r="M173" t="inlineStr">
        <is>
          <t>Drone</t>
        </is>
      </c>
      <c r="N173" t="n">
        <v>1</v>
      </c>
      <c r="O173" t="inlineStr">
        <is>
          <t>RIPPLE</t>
        </is>
      </c>
      <c r="P173" t="n">
        <v>1</v>
      </c>
      <c r="Q173" t="n">
        <v>0.1</v>
      </c>
      <c r="R173" t="n">
        <v>3.6</v>
      </c>
      <c r="S173" t="n">
        <v>0</v>
      </c>
      <c r="T173" t="n">
        <v>0</v>
      </c>
      <c r="U173" t="n">
        <v>0</v>
      </c>
      <c r="V173" t="n">
        <v>0</v>
      </c>
      <c r="W173" t="n">
        <v>240</v>
      </c>
      <c r="X173" t="n">
        <v>3</v>
      </c>
      <c r="Y173" t="n">
        <v>0</v>
      </c>
      <c r="Z173" t="n">
        <v>28</v>
      </c>
      <c r="AA173" t="n">
        <v>100</v>
      </c>
      <c r="AB173" t="n">
        <v>0</v>
      </c>
      <c r="AC173" t="inlineStr">
        <is>
          <t>Ground</t>
        </is>
      </c>
      <c r="AD173" t="inlineStr"/>
      <c r="AE173" t="n">
        <v>0</v>
      </c>
      <c r="AF173" t="inlineStr">
        <is>
          <t>Medium</t>
        </is>
      </c>
      <c r="AG173" t="b">
        <v>1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n">
        <v>3</v>
      </c>
      <c r="AO173" t="n">
        <v>0</v>
      </c>
      <c r="AP173" t="inlineStr">
        <is>
          <t>T2</t>
        </is>
      </c>
      <c r="AQ173" t="inlineStr">
        <is>
          <t>lancet</t>
        </is>
      </c>
      <c r="AR173" t="inlineStr"/>
      <c r="AS173" t="inlineStr">
        <is>
          <t>thap</t>
        </is>
      </c>
      <c r="AT173" t="inlineStr">
        <is>
          <t>drone_hangar.lancet</t>
        </is>
      </c>
      <c r="AU173" t="n">
        <v>1</v>
      </c>
      <c r="AV173" t="inlineStr">
        <is>
          <t>drone_hangar.lancet:0</t>
        </is>
      </c>
      <c r="AW173" t="n">
        <v>0</v>
      </c>
      <c r="AX173" t="b">
        <v>0</v>
      </c>
      <c r="AY173" t="inlineStr"/>
      <c r="AZ173">
        <f>IF(AND($AX$173,$AW$173&gt;$AA$173/$Z$173),$AW$173,$AA$173/$Z$173)</f>
        <v/>
      </c>
      <c r="BA173" t="n">
        <v>3.571428571428572</v>
      </c>
      <c r="BB173" t="inlineStr">
        <is>
          <t>NEED_SOURCE</t>
        </is>
      </c>
      <c r="BC173" t="inlineStr">
        <is>
          <t>NEED_SOURCE</t>
        </is>
      </c>
      <c r="BE173" t="inlineStr">
        <is>
          <t>NEED_SOURCE</t>
        </is>
      </c>
      <c r="BG173" t="inlineStr">
        <is>
          <t>giong</t>
        </is>
      </c>
      <c r="CN173" t="n">
        <v>0</v>
      </c>
      <c r="DD173" t="n">
        <v>3.6</v>
      </c>
      <c r="DJ173" t="inlineStr">
        <is>
          <t>drone</t>
        </is>
      </c>
      <c r="DT173" t="inlineStr">
        <is>
          <t>lancet</t>
        </is>
      </c>
      <c r="EB173" t="n">
        <v>4</v>
      </c>
      <c r="EQ173" t="inlineStr">
        <is>
          <t>ZALA Lancet-3 (3 kg)</t>
        </is>
      </c>
      <c r="EX173" t="n">
        <v>3</v>
      </c>
      <c r="FY173" t="b">
        <v>1</v>
      </c>
      <c r="FZ173" t="n">
        <v>3</v>
      </c>
      <c r="GA173" t="inlineStr">
        <is>
          <t>zala_lancet_3</t>
        </is>
      </c>
      <c r="GD173" t="inlineStr">
        <is>
          <t>Assets/MachineBrigade/Resources/Data/balance.json: weapons[127]</t>
        </is>
      </c>
      <c r="GE173" t="inlineStr">
        <is>
          <t>{"id":"lancet_hangar","weaponFamily":"zala_lancet_3","real":"ZALA Lancet-3 (3 kg)","family":"drone","size":3,"warheadKg":3,"pen":4,"topAttack":true,"inherits":"lancet","cooldown":3.6,"ammo":0}</t>
        </is>
      </c>
    </row>
    <row r="174">
      <c r="A174" t="inlineStr">
        <is>
          <t>laser_50kw</t>
        </is>
      </c>
      <c r="B174" t="inlineStr">
        <is>
          <t>50 kW laser (Iron Beam fixed site)</t>
        </is>
      </c>
      <c r="C174" t="inlineStr">
        <is>
          <t>laser_50_kw_laser</t>
        </is>
      </c>
      <c r="D174" t="inlineStr"/>
      <c r="E174" t="inlineStr"/>
      <c r="F174" t="inlineStr">
        <is>
          <t>laser</t>
        </is>
      </c>
      <c r="G174" t="inlineStr"/>
      <c r="H174" t="inlineStr"/>
      <c r="I174" t="n">
        <v>50</v>
      </c>
      <c r="J174" t="inlineStr"/>
      <c r="K174" t="inlineStr">
        <is>
          <t>Energy</t>
        </is>
      </c>
      <c r="L174" t="n">
        <v>2</v>
      </c>
      <c r="M174" t="inlineStr">
        <is>
          <t>Bullet</t>
        </is>
      </c>
      <c r="N174" t="n">
        <v>1</v>
      </c>
      <c r="O174" t="inlineStr">
        <is>
          <t>RIPPLE</t>
        </is>
      </c>
      <c r="P174" t="n">
        <v>1</v>
      </c>
      <c r="Q174" t="n">
        <v>0.1</v>
      </c>
      <c r="R174" t="n">
        <v>0.0667</v>
      </c>
      <c r="S174" t="n">
        <v>0</v>
      </c>
      <c r="T174" t="n">
        <v>0</v>
      </c>
      <c r="U174" t="n">
        <v>0</v>
      </c>
      <c r="V174" t="n">
        <v>0</v>
      </c>
      <c r="W174" t="n">
        <v>6</v>
      </c>
      <c r="X174" t="n">
        <v>0</v>
      </c>
      <c r="Y174" t="n">
        <v>0</v>
      </c>
      <c r="Z174" t="n">
        <v>3000</v>
      </c>
      <c r="AA174" t="n">
        <v>40</v>
      </c>
      <c r="AB174" t="n">
        <v>0</v>
      </c>
      <c r="AC174" t="inlineStr">
        <is>
          <t>Air</t>
        </is>
      </c>
      <c r="AD174" t="inlineStr"/>
      <c r="AE174" t="n">
        <v>0</v>
      </c>
      <c r="AF174" t="inlineStr">
        <is>
          <t>Small</t>
        </is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 t="b">
        <v>0</v>
      </c>
      <c r="AN174" t="n">
        <v>50</v>
      </c>
      <c r="AO174" t="n">
        <v>0</v>
      </c>
      <c r="AP174" t="inlineStr">
        <is>
          <t>T1</t>
        </is>
      </c>
      <c r="AQ174" t="inlineStr"/>
      <c r="AR174" t="inlineStr"/>
      <c r="AS174" t="inlineStr">
        <is>
          <t>thap</t>
        </is>
      </c>
      <c r="AT174" t="inlineStr">
        <is>
          <t>laser_ad_station;laser_ad_station.laser</t>
        </is>
      </c>
      <c r="AU174" t="n">
        <v>2</v>
      </c>
      <c r="AV174" t="inlineStr">
        <is>
          <t>laser_ad_station:0;laser_ad_station.laser:0</t>
        </is>
      </c>
      <c r="AW174" t="n">
        <v>0</v>
      </c>
      <c r="AX174" t="b">
        <v>0</v>
      </c>
      <c r="AY174" t="inlineStr"/>
      <c r="AZ174">
        <f>IF(AND($AX$174,$AW$174&gt;$AA$174/$Z$174),$AW$174,$AA$174/$Z$174)</f>
        <v/>
      </c>
      <c r="BA174" t="n">
        <v>0.01333333333333333</v>
      </c>
      <c r="BB174" t="inlineStr">
        <is>
          <t>NEED_SOURCE</t>
        </is>
      </c>
      <c r="BC174" t="inlineStr">
        <is>
          <t>NEED_SOURCE</t>
        </is>
      </c>
      <c r="BE174" t="inlineStr">
        <is>
          <t>NEED_SOURCE</t>
        </is>
      </c>
      <c r="BG174" t="inlineStr">
        <is>
          <t>giong</t>
        </is>
      </c>
      <c r="CP174" t="b">
        <v>1</v>
      </c>
      <c r="DD174" t="n">
        <v>0.0667</v>
      </c>
      <c r="DE174" t="n">
        <v>6</v>
      </c>
      <c r="DF174" t="inlineStr">
        <is>
          <t>Energy</t>
        </is>
      </c>
      <c r="DJ174" t="inlineStr">
        <is>
          <t>laser</t>
        </is>
      </c>
      <c r="DS174" t="inlineStr">
        <is>
          <t>Small</t>
        </is>
      </c>
      <c r="EB174" t="n">
        <v>2</v>
      </c>
      <c r="EF174" t="n">
        <v>50</v>
      </c>
      <c r="EG174" t="inlineStr">
        <is>
          <t>Drones</t>
        </is>
      </c>
      <c r="EH174" t="inlineStr">
        <is>
          <t>Bullet</t>
        </is>
      </c>
      <c r="EK174" t="n">
        <v>3000</v>
      </c>
      <c r="EP174" t="n">
        <v>40</v>
      </c>
      <c r="EQ174" t="inlineStr">
        <is>
          <t>50 kW laser (Iron Beam fixed site)</t>
        </is>
      </c>
      <c r="EX174" t="n">
        <v>50</v>
      </c>
      <c r="FW174" t="inlineStr">
        <is>
          <t>Air</t>
        </is>
      </c>
      <c r="GB174" t="inlineStr">
        <is>
          <t>laser_50_kw_laser</t>
        </is>
      </c>
      <c r="GD174" t="inlineStr">
        <is>
          <t>Assets/MachineBrigade/Resources/Data/balance.json: weapons[283]</t>
        </is>
      </c>
      <c r="GE174" t="inlineStr">
        <is>
          <t>{"id":"laser_50kw","weaponFamilyId":"laser_50_kw_laser","real":"50 kW laser (Iron Beam fixed site)","family":"laser","size":50,"powerKw":50,"pen":2,"damageType":"Energy","damage":6,"cooldown":0.0667,"range":40,"projectileSpeed":3000,"impactTier":"Small","projectile":"Bullet","targets":"Air","beam":true,"prey":"Drones"}</t>
        </is>
      </c>
    </row>
    <row r="175">
      <c r="A175" t="inlineStr">
        <is>
          <t>leviathan_460</t>
        </is>
      </c>
      <c r="B175" t="inlineStr">
        <is>
          <t>Mk 7 406 mm/50 (Iowa, triple)</t>
        </is>
      </c>
      <c r="C175" t="inlineStr">
        <is>
          <t>cal_406</t>
        </is>
      </c>
      <c r="D175" t="inlineStr"/>
      <c r="E175" t="inlineStr"/>
      <c r="F175" t="inlineStr">
        <is>
          <t>howitzer</t>
        </is>
      </c>
      <c r="G175" t="n">
        <v>406</v>
      </c>
      <c r="H175" t="inlineStr"/>
      <c r="I175" t="inlineStr"/>
      <c r="J175" t="inlineStr"/>
      <c r="K175" t="inlineStr">
        <is>
          <t>HighExplosive</t>
        </is>
      </c>
      <c r="L175" t="n">
        <v>4</v>
      </c>
      <c r="M175" t="inlineStr">
        <is>
          <t>Shell</t>
        </is>
      </c>
      <c r="N175" t="n">
        <v>1</v>
      </c>
      <c r="O175" t="inlineStr">
        <is>
          <t>RIPPLE</t>
        </is>
      </c>
      <c r="P175" t="n">
        <v>1</v>
      </c>
      <c r="Q175" t="n">
        <v>0.1</v>
      </c>
      <c r="R175" t="n">
        <v>14</v>
      </c>
      <c r="S175" t="n">
        <v>0</v>
      </c>
      <c r="T175" t="n">
        <v>0</v>
      </c>
      <c r="U175" t="n">
        <v>0</v>
      </c>
      <c r="V175" t="n">
        <v>0</v>
      </c>
      <c r="W175" t="n">
        <v>950</v>
      </c>
      <c r="X175" t="n">
        <v>13</v>
      </c>
      <c r="Y175" t="n">
        <v>0</v>
      </c>
      <c r="Z175" t="n">
        <v>200</v>
      </c>
      <c r="AA175" t="n">
        <v>160</v>
      </c>
      <c r="AB175" t="n">
        <v>0</v>
      </c>
      <c r="AC175" t="inlineStr">
        <is>
          <t>Ground</t>
        </is>
      </c>
      <c r="AD175" t="inlineStr"/>
      <c r="AE175" t="n">
        <v>3</v>
      </c>
      <c r="AF175" t="inlineStr">
        <is>
          <t>Ultimate</t>
        </is>
      </c>
      <c r="AG175" t="b">
        <v>0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  <c r="AM175" t="b">
        <v>0</v>
      </c>
      <c r="AN175" t="n">
        <v>406</v>
      </c>
      <c r="AO175" t="n">
        <v>0</v>
      </c>
      <c r="AP175" t="inlineStr">
        <is>
          <t>T5</t>
        </is>
      </c>
      <c r="AQ175" t="inlineStr"/>
      <c r="AR175" t="inlineStr">
        <is>
          <t>leviathan_460_guided</t>
        </is>
      </c>
      <c r="AS175" t="inlineStr"/>
      <c r="AT175" t="inlineStr"/>
      <c r="AU175" t="n">
        <v>0</v>
      </c>
      <c r="AV175" t="inlineStr"/>
      <c r="AW175" t="n">
        <v>3.5</v>
      </c>
      <c r="AX175" t="b">
        <v>0</v>
      </c>
      <c r="AY175" t="inlineStr"/>
      <c r="AZ175">
        <f>IF(AND($AX$175,$AW$175&gt;$AA$175/$Z$175),$AW$175,$AA$175/$Z$175)</f>
        <v/>
      </c>
      <c r="BA175" t="n">
        <v>0.8</v>
      </c>
      <c r="BB175" t="n">
        <v>2</v>
      </c>
      <c r="BC175" t="n">
        <v>2</v>
      </c>
      <c r="BD175" t="inlineStr">
        <is>
          <t>gun</t>
        </is>
      </c>
      <c r="BE175" t="inlineStr">
        <is>
          <t>Wikipedia '16"/50 caliber Mark 7': 2 rpm a gun</t>
        </is>
      </c>
      <c r="BG175" t="inlineStr">
        <is>
          <t>doi</t>
        </is>
      </c>
      <c r="BR175" t="n">
        <v>60</v>
      </c>
      <c r="BS175" t="n">
        <v>200</v>
      </c>
      <c r="CT175" t="n">
        <v>406</v>
      </c>
      <c r="DD175" t="n">
        <v>14</v>
      </c>
      <c r="DE175" t="n">
        <v>950</v>
      </c>
      <c r="DF175" t="inlineStr">
        <is>
          <t>HighExplosive</t>
        </is>
      </c>
      <c r="DJ175" t="inlineStr">
        <is>
          <t>howitzer</t>
        </is>
      </c>
      <c r="DS175" t="inlineStr">
        <is>
          <t>Ultimate</t>
        </is>
      </c>
      <c r="DV175" t="b">
        <v>1</v>
      </c>
      <c r="EB175" t="n">
        <v>4</v>
      </c>
      <c r="EI175" t="inlineStr">
        <is>
          <t>shell_155</t>
        </is>
      </c>
      <c r="EJ175" t="n">
        <v>1.4182</v>
      </c>
      <c r="EK175" t="n">
        <v>200</v>
      </c>
      <c r="EP175" t="n">
        <v>160</v>
      </c>
      <c r="EQ175" t="inlineStr">
        <is>
          <t>Mk 7 406 mm/50 (Iowa, triple)</t>
        </is>
      </c>
      <c r="ET175" t="n">
        <v>1.56</v>
      </c>
      <c r="EX175" t="n">
        <v>406</v>
      </c>
      <c r="EY175" t="n">
        <v>13</v>
      </c>
      <c r="EZ175" t="n">
        <v>3</v>
      </c>
      <c r="GB175" t="inlineStr">
        <is>
          <t>cal_406</t>
        </is>
      </c>
      <c r="GD175" t="inlineStr">
        <is>
          <t>Assets/MachineBrigade/Resources/Data/balance.json: weapons[251]</t>
        </is>
      </c>
      <c r="GE175" t="inlineStr">
        <is>
          <t>{"id":"leviathan_460","weaponFamilyId":"cal_406","real":"Mk 7 406 mm/50 (Iowa, triple)","family":"howitzer","size":406,"caliberMm":406,"pen":4,"projectileModel":"shell_155","roundLength":1.56,"projectileScale":1.4182,"damageType":"HighExplosive","damage":950,"cooldown":14,"range":160,"projectileSpeed":200,"splash":13,"spread":3,"impactTier":"Ultimate","laid":true}</t>
        </is>
      </c>
    </row>
    <row r="176">
      <c r="A176" t="inlineStr">
        <is>
          <t>leviathan_460_guided</t>
        </is>
      </c>
      <c r="B176" t="inlineStr">
        <is>
          <t>Mk 7 406 mm/50 guided (Iowa, triple)</t>
        </is>
      </c>
      <c r="C176" t="inlineStr">
        <is>
          <t>cal_406</t>
        </is>
      </c>
      <c r="D176" t="inlineStr"/>
      <c r="E176" t="inlineStr"/>
      <c r="F176" t="inlineStr">
        <is>
          <t>howitzer</t>
        </is>
      </c>
      <c r="G176" t="n">
        <v>406</v>
      </c>
      <c r="H176" t="inlineStr"/>
      <c r="I176" t="inlineStr"/>
      <c r="J176" t="inlineStr"/>
      <c r="K176" t="inlineStr">
        <is>
          <t>HighExplosive</t>
        </is>
      </c>
      <c r="L176" t="n">
        <v>4</v>
      </c>
      <c r="M176" t="inlineStr">
        <is>
          <t>Shell</t>
        </is>
      </c>
      <c r="N176" t="n">
        <v>1</v>
      </c>
      <c r="O176" t="inlineStr">
        <is>
          <t>RIPPLE</t>
        </is>
      </c>
      <c r="P176" t="n">
        <v>1</v>
      </c>
      <c r="Q176" t="n">
        <v>0.1</v>
      </c>
      <c r="R176" t="n">
        <v>14</v>
      </c>
      <c r="S176" t="n">
        <v>0</v>
      </c>
      <c r="T176" t="n">
        <v>0</v>
      </c>
      <c r="U176" t="n">
        <v>0</v>
      </c>
      <c r="V176" t="n">
        <v>0</v>
      </c>
      <c r="W176" t="n">
        <v>950</v>
      </c>
      <c r="X176" t="n">
        <v>13</v>
      </c>
      <c r="Y176" t="n">
        <v>0</v>
      </c>
      <c r="Z176" t="n">
        <v>200</v>
      </c>
      <c r="AA176" t="n">
        <v>160</v>
      </c>
      <c r="AB176" t="n">
        <v>0</v>
      </c>
      <c r="AC176" t="inlineStr">
        <is>
          <t>Ground</t>
        </is>
      </c>
      <c r="AD176" t="inlineStr"/>
      <c r="AE176" t="n">
        <v>0</v>
      </c>
      <c r="AF176" t="inlineStr">
        <is>
          <t>Ultimate</t>
        </is>
      </c>
      <c r="AG176" t="b">
        <v>0</v>
      </c>
      <c r="AH176" t="b">
        <v>0</v>
      </c>
      <c r="AI176" t="b">
        <v>0</v>
      </c>
      <c r="AJ176" t="b">
        <v>0</v>
      </c>
      <c r="AK176" t="b">
        <v>1</v>
      </c>
      <c r="AL176" t="b">
        <v>0</v>
      </c>
      <c r="AM176" t="b">
        <v>1</v>
      </c>
      <c r="AN176" t="n">
        <v>406</v>
      </c>
      <c r="AO176" t="n">
        <v>0</v>
      </c>
      <c r="AP176" t="inlineStr">
        <is>
          <t>T5</t>
        </is>
      </c>
      <c r="AQ176" t="inlineStr">
        <is>
          <t>leviathan_460</t>
        </is>
      </c>
      <c r="AR176" t="inlineStr"/>
      <c r="AS176" t="inlineStr"/>
      <c r="AT176" t="inlineStr"/>
      <c r="AU176" t="n">
        <v>0</v>
      </c>
      <c r="AV176" t="inlineStr"/>
      <c r="AW176" t="n">
        <v>3.5</v>
      </c>
      <c r="AX176" t="b">
        <v>0</v>
      </c>
      <c r="AY176" t="inlineStr"/>
      <c r="AZ176">
        <f>IF(AND($AX$176,$AW$176&gt;$AA$176/$Z$176),$AW$176,$AA$176/$Z$176)</f>
        <v/>
      </c>
      <c r="BA176" t="n">
        <v>0.8</v>
      </c>
      <c r="BB176" t="n">
        <v>2</v>
      </c>
      <c r="BC176" t="n">
        <v>2</v>
      </c>
      <c r="BD176" t="inlineStr">
        <is>
          <t>gun</t>
        </is>
      </c>
      <c r="BE176" t="inlineStr">
        <is>
          <t>Wikipedia '16"/50 caliber Mark 7': 2 rpm a gun</t>
        </is>
      </c>
      <c r="BG176" t="inlineStr">
        <is>
          <t>doi</t>
        </is>
      </c>
      <c r="BR176" t="n">
        <v>60</v>
      </c>
      <c r="BS176" t="n">
        <v>200</v>
      </c>
      <c r="CR176" t="n">
        <v>1</v>
      </c>
      <c r="DE176" t="n">
        <v>950</v>
      </c>
      <c r="DF176" t="inlineStr">
        <is>
          <t>HighExplosive</t>
        </is>
      </c>
      <c r="DH176" t="b">
        <v>1</v>
      </c>
      <c r="DM176" t="inlineStr">
        <is>
          <t>armour</t>
        </is>
      </c>
      <c r="DN176" t="inlineStr">
        <is>
          <t>HeShell</t>
        </is>
      </c>
      <c r="DP176" t="b">
        <v>1</v>
      </c>
      <c r="DT176" t="inlineStr">
        <is>
          <t>leviathan_460</t>
        </is>
      </c>
      <c r="EB176" t="n">
        <v>4</v>
      </c>
      <c r="EQ176" t="inlineStr">
        <is>
          <t>Mk 7 406 mm/50 guided (Iowa, triple)</t>
        </is>
      </c>
      <c r="ES176" t="inlineStr">
        <is>
          <t>guided</t>
        </is>
      </c>
      <c r="EU176" t="inlineStr">
        <is>
          <t>leviathan_460</t>
        </is>
      </c>
      <c r="EZ176" t="n">
        <v>0</v>
      </c>
      <c r="FW176" t="inlineStr">
        <is>
          <t>Ground</t>
        </is>
      </c>
      <c r="GA176" t="inlineStr"/>
      <c r="GD176" t="inlineStr">
        <is>
          <t>Assets/MachineBrigade/Resources/Data/balance.json: secondRounds.rounds[49]</t>
        </is>
      </c>
      <c r="GE176" t="inlineStr">
        <is>
          <t>{"id":"leviathan_460_guided","roundOf":"leviathan_460","inherits":"leviathan_460","weaponFamily":"","round":"guided","for":["armour"],"elite":true,"real":"Mk 7 406 mm/50 guided (Iowa, triple)","damageType":"HighExplosive","pen":4,"damage":950,"spread":0,"burst":1,"guided":true,"form":"HeShell","targets":"Ground"}</t>
        </is>
      </c>
    </row>
    <row r="177">
      <c r="A177" t="inlineStr">
        <is>
          <t>leviathan_cruise</t>
        </is>
      </c>
      <c r="B177" t="inlineStr">
        <is>
          <t>3M-54 Kalibr</t>
        </is>
      </c>
      <c r="C177" t="inlineStr">
        <is>
          <t>cruise_3m_54_kalibr</t>
        </is>
      </c>
      <c r="D177" t="inlineStr"/>
      <c r="E177" t="inlineStr"/>
      <c r="F177" t="inlineStr">
        <is>
          <t>cruise</t>
        </is>
      </c>
      <c r="G177" t="inlineStr"/>
      <c r="H177" t="n">
        <v>200</v>
      </c>
      <c r="I177" t="inlineStr"/>
      <c r="J177" t="inlineStr"/>
      <c r="K177" t="inlineStr">
        <is>
          <t>HighExplosive</t>
        </is>
      </c>
      <c r="L177" t="n">
        <v>3</v>
      </c>
      <c r="M177" t="inlineStr">
        <is>
          <t>Missile</t>
        </is>
      </c>
      <c r="N177" t="n">
        <v>1</v>
      </c>
      <c r="O177" t="inlineStr">
        <is>
          <t>RIPPLE</t>
        </is>
      </c>
      <c r="P177" t="n">
        <v>1</v>
      </c>
      <c r="Q177" t="n">
        <v>0.1</v>
      </c>
      <c r="R177" t="n">
        <v>50</v>
      </c>
      <c r="S177" t="n">
        <v>0</v>
      </c>
      <c r="T177" t="n">
        <v>0</v>
      </c>
      <c r="U177" t="n">
        <v>0</v>
      </c>
      <c r="V177" t="n">
        <v>0</v>
      </c>
      <c r="W177" t="n">
        <v>520</v>
      </c>
      <c r="X177" t="n">
        <v>10</v>
      </c>
      <c r="Y177" t="n">
        <v>0</v>
      </c>
      <c r="Z177" t="n">
        <v>70</v>
      </c>
      <c r="AA177" t="n">
        <v>400</v>
      </c>
      <c r="AB177" t="n">
        <v>0</v>
      </c>
      <c r="AC177" t="inlineStr">
        <is>
          <t>Ground</t>
        </is>
      </c>
      <c r="AD177" t="inlineStr"/>
      <c r="AE177" t="n">
        <v>0</v>
      </c>
      <c r="AF177" t="inlineStr">
        <is>
          <t>Ultimate</t>
        </is>
      </c>
      <c r="AG177" t="b">
        <v>0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  <c r="AM177" t="b">
        <v>0</v>
      </c>
      <c r="AN177" t="n">
        <v>500</v>
      </c>
      <c r="AO177" t="n">
        <v>0</v>
      </c>
      <c r="AP177" t="inlineStr">
        <is>
          <t>T4</t>
        </is>
      </c>
      <c r="AQ177" t="inlineStr"/>
      <c r="AR177" t="inlineStr"/>
      <c r="AS177" t="inlineStr">
        <is>
          <t>boss</t>
        </is>
      </c>
      <c r="AT177" t="inlineStr">
        <is>
          <t>kraken;leviathan;nyx;scylla;typhon</t>
        </is>
      </c>
      <c r="AU177" t="n">
        <v>5</v>
      </c>
      <c r="AV177" t="inlineStr">
        <is>
          <t>kraken:other;leviathan:other;nyx:other;scylla:other;typhon:other</t>
        </is>
      </c>
      <c r="AW177" t="n">
        <v>2.722222222222222</v>
      </c>
      <c r="AX177" t="b">
        <v>0</v>
      </c>
      <c r="AY177" t="inlineStr"/>
      <c r="AZ177">
        <f>IF(AND($AX$177,$AW$177&gt;$AA$177/$Z$177),$AW$177,$AA$177/$Z$177)</f>
        <v/>
      </c>
      <c r="BA177" t="n">
        <v>5.714285714285714</v>
      </c>
      <c r="BB177" t="n">
        <v>20</v>
      </c>
      <c r="BC177" t="n">
        <v>6</v>
      </c>
      <c r="BD177" t="inlineStr">
        <is>
          <t>missile</t>
        </is>
      </c>
      <c r="BE177" t="inlineStr">
        <is>
          <t>cruise missiles: ~3 s between launches (est.)</t>
        </is>
      </c>
      <c r="BG177" t="inlineStr">
        <is>
          <t>doi</t>
        </is>
      </c>
      <c r="BR177" t="n">
        <v>24</v>
      </c>
      <c r="BS177" t="n">
        <v>70</v>
      </c>
      <c r="DD177" t="n">
        <v>50</v>
      </c>
      <c r="DE177" t="n">
        <v>520</v>
      </c>
      <c r="DF177" t="inlineStr">
        <is>
          <t>HighExplosive</t>
        </is>
      </c>
      <c r="DJ177" t="inlineStr">
        <is>
          <t>cruise</t>
        </is>
      </c>
      <c r="DL177" t="inlineStr">
        <is>
          <t>Loft</t>
        </is>
      </c>
      <c r="DS177" t="inlineStr">
        <is>
          <t>Ultimate</t>
        </is>
      </c>
      <c r="DV177" t="b">
        <v>1</v>
      </c>
      <c r="EB177" t="n">
        <v>3</v>
      </c>
      <c r="EH177" t="inlineStr">
        <is>
          <t>Missile</t>
        </is>
      </c>
      <c r="EI177" t="inlineStr">
        <is>
          <t>cruise_missile</t>
        </is>
      </c>
      <c r="EK177" t="n">
        <v>70</v>
      </c>
      <c r="EP177" t="n">
        <v>400</v>
      </c>
      <c r="EQ177" t="inlineStr">
        <is>
          <t>3M-54 Kalibr</t>
        </is>
      </c>
      <c r="EX177" t="n">
        <v>500</v>
      </c>
      <c r="EY177" t="n">
        <v>10</v>
      </c>
      <c r="FZ177" t="n">
        <v>200</v>
      </c>
      <c r="GB177" t="inlineStr">
        <is>
          <t>cruise_3m_54_kalibr</t>
        </is>
      </c>
      <c r="GD177" t="inlineStr">
        <is>
          <t>Assets/MachineBrigade/Resources/Data/balance.json: weapons[253]</t>
        </is>
      </c>
      <c r="GE177" t="inlineStr">
        <is>
          <t>{"id":"leviathan_cruise","flightProfile":"Loft","weaponFamilyId":"cruise_3m_54_kalibr","real":"3M-54 Kalibr","family":"cruise","size":500,"warheadKg":200,"pen":3,"projectileModel":"cruise_missile","damageType":"HighExplosive","damage":520,"cooldown":50,"range":400,"projectileSpeed":70,"splash":10,"impactTier":"Ultimate","projectile":"Missile","laid":true}</t>
        </is>
      </c>
    </row>
    <row r="178">
      <c r="A178" t="inlineStr">
        <is>
          <t>locust_drones</t>
        </is>
      </c>
      <c r="B178" t="inlineStr">
        <is>
          <t>ZALA Lancet-3 swarm</t>
        </is>
      </c>
      <c r="C178" t="inlineStr">
        <is>
          <t>drone_zala_lancet_3_swarm</t>
        </is>
      </c>
      <c r="D178" t="inlineStr"/>
      <c r="E178" t="inlineStr"/>
      <c r="F178" t="inlineStr">
        <is>
          <t>drone</t>
        </is>
      </c>
      <c r="G178" t="inlineStr"/>
      <c r="H178" t="n">
        <v>3</v>
      </c>
      <c r="I178" t="inlineStr"/>
      <c r="J178" t="inlineStr"/>
      <c r="K178" t="inlineStr">
        <is>
          <t>ShapedCharge</t>
        </is>
      </c>
      <c r="L178" t="n">
        <v>4</v>
      </c>
      <c r="M178" t="inlineStr">
        <is>
          <t>Drone</t>
        </is>
      </c>
      <c r="N178" t="n">
        <v>1</v>
      </c>
      <c r="O178" t="inlineStr">
        <is>
          <t>RIPPLE</t>
        </is>
      </c>
      <c r="P178" t="n">
        <v>1</v>
      </c>
      <c r="Q178" t="n">
        <v>0.2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  <c r="W178" t="n">
        <v>320</v>
      </c>
      <c r="X178" t="n">
        <v>3</v>
      </c>
      <c r="Y178" t="n">
        <v>6</v>
      </c>
      <c r="Z178" t="n">
        <v>28</v>
      </c>
      <c r="AA178" t="n">
        <v>70</v>
      </c>
      <c r="AB178" t="n">
        <v>0</v>
      </c>
      <c r="AC178" t="inlineStr">
        <is>
          <t>Ground</t>
        </is>
      </c>
      <c r="AD178" t="inlineStr"/>
      <c r="AE178" t="n">
        <v>0</v>
      </c>
      <c r="AF178" t="inlineStr">
        <is>
          <t>Large</t>
        </is>
      </c>
      <c r="AG178" t="b">
        <v>1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n">
        <v>3</v>
      </c>
      <c r="AO178" t="n">
        <v>0</v>
      </c>
      <c r="AP178" t="inlineStr">
        <is>
          <t>T2</t>
        </is>
      </c>
      <c r="AQ178" t="inlineStr">
        <is>
          <t>p26_matriarch_ma_drones</t>
        </is>
      </c>
      <c r="AR178" t="inlineStr"/>
      <c r="AS178" t="inlineStr">
        <is>
          <t>boss</t>
        </is>
      </c>
      <c r="AT178" t="inlineStr">
        <is>
          <t>locust</t>
        </is>
      </c>
      <c r="AU178" t="n">
        <v>1</v>
      </c>
      <c r="AV178" t="inlineStr">
        <is>
          <t>locust:0</t>
        </is>
      </c>
      <c r="AW178" t="n">
        <v>0</v>
      </c>
      <c r="AX178" t="b">
        <v>0</v>
      </c>
      <c r="AY178" t="inlineStr"/>
      <c r="AZ178">
        <f>IF(AND($AX$178,$AW$178&gt;$AA$178/$Z$178),$AW$178,$AA$178/$Z$178)</f>
        <v/>
      </c>
      <c r="BA178" t="n">
        <v>2.5</v>
      </c>
      <c r="BB178" t="inlineStr">
        <is>
          <t>NEED_SOURCE</t>
        </is>
      </c>
      <c r="BC178" t="inlineStr">
        <is>
          <t>NEED_SOURCE</t>
        </is>
      </c>
      <c r="BE178" t="inlineStr">
        <is>
          <t>NEED_SOURCE</t>
        </is>
      </c>
      <c r="BG178" t="inlineStr">
        <is>
          <t>moi</t>
        </is>
      </c>
      <c r="CR178" t="n">
        <v>1</v>
      </c>
      <c r="DD178" t="n">
        <v>2</v>
      </c>
      <c r="DO178" t="n">
        <v>1</v>
      </c>
      <c r="DT178" t="inlineStr">
        <is>
          <t>p26_matriarch_ma_drones</t>
        </is>
      </c>
      <c r="GD178" t="inlineStr">
        <is>
          <t>Assets/MachineBrigade/Resources/Data/balance.json: weapons[178]</t>
        </is>
      </c>
      <c r="GE178" t="inlineStr">
        <is>
          <t>{"id":"locust_drones","groundMinReach":1,"inherits":"p26_matriarch_ma_drones","burst":1,"cooldown":2}</t>
        </is>
      </c>
    </row>
    <row r="179">
      <c r="A179" t="inlineStr">
        <is>
          <t>maverick</t>
        </is>
      </c>
      <c r="B179" t="inlineStr">
        <is>
          <t>AGM-65 Maverick</t>
        </is>
      </c>
      <c r="C179" t="inlineStr">
        <is>
          <t>atgm_agm_65_maverick</t>
        </is>
      </c>
      <c r="D179" t="inlineStr"/>
      <c r="E179" t="inlineStr"/>
      <c r="F179" t="inlineStr">
        <is>
          <t>atgm</t>
        </is>
      </c>
      <c r="G179" t="inlineStr"/>
      <c r="H179" t="n">
        <v>57</v>
      </c>
      <c r="I179" t="inlineStr"/>
      <c r="J179" t="inlineStr"/>
      <c r="K179" t="inlineStr">
        <is>
          <t>ShapedCharge</t>
        </is>
      </c>
      <c r="L179" t="n">
        <v>4</v>
      </c>
      <c r="M179" t="inlineStr">
        <is>
          <t>Missile</t>
        </is>
      </c>
      <c r="N179" t="n">
        <v>1</v>
      </c>
      <c r="O179" t="inlineStr">
        <is>
          <t>RIPPLE</t>
        </is>
      </c>
      <c r="P179" t="n">
        <v>1</v>
      </c>
      <c r="Q179" t="n">
        <v>0.1</v>
      </c>
      <c r="R179" t="n">
        <v>7.86</v>
      </c>
      <c r="S179" t="n">
        <v>0</v>
      </c>
      <c r="T179" t="n">
        <v>0</v>
      </c>
      <c r="U179" t="n">
        <v>0</v>
      </c>
      <c r="V179" t="n">
        <v>0</v>
      </c>
      <c r="W179" t="n">
        <v>345</v>
      </c>
      <c r="X179" t="n">
        <v>0</v>
      </c>
      <c r="Y179" t="n">
        <v>0</v>
      </c>
      <c r="Z179" t="n">
        <v>90</v>
      </c>
      <c r="AA179" t="n">
        <v>40</v>
      </c>
      <c r="AB179" t="n">
        <v>0</v>
      </c>
      <c r="AC179" t="inlineStr">
        <is>
          <t>Ground</t>
        </is>
      </c>
      <c r="AD179" t="inlineStr"/>
      <c r="AE179" t="n">
        <v>0</v>
      </c>
      <c r="AF179" t="inlineStr">
        <is>
          <t>Medium</t>
        </is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n">
        <v>300</v>
      </c>
      <c r="AO179" t="n">
        <v>2</v>
      </c>
      <c r="AP179" t="inlineStr">
        <is>
          <t>T3</t>
        </is>
      </c>
      <c r="AQ179" t="inlineStr"/>
      <c r="AR179" t="inlineStr"/>
      <c r="AS179" t="inlineStr"/>
      <c r="AT179" t="inlineStr"/>
      <c r="AU179" t="n">
        <v>0</v>
      </c>
      <c r="AV179" t="inlineStr"/>
      <c r="AW179" t="n">
        <v>0</v>
      </c>
      <c r="AX179" t="b">
        <v>0</v>
      </c>
      <c r="AY179" t="inlineStr"/>
      <c r="AZ179">
        <f>IF(AND($AX$179,$AW$179&gt;$AA$179/$Z$179),$AW$179,$AA$179/$Z$179)</f>
        <v/>
      </c>
      <c r="BA179" t="n">
        <v>0.4444444444444444</v>
      </c>
      <c r="BB179" t="n">
        <v>60</v>
      </c>
      <c r="BC179" t="n">
        <v>10</v>
      </c>
      <c r="BD179" t="inlineStr">
        <is>
          <t>atgm</t>
        </is>
      </c>
      <c r="BE179" t="inlineStr">
        <is>
          <t>air-launched: ripples ~1 s apart, est. 6 s an aimed shot</t>
        </is>
      </c>
      <c r="BG179" t="inlineStr">
        <is>
          <t>doi</t>
        </is>
      </c>
      <c r="BR179" t="n">
        <v>23</v>
      </c>
      <c r="BS179" t="n">
        <v>90</v>
      </c>
      <c r="DD179" t="n">
        <v>7.86</v>
      </c>
      <c r="DE179" t="n">
        <v>345</v>
      </c>
      <c r="DF179" t="inlineStr">
        <is>
          <t>ShapedCharge</t>
        </is>
      </c>
      <c r="DJ179" t="inlineStr">
        <is>
          <t>atgm</t>
        </is>
      </c>
      <c r="DS179" t="inlineStr">
        <is>
          <t>Medium</t>
        </is>
      </c>
      <c r="DW179" t="n">
        <v>2</v>
      </c>
      <c r="EB179" t="n">
        <v>4</v>
      </c>
      <c r="EE179" t="b">
        <v>1</v>
      </c>
      <c r="EH179" t="inlineStr">
        <is>
          <t>Missile</t>
        </is>
      </c>
      <c r="EI179" t="inlineStr">
        <is>
          <t>maverick</t>
        </is>
      </c>
      <c r="EJ179" t="n">
        <v>0.58</v>
      </c>
      <c r="EK179" t="n">
        <v>90</v>
      </c>
      <c r="EP179" t="n">
        <v>40</v>
      </c>
      <c r="EQ179" t="inlineStr">
        <is>
          <t>AGM-65 Maverick</t>
        </is>
      </c>
      <c r="EV179" t="n">
        <v>351</v>
      </c>
      <c r="EX179" t="n">
        <v>300</v>
      </c>
      <c r="FZ179" t="n">
        <v>57</v>
      </c>
      <c r="GB179" t="inlineStr">
        <is>
          <t>atgm_agm_65_maverick</t>
        </is>
      </c>
      <c r="GD179" t="inlineStr">
        <is>
          <t>Assets/MachineBrigade/Resources/Data/balance.json: weapons[82]</t>
        </is>
      </c>
      <c r="GE179" t="inlineStr">
        <is>
          <t>{"id":"maverick","weaponFamilyId":"atgm_agm_65_maverick","load":2,"real":"AGM-65 Maverick","family":"atgm","size":300,"warheadKg":57,"pen":4,"piercing":true,"projectileModel":"maverick","projectileScale":0.58,"damageType":"ShapedCharge","damage":345,"cooldown":7.86,"range":40,"projectileSpeed":90,"impactTier":"Medium","projectile":"Missile","roundWeight":351}</t>
        </is>
      </c>
    </row>
    <row r="180">
      <c r="A180" t="inlineStr">
        <is>
          <t>mg_coax</t>
        </is>
      </c>
      <c r="B180" t="inlineStr">
        <is>
          <t>PKT / M240 7.62 mm</t>
        </is>
      </c>
      <c r="C180" t="inlineStr">
        <is>
          <t>cal_7_62</t>
        </is>
      </c>
      <c r="D180" t="inlineStr"/>
      <c r="E180" t="inlineStr">
        <is>
          <t>pkt_m240_7_62_mm</t>
        </is>
      </c>
      <c r="F180" t="inlineStr">
        <is>
          <t>mg</t>
        </is>
      </c>
      <c r="G180" t="n">
        <v>7.62</v>
      </c>
      <c r="H180" t="inlineStr"/>
      <c r="I180" t="inlineStr"/>
      <c r="J180" t="inlineStr"/>
      <c r="K180" t="inlineStr">
        <is>
          <t>Kinetic</t>
        </is>
      </c>
      <c r="L180" t="n">
        <v>0</v>
      </c>
      <c r="M180" t="inlineStr">
        <is>
          <t>Bullet</t>
        </is>
      </c>
      <c r="N180" t="n">
        <v>1</v>
      </c>
      <c r="O180" t="inlineStr">
        <is>
          <t>RIPPLE</t>
        </is>
      </c>
      <c r="P180" t="n">
        <v>1</v>
      </c>
      <c r="Q180" t="n">
        <v>0.1</v>
      </c>
      <c r="R180" t="n">
        <v>0.0833</v>
      </c>
      <c r="S180" t="n">
        <v>100</v>
      </c>
      <c r="T180" t="n">
        <v>4.0833</v>
      </c>
      <c r="U180" t="n">
        <v>0</v>
      </c>
      <c r="V180" t="n">
        <v>0</v>
      </c>
      <c r="W180" t="n">
        <v>5.5</v>
      </c>
      <c r="X180" t="n">
        <v>0</v>
      </c>
      <c r="Y180" t="n">
        <v>0</v>
      </c>
      <c r="Z180" t="n">
        <v>240</v>
      </c>
      <c r="AA180" t="n">
        <v>20</v>
      </c>
      <c r="AB180" t="n">
        <v>0</v>
      </c>
      <c r="AC180" t="inlineStr">
        <is>
          <t>All</t>
        </is>
      </c>
      <c r="AD180" t="inlineStr"/>
      <c r="AE180" t="n">
        <v>1</v>
      </c>
      <c r="AF180" t="inlineStr">
        <is>
          <t>Small</t>
        </is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n">
        <v>7.62</v>
      </c>
      <c r="AO180" t="n">
        <v>0</v>
      </c>
      <c r="AP180" t="inlineStr">
        <is>
          <t>T0</t>
        </is>
      </c>
      <c r="AQ180" t="inlineStr"/>
      <c r="AR180" t="inlineStr"/>
      <c r="AS180" t="inlineStr">
        <is>
          <t>cong_trinh;xe</t>
        </is>
      </c>
      <c r="AT180" t="inlineStr">
        <is>
          <t>elite_apc;elite_mbt;flame_tank;headquarters;headquarters.fortress_air;headquarters.fortress_ground;headquarters.shield;ifv;light_tank;main_battle_tank;titan_tank;twin_tank;wheeled_gun</t>
        </is>
      </c>
      <c r="AU180" t="n">
        <v>13</v>
      </c>
      <c r="AV180" t="inlineStr">
        <is>
          <t>elite_apc:1;elite_mbt:1;flame_tank:1;headquarters:3;headquarters.fortress_air:3;headquarters.fortress_ground:3;headquarters.shield:3;ifv:1;light_tank:1;main_battle_tank:1;titan_tank:1;twin_tank:1;wheeled_gun:1</t>
        </is>
      </c>
      <c r="AW180" t="n">
        <v>0</v>
      </c>
      <c r="AX180" t="b">
        <v>0</v>
      </c>
      <c r="AY180" t="inlineStr"/>
      <c r="AZ180">
        <f>IF(AND($AX$180,$AW$180&gt;$AA$180/$Z$180),$AW$180,$AA$180/$Z$180)</f>
        <v/>
      </c>
      <c r="BA180" t="n">
        <v>0.08333333333333333</v>
      </c>
      <c r="BB180" t="n">
        <v>800</v>
      </c>
      <c r="BC180" t="n">
        <v>250</v>
      </c>
      <c r="BD180" t="inlineStr">
        <is>
          <t>mg</t>
        </is>
      </c>
      <c r="BE180" t="inlineStr">
        <is>
          <t>Wikipedia 'PK machine gun' (PKT 700-800, practical 250); M240 650-950</t>
        </is>
      </c>
      <c r="BG180" t="inlineStr">
        <is>
          <t>giong</t>
        </is>
      </c>
      <c r="CT180" t="n">
        <v>7.62</v>
      </c>
      <c r="CW180" t="n">
        <v>100</v>
      </c>
      <c r="CX180" t="n">
        <v>4.0833</v>
      </c>
      <c r="DD180" t="n">
        <v>0.0833</v>
      </c>
      <c r="DE180" t="n">
        <v>5.5</v>
      </c>
      <c r="DF180" t="inlineStr">
        <is>
          <t>Kinetic</t>
        </is>
      </c>
      <c r="DJ180" t="inlineStr">
        <is>
          <t>mg</t>
        </is>
      </c>
      <c r="DS180" t="inlineStr">
        <is>
          <t>Small</t>
        </is>
      </c>
      <c r="EB180" t="n">
        <v>0</v>
      </c>
      <c r="EH180" t="inlineStr">
        <is>
          <t>Bullet</t>
        </is>
      </c>
      <c r="EP180" t="n">
        <v>20</v>
      </c>
      <c r="EQ180" t="inlineStr">
        <is>
          <t>PKT / M240 7.62 mm</t>
        </is>
      </c>
      <c r="EV180" t="n">
        <v>6</v>
      </c>
      <c r="EX180" t="n">
        <v>7.62</v>
      </c>
      <c r="EZ180" t="n">
        <v>1</v>
      </c>
      <c r="FW180" t="inlineStr">
        <is>
          <t>All</t>
        </is>
      </c>
      <c r="GA180" t="inlineStr">
        <is>
          <t>pkt_m240_7_62_mm</t>
        </is>
      </c>
      <c r="GB180" t="inlineStr">
        <is>
          <t>cal_7_62</t>
        </is>
      </c>
      <c r="GD180" t="inlineStr">
        <is>
          <t>Assets/MachineBrigade/Resources/Data/balance.json: weapons[1]</t>
        </is>
      </c>
      <c r="GE180" t="inlineStr">
        <is>
          <t>{"id":"mg_coax","weaponFamilyId":"cal_7_62","weaponFamily":"pkt_m240_7_62_mm","real":"PKT / M240 7.62 mm","family":"mg","size":7.62,"caliberMm":7.62,"pen":0,"damageType":"Kinetic","damage":5.5,"cooldown":0.0833,"range":20,"spread":1.0,"impactTier":"Small","projectile":"Bullet","targets":"All","roundWeight":6,"clip":100,"clipReload":4.0833}</t>
        </is>
      </c>
    </row>
    <row r="181">
      <c r="A181" t="inlineStr">
        <is>
          <t>mg_coax_long</t>
        </is>
      </c>
      <c r="B181" t="inlineStr">
        <is>
          <t>PKT / M240 7.62 mm</t>
        </is>
      </c>
      <c r="C181" t="inlineStr">
        <is>
          <t>cal_7_62</t>
        </is>
      </c>
      <c r="D181" t="inlineStr"/>
      <c r="E181" t="inlineStr">
        <is>
          <t>pkt_m240_7_62_mm</t>
        </is>
      </c>
      <c r="F181" t="inlineStr">
        <is>
          <t>mg</t>
        </is>
      </c>
      <c r="G181" t="n">
        <v>7.62</v>
      </c>
      <c r="H181" t="inlineStr"/>
      <c r="I181" t="inlineStr"/>
      <c r="J181" t="inlineStr"/>
      <c r="K181" t="inlineStr">
        <is>
          <t>Kinetic</t>
        </is>
      </c>
      <c r="L181" t="n">
        <v>0</v>
      </c>
      <c r="M181" t="inlineStr">
        <is>
          <t>Bullet</t>
        </is>
      </c>
      <c r="N181" t="n">
        <v>1</v>
      </c>
      <c r="O181" t="inlineStr">
        <is>
          <t>RIPPLE</t>
        </is>
      </c>
      <c r="P181" t="n">
        <v>1</v>
      </c>
      <c r="Q181" t="n">
        <v>0.1</v>
      </c>
      <c r="R181" t="n">
        <v>0.0833</v>
      </c>
      <c r="S181" t="n">
        <v>100</v>
      </c>
      <c r="T181" t="n">
        <v>4.0833</v>
      </c>
      <c r="U181" t="n">
        <v>0</v>
      </c>
      <c r="V181" t="n">
        <v>0</v>
      </c>
      <c r="W181" t="n">
        <v>5.5</v>
      </c>
      <c r="X181" t="n">
        <v>0</v>
      </c>
      <c r="Y181" t="n">
        <v>0</v>
      </c>
      <c r="Z181" t="n">
        <v>240</v>
      </c>
      <c r="AA181" t="n">
        <v>30</v>
      </c>
      <c r="AB181" t="n">
        <v>0</v>
      </c>
      <c r="AC181" t="inlineStr">
        <is>
          <t>All</t>
        </is>
      </c>
      <c r="AD181" t="inlineStr"/>
      <c r="AE181" t="n">
        <v>1</v>
      </c>
      <c r="AF181" t="inlineStr">
        <is>
          <t>Small</t>
        </is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n">
        <v>7.62</v>
      </c>
      <c r="AO181" t="n">
        <v>0</v>
      </c>
      <c r="AP181" t="inlineStr">
        <is>
          <t>T0</t>
        </is>
      </c>
      <c r="AQ181" t="inlineStr">
        <is>
          <t>mg_coax</t>
        </is>
      </c>
      <c r="AR181" t="inlineStr"/>
      <c r="AS181" t="inlineStr">
        <is>
          <t>xe</t>
        </is>
      </c>
      <c r="AT181" t="inlineStr">
        <is>
          <t>armored_car</t>
        </is>
      </c>
      <c r="AU181" t="n">
        <v>1</v>
      </c>
      <c r="AV181" t="inlineStr">
        <is>
          <t>armored_car:1</t>
        </is>
      </c>
      <c r="AW181" t="n">
        <v>0</v>
      </c>
      <c r="AX181" t="b">
        <v>0</v>
      </c>
      <c r="AY181" t="inlineStr"/>
      <c r="AZ181">
        <f>IF(AND($AX$181,$AW$181&gt;$AA$181/$Z$181),$AW$181,$AA$181/$Z$181)</f>
        <v/>
      </c>
      <c r="BA181" t="n">
        <v>0.125</v>
      </c>
      <c r="BB181" t="n">
        <v>800</v>
      </c>
      <c r="BC181" t="n">
        <v>250</v>
      </c>
      <c r="BD181" t="inlineStr">
        <is>
          <t>mg</t>
        </is>
      </c>
      <c r="BE181" t="inlineStr">
        <is>
          <t>Wikipedia 'PK machine gun' (PKT 700-800, practical 250); M240 650-950</t>
        </is>
      </c>
      <c r="BG181" t="inlineStr">
        <is>
          <t>moi</t>
        </is>
      </c>
      <c r="CT181" t="n">
        <v>7.62</v>
      </c>
      <c r="DJ181" t="inlineStr">
        <is>
          <t>mg</t>
        </is>
      </c>
      <c r="DT181" t="inlineStr">
        <is>
          <t>mg_coax</t>
        </is>
      </c>
      <c r="EB181" t="n">
        <v>0</v>
      </c>
      <c r="EP181" t="n">
        <v>30</v>
      </c>
      <c r="EQ181" t="inlineStr">
        <is>
          <t>PKT / M240 7.62 mm</t>
        </is>
      </c>
      <c r="EX181" t="n">
        <v>7.62</v>
      </c>
      <c r="GA181" t="inlineStr">
        <is>
          <t>pkt_m240_7_62_mm</t>
        </is>
      </c>
      <c r="GD181" t="inlineStr">
        <is>
          <t>Assets/MachineBrigade/Resources/Data/balance.json: weapons[106]</t>
        </is>
      </c>
      <c r="GE181" t="inlineStr">
        <is>
          <t>{"id":"mg_coax_long","weaponFamily":"pkt_m240_7_62_mm","real":"PKT / M240 7.62 mm","family":"mg","size":7.62,"caliberMm":7.62,"pen":0,"inherits":"mg_coax","range":30}</t>
        </is>
      </c>
    </row>
    <row r="182">
      <c r="A182" t="inlineStr">
        <is>
          <t>mg_jeep</t>
        </is>
      </c>
      <c r="B182" t="inlineStr">
        <is>
          <t>M2 Browning 12.7 mm</t>
        </is>
      </c>
      <c r="C182" t="inlineStr">
        <is>
          <t>cal_12_7</t>
        </is>
      </c>
      <c r="D182" t="inlineStr"/>
      <c r="E182" t="inlineStr">
        <is>
          <t>m2_browning_12_7_mm</t>
        </is>
      </c>
      <c r="F182" t="inlineStr">
        <is>
          <t>mg</t>
        </is>
      </c>
      <c r="G182" t="n">
        <v>12.7</v>
      </c>
      <c r="H182" t="inlineStr"/>
      <c r="I182" t="inlineStr"/>
      <c r="J182" t="inlineStr"/>
      <c r="K182" t="inlineStr">
        <is>
          <t>Kinetic</t>
        </is>
      </c>
      <c r="L182" t="n">
        <v>1</v>
      </c>
      <c r="M182" t="inlineStr">
        <is>
          <t>Bullet</t>
        </is>
      </c>
      <c r="N182" t="n">
        <v>1</v>
      </c>
      <c r="O182" t="inlineStr">
        <is>
          <t>RIPPLE</t>
        </is>
      </c>
      <c r="P182" t="n">
        <v>1</v>
      </c>
      <c r="Q182" t="n">
        <v>0.1</v>
      </c>
      <c r="R182" t="n">
        <v>0.1111</v>
      </c>
      <c r="S182" t="n">
        <v>100</v>
      </c>
      <c r="T182" t="n">
        <v>5.1111</v>
      </c>
      <c r="U182" t="n">
        <v>0</v>
      </c>
      <c r="V182" t="n">
        <v>0</v>
      </c>
      <c r="W182" t="n">
        <v>9.5</v>
      </c>
      <c r="X182" t="n">
        <v>0</v>
      </c>
      <c r="Y182" t="n">
        <v>0</v>
      </c>
      <c r="Z182" t="n">
        <v>230</v>
      </c>
      <c r="AA182" t="n">
        <v>22</v>
      </c>
      <c r="AB182" t="n">
        <v>0</v>
      </c>
      <c r="AC182" t="inlineStr">
        <is>
          <t>All</t>
        </is>
      </c>
      <c r="AD182" t="inlineStr"/>
      <c r="AE182" t="n">
        <v>1.2</v>
      </c>
      <c r="AF182" t="inlineStr">
        <is>
          <t>Small</t>
        </is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n">
        <v>12.7</v>
      </c>
      <c r="AO182" t="n">
        <v>0</v>
      </c>
      <c r="AP182" t="inlineStr">
        <is>
          <t>T0</t>
        </is>
      </c>
      <c r="AQ182" t="inlineStr"/>
      <c r="AR182" t="inlineStr">
        <is>
          <t>mg_jeep_api</t>
        </is>
      </c>
      <c r="AS182" t="inlineStr">
        <is>
          <t>xe</t>
        </is>
      </c>
      <c r="AT182" t="inlineStr">
        <is>
          <t>river_patrol_boat;scout_jeep;supply_truck</t>
        </is>
      </c>
      <c r="AU182" t="n">
        <v>3</v>
      </c>
      <c r="AV182" t="inlineStr">
        <is>
          <t>river_patrol_boat:0;scout_jeep:0;supply_truck:0</t>
        </is>
      </c>
      <c r="AW182" t="n">
        <v>0</v>
      </c>
      <c r="AX182" t="b">
        <v>0</v>
      </c>
      <c r="AY182" t="inlineStr"/>
      <c r="AZ182">
        <f>IF(AND($AX$182,$AW$182&gt;$AA$182/$Z$182),$AW$182,$AA$182/$Z$182)</f>
        <v/>
      </c>
      <c r="BA182" t="n">
        <v>0.09565217391304348</v>
      </c>
      <c r="BB182" t="n">
        <v>600</v>
      </c>
      <c r="BC182" t="n">
        <v>40</v>
      </c>
      <c r="BD182" t="inlineStr">
        <is>
          <t>mg</t>
        </is>
      </c>
      <c r="BE182" t="inlineStr">
        <is>
          <t>US Army FM 3-22.65: cyclic 450-600, rapid 40 rpm</t>
        </is>
      </c>
      <c r="BG182" t="inlineStr">
        <is>
          <t>giong</t>
        </is>
      </c>
      <c r="CT182" t="n">
        <v>12.7</v>
      </c>
      <c r="CW182" t="n">
        <v>100</v>
      </c>
      <c r="CX182" t="n">
        <v>5.1111</v>
      </c>
      <c r="DD182" t="n">
        <v>0.1111</v>
      </c>
      <c r="DE182" t="n">
        <v>9.5</v>
      </c>
      <c r="DF182" t="inlineStr">
        <is>
          <t>Kinetic</t>
        </is>
      </c>
      <c r="DJ182" t="inlineStr">
        <is>
          <t>mg</t>
        </is>
      </c>
      <c r="DS182" t="inlineStr">
        <is>
          <t>Small</t>
        </is>
      </c>
      <c r="EB182" t="n">
        <v>1</v>
      </c>
      <c r="EH182" t="inlineStr">
        <is>
          <t>Bullet</t>
        </is>
      </c>
      <c r="EP182" t="n">
        <v>22</v>
      </c>
      <c r="EQ182" t="inlineStr">
        <is>
          <t>M2 Browning 12.7 mm</t>
        </is>
      </c>
      <c r="EX182" t="n">
        <v>12.7</v>
      </c>
      <c r="EZ182" t="n">
        <v>1.2</v>
      </c>
      <c r="FW182" t="inlineStr">
        <is>
          <t>All</t>
        </is>
      </c>
      <c r="GA182" t="inlineStr">
        <is>
          <t>m2_browning_12_7_mm</t>
        </is>
      </c>
      <c r="GB182" t="inlineStr">
        <is>
          <t>cal_12_7</t>
        </is>
      </c>
      <c r="GD182" t="inlineStr">
        <is>
          <t>Assets/MachineBrigade/Resources/Data/balance.json: weapons[0]</t>
        </is>
      </c>
      <c r="GE182" t="inlineStr">
        <is>
          <t>{"id":"mg_jeep","weaponFamilyId":"cal_12_7","weaponFamily":"m2_browning_12_7_mm","real":"M2 Browning 12.7 mm","family":"mg","size":12.7,"caliberMm":12.7,"pen":1,"damageType":"Kinetic","damage":9.5,"cooldown":0.1111,"range":22,"spread":1.2,"impactTier":"Small","projectile":"Bullet","targets":"All","clip":100,"clipReload":5.1111}</t>
        </is>
      </c>
    </row>
    <row r="183">
      <c r="A183" t="inlineStr">
        <is>
          <t>mg_jeep_api</t>
        </is>
      </c>
      <c r="B183" t="inlineStr">
        <is>
          <t>M2 Browning 12.7 mm API</t>
        </is>
      </c>
      <c r="C183" t="inlineStr">
        <is>
          <t>cal_12_7</t>
        </is>
      </c>
      <c r="D183" t="inlineStr"/>
      <c r="E183" t="inlineStr">
        <is>
          <t>m2_browning_12_7_mm_api</t>
        </is>
      </c>
      <c r="F183" t="inlineStr">
        <is>
          <t>mg</t>
        </is>
      </c>
      <c r="G183" t="n">
        <v>12.7</v>
      </c>
      <c r="H183" t="inlineStr"/>
      <c r="I183" t="inlineStr"/>
      <c r="J183" t="inlineStr"/>
      <c r="K183" t="inlineStr">
        <is>
          <t>Kinetic</t>
        </is>
      </c>
      <c r="L183" t="n">
        <v>2</v>
      </c>
      <c r="M183" t="inlineStr">
        <is>
          <t>Bullet</t>
        </is>
      </c>
      <c r="N183" t="n">
        <v>1</v>
      </c>
      <c r="O183" t="inlineStr">
        <is>
          <t>RIPPLE</t>
        </is>
      </c>
      <c r="P183" t="n">
        <v>1</v>
      </c>
      <c r="Q183" t="n">
        <v>0.1</v>
      </c>
      <c r="R183" t="n">
        <v>0.1111</v>
      </c>
      <c r="S183" t="n">
        <v>100</v>
      </c>
      <c r="T183" t="n">
        <v>5.1111</v>
      </c>
      <c r="U183" t="n">
        <v>0</v>
      </c>
      <c r="V183" t="n">
        <v>0</v>
      </c>
      <c r="W183" t="n">
        <v>9.5</v>
      </c>
      <c r="X183" t="n">
        <v>0</v>
      </c>
      <c r="Y183" t="n">
        <v>0</v>
      </c>
      <c r="Z183" t="n">
        <v>230</v>
      </c>
      <c r="AA183" t="n">
        <v>22</v>
      </c>
      <c r="AB183" t="n">
        <v>0</v>
      </c>
      <c r="AC183" t="inlineStr">
        <is>
          <t>All</t>
        </is>
      </c>
      <c r="AD183" t="inlineStr"/>
      <c r="AE183" t="n">
        <v>1.2</v>
      </c>
      <c r="AF183" t="inlineStr">
        <is>
          <t>Small</t>
        </is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n">
        <v>12.7</v>
      </c>
      <c r="AO183" t="n">
        <v>0</v>
      </c>
      <c r="AP183" t="inlineStr">
        <is>
          <t>T0</t>
        </is>
      </c>
      <c r="AQ183" t="inlineStr">
        <is>
          <t>mg_jeep</t>
        </is>
      </c>
      <c r="AR183" t="inlineStr"/>
      <c r="AS183" t="inlineStr"/>
      <c r="AT183" t="inlineStr"/>
      <c r="AU183" t="n">
        <v>0</v>
      </c>
      <c r="AV183" t="inlineStr"/>
      <c r="AW183" t="n">
        <v>0</v>
      </c>
      <c r="AX183" t="b">
        <v>0</v>
      </c>
      <c r="AY183" t="inlineStr"/>
      <c r="AZ183">
        <f>IF(AND($AX$183,$AW$183&gt;$AA$183/$Z$183),$AW$183,$AA$183/$Z$183)</f>
        <v/>
      </c>
      <c r="BA183" t="n">
        <v>0.09565217391304348</v>
      </c>
      <c r="BB183" t="n">
        <v>600</v>
      </c>
      <c r="BC183" t="n">
        <v>40</v>
      </c>
      <c r="BD183" t="inlineStr">
        <is>
          <t>mg</t>
        </is>
      </c>
      <c r="BE183" t="inlineStr">
        <is>
          <t>US Army FM 3-22.65: cyclic 450-600, rapid 40 rpm</t>
        </is>
      </c>
      <c r="BG183" t="inlineStr">
        <is>
          <t>giong</t>
        </is>
      </c>
      <c r="DE183" t="n">
        <v>9.5</v>
      </c>
      <c r="DF183" t="inlineStr">
        <is>
          <t>Kinetic</t>
        </is>
      </c>
      <c r="DH183" t="b">
        <v>1</v>
      </c>
      <c r="DM183" t="inlineStr">
        <is>
          <t>any</t>
        </is>
      </c>
      <c r="DN183" t="inlineStr">
        <is>
          <t>BulletBig</t>
        </is>
      </c>
      <c r="DT183" t="inlineStr">
        <is>
          <t>mg_jeep</t>
        </is>
      </c>
      <c r="EB183" t="n">
        <v>2</v>
      </c>
      <c r="EE183" t="b">
        <v>1</v>
      </c>
      <c r="EQ183" t="inlineStr">
        <is>
          <t>M2 Browning 12.7 mm API</t>
        </is>
      </c>
      <c r="ES183" t="inlineStr">
        <is>
          <t>api</t>
        </is>
      </c>
      <c r="EU183" t="inlineStr">
        <is>
          <t>mg_jeep</t>
        </is>
      </c>
      <c r="GA183" t="inlineStr">
        <is>
          <t>m2_browning_12_7_mm_api</t>
        </is>
      </c>
      <c r="GD183" t="inlineStr">
        <is>
          <t>Assets/MachineBrigade/Resources/Data/balance.json: secondRounds.rounds[50]</t>
        </is>
      </c>
      <c r="GE183" t="inlineStr">
        <is>
          <t>{"id":"mg_jeep_api","roundOf":"mg_jeep","inherits":"mg_jeep","weaponFamily":"m2_browning_12_7_mm_api","round":"api","for":["any"],"elite":true,"real":"M2 Browning 12.7 mm API","damageType":"Kinetic","pen":2,"damage":9.5,"form":"BulletBig","piercing":true}</t>
        </is>
      </c>
    </row>
    <row r="184">
      <c r="A184" t="inlineStr">
        <is>
          <t>mg_jeep_selfdef</t>
        </is>
      </c>
      <c r="B184" t="inlineStr">
        <is>
          <t>M2 Browning 12.7 mm</t>
        </is>
      </c>
      <c r="C184" t="inlineStr">
        <is>
          <t>cal_12_7</t>
        </is>
      </c>
      <c r="D184" t="inlineStr"/>
      <c r="E184" t="inlineStr">
        <is>
          <t>m2_browning_12_7_mm</t>
        </is>
      </c>
      <c r="F184" t="inlineStr">
        <is>
          <t>mg</t>
        </is>
      </c>
      <c r="G184" t="n">
        <v>12.7</v>
      </c>
      <c r="H184" t="inlineStr"/>
      <c r="I184" t="inlineStr"/>
      <c r="J184" t="inlineStr"/>
      <c r="K184" t="inlineStr">
        <is>
          <t>Kinetic</t>
        </is>
      </c>
      <c r="L184" t="n">
        <v>1</v>
      </c>
      <c r="M184" t="inlineStr">
        <is>
          <t>Bullet</t>
        </is>
      </c>
      <c r="N184" t="n">
        <v>1</v>
      </c>
      <c r="O184" t="inlineStr">
        <is>
          <t>RIPPLE</t>
        </is>
      </c>
      <c r="P184" t="n">
        <v>1</v>
      </c>
      <c r="Q184" t="n">
        <v>0.1</v>
      </c>
      <c r="R184" t="n">
        <v>0.1111</v>
      </c>
      <c r="S184" t="n">
        <v>100</v>
      </c>
      <c r="T184" t="n">
        <v>5.1111</v>
      </c>
      <c r="U184" t="n">
        <v>0</v>
      </c>
      <c r="V184" t="n">
        <v>0</v>
      </c>
      <c r="W184" t="n">
        <v>9.5</v>
      </c>
      <c r="X184" t="n">
        <v>0</v>
      </c>
      <c r="Y184" t="n">
        <v>0</v>
      </c>
      <c r="Z184" t="n">
        <v>230</v>
      </c>
      <c r="AA184" t="n">
        <v>13</v>
      </c>
      <c r="AB184" t="n">
        <v>0</v>
      </c>
      <c r="AC184" t="inlineStr">
        <is>
          <t>All</t>
        </is>
      </c>
      <c r="AD184" t="inlineStr"/>
      <c r="AE184" t="n">
        <v>1.2</v>
      </c>
      <c r="AF184" t="inlineStr">
        <is>
          <t>Small</t>
        </is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n">
        <v>12.7</v>
      </c>
      <c r="AO184" t="n">
        <v>0</v>
      </c>
      <c r="AP184" t="inlineStr">
        <is>
          <t>T0</t>
        </is>
      </c>
      <c r="AQ184" t="inlineStr">
        <is>
          <t>mg_jeep</t>
        </is>
      </c>
      <c r="AR184" t="inlineStr">
        <is>
          <t>mg_jeep_selfdef_api</t>
        </is>
      </c>
      <c r="AS184" t="inlineStr">
        <is>
          <t>xe</t>
        </is>
      </c>
      <c r="AT184" t="inlineStr">
        <is>
          <t>rocket_technical</t>
        </is>
      </c>
      <c r="AU184" t="n">
        <v>1</v>
      </c>
      <c r="AV184" t="inlineStr">
        <is>
          <t>rocket_technical:1</t>
        </is>
      </c>
      <c r="AW184" t="n">
        <v>0</v>
      </c>
      <c r="AX184" t="b">
        <v>0</v>
      </c>
      <c r="AY184" t="inlineStr"/>
      <c r="AZ184">
        <f>IF(AND($AX$184,$AW$184&gt;$AA$184/$Z$184),$AW$184,$AA$184/$Z$184)</f>
        <v/>
      </c>
      <c r="BA184" t="n">
        <v>0.05652173913043478</v>
      </c>
      <c r="BB184" t="n">
        <v>600</v>
      </c>
      <c r="BC184" t="n">
        <v>40</v>
      </c>
      <c r="BD184" t="inlineStr">
        <is>
          <t>mg</t>
        </is>
      </c>
      <c r="BE184" t="inlineStr">
        <is>
          <t>US Army FM 3-22.65: cyclic 450-600, rapid 40 rpm</t>
        </is>
      </c>
      <c r="BG184" t="inlineStr">
        <is>
          <t>giong</t>
        </is>
      </c>
      <c r="DT184" t="inlineStr">
        <is>
          <t>mg_jeep</t>
        </is>
      </c>
      <c r="EP184" t="n">
        <v>13</v>
      </c>
      <c r="GA184" t="inlineStr">
        <is>
          <t>m2_browning_12_7_mm</t>
        </is>
      </c>
      <c r="GD184" t="inlineStr">
        <is>
          <t>Assets/MachineBrigade/Resources/Data/balance.json: weapons[6]</t>
        </is>
      </c>
      <c r="GE184" t="inlineStr">
        <is>
          <t>{"id":"mg_jeep_selfdef","weaponFamily":"m2_browning_12_7_mm","inherits":"mg_jeep","range":13}</t>
        </is>
      </c>
    </row>
    <row r="185">
      <c r="A185" t="inlineStr">
        <is>
          <t>mg_jeep_selfdef_api</t>
        </is>
      </c>
      <c r="B185" t="inlineStr">
        <is>
          <t>M2 Browning 12.7 mm API</t>
        </is>
      </c>
      <c r="C185" t="inlineStr">
        <is>
          <t>cal_12_7</t>
        </is>
      </c>
      <c r="D185" t="inlineStr"/>
      <c r="E185" t="inlineStr">
        <is>
          <t>m2_browning_12_7_mm_api</t>
        </is>
      </c>
      <c r="F185" t="inlineStr">
        <is>
          <t>mg</t>
        </is>
      </c>
      <c r="G185" t="n">
        <v>12.7</v>
      </c>
      <c r="H185" t="inlineStr"/>
      <c r="I185" t="inlineStr"/>
      <c r="J185" t="inlineStr"/>
      <c r="K185" t="inlineStr">
        <is>
          <t>Kinetic</t>
        </is>
      </c>
      <c r="L185" t="n">
        <v>2</v>
      </c>
      <c r="M185" t="inlineStr">
        <is>
          <t>Bullet</t>
        </is>
      </c>
      <c r="N185" t="n">
        <v>1</v>
      </c>
      <c r="O185" t="inlineStr">
        <is>
          <t>RIPPLE</t>
        </is>
      </c>
      <c r="P185" t="n">
        <v>1</v>
      </c>
      <c r="Q185" t="n">
        <v>0.1</v>
      </c>
      <c r="R185" t="n">
        <v>0.1111</v>
      </c>
      <c r="S185" t="n">
        <v>100</v>
      </c>
      <c r="T185" t="n">
        <v>5.1111</v>
      </c>
      <c r="U185" t="n">
        <v>0</v>
      </c>
      <c r="V185" t="n">
        <v>0</v>
      </c>
      <c r="W185" t="n">
        <v>9.5</v>
      </c>
      <c r="X185" t="n">
        <v>0</v>
      </c>
      <c r="Y185" t="n">
        <v>0</v>
      </c>
      <c r="Z185" t="n">
        <v>230</v>
      </c>
      <c r="AA185" t="n">
        <v>13</v>
      </c>
      <c r="AB185" t="n">
        <v>0</v>
      </c>
      <c r="AC185" t="inlineStr">
        <is>
          <t>All</t>
        </is>
      </c>
      <c r="AD185" t="inlineStr"/>
      <c r="AE185" t="n">
        <v>1.2</v>
      </c>
      <c r="AF185" t="inlineStr">
        <is>
          <t>Small</t>
        </is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n">
        <v>12.7</v>
      </c>
      <c r="AO185" t="n">
        <v>0</v>
      </c>
      <c r="AP185" t="inlineStr">
        <is>
          <t>T0</t>
        </is>
      </c>
      <c r="AQ185" t="inlineStr">
        <is>
          <t>mg_jeep_selfdef</t>
        </is>
      </c>
      <c r="AR185" t="inlineStr"/>
      <c r="AS185" t="inlineStr"/>
      <c r="AT185" t="inlineStr"/>
      <c r="AU185" t="n">
        <v>0</v>
      </c>
      <c r="AV185" t="inlineStr"/>
      <c r="AW185" t="n">
        <v>0</v>
      </c>
      <c r="AX185" t="b">
        <v>0</v>
      </c>
      <c r="AY185" t="inlineStr"/>
      <c r="AZ185">
        <f>IF(AND($AX$185,$AW$185&gt;$AA$185/$Z$185),$AW$185,$AA$185/$Z$185)</f>
        <v/>
      </c>
      <c r="BA185" t="n">
        <v>0.05652173913043478</v>
      </c>
      <c r="BB185" t="n">
        <v>600</v>
      </c>
      <c r="BC185" t="n">
        <v>40</v>
      </c>
      <c r="BD185" t="inlineStr">
        <is>
          <t>mg</t>
        </is>
      </c>
      <c r="BE185" t="inlineStr">
        <is>
          <t>US Army FM 3-22.65: cyclic 450-600, rapid 40 rpm</t>
        </is>
      </c>
      <c r="BG185" t="inlineStr">
        <is>
          <t>giong</t>
        </is>
      </c>
      <c r="DE185" t="n">
        <v>9.5</v>
      </c>
      <c r="DF185" t="inlineStr">
        <is>
          <t>Kinetic</t>
        </is>
      </c>
      <c r="DH185" t="b">
        <v>1</v>
      </c>
      <c r="DM185" t="inlineStr">
        <is>
          <t>any</t>
        </is>
      </c>
      <c r="DN185" t="inlineStr">
        <is>
          <t>BulletBig</t>
        </is>
      </c>
      <c r="DT185" t="inlineStr">
        <is>
          <t>mg_jeep_selfdef</t>
        </is>
      </c>
      <c r="EB185" t="n">
        <v>2</v>
      </c>
      <c r="EE185" t="b">
        <v>1</v>
      </c>
      <c r="EQ185" t="inlineStr">
        <is>
          <t>M2 Browning 12.7 mm API</t>
        </is>
      </c>
      <c r="ES185" t="inlineStr">
        <is>
          <t>api</t>
        </is>
      </c>
      <c r="EU185" t="inlineStr">
        <is>
          <t>mg_jeep_selfdef</t>
        </is>
      </c>
      <c r="GA185" t="inlineStr">
        <is>
          <t>m2_browning_12_7_mm_api</t>
        </is>
      </c>
      <c r="GD185" t="inlineStr">
        <is>
          <t>Assets/MachineBrigade/Resources/Data/balance.json: secondRounds.rounds[51]</t>
        </is>
      </c>
      <c r="GE185" t="inlineStr">
        <is>
          <t>{"id":"mg_jeep_selfdef_api","roundOf":"mg_jeep_selfdef","inherits":"mg_jeep_selfdef","weaponFamily":"m2_browning_12_7_mm_api","round":"api","for":["any"],"elite":true,"real":"M2 Browning 12.7 mm API","damageType":"Kinetic","pen":2,"damage":9.5,"form":"BulletBig","piercing":true}</t>
        </is>
      </c>
    </row>
    <row r="186">
      <c r="A186" t="inlineStr">
        <is>
          <t>minigun</t>
        </is>
      </c>
      <c r="B186" t="inlineStr">
        <is>
          <t>M134 Minigun 7.62 mm</t>
        </is>
      </c>
      <c r="C186" t="inlineStr">
        <is>
          <t>cal_7_62</t>
        </is>
      </c>
      <c r="D186" t="inlineStr"/>
      <c r="E186" t="inlineStr"/>
      <c r="F186" t="inlineStr">
        <is>
          <t>mg</t>
        </is>
      </c>
      <c r="G186" t="n">
        <v>7.62</v>
      </c>
      <c r="H186" t="inlineStr"/>
      <c r="I186" t="inlineStr"/>
      <c r="J186" t="inlineStr"/>
      <c r="K186" t="inlineStr">
        <is>
          <t>Kinetic</t>
        </is>
      </c>
      <c r="L186" t="n">
        <v>0</v>
      </c>
      <c r="M186" t="inlineStr">
        <is>
          <t>Bullet</t>
        </is>
      </c>
      <c r="N186" t="n">
        <v>1</v>
      </c>
      <c r="O186" t="inlineStr">
        <is>
          <t>RIPPLE</t>
        </is>
      </c>
      <c r="P186" t="n">
        <v>1</v>
      </c>
      <c r="Q186" t="n">
        <v>0.1</v>
      </c>
      <c r="R186" t="n">
        <v>0.02</v>
      </c>
      <c r="S186" t="n">
        <v>200</v>
      </c>
      <c r="T186" t="n">
        <v>4.02</v>
      </c>
      <c r="U186" t="n">
        <v>0</v>
      </c>
      <c r="V186" t="n">
        <v>0</v>
      </c>
      <c r="W186" t="n">
        <v>5.5</v>
      </c>
      <c r="X186" t="n">
        <v>0</v>
      </c>
      <c r="Y186" t="n">
        <v>0</v>
      </c>
      <c r="Z186" t="n">
        <v>240</v>
      </c>
      <c r="AA186" t="n">
        <v>24</v>
      </c>
      <c r="AB186" t="n">
        <v>0</v>
      </c>
      <c r="AC186" t="inlineStr">
        <is>
          <t>All</t>
        </is>
      </c>
      <c r="AD186" t="inlineStr"/>
      <c r="AE186" t="n">
        <v>1.4</v>
      </c>
      <c r="AF186" t="inlineStr">
        <is>
          <t>Small</t>
        </is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n">
        <v>7.62</v>
      </c>
      <c r="AO186" t="n">
        <v>0</v>
      </c>
      <c r="AP186" t="inlineStr">
        <is>
          <t>T0</t>
        </is>
      </c>
      <c r="AQ186" t="inlineStr"/>
      <c r="AR186" t="inlineStr"/>
      <c r="AS186" t="inlineStr">
        <is>
          <t>boss;xe</t>
        </is>
      </c>
      <c r="AT186" t="inlineStr">
        <is>
          <t>mega_gunship;scout_heli</t>
        </is>
      </c>
      <c r="AU186" t="n">
        <v>2</v>
      </c>
      <c r="AV186" t="inlineStr">
        <is>
          <t>mega_gunship:other;scout_heli:0</t>
        </is>
      </c>
      <c r="AW186" t="n">
        <v>0</v>
      </c>
      <c r="AX186" t="b">
        <v>0</v>
      </c>
      <c r="AY186" t="inlineStr"/>
      <c r="AZ186">
        <f>IF(AND($AX$186,$AW$186&gt;$AA$186/$Z$186),$AW$186,$AA$186/$Z$186)</f>
        <v/>
      </c>
      <c r="BA186" t="n">
        <v>0.1</v>
      </c>
      <c r="BB186" t="n">
        <v>6000</v>
      </c>
      <c r="BC186" t="inlineStr"/>
      <c r="BD186" t="inlineStr">
        <is>
          <t>mg</t>
        </is>
      </c>
      <c r="BE186" t="inlineStr">
        <is>
          <t>Wikipedia 'M134 Minigun': 2,000-6,000 rpm (3,000 on helicopters)</t>
        </is>
      </c>
      <c r="BG186" t="inlineStr">
        <is>
          <t>giong</t>
        </is>
      </c>
      <c r="CT186" t="n">
        <v>7.62</v>
      </c>
      <c r="CW186" t="n">
        <v>200</v>
      </c>
      <c r="CX186" t="n">
        <v>4.02</v>
      </c>
      <c r="DD186" t="n">
        <v>0.02</v>
      </c>
      <c r="DE186" t="n">
        <v>5.5</v>
      </c>
      <c r="DF186" t="inlineStr">
        <is>
          <t>Kinetic</t>
        </is>
      </c>
      <c r="DJ186" t="inlineStr">
        <is>
          <t>mg</t>
        </is>
      </c>
      <c r="DS186" t="inlineStr">
        <is>
          <t>Small</t>
        </is>
      </c>
      <c r="EB186" t="n">
        <v>0</v>
      </c>
      <c r="EH186" t="inlineStr">
        <is>
          <t>Bullet</t>
        </is>
      </c>
      <c r="EK186" t="n">
        <v>240</v>
      </c>
      <c r="EP186" t="n">
        <v>24</v>
      </c>
      <c r="EQ186" t="inlineStr">
        <is>
          <t>M134 Minigun 7.62 mm</t>
        </is>
      </c>
      <c r="EV186" t="n">
        <v>7</v>
      </c>
      <c r="EX186" t="n">
        <v>7.62</v>
      </c>
      <c r="EZ186" t="n">
        <v>1.4</v>
      </c>
      <c r="FW186" t="inlineStr">
        <is>
          <t>All</t>
        </is>
      </c>
      <c r="GB186" t="inlineStr">
        <is>
          <t>cal_7_62</t>
        </is>
      </c>
      <c r="GD186" t="inlineStr">
        <is>
          <t>Assets/MachineBrigade/Resources/Data/balance.json: weapons[36]</t>
        </is>
      </c>
      <c r="GE186" t="inlineStr">
        <is>
          <t>{"id":"minigun","weaponFamilyId":"cal_7_62","real":"M134 Minigun 7.62 mm","family":"mg","size":7.62,"caliberMm":7.62,"pen":0,"damageType":"Kinetic","damage":5.5,"cooldown":0.02,"range":24,"projectileSpeed":240,"spread":1.4,"impactTier":"Small","projectile":"Bullet","targets":"All","roundWeight":7,"clip":200,"clipReload":4.02}</t>
        </is>
      </c>
    </row>
    <row r="187">
      <c r="A187" t="inlineStr">
        <is>
          <t>missile_57e6</t>
        </is>
      </c>
      <c r="B187" t="inlineStr">
        <is>
          <t>57E6 (Pantsir)</t>
        </is>
      </c>
      <c r="C187" t="inlineStr">
        <is>
          <t>sam_57e6</t>
        </is>
      </c>
      <c r="D187" t="inlineStr"/>
      <c r="E187" t="inlineStr"/>
      <c r="F187" t="inlineStr">
        <is>
          <t>aa_missile</t>
        </is>
      </c>
      <c r="G187" t="inlineStr"/>
      <c r="H187" t="n">
        <v>20</v>
      </c>
      <c r="I187" t="inlineStr"/>
      <c r="J187" t="inlineStr"/>
      <c r="K187" t="inlineStr">
        <is>
          <t>Fragmentation</t>
        </is>
      </c>
      <c r="L187" t="n">
        <v>3</v>
      </c>
      <c r="M187" t="inlineStr">
        <is>
          <t>Missile</t>
        </is>
      </c>
      <c r="N187" t="n">
        <v>1</v>
      </c>
      <c r="O187" t="inlineStr">
        <is>
          <t>RIPPLE</t>
        </is>
      </c>
      <c r="P187" t="n">
        <v>1</v>
      </c>
      <c r="Q187" t="n">
        <v>0.1</v>
      </c>
      <c r="R187" t="n">
        <v>4.452</v>
      </c>
      <c r="S187" t="n">
        <v>0</v>
      </c>
      <c r="T187" t="n">
        <v>0</v>
      </c>
      <c r="U187" t="n">
        <v>0</v>
      </c>
      <c r="V187" t="n">
        <v>0</v>
      </c>
      <c r="W187" t="n">
        <v>220</v>
      </c>
      <c r="X187" t="n">
        <v>2.5</v>
      </c>
      <c r="Y187" t="n">
        <v>0</v>
      </c>
      <c r="Z187" t="n">
        <v>300</v>
      </c>
      <c r="AA187" t="n">
        <v>55</v>
      </c>
      <c r="AB187" t="n">
        <v>0</v>
      </c>
      <c r="AC187" t="inlineStr">
        <is>
          <t>Air</t>
        </is>
      </c>
      <c r="AD187" t="inlineStr"/>
      <c r="AE187" t="n">
        <v>0</v>
      </c>
      <c r="AF187" t="inlineStr">
        <is>
          <t>Medium</t>
        </is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n">
        <v>7</v>
      </c>
      <c r="AO187" t="n">
        <v>0</v>
      </c>
      <c r="AP187" t="inlineStr">
        <is>
          <t>T2</t>
        </is>
      </c>
      <c r="AQ187" t="inlineStr"/>
      <c r="AR187" t="inlineStr"/>
      <c r="AS187" t="inlineStr">
        <is>
          <t>xe</t>
        </is>
      </c>
      <c r="AT187" t="inlineStr">
        <is>
          <t>heavy_aa</t>
        </is>
      </c>
      <c r="AU187" t="n">
        <v>1</v>
      </c>
      <c r="AV187" t="inlineStr">
        <is>
          <t>heavy_aa:1</t>
        </is>
      </c>
      <c r="AW187" t="n">
        <v>0</v>
      </c>
      <c r="AX187" t="b">
        <v>0</v>
      </c>
      <c r="AY187" t="inlineStr"/>
      <c r="AZ187">
        <f>IF(AND($AX$187,$AW$187&gt;$AA$187/$Z$187),$AW$187,$AA$187/$Z$187)</f>
        <v/>
      </c>
      <c r="BA187" t="n">
        <v>0.1833333333333333</v>
      </c>
      <c r="BB187" t="n">
        <v>40</v>
      </c>
      <c r="BC187" t="n">
        <v>12</v>
      </c>
      <c r="BD187" t="inlineStr">
        <is>
          <t>missile</t>
        </is>
      </c>
      <c r="BE187" t="inlineStr">
        <is>
          <t>Wikipedia 'Pantsir': 2 missiles ~1.5 s apart (est.)</t>
        </is>
      </c>
      <c r="BG187" t="inlineStr">
        <is>
          <t>doi</t>
        </is>
      </c>
      <c r="BR187" t="n">
        <v>55</v>
      </c>
      <c r="BS187" t="n">
        <v>300</v>
      </c>
      <c r="DD187" t="n">
        <v>4.452</v>
      </c>
      <c r="DE187" t="n">
        <v>220</v>
      </c>
      <c r="DF187" t="inlineStr">
        <is>
          <t>Fragmentation</t>
        </is>
      </c>
      <c r="DJ187" t="inlineStr">
        <is>
          <t>aa_missile</t>
        </is>
      </c>
      <c r="DK187" t="n">
        <v>0.8</v>
      </c>
      <c r="DS187" t="inlineStr">
        <is>
          <t>Medium</t>
        </is>
      </c>
      <c r="EB187" t="n">
        <v>3</v>
      </c>
      <c r="EH187" t="inlineStr">
        <is>
          <t>Missile</t>
        </is>
      </c>
      <c r="EI187" t="inlineStr">
        <is>
          <t>shorad_dart</t>
        </is>
      </c>
      <c r="EJ187" t="n">
        <v>0.85</v>
      </c>
      <c r="EK187" t="n">
        <v>300</v>
      </c>
      <c r="EP187" t="n">
        <v>55</v>
      </c>
      <c r="EQ187" t="inlineStr">
        <is>
          <t>57E6 (Pantsir)</t>
        </is>
      </c>
      <c r="EX187" t="n">
        <v>7</v>
      </c>
      <c r="EY187" t="n">
        <v>2.5</v>
      </c>
      <c r="FW187" t="inlineStr">
        <is>
          <t>Air</t>
        </is>
      </c>
      <c r="FZ187" t="n">
        <v>20</v>
      </c>
      <c r="GB187" t="inlineStr">
        <is>
          <t>sam_57e6</t>
        </is>
      </c>
      <c r="GD187" t="inlineStr">
        <is>
          <t>Assets/MachineBrigade/Resources/Data/balance.json: weapons[22]</t>
        </is>
      </c>
      <c r="GE187" t="inlineStr">
        <is>
          <t>{"id":"missile_57e6","weaponFamilyId":"sam_57e6","real":"57E6 (Pantsir)","family":"aa_missile","size":7,"warheadKg":20,"pen":3,"projectileModel":"shorad_dart","projectileScale":0.85,"damageType":"Fragmentation","damage":220,"cooldown":4.452,"range":55,"projectileSpeed":300,"splash":2.5,"impactTier":"Medium","projectile":"Missile","targets":"Air","flareResist":0.8}</t>
        </is>
      </c>
    </row>
    <row r="188">
      <c r="A188" t="inlineStr">
        <is>
          <t>mlrs_elite</t>
        </is>
      </c>
      <c r="B188" t="inlineStr">
        <is>
          <t>M30 GMLRS 227 mm (cluster)</t>
        </is>
      </c>
      <c r="C188" t="inlineStr">
        <is>
          <t>rkt_gmlrs_227</t>
        </is>
      </c>
      <c r="D188" t="inlineStr">
        <is>
          <t>cluster</t>
        </is>
      </c>
      <c r="E188" t="inlineStr"/>
      <c r="F188" t="inlineStr">
        <is>
          <t>rocket</t>
        </is>
      </c>
      <c r="G188" t="n">
        <v>227</v>
      </c>
      <c r="H188" t="inlineStr"/>
      <c r="I188" t="inlineStr"/>
      <c r="J188" t="inlineStr"/>
      <c r="K188" t="inlineStr">
        <is>
          <t>HighExplosive</t>
        </is>
      </c>
      <c r="L188" t="n">
        <v>3</v>
      </c>
      <c r="M188" t="inlineStr">
        <is>
          <t>Rocket</t>
        </is>
      </c>
      <c r="N188" t="n">
        <v>1</v>
      </c>
      <c r="O188" t="inlineStr">
        <is>
          <t>RIPPLE</t>
        </is>
      </c>
      <c r="P188" t="n">
        <v>5</v>
      </c>
      <c r="Q188" t="n">
        <v>0.14</v>
      </c>
      <c r="R188" t="n">
        <v>9.686</v>
      </c>
      <c r="S188" t="n">
        <v>0</v>
      </c>
      <c r="T188" t="n">
        <v>0</v>
      </c>
      <c r="U188" t="n">
        <v>6</v>
      </c>
      <c r="V188" t="n">
        <v>19.93</v>
      </c>
      <c r="W188" t="n">
        <v>105</v>
      </c>
      <c r="X188" t="n">
        <v>5</v>
      </c>
      <c r="Y188" t="n">
        <v>0</v>
      </c>
      <c r="Z188" t="n">
        <v>140</v>
      </c>
      <c r="AA188" t="n">
        <v>75</v>
      </c>
      <c r="AB188" t="n">
        <v>20</v>
      </c>
      <c r="AC188" t="inlineStr">
        <is>
          <t>Ground</t>
        </is>
      </c>
      <c r="AD188" t="inlineStr"/>
      <c r="AE188" t="n">
        <v>5</v>
      </c>
      <c r="AF188" t="inlineStr">
        <is>
          <t>Large</t>
        </is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n">
        <v>227</v>
      </c>
      <c r="AO188" t="n">
        <v>0</v>
      </c>
      <c r="AP188" t="inlineStr">
        <is>
          <t>T4</t>
        </is>
      </c>
      <c r="AQ188" t="inlineStr"/>
      <c r="AR188" t="inlineStr"/>
      <c r="AS188" t="inlineStr">
        <is>
          <t>xe</t>
        </is>
      </c>
      <c r="AT188" t="inlineStr">
        <is>
          <t>elite_mlrs</t>
        </is>
      </c>
      <c r="AU188" t="n">
        <v>1</v>
      </c>
      <c r="AV188" t="inlineStr">
        <is>
          <t>elite_mlrs:0</t>
        </is>
      </c>
      <c r="AW188" t="n">
        <v>2.5</v>
      </c>
      <c r="AX188" t="b">
        <v>1</v>
      </c>
      <c r="AY188" t="inlineStr"/>
      <c r="AZ188">
        <f>IF(AND($AX$188,$AW$188&gt;$AA$188/$Z$188),$AW$188,$AA$188/$Z$188)</f>
        <v/>
      </c>
      <c r="BA188" t="n">
        <v>2.5</v>
      </c>
      <c r="BB188" t="n">
        <v>12</v>
      </c>
      <c r="BC188" t="inlineStr"/>
      <c r="BD188" t="inlineStr">
        <is>
          <t>rocket</t>
        </is>
      </c>
      <c r="BE188" t="inlineStr">
        <is>
          <t>Wikipedia 'M270 MLRS': 12 rockets in under a minute</t>
        </is>
      </c>
      <c r="BG188" t="inlineStr">
        <is>
          <t>doi</t>
        </is>
      </c>
      <c r="BR188" t="n">
        <v>50</v>
      </c>
      <c r="BS188" t="n">
        <v>140</v>
      </c>
      <c r="CN188" t="n">
        <v>6</v>
      </c>
      <c r="CR188" t="n">
        <v>5</v>
      </c>
      <c r="CS188" t="n">
        <v>0.14</v>
      </c>
      <c r="CT188" t="n">
        <v>227</v>
      </c>
      <c r="CY188" t="n">
        <v>5</v>
      </c>
      <c r="CZ188" t="n">
        <v>6</v>
      </c>
      <c r="DA188" t="n">
        <v>6</v>
      </c>
      <c r="DB188" t="n">
        <v>2.6</v>
      </c>
      <c r="DC188" t="inlineStr">
        <is>
          <t>Small</t>
        </is>
      </c>
      <c r="DD188" t="n">
        <v>9.686</v>
      </c>
      <c r="DE188" t="n">
        <v>105</v>
      </c>
      <c r="DF188" t="inlineStr">
        <is>
          <t>HighExplosive</t>
        </is>
      </c>
      <c r="DJ188" t="inlineStr">
        <is>
          <t>rocket</t>
        </is>
      </c>
      <c r="DS188" t="inlineStr">
        <is>
          <t>Large</t>
        </is>
      </c>
      <c r="DZ188" t="n">
        <v>20</v>
      </c>
      <c r="EB188" t="n">
        <v>3</v>
      </c>
      <c r="EH188" t="inlineStr">
        <is>
          <t>Rocket</t>
        </is>
      </c>
      <c r="EI188" t="inlineStr">
        <is>
          <t>gmlrs</t>
        </is>
      </c>
      <c r="EK188" t="n">
        <v>140</v>
      </c>
      <c r="EP188" t="n">
        <v>75</v>
      </c>
      <c r="EQ188" t="inlineStr">
        <is>
          <t>M30 GMLRS 227 mm (cluster)</t>
        </is>
      </c>
      <c r="ER188" t="n">
        <v>19.93</v>
      </c>
      <c r="EX188" t="n">
        <v>227</v>
      </c>
      <c r="EY188" t="n">
        <v>5</v>
      </c>
      <c r="EZ188" t="n">
        <v>5</v>
      </c>
      <c r="GB188" t="inlineStr">
        <is>
          <t>rkt_gmlrs_227</t>
        </is>
      </c>
      <c r="GC188" t="inlineStr">
        <is>
          <t>cluster</t>
        </is>
      </c>
      <c r="GD188" t="inlineStr">
        <is>
          <t>Assets/MachineBrigade/Resources/Data/balance.json: weapons[98]</t>
        </is>
      </c>
      <c r="GE188" t="inlineStr">
        <is>
          <t>{"id":"mlrs_elite","weaponFamilyId":"rkt_gmlrs_227","weaponVariantId":"cluster","real":"M30 GMLRS 227 mm (cluster)","family":"rocket","size":227,"caliberMm":227,"pen":3,"reload":19.93,"projectileModel":"gmlrs","damageType":"HighExplosive","damage":105,"cooldown":9.686,"range":75,"minRange":20,"projectileSpeed":140,"splash":5,"spread":5,"impactTier":"Large","projectile":"Rocket","burst":5,"burstInterval":0.14,"ammo":6,"cluster":{"count":5,"radius":6,"damage":6,"splash":2.6,"tier":"Small"}}</t>
        </is>
      </c>
    </row>
    <row r="189">
      <c r="A189" t="inlineStr">
        <is>
          <t>mlrs_rockets</t>
        </is>
      </c>
      <c r="B189" t="inlineStr">
        <is>
          <t>M31 GMLRS 227 mm</t>
        </is>
      </c>
      <c r="C189" t="inlineStr">
        <is>
          <t>rkt_gmlrs_227</t>
        </is>
      </c>
      <c r="D189" t="inlineStr"/>
      <c r="E189" t="inlineStr">
        <is>
          <t>m31_gmlrs_227_mm</t>
        </is>
      </c>
      <c r="F189" t="inlineStr">
        <is>
          <t>rocket</t>
        </is>
      </c>
      <c r="G189" t="n">
        <v>227</v>
      </c>
      <c r="H189" t="inlineStr"/>
      <c r="I189" t="inlineStr"/>
      <c r="J189" t="inlineStr"/>
      <c r="K189" t="inlineStr">
        <is>
          <t>HighExplosive</t>
        </is>
      </c>
      <c r="L189" t="n">
        <v>3</v>
      </c>
      <c r="M189" t="inlineStr">
        <is>
          <t>Rocket</t>
        </is>
      </c>
      <c r="N189" t="n">
        <v>1</v>
      </c>
      <c r="O189" t="inlineStr">
        <is>
          <t>RIPPLE</t>
        </is>
      </c>
      <c r="P189" t="n">
        <v>5</v>
      </c>
      <c r="Q189" t="n">
        <v>0.3</v>
      </c>
      <c r="R189" t="n">
        <v>9.944000000000001</v>
      </c>
      <c r="S189" t="n">
        <v>0</v>
      </c>
      <c r="T189" t="n">
        <v>0</v>
      </c>
      <c r="U189" t="n">
        <v>4</v>
      </c>
      <c r="V189" t="n">
        <v>15.53</v>
      </c>
      <c r="W189" t="n">
        <v>100</v>
      </c>
      <c r="X189" t="n">
        <v>4.5</v>
      </c>
      <c r="Y189" t="n">
        <v>0</v>
      </c>
      <c r="Z189" t="n">
        <v>140</v>
      </c>
      <c r="AA189" t="n">
        <v>110</v>
      </c>
      <c r="AB189" t="n">
        <v>20</v>
      </c>
      <c r="AC189" t="inlineStr">
        <is>
          <t>Ground</t>
        </is>
      </c>
      <c r="AD189" t="inlineStr"/>
      <c r="AE189" t="n">
        <v>2.2</v>
      </c>
      <c r="AF189" t="inlineStr">
        <is>
          <t>Large</t>
        </is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n">
        <v>227</v>
      </c>
      <c r="AO189" t="n">
        <v>0</v>
      </c>
      <c r="AP189" t="inlineStr">
        <is>
          <t>T4</t>
        </is>
      </c>
      <c r="AQ189" t="inlineStr"/>
      <c r="AR189" t="inlineStr"/>
      <c r="AS189" t="inlineStr">
        <is>
          <t>xe</t>
        </is>
      </c>
      <c r="AT189" t="inlineStr">
        <is>
          <t>mlrs</t>
        </is>
      </c>
      <c r="AU189" t="n">
        <v>1</v>
      </c>
      <c r="AV189" t="inlineStr">
        <is>
          <t>mlrs:0</t>
        </is>
      </c>
      <c r="AW189" t="n">
        <v>2.5</v>
      </c>
      <c r="AX189" t="b">
        <v>1</v>
      </c>
      <c r="AY189" t="inlineStr"/>
      <c r="AZ189">
        <f>IF(AND($AX$189,$AW$189&gt;$AA$189/$Z$189),$AW$189,$AA$189/$Z$189)</f>
        <v/>
      </c>
      <c r="BA189" t="n">
        <v>2.5</v>
      </c>
      <c r="BB189" t="n">
        <v>12</v>
      </c>
      <c r="BC189" t="inlineStr"/>
      <c r="BD189" t="inlineStr">
        <is>
          <t>rocket</t>
        </is>
      </c>
      <c r="BE189" t="inlineStr">
        <is>
          <t>Wikipedia 'M270 MLRS': 12 rockets in under a minute</t>
        </is>
      </c>
      <c r="BG189" t="inlineStr">
        <is>
          <t>doi</t>
        </is>
      </c>
      <c r="BR189" t="n">
        <v>50</v>
      </c>
      <c r="BS189" t="n">
        <v>140</v>
      </c>
      <c r="CN189" t="n">
        <v>4</v>
      </c>
      <c r="CR189" t="n">
        <v>5</v>
      </c>
      <c r="CS189" t="n">
        <v>0.3</v>
      </c>
      <c r="CT189" t="n">
        <v>227</v>
      </c>
      <c r="DD189" t="n">
        <v>9.944000000000001</v>
      </c>
      <c r="DE189" t="n">
        <v>100</v>
      </c>
      <c r="DF189" t="inlineStr">
        <is>
          <t>HighExplosive</t>
        </is>
      </c>
      <c r="DJ189" t="inlineStr">
        <is>
          <t>rocket</t>
        </is>
      </c>
      <c r="DS189" t="inlineStr">
        <is>
          <t>Large</t>
        </is>
      </c>
      <c r="DZ189" t="n">
        <v>20</v>
      </c>
      <c r="EB189" t="n">
        <v>3</v>
      </c>
      <c r="EH189" t="inlineStr">
        <is>
          <t>Rocket</t>
        </is>
      </c>
      <c r="EP189" t="n">
        <v>110</v>
      </c>
      <c r="EQ189" t="inlineStr">
        <is>
          <t>M31 GMLRS 227 mm</t>
        </is>
      </c>
      <c r="ER189" t="n">
        <v>15.53</v>
      </c>
      <c r="EX189" t="n">
        <v>227</v>
      </c>
      <c r="EZ189" t="n">
        <v>2.2</v>
      </c>
      <c r="GA189" t="inlineStr">
        <is>
          <t>m31_gmlrs_227_mm</t>
        </is>
      </c>
      <c r="GB189" t="inlineStr">
        <is>
          <t>rkt_gmlrs_227</t>
        </is>
      </c>
      <c r="GD189" t="inlineStr">
        <is>
          <t>Assets/MachineBrigade/Resources/Data/balance.json: weapons[18]</t>
        </is>
      </c>
      <c r="GE189" t="inlineStr">
        <is>
          <t>{"id":"mlrs_rockets","weaponFamilyId":"rkt_gmlrs_227","weaponFamily":"m31_gmlrs_227_mm","real":"M31 GMLRS 227 mm","family":"rocket","size":227,"caliberMm":227,"pen":3,"damageType":"HighExplosive","damage":100,"cooldown":9.944,"range":110,"minRange":20,"spread":2.2,"impactTier":"Large","projectile":"Rocket","burst":5,"burstInterval":0.3,"ammo":4,"reload":15.53}</t>
        </is>
      </c>
    </row>
    <row r="190">
      <c r="A190" t="inlineStr">
        <is>
          <t>mortar_120</t>
        </is>
      </c>
      <c r="B190" t="inlineStr">
        <is>
          <t>2B11 120 mm</t>
        </is>
      </c>
      <c r="C190" t="inlineStr">
        <is>
          <t>cal_120_he</t>
        </is>
      </c>
      <c r="D190" t="inlineStr">
        <is>
          <t>mortar</t>
        </is>
      </c>
      <c r="E190" t="inlineStr">
        <is>
          <t>2b11_120_mm</t>
        </is>
      </c>
      <c r="F190" t="inlineStr">
        <is>
          <t>mortar</t>
        </is>
      </c>
      <c r="G190" t="n">
        <v>120</v>
      </c>
      <c r="H190" t="inlineStr"/>
      <c r="I190" t="inlineStr"/>
      <c r="J190" t="inlineStr"/>
      <c r="K190" t="inlineStr">
        <is>
          <t>HighExplosive</t>
        </is>
      </c>
      <c r="L190" t="n">
        <v>2</v>
      </c>
      <c r="M190" t="inlineStr">
        <is>
          <t>Shell</t>
        </is>
      </c>
      <c r="N190" t="n">
        <v>1</v>
      </c>
      <c r="O190" t="inlineStr">
        <is>
          <t>RIPPLE</t>
        </is>
      </c>
      <c r="P190" t="n">
        <v>1</v>
      </c>
      <c r="Q190" t="n">
        <v>0.1</v>
      </c>
      <c r="R190" t="n">
        <v>7.143</v>
      </c>
      <c r="S190" t="n">
        <v>0</v>
      </c>
      <c r="T190" t="n">
        <v>0</v>
      </c>
      <c r="U190" t="n">
        <v>18</v>
      </c>
      <c r="V190" t="n">
        <v>35.73</v>
      </c>
      <c r="W190" t="n">
        <v>214</v>
      </c>
      <c r="X190" t="n">
        <v>5</v>
      </c>
      <c r="Y190" t="n">
        <v>0</v>
      </c>
      <c r="Z190" t="n">
        <v>60</v>
      </c>
      <c r="AA190" t="n">
        <v>55</v>
      </c>
      <c r="AB190" t="n">
        <v>10</v>
      </c>
      <c r="AC190" t="inlineStr">
        <is>
          <t>Ground</t>
        </is>
      </c>
      <c r="AD190" t="inlineStr"/>
      <c r="AE190" t="n">
        <v>4.5</v>
      </c>
      <c r="AF190" t="inlineStr">
        <is>
          <t>Large</t>
        </is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n">
        <v>120</v>
      </c>
      <c r="AO190" t="n">
        <v>0</v>
      </c>
      <c r="AP190" t="inlineStr">
        <is>
          <t>T3</t>
        </is>
      </c>
      <c r="AQ190" t="inlineStr"/>
      <c r="AR190" t="inlineStr"/>
      <c r="AS190" t="inlineStr">
        <is>
          <t>xe</t>
        </is>
      </c>
      <c r="AT190" t="inlineStr">
        <is>
          <t>mortar_carrier</t>
        </is>
      </c>
      <c r="AU190" t="n">
        <v>1</v>
      </c>
      <c r="AV190" t="inlineStr">
        <is>
          <t>mortar_carrier:0</t>
        </is>
      </c>
      <c r="AW190" t="n">
        <v>0</v>
      </c>
      <c r="AX190" t="b">
        <v>0</v>
      </c>
      <c r="AY190" t="inlineStr"/>
      <c r="AZ190">
        <f>IF(AND($AX$190,$AW$190&gt;$AA$190/$Z$190),$AW$190,$AA$190/$Z$190)</f>
        <v/>
      </c>
      <c r="BA190" t="n">
        <v>0.9166666666666666</v>
      </c>
      <c r="BB190" t="n">
        <v>15</v>
      </c>
      <c r="BC190" t="n">
        <v>10</v>
      </c>
      <c r="BD190" t="inlineStr">
        <is>
          <t>gun</t>
        </is>
      </c>
      <c r="BE190" t="inlineStr">
        <is>
          <t>Wikipedia '2B11': 15 rpm</t>
        </is>
      </c>
      <c r="BG190" t="inlineStr">
        <is>
          <t>doi</t>
        </is>
      </c>
      <c r="BH190" t="n">
        <v>150</v>
      </c>
      <c r="BI190" t="n">
        <v>214</v>
      </c>
      <c r="BJ190" t="n">
        <v>5</v>
      </c>
      <c r="BK190" t="n">
        <v>7.143</v>
      </c>
      <c r="BR190" t="n">
        <v>32</v>
      </c>
      <c r="BS190" t="n">
        <v>60</v>
      </c>
      <c r="CN190" t="n">
        <v>18</v>
      </c>
      <c r="CT190" t="n">
        <v>120</v>
      </c>
      <c r="DD190" t="n">
        <v>7.143</v>
      </c>
      <c r="DE190" t="n">
        <v>214</v>
      </c>
      <c r="DF190" t="inlineStr">
        <is>
          <t>HighExplosive</t>
        </is>
      </c>
      <c r="DJ190" t="inlineStr">
        <is>
          <t>mortar</t>
        </is>
      </c>
      <c r="DS190" t="inlineStr">
        <is>
          <t>Large</t>
        </is>
      </c>
      <c r="DZ190" t="n">
        <v>10</v>
      </c>
      <c r="EB190" t="n">
        <v>2</v>
      </c>
      <c r="EP190" t="n">
        <v>55</v>
      </c>
      <c r="EQ190" t="inlineStr">
        <is>
          <t>2B11 120 mm</t>
        </is>
      </c>
      <c r="ER190" t="n">
        <v>35.73</v>
      </c>
      <c r="EX190" t="n">
        <v>120</v>
      </c>
      <c r="EZ190" t="n">
        <v>4.5</v>
      </c>
      <c r="GA190" t="inlineStr">
        <is>
          <t>2b11_120_mm</t>
        </is>
      </c>
      <c r="GB190" t="inlineStr">
        <is>
          <t>cal_120_he</t>
        </is>
      </c>
      <c r="GC190" t="inlineStr">
        <is>
          <t>mortar</t>
        </is>
      </c>
      <c r="GD190" t="inlineStr">
        <is>
          <t>Assets/MachineBrigade/Resources/Data/balance.json: weapons[31]</t>
        </is>
      </c>
      <c r="GE190" t="inlineStr">
        <is>
          <t>{"id":"mortar_120","weaponFamilyId":"cal_120_he","weaponVariantId":"mortar","weaponFamily":"2b11_120_mm","real":"2B11 120 mm","family":"mortar","size":120,"caliberMm":120,"pen":2,"damageType":"HighExplosive","damage":214,"cooldown":7.143,"range":55,"minRange":10,"spread":4.5,"impactTier":"Large","ammo":18,"reload":35.73}</t>
        </is>
      </c>
    </row>
    <row r="191">
      <c r="A191" t="inlineStr">
        <is>
          <t>mortar_240</t>
        </is>
      </c>
      <c r="B191" t="inlineStr">
        <is>
          <t>2B8 240 mm</t>
        </is>
      </c>
      <c r="C191" t="inlineStr">
        <is>
          <t>cal_240</t>
        </is>
      </c>
      <c r="D191" t="inlineStr"/>
      <c r="E191" t="inlineStr">
        <is>
          <t>2b8_240_mm</t>
        </is>
      </c>
      <c r="F191" t="inlineStr">
        <is>
          <t>mortar</t>
        </is>
      </c>
      <c r="G191" t="n">
        <v>240</v>
      </c>
      <c r="H191" t="inlineStr"/>
      <c r="I191" t="inlineStr"/>
      <c r="J191" t="inlineStr"/>
      <c r="K191" t="inlineStr">
        <is>
          <t>HighExplosive</t>
        </is>
      </c>
      <c r="L191" t="n">
        <v>4</v>
      </c>
      <c r="M191" t="inlineStr">
        <is>
          <t>Shell</t>
        </is>
      </c>
      <c r="N191" t="n">
        <v>1</v>
      </c>
      <c r="O191" t="inlineStr">
        <is>
          <t>RIPPLE</t>
        </is>
      </c>
      <c r="P191" t="n">
        <v>1</v>
      </c>
      <c r="Q191" t="n">
        <v>0.1</v>
      </c>
      <c r="R191" t="n">
        <v>14.2</v>
      </c>
      <c r="S191" t="n">
        <v>0</v>
      </c>
      <c r="T191" t="n">
        <v>0</v>
      </c>
      <c r="U191" t="n">
        <v>8</v>
      </c>
      <c r="V191" t="n">
        <v>23.2</v>
      </c>
      <c r="W191" t="n">
        <v>450</v>
      </c>
      <c r="X191" t="n">
        <v>9</v>
      </c>
      <c r="Y191" t="n">
        <v>0</v>
      </c>
      <c r="Z191" t="n">
        <v>60</v>
      </c>
      <c r="AA191" t="n">
        <v>85</v>
      </c>
      <c r="AB191" t="n">
        <v>20</v>
      </c>
      <c r="AC191" t="inlineStr">
        <is>
          <t>Ground</t>
        </is>
      </c>
      <c r="AD191" t="inlineStr"/>
      <c r="AE191" t="n">
        <v>5</v>
      </c>
      <c r="AF191" t="inlineStr">
        <is>
          <t>Ultimate</t>
        </is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n">
        <v>240</v>
      </c>
      <c r="AO191" t="n">
        <v>0</v>
      </c>
      <c r="AP191" t="inlineStr">
        <is>
          <t>T4</t>
        </is>
      </c>
      <c r="AQ191" t="inlineStr"/>
      <c r="AR191" t="inlineStr"/>
      <c r="AS191" t="inlineStr"/>
      <c r="AT191" t="inlineStr"/>
      <c r="AU191" t="n">
        <v>0</v>
      </c>
      <c r="AV191" t="inlineStr"/>
      <c r="AW191" t="n">
        <v>2.5</v>
      </c>
      <c r="AX191" t="b">
        <v>1</v>
      </c>
      <c r="AY191" t="inlineStr"/>
      <c r="AZ191">
        <f>IF(AND($AX$191,$AW$191&gt;$AA$191/$Z$191),$AW$191,$AA$191/$Z$191)</f>
        <v/>
      </c>
      <c r="BA191" t="n">
        <v>2.5</v>
      </c>
      <c r="BB191" t="n">
        <v>1</v>
      </c>
      <c r="BC191" t="n">
        <v>1</v>
      </c>
      <c r="BD191" t="inlineStr">
        <is>
          <t>gun</t>
        </is>
      </c>
      <c r="BE191" t="inlineStr">
        <is>
          <t>Wikipedia '2S4 Tyulpan': ~1 rpm</t>
        </is>
      </c>
      <c r="BG191" t="inlineStr">
        <is>
          <t>doi</t>
        </is>
      </c>
      <c r="BR191" t="n">
        <v>38</v>
      </c>
      <c r="BS191" t="n">
        <v>60</v>
      </c>
      <c r="CN191" t="n">
        <v>8</v>
      </c>
      <c r="CT191" t="n">
        <v>240</v>
      </c>
      <c r="DD191" t="n">
        <v>14.2</v>
      </c>
      <c r="DE191" t="n">
        <v>450</v>
      </c>
      <c r="DF191" t="inlineStr">
        <is>
          <t>HighExplosive</t>
        </is>
      </c>
      <c r="DJ191" t="inlineStr">
        <is>
          <t>mortar</t>
        </is>
      </c>
      <c r="DS191" t="inlineStr">
        <is>
          <t>Ultimate</t>
        </is>
      </c>
      <c r="DZ191" t="n">
        <v>20</v>
      </c>
      <c r="EB191" t="n">
        <v>4</v>
      </c>
      <c r="EP191" t="n">
        <v>85</v>
      </c>
      <c r="EQ191" t="inlineStr">
        <is>
          <t>2B8 240 mm</t>
        </is>
      </c>
      <c r="ER191" t="n">
        <v>23.2</v>
      </c>
      <c r="EX191" t="n">
        <v>240</v>
      </c>
      <c r="EZ191" t="n">
        <v>5</v>
      </c>
      <c r="GA191" t="inlineStr">
        <is>
          <t>2b8_240_mm</t>
        </is>
      </c>
      <c r="GB191" t="inlineStr">
        <is>
          <t>cal_240</t>
        </is>
      </c>
      <c r="GD191" t="inlineStr">
        <is>
          <t>Assets/MachineBrigade/Resources/Data/balance.json: weapons[60]</t>
        </is>
      </c>
      <c r="GE191" t="inlineStr">
        <is>
          <t>{"id":"mortar_240","weaponFamilyId":"cal_240","weaponFamily":"2b8_240_mm","real":"2B8 240 mm","family":"mortar","size":240,"caliberMm":240,"pen":4,"damageType":"HighExplosive","damage":450,"cooldown":14.2,"range":85,"minRange":20,"spread":5,"impactTier":"Ultimate","ammo":8,"reload":23.2}</t>
        </is>
      </c>
    </row>
    <row r="192">
      <c r="A192" t="inlineStr">
        <is>
          <t>mothership_cannon</t>
        </is>
      </c>
      <c r="B192" t="inlineStr">
        <is>
          <t>AU-220 57 mm</t>
        </is>
      </c>
      <c r="C192" t="inlineStr">
        <is>
          <t>cal_57</t>
        </is>
      </c>
      <c r="D192" t="inlineStr"/>
      <c r="E192" t="inlineStr"/>
      <c r="F192" t="inlineStr">
        <is>
          <t>autocannon</t>
        </is>
      </c>
      <c r="G192" t="n">
        <v>57</v>
      </c>
      <c r="H192" t="inlineStr"/>
      <c r="I192" t="inlineStr"/>
      <c r="J192" t="inlineStr"/>
      <c r="K192" t="inlineStr">
        <is>
          <t>HighExplosive</t>
        </is>
      </c>
      <c r="L192" t="n">
        <v>2</v>
      </c>
      <c r="M192" t="inlineStr">
        <is>
          <t>Shell</t>
        </is>
      </c>
      <c r="N192" t="n">
        <v>1</v>
      </c>
      <c r="O192" t="inlineStr">
        <is>
          <t>RIPPLE</t>
        </is>
      </c>
      <c r="P192" t="n">
        <v>4</v>
      </c>
      <c r="Q192" t="n">
        <v>0.5</v>
      </c>
      <c r="R192" t="n">
        <v>3.29</v>
      </c>
      <c r="S192" t="n">
        <v>0</v>
      </c>
      <c r="T192" t="n">
        <v>0</v>
      </c>
      <c r="U192" t="n">
        <v>0</v>
      </c>
      <c r="V192" t="n">
        <v>0</v>
      </c>
      <c r="W192" t="n">
        <v>70</v>
      </c>
      <c r="X192" t="n">
        <v>3.5</v>
      </c>
      <c r="Y192" t="n">
        <v>0</v>
      </c>
      <c r="Z192" t="n">
        <v>150</v>
      </c>
      <c r="AA192" t="n">
        <v>45</v>
      </c>
      <c r="AB192" t="n">
        <v>0</v>
      </c>
      <c r="AC192" t="inlineStr">
        <is>
          <t>Ground</t>
        </is>
      </c>
      <c r="AD192" t="inlineStr"/>
      <c r="AE192" t="n">
        <v>2.5</v>
      </c>
      <c r="AF192" t="inlineStr">
        <is>
          <t>Large</t>
        </is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n">
        <v>57</v>
      </c>
      <c r="AO192" t="n">
        <v>0</v>
      </c>
      <c r="AP192" t="inlineStr">
        <is>
          <t>T2</t>
        </is>
      </c>
      <c r="AQ192" t="inlineStr"/>
      <c r="AR192" t="inlineStr"/>
      <c r="AS192" t="inlineStr"/>
      <c r="AT192" t="inlineStr"/>
      <c r="AU192" t="n">
        <v>0</v>
      </c>
      <c r="AV192" t="inlineStr"/>
      <c r="AW192" t="n">
        <v>0</v>
      </c>
      <c r="AX192" t="b">
        <v>0</v>
      </c>
      <c r="AY192" t="inlineStr"/>
      <c r="AZ192">
        <f>IF(AND($AX$192,$AW$192&gt;$AA$192/$Z$192),$AW$192,$AA$192/$Z$192)</f>
        <v/>
      </c>
      <c r="BA192" t="n">
        <v>0.3</v>
      </c>
      <c r="BB192" t="n">
        <v>120</v>
      </c>
      <c r="BC192" t="n">
        <v>80</v>
      </c>
      <c r="BD192" t="inlineStr">
        <is>
          <t>ac</t>
        </is>
      </c>
      <c r="BE192" t="inlineStr">
        <is>
          <t>Wikipedia 'AU-220M': 80-120 rpm</t>
        </is>
      </c>
      <c r="BG192" t="inlineStr">
        <is>
          <t>giong</t>
        </is>
      </c>
      <c r="CR192" t="n">
        <v>4</v>
      </c>
      <c r="CS192" t="n">
        <v>0.5</v>
      </c>
      <c r="CT192" t="n">
        <v>57</v>
      </c>
      <c r="DD192" t="n">
        <v>3.29</v>
      </c>
      <c r="DE192" t="n">
        <v>70</v>
      </c>
      <c r="DF192" t="inlineStr">
        <is>
          <t>HighExplosive</t>
        </is>
      </c>
      <c r="DJ192" t="inlineStr">
        <is>
          <t>autocannon</t>
        </is>
      </c>
      <c r="DN192" t="inlineStr">
        <is>
          <t>BeltedAutocannon</t>
        </is>
      </c>
      <c r="DS192" t="inlineStr">
        <is>
          <t>Large</t>
        </is>
      </c>
      <c r="EB192" t="n">
        <v>2</v>
      </c>
      <c r="EK192" t="n">
        <v>150</v>
      </c>
      <c r="EP192" t="n">
        <v>45</v>
      </c>
      <c r="EQ192" t="inlineStr">
        <is>
          <t>AU-220 57 mm</t>
        </is>
      </c>
      <c r="EX192" t="n">
        <v>57</v>
      </c>
      <c r="EY192" t="n">
        <v>3.5</v>
      </c>
      <c r="EZ192" t="n">
        <v>2.5</v>
      </c>
      <c r="GB192" t="inlineStr">
        <is>
          <t>cal_57</t>
        </is>
      </c>
      <c r="GD192" t="inlineStr">
        <is>
          <t>Assets/MachineBrigade/Resources/Data/balance.json: weapons[134]</t>
        </is>
      </c>
      <c r="GE192" t="inlineStr">
        <is>
          <t>{"id":"mothership_cannon","weaponFamilyId":"cal_57","real":"AU-220 57 mm","family":"autocannon","size":57,"caliberMm":57,"pen":2,"form":"BeltedAutocannon","damageType":"HighExplosive","damage":70,"cooldown":3.29,"range":45,"projectileSpeed":150,"splash":3.5,"spread":2.5,"impactTier":"Large","burst":4,"burstInterval":0.5}</t>
        </is>
      </c>
    </row>
    <row r="193">
      <c r="A193" t="inlineStr">
        <is>
          <t>mothership_drones</t>
        </is>
      </c>
      <c r="B193" t="inlineStr">
        <is>
          <t>ZALA Lancet-3 (3 kg)</t>
        </is>
      </c>
      <c r="C193" t="inlineStr">
        <is>
          <t>drone_zala_lancet_3</t>
        </is>
      </c>
      <c r="D193" t="inlineStr"/>
      <c r="E193" t="inlineStr">
        <is>
          <t>zala_lancet_3</t>
        </is>
      </c>
      <c r="F193" t="inlineStr">
        <is>
          <t>drone</t>
        </is>
      </c>
      <c r="G193" t="inlineStr"/>
      <c r="H193" t="n">
        <v>3</v>
      </c>
      <c r="I193" t="inlineStr"/>
      <c r="J193" t="inlineStr"/>
      <c r="K193" t="inlineStr">
        <is>
          <t>ShapedCharge</t>
        </is>
      </c>
      <c r="L193" t="n">
        <v>4</v>
      </c>
      <c r="M193" t="inlineStr">
        <is>
          <t>Drone</t>
        </is>
      </c>
      <c r="N193" t="n">
        <v>1</v>
      </c>
      <c r="O193" t="inlineStr">
        <is>
          <t>RIPPLE</t>
        </is>
      </c>
      <c r="P193" t="n">
        <v>4</v>
      </c>
      <c r="Q193" t="n">
        <v>0.3</v>
      </c>
      <c r="R193" t="n">
        <v>8.470000000000001</v>
      </c>
      <c r="S193" t="n">
        <v>0</v>
      </c>
      <c r="T193" t="n">
        <v>0</v>
      </c>
      <c r="U193" t="n">
        <v>0</v>
      </c>
      <c r="V193" t="n">
        <v>0</v>
      </c>
      <c r="W193" t="n">
        <v>240</v>
      </c>
      <c r="X193" t="n">
        <v>3</v>
      </c>
      <c r="Y193" t="n">
        <v>0</v>
      </c>
      <c r="Z193" t="n">
        <v>28</v>
      </c>
      <c r="AA193" t="n">
        <v>70</v>
      </c>
      <c r="AB193" t="n">
        <v>0</v>
      </c>
      <c r="AC193" t="inlineStr">
        <is>
          <t>Ground</t>
        </is>
      </c>
      <c r="AD193" t="inlineStr"/>
      <c r="AE193" t="n">
        <v>0</v>
      </c>
      <c r="AF193" t="inlineStr">
        <is>
          <t>Large</t>
        </is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n">
        <v>3</v>
      </c>
      <c r="AO193" t="n">
        <v>0</v>
      </c>
      <c r="AP193" t="inlineStr">
        <is>
          <t>T2</t>
        </is>
      </c>
      <c r="AQ193" t="inlineStr"/>
      <c r="AR193" t="inlineStr"/>
      <c r="AS193" t="inlineStr">
        <is>
          <t>boss_part</t>
        </is>
      </c>
      <c r="AT193" t="inlineStr">
        <is>
          <t>drone_bay</t>
        </is>
      </c>
      <c r="AU193" t="n">
        <v>1</v>
      </c>
      <c r="AV193" t="inlineStr">
        <is>
          <t>drone_bay:part</t>
        </is>
      </c>
      <c r="AW193" t="n">
        <v>0</v>
      </c>
      <c r="AX193" t="b">
        <v>0</v>
      </c>
      <c r="AY193" t="inlineStr"/>
      <c r="AZ193">
        <f>IF(AND($AX$193,$AW$193&gt;$AA$193/$Z$193),$AW$193,$AA$193/$Z$193)</f>
        <v/>
      </c>
      <c r="BA193" t="n">
        <v>2.5</v>
      </c>
      <c r="BB193" t="inlineStr">
        <is>
          <t>NEED_SOURCE</t>
        </is>
      </c>
      <c r="BC193" t="inlineStr">
        <is>
          <t>NEED_SOURCE</t>
        </is>
      </c>
      <c r="BE193" t="inlineStr">
        <is>
          <t>NEED_SOURCE</t>
        </is>
      </c>
      <c r="BG193" t="inlineStr">
        <is>
          <t>giong</t>
        </is>
      </c>
      <c r="CR193" t="n">
        <v>4</v>
      </c>
      <c r="CS193" t="n">
        <v>0.3</v>
      </c>
      <c r="DD193" t="n">
        <v>8.470000000000001</v>
      </c>
      <c r="DE193" t="n">
        <v>240</v>
      </c>
      <c r="DF193" t="inlineStr">
        <is>
          <t>ShapedCharge</t>
        </is>
      </c>
      <c r="DJ193" t="inlineStr">
        <is>
          <t>drone</t>
        </is>
      </c>
      <c r="DS193" t="inlineStr">
        <is>
          <t>Large</t>
        </is>
      </c>
      <c r="EB193" t="n">
        <v>4</v>
      </c>
      <c r="EE193" t="b">
        <v>1</v>
      </c>
      <c r="EH193" t="inlineStr">
        <is>
          <t>Drone</t>
        </is>
      </c>
      <c r="EP193" t="n">
        <v>70</v>
      </c>
      <c r="EQ193" t="inlineStr">
        <is>
          <t>ZALA Lancet-3 (3 kg)</t>
        </is>
      </c>
      <c r="EX193" t="n">
        <v>3</v>
      </c>
      <c r="FY193" t="b">
        <v>1</v>
      </c>
      <c r="FZ193" t="n">
        <v>3</v>
      </c>
      <c r="GA193" t="inlineStr">
        <is>
          <t>zala_lancet_3</t>
        </is>
      </c>
      <c r="GB193" t="inlineStr">
        <is>
          <t>drone_zala_lancet_3</t>
        </is>
      </c>
      <c r="GD193" t="inlineStr">
        <is>
          <t>Assets/MachineBrigade/Resources/Data/balance.json: weapons[135]</t>
        </is>
      </c>
      <c r="GE193" t="inlineStr">
        <is>
          <t>{"id":"mothership_drones","weaponFamilyId":"drone_zala_lancet_3","weaponFamily":"zala_lancet_3","real":"ZALA Lancet-3 (3 kg)","family":"drone","size":3,"warheadKg":3,"pen":4,"topAttack":true,"piercing":true,"damageType":"ShapedCharge","damage":240,"cooldown":8.47,"range":70,"impactTier":"Large","projectile":"Drone","burst":4,"burstInterval":0.3}</t>
        </is>
      </c>
    </row>
    <row r="194">
      <c r="A194" t="inlineStr">
        <is>
          <t>naval_76</t>
        </is>
      </c>
      <c r="B194" t="inlineStr">
        <is>
          <t>OTO Melara 76/62</t>
        </is>
      </c>
      <c r="C194" t="inlineStr">
        <is>
          <t>cal_76</t>
        </is>
      </c>
      <c r="D194" t="inlineStr"/>
      <c r="E194" t="inlineStr"/>
      <c r="F194" t="inlineStr">
        <is>
          <t>howitzer</t>
        </is>
      </c>
      <c r="G194" t="n">
        <v>76</v>
      </c>
      <c r="H194" t="inlineStr"/>
      <c r="I194" t="inlineStr"/>
      <c r="J194" t="inlineStr"/>
      <c r="K194" t="inlineStr">
        <is>
          <t>HighExplosive</t>
        </is>
      </c>
      <c r="L194" t="n">
        <v>3</v>
      </c>
      <c r="M194" t="inlineStr">
        <is>
          <t>Shell</t>
        </is>
      </c>
      <c r="N194" t="n">
        <v>1</v>
      </c>
      <c r="O194" t="inlineStr">
        <is>
          <t>RIPPLE</t>
        </is>
      </c>
      <c r="P194" t="n">
        <v>2</v>
      </c>
      <c r="Q194" t="n">
        <v>0.5</v>
      </c>
      <c r="R194" t="n">
        <v>4.643</v>
      </c>
      <c r="S194" t="n">
        <v>0</v>
      </c>
      <c r="T194" t="n">
        <v>0</v>
      </c>
      <c r="U194" t="n">
        <v>0</v>
      </c>
      <c r="V194" t="n">
        <v>0</v>
      </c>
      <c r="W194" t="n">
        <v>171</v>
      </c>
      <c r="X194" t="n">
        <v>3</v>
      </c>
      <c r="Y194" t="n">
        <v>0</v>
      </c>
      <c r="Z194" t="n">
        <v>110</v>
      </c>
      <c r="AA194" t="n">
        <v>95</v>
      </c>
      <c r="AB194" t="n">
        <v>0</v>
      </c>
      <c r="AC194" t="inlineStr">
        <is>
          <t>Ground</t>
        </is>
      </c>
      <c r="AD194" t="inlineStr"/>
      <c r="AE194" t="n">
        <v>2.2</v>
      </c>
      <c r="AF194" t="inlineStr">
        <is>
          <t>Medium</t>
        </is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n">
        <v>76</v>
      </c>
      <c r="AO194" t="n">
        <v>0</v>
      </c>
      <c r="AP194" t="inlineStr">
        <is>
          <t>T2</t>
        </is>
      </c>
      <c r="AQ194" t="inlineStr"/>
      <c r="AR194" t="inlineStr">
        <is>
          <t>naval_76_guided</t>
        </is>
      </c>
      <c r="AS194" t="inlineStr">
        <is>
          <t>xe</t>
        </is>
      </c>
      <c r="AT194" t="inlineStr">
        <is>
          <t>sea_corvette</t>
        </is>
      </c>
      <c r="AU194" t="n">
        <v>1</v>
      </c>
      <c r="AV194" t="inlineStr">
        <is>
          <t>sea_corvette:0</t>
        </is>
      </c>
      <c r="AW194" t="n">
        <v>0</v>
      </c>
      <c r="AX194" t="b">
        <v>0</v>
      </c>
      <c r="AY194" t="inlineStr"/>
      <c r="AZ194">
        <f>IF(AND($AX$194,$AW$194&gt;$AA$194/$Z$194),$AW$194,$AA$194/$Z$194)</f>
        <v/>
      </c>
      <c r="BA194" t="n">
        <v>0.8636363636363636</v>
      </c>
      <c r="BB194" t="n">
        <v>120</v>
      </c>
      <c r="BC194" t="n">
        <v>80</v>
      </c>
      <c r="BD194" t="inlineStr">
        <is>
          <t>gun</t>
        </is>
      </c>
      <c r="BE194" t="inlineStr">
        <is>
          <t>Wikipedia 'OTO Melara 76 mm': 80-120 rpm (Super Rapid)</t>
        </is>
      </c>
      <c r="BG194" t="inlineStr">
        <is>
          <t>doi</t>
        </is>
      </c>
      <c r="BH194" t="n">
        <v>120</v>
      </c>
      <c r="BI194" t="n">
        <v>171</v>
      </c>
      <c r="BJ194" t="n">
        <v>3.1</v>
      </c>
      <c r="BK194" t="n">
        <v>4.643</v>
      </c>
      <c r="CR194" t="n">
        <v>2</v>
      </c>
      <c r="CS194" t="n">
        <v>0.5</v>
      </c>
      <c r="CT194" t="n">
        <v>76</v>
      </c>
      <c r="DD194" t="n">
        <v>4.643</v>
      </c>
      <c r="DE194" t="n">
        <v>171</v>
      </c>
      <c r="DF194" t="inlineStr">
        <is>
          <t>HighExplosive</t>
        </is>
      </c>
      <c r="DJ194" t="inlineStr">
        <is>
          <t>howitzer</t>
        </is>
      </c>
      <c r="DS194" t="inlineStr">
        <is>
          <t>Medium</t>
        </is>
      </c>
      <c r="EB194" t="n">
        <v>3</v>
      </c>
      <c r="EK194" t="n">
        <v>110</v>
      </c>
      <c r="EP194" t="n">
        <v>95</v>
      </c>
      <c r="EQ194" t="inlineStr">
        <is>
          <t>OTO Melara 76/62</t>
        </is>
      </c>
      <c r="EX194" t="n">
        <v>76</v>
      </c>
      <c r="EY194" t="n">
        <v>3</v>
      </c>
      <c r="EZ194" t="n">
        <v>2.2</v>
      </c>
      <c r="GB194" t="inlineStr">
        <is>
          <t>cal_76</t>
        </is>
      </c>
      <c r="GD194" t="inlineStr">
        <is>
          <t>Assets/MachineBrigade/Resources/Data/balance.json: weapons[254]</t>
        </is>
      </c>
      <c r="GE194" t="inlineStr">
        <is>
          <t>{"id":"naval_76","weaponFamilyId":"cal_76","real":"OTO Melara 76/62","family":"howitzer","size":76,"caliberMm":76,"pen":3,"damageType":"HighExplosive","damage":171,"cooldown":4.643,"range":95,"projectileSpeed":110,"splash":3,"spread":2.2,"impactTier":"Medium","burst":2,"burstInterval":0.5}</t>
        </is>
      </c>
    </row>
    <row r="195">
      <c r="A195" t="inlineStr">
        <is>
          <t>naval_76_guided</t>
        </is>
      </c>
      <c r="B195" t="inlineStr">
        <is>
          <t>OTO Melara 76/62 guided</t>
        </is>
      </c>
      <c r="C195" t="inlineStr">
        <is>
          <t>cal_76</t>
        </is>
      </c>
      <c r="D195" t="inlineStr"/>
      <c r="E195" t="inlineStr"/>
      <c r="F195" t="inlineStr">
        <is>
          <t>howitzer</t>
        </is>
      </c>
      <c r="G195" t="n">
        <v>76</v>
      </c>
      <c r="H195" t="inlineStr"/>
      <c r="I195" t="inlineStr"/>
      <c r="J195" t="inlineStr"/>
      <c r="K195" t="inlineStr">
        <is>
          <t>HighExplosive</t>
        </is>
      </c>
      <c r="L195" t="n">
        <v>3</v>
      </c>
      <c r="M195" t="inlineStr">
        <is>
          <t>Shell</t>
        </is>
      </c>
      <c r="N195" t="n">
        <v>1</v>
      </c>
      <c r="O195" t="inlineStr">
        <is>
          <t>RIPPLE</t>
        </is>
      </c>
      <c r="P195" t="n">
        <v>1</v>
      </c>
      <c r="Q195" t="n">
        <v>0.5</v>
      </c>
      <c r="R195" t="n">
        <v>4.643</v>
      </c>
      <c r="S195" t="n">
        <v>0</v>
      </c>
      <c r="T195" t="n">
        <v>0</v>
      </c>
      <c r="U195" t="n">
        <v>0</v>
      </c>
      <c r="V195" t="n">
        <v>0</v>
      </c>
      <c r="W195" t="n">
        <v>171</v>
      </c>
      <c r="X195" t="n">
        <v>3</v>
      </c>
      <c r="Y195" t="n">
        <v>0</v>
      </c>
      <c r="Z195" t="n">
        <v>110</v>
      </c>
      <c r="AA195" t="n">
        <v>95</v>
      </c>
      <c r="AB195" t="n">
        <v>0</v>
      </c>
      <c r="AC195" t="inlineStr">
        <is>
          <t>Ground</t>
        </is>
      </c>
      <c r="AD195" t="inlineStr"/>
      <c r="AE195" t="n">
        <v>0</v>
      </c>
      <c r="AF195" t="inlineStr">
        <is>
          <t>Medium</t>
        </is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1</v>
      </c>
      <c r="AN195" t="n">
        <v>76</v>
      </c>
      <c r="AO195" t="n">
        <v>0</v>
      </c>
      <c r="AP195" t="inlineStr">
        <is>
          <t>T2</t>
        </is>
      </c>
      <c r="AQ195" t="inlineStr">
        <is>
          <t>naval_76</t>
        </is>
      </c>
      <c r="AR195" t="inlineStr"/>
      <c r="AS195" t="inlineStr"/>
      <c r="AT195" t="inlineStr"/>
      <c r="AU195" t="n">
        <v>0</v>
      </c>
      <c r="AV195" t="inlineStr"/>
      <c r="AW195" t="n">
        <v>0</v>
      </c>
      <c r="AX195" t="b">
        <v>0</v>
      </c>
      <c r="AY195" t="inlineStr"/>
      <c r="AZ195">
        <f>IF(AND($AX$195,$AW$195&gt;$AA$195/$Z$195),$AW$195,$AA$195/$Z$195)</f>
        <v/>
      </c>
      <c r="BA195" t="n">
        <v>0.8636363636363636</v>
      </c>
      <c r="BB195" t="n">
        <v>120</v>
      </c>
      <c r="BC195" t="n">
        <v>80</v>
      </c>
      <c r="BD195" t="inlineStr">
        <is>
          <t>gun</t>
        </is>
      </c>
      <c r="BE195" t="inlineStr">
        <is>
          <t>Wikipedia 'OTO Melara 76 mm': 80-120 rpm (Super Rapid)</t>
        </is>
      </c>
      <c r="BG195" t="inlineStr">
        <is>
          <t>doi</t>
        </is>
      </c>
      <c r="BH195" t="n">
        <v>120</v>
      </c>
      <c r="BI195" t="n">
        <v>171</v>
      </c>
      <c r="BJ195" t="n">
        <v>3.1</v>
      </c>
      <c r="BK195" t="n">
        <v>4.643</v>
      </c>
      <c r="CR195" t="n">
        <v>1</v>
      </c>
      <c r="DE195" t="n">
        <v>171</v>
      </c>
      <c r="DF195" t="inlineStr">
        <is>
          <t>HighExplosive</t>
        </is>
      </c>
      <c r="DH195" t="b">
        <v>1</v>
      </c>
      <c r="DM195" t="inlineStr">
        <is>
          <t>armour</t>
        </is>
      </c>
      <c r="DN195" t="inlineStr">
        <is>
          <t>HeShell</t>
        </is>
      </c>
      <c r="DP195" t="b">
        <v>1</v>
      </c>
      <c r="DT195" t="inlineStr">
        <is>
          <t>naval_76</t>
        </is>
      </c>
      <c r="EB195" t="n">
        <v>3</v>
      </c>
      <c r="EQ195" t="inlineStr">
        <is>
          <t>OTO Melara 76/62 guided</t>
        </is>
      </c>
      <c r="ES195" t="inlineStr">
        <is>
          <t>guided</t>
        </is>
      </c>
      <c r="EU195" t="inlineStr">
        <is>
          <t>naval_76</t>
        </is>
      </c>
      <c r="EZ195" t="n">
        <v>0</v>
      </c>
      <c r="FW195" t="inlineStr">
        <is>
          <t>Ground</t>
        </is>
      </c>
      <c r="GA195" t="inlineStr"/>
      <c r="GD195" t="inlineStr">
        <is>
          <t>Assets/MachineBrigade/Resources/Data/balance.json: secondRounds.rounds[54]</t>
        </is>
      </c>
      <c r="GE195" t="inlineStr">
        <is>
          <t>{"id":"naval_76_guided","roundOf":"naval_76","inherits":"naval_76","weaponFamily":"","round":"guided","for":["armour"],"elite":true,"real":"OTO Melara 76/62 guided","damageType":"HighExplosive","pen":3,"damage":171,"spread":0,"burst":1,"guided":true,"form":"HeShell","targets":"Ground"}</t>
        </is>
      </c>
    </row>
    <row r="196">
      <c r="A196" t="inlineStr">
        <is>
          <t>naval_100</t>
        </is>
      </c>
      <c r="B196" t="inlineStr">
        <is>
          <t>AK-100 100 mm</t>
        </is>
      </c>
      <c r="C196" t="inlineStr">
        <is>
          <t>cal_100_105_he</t>
        </is>
      </c>
      <c r="D196" t="inlineStr"/>
      <c r="E196" t="inlineStr"/>
      <c r="F196" t="inlineStr">
        <is>
          <t>howitzer</t>
        </is>
      </c>
      <c r="G196" t="n">
        <v>100</v>
      </c>
      <c r="H196" t="inlineStr"/>
      <c r="I196" t="inlineStr"/>
      <c r="J196" t="inlineStr"/>
      <c r="K196" t="inlineStr">
        <is>
          <t>HighExplosive</t>
        </is>
      </c>
      <c r="L196" t="n">
        <v>3</v>
      </c>
      <c r="M196" t="inlineStr">
        <is>
          <t>Shell</t>
        </is>
      </c>
      <c r="N196" t="n">
        <v>1</v>
      </c>
      <c r="O196" t="inlineStr">
        <is>
          <t>RIPPLE</t>
        </is>
      </c>
      <c r="P196" t="n">
        <v>2</v>
      </c>
      <c r="Q196" t="n">
        <v>0.5</v>
      </c>
      <c r="R196" t="n">
        <v>5</v>
      </c>
      <c r="S196" t="n">
        <v>0</v>
      </c>
      <c r="T196" t="n">
        <v>0</v>
      </c>
      <c r="U196" t="n">
        <v>0</v>
      </c>
      <c r="V196" t="n">
        <v>0</v>
      </c>
      <c r="W196" t="n">
        <v>229</v>
      </c>
      <c r="X196" t="n">
        <v>3.5</v>
      </c>
      <c r="Y196" t="n">
        <v>0</v>
      </c>
      <c r="Z196" t="n">
        <v>110</v>
      </c>
      <c r="AA196" t="n">
        <v>90</v>
      </c>
      <c r="AB196" t="n">
        <v>0</v>
      </c>
      <c r="AC196" t="inlineStr">
        <is>
          <t>Ground</t>
        </is>
      </c>
      <c r="AD196" t="inlineStr"/>
      <c r="AE196" t="n">
        <v>2.2</v>
      </c>
      <c r="AF196" t="inlineStr">
        <is>
          <t>Large</t>
        </is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n">
        <v>100</v>
      </c>
      <c r="AO196" t="n">
        <v>0</v>
      </c>
      <c r="AP196" t="inlineStr">
        <is>
          <t>T2</t>
        </is>
      </c>
      <c r="AQ196" t="inlineStr">
        <is>
          <t>naval_76</t>
        </is>
      </c>
      <c r="AR196" t="inlineStr">
        <is>
          <t>naval_100_guided</t>
        </is>
      </c>
      <c r="AS196" t="inlineStr">
        <is>
          <t>boss_part</t>
        </is>
      </c>
      <c r="AT196" t="inlineStr">
        <is>
          <t>deck_gun_100</t>
        </is>
      </c>
      <c r="AU196" t="n">
        <v>1</v>
      </c>
      <c r="AV196" t="inlineStr">
        <is>
          <t>deck_gun_100:part</t>
        </is>
      </c>
      <c r="AW196" t="n">
        <v>0</v>
      </c>
      <c r="AX196" t="b">
        <v>0</v>
      </c>
      <c r="AY196" t="inlineStr"/>
      <c r="AZ196">
        <f>IF(AND($AX$196,$AW$196&gt;$AA$196/$Z$196),$AW$196,$AA$196/$Z$196)</f>
        <v/>
      </c>
      <c r="BA196" t="n">
        <v>0.8181818181818182</v>
      </c>
      <c r="BB196" t="n">
        <v>60</v>
      </c>
      <c r="BC196" t="n">
        <v>30</v>
      </c>
      <c r="BD196" t="inlineStr">
        <is>
          <t>gun</t>
        </is>
      </c>
      <c r="BE196" t="inlineStr">
        <is>
          <t>Wikipedia 'AK-100 (naval gun)': 60 rpm</t>
        </is>
      </c>
      <c r="BG196" t="inlineStr">
        <is>
          <t>doi</t>
        </is>
      </c>
      <c r="BH196" t="n">
        <v>160</v>
      </c>
      <c r="BI196" t="n">
        <v>229</v>
      </c>
      <c r="BJ196" t="n">
        <v>3.5</v>
      </c>
      <c r="BK196" t="n">
        <v>5</v>
      </c>
      <c r="CT196" t="n">
        <v>100</v>
      </c>
      <c r="DD196" t="n">
        <v>5</v>
      </c>
      <c r="DE196" t="n">
        <v>229</v>
      </c>
      <c r="DJ196" t="inlineStr">
        <is>
          <t>howitzer</t>
        </is>
      </c>
      <c r="DS196" t="inlineStr">
        <is>
          <t>Large</t>
        </is>
      </c>
      <c r="DT196" t="inlineStr">
        <is>
          <t>naval_76</t>
        </is>
      </c>
      <c r="EB196" t="n">
        <v>3</v>
      </c>
      <c r="EP196" t="n">
        <v>90</v>
      </c>
      <c r="EQ196" t="inlineStr">
        <is>
          <t>AK-100 100 mm</t>
        </is>
      </c>
      <c r="EX196" t="n">
        <v>100</v>
      </c>
      <c r="EY196" t="n">
        <v>3.5</v>
      </c>
      <c r="GB196" t="inlineStr">
        <is>
          <t>cal_100_105_he</t>
        </is>
      </c>
      <c r="GD196" t="inlineStr">
        <is>
          <t>Assets/MachineBrigade/Resources/Data/balance.json: weapons[269]</t>
        </is>
      </c>
      <c r="GE196" t="inlineStr">
        <is>
          <t>{"id":"naval_100","inherits":"naval_76","weaponFamilyId":"cal_100_105_he","real":"AK-100 100 mm","family":"howitzer","size":100,"caliberMm":100,"pen":3,"damage":229,"cooldown":5,"range":90,"splash":3.5,"impactTier":"Large"}</t>
        </is>
      </c>
    </row>
    <row r="197">
      <c r="A197" t="inlineStr">
        <is>
          <t>naval_100_guided</t>
        </is>
      </c>
      <c r="B197" t="inlineStr">
        <is>
          <t>AK-100 100 mm guided</t>
        </is>
      </c>
      <c r="C197" t="inlineStr">
        <is>
          <t>cal_100_105_he</t>
        </is>
      </c>
      <c r="D197" t="inlineStr"/>
      <c r="E197" t="inlineStr"/>
      <c r="F197" t="inlineStr">
        <is>
          <t>howitzer</t>
        </is>
      </c>
      <c r="G197" t="n">
        <v>100</v>
      </c>
      <c r="H197" t="inlineStr"/>
      <c r="I197" t="inlineStr"/>
      <c r="J197" t="inlineStr"/>
      <c r="K197" t="inlineStr">
        <is>
          <t>HighExplosive</t>
        </is>
      </c>
      <c r="L197" t="n">
        <v>3</v>
      </c>
      <c r="M197" t="inlineStr">
        <is>
          <t>Shell</t>
        </is>
      </c>
      <c r="N197" t="n">
        <v>1</v>
      </c>
      <c r="O197" t="inlineStr">
        <is>
          <t>RIPPLE</t>
        </is>
      </c>
      <c r="P197" t="n">
        <v>1</v>
      </c>
      <c r="Q197" t="n">
        <v>0.5</v>
      </c>
      <c r="R197" t="n">
        <v>5</v>
      </c>
      <c r="S197" t="n">
        <v>0</v>
      </c>
      <c r="T197" t="n">
        <v>0</v>
      </c>
      <c r="U197" t="n">
        <v>0</v>
      </c>
      <c r="V197" t="n">
        <v>0</v>
      </c>
      <c r="W197" t="n">
        <v>229</v>
      </c>
      <c r="X197" t="n">
        <v>3.5</v>
      </c>
      <c r="Y197" t="n">
        <v>0</v>
      </c>
      <c r="Z197" t="n">
        <v>110</v>
      </c>
      <c r="AA197" t="n">
        <v>90</v>
      </c>
      <c r="AB197" t="n">
        <v>0</v>
      </c>
      <c r="AC197" t="inlineStr">
        <is>
          <t>Ground</t>
        </is>
      </c>
      <c r="AD197" t="inlineStr"/>
      <c r="AE197" t="n">
        <v>0</v>
      </c>
      <c r="AF197" t="inlineStr">
        <is>
          <t>Large</t>
        </is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n">
        <v>100</v>
      </c>
      <c r="AO197" t="n">
        <v>0</v>
      </c>
      <c r="AP197" t="inlineStr">
        <is>
          <t>T2</t>
        </is>
      </c>
      <c r="AQ197" t="inlineStr">
        <is>
          <t>naval_100</t>
        </is>
      </c>
      <c r="AR197" t="inlineStr"/>
      <c r="AS197" t="inlineStr"/>
      <c r="AT197" t="inlineStr"/>
      <c r="AU197" t="n">
        <v>0</v>
      </c>
      <c r="AV197" t="inlineStr"/>
      <c r="AW197" t="n">
        <v>0</v>
      </c>
      <c r="AX197" t="b">
        <v>0</v>
      </c>
      <c r="AY197" t="inlineStr"/>
      <c r="AZ197">
        <f>IF(AND($AX$197,$AW$197&gt;$AA$197/$Z$197),$AW$197,$AA$197/$Z$197)</f>
        <v/>
      </c>
      <c r="BA197" t="n">
        <v>0.8181818181818182</v>
      </c>
      <c r="BB197" t="n">
        <v>60</v>
      </c>
      <c r="BC197" t="n">
        <v>30</v>
      </c>
      <c r="BD197" t="inlineStr">
        <is>
          <t>gun</t>
        </is>
      </c>
      <c r="BE197" t="inlineStr">
        <is>
          <t>Wikipedia 'AK-100 (naval gun)': 60 rpm</t>
        </is>
      </c>
      <c r="BG197" t="inlineStr">
        <is>
          <t>doi</t>
        </is>
      </c>
      <c r="BH197" t="n">
        <v>160</v>
      </c>
      <c r="BI197" t="n">
        <v>229</v>
      </c>
      <c r="BJ197" t="n">
        <v>3.5</v>
      </c>
      <c r="BK197" t="n">
        <v>5</v>
      </c>
      <c r="CR197" t="n">
        <v>1</v>
      </c>
      <c r="DE197" t="n">
        <v>229</v>
      </c>
      <c r="DF197" t="inlineStr">
        <is>
          <t>HighExplosive</t>
        </is>
      </c>
      <c r="DH197" t="b">
        <v>1</v>
      </c>
      <c r="DM197" t="inlineStr">
        <is>
          <t>armour</t>
        </is>
      </c>
      <c r="DN197" t="inlineStr">
        <is>
          <t>HeShell</t>
        </is>
      </c>
      <c r="DP197" t="b">
        <v>1</v>
      </c>
      <c r="DT197" t="inlineStr">
        <is>
          <t>naval_100</t>
        </is>
      </c>
      <c r="EB197" t="n">
        <v>3</v>
      </c>
      <c r="EQ197" t="inlineStr">
        <is>
          <t>AK-100 100 mm guided</t>
        </is>
      </c>
      <c r="ES197" t="inlineStr">
        <is>
          <t>guided</t>
        </is>
      </c>
      <c r="EU197" t="inlineStr">
        <is>
          <t>naval_100</t>
        </is>
      </c>
      <c r="EZ197" t="n">
        <v>0</v>
      </c>
      <c r="FW197" t="inlineStr">
        <is>
          <t>Ground</t>
        </is>
      </c>
      <c r="GA197" t="inlineStr"/>
      <c r="GD197" t="inlineStr">
        <is>
          <t>Assets/MachineBrigade/Resources/Data/balance.json: secondRounds.rounds[52]</t>
        </is>
      </c>
      <c r="GE197" t="inlineStr">
        <is>
          <t>{"id":"naval_100_guided","roundOf":"naval_100","inherits":"naval_100","weaponFamily":"","round":"guided","for":["armour"],"elite":true,"real":"AK-100 100 mm guided","damageType":"HighExplosive","pen":3,"damage":229,"spread":0,"burst":1,"guided":true,"form":"HeShell","targets":"Ground"}</t>
        </is>
      </c>
    </row>
    <row r="198">
      <c r="A198" t="inlineStr">
        <is>
          <t>naval_127</t>
        </is>
      </c>
      <c r="B198" t="inlineStr">
        <is>
          <t>Mk 45 127 mm</t>
        </is>
      </c>
      <c r="C198" t="inlineStr">
        <is>
          <t>cal_127_130</t>
        </is>
      </c>
      <c r="D198" t="inlineStr"/>
      <c r="E198" t="inlineStr"/>
      <c r="F198" t="inlineStr">
        <is>
          <t>howitzer</t>
        </is>
      </c>
      <c r="G198" t="n">
        <v>127</v>
      </c>
      <c r="H198" t="inlineStr"/>
      <c r="I198" t="inlineStr"/>
      <c r="J198" t="inlineStr"/>
      <c r="K198" t="inlineStr">
        <is>
          <t>HighExplosive</t>
        </is>
      </c>
      <c r="L198" t="n">
        <v>3</v>
      </c>
      <c r="M198" t="inlineStr">
        <is>
          <t>Shell</t>
        </is>
      </c>
      <c r="N198" t="n">
        <v>1</v>
      </c>
      <c r="O198" t="inlineStr">
        <is>
          <t>RIPPLE</t>
        </is>
      </c>
      <c r="P198" t="n">
        <v>2</v>
      </c>
      <c r="Q198" t="n">
        <v>0.5</v>
      </c>
      <c r="R198" t="n">
        <v>5.143</v>
      </c>
      <c r="S198" t="n">
        <v>0</v>
      </c>
      <c r="T198" t="n">
        <v>0</v>
      </c>
      <c r="U198" t="n">
        <v>0</v>
      </c>
      <c r="V198" t="n">
        <v>0</v>
      </c>
      <c r="W198" t="n">
        <v>286</v>
      </c>
      <c r="X198" t="n">
        <v>6</v>
      </c>
      <c r="Y198" t="n">
        <v>0</v>
      </c>
      <c r="Z198" t="n">
        <v>110</v>
      </c>
      <c r="AA198" t="n">
        <v>110</v>
      </c>
      <c r="AB198" t="n">
        <v>0</v>
      </c>
      <c r="AC198" t="inlineStr">
        <is>
          <t>Ground</t>
        </is>
      </c>
      <c r="AD198" t="inlineStr"/>
      <c r="AE198" t="n">
        <v>2.2</v>
      </c>
      <c r="AF198" t="inlineStr">
        <is>
          <t>Large</t>
        </is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n">
        <v>127</v>
      </c>
      <c r="AO198" t="n">
        <v>0</v>
      </c>
      <c r="AP198" t="inlineStr">
        <is>
          <t>T3</t>
        </is>
      </c>
      <c r="AQ198" t="inlineStr">
        <is>
          <t>naval_76</t>
        </is>
      </c>
      <c r="AR198" t="inlineStr"/>
      <c r="AS198" t="inlineStr">
        <is>
          <t>boss_part</t>
        </is>
      </c>
      <c r="AT198" t="inlineStr">
        <is>
          <t>naval_127</t>
        </is>
      </c>
      <c r="AU198" t="n">
        <v>1</v>
      </c>
      <c r="AV198" t="inlineStr">
        <is>
          <t>naval_127:part</t>
        </is>
      </c>
      <c r="AW198" t="n">
        <v>0</v>
      </c>
      <c r="AX198" t="b">
        <v>0</v>
      </c>
      <c r="AY198" t="inlineStr"/>
      <c r="AZ198">
        <f>IF(AND($AX$198,$AW$198&gt;$AA$198/$Z$198),$AW$198,$AA$198/$Z$198)</f>
        <v/>
      </c>
      <c r="BA198" t="n">
        <v>1</v>
      </c>
      <c r="BB198" t="n">
        <v>20</v>
      </c>
      <c r="BC198" t="n">
        <v>16</v>
      </c>
      <c r="BD198" t="inlineStr">
        <is>
          <t>gun</t>
        </is>
      </c>
      <c r="BE198" t="inlineStr">
        <is>
          <t>Wikipedia '5"/54 caliber Mark 45': 16-20 rpm</t>
        </is>
      </c>
      <c r="BG198" t="inlineStr">
        <is>
          <t>doi</t>
        </is>
      </c>
      <c r="BH198" t="n">
        <v>200</v>
      </c>
      <c r="BI198" t="n">
        <v>286</v>
      </c>
      <c r="BJ198" t="n">
        <v>3.6</v>
      </c>
      <c r="BK198" t="n">
        <v>5.143</v>
      </c>
      <c r="CT198" t="n">
        <v>127</v>
      </c>
      <c r="DD198" t="n">
        <v>5.143</v>
      </c>
      <c r="DE198" t="n">
        <v>286</v>
      </c>
      <c r="DJ198" t="inlineStr">
        <is>
          <t>howitzer</t>
        </is>
      </c>
      <c r="DS198" t="inlineStr">
        <is>
          <t>Large</t>
        </is>
      </c>
      <c r="DT198" t="inlineStr">
        <is>
          <t>naval_76</t>
        </is>
      </c>
      <c r="EB198" t="n">
        <v>3</v>
      </c>
      <c r="EP198" t="n">
        <v>110</v>
      </c>
      <c r="EQ198" t="inlineStr">
        <is>
          <t>Mk 45 127 mm</t>
        </is>
      </c>
      <c r="EX198" t="n">
        <v>127</v>
      </c>
      <c r="EY198" t="n">
        <v>6</v>
      </c>
      <c r="GB198" t="inlineStr">
        <is>
          <t>cal_127_130</t>
        </is>
      </c>
      <c r="GD198" t="inlineStr">
        <is>
          <t>Assets/MachineBrigade/Resources/Data/balance.json: weapons[268]</t>
        </is>
      </c>
      <c r="GE198" t="inlineStr">
        <is>
          <t>{"id":"naval_127","inherits":"naval_76","weaponFamilyId":"cal_127_130","real":"Mk 45 127 mm","family":"howitzer","size":127,"caliberMm":127,"pen":3,"damage":286,"cooldown":5.143,"range":110,"splash":6,"impactTier":"Large"}</t>
        </is>
      </c>
    </row>
    <row r="199">
      <c r="A199" t="inlineStr">
        <is>
          <t>naval_130_twin</t>
        </is>
      </c>
      <c r="B199" t="inlineStr">
        <is>
          <t>AK-130 130 mm (twin)</t>
        </is>
      </c>
      <c r="C199" t="inlineStr">
        <is>
          <t>cal_127_130</t>
        </is>
      </c>
      <c r="D199" t="inlineStr"/>
      <c r="E199" t="inlineStr"/>
      <c r="F199" t="inlineStr">
        <is>
          <t>howitzer</t>
        </is>
      </c>
      <c r="G199" t="n">
        <v>130</v>
      </c>
      <c r="H199" t="inlineStr"/>
      <c r="I199" t="inlineStr"/>
      <c r="J199" t="inlineStr"/>
      <c r="K199" t="inlineStr">
        <is>
          <t>HighExplosive</t>
        </is>
      </c>
      <c r="L199" t="n">
        <v>3</v>
      </c>
      <c r="M199" t="inlineStr">
        <is>
          <t>Shell</t>
        </is>
      </c>
      <c r="N199" t="n">
        <v>2</v>
      </c>
      <c r="O199" t="inlineStr">
        <is>
          <t>SIMULTANEOUS</t>
        </is>
      </c>
      <c r="P199" t="n">
        <v>1</v>
      </c>
      <c r="Q199" t="n">
        <v>1</v>
      </c>
      <c r="R199" t="n">
        <v>4.286</v>
      </c>
      <c r="S199" t="n">
        <v>0</v>
      </c>
      <c r="T199" t="n">
        <v>0</v>
      </c>
      <c r="U199" t="n">
        <v>0</v>
      </c>
      <c r="V199" t="n">
        <v>0</v>
      </c>
      <c r="W199" t="n">
        <v>543</v>
      </c>
      <c r="X199" t="n">
        <v>5</v>
      </c>
      <c r="Y199" t="n">
        <v>10</v>
      </c>
      <c r="Z199" t="n">
        <v>110</v>
      </c>
      <c r="AA199" t="n">
        <v>90</v>
      </c>
      <c r="AB199" t="n">
        <v>0</v>
      </c>
      <c r="AC199" t="inlineStr">
        <is>
          <t>Ground</t>
        </is>
      </c>
      <c r="AD199" t="inlineStr"/>
      <c r="AE199" t="n">
        <v>2.2</v>
      </c>
      <c r="AF199" t="inlineStr">
        <is>
          <t>Large</t>
        </is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n">
        <v>130</v>
      </c>
      <c r="AO199" t="n">
        <v>0</v>
      </c>
      <c r="AP199" t="inlineStr">
        <is>
          <t>T3</t>
        </is>
      </c>
      <c r="AQ199" t="inlineStr">
        <is>
          <t>naval_100</t>
        </is>
      </c>
      <c r="AR199" t="inlineStr"/>
      <c r="AS199" t="inlineStr">
        <is>
          <t>boss</t>
        </is>
      </c>
      <c r="AT199" t="inlineStr">
        <is>
          <t>scylla</t>
        </is>
      </c>
      <c r="AU199" t="n">
        <v>1</v>
      </c>
      <c r="AV199" t="inlineStr">
        <is>
          <t>scylla:0</t>
        </is>
      </c>
      <c r="AW199" t="n">
        <v>0</v>
      </c>
      <c r="AX199" t="b">
        <v>0</v>
      </c>
      <c r="AY199" t="inlineStr"/>
      <c r="AZ199">
        <f>IF(AND($AX$199,$AW$199&gt;$AA$199/$Z$199),$AW$199,$AA$199/$Z$199)</f>
        <v/>
      </c>
      <c r="BA199" t="n">
        <v>0.8181818181818182</v>
      </c>
      <c r="BB199" t="n">
        <v>40</v>
      </c>
      <c r="BC199" t="n">
        <v>20</v>
      </c>
      <c r="BD199" t="inlineStr">
        <is>
          <t>gun</t>
        </is>
      </c>
      <c r="BE199" t="inlineStr">
        <is>
          <t>Wikipedia 'AK-130': 10-40 rpm a barrel</t>
        </is>
      </c>
      <c r="BF199" t="inlineStr">
        <is>
          <t>real AK-130 10-40 rpm a barrel: 20 rpm (3 s), practical; 4.75 s was too slow</t>
        </is>
      </c>
      <c r="BG199" t="inlineStr">
        <is>
          <t>doi</t>
        </is>
      </c>
      <c r="BH199" t="n">
        <v>160</v>
      </c>
      <c r="BI199" t="n">
        <v>543</v>
      </c>
      <c r="BJ199" t="n">
        <v>1</v>
      </c>
      <c r="BK199" t="n">
        <v>4.286</v>
      </c>
      <c r="BP199" t="n">
        <v>0</v>
      </c>
      <c r="BQ199" t="n">
        <v>10</v>
      </c>
      <c r="BT199" t="n">
        <v>2</v>
      </c>
      <c r="BU199" t="n">
        <v>1</v>
      </c>
      <c r="BX199" t="n">
        <v>1</v>
      </c>
      <c r="BY199" t="n">
        <v>2</v>
      </c>
      <c r="BZ199" t="inlineStr">
        <is>
          <t>RIPPLE</t>
        </is>
      </c>
      <c r="CA199" t="inlineStr">
        <is>
          <t>SIMULTANEOUS</t>
        </is>
      </c>
      <c r="CO199" t="n">
        <v>2</v>
      </c>
      <c r="CR199" t="n">
        <v>1</v>
      </c>
      <c r="CS199" t="n">
        <v>1</v>
      </c>
      <c r="CT199" t="n">
        <v>130</v>
      </c>
      <c r="DD199" t="n">
        <v>4.286</v>
      </c>
      <c r="DE199" t="n">
        <v>543</v>
      </c>
      <c r="DG199" t="n">
        <v>10</v>
      </c>
      <c r="DO199" t="n">
        <v>41</v>
      </c>
      <c r="DS199" t="inlineStr">
        <is>
          <t>Large</t>
        </is>
      </c>
      <c r="DT199" t="inlineStr">
        <is>
          <t>naval_100</t>
        </is>
      </c>
      <c r="EB199" t="n">
        <v>3</v>
      </c>
      <c r="EP199" t="n">
        <v>90</v>
      </c>
      <c r="EQ199" t="inlineStr">
        <is>
          <t>AK-130 130 mm (twin)</t>
        </is>
      </c>
      <c r="EW199" t="inlineStr">
        <is>
          <t>SIMULTANEOUS</t>
        </is>
      </c>
      <c r="EX199" t="n">
        <v>130</v>
      </c>
      <c r="EY199" t="n">
        <v>5</v>
      </c>
      <c r="GB199" t="inlineStr">
        <is>
          <t>cal_127_130</t>
        </is>
      </c>
      <c r="GD199" t="inlineStr">
        <is>
          <t>Assets/MachineBrigade/Resources/Data/balance.json: weapons[270]</t>
        </is>
      </c>
      <c r="GE199" t="inlineStr">
        <is>
          <t>{"id":"naval_130_twin","groundMinReach":41,"inherits":"naval_100","weaponFamilyId":"cal_127_130","salvoMode":"SIMULTANEOUS","barrels":2,"edge":10,"real":"AK-130 130 mm (twin)","size":130,"caliberMm":130,"pen":3,"damage":543,"burst":1,"burstInterval":1,"cooldown":4.286,"range":90,"splash":5,"impactTier":"Large"}</t>
        </is>
      </c>
    </row>
    <row r="200">
      <c r="A200" t="inlineStr">
        <is>
          <t>naval_155_triple</t>
        </is>
      </c>
      <c r="B200" t="inlineStr">
        <is>
          <t>155 mm/60 (triple)</t>
        </is>
      </c>
      <c r="C200" t="inlineStr">
        <is>
          <t>cal_152_155</t>
        </is>
      </c>
      <c r="D200" t="inlineStr"/>
      <c r="E200" t="inlineStr"/>
      <c r="F200" t="inlineStr">
        <is>
          <t>howitzer</t>
        </is>
      </c>
      <c r="G200" t="n">
        <v>155</v>
      </c>
      <c r="H200" t="inlineStr"/>
      <c r="I200" t="inlineStr"/>
      <c r="J200" t="inlineStr"/>
      <c r="K200" t="inlineStr">
        <is>
          <t>HighExplosive</t>
        </is>
      </c>
      <c r="L200" t="n">
        <v>3</v>
      </c>
      <c r="M200" t="inlineStr">
        <is>
          <t>Shell</t>
        </is>
      </c>
      <c r="N200" t="n">
        <v>1</v>
      </c>
      <c r="O200" t="inlineStr">
        <is>
          <t>RIPPLE</t>
        </is>
      </c>
      <c r="P200" t="n">
        <v>3</v>
      </c>
      <c r="Q200" t="n">
        <v>0.25</v>
      </c>
      <c r="R200" t="n">
        <v>10</v>
      </c>
      <c r="S200" t="n">
        <v>0</v>
      </c>
      <c r="T200" t="n">
        <v>0</v>
      </c>
      <c r="U200" t="n">
        <v>0</v>
      </c>
      <c r="V200" t="n">
        <v>0</v>
      </c>
      <c r="W200" t="n">
        <v>320</v>
      </c>
      <c r="X200" t="n">
        <v>4.5</v>
      </c>
      <c r="Y200" t="n">
        <v>0</v>
      </c>
      <c r="Z200" t="n">
        <v>110</v>
      </c>
      <c r="AA200" t="n">
        <v>110</v>
      </c>
      <c r="AB200" t="n">
        <v>0</v>
      </c>
      <c r="AC200" t="inlineStr">
        <is>
          <t>Ground</t>
        </is>
      </c>
      <c r="AD200" t="inlineStr"/>
      <c r="AE200" t="n">
        <v>2.4</v>
      </c>
      <c r="AF200" t="inlineStr">
        <is>
          <t>Large</t>
        </is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n">
        <v>155</v>
      </c>
      <c r="AO200" t="n">
        <v>0</v>
      </c>
      <c r="AP200" t="inlineStr">
        <is>
          <t>T3</t>
        </is>
      </c>
      <c r="AQ200" t="inlineStr">
        <is>
          <t>naval_76</t>
        </is>
      </c>
      <c r="AR200" t="inlineStr">
        <is>
          <t>naval_155_triple_guided</t>
        </is>
      </c>
      <c r="AS200" t="inlineStr"/>
      <c r="AT200" t="inlineStr"/>
      <c r="AU200" t="n">
        <v>0</v>
      </c>
      <c r="AV200" t="inlineStr"/>
      <c r="AW200" t="n">
        <v>0</v>
      </c>
      <c r="AX200" t="b">
        <v>0</v>
      </c>
      <c r="AY200" t="inlineStr"/>
      <c r="AZ200">
        <f>IF(AND($AX$200,$AW$200&gt;$AA$200/$Z$200),$AW$200,$AA$200/$Z$200)</f>
        <v/>
      </c>
      <c r="BA200" t="n">
        <v>1</v>
      </c>
      <c r="BB200" t="n">
        <v>5</v>
      </c>
      <c r="BC200" t="n">
        <v>4</v>
      </c>
      <c r="BD200" t="inlineStr">
        <is>
          <t>gun</t>
        </is>
      </c>
      <c r="BE200" t="inlineStr">
        <is>
          <t>Wikipedia '15.5 cm/60 3rd Year Type' (Mogami): ~5 rpm a gun</t>
        </is>
      </c>
      <c r="BG200" t="inlineStr">
        <is>
          <t>giong</t>
        </is>
      </c>
      <c r="CR200" t="n">
        <v>3</v>
      </c>
      <c r="CS200" t="n">
        <v>0.25</v>
      </c>
      <c r="CT200" t="n">
        <v>155</v>
      </c>
      <c r="DD200" t="n">
        <v>10</v>
      </c>
      <c r="DE200" t="n">
        <v>320</v>
      </c>
      <c r="DJ200" t="inlineStr">
        <is>
          <t>howitzer</t>
        </is>
      </c>
      <c r="DS200" t="inlineStr">
        <is>
          <t>Large</t>
        </is>
      </c>
      <c r="DT200" t="inlineStr">
        <is>
          <t>naval_76</t>
        </is>
      </c>
      <c r="EB200" t="n">
        <v>3</v>
      </c>
      <c r="EI200" t="inlineStr">
        <is>
          <t>shell_155</t>
        </is>
      </c>
      <c r="EJ200" t="n">
        <v>0.7272999999999999</v>
      </c>
      <c r="EP200" t="n">
        <v>110</v>
      </c>
      <c r="EQ200" t="inlineStr">
        <is>
          <t>155 mm/60 (triple)</t>
        </is>
      </c>
      <c r="ET200" t="n">
        <v>0.8</v>
      </c>
      <c r="EX200" t="n">
        <v>155</v>
      </c>
      <c r="EY200" t="n">
        <v>4.5</v>
      </c>
      <c r="EZ200" t="n">
        <v>2.4</v>
      </c>
      <c r="GB200" t="inlineStr">
        <is>
          <t>cal_152_155</t>
        </is>
      </c>
      <c r="GD200" t="inlineStr">
        <is>
          <t>Assets/MachineBrigade/Resources/Data/balance.json: weapons[271]</t>
        </is>
      </c>
      <c r="GE200" t="inlineStr">
        <is>
          <t>{"id":"naval_155_triple","inherits":"naval_76","weaponFamilyId":"cal_152_155","real":"155 mm/60 (triple)","family":"howitzer","size":155,"caliberMm":155,"pen":3,"projectileModel":"shell_155","projectileScale":0.7273,"roundLength":0.8,"damage":320,"cooldown":10,"range":110,"splash":4.5,"spread":2.4,"impactTier":"Large","burst":3,"burstInterval":0.25}</t>
        </is>
      </c>
    </row>
    <row r="201">
      <c r="A201" t="inlineStr">
        <is>
          <t>naval_155_triple_guided</t>
        </is>
      </c>
      <c r="B201" t="inlineStr">
        <is>
          <t>155 mm/60 guided (triple)</t>
        </is>
      </c>
      <c r="C201" t="inlineStr">
        <is>
          <t>cal_152_155</t>
        </is>
      </c>
      <c r="D201" t="inlineStr">
        <is>
          <t>guided</t>
        </is>
      </c>
      <c r="E201" t="inlineStr"/>
      <c r="F201" t="inlineStr">
        <is>
          <t>howitzer</t>
        </is>
      </c>
      <c r="G201" t="n">
        <v>155</v>
      </c>
      <c r="H201" t="inlineStr"/>
      <c r="I201" t="inlineStr"/>
      <c r="J201" t="inlineStr"/>
      <c r="K201" t="inlineStr">
        <is>
          <t>HighExplosive</t>
        </is>
      </c>
      <c r="L201" t="n">
        <v>3</v>
      </c>
      <c r="M201" t="inlineStr">
        <is>
          <t>Shell</t>
        </is>
      </c>
      <c r="N201" t="n">
        <v>1</v>
      </c>
      <c r="O201" t="inlineStr">
        <is>
          <t>RIPPLE</t>
        </is>
      </c>
      <c r="P201" t="n">
        <v>1</v>
      </c>
      <c r="Q201" t="n">
        <v>0.25</v>
      </c>
      <c r="R201" t="n">
        <v>10</v>
      </c>
      <c r="S201" t="n">
        <v>0</v>
      </c>
      <c r="T201" t="n">
        <v>0</v>
      </c>
      <c r="U201" t="n">
        <v>0</v>
      </c>
      <c r="V201" t="n">
        <v>0</v>
      </c>
      <c r="W201" t="n">
        <v>320</v>
      </c>
      <c r="X201" t="n">
        <v>4.5</v>
      </c>
      <c r="Y201" t="n">
        <v>0</v>
      </c>
      <c r="Z201" t="n">
        <v>110</v>
      </c>
      <c r="AA201" t="n">
        <v>110</v>
      </c>
      <c r="AB201" t="n">
        <v>0</v>
      </c>
      <c r="AC201" t="inlineStr">
        <is>
          <t>Ground</t>
        </is>
      </c>
      <c r="AD201" t="inlineStr"/>
      <c r="AE201" t="n">
        <v>0</v>
      </c>
      <c r="AF201" t="inlineStr">
        <is>
          <t>Large</t>
        </is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1</v>
      </c>
      <c r="AN201" t="n">
        <v>155</v>
      </c>
      <c r="AO201" t="n">
        <v>0</v>
      </c>
      <c r="AP201" t="inlineStr">
        <is>
          <t>T3</t>
        </is>
      </c>
      <c r="AQ201" t="inlineStr">
        <is>
          <t>naval_155_triple</t>
        </is>
      </c>
      <c r="AR201" t="inlineStr"/>
      <c r="AS201" t="inlineStr"/>
      <c r="AT201" t="inlineStr"/>
      <c r="AU201" t="n">
        <v>0</v>
      </c>
      <c r="AV201" t="inlineStr"/>
      <c r="AW201" t="n">
        <v>0</v>
      </c>
      <c r="AX201" t="b">
        <v>0</v>
      </c>
      <c r="AY201" t="inlineStr"/>
      <c r="AZ201">
        <f>IF(AND($AX$201,$AW$201&gt;$AA$201/$Z$201),$AW$201,$AA$201/$Z$201)</f>
        <v/>
      </c>
      <c r="BA201" t="n">
        <v>1</v>
      </c>
      <c r="BB201" t="n">
        <v>5</v>
      </c>
      <c r="BC201" t="n">
        <v>4</v>
      </c>
      <c r="BD201" t="inlineStr">
        <is>
          <t>gun</t>
        </is>
      </c>
      <c r="BE201" t="inlineStr">
        <is>
          <t>Wikipedia '15.5 cm/60 3rd Year Type' (Mogami): ~5 rpm a gun</t>
        </is>
      </c>
      <c r="BG201" t="inlineStr">
        <is>
          <t>giong</t>
        </is>
      </c>
      <c r="CR201" t="n">
        <v>1</v>
      </c>
      <c r="DE201" t="n">
        <v>320</v>
      </c>
      <c r="DF201" t="inlineStr">
        <is>
          <t>HighExplosive</t>
        </is>
      </c>
      <c r="DH201" t="b">
        <v>1</v>
      </c>
      <c r="DM201" t="inlineStr">
        <is>
          <t>armour</t>
        </is>
      </c>
      <c r="DN201" t="inlineStr">
        <is>
          <t>HeShell</t>
        </is>
      </c>
      <c r="DP201" t="b">
        <v>1</v>
      </c>
      <c r="DT201" t="inlineStr">
        <is>
          <t>naval_155_triple</t>
        </is>
      </c>
      <c r="EB201" t="n">
        <v>3</v>
      </c>
      <c r="EQ201" t="inlineStr">
        <is>
          <t>155 mm/60 guided (triple)</t>
        </is>
      </c>
      <c r="ES201" t="inlineStr">
        <is>
          <t>guided</t>
        </is>
      </c>
      <c r="EU201" t="inlineStr">
        <is>
          <t>naval_155_triple</t>
        </is>
      </c>
      <c r="EZ201" t="n">
        <v>0</v>
      </c>
      <c r="FW201" t="inlineStr">
        <is>
          <t>Ground</t>
        </is>
      </c>
      <c r="GA201" t="inlineStr"/>
      <c r="GC201" t="inlineStr">
        <is>
          <t>guided</t>
        </is>
      </c>
      <c r="GD201" t="inlineStr">
        <is>
          <t>Assets/MachineBrigade/Resources/Data/balance.json: secondRounds.rounds[53]</t>
        </is>
      </c>
      <c r="GE201" t="inlineStr">
        <is>
          <t>{"id":"naval_155_triple_guided","roundOf":"naval_155_triple","inherits":"naval_155_triple","weaponVariantId":"guided","weaponFamily":"","round":"guided","for":["armour"],"elite":true,"real":"155 mm/60 guided (triple)","damageType":"HighExplosive","pen":3,"damage":320,"spread":0,"burst":1,"guided":true,"form":"HeShell","targets":"Ground"}</t>
        </is>
      </c>
    </row>
    <row r="202">
      <c r="A202" t="inlineStr">
        <is>
          <t>net_zap</t>
        </is>
      </c>
      <c r="B202" t="inlineStr">
        <is>
          <t>Anti-drone net corridor</t>
        </is>
      </c>
      <c r="C202" t="inlineStr">
        <is>
          <t>special_anti_drone_net_corridor</t>
        </is>
      </c>
      <c r="D202" t="inlineStr"/>
      <c r="E202" t="inlineStr"/>
      <c r="F202" t="inlineStr">
        <is>
          <t>special</t>
        </is>
      </c>
      <c r="G202" t="inlineStr"/>
      <c r="H202" t="inlineStr"/>
      <c r="I202" t="inlineStr"/>
      <c r="J202" t="inlineStr"/>
      <c r="K202" t="inlineStr">
        <is>
          <t>Energy</t>
        </is>
      </c>
      <c r="L202" t="n">
        <v>1</v>
      </c>
      <c r="M202" t="inlineStr">
        <is>
          <t>Bullet</t>
        </is>
      </c>
      <c r="N202" t="n">
        <v>1</v>
      </c>
      <c r="O202" t="inlineStr">
        <is>
          <t>RIPPLE</t>
        </is>
      </c>
      <c r="P202" t="n">
        <v>1</v>
      </c>
      <c r="Q202" t="n">
        <v>0.1</v>
      </c>
      <c r="R202" t="n">
        <v>0.5</v>
      </c>
      <c r="S202" t="n">
        <v>0</v>
      </c>
      <c r="T202" t="n">
        <v>0</v>
      </c>
      <c r="U202" t="n">
        <v>0</v>
      </c>
      <c r="V202" t="n">
        <v>0</v>
      </c>
      <c r="W202" t="n">
        <v>999</v>
      </c>
      <c r="X202" t="n">
        <v>0</v>
      </c>
      <c r="Y202" t="n">
        <v>0</v>
      </c>
      <c r="Z202" t="n">
        <v>200</v>
      </c>
      <c r="AA202" t="n">
        <v>15</v>
      </c>
      <c r="AB202" t="n">
        <v>0</v>
      </c>
      <c r="AC202" t="inlineStr">
        <is>
          <t>Air</t>
        </is>
      </c>
      <c r="AD202" t="inlineStr"/>
      <c r="AE202" t="n">
        <v>0</v>
      </c>
      <c r="AF202" t="inlineStr">
        <is>
          <t>Small</t>
        </is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n">
        <v>1</v>
      </c>
      <c r="AO202" t="n">
        <v>0</v>
      </c>
      <c r="AP202" t="inlineStr">
        <is>
          <t>T0</t>
        </is>
      </c>
      <c r="AQ202" t="inlineStr"/>
      <c r="AR202" t="inlineStr"/>
      <c r="AS202" t="inlineStr">
        <is>
          <t>thap</t>
        </is>
      </c>
      <c r="AT202" t="inlineStr">
        <is>
          <t>drone_net_tower</t>
        </is>
      </c>
      <c r="AU202" t="n">
        <v>1</v>
      </c>
      <c r="AV202" t="inlineStr">
        <is>
          <t>drone_net_tower:0</t>
        </is>
      </c>
      <c r="AW202" t="n">
        <v>0</v>
      </c>
      <c r="AX202" t="b">
        <v>0</v>
      </c>
      <c r="AY202" t="inlineStr"/>
      <c r="AZ202">
        <f>IF(AND($AX$202,$AW$202&gt;$AA$202/$Z$202),$AW$202,$AA$202/$Z$202)</f>
        <v/>
      </c>
      <c r="BA202" t="n">
        <v>0.075</v>
      </c>
      <c r="BB202" t="inlineStr">
        <is>
          <t>NEED_SOURCE</t>
        </is>
      </c>
      <c r="BC202" t="inlineStr">
        <is>
          <t>NEED_SOURCE</t>
        </is>
      </c>
      <c r="BE202" t="inlineStr">
        <is>
          <t>NEED_SOURCE</t>
        </is>
      </c>
      <c r="BG202" t="inlineStr">
        <is>
          <t>giong</t>
        </is>
      </c>
      <c r="DD202" t="n">
        <v>0.5</v>
      </c>
      <c r="DE202" t="n">
        <v>999</v>
      </c>
      <c r="DF202" t="inlineStr">
        <is>
          <t>Energy</t>
        </is>
      </c>
      <c r="DJ202" t="inlineStr">
        <is>
          <t>special</t>
        </is>
      </c>
      <c r="DS202" t="inlineStr">
        <is>
          <t>Small</t>
        </is>
      </c>
      <c r="EB202" t="n">
        <v>1</v>
      </c>
      <c r="EG202" t="inlineStr">
        <is>
          <t>Drones</t>
        </is>
      </c>
      <c r="EH202" t="inlineStr">
        <is>
          <t>Bullet</t>
        </is>
      </c>
      <c r="EK202" t="n">
        <v>200</v>
      </c>
      <c r="EP202" t="n">
        <v>15</v>
      </c>
      <c r="EQ202" t="inlineStr">
        <is>
          <t>Anti-drone net corridor</t>
        </is>
      </c>
      <c r="EX202" t="n">
        <v>1</v>
      </c>
      <c r="FW202" t="inlineStr">
        <is>
          <t>Air</t>
        </is>
      </c>
      <c r="GB202" t="inlineStr">
        <is>
          <t>special_anti_drone_net_corridor</t>
        </is>
      </c>
      <c r="GD202" t="inlineStr">
        <is>
          <t>Assets/MachineBrigade/Resources/Data/balance.json: weapons[288]</t>
        </is>
      </c>
      <c r="GE202" t="inlineStr">
        <is>
          <t>{"id":"net_zap","weaponFamilyId":"special_anti_drone_net_corridor","real":"Anti-drone net corridor","family":"special","size":1,"pen":1,"damageType":"Energy","damage":999,"cooldown":0.5,"range":15,"projectileSpeed":200,"impactTier":"Small","projectile":"Bullet","targets":"Air","prey":"Drones"}</t>
        </is>
      </c>
    </row>
    <row r="203">
      <c r="A203" t="inlineStr">
        <is>
          <t>none</t>
        </is>
      </c>
      <c r="B203" t="inlineStr"/>
      <c r="C203" t="inlineStr">
        <is>
          <t>wpn_none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Kinetic</t>
        </is>
      </c>
      <c r="L203" t="n">
        <v>0</v>
      </c>
      <c r="M203" t="inlineStr">
        <is>
          <t>Shell</t>
        </is>
      </c>
      <c r="N203" t="n">
        <v>1</v>
      </c>
      <c r="O203" t="inlineStr">
        <is>
          <t>RIPPLE</t>
        </is>
      </c>
      <c r="P203" t="n">
        <v>1</v>
      </c>
      <c r="Q203" t="n">
        <v>0.1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100</v>
      </c>
      <c r="AA203" t="n">
        <v>1</v>
      </c>
      <c r="AB203" t="n">
        <v>0</v>
      </c>
      <c r="AC203" t="inlineStr">
        <is>
          <t>Ground</t>
        </is>
      </c>
      <c r="AD203" t="inlineStr"/>
      <c r="AE203" t="n">
        <v>0</v>
      </c>
      <c r="AF203" t="inlineStr">
        <is>
          <t>Small</t>
        </is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n">
        <v>0</v>
      </c>
      <c r="AO203" t="n">
        <v>0</v>
      </c>
      <c r="AP203" t="inlineStr">
        <is>
          <t>T0</t>
        </is>
      </c>
      <c r="AQ203" t="inlineStr"/>
      <c r="AR203" t="inlineStr"/>
      <c r="AS203" t="inlineStr">
        <is>
          <t>cong_trinh;thap;xe</t>
        </is>
      </c>
      <c r="AT203" t="inlineStr">
        <is>
          <t>aircraft_hangar;airfield;barrage_balloon;blast_wall;bunker_shelter_tower;cp_relay;drop_pod;ew_tower;ew_tower.drone;ew_tower.spoof;fire_control_centre;logistics_station;repair_bay;shield_tower;shield_tower.bulwark;shield_tower.ward;stealth_naval_strike;super_gun;targeting_station;vehicle_hangar;wall_gun;wall_hesco;wall_t</t>
        </is>
      </c>
      <c r="AU203" t="n">
        <v>23</v>
      </c>
      <c r="AV203" t="inlineStr">
        <is>
          <t>aircraft_hangar:0;airfield:0;barrage_balloon:0;blast_wall:0;bunker_shelter_tower:0;cp_relay:0;drop_pod:0;ew_tower:0;ew_tower.drone:0;ew_tower.spoof:0;fire_control_centre:0;logistics_station:0;repair_bay:0;shield_tower:0;shield_tower.bulwark:0;shield_tower.ward:0;stealth_naval_strike:0;super_gun:0;targeting_station:0;vehicle_hangar:0;wall_gun:0;wall_hesco:0;wall_t:0</t>
        </is>
      </c>
      <c r="AW203" t="n">
        <v>0</v>
      </c>
      <c r="AX203" t="b">
        <v>0</v>
      </c>
      <c r="AY203" t="inlineStr"/>
      <c r="AZ203">
        <f>IF(AND($AX$203,$AW$203&gt;$AA$203/$Z$203),$AW$203,$AA$203/$Z$203)</f>
        <v/>
      </c>
      <c r="BA203" t="n">
        <v>0.01</v>
      </c>
      <c r="BB203" t="inlineStr">
        <is>
          <t>NEED_SOURCE</t>
        </is>
      </c>
      <c r="BC203" t="inlineStr">
        <is>
          <t>NEED_SOURCE</t>
        </is>
      </c>
      <c r="BE203" t="inlineStr">
        <is>
          <t>NEED_SOURCE</t>
        </is>
      </c>
      <c r="BG203" t="inlineStr">
        <is>
          <t>giong</t>
        </is>
      </c>
      <c r="DD203" t="n">
        <v>1</v>
      </c>
      <c r="DE203" t="n">
        <v>0</v>
      </c>
      <c r="DF203" t="inlineStr">
        <is>
          <t>Kinetic</t>
        </is>
      </c>
      <c r="DN203" t="inlineStr">
        <is>
          <t>None</t>
        </is>
      </c>
      <c r="DS203" t="inlineStr">
        <is>
          <t>Small</t>
        </is>
      </c>
      <c r="EB203" t="n">
        <v>0</v>
      </c>
      <c r="EK203" t="n">
        <v>100</v>
      </c>
      <c r="EP203" t="n">
        <v>1</v>
      </c>
      <c r="GB203" t="inlineStr">
        <is>
          <t>wpn_none</t>
        </is>
      </c>
      <c r="GD203" t="inlineStr">
        <is>
          <t>Assets/MachineBrigade/Resources/Data/balance.json: weapons[105]</t>
        </is>
      </c>
      <c r="GE203" t="inlineStr">
        <is>
          <t>{"id":"none","weaponFamilyId":"wpn_none","pen":0,"form":"None","damageType":"Kinetic","damage":0,"cooldown":1,"range":1,"projectileSpeed":100,"impactTier":"Small"}</t>
        </is>
      </c>
    </row>
    <row r="204">
      <c r="A204" t="inlineStr">
        <is>
          <t>nyx_ags_155</t>
        </is>
      </c>
      <c r="B204" t="inlineStr">
        <is>
          <t>155 mm/62 AGS (Zumwalt-class, single)</t>
        </is>
      </c>
      <c r="C204" t="inlineStr">
        <is>
          <t>cal_152_155</t>
        </is>
      </c>
      <c r="D204" t="inlineStr"/>
      <c r="E204" t="inlineStr"/>
      <c r="F204" t="inlineStr">
        <is>
          <t>howitzer</t>
        </is>
      </c>
      <c r="G204" t="n">
        <v>155</v>
      </c>
      <c r="H204" t="inlineStr"/>
      <c r="I204" t="inlineStr"/>
      <c r="J204" t="inlineStr"/>
      <c r="K204" t="inlineStr">
        <is>
          <t>HighExplosive</t>
        </is>
      </c>
      <c r="L204" t="n">
        <v>3</v>
      </c>
      <c r="M204" t="inlineStr">
        <is>
          <t>Shell</t>
        </is>
      </c>
      <c r="N204" t="n">
        <v>1</v>
      </c>
      <c r="O204" t="inlineStr">
        <is>
          <t>RIPPLE</t>
        </is>
      </c>
      <c r="P204" t="n">
        <v>2</v>
      </c>
      <c r="Q204" t="n">
        <v>0.6</v>
      </c>
      <c r="R204" t="n">
        <v>8</v>
      </c>
      <c r="S204" t="n">
        <v>0</v>
      </c>
      <c r="T204" t="n">
        <v>0</v>
      </c>
      <c r="U204" t="n">
        <v>0</v>
      </c>
      <c r="V204" t="n">
        <v>0</v>
      </c>
      <c r="W204" t="n">
        <v>360</v>
      </c>
      <c r="X204" t="n">
        <v>7</v>
      </c>
      <c r="Y204" t="n">
        <v>14</v>
      </c>
      <c r="Z204" t="n">
        <v>150</v>
      </c>
      <c r="AA204" t="n">
        <v>80</v>
      </c>
      <c r="AB204" t="n">
        <v>0</v>
      </c>
      <c r="AC204" t="inlineStr">
        <is>
          <t>Ground</t>
        </is>
      </c>
      <c r="AD204" t="inlineStr"/>
      <c r="AE204" t="n">
        <v>2</v>
      </c>
      <c r="AF204" t="inlineStr">
        <is>
          <t>Large</t>
        </is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n">
        <v>155</v>
      </c>
      <c r="AO204" t="n">
        <v>0</v>
      </c>
      <c r="AP204" t="inlineStr">
        <is>
          <t>T3</t>
        </is>
      </c>
      <c r="AQ204" t="inlineStr">
        <is>
          <t>naval_155_triple</t>
        </is>
      </c>
      <c r="AR204" t="inlineStr"/>
      <c r="AS204" t="inlineStr">
        <is>
          <t>boss</t>
        </is>
      </c>
      <c r="AT204" t="inlineStr">
        <is>
          <t>nyx</t>
        </is>
      </c>
      <c r="AU204" t="n">
        <v>1</v>
      </c>
      <c r="AV204" t="inlineStr">
        <is>
          <t>nyx:0</t>
        </is>
      </c>
      <c r="AW204" t="n">
        <v>0</v>
      </c>
      <c r="AX204" t="b">
        <v>0</v>
      </c>
      <c r="AY204" t="inlineStr"/>
      <c r="AZ204">
        <f>IF(AND($AX$204,$AW$204&gt;$AA$204/$Z$204),$AW$204,$AA$204/$Z$204)</f>
        <v/>
      </c>
      <c r="BA204" t="n">
        <v>0.5333333333333333</v>
      </c>
      <c r="BB204" t="inlineStr">
        <is>
          <t>NEED_SOURCE</t>
        </is>
      </c>
      <c r="BC204" t="inlineStr">
        <is>
          <t>NEED_SOURCE</t>
        </is>
      </c>
      <c r="BE204" t="inlineStr">
        <is>
          <t>NEED_SOURCE</t>
        </is>
      </c>
      <c r="BG204" t="inlineStr">
        <is>
          <t>moi</t>
        </is>
      </c>
      <c r="CR204" t="n">
        <v>2</v>
      </c>
      <c r="CS204" t="n">
        <v>0.6</v>
      </c>
      <c r="DD204" t="n">
        <v>8</v>
      </c>
      <c r="DE204" t="n">
        <v>360</v>
      </c>
      <c r="DG204" t="n">
        <v>14</v>
      </c>
      <c r="DO204" t="n">
        <v>33</v>
      </c>
      <c r="DS204" t="inlineStr">
        <is>
          <t>Large</t>
        </is>
      </c>
      <c r="DT204" t="inlineStr">
        <is>
          <t>naval_155_triple</t>
        </is>
      </c>
      <c r="EB204" t="n">
        <v>3</v>
      </c>
      <c r="EK204" t="n">
        <v>150</v>
      </c>
      <c r="EP204" t="n">
        <v>80</v>
      </c>
      <c r="EQ204" t="inlineStr">
        <is>
          <t>155 mm/62 AGS (Zumwalt-class, single)</t>
        </is>
      </c>
      <c r="EY204" t="n">
        <v>7</v>
      </c>
      <c r="EZ204" t="n">
        <v>2</v>
      </c>
      <c r="GA204" t="inlineStr"/>
      <c r="GD204" t="inlineStr">
        <is>
          <t>Assets/MachineBrigade/Resources/Data/balance.json: weapons[272]</t>
        </is>
      </c>
      <c r="GE204" t="inlineStr">
        <is>
          <t>{"id":"nyx_ags_155","groundMinReach":33,"inherits":"naval_155_triple","weaponFamily":"","real":"155 mm/62 AGS (Zumwalt-class, single)","damage":360,"burst":2,"burstInterval":0.6,"cooldown":8,"range":80,"projectileSpeed":150,"splash":7,"edge":14,"pen":3,"spread":2,"impactTier":"Large"}</t>
        </is>
      </c>
    </row>
    <row r="205">
      <c r="A205" t="inlineStr">
        <is>
          <t>nyx_millennium</t>
        </is>
      </c>
      <c r="B205" t="inlineStr">
        <is>
          <t>Oerlikon Millennium 35 mm (AHEAD, stealth turret)</t>
        </is>
      </c>
      <c r="C205" t="inlineStr">
        <is>
          <t>cal_35</t>
        </is>
      </c>
      <c r="D205" t="inlineStr"/>
      <c r="E205" t="inlineStr">
        <is>
          <t>oerlikon_35_mm</t>
        </is>
      </c>
      <c r="F205" t="inlineStr">
        <is>
          <t>autocannon</t>
        </is>
      </c>
      <c r="G205" t="n">
        <v>35</v>
      </c>
      <c r="H205" t="inlineStr"/>
      <c r="I205" t="inlineStr"/>
      <c r="J205" t="inlineStr"/>
      <c r="K205" t="inlineStr">
        <is>
          <t>Fragmentation</t>
        </is>
      </c>
      <c r="L205" t="n">
        <v>2</v>
      </c>
      <c r="M205" t="inlineStr">
        <is>
          <t>Bullet</t>
        </is>
      </c>
      <c r="N205" t="n">
        <v>1</v>
      </c>
      <c r="O205" t="inlineStr">
        <is>
          <t>RIPPLE</t>
        </is>
      </c>
      <c r="P205" t="n">
        <v>1</v>
      </c>
      <c r="Q205" t="n">
        <v>0.1</v>
      </c>
      <c r="R205" t="n">
        <v>0.06</v>
      </c>
      <c r="S205" t="n">
        <v>24</v>
      </c>
      <c r="T205" t="n">
        <v>2.8</v>
      </c>
      <c r="U205" t="n">
        <v>0</v>
      </c>
      <c r="V205" t="n">
        <v>0</v>
      </c>
      <c r="W205" t="n">
        <v>24</v>
      </c>
      <c r="X205" t="n">
        <v>2.5</v>
      </c>
      <c r="Y205" t="n">
        <v>0</v>
      </c>
      <c r="Z205" t="n">
        <v>260</v>
      </c>
      <c r="AA205" t="n">
        <v>46</v>
      </c>
      <c r="AB205" t="n">
        <v>0</v>
      </c>
      <c r="AC205" t="inlineStr">
        <is>
          <t>Air</t>
        </is>
      </c>
      <c r="AD205" t="inlineStr"/>
      <c r="AE205" t="n">
        <v>1.5</v>
      </c>
      <c r="AF205" t="inlineStr">
        <is>
          <t>Small</t>
        </is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n">
        <v>35</v>
      </c>
      <c r="AO205" t="n">
        <v>0</v>
      </c>
      <c r="AP205" t="inlineStr">
        <is>
          <t>T1</t>
        </is>
      </c>
      <c r="AQ205" t="inlineStr">
        <is>
          <t>boss_flak</t>
        </is>
      </c>
      <c r="AR205" t="inlineStr"/>
      <c r="AS205" t="inlineStr">
        <is>
          <t>boss</t>
        </is>
      </c>
      <c r="AT205" t="inlineStr">
        <is>
          <t>nyx</t>
        </is>
      </c>
      <c r="AU205" t="n">
        <v>1</v>
      </c>
      <c r="AV205" t="inlineStr">
        <is>
          <t>nyx:3;nyx:4</t>
        </is>
      </c>
      <c r="AW205" t="n">
        <v>0</v>
      </c>
      <c r="AX205" t="b">
        <v>0</v>
      </c>
      <c r="AY205" t="inlineStr"/>
      <c r="AZ205">
        <f>IF(AND($AX$205,$AW$205&gt;$AA$205/$Z$205),$AW$205,$AA$205/$Z$205)</f>
        <v/>
      </c>
      <c r="BA205" t="n">
        <v>0.1769230769230769</v>
      </c>
      <c r="BB205" t="inlineStr">
        <is>
          <t>NEED_SOURCE</t>
        </is>
      </c>
      <c r="BC205" t="inlineStr">
        <is>
          <t>NEED_SOURCE</t>
        </is>
      </c>
      <c r="BE205" t="inlineStr">
        <is>
          <t>NEED_SOURCE</t>
        </is>
      </c>
      <c r="BG205" t="inlineStr">
        <is>
          <t>moi</t>
        </is>
      </c>
      <c r="CO205" t="n">
        <v>1</v>
      </c>
      <c r="CW205" t="n">
        <v>24</v>
      </c>
      <c r="CX205" t="n">
        <v>2.8</v>
      </c>
      <c r="DD205" t="n">
        <v>0.06</v>
      </c>
      <c r="DE205" t="n">
        <v>24</v>
      </c>
      <c r="DT205" t="inlineStr">
        <is>
          <t>boss_flak</t>
        </is>
      </c>
      <c r="EP205" t="n">
        <v>46</v>
      </c>
      <c r="EQ205" t="inlineStr">
        <is>
          <t>Oerlikon Millennium 35 mm (AHEAD, stealth turret)</t>
        </is>
      </c>
      <c r="FW205" t="inlineStr">
        <is>
          <t>Air</t>
        </is>
      </c>
      <c r="GB205" t="inlineStr">
        <is>
          <t>cal_35</t>
        </is>
      </c>
      <c r="GD205" t="inlineStr">
        <is>
          <t>Assets/MachineBrigade/Resources/Data/balance.json: weapons[276]</t>
        </is>
      </c>
      <c r="GE205" t="inlineStr">
        <is>
          <t>{"id":"nyx_millennium","inherits":"boss_flak","weaponFamilyId":"cal_35","real":"Oerlikon Millennium 35 mm (AHEAD, stealth turret)","barrels":1,"damage":24,"cooldown":0.06,"range":46,"clip":24,"clipReload":2.8,"targets":"Air"}</t>
        </is>
      </c>
    </row>
    <row r="206">
      <c r="A206" t="inlineStr">
        <is>
          <t>nyx_tomahawk</t>
        </is>
      </c>
      <c r="B206" t="inlineStr">
        <is>
          <t>RGM-109E Tomahawk (Mk 41-type 8-cell VLS)</t>
        </is>
      </c>
      <c r="C206" t="inlineStr">
        <is>
          <t>cruise_typhon_mrc</t>
        </is>
      </c>
      <c r="D206" t="inlineStr"/>
      <c r="E206" t="inlineStr"/>
      <c r="F206" t="inlineStr">
        <is>
          <t>cruise_missile</t>
        </is>
      </c>
      <c r="G206" t="inlineStr"/>
      <c r="H206" t="n">
        <v>450</v>
      </c>
      <c r="I206" t="inlineStr"/>
      <c r="J206" t="inlineStr"/>
      <c r="K206" t="inlineStr">
        <is>
          <t>HighExplosive</t>
        </is>
      </c>
      <c r="L206" t="n">
        <v>3</v>
      </c>
      <c r="M206" t="inlineStr">
        <is>
          <t>Missile</t>
        </is>
      </c>
      <c r="N206" t="n">
        <v>1</v>
      </c>
      <c r="O206" t="inlineStr">
        <is>
          <t>RIPPLE</t>
        </is>
      </c>
      <c r="P206" t="n">
        <v>1</v>
      </c>
      <c r="Q206" t="n">
        <v>0.1</v>
      </c>
      <c r="R206" t="n">
        <v>24</v>
      </c>
      <c r="S206" t="n">
        <v>2</v>
      </c>
      <c r="T206" t="n">
        <v>30</v>
      </c>
      <c r="U206" t="n">
        <v>0</v>
      </c>
      <c r="V206" t="n">
        <v>0</v>
      </c>
      <c r="W206" t="n">
        <v>340</v>
      </c>
      <c r="X206" t="n">
        <v>8</v>
      </c>
      <c r="Y206" t="n">
        <v>0</v>
      </c>
      <c r="Z206" t="n">
        <v>70</v>
      </c>
      <c r="AA206" t="n">
        <v>120</v>
      </c>
      <c r="AB206" t="n">
        <v>0</v>
      </c>
      <c r="AC206" t="inlineStr">
        <is>
          <t>All</t>
        </is>
      </c>
      <c r="AD206" t="inlineStr"/>
      <c r="AE206" t="n">
        <v>0</v>
      </c>
      <c r="AF206" t="inlineStr">
        <is>
          <t>Large</t>
        </is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n">
        <v>450</v>
      </c>
      <c r="AO206" t="n">
        <v>0</v>
      </c>
      <c r="AP206" t="inlineStr">
        <is>
          <t>T4</t>
        </is>
      </c>
      <c r="AQ206" t="inlineStr">
        <is>
          <t>cruise_missile_ground</t>
        </is>
      </c>
      <c r="AR206" t="inlineStr"/>
      <c r="AS206" t="inlineStr">
        <is>
          <t>boss</t>
        </is>
      </c>
      <c r="AT206" t="inlineStr">
        <is>
          <t>nyx</t>
        </is>
      </c>
      <c r="AU206" t="n">
        <v>1</v>
      </c>
      <c r="AV206" t="inlineStr">
        <is>
          <t>nyx:5</t>
        </is>
      </c>
      <c r="AW206" t="n">
        <v>2.5</v>
      </c>
      <c r="AX206" t="b">
        <v>0</v>
      </c>
      <c r="AY206" t="inlineStr"/>
      <c r="AZ206">
        <f>IF(AND($AX$206,$AW$206&gt;$AA$206/$Z$206),$AW$206,$AA$206/$Z$206)</f>
        <v/>
      </c>
      <c r="BA206" t="n">
        <v>1.714285714285714</v>
      </c>
      <c r="BB206" t="n">
        <v>20</v>
      </c>
      <c r="BC206" t="n">
        <v>6</v>
      </c>
      <c r="BD206" t="inlineStr">
        <is>
          <t>missile</t>
        </is>
      </c>
      <c r="BE206" t="inlineStr">
        <is>
          <t>cruise missiles: ~3 s between launches (est.)</t>
        </is>
      </c>
      <c r="BG206" t="inlineStr">
        <is>
          <t>moi</t>
        </is>
      </c>
      <c r="DD206" t="n">
        <v>24</v>
      </c>
      <c r="DE206" t="n">
        <v>340</v>
      </c>
      <c r="DF206" t="inlineStr">
        <is>
          <t>HighExplosive</t>
        </is>
      </c>
      <c r="DL206" t="inlineStr">
        <is>
          <t>Loft</t>
        </is>
      </c>
      <c r="DS206" t="inlineStr">
        <is>
          <t>Large</t>
        </is>
      </c>
      <c r="DT206" t="inlineStr">
        <is>
          <t>cruise_missile_ground</t>
        </is>
      </c>
      <c r="EB206" t="n">
        <v>3</v>
      </c>
      <c r="EK206" t="n">
        <v>70</v>
      </c>
      <c r="EP206" t="n">
        <v>120</v>
      </c>
      <c r="EQ206" t="inlineStr">
        <is>
          <t>RGM-109E Tomahawk (Mk 41-type 8-cell VLS)</t>
        </is>
      </c>
      <c r="EY206" t="n">
        <v>8</v>
      </c>
      <c r="GA206" t="inlineStr"/>
      <c r="GD206" t="inlineStr">
        <is>
          <t>Assets/MachineBrigade/Resources/Data/balance.json: weapons[277]</t>
        </is>
      </c>
      <c r="GE206" t="inlineStr">
        <is>
          <t>{"id":"nyx_tomahawk","inherits":"cruise_missile_ground","weaponFamily":"","real":"RGM-109E Tomahawk (Mk 41-type 8-cell VLS)","flightProfile":"Loft","damageType":"HighExplosive","pen":3,"damage":340,"cooldown":24,"range":120,"projectileSpeed":70,"splash":8,"impactTier":"Large"}</t>
        </is>
      </c>
    </row>
    <row r="207">
      <c r="A207" t="inlineStr">
        <is>
          <t>one_shot_kornet</t>
        </is>
      </c>
      <c r="B207" t="inlineStr">
        <is>
          <t>9M133 Kornet</t>
        </is>
      </c>
      <c r="C207" t="inlineStr">
        <is>
          <t>atgm_kornet</t>
        </is>
      </c>
      <c r="D207" t="inlineStr"/>
      <c r="E207" t="inlineStr">
        <is>
          <t>9m133_kornet</t>
        </is>
      </c>
      <c r="F207" t="inlineStr">
        <is>
          <t>atgm</t>
        </is>
      </c>
      <c r="G207" t="inlineStr"/>
      <c r="H207" t="n">
        <v>7</v>
      </c>
      <c r="I207" t="inlineStr"/>
      <c r="J207" t="inlineStr"/>
      <c r="K207" t="inlineStr">
        <is>
          <t>ShapedCharge</t>
        </is>
      </c>
      <c r="L207" t="n">
        <v>4</v>
      </c>
      <c r="M207" t="inlineStr">
        <is>
          <t>Missile</t>
        </is>
      </c>
      <c r="N207" t="n">
        <v>1</v>
      </c>
      <c r="O207" t="inlineStr">
        <is>
          <t>RIPPLE</t>
        </is>
      </c>
      <c r="P207" t="n">
        <v>1</v>
      </c>
      <c r="Q207" t="n">
        <v>0.6</v>
      </c>
      <c r="R207" t="n">
        <v>1.2</v>
      </c>
      <c r="S207" t="n">
        <v>8</v>
      </c>
      <c r="T207" t="n">
        <v>999999</v>
      </c>
      <c r="U207" t="n">
        <v>0</v>
      </c>
      <c r="V207" t="n">
        <v>0</v>
      </c>
      <c r="W207" t="n">
        <v>230</v>
      </c>
      <c r="X207" t="n">
        <v>0</v>
      </c>
      <c r="Y207" t="n">
        <v>0</v>
      </c>
      <c r="Z207" t="n">
        <v>80</v>
      </c>
      <c r="AA207" t="n">
        <v>50</v>
      </c>
      <c r="AB207" t="n">
        <v>0</v>
      </c>
      <c r="AC207" t="inlineStr">
        <is>
          <t>Ground</t>
        </is>
      </c>
      <c r="AD207" t="inlineStr"/>
      <c r="AE207" t="n">
        <v>0</v>
      </c>
      <c r="AF207" t="inlineStr">
        <is>
          <t>Medium</t>
        </is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n">
        <v>29</v>
      </c>
      <c r="AO207" t="n">
        <v>0</v>
      </c>
      <c r="AP207" t="inlineStr">
        <is>
          <t>T2</t>
        </is>
      </c>
      <c r="AQ207" t="inlineStr">
        <is>
          <t>tower_kornet</t>
        </is>
      </c>
      <c r="AR207" t="inlineStr"/>
      <c r="AS207" t="inlineStr">
        <is>
          <t>thap</t>
        </is>
      </c>
      <c r="AT207" t="inlineStr">
        <is>
          <t>one_shot_atgm_tower</t>
        </is>
      </c>
      <c r="AU207" t="n">
        <v>1</v>
      </c>
      <c r="AV207" t="inlineStr">
        <is>
          <t>one_shot_atgm_tower:0</t>
        </is>
      </c>
      <c r="AW207" t="n">
        <v>0</v>
      </c>
      <c r="AX207" t="b">
        <v>0</v>
      </c>
      <c r="AY207" t="inlineStr"/>
      <c r="AZ207">
        <f>IF(AND($AX$207,$AW$207&gt;$AA$207/$Z$207),$AW$207,$AA$207/$Z$207)</f>
        <v/>
      </c>
      <c r="BA207" t="n">
        <v>0.625</v>
      </c>
      <c r="BB207" t="n">
        <v>3</v>
      </c>
      <c r="BC207" t="n">
        <v>3</v>
      </c>
      <c r="BD207" t="inlineStr">
        <is>
          <t>atgm</t>
        </is>
      </c>
      <c r="BE207" t="inlineStr">
        <is>
          <t>Wikipedia '9M133 Kornet': 2-3 rpm</t>
        </is>
      </c>
      <c r="BG207" t="inlineStr">
        <is>
          <t>doi</t>
        </is>
      </c>
      <c r="BR207" t="n">
        <v>22</v>
      </c>
      <c r="BS207" t="n">
        <v>80</v>
      </c>
      <c r="CR207" t="n">
        <v>1</v>
      </c>
      <c r="CW207" t="n">
        <v>8</v>
      </c>
      <c r="CX207" t="n">
        <v>999999</v>
      </c>
      <c r="DD207" t="n">
        <v>1.2</v>
      </c>
      <c r="DT207" t="inlineStr">
        <is>
          <t>tower_kornet</t>
        </is>
      </c>
      <c r="EQ207" t="inlineStr">
        <is>
          <t>9M133 Kornet</t>
        </is>
      </c>
      <c r="GD207" t="inlineStr">
        <is>
          <t>Assets/MachineBrigade/Resources/Data/balance.json: weapons[289]</t>
        </is>
      </c>
      <c r="GE207" t="inlineStr">
        <is>
          <t>{"id":"one_shot_kornet","inherits":"tower_kornet","real":"9M133 Kornet","burst":1,"cooldown":1.2,"clip":8,"clipReload":999999}</t>
        </is>
      </c>
    </row>
    <row r="208">
      <c r="A208" t="inlineStr">
        <is>
          <t>orbital_laser</t>
        </is>
      </c>
      <c r="B208" t="inlineStr">
        <is>
          <t>laser (150 kW)</t>
        </is>
      </c>
      <c r="C208" t="inlineStr">
        <is>
          <t>laser_laser</t>
        </is>
      </c>
      <c r="D208" t="inlineStr"/>
      <c r="E208" t="inlineStr"/>
      <c r="F208" t="inlineStr">
        <is>
          <t>laser</t>
        </is>
      </c>
      <c r="G208" t="inlineStr"/>
      <c r="H208" t="inlineStr"/>
      <c r="I208" t="n">
        <v>150</v>
      </c>
      <c r="J208" t="inlineStr"/>
      <c r="K208" t="inlineStr">
        <is>
          <t>Energy</t>
        </is>
      </c>
      <c r="L208" t="n">
        <v>4</v>
      </c>
      <c r="M208" t="inlineStr">
        <is>
          <t>Bullet</t>
        </is>
      </c>
      <c r="N208" t="n">
        <v>1</v>
      </c>
      <c r="O208" t="inlineStr">
        <is>
          <t>RIPPLE</t>
        </is>
      </c>
      <c r="P208" t="n">
        <v>1</v>
      </c>
      <c r="Q208" t="n">
        <v>0.1</v>
      </c>
      <c r="R208" t="n">
        <v>0.1</v>
      </c>
      <c r="S208" t="n">
        <v>0</v>
      </c>
      <c r="T208" t="n">
        <v>0</v>
      </c>
      <c r="U208" t="n">
        <v>0</v>
      </c>
      <c r="V208" t="n">
        <v>0</v>
      </c>
      <c r="W208" t="n">
        <v>9</v>
      </c>
      <c r="X208" t="n">
        <v>1.5</v>
      </c>
      <c r="Y208" t="n">
        <v>0</v>
      </c>
      <c r="Z208" t="n">
        <v>3000</v>
      </c>
      <c r="AA208" t="n">
        <v>36</v>
      </c>
      <c r="AB208" t="n">
        <v>0</v>
      </c>
      <c r="AC208" t="inlineStr">
        <is>
          <t>Ground</t>
        </is>
      </c>
      <c r="AD208" t="inlineStr"/>
      <c r="AE208" t="n">
        <v>0</v>
      </c>
      <c r="AF208" t="inlineStr">
        <is>
          <t>Small</t>
        </is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1</v>
      </c>
      <c r="AM208" t="b">
        <v>0</v>
      </c>
      <c r="AN208" t="n">
        <v>150</v>
      </c>
      <c r="AO208" t="n">
        <v>0</v>
      </c>
      <c r="AP208" t="inlineStr">
        <is>
          <t>T1</t>
        </is>
      </c>
      <c r="AQ208" t="inlineStr"/>
      <c r="AR208" t="inlineStr"/>
      <c r="AS208" t="inlineStr"/>
      <c r="AT208" t="inlineStr"/>
      <c r="AU208" t="n">
        <v>0</v>
      </c>
      <c r="AV208" t="inlineStr"/>
      <c r="AW208" t="n">
        <v>0</v>
      </c>
      <c r="AX208" t="b">
        <v>0</v>
      </c>
      <c r="AY208" t="inlineStr"/>
      <c r="AZ208">
        <f>IF(AND($AX$208,$AW$208&gt;$AA$208/$Z$208),$AW$208,$AA$208/$Z$208)</f>
        <v/>
      </c>
      <c r="BA208" t="n">
        <v>0.012</v>
      </c>
      <c r="BB208" t="inlineStr">
        <is>
          <t>NEED_SOURCE</t>
        </is>
      </c>
      <c r="BC208" t="inlineStr">
        <is>
          <t>NEED_SOURCE</t>
        </is>
      </c>
      <c r="BE208" t="inlineStr">
        <is>
          <t>NEED_SOURCE</t>
        </is>
      </c>
      <c r="BG208" t="inlineStr">
        <is>
          <t>giong</t>
        </is>
      </c>
      <c r="CP208" t="b">
        <v>1</v>
      </c>
      <c r="DD208" t="n">
        <v>0.1</v>
      </c>
      <c r="DE208" t="n">
        <v>9</v>
      </c>
      <c r="DF208" t="inlineStr">
        <is>
          <t>Energy</t>
        </is>
      </c>
      <c r="DJ208" t="inlineStr">
        <is>
          <t>laser</t>
        </is>
      </c>
      <c r="DS208" t="inlineStr">
        <is>
          <t>Small</t>
        </is>
      </c>
      <c r="EB208" t="n">
        <v>4</v>
      </c>
      <c r="EF208" t="n">
        <v>150</v>
      </c>
      <c r="EH208" t="inlineStr">
        <is>
          <t>Bullet</t>
        </is>
      </c>
      <c r="EK208" t="n">
        <v>3000</v>
      </c>
      <c r="EP208" t="n">
        <v>36</v>
      </c>
      <c r="EQ208" t="inlineStr">
        <is>
          <t>laser (150 kW)</t>
        </is>
      </c>
      <c r="EX208" t="n">
        <v>150</v>
      </c>
      <c r="EY208" t="n">
        <v>1.5</v>
      </c>
      <c r="GB208" t="inlineStr">
        <is>
          <t>laser_laser</t>
        </is>
      </c>
      <c r="GD208" t="inlineStr">
        <is>
          <t>Assets/MachineBrigade/Resources/Data/balance.json: weapons[132]</t>
        </is>
      </c>
      <c r="GE208" t="inlineStr">
        <is>
          <t>{"id":"orbital_laser","weaponFamilyId":"laser_laser","real":"laser (150 kW)","family":"laser","size":150,"powerKw":150,"pen":4,"damageType":"Energy","damage":9,"cooldown":0.1,"range":36,"projectileSpeed":3000,"splash":1.5,"impactTier":"Small","projectile":"Bullet","beam":true}</t>
        </is>
      </c>
    </row>
    <row r="209">
      <c r="A209" t="inlineStr">
        <is>
          <t>p26_bastion_b100</t>
        </is>
      </c>
      <c r="B209" t="inlineStr">
        <is>
          <t>D-10 100 mm</t>
        </is>
      </c>
      <c r="C209" t="inlineStr">
        <is>
          <t>cal_100_105_ap</t>
        </is>
      </c>
      <c r="D209" t="inlineStr"/>
      <c r="E209" t="inlineStr"/>
      <c r="F209" t="inlineStr">
        <is>
          <t>tank_gun</t>
        </is>
      </c>
      <c r="G209" t="n">
        <v>100</v>
      </c>
      <c r="H209" t="inlineStr"/>
      <c r="I209" t="inlineStr"/>
      <c r="J209" t="inlineStr"/>
      <c r="K209" t="inlineStr">
        <is>
          <t>Kinetic</t>
        </is>
      </c>
      <c r="L209" t="n">
        <v>5</v>
      </c>
      <c r="M209" t="inlineStr">
        <is>
          <t>Shell</t>
        </is>
      </c>
      <c r="N209" t="n">
        <v>1</v>
      </c>
      <c r="O209" t="inlineStr">
        <is>
          <t>RIPPLE</t>
        </is>
      </c>
      <c r="P209" t="n">
        <v>1</v>
      </c>
      <c r="Q209" t="n">
        <v>0.1</v>
      </c>
      <c r="R209" t="n">
        <v>4</v>
      </c>
      <c r="S209" t="n">
        <v>0</v>
      </c>
      <c r="T209" t="n">
        <v>0</v>
      </c>
      <c r="U209" t="n">
        <v>0</v>
      </c>
      <c r="V209" t="n">
        <v>0</v>
      </c>
      <c r="W209" t="n">
        <v>240</v>
      </c>
      <c r="X209" t="n">
        <v>0</v>
      </c>
      <c r="Y209" t="n">
        <v>0</v>
      </c>
      <c r="Z209" t="n">
        <v>170</v>
      </c>
      <c r="AA209" t="n">
        <v>36</v>
      </c>
      <c r="AB209" t="n">
        <v>0</v>
      </c>
      <c r="AC209" t="inlineStr">
        <is>
          <t>Ground</t>
        </is>
      </c>
      <c r="AD209" t="inlineStr"/>
      <c r="AE209" t="n">
        <v>0.6</v>
      </c>
      <c r="AF209" t="inlineStr">
        <is>
          <t>Medium</t>
        </is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n">
        <v>100</v>
      </c>
      <c r="AO209" t="n">
        <v>0</v>
      </c>
      <c r="AP209" t="inlineStr">
        <is>
          <t>T2</t>
        </is>
      </c>
      <c r="AQ209" t="inlineStr">
        <is>
          <t>gun_120mm</t>
        </is>
      </c>
      <c r="AR209" t="inlineStr"/>
      <c r="AS209" t="inlineStr"/>
      <c r="AT209" t="inlineStr"/>
      <c r="AU209" t="n">
        <v>0</v>
      </c>
      <c r="AV209" t="inlineStr"/>
      <c r="AW209" t="n">
        <v>0</v>
      </c>
      <c r="AX209" t="b">
        <v>0</v>
      </c>
      <c r="AY209" t="inlineStr"/>
      <c r="AZ209">
        <f>IF(AND($AX$209,$AW$209&gt;$AA$209/$Z$209),$AW$209,$AA$209/$Z$209)</f>
        <v/>
      </c>
      <c r="BA209" t="n">
        <v>0.2117647058823529</v>
      </c>
      <c r="BB209" t="n">
        <v>7</v>
      </c>
      <c r="BC209" t="n">
        <v>4</v>
      </c>
      <c r="BD209" t="inlineStr">
        <is>
          <t>gun</t>
        </is>
      </c>
      <c r="BE209" t="inlineStr">
        <is>
          <t>Wikipedia 'D-10 tank gun' (T-55): 4-7 rpm</t>
        </is>
      </c>
      <c r="BG209" t="inlineStr">
        <is>
          <t>giong</t>
        </is>
      </c>
      <c r="CT209" t="n">
        <v>100</v>
      </c>
      <c r="DD209" t="n">
        <v>4</v>
      </c>
      <c r="DE209" t="n">
        <v>240</v>
      </c>
      <c r="DT209" t="inlineStr">
        <is>
          <t>gun_120mm</t>
        </is>
      </c>
      <c r="EB209" t="n">
        <v>5</v>
      </c>
      <c r="EP209" t="n">
        <v>36</v>
      </c>
      <c r="EQ209" t="inlineStr">
        <is>
          <t>D-10 100 mm</t>
        </is>
      </c>
      <c r="EX209" t="n">
        <v>100</v>
      </c>
      <c r="EY209" t="n">
        <v>0</v>
      </c>
      <c r="GA209" t="inlineStr"/>
      <c r="GB209" t="inlineStr">
        <is>
          <t>cal_100_105_ap</t>
        </is>
      </c>
      <c r="GD209" t="inlineStr">
        <is>
          <t>Assets/MachineBrigade/Resources/Data/balance.json: weapons[142]</t>
        </is>
      </c>
      <c r="GE209" t="inlineStr">
        <is>
          <t>{"id":"p26_bastion_b100","inherits":"gun_120mm","weaponFamilyId":"cal_100_105_ap","weaponFamily":"","real":"D-10 100 mm","size":100,"caliberMm":100,"damage":240,"cooldown":4,"pen":5,"splash":0,"range":36}</t>
        </is>
      </c>
    </row>
    <row r="210">
      <c r="A210" t="inlineStr">
        <is>
          <t>p26_bastion_b155</t>
        </is>
      </c>
      <c r="B210" t="inlineStr">
        <is>
          <t>M284 155 mm (Bastion)</t>
        </is>
      </c>
      <c r="C210" t="inlineStr">
        <is>
          <t>cal_152_155</t>
        </is>
      </c>
      <c r="D210" t="inlineStr"/>
      <c r="E210" t="inlineStr"/>
      <c r="F210" t="inlineStr">
        <is>
          <t>howitzer</t>
        </is>
      </c>
      <c r="G210" t="n">
        <v>155</v>
      </c>
      <c r="H210" t="inlineStr"/>
      <c r="I210" t="inlineStr"/>
      <c r="J210" t="inlineStr"/>
      <c r="K210" t="inlineStr">
        <is>
          <t>HighExplosive</t>
        </is>
      </c>
      <c r="L210" t="n">
        <v>4</v>
      </c>
      <c r="M210" t="inlineStr">
        <is>
          <t>Shell</t>
        </is>
      </c>
      <c r="N210" t="n">
        <v>1</v>
      </c>
      <c r="O210" t="inlineStr">
        <is>
          <t>RIPPLE</t>
        </is>
      </c>
      <c r="P210" t="n">
        <v>1</v>
      </c>
      <c r="Q210" t="n">
        <v>0.1</v>
      </c>
      <c r="R210" t="n">
        <v>15</v>
      </c>
      <c r="S210" t="n">
        <v>0</v>
      </c>
      <c r="T210" t="n">
        <v>0</v>
      </c>
      <c r="U210" t="n">
        <v>0</v>
      </c>
      <c r="V210" t="n">
        <v>0</v>
      </c>
      <c r="W210" t="n">
        <v>1600</v>
      </c>
      <c r="X210" t="n">
        <v>8</v>
      </c>
      <c r="Y210" t="n">
        <v>16</v>
      </c>
      <c r="Z210" t="n">
        <v>100</v>
      </c>
      <c r="AA210" t="n">
        <v>75</v>
      </c>
      <c r="AB210" t="n">
        <v>20</v>
      </c>
      <c r="AC210" t="inlineStr">
        <is>
          <t>Ground</t>
        </is>
      </c>
      <c r="AD210" t="inlineStr"/>
      <c r="AE210" t="n">
        <v>4.5</v>
      </c>
      <c r="AF210" t="inlineStr">
        <is>
          <t>Huge</t>
        </is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n">
        <v>155</v>
      </c>
      <c r="AO210" t="n">
        <v>0</v>
      </c>
      <c r="AP210" t="inlineStr">
        <is>
          <t>T3</t>
        </is>
      </c>
      <c r="AQ210" t="inlineStr">
        <is>
          <t>casemate_155</t>
        </is>
      </c>
      <c r="AR210" t="inlineStr"/>
      <c r="AS210" t="inlineStr"/>
      <c r="AT210" t="inlineStr"/>
      <c r="AU210" t="n">
        <v>0</v>
      </c>
      <c r="AV210" t="inlineStr"/>
      <c r="AW210" t="n">
        <v>0</v>
      </c>
      <c r="AX210" t="b">
        <v>0</v>
      </c>
      <c r="AY210" t="inlineStr"/>
      <c r="AZ210">
        <f>IF(AND($AX$210,$AW$210&gt;$AA$210/$Z$210),$AW$210,$AA$210/$Z$210)</f>
        <v/>
      </c>
      <c r="BA210" t="n">
        <v>0.75</v>
      </c>
      <c r="BB210" t="n">
        <v>4</v>
      </c>
      <c r="BC210" t="n">
        <v>1</v>
      </c>
      <c r="BD210" t="inlineStr">
        <is>
          <t>gun</t>
        </is>
      </c>
      <c r="BE210" t="inlineStr">
        <is>
          <t>US Army M109A7 fact file: 4 rpm for 3 min, 1 rpm sustained</t>
        </is>
      </c>
      <c r="BG210" t="inlineStr">
        <is>
          <t>doi</t>
        </is>
      </c>
      <c r="BH210" t="n">
        <v>540</v>
      </c>
      <c r="BI210" t="n">
        <v>1600</v>
      </c>
      <c r="BJ210" t="n">
        <v>2</v>
      </c>
      <c r="BK210" t="n">
        <v>15</v>
      </c>
      <c r="BN210" t="n">
        <v>8.5</v>
      </c>
      <c r="BO210" t="n">
        <v>8</v>
      </c>
      <c r="BP210" t="n">
        <v>17</v>
      </c>
      <c r="BQ210" t="n">
        <v>16</v>
      </c>
      <c r="BR210" t="n">
        <v>45</v>
      </c>
      <c r="BS210" t="n">
        <v>100</v>
      </c>
      <c r="CR210" t="n">
        <v>1</v>
      </c>
      <c r="DD210" t="n">
        <v>15</v>
      </c>
      <c r="DE210" t="n">
        <v>1600</v>
      </c>
      <c r="DG210" t="n">
        <v>16</v>
      </c>
      <c r="DT210" t="inlineStr">
        <is>
          <t>casemate_155</t>
        </is>
      </c>
      <c r="EB210" t="n">
        <v>4</v>
      </c>
      <c r="EQ210" t="inlineStr">
        <is>
          <t>M284 155 mm (Bastion)</t>
        </is>
      </c>
      <c r="EY210" t="n">
        <v>8</v>
      </c>
      <c r="GA210" t="inlineStr"/>
      <c r="GD210" t="inlineStr">
        <is>
          <t>Assets/MachineBrigade/Resources/Data/balance.json: weapons[140]</t>
        </is>
      </c>
      <c r="GE210" t="inlineStr">
        <is>
          <t>{"id":"p26_bastion_b155","inherits":"casemate_155","weaponFamily":"","real":"M284 155 mm (Bastion)","damage":1600,"cooldown":15,"burst":1,"splash":8,"edge":16,"pen":4}</t>
        </is>
      </c>
    </row>
    <row r="211">
      <c r="A211" t="inlineStr">
        <is>
          <t>p26_bastion_b240</t>
        </is>
      </c>
      <c r="B211" t="inlineStr">
        <is>
          <t>2B8 240 mm</t>
        </is>
      </c>
      <c r="C211" t="inlineStr">
        <is>
          <t>cal_240</t>
        </is>
      </c>
      <c r="D211" t="inlineStr"/>
      <c r="E211" t="inlineStr"/>
      <c r="F211" t="inlineStr">
        <is>
          <t>mortar</t>
        </is>
      </c>
      <c r="G211" t="n">
        <v>240</v>
      </c>
      <c r="H211" t="inlineStr"/>
      <c r="I211" t="inlineStr"/>
      <c r="J211" t="inlineStr"/>
      <c r="K211" t="inlineStr">
        <is>
          <t>HighExplosive</t>
        </is>
      </c>
      <c r="L211" t="n">
        <v>4</v>
      </c>
      <c r="M211" t="inlineStr">
        <is>
          <t>Shell</t>
        </is>
      </c>
      <c r="N211" t="n">
        <v>1</v>
      </c>
      <c r="O211" t="inlineStr">
        <is>
          <t>RIPPLE</t>
        </is>
      </c>
      <c r="P211" t="n">
        <v>1</v>
      </c>
      <c r="Q211" t="n">
        <v>0.1</v>
      </c>
      <c r="R211" t="n">
        <v>30</v>
      </c>
      <c r="S211" t="n">
        <v>0</v>
      </c>
      <c r="T211" t="n">
        <v>0</v>
      </c>
      <c r="U211" t="n">
        <v>0</v>
      </c>
      <c r="V211" t="n">
        <v>0</v>
      </c>
      <c r="W211" t="n">
        <v>2400</v>
      </c>
      <c r="X211" t="n">
        <v>10</v>
      </c>
      <c r="Y211" t="n">
        <v>20</v>
      </c>
      <c r="Z211" t="n">
        <v>60</v>
      </c>
      <c r="AA211" t="n">
        <v>80</v>
      </c>
      <c r="AB211" t="n">
        <v>12</v>
      </c>
      <c r="AC211" t="inlineStr">
        <is>
          <t>Ground</t>
        </is>
      </c>
      <c r="AD211" t="inlineStr"/>
      <c r="AE211" t="n">
        <v>3.5</v>
      </c>
      <c r="AF211" t="inlineStr">
        <is>
          <t>Huge</t>
        </is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n">
        <v>240</v>
      </c>
      <c r="AO211" t="n">
        <v>0</v>
      </c>
      <c r="AP211" t="inlineStr">
        <is>
          <t>T4</t>
        </is>
      </c>
      <c r="AQ211" t="inlineStr">
        <is>
          <t>boss_mortar</t>
        </is>
      </c>
      <c r="AR211" t="inlineStr"/>
      <c r="AS211" t="inlineStr"/>
      <c r="AT211" t="inlineStr"/>
      <c r="AU211" t="n">
        <v>0</v>
      </c>
      <c r="AV211" t="inlineStr"/>
      <c r="AW211" t="n">
        <v>2.722222222222222</v>
      </c>
      <c r="AX211" t="b">
        <v>1</v>
      </c>
      <c r="AY211" t="inlineStr"/>
      <c r="AZ211">
        <f>IF(AND($AX$211,$AW$211&gt;$AA$211/$Z$211),$AW$211,$AA$211/$Z$211)</f>
        <v/>
      </c>
      <c r="BA211" t="n">
        <v>2.722222222222222</v>
      </c>
      <c r="BB211" t="n">
        <v>1</v>
      </c>
      <c r="BC211" t="n">
        <v>1</v>
      </c>
      <c r="BD211" t="inlineStr">
        <is>
          <t>gun</t>
        </is>
      </c>
      <c r="BE211" t="inlineStr">
        <is>
          <t>Wikipedia '2S4 Tyulpan': ~1 rpm</t>
        </is>
      </c>
      <c r="BG211" t="inlineStr">
        <is>
          <t>doi</t>
        </is>
      </c>
      <c r="BH211" t="n">
        <v>750</v>
      </c>
      <c r="BI211" t="n">
        <v>2400</v>
      </c>
      <c r="BJ211" t="n">
        <v>5</v>
      </c>
      <c r="BK211" t="n">
        <v>30</v>
      </c>
      <c r="BR211" t="n">
        <v>38</v>
      </c>
      <c r="BS211" t="n">
        <v>60</v>
      </c>
      <c r="DD211" t="n">
        <v>30</v>
      </c>
      <c r="DE211" t="n">
        <v>2400</v>
      </c>
      <c r="DG211" t="n">
        <v>20</v>
      </c>
      <c r="DT211" t="inlineStr">
        <is>
          <t>boss_mortar</t>
        </is>
      </c>
      <c r="EQ211" t="inlineStr">
        <is>
          <t>2B8 240 mm</t>
        </is>
      </c>
      <c r="EY211" t="n">
        <v>10</v>
      </c>
      <c r="GA211" t="inlineStr"/>
      <c r="GD211" t="inlineStr">
        <is>
          <t>Assets/MachineBrigade/Resources/Data/balance.json: weapons[141]</t>
        </is>
      </c>
      <c r="GE211" t="inlineStr">
        <is>
          <t>{"id":"p26_bastion_b240","inherits":"boss_mortar","weaponFamily":"","real":"2B8 240 mm","damage":2400,"cooldown":30,"splash":10,"edge":20}</t>
        </is>
      </c>
    </row>
    <row r="212">
      <c r="A212" t="inlineStr">
        <is>
          <t>p26_bastion_close_boss_hmg</t>
        </is>
      </c>
      <c r="B212" t="inlineStr">
        <is>
          <t>NSV 12.7 mm</t>
        </is>
      </c>
      <c r="C212" t="inlineStr">
        <is>
          <t>cal_12_7</t>
        </is>
      </c>
      <c r="D212" t="inlineStr"/>
      <c r="E212" t="inlineStr"/>
      <c r="F212" t="inlineStr">
        <is>
          <t>mg</t>
        </is>
      </c>
      <c r="G212" t="n">
        <v>12.7</v>
      </c>
      <c r="H212" t="inlineStr"/>
      <c r="I212" t="inlineStr"/>
      <c r="J212" t="inlineStr"/>
      <c r="K212" t="inlineStr">
        <is>
          <t>Kinetic</t>
        </is>
      </c>
      <c r="L212" t="n">
        <v>1</v>
      </c>
      <c r="M212" t="inlineStr">
        <is>
          <t>Bullet</t>
        </is>
      </c>
      <c r="N212" t="n">
        <v>1</v>
      </c>
      <c r="O212" t="inlineStr">
        <is>
          <t>RIPPLE</t>
        </is>
      </c>
      <c r="P212" t="n">
        <v>1</v>
      </c>
      <c r="Q212" t="n">
        <v>0.1</v>
      </c>
      <c r="R212" t="n">
        <v>0.0833</v>
      </c>
      <c r="S212" t="n">
        <v>100</v>
      </c>
      <c r="T212" t="n">
        <v>5</v>
      </c>
      <c r="U212" t="n">
        <v>0</v>
      </c>
      <c r="V212" t="n">
        <v>0</v>
      </c>
      <c r="W212" t="n">
        <v>15</v>
      </c>
      <c r="X212" t="n">
        <v>0</v>
      </c>
      <c r="Y212" t="n">
        <v>0</v>
      </c>
      <c r="Z212" t="n">
        <v>240</v>
      </c>
      <c r="AA212" t="n">
        <v>30</v>
      </c>
      <c r="AB212" t="n">
        <v>0</v>
      </c>
      <c r="AC212" t="inlineStr">
        <is>
          <t>All</t>
        </is>
      </c>
      <c r="AD212" t="inlineStr"/>
      <c r="AE212" t="n">
        <v>1.3</v>
      </c>
      <c r="AF212" t="inlineStr">
        <is>
          <t>Small</t>
        </is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n">
        <v>12.7</v>
      </c>
      <c r="AO212" t="n">
        <v>0</v>
      </c>
      <c r="AP212" t="inlineStr">
        <is>
          <t>T0</t>
        </is>
      </c>
      <c r="AQ212" t="inlineStr">
        <is>
          <t>boss_hmg</t>
        </is>
      </c>
      <c r="AR212" t="inlineStr"/>
      <c r="AS212" t="inlineStr">
        <is>
          <t>boss</t>
        </is>
      </c>
      <c r="AT212" t="inlineStr">
        <is>
          <t>fortress_bastion;monster</t>
        </is>
      </c>
      <c r="AU212" t="n">
        <v>2</v>
      </c>
      <c r="AV212" t="inlineStr">
        <is>
          <t>fortress_bastion:6;fortress_bastion:7;monster:6;monster:7</t>
        </is>
      </c>
      <c r="AW212" t="n">
        <v>0</v>
      </c>
      <c r="AX212" t="b">
        <v>0</v>
      </c>
      <c r="AY212" t="inlineStr"/>
      <c r="AZ212">
        <f>IF(AND($AX$212,$AW$212&gt;$AA$212/$Z$212),$AW$212,$AA$212/$Z$212)</f>
        <v/>
      </c>
      <c r="BA212" t="n">
        <v>0.125</v>
      </c>
      <c r="BB212" t="n">
        <v>800</v>
      </c>
      <c r="BC212" t="n">
        <v>100</v>
      </c>
      <c r="BD212" t="inlineStr">
        <is>
          <t>mg</t>
        </is>
      </c>
      <c r="BE212" t="inlineStr">
        <is>
          <t>Wikipedia 'NSV machine gun': 700-800 cyclic, 100 practical</t>
        </is>
      </c>
      <c r="BF212" t="inlineStr">
        <is>
          <t>wave 1 boss_hmg: 100 rounds at 720 rpm, changed in 5 s (NSV 700-800 rpm)</t>
        </is>
      </c>
      <c r="BG212" t="inlineStr">
        <is>
          <t>doi</t>
        </is>
      </c>
      <c r="CH212" t="n">
        <v>5.0833</v>
      </c>
      <c r="CI212" t="n">
        <v>5</v>
      </c>
      <c r="CX212" t="n">
        <v>5</v>
      </c>
      <c r="DE212" t="n">
        <v>15</v>
      </c>
      <c r="DT212" t="inlineStr">
        <is>
          <t>boss_hmg</t>
        </is>
      </c>
      <c r="GA212" t="inlineStr"/>
      <c r="GD212" t="inlineStr">
        <is>
          <t>Assets/MachineBrigade/Resources/Data/balance.json: weapons[146]</t>
        </is>
      </c>
      <c r="GE212" t="inlineStr">
        <is>
          <t>{"id":"p26_bastion_close_boss_hmg","inherits":"boss_hmg","clipReload":5,"weaponFamily":"","damage":15}</t>
        </is>
      </c>
    </row>
    <row r="213">
      <c r="A213" t="inlineStr">
        <is>
          <t>p26_bastion_direct_b100</t>
        </is>
      </c>
      <c r="B213" t="inlineStr">
        <is>
          <t>D-10 100 mm (twin casemate)</t>
        </is>
      </c>
      <c r="C213" t="inlineStr">
        <is>
          <t>cal_100_105_ap</t>
        </is>
      </c>
      <c r="D213" t="inlineStr"/>
      <c r="E213" t="inlineStr"/>
      <c r="F213" t="inlineStr">
        <is>
          <t>tank_gun</t>
        </is>
      </c>
      <c r="G213" t="n">
        <v>100</v>
      </c>
      <c r="H213" t="inlineStr"/>
      <c r="I213" t="inlineStr"/>
      <c r="J213" t="inlineStr"/>
      <c r="K213" t="inlineStr">
        <is>
          <t>Kinetic</t>
        </is>
      </c>
      <c r="L213" t="n">
        <v>5</v>
      </c>
      <c r="M213" t="inlineStr">
        <is>
          <t>Shell</t>
        </is>
      </c>
      <c r="N213" t="n">
        <v>2</v>
      </c>
      <c r="O213" t="inlineStr">
        <is>
          <t>SIMULTANEOUS</t>
        </is>
      </c>
      <c r="P213" t="n">
        <v>1</v>
      </c>
      <c r="Q213" t="n">
        <v>0.1</v>
      </c>
      <c r="R213" t="n">
        <v>8.6</v>
      </c>
      <c r="S213" t="n">
        <v>0</v>
      </c>
      <c r="T213" t="n">
        <v>0</v>
      </c>
      <c r="U213" t="n">
        <v>0</v>
      </c>
      <c r="V213" t="n">
        <v>0</v>
      </c>
      <c r="W213" t="n">
        <v>240</v>
      </c>
      <c r="X213" t="n">
        <v>0</v>
      </c>
      <c r="Y213" t="n">
        <v>0</v>
      </c>
      <c r="Z213" t="n">
        <v>170</v>
      </c>
      <c r="AA213" t="n">
        <v>36</v>
      </c>
      <c r="AB213" t="n">
        <v>0</v>
      </c>
      <c r="AC213" t="inlineStr">
        <is>
          <t>Ground</t>
        </is>
      </c>
      <c r="AD213" t="inlineStr"/>
      <c r="AE213" t="n">
        <v>0.6</v>
      </c>
      <c r="AF213" t="inlineStr">
        <is>
          <t>Medium</t>
        </is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n">
        <v>100</v>
      </c>
      <c r="AO213" t="n">
        <v>0</v>
      </c>
      <c r="AP213" t="inlineStr">
        <is>
          <t>T2</t>
        </is>
      </c>
      <c r="AQ213" t="inlineStr">
        <is>
          <t>p26_bastion_b100</t>
        </is>
      </c>
      <c r="AR213" t="inlineStr"/>
      <c r="AS213" t="inlineStr">
        <is>
          <t>boss</t>
        </is>
      </c>
      <c r="AT213" t="inlineStr">
        <is>
          <t>bastion_mk0;fortress_bastion;monster</t>
        </is>
      </c>
      <c r="AU213" t="n">
        <v>3</v>
      </c>
      <c r="AV213" t="inlineStr">
        <is>
          <t>bastion_mk0:1;bastion_mk0:2;fortress_bastion:1;fortress_bastion:2;monster:1;monster:2</t>
        </is>
      </c>
      <c r="AW213" t="n">
        <v>0</v>
      </c>
      <c r="AX213" t="b">
        <v>0</v>
      </c>
      <c r="AY213" t="inlineStr"/>
      <c r="AZ213">
        <f>IF(AND($AX$213,$AW$213&gt;$AA$213/$Z$213),$AW$213,$AA$213/$Z$213)</f>
        <v/>
      </c>
      <c r="BA213" t="n">
        <v>0.2117647058823529</v>
      </c>
      <c r="BB213" t="n">
        <v>7</v>
      </c>
      <c r="BC213" t="n">
        <v>4</v>
      </c>
      <c r="BD213" t="inlineStr">
        <is>
          <t>gun</t>
        </is>
      </c>
      <c r="BE213" t="inlineStr">
        <is>
          <t>Wikipedia 'D-10 tank gun' (T-55): 4-7 rpm</t>
        </is>
      </c>
      <c r="BF213" t="inlineStr">
        <is>
          <t>real D-10 4-7 rpm (8.6 s at 7); made up: the twin D-10 casemates the fortress model already has</t>
        </is>
      </c>
      <c r="BG213" t="inlineStr">
        <is>
          <t>doi</t>
        </is>
      </c>
      <c r="BJ213" t="n">
        <v>5</v>
      </c>
      <c r="BK213" t="n">
        <v>8.6</v>
      </c>
      <c r="BX213" t="n">
        <v>1</v>
      </c>
      <c r="BY213" t="n">
        <v>2</v>
      </c>
      <c r="BZ213" t="inlineStr">
        <is>
          <t>RIPPLE</t>
        </is>
      </c>
      <c r="CA213" t="inlineStr">
        <is>
          <t>SIMULTANEOUS</t>
        </is>
      </c>
      <c r="CO213" t="n">
        <v>2</v>
      </c>
      <c r="DD213" t="n">
        <v>8.6</v>
      </c>
      <c r="DE213" t="n">
        <v>240</v>
      </c>
      <c r="DO213" t="n">
        <v>19</v>
      </c>
      <c r="DT213" t="inlineStr">
        <is>
          <t>p26_bastion_b100</t>
        </is>
      </c>
      <c r="EQ213" t="inlineStr">
        <is>
          <t>D-10 100 mm (twin casemate)</t>
        </is>
      </c>
      <c r="EW213" t="inlineStr">
        <is>
          <t>SIMULTANEOUS</t>
        </is>
      </c>
      <c r="GD213" t="inlineStr">
        <is>
          <t>Assets/MachineBrigade/Resources/Data/balance.json: weapons[145]</t>
        </is>
      </c>
      <c r="GE213" t="inlineStr">
        <is>
          <t>{"id":"p26_bastion_direct_b100","groundMinReach":19,"inherits":"p26_bastion_b100","real":"D-10 100 mm (twin casemate)","salvoMode":"SIMULTANEOUS","barrels":2,"cooldown":8.6,"damage":240}</t>
        </is>
      </c>
    </row>
    <row r="214">
      <c r="A214" t="inlineStr">
        <is>
          <t>p26_bastion_main_b155</t>
        </is>
      </c>
      <c r="B214" t="inlineStr">
        <is>
          <t>M284 155 mm (Bastion)</t>
        </is>
      </c>
      <c r="C214" t="inlineStr">
        <is>
          <t>cal_152_155</t>
        </is>
      </c>
      <c r="D214" t="inlineStr"/>
      <c r="E214" t="inlineStr"/>
      <c r="F214" t="inlineStr">
        <is>
          <t>howitzer</t>
        </is>
      </c>
      <c r="G214" t="n">
        <v>155</v>
      </c>
      <c r="H214" t="inlineStr"/>
      <c r="I214" t="inlineStr"/>
      <c r="J214" t="inlineStr"/>
      <c r="K214" t="inlineStr">
        <is>
          <t>HighExplosive</t>
        </is>
      </c>
      <c r="L214" t="n">
        <v>4</v>
      </c>
      <c r="M214" t="inlineStr">
        <is>
          <t>Shell</t>
        </is>
      </c>
      <c r="N214" t="n">
        <v>1</v>
      </c>
      <c r="O214" t="inlineStr">
        <is>
          <t>RIPPLE</t>
        </is>
      </c>
      <c r="P214" t="n">
        <v>1</v>
      </c>
      <c r="Q214" t="n">
        <v>0.1</v>
      </c>
      <c r="R214" t="n">
        <v>15</v>
      </c>
      <c r="S214" t="n">
        <v>0</v>
      </c>
      <c r="T214" t="n">
        <v>0</v>
      </c>
      <c r="U214" t="n">
        <v>0</v>
      </c>
      <c r="V214" t="n">
        <v>0</v>
      </c>
      <c r="W214" t="n">
        <v>600</v>
      </c>
      <c r="X214" t="n">
        <v>7</v>
      </c>
      <c r="Y214" t="n">
        <v>14</v>
      </c>
      <c r="Z214" t="n">
        <v>150</v>
      </c>
      <c r="AA214" t="n">
        <v>75</v>
      </c>
      <c r="AB214" t="n">
        <v>20</v>
      </c>
      <c r="AC214" t="inlineStr">
        <is>
          <t>Ground</t>
        </is>
      </c>
      <c r="AD214" t="inlineStr"/>
      <c r="AE214" t="n">
        <v>4.5</v>
      </c>
      <c r="AF214" t="inlineStr">
        <is>
          <t>Huge</t>
        </is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n">
        <v>155</v>
      </c>
      <c r="AO214" t="n">
        <v>0</v>
      </c>
      <c r="AP214" t="inlineStr">
        <is>
          <t>T3</t>
        </is>
      </c>
      <c r="AQ214" t="inlineStr">
        <is>
          <t>p26_bastion_b155</t>
        </is>
      </c>
      <c r="AR214" t="inlineStr"/>
      <c r="AS214" t="inlineStr">
        <is>
          <t>boss</t>
        </is>
      </c>
      <c r="AT214" t="inlineStr">
        <is>
          <t>fortress_bastion;monster</t>
        </is>
      </c>
      <c r="AU214" t="n">
        <v>2</v>
      </c>
      <c r="AV214" t="inlineStr">
        <is>
          <t>fortress_bastion:8;monster:8</t>
        </is>
      </c>
      <c r="AW214" t="n">
        <v>0</v>
      </c>
      <c r="AX214" t="b">
        <v>0</v>
      </c>
      <c r="AY214" t="inlineStr"/>
      <c r="AZ214">
        <f>IF(AND($AX$214,$AW$214&gt;$AA$214/$Z$214),$AW$214,$AA$214/$Z$214)</f>
        <v/>
      </c>
      <c r="BA214" t="n">
        <v>0.5</v>
      </c>
      <c r="BB214" t="n">
        <v>4</v>
      </c>
      <c r="BC214" t="n">
        <v>1</v>
      </c>
      <c r="BD214" t="inlineStr">
        <is>
          <t>gun</t>
        </is>
      </c>
      <c r="BE214" t="inlineStr">
        <is>
          <t>US Army M109A7 fact file: 4 rpm for 3 min, 1 rpm sustained</t>
        </is>
      </c>
      <c r="BF214" t="inlineStr">
        <is>
          <t>real M109A7 4 rpm (15 s) at its maximum; wave 1's 12.5 s is too fast after the 30 % rule</t>
        </is>
      </c>
      <c r="BG214" t="inlineStr">
        <is>
          <t>doi</t>
        </is>
      </c>
      <c r="BH214" t="n">
        <v>515</v>
      </c>
      <c r="BI214" t="n">
        <v>600</v>
      </c>
      <c r="BJ214" t="n">
        <v>2</v>
      </c>
      <c r="BK214" t="n">
        <v>15</v>
      </c>
      <c r="BN214" t="n">
        <v>8.5</v>
      </c>
      <c r="BO214" t="n">
        <v>7</v>
      </c>
      <c r="BP214" t="n">
        <v>17</v>
      </c>
      <c r="BQ214" t="n">
        <v>14</v>
      </c>
      <c r="BR214" t="n">
        <v>45</v>
      </c>
      <c r="BS214" t="n">
        <v>150</v>
      </c>
      <c r="DD214" t="n">
        <v>15</v>
      </c>
      <c r="DE214" t="n">
        <v>600</v>
      </c>
      <c r="DG214" t="n">
        <v>14</v>
      </c>
      <c r="DT214" t="inlineStr">
        <is>
          <t>p26_bastion_b155</t>
        </is>
      </c>
      <c r="EK214" t="n">
        <v>150</v>
      </c>
      <c r="EY214" t="n">
        <v>7</v>
      </c>
      <c r="GD214" t="inlineStr">
        <is>
          <t>Assets/MachineBrigade/Resources/Data/balance.json: weapons[143]</t>
        </is>
      </c>
      <c r="GE214" t="inlineStr">
        <is>
          <t>{"id":"p26_bastion_main_b155","inherits":"p26_bastion_b155","cooldown":15,"projectileSpeed":150,"edge":14,"splash":7,"damage":600}</t>
        </is>
      </c>
    </row>
    <row r="215">
      <c r="A215" t="inlineStr">
        <is>
          <t>p26_bastion_sec_b240</t>
        </is>
      </c>
      <c r="B215" t="inlineStr">
        <is>
          <t>2B8 240 mm</t>
        </is>
      </c>
      <c r="C215" t="inlineStr">
        <is>
          <t>cal_240</t>
        </is>
      </c>
      <c r="D215" t="inlineStr"/>
      <c r="E215" t="inlineStr"/>
      <c r="F215" t="inlineStr">
        <is>
          <t>mortar</t>
        </is>
      </c>
      <c r="G215" t="n">
        <v>240</v>
      </c>
      <c r="H215" t="inlineStr"/>
      <c r="I215" t="inlineStr"/>
      <c r="J215" t="inlineStr"/>
      <c r="K215" t="inlineStr">
        <is>
          <t>HighExplosive</t>
        </is>
      </c>
      <c r="L215" t="n">
        <v>4</v>
      </c>
      <c r="M215" t="inlineStr">
        <is>
          <t>Shell</t>
        </is>
      </c>
      <c r="N215" t="n">
        <v>1</v>
      </c>
      <c r="O215" t="inlineStr">
        <is>
          <t>RIPPLE</t>
        </is>
      </c>
      <c r="P215" t="n">
        <v>1</v>
      </c>
      <c r="Q215" t="n">
        <v>0.1</v>
      </c>
      <c r="R215" t="n">
        <v>60</v>
      </c>
      <c r="S215" t="n">
        <v>0</v>
      </c>
      <c r="T215" t="n">
        <v>0</v>
      </c>
      <c r="U215" t="n">
        <v>0</v>
      </c>
      <c r="V215" t="n">
        <v>0</v>
      </c>
      <c r="W215" t="n">
        <v>1100</v>
      </c>
      <c r="X215" t="n">
        <v>10</v>
      </c>
      <c r="Y215" t="n">
        <v>20</v>
      </c>
      <c r="Z215" t="n">
        <v>60</v>
      </c>
      <c r="AA215" t="n">
        <v>80</v>
      </c>
      <c r="AB215" t="n">
        <v>14</v>
      </c>
      <c r="AC215" t="inlineStr">
        <is>
          <t>Ground</t>
        </is>
      </c>
      <c r="AD215" t="inlineStr"/>
      <c r="AE215" t="n">
        <v>3.5</v>
      </c>
      <c r="AF215" t="inlineStr">
        <is>
          <t>Huge</t>
        </is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n">
        <v>240</v>
      </c>
      <c r="AO215" t="n">
        <v>0</v>
      </c>
      <c r="AP215" t="inlineStr">
        <is>
          <t>T4</t>
        </is>
      </c>
      <c r="AQ215" t="inlineStr">
        <is>
          <t>p26_bastion_b240</t>
        </is>
      </c>
      <c r="AR215" t="inlineStr"/>
      <c r="AS215" t="inlineStr">
        <is>
          <t>boss</t>
        </is>
      </c>
      <c r="AT215" t="inlineStr">
        <is>
          <t>bastion_mk0;fortress_bastion;monster</t>
        </is>
      </c>
      <c r="AU215" t="n">
        <v>3</v>
      </c>
      <c r="AV215" t="inlineStr">
        <is>
          <t>bastion_mk0:0;fortress_bastion:0;monster:0</t>
        </is>
      </c>
      <c r="AW215" t="n">
        <v>2.722222222222222</v>
      </c>
      <c r="AX215" t="b">
        <v>1</v>
      </c>
      <c r="AY215" t="inlineStr"/>
      <c r="AZ215">
        <f>IF(AND($AX$215,$AW$215&gt;$AA$215/$Z$215),$AW$215,$AA$215/$Z$215)</f>
        <v/>
      </c>
      <c r="BA215" t="n">
        <v>2.722222222222222</v>
      </c>
      <c r="BB215" t="n">
        <v>1</v>
      </c>
      <c r="BC215" t="n">
        <v>1</v>
      </c>
      <c r="BD215" t="inlineStr">
        <is>
          <t>gun</t>
        </is>
      </c>
      <c r="BE215" t="inlineStr">
        <is>
          <t>Wikipedia '2S4 Tyulpan': ~1 rpm</t>
        </is>
      </c>
      <c r="BF215" t="inlineStr">
        <is>
          <t>real 2S4 Tyulpan ~1 rpm (60 s); wave 1's 10 s is too fast</t>
        </is>
      </c>
      <c r="BG215" t="inlineStr">
        <is>
          <t>doi</t>
        </is>
      </c>
      <c r="BH215" t="n">
        <v>715</v>
      </c>
      <c r="BI215" t="n">
        <v>1100</v>
      </c>
      <c r="BJ215" t="n">
        <v>5</v>
      </c>
      <c r="BK215" t="n">
        <v>60</v>
      </c>
      <c r="BR215" t="n">
        <v>38</v>
      </c>
      <c r="BS215" t="n">
        <v>60</v>
      </c>
      <c r="DD215" t="n">
        <v>60</v>
      </c>
      <c r="DE215" t="n">
        <v>1100</v>
      </c>
      <c r="DT215" t="inlineStr">
        <is>
          <t>p26_bastion_b240</t>
        </is>
      </c>
      <c r="DZ215" t="n">
        <v>14</v>
      </c>
      <c r="GD215" t="inlineStr">
        <is>
          <t>Assets/MachineBrigade/Resources/Data/balance.json: weapons[144]</t>
        </is>
      </c>
      <c r="GE215" t="inlineStr">
        <is>
          <t>{"id":"p26_bastion_sec_b240","minRange":14,"inherits":"p26_bastion_b240","cooldown":60,"damage":1100}</t>
        </is>
      </c>
    </row>
    <row r="216">
      <c r="A216" t="inlineStr">
        <is>
          <t>p26_bastion_tiny_autocannon_40</t>
        </is>
      </c>
      <c r="B216" t="inlineStr">
        <is>
          <t>Bofors 40 mm</t>
        </is>
      </c>
      <c r="C216" t="inlineStr">
        <is>
          <t>cal_40</t>
        </is>
      </c>
      <c r="D216" t="inlineStr"/>
      <c r="E216" t="inlineStr"/>
      <c r="F216" t="inlineStr">
        <is>
          <t>autocannon</t>
        </is>
      </c>
      <c r="G216" t="n">
        <v>40</v>
      </c>
      <c r="H216" t="inlineStr"/>
      <c r="I216" t="inlineStr"/>
      <c r="J216" t="inlineStr"/>
      <c r="K216" t="inlineStr">
        <is>
          <t>Kinetic</t>
        </is>
      </c>
      <c r="L216" t="n">
        <v>2</v>
      </c>
      <c r="M216" t="inlineStr">
        <is>
          <t>Bullet</t>
        </is>
      </c>
      <c r="N216" t="n">
        <v>1</v>
      </c>
      <c r="O216" t="inlineStr">
        <is>
          <t>RIPPLE</t>
        </is>
      </c>
      <c r="P216" t="n">
        <v>1</v>
      </c>
      <c r="Q216" t="n">
        <v>0.1</v>
      </c>
      <c r="R216" t="n">
        <v>0.2</v>
      </c>
      <c r="S216" t="n">
        <v>10</v>
      </c>
      <c r="T216" t="n">
        <v>1.52</v>
      </c>
      <c r="U216" t="n">
        <v>0</v>
      </c>
      <c r="V216" t="n">
        <v>0</v>
      </c>
      <c r="W216" t="n">
        <v>30</v>
      </c>
      <c r="X216" t="n">
        <v>0</v>
      </c>
      <c r="Y216" t="n">
        <v>0</v>
      </c>
      <c r="Z216" t="n">
        <v>210</v>
      </c>
      <c r="AA216" t="n">
        <v>28</v>
      </c>
      <c r="AB216" t="n">
        <v>0</v>
      </c>
      <c r="AC216" t="inlineStr">
        <is>
          <t>All</t>
        </is>
      </c>
      <c r="AD216" t="inlineStr"/>
      <c r="AE216" t="n">
        <v>0.8</v>
      </c>
      <c r="AF216" t="inlineStr">
        <is>
          <t>Small</t>
        </is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n">
        <v>40</v>
      </c>
      <c r="AO216" t="n">
        <v>0</v>
      </c>
      <c r="AP216" t="inlineStr">
        <is>
          <t>T1</t>
        </is>
      </c>
      <c r="AQ216" t="inlineStr">
        <is>
          <t>autocannon_40</t>
        </is>
      </c>
      <c r="AR216" t="inlineStr"/>
      <c r="AS216" t="inlineStr">
        <is>
          <t>boss</t>
        </is>
      </c>
      <c r="AT216" t="inlineStr">
        <is>
          <t>fortress_bastion;monster</t>
        </is>
      </c>
      <c r="AU216" t="n">
        <v>2</v>
      </c>
      <c r="AV216" t="inlineStr">
        <is>
          <t>fortress_bastion:3;fortress_bastion:4;monster:3;monster:4</t>
        </is>
      </c>
      <c r="AW216" t="n">
        <v>0</v>
      </c>
      <c r="AX216" t="b">
        <v>0</v>
      </c>
      <c r="AY216" t="inlineStr"/>
      <c r="AZ216">
        <f>IF(AND($AX$216,$AW$216&gt;$AA$216/$Z$216),$AW$216,$AA$216/$Z$216)</f>
        <v/>
      </c>
      <c r="BA216" t="n">
        <v>0.1333333333333333</v>
      </c>
      <c r="BB216" t="n">
        <v>330</v>
      </c>
      <c r="BC216" t="n">
        <v>120</v>
      </c>
      <c r="BD216" t="inlineStr">
        <is>
          <t>aa</t>
        </is>
      </c>
      <c r="BE216" t="inlineStr">
        <is>
          <t>Wikipedia 'Bofors 40 mm L/70': 240-330 rpm</t>
        </is>
      </c>
      <c r="BF216" t="inlineStr">
        <is>
          <t>wave 1 autocannon_40: 10 rounds at 300 rpm, changed in 1.52 s (Bofors L/70 240-330 rpm)</t>
        </is>
      </c>
      <c r="BG216" t="inlineStr">
        <is>
          <t>doi</t>
        </is>
      </c>
      <c r="BH216" t="n">
        <v>6</v>
      </c>
      <c r="BI216" t="n">
        <v>30</v>
      </c>
      <c r="BN216" t="n">
        <v>1</v>
      </c>
      <c r="BO216" t="n">
        <v>0</v>
      </c>
      <c r="CH216" t="n">
        <v>1.72</v>
      </c>
      <c r="CI216" t="n">
        <v>1.52</v>
      </c>
      <c r="CX216" t="n">
        <v>1.52</v>
      </c>
      <c r="DE216" t="n">
        <v>30</v>
      </c>
      <c r="DT216" t="inlineStr">
        <is>
          <t>autocannon_40</t>
        </is>
      </c>
      <c r="EY216" t="n">
        <v>0</v>
      </c>
      <c r="GD216" t="inlineStr">
        <is>
          <t>Assets/MachineBrigade/Resources/Data/balance.json: weapons[147]</t>
        </is>
      </c>
      <c r="GE216" t="inlineStr">
        <is>
          <t>{"id":"p26_bastion_tiny_autocannon_40","inherits":"autocannon_40","clipReload":1.52,"splash":0,"damage":30}</t>
        </is>
      </c>
    </row>
    <row r="217">
      <c r="A217" t="inlineStr">
        <is>
          <t>p26_bastion_tiny_kornet_twin</t>
        </is>
      </c>
      <c r="B217" t="inlineStr">
        <is>
          <t>9M133 Kornet</t>
        </is>
      </c>
      <c r="C217" t="inlineStr">
        <is>
          <t>atgm_kornet</t>
        </is>
      </c>
      <c r="D217" t="inlineStr"/>
      <c r="E217" t="inlineStr"/>
      <c r="F217" t="inlineStr">
        <is>
          <t>atgm</t>
        </is>
      </c>
      <c r="G217" t="inlineStr"/>
      <c r="H217" t="n">
        <v>7</v>
      </c>
      <c r="I217" t="inlineStr"/>
      <c r="J217" t="inlineStr"/>
      <c r="K217" t="inlineStr">
        <is>
          <t>ShapedCharge</t>
        </is>
      </c>
      <c r="L217" t="n">
        <v>4</v>
      </c>
      <c r="M217" t="inlineStr">
        <is>
          <t>Missile</t>
        </is>
      </c>
      <c r="N217" t="n">
        <v>1</v>
      </c>
      <c r="O217" t="inlineStr">
        <is>
          <t>RIPPLE</t>
        </is>
      </c>
      <c r="P217" t="n">
        <v>2</v>
      </c>
      <c r="Q217" t="n">
        <v>0.6</v>
      </c>
      <c r="R217" t="n">
        <v>19.4</v>
      </c>
      <c r="S217" t="n">
        <v>0</v>
      </c>
      <c r="T217" t="n">
        <v>0</v>
      </c>
      <c r="U217" t="n">
        <v>0</v>
      </c>
      <c r="V217" t="n">
        <v>0</v>
      </c>
      <c r="W217" t="n">
        <v>230</v>
      </c>
      <c r="X217" t="n">
        <v>0</v>
      </c>
      <c r="Y217" t="n">
        <v>0</v>
      </c>
      <c r="Z217" t="n">
        <v>80</v>
      </c>
      <c r="AA217" t="n">
        <v>50</v>
      </c>
      <c r="AB217" t="n">
        <v>0</v>
      </c>
      <c r="AC217" t="inlineStr">
        <is>
          <t>Ground</t>
        </is>
      </c>
      <c r="AD217" t="inlineStr"/>
      <c r="AE217" t="n">
        <v>0</v>
      </c>
      <c r="AF217" t="inlineStr">
        <is>
          <t>Medium</t>
        </is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n">
        <v>29</v>
      </c>
      <c r="AO217" t="n">
        <v>0</v>
      </c>
      <c r="AP217" t="inlineStr">
        <is>
          <t>T2</t>
        </is>
      </c>
      <c r="AQ217" t="inlineStr">
        <is>
          <t>kornet_twin</t>
        </is>
      </c>
      <c r="AR217" t="inlineStr"/>
      <c r="AS217" t="inlineStr">
        <is>
          <t>boss</t>
        </is>
      </c>
      <c r="AT217" t="inlineStr">
        <is>
          <t>fortress_bastion;monster</t>
        </is>
      </c>
      <c r="AU217" t="n">
        <v>2</v>
      </c>
      <c r="AV217" t="inlineStr">
        <is>
          <t>fortress_bastion:5;monster:5</t>
        </is>
      </c>
      <c r="AW217" t="n">
        <v>0</v>
      </c>
      <c r="AX217" t="b">
        <v>0</v>
      </c>
      <c r="AY217" t="inlineStr"/>
      <c r="AZ217">
        <f>IF(AND($AX$217,$AW$217&gt;$AA$217/$Z$217),$AW$217,$AA$217/$Z$217)</f>
        <v/>
      </c>
      <c r="BA217" t="n">
        <v>0.625</v>
      </c>
      <c r="BB217" t="n">
        <v>3</v>
      </c>
      <c r="BC217" t="n">
        <v>3</v>
      </c>
      <c r="BD217" t="inlineStr">
        <is>
          <t>atgm</t>
        </is>
      </c>
      <c r="BE217" t="inlineStr">
        <is>
          <t>Wikipedia '9M133 Kornet': 2-3 rpm</t>
        </is>
      </c>
      <c r="BF217" t="inlineStr">
        <is>
          <t>a twin Kornet launcher: the pair 0.6 s apart, every 20 s (3 rpm a rail); 55.6 s was too slow</t>
        </is>
      </c>
      <c r="BG217" t="inlineStr">
        <is>
          <t>doi</t>
        </is>
      </c>
      <c r="BH217" t="n">
        <v>46</v>
      </c>
      <c r="BI217" t="n">
        <v>230</v>
      </c>
      <c r="BJ217" t="n">
        <v>10.51</v>
      </c>
      <c r="BK217" t="n">
        <v>19.4</v>
      </c>
      <c r="BR217" t="n">
        <v>22</v>
      </c>
      <c r="BS217" t="n">
        <v>80</v>
      </c>
      <c r="DD217" t="n">
        <v>19.4</v>
      </c>
      <c r="DE217" t="n">
        <v>230</v>
      </c>
      <c r="DO217" t="n">
        <v>1</v>
      </c>
      <c r="DT217" t="inlineStr">
        <is>
          <t>kornet_twin</t>
        </is>
      </c>
      <c r="GA217" t="inlineStr"/>
      <c r="GD217" t="inlineStr">
        <is>
          <t>Assets/MachineBrigade/Resources/Data/balance.json: weapons[148]</t>
        </is>
      </c>
      <c r="GE217" t="inlineStr">
        <is>
          <t>{"id":"p26_bastion_tiny_kornet_twin","groundMinReach":1,"inherits":"kornet_twin","cooldown":19.4,"weaponFamily":"","damage":230}</t>
        </is>
      </c>
    </row>
    <row r="218">
      <c r="A218" t="inlineStr">
        <is>
          <t>p26_bastion_tiny_zu23</t>
        </is>
      </c>
      <c r="B218" t="inlineStr">
        <is>
          <t>ZU-23-2 23 mm</t>
        </is>
      </c>
      <c r="C218" t="inlineStr">
        <is>
          <t>cal_23</t>
        </is>
      </c>
      <c r="D218" t="inlineStr"/>
      <c r="E218" t="inlineStr"/>
      <c r="F218" t="inlineStr">
        <is>
          <t>autocannon</t>
        </is>
      </c>
      <c r="G218" t="n">
        <v>23</v>
      </c>
      <c r="H218" t="inlineStr"/>
      <c r="I218" t="inlineStr"/>
      <c r="J218" t="inlineStr"/>
      <c r="K218" t="inlineStr">
        <is>
          <t>Fragmentation</t>
        </is>
      </c>
      <c r="L218" t="n">
        <v>1</v>
      </c>
      <c r="M218" t="inlineStr">
        <is>
          <t>Bullet</t>
        </is>
      </c>
      <c r="N218" t="n">
        <v>2</v>
      </c>
      <c r="O218" t="inlineStr">
        <is>
          <t>RIPPLE</t>
        </is>
      </c>
      <c r="P218" t="n">
        <v>1</v>
      </c>
      <c r="Q218" t="n">
        <v>0.1</v>
      </c>
      <c r="R218" t="n">
        <v>0.02</v>
      </c>
      <c r="S218" t="n">
        <v>100</v>
      </c>
      <c r="T218" t="n">
        <v>2.98</v>
      </c>
      <c r="U218" t="n">
        <v>0</v>
      </c>
      <c r="V218" t="n">
        <v>0</v>
      </c>
      <c r="W218" t="n">
        <v>3.5</v>
      </c>
      <c r="X218" t="n">
        <v>0</v>
      </c>
      <c r="Y218" t="n">
        <v>0</v>
      </c>
      <c r="Z218" t="n">
        <v>240</v>
      </c>
      <c r="AA218" t="n">
        <v>38</v>
      </c>
      <c r="AB218" t="n">
        <v>0</v>
      </c>
      <c r="AC218" t="inlineStr">
        <is>
          <t>All</t>
        </is>
      </c>
      <c r="AD218" t="inlineStr"/>
      <c r="AE218" t="n">
        <v>1.6</v>
      </c>
      <c r="AF218" t="inlineStr">
        <is>
          <t>Small</t>
        </is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n">
        <v>23</v>
      </c>
      <c r="AO218" t="n">
        <v>0</v>
      </c>
      <c r="AP218" t="inlineStr">
        <is>
          <t>T1</t>
        </is>
      </c>
      <c r="AQ218" t="inlineStr">
        <is>
          <t>zu23</t>
        </is>
      </c>
      <c r="AR218" t="inlineStr"/>
      <c r="AS218" t="inlineStr">
        <is>
          <t>boss</t>
        </is>
      </c>
      <c r="AT218" t="inlineStr">
        <is>
          <t>fortress_bastion;monster</t>
        </is>
      </c>
      <c r="AU218" t="n">
        <v>2</v>
      </c>
      <c r="AV218" t="inlineStr">
        <is>
          <t>fortress_bastion:10;fortress_bastion:9;monster:10;monster:9</t>
        </is>
      </c>
      <c r="AW218" t="n">
        <v>0</v>
      </c>
      <c r="AX218" t="b">
        <v>0</v>
      </c>
      <c r="AY218" t="inlineStr">
        <is>
          <t>KHONG_AP_DUNG</t>
        </is>
      </c>
      <c r="AZ218">
        <f>IF(AND($AX$218,$AW$218&gt;$AA$218/$Z$218),$AW$218,$AA$218/$Z$218)</f>
        <v/>
      </c>
      <c r="BA218" t="n">
        <v>0.1583333333333333</v>
      </c>
      <c r="BB218" t="n">
        <v>1000</v>
      </c>
      <c r="BC218" t="n">
        <v>400</v>
      </c>
      <c r="BD218" t="inlineStr">
        <is>
          <t>aa</t>
        </is>
      </c>
      <c r="BE218" t="inlineStr">
        <is>
          <t>Wikipedia 'ZU-23-2': 2 x 800-1,000 rpm</t>
        </is>
      </c>
      <c r="BF218" t="inlineStr">
        <is>
          <t>wave 1 zu23: 50 rounds at 1,500 rpm, changed in 3 s (ZU-23-2 2 x 800-1,000 rpm)</t>
        </is>
      </c>
      <c r="BG218" t="inlineStr">
        <is>
          <t>doi</t>
        </is>
      </c>
      <c r="BH218" t="n">
        <v>1.4</v>
      </c>
      <c r="BI218" t="n">
        <v>3.5</v>
      </c>
      <c r="BJ218" t="n">
        <v>0.04</v>
      </c>
      <c r="BK218" t="n">
        <v>0.02</v>
      </c>
      <c r="BX218" t="n">
        <v>1</v>
      </c>
      <c r="BY218" t="n">
        <v>2</v>
      </c>
      <c r="CF218" t="n">
        <v>50</v>
      </c>
      <c r="CG218" t="n">
        <v>100</v>
      </c>
      <c r="CH218" t="n">
        <v>3.04</v>
      </c>
      <c r="CI218" t="n">
        <v>2.98</v>
      </c>
      <c r="CX218" t="n">
        <v>2.98</v>
      </c>
      <c r="DE218" t="n">
        <v>3.5</v>
      </c>
      <c r="DT218" t="inlineStr">
        <is>
          <t>zu23</t>
        </is>
      </c>
      <c r="GD218" t="inlineStr">
        <is>
          <t>Assets/MachineBrigade/Resources/Data/balance.json: weapons[149]</t>
        </is>
      </c>
      <c r="GE218" t="inlineStr">
        <is>
          <t>{"id":"p26_bastion_tiny_zu23","inherits":"zu23","clipReload":2.98,"damage":3.5}</t>
        </is>
      </c>
    </row>
    <row r="219">
      <c r="A219" t="inlineStr">
        <is>
          <t>p26_behemoth_be120</t>
        </is>
      </c>
      <c r="B219" t="inlineStr">
        <is>
          <t>Rh-120 L/44 120 mm</t>
        </is>
      </c>
      <c r="C219" t="inlineStr">
        <is>
          <t>cal_120_ap</t>
        </is>
      </c>
      <c r="D219" t="inlineStr"/>
      <c r="E219" t="inlineStr"/>
      <c r="F219" t="inlineStr">
        <is>
          <t>tank_gun</t>
        </is>
      </c>
      <c r="G219" t="n">
        <v>120</v>
      </c>
      <c r="H219" t="inlineStr"/>
      <c r="I219" t="inlineStr"/>
      <c r="J219" t="inlineStr"/>
      <c r="K219" t="inlineStr">
        <is>
          <t>Kinetic</t>
        </is>
      </c>
      <c r="L219" t="n">
        <v>5</v>
      </c>
      <c r="M219" t="inlineStr">
        <is>
          <t>Shell</t>
        </is>
      </c>
      <c r="N219" t="n">
        <v>1</v>
      </c>
      <c r="O219" t="inlineStr">
        <is>
          <t>RIPPLE</t>
        </is>
      </c>
      <c r="P219" t="n">
        <v>1</v>
      </c>
      <c r="Q219" t="n">
        <v>0.1</v>
      </c>
      <c r="R219" t="n">
        <v>4</v>
      </c>
      <c r="S219" t="n">
        <v>0</v>
      </c>
      <c r="T219" t="n">
        <v>0</v>
      </c>
      <c r="U219" t="n">
        <v>0</v>
      </c>
      <c r="V219" t="n">
        <v>0</v>
      </c>
      <c r="W219" t="n">
        <v>260</v>
      </c>
      <c r="X219" t="n">
        <v>0</v>
      </c>
      <c r="Y219" t="n">
        <v>0</v>
      </c>
      <c r="Z219" t="n">
        <v>170</v>
      </c>
      <c r="AA219" t="n">
        <v>32</v>
      </c>
      <c r="AB219" t="n">
        <v>0</v>
      </c>
      <c r="AC219" t="inlineStr">
        <is>
          <t>Ground</t>
        </is>
      </c>
      <c r="AD219" t="inlineStr"/>
      <c r="AE219" t="n">
        <v>0.6</v>
      </c>
      <c r="AF219" t="inlineStr">
        <is>
          <t>Medium</t>
        </is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n">
        <v>120</v>
      </c>
      <c r="AO219" t="n">
        <v>0</v>
      </c>
      <c r="AP219" t="inlineStr">
        <is>
          <t>T3</t>
        </is>
      </c>
      <c r="AQ219" t="inlineStr">
        <is>
          <t>gun_120mm</t>
        </is>
      </c>
      <c r="AR219" t="inlineStr"/>
      <c r="AS219" t="inlineStr"/>
      <c r="AT219" t="inlineStr"/>
      <c r="AU219" t="n">
        <v>0</v>
      </c>
      <c r="AV219" t="inlineStr"/>
      <c r="AW219" t="n">
        <v>0</v>
      </c>
      <c r="AX219" t="b">
        <v>0</v>
      </c>
      <c r="AY219" t="inlineStr"/>
      <c r="AZ219">
        <f>IF(AND($AX$219,$AW$219&gt;$AA$219/$Z$219),$AW$219,$AA$219/$Z$219)</f>
        <v/>
      </c>
      <c r="BA219" t="n">
        <v>0.1882352941176471</v>
      </c>
      <c r="BB219" t="n">
        <v>8</v>
      </c>
      <c r="BC219" t="n">
        <v>6</v>
      </c>
      <c r="BD219" t="inlineStr">
        <is>
          <t>gun</t>
        </is>
      </c>
      <c r="BE219" t="inlineStr">
        <is>
          <t>the sheet's 'Ngoài đời': Rh-120 6-8 rpm with a loader (Wikipedia 'Rheinmetall 120 mm gun')</t>
        </is>
      </c>
      <c r="BG219" t="inlineStr">
        <is>
          <t>giong</t>
        </is>
      </c>
      <c r="DD219" t="n">
        <v>4</v>
      </c>
      <c r="DE219" t="n">
        <v>260</v>
      </c>
      <c r="DT219" t="inlineStr">
        <is>
          <t>gun_120mm</t>
        </is>
      </c>
      <c r="EB219" t="n">
        <v>5</v>
      </c>
      <c r="EQ219" t="inlineStr">
        <is>
          <t>Rh-120 L/44 120 mm</t>
        </is>
      </c>
      <c r="EY219" t="n">
        <v>0</v>
      </c>
      <c r="GA219" t="inlineStr"/>
      <c r="GD219" t="inlineStr">
        <is>
          <t>Assets/MachineBrigade/Resources/Data/balance.json: weapons[152]</t>
        </is>
      </c>
      <c r="GE219" t="inlineStr">
        <is>
          <t>{"id":"p26_behemoth_be120","inherits":"gun_120mm","weaponFamily":"","real":"Rh-120 L/44 120 mm","damage":260,"cooldown":4,"pen":5,"splash":0}</t>
        </is>
      </c>
    </row>
    <row r="220">
      <c r="A220" t="inlineStr">
        <is>
          <t>p26_behemoth_be152</t>
        </is>
      </c>
      <c r="B220" t="inlineStr">
        <is>
          <t>2A65 152 mm</t>
        </is>
      </c>
      <c r="C220" t="inlineStr">
        <is>
          <t>cal_152_155</t>
        </is>
      </c>
      <c r="D220" t="inlineStr"/>
      <c r="E220" t="inlineStr"/>
      <c r="F220" t="inlineStr">
        <is>
          <t>howitzer</t>
        </is>
      </c>
      <c r="G220" t="n">
        <v>152</v>
      </c>
      <c r="H220" t="inlineStr"/>
      <c r="I220" t="inlineStr"/>
      <c r="J220" t="inlineStr"/>
      <c r="K220" t="inlineStr">
        <is>
          <t>HighExplosive</t>
        </is>
      </c>
      <c r="L220" t="n">
        <v>3</v>
      </c>
      <c r="M220" t="inlineStr">
        <is>
          <t>Shell</t>
        </is>
      </c>
      <c r="N220" t="n">
        <v>1</v>
      </c>
      <c r="O220" t="inlineStr">
        <is>
          <t>RIPPLE</t>
        </is>
      </c>
      <c r="P220" t="n">
        <v>1</v>
      </c>
      <c r="Q220" t="n">
        <v>0.05</v>
      </c>
      <c r="R220" t="n">
        <v>2</v>
      </c>
      <c r="S220" t="n">
        <v>0</v>
      </c>
      <c r="T220" t="n">
        <v>0</v>
      </c>
      <c r="U220" t="n">
        <v>0</v>
      </c>
      <c r="V220" t="n">
        <v>0</v>
      </c>
      <c r="W220" t="n">
        <v>590</v>
      </c>
      <c r="X220" t="n">
        <v>8.5</v>
      </c>
      <c r="Y220" t="n">
        <v>17</v>
      </c>
      <c r="Z220" t="n">
        <v>150</v>
      </c>
      <c r="AA220" t="n">
        <v>40</v>
      </c>
      <c r="AB220" t="n">
        <v>0</v>
      </c>
      <c r="AC220" t="inlineStr">
        <is>
          <t>Ground</t>
        </is>
      </c>
      <c r="AD220" t="inlineStr"/>
      <c r="AE220" t="n">
        <v>0.8</v>
      </c>
      <c r="AF220" t="inlineStr">
        <is>
          <t>Huge</t>
        </is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n">
        <v>152</v>
      </c>
      <c r="AO220" t="n">
        <v>0</v>
      </c>
      <c r="AP220" t="inlineStr">
        <is>
          <t>T3</t>
        </is>
      </c>
      <c r="AQ220" t="inlineStr">
        <is>
          <t>gun_behemoth</t>
        </is>
      </c>
      <c r="AR220" t="inlineStr"/>
      <c r="AS220" t="inlineStr"/>
      <c r="AT220" t="inlineStr"/>
      <c r="AU220" t="n">
        <v>0</v>
      </c>
      <c r="AV220" t="inlineStr"/>
      <c r="AW220" t="n">
        <v>0</v>
      </c>
      <c r="AX220" t="b">
        <v>0</v>
      </c>
      <c r="AY220" t="inlineStr"/>
      <c r="AZ220">
        <f>IF(AND($AX$220,$AW$220&gt;$AA$220/$Z$220),$AW$220,$AA$220/$Z$220)</f>
        <v/>
      </c>
      <c r="BA220" t="n">
        <v>0.2666666666666667</v>
      </c>
      <c r="BB220" t="n">
        <v>8</v>
      </c>
      <c r="BC220" t="n">
        <v>6</v>
      </c>
      <c r="BD220" t="inlineStr">
        <is>
          <t>gun</t>
        </is>
      </c>
      <c r="BE220" t="inlineStr">
        <is>
          <t>Wikipedia '2A65 Msta-B': 7-8 rpm</t>
        </is>
      </c>
      <c r="BG220" t="inlineStr">
        <is>
          <t>giong</t>
        </is>
      </c>
      <c r="CR220" t="n">
        <v>1</v>
      </c>
      <c r="DD220" t="n">
        <v>2</v>
      </c>
      <c r="DE220" t="n">
        <v>590</v>
      </c>
      <c r="DG220" t="n">
        <v>17</v>
      </c>
      <c r="DT220" t="inlineStr">
        <is>
          <t>gun_behemoth</t>
        </is>
      </c>
      <c r="EQ220" t="inlineStr">
        <is>
          <t>2A65 152 mm</t>
        </is>
      </c>
      <c r="EY220" t="n">
        <v>8.5</v>
      </c>
      <c r="GD220" t="inlineStr">
        <is>
          <t>Assets/MachineBrigade/Resources/Data/balance.json: weapons[150]</t>
        </is>
      </c>
      <c r="GE220" t="inlineStr">
        <is>
          <t>{"id":"p26_behemoth_be152","inherits":"gun_behemoth","real":"2A65 152 mm","damage":590,"cooldown":2,"burst":1,"splash":8.5,"edge":17}</t>
        </is>
      </c>
    </row>
    <row r="221">
      <c r="A221" t="inlineStr">
        <is>
          <t>p26_behemoth_be_rockets</t>
        </is>
      </c>
      <c r="B221" t="inlineStr">
        <is>
          <t>BM-21 Grad 122 mm (dorsal)</t>
        </is>
      </c>
      <c r="C221" t="inlineStr">
        <is>
          <t>rkt_grad_122</t>
        </is>
      </c>
      <c r="D221" t="inlineStr"/>
      <c r="E221" t="inlineStr"/>
      <c r="F221" t="inlineStr">
        <is>
          <t>rocket</t>
        </is>
      </c>
      <c r="G221" t="n">
        <v>122</v>
      </c>
      <c r="H221" t="inlineStr"/>
      <c r="I221" t="inlineStr"/>
      <c r="J221" t="inlineStr"/>
      <c r="K221" t="inlineStr">
        <is>
          <t>HighExplosive</t>
        </is>
      </c>
      <c r="L221" t="n">
        <v>2</v>
      </c>
      <c r="M221" t="inlineStr">
        <is>
          <t>Rocket</t>
        </is>
      </c>
      <c r="N221" t="n">
        <v>1</v>
      </c>
      <c r="O221" t="inlineStr">
        <is>
          <t>RIPPLE</t>
        </is>
      </c>
      <c r="P221" t="n">
        <v>8</v>
      </c>
      <c r="Q221" t="n">
        <v>0.3</v>
      </c>
      <c r="R221" t="n">
        <v>5.9</v>
      </c>
      <c r="S221" t="n">
        <v>0</v>
      </c>
      <c r="T221" t="n">
        <v>0</v>
      </c>
      <c r="U221" t="n">
        <v>0</v>
      </c>
      <c r="V221" t="n">
        <v>0</v>
      </c>
      <c r="W221" t="n">
        <v>160</v>
      </c>
      <c r="X221" t="n">
        <v>5</v>
      </c>
      <c r="Y221" t="n">
        <v>10</v>
      </c>
      <c r="Z221" t="n">
        <v>130</v>
      </c>
      <c r="AA221" t="n">
        <v>45</v>
      </c>
      <c r="AB221" t="n">
        <v>0</v>
      </c>
      <c r="AC221" t="inlineStr">
        <is>
          <t>Ground</t>
        </is>
      </c>
      <c r="AD221" t="inlineStr"/>
      <c r="AE221" t="n">
        <v>5</v>
      </c>
      <c r="AF221" t="inlineStr">
        <is>
          <t>Medium</t>
        </is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n">
        <v>122</v>
      </c>
      <c r="AO221" t="n">
        <v>0</v>
      </c>
      <c r="AP221" t="inlineStr">
        <is>
          <t>T3</t>
        </is>
      </c>
      <c r="AQ221" t="inlineStr">
        <is>
          <t>boss_rockets</t>
        </is>
      </c>
      <c r="AR221" t="inlineStr"/>
      <c r="AS221" t="inlineStr"/>
      <c r="AT221" t="inlineStr"/>
      <c r="AU221" t="n">
        <v>0</v>
      </c>
      <c r="AV221" t="inlineStr"/>
      <c r="AW221" t="n">
        <v>0</v>
      </c>
      <c r="AX221" t="b">
        <v>0</v>
      </c>
      <c r="AY221" t="inlineStr"/>
      <c r="AZ221">
        <f>IF(AND($AX$221,$AW$221&gt;$AA$221/$Z$221),$AW$221,$AA$221/$Z$221)</f>
        <v/>
      </c>
      <c r="BA221" t="n">
        <v>0.3461538461538461</v>
      </c>
      <c r="BB221" t="n">
        <v>120</v>
      </c>
      <c r="BC221" t="inlineStr"/>
      <c r="BD221" t="inlineStr">
        <is>
          <t>rocket</t>
        </is>
      </c>
      <c r="BE221" t="inlineStr">
        <is>
          <t>Wikipedia 'BM-21 Grad': 40 rockets in 20 s</t>
        </is>
      </c>
      <c r="BG221" t="inlineStr">
        <is>
          <t>doi</t>
        </is>
      </c>
      <c r="BR221" t="n">
        <v>45</v>
      </c>
      <c r="BS221" t="n">
        <v>130</v>
      </c>
      <c r="CR221" t="n">
        <v>8</v>
      </c>
      <c r="CS221" t="n">
        <v>0.3</v>
      </c>
      <c r="DD221" t="n">
        <v>5.9</v>
      </c>
      <c r="DE221" t="n">
        <v>160</v>
      </c>
      <c r="DF221" t="inlineStr">
        <is>
          <t>HighExplosive</t>
        </is>
      </c>
      <c r="DG221" t="n">
        <v>10</v>
      </c>
      <c r="DL221" t="inlineStr">
        <is>
          <t>Ballistic</t>
        </is>
      </c>
      <c r="DO221" t="n">
        <v>0</v>
      </c>
      <c r="DT221" t="inlineStr">
        <is>
          <t>boss_rockets</t>
        </is>
      </c>
      <c r="EK221" t="n">
        <v>130</v>
      </c>
      <c r="EQ221" t="inlineStr">
        <is>
          <t>BM-21 Grad 122 mm (dorsal)</t>
        </is>
      </c>
      <c r="EY221" t="n">
        <v>5</v>
      </c>
      <c r="GD221" t="inlineStr">
        <is>
          <t>Assets/MachineBrigade/Resources/Data/balance.json: weapons[151]</t>
        </is>
      </c>
      <c r="GE221" t="inlineStr">
        <is>
          <t>{"id":"p26_behemoth_be_rockets","groundMinReach":0,"flightProfile":"Ballistic","inherits":"boss_rockets","damageType":"HighExplosive","projectileSpeed":130,"real":"BM-21 Grad 122 mm (dorsal)","damage":160,"burst":8,"burstInterval":0.3,"cooldown":5.9,"splash":5,"edge":10}</t>
        </is>
      </c>
    </row>
    <row r="222">
      <c r="A222" t="inlineStr">
        <is>
          <t>p26_behemoth_close_boss_flak</t>
        </is>
      </c>
      <c r="B222" t="inlineStr">
        <is>
          <t>Oerlikon 35 mm (twin)</t>
        </is>
      </c>
      <c r="C222" t="inlineStr">
        <is>
          <t>cal_35</t>
        </is>
      </c>
      <c r="D222" t="inlineStr"/>
      <c r="E222" t="inlineStr"/>
      <c r="F222" t="inlineStr">
        <is>
          <t>autocannon</t>
        </is>
      </c>
      <c r="G222" t="n">
        <v>35</v>
      </c>
      <c r="H222" t="inlineStr"/>
      <c r="I222" t="inlineStr"/>
      <c r="J222" t="inlineStr"/>
      <c r="K222" t="inlineStr">
        <is>
          <t>Fragmentation</t>
        </is>
      </c>
      <c r="L222" t="n">
        <v>2</v>
      </c>
      <c r="M222" t="inlineStr">
        <is>
          <t>Bullet</t>
        </is>
      </c>
      <c r="N222" t="n">
        <v>1</v>
      </c>
      <c r="O222" t="inlineStr">
        <is>
          <t>RIPPLE</t>
        </is>
      </c>
      <c r="P222" t="n">
        <v>1</v>
      </c>
      <c r="Q222" t="n">
        <v>0.1</v>
      </c>
      <c r="R222" t="n">
        <v>0.05</v>
      </c>
      <c r="S222" t="n">
        <v>41</v>
      </c>
      <c r="T222" t="n">
        <v>3.38</v>
      </c>
      <c r="U222" t="n">
        <v>0</v>
      </c>
      <c r="V222" t="n">
        <v>0</v>
      </c>
      <c r="W222" t="n">
        <v>25</v>
      </c>
      <c r="X222" t="n">
        <v>2.5</v>
      </c>
      <c r="Y222" t="n">
        <v>0</v>
      </c>
      <c r="Z222" t="n">
        <v>260</v>
      </c>
      <c r="AA222" t="n">
        <v>40</v>
      </c>
      <c r="AB222" t="n">
        <v>0</v>
      </c>
      <c r="AC222" t="inlineStr">
        <is>
          <t>All</t>
        </is>
      </c>
      <c r="AD222" t="inlineStr"/>
      <c r="AE222" t="n">
        <v>1.5</v>
      </c>
      <c r="AF222" t="inlineStr">
        <is>
          <t>Small</t>
        </is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n">
        <v>35</v>
      </c>
      <c r="AO222" t="n">
        <v>0</v>
      </c>
      <c r="AP222" t="inlineStr">
        <is>
          <t>T1</t>
        </is>
      </c>
      <c r="AQ222" t="inlineStr">
        <is>
          <t>boss_flak</t>
        </is>
      </c>
      <c r="AR222" t="inlineStr"/>
      <c r="AS222" t="inlineStr">
        <is>
          <t>boss</t>
        </is>
      </c>
      <c r="AT222" t="inlineStr">
        <is>
          <t>behemoth;behemoth_mk2</t>
        </is>
      </c>
      <c r="AU222" t="n">
        <v>2</v>
      </c>
      <c r="AV222" t="inlineStr">
        <is>
          <t>behemoth:2;behemoth:3;behemoth_mk2:1;behemoth_mk2:2</t>
        </is>
      </c>
      <c r="AW222" t="n">
        <v>0</v>
      </c>
      <c r="AX222" t="b">
        <v>0</v>
      </c>
      <c r="AY222" t="inlineStr"/>
      <c r="AZ222">
        <f>IF(AND($AX$222,$AW$222&gt;$AA$222/$Z$222),$AW$222,$AA$222/$Z$222)</f>
        <v/>
      </c>
      <c r="BA222" t="n">
        <v>0.1538461538461539</v>
      </c>
      <c r="BB222" t="n">
        <v>550</v>
      </c>
      <c r="BC222" t="n">
        <v>300</v>
      </c>
      <c r="BD222" t="inlineStr">
        <is>
          <t>aa</t>
        </is>
      </c>
      <c r="BE222" t="inlineStr">
        <is>
          <t>Wikipedia 'Oerlikon GDF': 550 rpm a gun (the twin: 1,100)</t>
        </is>
      </c>
      <c r="BF222" t="inlineStr">
        <is>
          <t>wave 1 boss_flak: 41 rounds at 1,200 rpm, changed in 3.38 s (twin Oerlikon GDF 2 x 550 rpm)</t>
        </is>
      </c>
      <c r="BG222" t="inlineStr">
        <is>
          <t>doi</t>
        </is>
      </c>
      <c r="BH222" t="n">
        <v>16</v>
      </c>
      <c r="BI222" t="n">
        <v>25</v>
      </c>
      <c r="CX222" t="n">
        <v>3.38</v>
      </c>
      <c r="DE222" t="n">
        <v>25</v>
      </c>
      <c r="DT222" t="inlineStr">
        <is>
          <t>boss_flak</t>
        </is>
      </c>
      <c r="GA222" t="inlineStr"/>
      <c r="GD222" t="inlineStr">
        <is>
          <t>Assets/MachineBrigade/Resources/Data/balance.json: weapons[156]</t>
        </is>
      </c>
      <c r="GE222" t="inlineStr">
        <is>
          <t>{"id":"p26_behemoth_close_boss_flak","inherits":"boss_flak","clipReload":3.38,"weaponFamily":"","damage":25}</t>
        </is>
      </c>
    </row>
    <row r="223">
      <c r="A223" t="inlineStr">
        <is>
          <t>p26_behemoth_direct_be120</t>
        </is>
      </c>
      <c r="B223" t="inlineStr">
        <is>
          <t>Rh-120 L/44 120 mm (twin)</t>
        </is>
      </c>
      <c r="C223" t="inlineStr">
        <is>
          <t>cal_120_ap</t>
        </is>
      </c>
      <c r="D223" t="inlineStr"/>
      <c r="E223" t="inlineStr"/>
      <c r="F223" t="inlineStr">
        <is>
          <t>tank_gun</t>
        </is>
      </c>
      <c r="G223" t="n">
        <v>120</v>
      </c>
      <c r="H223" t="inlineStr"/>
      <c r="I223" t="inlineStr"/>
      <c r="J223" t="inlineStr"/>
      <c r="K223" t="inlineStr">
        <is>
          <t>Kinetic</t>
        </is>
      </c>
      <c r="L223" t="n">
        <v>5</v>
      </c>
      <c r="M223" t="inlineStr">
        <is>
          <t>Shell</t>
        </is>
      </c>
      <c r="N223" t="n">
        <v>2</v>
      </c>
      <c r="O223" t="inlineStr">
        <is>
          <t>SIMULTANEOUS</t>
        </is>
      </c>
      <c r="P223" t="n">
        <v>1</v>
      </c>
      <c r="Q223" t="n">
        <v>0.1</v>
      </c>
      <c r="R223" t="n">
        <v>7.5</v>
      </c>
      <c r="S223" t="n">
        <v>0</v>
      </c>
      <c r="T223" t="n">
        <v>0</v>
      </c>
      <c r="U223" t="n">
        <v>0</v>
      </c>
      <c r="V223" t="n">
        <v>0</v>
      </c>
      <c r="W223" t="n">
        <v>260</v>
      </c>
      <c r="X223" t="n">
        <v>0</v>
      </c>
      <c r="Y223" t="n">
        <v>0</v>
      </c>
      <c r="Z223" t="n">
        <v>170</v>
      </c>
      <c r="AA223" t="n">
        <v>32</v>
      </c>
      <c r="AB223" t="n">
        <v>0</v>
      </c>
      <c r="AC223" t="inlineStr">
        <is>
          <t>Ground</t>
        </is>
      </c>
      <c r="AD223" t="inlineStr"/>
      <c r="AE223" t="n">
        <v>0.6</v>
      </c>
      <c r="AF223" t="inlineStr">
        <is>
          <t>Medium</t>
        </is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n">
        <v>120</v>
      </c>
      <c r="AO223" t="n">
        <v>0</v>
      </c>
      <c r="AP223" t="inlineStr">
        <is>
          <t>T3</t>
        </is>
      </c>
      <c r="AQ223" t="inlineStr">
        <is>
          <t>p26_behemoth_be120</t>
        </is>
      </c>
      <c r="AR223" t="inlineStr"/>
      <c r="AS223" t="inlineStr">
        <is>
          <t>boss</t>
        </is>
      </c>
      <c r="AT223" t="inlineStr">
        <is>
          <t>behemoth;behemoth_mk0</t>
        </is>
      </c>
      <c r="AU223" t="n">
        <v>2</v>
      </c>
      <c r="AV223" t="inlineStr">
        <is>
          <t>behemoth:7;behemoth:8;behemoth_mk0:1;behemoth_mk0:2</t>
        </is>
      </c>
      <c r="AW223" t="n">
        <v>0</v>
      </c>
      <c r="AX223" t="b">
        <v>0</v>
      </c>
      <c r="AY223" t="inlineStr"/>
      <c r="AZ223">
        <f>IF(AND($AX$223,$AW$223&gt;$AA$223/$Z$223),$AW$223,$AA$223/$Z$223)</f>
        <v/>
      </c>
      <c r="BA223" t="n">
        <v>0.1882352941176471</v>
      </c>
      <c r="BB223" t="n">
        <v>8</v>
      </c>
      <c r="BC223" t="n">
        <v>6</v>
      </c>
      <c r="BD223" t="inlineStr">
        <is>
          <t>gun</t>
        </is>
      </c>
      <c r="BE223" t="inlineStr">
        <is>
          <t>the sheet's 'Ngoài đời': Rh-120 6-8 rpm with a loader (Wikipedia 'Rheinmetall 120 mm gun')</t>
        </is>
      </c>
      <c r="BF223" t="inlineStr">
        <is>
          <t>real Rh-120 with a loader, 8 rpm (7.5 s); wave 1's 5.1 s is too fast after the 30 % rule; made up: a twin Rh-120 (wave 1's gun_120_twin)</t>
        </is>
      </c>
      <c r="BG223" t="inlineStr">
        <is>
          <t>doi</t>
        </is>
      </c>
      <c r="BH223" t="n">
        <v>255</v>
      </c>
      <c r="BI223" t="n">
        <v>260</v>
      </c>
      <c r="BJ223" t="n">
        <v>5</v>
      </c>
      <c r="BK223" t="n">
        <v>7.5</v>
      </c>
      <c r="BX223" t="n">
        <v>1</v>
      </c>
      <c r="BY223" t="n">
        <v>2</v>
      </c>
      <c r="BZ223" t="inlineStr">
        <is>
          <t>RIPPLE</t>
        </is>
      </c>
      <c r="CA223" t="inlineStr">
        <is>
          <t>SIMULTANEOUS</t>
        </is>
      </c>
      <c r="CO223" t="n">
        <v>2</v>
      </c>
      <c r="DD223" t="n">
        <v>7.5</v>
      </c>
      <c r="DE223" t="n">
        <v>260</v>
      </c>
      <c r="DO223" t="n">
        <v>21</v>
      </c>
      <c r="DT223" t="inlineStr">
        <is>
          <t>p26_behemoth_be120</t>
        </is>
      </c>
      <c r="EQ223" t="inlineStr">
        <is>
          <t>Rh-120 L/44 120 mm (twin)</t>
        </is>
      </c>
      <c r="EW223" t="inlineStr">
        <is>
          <t>SIMULTANEOUS</t>
        </is>
      </c>
      <c r="GD223" t="inlineStr">
        <is>
          <t>Assets/MachineBrigade/Resources/Data/balance.json: weapons[155]</t>
        </is>
      </c>
      <c r="GE223" t="inlineStr">
        <is>
          <t>{"id":"p26_behemoth_direct_be120","groundMinReach":21,"inherits":"p26_behemoth_be120","real":"Rh-120 L/44 120 mm (twin)","salvoMode":"SIMULTANEOUS","barrels":2,"cooldown":7.5,"damage":260}</t>
        </is>
      </c>
    </row>
    <row r="224">
      <c r="A224" t="inlineStr">
        <is>
          <t>p26_behemoth_main_be152</t>
        </is>
      </c>
      <c r="B224" t="inlineStr">
        <is>
          <t>2A65 152 mm</t>
        </is>
      </c>
      <c r="C224" t="inlineStr">
        <is>
          <t>cal_152_155</t>
        </is>
      </c>
      <c r="D224" t="inlineStr"/>
      <c r="E224" t="inlineStr"/>
      <c r="F224" t="inlineStr">
        <is>
          <t>howitzer</t>
        </is>
      </c>
      <c r="G224" t="n">
        <v>152</v>
      </c>
      <c r="H224" t="inlineStr"/>
      <c r="I224" t="inlineStr"/>
      <c r="J224" t="inlineStr"/>
      <c r="K224" t="inlineStr">
        <is>
          <t>HighExplosive</t>
        </is>
      </c>
      <c r="L224" t="n">
        <v>3</v>
      </c>
      <c r="M224" t="inlineStr">
        <is>
          <t>Shell</t>
        </is>
      </c>
      <c r="N224" t="n">
        <v>2</v>
      </c>
      <c r="O224" t="inlineStr">
        <is>
          <t>SIMULTANEOUS</t>
        </is>
      </c>
      <c r="P224" t="n">
        <v>1</v>
      </c>
      <c r="Q224" t="n">
        <v>0.05</v>
      </c>
      <c r="R224" t="n">
        <v>8.98</v>
      </c>
      <c r="S224" t="n">
        <v>0</v>
      </c>
      <c r="T224" t="n">
        <v>0</v>
      </c>
      <c r="U224" t="n">
        <v>0</v>
      </c>
      <c r="V224" t="n">
        <v>0</v>
      </c>
      <c r="W224" t="n">
        <v>600</v>
      </c>
      <c r="X224" t="n">
        <v>7</v>
      </c>
      <c r="Y224" t="n">
        <v>14</v>
      </c>
      <c r="Z224" t="n">
        <v>150</v>
      </c>
      <c r="AA224" t="n">
        <v>40</v>
      </c>
      <c r="AB224" t="n">
        <v>0</v>
      </c>
      <c r="AC224" t="inlineStr">
        <is>
          <t>Ground</t>
        </is>
      </c>
      <c r="AD224" t="inlineStr"/>
      <c r="AE224" t="n">
        <v>0.8</v>
      </c>
      <c r="AF224" t="inlineStr">
        <is>
          <t>Huge</t>
        </is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n">
        <v>152</v>
      </c>
      <c r="AO224" t="n">
        <v>0</v>
      </c>
      <c r="AP224" t="inlineStr">
        <is>
          <t>T3</t>
        </is>
      </c>
      <c r="AQ224" t="inlineStr">
        <is>
          <t>p26_behemoth_be152</t>
        </is>
      </c>
      <c r="AR224" t="inlineStr"/>
      <c r="AS224" t="inlineStr">
        <is>
          <t>boss</t>
        </is>
      </c>
      <c r="AT224" t="inlineStr">
        <is>
          <t>behemoth;behemoth_mk0;behemoth_mk2</t>
        </is>
      </c>
      <c r="AU224" t="n">
        <v>3</v>
      </c>
      <c r="AV224" t="inlineStr">
        <is>
          <t>behemoth:0;behemoth_mk0:0;behemoth_mk2:0</t>
        </is>
      </c>
      <c r="AW224" t="n">
        <v>0</v>
      </c>
      <c r="AX224" t="b">
        <v>0</v>
      </c>
      <c r="AY224" t="inlineStr"/>
      <c r="AZ224">
        <f>IF(AND($AX$224,$AW$224&gt;$AA$224/$Z$224),$AW$224,$AA$224/$Z$224)</f>
        <v/>
      </c>
      <c r="BA224" t="n">
        <v>0.2666666666666667</v>
      </c>
      <c r="BB224" t="n">
        <v>8</v>
      </c>
      <c r="BC224" t="n">
        <v>6</v>
      </c>
      <c r="BD224" t="inlineStr">
        <is>
          <t>gun</t>
        </is>
      </c>
      <c r="BE224" t="inlineStr">
        <is>
          <t>Wikipedia '2A65 Msta-B': 7-8 rpm</t>
        </is>
      </c>
      <c r="BF224" t="inlineStr">
        <is>
          <t>wave 1 gun_behemoth: the twin 2A65, 2 rounds every 8.98 s (real 7-8 rpm a gun, Msta-B): passes (b)</t>
        </is>
      </c>
      <c r="BG224" t="inlineStr">
        <is>
          <t>doi</t>
        </is>
      </c>
      <c r="BH224" t="n">
        <v>650</v>
      </c>
      <c r="BI224" t="n">
        <v>600</v>
      </c>
      <c r="BJ224" t="n">
        <v>2</v>
      </c>
      <c r="BK224" t="n">
        <v>8.98</v>
      </c>
      <c r="BN224" t="n">
        <v>8.5</v>
      </c>
      <c r="BO224" t="n">
        <v>7</v>
      </c>
      <c r="BP224" t="n">
        <v>17</v>
      </c>
      <c r="BQ224" t="n">
        <v>14</v>
      </c>
      <c r="BX224" t="n">
        <v>1</v>
      </c>
      <c r="BY224" t="n">
        <v>2</v>
      </c>
      <c r="BZ224" t="inlineStr">
        <is>
          <t>RIPPLE</t>
        </is>
      </c>
      <c r="CA224" t="inlineStr">
        <is>
          <t>SIMULTANEOUS</t>
        </is>
      </c>
      <c r="CO224" t="n">
        <v>2</v>
      </c>
      <c r="DD224" t="n">
        <v>8.98</v>
      </c>
      <c r="DE224" t="n">
        <v>600</v>
      </c>
      <c r="DG224" t="n">
        <v>14</v>
      </c>
      <c r="DO224" t="n">
        <v>32</v>
      </c>
      <c r="DT224" t="inlineStr">
        <is>
          <t>p26_behemoth_be152</t>
        </is>
      </c>
      <c r="EW224" t="inlineStr">
        <is>
          <t>SIMULTANEOUS</t>
        </is>
      </c>
      <c r="EY224" t="n">
        <v>7</v>
      </c>
      <c r="GD224" t="inlineStr">
        <is>
          <t>Assets/MachineBrigade/Resources/Data/balance.json: weapons[153]</t>
        </is>
      </c>
      <c r="GE224" t="inlineStr">
        <is>
          <t>{"id":"p26_behemoth_main_be152","groundMinReach":32,"inherits":"p26_behemoth_be152","salvoMode":"SIMULTANEOUS","barrels":2,"cooldown":8.98,"edge":14,"splash":7,"damage":600}</t>
        </is>
      </c>
    </row>
    <row r="225">
      <c r="A225" t="inlineStr">
        <is>
          <t>p26_behemoth_sec_be_rockets</t>
        </is>
      </c>
      <c r="B225" t="inlineStr">
        <is>
          <t>BM-21 Grad 122 mm (dorsal)</t>
        </is>
      </c>
      <c r="C225" t="inlineStr">
        <is>
          <t>rkt_grad_122</t>
        </is>
      </c>
      <c r="D225" t="inlineStr"/>
      <c r="E225" t="inlineStr"/>
      <c r="F225" t="inlineStr">
        <is>
          <t>rocket</t>
        </is>
      </c>
      <c r="G225" t="n">
        <v>122</v>
      </c>
      <c r="H225" t="inlineStr"/>
      <c r="I225" t="inlineStr"/>
      <c r="J225" t="inlineStr"/>
      <c r="K225" t="inlineStr">
        <is>
          <t>HighExplosive</t>
        </is>
      </c>
      <c r="L225" t="n">
        <v>2</v>
      </c>
      <c r="M225" t="inlineStr">
        <is>
          <t>Rocket</t>
        </is>
      </c>
      <c r="N225" t="n">
        <v>1</v>
      </c>
      <c r="O225" t="inlineStr">
        <is>
          <t>RIPPLE</t>
        </is>
      </c>
      <c r="P225" t="n">
        <v>40</v>
      </c>
      <c r="Q225" t="n">
        <v>0.5</v>
      </c>
      <c r="R225" t="n">
        <v>2.44</v>
      </c>
      <c r="S225" t="n">
        <v>0</v>
      </c>
      <c r="T225" t="n">
        <v>0</v>
      </c>
      <c r="U225" t="n">
        <v>0</v>
      </c>
      <c r="V225" t="n">
        <v>0</v>
      </c>
      <c r="W225" t="n">
        <v>200</v>
      </c>
      <c r="X225" t="n">
        <v>4.5</v>
      </c>
      <c r="Y225" t="n">
        <v>9</v>
      </c>
      <c r="Z225" t="n">
        <v>130</v>
      </c>
      <c r="AA225" t="n">
        <v>45</v>
      </c>
      <c r="AB225" t="n">
        <v>0</v>
      </c>
      <c r="AC225" t="inlineStr">
        <is>
          <t>Ground</t>
        </is>
      </c>
      <c r="AD225" t="inlineStr"/>
      <c r="AE225" t="n">
        <v>5</v>
      </c>
      <c r="AF225" t="inlineStr">
        <is>
          <t>Medium</t>
        </is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n">
        <v>122</v>
      </c>
      <c r="AO225" t="n">
        <v>0</v>
      </c>
      <c r="AP225" t="inlineStr">
        <is>
          <t>T3</t>
        </is>
      </c>
      <c r="AQ225" t="inlineStr">
        <is>
          <t>p26_behemoth_be_rockets</t>
        </is>
      </c>
      <c r="AR225" t="inlineStr"/>
      <c r="AS225" t="inlineStr">
        <is>
          <t>boss</t>
        </is>
      </c>
      <c r="AT225" t="inlineStr">
        <is>
          <t>behemoth;behemoth_mk0</t>
        </is>
      </c>
      <c r="AU225" t="n">
        <v>2</v>
      </c>
      <c r="AV225" t="inlineStr">
        <is>
          <t>behemoth:9;behemoth_mk0:3</t>
        </is>
      </c>
      <c r="AW225" t="n">
        <v>0</v>
      </c>
      <c r="AX225" t="b">
        <v>0</v>
      </c>
      <c r="AY225" t="inlineStr"/>
      <c r="AZ225">
        <f>IF(AND($AX$225,$AW$225&gt;$AA$225/$Z$225),$AW$225,$AA$225/$Z$225)</f>
        <v/>
      </c>
      <c r="BA225" t="n">
        <v>0.3461538461538461</v>
      </c>
      <c r="BB225" t="n">
        <v>120</v>
      </c>
      <c r="BC225" t="inlineStr"/>
      <c r="BD225" t="inlineStr">
        <is>
          <t>rocket</t>
        </is>
      </c>
      <c r="BE225" t="inlineStr">
        <is>
          <t>Wikipedia 'BM-21 Grad': 40 rockets in 20 s</t>
        </is>
      </c>
      <c r="BF225" t="inlineStr">
        <is>
          <t>wave 1 boss_rockets: rockets 0.5 s apart (BM-21: 40 in 20 s), 2.44 s after the ripple; each pod keeps its rockets; made up: a full BM-21 pack of 40 tubes (8 before)</t>
        </is>
      </c>
      <c r="BG225" t="inlineStr">
        <is>
          <t>doi</t>
        </is>
      </c>
      <c r="BH225" t="n">
        <v>195</v>
      </c>
      <c r="BI225" t="n">
        <v>200</v>
      </c>
      <c r="BJ225" t="n">
        <v>3</v>
      </c>
      <c r="BK225" t="n">
        <v>2.44</v>
      </c>
      <c r="BN225" t="n">
        <v>5</v>
      </c>
      <c r="BO225" t="n">
        <v>4.5</v>
      </c>
      <c r="BP225" t="n">
        <v>10</v>
      </c>
      <c r="BQ225" t="n">
        <v>9</v>
      </c>
      <c r="BR225" t="n">
        <v>45</v>
      </c>
      <c r="BS225" t="n">
        <v>130</v>
      </c>
      <c r="BT225" t="n">
        <v>8</v>
      </c>
      <c r="BU225" t="n">
        <v>40</v>
      </c>
      <c r="BV225" t="n">
        <v>0.3</v>
      </c>
      <c r="BW225" t="n">
        <v>0.5</v>
      </c>
      <c r="CR225" t="n">
        <v>40</v>
      </c>
      <c r="CS225" t="n">
        <v>0.5</v>
      </c>
      <c r="DD225" t="n">
        <v>2.44</v>
      </c>
      <c r="DE225" t="n">
        <v>200</v>
      </c>
      <c r="DG225" t="n">
        <v>9</v>
      </c>
      <c r="DO225" t="n">
        <v>23</v>
      </c>
      <c r="DT225" t="inlineStr">
        <is>
          <t>p26_behemoth_be_rockets</t>
        </is>
      </c>
      <c r="EY225" t="n">
        <v>4.5</v>
      </c>
      <c r="GD225" t="inlineStr">
        <is>
          <t>Assets/MachineBrigade/Resources/Data/balance.json: weapons[154]</t>
        </is>
      </c>
      <c r="GE225" t="inlineStr">
        <is>
          <t>{"id":"p26_behemoth_sec_be_rockets","groundMinReach":23,"inherits":"p26_behemoth_be_rockets","burstInterval":0.5,"burst":40,"edge":9,"splash":4.5,"cooldown":2.44,"damage":200}</t>
        </is>
      </c>
    </row>
    <row r="226">
      <c r="A226" t="inlineStr">
        <is>
          <t>p26_behemoth_tiny_be120</t>
        </is>
      </c>
      <c r="B226" t="inlineStr">
        <is>
          <t>Rh-120 L/44 120 mm</t>
        </is>
      </c>
      <c r="C226" t="inlineStr">
        <is>
          <t>cal_120_ap</t>
        </is>
      </c>
      <c r="D226" t="inlineStr"/>
      <c r="E226" t="inlineStr"/>
      <c r="F226" t="inlineStr">
        <is>
          <t>tank_gun</t>
        </is>
      </c>
      <c r="G226" t="n">
        <v>120</v>
      </c>
      <c r="H226" t="inlineStr"/>
      <c r="I226" t="inlineStr"/>
      <c r="J226" t="inlineStr"/>
      <c r="K226" t="inlineStr">
        <is>
          <t>Kinetic</t>
        </is>
      </c>
      <c r="L226" t="n">
        <v>5</v>
      </c>
      <c r="M226" t="inlineStr">
        <is>
          <t>Shell</t>
        </is>
      </c>
      <c r="N226" t="n">
        <v>1</v>
      </c>
      <c r="O226" t="inlineStr">
        <is>
          <t>RIPPLE</t>
        </is>
      </c>
      <c r="P226" t="n">
        <v>1</v>
      </c>
      <c r="Q226" t="n">
        <v>0.1</v>
      </c>
      <c r="R226" t="n">
        <v>7.5</v>
      </c>
      <c r="S226" t="n">
        <v>0</v>
      </c>
      <c r="T226" t="n">
        <v>0</v>
      </c>
      <c r="U226" t="n">
        <v>0</v>
      </c>
      <c r="V226" t="n">
        <v>0</v>
      </c>
      <c r="W226" t="n">
        <v>260</v>
      </c>
      <c r="X226" t="n">
        <v>0</v>
      </c>
      <c r="Y226" t="n">
        <v>0</v>
      </c>
      <c r="Z226" t="n">
        <v>170</v>
      </c>
      <c r="AA226" t="n">
        <v>32</v>
      </c>
      <c r="AB226" t="n">
        <v>0</v>
      </c>
      <c r="AC226" t="inlineStr">
        <is>
          <t>Ground</t>
        </is>
      </c>
      <c r="AD226" t="inlineStr"/>
      <c r="AE226" t="n">
        <v>0.6</v>
      </c>
      <c r="AF226" t="inlineStr">
        <is>
          <t>Medium</t>
        </is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n">
        <v>120</v>
      </c>
      <c r="AO226" t="n">
        <v>0</v>
      </c>
      <c r="AP226" t="inlineStr">
        <is>
          <t>T3</t>
        </is>
      </c>
      <c r="AQ226" t="inlineStr">
        <is>
          <t>p26_behemoth_be120</t>
        </is>
      </c>
      <c r="AR226" t="inlineStr"/>
      <c r="AS226" t="inlineStr">
        <is>
          <t>boss</t>
        </is>
      </c>
      <c r="AT226" t="inlineStr">
        <is>
          <t>behemoth</t>
        </is>
      </c>
      <c r="AU226" t="n">
        <v>1</v>
      </c>
      <c r="AV226" t="inlineStr">
        <is>
          <t>behemoth:1</t>
        </is>
      </c>
      <c r="AW226" t="n">
        <v>0</v>
      </c>
      <c r="AX226" t="b">
        <v>0</v>
      </c>
      <c r="AY226" t="inlineStr"/>
      <c r="AZ226">
        <f>IF(AND($AX$226,$AW$226&gt;$AA$226/$Z$226),$AW$226,$AA$226/$Z$226)</f>
        <v/>
      </c>
      <c r="BA226" t="n">
        <v>0.1882352941176471</v>
      </c>
      <c r="BB226" t="n">
        <v>8</v>
      </c>
      <c r="BC226" t="n">
        <v>6</v>
      </c>
      <c r="BD226" t="inlineStr">
        <is>
          <t>gun</t>
        </is>
      </c>
      <c r="BE226" t="inlineStr">
        <is>
          <t>the sheet's 'Ngoài đời': Rh-120 6-8 rpm with a loader (Wikipedia 'Rheinmetall 120 mm gun')</t>
        </is>
      </c>
      <c r="BF226" t="inlineStr">
        <is>
          <t>real Rh-120 with a loader, 8 rpm (7.5 s); wave 1's 5.1 s is too fast after the 30 % rule</t>
        </is>
      </c>
      <c r="BG226" t="inlineStr">
        <is>
          <t>doi</t>
        </is>
      </c>
      <c r="BH226" t="n">
        <v>52</v>
      </c>
      <c r="BI226" t="n">
        <v>260</v>
      </c>
      <c r="BJ226" t="n">
        <v>4</v>
      </c>
      <c r="BK226" t="n">
        <v>7.5</v>
      </c>
      <c r="DD226" t="n">
        <v>7.5</v>
      </c>
      <c r="DE226" t="n">
        <v>260</v>
      </c>
      <c r="DO226" t="n">
        <v>25</v>
      </c>
      <c r="DT226" t="inlineStr">
        <is>
          <t>p26_behemoth_be120</t>
        </is>
      </c>
      <c r="GD226" t="inlineStr">
        <is>
          <t>Assets/MachineBrigade/Resources/Data/balance.json: weapons[157]</t>
        </is>
      </c>
      <c r="GE226" t="inlineStr">
        <is>
          <t>{"id":"p26_behemoth_tiny_be120","groundMinReach":25,"inherits":"p26_behemoth_be120","cooldown":7.5,"damage":260}</t>
        </is>
      </c>
    </row>
    <row r="227">
      <c r="A227" t="inlineStr">
        <is>
          <t>p26_behemoth_tiny_boss_missiles</t>
        </is>
      </c>
      <c r="B227" t="inlineStr">
        <is>
          <t>9M133 Kornet</t>
        </is>
      </c>
      <c r="C227" t="inlineStr">
        <is>
          <t>atgm_kornet</t>
        </is>
      </c>
      <c r="D227" t="inlineStr"/>
      <c r="E227" t="inlineStr"/>
      <c r="F227" t="inlineStr">
        <is>
          <t>atgm</t>
        </is>
      </c>
      <c r="G227" t="inlineStr"/>
      <c r="H227" t="n">
        <v>7</v>
      </c>
      <c r="I227" t="inlineStr"/>
      <c r="J227" t="inlineStr"/>
      <c r="K227" t="inlineStr">
        <is>
          <t>ShapedCharge</t>
        </is>
      </c>
      <c r="L227" t="n">
        <v>4</v>
      </c>
      <c r="M227" t="inlineStr">
        <is>
          <t>Missile</t>
        </is>
      </c>
      <c r="N227" t="n">
        <v>1</v>
      </c>
      <c r="O227" t="inlineStr">
        <is>
          <t>RIPPLE</t>
        </is>
      </c>
      <c r="P227" t="n">
        <v>1</v>
      </c>
      <c r="Q227" t="n">
        <v>0.1</v>
      </c>
      <c r="R227" t="n">
        <v>20</v>
      </c>
      <c r="S227" t="n">
        <v>0</v>
      </c>
      <c r="T227" t="n">
        <v>0</v>
      </c>
      <c r="U227" t="n">
        <v>0</v>
      </c>
      <c r="V227" t="n">
        <v>0</v>
      </c>
      <c r="W227" t="n">
        <v>230</v>
      </c>
      <c r="X227" t="n">
        <v>0</v>
      </c>
      <c r="Y227" t="n">
        <v>0</v>
      </c>
      <c r="Z227" t="n">
        <v>80</v>
      </c>
      <c r="AA227" t="n">
        <v>45</v>
      </c>
      <c r="AB227" t="n">
        <v>0</v>
      </c>
      <c r="AC227" t="inlineStr">
        <is>
          <t>Ground</t>
        </is>
      </c>
      <c r="AD227" t="inlineStr"/>
      <c r="AE227" t="n">
        <v>0</v>
      </c>
      <c r="AF227" t="inlineStr">
        <is>
          <t>Medium</t>
        </is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n">
        <v>29</v>
      </c>
      <c r="AO227" t="n">
        <v>0</v>
      </c>
      <c r="AP227" t="inlineStr">
        <is>
          <t>T2</t>
        </is>
      </c>
      <c r="AQ227" t="inlineStr">
        <is>
          <t>boss_missiles</t>
        </is>
      </c>
      <c r="AR227" t="inlineStr"/>
      <c r="AS227" t="inlineStr">
        <is>
          <t>boss</t>
        </is>
      </c>
      <c r="AT227" t="inlineStr">
        <is>
          <t>behemoth</t>
        </is>
      </c>
      <c r="AU227" t="n">
        <v>1</v>
      </c>
      <c r="AV227" t="inlineStr">
        <is>
          <t>behemoth:4;behemoth:5</t>
        </is>
      </c>
      <c r="AW227" t="n">
        <v>0</v>
      </c>
      <c r="AX227" t="b">
        <v>0</v>
      </c>
      <c r="AY227" t="inlineStr"/>
      <c r="AZ227">
        <f>IF(AND($AX$227,$AW$227&gt;$AA$227/$Z$227),$AW$227,$AA$227/$Z$227)</f>
        <v/>
      </c>
      <c r="BA227" t="n">
        <v>0.5625</v>
      </c>
      <c r="BB227" t="n">
        <v>3</v>
      </c>
      <c r="BC227" t="n">
        <v>3</v>
      </c>
      <c r="BD227" t="inlineStr">
        <is>
          <t>atgm</t>
        </is>
      </c>
      <c r="BE227" t="inlineStr">
        <is>
          <t>Wikipedia '9M133 Kornet': 2-3 rpm</t>
        </is>
      </c>
      <c r="BF227" t="inlineStr">
        <is>
          <t>real 9M133 Kornet 3 rpm (20 s); wave 1's 6.39 s is too fast</t>
        </is>
      </c>
      <c r="BG227" t="inlineStr">
        <is>
          <t>doi</t>
        </is>
      </c>
      <c r="BH227" t="n">
        <v>46</v>
      </c>
      <c r="BI227" t="n">
        <v>230</v>
      </c>
      <c r="BJ227" t="n">
        <v>6.39</v>
      </c>
      <c r="BK227" t="n">
        <v>20</v>
      </c>
      <c r="BR227" t="n">
        <v>22</v>
      </c>
      <c r="BS227" t="n">
        <v>80</v>
      </c>
      <c r="DD227" t="n">
        <v>20</v>
      </c>
      <c r="DE227" t="n">
        <v>230</v>
      </c>
      <c r="DO227" t="n">
        <v>1</v>
      </c>
      <c r="DT227" t="inlineStr">
        <is>
          <t>boss_missiles</t>
        </is>
      </c>
      <c r="GA227" t="inlineStr"/>
      <c r="GD227" t="inlineStr">
        <is>
          <t>Assets/MachineBrigade/Resources/Data/balance.json: weapons[158]</t>
        </is>
      </c>
      <c r="GE227" t="inlineStr">
        <is>
          <t>{"id":"p26_behemoth_tiny_boss_missiles","groundMinReach":1,"inherits":"boss_missiles","cooldown":20,"weaponFamily":"","damage":230}</t>
        </is>
      </c>
    </row>
    <row r="228">
      <c r="A228" t="inlineStr">
        <is>
          <t>p26_behemoth_tiny_kornet_twin</t>
        </is>
      </c>
      <c r="B228" t="inlineStr">
        <is>
          <t>Rh-120 L/44 120 mm (side gun)</t>
        </is>
      </c>
      <c r="C228" t="inlineStr">
        <is>
          <t>cal_120_ap</t>
        </is>
      </c>
      <c r="D228" t="inlineStr"/>
      <c r="E228" t="inlineStr"/>
      <c r="F228" t="inlineStr">
        <is>
          <t>tank_gun</t>
        </is>
      </c>
      <c r="G228" t="n">
        <v>120</v>
      </c>
      <c r="H228" t="inlineStr"/>
      <c r="I228" t="inlineStr"/>
      <c r="J228" t="inlineStr"/>
      <c r="K228" t="inlineStr">
        <is>
          <t>Kinetic</t>
        </is>
      </c>
      <c r="L228" t="n">
        <v>5</v>
      </c>
      <c r="M228" t="inlineStr">
        <is>
          <t>Shell</t>
        </is>
      </c>
      <c r="N228" t="n">
        <v>1</v>
      </c>
      <c r="O228" t="inlineStr">
        <is>
          <t>RIPPLE</t>
        </is>
      </c>
      <c r="P228" t="n">
        <v>1</v>
      </c>
      <c r="Q228" t="n">
        <v>0.1</v>
      </c>
      <c r="R228" t="n">
        <v>9.699999999999999</v>
      </c>
      <c r="S228" t="n">
        <v>0</v>
      </c>
      <c r="T228" t="n">
        <v>0</v>
      </c>
      <c r="U228" t="n">
        <v>0</v>
      </c>
      <c r="V228" t="n">
        <v>0</v>
      </c>
      <c r="W228" t="n">
        <v>230</v>
      </c>
      <c r="X228" t="n">
        <v>0</v>
      </c>
      <c r="Y228" t="n">
        <v>0</v>
      </c>
      <c r="Z228" t="n">
        <v>170</v>
      </c>
      <c r="AA228" t="n">
        <v>32</v>
      </c>
      <c r="AB228" t="n">
        <v>0</v>
      </c>
      <c r="AC228" t="inlineStr">
        <is>
          <t>Ground</t>
        </is>
      </c>
      <c r="AD228" t="inlineStr"/>
      <c r="AE228" t="n">
        <v>0.6</v>
      </c>
      <c r="AF228" t="inlineStr">
        <is>
          <t>Medium</t>
        </is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n">
        <v>120</v>
      </c>
      <c r="AO228" t="n">
        <v>0</v>
      </c>
      <c r="AP228" t="inlineStr">
        <is>
          <t>T3</t>
        </is>
      </c>
      <c r="AQ228" t="inlineStr">
        <is>
          <t>p26_behemoth_be120</t>
        </is>
      </c>
      <c r="AR228" t="inlineStr"/>
      <c r="AS228" t="inlineStr">
        <is>
          <t>boss</t>
        </is>
      </c>
      <c r="AT228" t="inlineStr">
        <is>
          <t>behemoth</t>
        </is>
      </c>
      <c r="AU228" t="n">
        <v>1</v>
      </c>
      <c r="AV228" t="inlineStr">
        <is>
          <t>behemoth:6</t>
        </is>
      </c>
      <c r="AW228" t="n">
        <v>0</v>
      </c>
      <c r="AX228" t="b">
        <v>0</v>
      </c>
      <c r="AY228" t="inlineStr"/>
      <c r="AZ228">
        <f>IF(AND($AX$228,$AW$228&gt;$AA$228/$Z$228),$AW$228,$AA$228/$Z$228)</f>
        <v/>
      </c>
      <c r="BA228" t="n">
        <v>0.1882352941176471</v>
      </c>
      <c r="BB228" t="n">
        <v>8</v>
      </c>
      <c r="BC228" t="n">
        <v>6</v>
      </c>
      <c r="BD228" t="inlineStr">
        <is>
          <t>gun</t>
        </is>
      </c>
      <c r="BE228" t="inlineStr">
        <is>
          <t>the sheet's 'Ngoài đời': Rh-120 6-8 rpm with a loader (Wikipedia 'Rheinmetall 120 mm gun')</t>
        </is>
      </c>
      <c r="BF228" t="inlineStr">
        <is>
          <t>a twin Kornet launcher: the pair 0.6 s apart, every 20 s (3 rpm a rail); 55.6 s was too slow</t>
        </is>
      </c>
      <c r="BG228" t="inlineStr">
        <is>
          <t>doi</t>
        </is>
      </c>
      <c r="BH228" t="n">
        <v>46</v>
      </c>
      <c r="BI228" t="n">
        <v>230</v>
      </c>
      <c r="BJ228" t="n">
        <v>10.51</v>
      </c>
      <c r="BK228" t="n">
        <v>9.699999999999999</v>
      </c>
      <c r="BL228" t="n">
        <v>50</v>
      </c>
      <c r="BM228" t="n">
        <v>32</v>
      </c>
      <c r="BR228" t="n">
        <v>22</v>
      </c>
      <c r="BS228" t="n">
        <v>170</v>
      </c>
      <c r="BT228" t="n">
        <v>2</v>
      </c>
      <c r="BU228" t="n">
        <v>1</v>
      </c>
      <c r="BV228" t="n">
        <v>0.6</v>
      </c>
      <c r="BW228" t="n">
        <v>0.1</v>
      </c>
      <c r="CB228" t="n">
        <v>4</v>
      </c>
      <c r="CC228" t="n">
        <v>5</v>
      </c>
      <c r="CD228" t="inlineStr">
        <is>
          <t>ShapedCharge</t>
        </is>
      </c>
      <c r="CE228" t="inlineStr">
        <is>
          <t>Kinetic</t>
        </is>
      </c>
      <c r="CJ228" t="inlineStr">
        <is>
          <t>Missile</t>
        </is>
      </c>
      <c r="CK228" t="inlineStr">
        <is>
          <t>Shell</t>
        </is>
      </c>
      <c r="DD228" t="n">
        <v>9.699999999999999</v>
      </c>
      <c r="DE228" t="n">
        <v>230</v>
      </c>
      <c r="DO228" t="n">
        <v>25</v>
      </c>
      <c r="DT228" t="inlineStr">
        <is>
          <t>p26_behemoth_be120</t>
        </is>
      </c>
      <c r="EQ228" t="inlineStr">
        <is>
          <t>Rh-120 L/44 120 mm (side gun)</t>
        </is>
      </c>
      <c r="GD228" t="inlineStr">
        <is>
          <t>Assets/MachineBrigade/Resources/Data/balance.json: weapons[159]</t>
        </is>
      </c>
      <c r="GE228" t="inlineStr">
        <is>
          <t>{"id":"p26_behemoth_tiny_kornet_twin","groundMinReach":25,"inherits":"p26_behemoth_be120","real":"Rh-120 L/44 120 mm (side gun)","damage":230,"cooldown":9.7}</t>
        </is>
      </c>
    </row>
    <row r="229">
      <c r="A229" t="inlineStr">
        <is>
          <t>p26_daedalus_dae57</t>
        </is>
      </c>
      <c r="B229" t="inlineStr">
        <is>
          <t>AU-220 57 mm (belly)</t>
        </is>
      </c>
      <c r="C229" t="inlineStr">
        <is>
          <t>cal_57</t>
        </is>
      </c>
      <c r="D229" t="inlineStr"/>
      <c r="E229" t="inlineStr"/>
      <c r="F229" t="inlineStr">
        <is>
          <t>tank_gun</t>
        </is>
      </c>
      <c r="G229" t="n">
        <v>57</v>
      </c>
      <c r="H229" t="inlineStr"/>
      <c r="I229" t="inlineStr"/>
      <c r="J229" t="inlineStr"/>
      <c r="K229" t="inlineStr">
        <is>
          <t>HighExplosive</t>
        </is>
      </c>
      <c r="L229" t="n">
        <v>4</v>
      </c>
      <c r="M229" t="inlineStr">
        <is>
          <t>Shell</t>
        </is>
      </c>
      <c r="N229" t="n">
        <v>1</v>
      </c>
      <c r="O229" t="inlineStr">
        <is>
          <t>RIPPLE</t>
        </is>
      </c>
      <c r="P229" t="n">
        <v>2</v>
      </c>
      <c r="Q229" t="n">
        <v>0.2</v>
      </c>
      <c r="R229" t="n">
        <v>2.3</v>
      </c>
      <c r="S229" t="n">
        <v>0</v>
      </c>
      <c r="T229" t="n">
        <v>0</v>
      </c>
      <c r="U229" t="n">
        <v>0</v>
      </c>
      <c r="V229" t="n">
        <v>0</v>
      </c>
      <c r="W229" t="n">
        <v>120</v>
      </c>
      <c r="X229" t="n">
        <v>3.5</v>
      </c>
      <c r="Y229" t="n">
        <v>7</v>
      </c>
      <c r="Z229" t="n">
        <v>150</v>
      </c>
      <c r="AA229" t="n">
        <v>28</v>
      </c>
      <c r="AB229" t="n">
        <v>0</v>
      </c>
      <c r="AC229" t="inlineStr">
        <is>
          <t>Ground</t>
        </is>
      </c>
      <c r="AD229" t="inlineStr"/>
      <c r="AE229" t="n">
        <v>0.8</v>
      </c>
      <c r="AF229" t="inlineStr">
        <is>
          <t>Medium</t>
        </is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n">
        <v>57</v>
      </c>
      <c r="AO229" t="n">
        <v>0</v>
      </c>
      <c r="AP229" t="inlineStr">
        <is>
          <t>T2</t>
        </is>
      </c>
      <c r="AQ229" t="inlineStr">
        <is>
          <t>gun_57mm</t>
        </is>
      </c>
      <c r="AR229" t="inlineStr"/>
      <c r="AS229" t="inlineStr"/>
      <c r="AT229" t="inlineStr"/>
      <c r="AU229" t="n">
        <v>0</v>
      </c>
      <c r="AV229" t="inlineStr"/>
      <c r="AW229" t="n">
        <v>0</v>
      </c>
      <c r="AX229" t="b">
        <v>0</v>
      </c>
      <c r="AY229" t="inlineStr"/>
      <c r="AZ229">
        <f>IF(AND($AX$229,$AW$229&gt;$AA$229/$Z$229),$AW$229,$AA$229/$Z$229)</f>
        <v/>
      </c>
      <c r="BA229" t="n">
        <v>0.1866666666666667</v>
      </c>
      <c r="BB229" t="n">
        <v>120</v>
      </c>
      <c r="BC229" t="n">
        <v>80</v>
      </c>
      <c r="BD229" t="inlineStr">
        <is>
          <t>ac</t>
        </is>
      </c>
      <c r="BE229" t="inlineStr">
        <is>
          <t>Wikipedia 'AU-220M': 80-120 rpm</t>
        </is>
      </c>
      <c r="BG229" t="inlineStr">
        <is>
          <t>giong</t>
        </is>
      </c>
      <c r="CR229" t="n">
        <v>2</v>
      </c>
      <c r="CS229" t="n">
        <v>0.2</v>
      </c>
      <c r="DD229" t="n">
        <v>2.3</v>
      </c>
      <c r="DE229" t="n">
        <v>120</v>
      </c>
      <c r="DF229" t="inlineStr">
        <is>
          <t>HighExplosive</t>
        </is>
      </c>
      <c r="DG229" t="n">
        <v>7</v>
      </c>
      <c r="DT229" t="inlineStr">
        <is>
          <t>gun_57mm</t>
        </is>
      </c>
      <c r="EB229" t="n">
        <v>4</v>
      </c>
      <c r="EQ229" t="inlineStr">
        <is>
          <t>AU-220 57 mm (belly)</t>
        </is>
      </c>
      <c r="EY229" t="n">
        <v>3.5</v>
      </c>
      <c r="GA229" t="inlineStr"/>
      <c r="GC229" t="inlineStr"/>
      <c r="GD229" t="inlineStr">
        <is>
          <t>Assets/MachineBrigade/Resources/Data/balance.json: weapons[207]</t>
        </is>
      </c>
      <c r="GE229" t="inlineStr">
        <is>
          <t>{"id":"p26_daedalus_dae57","inherits":"gun_57mm","weaponVariantId":"","weaponFamily":"","real":"AU-220 57 mm (belly)","damageType":"HighExplosive","damage":120,"burst":2,"burstInterval":0.2,"cooldown":2.3,"pen":4,"splash":3.5,"edge":7}</t>
        </is>
      </c>
    </row>
    <row r="230">
      <c r="A230" t="inlineStr">
        <is>
          <t>p26_daedalus_dae_laser</t>
        </is>
      </c>
      <c r="B230" t="inlineStr">
        <is>
          <t>targeting laser (300 kW)</t>
        </is>
      </c>
      <c r="C230" t="inlineStr">
        <is>
          <t>laser_targeting_laser</t>
        </is>
      </c>
      <c r="D230" t="inlineStr"/>
      <c r="E230" t="inlineStr"/>
      <c r="F230" t="inlineStr">
        <is>
          <t>laser</t>
        </is>
      </c>
      <c r="G230" t="inlineStr"/>
      <c r="H230" t="inlineStr"/>
      <c r="I230" t="n">
        <v>300</v>
      </c>
      <c r="J230" t="inlineStr"/>
      <c r="K230" t="inlineStr">
        <is>
          <t>Energy</t>
        </is>
      </c>
      <c r="L230" t="n">
        <v>4</v>
      </c>
      <c r="M230" t="inlineStr">
        <is>
          <t>Bullet</t>
        </is>
      </c>
      <c r="N230" t="n">
        <v>1</v>
      </c>
      <c r="O230" t="inlineStr">
        <is>
          <t>RIPPLE</t>
        </is>
      </c>
      <c r="P230" t="n">
        <v>1</v>
      </c>
      <c r="Q230" t="n">
        <v>0.1</v>
      </c>
      <c r="R230" t="n">
        <v>0.1</v>
      </c>
      <c r="S230" t="n">
        <v>0</v>
      </c>
      <c r="T230" t="n">
        <v>0</v>
      </c>
      <c r="U230" t="n">
        <v>0</v>
      </c>
      <c r="V230" t="n">
        <v>0</v>
      </c>
      <c r="W230" t="n">
        <v>40</v>
      </c>
      <c r="X230" t="n">
        <v>1.5</v>
      </c>
      <c r="Y230" t="n">
        <v>0</v>
      </c>
      <c r="Z230" t="n">
        <v>3000</v>
      </c>
      <c r="AA230" t="n">
        <v>36</v>
      </c>
      <c r="AB230" t="n">
        <v>0</v>
      </c>
      <c r="AC230" t="inlineStr">
        <is>
          <t>Ground</t>
        </is>
      </c>
      <c r="AD230" t="inlineStr"/>
      <c r="AE230" t="n">
        <v>0</v>
      </c>
      <c r="AF230" t="inlineStr">
        <is>
          <t>Small</t>
        </is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1</v>
      </c>
      <c r="AM230" t="b">
        <v>0</v>
      </c>
      <c r="AN230" t="n">
        <v>300</v>
      </c>
      <c r="AO230" t="n">
        <v>0</v>
      </c>
      <c r="AP230" t="inlineStr">
        <is>
          <t>T1</t>
        </is>
      </c>
      <c r="AQ230" t="inlineStr">
        <is>
          <t>orbital_laser</t>
        </is>
      </c>
      <c r="AR230" t="inlineStr"/>
      <c r="AS230" t="inlineStr"/>
      <c r="AT230" t="inlineStr"/>
      <c r="AU230" t="n">
        <v>0</v>
      </c>
      <c r="AV230" t="inlineStr"/>
      <c r="AW230" t="n">
        <v>0</v>
      </c>
      <c r="AX230" t="b">
        <v>0</v>
      </c>
      <c r="AY230" t="inlineStr"/>
      <c r="AZ230">
        <f>IF(AND($AX$230,$AW$230&gt;$AA$230/$Z$230),$AW$230,$AA$230/$Z$230)</f>
        <v/>
      </c>
      <c r="BA230" t="n">
        <v>0.012</v>
      </c>
      <c r="BB230" t="inlineStr">
        <is>
          <t>NEED_SOURCE</t>
        </is>
      </c>
      <c r="BC230" t="inlineStr">
        <is>
          <t>NEED_SOURCE</t>
        </is>
      </c>
      <c r="BE230" t="inlineStr">
        <is>
          <t>NEED_SOURCE</t>
        </is>
      </c>
      <c r="BG230" t="inlineStr">
        <is>
          <t>giong</t>
        </is>
      </c>
      <c r="DE230" t="n">
        <v>40</v>
      </c>
      <c r="DT230" t="inlineStr">
        <is>
          <t>orbital_laser</t>
        </is>
      </c>
      <c r="EF230" t="n">
        <v>300</v>
      </c>
      <c r="EQ230" t="inlineStr">
        <is>
          <t>targeting laser (300 kW)</t>
        </is>
      </c>
      <c r="EX230" t="n">
        <v>300</v>
      </c>
      <c r="GB230" t="inlineStr">
        <is>
          <t>laser_targeting_laser</t>
        </is>
      </c>
      <c r="GD230" t="inlineStr">
        <is>
          <t>Assets/MachineBrigade/Resources/Data/balance.json: weapons[208]</t>
        </is>
      </c>
      <c r="GE230" t="inlineStr">
        <is>
          <t>{"id":"p26_daedalus_dae_laser","inherits":"orbital_laser","weaponFamilyId":"laser_targeting_laser","real":"targeting laser (300 kW)","size":300,"powerKw":300,"damage":40}</t>
        </is>
      </c>
    </row>
    <row r="231">
      <c r="A231" t="inlineStr">
        <is>
          <t>p26_daedalus_direct_dae_laser</t>
        </is>
      </c>
      <c r="B231" t="inlineStr">
        <is>
          <t>targeting laser (300 kW)</t>
        </is>
      </c>
      <c r="C231" t="inlineStr">
        <is>
          <t>laser_targeting_laser</t>
        </is>
      </c>
      <c r="D231" t="inlineStr"/>
      <c r="E231" t="inlineStr"/>
      <c r="F231" t="inlineStr">
        <is>
          <t>laser</t>
        </is>
      </c>
      <c r="G231" t="inlineStr"/>
      <c r="H231" t="inlineStr"/>
      <c r="I231" t="n">
        <v>300</v>
      </c>
      <c r="J231" t="inlineStr"/>
      <c r="K231" t="inlineStr">
        <is>
          <t>Energy</t>
        </is>
      </c>
      <c r="L231" t="n">
        <v>4</v>
      </c>
      <c r="M231" t="inlineStr">
        <is>
          <t>Bullet</t>
        </is>
      </c>
      <c r="N231" t="n">
        <v>1</v>
      </c>
      <c r="O231" t="inlineStr">
        <is>
          <t>RIPPLE</t>
        </is>
      </c>
      <c r="P231" t="n">
        <v>1</v>
      </c>
      <c r="Q231" t="n">
        <v>0.1</v>
      </c>
      <c r="R231" t="n">
        <v>0.1</v>
      </c>
      <c r="S231" t="n">
        <v>0</v>
      </c>
      <c r="T231" t="n">
        <v>0</v>
      </c>
      <c r="U231" t="n">
        <v>0</v>
      </c>
      <c r="V231" t="n">
        <v>0</v>
      </c>
      <c r="W231" t="n">
        <v>16.5</v>
      </c>
      <c r="X231" t="n">
        <v>1.5</v>
      </c>
      <c r="Y231" t="n">
        <v>0</v>
      </c>
      <c r="Z231" t="n">
        <v>3000</v>
      </c>
      <c r="AA231" t="n">
        <v>36</v>
      </c>
      <c r="AB231" t="n">
        <v>0</v>
      </c>
      <c r="AC231" t="inlineStr">
        <is>
          <t>Ground</t>
        </is>
      </c>
      <c r="AD231" t="inlineStr"/>
      <c r="AE231" t="n">
        <v>0</v>
      </c>
      <c r="AF231" t="inlineStr">
        <is>
          <t>Small</t>
        </is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1</v>
      </c>
      <c r="AM231" t="b">
        <v>0</v>
      </c>
      <c r="AN231" t="n">
        <v>300</v>
      </c>
      <c r="AO231" t="n">
        <v>0</v>
      </c>
      <c r="AP231" t="inlineStr">
        <is>
          <t>T1</t>
        </is>
      </c>
      <c r="AQ231" t="inlineStr">
        <is>
          <t>p26_daedalus_dae_laser</t>
        </is>
      </c>
      <c r="AR231" t="inlineStr"/>
      <c r="AS231" t="inlineStr">
        <is>
          <t>boss</t>
        </is>
      </c>
      <c r="AT231" t="inlineStr">
        <is>
          <t>daedalus</t>
        </is>
      </c>
      <c r="AU231" t="n">
        <v>1</v>
      </c>
      <c r="AV231" t="inlineStr">
        <is>
          <t>daedalus:0;daedalus:5</t>
        </is>
      </c>
      <c r="AW231" t="n">
        <v>0</v>
      </c>
      <c r="AX231" t="b">
        <v>0</v>
      </c>
      <c r="AY231" t="inlineStr"/>
      <c r="AZ231">
        <f>IF(AND($AX$231,$AW$231&gt;$AA$231/$Z$231),$AW$231,$AA$231/$Z$231)</f>
        <v/>
      </c>
      <c r="BA231" t="n">
        <v>0.012</v>
      </c>
      <c r="BB231" t="inlineStr">
        <is>
          <t>NEED_SOURCE</t>
        </is>
      </c>
      <c r="BC231" t="inlineStr">
        <is>
          <t>NEED_SOURCE</t>
        </is>
      </c>
      <c r="BE231" t="inlineStr">
        <is>
          <t>NEED_SOURCE</t>
        </is>
      </c>
      <c r="BF231" t="inlineStr">
        <is>
          <t>a laser: no real rate</t>
        </is>
      </c>
      <c r="BG231" t="inlineStr">
        <is>
          <t>giong</t>
        </is>
      </c>
      <c r="DE231" t="n">
        <v>16.5</v>
      </c>
      <c r="DO231" t="n">
        <v>13</v>
      </c>
      <c r="DT231" t="inlineStr">
        <is>
          <t>p26_daedalus_dae_laser</t>
        </is>
      </c>
      <c r="GD231" t="inlineStr">
        <is>
          <t>Assets/MachineBrigade/Resources/Data/balance.json: weapons[210]</t>
        </is>
      </c>
      <c r="GE231" t="inlineStr">
        <is>
          <t>{"id":"p26_daedalus_direct_dae_laser","groundMinReach":13,"inherits":"p26_daedalus_dae_laser","damage":16.5}</t>
        </is>
      </c>
    </row>
    <row r="232">
      <c r="A232" t="inlineStr">
        <is>
          <t>p26_daedalus_sec_dae57</t>
        </is>
      </c>
      <c r="B232" t="inlineStr">
        <is>
          <t>AU-220 57 mm (twin belly mount)</t>
        </is>
      </c>
      <c r="C232" t="inlineStr">
        <is>
          <t>cal_57</t>
        </is>
      </c>
      <c r="D232" t="inlineStr"/>
      <c r="E232" t="inlineStr"/>
      <c r="F232" t="inlineStr">
        <is>
          <t>tank_gun</t>
        </is>
      </c>
      <c r="G232" t="n">
        <v>57</v>
      </c>
      <c r="H232" t="inlineStr"/>
      <c r="I232" t="inlineStr"/>
      <c r="J232" t="inlineStr"/>
      <c r="K232" t="inlineStr">
        <is>
          <t>HighExplosive</t>
        </is>
      </c>
      <c r="L232" t="n">
        <v>4</v>
      </c>
      <c r="M232" t="inlineStr">
        <is>
          <t>Shell</t>
        </is>
      </c>
      <c r="N232" t="n">
        <v>2</v>
      </c>
      <c r="O232" t="inlineStr">
        <is>
          <t>SIMULTANEOUS</t>
        </is>
      </c>
      <c r="P232" t="n">
        <v>4</v>
      </c>
      <c r="Q232" t="n">
        <v>0.5</v>
      </c>
      <c r="R232" t="n">
        <v>2.79</v>
      </c>
      <c r="S232" t="n">
        <v>0</v>
      </c>
      <c r="T232" t="n">
        <v>0</v>
      </c>
      <c r="U232" t="n">
        <v>0</v>
      </c>
      <c r="V232" t="n">
        <v>0</v>
      </c>
      <c r="W232" t="n">
        <v>120</v>
      </c>
      <c r="X232" t="n">
        <v>3</v>
      </c>
      <c r="Y232" t="n">
        <v>6</v>
      </c>
      <c r="Z232" t="n">
        <v>150</v>
      </c>
      <c r="AA232" t="n">
        <v>28</v>
      </c>
      <c r="AB232" t="n">
        <v>0</v>
      </c>
      <c r="AC232" t="inlineStr">
        <is>
          <t>Ground</t>
        </is>
      </c>
      <c r="AD232" t="inlineStr"/>
      <c r="AE232" t="n">
        <v>0.8</v>
      </c>
      <c r="AF232" t="inlineStr">
        <is>
          <t>Medium</t>
        </is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n">
        <v>57</v>
      </c>
      <c r="AO232" t="n">
        <v>0</v>
      </c>
      <c r="AP232" t="inlineStr">
        <is>
          <t>T2</t>
        </is>
      </c>
      <c r="AQ232" t="inlineStr">
        <is>
          <t>p26_daedalus_dae57</t>
        </is>
      </c>
      <c r="AR232" t="inlineStr"/>
      <c r="AS232" t="inlineStr"/>
      <c r="AT232" t="inlineStr"/>
      <c r="AU232" t="n">
        <v>0</v>
      </c>
      <c r="AV232" t="inlineStr"/>
      <c r="AW232" t="n">
        <v>0</v>
      </c>
      <c r="AX232" t="b">
        <v>0</v>
      </c>
      <c r="AY232" t="inlineStr"/>
      <c r="AZ232">
        <f>IF(AND($AX$232,$AW$232&gt;$AA$232/$Z$232),$AW$232,$AA$232/$Z$232)</f>
        <v/>
      </c>
      <c r="BA232" t="n">
        <v>0.1866666666666667</v>
      </c>
      <c r="BB232" t="n">
        <v>120</v>
      </c>
      <c r="BC232" t="n">
        <v>80</v>
      </c>
      <c r="BD232" t="inlineStr">
        <is>
          <t>ac</t>
        </is>
      </c>
      <c r="BE232" t="inlineStr">
        <is>
          <t>Wikipedia 'AU-220M': 80-120 rpm</t>
        </is>
      </c>
      <c r="BF232" t="inlineStr">
        <is>
          <t>wave 1 mothership_cannon: 4 rounds 0.5 s apart every 4.29 s (AU-220M 120 rpm); made up: a twin 57 mm deck mount (as the real AK-725 twin 57 mm); made up: a twin 57 mm belly mount (as the real AK-725 twin 57 mm)</t>
        </is>
      </c>
      <c r="BG232" t="inlineStr">
        <is>
          <t>doi</t>
        </is>
      </c>
      <c r="BH232" t="n">
        <v>135</v>
      </c>
      <c r="BI232" t="n">
        <v>120</v>
      </c>
      <c r="BJ232" t="n">
        <v>1.1</v>
      </c>
      <c r="BK232" t="n">
        <v>2.79</v>
      </c>
      <c r="BN232" t="n">
        <v>3.5</v>
      </c>
      <c r="BO232" t="n">
        <v>3</v>
      </c>
      <c r="BP232" t="n">
        <v>7</v>
      </c>
      <c r="BQ232" t="n">
        <v>6</v>
      </c>
      <c r="BT232" t="n">
        <v>2</v>
      </c>
      <c r="BU232" t="n">
        <v>4</v>
      </c>
      <c r="BV232" t="n">
        <v>0.2</v>
      </c>
      <c r="BW232" t="n">
        <v>0.5</v>
      </c>
      <c r="BX232" t="n">
        <v>1</v>
      </c>
      <c r="BY232" t="n">
        <v>2</v>
      </c>
      <c r="BZ232" t="inlineStr">
        <is>
          <t>RIPPLE</t>
        </is>
      </c>
      <c r="CA232" t="inlineStr">
        <is>
          <t>SIMULTANEOUS</t>
        </is>
      </c>
      <c r="CO232" t="n">
        <v>2</v>
      </c>
      <c r="CR232" t="n">
        <v>4</v>
      </c>
      <c r="CS232" t="n">
        <v>0.5</v>
      </c>
      <c r="DD232" t="n">
        <v>2.79</v>
      </c>
      <c r="DE232" t="n">
        <v>120</v>
      </c>
      <c r="DG232" t="n">
        <v>6</v>
      </c>
      <c r="DO232" t="n">
        <v>13</v>
      </c>
      <c r="DT232" t="inlineStr">
        <is>
          <t>p26_daedalus_dae57</t>
        </is>
      </c>
      <c r="EQ232" t="inlineStr">
        <is>
          <t>AU-220 57 mm (twin belly mount)</t>
        </is>
      </c>
      <c r="EW232" t="inlineStr">
        <is>
          <t>SIMULTANEOUS</t>
        </is>
      </c>
      <c r="EY232" t="n">
        <v>3</v>
      </c>
      <c r="GD232" t="inlineStr">
        <is>
          <t>Assets/MachineBrigade/Resources/Data/balance.json: weapons[209]</t>
        </is>
      </c>
      <c r="GE232" t="inlineStr">
        <is>
          <t>{"id":"p26_daedalus_sec_dae57","groundMinReach":13,"inherits":"p26_daedalus_dae57","real":"AU-220 57 mm (twin belly mount)","salvoMode":"SIMULTANEOUS","barrels":2,"burstInterval":0.5,"burst":4,"edge":6,"splash":3,"cooldown":2.79,"damage":120}</t>
        </is>
      </c>
    </row>
    <row r="233">
      <c r="A233" t="inlineStr">
        <is>
          <t>p26_icarus_close_autocannon_40</t>
        </is>
      </c>
      <c r="B233" t="inlineStr">
        <is>
          <t>Bofors 40 mm</t>
        </is>
      </c>
      <c r="C233" t="inlineStr">
        <is>
          <t>cal_40</t>
        </is>
      </c>
      <c r="D233" t="inlineStr"/>
      <c r="E233" t="inlineStr"/>
      <c r="F233" t="inlineStr">
        <is>
          <t>autocannon</t>
        </is>
      </c>
      <c r="G233" t="n">
        <v>40</v>
      </c>
      <c r="H233" t="inlineStr"/>
      <c r="I233" t="inlineStr"/>
      <c r="J233" t="inlineStr"/>
      <c r="K233" t="inlineStr">
        <is>
          <t>Kinetic</t>
        </is>
      </c>
      <c r="L233" t="n">
        <v>2</v>
      </c>
      <c r="M233" t="inlineStr">
        <is>
          <t>Bullet</t>
        </is>
      </c>
      <c r="N233" t="n">
        <v>1</v>
      </c>
      <c r="O233" t="inlineStr">
        <is>
          <t>RIPPLE</t>
        </is>
      </c>
      <c r="P233" t="n">
        <v>1</v>
      </c>
      <c r="Q233" t="n">
        <v>0.1</v>
      </c>
      <c r="R233" t="n">
        <v>0.2</v>
      </c>
      <c r="S233" t="n">
        <v>10</v>
      </c>
      <c r="T233" t="n">
        <v>1.52</v>
      </c>
      <c r="U233" t="n">
        <v>0</v>
      </c>
      <c r="V233" t="n">
        <v>0</v>
      </c>
      <c r="W233" t="n">
        <v>30</v>
      </c>
      <c r="X233" t="n">
        <v>0</v>
      </c>
      <c r="Y233" t="n">
        <v>0</v>
      </c>
      <c r="Z233" t="n">
        <v>210</v>
      </c>
      <c r="AA233" t="n">
        <v>28</v>
      </c>
      <c r="AB233" t="n">
        <v>0</v>
      </c>
      <c r="AC233" t="inlineStr">
        <is>
          <t>All</t>
        </is>
      </c>
      <c r="AD233" t="inlineStr"/>
      <c r="AE233" t="n">
        <v>0.8</v>
      </c>
      <c r="AF233" t="inlineStr">
        <is>
          <t>Small</t>
        </is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n">
        <v>40</v>
      </c>
      <c r="AO233" t="n">
        <v>0</v>
      </c>
      <c r="AP233" t="inlineStr">
        <is>
          <t>T1</t>
        </is>
      </c>
      <c r="AQ233" t="inlineStr">
        <is>
          <t>autocannon_40</t>
        </is>
      </c>
      <c r="AR233" t="inlineStr"/>
      <c r="AS233" t="inlineStr">
        <is>
          <t>boss</t>
        </is>
      </c>
      <c r="AT233" t="inlineStr">
        <is>
          <t>silver_bug</t>
        </is>
      </c>
      <c r="AU233" t="n">
        <v>1</v>
      </c>
      <c r="AV233" t="inlineStr">
        <is>
          <t>silver_bug:10;silver_bug:9</t>
        </is>
      </c>
      <c r="AW233" t="n">
        <v>0</v>
      </c>
      <c r="AX233" t="b">
        <v>0</v>
      </c>
      <c r="AY233" t="inlineStr"/>
      <c r="AZ233">
        <f>IF(AND($AX$233,$AW$233&gt;$AA$233/$Z$233),$AW$233,$AA$233/$Z$233)</f>
        <v/>
      </c>
      <c r="BA233" t="n">
        <v>0.1333333333333333</v>
      </c>
      <c r="BB233" t="n">
        <v>330</v>
      </c>
      <c r="BC233" t="n">
        <v>120</v>
      </c>
      <c r="BD233" t="inlineStr">
        <is>
          <t>aa</t>
        </is>
      </c>
      <c r="BE233" t="inlineStr">
        <is>
          <t>Wikipedia 'Bofors 40 mm L/70': 240-330 rpm</t>
        </is>
      </c>
      <c r="BF233" t="inlineStr">
        <is>
          <t>wave 1 autocannon_40: 10 rounds at 300 rpm, changed in 1.52 s (Bofors L/70 240-330 rpm)</t>
        </is>
      </c>
      <c r="BG233" t="inlineStr">
        <is>
          <t>doi</t>
        </is>
      </c>
      <c r="BH233" t="n">
        <v>56</v>
      </c>
      <c r="BI233" t="n">
        <v>30</v>
      </c>
      <c r="BN233" t="n">
        <v>1</v>
      </c>
      <c r="BO233" t="n">
        <v>0</v>
      </c>
      <c r="CH233" t="n">
        <v>1.72</v>
      </c>
      <c r="CI233" t="n">
        <v>1.52</v>
      </c>
      <c r="CX233" t="n">
        <v>1.52</v>
      </c>
      <c r="DD233" t="n">
        <v>0.2</v>
      </c>
      <c r="DE233" t="n">
        <v>30</v>
      </c>
      <c r="DT233" t="inlineStr">
        <is>
          <t>autocannon_40</t>
        </is>
      </c>
      <c r="EY233" t="n">
        <v>0</v>
      </c>
      <c r="GD233" t="inlineStr">
        <is>
          <t>Assets/MachineBrigade/Resources/Data/balance.json: weapons[216]</t>
        </is>
      </c>
      <c r="GE233" t="inlineStr">
        <is>
          <t>{"id":"p26_icarus_close_autocannon_40","inherits":"autocannon_40","clipReload":1.52,"cooldown":0.2,"splash":0,"damage":30}</t>
        </is>
      </c>
    </row>
    <row r="234">
      <c r="A234" t="inlineStr">
        <is>
          <t>p26_icarus_direct_ic_laser</t>
        </is>
      </c>
      <c r="B234" t="inlineStr">
        <is>
          <t>laser tower (300 kW)</t>
        </is>
      </c>
      <c r="C234" t="inlineStr">
        <is>
          <t>laser_tower</t>
        </is>
      </c>
      <c r="D234" t="inlineStr"/>
      <c r="E234" t="inlineStr"/>
      <c r="F234" t="inlineStr">
        <is>
          <t>laser</t>
        </is>
      </c>
      <c r="G234" t="inlineStr"/>
      <c r="H234" t="inlineStr"/>
      <c r="I234" t="n">
        <v>300</v>
      </c>
      <c r="J234" t="inlineStr"/>
      <c r="K234" t="inlineStr">
        <is>
          <t>Energy</t>
        </is>
      </c>
      <c r="L234" t="n">
        <v>4</v>
      </c>
      <c r="M234" t="inlineStr">
        <is>
          <t>Bullet</t>
        </is>
      </c>
      <c r="N234" t="n">
        <v>1</v>
      </c>
      <c r="O234" t="inlineStr">
        <is>
          <t>RIPPLE</t>
        </is>
      </c>
      <c r="P234" t="n">
        <v>1</v>
      </c>
      <c r="Q234" t="n">
        <v>0.1</v>
      </c>
      <c r="R234" t="n">
        <v>0.1</v>
      </c>
      <c r="S234" t="n">
        <v>0</v>
      </c>
      <c r="T234" t="n">
        <v>0</v>
      </c>
      <c r="U234" t="n">
        <v>0</v>
      </c>
      <c r="V234" t="n">
        <v>0</v>
      </c>
      <c r="W234" t="n">
        <v>16</v>
      </c>
      <c r="X234" t="n">
        <v>1.5</v>
      </c>
      <c r="Y234" t="n">
        <v>0</v>
      </c>
      <c r="Z234" t="n">
        <v>3000</v>
      </c>
      <c r="AA234" t="n">
        <v>36</v>
      </c>
      <c r="AB234" t="n">
        <v>0</v>
      </c>
      <c r="AC234" t="inlineStr">
        <is>
          <t>Ground</t>
        </is>
      </c>
      <c r="AD234" t="inlineStr"/>
      <c r="AE234" t="n">
        <v>0</v>
      </c>
      <c r="AF234" t="inlineStr">
        <is>
          <t>Small</t>
        </is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1</v>
      </c>
      <c r="AM234" t="b">
        <v>0</v>
      </c>
      <c r="AN234" t="n">
        <v>300</v>
      </c>
      <c r="AO234" t="n">
        <v>0</v>
      </c>
      <c r="AP234" t="inlineStr">
        <is>
          <t>T1</t>
        </is>
      </c>
      <c r="AQ234" t="inlineStr">
        <is>
          <t>p26_icarus_ic_laser</t>
        </is>
      </c>
      <c r="AR234" t="inlineStr"/>
      <c r="AS234" t="inlineStr">
        <is>
          <t>boss</t>
        </is>
      </c>
      <c r="AT234" t="inlineStr">
        <is>
          <t>silver_bug</t>
        </is>
      </c>
      <c r="AU234" t="n">
        <v>1</v>
      </c>
      <c r="AV234" t="inlineStr">
        <is>
          <t>silver_bug:3;silver_bug:4</t>
        </is>
      </c>
      <c r="AW234" t="n">
        <v>0</v>
      </c>
      <c r="AX234" t="b">
        <v>0</v>
      </c>
      <c r="AY234" t="inlineStr"/>
      <c r="AZ234">
        <f>IF(AND($AX$234,$AW$234&gt;$AA$234/$Z$234),$AW$234,$AA$234/$Z$234)</f>
        <v/>
      </c>
      <c r="BA234" t="n">
        <v>0.012</v>
      </c>
      <c r="BB234" t="inlineStr">
        <is>
          <t>NEED_SOURCE</t>
        </is>
      </c>
      <c r="BC234" t="inlineStr">
        <is>
          <t>NEED_SOURCE</t>
        </is>
      </c>
      <c r="BE234" t="inlineStr">
        <is>
          <t>NEED_SOURCE</t>
        </is>
      </c>
      <c r="BF234" t="inlineStr">
        <is>
          <t>a laser: no real rate</t>
        </is>
      </c>
      <c r="BG234" t="inlineStr">
        <is>
          <t>giong</t>
        </is>
      </c>
      <c r="DE234" t="n">
        <v>16</v>
      </c>
      <c r="DO234" t="n">
        <v>18</v>
      </c>
      <c r="DT234" t="inlineStr">
        <is>
          <t>p26_icarus_ic_laser</t>
        </is>
      </c>
      <c r="GD234" t="inlineStr">
        <is>
          <t>Assets/MachineBrigade/Resources/Data/balance.json: weapons[215]</t>
        </is>
      </c>
      <c r="GE234" t="inlineStr">
        <is>
          <t>{"id":"p26_icarus_direct_ic_laser","groundMinReach":18,"inherits":"p26_icarus_ic_laser","damage":16}</t>
        </is>
      </c>
    </row>
    <row r="235">
      <c r="A235" t="inlineStr">
        <is>
          <t>p26_icarus_ic_coil</t>
        </is>
      </c>
      <c r="B235" t="inlineStr">
        <is>
          <t>coilgun (64 MJ)</t>
        </is>
      </c>
      <c r="C235" t="inlineStr">
        <is>
          <t>rail_coilgun</t>
        </is>
      </c>
      <c r="D235" t="inlineStr"/>
      <c r="E235" t="inlineStr"/>
      <c r="F235" t="inlineStr">
        <is>
          <t>railgun</t>
        </is>
      </c>
      <c r="G235" t="inlineStr"/>
      <c r="H235" t="inlineStr"/>
      <c r="I235" t="inlineStr"/>
      <c r="J235" t="n">
        <v>64</v>
      </c>
      <c r="K235" t="inlineStr">
        <is>
          <t>Kinetic</t>
        </is>
      </c>
      <c r="L235" t="n">
        <v>5</v>
      </c>
      <c r="M235" t="inlineStr">
        <is>
          <t>Bullet</t>
        </is>
      </c>
      <c r="N235" t="n">
        <v>1</v>
      </c>
      <c r="O235" t="inlineStr">
        <is>
          <t>RIPPLE</t>
        </is>
      </c>
      <c r="P235" t="n">
        <v>1</v>
      </c>
      <c r="Q235" t="n">
        <v>0.25</v>
      </c>
      <c r="R235" t="n">
        <v>2</v>
      </c>
      <c r="S235" t="n">
        <v>0</v>
      </c>
      <c r="T235" t="n">
        <v>0</v>
      </c>
      <c r="U235" t="n">
        <v>0</v>
      </c>
      <c r="V235" t="n">
        <v>0</v>
      </c>
      <c r="W235" t="n">
        <v>1440</v>
      </c>
      <c r="X235" t="n">
        <v>0</v>
      </c>
      <c r="Y235" t="n">
        <v>0</v>
      </c>
      <c r="Z235" t="n">
        <v>420</v>
      </c>
      <c r="AA235" t="n">
        <v>55</v>
      </c>
      <c r="AB235" t="n">
        <v>0</v>
      </c>
      <c r="AC235" t="inlineStr">
        <is>
          <t>All</t>
        </is>
      </c>
      <c r="AD235" t="inlineStr"/>
      <c r="AE235" t="n">
        <v>0.6</v>
      </c>
      <c r="AF235" t="inlineStr">
        <is>
          <t>Large</t>
        </is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n">
        <v>64</v>
      </c>
      <c r="AO235" t="n">
        <v>0</v>
      </c>
      <c r="AP235" t="inlineStr">
        <is>
          <t>T3</t>
        </is>
      </c>
      <c r="AQ235" t="inlineStr">
        <is>
          <t>coilgun</t>
        </is>
      </c>
      <c r="AR235" t="inlineStr"/>
      <c r="AS235" t="inlineStr"/>
      <c r="AT235" t="inlineStr"/>
      <c r="AU235" t="n">
        <v>0</v>
      </c>
      <c r="AV235" t="inlineStr"/>
      <c r="AW235" t="n">
        <v>0</v>
      </c>
      <c r="AX235" t="b">
        <v>0</v>
      </c>
      <c r="AY235" t="inlineStr"/>
      <c r="AZ235">
        <f>IF(AND($AX$235,$AW$235&gt;$AA$235/$Z$235),$AW$235,$AA$235/$Z$235)</f>
        <v/>
      </c>
      <c r="BA235" t="n">
        <v>0.130952380952381</v>
      </c>
      <c r="BB235" t="inlineStr">
        <is>
          <t>NEED_SOURCE</t>
        </is>
      </c>
      <c r="BC235" t="inlineStr">
        <is>
          <t>NEED_SOURCE</t>
        </is>
      </c>
      <c r="BE235" t="inlineStr">
        <is>
          <t>NEED_SOURCE</t>
        </is>
      </c>
      <c r="BG235" t="inlineStr">
        <is>
          <t>giong</t>
        </is>
      </c>
      <c r="CR235" t="n">
        <v>1</v>
      </c>
      <c r="DD235" t="n">
        <v>2</v>
      </c>
      <c r="DE235" t="n">
        <v>1440</v>
      </c>
      <c r="DI235" t="n">
        <v>64</v>
      </c>
      <c r="DO235" t="n">
        <v>0</v>
      </c>
      <c r="DT235" t="inlineStr">
        <is>
          <t>coilgun</t>
        </is>
      </c>
      <c r="EB235" t="n">
        <v>5</v>
      </c>
      <c r="EC235" t="b">
        <v>1</v>
      </c>
      <c r="ED235" t="n">
        <v>4</v>
      </c>
      <c r="EQ235" t="inlineStr">
        <is>
          <t>coilgun (64 MJ)</t>
        </is>
      </c>
      <c r="EX235" t="n">
        <v>64</v>
      </c>
      <c r="GD235" t="inlineStr">
        <is>
          <t>Assets/MachineBrigade/Resources/Data/balance.json: weapons[211]</t>
        </is>
      </c>
      <c r="GE235" t="inlineStr">
        <is>
          <t>{"id":"p26_icarus_ic_coil","groundMinReach":0,"inherits":"coilgun","real":"coilgun (64 MJ)","size":64,"energyMj":64,"damage":1440,"burst":1,"cooldown":2,"pierce":true,"pierceMax":4,"pen":5}</t>
        </is>
      </c>
    </row>
    <row r="236">
      <c r="A236" t="inlineStr">
        <is>
          <t>p26_icarus_ic_laser</t>
        </is>
      </c>
      <c r="B236" t="inlineStr">
        <is>
          <t>laser tower (300 kW)</t>
        </is>
      </c>
      <c r="C236" t="inlineStr">
        <is>
          <t>laser_tower</t>
        </is>
      </c>
      <c r="D236" t="inlineStr"/>
      <c r="E236" t="inlineStr"/>
      <c r="F236" t="inlineStr">
        <is>
          <t>laser</t>
        </is>
      </c>
      <c r="G236" t="inlineStr"/>
      <c r="H236" t="inlineStr"/>
      <c r="I236" t="n">
        <v>300</v>
      </c>
      <c r="J236" t="inlineStr"/>
      <c r="K236" t="inlineStr">
        <is>
          <t>Energy</t>
        </is>
      </c>
      <c r="L236" t="n">
        <v>4</v>
      </c>
      <c r="M236" t="inlineStr">
        <is>
          <t>Bullet</t>
        </is>
      </c>
      <c r="N236" t="n">
        <v>1</v>
      </c>
      <c r="O236" t="inlineStr">
        <is>
          <t>RIPPLE</t>
        </is>
      </c>
      <c r="P236" t="n">
        <v>1</v>
      </c>
      <c r="Q236" t="n">
        <v>0.1</v>
      </c>
      <c r="R236" t="n">
        <v>0.1</v>
      </c>
      <c r="S236" t="n">
        <v>0</v>
      </c>
      <c r="T236" t="n">
        <v>0</v>
      </c>
      <c r="U236" t="n">
        <v>0</v>
      </c>
      <c r="V236" t="n">
        <v>0</v>
      </c>
      <c r="W236" t="n">
        <v>40</v>
      </c>
      <c r="X236" t="n">
        <v>1.5</v>
      </c>
      <c r="Y236" t="n">
        <v>0</v>
      </c>
      <c r="Z236" t="n">
        <v>3000</v>
      </c>
      <c r="AA236" t="n">
        <v>36</v>
      </c>
      <c r="AB236" t="n">
        <v>0</v>
      </c>
      <c r="AC236" t="inlineStr">
        <is>
          <t>Ground</t>
        </is>
      </c>
      <c r="AD236" t="inlineStr"/>
      <c r="AE236" t="n">
        <v>0</v>
      </c>
      <c r="AF236" t="inlineStr">
        <is>
          <t>Small</t>
        </is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1</v>
      </c>
      <c r="AM236" t="b">
        <v>0</v>
      </c>
      <c r="AN236" t="n">
        <v>300</v>
      </c>
      <c r="AO236" t="n">
        <v>0</v>
      </c>
      <c r="AP236" t="inlineStr">
        <is>
          <t>T1</t>
        </is>
      </c>
      <c r="AQ236" t="inlineStr">
        <is>
          <t>orbital_laser</t>
        </is>
      </c>
      <c r="AR236" t="inlineStr"/>
      <c r="AS236" t="inlineStr"/>
      <c r="AT236" t="inlineStr"/>
      <c r="AU236" t="n">
        <v>0</v>
      </c>
      <c r="AV236" t="inlineStr"/>
      <c r="AW236" t="n">
        <v>0</v>
      </c>
      <c r="AX236" t="b">
        <v>0</v>
      </c>
      <c r="AY236" t="inlineStr"/>
      <c r="AZ236">
        <f>IF(AND($AX$236,$AW$236&gt;$AA$236/$Z$236),$AW$236,$AA$236/$Z$236)</f>
        <v/>
      </c>
      <c r="BA236" t="n">
        <v>0.012</v>
      </c>
      <c r="BB236" t="inlineStr">
        <is>
          <t>NEED_SOURCE</t>
        </is>
      </c>
      <c r="BC236" t="inlineStr">
        <is>
          <t>NEED_SOURCE</t>
        </is>
      </c>
      <c r="BE236" t="inlineStr">
        <is>
          <t>NEED_SOURCE</t>
        </is>
      </c>
      <c r="BG236" t="inlineStr">
        <is>
          <t>giong</t>
        </is>
      </c>
      <c r="DE236" t="n">
        <v>40</v>
      </c>
      <c r="DT236" t="inlineStr">
        <is>
          <t>orbital_laser</t>
        </is>
      </c>
      <c r="EF236" t="n">
        <v>300</v>
      </c>
      <c r="EQ236" t="inlineStr">
        <is>
          <t>laser tower (300 kW)</t>
        </is>
      </c>
      <c r="EX236" t="n">
        <v>300</v>
      </c>
      <c r="GB236" t="inlineStr">
        <is>
          <t>laser_tower</t>
        </is>
      </c>
      <c r="GD236" t="inlineStr">
        <is>
          <t>Assets/MachineBrigade/Resources/Data/balance.json: weapons[212]</t>
        </is>
      </c>
      <c r="GE236" t="inlineStr">
        <is>
          <t>{"id":"p26_icarus_ic_laser","inherits":"orbital_laser","weaponFamilyId":"laser_tower","real":"laser tower (300 kW)","size":300,"powerKw":300,"damage":40}</t>
        </is>
      </c>
    </row>
    <row r="237">
      <c r="A237" t="inlineStr">
        <is>
          <t>p26_icarus_main_ic_coil</t>
        </is>
      </c>
      <c r="B237" t="inlineStr">
        <is>
          <t>heavy coilgun (64 MJ)</t>
        </is>
      </c>
      <c r="C237" t="inlineStr">
        <is>
          <t>rail_heavy_coilgun</t>
        </is>
      </c>
      <c r="D237" t="inlineStr"/>
      <c r="E237" t="inlineStr"/>
      <c r="F237" t="inlineStr">
        <is>
          <t>railgun</t>
        </is>
      </c>
      <c r="G237" t="inlineStr"/>
      <c r="H237" t="inlineStr"/>
      <c r="I237" t="inlineStr"/>
      <c r="J237" t="n">
        <v>64</v>
      </c>
      <c r="K237" t="inlineStr">
        <is>
          <t>Kinetic</t>
        </is>
      </c>
      <c r="L237" t="n">
        <v>5</v>
      </c>
      <c r="M237" t="inlineStr">
        <is>
          <t>Bullet</t>
        </is>
      </c>
      <c r="N237" t="n">
        <v>1</v>
      </c>
      <c r="O237" t="inlineStr">
        <is>
          <t>RIPPLE</t>
        </is>
      </c>
      <c r="P237" t="n">
        <v>1</v>
      </c>
      <c r="Q237" t="n">
        <v>0.25</v>
      </c>
      <c r="R237" t="n">
        <v>5</v>
      </c>
      <c r="S237" t="n">
        <v>0</v>
      </c>
      <c r="T237" t="n">
        <v>0</v>
      </c>
      <c r="U237" t="n">
        <v>0</v>
      </c>
      <c r="V237" t="n">
        <v>0</v>
      </c>
      <c r="W237" t="n">
        <v>1500</v>
      </c>
      <c r="X237" t="n">
        <v>0</v>
      </c>
      <c r="Y237" t="n">
        <v>0</v>
      </c>
      <c r="Z237" t="n">
        <v>420</v>
      </c>
      <c r="AA237" t="n">
        <v>55</v>
      </c>
      <c r="AB237" t="n">
        <v>0</v>
      </c>
      <c r="AC237" t="inlineStr">
        <is>
          <t>All</t>
        </is>
      </c>
      <c r="AD237" t="inlineStr"/>
      <c r="AE237" t="n">
        <v>0.6</v>
      </c>
      <c r="AF237" t="inlineStr">
        <is>
          <t>Large</t>
        </is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n">
        <v>64</v>
      </c>
      <c r="AO237" t="n">
        <v>0</v>
      </c>
      <c r="AP237" t="inlineStr">
        <is>
          <t>T3</t>
        </is>
      </c>
      <c r="AQ237" t="inlineStr">
        <is>
          <t>p26_icarus_ic_coil</t>
        </is>
      </c>
      <c r="AR237" t="inlineStr"/>
      <c r="AS237" t="inlineStr">
        <is>
          <t>boss</t>
        </is>
      </c>
      <c r="AT237" t="inlineStr">
        <is>
          <t>silver_bug</t>
        </is>
      </c>
      <c r="AU237" t="n">
        <v>1</v>
      </c>
      <c r="AV237" t="inlineStr">
        <is>
          <t>silver_bug:1;silver_bug:2</t>
        </is>
      </c>
      <c r="AW237" t="n">
        <v>0</v>
      </c>
      <c r="AX237" t="b">
        <v>0</v>
      </c>
      <c r="AY237" t="inlineStr"/>
      <c r="AZ237">
        <f>IF(AND($AX$237,$AW$237&gt;$AA$237/$Z$237),$AW$237,$AA$237/$Z$237)</f>
        <v/>
      </c>
      <c r="BA237" t="n">
        <v>0.130952380952381</v>
      </c>
      <c r="BB237" t="inlineStr">
        <is>
          <t>NEED_SOURCE</t>
        </is>
      </c>
      <c r="BC237" t="inlineStr">
        <is>
          <t>NEED_SOURCE</t>
        </is>
      </c>
      <c r="BE237" t="inlineStr">
        <is>
          <t>NEED_SOURCE</t>
        </is>
      </c>
      <c r="BF237" t="inlineStr">
        <is>
          <t>a 64 MJ coilgun, its own family (rail_heavy_coilgun): no real rate</t>
        </is>
      </c>
      <c r="BG237" t="inlineStr">
        <is>
          <t>giong</t>
        </is>
      </c>
      <c r="DD237" t="n">
        <v>5</v>
      </c>
      <c r="DE237" t="n">
        <v>1500</v>
      </c>
      <c r="DO237" t="n">
        <v>19</v>
      </c>
      <c r="DT237" t="inlineStr">
        <is>
          <t>p26_icarus_ic_coil</t>
        </is>
      </c>
      <c r="EQ237" t="inlineStr">
        <is>
          <t>heavy coilgun (64 MJ)</t>
        </is>
      </c>
      <c r="GB237" t="inlineStr">
        <is>
          <t>rail_heavy_coilgun</t>
        </is>
      </c>
      <c r="GD237" t="inlineStr">
        <is>
          <t>Assets/MachineBrigade/Resources/Data/balance.json: weapons[213]</t>
        </is>
      </c>
      <c r="GE237" t="inlineStr">
        <is>
          <t>{"id":"p26_icarus_main_ic_coil","groundMinReach":19,"inherits":"p26_icarus_ic_coil","weaponFamilyId":"rail_heavy_coilgun","real":"heavy coilgun (64 MJ)","cooldown":5,"damage":1500}</t>
        </is>
      </c>
    </row>
    <row r="238">
      <c r="A238" t="inlineStr">
        <is>
          <t>p26_icarus_sec_orbital_laser</t>
        </is>
      </c>
      <c r="B238" t="inlineStr">
        <is>
          <t>laser (150 kW)</t>
        </is>
      </c>
      <c r="C238" t="inlineStr">
        <is>
          <t>laser_laser</t>
        </is>
      </c>
      <c r="D238" t="inlineStr"/>
      <c r="E238" t="inlineStr"/>
      <c r="F238" t="inlineStr">
        <is>
          <t>laser</t>
        </is>
      </c>
      <c r="G238" t="inlineStr"/>
      <c r="H238" t="inlineStr"/>
      <c r="I238" t="n">
        <v>150</v>
      </c>
      <c r="J238" t="inlineStr"/>
      <c r="K238" t="inlineStr">
        <is>
          <t>Energy</t>
        </is>
      </c>
      <c r="L238" t="n">
        <v>4</v>
      </c>
      <c r="M238" t="inlineStr">
        <is>
          <t>Bullet</t>
        </is>
      </c>
      <c r="N238" t="n">
        <v>1</v>
      </c>
      <c r="O238" t="inlineStr">
        <is>
          <t>RIPPLE</t>
        </is>
      </c>
      <c r="P238" t="n">
        <v>1</v>
      </c>
      <c r="Q238" t="n">
        <v>0.1</v>
      </c>
      <c r="R238" t="n">
        <v>0.1</v>
      </c>
      <c r="S238" t="n">
        <v>0</v>
      </c>
      <c r="T238" t="n">
        <v>0</v>
      </c>
      <c r="U238" t="n">
        <v>0</v>
      </c>
      <c r="V238" t="n">
        <v>0</v>
      </c>
      <c r="W238" t="n">
        <v>40</v>
      </c>
      <c r="X238" t="n">
        <v>1.5</v>
      </c>
      <c r="Y238" t="n">
        <v>0</v>
      </c>
      <c r="Z238" t="n">
        <v>3000</v>
      </c>
      <c r="AA238" t="n">
        <v>36</v>
      </c>
      <c r="AB238" t="n">
        <v>0</v>
      </c>
      <c r="AC238" t="inlineStr">
        <is>
          <t>Ground</t>
        </is>
      </c>
      <c r="AD238" t="inlineStr"/>
      <c r="AE238" t="n">
        <v>0</v>
      </c>
      <c r="AF238" t="inlineStr">
        <is>
          <t>Small</t>
        </is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1</v>
      </c>
      <c r="AM238" t="b">
        <v>0</v>
      </c>
      <c r="AN238" t="n">
        <v>150</v>
      </c>
      <c r="AO238" t="n">
        <v>0</v>
      </c>
      <c r="AP238" t="inlineStr">
        <is>
          <t>T1</t>
        </is>
      </c>
      <c r="AQ238" t="inlineStr">
        <is>
          <t>orbital_laser</t>
        </is>
      </c>
      <c r="AR238" t="inlineStr"/>
      <c r="AS238" t="inlineStr">
        <is>
          <t>boss</t>
        </is>
      </c>
      <c r="AT238" t="inlineStr">
        <is>
          <t>hyperion;icarus_mk0;silver_bug;theia</t>
        </is>
      </c>
      <c r="AU238" t="n">
        <v>4</v>
      </c>
      <c r="AV238" t="inlineStr">
        <is>
          <t>hyperion:0;icarus_mk0:0;silver_bug:0;theia:0</t>
        </is>
      </c>
      <c r="AW238" t="n">
        <v>0</v>
      </c>
      <c r="AX238" t="b">
        <v>0</v>
      </c>
      <c r="AY238" t="inlineStr"/>
      <c r="AZ238">
        <f>IF(AND($AX$238,$AW$238&gt;$AA$238/$Z$238),$AW$238,$AA$238/$Z$238)</f>
        <v/>
      </c>
      <c r="BA238" t="n">
        <v>0.012</v>
      </c>
      <c r="BB238" t="inlineStr">
        <is>
          <t>NEED_SOURCE</t>
        </is>
      </c>
      <c r="BC238" t="inlineStr">
        <is>
          <t>NEED_SOURCE</t>
        </is>
      </c>
      <c r="BE238" t="inlineStr">
        <is>
          <t>NEED_SOURCE</t>
        </is>
      </c>
      <c r="BF238" t="inlineStr">
        <is>
          <t>a laser: no real rate</t>
        </is>
      </c>
      <c r="BG238" t="inlineStr">
        <is>
          <t>giong</t>
        </is>
      </c>
      <c r="DE238" t="n">
        <v>40</v>
      </c>
      <c r="DO238" t="n">
        <v>11</v>
      </c>
      <c r="DT238" t="inlineStr">
        <is>
          <t>orbital_laser</t>
        </is>
      </c>
      <c r="GD238" t="inlineStr">
        <is>
          <t>Assets/MachineBrigade/Resources/Data/balance.json: weapons[214]</t>
        </is>
      </c>
      <c r="GE238" t="inlineStr">
        <is>
          <t>{"id":"p26_icarus_sec_orbital_laser","groundMinReach":11,"inherits":"orbital_laser","damage":40}</t>
        </is>
      </c>
    </row>
    <row r="239">
      <c r="A239" t="inlineStr">
        <is>
          <t>p26_ixion_125</t>
        </is>
      </c>
      <c r="B239" t="inlineStr">
        <is>
          <t>2A46 125 mm (turret, AP)</t>
        </is>
      </c>
      <c r="C239" t="inlineStr">
        <is>
          <t>cal_125_ap</t>
        </is>
      </c>
      <c r="D239" t="inlineStr"/>
      <c r="E239" t="inlineStr"/>
      <c r="F239" t="inlineStr">
        <is>
          <t>tank_gun</t>
        </is>
      </c>
      <c r="G239" t="n">
        <v>125</v>
      </c>
      <c r="H239" t="inlineStr"/>
      <c r="I239" t="inlineStr"/>
      <c r="J239" t="inlineStr"/>
      <c r="K239" t="inlineStr">
        <is>
          <t>Kinetic</t>
        </is>
      </c>
      <c r="L239" t="n">
        <v>4</v>
      </c>
      <c r="M239" t="inlineStr">
        <is>
          <t>Shell</t>
        </is>
      </c>
      <c r="N239" t="n">
        <v>1</v>
      </c>
      <c r="O239" t="inlineStr">
        <is>
          <t>RIPPLE</t>
        </is>
      </c>
      <c r="P239" t="n">
        <v>1</v>
      </c>
      <c r="Q239" t="n">
        <v>0.1</v>
      </c>
      <c r="R239" t="n">
        <v>7.5</v>
      </c>
      <c r="S239" t="n">
        <v>0</v>
      </c>
      <c r="T239" t="n">
        <v>0</v>
      </c>
      <c r="U239" t="n">
        <v>0</v>
      </c>
      <c r="V239" t="n">
        <v>0</v>
      </c>
      <c r="W239" t="n">
        <v>400</v>
      </c>
      <c r="X239" t="n">
        <v>0</v>
      </c>
      <c r="Y239" t="n">
        <v>0</v>
      </c>
      <c r="Z239" t="n">
        <v>170</v>
      </c>
      <c r="AA239" t="n">
        <v>38</v>
      </c>
      <c r="AB239" t="n">
        <v>0</v>
      </c>
      <c r="AC239" t="inlineStr">
        <is>
          <t>Ground</t>
        </is>
      </c>
      <c r="AD239" t="inlineStr"/>
      <c r="AE239" t="n">
        <v>0.6</v>
      </c>
      <c r="AF239" t="inlineStr">
        <is>
          <t>Medium</t>
        </is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n">
        <v>125</v>
      </c>
      <c r="AO239" t="n">
        <v>0</v>
      </c>
      <c r="AP239" t="inlineStr">
        <is>
          <t>T3</t>
        </is>
      </c>
      <c r="AQ239" t="inlineStr">
        <is>
          <t>gun_120mm</t>
        </is>
      </c>
      <c r="AR239" t="inlineStr">
        <is>
          <t>p26_ixion_125_he</t>
        </is>
      </c>
      <c r="AS239" t="inlineStr">
        <is>
          <t>boss</t>
        </is>
      </c>
      <c r="AT239" t="inlineStr">
        <is>
          <t>ixion</t>
        </is>
      </c>
      <c r="AU239" t="n">
        <v>1</v>
      </c>
      <c r="AV239" t="inlineStr">
        <is>
          <t>ixion:0</t>
        </is>
      </c>
      <c r="AW239" t="n">
        <v>0</v>
      </c>
      <c r="AX239" t="b">
        <v>0</v>
      </c>
      <c r="AY239" t="inlineStr"/>
      <c r="AZ239">
        <f>IF(AND($AX$239,$AW$239&gt;$AA$239/$Z$239),$AW$239,$AA$239/$Z$239)</f>
        <v/>
      </c>
      <c r="BA239" t="n">
        <v>0.2235294117647059</v>
      </c>
      <c r="BB239" t="n">
        <v>8</v>
      </c>
      <c r="BC239" t="n">
        <v>7</v>
      </c>
      <c r="BD239" t="inlineStr">
        <is>
          <t>gun</t>
        </is>
      </c>
      <c r="BE239" t="inlineStr">
        <is>
          <t>Wikipedia '2A46': 7-8 rpm with the autoloader</t>
        </is>
      </c>
      <c r="BF239" t="inlineStr">
        <is>
          <t>real 2A46 with its autoloader, 8 rpm (7.5 s); wave 1's 5.56 s is too fast after the 30 % rule</t>
        </is>
      </c>
      <c r="BG239" t="inlineStr">
        <is>
          <t>doi</t>
        </is>
      </c>
      <c r="BH239" t="n">
        <v>780</v>
      </c>
      <c r="BI239" t="n">
        <v>400</v>
      </c>
      <c r="BJ239" t="n">
        <v>2</v>
      </c>
      <c r="BK239" t="n">
        <v>7.5</v>
      </c>
      <c r="CT239" t="n">
        <v>125</v>
      </c>
      <c r="DD239" t="n">
        <v>7.5</v>
      </c>
      <c r="DE239" t="n">
        <v>400</v>
      </c>
      <c r="DO239" t="n">
        <v>30</v>
      </c>
      <c r="DT239" t="inlineStr">
        <is>
          <t>gun_120mm</t>
        </is>
      </c>
      <c r="EB239" t="n">
        <v>4</v>
      </c>
      <c r="EP239" t="n">
        <v>38</v>
      </c>
      <c r="EQ239" t="inlineStr">
        <is>
          <t>2A46 125 mm (turret, AP)</t>
        </is>
      </c>
      <c r="EX239" t="n">
        <v>125</v>
      </c>
      <c r="EY239" t="n">
        <v>0</v>
      </c>
      <c r="GA239" t="inlineStr"/>
      <c r="GB239" t="inlineStr">
        <is>
          <t>cal_125_ap</t>
        </is>
      </c>
      <c r="GD239" t="inlineStr">
        <is>
          <t>Assets/MachineBrigade/Resources/Data/balance.json: weapons[172]</t>
        </is>
      </c>
      <c r="GE239" t="inlineStr">
        <is>
          <t>{"id":"p26_ixion_125","groundMinReach":30,"inherits":"gun_120mm","weaponFamilyId":"cal_125_ap","weaponFamily":"","real":"2A46 125 mm (turret, AP)","size":125,"caliberMm":125,"damage":400,"cooldown":7.5,"pen":4,"splash":0,"range":38}</t>
        </is>
      </c>
    </row>
    <row r="240">
      <c r="A240" t="inlineStr">
        <is>
          <t>p26_ixion_125_he</t>
        </is>
      </c>
      <c r="B240" t="inlineStr">
        <is>
          <t>2A46 125 mm HE-FRAG</t>
        </is>
      </c>
      <c r="C240" t="inlineStr">
        <is>
          <t>cal_125_he</t>
        </is>
      </c>
      <c r="D240" t="inlineStr"/>
      <c r="E240" t="inlineStr"/>
      <c r="F240" t="inlineStr">
        <is>
          <t>tank_gun</t>
        </is>
      </c>
      <c r="G240" t="n">
        <v>125</v>
      </c>
      <c r="H240" t="inlineStr"/>
      <c r="I240" t="inlineStr"/>
      <c r="J240" t="inlineStr"/>
      <c r="K240" t="inlineStr">
        <is>
          <t>HighExplosive</t>
        </is>
      </c>
      <c r="L240" t="n">
        <v>3</v>
      </c>
      <c r="M240" t="inlineStr">
        <is>
          <t>Shell</t>
        </is>
      </c>
      <c r="N240" t="n">
        <v>1</v>
      </c>
      <c r="O240" t="inlineStr">
        <is>
          <t>RIPPLE</t>
        </is>
      </c>
      <c r="P240" t="n">
        <v>1</v>
      </c>
      <c r="Q240" t="n">
        <v>0.1</v>
      </c>
      <c r="R240" t="n">
        <v>7.5</v>
      </c>
      <c r="S240" t="n">
        <v>0</v>
      </c>
      <c r="T240" t="n">
        <v>0</v>
      </c>
      <c r="U240" t="n">
        <v>0</v>
      </c>
      <c r="V240" t="n">
        <v>0</v>
      </c>
      <c r="W240" t="n">
        <v>400.1</v>
      </c>
      <c r="X240" t="n">
        <v>5</v>
      </c>
      <c r="Y240" t="n">
        <v>10</v>
      </c>
      <c r="Z240" t="n">
        <v>170</v>
      </c>
      <c r="AA240" t="n">
        <v>38</v>
      </c>
      <c r="AB240" t="n">
        <v>0</v>
      </c>
      <c r="AC240" t="inlineStr">
        <is>
          <t>Ground</t>
        </is>
      </c>
      <c r="AD240" t="inlineStr"/>
      <c r="AE240" t="n">
        <v>0.6</v>
      </c>
      <c r="AF240" t="inlineStr">
        <is>
          <t>Huge</t>
        </is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n">
        <v>125</v>
      </c>
      <c r="AO240" t="n">
        <v>0</v>
      </c>
      <c r="AP240" t="inlineStr">
        <is>
          <t>T3</t>
        </is>
      </c>
      <c r="AQ240" t="inlineStr">
        <is>
          <t>p26_ixion_125</t>
        </is>
      </c>
      <c r="AR240" t="inlineStr"/>
      <c r="AS240" t="inlineStr"/>
      <c r="AT240" t="inlineStr"/>
      <c r="AU240" t="n">
        <v>0</v>
      </c>
      <c r="AV240" t="inlineStr"/>
      <c r="AW240" t="n">
        <v>0</v>
      </c>
      <c r="AX240" t="b">
        <v>0</v>
      </c>
      <c r="AY240" t="inlineStr"/>
      <c r="AZ240">
        <f>IF(AND($AX$240,$AW$240&gt;$AA$240/$Z$240),$AW$240,$AA$240/$Z$240)</f>
        <v/>
      </c>
      <c r="BA240" t="n">
        <v>0.2235294117647059</v>
      </c>
      <c r="BB240" t="n">
        <v>8</v>
      </c>
      <c r="BC240" t="n">
        <v>7</v>
      </c>
      <c r="BD240" t="inlineStr">
        <is>
          <t>gun</t>
        </is>
      </c>
      <c r="BE240" t="inlineStr">
        <is>
          <t>Wikipedia '2A46': 7-8 rpm with the autoloader</t>
        </is>
      </c>
      <c r="BG240" t="inlineStr">
        <is>
          <t>doi</t>
        </is>
      </c>
      <c r="BH240" t="n">
        <v>780</v>
      </c>
      <c r="BI240" t="n">
        <v>400.1</v>
      </c>
      <c r="BJ240" t="n">
        <v>2</v>
      </c>
      <c r="BK240" t="n">
        <v>7.5</v>
      </c>
      <c r="DE240" t="n">
        <v>400.1</v>
      </c>
      <c r="DF240" t="inlineStr">
        <is>
          <t>HighExplosive</t>
        </is>
      </c>
      <c r="DG240" t="n">
        <v>10</v>
      </c>
      <c r="DM240" t="inlineStr">
        <is>
          <t>cluster</t>
        </is>
      </c>
      <c r="DN240" t="inlineStr">
        <is>
          <t>HeShell</t>
        </is>
      </c>
      <c r="DS240" t="inlineStr">
        <is>
          <t>Huge</t>
        </is>
      </c>
      <c r="DT240" t="inlineStr">
        <is>
          <t>p26_ixion_125</t>
        </is>
      </c>
      <c r="EB240" t="n">
        <v>3</v>
      </c>
      <c r="EE240" t="b">
        <v>0</v>
      </c>
      <c r="EQ240" t="inlineStr">
        <is>
          <t>2A46 125 mm HE-FRAG</t>
        </is>
      </c>
      <c r="ES240" t="inlineStr">
        <is>
          <t>he</t>
        </is>
      </c>
      <c r="EU240" t="inlineStr">
        <is>
          <t>p26_ixion_125</t>
        </is>
      </c>
      <c r="EY240" t="n">
        <v>5</v>
      </c>
      <c r="FW240" t="inlineStr">
        <is>
          <t>Ground</t>
        </is>
      </c>
      <c r="GA240" t="inlineStr"/>
      <c r="GB240" t="inlineStr">
        <is>
          <t>cal_125_he</t>
        </is>
      </c>
      <c r="GD240" t="inlineStr">
        <is>
          <t>Assets/MachineBrigade/Resources/Data/balance.json: secondRounds.rounds[6]</t>
        </is>
      </c>
      <c r="GE240" t="inlineStr">
        <is>
          <t>{"id":"p26_ixion_125_he","roundOf":"p26_ixion_125","inherits":"p26_ixion_125","weaponFamilyId":"cal_125_he","weaponFamily":"","round":"he","for":["cluster"],"real":"2A46 125 mm HE-FRAG","damageType":"HighExplosive","pen":3,"damage":400.1,"splash":5,"edge":10,"form":"HeShell","piercing":false,"targets":"Ground","impactTier":"Huge"}</t>
        </is>
      </c>
    </row>
    <row r="241">
      <c r="A241" t="inlineStr">
        <is>
          <t>p26_ixion_mg</t>
        </is>
      </c>
      <c r="B241" t="inlineStr">
        <is>
          <t>NSV 12.7 mm</t>
        </is>
      </c>
      <c r="C241" t="inlineStr">
        <is>
          <t>cal_12_7</t>
        </is>
      </c>
      <c r="D241" t="inlineStr"/>
      <c r="E241" t="inlineStr"/>
      <c r="F241" t="inlineStr">
        <is>
          <t>mg</t>
        </is>
      </c>
      <c r="G241" t="n">
        <v>12.7</v>
      </c>
      <c r="H241" t="inlineStr"/>
      <c r="I241" t="inlineStr"/>
      <c r="J241" t="inlineStr"/>
      <c r="K241" t="inlineStr">
        <is>
          <t>Kinetic</t>
        </is>
      </c>
      <c r="L241" t="n">
        <v>1</v>
      </c>
      <c r="M241" t="inlineStr">
        <is>
          <t>Bullet</t>
        </is>
      </c>
      <c r="N241" t="n">
        <v>1</v>
      </c>
      <c r="O241" t="inlineStr">
        <is>
          <t>RIPPLE</t>
        </is>
      </c>
      <c r="P241" t="n">
        <v>1</v>
      </c>
      <c r="Q241" t="n">
        <v>0.1</v>
      </c>
      <c r="R241" t="n">
        <v>0.0833</v>
      </c>
      <c r="S241" t="n">
        <v>100</v>
      </c>
      <c r="T241" t="n">
        <v>5</v>
      </c>
      <c r="U241" t="n">
        <v>0</v>
      </c>
      <c r="V241" t="n">
        <v>0</v>
      </c>
      <c r="W241" t="n">
        <v>15</v>
      </c>
      <c r="X241" t="n">
        <v>0</v>
      </c>
      <c r="Y241" t="n">
        <v>0</v>
      </c>
      <c r="Z241" t="n">
        <v>240</v>
      </c>
      <c r="AA241" t="n">
        <v>30</v>
      </c>
      <c r="AB241" t="n">
        <v>0</v>
      </c>
      <c r="AC241" t="inlineStr">
        <is>
          <t>All</t>
        </is>
      </c>
      <c r="AD241" t="inlineStr"/>
      <c r="AE241" t="n">
        <v>1.3</v>
      </c>
      <c r="AF241" t="inlineStr">
        <is>
          <t>Small</t>
        </is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n">
        <v>12.7</v>
      </c>
      <c r="AO241" t="n">
        <v>0</v>
      </c>
      <c r="AP241" t="inlineStr">
        <is>
          <t>T0</t>
        </is>
      </c>
      <c r="AQ241" t="inlineStr">
        <is>
          <t>boss_hmg</t>
        </is>
      </c>
      <c r="AR241" t="inlineStr"/>
      <c r="AS241" t="inlineStr">
        <is>
          <t>boss</t>
        </is>
      </c>
      <c r="AT241" t="inlineStr">
        <is>
          <t>ixion</t>
        </is>
      </c>
      <c r="AU241" t="n">
        <v>1</v>
      </c>
      <c r="AV241" t="inlineStr">
        <is>
          <t>ixion:1;ixion:2</t>
        </is>
      </c>
      <c r="AW241" t="n">
        <v>0</v>
      </c>
      <c r="AX241" t="b">
        <v>0</v>
      </c>
      <c r="AY241" t="inlineStr"/>
      <c r="AZ241">
        <f>IF(AND($AX$241,$AW$241&gt;$AA$241/$Z$241),$AW$241,$AA$241/$Z$241)</f>
        <v/>
      </c>
      <c r="BA241" t="n">
        <v>0.125</v>
      </c>
      <c r="BB241" t="n">
        <v>800</v>
      </c>
      <c r="BC241" t="n">
        <v>100</v>
      </c>
      <c r="BD241" t="inlineStr">
        <is>
          <t>mg</t>
        </is>
      </c>
      <c r="BE241" t="inlineStr">
        <is>
          <t>Wikipedia 'NSV machine gun': 700-800 cyclic, 100 practical</t>
        </is>
      </c>
      <c r="BF241" t="inlineStr">
        <is>
          <t>wave 1 boss_hmg: 100 rounds at 720 rpm, changed in 5 s (NSV 700-800 rpm)</t>
        </is>
      </c>
      <c r="BG241" t="inlineStr">
        <is>
          <t>doi</t>
        </is>
      </c>
      <c r="CH241" t="n">
        <v>5.0833</v>
      </c>
      <c r="CI241" t="n">
        <v>5</v>
      </c>
      <c r="CX241" t="n">
        <v>5</v>
      </c>
      <c r="DE241" t="n">
        <v>15</v>
      </c>
      <c r="DT241" t="inlineStr">
        <is>
          <t>boss_hmg</t>
        </is>
      </c>
      <c r="GA241" t="inlineStr"/>
      <c r="GD241" t="inlineStr">
        <is>
          <t>Assets/MachineBrigade/Resources/Data/balance.json: weapons[168]</t>
        </is>
      </c>
      <c r="GE241" t="inlineStr">
        <is>
          <t>{"id":"p26_ixion_mg","inherits":"boss_hmg","clipReload":5,"weaponFamily":"","damage":15}</t>
        </is>
      </c>
    </row>
    <row r="242">
      <c r="A242" t="inlineStr">
        <is>
          <t>p26_jotunn_close_boss_flak</t>
        </is>
      </c>
      <c r="B242" t="inlineStr">
        <is>
          <t>Oerlikon 35 mm (twin)</t>
        </is>
      </c>
      <c r="C242" t="inlineStr">
        <is>
          <t>cal_35</t>
        </is>
      </c>
      <c r="D242" t="inlineStr"/>
      <c r="E242" t="inlineStr"/>
      <c r="F242" t="inlineStr">
        <is>
          <t>autocannon</t>
        </is>
      </c>
      <c r="G242" t="n">
        <v>35</v>
      </c>
      <c r="H242" t="inlineStr"/>
      <c r="I242" t="inlineStr"/>
      <c r="J242" t="inlineStr"/>
      <c r="K242" t="inlineStr">
        <is>
          <t>Fragmentation</t>
        </is>
      </c>
      <c r="L242" t="n">
        <v>2</v>
      </c>
      <c r="M242" t="inlineStr">
        <is>
          <t>Bullet</t>
        </is>
      </c>
      <c r="N242" t="n">
        <v>1</v>
      </c>
      <c r="O242" t="inlineStr">
        <is>
          <t>RIPPLE</t>
        </is>
      </c>
      <c r="P242" t="n">
        <v>1</v>
      </c>
      <c r="Q242" t="n">
        <v>0.1</v>
      </c>
      <c r="R242" t="n">
        <v>0.05</v>
      </c>
      <c r="S242" t="n">
        <v>41</v>
      </c>
      <c r="T242" t="n">
        <v>3.38</v>
      </c>
      <c r="U242" t="n">
        <v>0</v>
      </c>
      <c r="V242" t="n">
        <v>0</v>
      </c>
      <c r="W242" t="n">
        <v>25</v>
      </c>
      <c r="X242" t="n">
        <v>2.5</v>
      </c>
      <c r="Y242" t="n">
        <v>0</v>
      </c>
      <c r="Z242" t="n">
        <v>260</v>
      </c>
      <c r="AA242" t="n">
        <v>40</v>
      </c>
      <c r="AB242" t="n">
        <v>0</v>
      </c>
      <c r="AC242" t="inlineStr">
        <is>
          <t>All</t>
        </is>
      </c>
      <c r="AD242" t="inlineStr"/>
      <c r="AE242" t="n">
        <v>1.5</v>
      </c>
      <c r="AF242" t="inlineStr">
        <is>
          <t>Small</t>
        </is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n">
        <v>35</v>
      </c>
      <c r="AO242" t="n">
        <v>0</v>
      </c>
      <c r="AP242" t="inlineStr">
        <is>
          <t>T1</t>
        </is>
      </c>
      <c r="AQ242" t="inlineStr">
        <is>
          <t>boss_flak</t>
        </is>
      </c>
      <c r="AR242" t="inlineStr"/>
      <c r="AS242" t="inlineStr">
        <is>
          <t>boss</t>
        </is>
      </c>
      <c r="AT242" t="inlineStr">
        <is>
          <t>fenrir;mobile_fortress</t>
        </is>
      </c>
      <c r="AU242" t="n">
        <v>2</v>
      </c>
      <c r="AV242" t="inlineStr">
        <is>
          <t>fenrir:2;mobile_fortress:3;mobile_fortress:4</t>
        </is>
      </c>
      <c r="AW242" t="n">
        <v>0</v>
      </c>
      <c r="AX242" t="b">
        <v>0</v>
      </c>
      <c r="AY242" t="inlineStr"/>
      <c r="AZ242">
        <f>IF(AND($AX$242,$AW$242&gt;$AA$242/$Z$242),$AW$242,$AA$242/$Z$242)</f>
        <v/>
      </c>
      <c r="BA242" t="n">
        <v>0.1538461538461539</v>
      </c>
      <c r="BB242" t="n">
        <v>550</v>
      </c>
      <c r="BC242" t="n">
        <v>300</v>
      </c>
      <c r="BD242" t="inlineStr">
        <is>
          <t>aa</t>
        </is>
      </c>
      <c r="BE242" t="inlineStr">
        <is>
          <t>Wikipedia 'Oerlikon GDF': 550 rpm a gun (the twin: 1,100)</t>
        </is>
      </c>
      <c r="BF242" t="inlineStr">
        <is>
          <t>wave 1 boss_flak: 41 rounds at 1,200 rpm, changed in 3.38 s (twin Oerlikon GDF 2 x 550 rpm)</t>
        </is>
      </c>
      <c r="BG242" t="inlineStr">
        <is>
          <t>doi</t>
        </is>
      </c>
      <c r="BH242" t="n">
        <v>18</v>
      </c>
      <c r="BI242" t="n">
        <v>25</v>
      </c>
      <c r="CX242" t="n">
        <v>3.38</v>
      </c>
      <c r="DE242" t="n">
        <v>25</v>
      </c>
      <c r="DT242" t="inlineStr">
        <is>
          <t>boss_flak</t>
        </is>
      </c>
      <c r="GA242" t="inlineStr"/>
      <c r="GD242" t="inlineStr">
        <is>
          <t>Assets/MachineBrigade/Resources/Data/balance.json: weapons[165]</t>
        </is>
      </c>
      <c r="GE242" t="inlineStr">
        <is>
          <t>{"id":"p26_jotunn_close_boss_flak","inherits":"boss_flak","clipReload":3.38,"weaponFamily":"","damage":25}</t>
        </is>
      </c>
    </row>
    <row r="243">
      <c r="A243" t="inlineStr">
        <is>
          <t>p26_jotunn_direct_jo125</t>
        </is>
      </c>
      <c r="B243" t="inlineStr">
        <is>
          <t>2A46 125 mm</t>
        </is>
      </c>
      <c r="C243" t="inlineStr">
        <is>
          <t>cal_125_ap</t>
        </is>
      </c>
      <c r="D243" t="inlineStr"/>
      <c r="E243" t="inlineStr"/>
      <c r="F243" t="inlineStr">
        <is>
          <t>tank_gun</t>
        </is>
      </c>
      <c r="G243" t="n">
        <v>125</v>
      </c>
      <c r="H243" t="inlineStr"/>
      <c r="I243" t="inlineStr"/>
      <c r="J243" t="inlineStr"/>
      <c r="K243" t="inlineStr">
        <is>
          <t>Kinetic</t>
        </is>
      </c>
      <c r="L243" t="n">
        <v>5</v>
      </c>
      <c r="M243" t="inlineStr">
        <is>
          <t>Shell</t>
        </is>
      </c>
      <c r="N243" t="n">
        <v>1</v>
      </c>
      <c r="O243" t="inlineStr">
        <is>
          <t>RIPPLE</t>
        </is>
      </c>
      <c r="P243" t="n">
        <v>1</v>
      </c>
      <c r="Q243" t="n">
        <v>0.1</v>
      </c>
      <c r="R243" t="n">
        <v>7.5</v>
      </c>
      <c r="S243" t="n">
        <v>0</v>
      </c>
      <c r="T243" t="n">
        <v>0</v>
      </c>
      <c r="U243" t="n">
        <v>0</v>
      </c>
      <c r="V243" t="n">
        <v>0</v>
      </c>
      <c r="W243" t="n">
        <v>400</v>
      </c>
      <c r="X243" t="n">
        <v>0</v>
      </c>
      <c r="Y243" t="n">
        <v>0</v>
      </c>
      <c r="Z243" t="n">
        <v>170</v>
      </c>
      <c r="AA243" t="n">
        <v>38</v>
      </c>
      <c r="AB243" t="n">
        <v>0</v>
      </c>
      <c r="AC243" t="inlineStr">
        <is>
          <t>Ground</t>
        </is>
      </c>
      <c r="AD243" t="inlineStr"/>
      <c r="AE243" t="n">
        <v>0.6</v>
      </c>
      <c r="AF243" t="inlineStr">
        <is>
          <t>Medium</t>
        </is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n">
        <v>125</v>
      </c>
      <c r="AO243" t="n">
        <v>0</v>
      </c>
      <c r="AP243" t="inlineStr">
        <is>
          <t>T3</t>
        </is>
      </c>
      <c r="AQ243" t="inlineStr">
        <is>
          <t>p26_jotunn_jo125</t>
        </is>
      </c>
      <c r="AR243" t="inlineStr"/>
      <c r="AS243" t="inlineStr">
        <is>
          <t>boss</t>
        </is>
      </c>
      <c r="AT243" t="inlineStr">
        <is>
          <t>mobile_fortress</t>
        </is>
      </c>
      <c r="AU243" t="n">
        <v>1</v>
      </c>
      <c r="AV243" t="inlineStr">
        <is>
          <t>mobile_fortress:5</t>
        </is>
      </c>
      <c r="AW243" t="n">
        <v>0</v>
      </c>
      <c r="AX243" t="b">
        <v>0</v>
      </c>
      <c r="AY243" t="inlineStr"/>
      <c r="AZ243">
        <f>IF(AND($AX$243,$AW$243&gt;$AA$243/$Z$243),$AW$243,$AA$243/$Z$243)</f>
        <v/>
      </c>
      <c r="BA243" t="n">
        <v>0.2235294117647059</v>
      </c>
      <c r="BB243" t="n">
        <v>8</v>
      </c>
      <c r="BC243" t="n">
        <v>7</v>
      </c>
      <c r="BD243" t="inlineStr">
        <is>
          <t>gun</t>
        </is>
      </c>
      <c r="BE243" t="inlineStr">
        <is>
          <t>Wikipedia '2A46': 7-8 rpm with the autoloader</t>
        </is>
      </c>
      <c r="BF243" t="inlineStr">
        <is>
          <t>real 2A46 with its autoloader, 8 rpm (7.5 s); wave 1's 5.56 s is too fast after the 30 % rule</t>
        </is>
      </c>
      <c r="BG243" t="inlineStr">
        <is>
          <t>doi</t>
        </is>
      </c>
      <c r="BH243" t="n">
        <v>290</v>
      </c>
      <c r="BI243" t="n">
        <v>400</v>
      </c>
      <c r="BJ243" t="n">
        <v>2.5</v>
      </c>
      <c r="BK243" t="n">
        <v>7.5</v>
      </c>
      <c r="DD243" t="n">
        <v>7.5</v>
      </c>
      <c r="DE243" t="n">
        <v>400</v>
      </c>
      <c r="DO243" t="n">
        <v>30</v>
      </c>
      <c r="DT243" t="inlineStr">
        <is>
          <t>p26_jotunn_jo125</t>
        </is>
      </c>
      <c r="GD243" t="inlineStr">
        <is>
          <t>Assets/MachineBrigade/Resources/Data/balance.json: weapons[164]</t>
        </is>
      </c>
      <c r="GE243" t="inlineStr">
        <is>
          <t>{"id":"p26_jotunn_direct_jo125","groundMinReach":30,"inherits":"p26_jotunn_jo125","cooldown":7.5,"damage":400}</t>
        </is>
      </c>
    </row>
    <row r="244">
      <c r="A244" t="inlineStr">
        <is>
          <t>p26_jotunn_jo125</t>
        </is>
      </c>
      <c r="B244" t="inlineStr">
        <is>
          <t>2A46 125 mm</t>
        </is>
      </c>
      <c r="C244" t="inlineStr">
        <is>
          <t>cal_125_ap</t>
        </is>
      </c>
      <c r="D244" t="inlineStr"/>
      <c r="E244" t="inlineStr"/>
      <c r="F244" t="inlineStr">
        <is>
          <t>tank_gun</t>
        </is>
      </c>
      <c r="G244" t="n">
        <v>125</v>
      </c>
      <c r="H244" t="inlineStr"/>
      <c r="I244" t="inlineStr"/>
      <c r="J244" t="inlineStr"/>
      <c r="K244" t="inlineStr">
        <is>
          <t>Kinetic</t>
        </is>
      </c>
      <c r="L244" t="n">
        <v>5</v>
      </c>
      <c r="M244" t="inlineStr">
        <is>
          <t>Shell</t>
        </is>
      </c>
      <c r="N244" t="n">
        <v>1</v>
      </c>
      <c r="O244" t="inlineStr">
        <is>
          <t>RIPPLE</t>
        </is>
      </c>
      <c r="P244" t="n">
        <v>1</v>
      </c>
      <c r="Q244" t="n">
        <v>0.1</v>
      </c>
      <c r="R244" t="n">
        <v>2</v>
      </c>
      <c r="S244" t="n">
        <v>0</v>
      </c>
      <c r="T244" t="n">
        <v>0</v>
      </c>
      <c r="U244" t="n">
        <v>0</v>
      </c>
      <c r="V244" t="n">
        <v>0</v>
      </c>
      <c r="W244" t="n">
        <v>280</v>
      </c>
      <c r="X244" t="n">
        <v>0</v>
      </c>
      <c r="Y244" t="n">
        <v>0</v>
      </c>
      <c r="Z244" t="n">
        <v>170</v>
      </c>
      <c r="AA244" t="n">
        <v>38</v>
      </c>
      <c r="AB244" t="n">
        <v>0</v>
      </c>
      <c r="AC244" t="inlineStr">
        <is>
          <t>Ground</t>
        </is>
      </c>
      <c r="AD244" t="inlineStr"/>
      <c r="AE244" t="n">
        <v>0.6</v>
      </c>
      <c r="AF244" t="inlineStr">
        <is>
          <t>Medium</t>
        </is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n">
        <v>125</v>
      </c>
      <c r="AO244" t="n">
        <v>0</v>
      </c>
      <c r="AP244" t="inlineStr">
        <is>
          <t>T3</t>
        </is>
      </c>
      <c r="AQ244" t="inlineStr">
        <is>
          <t>gun_120mm</t>
        </is>
      </c>
      <c r="AR244" t="inlineStr"/>
      <c r="AS244" t="inlineStr"/>
      <c r="AT244" t="inlineStr"/>
      <c r="AU244" t="n">
        <v>0</v>
      </c>
      <c r="AV244" t="inlineStr"/>
      <c r="AW244" t="n">
        <v>0</v>
      </c>
      <c r="AX244" t="b">
        <v>0</v>
      </c>
      <c r="AY244" t="inlineStr"/>
      <c r="AZ244">
        <f>IF(AND($AX$244,$AW$244&gt;$AA$244/$Z$244),$AW$244,$AA$244/$Z$244)</f>
        <v/>
      </c>
      <c r="BA244" t="n">
        <v>0.2235294117647059</v>
      </c>
      <c r="BB244" t="n">
        <v>8</v>
      </c>
      <c r="BC244" t="n">
        <v>7</v>
      </c>
      <c r="BD244" t="inlineStr">
        <is>
          <t>gun</t>
        </is>
      </c>
      <c r="BE244" t="inlineStr">
        <is>
          <t>Wikipedia '2A46': 7-8 rpm with the autoloader</t>
        </is>
      </c>
      <c r="BG244" t="inlineStr">
        <is>
          <t>giong</t>
        </is>
      </c>
      <c r="CT244" t="n">
        <v>125</v>
      </c>
      <c r="DD244" t="n">
        <v>2</v>
      </c>
      <c r="DE244" t="n">
        <v>280</v>
      </c>
      <c r="DT244" t="inlineStr">
        <is>
          <t>gun_120mm</t>
        </is>
      </c>
      <c r="EB244" t="n">
        <v>5</v>
      </c>
      <c r="EP244" t="n">
        <v>38</v>
      </c>
      <c r="EQ244" t="inlineStr">
        <is>
          <t>2A46 125 mm</t>
        </is>
      </c>
      <c r="EX244" t="n">
        <v>125</v>
      </c>
      <c r="EY244" t="n">
        <v>0</v>
      </c>
      <c r="GA244" t="inlineStr"/>
      <c r="GB244" t="inlineStr">
        <is>
          <t>cal_125_ap</t>
        </is>
      </c>
      <c r="GD244" t="inlineStr">
        <is>
          <t>Assets/MachineBrigade/Resources/Data/balance.json: weapons[162]</t>
        </is>
      </c>
      <c r="GE244" t="inlineStr">
        <is>
          <t>{"id":"p26_jotunn_jo125","inherits":"gun_120mm","weaponFamilyId":"cal_125_ap","weaponFamily":"","real":"2A46 125 mm","size":125,"caliberMm":125,"damage":280,"cooldown":2,"pen":5,"splash":0,"range":38}</t>
        </is>
      </c>
    </row>
    <row r="245">
      <c r="A245" t="inlineStr">
        <is>
          <t>p26_jotunn_jo203</t>
        </is>
      </c>
      <c r="B245" t="inlineStr">
        <is>
          <t>2A44 203 mm</t>
        </is>
      </c>
      <c r="C245" t="inlineStr">
        <is>
          <t>cal_203</t>
        </is>
      </c>
      <c r="D245" t="inlineStr"/>
      <c r="E245" t="inlineStr"/>
      <c r="F245" t="inlineStr">
        <is>
          <t>howitzer</t>
        </is>
      </c>
      <c r="G245" t="n">
        <v>203</v>
      </c>
      <c r="H245" t="inlineStr"/>
      <c r="I245" t="inlineStr"/>
      <c r="J245" t="inlineStr"/>
      <c r="K245" t="inlineStr">
        <is>
          <t>HighExplosive</t>
        </is>
      </c>
      <c r="L245" t="n">
        <v>4</v>
      </c>
      <c r="M245" t="inlineStr">
        <is>
          <t>Shell</t>
        </is>
      </c>
      <c r="N245" t="n">
        <v>1</v>
      </c>
      <c r="O245" t="inlineStr">
        <is>
          <t>RIPPLE</t>
        </is>
      </c>
      <c r="P245" t="n">
        <v>1</v>
      </c>
      <c r="Q245" t="n">
        <v>0.1</v>
      </c>
      <c r="R245" t="n">
        <v>24</v>
      </c>
      <c r="S245" t="n">
        <v>0</v>
      </c>
      <c r="T245" t="n">
        <v>0</v>
      </c>
      <c r="U245" t="n">
        <v>0</v>
      </c>
      <c r="V245" t="n">
        <v>0</v>
      </c>
      <c r="W245" t="n">
        <v>900</v>
      </c>
      <c r="X245" t="n">
        <v>8.5</v>
      </c>
      <c r="Y245" t="n">
        <v>17</v>
      </c>
      <c r="Z245" t="n">
        <v>100</v>
      </c>
      <c r="AA245" t="n">
        <v>60</v>
      </c>
      <c r="AB245" t="n">
        <v>0</v>
      </c>
      <c r="AC245" t="inlineStr">
        <is>
          <t>Ground</t>
        </is>
      </c>
      <c r="AD245" t="inlineStr"/>
      <c r="AE245" t="n">
        <v>3</v>
      </c>
      <c r="AF245" t="inlineStr">
        <is>
          <t>Huge</t>
        </is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n">
        <v>203</v>
      </c>
      <c r="AO245" t="n">
        <v>0</v>
      </c>
      <c r="AP245" t="inlineStr">
        <is>
          <t>T4</t>
        </is>
      </c>
      <c r="AQ245" t="inlineStr">
        <is>
          <t>boss_howitzer</t>
        </is>
      </c>
      <c r="AR245" t="inlineStr"/>
      <c r="AS245" t="inlineStr">
        <is>
          <t>boss</t>
        </is>
      </c>
      <c r="AT245" t="inlineStr">
        <is>
          <t>mobile_fortress</t>
        </is>
      </c>
      <c r="AU245" t="n">
        <v>1</v>
      </c>
      <c r="AV245" t="inlineStr">
        <is>
          <t>mobile_fortress:0;mobile_fortress:7</t>
        </is>
      </c>
      <c r="AW245" t="n">
        <v>2.5</v>
      </c>
      <c r="AX245" t="b">
        <v>1</v>
      </c>
      <c r="AY245" t="inlineStr"/>
      <c r="AZ245">
        <f>IF(AND($AX$245,$AW$245&gt;$AA$245/$Z$245),$AW$245,$AA$245/$Z$245)</f>
        <v/>
      </c>
      <c r="BA245" t="n">
        <v>2.5</v>
      </c>
      <c r="BB245" t="n">
        <v>2.5</v>
      </c>
      <c r="BC245" t="n">
        <v>1</v>
      </c>
      <c r="BD245" t="inlineStr">
        <is>
          <t>gun</t>
        </is>
      </c>
      <c r="BE245" t="inlineStr">
        <is>
          <t>Wikipedia '2S7 Pion': 1.5 rpm (2S7M Malka 2.5)</t>
        </is>
      </c>
      <c r="BF245" t="inlineStr">
        <is>
          <t>real 2S7M Malka 2.5 rpm (24 s); wave 1's 9.44 s is too fast</t>
        </is>
      </c>
      <c r="BG245" t="inlineStr">
        <is>
          <t>doi</t>
        </is>
      </c>
      <c r="BH245" t="n">
        <v>790</v>
      </c>
      <c r="BI245" t="n">
        <v>900</v>
      </c>
      <c r="BJ245" t="n">
        <v>5</v>
      </c>
      <c r="BK245" t="n">
        <v>24</v>
      </c>
      <c r="BN245" t="n">
        <v>10</v>
      </c>
      <c r="BO245" t="n">
        <v>8.5</v>
      </c>
      <c r="BP245" t="n">
        <v>20</v>
      </c>
      <c r="BQ245" t="n">
        <v>17</v>
      </c>
      <c r="BR245" t="n">
        <v>60</v>
      </c>
      <c r="BS245" t="n">
        <v>100</v>
      </c>
      <c r="DD245" t="n">
        <v>24</v>
      </c>
      <c r="DE245" t="n">
        <v>900</v>
      </c>
      <c r="DG245" t="n">
        <v>17</v>
      </c>
      <c r="DO245" t="n">
        <v>48</v>
      </c>
      <c r="DT245" t="inlineStr">
        <is>
          <t>boss_howitzer</t>
        </is>
      </c>
      <c r="EQ245" t="inlineStr">
        <is>
          <t>2A44 203 mm</t>
        </is>
      </c>
      <c r="EY245" t="n">
        <v>8.5</v>
      </c>
      <c r="GD245" t="inlineStr">
        <is>
          <t>Assets/MachineBrigade/Resources/Data/balance.json: weapons[160]</t>
        </is>
      </c>
      <c r="GE245" t="inlineStr">
        <is>
          <t>{"id":"p26_jotunn_jo203","groundMinReach":48,"inherits":"boss_howitzer","real":"2A44 203 mm","damage":900,"cooldown":24,"splash":8.5,"edge":17}</t>
        </is>
      </c>
    </row>
    <row r="246">
      <c r="A246" t="inlineStr">
        <is>
          <t>p26_jotunn_jo_rockets</t>
        </is>
      </c>
      <c r="B246" t="inlineStr">
        <is>
          <t>BM-30 Smerch 300 mm (pod)</t>
        </is>
      </c>
      <c r="C246" t="inlineStr">
        <is>
          <t>rkt_smerch_300</t>
        </is>
      </c>
      <c r="D246" t="inlineStr"/>
      <c r="E246" t="inlineStr"/>
      <c r="F246" t="inlineStr">
        <is>
          <t>rocket</t>
        </is>
      </c>
      <c r="G246" t="n">
        <v>300</v>
      </c>
      <c r="H246" t="inlineStr"/>
      <c r="I246" t="inlineStr"/>
      <c r="J246" t="inlineStr"/>
      <c r="K246" t="inlineStr">
        <is>
          <t>HighExplosive</t>
        </is>
      </c>
      <c r="L246" t="n">
        <v>2</v>
      </c>
      <c r="M246" t="inlineStr">
        <is>
          <t>Rocket</t>
        </is>
      </c>
      <c r="N246" t="n">
        <v>1</v>
      </c>
      <c r="O246" t="inlineStr">
        <is>
          <t>RIPPLE</t>
        </is>
      </c>
      <c r="P246" t="n">
        <v>8</v>
      </c>
      <c r="Q246" t="n">
        <v>0.3</v>
      </c>
      <c r="R246" t="n">
        <v>7.9</v>
      </c>
      <c r="S246" t="n">
        <v>0</v>
      </c>
      <c r="T246" t="n">
        <v>0</v>
      </c>
      <c r="U246" t="n">
        <v>0</v>
      </c>
      <c r="V246" t="n">
        <v>0</v>
      </c>
      <c r="W246" t="n">
        <v>110</v>
      </c>
      <c r="X246" t="n">
        <v>5</v>
      </c>
      <c r="Y246" t="n">
        <v>10</v>
      </c>
      <c r="Z246" t="n">
        <v>120</v>
      </c>
      <c r="AA246" t="n">
        <v>45</v>
      </c>
      <c r="AB246" t="n">
        <v>0</v>
      </c>
      <c r="AC246" t="inlineStr">
        <is>
          <t>Ground</t>
        </is>
      </c>
      <c r="AD246" t="inlineStr"/>
      <c r="AE246" t="n">
        <v>5</v>
      </c>
      <c r="AF246" t="inlineStr">
        <is>
          <t>Medium</t>
        </is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n">
        <v>300</v>
      </c>
      <c r="AO246" t="n">
        <v>0</v>
      </c>
      <c r="AP246" t="inlineStr">
        <is>
          <t>T4</t>
        </is>
      </c>
      <c r="AQ246" t="inlineStr">
        <is>
          <t>boss_rockets</t>
        </is>
      </c>
      <c r="AR246" t="inlineStr"/>
      <c r="AS246" t="inlineStr"/>
      <c r="AT246" t="inlineStr"/>
      <c r="AU246" t="n">
        <v>0</v>
      </c>
      <c r="AV246" t="inlineStr"/>
      <c r="AW246" t="n">
        <v>2.5</v>
      </c>
      <c r="AX246" t="b">
        <v>1</v>
      </c>
      <c r="AY246" t="inlineStr"/>
      <c r="AZ246">
        <f>IF(AND($AX$246,$AW$246&gt;$AA$246/$Z$246),$AW$246,$AA$246/$Z$246)</f>
        <v/>
      </c>
      <c r="BA246" t="n">
        <v>2.5</v>
      </c>
      <c r="BB246" t="n">
        <v>19</v>
      </c>
      <c r="BC246" t="inlineStr"/>
      <c r="BD246" t="inlineStr">
        <is>
          <t>rocket</t>
        </is>
      </c>
      <c r="BE246" t="inlineStr">
        <is>
          <t>Wikipedia 'BM-30 Smerch': 12 rockets in 38 s</t>
        </is>
      </c>
      <c r="BG246" t="inlineStr">
        <is>
          <t>doi</t>
        </is>
      </c>
      <c r="BR246" t="n">
        <v>45</v>
      </c>
      <c r="BS246" t="n">
        <v>120</v>
      </c>
      <c r="CR246" t="n">
        <v>8</v>
      </c>
      <c r="CS246" t="n">
        <v>0.3</v>
      </c>
      <c r="CT246" t="n">
        <v>300</v>
      </c>
      <c r="DD246" t="n">
        <v>7.9</v>
      </c>
      <c r="DE246" t="n">
        <v>110</v>
      </c>
      <c r="DF246" t="inlineStr">
        <is>
          <t>HighExplosive</t>
        </is>
      </c>
      <c r="DG246" t="n">
        <v>10</v>
      </c>
      <c r="DL246" t="inlineStr">
        <is>
          <t>Ballistic</t>
        </is>
      </c>
      <c r="DO246" t="n">
        <v>0</v>
      </c>
      <c r="DT246" t="inlineStr">
        <is>
          <t>boss_rockets</t>
        </is>
      </c>
      <c r="EK246" t="n">
        <v>120</v>
      </c>
      <c r="EQ246" t="inlineStr">
        <is>
          <t>BM-30 Smerch 300 mm (pod)</t>
        </is>
      </c>
      <c r="EX246" t="n">
        <v>300</v>
      </c>
      <c r="EY246" t="n">
        <v>5</v>
      </c>
      <c r="GB246" t="inlineStr">
        <is>
          <t>rkt_smerch_300</t>
        </is>
      </c>
      <c r="GD246" t="inlineStr">
        <is>
          <t>Assets/MachineBrigade/Resources/Data/balance.json: weapons[161]</t>
        </is>
      </c>
      <c r="GE246" t="inlineStr">
        <is>
          <t>{"id":"p26_jotunn_jo_rockets","groundMinReach":0,"flightProfile":"Ballistic","inherits":"boss_rockets","weaponFamilyId":"rkt_smerch_300","damageType":"HighExplosive","projectileSpeed":120,"real":"BM-30 Smerch 300 mm (pod)","size":300,"caliberMm":300,"damage":110,"burst":8,"burstInterval":0.3,"cooldown":7.9,"splash":5,"edge":10}</t>
        </is>
      </c>
    </row>
    <row r="247">
      <c r="A247" t="inlineStr">
        <is>
          <t>p26_jotunn_sec_jo_rockets</t>
        </is>
      </c>
      <c r="B247" t="inlineStr">
        <is>
          <t>BM-30 Smerch 300 mm (pod)</t>
        </is>
      </c>
      <c r="C247" t="inlineStr">
        <is>
          <t>rkt_smerch_300</t>
        </is>
      </c>
      <c r="D247" t="inlineStr"/>
      <c r="E247" t="inlineStr"/>
      <c r="F247" t="inlineStr">
        <is>
          <t>rocket</t>
        </is>
      </c>
      <c r="G247" t="n">
        <v>300</v>
      </c>
      <c r="H247" t="inlineStr"/>
      <c r="I247" t="inlineStr"/>
      <c r="J247" t="inlineStr"/>
      <c r="K247" t="inlineStr">
        <is>
          <t>HighExplosive</t>
        </is>
      </c>
      <c r="L247" t="n">
        <v>2</v>
      </c>
      <c r="M247" t="inlineStr">
        <is>
          <t>Rocket</t>
        </is>
      </c>
      <c r="N247" t="n">
        <v>1</v>
      </c>
      <c r="O247" t="inlineStr">
        <is>
          <t>RIPPLE</t>
        </is>
      </c>
      <c r="P247" t="n">
        <v>8</v>
      </c>
      <c r="Q247" t="n">
        <v>3.17</v>
      </c>
      <c r="R247" t="n">
        <v>15.76</v>
      </c>
      <c r="S247" t="n">
        <v>0</v>
      </c>
      <c r="T247" t="n">
        <v>0</v>
      </c>
      <c r="U247" t="n">
        <v>0</v>
      </c>
      <c r="V247" t="n">
        <v>0</v>
      </c>
      <c r="W247" t="n">
        <v>450</v>
      </c>
      <c r="X247" t="n">
        <v>8</v>
      </c>
      <c r="Y247" t="n">
        <v>16</v>
      </c>
      <c r="Z247" t="n">
        <v>120</v>
      </c>
      <c r="AA247" t="n">
        <v>45</v>
      </c>
      <c r="AB247" t="n">
        <v>0</v>
      </c>
      <c r="AC247" t="inlineStr">
        <is>
          <t>Ground</t>
        </is>
      </c>
      <c r="AD247" t="inlineStr"/>
      <c r="AE247" t="n">
        <v>5</v>
      </c>
      <c r="AF247" t="inlineStr">
        <is>
          <t>Large</t>
        </is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n">
        <v>300</v>
      </c>
      <c r="AO247" t="n">
        <v>0</v>
      </c>
      <c r="AP247" t="inlineStr">
        <is>
          <t>T4</t>
        </is>
      </c>
      <c r="AQ247" t="inlineStr">
        <is>
          <t>p26_jotunn_jo_rockets</t>
        </is>
      </c>
      <c r="AR247" t="inlineStr"/>
      <c r="AS247" t="inlineStr">
        <is>
          <t>boss</t>
        </is>
      </c>
      <c r="AT247" t="inlineStr">
        <is>
          <t>fenrir;mobile_fortress</t>
        </is>
      </c>
      <c r="AU247" t="n">
        <v>2</v>
      </c>
      <c r="AV247" t="inlineStr">
        <is>
          <t>fenrir:0;fenrir:1;mobile_fortress:1;mobile_fortress:2</t>
        </is>
      </c>
      <c r="AW247" t="n">
        <v>2.5</v>
      </c>
      <c r="AX247" t="b">
        <v>1</v>
      </c>
      <c r="AY247" t="inlineStr"/>
      <c r="AZ247">
        <f>IF(AND($AX$247,$AW$247&gt;$AA$247/$Z$247),$AW$247,$AA$247/$Z$247)</f>
        <v/>
      </c>
      <c r="BA247" t="n">
        <v>2.5</v>
      </c>
      <c r="BB247" t="n">
        <v>19</v>
      </c>
      <c r="BC247" t="inlineStr"/>
      <c r="BD247" t="inlineStr">
        <is>
          <t>rocket</t>
        </is>
      </c>
      <c r="BE247" t="inlineStr">
        <is>
          <t>Wikipedia 'BM-30 Smerch': 12 rockets in 38 s</t>
        </is>
      </c>
      <c r="BF247" t="inlineStr">
        <is>
          <t>real BM-30 Smerch 12 rockets in 38 s (3.17 s apart), wave 1 rockets_300mm's 15.76 s after the ripple</t>
        </is>
      </c>
      <c r="BG247" t="inlineStr">
        <is>
          <t>doi</t>
        </is>
      </c>
      <c r="BH247" t="n">
        <v>130</v>
      </c>
      <c r="BI247" t="n">
        <v>450</v>
      </c>
      <c r="BJ247" t="n">
        <v>4</v>
      </c>
      <c r="BK247" t="n">
        <v>15.76</v>
      </c>
      <c r="BN247" t="n">
        <v>5</v>
      </c>
      <c r="BO247" t="n">
        <v>8</v>
      </c>
      <c r="BP247" t="n">
        <v>10</v>
      </c>
      <c r="BQ247" t="n">
        <v>16</v>
      </c>
      <c r="BR247" t="n">
        <v>45</v>
      </c>
      <c r="BS247" t="n">
        <v>120</v>
      </c>
      <c r="BV247" t="n">
        <v>0.3</v>
      </c>
      <c r="BW247" t="n">
        <v>3.17</v>
      </c>
      <c r="CS247" t="n">
        <v>3.17</v>
      </c>
      <c r="DD247" t="n">
        <v>15.76</v>
      </c>
      <c r="DE247" t="n">
        <v>450</v>
      </c>
      <c r="DG247" t="n">
        <v>16</v>
      </c>
      <c r="DO247" t="n">
        <v>12</v>
      </c>
      <c r="DS247" t="inlineStr">
        <is>
          <t>Large</t>
        </is>
      </c>
      <c r="DT247" t="inlineStr">
        <is>
          <t>p26_jotunn_jo_rockets</t>
        </is>
      </c>
      <c r="EY247" t="n">
        <v>8</v>
      </c>
      <c r="GD247" t="inlineStr">
        <is>
          <t>Assets/MachineBrigade/Resources/Data/balance.json: weapons[163]</t>
        </is>
      </c>
      <c r="GE247" t="inlineStr">
        <is>
          <t>{"id":"p26_jotunn_sec_jo_rockets","groundMinReach":12,"inherits":"p26_jotunn_jo_rockets","burstInterval":3.17,"edge":16,"splash":8,"cooldown":15.76,"damage":450,"impactTier":"Large"}</t>
        </is>
      </c>
    </row>
    <row r="248">
      <c r="A248" t="inlineStr">
        <is>
          <t>p26_jotunn_tiny_twin_30_flak</t>
        </is>
      </c>
      <c r="B248" t="inlineStr">
        <is>
          <t>2A38 30 mm (twin)</t>
        </is>
      </c>
      <c r="C248" t="inlineStr">
        <is>
          <t>cal_30</t>
        </is>
      </c>
      <c r="D248" t="inlineStr">
        <is>
          <t>flak</t>
        </is>
      </c>
      <c r="E248" t="inlineStr"/>
      <c r="F248" t="inlineStr">
        <is>
          <t>autocannon</t>
        </is>
      </c>
      <c r="G248" t="n">
        <v>30</v>
      </c>
      <c r="H248" t="inlineStr"/>
      <c r="I248" t="inlineStr"/>
      <c r="J248" t="inlineStr"/>
      <c r="K248" t="inlineStr">
        <is>
          <t>Fragmentation</t>
        </is>
      </c>
      <c r="L248" t="n">
        <v>2</v>
      </c>
      <c r="M248" t="inlineStr">
        <is>
          <t>Bullet</t>
        </is>
      </c>
      <c r="N248" t="n">
        <v>1</v>
      </c>
      <c r="O248" t="inlineStr">
        <is>
          <t>RIPPLE</t>
        </is>
      </c>
      <c r="P248" t="n">
        <v>1</v>
      </c>
      <c r="Q248" t="n">
        <v>0.1</v>
      </c>
      <c r="R248" t="n">
        <v>0.025</v>
      </c>
      <c r="S248" t="n">
        <v>160</v>
      </c>
      <c r="T248" t="n">
        <v>3</v>
      </c>
      <c r="U248" t="n">
        <v>0</v>
      </c>
      <c r="V248" t="n">
        <v>0</v>
      </c>
      <c r="W248" t="n">
        <v>22</v>
      </c>
      <c r="X248" t="n">
        <v>2.5</v>
      </c>
      <c r="Y248" t="n">
        <v>0</v>
      </c>
      <c r="Z248" t="n">
        <v>280</v>
      </c>
      <c r="AA248" t="n">
        <v>42</v>
      </c>
      <c r="AB248" t="n">
        <v>0</v>
      </c>
      <c r="AC248" t="inlineStr">
        <is>
          <t>All</t>
        </is>
      </c>
      <c r="AD248" t="inlineStr"/>
      <c r="AE248" t="n">
        <v>1.4</v>
      </c>
      <c r="AF248" t="inlineStr">
        <is>
          <t>Small</t>
        </is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n">
        <v>30</v>
      </c>
      <c r="AO248" t="n">
        <v>0</v>
      </c>
      <c r="AP248" t="inlineStr">
        <is>
          <t>T1</t>
        </is>
      </c>
      <c r="AQ248" t="inlineStr">
        <is>
          <t>twin_30_flak</t>
        </is>
      </c>
      <c r="AR248" t="inlineStr"/>
      <c r="AS248" t="inlineStr">
        <is>
          <t>boss</t>
        </is>
      </c>
      <c r="AT248" t="inlineStr">
        <is>
          <t>mobile_fortress</t>
        </is>
      </c>
      <c r="AU248" t="n">
        <v>1</v>
      </c>
      <c r="AV248" t="inlineStr">
        <is>
          <t>mobile_fortress:6</t>
        </is>
      </c>
      <c r="AW248" t="n">
        <v>0</v>
      </c>
      <c r="AX248" t="b">
        <v>0</v>
      </c>
      <c r="AY248" t="inlineStr"/>
      <c r="AZ248">
        <f>IF(AND($AX$248,$AW$248&gt;$AA$248/$Z$248),$AW$248,$AA$248/$Z$248)</f>
        <v/>
      </c>
      <c r="BA248" t="n">
        <v>0.15</v>
      </c>
      <c r="BB248" t="n">
        <v>2500</v>
      </c>
      <c r="BC248" t="n">
        <v>1000</v>
      </c>
      <c r="BD248" t="inlineStr">
        <is>
          <t>aa</t>
        </is>
      </c>
      <c r="BE248" t="inlineStr">
        <is>
          <t>Wikipedia '2A38': 4,060-5,000 rpm the twin mount</t>
        </is>
      </c>
      <c r="BF248" t="inlineStr">
        <is>
          <t>wave 1 twin_30_flak: 160 rounds at 2,400 rpm, changed in 3 s (2A38M 4,060-5,000 rpm the pair)</t>
        </is>
      </c>
      <c r="BG248" t="inlineStr">
        <is>
          <t>doi</t>
        </is>
      </c>
      <c r="BH248" t="n">
        <v>1.5</v>
      </c>
      <c r="BI248" t="n">
        <v>22</v>
      </c>
      <c r="CH248" t="n">
        <v>3.025</v>
      </c>
      <c r="CI248" t="n">
        <v>3</v>
      </c>
      <c r="CX248" t="n">
        <v>3</v>
      </c>
      <c r="DE248" t="n">
        <v>22</v>
      </c>
      <c r="DT248" t="inlineStr">
        <is>
          <t>twin_30_flak</t>
        </is>
      </c>
      <c r="GA248" t="inlineStr"/>
      <c r="GD248" t="inlineStr">
        <is>
          <t>Assets/MachineBrigade/Resources/Data/balance.json: weapons[166]</t>
        </is>
      </c>
      <c r="GE248" t="inlineStr">
        <is>
          <t>{"id":"p26_jotunn_tiny_twin_30_flak","inherits":"twin_30_flak","clipReload":3,"weaponFamily":"","damage":22}</t>
        </is>
      </c>
    </row>
    <row r="249">
      <c r="A249" t="inlineStr">
        <is>
          <t>p26_leviathan_direct_lev127</t>
        </is>
      </c>
      <c r="B249" t="inlineStr">
        <is>
          <t>AK-127 127 mm</t>
        </is>
      </c>
      <c r="C249" t="inlineStr">
        <is>
          <t>cal_127_130</t>
        </is>
      </c>
      <c r="D249" t="inlineStr">
        <is>
          <t>ap</t>
        </is>
      </c>
      <c r="E249" t="inlineStr"/>
      <c r="F249" t="inlineStr">
        <is>
          <t>howitzer</t>
        </is>
      </c>
      <c r="G249" t="n">
        <v>127</v>
      </c>
      <c r="H249" t="inlineStr"/>
      <c r="I249" t="inlineStr"/>
      <c r="J249" t="inlineStr"/>
      <c r="K249" t="inlineStr">
        <is>
          <t>Kinetic</t>
        </is>
      </c>
      <c r="L249" t="n">
        <v>5</v>
      </c>
      <c r="M249" t="inlineStr">
        <is>
          <t>Shell</t>
        </is>
      </c>
      <c r="N249" t="n">
        <v>1</v>
      </c>
      <c r="O249" t="inlineStr">
        <is>
          <t>RIPPLE</t>
        </is>
      </c>
      <c r="P249" t="n">
        <v>1</v>
      </c>
      <c r="Q249" t="n">
        <v>0.5</v>
      </c>
      <c r="R249" t="n">
        <v>3</v>
      </c>
      <c r="S249" t="n">
        <v>0</v>
      </c>
      <c r="T249" t="n">
        <v>0</v>
      </c>
      <c r="U249" t="n">
        <v>0</v>
      </c>
      <c r="V249" t="n">
        <v>0</v>
      </c>
      <c r="W249" t="n">
        <v>380</v>
      </c>
      <c r="X249" t="n">
        <v>0</v>
      </c>
      <c r="Y249" t="n">
        <v>0</v>
      </c>
      <c r="Z249" t="n">
        <v>110</v>
      </c>
      <c r="AA249" t="n">
        <v>90</v>
      </c>
      <c r="AB249" t="n">
        <v>0</v>
      </c>
      <c r="AC249" t="inlineStr">
        <is>
          <t>Ground</t>
        </is>
      </c>
      <c r="AD249" t="inlineStr"/>
      <c r="AE249" t="n">
        <v>2.2</v>
      </c>
      <c r="AF249" t="inlineStr">
        <is>
          <t>Large</t>
        </is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n">
        <v>127</v>
      </c>
      <c r="AO249" t="n">
        <v>0</v>
      </c>
      <c r="AP249" t="inlineStr">
        <is>
          <t>T3</t>
        </is>
      </c>
      <c r="AQ249" t="inlineStr">
        <is>
          <t>p26_leviathan_lev127</t>
        </is>
      </c>
      <c r="AR249" t="inlineStr"/>
      <c r="AS249" t="inlineStr">
        <is>
          <t>boss</t>
        </is>
      </c>
      <c r="AT249" t="inlineStr">
        <is>
          <t>kraken;leviathan;nyx;scylla</t>
        </is>
      </c>
      <c r="AU249" t="n">
        <v>4</v>
      </c>
      <c r="AV249" t="inlineStr">
        <is>
          <t>kraken:5;kraken:6;leviathan:5;leviathan:6;nyx:1;nyx:2;scylla:1</t>
        </is>
      </c>
      <c r="AW249" t="n">
        <v>0</v>
      </c>
      <c r="AX249" t="b">
        <v>0</v>
      </c>
      <c r="AY249" t="inlineStr"/>
      <c r="AZ249">
        <f>IF(AND($AX$249,$AW$249&gt;$AA$249/$Z$249),$AW$249,$AA$249/$Z$249)</f>
        <v/>
      </c>
      <c r="BA249" t="n">
        <v>0.8181818181818182</v>
      </c>
      <c r="BB249" t="n">
        <v>30</v>
      </c>
      <c r="BC249" t="n">
        <v>20</v>
      </c>
      <c r="BD249" t="inlineStr">
        <is>
          <t>gun</t>
        </is>
      </c>
      <c r="BE249" t="inlineStr">
        <is>
          <t>the A-192 'Armat' 130 mm class, 30 rpm (Wikipedia 'A-192')</t>
        </is>
      </c>
      <c r="BF249" t="inlineStr">
        <is>
          <t>an A-192 class 130 mm, 30 rpm max: 20 rpm practical (3 s)</t>
        </is>
      </c>
      <c r="BG249" t="inlineStr">
        <is>
          <t>doi</t>
        </is>
      </c>
      <c r="BH249" t="n">
        <v>335</v>
      </c>
      <c r="BI249" t="n">
        <v>380</v>
      </c>
      <c r="BJ249" t="n">
        <v>4.5</v>
      </c>
      <c r="BK249" t="n">
        <v>3</v>
      </c>
      <c r="DD249" t="n">
        <v>3</v>
      </c>
      <c r="DE249" t="n">
        <v>380</v>
      </c>
      <c r="DO249" t="n">
        <v>23</v>
      </c>
      <c r="DT249" t="inlineStr">
        <is>
          <t>p26_leviathan_lev127</t>
        </is>
      </c>
      <c r="GD249" t="inlineStr">
        <is>
          <t>Assets/MachineBrigade/Resources/Data/balance.json: weapons[176]</t>
        </is>
      </c>
      <c r="GE249" t="inlineStr">
        <is>
          <t>{"id":"p26_leviathan_direct_lev127","groundMinReach":23,"inherits":"p26_leviathan_lev127","cooldown":3,"damage":380}</t>
        </is>
      </c>
    </row>
    <row r="250">
      <c r="A250" t="inlineStr">
        <is>
          <t>p26_leviathan_lev127</t>
        </is>
      </c>
      <c r="B250" t="inlineStr">
        <is>
          <t>AK-127 127 mm</t>
        </is>
      </c>
      <c r="C250" t="inlineStr">
        <is>
          <t>cal_127_130</t>
        </is>
      </c>
      <c r="D250" t="inlineStr">
        <is>
          <t>ap</t>
        </is>
      </c>
      <c r="E250" t="inlineStr"/>
      <c r="F250" t="inlineStr">
        <is>
          <t>howitzer</t>
        </is>
      </c>
      <c r="G250" t="n">
        <v>127</v>
      </c>
      <c r="H250" t="inlineStr"/>
      <c r="I250" t="inlineStr"/>
      <c r="J250" t="inlineStr"/>
      <c r="K250" t="inlineStr">
        <is>
          <t>Kinetic</t>
        </is>
      </c>
      <c r="L250" t="n">
        <v>5</v>
      </c>
      <c r="M250" t="inlineStr">
        <is>
          <t>Shell</t>
        </is>
      </c>
      <c r="N250" t="n">
        <v>1</v>
      </c>
      <c r="O250" t="inlineStr">
        <is>
          <t>RIPPLE</t>
        </is>
      </c>
      <c r="P250" t="n">
        <v>1</v>
      </c>
      <c r="Q250" t="n">
        <v>0.5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320</v>
      </c>
      <c r="X250" t="n">
        <v>0</v>
      </c>
      <c r="Y250" t="n">
        <v>0</v>
      </c>
      <c r="Z250" t="n">
        <v>110</v>
      </c>
      <c r="AA250" t="n">
        <v>90</v>
      </c>
      <c r="AB250" t="n">
        <v>0</v>
      </c>
      <c r="AC250" t="inlineStr">
        <is>
          <t>Ground</t>
        </is>
      </c>
      <c r="AD250" t="inlineStr"/>
      <c r="AE250" t="n">
        <v>2.2</v>
      </c>
      <c r="AF250" t="inlineStr">
        <is>
          <t>Large</t>
        </is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n">
        <v>127</v>
      </c>
      <c r="AO250" t="n">
        <v>0</v>
      </c>
      <c r="AP250" t="inlineStr">
        <is>
          <t>T3</t>
        </is>
      </c>
      <c r="AQ250" t="inlineStr">
        <is>
          <t>naval_100</t>
        </is>
      </c>
      <c r="AR250" t="inlineStr"/>
      <c r="AS250" t="inlineStr"/>
      <c r="AT250" t="inlineStr"/>
      <c r="AU250" t="n">
        <v>0</v>
      </c>
      <c r="AV250" t="inlineStr"/>
      <c r="AW250" t="n">
        <v>0</v>
      </c>
      <c r="AX250" t="b">
        <v>0</v>
      </c>
      <c r="AY250" t="inlineStr"/>
      <c r="AZ250">
        <f>IF(AND($AX$250,$AW$250&gt;$AA$250/$Z$250),$AW$250,$AA$250/$Z$250)</f>
        <v/>
      </c>
      <c r="BA250" t="n">
        <v>0.8181818181818182</v>
      </c>
      <c r="BB250" t="n">
        <v>30</v>
      </c>
      <c r="BC250" t="n">
        <v>20</v>
      </c>
      <c r="BD250" t="inlineStr">
        <is>
          <t>gun</t>
        </is>
      </c>
      <c r="BE250" t="inlineStr">
        <is>
          <t>the A-192 'Armat' 130 mm class, 30 rpm (Wikipedia 'A-192')</t>
        </is>
      </c>
      <c r="BG250" t="inlineStr">
        <is>
          <t>giong</t>
        </is>
      </c>
      <c r="CR250" t="n">
        <v>1</v>
      </c>
      <c r="CT250" t="n">
        <v>127</v>
      </c>
      <c r="DD250" t="n">
        <v>2</v>
      </c>
      <c r="DE250" t="n">
        <v>320</v>
      </c>
      <c r="DF250" t="inlineStr">
        <is>
          <t>Kinetic</t>
        </is>
      </c>
      <c r="DT250" t="inlineStr">
        <is>
          <t>naval_100</t>
        </is>
      </c>
      <c r="EB250" t="n">
        <v>5</v>
      </c>
      <c r="EQ250" t="inlineStr">
        <is>
          <t>AK-127 127 mm</t>
        </is>
      </c>
      <c r="EX250" t="n">
        <v>127</v>
      </c>
      <c r="EY250" t="n">
        <v>0</v>
      </c>
      <c r="GA250" t="inlineStr"/>
      <c r="GB250" t="inlineStr">
        <is>
          <t>cal_127_130</t>
        </is>
      </c>
      <c r="GC250" t="inlineStr">
        <is>
          <t>ap</t>
        </is>
      </c>
      <c r="GD250" t="inlineStr">
        <is>
          <t>Assets/MachineBrigade/Resources/Data/balance.json: weapons[174]</t>
        </is>
      </c>
      <c r="GE250" t="inlineStr">
        <is>
          <t>{"id":"p26_leviathan_lev127","inherits":"naval_100","weaponFamilyId":"cal_127_130","weaponVariantId":"ap","weaponFamily":"","real":"AK-127 127 mm","size":127,"caliberMm":127,"damageType":"Kinetic","damage":320,"burst":1,"cooldown":2,"pen":5,"splash":0}</t>
        </is>
      </c>
    </row>
    <row r="251">
      <c r="A251" t="inlineStr">
        <is>
          <t>p26_leviathan_lev155</t>
        </is>
      </c>
      <c r="B251" t="inlineStr">
        <is>
          <t>155 mm/60 (triple)</t>
        </is>
      </c>
      <c r="C251" t="inlineStr">
        <is>
          <t>cal_152_155</t>
        </is>
      </c>
      <c r="D251" t="inlineStr"/>
      <c r="E251" t="inlineStr"/>
      <c r="F251" t="inlineStr">
        <is>
          <t>howitzer</t>
        </is>
      </c>
      <c r="G251" t="n">
        <v>155</v>
      </c>
      <c r="H251" t="inlineStr"/>
      <c r="I251" t="inlineStr"/>
      <c r="J251" t="inlineStr"/>
      <c r="K251" t="inlineStr">
        <is>
          <t>HighExplosive</t>
        </is>
      </c>
      <c r="L251" t="n">
        <v>3</v>
      </c>
      <c r="M251" t="inlineStr">
        <is>
          <t>Shell</t>
        </is>
      </c>
      <c r="N251" t="n">
        <v>1</v>
      </c>
      <c r="O251" t="inlineStr">
        <is>
          <t>RIPPLE</t>
        </is>
      </c>
      <c r="P251" t="n">
        <v>3</v>
      </c>
      <c r="Q251" t="n">
        <v>0.25</v>
      </c>
      <c r="R251" t="n">
        <v>4.5</v>
      </c>
      <c r="S251" t="n">
        <v>0</v>
      </c>
      <c r="T251" t="n">
        <v>0</v>
      </c>
      <c r="U251" t="n">
        <v>0</v>
      </c>
      <c r="V251" t="n">
        <v>0</v>
      </c>
      <c r="W251" t="n">
        <v>170</v>
      </c>
      <c r="X251" t="n">
        <v>8.5</v>
      </c>
      <c r="Y251" t="n">
        <v>17</v>
      </c>
      <c r="Z251" t="n">
        <v>110</v>
      </c>
      <c r="AA251" t="n">
        <v>110</v>
      </c>
      <c r="AB251" t="n">
        <v>0</v>
      </c>
      <c r="AC251" t="inlineStr">
        <is>
          <t>Ground</t>
        </is>
      </c>
      <c r="AD251" t="inlineStr"/>
      <c r="AE251" t="n">
        <v>2.4</v>
      </c>
      <c r="AF251" t="inlineStr">
        <is>
          <t>Large</t>
        </is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n">
        <v>155</v>
      </c>
      <c r="AO251" t="n">
        <v>0</v>
      </c>
      <c r="AP251" t="inlineStr">
        <is>
          <t>T3</t>
        </is>
      </c>
      <c r="AQ251" t="inlineStr">
        <is>
          <t>naval_155_triple</t>
        </is>
      </c>
      <c r="AR251" t="inlineStr"/>
      <c r="AS251" t="inlineStr"/>
      <c r="AT251" t="inlineStr"/>
      <c r="AU251" t="n">
        <v>0</v>
      </c>
      <c r="AV251" t="inlineStr"/>
      <c r="AW251" t="n">
        <v>0</v>
      </c>
      <c r="AX251" t="b">
        <v>0</v>
      </c>
      <c r="AY251" t="inlineStr"/>
      <c r="AZ251">
        <f>IF(AND($AX$251,$AW$251&gt;$AA$251/$Z$251),$AW$251,$AA$251/$Z$251)</f>
        <v/>
      </c>
      <c r="BA251" t="n">
        <v>1</v>
      </c>
      <c r="BB251" t="n">
        <v>5</v>
      </c>
      <c r="BC251" t="n">
        <v>4</v>
      </c>
      <c r="BD251" t="inlineStr">
        <is>
          <t>gun</t>
        </is>
      </c>
      <c r="BE251" t="inlineStr">
        <is>
          <t>Wikipedia '15.5 cm/60 3rd Year Type' (Mogami): ~5 rpm a gun</t>
        </is>
      </c>
      <c r="BG251" t="inlineStr">
        <is>
          <t>giong</t>
        </is>
      </c>
      <c r="CR251" t="n">
        <v>3</v>
      </c>
      <c r="CS251" t="n">
        <v>0.25</v>
      </c>
      <c r="DD251" t="n">
        <v>4.5</v>
      </c>
      <c r="DE251" t="n">
        <v>170</v>
      </c>
      <c r="DG251" t="n">
        <v>17</v>
      </c>
      <c r="DT251" t="inlineStr">
        <is>
          <t>naval_155_triple</t>
        </is>
      </c>
      <c r="EQ251" t="inlineStr">
        <is>
          <t>155 mm/60 (triple)</t>
        </is>
      </c>
      <c r="EY251" t="n">
        <v>8.5</v>
      </c>
      <c r="GA251" t="inlineStr"/>
      <c r="GD251" t="inlineStr">
        <is>
          <t>Assets/MachineBrigade/Resources/Data/balance.json: weapons[173]</t>
        </is>
      </c>
      <c r="GE251" t="inlineStr">
        <is>
          <t>{"id":"p26_leviathan_lev155","inherits":"naval_155_triple","weaponFamily":"","real":"155 mm/60 (triple)","damage":170,"burst":3,"burstInterval":0.25,"cooldown":4.5,"splash":8.5,"edge":17}</t>
        </is>
      </c>
    </row>
    <row r="252">
      <c r="A252" t="inlineStr">
        <is>
          <t>p26_leviathan_lev406</t>
        </is>
      </c>
      <c r="B252" t="inlineStr">
        <is>
          <t>Mk 7 406 mm/50 (Iowa, triple)</t>
        </is>
      </c>
      <c r="C252" t="inlineStr">
        <is>
          <t>cal_406</t>
        </is>
      </c>
      <c r="D252" t="inlineStr"/>
      <c r="E252" t="inlineStr"/>
      <c r="F252" t="inlineStr">
        <is>
          <t>howitzer</t>
        </is>
      </c>
      <c r="G252" t="n">
        <v>406</v>
      </c>
      <c r="H252" t="inlineStr"/>
      <c r="I252" t="inlineStr"/>
      <c r="J252" t="inlineStr"/>
      <c r="K252" t="inlineStr">
        <is>
          <t>HighExplosive</t>
        </is>
      </c>
      <c r="L252" t="n">
        <v>4</v>
      </c>
      <c r="M252" t="inlineStr">
        <is>
          <t>Shell</t>
        </is>
      </c>
      <c r="N252" t="n">
        <v>3</v>
      </c>
      <c r="O252" t="inlineStr">
        <is>
          <t>SIMULTANEOUS</t>
        </is>
      </c>
      <c r="P252" t="n">
        <v>1</v>
      </c>
      <c r="Q252" t="n">
        <v>0.1</v>
      </c>
      <c r="R252" t="n">
        <v>60</v>
      </c>
      <c r="S252" t="n">
        <v>0</v>
      </c>
      <c r="T252" t="n">
        <v>0</v>
      </c>
      <c r="U252" t="n">
        <v>0</v>
      </c>
      <c r="V252" t="n">
        <v>0</v>
      </c>
      <c r="W252" t="n">
        <v>2400</v>
      </c>
      <c r="X252" t="n">
        <v>14</v>
      </c>
      <c r="Y252" t="n">
        <v>24</v>
      </c>
      <c r="Z252" t="n">
        <v>200</v>
      </c>
      <c r="AA252" t="n">
        <v>160</v>
      </c>
      <c r="AB252" t="n">
        <v>0</v>
      </c>
      <c r="AC252" t="inlineStr">
        <is>
          <t>Ground</t>
        </is>
      </c>
      <c r="AD252" t="inlineStr"/>
      <c r="AE252" t="n">
        <v>3</v>
      </c>
      <c r="AF252" t="inlineStr">
        <is>
          <t>Ultimate</t>
        </is>
      </c>
      <c r="AG252" t="b">
        <v>0</v>
      </c>
      <c r="AH252" t="b">
        <v>0</v>
      </c>
      <c r="AI252" t="b">
        <v>0</v>
      </c>
      <c r="AJ252" t="b">
        <v>0</v>
      </c>
      <c r="AK252" t="b">
        <v>1</v>
      </c>
      <c r="AL252" t="b">
        <v>0</v>
      </c>
      <c r="AM252" t="b">
        <v>0</v>
      </c>
      <c r="AN252" t="n">
        <v>406</v>
      </c>
      <c r="AO252" t="n">
        <v>0</v>
      </c>
      <c r="AP252" t="inlineStr">
        <is>
          <t>T5</t>
        </is>
      </c>
      <c r="AQ252" t="inlineStr">
        <is>
          <t>leviathan_460</t>
        </is>
      </c>
      <c r="AR252" t="inlineStr"/>
      <c r="AS252" t="inlineStr">
        <is>
          <t>boss</t>
        </is>
      </c>
      <c r="AT252" t="inlineStr">
        <is>
          <t>kraken;leviathan</t>
        </is>
      </c>
      <c r="AU252" t="n">
        <v>2</v>
      </c>
      <c r="AV252" t="inlineStr">
        <is>
          <t>kraken:0;kraken:1;kraken:2;leviathan:0;leviathan:1;leviathan:2</t>
        </is>
      </c>
      <c r="AW252" t="n">
        <v>3.611111111111111</v>
      </c>
      <c r="AX252" t="b">
        <v>0</v>
      </c>
      <c r="AY252" t="inlineStr"/>
      <c r="AZ252">
        <f>IF(AND($AX$252,$AW$252&gt;$AA$252/$Z$252),$AW$252,$AA$252/$Z$252)</f>
        <v/>
      </c>
      <c r="BA252" t="n">
        <v>0.8</v>
      </c>
      <c r="BB252" t="n">
        <v>2</v>
      </c>
      <c r="BC252" t="n">
        <v>2</v>
      </c>
      <c r="BD252" t="inlineStr">
        <is>
          <t>gun</t>
        </is>
      </c>
      <c r="BE252" t="inlineStr">
        <is>
          <t>Wikipedia '16"/50 caliber Mark 7': 2 rpm a gun</t>
        </is>
      </c>
      <c r="BF252" t="inlineStr">
        <is>
          <t>the 406 mm salvo every 60 s</t>
        </is>
      </c>
      <c r="BG252" t="inlineStr">
        <is>
          <t>doi</t>
        </is>
      </c>
      <c r="BH252" t="n">
        <v>1200</v>
      </c>
      <c r="BI252" t="n">
        <v>2400</v>
      </c>
      <c r="BJ252" t="n">
        <v>10</v>
      </c>
      <c r="BK252" t="n">
        <v>60</v>
      </c>
      <c r="BN252" t="n">
        <v>12</v>
      </c>
      <c r="BO252" t="n">
        <v>14</v>
      </c>
      <c r="BP252" t="n">
        <v>20</v>
      </c>
      <c r="BQ252" t="n">
        <v>24</v>
      </c>
      <c r="BR252" t="n">
        <v>60</v>
      </c>
      <c r="BS252" t="n">
        <v>200</v>
      </c>
      <c r="BX252" t="n">
        <v>1</v>
      </c>
      <c r="BY252" t="n">
        <v>3</v>
      </c>
      <c r="BZ252" t="inlineStr">
        <is>
          <t>RIPPLE</t>
        </is>
      </c>
      <c r="CA252" t="inlineStr">
        <is>
          <t>SIMULTANEOUS</t>
        </is>
      </c>
      <c r="CO252" t="n">
        <v>3</v>
      </c>
      <c r="CT252" t="n">
        <v>406</v>
      </c>
      <c r="DD252" t="n">
        <v>60</v>
      </c>
      <c r="DE252" t="n">
        <v>2400</v>
      </c>
      <c r="DG252" t="n">
        <v>24</v>
      </c>
      <c r="DO252" t="n">
        <v>72</v>
      </c>
      <c r="DT252" t="inlineStr">
        <is>
          <t>leviathan_460</t>
        </is>
      </c>
      <c r="EQ252" t="inlineStr">
        <is>
          <t>Mk 7 406 mm/50 (Iowa, triple)</t>
        </is>
      </c>
      <c r="EW252" t="inlineStr">
        <is>
          <t>SIMULTANEOUS</t>
        </is>
      </c>
      <c r="EX252" t="n">
        <v>406</v>
      </c>
      <c r="EY252" t="n">
        <v>14</v>
      </c>
      <c r="GA252" t="inlineStr"/>
      <c r="GD252" t="inlineStr">
        <is>
          <t>Assets/MachineBrigade/Resources/Data/balance.json: weapons[167]</t>
        </is>
      </c>
      <c r="GE252" t="inlineStr">
        <is>
          <t>{"id":"p26_leviathan_lev406","groundMinReach":72,"inherits":"leviathan_460","salvoMode":"SIMULTANEOUS","barrels":3,"weaponFamily":"","real":"Mk 7 406 mm/50 (Iowa, triple)","size":406,"caliberMm":406,"damage":2400,"cooldown":60,"splash":14,"edge":24}</t>
        </is>
      </c>
    </row>
    <row r="253">
      <c r="A253" t="inlineStr">
        <is>
          <t>p26_leviathan_sec_lev155</t>
        </is>
      </c>
      <c r="B253" t="inlineStr">
        <is>
          <t>155 mm/60 (triple)</t>
        </is>
      </c>
      <c r="C253" t="inlineStr">
        <is>
          <t>cal_152_155</t>
        </is>
      </c>
      <c r="D253" t="inlineStr"/>
      <c r="E253" t="inlineStr"/>
      <c r="F253" t="inlineStr">
        <is>
          <t>howitzer</t>
        </is>
      </c>
      <c r="G253" t="n">
        <v>155</v>
      </c>
      <c r="H253" t="inlineStr"/>
      <c r="I253" t="inlineStr"/>
      <c r="J253" t="inlineStr"/>
      <c r="K253" t="inlineStr">
        <is>
          <t>HighExplosive</t>
        </is>
      </c>
      <c r="L253" t="n">
        <v>3</v>
      </c>
      <c r="M253" t="inlineStr">
        <is>
          <t>Shell</t>
        </is>
      </c>
      <c r="N253" t="n">
        <v>3</v>
      </c>
      <c r="O253" t="inlineStr">
        <is>
          <t>SIMULTANEOUS</t>
        </is>
      </c>
      <c r="P253" t="n">
        <v>1</v>
      </c>
      <c r="Q253" t="n">
        <v>0.25</v>
      </c>
      <c r="R253" t="n">
        <v>10.5</v>
      </c>
      <c r="S253" t="n">
        <v>0</v>
      </c>
      <c r="T253" t="n">
        <v>0</v>
      </c>
      <c r="U253" t="n">
        <v>0</v>
      </c>
      <c r="V253" t="n">
        <v>0</v>
      </c>
      <c r="W253" t="n">
        <v>600</v>
      </c>
      <c r="X253" t="n">
        <v>7</v>
      </c>
      <c r="Y253" t="n">
        <v>14</v>
      </c>
      <c r="Z253" t="n">
        <v>150</v>
      </c>
      <c r="AA253" t="n">
        <v>110</v>
      </c>
      <c r="AB253" t="n">
        <v>0</v>
      </c>
      <c r="AC253" t="inlineStr">
        <is>
          <t>Ground</t>
        </is>
      </c>
      <c r="AD253" t="inlineStr"/>
      <c r="AE253" t="n">
        <v>2.4</v>
      </c>
      <c r="AF253" t="inlineStr">
        <is>
          <t>Large</t>
        </is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n">
        <v>155</v>
      </c>
      <c r="AO253" t="n">
        <v>0</v>
      </c>
      <c r="AP253" t="inlineStr">
        <is>
          <t>T3</t>
        </is>
      </c>
      <c r="AQ253" t="inlineStr">
        <is>
          <t>p26_leviathan_lev155</t>
        </is>
      </c>
      <c r="AR253" t="inlineStr"/>
      <c r="AS253" t="inlineStr">
        <is>
          <t>boss</t>
        </is>
      </c>
      <c r="AT253" t="inlineStr">
        <is>
          <t>kraken;leviathan</t>
        </is>
      </c>
      <c r="AU253" t="n">
        <v>2</v>
      </c>
      <c r="AV253" t="inlineStr">
        <is>
          <t>kraken:3;kraken:4;leviathan:3;leviathan:4</t>
        </is>
      </c>
      <c r="AW253" t="n">
        <v>0</v>
      </c>
      <c r="AX253" t="b">
        <v>0</v>
      </c>
      <c r="AY253" t="inlineStr"/>
      <c r="AZ253">
        <f>IF(AND($AX$253,$AW$253&gt;$AA$253/$Z$253),$AW$253,$AA$253/$Z$253)</f>
        <v/>
      </c>
      <c r="BA253" t="n">
        <v>0.7333333333333333</v>
      </c>
      <c r="BB253" t="n">
        <v>5</v>
      </c>
      <c r="BC253" t="n">
        <v>4</v>
      </c>
      <c r="BD253" t="inlineStr">
        <is>
          <t>gun</t>
        </is>
      </c>
      <c r="BE253" t="inlineStr">
        <is>
          <t>Wikipedia '15.5 cm/60 3rd Year Type' (Mogami): ~5 rpm a gun</t>
        </is>
      </c>
      <c r="BF253" t="inlineStr">
        <is>
          <t>wave 1 naval_155_triple: the triple turret, 3 rounds every 10.5 s (real ~5 rpm a gun): passes (b)</t>
        </is>
      </c>
      <c r="BG253" t="inlineStr">
        <is>
          <t>doi</t>
        </is>
      </c>
      <c r="BH253" t="n">
        <v>175</v>
      </c>
      <c r="BI253" t="n">
        <v>600</v>
      </c>
      <c r="BJ253" t="n">
        <v>3.5</v>
      </c>
      <c r="BK253" t="n">
        <v>10.5</v>
      </c>
      <c r="BN253" t="n">
        <v>8.5</v>
      </c>
      <c r="BO253" t="n">
        <v>7</v>
      </c>
      <c r="BP253" t="n">
        <v>17</v>
      </c>
      <c r="BQ253" t="n">
        <v>14</v>
      </c>
      <c r="BR253" t="n">
        <v>110</v>
      </c>
      <c r="BS253" t="n">
        <v>150</v>
      </c>
      <c r="BT253" t="n">
        <v>3</v>
      </c>
      <c r="BU253" t="n">
        <v>1</v>
      </c>
      <c r="BX253" t="n">
        <v>1</v>
      </c>
      <c r="BY253" t="n">
        <v>3</v>
      </c>
      <c r="BZ253" t="inlineStr">
        <is>
          <t>RIPPLE</t>
        </is>
      </c>
      <c r="CA253" t="inlineStr">
        <is>
          <t>SIMULTANEOUS</t>
        </is>
      </c>
      <c r="CO253" t="n">
        <v>3</v>
      </c>
      <c r="CR253" t="n">
        <v>1</v>
      </c>
      <c r="DD253" t="n">
        <v>10.5</v>
      </c>
      <c r="DE253" t="n">
        <v>600</v>
      </c>
      <c r="DG253" t="n">
        <v>14</v>
      </c>
      <c r="DO253" t="n">
        <v>87</v>
      </c>
      <c r="DT253" t="inlineStr">
        <is>
          <t>p26_leviathan_lev155</t>
        </is>
      </c>
      <c r="EK253" t="n">
        <v>150</v>
      </c>
      <c r="EW253" t="inlineStr">
        <is>
          <t>SIMULTANEOUS</t>
        </is>
      </c>
      <c r="EY253" t="n">
        <v>7</v>
      </c>
      <c r="GD253" t="inlineStr">
        <is>
          <t>Assets/MachineBrigade/Resources/Data/balance.json: weapons[175]</t>
        </is>
      </c>
      <c r="GE253" t="inlineStr">
        <is>
          <t>{"id":"p26_leviathan_sec_lev155","groundMinReach":87,"inherits":"p26_leviathan_lev155","burst":1,"salvoMode":"SIMULTANEOUS","barrels":3,"projectileSpeed":150,"edge":14,"splash":7,"cooldown":10.5,"damage":600}</t>
        </is>
      </c>
    </row>
    <row r="254">
      <c r="A254" t="inlineStr">
        <is>
          <t>p26_matriarch_close_boss_flak</t>
        </is>
      </c>
      <c r="B254" t="inlineStr">
        <is>
          <t>Oerlikon 35 mm (twin)</t>
        </is>
      </c>
      <c r="C254" t="inlineStr">
        <is>
          <t>cal_35</t>
        </is>
      </c>
      <c r="D254" t="inlineStr"/>
      <c r="E254" t="inlineStr"/>
      <c r="F254" t="inlineStr">
        <is>
          <t>autocannon</t>
        </is>
      </c>
      <c r="G254" t="n">
        <v>35</v>
      </c>
      <c r="H254" t="inlineStr"/>
      <c r="I254" t="inlineStr"/>
      <c r="J254" t="inlineStr"/>
      <c r="K254" t="inlineStr">
        <is>
          <t>Fragmentation</t>
        </is>
      </c>
      <c r="L254" t="n">
        <v>2</v>
      </c>
      <c r="M254" t="inlineStr">
        <is>
          <t>Bullet</t>
        </is>
      </c>
      <c r="N254" t="n">
        <v>1</v>
      </c>
      <c r="O254" t="inlineStr">
        <is>
          <t>RIPPLE</t>
        </is>
      </c>
      <c r="P254" t="n">
        <v>1</v>
      </c>
      <c r="Q254" t="n">
        <v>0.1</v>
      </c>
      <c r="R254" t="n">
        <v>0.05</v>
      </c>
      <c r="S254" t="n">
        <v>41</v>
      </c>
      <c r="T254" t="n">
        <v>3.38</v>
      </c>
      <c r="U254" t="n">
        <v>0</v>
      </c>
      <c r="V254" t="n">
        <v>0</v>
      </c>
      <c r="W254" t="n">
        <v>25</v>
      </c>
      <c r="X254" t="n">
        <v>2.5</v>
      </c>
      <c r="Y254" t="n">
        <v>0</v>
      </c>
      <c r="Z254" t="n">
        <v>260</v>
      </c>
      <c r="AA254" t="n">
        <v>40</v>
      </c>
      <c r="AB254" t="n">
        <v>0</v>
      </c>
      <c r="AC254" t="inlineStr">
        <is>
          <t>All</t>
        </is>
      </c>
      <c r="AD254" t="inlineStr"/>
      <c r="AE254" t="n">
        <v>1.5</v>
      </c>
      <c r="AF254" t="inlineStr">
        <is>
          <t>Small</t>
        </is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n">
        <v>35</v>
      </c>
      <c r="AO254" t="n">
        <v>0</v>
      </c>
      <c r="AP254" t="inlineStr">
        <is>
          <t>T1</t>
        </is>
      </c>
      <c r="AQ254" t="inlineStr">
        <is>
          <t>boss_flak</t>
        </is>
      </c>
      <c r="AR254" t="inlineStr"/>
      <c r="AS254" t="inlineStr">
        <is>
          <t>boss</t>
        </is>
      </c>
      <c r="AT254" t="inlineStr">
        <is>
          <t>drone_mothership;locust</t>
        </is>
      </c>
      <c r="AU254" t="n">
        <v>2</v>
      </c>
      <c r="AV254" t="inlineStr">
        <is>
          <t>drone_mothership:2;drone_mothership:3;locust:1</t>
        </is>
      </c>
      <c r="AW254" t="n">
        <v>0</v>
      </c>
      <c r="AX254" t="b">
        <v>0</v>
      </c>
      <c r="AY254" t="inlineStr"/>
      <c r="AZ254">
        <f>IF(AND($AX$254,$AW$254&gt;$AA$254/$Z$254),$AW$254,$AA$254/$Z$254)</f>
        <v/>
      </c>
      <c r="BA254" t="n">
        <v>0.1538461538461539</v>
      </c>
      <c r="BB254" t="n">
        <v>550</v>
      </c>
      <c r="BC254" t="n">
        <v>300</v>
      </c>
      <c r="BD254" t="inlineStr">
        <is>
          <t>aa</t>
        </is>
      </c>
      <c r="BE254" t="inlineStr">
        <is>
          <t>Wikipedia 'Oerlikon GDF': 550 rpm a gun (the twin: 1,100)</t>
        </is>
      </c>
      <c r="BF254" t="inlineStr">
        <is>
          <t>wave 1 boss_flak: 41 rounds at 1,200 rpm, changed in 3.38 s (twin Oerlikon GDF 2 x 550 rpm)</t>
        </is>
      </c>
      <c r="BG254" t="inlineStr">
        <is>
          <t>doi</t>
        </is>
      </c>
      <c r="BH254" t="n">
        <v>22</v>
      </c>
      <c r="BI254" t="n">
        <v>25</v>
      </c>
      <c r="CX254" t="n">
        <v>3.38</v>
      </c>
      <c r="DE254" t="n">
        <v>25</v>
      </c>
      <c r="DT254" t="inlineStr">
        <is>
          <t>boss_flak</t>
        </is>
      </c>
      <c r="GA254" t="inlineStr"/>
      <c r="GD254" t="inlineStr">
        <is>
          <t>Assets/MachineBrigade/Resources/Data/balance.json: weapons[182]</t>
        </is>
      </c>
      <c r="GE254" t="inlineStr">
        <is>
          <t>{"id":"p26_matriarch_close_boss_flak","inherits":"boss_flak","clipReload":3.38,"weaponFamily":"","damage":25}</t>
        </is>
      </c>
    </row>
    <row r="255">
      <c r="A255" t="inlineStr">
        <is>
          <t>p26_matriarch_direct_ma_atgm</t>
        </is>
      </c>
      <c r="B255" t="inlineStr">
        <is>
          <t>9M133 Kornet</t>
        </is>
      </c>
      <c r="C255" t="inlineStr">
        <is>
          <t>atgm_kornet</t>
        </is>
      </c>
      <c r="D255" t="inlineStr"/>
      <c r="E255" t="inlineStr"/>
      <c r="F255" t="inlineStr">
        <is>
          <t>atgm</t>
        </is>
      </c>
      <c r="G255" t="inlineStr"/>
      <c r="H255" t="n">
        <v>7</v>
      </c>
      <c r="I255" t="inlineStr"/>
      <c r="J255" t="inlineStr"/>
      <c r="K255" t="inlineStr">
        <is>
          <t>ShapedCharge</t>
        </is>
      </c>
      <c r="L255" t="n">
        <v>5</v>
      </c>
      <c r="M255" t="inlineStr">
        <is>
          <t>Missile</t>
        </is>
      </c>
      <c r="N255" t="n">
        <v>1</v>
      </c>
      <c r="O255" t="inlineStr">
        <is>
          <t>RIPPLE</t>
        </is>
      </c>
      <c r="P255" t="n">
        <v>1</v>
      </c>
      <c r="Q255" t="n">
        <v>0.1</v>
      </c>
      <c r="R255" t="n">
        <v>20</v>
      </c>
      <c r="S255" t="n">
        <v>0</v>
      </c>
      <c r="T255" t="n">
        <v>0</v>
      </c>
      <c r="U255" t="n">
        <v>0</v>
      </c>
      <c r="V255" t="n">
        <v>0</v>
      </c>
      <c r="W255" t="n">
        <v>230</v>
      </c>
      <c r="X255" t="n">
        <v>0</v>
      </c>
      <c r="Y255" t="n">
        <v>0</v>
      </c>
      <c r="Z255" t="n">
        <v>80</v>
      </c>
      <c r="AA255" t="n">
        <v>55</v>
      </c>
      <c r="AB255" t="n">
        <v>0</v>
      </c>
      <c r="AC255" t="inlineStr">
        <is>
          <t>Ground</t>
        </is>
      </c>
      <c r="AD255" t="inlineStr"/>
      <c r="AE255" t="n">
        <v>0</v>
      </c>
      <c r="AF255" t="inlineStr">
        <is>
          <t>Medium</t>
        </is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n">
        <v>29</v>
      </c>
      <c r="AO255" t="n">
        <v>0</v>
      </c>
      <c r="AP255" t="inlineStr">
        <is>
          <t>T2</t>
        </is>
      </c>
      <c r="AQ255" t="inlineStr">
        <is>
          <t>p26_matriarch_ma_atgm</t>
        </is>
      </c>
      <c r="AR255" t="inlineStr"/>
      <c r="AS255" t="inlineStr">
        <is>
          <t>boss</t>
        </is>
      </c>
      <c r="AT255" t="inlineStr">
        <is>
          <t>drone_mothership</t>
        </is>
      </c>
      <c r="AU255" t="n">
        <v>1</v>
      </c>
      <c r="AV255" t="inlineStr">
        <is>
          <t>drone_mothership:5;drone_mothership:8</t>
        </is>
      </c>
      <c r="AW255" t="n">
        <v>0</v>
      </c>
      <c r="AX255" t="b">
        <v>0</v>
      </c>
      <c r="AY255" t="inlineStr"/>
      <c r="AZ255">
        <f>IF(AND($AX$255,$AW$255&gt;$AA$255/$Z$255),$AW$255,$AA$255/$Z$255)</f>
        <v/>
      </c>
      <c r="BA255" t="n">
        <v>0.6875</v>
      </c>
      <c r="BB255" t="n">
        <v>3</v>
      </c>
      <c r="BC255" t="n">
        <v>3</v>
      </c>
      <c r="BD255" t="inlineStr">
        <is>
          <t>atgm</t>
        </is>
      </c>
      <c r="BE255" t="inlineStr">
        <is>
          <t>Wikipedia '9M133 Kornet': 2-3 rpm</t>
        </is>
      </c>
      <c r="BF255" t="inlineStr">
        <is>
          <t>real 9M133 Kornet 3 rpm (20 s); wave 1's 6.39 s is too fast</t>
        </is>
      </c>
      <c r="BG255" t="inlineStr">
        <is>
          <t>doi</t>
        </is>
      </c>
      <c r="BH255" t="n">
        <v>350</v>
      </c>
      <c r="BI255" t="n">
        <v>230</v>
      </c>
      <c r="BJ255" t="n">
        <v>5</v>
      </c>
      <c r="BK255" t="n">
        <v>20</v>
      </c>
      <c r="BR255" t="n">
        <v>22</v>
      </c>
      <c r="BS255" t="n">
        <v>80</v>
      </c>
      <c r="DD255" t="n">
        <v>20</v>
      </c>
      <c r="DE255" t="n">
        <v>230</v>
      </c>
      <c r="DO255" t="n">
        <v>1</v>
      </c>
      <c r="DT255" t="inlineStr">
        <is>
          <t>p26_matriarch_ma_atgm</t>
        </is>
      </c>
      <c r="GD255" t="inlineStr">
        <is>
          <t>Assets/MachineBrigade/Resources/Data/balance.json: weapons[181]</t>
        </is>
      </c>
      <c r="GE255" t="inlineStr">
        <is>
          <t>{"id":"p26_matriarch_direct_ma_atgm","groundMinReach":1,"inherits":"p26_matriarch_ma_atgm","cooldown":20,"damage":230}</t>
        </is>
      </c>
    </row>
    <row r="256">
      <c r="A256" t="inlineStr">
        <is>
          <t>p26_matriarch_ma_atgm</t>
        </is>
      </c>
      <c r="B256" t="inlineStr">
        <is>
          <t>9M133 Kornet</t>
        </is>
      </c>
      <c r="C256" t="inlineStr">
        <is>
          <t>atgm_kornet</t>
        </is>
      </c>
      <c r="D256" t="inlineStr"/>
      <c r="E256" t="inlineStr"/>
      <c r="F256" t="inlineStr">
        <is>
          <t>atgm</t>
        </is>
      </c>
      <c r="G256" t="inlineStr"/>
      <c r="H256" t="n">
        <v>7</v>
      </c>
      <c r="I256" t="inlineStr"/>
      <c r="J256" t="inlineStr"/>
      <c r="K256" t="inlineStr">
        <is>
          <t>ShapedCharge</t>
        </is>
      </c>
      <c r="L256" t="n">
        <v>5</v>
      </c>
      <c r="M256" t="inlineStr">
        <is>
          <t>Missile</t>
        </is>
      </c>
      <c r="N256" t="n">
        <v>1</v>
      </c>
      <c r="O256" t="inlineStr">
        <is>
          <t>RIPPLE</t>
        </is>
      </c>
      <c r="P256" t="n">
        <v>1</v>
      </c>
      <c r="Q256" t="n">
        <v>0.1</v>
      </c>
      <c r="R256" t="n">
        <v>2</v>
      </c>
      <c r="S256" t="n">
        <v>0</v>
      </c>
      <c r="T256" t="n">
        <v>0</v>
      </c>
      <c r="U256" t="n">
        <v>0</v>
      </c>
      <c r="V256" t="n">
        <v>0</v>
      </c>
      <c r="W256" t="n">
        <v>340</v>
      </c>
      <c r="X256" t="n">
        <v>0</v>
      </c>
      <c r="Y256" t="n">
        <v>0</v>
      </c>
      <c r="Z256" t="n">
        <v>80</v>
      </c>
      <c r="AA256" t="n">
        <v>55</v>
      </c>
      <c r="AB256" t="n">
        <v>0</v>
      </c>
      <c r="AC256" t="inlineStr">
        <is>
          <t>Ground</t>
        </is>
      </c>
      <c r="AD256" t="inlineStr"/>
      <c r="AE256" t="n">
        <v>0</v>
      </c>
      <c r="AF256" t="inlineStr">
        <is>
          <t>Medium</t>
        </is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n">
        <v>29</v>
      </c>
      <c r="AO256" t="n">
        <v>0</v>
      </c>
      <c r="AP256" t="inlineStr">
        <is>
          <t>T2</t>
        </is>
      </c>
      <c r="AQ256" t="inlineStr">
        <is>
          <t>boss_missiles</t>
        </is>
      </c>
      <c r="AR256" t="inlineStr"/>
      <c r="AS256" t="inlineStr"/>
      <c r="AT256" t="inlineStr"/>
      <c r="AU256" t="n">
        <v>0</v>
      </c>
      <c r="AV256" t="inlineStr"/>
      <c r="AW256" t="n">
        <v>0</v>
      </c>
      <c r="AX256" t="b">
        <v>0</v>
      </c>
      <c r="AY256" t="inlineStr"/>
      <c r="AZ256">
        <f>IF(AND($AX$256,$AW$256&gt;$AA$256/$Z$256),$AW$256,$AA$256/$Z$256)</f>
        <v/>
      </c>
      <c r="BA256" t="n">
        <v>0.6875</v>
      </c>
      <c r="BB256" t="n">
        <v>3</v>
      </c>
      <c r="BC256" t="n">
        <v>3</v>
      </c>
      <c r="BD256" t="inlineStr">
        <is>
          <t>atgm</t>
        </is>
      </c>
      <c r="BE256" t="inlineStr">
        <is>
          <t>Wikipedia '9M133 Kornet': 2-3 rpm</t>
        </is>
      </c>
      <c r="BG256" t="inlineStr">
        <is>
          <t>doi</t>
        </is>
      </c>
      <c r="BR256" t="n">
        <v>22</v>
      </c>
      <c r="BS256" t="n">
        <v>80</v>
      </c>
      <c r="DD256" t="n">
        <v>2</v>
      </c>
      <c r="DE256" t="n">
        <v>340</v>
      </c>
      <c r="DT256" t="inlineStr">
        <is>
          <t>boss_missiles</t>
        </is>
      </c>
      <c r="EB256" t="n">
        <v>5</v>
      </c>
      <c r="EP256" t="n">
        <v>55</v>
      </c>
      <c r="EQ256" t="inlineStr">
        <is>
          <t>9M133 Kornet</t>
        </is>
      </c>
      <c r="GA256" t="inlineStr"/>
      <c r="GD256" t="inlineStr">
        <is>
          <t>Assets/MachineBrigade/Resources/Data/balance.json: weapons[179]</t>
        </is>
      </c>
      <c r="GE256" t="inlineStr">
        <is>
          <t>{"id":"p26_matriarch_ma_atgm","inherits":"boss_missiles","weaponFamily":"","real":"9M133 Kornet","damage":340,"cooldown":2,"pen":5,"range":55}</t>
        </is>
      </c>
    </row>
    <row r="257">
      <c r="A257" t="inlineStr">
        <is>
          <t>p26_matriarch_ma_drones</t>
        </is>
      </c>
      <c r="B257" t="inlineStr">
        <is>
          <t>ZALA Lancet-3 swarm</t>
        </is>
      </c>
      <c r="C257" t="inlineStr">
        <is>
          <t>drone_zala_lancet_3_swarm</t>
        </is>
      </c>
      <c r="D257" t="inlineStr"/>
      <c r="E257" t="inlineStr"/>
      <c r="F257" t="inlineStr">
        <is>
          <t>drone</t>
        </is>
      </c>
      <c r="G257" t="inlineStr"/>
      <c r="H257" t="n">
        <v>3</v>
      </c>
      <c r="I257" t="inlineStr"/>
      <c r="J257" t="inlineStr"/>
      <c r="K257" t="inlineStr">
        <is>
          <t>ShapedCharge</t>
        </is>
      </c>
      <c r="L257" t="n">
        <v>4</v>
      </c>
      <c r="M257" t="inlineStr">
        <is>
          <t>Drone</t>
        </is>
      </c>
      <c r="N257" t="n">
        <v>1</v>
      </c>
      <c r="O257" t="inlineStr">
        <is>
          <t>RIPPLE</t>
        </is>
      </c>
      <c r="P257" t="n">
        <v>6</v>
      </c>
      <c r="Q257" t="n">
        <v>0.2</v>
      </c>
      <c r="R257" t="n">
        <v>4</v>
      </c>
      <c r="S257" t="n">
        <v>0</v>
      </c>
      <c r="T257" t="n">
        <v>0</v>
      </c>
      <c r="U257" t="n">
        <v>0</v>
      </c>
      <c r="V257" t="n">
        <v>0</v>
      </c>
      <c r="W257" t="n">
        <v>320</v>
      </c>
      <c r="X257" t="n">
        <v>3</v>
      </c>
      <c r="Y257" t="n">
        <v>6</v>
      </c>
      <c r="Z257" t="n">
        <v>28</v>
      </c>
      <c r="AA257" t="n">
        <v>70</v>
      </c>
      <c r="AB257" t="n">
        <v>0</v>
      </c>
      <c r="AC257" t="inlineStr">
        <is>
          <t>Ground</t>
        </is>
      </c>
      <c r="AD257" t="inlineStr"/>
      <c r="AE257" t="n">
        <v>0</v>
      </c>
      <c r="AF257" t="inlineStr">
        <is>
          <t>Large</t>
        </is>
      </c>
      <c r="AG257" t="b">
        <v>1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n">
        <v>3</v>
      </c>
      <c r="AO257" t="n">
        <v>0</v>
      </c>
      <c r="AP257" t="inlineStr">
        <is>
          <t>T2</t>
        </is>
      </c>
      <c r="AQ257" t="inlineStr">
        <is>
          <t>mothership_drones</t>
        </is>
      </c>
      <c r="AR257" t="inlineStr"/>
      <c r="AS257" t="inlineStr">
        <is>
          <t>boss</t>
        </is>
      </c>
      <c r="AT257" t="inlineStr">
        <is>
          <t>drone_mothership;theia</t>
        </is>
      </c>
      <c r="AU257" t="n">
        <v>2</v>
      </c>
      <c r="AV257" t="inlineStr">
        <is>
          <t>drone_mothership:1;theia:1</t>
        </is>
      </c>
      <c r="AW257" t="n">
        <v>0</v>
      </c>
      <c r="AX257" t="b">
        <v>0</v>
      </c>
      <c r="AY257" t="inlineStr"/>
      <c r="AZ257">
        <f>IF(AND($AX$257,$AW$257&gt;$AA$257/$Z$257),$AW$257,$AA$257/$Z$257)</f>
        <v/>
      </c>
      <c r="BA257" t="n">
        <v>2.5</v>
      </c>
      <c r="BB257" t="inlineStr">
        <is>
          <t>NEED_SOURCE</t>
        </is>
      </c>
      <c r="BC257" t="inlineStr">
        <is>
          <t>NEED_SOURCE</t>
        </is>
      </c>
      <c r="BE257" t="inlineStr">
        <is>
          <t>NEED_SOURCE</t>
        </is>
      </c>
      <c r="BF257" t="inlineStr">
        <is>
          <t>a six-drone swarm: no real rate and no wave 1 row (wave 1's mothership_drones is a 4-drone salvo)</t>
        </is>
      </c>
      <c r="BG257" t="inlineStr">
        <is>
          <t>giong</t>
        </is>
      </c>
      <c r="CR257" t="n">
        <v>6</v>
      </c>
      <c r="CS257" t="n">
        <v>0.2</v>
      </c>
      <c r="DD257" t="n">
        <v>4</v>
      </c>
      <c r="DE257" t="n">
        <v>320</v>
      </c>
      <c r="DG257" t="n">
        <v>6</v>
      </c>
      <c r="DO257" t="n">
        <v>1</v>
      </c>
      <c r="DT257" t="inlineStr">
        <is>
          <t>mothership_drones</t>
        </is>
      </c>
      <c r="EQ257" t="inlineStr">
        <is>
          <t>ZALA Lancet-3 swarm</t>
        </is>
      </c>
      <c r="EY257" t="n">
        <v>3</v>
      </c>
      <c r="GA257" t="inlineStr"/>
      <c r="GB257" t="inlineStr">
        <is>
          <t>drone_zala_lancet_3_swarm</t>
        </is>
      </c>
      <c r="GD257" t="inlineStr">
        <is>
          <t>Assets/MachineBrigade/Resources/Data/balance.json: weapons[177]</t>
        </is>
      </c>
      <c r="GE257" t="inlineStr">
        <is>
          <t>{"id":"p26_matriarch_ma_drones","groundMinReach":1,"inherits":"mothership_drones","weaponFamilyId":"drone_zala_lancet_3_swarm","weaponFamily":"","real":"ZALA Lancet-3 swarm","damage":320,"burst":6,"burstInterval":0.2,"cooldown":4,"splash":3,"edge":6}</t>
        </is>
      </c>
    </row>
    <row r="258">
      <c r="A258" t="inlineStr">
        <is>
          <t>p26_matriarch_sec_autocannon_30</t>
        </is>
      </c>
      <c r="B258" t="inlineStr">
        <is>
          <t>2A42 30 mm</t>
        </is>
      </c>
      <c r="C258" t="inlineStr">
        <is>
          <t>cal_30</t>
        </is>
      </c>
      <c r="D258" t="inlineStr"/>
      <c r="E258" t="inlineStr"/>
      <c r="F258" t="inlineStr">
        <is>
          <t>autocannon</t>
        </is>
      </c>
      <c r="G258" t="n">
        <v>30</v>
      </c>
      <c r="H258" t="inlineStr"/>
      <c r="I258" t="inlineStr"/>
      <c r="J258" t="inlineStr"/>
      <c r="K258" t="inlineStr">
        <is>
          <t>Kinetic</t>
        </is>
      </c>
      <c r="L258" t="n">
        <v>2</v>
      </c>
      <c r="M258" t="inlineStr">
        <is>
          <t>Bullet</t>
        </is>
      </c>
      <c r="N258" t="n">
        <v>1</v>
      </c>
      <c r="O258" t="inlineStr">
        <is>
          <t>RIPPLE</t>
        </is>
      </c>
      <c r="P258" t="n">
        <v>10</v>
      </c>
      <c r="Q258" t="n">
        <v>0.1111</v>
      </c>
      <c r="R258" t="n">
        <v>1.5</v>
      </c>
      <c r="S258" t="n">
        <v>0</v>
      </c>
      <c r="T258" t="n">
        <v>0</v>
      </c>
      <c r="U258" t="n">
        <v>0</v>
      </c>
      <c r="V258" t="n">
        <v>0</v>
      </c>
      <c r="W258" t="n">
        <v>22</v>
      </c>
      <c r="X258" t="n">
        <v>0</v>
      </c>
      <c r="Y258" t="n">
        <v>0</v>
      </c>
      <c r="Z258" t="n">
        <v>200</v>
      </c>
      <c r="AA258" t="n">
        <v>30</v>
      </c>
      <c r="AB258" t="n">
        <v>0</v>
      </c>
      <c r="AC258" t="inlineStr">
        <is>
          <t>Ground</t>
        </is>
      </c>
      <c r="AD258" t="inlineStr"/>
      <c r="AE258" t="n">
        <v>0.8</v>
      </c>
      <c r="AF258" t="inlineStr">
        <is>
          <t>Small</t>
        </is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n">
        <v>30</v>
      </c>
      <c r="AO258" t="n">
        <v>0</v>
      </c>
      <c r="AP258" t="inlineStr">
        <is>
          <t>T1</t>
        </is>
      </c>
      <c r="AQ258" t="inlineStr">
        <is>
          <t>autocannon_30</t>
        </is>
      </c>
      <c r="AR258" t="inlineStr"/>
      <c r="AS258" t="inlineStr">
        <is>
          <t>boss</t>
        </is>
      </c>
      <c r="AT258" t="inlineStr">
        <is>
          <t>drone_mothership</t>
        </is>
      </c>
      <c r="AU258" t="n">
        <v>1</v>
      </c>
      <c r="AV258" t="inlineStr">
        <is>
          <t>drone_mothership:6;drone_mothership:7</t>
        </is>
      </c>
      <c r="AW258" t="n">
        <v>0</v>
      </c>
      <c r="AX258" t="b">
        <v>0</v>
      </c>
      <c r="AY258" t="inlineStr"/>
      <c r="AZ258">
        <f>IF(AND($AX$258,$AW$258&gt;$AA$258/$Z$258),$AW$258,$AA$258/$Z$258)</f>
        <v/>
      </c>
      <c r="BA258" t="n">
        <v>0.15</v>
      </c>
      <c r="BB258" t="n">
        <v>800</v>
      </c>
      <c r="BC258" t="n">
        <v>300</v>
      </c>
      <c r="BD258" t="inlineStr">
        <is>
          <t>ac</t>
        </is>
      </c>
      <c r="BE258" t="inlineStr">
        <is>
          <t>Wikipedia '2A42': 550-800 high, 200-300 low rpm</t>
        </is>
      </c>
      <c r="BF258" t="inlineStr">
        <is>
          <t>wave 1 autocannon_30: 10 rounds at 540 rpm every 2.5 s (2A42 550-800 rpm)</t>
        </is>
      </c>
      <c r="BG258" t="inlineStr">
        <is>
          <t>doi</t>
        </is>
      </c>
      <c r="BH258" t="n">
        <v>42</v>
      </c>
      <c r="BI258" t="n">
        <v>22</v>
      </c>
      <c r="BJ258" t="n">
        <v>1</v>
      </c>
      <c r="BK258" t="n">
        <v>1.5</v>
      </c>
      <c r="CS258" t="n">
        <v>0.1111</v>
      </c>
      <c r="DD258" t="n">
        <v>1.5</v>
      </c>
      <c r="DE258" t="n">
        <v>22</v>
      </c>
      <c r="DT258" t="inlineStr">
        <is>
          <t>autocannon_30</t>
        </is>
      </c>
      <c r="GA258" t="inlineStr"/>
      <c r="GD258" t="inlineStr">
        <is>
          <t>Assets/MachineBrigade/Resources/Data/balance.json: weapons[180]</t>
        </is>
      </c>
      <c r="GE258" t="inlineStr">
        <is>
          <t>{"id":"p26_matriarch_sec_autocannon_30","inherits":"autocannon_30","burstInterval":0.1111,"weaponFamily":"","cooldown":1.5,"damage":22}</t>
        </is>
      </c>
    </row>
    <row r="259">
      <c r="A259" t="inlineStr">
        <is>
          <t>p26_matriarch_tiny_mothership_cannon</t>
        </is>
      </c>
      <c r="B259" t="inlineStr">
        <is>
          <t>AU-220 57 mm</t>
        </is>
      </c>
      <c r="C259" t="inlineStr">
        <is>
          <t>cal_57</t>
        </is>
      </c>
      <c r="D259" t="inlineStr"/>
      <c r="E259" t="inlineStr"/>
      <c r="F259" t="inlineStr">
        <is>
          <t>autocannon</t>
        </is>
      </c>
      <c r="G259" t="n">
        <v>57</v>
      </c>
      <c r="H259" t="inlineStr"/>
      <c r="I259" t="inlineStr"/>
      <c r="J259" t="inlineStr"/>
      <c r="K259" t="inlineStr">
        <is>
          <t>HighExplosive</t>
        </is>
      </c>
      <c r="L259" t="n">
        <v>2</v>
      </c>
      <c r="M259" t="inlineStr">
        <is>
          <t>Shell</t>
        </is>
      </c>
      <c r="N259" t="n">
        <v>1</v>
      </c>
      <c r="O259" t="inlineStr">
        <is>
          <t>RIPPLE</t>
        </is>
      </c>
      <c r="P259" t="n">
        <v>4</v>
      </c>
      <c r="Q259" t="n">
        <v>0.5</v>
      </c>
      <c r="R259" t="n">
        <v>2.79</v>
      </c>
      <c r="S259" t="n">
        <v>0</v>
      </c>
      <c r="T259" t="n">
        <v>0</v>
      </c>
      <c r="U259" t="n">
        <v>0</v>
      </c>
      <c r="V259" t="n">
        <v>0</v>
      </c>
      <c r="W259" t="n">
        <v>120</v>
      </c>
      <c r="X259" t="n">
        <v>3</v>
      </c>
      <c r="Y259" t="n">
        <v>6</v>
      </c>
      <c r="Z259" t="n">
        <v>150</v>
      </c>
      <c r="AA259" t="n">
        <v>45</v>
      </c>
      <c r="AB259" t="n">
        <v>0</v>
      </c>
      <c r="AC259" t="inlineStr">
        <is>
          <t>Ground</t>
        </is>
      </c>
      <c r="AD259" t="inlineStr"/>
      <c r="AE259" t="n">
        <v>2.5</v>
      </c>
      <c r="AF259" t="inlineStr">
        <is>
          <t>Large</t>
        </is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n">
        <v>57</v>
      </c>
      <c r="AO259" t="n">
        <v>0</v>
      </c>
      <c r="AP259" t="inlineStr">
        <is>
          <t>T2</t>
        </is>
      </c>
      <c r="AQ259" t="inlineStr">
        <is>
          <t>mothership_cannon</t>
        </is>
      </c>
      <c r="AR259" t="inlineStr"/>
      <c r="AS259" t="inlineStr">
        <is>
          <t>boss</t>
        </is>
      </c>
      <c r="AT259" t="inlineStr">
        <is>
          <t>drone_mothership</t>
        </is>
      </c>
      <c r="AU259" t="n">
        <v>1</v>
      </c>
      <c r="AV259" t="inlineStr">
        <is>
          <t>drone_mothership:0;drone_mothership:4</t>
        </is>
      </c>
      <c r="AW259" t="n">
        <v>0</v>
      </c>
      <c r="AX259" t="b">
        <v>0</v>
      </c>
      <c r="AY259" t="inlineStr"/>
      <c r="AZ259">
        <f>IF(AND($AX$259,$AW$259&gt;$AA$259/$Z$259),$AW$259,$AA$259/$Z$259)</f>
        <v/>
      </c>
      <c r="BA259" t="n">
        <v>0.3</v>
      </c>
      <c r="BB259" t="n">
        <v>120</v>
      </c>
      <c r="BC259" t="n">
        <v>80</v>
      </c>
      <c r="BD259" t="inlineStr">
        <is>
          <t>ac</t>
        </is>
      </c>
      <c r="BE259" t="inlineStr">
        <is>
          <t>Wikipedia 'AU-220M': 80-120 rpm</t>
        </is>
      </c>
      <c r="BF259" t="inlineStr">
        <is>
          <t>wave 1 mothership_cannon: 4 rounds 0.5 s apart every 4.29 s (AU-220M 120 rpm); made up: a twin 57 mm deck mount (as the real AK-725 twin 57 mm); made up: a twin 57 mm belly mount (as the real AK-725 twin 57 mm)</t>
        </is>
      </c>
      <c r="BG259" t="inlineStr">
        <is>
          <t>doi</t>
        </is>
      </c>
      <c r="BH259" t="n">
        <v>14</v>
      </c>
      <c r="BI259" t="n">
        <v>120</v>
      </c>
      <c r="BJ259" t="n">
        <v>3.29</v>
      </c>
      <c r="BK259" t="n">
        <v>2.79</v>
      </c>
      <c r="BN259" t="n">
        <v>3.5</v>
      </c>
      <c r="BO259" t="n">
        <v>3</v>
      </c>
      <c r="BP259" t="n">
        <v>0</v>
      </c>
      <c r="BQ259" t="n">
        <v>6</v>
      </c>
      <c r="DD259" t="n">
        <v>2.79</v>
      </c>
      <c r="DE259" t="n">
        <v>120</v>
      </c>
      <c r="DG259" t="n">
        <v>6</v>
      </c>
      <c r="DO259" t="n">
        <v>11</v>
      </c>
      <c r="DT259" t="inlineStr">
        <is>
          <t>mothership_cannon</t>
        </is>
      </c>
      <c r="EY259" t="n">
        <v>3</v>
      </c>
      <c r="GD259" t="inlineStr">
        <is>
          <t>Assets/MachineBrigade/Resources/Data/balance.json: weapons[183]</t>
        </is>
      </c>
      <c r="GE259" t="inlineStr">
        <is>
          <t>{"id":"p26_matriarch_tiny_mothership_cannon","groundMinReach":11,"inherits":"mothership_cannon","cooldown":2.79,"edge":6,"splash":3,"damage":120}</t>
        </is>
      </c>
    </row>
    <row r="260">
      <c r="A260" t="inlineStr">
        <is>
          <t>p26_moloch_close_boss_flak</t>
        </is>
      </c>
      <c r="B260" t="inlineStr">
        <is>
          <t>Oerlikon 35 mm (twin)</t>
        </is>
      </c>
      <c r="C260" t="inlineStr">
        <is>
          <t>cal_35</t>
        </is>
      </c>
      <c r="D260" t="inlineStr"/>
      <c r="E260" t="inlineStr"/>
      <c r="F260" t="inlineStr">
        <is>
          <t>autocannon</t>
        </is>
      </c>
      <c r="G260" t="n">
        <v>35</v>
      </c>
      <c r="H260" t="inlineStr"/>
      <c r="I260" t="inlineStr"/>
      <c r="J260" t="inlineStr"/>
      <c r="K260" t="inlineStr">
        <is>
          <t>Fragmentation</t>
        </is>
      </c>
      <c r="L260" t="n">
        <v>2</v>
      </c>
      <c r="M260" t="inlineStr">
        <is>
          <t>Bullet</t>
        </is>
      </c>
      <c r="N260" t="n">
        <v>1</v>
      </c>
      <c r="O260" t="inlineStr">
        <is>
          <t>RIPPLE</t>
        </is>
      </c>
      <c r="P260" t="n">
        <v>1</v>
      </c>
      <c r="Q260" t="n">
        <v>0.1</v>
      </c>
      <c r="R260" t="n">
        <v>0.05</v>
      </c>
      <c r="S260" t="n">
        <v>41</v>
      </c>
      <c r="T260" t="n">
        <v>3.38</v>
      </c>
      <c r="U260" t="n">
        <v>0</v>
      </c>
      <c r="V260" t="n">
        <v>0</v>
      </c>
      <c r="W260" t="n">
        <v>25</v>
      </c>
      <c r="X260" t="n">
        <v>2.5</v>
      </c>
      <c r="Y260" t="n">
        <v>0</v>
      </c>
      <c r="Z260" t="n">
        <v>260</v>
      </c>
      <c r="AA260" t="n">
        <v>40</v>
      </c>
      <c r="AB260" t="n">
        <v>0</v>
      </c>
      <c r="AC260" t="inlineStr">
        <is>
          <t>All</t>
        </is>
      </c>
      <c r="AD260" t="inlineStr"/>
      <c r="AE260" t="n">
        <v>1.5</v>
      </c>
      <c r="AF260" t="inlineStr">
        <is>
          <t>Small</t>
        </is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n">
        <v>35</v>
      </c>
      <c r="AO260" t="n">
        <v>0</v>
      </c>
      <c r="AP260" t="inlineStr">
        <is>
          <t>T1</t>
        </is>
      </c>
      <c r="AQ260" t="inlineStr">
        <is>
          <t>boss_flak</t>
        </is>
      </c>
      <c r="AR260" t="inlineStr"/>
      <c r="AS260" t="inlineStr">
        <is>
          <t>boss</t>
        </is>
      </c>
      <c r="AT260" t="inlineStr">
        <is>
          <t>moloch</t>
        </is>
      </c>
      <c r="AU260" t="n">
        <v>1</v>
      </c>
      <c r="AV260" t="inlineStr">
        <is>
          <t>moloch:6</t>
        </is>
      </c>
      <c r="AW260" t="n">
        <v>0</v>
      </c>
      <c r="AX260" t="b">
        <v>0</v>
      </c>
      <c r="AY260" t="inlineStr"/>
      <c r="AZ260">
        <f>IF(AND($AX$260,$AW$260&gt;$AA$260/$Z$260),$AW$260,$AA$260/$Z$260)</f>
        <v/>
      </c>
      <c r="BA260" t="n">
        <v>0.1538461538461539</v>
      </c>
      <c r="BB260" t="n">
        <v>550</v>
      </c>
      <c r="BC260" t="n">
        <v>300</v>
      </c>
      <c r="BD260" t="inlineStr">
        <is>
          <t>aa</t>
        </is>
      </c>
      <c r="BE260" t="inlineStr">
        <is>
          <t>Wikipedia 'Oerlikon GDF': 550 rpm a gun (the twin: 1,100)</t>
        </is>
      </c>
      <c r="BF260" t="inlineStr">
        <is>
          <t>wave 1 boss_flak: 41 rounds at 1,200 rpm, changed in 3.38 s (twin Oerlikon GDF 2 x 550 rpm)</t>
        </is>
      </c>
      <c r="BG260" t="inlineStr">
        <is>
          <t>doi</t>
        </is>
      </c>
      <c r="BH260" t="n">
        <v>70</v>
      </c>
      <c r="BI260" t="n">
        <v>25</v>
      </c>
      <c r="CX260" t="n">
        <v>3.38</v>
      </c>
      <c r="DD260" t="n">
        <v>0.05</v>
      </c>
      <c r="DE260" t="n">
        <v>25</v>
      </c>
      <c r="DT260" t="inlineStr">
        <is>
          <t>boss_flak</t>
        </is>
      </c>
      <c r="GA260" t="inlineStr"/>
      <c r="GD260" t="inlineStr">
        <is>
          <t>Assets/MachineBrigade/Resources/Data/balance.json: weapons[188]</t>
        </is>
      </c>
      <c r="GE260" t="inlineStr">
        <is>
          <t>{"id":"p26_moloch_close_boss_flak","inherits":"boss_flak","clipReload":3.38,"cooldown":0.05,"weaponFamily":"","damage":25}</t>
        </is>
      </c>
    </row>
    <row r="261">
      <c r="A261" t="inlineStr">
        <is>
          <t>p26_moloch_direct_mo120ap</t>
        </is>
      </c>
      <c r="B261" t="inlineStr">
        <is>
          <t>Rh-120 L/44 120 mm AP (twin)</t>
        </is>
      </c>
      <c r="C261" t="inlineStr">
        <is>
          <t>cal_120_ap</t>
        </is>
      </c>
      <c r="D261" t="inlineStr"/>
      <c r="E261" t="inlineStr"/>
      <c r="F261" t="inlineStr">
        <is>
          <t>tank_gun</t>
        </is>
      </c>
      <c r="G261" t="n">
        <v>120</v>
      </c>
      <c r="H261" t="inlineStr"/>
      <c r="I261" t="inlineStr"/>
      <c r="J261" t="inlineStr"/>
      <c r="K261" t="inlineStr">
        <is>
          <t>Kinetic</t>
        </is>
      </c>
      <c r="L261" t="n">
        <v>5</v>
      </c>
      <c r="M261" t="inlineStr">
        <is>
          <t>Shell</t>
        </is>
      </c>
      <c r="N261" t="n">
        <v>2</v>
      </c>
      <c r="O261" t="inlineStr">
        <is>
          <t>SIMULTANEOUS</t>
        </is>
      </c>
      <c r="P261" t="n">
        <v>1</v>
      </c>
      <c r="Q261" t="n">
        <v>0.1</v>
      </c>
      <c r="R261" t="n">
        <v>7.5</v>
      </c>
      <c r="S261" t="n">
        <v>0</v>
      </c>
      <c r="T261" t="n">
        <v>0</v>
      </c>
      <c r="U261" t="n">
        <v>0</v>
      </c>
      <c r="V261" t="n">
        <v>0</v>
      </c>
      <c r="W261" t="n">
        <v>260</v>
      </c>
      <c r="X261" t="n">
        <v>0</v>
      </c>
      <c r="Y261" t="n">
        <v>0</v>
      </c>
      <c r="Z261" t="n">
        <v>170</v>
      </c>
      <c r="AA261" t="n">
        <v>32</v>
      </c>
      <c r="AB261" t="n">
        <v>0</v>
      </c>
      <c r="AC261" t="inlineStr">
        <is>
          <t>Ground</t>
        </is>
      </c>
      <c r="AD261" t="inlineStr"/>
      <c r="AE261" t="n">
        <v>0.6</v>
      </c>
      <c r="AF261" t="inlineStr">
        <is>
          <t>Medium</t>
        </is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n">
        <v>120</v>
      </c>
      <c r="AO261" t="n">
        <v>0</v>
      </c>
      <c r="AP261" t="inlineStr">
        <is>
          <t>T3</t>
        </is>
      </c>
      <c r="AQ261" t="inlineStr">
        <is>
          <t>p26_moloch_mo120ap</t>
        </is>
      </c>
      <c r="AR261" t="inlineStr"/>
      <c r="AS261" t="inlineStr">
        <is>
          <t>boss</t>
        </is>
      </c>
      <c r="AT261" t="inlineStr">
        <is>
          <t>moloch</t>
        </is>
      </c>
      <c r="AU261" t="n">
        <v>1</v>
      </c>
      <c r="AV261" t="inlineStr">
        <is>
          <t>moloch:4;moloch:5</t>
        </is>
      </c>
      <c r="AW261" t="n">
        <v>0</v>
      </c>
      <c r="AX261" t="b">
        <v>0</v>
      </c>
      <c r="AY261" t="inlineStr"/>
      <c r="AZ261">
        <f>IF(AND($AX$261,$AW$261&gt;$AA$261/$Z$261),$AW$261,$AA$261/$Z$261)</f>
        <v/>
      </c>
      <c r="BA261" t="n">
        <v>0.1882352941176471</v>
      </c>
      <c r="BB261" t="n">
        <v>8</v>
      </c>
      <c r="BC261" t="n">
        <v>6</v>
      </c>
      <c r="BD261" t="inlineStr">
        <is>
          <t>gun</t>
        </is>
      </c>
      <c r="BE261" t="inlineStr">
        <is>
          <t>the sheet's 'Ngoài đời': Rh-120 6-8 rpm with a loader (Wikipedia 'Rheinmetall 120 mm gun')</t>
        </is>
      </c>
      <c r="BF261" t="inlineStr">
        <is>
          <t>real Rh-120 with a loader, 8 rpm (7.5 s); wave 1's 5.1 s is too fast after the 30 % rule; made up: a twin Rh-120 (wave 1's gun_120_twin); made up: a twin Rh-120 (wave 1's gun_120_twin)</t>
        </is>
      </c>
      <c r="BG261" t="inlineStr">
        <is>
          <t>doi</t>
        </is>
      </c>
      <c r="BH261" t="n">
        <v>220</v>
      </c>
      <c r="BI261" t="n">
        <v>260</v>
      </c>
      <c r="BJ261" t="n">
        <v>2</v>
      </c>
      <c r="BK261" t="n">
        <v>7.5</v>
      </c>
      <c r="BX261" t="n">
        <v>1</v>
      </c>
      <c r="BY261" t="n">
        <v>2</v>
      </c>
      <c r="BZ261" t="inlineStr">
        <is>
          <t>RIPPLE</t>
        </is>
      </c>
      <c r="CA261" t="inlineStr">
        <is>
          <t>SIMULTANEOUS</t>
        </is>
      </c>
      <c r="CO261" t="n">
        <v>2</v>
      </c>
      <c r="DD261" t="n">
        <v>7.5</v>
      </c>
      <c r="DE261" t="n">
        <v>260</v>
      </c>
      <c r="DO261" t="n">
        <v>25</v>
      </c>
      <c r="DT261" t="inlineStr">
        <is>
          <t>p26_moloch_mo120ap</t>
        </is>
      </c>
      <c r="EQ261" t="inlineStr">
        <is>
          <t>Rh-120 L/44 120 mm AP (twin)</t>
        </is>
      </c>
      <c r="EW261" t="inlineStr">
        <is>
          <t>SIMULTANEOUS</t>
        </is>
      </c>
      <c r="GD261" t="inlineStr">
        <is>
          <t>Assets/MachineBrigade/Resources/Data/balance.json: weapons[187]</t>
        </is>
      </c>
      <c r="GE261" t="inlineStr">
        <is>
          <t>{"id":"p26_moloch_direct_mo120ap","groundMinReach":25,"inherits":"p26_moloch_mo120ap","real":"Rh-120 L/44 120 mm AP (twin)","salvoMode":"SIMULTANEOUS","barrels":2,"cooldown":7.5,"damage":260}</t>
        </is>
      </c>
    </row>
    <row r="262">
      <c r="A262" t="inlineStr">
        <is>
          <t>p26_moloch_main_mo120</t>
        </is>
      </c>
      <c r="B262" t="inlineStr">
        <is>
          <t>Rh-120 L/44 120 mm HE (twin)</t>
        </is>
      </c>
      <c r="C262" t="inlineStr">
        <is>
          <t>cal_120_he</t>
        </is>
      </c>
      <c r="D262" t="inlineStr"/>
      <c r="E262" t="inlineStr"/>
      <c r="F262" t="inlineStr">
        <is>
          <t>tank_gun</t>
        </is>
      </c>
      <c r="G262" t="n">
        <v>120</v>
      </c>
      <c r="H262" t="inlineStr"/>
      <c r="I262" t="inlineStr"/>
      <c r="J262" t="inlineStr"/>
      <c r="K262" t="inlineStr">
        <is>
          <t>HighExplosive</t>
        </is>
      </c>
      <c r="L262" t="n">
        <v>4</v>
      </c>
      <c r="M262" t="inlineStr">
        <is>
          <t>Shell</t>
        </is>
      </c>
      <c r="N262" t="n">
        <v>2</v>
      </c>
      <c r="O262" t="inlineStr">
        <is>
          <t>SIMULTANEOUS</t>
        </is>
      </c>
      <c r="P262" t="n">
        <v>1</v>
      </c>
      <c r="Q262" t="n">
        <v>0.1</v>
      </c>
      <c r="R262" t="n">
        <v>7.5</v>
      </c>
      <c r="S262" t="n">
        <v>0</v>
      </c>
      <c r="T262" t="n">
        <v>0</v>
      </c>
      <c r="U262" t="n">
        <v>0</v>
      </c>
      <c r="V262" t="n">
        <v>0</v>
      </c>
      <c r="W262" t="n">
        <v>340</v>
      </c>
      <c r="X262" t="n">
        <v>5</v>
      </c>
      <c r="Y262" t="n">
        <v>10</v>
      </c>
      <c r="Z262" t="n">
        <v>170</v>
      </c>
      <c r="AA262" t="n">
        <v>32</v>
      </c>
      <c r="AB262" t="n">
        <v>0</v>
      </c>
      <c r="AC262" t="inlineStr">
        <is>
          <t>Ground</t>
        </is>
      </c>
      <c r="AD262" t="inlineStr"/>
      <c r="AE262" t="n">
        <v>0.6</v>
      </c>
      <c r="AF262" t="inlineStr">
        <is>
          <t>Medium</t>
        </is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n">
        <v>120</v>
      </c>
      <c r="AO262" t="n">
        <v>0</v>
      </c>
      <c r="AP262" t="inlineStr">
        <is>
          <t>T3</t>
        </is>
      </c>
      <c r="AQ262" t="inlineStr">
        <is>
          <t>p26_moloch_mo120</t>
        </is>
      </c>
      <c r="AR262" t="inlineStr"/>
      <c r="AS262" t="inlineStr">
        <is>
          <t>boss</t>
        </is>
      </c>
      <c r="AT262" t="inlineStr">
        <is>
          <t>moloch</t>
        </is>
      </c>
      <c r="AU262" t="n">
        <v>1</v>
      </c>
      <c r="AV262" t="inlineStr">
        <is>
          <t>moloch:0;moloch:3</t>
        </is>
      </c>
      <c r="AW262" t="n">
        <v>0</v>
      </c>
      <c r="AX262" t="b">
        <v>0</v>
      </c>
      <c r="AY262" t="inlineStr"/>
      <c r="AZ262">
        <f>IF(AND($AX$262,$AW$262&gt;$AA$262/$Z$262),$AW$262,$AA$262/$Z$262)</f>
        <v/>
      </c>
      <c r="BA262" t="n">
        <v>0.1882352941176471</v>
      </c>
      <c r="BB262" t="n">
        <v>8</v>
      </c>
      <c r="BC262" t="n">
        <v>6</v>
      </c>
      <c r="BD262" t="inlineStr">
        <is>
          <t>gun</t>
        </is>
      </c>
      <c r="BE262" t="inlineStr">
        <is>
          <t>the sheet's 'Ngoài đời': Rh-120 6-8 rpm with a loader (Wikipedia 'Rheinmetall 120 mm gun')</t>
        </is>
      </c>
      <c r="BF262" t="inlineStr">
        <is>
          <t>real Rh-120 with a loader, 8 rpm (7.5 s); wave 1's 5.1 s is too fast after the 30 % rule; made up: a twin Rh-120 (wave 1's gun_120_twin); made up: a twin Rh-120 (wave 1's gun_120_twin); made up: a twin Rh-120 (wave 1's gun_120_twin)</t>
        </is>
      </c>
      <c r="BG262" t="inlineStr">
        <is>
          <t>doi</t>
        </is>
      </c>
      <c r="BH262" t="n">
        <v>300</v>
      </c>
      <c r="BI262" t="n">
        <v>340</v>
      </c>
      <c r="BJ262" t="n">
        <v>1</v>
      </c>
      <c r="BK262" t="n">
        <v>7.5</v>
      </c>
      <c r="BX262" t="n">
        <v>1</v>
      </c>
      <c r="BY262" t="n">
        <v>2</v>
      </c>
      <c r="BZ262" t="inlineStr">
        <is>
          <t>RIPPLE</t>
        </is>
      </c>
      <c r="CA262" t="inlineStr">
        <is>
          <t>SIMULTANEOUS</t>
        </is>
      </c>
      <c r="CO262" t="n">
        <v>2</v>
      </c>
      <c r="DD262" t="n">
        <v>7.5</v>
      </c>
      <c r="DE262" t="n">
        <v>340</v>
      </c>
      <c r="DO262" t="n">
        <v>25</v>
      </c>
      <c r="DT262" t="inlineStr">
        <is>
          <t>p26_moloch_mo120</t>
        </is>
      </c>
      <c r="EQ262" t="inlineStr">
        <is>
          <t>Rh-120 L/44 120 mm HE (twin)</t>
        </is>
      </c>
      <c r="EW262" t="inlineStr">
        <is>
          <t>SIMULTANEOUS</t>
        </is>
      </c>
      <c r="GD262" t="inlineStr">
        <is>
          <t>Assets/MachineBrigade/Resources/Data/balance.json: weapons[186]</t>
        </is>
      </c>
      <c r="GE262" t="inlineStr">
        <is>
          <t>{"id":"p26_moloch_main_mo120","groundMinReach":25,"inherits":"p26_moloch_mo120","real":"Rh-120 L/44 120 mm HE (twin)","salvoMode":"SIMULTANEOUS","barrels":2,"cooldown":7.5,"damage":340}</t>
        </is>
      </c>
    </row>
    <row r="263">
      <c r="A263" t="inlineStr">
        <is>
          <t>p26_moloch_mo120</t>
        </is>
      </c>
      <c r="B263" t="inlineStr">
        <is>
          <t>Rh-120 L/44 120 mm HE</t>
        </is>
      </c>
      <c r="C263" t="inlineStr">
        <is>
          <t>cal_120_he</t>
        </is>
      </c>
      <c r="D263" t="inlineStr"/>
      <c r="E263" t="inlineStr"/>
      <c r="F263" t="inlineStr">
        <is>
          <t>tank_gun</t>
        </is>
      </c>
      <c r="G263" t="n">
        <v>120</v>
      </c>
      <c r="H263" t="inlineStr"/>
      <c r="I263" t="inlineStr"/>
      <c r="J263" t="inlineStr"/>
      <c r="K263" t="inlineStr">
        <is>
          <t>HighExplosive</t>
        </is>
      </c>
      <c r="L263" t="n">
        <v>4</v>
      </c>
      <c r="M263" t="inlineStr">
        <is>
          <t>Shell</t>
        </is>
      </c>
      <c r="N263" t="n">
        <v>1</v>
      </c>
      <c r="O263" t="inlineStr">
        <is>
          <t>RIPPLE</t>
        </is>
      </c>
      <c r="P263" t="n">
        <v>1</v>
      </c>
      <c r="Q263" t="n">
        <v>0.1</v>
      </c>
      <c r="R263" t="n">
        <v>2</v>
      </c>
      <c r="S263" t="n">
        <v>0</v>
      </c>
      <c r="T263" t="n">
        <v>0</v>
      </c>
      <c r="U263" t="n">
        <v>0</v>
      </c>
      <c r="V263" t="n">
        <v>0</v>
      </c>
      <c r="W263" t="n">
        <v>225</v>
      </c>
      <c r="X263" t="n">
        <v>5</v>
      </c>
      <c r="Y263" t="n">
        <v>10</v>
      </c>
      <c r="Z263" t="n">
        <v>170</v>
      </c>
      <c r="AA263" t="n">
        <v>32</v>
      </c>
      <c r="AB263" t="n">
        <v>0</v>
      </c>
      <c r="AC263" t="inlineStr">
        <is>
          <t>Ground</t>
        </is>
      </c>
      <c r="AD263" t="inlineStr"/>
      <c r="AE263" t="n">
        <v>0.6</v>
      </c>
      <c r="AF263" t="inlineStr">
        <is>
          <t>Medium</t>
        </is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n">
        <v>120</v>
      </c>
      <c r="AO263" t="n">
        <v>0</v>
      </c>
      <c r="AP263" t="inlineStr">
        <is>
          <t>T3</t>
        </is>
      </c>
      <c r="AQ263" t="inlineStr">
        <is>
          <t>gun_120mm</t>
        </is>
      </c>
      <c r="AR263" t="inlineStr"/>
      <c r="AS263" t="inlineStr"/>
      <c r="AT263" t="inlineStr"/>
      <c r="AU263" t="n">
        <v>0</v>
      </c>
      <c r="AV263" t="inlineStr"/>
      <c r="AW263" t="n">
        <v>0</v>
      </c>
      <c r="AX263" t="b">
        <v>0</v>
      </c>
      <c r="AY263" t="inlineStr"/>
      <c r="AZ263">
        <f>IF(AND($AX$263,$AW$263&gt;$AA$263/$Z$263),$AW$263,$AA$263/$Z$263)</f>
        <v/>
      </c>
      <c r="BA263" t="n">
        <v>0.1882352941176471</v>
      </c>
      <c r="BB263" t="n">
        <v>8</v>
      </c>
      <c r="BC263" t="n">
        <v>6</v>
      </c>
      <c r="BD263" t="inlineStr">
        <is>
          <t>gun</t>
        </is>
      </c>
      <c r="BE263" t="inlineStr">
        <is>
          <t>the sheet's 'Ngoài đời': Rh-120 6-8 rpm with a loader (Wikipedia 'Rheinmetall 120 mm gun')</t>
        </is>
      </c>
      <c r="BG263" t="inlineStr">
        <is>
          <t>giong</t>
        </is>
      </c>
      <c r="DD263" t="n">
        <v>2</v>
      </c>
      <c r="DE263" t="n">
        <v>225</v>
      </c>
      <c r="DF263" t="inlineStr">
        <is>
          <t>HighExplosive</t>
        </is>
      </c>
      <c r="DG263" t="n">
        <v>10</v>
      </c>
      <c r="DT263" t="inlineStr">
        <is>
          <t>gun_120mm</t>
        </is>
      </c>
      <c r="EB263" t="n">
        <v>4</v>
      </c>
      <c r="EQ263" t="inlineStr">
        <is>
          <t>Rh-120 L/44 120 mm HE</t>
        </is>
      </c>
      <c r="EY263" t="n">
        <v>5</v>
      </c>
      <c r="GA263" t="inlineStr"/>
      <c r="GB263" t="inlineStr">
        <is>
          <t>cal_120_he</t>
        </is>
      </c>
      <c r="GD263" t="inlineStr">
        <is>
          <t>Assets/MachineBrigade/Resources/Data/balance.json: weapons[184]</t>
        </is>
      </c>
      <c r="GE263" t="inlineStr">
        <is>
          <t>{"id":"p26_moloch_mo120","inherits":"gun_120mm","weaponFamilyId":"cal_120_he","weaponFamily":"","real":"Rh-120 L/44 120 mm HE","damageType":"HighExplosive","damage":225,"cooldown":2,"pen":4,"splash":5,"edge":10}</t>
        </is>
      </c>
    </row>
    <row r="264">
      <c r="A264" t="inlineStr">
        <is>
          <t>p26_moloch_mo120ap</t>
        </is>
      </c>
      <c r="B264" t="inlineStr">
        <is>
          <t>Rh-120 L/44 120 mm AP</t>
        </is>
      </c>
      <c r="C264" t="inlineStr">
        <is>
          <t>cal_120_ap</t>
        </is>
      </c>
      <c r="D264" t="inlineStr"/>
      <c r="E264" t="inlineStr"/>
      <c r="F264" t="inlineStr">
        <is>
          <t>tank_gun</t>
        </is>
      </c>
      <c r="G264" t="n">
        <v>120</v>
      </c>
      <c r="H264" t="inlineStr"/>
      <c r="I264" t="inlineStr"/>
      <c r="J264" t="inlineStr"/>
      <c r="K264" t="inlineStr">
        <is>
          <t>Kinetic</t>
        </is>
      </c>
      <c r="L264" t="n">
        <v>5</v>
      </c>
      <c r="M264" t="inlineStr">
        <is>
          <t>Shell</t>
        </is>
      </c>
      <c r="N264" t="n">
        <v>1</v>
      </c>
      <c r="O264" t="inlineStr">
        <is>
          <t>RIPPLE</t>
        </is>
      </c>
      <c r="P264" t="n">
        <v>1</v>
      </c>
      <c r="Q264" t="n">
        <v>0.1</v>
      </c>
      <c r="R264" t="n">
        <v>2</v>
      </c>
      <c r="S264" t="n">
        <v>0</v>
      </c>
      <c r="T264" t="n">
        <v>0</v>
      </c>
      <c r="U264" t="n">
        <v>0</v>
      </c>
      <c r="V264" t="n">
        <v>0</v>
      </c>
      <c r="W264" t="n">
        <v>240</v>
      </c>
      <c r="X264" t="n">
        <v>0</v>
      </c>
      <c r="Y264" t="n">
        <v>0</v>
      </c>
      <c r="Z264" t="n">
        <v>170</v>
      </c>
      <c r="AA264" t="n">
        <v>32</v>
      </c>
      <c r="AB264" t="n">
        <v>0</v>
      </c>
      <c r="AC264" t="inlineStr">
        <is>
          <t>Ground</t>
        </is>
      </c>
      <c r="AD264" t="inlineStr"/>
      <c r="AE264" t="n">
        <v>0.6</v>
      </c>
      <c r="AF264" t="inlineStr">
        <is>
          <t>Medium</t>
        </is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n">
        <v>120</v>
      </c>
      <c r="AO264" t="n">
        <v>0</v>
      </c>
      <c r="AP264" t="inlineStr">
        <is>
          <t>T3</t>
        </is>
      </c>
      <c r="AQ264" t="inlineStr">
        <is>
          <t>gun_120mm</t>
        </is>
      </c>
      <c r="AR264" t="inlineStr"/>
      <c r="AS264" t="inlineStr"/>
      <c r="AT264" t="inlineStr"/>
      <c r="AU264" t="n">
        <v>0</v>
      </c>
      <c r="AV264" t="inlineStr"/>
      <c r="AW264" t="n">
        <v>0</v>
      </c>
      <c r="AX264" t="b">
        <v>0</v>
      </c>
      <c r="AY264" t="inlineStr"/>
      <c r="AZ264">
        <f>IF(AND($AX$264,$AW$264&gt;$AA$264/$Z$264),$AW$264,$AA$264/$Z$264)</f>
        <v/>
      </c>
      <c r="BA264" t="n">
        <v>0.1882352941176471</v>
      </c>
      <c r="BB264" t="n">
        <v>8</v>
      </c>
      <c r="BC264" t="n">
        <v>6</v>
      </c>
      <c r="BD264" t="inlineStr">
        <is>
          <t>gun</t>
        </is>
      </c>
      <c r="BE264" t="inlineStr">
        <is>
          <t>the sheet's 'Ngoài đời': Rh-120 6-8 rpm with a loader (Wikipedia 'Rheinmetall 120 mm gun')</t>
        </is>
      </c>
      <c r="BG264" t="inlineStr">
        <is>
          <t>giong</t>
        </is>
      </c>
      <c r="DD264" t="n">
        <v>2</v>
      </c>
      <c r="DE264" t="n">
        <v>240</v>
      </c>
      <c r="DT264" t="inlineStr">
        <is>
          <t>gun_120mm</t>
        </is>
      </c>
      <c r="EB264" t="n">
        <v>5</v>
      </c>
      <c r="EQ264" t="inlineStr">
        <is>
          <t>Rh-120 L/44 120 mm AP</t>
        </is>
      </c>
      <c r="EY264" t="n">
        <v>0</v>
      </c>
      <c r="GA264" t="inlineStr"/>
      <c r="GD264" t="inlineStr">
        <is>
          <t>Assets/MachineBrigade/Resources/Data/balance.json: weapons[185]</t>
        </is>
      </c>
      <c r="GE264" t="inlineStr">
        <is>
          <t>{"id":"p26_moloch_mo120ap","inherits":"gun_120mm","weaponFamily":"","real":"Rh-120 L/44 120 mm AP","damage":240,"cooldown":2,"pen":5,"splash":0}</t>
        </is>
      </c>
    </row>
    <row r="265">
      <c r="A265" t="inlineStr">
        <is>
          <t>p26_moloch_tiny_zu23</t>
        </is>
      </c>
      <c r="B265" t="inlineStr">
        <is>
          <t>ZU-23-2 23 mm</t>
        </is>
      </c>
      <c r="C265" t="inlineStr">
        <is>
          <t>cal_23</t>
        </is>
      </c>
      <c r="D265" t="inlineStr"/>
      <c r="E265" t="inlineStr"/>
      <c r="F265" t="inlineStr">
        <is>
          <t>autocannon</t>
        </is>
      </c>
      <c r="G265" t="n">
        <v>23</v>
      </c>
      <c r="H265" t="inlineStr"/>
      <c r="I265" t="inlineStr"/>
      <c r="J265" t="inlineStr"/>
      <c r="K265" t="inlineStr">
        <is>
          <t>Fragmentation</t>
        </is>
      </c>
      <c r="L265" t="n">
        <v>1</v>
      </c>
      <c r="M265" t="inlineStr">
        <is>
          <t>Bullet</t>
        </is>
      </c>
      <c r="N265" t="n">
        <v>2</v>
      </c>
      <c r="O265" t="inlineStr">
        <is>
          <t>RIPPLE</t>
        </is>
      </c>
      <c r="P265" t="n">
        <v>1</v>
      </c>
      <c r="Q265" t="n">
        <v>0.1</v>
      </c>
      <c r="R265" t="n">
        <v>0.02</v>
      </c>
      <c r="S265" t="n">
        <v>100</v>
      </c>
      <c r="T265" t="n">
        <v>2.98</v>
      </c>
      <c r="U265" t="n">
        <v>0</v>
      </c>
      <c r="V265" t="n">
        <v>0</v>
      </c>
      <c r="W265" t="n">
        <v>3.5</v>
      </c>
      <c r="X265" t="n">
        <v>0</v>
      </c>
      <c r="Y265" t="n">
        <v>0</v>
      </c>
      <c r="Z265" t="n">
        <v>240</v>
      </c>
      <c r="AA265" t="n">
        <v>38</v>
      </c>
      <c r="AB265" t="n">
        <v>0</v>
      </c>
      <c r="AC265" t="inlineStr">
        <is>
          <t>All</t>
        </is>
      </c>
      <c r="AD265" t="inlineStr"/>
      <c r="AE265" t="n">
        <v>1.6</v>
      </c>
      <c r="AF265" t="inlineStr">
        <is>
          <t>Small</t>
        </is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n">
        <v>23</v>
      </c>
      <c r="AO265" t="n">
        <v>0</v>
      </c>
      <c r="AP265" t="inlineStr">
        <is>
          <t>T1</t>
        </is>
      </c>
      <c r="AQ265" t="inlineStr">
        <is>
          <t>zu23</t>
        </is>
      </c>
      <c r="AR265" t="inlineStr"/>
      <c r="AS265" t="inlineStr">
        <is>
          <t>boss</t>
        </is>
      </c>
      <c r="AT265" t="inlineStr">
        <is>
          <t>moloch</t>
        </is>
      </c>
      <c r="AU265" t="n">
        <v>1</v>
      </c>
      <c r="AV265" t="inlineStr">
        <is>
          <t>moloch:1;moloch:2</t>
        </is>
      </c>
      <c r="AW265" t="n">
        <v>0</v>
      </c>
      <c r="AX265" t="b">
        <v>0</v>
      </c>
      <c r="AY265" t="inlineStr">
        <is>
          <t>KHONG_AP_DUNG</t>
        </is>
      </c>
      <c r="AZ265">
        <f>IF(AND($AX$265,$AW$265&gt;$AA$265/$Z$265),$AW$265,$AA$265/$Z$265)</f>
        <v/>
      </c>
      <c r="BA265" t="n">
        <v>0.1583333333333333</v>
      </c>
      <c r="BB265" t="n">
        <v>1000</v>
      </c>
      <c r="BC265" t="n">
        <v>400</v>
      </c>
      <c r="BD265" t="inlineStr">
        <is>
          <t>aa</t>
        </is>
      </c>
      <c r="BE265" t="inlineStr">
        <is>
          <t>Wikipedia 'ZU-23-2': 2 x 800-1,000 rpm</t>
        </is>
      </c>
      <c r="BF265" t="inlineStr">
        <is>
          <t>wave 1 zu23: 50 rounds at 1,500 rpm, changed in 3 s (ZU-23-2 2 x 800-1,000 rpm)</t>
        </is>
      </c>
      <c r="BG265" t="inlineStr">
        <is>
          <t>doi</t>
        </is>
      </c>
      <c r="BH265" t="n">
        <v>1.4</v>
      </c>
      <c r="BI265" t="n">
        <v>3.5</v>
      </c>
      <c r="BJ265" t="n">
        <v>0.04</v>
      </c>
      <c r="BK265" t="n">
        <v>0.02</v>
      </c>
      <c r="BX265" t="n">
        <v>1</v>
      </c>
      <c r="BY265" t="n">
        <v>2</v>
      </c>
      <c r="CF265" t="n">
        <v>50</v>
      </c>
      <c r="CG265" t="n">
        <v>100</v>
      </c>
      <c r="CH265" t="n">
        <v>3.04</v>
      </c>
      <c r="CI265" t="n">
        <v>2.98</v>
      </c>
      <c r="CX265" t="n">
        <v>2.98</v>
      </c>
      <c r="DE265" t="n">
        <v>3.5</v>
      </c>
      <c r="DT265" t="inlineStr">
        <is>
          <t>zu23</t>
        </is>
      </c>
      <c r="GD265" t="inlineStr">
        <is>
          <t>Assets/MachineBrigade/Resources/Data/balance.json: weapons[189]</t>
        </is>
      </c>
      <c r="GE265" t="inlineStr">
        <is>
          <t>{"id":"p26_moloch_tiny_zu23","inherits":"zu23","clipReload":2.98,"damage":3.5}</t>
        </is>
      </c>
    </row>
    <row r="266">
      <c r="A266" t="inlineStr">
        <is>
          <t>p26_nemesis_close_boss_flak</t>
        </is>
      </c>
      <c r="B266" t="inlineStr">
        <is>
          <t>Oerlikon 35 mm (twin)</t>
        </is>
      </c>
      <c r="C266" t="inlineStr">
        <is>
          <t>cal_35</t>
        </is>
      </c>
      <c r="D266" t="inlineStr"/>
      <c r="E266" t="inlineStr"/>
      <c r="F266" t="inlineStr">
        <is>
          <t>autocannon</t>
        </is>
      </c>
      <c r="G266" t="n">
        <v>35</v>
      </c>
      <c r="H266" t="inlineStr"/>
      <c r="I266" t="inlineStr"/>
      <c r="J266" t="inlineStr"/>
      <c r="K266" t="inlineStr">
        <is>
          <t>Fragmentation</t>
        </is>
      </c>
      <c r="L266" t="n">
        <v>2</v>
      </c>
      <c r="M266" t="inlineStr">
        <is>
          <t>Bullet</t>
        </is>
      </c>
      <c r="N266" t="n">
        <v>1</v>
      </c>
      <c r="O266" t="inlineStr">
        <is>
          <t>RIPPLE</t>
        </is>
      </c>
      <c r="P266" t="n">
        <v>1</v>
      </c>
      <c r="Q266" t="n">
        <v>0.1</v>
      </c>
      <c r="R266" t="n">
        <v>0.05</v>
      </c>
      <c r="S266" t="n">
        <v>41</v>
      </c>
      <c r="T266" t="n">
        <v>3.38</v>
      </c>
      <c r="U266" t="n">
        <v>0</v>
      </c>
      <c r="V266" t="n">
        <v>0</v>
      </c>
      <c r="W266" t="n">
        <v>25</v>
      </c>
      <c r="X266" t="n">
        <v>2.5</v>
      </c>
      <c r="Y266" t="n">
        <v>0</v>
      </c>
      <c r="Z266" t="n">
        <v>260</v>
      </c>
      <c r="AA266" t="n">
        <v>40</v>
      </c>
      <c r="AB266" t="n">
        <v>0</v>
      </c>
      <c r="AC266" t="inlineStr">
        <is>
          <t>All</t>
        </is>
      </c>
      <c r="AD266" t="inlineStr"/>
      <c r="AE266" t="n">
        <v>1.5</v>
      </c>
      <c r="AF266" t="inlineStr">
        <is>
          <t>Small</t>
        </is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n">
        <v>35</v>
      </c>
      <c r="AO266" t="n">
        <v>0</v>
      </c>
      <c r="AP266" t="inlineStr">
        <is>
          <t>T1</t>
        </is>
      </c>
      <c r="AQ266" t="inlineStr">
        <is>
          <t>boss_flak</t>
        </is>
      </c>
      <c r="AR266" t="inlineStr"/>
      <c r="AS266" t="inlineStr">
        <is>
          <t>boss</t>
        </is>
      </c>
      <c r="AT266" t="inlineStr">
        <is>
          <t>nuke_train</t>
        </is>
      </c>
      <c r="AU266" t="n">
        <v>1</v>
      </c>
      <c r="AV266" t="inlineStr">
        <is>
          <t>nuke_train:1;nuke_train:2;nuke_train:6</t>
        </is>
      </c>
      <c r="AW266" t="n">
        <v>0</v>
      </c>
      <c r="AX266" t="b">
        <v>0</v>
      </c>
      <c r="AY266" t="inlineStr"/>
      <c r="AZ266">
        <f>IF(AND($AX$266,$AW$266&gt;$AA$266/$Z$266),$AW$266,$AA$266/$Z$266)</f>
        <v/>
      </c>
      <c r="BA266" t="n">
        <v>0.1538461538461539</v>
      </c>
      <c r="BB266" t="n">
        <v>550</v>
      </c>
      <c r="BC266" t="n">
        <v>300</v>
      </c>
      <c r="BD266" t="inlineStr">
        <is>
          <t>aa</t>
        </is>
      </c>
      <c r="BE266" t="inlineStr">
        <is>
          <t>Wikipedia 'Oerlikon GDF': 550 rpm a gun (the twin: 1,100)</t>
        </is>
      </c>
      <c r="BF266" t="inlineStr">
        <is>
          <t>wave 1 boss_flak: 41 rounds at 1,200 rpm, changed in 3.38 s (twin Oerlikon GDF 2 x 550 rpm)</t>
        </is>
      </c>
      <c r="BG266" t="inlineStr">
        <is>
          <t>doi</t>
        </is>
      </c>
      <c r="BH266" t="n">
        <v>19</v>
      </c>
      <c r="BI266" t="n">
        <v>25</v>
      </c>
      <c r="CX266" t="n">
        <v>3.38</v>
      </c>
      <c r="DE266" t="n">
        <v>25</v>
      </c>
      <c r="DT266" t="inlineStr">
        <is>
          <t>boss_flak</t>
        </is>
      </c>
      <c r="GA266" t="inlineStr"/>
      <c r="GD266" t="inlineStr">
        <is>
          <t>Assets/MachineBrigade/Resources/Data/balance.json: weapons[196]</t>
        </is>
      </c>
      <c r="GE266" t="inlineStr">
        <is>
          <t>{"id":"p26_nemesis_close_boss_flak","inherits":"boss_flak","clipReload":3.38,"weaponFamily":"","damage":25}</t>
        </is>
      </c>
    </row>
    <row r="267">
      <c r="A267" t="inlineStr">
        <is>
          <t>p26_nemesis_direct_ne125</t>
        </is>
      </c>
      <c r="B267" t="inlineStr">
        <is>
          <t>2A46 125 mm</t>
        </is>
      </c>
      <c r="C267" t="inlineStr">
        <is>
          <t>cal_125_ap</t>
        </is>
      </c>
      <c r="D267" t="inlineStr"/>
      <c r="E267" t="inlineStr"/>
      <c r="F267" t="inlineStr">
        <is>
          <t>tank_gun</t>
        </is>
      </c>
      <c r="G267" t="n">
        <v>125</v>
      </c>
      <c r="H267" t="inlineStr"/>
      <c r="I267" t="inlineStr"/>
      <c r="J267" t="inlineStr"/>
      <c r="K267" t="inlineStr">
        <is>
          <t>Kinetic</t>
        </is>
      </c>
      <c r="L267" t="n">
        <v>5</v>
      </c>
      <c r="M267" t="inlineStr">
        <is>
          <t>Shell</t>
        </is>
      </c>
      <c r="N267" t="n">
        <v>1</v>
      </c>
      <c r="O267" t="inlineStr">
        <is>
          <t>RIPPLE</t>
        </is>
      </c>
      <c r="P267" t="n">
        <v>1</v>
      </c>
      <c r="Q267" t="n">
        <v>0.1</v>
      </c>
      <c r="R267" t="n">
        <v>7.5</v>
      </c>
      <c r="S267" t="n">
        <v>0</v>
      </c>
      <c r="T267" t="n">
        <v>0</v>
      </c>
      <c r="U267" t="n">
        <v>0</v>
      </c>
      <c r="V267" t="n">
        <v>0</v>
      </c>
      <c r="W267" t="n">
        <v>400</v>
      </c>
      <c r="X267" t="n">
        <v>0</v>
      </c>
      <c r="Y267" t="n">
        <v>0</v>
      </c>
      <c r="Z267" t="n">
        <v>170</v>
      </c>
      <c r="AA267" t="n">
        <v>38</v>
      </c>
      <c r="AB267" t="n">
        <v>0</v>
      </c>
      <c r="AC267" t="inlineStr">
        <is>
          <t>Ground</t>
        </is>
      </c>
      <c r="AD267" t="inlineStr"/>
      <c r="AE267" t="n">
        <v>0.6</v>
      </c>
      <c r="AF267" t="inlineStr">
        <is>
          <t>Medium</t>
        </is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n">
        <v>125</v>
      </c>
      <c r="AO267" t="n">
        <v>0</v>
      </c>
      <c r="AP267" t="inlineStr">
        <is>
          <t>T3</t>
        </is>
      </c>
      <c r="AQ267" t="inlineStr">
        <is>
          <t>p26_nemesis_ne125</t>
        </is>
      </c>
      <c r="AR267" t="inlineStr"/>
      <c r="AS267" t="inlineStr">
        <is>
          <t>boss</t>
        </is>
      </c>
      <c r="AT267" t="inlineStr">
        <is>
          <t>nuke_train</t>
        </is>
      </c>
      <c r="AU267" t="n">
        <v>1</v>
      </c>
      <c r="AV267" t="inlineStr">
        <is>
          <t>nuke_train:5</t>
        </is>
      </c>
      <c r="AW267" t="n">
        <v>0</v>
      </c>
      <c r="AX267" t="b">
        <v>0</v>
      </c>
      <c r="AY267" t="inlineStr"/>
      <c r="AZ267">
        <f>IF(AND($AX$267,$AW$267&gt;$AA$267/$Z$267),$AW$267,$AA$267/$Z$267)</f>
        <v/>
      </c>
      <c r="BA267" t="n">
        <v>0.2235294117647059</v>
      </c>
      <c r="BB267" t="n">
        <v>8</v>
      </c>
      <c r="BC267" t="n">
        <v>7</v>
      </c>
      <c r="BD267" t="inlineStr">
        <is>
          <t>gun</t>
        </is>
      </c>
      <c r="BE267" t="inlineStr">
        <is>
          <t>Wikipedia '2A46': 7-8 rpm with the autoloader</t>
        </is>
      </c>
      <c r="BF267" t="inlineStr">
        <is>
          <t>real 2A46 with its autoloader, 8 rpm (7.5 s); wave 1's 5.56 s is too fast after the 30 % rule</t>
        </is>
      </c>
      <c r="BG267" t="inlineStr">
        <is>
          <t>doi</t>
        </is>
      </c>
      <c r="BH267" t="n">
        <v>275</v>
      </c>
      <c r="BI267" t="n">
        <v>400</v>
      </c>
      <c r="BJ267" t="n">
        <v>1.5</v>
      </c>
      <c r="BK267" t="n">
        <v>7.5</v>
      </c>
      <c r="DD267" t="n">
        <v>7.5</v>
      </c>
      <c r="DE267" t="n">
        <v>400</v>
      </c>
      <c r="DO267" t="n">
        <v>30</v>
      </c>
      <c r="DT267" t="inlineStr">
        <is>
          <t>p26_nemesis_ne125</t>
        </is>
      </c>
      <c r="GD267" t="inlineStr">
        <is>
          <t>Assets/MachineBrigade/Resources/Data/balance.json: weapons[195]</t>
        </is>
      </c>
      <c r="GE267" t="inlineStr">
        <is>
          <t>{"id":"p26_nemesis_direct_ne125","groundMinReach":30,"inherits":"p26_nemesis_ne125","cooldown":7.5,"damage":400}</t>
        </is>
      </c>
    </row>
    <row r="268">
      <c r="A268" t="inlineStr">
        <is>
          <t>p26_nemesis_main_ne152</t>
        </is>
      </c>
      <c r="B268" t="inlineStr">
        <is>
          <t>152 mm railcar gun</t>
        </is>
      </c>
      <c r="C268" t="inlineStr">
        <is>
          <t>cal_152_155</t>
        </is>
      </c>
      <c r="D268" t="inlineStr"/>
      <c r="E268" t="inlineStr"/>
      <c r="F268" t="inlineStr">
        <is>
          <t>howitzer</t>
        </is>
      </c>
      <c r="G268" t="n">
        <v>152</v>
      </c>
      <c r="H268" t="inlineStr"/>
      <c r="I268" t="inlineStr"/>
      <c r="J268" t="inlineStr"/>
      <c r="K268" t="inlineStr">
        <is>
          <t>HighExplosive</t>
        </is>
      </c>
      <c r="L268" t="n">
        <v>3</v>
      </c>
      <c r="M268" t="inlineStr">
        <is>
          <t>Shell</t>
        </is>
      </c>
      <c r="N268" t="n">
        <v>1</v>
      </c>
      <c r="O268" t="inlineStr">
        <is>
          <t>RIPPLE</t>
        </is>
      </c>
      <c r="P268" t="n">
        <v>1</v>
      </c>
      <c r="Q268" t="n">
        <v>0.5</v>
      </c>
      <c r="R268" t="n">
        <v>7.5</v>
      </c>
      <c r="S268" t="n">
        <v>0</v>
      </c>
      <c r="T268" t="n">
        <v>0</v>
      </c>
      <c r="U268" t="n">
        <v>0</v>
      </c>
      <c r="V268" t="n">
        <v>0</v>
      </c>
      <c r="W268" t="n">
        <v>600</v>
      </c>
      <c r="X268" t="n">
        <v>7</v>
      </c>
      <c r="Y268" t="n">
        <v>14</v>
      </c>
      <c r="Z268" t="n">
        <v>150</v>
      </c>
      <c r="AA268" t="n">
        <v>40</v>
      </c>
      <c r="AB268" t="n">
        <v>0</v>
      </c>
      <c r="AC268" t="inlineStr">
        <is>
          <t>Ground</t>
        </is>
      </c>
      <c r="AD268" t="inlineStr"/>
      <c r="AE268" t="n">
        <v>0.8</v>
      </c>
      <c r="AF268" t="inlineStr">
        <is>
          <t>Huge</t>
        </is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n">
        <v>152</v>
      </c>
      <c r="AO268" t="n">
        <v>0</v>
      </c>
      <c r="AP268" t="inlineStr">
        <is>
          <t>T3</t>
        </is>
      </c>
      <c r="AQ268" t="inlineStr">
        <is>
          <t>p26_nemesis_ne152</t>
        </is>
      </c>
      <c r="AR268" t="inlineStr"/>
      <c r="AS268" t="inlineStr">
        <is>
          <t>boss</t>
        </is>
      </c>
      <c r="AT268" t="inlineStr">
        <is>
          <t>nuke_train</t>
        </is>
      </c>
      <c r="AU268" t="n">
        <v>1</v>
      </c>
      <c r="AV268" t="inlineStr">
        <is>
          <t>nuke_train:0</t>
        </is>
      </c>
      <c r="AW268" t="n">
        <v>0</v>
      </c>
      <c r="AX268" t="b">
        <v>0</v>
      </c>
      <c r="AY268" t="inlineStr"/>
      <c r="AZ268">
        <f>IF(AND($AX$268,$AW$268&gt;$AA$268/$Z$268),$AW$268,$AA$268/$Z$268)</f>
        <v/>
      </c>
      <c r="BA268" t="n">
        <v>0.2666666666666667</v>
      </c>
      <c r="BB268" t="n">
        <v>8</v>
      </c>
      <c r="BC268" t="n">
        <v>6</v>
      </c>
      <c r="BD268" t="inlineStr">
        <is>
          <t>gun</t>
        </is>
      </c>
      <c r="BE268" t="inlineStr">
        <is>
          <t>a 152 mm railway mount of the 2A65 class, est. 7-8 rpm</t>
        </is>
      </c>
      <c r="BF268" t="inlineStr">
        <is>
          <t>a 152 mm railway gun of the 2A65 class, 8 rpm (7.5 s); the 4-round 0.5 s salvo was 6 x too fast</t>
        </is>
      </c>
      <c r="BG268" t="inlineStr">
        <is>
          <t>doi</t>
        </is>
      </c>
      <c r="BH268" t="n">
        <v>655</v>
      </c>
      <c r="BI268" t="n">
        <v>600</v>
      </c>
      <c r="BJ268" t="n">
        <v>3</v>
      </c>
      <c r="BK268" t="n">
        <v>7.5</v>
      </c>
      <c r="BN268" t="n">
        <v>8.5</v>
      </c>
      <c r="BO268" t="n">
        <v>7</v>
      </c>
      <c r="BP268" t="n">
        <v>17</v>
      </c>
      <c r="BQ268" t="n">
        <v>14</v>
      </c>
      <c r="BT268" t="n">
        <v>4</v>
      </c>
      <c r="BU268" t="n">
        <v>1</v>
      </c>
      <c r="CR268" t="n">
        <v>1</v>
      </c>
      <c r="DD268" t="n">
        <v>7.5</v>
      </c>
      <c r="DE268" t="n">
        <v>600</v>
      </c>
      <c r="DG268" t="n">
        <v>14</v>
      </c>
      <c r="DO268" t="n">
        <v>32</v>
      </c>
      <c r="DT268" t="inlineStr">
        <is>
          <t>p26_nemesis_ne152</t>
        </is>
      </c>
      <c r="EY268" t="n">
        <v>7</v>
      </c>
      <c r="GD268" t="inlineStr">
        <is>
          <t>Assets/MachineBrigade/Resources/Data/balance.json: weapons[192]</t>
        </is>
      </c>
      <c r="GE268" t="inlineStr">
        <is>
          <t>{"id":"p26_nemesis_main_ne152","groundMinReach":32,"inherits":"p26_nemesis_ne152","burst":1,"edge":14,"splash":7,"cooldown":7.5,"damage":600}</t>
        </is>
      </c>
    </row>
    <row r="269">
      <c r="A269" t="inlineStr">
        <is>
          <t>p26_nemesis_ne125</t>
        </is>
      </c>
      <c r="B269" t="inlineStr">
        <is>
          <t>2A46 125 mm</t>
        </is>
      </c>
      <c r="C269" t="inlineStr">
        <is>
          <t>cal_125_ap</t>
        </is>
      </c>
      <c r="D269" t="inlineStr"/>
      <c r="E269" t="inlineStr"/>
      <c r="F269" t="inlineStr">
        <is>
          <t>tank_gun</t>
        </is>
      </c>
      <c r="G269" t="n">
        <v>125</v>
      </c>
      <c r="H269" t="inlineStr"/>
      <c r="I269" t="inlineStr"/>
      <c r="J269" t="inlineStr"/>
      <c r="K269" t="inlineStr">
        <is>
          <t>Kinetic</t>
        </is>
      </c>
      <c r="L269" t="n">
        <v>5</v>
      </c>
      <c r="M269" t="inlineStr">
        <is>
          <t>Shell</t>
        </is>
      </c>
      <c r="N269" t="n">
        <v>1</v>
      </c>
      <c r="O269" t="inlineStr">
        <is>
          <t>RIPPLE</t>
        </is>
      </c>
      <c r="P269" t="n">
        <v>1</v>
      </c>
      <c r="Q269" t="n">
        <v>0.1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  <c r="W269" t="n">
        <v>280</v>
      </c>
      <c r="X269" t="n">
        <v>0</v>
      </c>
      <c r="Y269" t="n">
        <v>0</v>
      </c>
      <c r="Z269" t="n">
        <v>170</v>
      </c>
      <c r="AA269" t="n">
        <v>38</v>
      </c>
      <c r="AB269" t="n">
        <v>0</v>
      </c>
      <c r="AC269" t="inlineStr">
        <is>
          <t>Ground</t>
        </is>
      </c>
      <c r="AD269" t="inlineStr"/>
      <c r="AE269" t="n">
        <v>0.6</v>
      </c>
      <c r="AF269" t="inlineStr">
        <is>
          <t>Medium</t>
        </is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n">
        <v>125</v>
      </c>
      <c r="AO269" t="n">
        <v>0</v>
      </c>
      <c r="AP269" t="inlineStr">
        <is>
          <t>T3</t>
        </is>
      </c>
      <c r="AQ269" t="inlineStr">
        <is>
          <t>gun_120mm</t>
        </is>
      </c>
      <c r="AR269" t="inlineStr"/>
      <c r="AS269" t="inlineStr"/>
      <c r="AT269" t="inlineStr"/>
      <c r="AU269" t="n">
        <v>0</v>
      </c>
      <c r="AV269" t="inlineStr"/>
      <c r="AW269" t="n">
        <v>0</v>
      </c>
      <c r="AX269" t="b">
        <v>0</v>
      </c>
      <c r="AY269" t="inlineStr"/>
      <c r="AZ269">
        <f>IF(AND($AX$269,$AW$269&gt;$AA$269/$Z$269),$AW$269,$AA$269/$Z$269)</f>
        <v/>
      </c>
      <c r="BA269" t="n">
        <v>0.2235294117647059</v>
      </c>
      <c r="BB269" t="n">
        <v>8</v>
      </c>
      <c r="BC269" t="n">
        <v>7</v>
      </c>
      <c r="BD269" t="inlineStr">
        <is>
          <t>gun</t>
        </is>
      </c>
      <c r="BE269" t="inlineStr">
        <is>
          <t>Wikipedia '2A46': 7-8 rpm with the autoloader</t>
        </is>
      </c>
      <c r="BG269" t="inlineStr">
        <is>
          <t>giong</t>
        </is>
      </c>
      <c r="CT269" t="n">
        <v>125</v>
      </c>
      <c r="DD269" t="n">
        <v>2</v>
      </c>
      <c r="DE269" t="n">
        <v>280</v>
      </c>
      <c r="DT269" t="inlineStr">
        <is>
          <t>gun_120mm</t>
        </is>
      </c>
      <c r="EB269" t="n">
        <v>5</v>
      </c>
      <c r="EP269" t="n">
        <v>38</v>
      </c>
      <c r="EQ269" t="inlineStr">
        <is>
          <t>2A46 125 mm</t>
        </is>
      </c>
      <c r="EX269" t="n">
        <v>125</v>
      </c>
      <c r="EY269" t="n">
        <v>0</v>
      </c>
      <c r="GA269" t="inlineStr"/>
      <c r="GB269" t="inlineStr">
        <is>
          <t>cal_125_ap</t>
        </is>
      </c>
      <c r="GD269" t="inlineStr">
        <is>
          <t>Assets/MachineBrigade/Resources/Data/balance.json: weapons[191]</t>
        </is>
      </c>
      <c r="GE269" t="inlineStr">
        <is>
          <t>{"id":"p26_nemesis_ne125","inherits":"gun_120mm","weaponFamilyId":"cal_125_ap","weaponFamily":"","real":"2A46 125 mm","size":125,"caliberMm":125,"damage":280,"cooldown":2,"pen":5,"splash":0,"range":38}</t>
        </is>
      </c>
    </row>
    <row r="270">
      <c r="A270" t="inlineStr">
        <is>
          <t>p26_nemesis_ne152</t>
        </is>
      </c>
      <c r="B270" t="inlineStr">
        <is>
          <t>152 mm railcar gun</t>
        </is>
      </c>
      <c r="C270" t="inlineStr">
        <is>
          <t>cal_152_155</t>
        </is>
      </c>
      <c r="D270" t="inlineStr"/>
      <c r="E270" t="inlineStr"/>
      <c r="F270" t="inlineStr">
        <is>
          <t>howitzer</t>
        </is>
      </c>
      <c r="G270" t="n">
        <v>152</v>
      </c>
      <c r="H270" t="inlineStr"/>
      <c r="I270" t="inlineStr"/>
      <c r="J270" t="inlineStr"/>
      <c r="K270" t="inlineStr">
        <is>
          <t>HighExplosive</t>
        </is>
      </c>
      <c r="L270" t="n">
        <v>3</v>
      </c>
      <c r="M270" t="inlineStr">
        <is>
          <t>Shell</t>
        </is>
      </c>
      <c r="N270" t="n">
        <v>1</v>
      </c>
      <c r="O270" t="inlineStr">
        <is>
          <t>RIPPLE</t>
        </is>
      </c>
      <c r="P270" t="n">
        <v>4</v>
      </c>
      <c r="Q270" t="n">
        <v>0.5</v>
      </c>
      <c r="R270" t="n">
        <v>3.5</v>
      </c>
      <c r="S270" t="n">
        <v>0</v>
      </c>
      <c r="T270" t="n">
        <v>0</v>
      </c>
      <c r="U270" t="n">
        <v>0</v>
      </c>
      <c r="V270" t="n">
        <v>0</v>
      </c>
      <c r="W270" t="n">
        <v>620</v>
      </c>
      <c r="X270" t="n">
        <v>8.5</v>
      </c>
      <c r="Y270" t="n">
        <v>17</v>
      </c>
      <c r="Z270" t="n">
        <v>150</v>
      </c>
      <c r="AA270" t="n">
        <v>40</v>
      </c>
      <c r="AB270" t="n">
        <v>0</v>
      </c>
      <c r="AC270" t="inlineStr">
        <is>
          <t>Ground</t>
        </is>
      </c>
      <c r="AD270" t="inlineStr"/>
      <c r="AE270" t="n">
        <v>0.8</v>
      </c>
      <c r="AF270" t="inlineStr">
        <is>
          <t>Huge</t>
        </is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n">
        <v>152</v>
      </c>
      <c r="AO270" t="n">
        <v>0</v>
      </c>
      <c r="AP270" t="inlineStr">
        <is>
          <t>T3</t>
        </is>
      </c>
      <c r="AQ270" t="inlineStr">
        <is>
          <t>gun_behemoth</t>
        </is>
      </c>
      <c r="AR270" t="inlineStr"/>
      <c r="AS270" t="inlineStr"/>
      <c r="AT270" t="inlineStr"/>
      <c r="AU270" t="n">
        <v>0</v>
      </c>
      <c r="AV270" t="inlineStr"/>
      <c r="AW270" t="n">
        <v>0</v>
      </c>
      <c r="AX270" t="b">
        <v>0</v>
      </c>
      <c r="AY270" t="inlineStr"/>
      <c r="AZ270">
        <f>IF(AND($AX$270,$AW$270&gt;$AA$270/$Z$270),$AW$270,$AA$270/$Z$270)</f>
        <v/>
      </c>
      <c r="BA270" t="n">
        <v>0.2666666666666667</v>
      </c>
      <c r="BB270" t="n">
        <v>8</v>
      </c>
      <c r="BC270" t="n">
        <v>6</v>
      </c>
      <c r="BD270" t="inlineStr">
        <is>
          <t>gun</t>
        </is>
      </c>
      <c r="BE270" t="inlineStr">
        <is>
          <t>a 152 mm railway mount of the 2A65 class, est. 7-8 rpm</t>
        </is>
      </c>
      <c r="BG270" t="inlineStr">
        <is>
          <t>giong</t>
        </is>
      </c>
      <c r="CR270" t="n">
        <v>4</v>
      </c>
      <c r="CS270" t="n">
        <v>0.5</v>
      </c>
      <c r="DD270" t="n">
        <v>3.5</v>
      </c>
      <c r="DE270" t="n">
        <v>620</v>
      </c>
      <c r="DG270" t="n">
        <v>17</v>
      </c>
      <c r="DT270" t="inlineStr">
        <is>
          <t>gun_behemoth</t>
        </is>
      </c>
      <c r="EQ270" t="inlineStr">
        <is>
          <t>152 mm railcar gun</t>
        </is>
      </c>
      <c r="EY270" t="n">
        <v>8.5</v>
      </c>
      <c r="GD270" t="inlineStr">
        <is>
          <t>Assets/MachineBrigade/Resources/Data/balance.json: weapons[190]</t>
        </is>
      </c>
      <c r="GE270" t="inlineStr">
        <is>
          <t>{"id":"p26_nemesis_ne152","inherits":"gun_behemoth","real":"152 mm railcar gun","damage":620,"burst":4,"burstInterval":0.5,"cooldown":3.5,"splash":8.5,"edge":17}</t>
        </is>
      </c>
    </row>
    <row r="271">
      <c r="A271" t="inlineStr">
        <is>
          <t>p26_nemesis_sec_boss_rockets</t>
        </is>
      </c>
      <c r="B271" t="inlineStr">
        <is>
          <t>BM-21 Grad 122 mm</t>
        </is>
      </c>
      <c r="C271" t="inlineStr">
        <is>
          <t>rkt_grad_122</t>
        </is>
      </c>
      <c r="D271" t="inlineStr"/>
      <c r="E271" t="inlineStr"/>
      <c r="F271" t="inlineStr">
        <is>
          <t>rocket</t>
        </is>
      </c>
      <c r="G271" t="n">
        <v>122</v>
      </c>
      <c r="H271" t="inlineStr"/>
      <c r="I271" t="inlineStr"/>
      <c r="J271" t="inlineStr"/>
      <c r="K271" t="inlineStr">
        <is>
          <t>HighExplosive</t>
        </is>
      </c>
      <c r="L271" t="n">
        <v>2</v>
      </c>
      <c r="M271" t="inlineStr">
        <is>
          <t>Rocket</t>
        </is>
      </c>
      <c r="N271" t="n">
        <v>1</v>
      </c>
      <c r="O271" t="inlineStr">
        <is>
          <t>RIPPLE</t>
        </is>
      </c>
      <c r="P271" t="n">
        <v>40</v>
      </c>
      <c r="Q271" t="n">
        <v>0.5</v>
      </c>
      <c r="R271" t="n">
        <v>2.44</v>
      </c>
      <c r="S271" t="n">
        <v>0</v>
      </c>
      <c r="T271" t="n">
        <v>0</v>
      </c>
      <c r="U271" t="n">
        <v>0</v>
      </c>
      <c r="V271" t="n">
        <v>0</v>
      </c>
      <c r="W271" t="n">
        <v>200</v>
      </c>
      <c r="X271" t="n">
        <v>4.5</v>
      </c>
      <c r="Y271" t="n">
        <v>9</v>
      </c>
      <c r="Z271" t="n">
        <v>65</v>
      </c>
      <c r="AA271" t="n">
        <v>45</v>
      </c>
      <c r="AB271" t="n">
        <v>0</v>
      </c>
      <c r="AC271" t="inlineStr">
        <is>
          <t>Ground</t>
        </is>
      </c>
      <c r="AD271" t="inlineStr"/>
      <c r="AE271" t="n">
        <v>5</v>
      </c>
      <c r="AF271" t="inlineStr">
        <is>
          <t>Medium</t>
        </is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n">
        <v>122</v>
      </c>
      <c r="AO271" t="n">
        <v>0</v>
      </c>
      <c r="AP271" t="inlineStr">
        <is>
          <t>T3</t>
        </is>
      </c>
      <c r="AQ271" t="inlineStr">
        <is>
          <t>boss_rockets</t>
        </is>
      </c>
      <c r="AR271" t="inlineStr"/>
      <c r="AS271" t="inlineStr">
        <is>
          <t>boss</t>
        </is>
      </c>
      <c r="AT271" t="inlineStr">
        <is>
          <t>nuke_train</t>
        </is>
      </c>
      <c r="AU271" t="n">
        <v>1</v>
      </c>
      <c r="AV271" t="inlineStr">
        <is>
          <t>nuke_train:3</t>
        </is>
      </c>
      <c r="AW271" t="n">
        <v>0</v>
      </c>
      <c r="AX271" t="b">
        <v>0</v>
      </c>
      <c r="AY271" t="inlineStr"/>
      <c r="AZ271">
        <f>IF(AND($AX$271,$AW$271&gt;$AA$271/$Z$271),$AW$271,$AA$271/$Z$271)</f>
        <v/>
      </c>
      <c r="BA271" t="n">
        <v>0.6923076923076923</v>
      </c>
      <c r="BB271" t="n">
        <v>120</v>
      </c>
      <c r="BC271" t="inlineStr"/>
      <c r="BD271" t="inlineStr">
        <is>
          <t>rocket</t>
        </is>
      </c>
      <c r="BE271" t="inlineStr">
        <is>
          <t>Wikipedia 'BM-21 Grad': 40 rockets in 20 s</t>
        </is>
      </c>
      <c r="BF271" t="inlineStr">
        <is>
          <t>wave 1 boss_rockets: rockets 0.5 s apart (BM-21: 40 in 20 s), 2.44 s after the ripple; each pod keeps its rockets; made up: a full BM-21 pack of 40 tubes (8 before); made up: a full BM-21 pack of 40 tubes (13 before)</t>
        </is>
      </c>
      <c r="BG271" t="inlineStr">
        <is>
          <t>doi</t>
        </is>
      </c>
      <c r="BH271" t="n">
        <v>305</v>
      </c>
      <c r="BI271" t="n">
        <v>200</v>
      </c>
      <c r="BJ271" t="n">
        <v>1.2</v>
      </c>
      <c r="BK271" t="n">
        <v>2.44</v>
      </c>
      <c r="BP271" t="n">
        <v>0</v>
      </c>
      <c r="BQ271" t="n">
        <v>9</v>
      </c>
      <c r="BR271" t="n">
        <v>45</v>
      </c>
      <c r="BS271" t="n">
        <v>65</v>
      </c>
      <c r="BT271" t="n">
        <v>13</v>
      </c>
      <c r="BU271" t="n">
        <v>40</v>
      </c>
      <c r="CR271" t="n">
        <v>40</v>
      </c>
      <c r="CS271" t="n">
        <v>0.5</v>
      </c>
      <c r="DD271" t="n">
        <v>2.44</v>
      </c>
      <c r="DE271" t="n">
        <v>200</v>
      </c>
      <c r="DO271" t="n">
        <v>20</v>
      </c>
      <c r="DT271" t="inlineStr">
        <is>
          <t>boss_rockets</t>
        </is>
      </c>
      <c r="EK271" t="n">
        <v>65</v>
      </c>
      <c r="GD271" t="inlineStr">
        <is>
          <t>Assets/MachineBrigade/Resources/Data/balance.json: weapons[193]</t>
        </is>
      </c>
      <c r="GE271" t="inlineStr">
        <is>
          <t>{"id":"p26_nemesis_sec_boss_rockets","groundMinReach":20,"inherits":"boss_rockets","burst":40,"burstInterval":0.5,"cooldown":2.44,"damage":200,"projectileSpeed":65}</t>
        </is>
      </c>
    </row>
    <row r="272">
      <c r="A272" t="inlineStr">
        <is>
          <t>p26_roc_close_twin_30_bmpt</t>
        </is>
      </c>
      <c r="B272" t="inlineStr">
        <is>
          <t>2A42 30 mm (twin)</t>
        </is>
      </c>
      <c r="C272" t="inlineStr">
        <is>
          <t>cal_30</t>
        </is>
      </c>
      <c r="D272" t="inlineStr"/>
      <c r="E272" t="inlineStr"/>
      <c r="F272" t="inlineStr">
        <is>
          <t>autocannon</t>
        </is>
      </c>
      <c r="G272" t="n">
        <v>30</v>
      </c>
      <c r="H272" t="inlineStr"/>
      <c r="I272" t="inlineStr"/>
      <c r="J272" t="inlineStr"/>
      <c r="K272" t="inlineStr">
        <is>
          <t>Kinetic</t>
        </is>
      </c>
      <c r="L272" t="n">
        <v>2</v>
      </c>
      <c r="M272" t="inlineStr">
        <is>
          <t>Bullet</t>
        </is>
      </c>
      <c r="N272" t="n">
        <v>1</v>
      </c>
      <c r="O272" t="inlineStr">
        <is>
          <t>RIPPLE</t>
        </is>
      </c>
      <c r="P272" t="n">
        <v>12</v>
      </c>
      <c r="Q272" t="n">
        <v>0.0833</v>
      </c>
      <c r="R272" t="n">
        <v>1.45</v>
      </c>
      <c r="S272" t="n">
        <v>0</v>
      </c>
      <c r="T272" t="n">
        <v>0</v>
      </c>
      <c r="U272" t="n">
        <v>0</v>
      </c>
      <c r="V272" t="n">
        <v>0</v>
      </c>
      <c r="W272" t="n">
        <v>22</v>
      </c>
      <c r="X272" t="n">
        <v>0</v>
      </c>
      <c r="Y272" t="n">
        <v>0</v>
      </c>
      <c r="Z272" t="n">
        <v>200</v>
      </c>
      <c r="AA272" t="n">
        <v>30</v>
      </c>
      <c r="AB272" t="n">
        <v>0</v>
      </c>
      <c r="AC272" t="inlineStr">
        <is>
          <t>Ground</t>
        </is>
      </c>
      <c r="AD272" t="inlineStr"/>
      <c r="AE272" t="n">
        <v>0.9</v>
      </c>
      <c r="AF272" t="inlineStr">
        <is>
          <t>Small</t>
        </is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n">
        <v>30</v>
      </c>
      <c r="AO272" t="n">
        <v>0</v>
      </c>
      <c r="AP272" t="inlineStr">
        <is>
          <t>T1</t>
        </is>
      </c>
      <c r="AQ272" t="inlineStr">
        <is>
          <t>twin_30_bmpt</t>
        </is>
      </c>
      <c r="AR272" t="inlineStr"/>
      <c r="AS272" t="inlineStr">
        <is>
          <t>boss</t>
        </is>
      </c>
      <c r="AT272" t="inlineStr">
        <is>
          <t>command_airship</t>
        </is>
      </c>
      <c r="AU272" t="n">
        <v>1</v>
      </c>
      <c r="AV272" t="inlineStr">
        <is>
          <t>command_airship:4;command_airship:5</t>
        </is>
      </c>
      <c r="AW272" t="n">
        <v>0</v>
      </c>
      <c r="AX272" t="b">
        <v>0</v>
      </c>
      <c r="AY272" t="inlineStr"/>
      <c r="AZ272">
        <f>IF(AND($AX$272,$AW$272&gt;$AA$272/$Z$272),$AW$272,$AA$272/$Z$272)</f>
        <v/>
      </c>
      <c r="BA272" t="n">
        <v>0.15</v>
      </c>
      <c r="BB272" t="n">
        <v>800</v>
      </c>
      <c r="BC272" t="n">
        <v>300</v>
      </c>
      <c r="BD272" t="inlineStr">
        <is>
          <t>ac</t>
        </is>
      </c>
      <c r="BE272" t="inlineStr">
        <is>
          <t>Wikipedia '2A42': 550-800 high, 200-300 low rpm</t>
        </is>
      </c>
      <c r="BF272" t="inlineStr">
        <is>
          <t>wave 1 twin_30_bmpt: 12 rounds at 720 rpm, 1.45 s after (wave 1's 1.5 s is a hair over 2 x the practical rate)</t>
        </is>
      </c>
      <c r="BG272" t="inlineStr">
        <is>
          <t>doi</t>
        </is>
      </c>
      <c r="BH272" t="n">
        <v>25</v>
      </c>
      <c r="BI272" t="n">
        <v>22</v>
      </c>
      <c r="BJ272" t="n">
        <v>1.2</v>
      </c>
      <c r="BK272" t="n">
        <v>1.45</v>
      </c>
      <c r="DD272" t="n">
        <v>1.45</v>
      </c>
      <c r="DE272" t="n">
        <v>22</v>
      </c>
      <c r="DT272" t="inlineStr">
        <is>
          <t>twin_30_bmpt</t>
        </is>
      </c>
      <c r="GA272" t="inlineStr"/>
      <c r="GD272" t="inlineStr">
        <is>
          <t>Assets/MachineBrigade/Resources/Data/balance.json: weapons[206]</t>
        </is>
      </c>
      <c r="GE272" t="inlineStr">
        <is>
          <t>{"id":"p26_roc_close_twin_30_bmpt","inherits":"twin_30_bmpt","weaponFamily":"","cooldown":1.45,"damage":22}</t>
        </is>
      </c>
    </row>
    <row r="273">
      <c r="A273" t="inlineStr">
        <is>
          <t>p26_roc_direct_roc_atgm</t>
        </is>
      </c>
      <c r="B273" t="inlineStr">
        <is>
          <t>Kornet (dropped from the bay)</t>
        </is>
      </c>
      <c r="C273" t="inlineStr">
        <is>
          <t>atgm_kornet</t>
        </is>
      </c>
      <c r="D273" t="inlineStr"/>
      <c r="E273" t="inlineStr"/>
      <c r="F273" t="inlineStr">
        <is>
          <t>atgm</t>
        </is>
      </c>
      <c r="G273" t="inlineStr"/>
      <c r="H273" t="n">
        <v>7</v>
      </c>
      <c r="I273" t="inlineStr"/>
      <c r="J273" t="inlineStr"/>
      <c r="K273" t="inlineStr">
        <is>
          <t>ShapedCharge</t>
        </is>
      </c>
      <c r="L273" t="n">
        <v>5</v>
      </c>
      <c r="M273" t="inlineStr">
        <is>
          <t>Missile</t>
        </is>
      </c>
      <c r="N273" t="n">
        <v>1</v>
      </c>
      <c r="O273" t="inlineStr">
        <is>
          <t>RIPPLE</t>
        </is>
      </c>
      <c r="P273" t="n">
        <v>2</v>
      </c>
      <c r="Q273" t="n">
        <v>0.6</v>
      </c>
      <c r="R273" t="n">
        <v>19.4</v>
      </c>
      <c r="S273" t="n">
        <v>0</v>
      </c>
      <c r="T273" t="n">
        <v>0</v>
      </c>
      <c r="U273" t="n">
        <v>0</v>
      </c>
      <c r="V273" t="n">
        <v>0</v>
      </c>
      <c r="W273" t="n">
        <v>230</v>
      </c>
      <c r="X273" t="n">
        <v>0</v>
      </c>
      <c r="Y273" t="n">
        <v>0</v>
      </c>
      <c r="Z273" t="n">
        <v>80</v>
      </c>
      <c r="AA273" t="n">
        <v>55</v>
      </c>
      <c r="AB273" t="n">
        <v>0</v>
      </c>
      <c r="AC273" t="inlineStr">
        <is>
          <t>Ground</t>
        </is>
      </c>
      <c r="AD273" t="inlineStr"/>
      <c r="AE273" t="n">
        <v>0</v>
      </c>
      <c r="AF273" t="inlineStr">
        <is>
          <t>Medium</t>
        </is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n">
        <v>29</v>
      </c>
      <c r="AO273" t="n">
        <v>0</v>
      </c>
      <c r="AP273" t="inlineStr">
        <is>
          <t>T2</t>
        </is>
      </c>
      <c r="AQ273" t="inlineStr">
        <is>
          <t>p26_roc_roc_atgm</t>
        </is>
      </c>
      <c r="AR273" t="inlineStr"/>
      <c r="AS273" t="inlineStr">
        <is>
          <t>boss</t>
        </is>
      </c>
      <c r="AT273" t="inlineStr">
        <is>
          <t>command_airship</t>
        </is>
      </c>
      <c r="AU273" t="n">
        <v>1</v>
      </c>
      <c r="AV273" t="inlineStr">
        <is>
          <t>command_airship:2;command_airship:3</t>
        </is>
      </c>
      <c r="AW273" t="n">
        <v>0</v>
      </c>
      <c r="AX273" t="b">
        <v>0</v>
      </c>
      <c r="AY273" t="inlineStr"/>
      <c r="AZ273">
        <f>IF(AND($AX$273,$AW$273&gt;$AA$273/$Z$273),$AW$273,$AA$273/$Z$273)</f>
        <v/>
      </c>
      <c r="BA273" t="n">
        <v>0.6875</v>
      </c>
      <c r="BB273" t="n">
        <v>3</v>
      </c>
      <c r="BC273" t="n">
        <v>3</v>
      </c>
      <c r="BD273" t="inlineStr">
        <is>
          <t>atgm</t>
        </is>
      </c>
      <c r="BE273" t="inlineStr">
        <is>
          <t>Wikipedia '9M133 Kornet': 2-3 rpm</t>
        </is>
      </c>
      <c r="BF273" t="inlineStr">
        <is>
          <t>a twin Kornet launcher: the pair 0.6 s apart, every 20 s (3 rpm a rail); 55.6 s was too slow</t>
        </is>
      </c>
      <c r="BG273" t="inlineStr">
        <is>
          <t>doi</t>
        </is>
      </c>
      <c r="BH273" t="n">
        <v>290</v>
      </c>
      <c r="BI273" t="n">
        <v>230</v>
      </c>
      <c r="BJ273" t="n">
        <v>2.5</v>
      </c>
      <c r="BK273" t="n">
        <v>19.4</v>
      </c>
      <c r="BR273" t="n">
        <v>22</v>
      </c>
      <c r="BS273" t="n">
        <v>80</v>
      </c>
      <c r="BT273" t="n">
        <v>1</v>
      </c>
      <c r="BU273" t="n">
        <v>2</v>
      </c>
      <c r="BV273" t="n">
        <v>0.1</v>
      </c>
      <c r="BW273" t="n">
        <v>0.6</v>
      </c>
      <c r="CR273" t="n">
        <v>2</v>
      </c>
      <c r="CS273" t="n">
        <v>0.6</v>
      </c>
      <c r="DD273" t="n">
        <v>19.4</v>
      </c>
      <c r="DE273" t="n">
        <v>230</v>
      </c>
      <c r="DO273" t="n">
        <v>1</v>
      </c>
      <c r="DT273" t="inlineStr">
        <is>
          <t>p26_roc_roc_atgm</t>
        </is>
      </c>
      <c r="GD273" t="inlineStr">
        <is>
          <t>Assets/MachineBrigade/Resources/Data/balance.json: weapons[205]</t>
        </is>
      </c>
      <c r="GE273" t="inlineStr">
        <is>
          <t>{"id":"p26_roc_direct_roc_atgm","groundMinReach":1,"inherits":"p26_roc_roc_atgm","burstInterval":0.6,"burst":2,"cooldown":19.4,"damage":230}</t>
        </is>
      </c>
    </row>
    <row r="274">
      <c r="A274" t="inlineStr">
        <is>
          <t>p26_roc_main_roc_bombs</t>
        </is>
      </c>
      <c r="B274" t="inlineStr">
        <is>
          <t>bomb-bay stick 400 kg</t>
        </is>
      </c>
      <c r="C274" t="inlineStr">
        <is>
          <t>bomb_400</t>
        </is>
      </c>
      <c r="D274" t="inlineStr"/>
      <c r="E274" t="inlineStr"/>
      <c r="F274" t="inlineStr">
        <is>
          <t>bomb</t>
        </is>
      </c>
      <c r="G274" t="n">
        <v>0</v>
      </c>
      <c r="H274" t="n">
        <v>400</v>
      </c>
      <c r="I274" t="inlineStr"/>
      <c r="J274" t="inlineStr"/>
      <c r="K274" t="inlineStr">
        <is>
          <t>HighExplosive</t>
        </is>
      </c>
      <c r="L274" t="n">
        <v>4</v>
      </c>
      <c r="M274" t="inlineStr">
        <is>
          <t>Bomb</t>
        </is>
      </c>
      <c r="N274" t="n">
        <v>1</v>
      </c>
      <c r="O274" t="inlineStr">
        <is>
          <t>RIPPLE</t>
        </is>
      </c>
      <c r="P274" t="n">
        <v>8</v>
      </c>
      <c r="Q274" t="n">
        <v>0.3</v>
      </c>
      <c r="R274" t="n">
        <v>33.34</v>
      </c>
      <c r="S274" t="n">
        <v>0</v>
      </c>
      <c r="T274" t="n">
        <v>0</v>
      </c>
      <c r="U274" t="n">
        <v>0</v>
      </c>
      <c r="V274" t="n">
        <v>0</v>
      </c>
      <c r="W274" t="n">
        <v>700</v>
      </c>
      <c r="X274" t="n">
        <v>10</v>
      </c>
      <c r="Y274" t="n">
        <v>20</v>
      </c>
      <c r="Z274" t="n">
        <v>100</v>
      </c>
      <c r="AA274" t="n">
        <v>45</v>
      </c>
      <c r="AB274" t="n">
        <v>0</v>
      </c>
      <c r="AC274" t="inlineStr">
        <is>
          <t>Ground</t>
        </is>
      </c>
      <c r="AD274" t="inlineStr"/>
      <c r="AE274" t="n">
        <v>3</v>
      </c>
      <c r="AF274" t="inlineStr">
        <is>
          <t>Huge</t>
        </is>
      </c>
      <c r="AG274" t="b">
        <v>1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n">
        <v>400</v>
      </c>
      <c r="AO274" t="n">
        <v>0</v>
      </c>
      <c r="AP274" t="inlineStr">
        <is>
          <t>T4</t>
        </is>
      </c>
      <c r="AQ274" t="inlineStr">
        <is>
          <t>p26_roc_roc_bombs</t>
        </is>
      </c>
      <c r="AR274" t="inlineStr"/>
      <c r="AS274" t="inlineStr">
        <is>
          <t>boss</t>
        </is>
      </c>
      <c r="AT274" t="inlineStr">
        <is>
          <t>argus;command_airship</t>
        </is>
      </c>
      <c r="AU274" t="n">
        <v>2</v>
      </c>
      <c r="AV274" t="inlineStr">
        <is>
          <t>argus:0;argus:1;command_airship:0;command_airship:1</t>
        </is>
      </c>
      <c r="AW274" t="n">
        <v>2.722222222222222</v>
      </c>
      <c r="AX274" t="b">
        <v>1</v>
      </c>
      <c r="AY274" t="inlineStr"/>
      <c r="AZ274">
        <f>IF(AND($AX$274,$AW$274&gt;$AA$274/$Z$274),$AW$274,$AA$274/$Z$274)</f>
        <v/>
      </c>
      <c r="BA274" t="n">
        <v>0.45</v>
      </c>
      <c r="BB274" t="n">
        <v>600</v>
      </c>
      <c r="BC274" t="inlineStr"/>
      <c r="BD274" t="inlineStr">
        <is>
          <t>bomb</t>
        </is>
      </c>
      <c r="BE274" t="inlineStr">
        <is>
          <t>a stick's release, 0.1 s and up (est.)</t>
        </is>
      </c>
      <c r="BF274" t="inlineStr">
        <is>
          <t>a 400 kg bomb stick from an airship's bay: no real rate for the bay's reload; the 35.4 s cycle kept</t>
        </is>
      </c>
      <c r="BG274" t="inlineStr">
        <is>
          <t>doi</t>
        </is>
      </c>
      <c r="BH274" t="n">
        <v>320</v>
      </c>
      <c r="BI274" t="n">
        <v>700</v>
      </c>
      <c r="BJ274" t="n">
        <v>6</v>
      </c>
      <c r="BK274" t="n">
        <v>33.34</v>
      </c>
      <c r="BN274" t="n">
        <v>5</v>
      </c>
      <c r="BO274" t="n">
        <v>10</v>
      </c>
      <c r="BP274" t="n">
        <v>10</v>
      </c>
      <c r="BQ274" t="n">
        <v>20</v>
      </c>
      <c r="BR274" t="n">
        <v>60</v>
      </c>
      <c r="BS274" t="n">
        <v>100</v>
      </c>
      <c r="CJ274" t="inlineStr">
        <is>
          <t>Shell</t>
        </is>
      </c>
      <c r="CK274" t="inlineStr">
        <is>
          <t>Bomb</t>
        </is>
      </c>
      <c r="CT274" t="n">
        <v>0</v>
      </c>
      <c r="DD274" t="n">
        <v>33.34</v>
      </c>
      <c r="DE274" t="n">
        <v>700</v>
      </c>
      <c r="DG274" t="n">
        <v>20</v>
      </c>
      <c r="DT274" t="inlineStr">
        <is>
          <t>p26_roc_roc_bombs</t>
        </is>
      </c>
      <c r="EY274" t="n">
        <v>10</v>
      </c>
      <c r="FA274" t="inlineStr">
        <is>
          <t>CENTER</t>
        </is>
      </c>
      <c r="FB274" t="n">
        <v>1.5</v>
      </c>
      <c r="FC274" t="n">
        <v>8</v>
      </c>
      <c r="FD274" t="inlineStr">
        <is>
          <t>BAY</t>
        </is>
      </c>
      <c r="FE274" t="n">
        <v>0</v>
      </c>
      <c r="FF274" t="n">
        <v>1.225</v>
      </c>
      <c r="FG274" t="inlineStr">
        <is>
          <t>AXIS</t>
        </is>
      </c>
      <c r="FH274" t="n">
        <v>0.3</v>
      </c>
      <c r="FI274" t="n">
        <v>2.5</v>
      </c>
      <c r="FJ274" t="n">
        <v>1.65</v>
      </c>
      <c r="FK274" t="n">
        <v>0</v>
      </c>
      <c r="FL274" t="n">
        <v>77</v>
      </c>
      <c r="FM274" t="n">
        <v>3</v>
      </c>
      <c r="FN274" t="inlineStr">
        <is>
          <t>STICK</t>
        </is>
      </c>
      <c r="FO274" t="n">
        <v>0.909</v>
      </c>
      <c r="FP274" t="n">
        <v>36.667</v>
      </c>
      <c r="FQ274" t="n">
        <v>10</v>
      </c>
      <c r="FR274" t="n">
        <v>11</v>
      </c>
      <c r="FS274" t="n">
        <v>0</v>
      </c>
      <c r="FT274" t="inlineStr">
        <is>
          <t>STICK_RECT</t>
        </is>
      </c>
      <c r="FU274" t="n">
        <v>45</v>
      </c>
      <c r="GD274" t="inlineStr">
        <is>
          <t>Assets/MachineBrigade/Resources/Data/balance.json: weapons[204]</t>
        </is>
      </c>
      <c r="GE274" t="inlineStr">
        <is>
          <t>{"id":"p26_roc_main_roc_bombs","inherits":"p26_roc_roc_bombs","caliberMm":0,"edge":20,"splash":10,"cooldown":33.34,"damage":700,"stick":{"mode":"STICK","bombs":8,"spacing":11,"length":77,"interval":0.3,"releaseSpeed":36.667,"fallTime":1.225,"lead":0,"heading":"AXIS","anchor":"CENTER","drop":"BAY","jitterAcross":2.5,"jitterAlong":1.65,"overlap":0.909,"width":45,"minTargets":3,"safety":10,"straightTime":0,"exit":0,"bayOpen":1.5,"warnShape":"STICK_RECT"}}</t>
        </is>
      </c>
    </row>
    <row r="275">
      <c r="A275" t="inlineStr">
        <is>
          <t>p26_roc_roc105</t>
        </is>
      </c>
      <c r="B275" t="inlineStr">
        <is>
          <t>M102 105 mm (gondola)</t>
        </is>
      </c>
      <c r="C275" t="inlineStr">
        <is>
          <t>cal_100_105_he</t>
        </is>
      </c>
      <c r="D275" t="inlineStr"/>
      <c r="E275" t="inlineStr"/>
      <c r="F275" t="inlineStr">
        <is>
          <t>howitzer</t>
        </is>
      </c>
      <c r="G275" t="n">
        <v>105</v>
      </c>
      <c r="H275" t="inlineStr"/>
      <c r="I275" t="inlineStr"/>
      <c r="J275" t="inlineStr"/>
      <c r="K275" t="inlineStr">
        <is>
          <t>HighExplosive</t>
        </is>
      </c>
      <c r="L275" t="n">
        <v>2</v>
      </c>
      <c r="M275" t="inlineStr">
        <is>
          <t>Shell</t>
        </is>
      </c>
      <c r="N275" t="n">
        <v>1</v>
      </c>
      <c r="O275" t="inlineStr">
        <is>
          <t>RIPPLE</t>
        </is>
      </c>
      <c r="P275" t="n">
        <v>1</v>
      </c>
      <c r="Q275" t="n">
        <v>0.1</v>
      </c>
      <c r="R275" t="n">
        <v>6</v>
      </c>
      <c r="S275" t="n">
        <v>0</v>
      </c>
      <c r="T275" t="n">
        <v>0</v>
      </c>
      <c r="U275" t="n">
        <v>0</v>
      </c>
      <c r="V275" t="n">
        <v>0</v>
      </c>
      <c r="W275" t="n">
        <v>300</v>
      </c>
      <c r="X275" t="n">
        <v>5</v>
      </c>
      <c r="Y275" t="n">
        <v>10</v>
      </c>
      <c r="Z275" t="n">
        <v>120</v>
      </c>
      <c r="AA275" t="n">
        <v>58</v>
      </c>
      <c r="AB275" t="n">
        <v>0</v>
      </c>
      <c r="AC275" t="inlineStr">
        <is>
          <t>Ground</t>
        </is>
      </c>
      <c r="AD275" t="inlineStr"/>
      <c r="AE275" t="n">
        <v>3</v>
      </c>
      <c r="AF275" t="inlineStr">
        <is>
          <t>Huge</t>
        </is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n">
        <v>105</v>
      </c>
      <c r="AO275" t="n">
        <v>0</v>
      </c>
      <c r="AP275" t="inlineStr">
        <is>
          <t>T2</t>
        </is>
      </c>
      <c r="AQ275" t="inlineStr">
        <is>
          <t>gunship_105</t>
        </is>
      </c>
      <c r="AR275" t="inlineStr"/>
      <c r="AS275" t="inlineStr">
        <is>
          <t>boss</t>
        </is>
      </c>
      <c r="AT275" t="inlineStr">
        <is>
          <t>command_airship</t>
        </is>
      </c>
      <c r="AU275" t="n">
        <v>1</v>
      </c>
      <c r="AV275" t="inlineStr">
        <is>
          <t>command_airship:6;command_airship:7</t>
        </is>
      </c>
      <c r="AW275" t="n">
        <v>0</v>
      </c>
      <c r="AX275" t="b">
        <v>0</v>
      </c>
      <c r="AY275" t="inlineStr"/>
      <c r="AZ275">
        <f>IF(AND($AX$275,$AW$275&gt;$AA$275/$Z$275),$AW$275,$AA$275/$Z$275)</f>
        <v/>
      </c>
      <c r="BA275" t="n">
        <v>0.4833333333333333</v>
      </c>
      <c r="BB275" t="n">
        <v>10</v>
      </c>
      <c r="BC275" t="n">
        <v>3</v>
      </c>
      <c r="BD275" t="inlineStr">
        <is>
          <t>gun</t>
        </is>
      </c>
      <c r="BE275" t="inlineStr">
        <is>
          <t>the sheet's 'Ngoài đời': M102 10 rpm (Wikipedia 'M102 howitzer')</t>
        </is>
      </c>
      <c r="BF275" t="inlineStr">
        <is>
          <t>real M102 10 rpm (6 s); wave 1's 2.74 s is too fast after the 30 % rule</t>
        </is>
      </c>
      <c r="BG275" t="inlineStr">
        <is>
          <t>doi</t>
        </is>
      </c>
      <c r="BH275" t="n">
        <v>700</v>
      </c>
      <c r="BI275" t="n">
        <v>300</v>
      </c>
      <c r="BJ275" t="n">
        <v>2</v>
      </c>
      <c r="BK275" t="n">
        <v>6</v>
      </c>
      <c r="BN275" t="n">
        <v>6</v>
      </c>
      <c r="BO275" t="n">
        <v>5</v>
      </c>
      <c r="BP275" t="n">
        <v>12</v>
      </c>
      <c r="BQ275" t="n">
        <v>10</v>
      </c>
      <c r="DD275" t="n">
        <v>6</v>
      </c>
      <c r="DE275" t="n">
        <v>300</v>
      </c>
      <c r="DG275" t="n">
        <v>10</v>
      </c>
      <c r="DO275" t="n">
        <v>22</v>
      </c>
      <c r="DT275" t="inlineStr">
        <is>
          <t>gunship_105</t>
        </is>
      </c>
      <c r="EQ275" t="inlineStr">
        <is>
          <t>M102 105 mm (gondola)</t>
        </is>
      </c>
      <c r="EY275" t="n">
        <v>5</v>
      </c>
      <c r="GD275" t="inlineStr">
        <is>
          <t>Assets/MachineBrigade/Resources/Data/balance.json: weapons[202]</t>
        </is>
      </c>
      <c r="GE275" t="inlineStr">
        <is>
          <t>{"id":"p26_roc_roc105","groundMinReach":22,"inherits":"gunship_105","real":"M102 105 mm (gondola)","damage":300,"cooldown":6,"splash":5,"edge":10}</t>
        </is>
      </c>
    </row>
    <row r="276">
      <c r="A276" t="inlineStr">
        <is>
          <t>p26_roc_roc_atgm</t>
        </is>
      </c>
      <c r="B276" t="inlineStr">
        <is>
          <t>Kornet (dropped from the bay)</t>
        </is>
      </c>
      <c r="C276" t="inlineStr">
        <is>
          <t>atgm_kornet</t>
        </is>
      </c>
      <c r="D276" t="inlineStr"/>
      <c r="E276" t="inlineStr"/>
      <c r="F276" t="inlineStr">
        <is>
          <t>atgm</t>
        </is>
      </c>
      <c r="G276" t="inlineStr"/>
      <c r="H276" t="n">
        <v>7</v>
      </c>
      <c r="I276" t="inlineStr"/>
      <c r="J276" t="inlineStr"/>
      <c r="K276" t="inlineStr">
        <is>
          <t>ShapedCharge</t>
        </is>
      </c>
      <c r="L276" t="n">
        <v>5</v>
      </c>
      <c r="M276" t="inlineStr">
        <is>
          <t>Missile</t>
        </is>
      </c>
      <c r="N276" t="n">
        <v>1</v>
      </c>
      <c r="O276" t="inlineStr">
        <is>
          <t>RIPPLE</t>
        </is>
      </c>
      <c r="P276" t="n">
        <v>1</v>
      </c>
      <c r="Q276" t="n">
        <v>0.1</v>
      </c>
      <c r="R276" t="n">
        <v>2</v>
      </c>
      <c r="S276" t="n">
        <v>0</v>
      </c>
      <c r="T276" t="n">
        <v>0</v>
      </c>
      <c r="U276" t="n">
        <v>0</v>
      </c>
      <c r="V276" t="n">
        <v>0</v>
      </c>
      <c r="W276" t="n">
        <v>300</v>
      </c>
      <c r="X276" t="n">
        <v>0</v>
      </c>
      <c r="Y276" t="n">
        <v>0</v>
      </c>
      <c r="Z276" t="n">
        <v>80</v>
      </c>
      <c r="AA276" t="n">
        <v>55</v>
      </c>
      <c r="AB276" t="n">
        <v>0</v>
      </c>
      <c r="AC276" t="inlineStr">
        <is>
          <t>Ground</t>
        </is>
      </c>
      <c r="AD276" t="inlineStr"/>
      <c r="AE276" t="n">
        <v>0</v>
      </c>
      <c r="AF276" t="inlineStr">
        <is>
          <t>Medium</t>
        </is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n">
        <v>29</v>
      </c>
      <c r="AO276" t="n">
        <v>0</v>
      </c>
      <c r="AP276" t="inlineStr">
        <is>
          <t>T2</t>
        </is>
      </c>
      <c r="AQ276" t="inlineStr">
        <is>
          <t>boss_missiles</t>
        </is>
      </c>
      <c r="AR276" t="inlineStr"/>
      <c r="AS276" t="inlineStr"/>
      <c r="AT276" t="inlineStr"/>
      <c r="AU276" t="n">
        <v>0</v>
      </c>
      <c r="AV276" t="inlineStr"/>
      <c r="AW276" t="n">
        <v>0</v>
      </c>
      <c r="AX276" t="b">
        <v>0</v>
      </c>
      <c r="AY276" t="inlineStr"/>
      <c r="AZ276">
        <f>IF(AND($AX$276,$AW$276&gt;$AA$276/$Z$276),$AW$276,$AA$276/$Z$276)</f>
        <v/>
      </c>
      <c r="BA276" t="n">
        <v>0.6875</v>
      </c>
      <c r="BB276" t="n">
        <v>3</v>
      </c>
      <c r="BC276" t="n">
        <v>3</v>
      </c>
      <c r="BD276" t="inlineStr">
        <is>
          <t>atgm</t>
        </is>
      </c>
      <c r="BE276" t="inlineStr">
        <is>
          <t>Wikipedia '9M133 Kornet': 2-3 rpm</t>
        </is>
      </c>
      <c r="BG276" t="inlineStr">
        <is>
          <t>doi</t>
        </is>
      </c>
      <c r="BR276" t="n">
        <v>22</v>
      </c>
      <c r="BS276" t="n">
        <v>80</v>
      </c>
      <c r="DD276" t="n">
        <v>2</v>
      </c>
      <c r="DE276" t="n">
        <v>300</v>
      </c>
      <c r="DT276" t="inlineStr">
        <is>
          <t>boss_missiles</t>
        </is>
      </c>
      <c r="EB276" t="n">
        <v>5</v>
      </c>
      <c r="EP276" t="n">
        <v>55</v>
      </c>
      <c r="EQ276" t="inlineStr">
        <is>
          <t>Kornet (dropped from the bay)</t>
        </is>
      </c>
      <c r="GA276" t="inlineStr"/>
      <c r="GD276" t="inlineStr">
        <is>
          <t>Assets/MachineBrigade/Resources/Data/balance.json: weapons[203]</t>
        </is>
      </c>
      <c r="GE276" t="inlineStr">
        <is>
          <t>{"id":"p26_roc_roc_atgm","inherits":"boss_missiles","weaponFamily":"","real":"Kornet (dropped from the bay)","damage":300,"cooldown":2,"pen":5,"range":55}</t>
        </is>
      </c>
    </row>
    <row r="277">
      <c r="A277" t="inlineStr">
        <is>
          <t>p26_roc_roc_bombs</t>
        </is>
      </c>
      <c r="B277" t="inlineStr">
        <is>
          <t>bomb-bay stick 400 kg</t>
        </is>
      </c>
      <c r="C277" t="inlineStr">
        <is>
          <t>bomb_400</t>
        </is>
      </c>
      <c r="D277" t="inlineStr"/>
      <c r="E277" t="inlineStr"/>
      <c r="F277" t="inlineStr">
        <is>
          <t>bomb</t>
        </is>
      </c>
      <c r="G277" t="n">
        <v>0</v>
      </c>
      <c r="H277" t="n">
        <v>400</v>
      </c>
      <c r="I277" t="inlineStr"/>
      <c r="J277" t="inlineStr"/>
      <c r="K277" t="inlineStr">
        <is>
          <t>HighExplosive</t>
        </is>
      </c>
      <c r="L277" t="n">
        <v>4</v>
      </c>
      <c r="M277" t="inlineStr">
        <is>
          <t>Bomb</t>
        </is>
      </c>
      <c r="N277" t="n">
        <v>1</v>
      </c>
      <c r="O277" t="inlineStr">
        <is>
          <t>RIPPLE</t>
        </is>
      </c>
      <c r="P277" t="n">
        <v>8</v>
      </c>
      <c r="Q277" t="n">
        <v>0.3</v>
      </c>
      <c r="R277" t="n">
        <v>2.9</v>
      </c>
      <c r="S277" t="n">
        <v>0</v>
      </c>
      <c r="T277" t="n">
        <v>0</v>
      </c>
      <c r="U277" t="n">
        <v>0</v>
      </c>
      <c r="V277" t="n">
        <v>0</v>
      </c>
      <c r="W277" t="n">
        <v>400</v>
      </c>
      <c r="X277" t="n">
        <v>10</v>
      </c>
      <c r="Y277" t="n">
        <v>20</v>
      </c>
      <c r="Z277" t="n">
        <v>100</v>
      </c>
      <c r="AA277" t="n">
        <v>45</v>
      </c>
      <c r="AB277" t="n">
        <v>0</v>
      </c>
      <c r="AC277" t="inlineStr">
        <is>
          <t>Ground</t>
        </is>
      </c>
      <c r="AD277" t="inlineStr"/>
      <c r="AE277" t="n">
        <v>3</v>
      </c>
      <c r="AF277" t="inlineStr">
        <is>
          <t>Huge</t>
        </is>
      </c>
      <c r="AG277" t="b">
        <v>1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n">
        <v>400</v>
      </c>
      <c r="AO277" t="n">
        <v>0</v>
      </c>
      <c r="AP277" t="inlineStr">
        <is>
          <t>T4</t>
        </is>
      </c>
      <c r="AQ277" t="inlineStr">
        <is>
          <t>boss_howitzer</t>
        </is>
      </c>
      <c r="AR277" t="inlineStr"/>
      <c r="AS277" t="inlineStr"/>
      <c r="AT277" t="inlineStr"/>
      <c r="AU277" t="n">
        <v>0</v>
      </c>
      <c r="AV277" t="inlineStr"/>
      <c r="AW277" t="n">
        <v>2.722222222222222</v>
      </c>
      <c r="AX277" t="b">
        <v>1</v>
      </c>
      <c r="AY277" t="inlineStr"/>
      <c r="AZ277">
        <f>IF(AND($AX$277,$AW$277&gt;$AA$277/$Z$277),$AW$277,$AA$277/$Z$277)</f>
        <v/>
      </c>
      <c r="BA277" t="n">
        <v>0.45</v>
      </c>
      <c r="BB277" t="n">
        <v>600</v>
      </c>
      <c r="BC277" t="inlineStr"/>
      <c r="BD277" t="inlineStr">
        <is>
          <t>bomb</t>
        </is>
      </c>
      <c r="BE277" t="inlineStr">
        <is>
          <t>a stick's release, 0.1 s and up (est.)</t>
        </is>
      </c>
      <c r="BG277" t="inlineStr">
        <is>
          <t>doi</t>
        </is>
      </c>
      <c r="BN277" t="n">
        <v>5</v>
      </c>
      <c r="BO277" t="n">
        <v>10</v>
      </c>
      <c r="BP277" t="n">
        <v>10</v>
      </c>
      <c r="BQ277" t="n">
        <v>20</v>
      </c>
      <c r="BR277" t="n">
        <v>60</v>
      </c>
      <c r="BS277" t="n">
        <v>100</v>
      </c>
      <c r="CJ277" t="inlineStr">
        <is>
          <t>Shell</t>
        </is>
      </c>
      <c r="CK277" t="inlineStr">
        <is>
          <t>Bomb</t>
        </is>
      </c>
      <c r="CR277" t="n">
        <v>8</v>
      </c>
      <c r="CS277" t="n">
        <v>0.3</v>
      </c>
      <c r="CT277" t="n">
        <v>0</v>
      </c>
      <c r="DD277" t="n">
        <v>2.9</v>
      </c>
      <c r="DE277" t="n">
        <v>400</v>
      </c>
      <c r="DG277" t="n">
        <v>20</v>
      </c>
      <c r="DJ277" t="inlineStr">
        <is>
          <t>bomb</t>
        </is>
      </c>
      <c r="DT277" t="inlineStr">
        <is>
          <t>boss_howitzer</t>
        </is>
      </c>
      <c r="DZ277" t="n">
        <v>0</v>
      </c>
      <c r="EH277" t="inlineStr">
        <is>
          <t>Bomb</t>
        </is>
      </c>
      <c r="EP277" t="n">
        <v>45</v>
      </c>
      <c r="EQ277" t="inlineStr">
        <is>
          <t>bomb-bay stick 400 kg</t>
        </is>
      </c>
      <c r="EX277" t="n">
        <v>400</v>
      </c>
      <c r="EY277" t="n">
        <v>10</v>
      </c>
      <c r="FA277" t="inlineStr">
        <is>
          <t>CENTER</t>
        </is>
      </c>
      <c r="FB277" t="n">
        <v>1</v>
      </c>
      <c r="FC277" t="n">
        <v>8</v>
      </c>
      <c r="FD277" t="inlineStr">
        <is>
          <t>BAY</t>
        </is>
      </c>
      <c r="FE277" t="n">
        <v>0</v>
      </c>
      <c r="FF277" t="n">
        <v>1.225</v>
      </c>
      <c r="FG277" t="inlineStr">
        <is>
          <t>AXIS</t>
        </is>
      </c>
      <c r="FH277" t="n">
        <v>0.3</v>
      </c>
      <c r="FJ277" t="n">
        <v>0.825</v>
      </c>
      <c r="FK277" t="n">
        <v>0</v>
      </c>
      <c r="FL277" t="n">
        <v>38.5</v>
      </c>
      <c r="FM277" t="n">
        <v>3</v>
      </c>
      <c r="FN277" t="inlineStr">
        <is>
          <t>STICK</t>
        </is>
      </c>
      <c r="FP277" t="n">
        <v>18.333</v>
      </c>
      <c r="FR277" t="n">
        <v>5.5</v>
      </c>
      <c r="FS277" t="n">
        <v>0</v>
      </c>
      <c r="FT277" t="inlineStr">
        <is>
          <t>STICK_RECT</t>
        </is>
      </c>
      <c r="FY277" t="b">
        <v>1</v>
      </c>
      <c r="FZ277" t="n">
        <v>400</v>
      </c>
      <c r="GA277" t="inlineStr"/>
      <c r="GB277" t="inlineStr">
        <is>
          <t>bomb_400</t>
        </is>
      </c>
      <c r="GD277" t="inlineStr">
        <is>
          <t>Assets/MachineBrigade/Resources/Data/balance.json: weapons[201]</t>
        </is>
      </c>
      <c r="GE277" t="inlineStr">
        <is>
          <t>{"id":"p26_roc_roc_bombs","inherits":"boss_howitzer","weaponFamilyId":"bomb_400","weaponFamily":"","real":"bomb-bay stick 400 kg","size":400,"caliberMm":0,"warheadKg":400,"family":"bomb","damage":400,"burst":8,"burstInterval":0.3,"cooldown":2.9,"splash":10,"edge":20,"range":45,"minRange":0,"topAttack":true,"projectile":"Bomb","stick":{"mode":"STICK","bombs":8,"spacing":5.5,"length":38.5,"interval":0.3,"releaseSpeed":18.333,"fallTime":1.225,"lead":0,"heading":"AXIS","anchor":"CENTER","drop":"BAY","jitterAlong":0.825,"minTargets":3,"straightTime":0,"exit":0,"bayOpen":1.0,"warnShape":"STICK_RECT"}}</t>
        </is>
      </c>
    </row>
    <row r="278">
      <c r="A278" t="inlineStr">
        <is>
          <t>p26_typhon_direct_ty100</t>
        </is>
      </c>
      <c r="B278" t="inlineStr">
        <is>
          <t>AK-100 100 mm (deck)</t>
        </is>
      </c>
      <c r="C278" t="inlineStr">
        <is>
          <t>cal_100_105_he</t>
        </is>
      </c>
      <c r="D278" t="inlineStr"/>
      <c r="E278" t="inlineStr"/>
      <c r="F278" t="inlineStr">
        <is>
          <t>howitzer</t>
        </is>
      </c>
      <c r="G278" t="n">
        <v>100</v>
      </c>
      <c r="H278" t="inlineStr"/>
      <c r="I278" t="inlineStr"/>
      <c r="J278" t="inlineStr"/>
      <c r="K278" t="inlineStr">
        <is>
          <t>HighExplosive</t>
        </is>
      </c>
      <c r="L278" t="n">
        <v>4</v>
      </c>
      <c r="M278" t="inlineStr">
        <is>
          <t>Shell</t>
        </is>
      </c>
      <c r="N278" t="n">
        <v>1</v>
      </c>
      <c r="O278" t="inlineStr">
        <is>
          <t>RIPPLE</t>
        </is>
      </c>
      <c r="P278" t="n">
        <v>2</v>
      </c>
      <c r="Q278" t="n">
        <v>1</v>
      </c>
      <c r="R278" t="n">
        <v>2.5</v>
      </c>
      <c r="S278" t="n">
        <v>0</v>
      </c>
      <c r="T278" t="n">
        <v>0</v>
      </c>
      <c r="U278" t="n">
        <v>0</v>
      </c>
      <c r="V278" t="n">
        <v>0</v>
      </c>
      <c r="W278" t="n">
        <v>300</v>
      </c>
      <c r="X278" t="n">
        <v>5</v>
      </c>
      <c r="Y278" t="n">
        <v>10</v>
      </c>
      <c r="Z278" t="n">
        <v>120</v>
      </c>
      <c r="AA278" t="n">
        <v>90</v>
      </c>
      <c r="AB278" t="n">
        <v>0</v>
      </c>
      <c r="AC278" t="inlineStr">
        <is>
          <t>Ground</t>
        </is>
      </c>
      <c r="AD278" t="inlineStr"/>
      <c r="AE278" t="n">
        <v>2.2</v>
      </c>
      <c r="AF278" t="inlineStr">
        <is>
          <t>Large</t>
        </is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n">
        <v>100</v>
      </c>
      <c r="AO278" t="n">
        <v>0</v>
      </c>
      <c r="AP278" t="inlineStr">
        <is>
          <t>T2</t>
        </is>
      </c>
      <c r="AQ278" t="inlineStr">
        <is>
          <t>p26_typhon_ty100</t>
        </is>
      </c>
      <c r="AR278" t="inlineStr"/>
      <c r="AS278" t="inlineStr">
        <is>
          <t>boss</t>
        </is>
      </c>
      <c r="AT278" t="inlineStr">
        <is>
          <t>hydra;typhon</t>
        </is>
      </c>
      <c r="AU278" t="n">
        <v>2</v>
      </c>
      <c r="AV278" t="inlineStr">
        <is>
          <t>hydra:2;typhon:3</t>
        </is>
      </c>
      <c r="AW278" t="n">
        <v>0</v>
      </c>
      <c r="AX278" t="b">
        <v>0</v>
      </c>
      <c r="AY278" t="inlineStr"/>
      <c r="AZ278">
        <f>IF(AND($AX$278,$AW$278&gt;$AA$278/$Z$278),$AW$278,$AA$278/$Z$278)</f>
        <v/>
      </c>
      <c r="BA278" t="n">
        <v>0.75</v>
      </c>
      <c r="BB278" t="n">
        <v>60</v>
      </c>
      <c r="BC278" t="n">
        <v>30</v>
      </c>
      <c r="BD278" t="inlineStr">
        <is>
          <t>gun</t>
        </is>
      </c>
      <c r="BE278" t="inlineStr">
        <is>
          <t>Wikipedia 'AK-100 (naval gun)': 60 rpm</t>
        </is>
      </c>
      <c r="BF278" t="inlineStr">
        <is>
          <t>wave 1 naval_100's pair every 3.5 s, the rounds 1 s apart (AK-100 60 rpm; wave 1's 0.5 s is twice the real rate)</t>
        </is>
      </c>
      <c r="BG278" t="inlineStr">
        <is>
          <t>doi</t>
        </is>
      </c>
      <c r="BH278" t="n">
        <v>580</v>
      </c>
      <c r="BI278" t="n">
        <v>300</v>
      </c>
      <c r="BJ278" t="n">
        <v>2</v>
      </c>
      <c r="BK278" t="n">
        <v>2.5</v>
      </c>
      <c r="BR278" t="n">
        <v>110</v>
      </c>
      <c r="BS278" t="n">
        <v>120</v>
      </c>
      <c r="BT278" t="n">
        <v>1</v>
      </c>
      <c r="BU278" t="n">
        <v>2</v>
      </c>
      <c r="BV278" t="n">
        <v>0.5</v>
      </c>
      <c r="BW278" t="n">
        <v>1</v>
      </c>
      <c r="CR278" t="n">
        <v>2</v>
      </c>
      <c r="CS278" t="n">
        <v>1</v>
      </c>
      <c r="DD278" t="n">
        <v>2.5</v>
      </c>
      <c r="DE278" t="n">
        <v>300</v>
      </c>
      <c r="DO278" t="n">
        <v>8</v>
      </c>
      <c r="DT278" t="inlineStr">
        <is>
          <t>p26_typhon_ty100</t>
        </is>
      </c>
      <c r="EK278" t="n">
        <v>120</v>
      </c>
      <c r="GD278" t="inlineStr">
        <is>
          <t>Assets/MachineBrigade/Resources/Data/balance.json: weapons[200]</t>
        </is>
      </c>
      <c r="GE278" t="inlineStr">
        <is>
          <t>{"id":"p26_typhon_direct_ty100","groundMinReach":8,"inherits":"p26_typhon_ty100","burstInterval":1,"burst":2,"projectileSpeed":120,"cooldown":2.5,"damage":300}</t>
        </is>
      </c>
    </row>
    <row r="279">
      <c r="A279" t="inlineStr">
        <is>
          <t>p26_typhon_sec_ty57</t>
        </is>
      </c>
      <c r="B279" t="inlineStr">
        <is>
          <t>AU-220 57 mm (twin deck mount)</t>
        </is>
      </c>
      <c r="C279" t="inlineStr">
        <is>
          <t>cal_57</t>
        </is>
      </c>
      <c r="D279" t="inlineStr"/>
      <c r="E279" t="inlineStr"/>
      <c r="F279" t="inlineStr">
        <is>
          <t>tank_gun</t>
        </is>
      </c>
      <c r="G279" t="n">
        <v>57</v>
      </c>
      <c r="H279" t="inlineStr"/>
      <c r="I279" t="inlineStr"/>
      <c r="J279" t="inlineStr"/>
      <c r="K279" t="inlineStr">
        <is>
          <t>HighExplosive</t>
        </is>
      </c>
      <c r="L279" t="n">
        <v>3</v>
      </c>
      <c r="M279" t="inlineStr">
        <is>
          <t>Shell</t>
        </is>
      </c>
      <c r="N279" t="n">
        <v>2</v>
      </c>
      <c r="O279" t="inlineStr">
        <is>
          <t>SIMULTANEOUS</t>
        </is>
      </c>
      <c r="P279" t="n">
        <v>4</v>
      </c>
      <c r="Q279" t="n">
        <v>0.5</v>
      </c>
      <c r="R279" t="n">
        <v>2.79</v>
      </c>
      <c r="S279" t="n">
        <v>0</v>
      </c>
      <c r="T279" t="n">
        <v>0</v>
      </c>
      <c r="U279" t="n">
        <v>0</v>
      </c>
      <c r="V279" t="n">
        <v>0</v>
      </c>
      <c r="W279" t="n">
        <v>120</v>
      </c>
      <c r="X279" t="n">
        <v>3</v>
      </c>
      <c r="Y279" t="n">
        <v>6</v>
      </c>
      <c r="Z279" t="n">
        <v>150</v>
      </c>
      <c r="AA279" t="n">
        <v>40</v>
      </c>
      <c r="AB279" t="n">
        <v>0</v>
      </c>
      <c r="AC279" t="inlineStr">
        <is>
          <t>Ground</t>
        </is>
      </c>
      <c r="AD279" t="inlineStr"/>
      <c r="AE279" t="n">
        <v>0.8</v>
      </c>
      <c r="AF279" t="inlineStr">
        <is>
          <t>Medium</t>
        </is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n">
        <v>57</v>
      </c>
      <c r="AO279" t="n">
        <v>0</v>
      </c>
      <c r="AP279" t="inlineStr">
        <is>
          <t>T2</t>
        </is>
      </c>
      <c r="AQ279" t="inlineStr">
        <is>
          <t>p26_typhon_ty57</t>
        </is>
      </c>
      <c r="AR279" t="inlineStr"/>
      <c r="AS279" t="inlineStr">
        <is>
          <t>boss</t>
        </is>
      </c>
      <c r="AT279" t="inlineStr">
        <is>
          <t>hydra;typhon</t>
        </is>
      </c>
      <c r="AU279" t="n">
        <v>2</v>
      </c>
      <c r="AV279" t="inlineStr">
        <is>
          <t>hydra:0;hydra:1;typhon:1;typhon:2;typhon:4</t>
        </is>
      </c>
      <c r="AW279" t="n">
        <v>0</v>
      </c>
      <c r="AX279" t="b">
        <v>0</v>
      </c>
      <c r="AY279" t="inlineStr"/>
      <c r="AZ279">
        <f>IF(AND($AX$279,$AW$279&gt;$AA$279/$Z$279),$AW$279,$AA$279/$Z$279)</f>
        <v/>
      </c>
      <c r="BA279" t="n">
        <v>0.2666666666666667</v>
      </c>
      <c r="BB279" t="n">
        <v>120</v>
      </c>
      <c r="BC279" t="n">
        <v>80</v>
      </c>
      <c r="BD279" t="inlineStr">
        <is>
          <t>ac</t>
        </is>
      </c>
      <c r="BE279" t="inlineStr">
        <is>
          <t>Wikipedia 'AU-220M': 80-120 rpm</t>
        </is>
      </c>
      <c r="BF279" t="inlineStr">
        <is>
          <t>wave 1 mothership_cannon: 4 rounds 0.5 s apart every 4.29 s (AU-220M 120 rpm); made up: a twin 57 mm deck mount (as the real AK-725 twin 57 mm)</t>
        </is>
      </c>
      <c r="BG279" t="inlineStr">
        <is>
          <t>doi</t>
        </is>
      </c>
      <c r="BH279" t="n">
        <v>125</v>
      </c>
      <c r="BI279" t="n">
        <v>120</v>
      </c>
      <c r="BJ279" t="n">
        <v>1.1</v>
      </c>
      <c r="BK279" t="n">
        <v>2.79</v>
      </c>
      <c r="BT279" t="n">
        <v>2</v>
      </c>
      <c r="BU279" t="n">
        <v>4</v>
      </c>
      <c r="BV279" t="n">
        <v>0.1</v>
      </c>
      <c r="BW279" t="n">
        <v>0.5</v>
      </c>
      <c r="BX279" t="n">
        <v>1</v>
      </c>
      <c r="BY279" t="n">
        <v>2</v>
      </c>
      <c r="BZ279" t="inlineStr">
        <is>
          <t>RIPPLE</t>
        </is>
      </c>
      <c r="CA279" t="inlineStr">
        <is>
          <t>SIMULTANEOUS</t>
        </is>
      </c>
      <c r="CO279" t="n">
        <v>2</v>
      </c>
      <c r="CR279" t="n">
        <v>4</v>
      </c>
      <c r="CS279" t="n">
        <v>0.5</v>
      </c>
      <c r="DD279" t="n">
        <v>2.79</v>
      </c>
      <c r="DE279" t="n">
        <v>120</v>
      </c>
      <c r="DO279" t="n">
        <v>8</v>
      </c>
      <c r="DT279" t="inlineStr">
        <is>
          <t>p26_typhon_ty57</t>
        </is>
      </c>
      <c r="EQ279" t="inlineStr">
        <is>
          <t>AU-220 57 mm (twin deck mount)</t>
        </is>
      </c>
      <c r="EW279" t="inlineStr">
        <is>
          <t>SIMULTANEOUS</t>
        </is>
      </c>
      <c r="GD279" t="inlineStr">
        <is>
          <t>Assets/MachineBrigade/Resources/Data/balance.json: weapons[199]</t>
        </is>
      </c>
      <c r="GE279" t="inlineStr">
        <is>
          <t>{"id":"p26_typhon_sec_ty57","groundMinReach":8,"inherits":"p26_typhon_ty57","real":"AU-220 57 mm (twin deck mount)","salvoMode":"SIMULTANEOUS","barrels":2,"burstInterval":0.5,"burst":4,"cooldown":2.79,"damage":120}</t>
        </is>
      </c>
    </row>
    <row r="280">
      <c r="A280" t="inlineStr">
        <is>
          <t>p26_typhon_ty57</t>
        </is>
      </c>
      <c r="B280" t="inlineStr">
        <is>
          <t>AU-220 57 mm (deck)</t>
        </is>
      </c>
      <c r="C280" t="inlineStr">
        <is>
          <t>cal_57</t>
        </is>
      </c>
      <c r="D280" t="inlineStr"/>
      <c r="E280" t="inlineStr"/>
      <c r="F280" t="inlineStr">
        <is>
          <t>tank_gun</t>
        </is>
      </c>
      <c r="G280" t="n">
        <v>57</v>
      </c>
      <c r="H280" t="inlineStr"/>
      <c r="I280" t="inlineStr"/>
      <c r="J280" t="inlineStr"/>
      <c r="K280" t="inlineStr">
        <is>
          <t>HighExplosive</t>
        </is>
      </c>
      <c r="L280" t="n">
        <v>3</v>
      </c>
      <c r="M280" t="inlineStr">
        <is>
          <t>Shell</t>
        </is>
      </c>
      <c r="N280" t="n">
        <v>1</v>
      </c>
      <c r="O280" t="inlineStr">
        <is>
          <t>RIPPLE</t>
        </is>
      </c>
      <c r="P280" t="n">
        <v>2</v>
      </c>
      <c r="Q280" t="n">
        <v>0.1</v>
      </c>
      <c r="R280" t="n">
        <v>1.4</v>
      </c>
      <c r="S280" t="n">
        <v>0</v>
      </c>
      <c r="T280" t="n">
        <v>0</v>
      </c>
      <c r="U280" t="n">
        <v>0</v>
      </c>
      <c r="V280" t="n">
        <v>0</v>
      </c>
      <c r="W280" t="n">
        <v>130</v>
      </c>
      <c r="X280" t="n">
        <v>3</v>
      </c>
      <c r="Y280" t="n">
        <v>6</v>
      </c>
      <c r="Z280" t="n">
        <v>150</v>
      </c>
      <c r="AA280" t="n">
        <v>40</v>
      </c>
      <c r="AB280" t="n">
        <v>0</v>
      </c>
      <c r="AC280" t="inlineStr">
        <is>
          <t>Ground</t>
        </is>
      </c>
      <c r="AD280" t="inlineStr"/>
      <c r="AE280" t="n">
        <v>0.8</v>
      </c>
      <c r="AF280" t="inlineStr">
        <is>
          <t>Medium</t>
        </is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n">
        <v>57</v>
      </c>
      <c r="AO280" t="n">
        <v>0</v>
      </c>
      <c r="AP280" t="inlineStr">
        <is>
          <t>T2</t>
        </is>
      </c>
      <c r="AQ280" t="inlineStr">
        <is>
          <t>gun_57mm</t>
        </is>
      </c>
      <c r="AR280" t="inlineStr"/>
      <c r="AS280" t="inlineStr"/>
      <c r="AT280" t="inlineStr"/>
      <c r="AU280" t="n">
        <v>0</v>
      </c>
      <c r="AV280" t="inlineStr"/>
      <c r="AW280" t="n">
        <v>0</v>
      </c>
      <c r="AX280" t="b">
        <v>0</v>
      </c>
      <c r="AY280" t="inlineStr"/>
      <c r="AZ280">
        <f>IF(AND($AX$280,$AW$280&gt;$AA$280/$Z$280),$AW$280,$AA$280/$Z$280)</f>
        <v/>
      </c>
      <c r="BA280" t="n">
        <v>0.2666666666666667</v>
      </c>
      <c r="BB280" t="n">
        <v>120</v>
      </c>
      <c r="BC280" t="n">
        <v>80</v>
      </c>
      <c r="BD280" t="inlineStr">
        <is>
          <t>ac</t>
        </is>
      </c>
      <c r="BE280" t="inlineStr">
        <is>
          <t>Wikipedia 'AU-220M': 80-120 rpm</t>
        </is>
      </c>
      <c r="BG280" t="inlineStr">
        <is>
          <t>giong</t>
        </is>
      </c>
      <c r="CR280" t="n">
        <v>2</v>
      </c>
      <c r="CS280" t="n">
        <v>0.1</v>
      </c>
      <c r="DD280" t="n">
        <v>1.4</v>
      </c>
      <c r="DE280" t="n">
        <v>130</v>
      </c>
      <c r="DF280" t="inlineStr">
        <is>
          <t>HighExplosive</t>
        </is>
      </c>
      <c r="DG280" t="n">
        <v>6</v>
      </c>
      <c r="DT280" t="inlineStr">
        <is>
          <t>gun_57mm</t>
        </is>
      </c>
      <c r="EB280" t="n">
        <v>3</v>
      </c>
      <c r="EP280" t="n">
        <v>40</v>
      </c>
      <c r="EQ280" t="inlineStr">
        <is>
          <t>AU-220 57 mm (deck)</t>
        </is>
      </c>
      <c r="EY280" t="n">
        <v>3</v>
      </c>
      <c r="GA280" t="inlineStr"/>
      <c r="GC280" t="inlineStr"/>
      <c r="GD280" t="inlineStr">
        <is>
          <t>Assets/MachineBrigade/Resources/Data/balance.json: weapons[198]</t>
        </is>
      </c>
      <c r="GE280" t="inlineStr">
        <is>
          <t>{"id":"p26_typhon_ty57","inherits":"gun_57mm","weaponVariantId":"","weaponFamily":"","real":"AU-220 57 mm (deck)","damageType":"HighExplosive","damage":130,"burst":2,"burstInterval":0.1,"cooldown":1.4,"pen":3,"splash":3,"edge":6,"range":40}</t>
        </is>
      </c>
    </row>
    <row r="281">
      <c r="A281" t="inlineStr">
        <is>
          <t>p26_typhon_ty100</t>
        </is>
      </c>
      <c r="B281" t="inlineStr">
        <is>
          <t>AK-100 100 mm (deck)</t>
        </is>
      </c>
      <c r="C281" t="inlineStr">
        <is>
          <t>cal_100_105_he</t>
        </is>
      </c>
      <c r="D281" t="inlineStr"/>
      <c r="E281" t="inlineStr"/>
      <c r="F281" t="inlineStr">
        <is>
          <t>howitzer</t>
        </is>
      </c>
      <c r="G281" t="n">
        <v>100</v>
      </c>
      <c r="H281" t="inlineStr"/>
      <c r="I281" t="inlineStr"/>
      <c r="J281" t="inlineStr"/>
      <c r="K281" t="inlineStr">
        <is>
          <t>HighExplosive</t>
        </is>
      </c>
      <c r="L281" t="n">
        <v>4</v>
      </c>
      <c r="M281" t="inlineStr">
        <is>
          <t>Shell</t>
        </is>
      </c>
      <c r="N281" t="n">
        <v>1</v>
      </c>
      <c r="O281" t="inlineStr">
        <is>
          <t>RIPPLE</t>
        </is>
      </c>
      <c r="P281" t="n">
        <v>1</v>
      </c>
      <c r="Q281" t="n">
        <v>0.5</v>
      </c>
      <c r="R281" t="n">
        <v>2.5</v>
      </c>
      <c r="S281" t="n">
        <v>0</v>
      </c>
      <c r="T281" t="n">
        <v>0</v>
      </c>
      <c r="U281" t="n">
        <v>0</v>
      </c>
      <c r="V281" t="n">
        <v>0</v>
      </c>
      <c r="W281" t="n">
        <v>600</v>
      </c>
      <c r="X281" t="n">
        <v>5</v>
      </c>
      <c r="Y281" t="n">
        <v>10</v>
      </c>
      <c r="Z281" t="n">
        <v>110</v>
      </c>
      <c r="AA281" t="n">
        <v>90</v>
      </c>
      <c r="AB281" t="n">
        <v>0</v>
      </c>
      <c r="AC281" t="inlineStr">
        <is>
          <t>Ground</t>
        </is>
      </c>
      <c r="AD281" t="inlineStr"/>
      <c r="AE281" t="n">
        <v>2.2</v>
      </c>
      <c r="AF281" t="inlineStr">
        <is>
          <t>Large</t>
        </is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n">
        <v>100</v>
      </c>
      <c r="AO281" t="n">
        <v>0</v>
      </c>
      <c r="AP281" t="inlineStr">
        <is>
          <t>T2</t>
        </is>
      </c>
      <c r="AQ281" t="inlineStr">
        <is>
          <t>naval_100</t>
        </is>
      </c>
      <c r="AR281" t="inlineStr"/>
      <c r="AS281" t="inlineStr"/>
      <c r="AT281" t="inlineStr"/>
      <c r="AU281" t="n">
        <v>0</v>
      </c>
      <c r="AV281" t="inlineStr"/>
      <c r="AW281" t="n">
        <v>0</v>
      </c>
      <c r="AX281" t="b">
        <v>0</v>
      </c>
      <c r="AY281" t="inlineStr"/>
      <c r="AZ281">
        <f>IF(AND($AX$281,$AW$281&gt;$AA$281/$Z$281),$AW$281,$AA$281/$Z$281)</f>
        <v/>
      </c>
      <c r="BA281" t="n">
        <v>0.8181818181818182</v>
      </c>
      <c r="BB281" t="n">
        <v>60</v>
      </c>
      <c r="BC281" t="n">
        <v>30</v>
      </c>
      <c r="BD281" t="inlineStr">
        <is>
          <t>gun</t>
        </is>
      </c>
      <c r="BE281" t="inlineStr">
        <is>
          <t>Wikipedia 'AK-100 (naval gun)': 60 rpm</t>
        </is>
      </c>
      <c r="BG281" t="inlineStr">
        <is>
          <t>giong</t>
        </is>
      </c>
      <c r="CR281" t="n">
        <v>1</v>
      </c>
      <c r="DD281" t="n">
        <v>2.5</v>
      </c>
      <c r="DE281" t="n">
        <v>600</v>
      </c>
      <c r="DG281" t="n">
        <v>10</v>
      </c>
      <c r="DT281" t="inlineStr">
        <is>
          <t>naval_100</t>
        </is>
      </c>
      <c r="EB281" t="n">
        <v>4</v>
      </c>
      <c r="EQ281" t="inlineStr">
        <is>
          <t>AK-100 100 mm (deck)</t>
        </is>
      </c>
      <c r="EY281" t="n">
        <v>5</v>
      </c>
      <c r="GA281" t="inlineStr"/>
      <c r="GD281" t="inlineStr">
        <is>
          <t>Assets/MachineBrigade/Resources/Data/balance.json: weapons[197]</t>
        </is>
      </c>
      <c r="GE281" t="inlineStr">
        <is>
          <t>{"id":"p26_typhon_ty100","inherits":"naval_100","weaponFamily":"","real":"AK-100 100 mm (deck)","damage":600,"burst":1,"cooldown":2.5,"pen":4,"splash":5,"edge":10}</t>
        </is>
      </c>
    </row>
    <row r="282">
      <c r="A282" t="inlineStr">
        <is>
          <t>patriot</t>
        </is>
      </c>
      <c r="B282" t="inlineStr">
        <is>
          <t>MIM-104 Patriot PAC-2</t>
        </is>
      </c>
      <c r="C282" t="inlineStr">
        <is>
          <t>sam_mim_104_patriot_pac_2</t>
        </is>
      </c>
      <c r="D282" t="inlineStr"/>
      <c r="E282" t="inlineStr">
        <is>
          <t>mim_104_patriot_pac_2</t>
        </is>
      </c>
      <c r="F282" t="inlineStr">
        <is>
          <t>aa_missile</t>
        </is>
      </c>
      <c r="G282" t="inlineStr"/>
      <c r="H282" t="n">
        <v>90</v>
      </c>
      <c r="I282" t="inlineStr"/>
      <c r="J282" t="inlineStr"/>
      <c r="K282" t="inlineStr">
        <is>
          <t>Fragmentation</t>
        </is>
      </c>
      <c r="L282" t="n">
        <v>3</v>
      </c>
      <c r="M282" t="inlineStr">
        <is>
          <t>Missile</t>
        </is>
      </c>
      <c r="N282" t="n">
        <v>1</v>
      </c>
      <c r="O282" t="inlineStr">
        <is>
          <t>RIPPLE</t>
        </is>
      </c>
      <c r="P282" t="n">
        <v>2</v>
      </c>
      <c r="Q282" t="n">
        <v>0.45</v>
      </c>
      <c r="R282" t="n">
        <v>2.75</v>
      </c>
      <c r="S282" t="n">
        <v>0</v>
      </c>
      <c r="T282" t="n">
        <v>0</v>
      </c>
      <c r="U282" t="n">
        <v>0</v>
      </c>
      <c r="V282" t="n">
        <v>0</v>
      </c>
      <c r="W282" t="n">
        <v>340</v>
      </c>
      <c r="X282" t="n">
        <v>2.5</v>
      </c>
      <c r="Y282" t="n">
        <v>0</v>
      </c>
      <c r="Z282" t="n">
        <v>300</v>
      </c>
      <c r="AA282" t="n">
        <v>90</v>
      </c>
      <c r="AB282" t="n">
        <v>20</v>
      </c>
      <c r="AC282" t="inlineStr">
        <is>
          <t>Air</t>
        </is>
      </c>
      <c r="AD282" t="inlineStr">
        <is>
          <t>high</t>
        </is>
      </c>
      <c r="AE282" t="n">
        <v>0</v>
      </c>
      <c r="AF282" t="inlineStr">
        <is>
          <t>Large</t>
        </is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n">
        <v>90</v>
      </c>
      <c r="AO282" t="n">
        <v>0</v>
      </c>
      <c r="AP282" t="inlineStr">
        <is>
          <t>T2</t>
        </is>
      </c>
      <c r="AQ282" t="inlineStr">
        <is>
          <t>sam_battery</t>
        </is>
      </c>
      <c r="AR282" t="inlineStr"/>
      <c r="AS282" t="inlineStr">
        <is>
          <t>thap</t>
        </is>
      </c>
      <c r="AT282" t="inlineStr">
        <is>
          <t>missile_battery</t>
        </is>
      </c>
      <c r="AU282" t="n">
        <v>1</v>
      </c>
      <c r="AV282" t="inlineStr">
        <is>
          <t>missile_battery:0</t>
        </is>
      </c>
      <c r="AW282" t="n">
        <v>0</v>
      </c>
      <c r="AX282" t="b">
        <v>0</v>
      </c>
      <c r="AY282" t="inlineStr"/>
      <c r="AZ282">
        <f>IF(AND($AX$282,$AW$282&gt;$AA$282/$Z$282),$AW$282,$AA$282/$Z$282)</f>
        <v/>
      </c>
      <c r="BA282" t="n">
        <v>0.3</v>
      </c>
      <c r="BB282" t="n">
        <v>20</v>
      </c>
      <c r="BC282" t="n">
        <v>20</v>
      </c>
      <c r="BD282" t="inlineStr">
        <is>
          <t>missile</t>
        </is>
      </c>
      <c r="BE282" t="inlineStr">
        <is>
          <t>Wikipedia 'MIM-104 Patriot': ripples a few seconds apart (est. 3 s)</t>
        </is>
      </c>
      <c r="BG282" t="inlineStr">
        <is>
          <t>doi</t>
        </is>
      </c>
      <c r="BR282" t="n">
        <v>60</v>
      </c>
      <c r="BS282" t="n">
        <v>300</v>
      </c>
      <c r="CS282" t="n">
        <v>0.45</v>
      </c>
      <c r="DD282" t="n">
        <v>2.75</v>
      </c>
      <c r="DJ282" t="inlineStr">
        <is>
          <t>aa_missile</t>
        </is>
      </c>
      <c r="DT282" t="inlineStr">
        <is>
          <t>sam_battery</t>
        </is>
      </c>
      <c r="EB282" t="n">
        <v>3</v>
      </c>
      <c r="EQ282" t="inlineStr">
        <is>
          <t>MIM-104 Patriot PAC-2</t>
        </is>
      </c>
      <c r="EX282" t="n">
        <v>90</v>
      </c>
      <c r="FZ282" t="n">
        <v>90</v>
      </c>
      <c r="GA282" t="inlineStr">
        <is>
          <t>mim_104_patriot_pac_2</t>
        </is>
      </c>
      <c r="GD282" t="inlineStr">
        <is>
          <t>Assets/MachineBrigade/Resources/Data/balance.json: weapons[88]</t>
        </is>
      </c>
      <c r="GE282" t="inlineStr">
        <is>
          <t>{"id":"patriot","weaponFamily":"mim_104_patriot_pac_2","real":"MIM-104 Patriot PAC-2","family":"aa_missile","size":90,"warheadKg":90,"pen":3,"inherits":"sam_battery","burstInterval":0.45,"cooldown":2.75}</t>
        </is>
      </c>
    </row>
    <row r="283">
      <c r="A283" t="inlineStr">
        <is>
          <t>pt14_co_203</t>
        </is>
      </c>
      <c r="B283" t="inlineStr">
        <is>
          <t>Mk 71 203 mm (Coeus twin turret)</t>
        </is>
      </c>
      <c r="C283" t="inlineStr">
        <is>
          <t>cal_203</t>
        </is>
      </c>
      <c r="D283" t="inlineStr"/>
      <c r="E283" t="inlineStr"/>
      <c r="F283" t="inlineStr">
        <is>
          <t>howitzer</t>
        </is>
      </c>
      <c r="G283" t="n">
        <v>203</v>
      </c>
      <c r="H283" t="inlineStr"/>
      <c r="I283" t="inlineStr"/>
      <c r="J283" t="inlineStr"/>
      <c r="K283" t="inlineStr">
        <is>
          <t>HighExplosive</t>
        </is>
      </c>
      <c r="L283" t="n">
        <v>4</v>
      </c>
      <c r="M283" t="inlineStr">
        <is>
          <t>Shell</t>
        </is>
      </c>
      <c r="N283" t="n">
        <v>2</v>
      </c>
      <c r="O283" t="inlineStr">
        <is>
          <t>SIMULTANEOUS</t>
        </is>
      </c>
      <c r="P283" t="n">
        <v>1</v>
      </c>
      <c r="Q283" t="n">
        <v>0.4</v>
      </c>
      <c r="R283" t="n">
        <v>21</v>
      </c>
      <c r="S283" t="n">
        <v>0</v>
      </c>
      <c r="T283" t="n">
        <v>0</v>
      </c>
      <c r="U283" t="n">
        <v>0</v>
      </c>
      <c r="V283" t="n">
        <v>0</v>
      </c>
      <c r="W283" t="n">
        <v>900</v>
      </c>
      <c r="X283" t="n">
        <v>8.5</v>
      </c>
      <c r="Y283" t="n">
        <v>17</v>
      </c>
      <c r="Z283" t="n">
        <v>110</v>
      </c>
      <c r="AA283" t="n">
        <v>95</v>
      </c>
      <c r="AB283" t="n">
        <v>0</v>
      </c>
      <c r="AC283" t="inlineStr">
        <is>
          <t>Ground</t>
        </is>
      </c>
      <c r="AD283" t="inlineStr"/>
      <c r="AE283" t="n">
        <v>2.6</v>
      </c>
      <c r="AF283" t="inlineStr">
        <is>
          <t>Huge</t>
        </is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n">
        <v>203</v>
      </c>
      <c r="AO283" t="n">
        <v>0</v>
      </c>
      <c r="AP283" t="inlineStr">
        <is>
          <t>T4</t>
        </is>
      </c>
      <c r="AQ283" t="inlineStr">
        <is>
          <t>cruiser_203</t>
        </is>
      </c>
      <c r="AR283" t="inlineStr"/>
      <c r="AS283" t="inlineStr">
        <is>
          <t>boss</t>
        </is>
      </c>
      <c r="AT283" t="inlineStr">
        <is>
          <t>coeus</t>
        </is>
      </c>
      <c r="AU283" t="n">
        <v>1</v>
      </c>
      <c r="AV283" t="inlineStr">
        <is>
          <t>coeus:0</t>
        </is>
      </c>
      <c r="AW283" t="n">
        <v>2.5</v>
      </c>
      <c r="AX283" t="b">
        <v>1</v>
      </c>
      <c r="AY283" t="inlineStr"/>
      <c r="AZ283">
        <f>IF(AND($AX$283,$AW$283&gt;$AA$283/$Z$283),$AW$283,$AA$283/$Z$283)</f>
        <v/>
      </c>
      <c r="BA283" t="n">
        <v>2.5</v>
      </c>
      <c r="BB283" t="n">
        <v>12</v>
      </c>
      <c r="BC283" t="n">
        <v>12</v>
      </c>
      <c r="BD283" t="inlineStr">
        <is>
          <t>gun</t>
        </is>
      </c>
      <c r="BE283" t="inlineStr">
        <is>
          <t>Wikipedia '8"/55 caliber Mark 71': 12 rpm</t>
        </is>
      </c>
      <c r="BG283" t="inlineStr">
        <is>
          <t>moi</t>
        </is>
      </c>
      <c r="DD283" t="n">
        <v>21</v>
      </c>
      <c r="DE283" t="n">
        <v>900</v>
      </c>
      <c r="DG283" t="n">
        <v>17</v>
      </c>
      <c r="DO283" t="n">
        <v>19</v>
      </c>
      <c r="DT283" t="inlineStr">
        <is>
          <t>cruiser_203</t>
        </is>
      </c>
      <c r="EP283" t="n">
        <v>95</v>
      </c>
      <c r="EQ283" t="inlineStr">
        <is>
          <t>Mk 71 203 mm (Coeus twin turret)</t>
        </is>
      </c>
      <c r="EY283" t="n">
        <v>8.5</v>
      </c>
      <c r="GD283" t="inlineStr">
        <is>
          <t>Assets/MachineBrigade/Resources/Data/balance.json: weapons[229]</t>
        </is>
      </c>
      <c r="GE283" t="inlineStr">
        <is>
          <t>{"id":"pt14_co_203","groundMinReach":19,"inherits":"cruiser_203","real":"Mk 71 203 mm (Coeus twin turret)","damage":900,"edge":17,"cooldown":21,"splash":8.5,"range":95}</t>
        </is>
      </c>
    </row>
    <row r="284">
      <c r="A284" t="inlineStr">
        <is>
          <t>pt14_co_spike</t>
        </is>
      </c>
      <c r="B284" t="inlineStr">
        <is>
          <t>Spike NLOS (Coeus box launcher)</t>
        </is>
      </c>
      <c r="C284" t="inlineStr">
        <is>
          <t>atgm_spike_nlos</t>
        </is>
      </c>
      <c r="D284" t="inlineStr"/>
      <c r="E284" t="inlineStr"/>
      <c r="F284" t="inlineStr">
        <is>
          <t>atgm</t>
        </is>
      </c>
      <c r="G284" t="inlineStr"/>
      <c r="H284" t="n">
        <v>9</v>
      </c>
      <c r="I284" t="inlineStr"/>
      <c r="J284" t="inlineStr"/>
      <c r="K284" t="inlineStr">
        <is>
          <t>ShapedCharge</t>
        </is>
      </c>
      <c r="L284" t="n">
        <v>4</v>
      </c>
      <c r="M284" t="inlineStr">
        <is>
          <t>Missile</t>
        </is>
      </c>
      <c r="N284" t="n">
        <v>1</v>
      </c>
      <c r="O284" t="inlineStr">
        <is>
          <t>RIPPLE</t>
        </is>
      </c>
      <c r="P284" t="n">
        <v>2</v>
      </c>
      <c r="Q284" t="n">
        <v>0.8</v>
      </c>
      <c r="R284" t="n">
        <v>12</v>
      </c>
      <c r="S284" t="n">
        <v>0</v>
      </c>
      <c r="T284" t="n">
        <v>0</v>
      </c>
      <c r="U284" t="n">
        <v>0</v>
      </c>
      <c r="V284" t="n">
        <v>0</v>
      </c>
      <c r="W284" t="n">
        <v>300</v>
      </c>
      <c r="X284" t="n">
        <v>3.5</v>
      </c>
      <c r="Y284" t="n">
        <v>0</v>
      </c>
      <c r="Z284" t="n">
        <v>60</v>
      </c>
      <c r="AA284" t="n">
        <v>80</v>
      </c>
      <c r="AB284" t="n">
        <v>0</v>
      </c>
      <c r="AC284" t="inlineStr">
        <is>
          <t>Ground</t>
        </is>
      </c>
      <c r="AD284" t="inlineStr"/>
      <c r="AE284" t="n">
        <v>0</v>
      </c>
      <c r="AF284" t="inlineStr">
        <is>
          <t>Medium</t>
        </is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n">
        <v>49</v>
      </c>
      <c r="AO284" t="n">
        <v>3</v>
      </c>
      <c r="AP284" t="inlineStr">
        <is>
          <t>T2</t>
        </is>
      </c>
      <c r="AQ284" t="inlineStr">
        <is>
          <t>drone_missile</t>
        </is>
      </c>
      <c r="AR284" t="inlineStr"/>
      <c r="AS284" t="inlineStr">
        <is>
          <t>boss</t>
        </is>
      </c>
      <c r="AT284" t="inlineStr">
        <is>
          <t>coeus</t>
        </is>
      </c>
      <c r="AU284" t="n">
        <v>1</v>
      </c>
      <c r="AV284" t="inlineStr">
        <is>
          <t>coeus:3;coeus:4</t>
        </is>
      </c>
      <c r="AW284" t="n">
        <v>0</v>
      </c>
      <c r="AX284" t="b">
        <v>0</v>
      </c>
      <c r="AY284" t="inlineStr"/>
      <c r="AZ284">
        <f>IF(AND($AX$284,$AW$284&gt;$AA$284/$Z$284),$AW$284,$AA$284/$Z$284)</f>
        <v/>
      </c>
      <c r="BA284" t="n">
        <v>1.333333333333333</v>
      </c>
      <c r="BB284" t="n">
        <v>6</v>
      </c>
      <c r="BC284" t="n">
        <v>4</v>
      </c>
      <c r="BD284" t="inlineStr">
        <is>
          <t>atgm</t>
        </is>
      </c>
      <c r="BE284" t="inlineStr">
        <is>
          <t>Spike NLOS launcher, est. 4-6 rpm</t>
        </is>
      </c>
      <c r="BG284" t="inlineStr">
        <is>
          <t>moi</t>
        </is>
      </c>
      <c r="CR284" t="n">
        <v>2</v>
      </c>
      <c r="CS284" t="n">
        <v>0.8</v>
      </c>
      <c r="DD284" t="n">
        <v>12</v>
      </c>
      <c r="DE284" t="n">
        <v>300</v>
      </c>
      <c r="DT284" t="inlineStr">
        <is>
          <t>drone_missile</t>
        </is>
      </c>
      <c r="EK284" t="n">
        <v>60</v>
      </c>
      <c r="EP284" t="n">
        <v>80</v>
      </c>
      <c r="EQ284" t="inlineStr">
        <is>
          <t>Spike NLOS (Coeus box launcher)</t>
        </is>
      </c>
      <c r="EY284" t="n">
        <v>3.5</v>
      </c>
      <c r="GA284" t="inlineStr"/>
      <c r="GB284" t="inlineStr">
        <is>
          <t>atgm_spike_nlos</t>
        </is>
      </c>
      <c r="GD284" t="inlineStr">
        <is>
          <t>Assets/MachineBrigade/Resources/Data/balance.json: weapons[231]</t>
        </is>
      </c>
      <c r="GE284" t="inlineStr">
        <is>
          <t>{"id":"pt14_co_spike","inherits":"drone_missile","weaponFamilyId":"atgm_spike_nlos","weaponFamily":"","real":"Spike NLOS (Coeus box launcher)","projectileSpeed":60,"damage":300,"burst":2,"burstInterval":0.8,"cooldown":12,"range":80,"splash":3.5}</t>
        </is>
      </c>
    </row>
    <row r="285">
      <c r="A285" t="inlineStr">
        <is>
          <t>pt14_co_v76</t>
        </is>
      </c>
      <c r="B285" t="inlineStr">
        <is>
          <t>OTO Melara 76/62 (Coeus ventral twin)</t>
        </is>
      </c>
      <c r="C285" t="inlineStr">
        <is>
          <t>cal_76</t>
        </is>
      </c>
      <c r="D285" t="inlineStr"/>
      <c r="E285" t="inlineStr"/>
      <c r="F285" t="inlineStr">
        <is>
          <t>howitzer</t>
        </is>
      </c>
      <c r="G285" t="n">
        <v>76</v>
      </c>
      <c r="H285" t="inlineStr"/>
      <c r="I285" t="inlineStr"/>
      <c r="J285" t="inlineStr"/>
      <c r="K285" t="inlineStr">
        <is>
          <t>HighExplosive</t>
        </is>
      </c>
      <c r="L285" t="n">
        <v>3</v>
      </c>
      <c r="M285" t="inlineStr">
        <is>
          <t>Shell</t>
        </is>
      </c>
      <c r="N285" t="n">
        <v>1</v>
      </c>
      <c r="O285" t="inlineStr">
        <is>
          <t>RIPPLE</t>
        </is>
      </c>
      <c r="P285" t="n">
        <v>4</v>
      </c>
      <c r="Q285" t="n">
        <v>0.3</v>
      </c>
      <c r="R285" t="n">
        <v>3.2</v>
      </c>
      <c r="S285" t="n">
        <v>0</v>
      </c>
      <c r="T285" t="n">
        <v>0</v>
      </c>
      <c r="U285" t="n">
        <v>0</v>
      </c>
      <c r="V285" t="n">
        <v>0</v>
      </c>
      <c r="W285" t="n">
        <v>120</v>
      </c>
      <c r="X285" t="n">
        <v>3</v>
      </c>
      <c r="Y285" t="n">
        <v>0</v>
      </c>
      <c r="Z285" t="n">
        <v>110</v>
      </c>
      <c r="AA285" t="n">
        <v>70</v>
      </c>
      <c r="AB285" t="n">
        <v>0</v>
      </c>
      <c r="AC285" t="inlineStr">
        <is>
          <t>Ground</t>
        </is>
      </c>
      <c r="AD285" t="inlineStr"/>
      <c r="AE285" t="n">
        <v>2.2</v>
      </c>
      <c r="AF285" t="inlineStr">
        <is>
          <t>Medium</t>
        </is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n">
        <v>76</v>
      </c>
      <c r="AO285" t="n">
        <v>0</v>
      </c>
      <c r="AP285" t="inlineStr">
        <is>
          <t>T2</t>
        </is>
      </c>
      <c r="AQ285" t="inlineStr">
        <is>
          <t>naval_76</t>
        </is>
      </c>
      <c r="AR285" t="inlineStr"/>
      <c r="AS285" t="inlineStr">
        <is>
          <t>boss</t>
        </is>
      </c>
      <c r="AT285" t="inlineStr">
        <is>
          <t>coeus</t>
        </is>
      </c>
      <c r="AU285" t="n">
        <v>1</v>
      </c>
      <c r="AV285" t="inlineStr">
        <is>
          <t>coeus:1;coeus:2</t>
        </is>
      </c>
      <c r="AW285" t="n">
        <v>0</v>
      </c>
      <c r="AX285" t="b">
        <v>0</v>
      </c>
      <c r="AY285" t="inlineStr"/>
      <c r="AZ285">
        <f>IF(AND($AX$285,$AW$285&gt;$AA$285/$Z$285),$AW$285,$AA$285/$Z$285)</f>
        <v/>
      </c>
      <c r="BA285" t="n">
        <v>0.6363636363636364</v>
      </c>
      <c r="BB285" t="n">
        <v>120</v>
      </c>
      <c r="BC285" t="n">
        <v>80</v>
      </c>
      <c r="BD285" t="inlineStr">
        <is>
          <t>gun</t>
        </is>
      </c>
      <c r="BE285" t="inlineStr">
        <is>
          <t>Wikipedia 'OTO Melara 76 mm': 80-120 rpm (Super Rapid)</t>
        </is>
      </c>
      <c r="BG285" t="inlineStr">
        <is>
          <t>moi</t>
        </is>
      </c>
      <c r="CR285" t="n">
        <v>4</v>
      </c>
      <c r="CS285" t="n">
        <v>0.3</v>
      </c>
      <c r="DD285" t="n">
        <v>3.2</v>
      </c>
      <c r="DE285" t="n">
        <v>120</v>
      </c>
      <c r="DO285" t="n">
        <v>0</v>
      </c>
      <c r="DT285" t="inlineStr">
        <is>
          <t>naval_76</t>
        </is>
      </c>
      <c r="EP285" t="n">
        <v>70</v>
      </c>
      <c r="EQ285" t="inlineStr">
        <is>
          <t>OTO Melara 76/62 (Coeus ventral twin)</t>
        </is>
      </c>
      <c r="GD285" t="inlineStr">
        <is>
          <t>Assets/MachineBrigade/Resources/Data/balance.json: weapons[230]</t>
        </is>
      </c>
      <c r="GE285" t="inlineStr">
        <is>
          <t>{"id":"pt14_co_v76","groundMinReach":0,"inherits":"naval_76","real":"OTO Melara 76/62 (Coeus ventral twin)","damage":120,"burst":4,"burstInterval":0.3,"cooldown":3.2,"range":70}</t>
        </is>
      </c>
    </row>
    <row r="286">
      <c r="A286" t="inlineStr">
        <is>
          <t>pt14_dd_v25</t>
        </is>
      </c>
      <c r="B286" t="inlineStr">
        <is>
          <t>GAU-12/U Equalizer 25 mm (Daedalus ventral gondola)</t>
        </is>
      </c>
      <c r="C286" t="inlineStr">
        <is>
          <t>cal_25</t>
        </is>
      </c>
      <c r="D286" t="inlineStr"/>
      <c r="E286" t="inlineStr"/>
      <c r="F286" t="inlineStr">
        <is>
          <t>autocannon</t>
        </is>
      </c>
      <c r="G286" t="n">
        <v>25</v>
      </c>
      <c r="H286" t="inlineStr"/>
      <c r="I286" t="inlineStr"/>
      <c r="J286" t="inlineStr"/>
      <c r="K286" t="inlineStr">
        <is>
          <t>Kinetic</t>
        </is>
      </c>
      <c r="L286" t="n">
        <v>2</v>
      </c>
      <c r="M286" t="inlineStr">
        <is>
          <t>Bullet</t>
        </is>
      </c>
      <c r="N286" t="n">
        <v>1</v>
      </c>
      <c r="O286" t="inlineStr">
        <is>
          <t>RIPPLE</t>
        </is>
      </c>
      <c r="P286" t="n">
        <v>14</v>
      </c>
      <c r="Q286" t="n">
        <v>0.05</v>
      </c>
      <c r="R286" t="n">
        <v>2.2</v>
      </c>
      <c r="S286" t="n">
        <v>0</v>
      </c>
      <c r="T286" t="n">
        <v>0</v>
      </c>
      <c r="U286" t="n">
        <v>0</v>
      </c>
      <c r="V286" t="n">
        <v>0</v>
      </c>
      <c r="W286" t="n">
        <v>15</v>
      </c>
      <c r="X286" t="n">
        <v>0</v>
      </c>
      <c r="Y286" t="n">
        <v>0</v>
      </c>
      <c r="Z286" t="n">
        <v>210</v>
      </c>
      <c r="AA286" t="n">
        <v>30</v>
      </c>
      <c r="AB286" t="n">
        <v>0</v>
      </c>
      <c r="AC286" t="inlineStr">
        <is>
          <t>Ground</t>
        </is>
      </c>
      <c r="AD286" t="inlineStr"/>
      <c r="AE286" t="n">
        <v>1.6</v>
      </c>
      <c r="AF286" t="inlineStr">
        <is>
          <t>Small</t>
        </is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n">
        <v>25</v>
      </c>
      <c r="AO286" t="n">
        <v>0</v>
      </c>
      <c r="AP286" t="inlineStr">
        <is>
          <t>T1</t>
        </is>
      </c>
      <c r="AQ286" t="inlineStr">
        <is>
          <t>autocannon_25</t>
        </is>
      </c>
      <c r="AR286" t="inlineStr"/>
      <c r="AS286" t="inlineStr">
        <is>
          <t>boss</t>
        </is>
      </c>
      <c r="AT286" t="inlineStr">
        <is>
          <t>daedalus</t>
        </is>
      </c>
      <c r="AU286" t="n">
        <v>1</v>
      </c>
      <c r="AV286" t="inlineStr">
        <is>
          <t>daedalus:3;daedalus:4</t>
        </is>
      </c>
      <c r="AW286" t="n">
        <v>0</v>
      </c>
      <c r="AX286" t="b">
        <v>0</v>
      </c>
      <c r="AY286" t="inlineStr"/>
      <c r="AZ286">
        <f>IF(AND($AX$286,$AW$286&gt;$AA$286/$Z$286),$AW$286,$AA$286/$Z$286)</f>
        <v/>
      </c>
      <c r="BA286" t="n">
        <v>0.1428571428571428</v>
      </c>
      <c r="BB286" t="n">
        <v>4200</v>
      </c>
      <c r="BC286" t="inlineStr"/>
      <c r="BD286" t="inlineStr">
        <is>
          <t>ac</t>
        </is>
      </c>
      <c r="BE286" t="inlineStr">
        <is>
          <t>Wikipedia 'GAU-12 Equalizer': 3,600-4,200 rpm (1,800 on the AC-130U)</t>
        </is>
      </c>
      <c r="BG286" t="inlineStr">
        <is>
          <t>moi</t>
        </is>
      </c>
      <c r="CR286" t="n">
        <v>14</v>
      </c>
      <c r="CS286" t="n">
        <v>0.05</v>
      </c>
      <c r="DD286" t="n">
        <v>2.2</v>
      </c>
      <c r="DE286" t="n">
        <v>15</v>
      </c>
      <c r="DO286" t="n">
        <v>0</v>
      </c>
      <c r="DT286" t="inlineStr">
        <is>
          <t>autocannon_25</t>
        </is>
      </c>
      <c r="EP286" t="n">
        <v>30</v>
      </c>
      <c r="EQ286" t="inlineStr">
        <is>
          <t>GAU-12/U Equalizer 25 mm (Daedalus ventral gondola)</t>
        </is>
      </c>
      <c r="EZ286" t="n">
        <v>1.6</v>
      </c>
      <c r="GA286" t="inlineStr"/>
      <c r="GD286" t="inlineStr">
        <is>
          <t>Assets/MachineBrigade/Resources/Data/balance.json: weapons[221]</t>
        </is>
      </c>
      <c r="GE286" t="inlineStr">
        <is>
          <t>{"id":"pt14_dd_v25","groundMinReach":0,"inherits":"autocannon_25","weaponFamily":"","real":"GAU-12/U Equalizer 25 mm (Daedalus ventral gondola)","damage":15,"burst":14,"burstInterval":0.05,"cooldown":2.2,"spread":1.6,"range":30}</t>
        </is>
      </c>
    </row>
    <row r="287">
      <c r="A287" t="inlineStr">
        <is>
          <t>pt14_dd_v57</t>
        </is>
      </c>
      <c r="B287" t="inlineStr">
        <is>
          <t>AU-220 57 mm (twin ventral turret)</t>
        </is>
      </c>
      <c r="C287" t="inlineStr">
        <is>
          <t>cal_57</t>
        </is>
      </c>
      <c r="D287" t="inlineStr"/>
      <c r="E287" t="inlineStr"/>
      <c r="F287" t="inlineStr">
        <is>
          <t>tank_gun</t>
        </is>
      </c>
      <c r="G287" t="n">
        <v>57</v>
      </c>
      <c r="H287" t="inlineStr"/>
      <c r="I287" t="inlineStr"/>
      <c r="J287" t="inlineStr"/>
      <c r="K287" t="inlineStr">
        <is>
          <t>HighExplosive</t>
        </is>
      </c>
      <c r="L287" t="n">
        <v>4</v>
      </c>
      <c r="M287" t="inlineStr">
        <is>
          <t>Shell</t>
        </is>
      </c>
      <c r="N287" t="n">
        <v>2</v>
      </c>
      <c r="O287" t="inlineStr">
        <is>
          <t>SIMULTANEOUS</t>
        </is>
      </c>
      <c r="P287" t="n">
        <v>4</v>
      </c>
      <c r="Q287" t="n">
        <v>0.5</v>
      </c>
      <c r="R287" t="n">
        <v>2.79</v>
      </c>
      <c r="S287" t="n">
        <v>0</v>
      </c>
      <c r="T287" t="n">
        <v>0</v>
      </c>
      <c r="U287" t="n">
        <v>0</v>
      </c>
      <c r="V287" t="n">
        <v>0</v>
      </c>
      <c r="W287" t="n">
        <v>120</v>
      </c>
      <c r="X287" t="n">
        <v>3</v>
      </c>
      <c r="Y287" t="n">
        <v>6</v>
      </c>
      <c r="Z287" t="n">
        <v>150</v>
      </c>
      <c r="AA287" t="n">
        <v>28</v>
      </c>
      <c r="AB287" t="n">
        <v>0</v>
      </c>
      <c r="AC287" t="inlineStr">
        <is>
          <t>Ground</t>
        </is>
      </c>
      <c r="AD287" t="inlineStr"/>
      <c r="AE287" t="n">
        <v>0.8</v>
      </c>
      <c r="AF287" t="inlineStr">
        <is>
          <t>Medium</t>
        </is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n">
        <v>57</v>
      </c>
      <c r="AO287" t="n">
        <v>0</v>
      </c>
      <c r="AP287" t="inlineStr">
        <is>
          <t>T2</t>
        </is>
      </c>
      <c r="AQ287" t="inlineStr">
        <is>
          <t>p26_daedalus_sec_dae57</t>
        </is>
      </c>
      <c r="AR287" t="inlineStr"/>
      <c r="AS287" t="inlineStr">
        <is>
          <t>boss</t>
        </is>
      </c>
      <c r="AT287" t="inlineStr">
        <is>
          <t>daedalus</t>
        </is>
      </c>
      <c r="AU287" t="n">
        <v>1</v>
      </c>
      <c r="AV287" t="inlineStr">
        <is>
          <t>daedalus:1;daedalus:2</t>
        </is>
      </c>
      <c r="AW287" t="n">
        <v>0</v>
      </c>
      <c r="AX287" t="b">
        <v>0</v>
      </c>
      <c r="AY287" t="inlineStr"/>
      <c r="AZ287">
        <f>IF(AND($AX$287,$AW$287&gt;$AA$287/$Z$287),$AW$287,$AA$287/$Z$287)</f>
        <v/>
      </c>
      <c r="BA287" t="n">
        <v>0.1866666666666667</v>
      </c>
      <c r="BB287" t="n">
        <v>120</v>
      </c>
      <c r="BC287" t="n">
        <v>80</v>
      </c>
      <c r="BD287" t="inlineStr">
        <is>
          <t>ac</t>
        </is>
      </c>
      <c r="BE287" t="inlineStr">
        <is>
          <t>Wikipedia 'AU-220M': 80-120 rpm</t>
        </is>
      </c>
      <c r="BG287" t="inlineStr">
        <is>
          <t>moi</t>
        </is>
      </c>
      <c r="DO287" t="n">
        <v>0</v>
      </c>
      <c r="DT287" t="inlineStr">
        <is>
          <t>p26_daedalus_sec_dae57</t>
        </is>
      </c>
      <c r="EQ287" t="inlineStr">
        <is>
          <t>AU-220 57 mm (twin ventral turret)</t>
        </is>
      </c>
      <c r="GD287" t="inlineStr">
        <is>
          <t>Assets/MachineBrigade/Resources/Data/balance.json: weapons[220]</t>
        </is>
      </c>
      <c r="GE287" t="inlineStr">
        <is>
          <t>{"id":"pt14_dd_v57","groundMinReach":0,"inherits":"p26_daedalus_sec_dae57","real":"AU-220 57 mm (twin ventral turret)"}</t>
        </is>
      </c>
    </row>
    <row r="288">
      <c r="A288" t="inlineStr">
        <is>
          <t>pt14_hp_155</t>
        </is>
      </c>
      <c r="B288" t="inlineStr">
        <is>
          <t>155 mm/60 (Hyperion twin turret)</t>
        </is>
      </c>
      <c r="C288" t="inlineStr">
        <is>
          <t>cal_152_155</t>
        </is>
      </c>
      <c r="D288" t="inlineStr"/>
      <c r="E288" t="inlineStr"/>
      <c r="F288" t="inlineStr">
        <is>
          <t>howitzer</t>
        </is>
      </c>
      <c r="G288" t="n">
        <v>155</v>
      </c>
      <c r="H288" t="inlineStr"/>
      <c r="I288" t="inlineStr"/>
      <c r="J288" t="inlineStr"/>
      <c r="K288" t="inlineStr">
        <is>
          <t>HighExplosive</t>
        </is>
      </c>
      <c r="L288" t="n">
        <v>3</v>
      </c>
      <c r="M288" t="inlineStr">
        <is>
          <t>Shell</t>
        </is>
      </c>
      <c r="N288" t="n">
        <v>1</v>
      </c>
      <c r="O288" t="inlineStr">
        <is>
          <t>RIPPLE</t>
        </is>
      </c>
      <c r="P288" t="n">
        <v>2</v>
      </c>
      <c r="Q288" t="n">
        <v>0.4</v>
      </c>
      <c r="R288" t="n">
        <v>13.5</v>
      </c>
      <c r="S288" t="n">
        <v>0</v>
      </c>
      <c r="T288" t="n">
        <v>0</v>
      </c>
      <c r="U288" t="n">
        <v>0</v>
      </c>
      <c r="V288" t="n">
        <v>0</v>
      </c>
      <c r="W288" t="n">
        <v>600</v>
      </c>
      <c r="X288" t="n">
        <v>7</v>
      </c>
      <c r="Y288" t="n">
        <v>14</v>
      </c>
      <c r="Z288" t="n">
        <v>110</v>
      </c>
      <c r="AA288" t="n">
        <v>95</v>
      </c>
      <c r="AB288" t="n">
        <v>0</v>
      </c>
      <c r="AC288" t="inlineStr">
        <is>
          <t>Ground</t>
        </is>
      </c>
      <c r="AD288" t="inlineStr"/>
      <c r="AE288" t="n">
        <v>2.4</v>
      </c>
      <c r="AF288" t="inlineStr">
        <is>
          <t>Large</t>
        </is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n">
        <v>155</v>
      </c>
      <c r="AO288" t="n">
        <v>0</v>
      </c>
      <c r="AP288" t="inlineStr">
        <is>
          <t>T3</t>
        </is>
      </c>
      <c r="AQ288" t="inlineStr">
        <is>
          <t>naval_155_triple</t>
        </is>
      </c>
      <c r="AR288" t="inlineStr"/>
      <c r="AS288" t="inlineStr">
        <is>
          <t>boss</t>
        </is>
      </c>
      <c r="AT288" t="inlineStr">
        <is>
          <t>hyperion</t>
        </is>
      </c>
      <c r="AU288" t="n">
        <v>1</v>
      </c>
      <c r="AV288" t="inlineStr">
        <is>
          <t>hyperion:1;hyperion:2</t>
        </is>
      </c>
      <c r="AW288" t="n">
        <v>0</v>
      </c>
      <c r="AX288" t="b">
        <v>0</v>
      </c>
      <c r="AY288" t="inlineStr"/>
      <c r="AZ288">
        <f>IF(AND($AX$288,$AW$288&gt;$AA$288/$Z$288),$AW$288,$AA$288/$Z$288)</f>
        <v/>
      </c>
      <c r="BA288" t="n">
        <v>0.8636363636363636</v>
      </c>
      <c r="BB288" t="n">
        <v>5</v>
      </c>
      <c r="BC288" t="n">
        <v>4</v>
      </c>
      <c r="BD288" t="inlineStr">
        <is>
          <t>gun</t>
        </is>
      </c>
      <c r="BE288" t="inlineStr">
        <is>
          <t>Wikipedia '15.5 cm/60 3rd Year Type' (Mogami): ~5 rpm a gun</t>
        </is>
      </c>
      <c r="BG288" t="inlineStr">
        <is>
          <t>moi</t>
        </is>
      </c>
      <c r="CR288" t="n">
        <v>2</v>
      </c>
      <c r="CS288" t="n">
        <v>0.4</v>
      </c>
      <c r="DD288" t="n">
        <v>13.5</v>
      </c>
      <c r="DE288" t="n">
        <v>600</v>
      </c>
      <c r="DG288" t="n">
        <v>14</v>
      </c>
      <c r="DO288" t="n">
        <v>19</v>
      </c>
      <c r="DT288" t="inlineStr">
        <is>
          <t>naval_155_triple</t>
        </is>
      </c>
      <c r="EP288" t="n">
        <v>95</v>
      </c>
      <c r="EQ288" t="inlineStr">
        <is>
          <t>155 mm/60 (Hyperion twin turret)</t>
        </is>
      </c>
      <c r="EY288" t="n">
        <v>7</v>
      </c>
      <c r="GD288" t="inlineStr">
        <is>
          <t>Assets/MachineBrigade/Resources/Data/balance.json: weapons[222]</t>
        </is>
      </c>
      <c r="GE288" t="inlineStr">
        <is>
          <t>{"id":"pt14_hp_155","groundMinReach":19,"inherits":"naval_155_triple","real":"155 mm/60 (Hyperion twin turret)","damage":600,"edge":14,"burst":2,"burstInterval":0.4,"cooldown":13.5,"splash":7,"range":95}</t>
        </is>
      </c>
    </row>
    <row r="289">
      <c r="A289" t="inlineStr">
        <is>
          <t>pt14_hp_nsm</t>
        </is>
      </c>
      <c r="B289" t="inlineStr">
        <is>
          <t>NSM Block 1A (Hyperion VLS, land attack)</t>
        </is>
      </c>
      <c r="C289" t="inlineStr">
        <is>
          <t>msl_nsm_p_800_oniks</t>
        </is>
      </c>
      <c r="D289" t="inlineStr"/>
      <c r="E289" t="inlineStr"/>
      <c r="F289" t="inlineStr">
        <is>
          <t>missile</t>
        </is>
      </c>
      <c r="G289" t="inlineStr"/>
      <c r="H289" t="n">
        <v>250</v>
      </c>
      <c r="I289" t="inlineStr"/>
      <c r="J289" t="inlineStr"/>
      <c r="K289" t="inlineStr">
        <is>
          <t>HighExplosive</t>
        </is>
      </c>
      <c r="L289" t="n">
        <v>4</v>
      </c>
      <c r="M289" t="inlineStr">
        <is>
          <t>Missile</t>
        </is>
      </c>
      <c r="N289" t="n">
        <v>1</v>
      </c>
      <c r="O289" t="inlineStr">
        <is>
          <t>RIPPLE</t>
        </is>
      </c>
      <c r="P289" t="n">
        <v>2</v>
      </c>
      <c r="Q289" t="n">
        <v>0.6</v>
      </c>
      <c r="R289" t="n">
        <v>14</v>
      </c>
      <c r="S289" t="n">
        <v>0</v>
      </c>
      <c r="T289" t="n">
        <v>0</v>
      </c>
      <c r="U289" t="n">
        <v>0</v>
      </c>
      <c r="V289" t="n">
        <v>0</v>
      </c>
      <c r="W289" t="n">
        <v>380</v>
      </c>
      <c r="X289" t="n">
        <v>5</v>
      </c>
      <c r="Y289" t="n">
        <v>0</v>
      </c>
      <c r="Z289" t="n">
        <v>90</v>
      </c>
      <c r="AA289" t="n">
        <v>95</v>
      </c>
      <c r="AB289" t="n">
        <v>0</v>
      </c>
      <c r="AC289" t="inlineStr">
        <is>
          <t>Ground</t>
        </is>
      </c>
      <c r="AD289" t="inlineStr"/>
      <c r="AE289" t="n">
        <v>0</v>
      </c>
      <c r="AF289" t="inlineStr">
        <is>
          <t>Large</t>
        </is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n">
        <v>680</v>
      </c>
      <c r="AO289" t="n">
        <v>0</v>
      </c>
      <c r="AP289" t="inlineStr">
        <is>
          <t>T4</t>
        </is>
      </c>
      <c r="AQ289" t="inlineStr">
        <is>
          <t>anti_ship_missile</t>
        </is>
      </c>
      <c r="AR289" t="inlineStr"/>
      <c r="AS289" t="inlineStr">
        <is>
          <t>boss</t>
        </is>
      </c>
      <c r="AT289" t="inlineStr">
        <is>
          <t>hyperion</t>
        </is>
      </c>
      <c r="AU289" t="n">
        <v>1</v>
      </c>
      <c r="AV289" t="inlineStr">
        <is>
          <t>hyperion:7;hyperion:8</t>
        </is>
      </c>
      <c r="AW289" t="n">
        <v>2.5</v>
      </c>
      <c r="AX289" t="b">
        <v>0</v>
      </c>
      <c r="AY289" t="inlineStr"/>
      <c r="AZ289">
        <f>IF(AND($AX$289,$AW$289&gt;$AA$289/$Z$289),$AW$289,$AA$289/$Z$289)</f>
        <v/>
      </c>
      <c r="BA289" t="n">
        <v>1.055555555555556</v>
      </c>
      <c r="BB289" t="n">
        <v>20</v>
      </c>
      <c r="BC289" t="n">
        <v>6</v>
      </c>
      <c r="BD289" t="inlineStr">
        <is>
          <t>missile</t>
        </is>
      </c>
      <c r="BE289" t="inlineStr">
        <is>
          <t>cruise missiles: ~3 s between launches (est.)</t>
        </is>
      </c>
      <c r="BG289" t="inlineStr">
        <is>
          <t>moi</t>
        </is>
      </c>
      <c r="CR289" t="n">
        <v>2</v>
      </c>
      <c r="CS289" t="n">
        <v>0.6</v>
      </c>
      <c r="DD289" t="n">
        <v>14</v>
      </c>
      <c r="DE289" t="n">
        <v>380</v>
      </c>
      <c r="DL289" t="inlineStr">
        <is>
          <t>Loft</t>
        </is>
      </c>
      <c r="DS289" t="inlineStr">
        <is>
          <t>Large</t>
        </is>
      </c>
      <c r="DT289" t="inlineStr">
        <is>
          <t>anti_ship_missile</t>
        </is>
      </c>
      <c r="EK289" t="n">
        <v>90</v>
      </c>
      <c r="EP289" t="n">
        <v>95</v>
      </c>
      <c r="EQ289" t="inlineStr">
        <is>
          <t>NSM Block 1A (Hyperion VLS, land attack)</t>
        </is>
      </c>
      <c r="EY289" t="n">
        <v>5</v>
      </c>
      <c r="GA289" t="inlineStr"/>
      <c r="GD289" t="inlineStr">
        <is>
          <t>Assets/MachineBrigade/Resources/Data/balance.json: weapons[225]</t>
        </is>
      </c>
      <c r="GE289" t="inlineStr">
        <is>
          <t>{"id":"pt14_hp_nsm","inherits":"anti_ship_missile","weaponFamily":"","real":"NSM Block 1A (Hyperion VLS, land attack)","projectileSpeed":90,"flightProfile":"Loft","damage":380,"burst":2,"burstInterval":0.6,"cooldown":14,"range":95,"splash":5,"impactTier":"Large"}</t>
        </is>
      </c>
    </row>
    <row r="290">
      <c r="A290" t="inlineStr">
        <is>
          <t>pt14_hp_v127</t>
        </is>
      </c>
      <c r="B290" t="inlineStr">
        <is>
          <t>Mk 45 127 mm (Hyperion ventral turret)</t>
        </is>
      </c>
      <c r="C290" t="inlineStr">
        <is>
          <t>cal_127_130</t>
        </is>
      </c>
      <c r="D290" t="inlineStr"/>
      <c r="E290" t="inlineStr"/>
      <c r="F290" t="inlineStr">
        <is>
          <t>howitzer</t>
        </is>
      </c>
      <c r="G290" t="n">
        <v>127</v>
      </c>
      <c r="H290" t="inlineStr"/>
      <c r="I290" t="inlineStr"/>
      <c r="J290" t="inlineStr"/>
      <c r="K290" t="inlineStr">
        <is>
          <t>HighExplosive</t>
        </is>
      </c>
      <c r="L290" t="n">
        <v>3</v>
      </c>
      <c r="M290" t="inlineStr">
        <is>
          <t>Shell</t>
        </is>
      </c>
      <c r="N290" t="n">
        <v>1</v>
      </c>
      <c r="O290" t="inlineStr">
        <is>
          <t>RIPPLE</t>
        </is>
      </c>
      <c r="P290" t="n">
        <v>2</v>
      </c>
      <c r="Q290" t="n">
        <v>0.5</v>
      </c>
      <c r="R290" t="n">
        <v>4.5</v>
      </c>
      <c r="S290" t="n">
        <v>0</v>
      </c>
      <c r="T290" t="n">
        <v>0</v>
      </c>
      <c r="U290" t="n">
        <v>0</v>
      </c>
      <c r="V290" t="n">
        <v>0</v>
      </c>
      <c r="W290" t="n">
        <v>380</v>
      </c>
      <c r="X290" t="n">
        <v>6</v>
      </c>
      <c r="Y290" t="n">
        <v>12</v>
      </c>
      <c r="Z290" t="n">
        <v>110</v>
      </c>
      <c r="AA290" t="n">
        <v>80</v>
      </c>
      <c r="AB290" t="n">
        <v>0</v>
      </c>
      <c r="AC290" t="inlineStr">
        <is>
          <t>Ground</t>
        </is>
      </c>
      <c r="AD290" t="inlineStr"/>
      <c r="AE290" t="n">
        <v>2.2</v>
      </c>
      <c r="AF290" t="inlineStr">
        <is>
          <t>Large</t>
        </is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n">
        <v>127</v>
      </c>
      <c r="AO290" t="n">
        <v>0</v>
      </c>
      <c r="AP290" t="inlineStr">
        <is>
          <t>T3</t>
        </is>
      </c>
      <c r="AQ290" t="inlineStr">
        <is>
          <t>naval_127</t>
        </is>
      </c>
      <c r="AR290" t="inlineStr"/>
      <c r="AS290" t="inlineStr">
        <is>
          <t>boss</t>
        </is>
      </c>
      <c r="AT290" t="inlineStr">
        <is>
          <t>hyperion</t>
        </is>
      </c>
      <c r="AU290" t="n">
        <v>1</v>
      </c>
      <c r="AV290" t="inlineStr">
        <is>
          <t>hyperion:5;hyperion:6</t>
        </is>
      </c>
      <c r="AW290" t="n">
        <v>0</v>
      </c>
      <c r="AX290" t="b">
        <v>0</v>
      </c>
      <c r="AY290" t="inlineStr"/>
      <c r="AZ290">
        <f>IF(AND($AX$290,$AW$290&gt;$AA$290/$Z$290),$AW$290,$AA$290/$Z$290)</f>
        <v/>
      </c>
      <c r="BA290" t="n">
        <v>0.7272727272727273</v>
      </c>
      <c r="BB290" t="n">
        <v>20</v>
      </c>
      <c r="BC290" t="n">
        <v>16</v>
      </c>
      <c r="BD290" t="inlineStr">
        <is>
          <t>gun</t>
        </is>
      </c>
      <c r="BE290" t="inlineStr">
        <is>
          <t>Wikipedia '5"/54 caliber Mark 45': 16-20 rpm</t>
        </is>
      </c>
      <c r="BG290" t="inlineStr">
        <is>
          <t>moi</t>
        </is>
      </c>
      <c r="DD290" t="n">
        <v>4.5</v>
      </c>
      <c r="DE290" t="n">
        <v>380</v>
      </c>
      <c r="DG290" t="n">
        <v>12</v>
      </c>
      <c r="DO290" t="n">
        <v>0</v>
      </c>
      <c r="DT290" t="inlineStr">
        <is>
          <t>naval_127</t>
        </is>
      </c>
      <c r="EP290" t="n">
        <v>80</v>
      </c>
      <c r="EQ290" t="inlineStr">
        <is>
          <t>Mk 45 127 mm (Hyperion ventral turret)</t>
        </is>
      </c>
      <c r="GD290" t="inlineStr">
        <is>
          <t>Assets/MachineBrigade/Resources/Data/balance.json: weapons[224]</t>
        </is>
      </c>
      <c r="GE290" t="inlineStr">
        <is>
          <t>{"id":"pt14_hp_v127","groundMinReach":0,"inherits":"naval_127","real":"Mk 45 127 mm (Hyperion ventral turret)","damage":380,"edge":12,"cooldown":4.5,"range":80}</t>
        </is>
      </c>
    </row>
    <row r="291">
      <c r="A291" t="inlineStr">
        <is>
          <t>pt14_hp_vlaser</t>
        </is>
      </c>
      <c r="B291" t="inlineStr">
        <is>
          <t>laser tower (300 kW)</t>
        </is>
      </c>
      <c r="C291" t="inlineStr">
        <is>
          <t>laser_tower</t>
        </is>
      </c>
      <c r="D291" t="inlineStr"/>
      <c r="E291" t="inlineStr"/>
      <c r="F291" t="inlineStr">
        <is>
          <t>laser</t>
        </is>
      </c>
      <c r="G291" t="inlineStr"/>
      <c r="H291" t="inlineStr"/>
      <c r="I291" t="n">
        <v>300</v>
      </c>
      <c r="J291" t="inlineStr"/>
      <c r="K291" t="inlineStr">
        <is>
          <t>Energy</t>
        </is>
      </c>
      <c r="L291" t="n">
        <v>4</v>
      </c>
      <c r="M291" t="inlineStr">
        <is>
          <t>Bullet</t>
        </is>
      </c>
      <c r="N291" t="n">
        <v>1</v>
      </c>
      <c r="O291" t="inlineStr">
        <is>
          <t>RIPPLE</t>
        </is>
      </c>
      <c r="P291" t="n">
        <v>1</v>
      </c>
      <c r="Q291" t="n">
        <v>0.1</v>
      </c>
      <c r="R291" t="n">
        <v>0.1</v>
      </c>
      <c r="S291" t="n">
        <v>0</v>
      </c>
      <c r="T291" t="n">
        <v>0</v>
      </c>
      <c r="U291" t="n">
        <v>0</v>
      </c>
      <c r="V291" t="n">
        <v>0</v>
      </c>
      <c r="W291" t="n">
        <v>16</v>
      </c>
      <c r="X291" t="n">
        <v>1.5</v>
      </c>
      <c r="Y291" t="n">
        <v>0</v>
      </c>
      <c r="Z291" t="n">
        <v>3000</v>
      </c>
      <c r="AA291" t="n">
        <v>36</v>
      </c>
      <c r="AB291" t="n">
        <v>0</v>
      </c>
      <c r="AC291" t="inlineStr">
        <is>
          <t>Ground</t>
        </is>
      </c>
      <c r="AD291" t="inlineStr"/>
      <c r="AE291" t="n">
        <v>0</v>
      </c>
      <c r="AF291" t="inlineStr">
        <is>
          <t>Small</t>
        </is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1</v>
      </c>
      <c r="AM291" t="b">
        <v>0</v>
      </c>
      <c r="AN291" t="n">
        <v>300</v>
      </c>
      <c r="AO291" t="n">
        <v>0</v>
      </c>
      <c r="AP291" t="inlineStr">
        <is>
          <t>T1</t>
        </is>
      </c>
      <c r="AQ291" t="inlineStr">
        <is>
          <t>p26_icarus_direct_ic_laser</t>
        </is>
      </c>
      <c r="AR291" t="inlineStr"/>
      <c r="AS291" t="inlineStr">
        <is>
          <t>boss</t>
        </is>
      </c>
      <c r="AT291" t="inlineStr">
        <is>
          <t>hyperion</t>
        </is>
      </c>
      <c r="AU291" t="n">
        <v>1</v>
      </c>
      <c r="AV291" t="inlineStr">
        <is>
          <t>hyperion:3;hyperion:4</t>
        </is>
      </c>
      <c r="AW291" t="n">
        <v>0</v>
      </c>
      <c r="AX291" t="b">
        <v>0</v>
      </c>
      <c r="AY291" t="inlineStr"/>
      <c r="AZ291">
        <f>IF(AND($AX$291,$AW$291&gt;$AA$291/$Z$291),$AW$291,$AA$291/$Z$291)</f>
        <v/>
      </c>
      <c r="BA291" t="n">
        <v>0.012</v>
      </c>
      <c r="BB291" t="inlineStr">
        <is>
          <t>NEED_SOURCE</t>
        </is>
      </c>
      <c r="BC291" t="inlineStr">
        <is>
          <t>NEED_SOURCE</t>
        </is>
      </c>
      <c r="BE291" t="inlineStr">
        <is>
          <t>NEED_SOURCE</t>
        </is>
      </c>
      <c r="BG291" t="inlineStr">
        <is>
          <t>moi</t>
        </is>
      </c>
      <c r="DO291" t="n">
        <v>0</v>
      </c>
      <c r="DT291" t="inlineStr">
        <is>
          <t>p26_icarus_direct_ic_laser</t>
        </is>
      </c>
      <c r="GD291" t="inlineStr">
        <is>
          <t>Assets/MachineBrigade/Resources/Data/balance.json: weapons[223]</t>
        </is>
      </c>
      <c r="GE291" t="inlineStr">
        <is>
          <t>{"id":"pt14_hp_vlaser","groundMinReach":0,"inherits":"p26_icarus_direct_ic_laser"}</t>
        </is>
      </c>
    </row>
    <row r="292">
      <c r="A292" t="inlineStr">
        <is>
          <t>pt14_ixion_30</t>
        </is>
      </c>
      <c r="B292" t="inlineStr">
        <is>
          <t>2A42 30 mm (remote turret)</t>
        </is>
      </c>
      <c r="C292" t="inlineStr">
        <is>
          <t>cal_30</t>
        </is>
      </c>
      <c r="D292" t="inlineStr"/>
      <c r="E292" t="inlineStr"/>
      <c r="F292" t="inlineStr">
        <is>
          <t>autocannon</t>
        </is>
      </c>
      <c r="G292" t="n">
        <v>30</v>
      </c>
      <c r="H292" t="inlineStr"/>
      <c r="I292" t="inlineStr"/>
      <c r="J292" t="inlineStr"/>
      <c r="K292" t="inlineStr">
        <is>
          <t>Kinetic</t>
        </is>
      </c>
      <c r="L292" t="n">
        <v>2</v>
      </c>
      <c r="M292" t="inlineStr">
        <is>
          <t>Bullet</t>
        </is>
      </c>
      <c r="N292" t="n">
        <v>1</v>
      </c>
      <c r="O292" t="inlineStr">
        <is>
          <t>RIPPLE</t>
        </is>
      </c>
      <c r="P292" t="n">
        <v>8</v>
      </c>
      <c r="Q292" t="n">
        <v>0.1111</v>
      </c>
      <c r="R292" t="n">
        <v>3.5</v>
      </c>
      <c r="S292" t="n">
        <v>0</v>
      </c>
      <c r="T292" t="n">
        <v>0</v>
      </c>
      <c r="U292" t="n">
        <v>0</v>
      </c>
      <c r="V292" t="n">
        <v>0</v>
      </c>
      <c r="W292" t="n">
        <v>22</v>
      </c>
      <c r="X292" t="n">
        <v>0</v>
      </c>
      <c r="Y292" t="n">
        <v>0</v>
      </c>
      <c r="Z292" t="n">
        <v>200</v>
      </c>
      <c r="AA292" t="n">
        <v>30</v>
      </c>
      <c r="AB292" t="n">
        <v>0</v>
      </c>
      <c r="AC292" t="inlineStr">
        <is>
          <t>Ground</t>
        </is>
      </c>
      <c r="AD292" t="inlineStr"/>
      <c r="AE292" t="n">
        <v>0.8</v>
      </c>
      <c r="AF292" t="inlineStr">
        <is>
          <t>Small</t>
        </is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n">
        <v>30</v>
      </c>
      <c r="AO292" t="n">
        <v>0</v>
      </c>
      <c r="AP292" t="inlineStr">
        <is>
          <t>T1</t>
        </is>
      </c>
      <c r="AQ292" t="inlineStr">
        <is>
          <t>autocannon_30</t>
        </is>
      </c>
      <c r="AR292" t="inlineStr"/>
      <c r="AS292" t="inlineStr">
        <is>
          <t>boss</t>
        </is>
      </c>
      <c r="AT292" t="inlineStr">
        <is>
          <t>ixion</t>
        </is>
      </c>
      <c r="AU292" t="n">
        <v>1</v>
      </c>
      <c r="AV292" t="inlineStr">
        <is>
          <t>ixion:3</t>
        </is>
      </c>
      <c r="AW292" t="n">
        <v>0</v>
      </c>
      <c r="AX292" t="b">
        <v>0</v>
      </c>
      <c r="AY292" t="inlineStr"/>
      <c r="AZ292">
        <f>IF(AND($AX$292,$AW$292&gt;$AA$292/$Z$292),$AW$292,$AA$292/$Z$292)</f>
        <v/>
      </c>
      <c r="BA292" t="n">
        <v>0.15</v>
      </c>
      <c r="BB292" t="n">
        <v>800</v>
      </c>
      <c r="BC292" t="n">
        <v>300</v>
      </c>
      <c r="BD292" t="inlineStr">
        <is>
          <t>ac</t>
        </is>
      </c>
      <c r="BE292" t="inlineStr">
        <is>
          <t>Wikipedia '2A42': 550-800 high, 200-300 low rpm</t>
        </is>
      </c>
      <c r="BG292" t="inlineStr">
        <is>
          <t>moi</t>
        </is>
      </c>
      <c r="CR292" t="n">
        <v>8</v>
      </c>
      <c r="DD292" t="n">
        <v>3.5</v>
      </c>
      <c r="DE292" t="n">
        <v>22</v>
      </c>
      <c r="DT292" t="inlineStr">
        <is>
          <t>autocannon_30</t>
        </is>
      </c>
      <c r="EQ292" t="inlineStr">
        <is>
          <t>2A42 30 mm (remote turret)</t>
        </is>
      </c>
      <c r="GA292" t="inlineStr"/>
      <c r="GD292" t="inlineStr">
        <is>
          <t>Assets/MachineBrigade/Resources/Data/balance.json: weapons[169]</t>
        </is>
      </c>
      <c r="GE292" t="inlineStr">
        <is>
          <t>{"id":"pt14_ixion_30","inherits":"autocannon_30","weaponFamily":"","real":"2A42 30 mm (remote turret)","burst":8,"cooldown":3.5,"damage":22}</t>
        </is>
      </c>
    </row>
    <row r="293">
      <c r="A293" t="inlineStr">
        <is>
          <t>pt14_ixion_grad</t>
        </is>
      </c>
      <c r="B293" t="inlineStr">
        <is>
          <t>BM-21V Grad-V 122 mm (12-tube pack)</t>
        </is>
      </c>
      <c r="C293" t="inlineStr">
        <is>
          <t>rkt_grad_122</t>
        </is>
      </c>
      <c r="D293" t="inlineStr"/>
      <c r="E293" t="inlineStr"/>
      <c r="F293" t="inlineStr">
        <is>
          <t>rocket</t>
        </is>
      </c>
      <c r="G293" t="n">
        <v>122</v>
      </c>
      <c r="H293" t="inlineStr"/>
      <c r="I293" t="inlineStr"/>
      <c r="J293" t="inlineStr"/>
      <c r="K293" t="inlineStr">
        <is>
          <t>HighExplosive</t>
        </is>
      </c>
      <c r="L293" t="n">
        <v>2</v>
      </c>
      <c r="M293" t="inlineStr">
        <is>
          <t>Rocket</t>
        </is>
      </c>
      <c r="N293" t="n">
        <v>1</v>
      </c>
      <c r="O293" t="inlineStr">
        <is>
          <t>RIPPLE</t>
        </is>
      </c>
      <c r="P293" t="n">
        <v>9</v>
      </c>
      <c r="Q293" t="n">
        <v>0.5</v>
      </c>
      <c r="R293" t="n">
        <v>20</v>
      </c>
      <c r="S293" t="n">
        <v>0</v>
      </c>
      <c r="T293" t="n">
        <v>0</v>
      </c>
      <c r="U293" t="n">
        <v>3</v>
      </c>
      <c r="V293" t="n">
        <v>16.6</v>
      </c>
      <c r="W293" t="n">
        <v>57</v>
      </c>
      <c r="X293" t="n">
        <v>4.5</v>
      </c>
      <c r="Y293" t="n">
        <v>0</v>
      </c>
      <c r="Z293" t="n">
        <v>130</v>
      </c>
      <c r="AA293" t="n">
        <v>55</v>
      </c>
      <c r="AB293" t="n">
        <v>18</v>
      </c>
      <c r="AC293" t="inlineStr">
        <is>
          <t>Ground</t>
        </is>
      </c>
      <c r="AD293" t="inlineStr"/>
      <c r="AE293" t="n">
        <v>7</v>
      </c>
      <c r="AF293" t="inlineStr">
        <is>
          <t>Medium</t>
        </is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n">
        <v>122</v>
      </c>
      <c r="AO293" t="n">
        <v>0</v>
      </c>
      <c r="AP293" t="inlineStr">
        <is>
          <t>T3</t>
        </is>
      </c>
      <c r="AQ293" t="inlineStr">
        <is>
          <t>grad_rockets</t>
        </is>
      </c>
      <c r="AR293" t="inlineStr"/>
      <c r="AS293" t="inlineStr">
        <is>
          <t>boss</t>
        </is>
      </c>
      <c r="AT293" t="inlineStr">
        <is>
          <t>ixion</t>
        </is>
      </c>
      <c r="AU293" t="n">
        <v>1</v>
      </c>
      <c r="AV293" t="inlineStr">
        <is>
          <t>ixion:6</t>
        </is>
      </c>
      <c r="AW293" t="n">
        <v>0</v>
      </c>
      <c r="AX293" t="b">
        <v>0</v>
      </c>
      <c r="AY293" t="inlineStr"/>
      <c r="AZ293">
        <f>IF(AND($AX$293,$AW$293&gt;$AA$293/$Z$293),$AW$293,$AA$293/$Z$293)</f>
        <v/>
      </c>
      <c r="BA293" t="n">
        <v>0.4230769230769231</v>
      </c>
      <c r="BB293" t="n">
        <v>120</v>
      </c>
      <c r="BC293" t="inlineStr"/>
      <c r="BD293" t="inlineStr">
        <is>
          <t>rocket</t>
        </is>
      </c>
      <c r="BE293" t="inlineStr">
        <is>
          <t>Wikipedia 'BM-21 Grad': 40 rockets in 20 s</t>
        </is>
      </c>
      <c r="BG293" t="inlineStr">
        <is>
          <t>moi</t>
        </is>
      </c>
      <c r="CR293" t="n">
        <v>9</v>
      </c>
      <c r="DD293" t="n">
        <v>20</v>
      </c>
      <c r="DE293" t="n">
        <v>57</v>
      </c>
      <c r="DT293" t="inlineStr">
        <is>
          <t>grad_rockets</t>
        </is>
      </c>
      <c r="EQ293" t="inlineStr">
        <is>
          <t>BM-21V Grad-V 122 mm (12-tube pack)</t>
        </is>
      </c>
      <c r="GA293" t="inlineStr"/>
      <c r="GD293" t="inlineStr">
        <is>
          <t>Assets/MachineBrigade/Resources/Data/balance.json: weapons[171]</t>
        </is>
      </c>
      <c r="GE293" t="inlineStr">
        <is>
          <t>{"id":"pt14_ixion_grad","inherits":"grad_rockets","weaponFamily":"","real":"BM-21V Grad-V 122 mm (12-tube pack)","burst":9,"cooldown":20,"damage":57}</t>
        </is>
      </c>
    </row>
    <row r="294">
      <c r="A294" t="inlineStr">
        <is>
          <t>pt14_ixion_kornet</t>
        </is>
      </c>
      <c r="B294" t="inlineStr">
        <is>
          <t>9M133 Kornet-EM (twin launcher)</t>
        </is>
      </c>
      <c r="C294" t="inlineStr">
        <is>
          <t>atgm_kornet</t>
        </is>
      </c>
      <c r="D294" t="inlineStr"/>
      <c r="E294" t="inlineStr"/>
      <c r="F294" t="inlineStr">
        <is>
          <t>atgm</t>
        </is>
      </c>
      <c r="G294" t="inlineStr"/>
      <c r="H294" t="n">
        <v>7</v>
      </c>
      <c r="I294" t="inlineStr"/>
      <c r="J294" t="inlineStr"/>
      <c r="K294" t="inlineStr">
        <is>
          <t>ShapedCharge</t>
        </is>
      </c>
      <c r="L294" t="n">
        <v>4</v>
      </c>
      <c r="M294" t="inlineStr">
        <is>
          <t>Missile</t>
        </is>
      </c>
      <c r="N294" t="n">
        <v>1</v>
      </c>
      <c r="O294" t="inlineStr">
        <is>
          <t>RIPPLE</t>
        </is>
      </c>
      <c r="P294" t="n">
        <v>1</v>
      </c>
      <c r="Q294" t="n">
        <v>0.1</v>
      </c>
      <c r="R294" t="n">
        <v>12</v>
      </c>
      <c r="S294" t="n">
        <v>0</v>
      </c>
      <c r="T294" t="n">
        <v>0</v>
      </c>
      <c r="U294" t="n">
        <v>0</v>
      </c>
      <c r="V294" t="n">
        <v>0</v>
      </c>
      <c r="W294" t="n">
        <v>230</v>
      </c>
      <c r="X294" t="n">
        <v>0</v>
      </c>
      <c r="Y294" t="n">
        <v>0</v>
      </c>
      <c r="Z294" t="n">
        <v>80</v>
      </c>
      <c r="AA294" t="n">
        <v>45</v>
      </c>
      <c r="AB294" t="n">
        <v>0</v>
      </c>
      <c r="AC294" t="inlineStr">
        <is>
          <t>Ground</t>
        </is>
      </c>
      <c r="AD294" t="inlineStr"/>
      <c r="AE294" t="n">
        <v>0</v>
      </c>
      <c r="AF294" t="inlineStr">
        <is>
          <t>Medium</t>
        </is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n">
        <v>29</v>
      </c>
      <c r="AO294" t="n">
        <v>0</v>
      </c>
      <c r="AP294" t="inlineStr">
        <is>
          <t>T2</t>
        </is>
      </c>
      <c r="AQ294" t="inlineStr">
        <is>
          <t>boss_missiles</t>
        </is>
      </c>
      <c r="AR294" t="inlineStr"/>
      <c r="AS294" t="inlineStr">
        <is>
          <t>boss</t>
        </is>
      </c>
      <c r="AT294" t="inlineStr">
        <is>
          <t>ixion</t>
        </is>
      </c>
      <c r="AU294" t="n">
        <v>1</v>
      </c>
      <c r="AV294" t="inlineStr">
        <is>
          <t>ixion:4;ixion:5</t>
        </is>
      </c>
      <c r="AW294" t="n">
        <v>0</v>
      </c>
      <c r="AX294" t="b">
        <v>0</v>
      </c>
      <c r="AY294" t="inlineStr"/>
      <c r="AZ294">
        <f>IF(AND($AX$294,$AW$294&gt;$AA$294/$Z$294),$AW$294,$AA$294/$Z$294)</f>
        <v/>
      </c>
      <c r="BA294" t="n">
        <v>0.5625</v>
      </c>
      <c r="BB294" t="n">
        <v>3</v>
      </c>
      <c r="BC294" t="n">
        <v>3</v>
      </c>
      <c r="BD294" t="inlineStr">
        <is>
          <t>atgm</t>
        </is>
      </c>
      <c r="BE294" t="inlineStr">
        <is>
          <t>Wikipedia '9M133 Kornet': 2-3 rpm</t>
        </is>
      </c>
      <c r="BG294" t="inlineStr">
        <is>
          <t>moi</t>
        </is>
      </c>
      <c r="DD294" t="n">
        <v>12</v>
      </c>
      <c r="DE294" t="n">
        <v>230</v>
      </c>
      <c r="DO294" t="n">
        <v>1</v>
      </c>
      <c r="DT294" t="inlineStr">
        <is>
          <t>boss_missiles</t>
        </is>
      </c>
      <c r="EQ294" t="inlineStr">
        <is>
          <t>9M133 Kornet-EM (twin launcher)</t>
        </is>
      </c>
      <c r="GA294" t="inlineStr"/>
      <c r="GD294" t="inlineStr">
        <is>
          <t>Assets/MachineBrigade/Resources/Data/balance.json: weapons[170]</t>
        </is>
      </c>
      <c r="GE294" t="inlineStr">
        <is>
          <t>{"id":"pt14_ixion_kornet","groundMinReach":1,"inherits":"boss_missiles","weaponFamily":"","real":"9M133 Kornet-EM (twin launcher)","cooldown":12,"damage":230}</t>
        </is>
      </c>
    </row>
    <row r="295">
      <c r="A295" t="inlineStr">
        <is>
          <t>pt14_mk0_v40</t>
        </is>
      </c>
      <c r="B295" t="inlineStr">
        <is>
          <t>Bofors L/60 40 mm (ventral test mount)</t>
        </is>
      </c>
      <c r="C295" t="inlineStr">
        <is>
          <t>cal_40</t>
        </is>
      </c>
      <c r="D295" t="inlineStr"/>
      <c r="E295" t="inlineStr"/>
      <c r="F295" t="inlineStr">
        <is>
          <t>autocannon</t>
        </is>
      </c>
      <c r="G295" t="n">
        <v>40</v>
      </c>
      <c r="H295" t="inlineStr"/>
      <c r="I295" t="inlineStr"/>
      <c r="J295" t="inlineStr"/>
      <c r="K295" t="inlineStr">
        <is>
          <t>Kinetic</t>
        </is>
      </c>
      <c r="L295" t="n">
        <v>2</v>
      </c>
      <c r="M295" t="inlineStr">
        <is>
          <t>Bullet</t>
        </is>
      </c>
      <c r="N295" t="n">
        <v>1</v>
      </c>
      <c r="O295" t="inlineStr">
        <is>
          <t>RIPPLE</t>
        </is>
      </c>
      <c r="P295" t="n">
        <v>1</v>
      </c>
      <c r="Q295" t="n">
        <v>0.1</v>
      </c>
      <c r="R295" t="n">
        <v>0.3</v>
      </c>
      <c r="S295" t="n">
        <v>8</v>
      </c>
      <c r="T295" t="n">
        <v>2.2</v>
      </c>
      <c r="U295" t="n">
        <v>0</v>
      </c>
      <c r="V295" t="n">
        <v>0</v>
      </c>
      <c r="W295" t="n">
        <v>30</v>
      </c>
      <c r="X295" t="n">
        <v>1</v>
      </c>
      <c r="Y295" t="n">
        <v>0</v>
      </c>
      <c r="Z295" t="n">
        <v>210</v>
      </c>
      <c r="AA295" t="n">
        <v>28</v>
      </c>
      <c r="AB295" t="n">
        <v>0</v>
      </c>
      <c r="AC295" t="inlineStr">
        <is>
          <t>All</t>
        </is>
      </c>
      <c r="AD295" t="inlineStr"/>
      <c r="AE295" t="n">
        <v>0.8</v>
      </c>
      <c r="AF295" t="inlineStr">
        <is>
          <t>Small</t>
        </is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n">
        <v>40</v>
      </c>
      <c r="AO295" t="n">
        <v>0</v>
      </c>
      <c r="AP295" t="inlineStr">
        <is>
          <t>T1</t>
        </is>
      </c>
      <c r="AQ295" t="inlineStr">
        <is>
          <t>autocannon_40</t>
        </is>
      </c>
      <c r="AR295" t="inlineStr"/>
      <c r="AS295" t="inlineStr">
        <is>
          <t>boss</t>
        </is>
      </c>
      <c r="AT295" t="inlineStr">
        <is>
          <t>icarus_mk0</t>
        </is>
      </c>
      <c r="AU295" t="n">
        <v>1</v>
      </c>
      <c r="AV295" t="inlineStr">
        <is>
          <t>icarus_mk0:1;icarus_mk0:2</t>
        </is>
      </c>
      <c r="AW295" t="n">
        <v>0</v>
      </c>
      <c r="AX295" t="b">
        <v>0</v>
      </c>
      <c r="AY295" t="inlineStr"/>
      <c r="AZ295">
        <f>IF(AND($AX$295,$AW$295&gt;$AA$295/$Z$295),$AW$295,$AA$295/$Z$295)</f>
        <v/>
      </c>
      <c r="BA295" t="n">
        <v>0.1333333333333333</v>
      </c>
      <c r="BB295" t="n">
        <v>120</v>
      </c>
      <c r="BC295" t="n">
        <v>80</v>
      </c>
      <c r="BD295" t="inlineStr">
        <is>
          <t>aa</t>
        </is>
      </c>
      <c r="BE295" t="inlineStr">
        <is>
          <t>Wikipedia 'Bofors 40 mm L/60': 120 rpm</t>
        </is>
      </c>
      <c r="BG295" t="inlineStr">
        <is>
          <t>moi</t>
        </is>
      </c>
      <c r="CW295" t="n">
        <v>8</v>
      </c>
      <c r="CX295" t="n">
        <v>2.2</v>
      </c>
      <c r="DD295" t="n">
        <v>0.3</v>
      </c>
      <c r="DE295" t="n">
        <v>30</v>
      </c>
      <c r="DO295" t="n">
        <v>0</v>
      </c>
      <c r="DT295" t="inlineStr">
        <is>
          <t>autocannon_40</t>
        </is>
      </c>
      <c r="EP295" t="n">
        <v>28</v>
      </c>
      <c r="EQ295" t="inlineStr">
        <is>
          <t>Bofors L/60 40 mm (ventral test mount)</t>
        </is>
      </c>
      <c r="GD295" t="inlineStr">
        <is>
          <t>Assets/MachineBrigade/Resources/Data/balance.json: weapons[219]</t>
        </is>
      </c>
      <c r="GE295" t="inlineStr">
        <is>
          <t>{"id":"pt14_mk0_v40","groundMinReach":0,"inherits":"autocannon_40","real":"Bofors L/60 40 mm (ventral test mount)","damage":30,"cooldown":0.3,"clip":8,"clipReload":2.2,"range":28}</t>
        </is>
      </c>
    </row>
    <row r="296">
      <c r="A296" t="inlineStr">
        <is>
          <t>pt14_sb_v30</t>
        </is>
      </c>
      <c r="B296" t="inlineStr">
        <is>
          <t>Mk 44 Bushmaster II 30 mm (Icarus ventral twin)</t>
        </is>
      </c>
      <c r="C296" t="inlineStr">
        <is>
          <t>cal_30</t>
        </is>
      </c>
      <c r="D296" t="inlineStr"/>
      <c r="E296" t="inlineStr"/>
      <c r="F296" t="inlineStr">
        <is>
          <t>autocannon</t>
        </is>
      </c>
      <c r="G296" t="n">
        <v>30</v>
      </c>
      <c r="H296" t="inlineStr"/>
      <c r="I296" t="inlineStr"/>
      <c r="J296" t="inlineStr"/>
      <c r="K296" t="inlineStr">
        <is>
          <t>Kinetic</t>
        </is>
      </c>
      <c r="L296" t="n">
        <v>2</v>
      </c>
      <c r="M296" t="inlineStr">
        <is>
          <t>Bullet</t>
        </is>
      </c>
      <c r="N296" t="n">
        <v>1</v>
      </c>
      <c r="O296" t="inlineStr">
        <is>
          <t>RIPPLE</t>
        </is>
      </c>
      <c r="P296" t="n">
        <v>8</v>
      </c>
      <c r="Q296" t="n">
        <v>0.1</v>
      </c>
      <c r="R296" t="n">
        <v>1.9</v>
      </c>
      <c r="S296" t="n">
        <v>0</v>
      </c>
      <c r="T296" t="n">
        <v>0</v>
      </c>
      <c r="U296" t="n">
        <v>0</v>
      </c>
      <c r="V296" t="n">
        <v>0</v>
      </c>
      <c r="W296" t="n">
        <v>22</v>
      </c>
      <c r="X296" t="n">
        <v>0</v>
      </c>
      <c r="Y296" t="n">
        <v>0</v>
      </c>
      <c r="Z296" t="n">
        <v>200</v>
      </c>
      <c r="AA296" t="n">
        <v>32</v>
      </c>
      <c r="AB296" t="n">
        <v>0</v>
      </c>
      <c r="AC296" t="inlineStr">
        <is>
          <t>Ground</t>
        </is>
      </c>
      <c r="AD296" t="inlineStr"/>
      <c r="AE296" t="n">
        <v>0.8</v>
      </c>
      <c r="AF296" t="inlineStr">
        <is>
          <t>Small</t>
        </is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n">
        <v>30</v>
      </c>
      <c r="AO296" t="n">
        <v>0</v>
      </c>
      <c r="AP296" t="inlineStr">
        <is>
          <t>T1</t>
        </is>
      </c>
      <c r="AQ296" t="inlineStr">
        <is>
          <t>autocannon_30</t>
        </is>
      </c>
      <c r="AR296" t="inlineStr"/>
      <c r="AS296" t="inlineStr">
        <is>
          <t>boss</t>
        </is>
      </c>
      <c r="AT296" t="inlineStr">
        <is>
          <t>silver_bug</t>
        </is>
      </c>
      <c r="AU296" t="n">
        <v>1</v>
      </c>
      <c r="AV296" t="inlineStr">
        <is>
          <t>silver_bug:5;silver_bug:6</t>
        </is>
      </c>
      <c r="AW296" t="n">
        <v>0</v>
      </c>
      <c r="AX296" t="b">
        <v>0</v>
      </c>
      <c r="AY296" t="inlineStr"/>
      <c r="AZ296">
        <f>IF(AND($AX$296,$AW$296&gt;$AA$296/$Z$296),$AW$296,$AA$296/$Z$296)</f>
        <v/>
      </c>
      <c r="BA296" t="n">
        <v>0.16</v>
      </c>
      <c r="BB296" t="inlineStr">
        <is>
          <t>NEED_SOURCE</t>
        </is>
      </c>
      <c r="BC296" t="inlineStr">
        <is>
          <t>NEED_SOURCE</t>
        </is>
      </c>
      <c r="BE296" t="inlineStr">
        <is>
          <t>NEED_SOURCE</t>
        </is>
      </c>
      <c r="BG296" t="inlineStr">
        <is>
          <t>moi</t>
        </is>
      </c>
      <c r="CR296" t="n">
        <v>8</v>
      </c>
      <c r="CS296" t="n">
        <v>0.1</v>
      </c>
      <c r="DD296" t="n">
        <v>1.9</v>
      </c>
      <c r="DE296" t="n">
        <v>22</v>
      </c>
      <c r="DO296" t="n">
        <v>0</v>
      </c>
      <c r="DT296" t="inlineStr">
        <is>
          <t>autocannon_30</t>
        </is>
      </c>
      <c r="EP296" t="n">
        <v>32</v>
      </c>
      <c r="EQ296" t="inlineStr">
        <is>
          <t>Mk 44 Bushmaster II 30 mm (Icarus ventral twin)</t>
        </is>
      </c>
      <c r="GA296" t="inlineStr"/>
      <c r="GD296" t="inlineStr">
        <is>
          <t>Assets/MachineBrigade/Resources/Data/balance.json: weapons[218]</t>
        </is>
      </c>
      <c r="GE296" t="inlineStr">
        <is>
          <t>{"id":"pt14_sb_v30","groundMinReach":0,"inherits":"autocannon_30","weaponFamily":"","real":"Mk 44 Bushmaster II 30 mm (Icarus ventral twin)","damage":22,"burst":8,"burstInterval":0.1,"cooldown":1.9,"range":32}</t>
        </is>
      </c>
    </row>
    <row r="297">
      <c r="A297" t="inlineStr">
        <is>
          <t>pt14_sb_v105</t>
        </is>
      </c>
      <c r="B297" t="inlineStr">
        <is>
          <t>M102 105 mm (Icarus ventral turret)</t>
        </is>
      </c>
      <c r="C297" t="inlineStr">
        <is>
          <t>cal_100_105_he</t>
        </is>
      </c>
      <c r="D297" t="inlineStr"/>
      <c r="E297" t="inlineStr"/>
      <c r="F297" t="inlineStr">
        <is>
          <t>howitzer</t>
        </is>
      </c>
      <c r="G297" t="n">
        <v>105</v>
      </c>
      <c r="H297" t="inlineStr"/>
      <c r="I297" t="inlineStr"/>
      <c r="J297" t="inlineStr"/>
      <c r="K297" t="inlineStr">
        <is>
          <t>HighExplosive</t>
        </is>
      </c>
      <c r="L297" t="n">
        <v>2</v>
      </c>
      <c r="M297" t="inlineStr">
        <is>
          <t>Shell</t>
        </is>
      </c>
      <c r="N297" t="n">
        <v>1</v>
      </c>
      <c r="O297" t="inlineStr">
        <is>
          <t>RIPPLE</t>
        </is>
      </c>
      <c r="P297" t="n">
        <v>1</v>
      </c>
      <c r="Q297" t="n">
        <v>0.1</v>
      </c>
      <c r="R297" t="n">
        <v>6</v>
      </c>
      <c r="S297" t="n">
        <v>0</v>
      </c>
      <c r="T297" t="n">
        <v>0</v>
      </c>
      <c r="U297" t="n">
        <v>0</v>
      </c>
      <c r="V297" t="n">
        <v>0</v>
      </c>
      <c r="W297" t="n">
        <v>300</v>
      </c>
      <c r="X297" t="n">
        <v>5.5</v>
      </c>
      <c r="Y297" t="n">
        <v>11</v>
      </c>
      <c r="Z297" t="n">
        <v>120</v>
      </c>
      <c r="AA297" t="n">
        <v>50</v>
      </c>
      <c r="AB297" t="n">
        <v>0</v>
      </c>
      <c r="AC297" t="inlineStr">
        <is>
          <t>Ground</t>
        </is>
      </c>
      <c r="AD297" t="inlineStr"/>
      <c r="AE297" t="n">
        <v>3</v>
      </c>
      <c r="AF297" t="inlineStr">
        <is>
          <t>Large</t>
        </is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n">
        <v>105</v>
      </c>
      <c r="AO297" t="n">
        <v>0</v>
      </c>
      <c r="AP297" t="inlineStr">
        <is>
          <t>T2</t>
        </is>
      </c>
      <c r="AQ297" t="inlineStr">
        <is>
          <t>gunship_105</t>
        </is>
      </c>
      <c r="AR297" t="inlineStr"/>
      <c r="AS297" t="inlineStr">
        <is>
          <t>boss</t>
        </is>
      </c>
      <c r="AT297" t="inlineStr">
        <is>
          <t>silver_bug</t>
        </is>
      </c>
      <c r="AU297" t="n">
        <v>1</v>
      </c>
      <c r="AV297" t="inlineStr">
        <is>
          <t>silver_bug:7;silver_bug:8</t>
        </is>
      </c>
      <c r="AW297" t="n">
        <v>0</v>
      </c>
      <c r="AX297" t="b">
        <v>0</v>
      </c>
      <c r="AY297" t="inlineStr"/>
      <c r="AZ297">
        <f>IF(AND($AX$297,$AW$297&gt;$AA$297/$Z$297),$AW$297,$AA$297/$Z$297)</f>
        <v/>
      </c>
      <c r="BA297" t="n">
        <v>0.4166666666666667</v>
      </c>
      <c r="BB297" t="n">
        <v>10</v>
      </c>
      <c r="BC297" t="n">
        <v>3</v>
      </c>
      <c r="BD297" t="inlineStr">
        <is>
          <t>gun</t>
        </is>
      </c>
      <c r="BE297" t="inlineStr">
        <is>
          <t>the sheet's 'Ngoài đời': M102 10 rpm (Wikipedia 'M102 howitzer')</t>
        </is>
      </c>
      <c r="BG297" t="inlineStr">
        <is>
          <t>moi</t>
        </is>
      </c>
      <c r="DD297" t="n">
        <v>6</v>
      </c>
      <c r="DE297" t="n">
        <v>300</v>
      </c>
      <c r="DG297" t="n">
        <v>11</v>
      </c>
      <c r="DO297" t="n">
        <v>0</v>
      </c>
      <c r="DS297" t="inlineStr">
        <is>
          <t>Large</t>
        </is>
      </c>
      <c r="DT297" t="inlineStr">
        <is>
          <t>gunship_105</t>
        </is>
      </c>
      <c r="EP297" t="n">
        <v>50</v>
      </c>
      <c r="EQ297" t="inlineStr">
        <is>
          <t>M102 105 mm (Icarus ventral turret)</t>
        </is>
      </c>
      <c r="GD297" t="inlineStr">
        <is>
          <t>Assets/MachineBrigade/Resources/Data/balance.json: weapons[217]</t>
        </is>
      </c>
      <c r="GE297" t="inlineStr">
        <is>
          <t>{"id":"pt14_sb_v105","groundMinReach":0,"inherits":"gunship_105","real":"M102 105 mm (Icarus ventral turret)","damage":300,"cooldown":6,"range":50,"edge":11,"impactTier":"Large"}</t>
        </is>
      </c>
    </row>
    <row r="298">
      <c r="A298" t="inlineStr">
        <is>
          <t>pt14_th_jagm</t>
        </is>
      </c>
      <c r="B298" t="inlineStr">
        <is>
          <t>AGM-179 JAGM (Theia quad pod)</t>
        </is>
      </c>
      <c r="C298" t="inlineStr">
        <is>
          <t>atgm_agm_114_hellfire</t>
        </is>
      </c>
      <c r="D298" t="inlineStr"/>
      <c r="E298" t="inlineStr"/>
      <c r="F298" t="inlineStr">
        <is>
          <t>atgm</t>
        </is>
      </c>
      <c r="G298" t="inlineStr"/>
      <c r="H298" t="n">
        <v>9</v>
      </c>
      <c r="I298" t="inlineStr"/>
      <c r="J298" t="inlineStr"/>
      <c r="K298" t="inlineStr">
        <is>
          <t>ShapedCharge</t>
        </is>
      </c>
      <c r="L298" t="n">
        <v>4</v>
      </c>
      <c r="M298" t="inlineStr">
        <is>
          <t>Missile</t>
        </is>
      </c>
      <c r="N298" t="n">
        <v>1</v>
      </c>
      <c r="O298" t="inlineStr">
        <is>
          <t>RIPPLE</t>
        </is>
      </c>
      <c r="P298" t="n">
        <v>2</v>
      </c>
      <c r="Q298" t="n">
        <v>0.5</v>
      </c>
      <c r="R298" t="n">
        <v>9</v>
      </c>
      <c r="S298" t="n">
        <v>0</v>
      </c>
      <c r="T298" t="n">
        <v>0</v>
      </c>
      <c r="U298" t="n">
        <v>0</v>
      </c>
      <c r="V298" t="n">
        <v>0</v>
      </c>
      <c r="W298" t="n">
        <v>270</v>
      </c>
      <c r="X298" t="n">
        <v>0</v>
      </c>
      <c r="Y298" t="n">
        <v>0</v>
      </c>
      <c r="Z298" t="n">
        <v>95</v>
      </c>
      <c r="AA298" t="n">
        <v>55</v>
      </c>
      <c r="AB298" t="n">
        <v>0</v>
      </c>
      <c r="AC298" t="inlineStr">
        <is>
          <t>Ground</t>
        </is>
      </c>
      <c r="AD298" t="inlineStr"/>
      <c r="AE298" t="n">
        <v>0</v>
      </c>
      <c r="AF298" t="inlineStr">
        <is>
          <t>Medium</t>
        </is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n">
        <v>49</v>
      </c>
      <c r="AO298" t="n">
        <v>3</v>
      </c>
      <c r="AP298" t="inlineStr">
        <is>
          <t>T2</t>
        </is>
      </c>
      <c r="AQ298" t="inlineStr">
        <is>
          <t>drone_missile</t>
        </is>
      </c>
      <c r="AR298" t="inlineStr"/>
      <c r="AS298" t="inlineStr">
        <is>
          <t>boss</t>
        </is>
      </c>
      <c r="AT298" t="inlineStr">
        <is>
          <t>theia</t>
        </is>
      </c>
      <c r="AU298" t="n">
        <v>1</v>
      </c>
      <c r="AV298" t="inlineStr">
        <is>
          <t>theia:2;theia:3</t>
        </is>
      </c>
      <c r="AW298" t="n">
        <v>0</v>
      </c>
      <c r="AX298" t="b">
        <v>0</v>
      </c>
      <c r="AY298" t="inlineStr"/>
      <c r="AZ298">
        <f>IF(AND($AX$298,$AW$298&gt;$AA$298/$Z$298),$AW$298,$AA$298/$Z$298)</f>
        <v/>
      </c>
      <c r="BA298" t="n">
        <v>0.5789473684210527</v>
      </c>
      <c r="BB298" t="inlineStr">
        <is>
          <t>NEED_SOURCE</t>
        </is>
      </c>
      <c r="BC298" t="inlineStr">
        <is>
          <t>NEED_SOURCE</t>
        </is>
      </c>
      <c r="BE298" t="inlineStr">
        <is>
          <t>NEED_SOURCE</t>
        </is>
      </c>
      <c r="BG298" t="inlineStr">
        <is>
          <t>moi</t>
        </is>
      </c>
      <c r="CR298" t="n">
        <v>2</v>
      </c>
      <c r="CS298" t="n">
        <v>0.5</v>
      </c>
      <c r="DD298" t="n">
        <v>9</v>
      </c>
      <c r="DE298" t="n">
        <v>270</v>
      </c>
      <c r="DT298" t="inlineStr">
        <is>
          <t>drone_missile</t>
        </is>
      </c>
      <c r="EK298" t="n">
        <v>95</v>
      </c>
      <c r="EP298" t="n">
        <v>55</v>
      </c>
      <c r="EQ298" t="inlineStr">
        <is>
          <t>AGM-179 JAGM (Theia quad pod)</t>
        </is>
      </c>
      <c r="GA298" t="inlineStr"/>
      <c r="GB298" t="inlineStr">
        <is>
          <t>atgm_agm_114_hellfire</t>
        </is>
      </c>
      <c r="GD298" t="inlineStr">
        <is>
          <t>Assets/MachineBrigade/Resources/Data/balance.json: weapons[227]</t>
        </is>
      </c>
      <c r="GE298" t="inlineStr">
        <is>
          <t>{"id":"pt14_th_jagm","inherits":"drone_missile","weaponFamilyId":"atgm_agm_114_hellfire","weaponFamily":"","real":"AGM-179 JAGM (Theia quad pod)","projectileSpeed":95,"damage":270,"burst":2,"burstInterval":0.5,"cooldown":9,"range":55}</t>
        </is>
      </c>
    </row>
    <row r="299">
      <c r="A299" t="inlineStr">
        <is>
          <t>pt14_th_pd</t>
        </is>
      </c>
      <c r="B299" t="inlineStr">
        <is>
          <t>50 kW laser (Theia point-defence turret)</t>
        </is>
      </c>
      <c r="C299" t="inlineStr">
        <is>
          <t>laser_50_kw_laser</t>
        </is>
      </c>
      <c r="D299" t="inlineStr"/>
      <c r="E299" t="inlineStr"/>
      <c r="F299" t="inlineStr">
        <is>
          <t>laser</t>
        </is>
      </c>
      <c r="G299" t="inlineStr"/>
      <c r="H299" t="inlineStr"/>
      <c r="I299" t="n">
        <v>50</v>
      </c>
      <c r="J299" t="inlineStr"/>
      <c r="K299" t="inlineStr">
        <is>
          <t>Energy</t>
        </is>
      </c>
      <c r="L299" t="n">
        <v>2</v>
      </c>
      <c r="M299" t="inlineStr">
        <is>
          <t>Bullet</t>
        </is>
      </c>
      <c r="N299" t="n">
        <v>1</v>
      </c>
      <c r="O299" t="inlineStr">
        <is>
          <t>RIPPLE</t>
        </is>
      </c>
      <c r="P299" t="n">
        <v>1</v>
      </c>
      <c r="Q299" t="n">
        <v>0.1</v>
      </c>
      <c r="R299" t="n">
        <v>0.0667</v>
      </c>
      <c r="S299" t="n">
        <v>0</v>
      </c>
      <c r="T299" t="n">
        <v>0</v>
      </c>
      <c r="U299" t="n">
        <v>0</v>
      </c>
      <c r="V299" t="n">
        <v>0</v>
      </c>
      <c r="W299" t="n">
        <v>6</v>
      </c>
      <c r="X299" t="n">
        <v>0</v>
      </c>
      <c r="Y299" t="n">
        <v>0</v>
      </c>
      <c r="Z299" t="n">
        <v>3000</v>
      </c>
      <c r="AA299" t="n">
        <v>34</v>
      </c>
      <c r="AB299" t="n">
        <v>0</v>
      </c>
      <c r="AC299" t="inlineStr">
        <is>
          <t>Air</t>
        </is>
      </c>
      <c r="AD299" t="inlineStr"/>
      <c r="AE299" t="n">
        <v>0</v>
      </c>
      <c r="AF299" t="inlineStr">
        <is>
          <t>Small</t>
        </is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1</v>
      </c>
      <c r="AM299" t="b">
        <v>0</v>
      </c>
      <c r="AN299" t="n">
        <v>50</v>
      </c>
      <c r="AO299" t="n">
        <v>0</v>
      </c>
      <c r="AP299" t="inlineStr">
        <is>
          <t>T1</t>
        </is>
      </c>
      <c r="AQ299" t="inlineStr">
        <is>
          <t>laser_50kw</t>
        </is>
      </c>
      <c r="AR299" t="inlineStr"/>
      <c r="AS299" t="inlineStr">
        <is>
          <t>boss</t>
        </is>
      </c>
      <c r="AT299" t="inlineStr">
        <is>
          <t>theia</t>
        </is>
      </c>
      <c r="AU299" t="n">
        <v>1</v>
      </c>
      <c r="AV299" t="inlineStr">
        <is>
          <t>theia:6;theia:7</t>
        </is>
      </c>
      <c r="AW299" t="n">
        <v>0</v>
      </c>
      <c r="AX299" t="b">
        <v>0</v>
      </c>
      <c r="AY299" t="inlineStr"/>
      <c r="AZ299">
        <f>IF(AND($AX$299,$AW$299&gt;$AA$299/$Z$299),$AW$299,$AA$299/$Z$299)</f>
        <v/>
      </c>
      <c r="BA299" t="n">
        <v>0.01133333333333333</v>
      </c>
      <c r="BB299" t="inlineStr">
        <is>
          <t>NEED_SOURCE</t>
        </is>
      </c>
      <c r="BC299" t="inlineStr">
        <is>
          <t>NEED_SOURCE</t>
        </is>
      </c>
      <c r="BE299" t="inlineStr">
        <is>
          <t>NEED_SOURCE</t>
        </is>
      </c>
      <c r="BG299" t="inlineStr">
        <is>
          <t>moi</t>
        </is>
      </c>
      <c r="DT299" t="inlineStr">
        <is>
          <t>laser_50kw</t>
        </is>
      </c>
      <c r="EP299" t="n">
        <v>34</v>
      </c>
      <c r="EQ299" t="inlineStr">
        <is>
          <t>50 kW laser (Theia point-defence turret)</t>
        </is>
      </c>
      <c r="GD299" t="inlineStr">
        <is>
          <t>Assets/MachineBrigade/Resources/Data/balance.json: weapons[228]</t>
        </is>
      </c>
      <c r="GE299" t="inlineStr">
        <is>
          <t>{"id":"pt14_th_pd","inherits":"laser_50kw","real":"50 kW laser (Theia point-defence turret)","range":34}</t>
        </is>
      </c>
    </row>
    <row r="300">
      <c r="A300" t="inlineStr">
        <is>
          <t>pt14_th_v35</t>
        </is>
      </c>
      <c r="B300" t="inlineStr">
        <is>
          <t>Oerlikon KDA 35 mm (Theia ventral twin)</t>
        </is>
      </c>
      <c r="C300" t="inlineStr">
        <is>
          <t>cal_35</t>
        </is>
      </c>
      <c r="D300" t="inlineStr"/>
      <c r="E300" t="inlineStr">
        <is>
          <t>oerlikon_35_mm</t>
        </is>
      </c>
      <c r="F300" t="inlineStr">
        <is>
          <t>autocannon</t>
        </is>
      </c>
      <c r="G300" t="n">
        <v>35</v>
      </c>
      <c r="H300" t="inlineStr"/>
      <c r="I300" t="inlineStr"/>
      <c r="J300" t="inlineStr"/>
      <c r="K300" t="inlineStr">
        <is>
          <t>Fragmentation</t>
        </is>
      </c>
      <c r="L300" t="n">
        <v>2</v>
      </c>
      <c r="M300" t="inlineStr">
        <is>
          <t>Bullet</t>
        </is>
      </c>
      <c r="N300" t="n">
        <v>1</v>
      </c>
      <c r="O300" t="inlineStr">
        <is>
          <t>RIPPLE</t>
        </is>
      </c>
      <c r="P300" t="n">
        <v>1</v>
      </c>
      <c r="Q300" t="n">
        <v>0.1</v>
      </c>
      <c r="R300" t="n">
        <v>0.25</v>
      </c>
      <c r="S300" t="n">
        <v>16</v>
      </c>
      <c r="T300" t="n">
        <v>1.8</v>
      </c>
      <c r="U300" t="n">
        <v>0</v>
      </c>
      <c r="V300" t="n">
        <v>0</v>
      </c>
      <c r="W300" t="n">
        <v>25</v>
      </c>
      <c r="X300" t="n">
        <v>2.5</v>
      </c>
      <c r="Y300" t="n">
        <v>0</v>
      </c>
      <c r="Z300" t="n">
        <v>260</v>
      </c>
      <c r="AA300" t="n">
        <v>36</v>
      </c>
      <c r="AB300" t="n">
        <v>0</v>
      </c>
      <c r="AC300" t="inlineStr">
        <is>
          <t>All</t>
        </is>
      </c>
      <c r="AD300" t="inlineStr"/>
      <c r="AE300" t="n">
        <v>1.5</v>
      </c>
      <c r="AF300" t="inlineStr">
        <is>
          <t>Small</t>
        </is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n">
        <v>35</v>
      </c>
      <c r="AO300" t="n">
        <v>0</v>
      </c>
      <c r="AP300" t="inlineStr">
        <is>
          <t>T1</t>
        </is>
      </c>
      <c r="AQ300" t="inlineStr">
        <is>
          <t>flak_35</t>
        </is>
      </c>
      <c r="AR300" t="inlineStr"/>
      <c r="AS300" t="inlineStr">
        <is>
          <t>boss</t>
        </is>
      </c>
      <c r="AT300" t="inlineStr">
        <is>
          <t>theia</t>
        </is>
      </c>
      <c r="AU300" t="n">
        <v>1</v>
      </c>
      <c r="AV300" t="inlineStr">
        <is>
          <t>theia:4;theia:5</t>
        </is>
      </c>
      <c r="AW300" t="n">
        <v>0</v>
      </c>
      <c r="AX300" t="b">
        <v>0</v>
      </c>
      <c r="AY300" t="inlineStr"/>
      <c r="AZ300">
        <f>IF(AND($AX$300,$AW$300&gt;$AA$300/$Z$300),$AW$300,$AA$300/$Z$300)</f>
        <v/>
      </c>
      <c r="BA300" t="n">
        <v>0.1384615384615385</v>
      </c>
      <c r="BB300" t="n">
        <v>550</v>
      </c>
      <c r="BC300" t="n">
        <v>300</v>
      </c>
      <c r="BD300" t="inlineStr">
        <is>
          <t>aa</t>
        </is>
      </c>
      <c r="BE300" t="inlineStr">
        <is>
          <t>Wikipedia 'Oerlikon GDF' / 'Gepard': 2 x 550 rpm</t>
        </is>
      </c>
      <c r="BG300" t="inlineStr">
        <is>
          <t>moi</t>
        </is>
      </c>
      <c r="CW300" t="n">
        <v>16</v>
      </c>
      <c r="CX300" t="n">
        <v>1.8</v>
      </c>
      <c r="DE300" t="n">
        <v>25</v>
      </c>
      <c r="DO300" t="n">
        <v>0</v>
      </c>
      <c r="DT300" t="inlineStr">
        <is>
          <t>flak_35</t>
        </is>
      </c>
      <c r="EQ300" t="inlineStr">
        <is>
          <t>Oerlikon KDA 35 mm (Theia ventral twin)</t>
        </is>
      </c>
      <c r="GD300" t="inlineStr">
        <is>
          <t>Assets/MachineBrigade/Resources/Data/balance.json: weapons[226]</t>
        </is>
      </c>
      <c r="GE300" t="inlineStr">
        <is>
          <t>{"id":"pt14_th_v35","groundMinReach":0,"inherits":"flak_35","real":"Oerlikon KDA 35 mm (Theia ventral twin)","damage":25,"clip":16,"clipReload":1.8}</t>
        </is>
      </c>
    </row>
    <row r="301">
      <c r="A301" t="inlineStr">
        <is>
          <t>pt14_train_grad</t>
        </is>
      </c>
      <c r="B301" t="inlineStr">
        <is>
          <t>BM-21 Grad 122 mm</t>
        </is>
      </c>
      <c r="C301" t="inlineStr">
        <is>
          <t>rkt_grad_122</t>
        </is>
      </c>
      <c r="D301" t="inlineStr"/>
      <c r="E301" t="inlineStr"/>
      <c r="F301" t="inlineStr">
        <is>
          <t>rocket</t>
        </is>
      </c>
      <c r="G301" t="n">
        <v>122</v>
      </c>
      <c r="H301" t="inlineStr"/>
      <c r="I301" t="inlineStr"/>
      <c r="J301" t="inlineStr"/>
      <c r="K301" t="inlineStr">
        <is>
          <t>HighExplosive</t>
        </is>
      </c>
      <c r="L301" t="n">
        <v>2</v>
      </c>
      <c r="M301" t="inlineStr">
        <is>
          <t>Rocket</t>
        </is>
      </c>
      <c r="N301" t="n">
        <v>1</v>
      </c>
      <c r="O301" t="inlineStr">
        <is>
          <t>RIPPLE</t>
        </is>
      </c>
      <c r="P301" t="n">
        <v>13</v>
      </c>
      <c r="Q301" t="n">
        <v>0.5</v>
      </c>
      <c r="R301" t="n">
        <v>2.44</v>
      </c>
      <c r="S301" t="n">
        <v>0</v>
      </c>
      <c r="T301" t="n">
        <v>0</v>
      </c>
      <c r="U301" t="n">
        <v>0</v>
      </c>
      <c r="V301" t="n">
        <v>0</v>
      </c>
      <c r="W301" t="n">
        <v>200</v>
      </c>
      <c r="X301" t="n">
        <v>4.5</v>
      </c>
      <c r="Y301" t="n">
        <v>9</v>
      </c>
      <c r="Z301" t="n">
        <v>65</v>
      </c>
      <c r="AA301" t="n">
        <v>45</v>
      </c>
      <c r="AB301" t="n">
        <v>0</v>
      </c>
      <c r="AC301" t="inlineStr">
        <is>
          <t>Ground</t>
        </is>
      </c>
      <c r="AD301" t="inlineStr"/>
      <c r="AE301" t="n">
        <v>5</v>
      </c>
      <c r="AF301" t="inlineStr">
        <is>
          <t>Medium</t>
        </is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n">
        <v>122</v>
      </c>
      <c r="AO301" t="n">
        <v>0</v>
      </c>
      <c r="AP301" t="inlineStr">
        <is>
          <t>T3</t>
        </is>
      </c>
      <c r="AQ301" t="inlineStr">
        <is>
          <t>boss_rockets</t>
        </is>
      </c>
      <c r="AR301" t="inlineStr"/>
      <c r="AS301" t="inlineStr">
        <is>
          <t>boss</t>
        </is>
      </c>
      <c r="AT301" t="inlineStr">
        <is>
          <t>armored_train</t>
        </is>
      </c>
      <c r="AU301" t="n">
        <v>1</v>
      </c>
      <c r="AV301" t="inlineStr">
        <is>
          <t>armored_train:1</t>
        </is>
      </c>
      <c r="AW301" t="n">
        <v>0</v>
      </c>
      <c r="AX301" t="b">
        <v>0</v>
      </c>
      <c r="AY301" t="inlineStr"/>
      <c r="AZ301">
        <f>IF(AND($AX$301,$AW$301&gt;$AA$301/$Z$301),$AW$301,$AA$301/$Z$301)</f>
        <v/>
      </c>
      <c r="BA301" t="n">
        <v>0.6923076923076923</v>
      </c>
      <c r="BB301" t="n">
        <v>120</v>
      </c>
      <c r="BC301" t="inlineStr"/>
      <c r="BD301" t="inlineStr">
        <is>
          <t>rocket</t>
        </is>
      </c>
      <c r="BE301" t="inlineStr">
        <is>
          <t>Wikipedia 'BM-21 Grad': 40 rockets in 20 s</t>
        </is>
      </c>
      <c r="BG301" t="inlineStr">
        <is>
          <t>moi</t>
        </is>
      </c>
      <c r="DT301" t="inlineStr">
        <is>
          <t>boss_rockets</t>
        </is>
      </c>
      <c r="EK301" t="n">
        <v>65</v>
      </c>
      <c r="GD301" t="inlineStr">
        <is>
          <t>Assets/MachineBrigade/Resources/Data/balance.json: weapons[194]</t>
        </is>
      </c>
      <c r="GE301" t="inlineStr">
        <is>
          <t>{"id":"pt14_train_grad","inherits":"boss_rockets","projectileSpeed":65}</t>
        </is>
      </c>
    </row>
    <row r="302">
      <c r="A302" t="inlineStr">
        <is>
          <t>r60</t>
        </is>
      </c>
      <c r="B302" t="inlineStr">
        <is>
          <t>R-60</t>
        </is>
      </c>
      <c r="C302" t="inlineStr">
        <is>
          <t>sam_r_60</t>
        </is>
      </c>
      <c r="D302" t="inlineStr"/>
      <c r="E302" t="inlineStr"/>
      <c r="F302" t="inlineStr">
        <is>
          <t>aa_missile</t>
        </is>
      </c>
      <c r="G302" t="inlineStr"/>
      <c r="H302" t="n">
        <v>3.5</v>
      </c>
      <c r="I302" t="inlineStr"/>
      <c r="J302" t="inlineStr"/>
      <c r="K302" t="inlineStr">
        <is>
          <t>Fragmentation</t>
        </is>
      </c>
      <c r="L302" t="n">
        <v>2</v>
      </c>
      <c r="M302" t="inlineStr">
        <is>
          <t>Missile</t>
        </is>
      </c>
      <c r="N302" t="n">
        <v>1</v>
      </c>
      <c r="O302" t="inlineStr">
        <is>
          <t>RIPPLE</t>
        </is>
      </c>
      <c r="P302" t="n">
        <v>1</v>
      </c>
      <c r="Q302" t="n">
        <v>0.1</v>
      </c>
      <c r="R302" t="n">
        <v>7</v>
      </c>
      <c r="S302" t="n">
        <v>0</v>
      </c>
      <c r="T302" t="n">
        <v>0</v>
      </c>
      <c r="U302" t="n">
        <v>0</v>
      </c>
      <c r="V302" t="n">
        <v>0</v>
      </c>
      <c r="W302" t="n">
        <v>184</v>
      </c>
      <c r="X302" t="n">
        <v>1.5</v>
      </c>
      <c r="Y302" t="n">
        <v>0</v>
      </c>
      <c r="Z302" t="n">
        <v>210</v>
      </c>
      <c r="AA302" t="n">
        <v>28</v>
      </c>
      <c r="AB302" t="n">
        <v>0</v>
      </c>
      <c r="AC302" t="inlineStr">
        <is>
          <t>Air</t>
        </is>
      </c>
      <c r="AD302" t="inlineStr"/>
      <c r="AE302" t="n">
        <v>0</v>
      </c>
      <c r="AF302" t="inlineStr">
        <is>
          <t>Medium</t>
        </is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n">
        <v>3.5</v>
      </c>
      <c r="AO302" t="n">
        <v>2</v>
      </c>
      <c r="AP302" t="inlineStr">
        <is>
          <t>T2</t>
        </is>
      </c>
      <c r="AQ302" t="inlineStr"/>
      <c r="AR302" t="inlineStr"/>
      <c r="AS302" t="inlineStr">
        <is>
          <t>xe</t>
        </is>
      </c>
      <c r="AT302" t="inlineStr">
        <is>
          <t>attack_jet;elite_attack_jet</t>
        </is>
      </c>
      <c r="AU302" t="n">
        <v>2</v>
      </c>
      <c r="AV302" t="inlineStr">
        <is>
          <t>attack_jet:4;elite_attack_jet:4</t>
        </is>
      </c>
      <c r="AW302" t="n">
        <v>0</v>
      </c>
      <c r="AX302" t="b">
        <v>0</v>
      </c>
      <c r="AY302" t="inlineStr"/>
      <c r="AZ302">
        <f>IF(AND($AX$302,$AW$302&gt;$AA$302/$Z$302),$AW$302,$AA$302/$Z$302)</f>
        <v/>
      </c>
      <c r="BA302" t="n">
        <v>0.1333333333333333</v>
      </c>
      <c r="BB302" t="n">
        <v>60</v>
      </c>
      <c r="BC302" t="inlineStr"/>
      <c r="BD302" t="inlineStr">
        <is>
          <t>missile</t>
        </is>
      </c>
      <c r="BE302" t="inlineStr">
        <is>
          <t>air-to-air: ~1 s between launches (est.)</t>
        </is>
      </c>
      <c r="BG302" t="inlineStr">
        <is>
          <t>doi</t>
        </is>
      </c>
      <c r="BR302" t="n">
        <v>42</v>
      </c>
      <c r="BS302" t="n">
        <v>210</v>
      </c>
      <c r="DD302" t="n">
        <v>7</v>
      </c>
      <c r="DE302" t="n">
        <v>184</v>
      </c>
      <c r="DF302" t="inlineStr">
        <is>
          <t>Fragmentation</t>
        </is>
      </c>
      <c r="DJ302" t="inlineStr">
        <is>
          <t>aa_missile</t>
        </is>
      </c>
      <c r="DS302" t="inlineStr">
        <is>
          <t>Medium</t>
        </is>
      </c>
      <c r="DW302" t="n">
        <v>2</v>
      </c>
      <c r="EB302" t="n">
        <v>2</v>
      </c>
      <c r="EH302" t="inlineStr">
        <is>
          <t>Missile</t>
        </is>
      </c>
      <c r="EI302" t="inlineStr">
        <is>
          <t>r60</t>
        </is>
      </c>
      <c r="EJ302" t="n">
        <v>0.65</v>
      </c>
      <c r="EK302" t="n">
        <v>210</v>
      </c>
      <c r="EP302" t="n">
        <v>28</v>
      </c>
      <c r="EQ302" t="inlineStr">
        <is>
          <t>R-60</t>
        </is>
      </c>
      <c r="EV302" t="n">
        <v>200</v>
      </c>
      <c r="EX302" t="n">
        <v>3.5</v>
      </c>
      <c r="EY302" t="n">
        <v>1.5</v>
      </c>
      <c r="FW302" t="inlineStr">
        <is>
          <t>Air</t>
        </is>
      </c>
      <c r="FZ302" t="n">
        <v>3.5</v>
      </c>
      <c r="GB302" t="inlineStr">
        <is>
          <t>sam_r_60</t>
        </is>
      </c>
      <c r="GD302" t="inlineStr">
        <is>
          <t>Assets/MachineBrigade/Resources/Data/balance.json: weapons[66]</t>
        </is>
      </c>
      <c r="GE302" t="inlineStr">
        <is>
          <t>{"id":"r60","weaponFamilyId":"sam_r_60","load":2,"real":"R-60","family":"aa_missile","size":3.5,"warheadKg":3.5,"pen":2,"projectileModel":"r60","projectileScale":0.65,"damageType":"Fragmentation","damage":184,"cooldown":7,"range":28,"projectileSpeed":210,"splash":1.5,"impactTier":"Medium","projectile":"Missile","targets":"Air","roundWeight":200}</t>
        </is>
      </c>
    </row>
    <row r="303">
      <c r="A303" t="inlineStr">
        <is>
          <t>railgun</t>
        </is>
      </c>
      <c r="B303" t="inlineStr">
        <is>
          <t>railgun (32 MJ)</t>
        </is>
      </c>
      <c r="C303" t="inlineStr">
        <is>
          <t>rail_railgun</t>
        </is>
      </c>
      <c r="D303" t="inlineStr"/>
      <c r="E303" t="inlineStr"/>
      <c r="F303" t="inlineStr">
        <is>
          <t>railgun</t>
        </is>
      </c>
      <c r="G303" t="inlineStr"/>
      <c r="H303" t="inlineStr"/>
      <c r="I303" t="inlineStr"/>
      <c r="J303" t="n">
        <v>32</v>
      </c>
      <c r="K303" t="inlineStr">
        <is>
          <t>Kinetic</t>
        </is>
      </c>
      <c r="L303" t="n">
        <v>4</v>
      </c>
      <c r="M303" t="inlineStr">
        <is>
          <t>Bullet</t>
        </is>
      </c>
      <c r="N303" t="n">
        <v>1</v>
      </c>
      <c r="O303" t="inlineStr">
        <is>
          <t>RIPPLE</t>
        </is>
      </c>
      <c r="P303" t="n">
        <v>1</v>
      </c>
      <c r="Q303" t="n">
        <v>0.1</v>
      </c>
      <c r="R303" t="n">
        <v>7</v>
      </c>
      <c r="S303" t="n">
        <v>0</v>
      </c>
      <c r="T303" t="n">
        <v>0</v>
      </c>
      <c r="U303" t="n">
        <v>0</v>
      </c>
      <c r="V303" t="n">
        <v>0</v>
      </c>
      <c r="W303" t="n">
        <v>510</v>
      </c>
      <c r="X303" t="n">
        <v>0</v>
      </c>
      <c r="Y303" t="n">
        <v>0</v>
      </c>
      <c r="Z303" t="n">
        <v>700</v>
      </c>
      <c r="AA303" t="n">
        <v>90</v>
      </c>
      <c r="AB303" t="n">
        <v>0</v>
      </c>
      <c r="AC303" t="inlineStr">
        <is>
          <t>Ground</t>
        </is>
      </c>
      <c r="AD303" t="inlineStr">
        <is>
          <t>low</t>
        </is>
      </c>
      <c r="AE303" t="n">
        <v>0.4</v>
      </c>
      <c r="AF303" t="inlineStr">
        <is>
          <t>Large</t>
        </is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n">
        <v>32</v>
      </c>
      <c r="AO303" t="n">
        <v>0</v>
      </c>
      <c r="AP303" t="inlineStr">
        <is>
          <t>T3</t>
        </is>
      </c>
      <c r="AQ303" t="inlineStr"/>
      <c r="AR303" t="inlineStr"/>
      <c r="AS303" t="inlineStr">
        <is>
          <t>boss;xe</t>
        </is>
      </c>
      <c r="AT303" t="inlineStr">
        <is>
          <t>behemoth_tempest;railgun_truck</t>
        </is>
      </c>
      <c r="AU303" t="n">
        <v>2</v>
      </c>
      <c r="AV303" t="inlineStr">
        <is>
          <t>behemoth_tempest:other;railgun_truck:0</t>
        </is>
      </c>
      <c r="AW303" t="n">
        <v>0</v>
      </c>
      <c r="AX303" t="b">
        <v>0</v>
      </c>
      <c r="AY303" t="inlineStr"/>
      <c r="AZ303">
        <f>IF(AND($AX$303,$AW$303&gt;$AA$303/$Z$303),$AW$303,$AA$303/$Z$303)</f>
        <v/>
      </c>
      <c r="BA303" t="n">
        <v>0.1285714285714286</v>
      </c>
      <c r="BB303" t="inlineStr">
        <is>
          <t>NEED_SOURCE</t>
        </is>
      </c>
      <c r="BC303" t="inlineStr">
        <is>
          <t>NEED_SOURCE</t>
        </is>
      </c>
      <c r="BE303" t="inlineStr">
        <is>
          <t>NEED_SOURCE</t>
        </is>
      </c>
      <c r="BG303" t="inlineStr">
        <is>
          <t>giong</t>
        </is>
      </c>
      <c r="CU303" t="inlineStr">
        <is>
          <t>low</t>
        </is>
      </c>
      <c r="CV303" t="n">
        <v>0.9</v>
      </c>
      <c r="DD303" t="n">
        <v>7</v>
      </c>
      <c r="DE303" t="n">
        <v>510</v>
      </c>
      <c r="DF303" t="inlineStr">
        <is>
          <t>Kinetic</t>
        </is>
      </c>
      <c r="DI303" t="n">
        <v>32</v>
      </c>
      <c r="DJ303" t="inlineStr">
        <is>
          <t>railgun</t>
        </is>
      </c>
      <c r="DR303" t="n">
        <v>1.4</v>
      </c>
      <c r="DS303" t="inlineStr">
        <is>
          <t>Large</t>
        </is>
      </c>
      <c r="EB303" t="n">
        <v>4</v>
      </c>
      <c r="EC303" t="b">
        <v>1</v>
      </c>
      <c r="EE303" t="b">
        <v>1</v>
      </c>
      <c r="EH303" t="inlineStr">
        <is>
          <t>Bullet</t>
        </is>
      </c>
      <c r="EI303" t="inlineStr">
        <is>
          <t>rail_slug</t>
        </is>
      </c>
      <c r="EK303" t="n">
        <v>700</v>
      </c>
      <c r="EP303" t="n">
        <v>90</v>
      </c>
      <c r="EQ303" t="inlineStr">
        <is>
          <t>railgun (32 MJ)</t>
        </is>
      </c>
      <c r="EX303" t="n">
        <v>32</v>
      </c>
      <c r="EZ303" t="n">
        <v>0.4</v>
      </c>
      <c r="GB303" t="inlineStr">
        <is>
          <t>rail_railgun</t>
        </is>
      </c>
      <c r="GD303" t="inlineStr">
        <is>
          <t>Assets/MachineBrigade/Resources/Data/balance.json: weapons[77]</t>
        </is>
      </c>
      <c r="GE303" t="inlineStr">
        <is>
          <t>{"id":"railgun","weaponFamilyId":"rail_railgun","ceiling":"low","real":"railgun (32 MJ)","family":"railgun","size":32,"energyMj":32,"pen":4,"piercing":true,"charge":0.9,"projectileModel":"rail_slug","damageType":"Kinetic","damage":510,"cooldown":7,"range":90,"projectileSpeed":700,"spread":0.4,"impactTier":"Large","projectile":"Bullet","pierce":true,"impactScale":1.4}</t>
        </is>
      </c>
    </row>
    <row r="304">
      <c r="A304" t="inlineStr">
        <is>
          <t>recoilless_106</t>
        </is>
      </c>
      <c r="B304" t="inlineStr">
        <is>
          <t>M40 106 mm recoilless rifle</t>
        </is>
      </c>
      <c r="C304" t="inlineStr">
        <is>
          <t>rcl_106</t>
        </is>
      </c>
      <c r="D304" t="inlineStr"/>
      <c r="E304" t="inlineStr"/>
      <c r="F304" t="inlineStr">
        <is>
          <t>tank_gun</t>
        </is>
      </c>
      <c r="G304" t="n">
        <v>106</v>
      </c>
      <c r="H304" t="inlineStr"/>
      <c r="I304" t="inlineStr"/>
      <c r="J304" t="inlineStr"/>
      <c r="K304" t="inlineStr">
        <is>
          <t>ShapedCharge</t>
        </is>
      </c>
      <c r="L304" t="n">
        <v>3</v>
      </c>
      <c r="M304" t="inlineStr">
        <is>
          <t>Shell</t>
        </is>
      </c>
      <c r="N304" t="n">
        <v>1</v>
      </c>
      <c r="O304" t="inlineStr">
        <is>
          <t>RIPPLE</t>
        </is>
      </c>
      <c r="P304" t="n">
        <v>1</v>
      </c>
      <c r="Q304" t="n">
        <v>0.1</v>
      </c>
      <c r="R304" t="n">
        <v>9.523999999999999</v>
      </c>
      <c r="S304" t="n">
        <v>0</v>
      </c>
      <c r="T304" t="n">
        <v>0</v>
      </c>
      <c r="U304" t="n">
        <v>0</v>
      </c>
      <c r="V304" t="n">
        <v>0</v>
      </c>
      <c r="W304" t="n">
        <v>314</v>
      </c>
      <c r="X304" t="n">
        <v>0</v>
      </c>
      <c r="Y304" t="n">
        <v>0</v>
      </c>
      <c r="Z304" t="n">
        <v>150</v>
      </c>
      <c r="AA304" t="n">
        <v>32</v>
      </c>
      <c r="AB304" t="n">
        <v>0</v>
      </c>
      <c r="AC304" t="inlineStr">
        <is>
          <t>Ground</t>
        </is>
      </c>
      <c r="AD304" t="inlineStr"/>
      <c r="AE304" t="n">
        <v>0.9</v>
      </c>
      <c r="AF304" t="inlineStr">
        <is>
          <t>Medium</t>
        </is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n">
        <v>106</v>
      </c>
      <c r="AO304" t="n">
        <v>0</v>
      </c>
      <c r="AP304" t="inlineStr">
        <is>
          <t>T2</t>
        </is>
      </c>
      <c r="AQ304" t="inlineStr"/>
      <c r="AR304" t="inlineStr"/>
      <c r="AS304" t="inlineStr">
        <is>
          <t>xe</t>
        </is>
      </c>
      <c r="AT304" t="inlineStr">
        <is>
          <t>recoilless_jeep</t>
        </is>
      </c>
      <c r="AU304" t="n">
        <v>1</v>
      </c>
      <c r="AV304" t="inlineStr">
        <is>
          <t>recoilless_jeep:0</t>
        </is>
      </c>
      <c r="AW304" t="n">
        <v>0</v>
      </c>
      <c r="AX304" t="b">
        <v>0</v>
      </c>
      <c r="AY304" t="inlineStr"/>
      <c r="AZ304">
        <f>IF(AND($AX$304,$AW$304&gt;$AA$304/$Z$304),$AW$304,$AA$304/$Z$304)</f>
        <v/>
      </c>
      <c r="BA304" t="n">
        <v>0.2133333333333333</v>
      </c>
      <c r="BB304" t="n">
        <v>5</v>
      </c>
      <c r="BC304" t="n">
        <v>1</v>
      </c>
      <c r="BD304" t="inlineStr">
        <is>
          <t>gun</t>
        </is>
      </c>
      <c r="BE304" t="inlineStr">
        <is>
          <t>Wikipedia 'M40 recoilless rifle': 1 rpm sustained, ~5 rpm short bursts</t>
        </is>
      </c>
      <c r="BG304" t="inlineStr">
        <is>
          <t>doi</t>
        </is>
      </c>
      <c r="BH304" t="n">
        <v>220</v>
      </c>
      <c r="BI304" t="n">
        <v>314</v>
      </c>
      <c r="BJ304" t="n">
        <v>6.6667</v>
      </c>
      <c r="BK304" t="n">
        <v>9.523999999999999</v>
      </c>
      <c r="CT304" t="n">
        <v>106</v>
      </c>
      <c r="DD304" t="n">
        <v>9.523999999999999</v>
      </c>
      <c r="DE304" t="n">
        <v>314</v>
      </c>
      <c r="DF304" t="inlineStr">
        <is>
          <t>ShapedCharge</t>
        </is>
      </c>
      <c r="DJ304" t="inlineStr">
        <is>
          <t>tank_gun</t>
        </is>
      </c>
      <c r="DS304" t="inlineStr">
        <is>
          <t>Medium</t>
        </is>
      </c>
      <c r="EB304" t="n">
        <v>3</v>
      </c>
      <c r="EE304" t="b">
        <v>1</v>
      </c>
      <c r="EK304" t="n">
        <v>150</v>
      </c>
      <c r="EP304" t="n">
        <v>32</v>
      </c>
      <c r="EQ304" t="inlineStr">
        <is>
          <t>M40 106 mm recoilless rifle</t>
        </is>
      </c>
      <c r="EX304" t="n">
        <v>106</v>
      </c>
      <c r="EZ304" t="n">
        <v>0.9</v>
      </c>
      <c r="GB304" t="inlineStr">
        <is>
          <t>rcl_106</t>
        </is>
      </c>
      <c r="GD304" t="inlineStr">
        <is>
          <t>Assets/MachineBrigade/Resources/Data/balance.json: weapons[280]</t>
        </is>
      </c>
      <c r="GE304" t="inlineStr">
        <is>
          <t>{"id":"recoilless_106","weaponFamilyId":"rcl_106","real":"M40 106 mm recoilless rifle","family":"tank_gun","size":106,"caliberMm":106,"pen":3,"piercing":true,"damageType":"ShapedCharge","damage":314,"cooldown":9.524,"range":32,"projectileSpeed":150,"spread":0.9,"impactTier":"Medium"}</t>
        </is>
      </c>
    </row>
    <row r="305">
      <c r="A305" t="inlineStr">
        <is>
          <t>recon_missile</t>
        </is>
      </c>
      <c r="B305" t="inlineStr">
        <is>
          <t>MAM-L</t>
        </is>
      </c>
      <c r="C305" t="inlineStr">
        <is>
          <t>atgm_mam_l</t>
        </is>
      </c>
      <c r="D305" t="inlineStr"/>
      <c r="E305" t="inlineStr"/>
      <c r="F305" t="inlineStr">
        <is>
          <t>atgm</t>
        </is>
      </c>
      <c r="G305" t="inlineStr"/>
      <c r="H305" t="n">
        <v>22</v>
      </c>
      <c r="I305" t="inlineStr"/>
      <c r="J305" t="inlineStr"/>
      <c r="K305" t="inlineStr">
        <is>
          <t>ShapedCharge</t>
        </is>
      </c>
      <c r="L305" t="n">
        <v>3</v>
      </c>
      <c r="M305" t="inlineStr">
        <is>
          <t>Missile</t>
        </is>
      </c>
      <c r="N305" t="n">
        <v>1</v>
      </c>
      <c r="O305" t="inlineStr">
        <is>
          <t>RIPPLE</t>
        </is>
      </c>
      <c r="P305" t="n">
        <v>1</v>
      </c>
      <c r="Q305" t="n">
        <v>0.1</v>
      </c>
      <c r="R305" t="n">
        <v>11.59</v>
      </c>
      <c r="S305" t="n">
        <v>0</v>
      </c>
      <c r="T305" t="n">
        <v>0</v>
      </c>
      <c r="U305" t="n">
        <v>0</v>
      </c>
      <c r="V305" t="n">
        <v>0</v>
      </c>
      <c r="W305" t="n">
        <v>190</v>
      </c>
      <c r="X305" t="n">
        <v>0</v>
      </c>
      <c r="Y305" t="n">
        <v>0</v>
      </c>
      <c r="Z305" t="n">
        <v>60</v>
      </c>
      <c r="AA305" t="n">
        <v>50</v>
      </c>
      <c r="AB305" t="n">
        <v>0</v>
      </c>
      <c r="AC305" t="inlineStr">
        <is>
          <t>Ground</t>
        </is>
      </c>
      <c r="AD305" t="inlineStr"/>
      <c r="AE305" t="n">
        <v>0</v>
      </c>
      <c r="AF305" t="inlineStr">
        <is>
          <t>Medium</t>
        </is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n">
        <v>22</v>
      </c>
      <c r="AO305" t="n">
        <v>4</v>
      </c>
      <c r="AP305" t="inlineStr">
        <is>
          <t>T2</t>
        </is>
      </c>
      <c r="AQ305" t="inlineStr"/>
      <c r="AR305" t="inlineStr"/>
      <c r="AS305" t="inlineStr">
        <is>
          <t>xe</t>
        </is>
      </c>
      <c r="AT305" t="inlineStr">
        <is>
          <t>recon_drone</t>
        </is>
      </c>
      <c r="AU305" t="n">
        <v>1</v>
      </c>
      <c r="AV305" t="inlineStr">
        <is>
          <t>recon_drone:0</t>
        </is>
      </c>
      <c r="AW305" t="n">
        <v>0</v>
      </c>
      <c r="AX305" t="b">
        <v>0</v>
      </c>
      <c r="AY305" t="inlineStr"/>
      <c r="AZ305">
        <f>IF(AND($AX$305,$AW$305&gt;$AA$305/$Z$305),$AW$305,$AA$305/$Z$305)</f>
        <v/>
      </c>
      <c r="BA305" t="n">
        <v>0.8333333333333334</v>
      </c>
      <c r="BB305" t="n">
        <v>60</v>
      </c>
      <c r="BC305" t="n">
        <v>10</v>
      </c>
      <c r="BD305" t="inlineStr">
        <is>
          <t>atgm</t>
        </is>
      </c>
      <c r="BE305" t="inlineStr">
        <is>
          <t>air-launched: ripples ~1 s apart, est. 6 s an aimed shot</t>
        </is>
      </c>
      <c r="BG305" t="inlineStr">
        <is>
          <t>doi</t>
        </is>
      </c>
      <c r="BR305" t="n">
        <v>22</v>
      </c>
      <c r="BS305" t="n">
        <v>60</v>
      </c>
      <c r="DD305" t="n">
        <v>11.59</v>
      </c>
      <c r="DE305" t="n">
        <v>190</v>
      </c>
      <c r="DF305" t="inlineStr">
        <is>
          <t>ShapedCharge</t>
        </is>
      </c>
      <c r="DJ305" t="inlineStr">
        <is>
          <t>atgm</t>
        </is>
      </c>
      <c r="DS305" t="inlineStr">
        <is>
          <t>Medium</t>
        </is>
      </c>
      <c r="DW305" t="n">
        <v>4</v>
      </c>
      <c r="EB305" t="n">
        <v>3</v>
      </c>
      <c r="EE305" t="b">
        <v>1</v>
      </c>
      <c r="EH305" t="inlineStr">
        <is>
          <t>Missile</t>
        </is>
      </c>
      <c r="EI305" t="inlineStr">
        <is>
          <t>mam_l</t>
        </is>
      </c>
      <c r="EJ305" t="n">
        <v>0.6</v>
      </c>
      <c r="EK305" t="n">
        <v>60</v>
      </c>
      <c r="EP305" t="n">
        <v>50</v>
      </c>
      <c r="EQ305" t="inlineStr">
        <is>
          <t>MAM-L</t>
        </is>
      </c>
      <c r="EX305" t="n">
        <v>22</v>
      </c>
      <c r="FZ305" t="n">
        <v>22</v>
      </c>
      <c r="GB305" t="inlineStr">
        <is>
          <t>atgm_mam_l</t>
        </is>
      </c>
      <c r="GD305" t="inlineStr">
        <is>
          <t>Assets/MachineBrigade/Resources/Data/balance.json: weapons[83]</t>
        </is>
      </c>
      <c r="GE305" t="inlineStr">
        <is>
          <t>{"id":"recon_missile","weaponFamilyId":"atgm_mam_l","load":4,"real":"MAM-L","family":"atgm","size":22,"warheadKg":22,"pen":3,"piercing":true,"projectileModel":"mam_l","projectileScale":0.6,"damageType":"ShapedCharge","damage":190,"cooldown":11.59,"range":50,"projectileSpeed":60,"impactTier":"Medium","projectile":"Missile"}</t>
        </is>
      </c>
    </row>
    <row r="306">
      <c r="A306" t="inlineStr">
        <is>
          <t>rockets_300mm</t>
        </is>
      </c>
      <c r="B306" t="inlineStr">
        <is>
          <t>9M55 Smerch 300 mm</t>
        </is>
      </c>
      <c r="C306" t="inlineStr">
        <is>
          <t>rkt_smerch_300</t>
        </is>
      </c>
      <c r="D306" t="inlineStr"/>
      <c r="E306" t="inlineStr"/>
      <c r="F306" t="inlineStr">
        <is>
          <t>rocket</t>
        </is>
      </c>
      <c r="G306" t="n">
        <v>300</v>
      </c>
      <c r="H306" t="inlineStr"/>
      <c r="I306" t="inlineStr"/>
      <c r="J306" t="inlineStr"/>
      <c r="K306" t="inlineStr">
        <is>
          <t>HighExplosive</t>
        </is>
      </c>
      <c r="L306" t="n">
        <v>3</v>
      </c>
      <c r="M306" t="inlineStr">
        <is>
          <t>Rocket</t>
        </is>
      </c>
      <c r="N306" t="n">
        <v>1</v>
      </c>
      <c r="O306" t="inlineStr">
        <is>
          <t>RIPPLE</t>
        </is>
      </c>
      <c r="P306" t="n">
        <v>11</v>
      </c>
      <c r="Q306" t="n">
        <v>0.25</v>
      </c>
      <c r="R306" t="n">
        <v>15.76</v>
      </c>
      <c r="S306" t="n">
        <v>0</v>
      </c>
      <c r="T306" t="n">
        <v>0</v>
      </c>
      <c r="U306" t="n">
        <v>3</v>
      </c>
      <c r="V306" t="n">
        <v>0</v>
      </c>
      <c r="W306" t="n">
        <v>145</v>
      </c>
      <c r="X306" t="n">
        <v>8</v>
      </c>
      <c r="Y306" t="n">
        <v>0</v>
      </c>
      <c r="Z306" t="n">
        <v>120</v>
      </c>
      <c r="AA306" t="n">
        <v>140</v>
      </c>
      <c r="AB306" t="n">
        <v>30</v>
      </c>
      <c r="AC306" t="inlineStr">
        <is>
          <t>Ground</t>
        </is>
      </c>
      <c r="AD306" t="inlineStr"/>
      <c r="AE306" t="n">
        <v>9</v>
      </c>
      <c r="AF306" t="inlineStr">
        <is>
          <t>Huge</t>
        </is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n">
        <v>300</v>
      </c>
      <c r="AO306" t="n">
        <v>0</v>
      </c>
      <c r="AP306" t="inlineStr">
        <is>
          <t>T4</t>
        </is>
      </c>
      <c r="AQ306" t="inlineStr"/>
      <c r="AR306" t="inlineStr"/>
      <c r="AS306" t="inlineStr">
        <is>
          <t>xe</t>
        </is>
      </c>
      <c r="AT306" t="inlineStr">
        <is>
          <t>heavy_rocket_artillery</t>
        </is>
      </c>
      <c r="AU306" t="n">
        <v>1</v>
      </c>
      <c r="AV306" t="inlineStr">
        <is>
          <t>heavy_rocket_artillery:0</t>
        </is>
      </c>
      <c r="AW306" t="n">
        <v>2.5</v>
      </c>
      <c r="AX306" t="b">
        <v>1</v>
      </c>
      <c r="AY306" t="inlineStr"/>
      <c r="AZ306">
        <f>IF(AND($AX$306,$AW$306&gt;$AA$306/$Z$306),$AW$306,$AA$306/$Z$306)</f>
        <v/>
      </c>
      <c r="BA306" t="n">
        <v>2.5</v>
      </c>
      <c r="BB306" t="n">
        <v>19</v>
      </c>
      <c r="BC306" t="inlineStr"/>
      <c r="BD306" t="inlineStr">
        <is>
          <t>rocket</t>
        </is>
      </c>
      <c r="BE306" t="inlineStr">
        <is>
          <t>Wikipedia 'BM-30 Smerch': 12 rockets in 38 s</t>
        </is>
      </c>
      <c r="BG306" t="inlineStr">
        <is>
          <t>doi</t>
        </is>
      </c>
      <c r="BR306" t="n">
        <v>55</v>
      </c>
      <c r="BS306" t="n">
        <v>120</v>
      </c>
      <c r="CN306" t="n">
        <v>3</v>
      </c>
      <c r="CR306" t="n">
        <v>11</v>
      </c>
      <c r="CS306" t="n">
        <v>0.25</v>
      </c>
      <c r="CT306" t="n">
        <v>300</v>
      </c>
      <c r="DD306" t="n">
        <v>15.76</v>
      </c>
      <c r="DE306" t="n">
        <v>145</v>
      </c>
      <c r="DF306" t="inlineStr">
        <is>
          <t>HighExplosive</t>
        </is>
      </c>
      <c r="DJ306" t="inlineStr">
        <is>
          <t>rocket</t>
        </is>
      </c>
      <c r="DS306" t="inlineStr">
        <is>
          <t>Huge</t>
        </is>
      </c>
      <c r="DZ306" t="n">
        <v>30</v>
      </c>
      <c r="EB306" t="n">
        <v>3</v>
      </c>
      <c r="EH306" t="inlineStr">
        <is>
          <t>Rocket</t>
        </is>
      </c>
      <c r="EK306" t="n">
        <v>120</v>
      </c>
      <c r="EP306" t="n">
        <v>140</v>
      </c>
      <c r="EQ306" t="inlineStr">
        <is>
          <t>9M55 Smerch 300 mm</t>
        </is>
      </c>
      <c r="EX306" t="n">
        <v>300</v>
      </c>
      <c r="EY306" t="n">
        <v>8</v>
      </c>
      <c r="EZ306" t="n">
        <v>9</v>
      </c>
      <c r="GB306" t="inlineStr">
        <is>
          <t>rkt_smerch_300</t>
        </is>
      </c>
      <c r="GD306" t="inlineStr">
        <is>
          <t>Assets/MachineBrigade/Resources/Data/balance.json: weapons[58]</t>
        </is>
      </c>
      <c r="GE306" t="inlineStr">
        <is>
          <t>{"id":"rockets_300mm","weaponFamilyId":"rkt_smerch_300","real":"9M55 Smerch 300 mm","family":"rocket","size":300,"caliberMm":300,"pen":3,"damageType":"HighExplosive","damage":145,"cooldown":15.76,"range":140,"minRange":30,"projectileSpeed":120,"splash":8,"spread":9,"impactTier":"Huge","projectile":"Rocket","burst":11,"burstInterval":0.25,"ammo":3}</t>
        </is>
      </c>
    </row>
    <row r="307">
      <c r="A307" t="inlineStr">
        <is>
          <t>s8_pods</t>
        </is>
      </c>
      <c r="B307" t="inlineStr">
        <is>
          <t>S-8 80 mm</t>
        </is>
      </c>
      <c r="C307" t="inlineStr">
        <is>
          <t>rkt_70_80</t>
        </is>
      </c>
      <c r="D307" t="inlineStr"/>
      <c r="E307" t="inlineStr">
        <is>
          <t>s_8_80_mm</t>
        </is>
      </c>
      <c r="F307" t="inlineStr">
        <is>
          <t>rocket</t>
        </is>
      </c>
      <c r="G307" t="n">
        <v>80</v>
      </c>
      <c r="H307" t="inlineStr"/>
      <c r="I307" t="inlineStr"/>
      <c r="J307" t="inlineStr"/>
      <c r="K307" t="inlineStr">
        <is>
          <t>HighExplosive</t>
        </is>
      </c>
      <c r="L307" t="n">
        <v>2</v>
      </c>
      <c r="M307" t="inlineStr">
        <is>
          <t>Rocket</t>
        </is>
      </c>
      <c r="N307" t="n">
        <v>1</v>
      </c>
      <c r="O307" t="inlineStr">
        <is>
          <t>RIPPLE</t>
        </is>
      </c>
      <c r="P307" t="n">
        <v>8</v>
      </c>
      <c r="Q307" t="n">
        <v>0.05</v>
      </c>
      <c r="R307" t="n">
        <v>4.05</v>
      </c>
      <c r="S307" t="n">
        <v>0</v>
      </c>
      <c r="T307" t="n">
        <v>0</v>
      </c>
      <c r="U307" t="n">
        <v>0</v>
      </c>
      <c r="V307" t="n">
        <v>0</v>
      </c>
      <c r="W307" t="n">
        <v>32</v>
      </c>
      <c r="X307" t="n">
        <v>3</v>
      </c>
      <c r="Y307" t="n">
        <v>0</v>
      </c>
      <c r="Z307" t="n">
        <v>180</v>
      </c>
      <c r="AA307" t="n">
        <v>34</v>
      </c>
      <c r="AB307" t="n">
        <v>0</v>
      </c>
      <c r="AC307" t="inlineStr">
        <is>
          <t>Ground</t>
        </is>
      </c>
      <c r="AD307" t="inlineStr"/>
      <c r="AE307" t="n">
        <v>4.5</v>
      </c>
      <c r="AF307" t="inlineStr">
        <is>
          <t>Medium</t>
        </is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n">
        <v>80</v>
      </c>
      <c r="AO307" t="n">
        <v>16</v>
      </c>
      <c r="AP307" t="inlineStr">
        <is>
          <t>T2</t>
        </is>
      </c>
      <c r="AQ307" t="inlineStr"/>
      <c r="AR307" t="inlineStr"/>
      <c r="AS307" t="inlineStr">
        <is>
          <t>xe</t>
        </is>
      </c>
      <c r="AT307" t="inlineStr">
        <is>
          <t>attack_jet;elite_attack_jet</t>
        </is>
      </c>
      <c r="AU307" t="n">
        <v>2</v>
      </c>
      <c r="AV307" t="inlineStr">
        <is>
          <t>attack_jet:1;elite_attack_jet:1</t>
        </is>
      </c>
      <c r="AW307" t="n">
        <v>0</v>
      </c>
      <c r="AX307" t="b">
        <v>0</v>
      </c>
      <c r="AY307" t="inlineStr"/>
      <c r="AZ307">
        <f>IF(AND($AX$307,$AW$307&gt;$AA$307/$Z$307),$AW$307,$AA$307/$Z$307)</f>
        <v/>
      </c>
      <c r="BA307" t="n">
        <v>0.1888888888888889</v>
      </c>
      <c r="BB307" t="n">
        <v>900</v>
      </c>
      <c r="BC307" t="inlineStr"/>
      <c r="BD307" t="inlineStr">
        <is>
          <t>rocket</t>
        </is>
      </c>
      <c r="BE307" t="inlineStr">
        <is>
          <t>rocket pods: ripples of 0.05-0.12 s (DECISIONS 19R)</t>
        </is>
      </c>
      <c r="BG307" t="inlineStr">
        <is>
          <t>doi</t>
        </is>
      </c>
      <c r="BR307" t="n">
        <v>40</v>
      </c>
      <c r="BS307" t="n">
        <v>180</v>
      </c>
      <c r="CR307" t="n">
        <v>8</v>
      </c>
      <c r="CS307" t="n">
        <v>0.05</v>
      </c>
      <c r="CT307" t="n">
        <v>80</v>
      </c>
      <c r="DD307" t="n">
        <v>4.05</v>
      </c>
      <c r="DE307" t="n">
        <v>32</v>
      </c>
      <c r="DF307" t="inlineStr">
        <is>
          <t>HighExplosive</t>
        </is>
      </c>
      <c r="DJ307" t="inlineStr">
        <is>
          <t>rocket</t>
        </is>
      </c>
      <c r="DS307" t="inlineStr">
        <is>
          <t>Medium</t>
        </is>
      </c>
      <c r="DW307" t="n">
        <v>16</v>
      </c>
      <c r="EB307" t="n">
        <v>2</v>
      </c>
      <c r="EH307" t="inlineStr">
        <is>
          <t>Rocket</t>
        </is>
      </c>
      <c r="EJ307" t="n">
        <v>0.9</v>
      </c>
      <c r="EP307" t="n">
        <v>34</v>
      </c>
      <c r="EQ307" t="inlineStr">
        <is>
          <t>S-8 80 mm</t>
        </is>
      </c>
      <c r="EX307" t="n">
        <v>80</v>
      </c>
      <c r="EZ307" t="n">
        <v>4.5</v>
      </c>
      <c r="GA307" t="inlineStr">
        <is>
          <t>s_8_80_mm</t>
        </is>
      </c>
      <c r="GB307" t="inlineStr">
        <is>
          <t>rkt_70_80</t>
        </is>
      </c>
      <c r="GD307" t="inlineStr">
        <is>
          <t>Assets/MachineBrigade/Resources/Data/balance.json: weapons[70]</t>
        </is>
      </c>
      <c r="GE307" t="inlineStr">
        <is>
          <t>{"id":"s8_pods","weaponFamilyId":"rkt_70_80","weaponFamily":"s_8_80_mm","load":16,"real":"S-8 80 mm","family":"rocket","size":80,"caliberMm":80,"pen":2,"projectileScale":0.9,"damageType":"HighExplosive","damage":32,"cooldown":4.05,"range":34,"spread":4.5,"impactTier":"Medium","projectile":"Rocket","burst":8,"burstInterval":0.05}</t>
        </is>
      </c>
    </row>
    <row r="308">
      <c r="A308" t="inlineStr">
        <is>
          <t>sam</t>
        </is>
      </c>
      <c r="B308" t="inlineStr">
        <is>
          <t>Starstreak / Stinger SHORAD</t>
        </is>
      </c>
      <c r="C308" t="inlineStr">
        <is>
          <t>sam_starstreak_stinger_shorad</t>
        </is>
      </c>
      <c r="D308" t="inlineStr"/>
      <c r="E308" t="inlineStr"/>
      <c r="F308" t="inlineStr">
        <is>
          <t>aa_missile</t>
        </is>
      </c>
      <c r="G308" t="inlineStr"/>
      <c r="H308" t="n">
        <v>1</v>
      </c>
      <c r="I308" t="inlineStr"/>
      <c r="J308" t="inlineStr"/>
      <c r="K308" t="inlineStr">
        <is>
          <t>Fragmentation</t>
        </is>
      </c>
      <c r="L308" t="n">
        <v>2</v>
      </c>
      <c r="M308" t="inlineStr">
        <is>
          <t>Missile</t>
        </is>
      </c>
      <c r="N308" t="n">
        <v>1</v>
      </c>
      <c r="O308" t="inlineStr">
        <is>
          <t>RIPPLE</t>
        </is>
      </c>
      <c r="P308" t="n">
        <v>1</v>
      </c>
      <c r="Q308" t="n">
        <v>0.1</v>
      </c>
      <c r="R308" t="n">
        <v>4.452</v>
      </c>
      <c r="S308" t="n">
        <v>0</v>
      </c>
      <c r="T308" t="n">
        <v>0</v>
      </c>
      <c r="U308" t="n">
        <v>0</v>
      </c>
      <c r="V308" t="n">
        <v>0</v>
      </c>
      <c r="W308" t="n">
        <v>170</v>
      </c>
      <c r="X308" t="n">
        <v>2</v>
      </c>
      <c r="Y308" t="n">
        <v>0</v>
      </c>
      <c r="Z308" t="n">
        <v>200</v>
      </c>
      <c r="AA308" t="n">
        <v>44</v>
      </c>
      <c r="AB308" t="n">
        <v>0</v>
      </c>
      <c r="AC308" t="inlineStr">
        <is>
          <t>Air</t>
        </is>
      </c>
      <c r="AD308" t="inlineStr"/>
      <c r="AE308" t="n">
        <v>0</v>
      </c>
      <c r="AF308" t="inlineStr">
        <is>
          <t>Medium</t>
        </is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n">
        <v>3</v>
      </c>
      <c r="AO308" t="n">
        <v>0</v>
      </c>
      <c r="AP308" t="inlineStr">
        <is>
          <t>T2</t>
        </is>
      </c>
      <c r="AQ308" t="inlineStr"/>
      <c r="AR308" t="inlineStr"/>
      <c r="AS308" t="inlineStr">
        <is>
          <t>boss;thap;xe</t>
        </is>
      </c>
      <c r="AT308" t="inlineStr">
        <is>
          <t>aa_turret;aa_vehicle;elite_aa;manpads_tower;mobile_fortress;nuke_train;typhon</t>
        </is>
      </c>
      <c r="AU308" t="n">
        <v>7</v>
      </c>
      <c r="AV308" t="inlineStr">
        <is>
          <t>aa_turret:1;aa_vehicle:1;elite_aa:1;manpads_tower:0;mobile_fortress:other;nuke_train:other;typhon:other</t>
        </is>
      </c>
      <c r="AW308" t="n">
        <v>0</v>
      </c>
      <c r="AX308" t="b">
        <v>0</v>
      </c>
      <c r="AY308" t="inlineStr"/>
      <c r="AZ308">
        <f>IF(AND($AX$308,$AW$308&gt;$AA$308/$Z$308),$AW$308,$AA$308/$Z$308)</f>
        <v/>
      </c>
      <c r="BA308" t="n">
        <v>0.22</v>
      </c>
      <c r="BB308" t="n">
        <v>20</v>
      </c>
      <c r="BC308" t="n">
        <v>10</v>
      </c>
      <c r="BD308" t="inlineStr">
        <is>
          <t>missile</t>
        </is>
      </c>
      <c r="BE308" t="inlineStr">
        <is>
          <t>Avenger / Stormer: ~3 s between rounds (est.); a MANPADS team 6-10 s</t>
        </is>
      </c>
      <c r="BG308" t="inlineStr">
        <is>
          <t>doi</t>
        </is>
      </c>
      <c r="BR308" t="n">
        <v>42</v>
      </c>
      <c r="BS308" t="n">
        <v>200</v>
      </c>
      <c r="DD308" t="n">
        <v>4.452</v>
      </c>
      <c r="DE308" t="n">
        <v>170</v>
      </c>
      <c r="DF308" t="inlineStr">
        <is>
          <t>Fragmentation</t>
        </is>
      </c>
      <c r="DJ308" t="inlineStr">
        <is>
          <t>aa_missile</t>
        </is>
      </c>
      <c r="DK308" t="n">
        <v>0.5</v>
      </c>
      <c r="DS308" t="inlineStr">
        <is>
          <t>Medium</t>
        </is>
      </c>
      <c r="EB308" t="n">
        <v>2</v>
      </c>
      <c r="EH308" t="inlineStr">
        <is>
          <t>Missile</t>
        </is>
      </c>
      <c r="EI308" t="inlineStr">
        <is>
          <t>shorad_dart</t>
        </is>
      </c>
      <c r="EJ308" t="n">
        <v>0.5527</v>
      </c>
      <c r="EK308" t="n">
        <v>200</v>
      </c>
      <c r="EP308" t="n">
        <v>44</v>
      </c>
      <c r="EQ308" t="inlineStr">
        <is>
          <t>Starstreak / Stinger SHORAD</t>
        </is>
      </c>
      <c r="ET308" t="n">
        <v>1.216</v>
      </c>
      <c r="EV308" t="n">
        <v>210</v>
      </c>
      <c r="EX308" t="n">
        <v>3</v>
      </c>
      <c r="EY308" t="n">
        <v>2</v>
      </c>
      <c r="FW308" t="inlineStr">
        <is>
          <t>Air</t>
        </is>
      </c>
      <c r="FZ308" t="n">
        <v>1</v>
      </c>
      <c r="GB308" t="inlineStr">
        <is>
          <t>sam_starstreak_stinger_shorad</t>
        </is>
      </c>
      <c r="GD308" t="inlineStr">
        <is>
          <t>Assets/MachineBrigade/Resources/Data/balance.json: weapons[20]</t>
        </is>
      </c>
      <c r="GE308" t="inlineStr">
        <is>
          <t>{"id":"sam","weaponFamilyId":"sam_starstreak_stinger_shorad","real":"Starstreak / Stinger SHORAD","family":"aa_missile","size":3,"warheadKg":1,"pen":2,"projectileModel":"shorad_dart","roundLength":1.216,"projectileScale":0.5527,"damageType":"Fragmentation","damage":170,"cooldown":4.452,"range":44,"projectileSpeed":200,"splash":2,"impactTier":"Medium","projectile":"Missile","targets":"Air","flareResist":0.5,"roundWeight":210}</t>
        </is>
      </c>
    </row>
    <row r="309">
      <c r="A309" t="inlineStr">
        <is>
          <t>sam_48n6</t>
        </is>
      </c>
      <c r="B309" t="inlineStr">
        <is>
          <t>S-400 48N6</t>
        </is>
      </c>
      <c r="C309" t="inlineStr">
        <is>
          <t>sam_s_400_48n6</t>
        </is>
      </c>
      <c r="D309" t="inlineStr"/>
      <c r="E309" t="inlineStr"/>
      <c r="F309" t="inlineStr">
        <is>
          <t>aa_missile</t>
        </is>
      </c>
      <c r="G309" t="inlineStr"/>
      <c r="H309" t="n">
        <v>180</v>
      </c>
      <c r="I309" t="inlineStr"/>
      <c r="J309" t="inlineStr"/>
      <c r="K309" t="inlineStr">
        <is>
          <t>Fragmentation</t>
        </is>
      </c>
      <c r="L309" t="n">
        <v>3</v>
      </c>
      <c r="M309" t="inlineStr">
        <is>
          <t>Missile</t>
        </is>
      </c>
      <c r="N309" t="n">
        <v>1</v>
      </c>
      <c r="O309" t="inlineStr">
        <is>
          <t>RIPPLE</t>
        </is>
      </c>
      <c r="P309" t="n">
        <v>1</v>
      </c>
      <c r="Q309" t="n">
        <v>0.1</v>
      </c>
      <c r="R309" t="n">
        <v>7.2</v>
      </c>
      <c r="S309" t="n">
        <v>0</v>
      </c>
      <c r="T309" t="n">
        <v>0</v>
      </c>
      <c r="U309" t="n">
        <v>0</v>
      </c>
      <c r="V309" t="n">
        <v>0</v>
      </c>
      <c r="W309" t="n">
        <v>630</v>
      </c>
      <c r="X309" t="n">
        <v>7.2</v>
      </c>
      <c r="Y309" t="n">
        <v>0</v>
      </c>
      <c r="Z309" t="n">
        <v>300</v>
      </c>
      <c r="AA309" t="n">
        <v>95</v>
      </c>
      <c r="AB309" t="n">
        <v>20</v>
      </c>
      <c r="AC309" t="inlineStr">
        <is>
          <t>Air</t>
        </is>
      </c>
      <c r="AD309" t="inlineStr">
        <is>
          <t>high</t>
        </is>
      </c>
      <c r="AE309" t="n">
        <v>0</v>
      </c>
      <c r="AF309" t="inlineStr">
        <is>
          <t>Huge</t>
        </is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n">
        <v>180</v>
      </c>
      <c r="AO309" t="n">
        <v>0</v>
      </c>
      <c r="AP309" t="inlineStr">
        <is>
          <t>T2</t>
        </is>
      </c>
      <c r="AQ309" t="inlineStr"/>
      <c r="AR309" t="inlineStr"/>
      <c r="AS309" t="inlineStr">
        <is>
          <t>xe</t>
        </is>
      </c>
      <c r="AT309" t="inlineStr">
        <is>
          <t>elite_long_sam;long_sam</t>
        </is>
      </c>
      <c r="AU309" t="n">
        <v>2</v>
      </c>
      <c r="AV309" t="inlineStr">
        <is>
          <t>elite_long_sam:0;long_sam:0</t>
        </is>
      </c>
      <c r="AW309" t="n">
        <v>0</v>
      </c>
      <c r="AX309" t="b">
        <v>0</v>
      </c>
      <c r="AY309" t="inlineStr"/>
      <c r="AZ309">
        <f>IF(AND($AX$309,$AW$309&gt;$AA$309/$Z$309),$AW$309,$AA$309/$Z$309)</f>
        <v/>
      </c>
      <c r="BA309" t="n">
        <v>0.3166666666666667</v>
      </c>
      <c r="BB309" t="n">
        <v>20</v>
      </c>
      <c r="BC309" t="n">
        <v>6</v>
      </c>
      <c r="BD309" t="inlineStr">
        <is>
          <t>missile</t>
        </is>
      </c>
      <c r="BE309" t="inlineStr">
        <is>
          <t>Wikipedia 'S-400': 3 s between launches</t>
        </is>
      </c>
      <c r="BG309" t="inlineStr">
        <is>
          <t>doi</t>
        </is>
      </c>
      <c r="BR309" t="n">
        <v>65</v>
      </c>
      <c r="BS309" t="n">
        <v>300</v>
      </c>
      <c r="CU309" t="inlineStr">
        <is>
          <t>high</t>
        </is>
      </c>
      <c r="DD309" t="n">
        <v>7.2</v>
      </c>
      <c r="DE309" t="n">
        <v>630</v>
      </c>
      <c r="DF309" t="inlineStr">
        <is>
          <t>Fragmentation</t>
        </is>
      </c>
      <c r="DJ309" t="inlineStr">
        <is>
          <t>aa_missile</t>
        </is>
      </c>
      <c r="DK309" t="n">
        <v>0.85</v>
      </c>
      <c r="DL309" t="inlineStr">
        <is>
          <t>Loft</t>
        </is>
      </c>
      <c r="DR309" t="n">
        <v>2</v>
      </c>
      <c r="DS309" t="inlineStr">
        <is>
          <t>Huge</t>
        </is>
      </c>
      <c r="DZ309" t="n">
        <v>20</v>
      </c>
      <c r="EB309" t="n">
        <v>3</v>
      </c>
      <c r="EH309" t="inlineStr">
        <is>
          <t>Missile</t>
        </is>
      </c>
      <c r="EI309" t="inlineStr">
        <is>
          <t>patriot</t>
        </is>
      </c>
      <c r="EJ309" t="n">
        <v>1.7647</v>
      </c>
      <c r="EK309" t="n">
        <v>300</v>
      </c>
      <c r="EP309" t="n">
        <v>95</v>
      </c>
      <c r="EQ309" t="inlineStr">
        <is>
          <t>S-400 48N6</t>
        </is>
      </c>
      <c r="ET309" t="n">
        <v>6</v>
      </c>
      <c r="EX309" t="n">
        <v>180</v>
      </c>
      <c r="EY309" t="n">
        <v>7.2</v>
      </c>
      <c r="FW309" t="inlineStr">
        <is>
          <t>Air</t>
        </is>
      </c>
      <c r="FZ309" t="n">
        <v>180</v>
      </c>
      <c r="GB309" t="inlineStr">
        <is>
          <t>sam_s_400_48n6</t>
        </is>
      </c>
      <c r="GD309" t="inlineStr">
        <is>
          <t>Assets/MachineBrigade/Resources/Data/balance.json: weapons[101]</t>
        </is>
      </c>
      <c r="GE309" t="inlineStr">
        <is>
          <t>{"id":"sam_48n6","flightProfile":"Loft","weaponFamilyId":"sam_s_400_48n6","ceiling":"high","real":"S-400 48N6","family":"aa_missile","size":180,"warheadKg":180,"pen":3,"projectileModel":"patriot","roundLength":6,"projectileScale":1.7647,"damageType":"Fragmentation","damage":630,"cooldown":7.2,"range":95,"minRange":20,"projectileSpeed":300,"splash":7.2,"impactTier":"Huge","impactScale":2,"projectile":"Missile","targets":"Air","flareResist":0.85}</t>
        </is>
      </c>
    </row>
    <row r="310">
      <c r="A310" t="inlineStr">
        <is>
          <t>sam_battery</t>
        </is>
      </c>
      <c r="B310" t="inlineStr">
        <is>
          <t>MIM-104 Patriot PAC-2</t>
        </is>
      </c>
      <c r="C310" t="inlineStr">
        <is>
          <t>sam_mim_104_patriot_pac_2</t>
        </is>
      </c>
      <c r="D310" t="inlineStr"/>
      <c r="E310" t="inlineStr"/>
      <c r="F310" t="inlineStr">
        <is>
          <t>aa_missile</t>
        </is>
      </c>
      <c r="G310" t="inlineStr"/>
      <c r="H310" t="n">
        <v>90</v>
      </c>
      <c r="I310" t="inlineStr"/>
      <c r="J310" t="inlineStr"/>
      <c r="K310" t="inlineStr">
        <is>
          <t>Fragmentation</t>
        </is>
      </c>
      <c r="L310" t="n">
        <v>3</v>
      </c>
      <c r="M310" t="inlineStr">
        <is>
          <t>Missile</t>
        </is>
      </c>
      <c r="N310" t="n">
        <v>1</v>
      </c>
      <c r="O310" t="inlineStr">
        <is>
          <t>RIPPLE</t>
        </is>
      </c>
      <c r="P310" t="n">
        <v>2</v>
      </c>
      <c r="Q310" t="n">
        <v>3</v>
      </c>
      <c r="R310" t="n">
        <v>8</v>
      </c>
      <c r="S310" t="n">
        <v>0</v>
      </c>
      <c r="T310" t="n">
        <v>0</v>
      </c>
      <c r="U310" t="n">
        <v>0</v>
      </c>
      <c r="V310" t="n">
        <v>0</v>
      </c>
      <c r="W310" t="n">
        <v>340</v>
      </c>
      <c r="X310" t="n">
        <v>2.5</v>
      </c>
      <c r="Y310" t="n">
        <v>0</v>
      </c>
      <c r="Z310" t="n">
        <v>95</v>
      </c>
      <c r="AA310" t="n">
        <v>90</v>
      </c>
      <c r="AB310" t="n">
        <v>20</v>
      </c>
      <c r="AC310" t="inlineStr">
        <is>
          <t>Air</t>
        </is>
      </c>
      <c r="AD310" t="inlineStr">
        <is>
          <t>high</t>
        </is>
      </c>
      <c r="AE310" t="n">
        <v>0</v>
      </c>
      <c r="AF310" t="inlineStr">
        <is>
          <t>Large</t>
        </is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n">
        <v>90</v>
      </c>
      <c r="AO310" t="n">
        <v>0</v>
      </c>
      <c r="AP310" t="inlineStr">
        <is>
          <t>T2</t>
        </is>
      </c>
      <c r="AQ310" t="inlineStr"/>
      <c r="AR310" t="inlineStr"/>
      <c r="AS310" t="inlineStr">
        <is>
          <t>boss</t>
        </is>
      </c>
      <c r="AT310" t="inlineStr">
        <is>
          <t>nuke_train</t>
        </is>
      </c>
      <c r="AU310" t="n">
        <v>1</v>
      </c>
      <c r="AV310" t="inlineStr">
        <is>
          <t>nuke_train:4</t>
        </is>
      </c>
      <c r="AW310" t="n">
        <v>0</v>
      </c>
      <c r="AX310" t="b">
        <v>0</v>
      </c>
      <c r="AY310" t="inlineStr"/>
      <c r="AZ310">
        <f>IF(AND($AX$310,$AW$310&gt;$AA$310/$Z$310),$AW$310,$AA$310/$Z$310)</f>
        <v/>
      </c>
      <c r="BA310" t="n">
        <v>0.9473684210526315</v>
      </c>
      <c r="BB310" t="n">
        <v>20</v>
      </c>
      <c r="BC310" t="n">
        <v>20</v>
      </c>
      <c r="BD310" t="inlineStr">
        <is>
          <t>missile</t>
        </is>
      </c>
      <c r="BE310" t="inlineStr">
        <is>
          <t>Wikipedia 'MIM-104 Patriot': ripples a few seconds apart (est. 3 s)</t>
        </is>
      </c>
      <c r="BF310" t="inlineStr">
        <is>
          <t>MIM-104 Patriot: the pair ~3 s apart (est.; 0.45 s was too fast), the 11 s cycle kept</t>
        </is>
      </c>
      <c r="BG310" t="inlineStr">
        <is>
          <t>doi</t>
        </is>
      </c>
      <c r="BJ310" t="n">
        <v>10.55</v>
      </c>
      <c r="BK310" t="n">
        <v>8</v>
      </c>
      <c r="BR310" t="n">
        <v>60</v>
      </c>
      <c r="BS310" t="n">
        <v>95</v>
      </c>
      <c r="BV310" t="n">
        <v>0.45</v>
      </c>
      <c r="BW310" t="n">
        <v>3</v>
      </c>
      <c r="CR310" t="n">
        <v>2</v>
      </c>
      <c r="CS310" t="n">
        <v>3</v>
      </c>
      <c r="CU310" t="inlineStr">
        <is>
          <t>high</t>
        </is>
      </c>
      <c r="DD310" t="n">
        <v>8</v>
      </c>
      <c r="DE310" t="n">
        <v>340</v>
      </c>
      <c r="DF310" t="inlineStr">
        <is>
          <t>Fragmentation</t>
        </is>
      </c>
      <c r="DJ310" t="inlineStr">
        <is>
          <t>aa_missile</t>
        </is>
      </c>
      <c r="DK310" t="n">
        <v>0.85</v>
      </c>
      <c r="DL310" t="inlineStr">
        <is>
          <t>Loft</t>
        </is>
      </c>
      <c r="DS310" t="inlineStr">
        <is>
          <t>Large</t>
        </is>
      </c>
      <c r="DZ310" t="n">
        <v>20</v>
      </c>
      <c r="EB310" t="n">
        <v>3</v>
      </c>
      <c r="EH310" t="inlineStr">
        <is>
          <t>Missile</t>
        </is>
      </c>
      <c r="EI310" t="inlineStr">
        <is>
          <t>patriot</t>
        </is>
      </c>
      <c r="EJ310" t="n">
        <v>1.2471</v>
      </c>
      <c r="EK310" t="n">
        <v>95</v>
      </c>
      <c r="EP310" t="n">
        <v>90</v>
      </c>
      <c r="EQ310" t="inlineStr">
        <is>
          <t>MIM-104 Patriot PAC-2</t>
        </is>
      </c>
      <c r="ET310" t="n">
        <v>4.24</v>
      </c>
      <c r="EX310" t="n">
        <v>90</v>
      </c>
      <c r="EY310" t="n">
        <v>2.5</v>
      </c>
      <c r="FW310" t="inlineStr">
        <is>
          <t>Air</t>
        </is>
      </c>
      <c r="FZ310" t="n">
        <v>90</v>
      </c>
      <c r="GA310" t="inlineStr"/>
      <c r="GB310" t="inlineStr">
        <is>
          <t>sam_mim_104_patriot_pac_2</t>
        </is>
      </c>
      <c r="GD310" t="inlineStr">
        <is>
          <t>Assets/MachineBrigade/Resources/Data/balance.json: weapons[87]</t>
        </is>
      </c>
      <c r="GE310" t="inlineStr">
        <is>
          <t>{"id":"sam_battery","weaponFamilyId":"sam_mim_104_patriot_pac_2","weaponFamily":"","projectileSpeed":95,"flightProfile":"Loft","splash":2.5,"projectileModel":"patriot","roundLength":4.24,"projectileScale":1.2471,"ceiling":"high","real":"MIM-104 Patriot PAC-2","family":"aa_missile","size":90,"warheadKg":90,"pen":3,"damageType":"Fragmentation","damage":340,"cooldown":8,"range":90,"minRange":20,"impactTier":"Large","projectile":"Missile","targets":"Air","burst":2,"burstInterval":3,"flareResist":0.85}</t>
        </is>
      </c>
    </row>
    <row r="311">
      <c r="A311" t="inlineStr">
        <is>
          <t>sam_battery_lrr</t>
        </is>
      </c>
      <c r="B311" t="inlineStr">
        <is>
          <t>MIM-104 Patriot PAC-2</t>
        </is>
      </c>
      <c r="C311" t="inlineStr">
        <is>
          <t>sam_mim_104_patriot_pac_2</t>
        </is>
      </c>
      <c r="D311" t="inlineStr"/>
      <c r="E311" t="inlineStr">
        <is>
          <t>mim_104_patriot_pac_2</t>
        </is>
      </c>
      <c r="F311" t="inlineStr">
        <is>
          <t>aa_missile</t>
        </is>
      </c>
      <c r="G311" t="inlineStr"/>
      <c r="H311" t="n">
        <v>90</v>
      </c>
      <c r="I311" t="inlineStr"/>
      <c r="J311" t="inlineStr"/>
      <c r="K311" t="inlineStr">
        <is>
          <t>Fragmentation</t>
        </is>
      </c>
      <c r="L311" t="n">
        <v>3</v>
      </c>
      <c r="M311" t="inlineStr">
        <is>
          <t>Missile</t>
        </is>
      </c>
      <c r="N311" t="n">
        <v>1</v>
      </c>
      <c r="O311" t="inlineStr">
        <is>
          <t>RIPPLE</t>
        </is>
      </c>
      <c r="P311" t="n">
        <v>2</v>
      </c>
      <c r="Q311" t="n">
        <v>0.45</v>
      </c>
      <c r="R311" t="n">
        <v>3.45</v>
      </c>
      <c r="S311" t="n">
        <v>0</v>
      </c>
      <c r="T311" t="n">
        <v>0</v>
      </c>
      <c r="U311" t="n">
        <v>0</v>
      </c>
      <c r="V311" t="n">
        <v>0</v>
      </c>
      <c r="W311" t="n">
        <v>340</v>
      </c>
      <c r="X311" t="n">
        <v>2.5</v>
      </c>
      <c r="Y311" t="n">
        <v>0</v>
      </c>
      <c r="Z311" t="n">
        <v>300</v>
      </c>
      <c r="AA311" t="n">
        <v>100</v>
      </c>
      <c r="AB311" t="n">
        <v>20</v>
      </c>
      <c r="AC311" t="inlineStr">
        <is>
          <t>Air</t>
        </is>
      </c>
      <c r="AD311" t="inlineStr">
        <is>
          <t>high</t>
        </is>
      </c>
      <c r="AE311" t="n">
        <v>0</v>
      </c>
      <c r="AF311" t="inlineStr">
        <is>
          <t>Large</t>
        </is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n">
        <v>90</v>
      </c>
      <c r="AO311" t="n">
        <v>0</v>
      </c>
      <c r="AP311" t="inlineStr">
        <is>
          <t>T2</t>
        </is>
      </c>
      <c r="AQ311" t="inlineStr">
        <is>
          <t>patriot</t>
        </is>
      </c>
      <c r="AR311" t="inlineStr"/>
      <c r="AS311" t="inlineStr">
        <is>
          <t>thap</t>
        </is>
      </c>
      <c r="AT311" t="inlineStr">
        <is>
          <t>missile_battery.lrr</t>
        </is>
      </c>
      <c r="AU311" t="n">
        <v>1</v>
      </c>
      <c r="AV311" t="inlineStr">
        <is>
          <t>missile_battery.lrr:0</t>
        </is>
      </c>
      <c r="AW311" t="n">
        <v>0</v>
      </c>
      <c r="AX311" t="b">
        <v>0</v>
      </c>
      <c r="AY311" t="inlineStr"/>
      <c r="AZ311">
        <f>IF(AND($AX$311,$AW$311&gt;$AA$311/$Z$311),$AW$311,$AA$311/$Z$311)</f>
        <v/>
      </c>
      <c r="BA311" t="n">
        <v>0.3333333333333333</v>
      </c>
      <c r="BB311" t="n">
        <v>20</v>
      </c>
      <c r="BC311" t="n">
        <v>20</v>
      </c>
      <c r="BD311" t="inlineStr">
        <is>
          <t>missile</t>
        </is>
      </c>
      <c r="BE311" t="inlineStr">
        <is>
          <t>Wikipedia 'MIM-104 Patriot': ripples a few seconds apart (est. 3 s)</t>
        </is>
      </c>
      <c r="BG311" t="inlineStr">
        <is>
          <t>doi</t>
        </is>
      </c>
      <c r="BR311" t="n">
        <v>60</v>
      </c>
      <c r="BS311" t="n">
        <v>300</v>
      </c>
      <c r="CS311" t="n">
        <v>0.45</v>
      </c>
      <c r="DD311" t="n">
        <v>3.45</v>
      </c>
      <c r="DJ311" t="inlineStr">
        <is>
          <t>aa_missile</t>
        </is>
      </c>
      <c r="DT311" t="inlineStr">
        <is>
          <t>patriot</t>
        </is>
      </c>
      <c r="EB311" t="n">
        <v>3</v>
      </c>
      <c r="EP311" t="n">
        <v>100</v>
      </c>
      <c r="EQ311" t="inlineStr">
        <is>
          <t>MIM-104 Patriot PAC-2</t>
        </is>
      </c>
      <c r="EX311" t="n">
        <v>90</v>
      </c>
      <c r="FZ311" t="n">
        <v>90</v>
      </c>
      <c r="GA311" t="inlineStr">
        <is>
          <t>mim_104_patriot_pac_2</t>
        </is>
      </c>
      <c r="GD311" t="inlineStr">
        <is>
          <t>Assets/MachineBrigade/Resources/Data/balance.json: weapons[126]</t>
        </is>
      </c>
      <c r="GE311" t="inlineStr">
        <is>
          <t>{"id":"sam_battery_lrr","weaponFamily":"mim_104_patriot_pac_2","cooldown":3.45,"real":"MIM-104 Patriot PAC-2","family":"aa_missile","size":90,"warheadKg":90,"pen":3,"inherits":"patriot","burstInterval":0.45,"range":100}</t>
        </is>
      </c>
    </row>
    <row r="312">
      <c r="A312" t="inlineStr">
        <is>
          <t>sam_long</t>
        </is>
      </c>
      <c r="B312" t="inlineStr">
        <is>
          <t>9M317 Buk</t>
        </is>
      </c>
      <c r="C312" t="inlineStr">
        <is>
          <t>sam_9m317_buk</t>
        </is>
      </c>
      <c r="D312" t="inlineStr"/>
      <c r="E312" t="inlineStr">
        <is>
          <t>9m317_buk</t>
        </is>
      </c>
      <c r="F312" t="inlineStr">
        <is>
          <t>aa_missile</t>
        </is>
      </c>
      <c r="G312" t="inlineStr"/>
      <c r="H312" t="n">
        <v>70</v>
      </c>
      <c r="I312" t="inlineStr"/>
      <c r="J312" t="inlineStr"/>
      <c r="K312" t="inlineStr">
        <is>
          <t>Fragmentation</t>
        </is>
      </c>
      <c r="L312" t="n">
        <v>3</v>
      </c>
      <c r="M312" t="inlineStr">
        <is>
          <t>Missile</t>
        </is>
      </c>
      <c r="N312" t="n">
        <v>1</v>
      </c>
      <c r="O312" t="inlineStr">
        <is>
          <t>RIPPLE</t>
        </is>
      </c>
      <c r="P312" t="n">
        <v>2</v>
      </c>
      <c r="Q312" t="n">
        <v>0.5</v>
      </c>
      <c r="R312" t="n">
        <v>5.73</v>
      </c>
      <c r="S312" t="n">
        <v>0</v>
      </c>
      <c r="T312" t="n">
        <v>0</v>
      </c>
      <c r="U312" t="n">
        <v>0</v>
      </c>
      <c r="V312" t="n">
        <v>0</v>
      </c>
      <c r="W312" t="n">
        <v>320</v>
      </c>
      <c r="X312" t="n">
        <v>2</v>
      </c>
      <c r="Y312" t="n">
        <v>0</v>
      </c>
      <c r="Z312" t="n">
        <v>250</v>
      </c>
      <c r="AA312" t="n">
        <v>55</v>
      </c>
      <c r="AB312" t="n">
        <v>0</v>
      </c>
      <c r="AC312" t="inlineStr">
        <is>
          <t>Air</t>
        </is>
      </c>
      <c r="AD312" t="inlineStr"/>
      <c r="AE312" t="n">
        <v>0</v>
      </c>
      <c r="AF312" t="inlineStr">
        <is>
          <t>Medium</t>
        </is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n">
        <v>70</v>
      </c>
      <c r="AO312" t="n">
        <v>0</v>
      </c>
      <c r="AP312" t="inlineStr">
        <is>
          <t>T2</t>
        </is>
      </c>
      <c r="AQ312" t="inlineStr"/>
      <c r="AR312" t="inlineStr"/>
      <c r="AS312" t="inlineStr"/>
      <c r="AT312" t="inlineStr"/>
      <c r="AU312" t="n">
        <v>0</v>
      </c>
      <c r="AV312" t="inlineStr"/>
      <c r="AW312" t="n">
        <v>0</v>
      </c>
      <c r="AX312" t="b">
        <v>0</v>
      </c>
      <c r="AY312" t="inlineStr"/>
      <c r="AZ312">
        <f>IF(AND($AX$312,$AW$312&gt;$AA$312/$Z$312),$AW$312,$AA$312/$Z$312)</f>
        <v/>
      </c>
      <c r="BA312" t="n">
        <v>0.22</v>
      </c>
      <c r="BB312" t="n">
        <v>15</v>
      </c>
      <c r="BC312" t="n">
        <v>15</v>
      </c>
      <c r="BD312" t="inlineStr">
        <is>
          <t>missile</t>
        </is>
      </c>
      <c r="BE312" t="inlineStr">
        <is>
          <t>Wikipedia 'Buk missile system': 4 s between launches</t>
        </is>
      </c>
      <c r="BG312" t="inlineStr">
        <is>
          <t>doi</t>
        </is>
      </c>
      <c r="BR312" t="n">
        <v>50</v>
      </c>
      <c r="BS312" t="n">
        <v>250</v>
      </c>
      <c r="CR312" t="n">
        <v>2</v>
      </c>
      <c r="CS312" t="n">
        <v>0.5</v>
      </c>
      <c r="DD312" t="n">
        <v>5.73</v>
      </c>
      <c r="DE312" t="n">
        <v>320</v>
      </c>
      <c r="DF312" t="inlineStr">
        <is>
          <t>Fragmentation</t>
        </is>
      </c>
      <c r="DJ312" t="inlineStr">
        <is>
          <t>aa_missile</t>
        </is>
      </c>
      <c r="DK312" t="n">
        <v>0.8</v>
      </c>
      <c r="DS312" t="inlineStr">
        <is>
          <t>Medium</t>
        </is>
      </c>
      <c r="EB312" t="n">
        <v>3</v>
      </c>
      <c r="EH312" t="inlineStr">
        <is>
          <t>Missile</t>
        </is>
      </c>
      <c r="EP312" t="n">
        <v>55</v>
      </c>
      <c r="EQ312" t="inlineStr">
        <is>
          <t>9M317 Buk</t>
        </is>
      </c>
      <c r="EX312" t="n">
        <v>70</v>
      </c>
      <c r="FW312" t="inlineStr">
        <is>
          <t>Air</t>
        </is>
      </c>
      <c r="FZ312" t="n">
        <v>70</v>
      </c>
      <c r="GA312" t="inlineStr">
        <is>
          <t>9m317_buk</t>
        </is>
      </c>
      <c r="GB312" t="inlineStr">
        <is>
          <t>sam_9m317_buk</t>
        </is>
      </c>
      <c r="GD312" t="inlineStr">
        <is>
          <t>Assets/MachineBrigade/Resources/Data/balance.json: weapons[29]</t>
        </is>
      </c>
      <c r="GE312" t="inlineStr">
        <is>
          <t>{"id":"sam_long","weaponFamilyId":"sam_9m317_buk","weaponFamily":"9m317_buk","real":"9M317 Buk","family":"aa_missile","size":70,"warheadKg":70,"pen":3,"damageType":"Fragmentation","damage":320,"cooldown":5.73,"range":55,"impactTier":"Medium","projectile":"Missile","targets":"Air","burst":2,"burstInterval":0.5,"flareResist":0.8}</t>
        </is>
      </c>
    </row>
    <row r="313">
      <c r="A313" t="inlineStr">
        <is>
          <t>sam_pac3</t>
        </is>
      </c>
      <c r="B313" t="inlineStr">
        <is>
          <t>Patriot PAC-3 MSE</t>
        </is>
      </c>
      <c r="C313" t="inlineStr">
        <is>
          <t>sam_patriot_pac_3_mse</t>
        </is>
      </c>
      <c r="D313" t="inlineStr"/>
      <c r="E313" t="inlineStr"/>
      <c r="F313" t="inlineStr">
        <is>
          <t>aa_missile</t>
        </is>
      </c>
      <c r="G313" t="inlineStr"/>
      <c r="H313" t="n">
        <v>7</v>
      </c>
      <c r="I313" t="inlineStr"/>
      <c r="J313" t="inlineStr"/>
      <c r="K313" t="inlineStr">
        <is>
          <t>Fragmentation</t>
        </is>
      </c>
      <c r="L313" t="n">
        <v>3</v>
      </c>
      <c r="M313" t="inlineStr">
        <is>
          <t>Missile</t>
        </is>
      </c>
      <c r="N313" t="n">
        <v>1</v>
      </c>
      <c r="O313" t="inlineStr">
        <is>
          <t>RIPPLE</t>
        </is>
      </c>
      <c r="P313" t="n">
        <v>2</v>
      </c>
      <c r="Q313" t="n">
        <v>0.45</v>
      </c>
      <c r="R313" t="n">
        <v>6.25</v>
      </c>
      <c r="S313" t="n">
        <v>0</v>
      </c>
      <c r="T313" t="n">
        <v>0</v>
      </c>
      <c r="U313" t="n">
        <v>0</v>
      </c>
      <c r="V313" t="n">
        <v>0</v>
      </c>
      <c r="W313" t="n">
        <v>360</v>
      </c>
      <c r="X313" t="n">
        <v>2.5</v>
      </c>
      <c r="Y313" t="n">
        <v>0</v>
      </c>
      <c r="Z313" t="n">
        <v>300</v>
      </c>
      <c r="AA313" t="n">
        <v>72</v>
      </c>
      <c r="AB313" t="n">
        <v>20</v>
      </c>
      <c r="AC313" t="inlineStr">
        <is>
          <t>Air</t>
        </is>
      </c>
      <c r="AD313" t="inlineStr">
        <is>
          <t>high</t>
        </is>
      </c>
      <c r="AE313" t="n">
        <v>0</v>
      </c>
      <c r="AF313" t="inlineStr">
        <is>
          <t>Large</t>
        </is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n">
        <v>100</v>
      </c>
      <c r="AO313" t="n">
        <v>0</v>
      </c>
      <c r="AP313" t="inlineStr">
        <is>
          <t>T2</t>
        </is>
      </c>
      <c r="AQ313" t="inlineStr">
        <is>
          <t>sam_battery</t>
        </is>
      </c>
      <c r="AR313" t="inlineStr"/>
      <c r="AS313" t="inlineStr">
        <is>
          <t>thap</t>
        </is>
      </c>
      <c r="AT313" t="inlineStr">
        <is>
          <t>missile_battery.pac3</t>
        </is>
      </c>
      <c r="AU313" t="n">
        <v>1</v>
      </c>
      <c r="AV313" t="inlineStr">
        <is>
          <t>missile_battery.pac3:0</t>
        </is>
      </c>
      <c r="AW313" t="n">
        <v>0</v>
      </c>
      <c r="AX313" t="b">
        <v>0</v>
      </c>
      <c r="AY313" t="inlineStr"/>
      <c r="AZ313">
        <f>IF(AND($AX$313,$AW$313&gt;$AA$313/$Z$313),$AW$313,$AA$313/$Z$313)</f>
        <v/>
      </c>
      <c r="BA313" t="n">
        <v>0.24</v>
      </c>
      <c r="BB313" t="n">
        <v>20</v>
      </c>
      <c r="BC313" t="n">
        <v>20</v>
      </c>
      <c r="BD313" t="inlineStr">
        <is>
          <t>missile</t>
        </is>
      </c>
      <c r="BE313" t="inlineStr">
        <is>
          <t>Wikipedia 'MIM-104 Patriot': ripples a few seconds apart (est. 3 s)</t>
        </is>
      </c>
      <c r="BG313" t="inlineStr">
        <is>
          <t>doi</t>
        </is>
      </c>
      <c r="BR313" t="n">
        <v>65</v>
      </c>
      <c r="BS313" t="n">
        <v>300</v>
      </c>
      <c r="CS313" t="n">
        <v>0.45</v>
      </c>
      <c r="DD313" t="n">
        <v>6.25</v>
      </c>
      <c r="DE313" t="n">
        <v>360</v>
      </c>
      <c r="DJ313" t="inlineStr">
        <is>
          <t>aa_missile</t>
        </is>
      </c>
      <c r="DL313" t="inlineStr">
        <is>
          <t>Loft</t>
        </is>
      </c>
      <c r="DT313" t="inlineStr">
        <is>
          <t>sam_battery</t>
        </is>
      </c>
      <c r="EB313" t="n">
        <v>3</v>
      </c>
      <c r="EK313" t="n">
        <v>300</v>
      </c>
      <c r="EP313" t="n">
        <v>72</v>
      </c>
      <c r="EQ313" t="inlineStr">
        <is>
          <t>Patriot PAC-3 MSE</t>
        </is>
      </c>
      <c r="EX313" t="n">
        <v>100</v>
      </c>
      <c r="FZ313" t="n">
        <v>7</v>
      </c>
      <c r="GA313" t="inlineStr"/>
      <c r="GB313" t="inlineStr">
        <is>
          <t>sam_patriot_pac_3_mse</t>
        </is>
      </c>
      <c r="GD313" t="inlineStr">
        <is>
          <t>Assets/MachineBrigade/Resources/Data/balance.json: weapons[125]</t>
        </is>
      </c>
      <c r="GE313" t="inlineStr">
        <is>
          <t>{"id":"sam_pac3","flightProfile":"Loft","weaponFamily":"","projectileSpeed":300,"real":"Patriot PAC-3 MSE","family":"aa_missile","size":100,"warheadKg":7,"pen":3,"inherits":"sam_battery","weaponFamilyId":"sam_patriot_pac_3_mse","burstInterval":0.45,"damage":360,"range":72,"cooldown":6.25}</t>
        </is>
      </c>
    </row>
    <row r="314">
      <c r="A314" t="inlineStr">
        <is>
          <t>sam_post</t>
        </is>
      </c>
      <c r="B314" t="inlineStr">
        <is>
          <t>9M317 Buk</t>
        </is>
      </c>
      <c r="C314" t="inlineStr">
        <is>
          <t>sam_9m317_buk</t>
        </is>
      </c>
      <c r="D314" t="inlineStr"/>
      <c r="E314" t="inlineStr"/>
      <c r="F314" t="inlineStr">
        <is>
          <t>aa_missile</t>
        </is>
      </c>
      <c r="G314" t="inlineStr"/>
      <c r="H314" t="n">
        <v>70</v>
      </c>
      <c r="I314" t="inlineStr"/>
      <c r="J314" t="inlineStr"/>
      <c r="K314" t="inlineStr">
        <is>
          <t>Fragmentation</t>
        </is>
      </c>
      <c r="L314" t="n">
        <v>3</v>
      </c>
      <c r="M314" t="inlineStr">
        <is>
          <t>Missile</t>
        </is>
      </c>
      <c r="N314" t="n">
        <v>1</v>
      </c>
      <c r="O314" t="inlineStr">
        <is>
          <t>RIPPLE</t>
        </is>
      </c>
      <c r="P314" t="n">
        <v>2</v>
      </c>
      <c r="Q314" t="n">
        <v>0.5</v>
      </c>
      <c r="R314" t="n">
        <v>3.9</v>
      </c>
      <c r="S314" t="n">
        <v>0</v>
      </c>
      <c r="T314" t="n">
        <v>0</v>
      </c>
      <c r="U314" t="n">
        <v>0</v>
      </c>
      <c r="V314" t="n">
        <v>0</v>
      </c>
      <c r="W314" t="n">
        <v>320</v>
      </c>
      <c r="X314" t="n">
        <v>2</v>
      </c>
      <c r="Y314" t="n">
        <v>0</v>
      </c>
      <c r="Z314" t="n">
        <v>80</v>
      </c>
      <c r="AA314" t="n">
        <v>60</v>
      </c>
      <c r="AB314" t="n">
        <v>0</v>
      </c>
      <c r="AC314" t="inlineStr">
        <is>
          <t>Air</t>
        </is>
      </c>
      <c r="AD314" t="inlineStr"/>
      <c r="AE314" t="n">
        <v>0</v>
      </c>
      <c r="AF314" t="inlineStr">
        <is>
          <t>Medium</t>
        </is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n">
        <v>70</v>
      </c>
      <c r="AO314" t="n">
        <v>0</v>
      </c>
      <c r="AP314" t="inlineStr">
        <is>
          <t>T2</t>
        </is>
      </c>
      <c r="AQ314" t="inlineStr">
        <is>
          <t>sam_long</t>
        </is>
      </c>
      <c r="AR314" t="inlineStr"/>
      <c r="AS314" t="inlineStr">
        <is>
          <t>boss;boss_part</t>
        </is>
      </c>
      <c r="AT314" t="inlineStr">
        <is>
          <t>kraken;leviathan;mobile_fortress;sam_medium;typhon</t>
        </is>
      </c>
      <c r="AU314" t="n">
        <v>5</v>
      </c>
      <c r="AV314" t="inlineStr">
        <is>
          <t>kraken:15;leviathan:15;mobile_fortress:8;sam_medium:part;typhon:0</t>
        </is>
      </c>
      <c r="AW314" t="n">
        <v>0</v>
      </c>
      <c r="AX314" t="b">
        <v>0</v>
      </c>
      <c r="AY314" t="inlineStr"/>
      <c r="AZ314">
        <f>IF(AND($AX$314,$AW$314&gt;$AA$314/$Z$314),$AW$314,$AA$314/$Z$314)</f>
        <v/>
      </c>
      <c r="BA314" t="n">
        <v>0.75</v>
      </c>
      <c r="BB314" t="n">
        <v>15</v>
      </c>
      <c r="BC314" t="n">
        <v>15</v>
      </c>
      <c r="BD314" t="inlineStr">
        <is>
          <t>missile</t>
        </is>
      </c>
      <c r="BE314" t="inlineStr">
        <is>
          <t>Wikipedia 'Buk missile system': 4 s between launches</t>
        </is>
      </c>
      <c r="BG314" t="inlineStr">
        <is>
          <t>doi</t>
        </is>
      </c>
      <c r="BR314" t="n">
        <v>50</v>
      </c>
      <c r="BS314" t="n">
        <v>80</v>
      </c>
      <c r="DD314" t="n">
        <v>3.9</v>
      </c>
      <c r="DJ314" t="inlineStr">
        <is>
          <t>aa_missile</t>
        </is>
      </c>
      <c r="DT314" t="inlineStr">
        <is>
          <t>sam_long</t>
        </is>
      </c>
      <c r="EB314" t="n">
        <v>3</v>
      </c>
      <c r="EK314" t="n">
        <v>80</v>
      </c>
      <c r="EP314" t="n">
        <v>60</v>
      </c>
      <c r="EQ314" t="inlineStr">
        <is>
          <t>9M317 Buk</t>
        </is>
      </c>
      <c r="EX314" t="n">
        <v>70</v>
      </c>
      <c r="FZ314" t="n">
        <v>70</v>
      </c>
      <c r="GA314" t="inlineStr"/>
      <c r="GD314" t="inlineStr">
        <is>
          <t>Assets/MachineBrigade/Resources/Data/balance.json: weapons[123]</t>
        </is>
      </c>
      <c r="GE314" t="inlineStr">
        <is>
          <t>{"id":"sam_post","weaponFamily":"","projectileSpeed":80,"cooldown":3.9,"real":"9M317 Buk","family":"aa_missile","size":70,"warheadKg":70,"pen":3,"inherits":"sam_long","range":60}</t>
        </is>
      </c>
    </row>
    <row r="315">
      <c r="A315" t="inlineStr">
        <is>
          <t>scout_rockets</t>
        </is>
      </c>
      <c r="B315" t="inlineStr">
        <is>
          <t>Hydra 70 mm</t>
        </is>
      </c>
      <c r="C315" t="inlineStr">
        <is>
          <t>rkt_70_80</t>
        </is>
      </c>
      <c r="D315" t="inlineStr"/>
      <c r="E315" t="inlineStr">
        <is>
          <t>hydra_70_mm</t>
        </is>
      </c>
      <c r="F315" t="inlineStr">
        <is>
          <t>rocket</t>
        </is>
      </c>
      <c r="G315" t="n">
        <v>70</v>
      </c>
      <c r="H315" t="inlineStr"/>
      <c r="I315" t="inlineStr"/>
      <c r="J315" t="inlineStr"/>
      <c r="K315" t="inlineStr">
        <is>
          <t>HighExplosive</t>
        </is>
      </c>
      <c r="L315" t="n">
        <v>2</v>
      </c>
      <c r="M315" t="inlineStr">
        <is>
          <t>Rocket</t>
        </is>
      </c>
      <c r="N315" t="n">
        <v>1</v>
      </c>
      <c r="O315" t="inlineStr">
        <is>
          <t>RIPPLE</t>
        </is>
      </c>
      <c r="P315" t="n">
        <v>12</v>
      </c>
      <c r="Q315" t="n">
        <v>0.11</v>
      </c>
      <c r="R315" t="n">
        <v>7.4</v>
      </c>
      <c r="S315" t="n">
        <v>0</v>
      </c>
      <c r="T315" t="n">
        <v>0</v>
      </c>
      <c r="U315" t="n">
        <v>0</v>
      </c>
      <c r="V315" t="n">
        <v>0</v>
      </c>
      <c r="W315" t="n">
        <v>30</v>
      </c>
      <c r="X315" t="n">
        <v>3</v>
      </c>
      <c r="Y315" t="n">
        <v>0</v>
      </c>
      <c r="Z315" t="n">
        <v>180</v>
      </c>
      <c r="AA315" t="n">
        <v>28</v>
      </c>
      <c r="AB315" t="n">
        <v>0</v>
      </c>
      <c r="AC315" t="inlineStr">
        <is>
          <t>Ground</t>
        </is>
      </c>
      <c r="AD315" t="inlineStr"/>
      <c r="AE315" t="n">
        <v>3</v>
      </c>
      <c r="AF315" t="inlineStr">
        <is>
          <t>Medium</t>
        </is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n">
        <v>70</v>
      </c>
      <c r="AO315" t="n">
        <v>6</v>
      </c>
      <c r="AP315" t="inlineStr">
        <is>
          <t>T2</t>
        </is>
      </c>
      <c r="AQ315" t="inlineStr"/>
      <c r="AR315" t="inlineStr"/>
      <c r="AS315" t="inlineStr">
        <is>
          <t>xe</t>
        </is>
      </c>
      <c r="AT315" t="inlineStr">
        <is>
          <t>scout_heli</t>
        </is>
      </c>
      <c r="AU315" t="n">
        <v>1</v>
      </c>
      <c r="AV315" t="inlineStr">
        <is>
          <t>scout_heli:1</t>
        </is>
      </c>
      <c r="AW315" t="n">
        <v>0</v>
      </c>
      <c r="AX315" t="b">
        <v>0</v>
      </c>
      <c r="AY315" t="inlineStr"/>
      <c r="AZ315">
        <f>IF(AND($AX$315,$AW$315&gt;$AA$315/$Z$315),$AW$315,$AA$315/$Z$315)</f>
        <v/>
      </c>
      <c r="BA315" t="n">
        <v>0.1555555555555556</v>
      </c>
      <c r="BB315" t="n">
        <v>900</v>
      </c>
      <c r="BC315" t="inlineStr"/>
      <c r="BD315" t="inlineStr">
        <is>
          <t>rocket</t>
        </is>
      </c>
      <c r="BE315" t="inlineStr">
        <is>
          <t>rocket pods: ripples of 0.05-0.12 s (DECISIONS 19R)</t>
        </is>
      </c>
      <c r="BG315" t="inlineStr">
        <is>
          <t>doi</t>
        </is>
      </c>
      <c r="BR315" t="n">
        <v>40</v>
      </c>
      <c r="BS315" t="n">
        <v>180</v>
      </c>
      <c r="CR315" t="n">
        <v>12</v>
      </c>
      <c r="CS315" t="n">
        <v>0.11</v>
      </c>
      <c r="CT315" t="n">
        <v>70</v>
      </c>
      <c r="DD315" t="n">
        <v>7.4</v>
      </c>
      <c r="DE315" t="n">
        <v>30</v>
      </c>
      <c r="DF315" t="inlineStr">
        <is>
          <t>HighExplosive</t>
        </is>
      </c>
      <c r="DJ315" t="inlineStr">
        <is>
          <t>rocket</t>
        </is>
      </c>
      <c r="DS315" t="inlineStr">
        <is>
          <t>Medium</t>
        </is>
      </c>
      <c r="DW315" t="n">
        <v>6</v>
      </c>
      <c r="EB315" t="n">
        <v>2</v>
      </c>
      <c r="EH315" t="inlineStr">
        <is>
          <t>Rocket</t>
        </is>
      </c>
      <c r="EJ315" t="n">
        <v>0.72</v>
      </c>
      <c r="EP315" t="n">
        <v>28</v>
      </c>
      <c r="EQ315" t="inlineStr">
        <is>
          <t>Hydra 70 mm</t>
        </is>
      </c>
      <c r="EX315" t="n">
        <v>70</v>
      </c>
      <c r="EZ315" t="n">
        <v>3</v>
      </c>
      <c r="GA315" t="inlineStr">
        <is>
          <t>hydra_70_mm</t>
        </is>
      </c>
      <c r="GB315" t="inlineStr">
        <is>
          <t>rkt_70_80</t>
        </is>
      </c>
      <c r="GD315" t="inlineStr">
        <is>
          <t>Assets/MachineBrigade/Resources/Data/balance.json: weapons[37]</t>
        </is>
      </c>
      <c r="GE315" t="inlineStr">
        <is>
          <t>{"id":"scout_rockets","weaponFamilyId":"rkt_70_80","weaponFamily":"hydra_70_mm","load":6,"real":"Hydra 70 mm","family":"rocket","size":70,"caliberMm":70,"pen":2,"projectileScale":0.72,"damageType":"HighExplosive","damage":30,"cooldown":7.4,"range":28,"spread":3,"impactTier":"Medium","projectile":"Rocket","burst":12,"burstInterval":0.11}</t>
        </is>
      </c>
    </row>
    <row r="316">
      <c r="A316" t="inlineStr">
        <is>
          <t>scylla_2m7</t>
        </is>
      </c>
      <c r="B316" t="inlineStr">
        <is>
          <t>2M-7 14.5 mm (twin HMG)</t>
        </is>
      </c>
      <c r="C316" t="inlineStr">
        <is>
          <t>cal_14_5</t>
        </is>
      </c>
      <c r="D316" t="inlineStr"/>
      <c r="E316" t="inlineStr"/>
      <c r="F316" t="inlineStr">
        <is>
          <t>mg</t>
        </is>
      </c>
      <c r="G316" t="n">
        <v>14.5</v>
      </c>
      <c r="H316" t="inlineStr"/>
      <c r="I316" t="inlineStr"/>
      <c r="J316" t="inlineStr"/>
      <c r="K316" t="inlineStr">
        <is>
          <t>Kinetic</t>
        </is>
      </c>
      <c r="L316" t="n">
        <v>1</v>
      </c>
      <c r="M316" t="inlineStr">
        <is>
          <t>Bullet</t>
        </is>
      </c>
      <c r="N316" t="n">
        <v>2</v>
      </c>
      <c r="O316" t="inlineStr">
        <is>
          <t>RIPPLE</t>
        </is>
      </c>
      <c r="P316" t="n">
        <v>1</v>
      </c>
      <c r="Q316" t="n">
        <v>0.1</v>
      </c>
      <c r="R316" t="n">
        <v>0.05</v>
      </c>
      <c r="S316" t="n">
        <v>40</v>
      </c>
      <c r="T316" t="n">
        <v>3</v>
      </c>
      <c r="U316" t="n">
        <v>0</v>
      </c>
      <c r="V316" t="n">
        <v>0</v>
      </c>
      <c r="W316" t="n">
        <v>11</v>
      </c>
      <c r="X316" t="n">
        <v>0</v>
      </c>
      <c r="Y316" t="n">
        <v>0</v>
      </c>
      <c r="Z316" t="n">
        <v>230</v>
      </c>
      <c r="AA316" t="n">
        <v>36</v>
      </c>
      <c r="AB316" t="n">
        <v>0</v>
      </c>
      <c r="AC316" t="inlineStr">
        <is>
          <t>Air</t>
        </is>
      </c>
      <c r="AD316" t="inlineStr"/>
      <c r="AE316" t="n">
        <v>1.3</v>
      </c>
      <c r="AF316" t="inlineStr">
        <is>
          <t>Small</t>
        </is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n">
        <v>14.5</v>
      </c>
      <c r="AO316" t="n">
        <v>0</v>
      </c>
      <c r="AP316" t="inlineStr">
        <is>
          <t>T0</t>
        </is>
      </c>
      <c r="AQ316" t="inlineStr">
        <is>
          <t>hmg_roof</t>
        </is>
      </c>
      <c r="AR316" t="inlineStr"/>
      <c r="AS316" t="inlineStr">
        <is>
          <t>boss</t>
        </is>
      </c>
      <c r="AT316" t="inlineStr">
        <is>
          <t>scylla</t>
        </is>
      </c>
      <c r="AU316" t="n">
        <v>1</v>
      </c>
      <c r="AV316" t="inlineStr">
        <is>
          <t>scylla:4;scylla:5</t>
        </is>
      </c>
      <c r="AW316" t="n">
        <v>0</v>
      </c>
      <c r="AX316" t="b">
        <v>0</v>
      </c>
      <c r="AY316" t="inlineStr">
        <is>
          <t>KHONG_AP_DUNG</t>
        </is>
      </c>
      <c r="AZ316">
        <f>IF(AND($AX$316,$AW$316&gt;$AA$316/$Z$316),$AW$316,$AA$316/$Z$316)</f>
        <v/>
      </c>
      <c r="BA316" t="n">
        <v>0.1565217391304348</v>
      </c>
      <c r="BB316" t="inlineStr">
        <is>
          <t>NEED_SOURCE</t>
        </is>
      </c>
      <c r="BC316" t="inlineStr">
        <is>
          <t>NEED_SOURCE</t>
        </is>
      </c>
      <c r="BE316" t="inlineStr">
        <is>
          <t>NEED_SOURCE</t>
        </is>
      </c>
      <c r="BG316" t="inlineStr">
        <is>
          <t>moi</t>
        </is>
      </c>
      <c r="CO316" t="n">
        <v>2</v>
      </c>
      <c r="CT316" t="n">
        <v>14.5</v>
      </c>
      <c r="CW316" t="n">
        <v>40</v>
      </c>
      <c r="CX316" t="n">
        <v>3</v>
      </c>
      <c r="DD316" t="n">
        <v>0.05</v>
      </c>
      <c r="DE316" t="n">
        <v>11</v>
      </c>
      <c r="DT316" t="inlineStr">
        <is>
          <t>hmg_roof</t>
        </is>
      </c>
      <c r="EP316" t="n">
        <v>36</v>
      </c>
      <c r="EQ316" t="inlineStr">
        <is>
          <t>2M-7 14.5 mm (twin HMG)</t>
        </is>
      </c>
      <c r="EX316" t="n">
        <v>14.5</v>
      </c>
      <c r="FW316" t="inlineStr">
        <is>
          <t>Air</t>
        </is>
      </c>
      <c r="GA316" t="inlineStr"/>
      <c r="GB316" t="inlineStr">
        <is>
          <t>cal_14_5</t>
        </is>
      </c>
      <c r="GD316" t="inlineStr">
        <is>
          <t>Assets/MachineBrigade/Resources/Data/balance.json: weapons[274]</t>
        </is>
      </c>
      <c r="GE316" t="inlineStr">
        <is>
          <t>{"id":"scylla_2m7","inherits":"hmg_roof","weaponFamily":"","weaponFamilyId":"cal_14_5","real":"2M-7 14.5 mm (twin HMG)","size":14.5,"caliberMm":14.5,"barrels":2,"damage":11,"cooldown":0.05,"range":36,"clip":40,"clipReload":3,"targets":"Air"}</t>
        </is>
      </c>
    </row>
    <row r="317">
      <c r="A317" t="inlineStr">
        <is>
          <t>scylla_ak230</t>
        </is>
      </c>
      <c r="B317" t="inlineStr">
        <is>
          <t>AK-230 30 mm (twin, enclosed)</t>
        </is>
      </c>
      <c r="C317" t="inlineStr">
        <is>
          <t>cal_30</t>
        </is>
      </c>
      <c r="D317" t="inlineStr"/>
      <c r="E317" t="inlineStr"/>
      <c r="F317" t="inlineStr">
        <is>
          <t>autocannon</t>
        </is>
      </c>
      <c r="G317" t="n">
        <v>30</v>
      </c>
      <c r="H317" t="inlineStr"/>
      <c r="I317" t="inlineStr"/>
      <c r="J317" t="inlineStr"/>
      <c r="K317" t="inlineStr">
        <is>
          <t>Fragmentation</t>
        </is>
      </c>
      <c r="L317" t="n">
        <v>1</v>
      </c>
      <c r="M317" t="inlineStr">
        <is>
          <t>Bullet</t>
        </is>
      </c>
      <c r="N317" t="n">
        <v>2</v>
      </c>
      <c r="O317" t="inlineStr">
        <is>
          <t>RIPPLE</t>
        </is>
      </c>
      <c r="P317" t="n">
        <v>1</v>
      </c>
      <c r="Q317" t="n">
        <v>0.1</v>
      </c>
      <c r="R317" t="n">
        <v>0.06</v>
      </c>
      <c r="S317" t="n">
        <v>24</v>
      </c>
      <c r="T317" t="n">
        <v>2.6</v>
      </c>
      <c r="U317" t="n">
        <v>0</v>
      </c>
      <c r="V317" t="n">
        <v>0</v>
      </c>
      <c r="W317" t="n">
        <v>20</v>
      </c>
      <c r="X317" t="n">
        <v>0</v>
      </c>
      <c r="Y317" t="n">
        <v>0</v>
      </c>
      <c r="Z317" t="n">
        <v>240</v>
      </c>
      <c r="AA317" t="n">
        <v>45</v>
      </c>
      <c r="AB317" t="n">
        <v>0</v>
      </c>
      <c r="AC317" t="inlineStr">
        <is>
          <t>Air</t>
        </is>
      </c>
      <c r="AD317" t="inlineStr"/>
      <c r="AE317" t="n">
        <v>1.2</v>
      </c>
      <c r="AF317" t="inlineStr">
        <is>
          <t>Small</t>
        </is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n">
        <v>30</v>
      </c>
      <c r="AO317" t="n">
        <v>0</v>
      </c>
      <c r="AP317" t="inlineStr">
        <is>
          <t>T1</t>
        </is>
      </c>
      <c r="AQ317" t="inlineStr">
        <is>
          <t>aa_25_triple</t>
        </is>
      </c>
      <c r="AR317" t="inlineStr"/>
      <c r="AS317" t="inlineStr">
        <is>
          <t>boss</t>
        </is>
      </c>
      <c r="AT317" t="inlineStr">
        <is>
          <t>scylla</t>
        </is>
      </c>
      <c r="AU317" t="n">
        <v>1</v>
      </c>
      <c r="AV317" t="inlineStr">
        <is>
          <t>scylla:2;scylla:3</t>
        </is>
      </c>
      <c r="AW317" t="n">
        <v>0</v>
      </c>
      <c r="AX317" t="b">
        <v>0</v>
      </c>
      <c r="AY317" t="inlineStr">
        <is>
          <t>KHONG_AP_DUNG</t>
        </is>
      </c>
      <c r="AZ317">
        <f>IF(AND($AX$317,$AW$317&gt;$AA$317/$Z$317),$AW$317,$AA$317/$Z$317)</f>
        <v/>
      </c>
      <c r="BA317" t="n">
        <v>0.1875</v>
      </c>
      <c r="BB317" t="inlineStr">
        <is>
          <t>NEED_SOURCE</t>
        </is>
      </c>
      <c r="BC317" t="inlineStr">
        <is>
          <t>NEED_SOURCE</t>
        </is>
      </c>
      <c r="BE317" t="inlineStr">
        <is>
          <t>NEED_SOURCE</t>
        </is>
      </c>
      <c r="BG317" t="inlineStr">
        <is>
          <t>moi</t>
        </is>
      </c>
      <c r="CO317" t="n">
        <v>2</v>
      </c>
      <c r="CT317" t="n">
        <v>30</v>
      </c>
      <c r="CW317" t="n">
        <v>24</v>
      </c>
      <c r="CX317" t="n">
        <v>2.6</v>
      </c>
      <c r="DD317" t="n">
        <v>0.06</v>
      </c>
      <c r="DE317" t="n">
        <v>20</v>
      </c>
      <c r="DT317" t="inlineStr">
        <is>
          <t>aa_25_triple</t>
        </is>
      </c>
      <c r="EP317" t="n">
        <v>45</v>
      </c>
      <c r="EQ317" t="inlineStr">
        <is>
          <t>AK-230 30 mm (twin, enclosed)</t>
        </is>
      </c>
      <c r="EX317" t="n">
        <v>30</v>
      </c>
      <c r="EZ317" t="n">
        <v>1.2</v>
      </c>
      <c r="FW317" t="inlineStr">
        <is>
          <t>Air</t>
        </is>
      </c>
      <c r="GB317" t="inlineStr">
        <is>
          <t>cal_30</t>
        </is>
      </c>
      <c r="GC317" t="inlineStr"/>
      <c r="GD317" t="inlineStr">
        <is>
          <t>Assets/MachineBrigade/Resources/Data/balance.json: weapons[273]</t>
        </is>
      </c>
      <c r="GE317" t="inlineStr">
        <is>
          <t>{"id":"scylla_ak230","inherits":"aa_25_triple","weaponFamilyId":"cal_30","weaponVariantId":"","real":"AK-230 30 mm (twin, enclosed)","size":30,"caliberMm":30,"barrels":2,"damage":20,"cooldown":0.06,"range":45,"spread":1.2,"clip":24,"clipReload":2.6,"targets":"Air"}</t>
        </is>
      </c>
    </row>
    <row r="318">
      <c r="A318" t="inlineStr">
        <is>
          <t>scylla_kh35</t>
        </is>
      </c>
      <c r="B318" t="inlineStr">
        <is>
          <t>Kh-35U Uran (quad canister bank)</t>
        </is>
      </c>
      <c r="C318" t="inlineStr">
        <is>
          <t>msl_nsm_p_800_oniks</t>
        </is>
      </c>
      <c r="D318" t="inlineStr"/>
      <c r="E318" t="inlineStr"/>
      <c r="F318" t="inlineStr">
        <is>
          <t>missile</t>
        </is>
      </c>
      <c r="G318" t="inlineStr"/>
      <c r="H318" t="n">
        <v>145</v>
      </c>
      <c r="I318" t="inlineStr"/>
      <c r="J318" t="inlineStr"/>
      <c r="K318" t="inlineStr">
        <is>
          <t>HighExplosive</t>
        </is>
      </c>
      <c r="L318" t="n">
        <v>4</v>
      </c>
      <c r="M318" t="inlineStr">
        <is>
          <t>Missile</t>
        </is>
      </c>
      <c r="N318" t="n">
        <v>1</v>
      </c>
      <c r="O318" t="inlineStr">
        <is>
          <t>RIPPLE</t>
        </is>
      </c>
      <c r="P318" t="n">
        <v>2</v>
      </c>
      <c r="Q318" t="n">
        <v>0.7</v>
      </c>
      <c r="R318" t="n">
        <v>22</v>
      </c>
      <c r="S318" t="n">
        <v>0</v>
      </c>
      <c r="T318" t="n">
        <v>0</v>
      </c>
      <c r="U318" t="n">
        <v>0</v>
      </c>
      <c r="V318" t="n">
        <v>0</v>
      </c>
      <c r="W318" t="n">
        <v>230</v>
      </c>
      <c r="X318" t="n">
        <v>6</v>
      </c>
      <c r="Y318" t="n">
        <v>0</v>
      </c>
      <c r="Z318" t="n">
        <v>70</v>
      </c>
      <c r="AA318" t="n">
        <v>110</v>
      </c>
      <c r="AB318" t="n">
        <v>0</v>
      </c>
      <c r="AC318" t="inlineStr">
        <is>
          <t>Ground</t>
        </is>
      </c>
      <c r="AD318" t="inlineStr"/>
      <c r="AE318" t="n">
        <v>0</v>
      </c>
      <c r="AF318" t="inlineStr">
        <is>
          <t>Large</t>
        </is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n">
        <v>500</v>
      </c>
      <c r="AO318" t="n">
        <v>0</v>
      </c>
      <c r="AP318" t="inlineStr">
        <is>
          <t>T4</t>
        </is>
      </c>
      <c r="AQ318" t="inlineStr">
        <is>
          <t>anti_ship_missile</t>
        </is>
      </c>
      <c r="AR318" t="inlineStr"/>
      <c r="AS318" t="inlineStr">
        <is>
          <t>boss</t>
        </is>
      </c>
      <c r="AT318" t="inlineStr">
        <is>
          <t>scylla</t>
        </is>
      </c>
      <c r="AU318" t="n">
        <v>1</v>
      </c>
      <c r="AV318" t="inlineStr">
        <is>
          <t>scylla:6;scylla:7</t>
        </is>
      </c>
      <c r="AW318" t="n">
        <v>2.5</v>
      </c>
      <c r="AX318" t="b">
        <v>0</v>
      </c>
      <c r="AY318" t="inlineStr"/>
      <c r="AZ318">
        <f>IF(AND($AX$318,$AW$318&gt;$AA$318/$Z$318),$AW$318,$AA$318/$Z$318)</f>
        <v/>
      </c>
      <c r="BA318" t="n">
        <v>1.571428571428571</v>
      </c>
      <c r="BB318" t="inlineStr">
        <is>
          <t>NEED_SOURCE</t>
        </is>
      </c>
      <c r="BC318" t="inlineStr">
        <is>
          <t>NEED_SOURCE</t>
        </is>
      </c>
      <c r="BE318" t="inlineStr">
        <is>
          <t>NEED_SOURCE</t>
        </is>
      </c>
      <c r="BG318" t="inlineStr">
        <is>
          <t>moi</t>
        </is>
      </c>
      <c r="CR318" t="n">
        <v>2</v>
      </c>
      <c r="CS318" t="n">
        <v>0.7</v>
      </c>
      <c r="DD318" t="n">
        <v>22</v>
      </c>
      <c r="DE318" t="n">
        <v>230</v>
      </c>
      <c r="DL318" t="inlineStr">
        <is>
          <t>Loft</t>
        </is>
      </c>
      <c r="DS318" t="inlineStr">
        <is>
          <t>Large</t>
        </is>
      </c>
      <c r="DT318" t="inlineStr">
        <is>
          <t>anti_ship_missile</t>
        </is>
      </c>
      <c r="EK318" t="n">
        <v>70</v>
      </c>
      <c r="EP318" t="n">
        <v>110</v>
      </c>
      <c r="EQ318" t="inlineStr">
        <is>
          <t>Kh-35U Uran (quad canister bank)</t>
        </is>
      </c>
      <c r="EX318" t="n">
        <v>500</v>
      </c>
      <c r="EY318" t="n">
        <v>6</v>
      </c>
      <c r="FZ318" t="n">
        <v>145</v>
      </c>
      <c r="GA318" t="inlineStr"/>
      <c r="GD318" t="inlineStr">
        <is>
          <t>Assets/MachineBrigade/Resources/Data/balance.json: weapons[275]</t>
        </is>
      </c>
      <c r="GE318" t="inlineStr">
        <is>
          <t>{"id":"scylla_kh35","inherits":"anti_ship_missile","weaponFamily":"","real":"Kh-35U Uran (quad canister bank)","size":500,"warheadKg":145,"flightProfile":"Loft","damage":230,"burst":2,"burstInterval":0.7,"cooldown":22,"range":110,"projectileSpeed":70,"splash":6,"impactTier":"Large"}</t>
        </is>
      </c>
    </row>
    <row r="319">
      <c r="A319" t="inlineStr">
        <is>
          <t>shahed</t>
        </is>
      </c>
      <c r="B319" t="inlineStr">
        <is>
          <t>Shahed-136 (50 kg)</t>
        </is>
      </c>
      <c r="C319" t="inlineStr">
        <is>
          <t>drone_shahed_136</t>
        </is>
      </c>
      <c r="D319" t="inlineStr"/>
      <c r="E319" t="inlineStr"/>
      <c r="F319" t="inlineStr">
        <is>
          <t>drone</t>
        </is>
      </c>
      <c r="G319" t="inlineStr"/>
      <c r="H319" t="n">
        <v>50</v>
      </c>
      <c r="I319" t="inlineStr"/>
      <c r="J319" t="inlineStr"/>
      <c r="K319" t="inlineStr">
        <is>
          <t>HighExplosive</t>
        </is>
      </c>
      <c r="L319" t="n">
        <v>3</v>
      </c>
      <c r="M319" t="inlineStr">
        <is>
          <t>Drone</t>
        </is>
      </c>
      <c r="N319" t="n">
        <v>1</v>
      </c>
      <c r="O319" t="inlineStr">
        <is>
          <t>RIPPLE</t>
        </is>
      </c>
      <c r="P319" t="n">
        <v>1</v>
      </c>
      <c r="Q319" t="n">
        <v>0.1</v>
      </c>
      <c r="R319" t="n">
        <v>8.5</v>
      </c>
      <c r="S319" t="n">
        <v>0</v>
      </c>
      <c r="T319" t="n">
        <v>0</v>
      </c>
      <c r="U319" t="n">
        <v>5</v>
      </c>
      <c r="V319" t="n">
        <v>8.5</v>
      </c>
      <c r="W319" t="n">
        <v>344</v>
      </c>
      <c r="X319" t="n">
        <v>4.5</v>
      </c>
      <c r="Y319" t="n">
        <v>0</v>
      </c>
      <c r="Z319" t="n">
        <v>20</v>
      </c>
      <c r="AA319" t="n">
        <v>150</v>
      </c>
      <c r="AB319" t="n">
        <v>20</v>
      </c>
      <c r="AC319" t="inlineStr">
        <is>
          <t>Ground</t>
        </is>
      </c>
      <c r="AD319" t="inlineStr"/>
      <c r="AE319" t="n">
        <v>0</v>
      </c>
      <c r="AF319" t="inlineStr">
        <is>
          <t>Huge</t>
        </is>
      </c>
      <c r="AG319" t="b">
        <v>1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n">
        <v>50</v>
      </c>
      <c r="AO319" t="n">
        <v>0</v>
      </c>
      <c r="AP319" t="inlineStr">
        <is>
          <t>T3</t>
        </is>
      </c>
      <c r="AQ319" t="inlineStr"/>
      <c r="AR319" t="inlineStr"/>
      <c r="AS319" t="inlineStr">
        <is>
          <t>xe</t>
        </is>
      </c>
      <c r="AT319" t="inlineStr">
        <is>
          <t>shahed_truck</t>
        </is>
      </c>
      <c r="AU319" t="n">
        <v>1</v>
      </c>
      <c r="AV319" t="inlineStr">
        <is>
          <t>shahed_truck:0</t>
        </is>
      </c>
      <c r="AW319" t="n">
        <v>0</v>
      </c>
      <c r="AX319" t="b">
        <v>0</v>
      </c>
      <c r="AY319" t="inlineStr"/>
      <c r="AZ319">
        <f>IF(AND($AX$319,$AW$319&gt;$AA$319/$Z$319),$AW$319,$AA$319/$Z$319)</f>
        <v/>
      </c>
      <c r="BA319" t="n">
        <v>7.5</v>
      </c>
      <c r="BB319" t="inlineStr">
        <is>
          <t>NEED_SOURCE</t>
        </is>
      </c>
      <c r="BC319" t="inlineStr">
        <is>
          <t>NEED_SOURCE</t>
        </is>
      </c>
      <c r="BE319" t="inlineStr">
        <is>
          <t>NEED_SOURCE</t>
        </is>
      </c>
      <c r="BG319" t="inlineStr">
        <is>
          <t>giong</t>
        </is>
      </c>
      <c r="CN319" t="n">
        <v>5</v>
      </c>
      <c r="DD319" t="n">
        <v>8.5</v>
      </c>
      <c r="DE319" t="n">
        <v>344</v>
      </c>
      <c r="DF319" t="inlineStr">
        <is>
          <t>HighExplosive</t>
        </is>
      </c>
      <c r="DJ319" t="inlineStr">
        <is>
          <t>drone</t>
        </is>
      </c>
      <c r="DS319" t="inlineStr">
        <is>
          <t>Huge</t>
        </is>
      </c>
      <c r="DZ319" t="n">
        <v>20</v>
      </c>
      <c r="EB319" t="n">
        <v>3</v>
      </c>
      <c r="EH319" t="inlineStr">
        <is>
          <t>Drone</t>
        </is>
      </c>
      <c r="EI319" t="inlineStr">
        <is>
          <t>shahed</t>
        </is>
      </c>
      <c r="EK319" t="n">
        <v>20</v>
      </c>
      <c r="EP319" t="n">
        <v>150</v>
      </c>
      <c r="EQ319" t="inlineStr">
        <is>
          <t>Shahed-136 (50 kg)</t>
        </is>
      </c>
      <c r="ER319" t="n">
        <v>8.5</v>
      </c>
      <c r="EX319" t="n">
        <v>50</v>
      </c>
      <c r="EY319" t="n">
        <v>4.5</v>
      </c>
      <c r="FY319" t="b">
        <v>1</v>
      </c>
      <c r="FZ319" t="n">
        <v>50</v>
      </c>
      <c r="GB319" t="inlineStr">
        <is>
          <t>drone_shahed_136</t>
        </is>
      </c>
      <c r="GD319" t="inlineStr">
        <is>
          <t>Assets/MachineBrigade/Resources/Data/balance.json: weapons[75]</t>
        </is>
      </c>
      <c r="GE319" t="inlineStr">
        <is>
          <t>{"id":"shahed","weaponFamilyId":"drone_shahed_136","real":"Shahed-136 (50 kg)","family":"drone","size":50,"warheadKg":50,"pen":3,"topAttack":true,"projectileModel":"shahed","damageType":"HighExplosive","damage":344,"cooldown":8.5,"range":150,"minRange":20,"projectileSpeed":20,"splash":4.5,"impactTier":"Huge","projectile":"Drone","ammo":5,"reload":8.5}</t>
        </is>
      </c>
    </row>
    <row r="320">
      <c r="A320" t="inlineStr">
        <is>
          <t>siege_gun_105</t>
        </is>
      </c>
      <c r="B320" t="inlineStr">
        <is>
          <t>L7 105 mm (siege tank)</t>
        </is>
      </c>
      <c r="C320" t="inlineStr">
        <is>
          <t>cal_100_105_ap</t>
        </is>
      </c>
      <c r="D320" t="inlineStr"/>
      <c r="E320" t="inlineStr">
        <is>
          <t>l7_105_mm</t>
        </is>
      </c>
      <c r="F320" t="inlineStr">
        <is>
          <t>tank_gun</t>
        </is>
      </c>
      <c r="G320" t="n">
        <v>105</v>
      </c>
      <c r="H320" t="inlineStr"/>
      <c r="I320" t="inlineStr"/>
      <c r="J320" t="inlineStr"/>
      <c r="K320" t="inlineStr">
        <is>
          <t>Kinetic</t>
        </is>
      </c>
      <c r="L320" t="n">
        <v>3</v>
      </c>
      <c r="M320" t="inlineStr">
        <is>
          <t>Shell</t>
        </is>
      </c>
      <c r="N320" t="n">
        <v>1</v>
      </c>
      <c r="O320" t="inlineStr">
        <is>
          <t>RIPPLE</t>
        </is>
      </c>
      <c r="P320" t="n">
        <v>1</v>
      </c>
      <c r="Q320" t="n">
        <v>0.1</v>
      </c>
      <c r="R320" t="n">
        <v>6.571</v>
      </c>
      <c r="S320" t="n">
        <v>0</v>
      </c>
      <c r="T320" t="n">
        <v>0</v>
      </c>
      <c r="U320" t="n">
        <v>0</v>
      </c>
      <c r="V320" t="n">
        <v>0</v>
      </c>
      <c r="W320" t="n">
        <v>303</v>
      </c>
      <c r="X320" t="n">
        <v>1.5</v>
      </c>
      <c r="Y320" t="n">
        <v>0</v>
      </c>
      <c r="Z320" t="n">
        <v>190</v>
      </c>
      <c r="AA320" t="n">
        <v>34</v>
      </c>
      <c r="AB320" t="n">
        <v>0</v>
      </c>
      <c r="AC320" t="inlineStr">
        <is>
          <t>Ground</t>
        </is>
      </c>
      <c r="AD320" t="inlineStr"/>
      <c r="AE320" t="n">
        <v>0.6</v>
      </c>
      <c r="AF320" t="inlineStr">
        <is>
          <t>Medium</t>
        </is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n">
        <v>105</v>
      </c>
      <c r="AO320" t="n">
        <v>0</v>
      </c>
      <c r="AP320" t="inlineStr">
        <is>
          <t>T2</t>
        </is>
      </c>
      <c r="AQ320" t="inlineStr">
        <is>
          <t>gun_105_bunker</t>
        </is>
      </c>
      <c r="AR320" t="inlineStr">
        <is>
          <t>siege_gun_105_he</t>
        </is>
      </c>
      <c r="AS320" t="inlineStr">
        <is>
          <t>xe</t>
        </is>
      </c>
      <c r="AT320" t="inlineStr">
        <is>
          <t>siege_tank</t>
        </is>
      </c>
      <c r="AU320" t="n">
        <v>1</v>
      </c>
      <c r="AV320" t="inlineStr">
        <is>
          <t>siege_tank:1</t>
        </is>
      </c>
      <c r="AW320" t="n">
        <v>0</v>
      </c>
      <c r="AX320" t="b">
        <v>0</v>
      </c>
      <c r="AY320" t="inlineStr"/>
      <c r="AZ320">
        <f>IF(AND($AX$320,$AW$320&gt;$AA$320/$Z$320),$AW$320,$AA$320/$Z$320)</f>
        <v/>
      </c>
      <c r="BA320" t="n">
        <v>0.1789473684210526</v>
      </c>
      <c r="BB320" t="n">
        <v>10</v>
      </c>
      <c r="BC320" t="n">
        <v>6</v>
      </c>
      <c r="BD320" t="inlineStr">
        <is>
          <t>gun</t>
        </is>
      </c>
      <c r="BE320" t="inlineStr">
        <is>
          <t>Wikipedia 'Royal Ordnance L7': 6-10 rpm</t>
        </is>
      </c>
      <c r="BG320" t="inlineStr">
        <is>
          <t>doi</t>
        </is>
      </c>
      <c r="BH320" t="n">
        <v>212</v>
      </c>
      <c r="BI320" t="n">
        <v>303</v>
      </c>
      <c r="BJ320" t="n">
        <v>4.6</v>
      </c>
      <c r="BK320" t="n">
        <v>6.571</v>
      </c>
      <c r="CT320" t="n">
        <v>105</v>
      </c>
      <c r="DD320" t="n">
        <v>6.571</v>
      </c>
      <c r="DE320" t="n">
        <v>303</v>
      </c>
      <c r="DJ320" t="inlineStr">
        <is>
          <t>tank_gun</t>
        </is>
      </c>
      <c r="DT320" t="inlineStr">
        <is>
          <t>gun_105_bunker</t>
        </is>
      </c>
      <c r="EB320" t="n">
        <v>3</v>
      </c>
      <c r="EP320" t="n">
        <v>34</v>
      </c>
      <c r="EQ320" t="inlineStr">
        <is>
          <t>L7 105 mm (siege tank)</t>
        </is>
      </c>
      <c r="EX320" t="n">
        <v>105</v>
      </c>
      <c r="GA320" t="inlineStr">
        <is>
          <t>l7_105_mm</t>
        </is>
      </c>
      <c r="GD320" t="inlineStr">
        <is>
          <t>Assets/MachineBrigade/Resources/Data/balance.json: weapons[56]</t>
        </is>
      </c>
      <c r="GE320" t="inlineStr">
        <is>
          <t>{"id":"siege_gun_105","weaponFamily":"l7_105_mm","damage":303,"real":"L7 105 mm (siege tank)","family":"tank_gun","size":105,"caliberMm":105,"pen":3,"inherits":"gun_105_bunker","range":34,"cooldown":6.571}</t>
        </is>
      </c>
    </row>
    <row r="321">
      <c r="A321" t="inlineStr">
        <is>
          <t>siege_gun_105_he</t>
        </is>
      </c>
      <c r="B321" t="inlineStr">
        <is>
          <t>L7 105 mm HE (siege tank)</t>
        </is>
      </c>
      <c r="C321" t="inlineStr">
        <is>
          <t>cal_100_105_he</t>
        </is>
      </c>
      <c r="D321" t="inlineStr"/>
      <c r="E321" t="inlineStr">
        <is>
          <t>l7_105_mm_he</t>
        </is>
      </c>
      <c r="F321" t="inlineStr">
        <is>
          <t>tank_gun</t>
        </is>
      </c>
      <c r="G321" t="n">
        <v>105</v>
      </c>
      <c r="H321" t="inlineStr"/>
      <c r="I321" t="inlineStr"/>
      <c r="J321" t="inlineStr"/>
      <c r="K321" t="inlineStr">
        <is>
          <t>HighExplosive</t>
        </is>
      </c>
      <c r="L321" t="n">
        <v>2</v>
      </c>
      <c r="M321" t="inlineStr">
        <is>
          <t>Shell</t>
        </is>
      </c>
      <c r="N321" t="n">
        <v>1</v>
      </c>
      <c r="O321" t="inlineStr">
        <is>
          <t>RIPPLE</t>
        </is>
      </c>
      <c r="P321" t="n">
        <v>1</v>
      </c>
      <c r="Q321" t="n">
        <v>0.1</v>
      </c>
      <c r="R321" t="n">
        <v>6.571</v>
      </c>
      <c r="S321" t="n">
        <v>0</v>
      </c>
      <c r="T321" t="n">
        <v>0</v>
      </c>
      <c r="U321" t="n">
        <v>0</v>
      </c>
      <c r="V321" t="n">
        <v>0</v>
      </c>
      <c r="W321" t="n">
        <v>303</v>
      </c>
      <c r="X321" t="n">
        <v>3</v>
      </c>
      <c r="Y321" t="n">
        <v>0</v>
      </c>
      <c r="Z321" t="n">
        <v>190</v>
      </c>
      <c r="AA321" t="n">
        <v>34</v>
      </c>
      <c r="AB321" t="n">
        <v>0</v>
      </c>
      <c r="AC321" t="inlineStr">
        <is>
          <t>Ground</t>
        </is>
      </c>
      <c r="AD321" t="inlineStr"/>
      <c r="AE321" t="n">
        <v>0.6</v>
      </c>
      <c r="AF321" t="inlineStr">
        <is>
          <t>Large</t>
        </is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n">
        <v>105</v>
      </c>
      <c r="AO321" t="n">
        <v>0</v>
      </c>
      <c r="AP321" t="inlineStr">
        <is>
          <t>T2</t>
        </is>
      </c>
      <c r="AQ321" t="inlineStr">
        <is>
          <t>siege_gun_105</t>
        </is>
      </c>
      <c r="AR321" t="inlineStr"/>
      <c r="AS321" t="inlineStr"/>
      <c r="AT321" t="inlineStr"/>
      <c r="AU321" t="n">
        <v>0</v>
      </c>
      <c r="AV321" t="inlineStr"/>
      <c r="AW321" t="n">
        <v>0</v>
      </c>
      <c r="AX321" t="b">
        <v>0</v>
      </c>
      <c r="AY321" t="inlineStr"/>
      <c r="AZ321">
        <f>IF(AND($AX$321,$AW$321&gt;$AA$321/$Z$321),$AW$321,$AA$321/$Z$321)</f>
        <v/>
      </c>
      <c r="BA321" t="n">
        <v>0.1789473684210526</v>
      </c>
      <c r="BB321" t="n">
        <v>10</v>
      </c>
      <c r="BC321" t="n">
        <v>6</v>
      </c>
      <c r="BD321" t="inlineStr">
        <is>
          <t>gun</t>
        </is>
      </c>
      <c r="BE321" t="inlineStr">
        <is>
          <t>Wikipedia 'Royal Ordnance L7': 6-10 rpm</t>
        </is>
      </c>
      <c r="BG321" t="inlineStr">
        <is>
          <t>doi</t>
        </is>
      </c>
      <c r="BH321" t="n">
        <v>212</v>
      </c>
      <c r="BI321" t="n">
        <v>303</v>
      </c>
      <c r="BJ321" t="n">
        <v>4.6</v>
      </c>
      <c r="BK321" t="n">
        <v>6.571</v>
      </c>
      <c r="DE321" t="n">
        <v>303</v>
      </c>
      <c r="DF321" t="inlineStr">
        <is>
          <t>HighExplosive</t>
        </is>
      </c>
      <c r="DM321" t="inlineStr">
        <is>
          <t>light;structure</t>
        </is>
      </c>
      <c r="DN321" t="inlineStr">
        <is>
          <t>HeShell</t>
        </is>
      </c>
      <c r="DS321" t="inlineStr">
        <is>
          <t>Large</t>
        </is>
      </c>
      <c r="DT321" t="inlineStr">
        <is>
          <t>siege_gun_105</t>
        </is>
      </c>
      <c r="EB321" t="n">
        <v>2</v>
      </c>
      <c r="EE321" t="b">
        <v>0</v>
      </c>
      <c r="EQ321" t="inlineStr">
        <is>
          <t>L7 105 mm HE (siege tank)</t>
        </is>
      </c>
      <c r="ES321" t="inlineStr">
        <is>
          <t>he</t>
        </is>
      </c>
      <c r="EU321" t="inlineStr">
        <is>
          <t>siege_gun_105</t>
        </is>
      </c>
      <c r="EY321" t="n">
        <v>3</v>
      </c>
      <c r="FW321" t="inlineStr">
        <is>
          <t>Ground</t>
        </is>
      </c>
      <c r="GA321" t="inlineStr">
        <is>
          <t>l7_105_mm_he</t>
        </is>
      </c>
      <c r="GB321" t="inlineStr">
        <is>
          <t>cal_100_105_he</t>
        </is>
      </c>
      <c r="GD321" t="inlineStr">
        <is>
          <t>Assets/MachineBrigade/Resources/Data/balance.json: secondRounds.rounds[55]</t>
        </is>
      </c>
      <c r="GE321" t="inlineStr">
        <is>
          <t>{"id":"siege_gun_105_he","roundOf":"siege_gun_105","inherits":"siege_gun_105","weaponFamilyId":"cal_100_105_he","weaponFamily":"l7_105_mm_he","round":"he","for":["light","structure"],"real":"L7 105 mm HE (siege tank)","damageType":"HighExplosive","pen":2,"damage":303,"splash":3,"form":"HeShell","piercing":false,"targets":"Ground","impactTier":"Large"}</t>
        </is>
      </c>
    </row>
    <row r="322">
      <c r="A322" t="inlineStr">
        <is>
          <t>siege_mortar_240</t>
        </is>
      </c>
      <c r="B322" t="inlineStr">
        <is>
          <t>2B8 240 mm (siege tank)</t>
        </is>
      </c>
      <c r="C322" t="inlineStr">
        <is>
          <t>cal_240</t>
        </is>
      </c>
      <c r="D322" t="inlineStr"/>
      <c r="E322" t="inlineStr">
        <is>
          <t>2b8_240_mm</t>
        </is>
      </c>
      <c r="F322" t="inlineStr">
        <is>
          <t>mortar</t>
        </is>
      </c>
      <c r="G322" t="n">
        <v>240</v>
      </c>
      <c r="H322" t="inlineStr"/>
      <c r="I322" t="inlineStr"/>
      <c r="J322" t="inlineStr"/>
      <c r="K322" t="inlineStr">
        <is>
          <t>HighExplosive</t>
        </is>
      </c>
      <c r="L322" t="n">
        <v>4</v>
      </c>
      <c r="M322" t="inlineStr">
        <is>
          <t>Shell</t>
        </is>
      </c>
      <c r="N322" t="n">
        <v>1</v>
      </c>
      <c r="O322" t="inlineStr">
        <is>
          <t>RIPPLE</t>
        </is>
      </c>
      <c r="P322" t="n">
        <v>1</v>
      </c>
      <c r="Q322" t="n">
        <v>0.1</v>
      </c>
      <c r="R322" t="n">
        <v>10.884</v>
      </c>
      <c r="S322" t="n">
        <v>0</v>
      </c>
      <c r="T322" t="n">
        <v>0</v>
      </c>
      <c r="U322" t="n">
        <v>10</v>
      </c>
      <c r="V322" t="n">
        <v>28.57</v>
      </c>
      <c r="W322" t="n">
        <v>643</v>
      </c>
      <c r="X322" t="n">
        <v>9</v>
      </c>
      <c r="Y322" t="n">
        <v>0</v>
      </c>
      <c r="Z322" t="n">
        <v>60</v>
      </c>
      <c r="AA322" t="n">
        <v>70</v>
      </c>
      <c r="AB322" t="n">
        <v>16</v>
      </c>
      <c r="AC322" t="inlineStr">
        <is>
          <t>Ground</t>
        </is>
      </c>
      <c r="AD322" t="inlineStr"/>
      <c r="AE322" t="n">
        <v>5</v>
      </c>
      <c r="AF322" t="inlineStr">
        <is>
          <t>Ultimate</t>
        </is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n">
        <v>240</v>
      </c>
      <c r="AO322" t="n">
        <v>0</v>
      </c>
      <c r="AP322" t="inlineStr">
        <is>
          <t>T4</t>
        </is>
      </c>
      <c r="AQ322" t="inlineStr">
        <is>
          <t>mortar_240</t>
        </is>
      </c>
      <c r="AR322" t="inlineStr"/>
      <c r="AS322" t="inlineStr">
        <is>
          <t>xe</t>
        </is>
      </c>
      <c r="AT322" t="inlineStr">
        <is>
          <t>siege_tank</t>
        </is>
      </c>
      <c r="AU322" t="n">
        <v>1</v>
      </c>
      <c r="AV322" t="inlineStr">
        <is>
          <t>siege_tank:0</t>
        </is>
      </c>
      <c r="AW322" t="n">
        <v>2.5</v>
      </c>
      <c r="AX322" t="b">
        <v>1</v>
      </c>
      <c r="AY322" t="inlineStr"/>
      <c r="AZ322">
        <f>IF(AND($AX$322,$AW$322&gt;$AA$322/$Z$322),$AW$322,$AA$322/$Z$322)</f>
        <v/>
      </c>
      <c r="BA322" t="n">
        <v>2.5</v>
      </c>
      <c r="BB322" t="n">
        <v>1</v>
      </c>
      <c r="BC322" t="n">
        <v>1</v>
      </c>
      <c r="BD322" t="inlineStr">
        <is>
          <t>gun</t>
        </is>
      </c>
      <c r="BE322" t="inlineStr">
        <is>
          <t>Wikipedia '2S4 Tyulpan': ~1 rpm</t>
        </is>
      </c>
      <c r="BG322" t="inlineStr">
        <is>
          <t>doi</t>
        </is>
      </c>
      <c r="BH322" t="n">
        <v>450</v>
      </c>
      <c r="BI322" t="n">
        <v>643</v>
      </c>
      <c r="BJ322" t="n">
        <v>7.619</v>
      </c>
      <c r="BK322" t="n">
        <v>10.884</v>
      </c>
      <c r="BR322" t="n">
        <v>38</v>
      </c>
      <c r="BS322" t="n">
        <v>60</v>
      </c>
      <c r="CN322" t="n">
        <v>10</v>
      </c>
      <c r="CT322" t="n">
        <v>240</v>
      </c>
      <c r="DD322" t="n">
        <v>10.884</v>
      </c>
      <c r="DE322" t="n">
        <v>643</v>
      </c>
      <c r="DJ322" t="inlineStr">
        <is>
          <t>mortar</t>
        </is>
      </c>
      <c r="DT322" t="inlineStr">
        <is>
          <t>mortar_240</t>
        </is>
      </c>
      <c r="DZ322" t="n">
        <v>16</v>
      </c>
      <c r="EB322" t="n">
        <v>4</v>
      </c>
      <c r="EP322" t="n">
        <v>70</v>
      </c>
      <c r="EQ322" t="inlineStr">
        <is>
          <t>2B8 240 mm (siege tank)</t>
        </is>
      </c>
      <c r="ER322" t="n">
        <v>28.57</v>
      </c>
      <c r="EX322" t="n">
        <v>240</v>
      </c>
      <c r="GA322" t="inlineStr">
        <is>
          <t>2b8_240_mm</t>
        </is>
      </c>
      <c r="GD322" t="inlineStr">
        <is>
          <t>Assets/MachineBrigade/Resources/Data/balance.json: weapons[57]</t>
        </is>
      </c>
      <c r="GE322" t="inlineStr">
        <is>
          <t>{"id":"siege_mortar_240","weaponFamily":"2b8_240_mm","real":"2B8 240 mm (siege tank)","family":"mortar","size":240,"caliberMm":240,"pen":4,"inherits":"mortar_240","range":70,"minRange":16,"cooldown":10.884,"damage":643,"ammo":10,"reload":28.57,"bonuses":[{"armor":"Structure","mult":2}]}</t>
        </is>
      </c>
    </row>
    <row r="323">
      <c r="A323" t="inlineStr">
        <is>
          <t>spg9_73mm</t>
        </is>
      </c>
      <c r="B323" t="inlineStr">
        <is>
          <t>SPG-9 Kopyo 73 mm</t>
        </is>
      </c>
      <c r="C323" t="inlineStr">
        <is>
          <t>rcl_73</t>
        </is>
      </c>
      <c r="D323" t="inlineStr"/>
      <c r="E323" t="inlineStr"/>
      <c r="F323" t="inlineStr">
        <is>
          <t>recoilless</t>
        </is>
      </c>
      <c r="G323" t="n">
        <v>73</v>
      </c>
      <c r="H323" t="inlineStr"/>
      <c r="I323" t="inlineStr"/>
      <c r="J323" t="inlineStr"/>
      <c r="K323" t="inlineStr">
        <is>
          <t>ShapedCharge</t>
        </is>
      </c>
      <c r="L323" t="n">
        <v>3</v>
      </c>
      <c r="M323" t="inlineStr">
        <is>
          <t>Shell</t>
        </is>
      </c>
      <c r="N323" t="n">
        <v>1</v>
      </c>
      <c r="O323" t="inlineStr">
        <is>
          <t>RIPPLE</t>
        </is>
      </c>
      <c r="P323" t="n">
        <v>1</v>
      </c>
      <c r="Q323" t="n">
        <v>0.1</v>
      </c>
      <c r="R323" t="n">
        <v>9.529</v>
      </c>
      <c r="S323" t="n">
        <v>0</v>
      </c>
      <c r="T323" t="n">
        <v>0</v>
      </c>
      <c r="U323" t="n">
        <v>0</v>
      </c>
      <c r="V323" t="n">
        <v>0</v>
      </c>
      <c r="W323" t="n">
        <v>257</v>
      </c>
      <c r="X323" t="n">
        <v>0</v>
      </c>
      <c r="Y323" t="n">
        <v>0</v>
      </c>
      <c r="Z323" t="n">
        <v>120</v>
      </c>
      <c r="AA323" t="n">
        <v>28</v>
      </c>
      <c r="AB323" t="n">
        <v>0</v>
      </c>
      <c r="AC323" t="inlineStr">
        <is>
          <t>All</t>
        </is>
      </c>
      <c r="AD323" t="inlineStr"/>
      <c r="AE323" t="n">
        <v>1.5</v>
      </c>
      <c r="AF323" t="inlineStr">
        <is>
          <t>Medium</t>
        </is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n">
        <v>73</v>
      </c>
      <c r="AO323" t="n">
        <v>0</v>
      </c>
      <c r="AP323" t="inlineStr">
        <is>
          <t>T2</t>
        </is>
      </c>
      <c r="AQ323" t="inlineStr"/>
      <c r="AR323" t="inlineStr"/>
      <c r="AS323" t="inlineStr">
        <is>
          <t>thap</t>
        </is>
      </c>
      <c r="AT323" t="inlineStr">
        <is>
          <t>recoilless_gun_tower</t>
        </is>
      </c>
      <c r="AU323" t="n">
        <v>1</v>
      </c>
      <c r="AV323" t="inlineStr">
        <is>
          <t>recoilless_gun_tower:0</t>
        </is>
      </c>
      <c r="AW323" t="n">
        <v>0</v>
      </c>
      <c r="AX323" t="b">
        <v>0</v>
      </c>
      <c r="AY323" t="inlineStr"/>
      <c r="AZ323">
        <f>IF(AND($AX$323,$AW$323&gt;$AA$323/$Z$323),$AW$323,$AA$323/$Z$323)</f>
        <v/>
      </c>
      <c r="BA323" t="n">
        <v>0.2333333333333333</v>
      </c>
      <c r="BB323" t="n">
        <v>6</v>
      </c>
      <c r="BC323" t="n">
        <v>4</v>
      </c>
      <c r="BD323" t="inlineStr">
        <is>
          <t>gun</t>
        </is>
      </c>
      <c r="BE323" t="inlineStr">
        <is>
          <t>Wikipedia 'SPG-9': 5-6 rpm</t>
        </is>
      </c>
      <c r="BG323" t="inlineStr">
        <is>
          <t>doi</t>
        </is>
      </c>
      <c r="BH323" t="n">
        <v>180</v>
      </c>
      <c r="BI323" t="n">
        <v>257</v>
      </c>
      <c r="BJ323" t="n">
        <v>6.67</v>
      </c>
      <c r="BK323" t="n">
        <v>9.529</v>
      </c>
      <c r="CT323" t="n">
        <v>73</v>
      </c>
      <c r="DD323" t="n">
        <v>9.529</v>
      </c>
      <c r="DE323" t="n">
        <v>257</v>
      </c>
      <c r="DF323" t="inlineStr">
        <is>
          <t>ShapedCharge</t>
        </is>
      </c>
      <c r="DJ323" t="inlineStr">
        <is>
          <t>recoilless</t>
        </is>
      </c>
      <c r="DS323" t="inlineStr">
        <is>
          <t>Medium</t>
        </is>
      </c>
      <c r="EB323" t="n">
        <v>3</v>
      </c>
      <c r="EH323" t="inlineStr">
        <is>
          <t>Shell</t>
        </is>
      </c>
      <c r="EK323" t="n">
        <v>120</v>
      </c>
      <c r="EP323" t="n">
        <v>28</v>
      </c>
      <c r="EQ323" t="inlineStr">
        <is>
          <t>SPG-9 Kopyo 73 mm</t>
        </is>
      </c>
      <c r="EX323" t="n">
        <v>73</v>
      </c>
      <c r="EZ323" t="n">
        <v>1.5</v>
      </c>
      <c r="FW323" t="inlineStr">
        <is>
          <t>All</t>
        </is>
      </c>
      <c r="GB323" t="inlineStr">
        <is>
          <t>rcl_73</t>
        </is>
      </c>
      <c r="GD323" t="inlineStr">
        <is>
          <t>Assets/MachineBrigade/Resources/Data/balance.json: weapons[286]</t>
        </is>
      </c>
      <c r="GE323" t="inlineStr">
        <is>
          <t>{"id":"spg9_73mm","weaponFamilyId":"rcl_73","real":"SPG-9 Kopyo 73 mm","family":"recoilless","size":73,"caliberMm":73,"pen":3,"damageType":"ShapedCharge","damage":257,"cooldown":9.529,"range":28,"projectileSpeed":120,"spread":1.5,"impactTier":"Medium","projectile":"Shell","targets":"All"}</t>
        </is>
      </c>
    </row>
    <row r="324">
      <c r="A324" t="inlineStr">
        <is>
          <t>stealth_payload</t>
        </is>
      </c>
      <c r="B324" t="inlineStr">
        <is>
          <t>GBU-31 JDAM (907 kg)</t>
        </is>
      </c>
      <c r="C324" t="inlineStr">
        <is>
          <t>bomb_gbu_31_jdam</t>
        </is>
      </c>
      <c r="D324" t="inlineStr"/>
      <c r="E324" t="inlineStr"/>
      <c r="F324" t="inlineStr">
        <is>
          <t>bomb</t>
        </is>
      </c>
      <c r="G324" t="inlineStr"/>
      <c r="H324" t="n">
        <v>907</v>
      </c>
      <c r="I324" t="inlineStr"/>
      <c r="J324" t="inlineStr"/>
      <c r="K324" t="inlineStr">
        <is>
          <t>HighExplosive</t>
        </is>
      </c>
      <c r="L324" t="n">
        <v>4</v>
      </c>
      <c r="M324" t="inlineStr">
        <is>
          <t>Bomb</t>
        </is>
      </c>
      <c r="N324" t="n">
        <v>1</v>
      </c>
      <c r="O324" t="inlineStr">
        <is>
          <t>RIPPLE</t>
        </is>
      </c>
      <c r="P324" t="n">
        <v>2</v>
      </c>
      <c r="Q324" t="n">
        <v>0.3</v>
      </c>
      <c r="R324" t="n">
        <v>14</v>
      </c>
      <c r="S324" t="n">
        <v>0</v>
      </c>
      <c r="T324" t="n">
        <v>0</v>
      </c>
      <c r="U324" t="n">
        <v>0</v>
      </c>
      <c r="V324" t="n">
        <v>0</v>
      </c>
      <c r="W324" t="n">
        <v>892</v>
      </c>
      <c r="X324" t="n">
        <v>13</v>
      </c>
      <c r="Y324" t="n">
        <v>0</v>
      </c>
      <c r="Z324" t="n">
        <v>40</v>
      </c>
      <c r="AA324" t="n">
        <v>30</v>
      </c>
      <c r="AB324" t="n">
        <v>0</v>
      </c>
      <c r="AC324" t="inlineStr">
        <is>
          <t>Ground</t>
        </is>
      </c>
      <c r="AD324" t="inlineStr"/>
      <c r="AE324" t="n">
        <v>2</v>
      </c>
      <c r="AF324" t="inlineStr">
        <is>
          <t>Ultimate</t>
        </is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1</v>
      </c>
      <c r="AN324" t="n">
        <v>907</v>
      </c>
      <c r="AO324" t="n">
        <v>2</v>
      </c>
      <c r="AP324" t="inlineStr">
        <is>
          <t>T4</t>
        </is>
      </c>
      <c r="AQ324" t="inlineStr"/>
      <c r="AR324" t="inlineStr"/>
      <c r="AS324" t="inlineStr">
        <is>
          <t>xe</t>
        </is>
      </c>
      <c r="AT324" t="inlineStr">
        <is>
          <t>stealth_bomber</t>
        </is>
      </c>
      <c r="AU324" t="n">
        <v>1</v>
      </c>
      <c r="AV324" t="inlineStr">
        <is>
          <t>stealth_bomber:0</t>
        </is>
      </c>
      <c r="AW324" t="n">
        <v>3.388888888888889</v>
      </c>
      <c r="AX324" t="b">
        <v>1</v>
      </c>
      <c r="AY324" t="inlineStr"/>
      <c r="AZ324">
        <f>IF(AND($AX$324,$AW$324&gt;$AA$324/$Z$324),$AW$324,$AA$324/$Z$324)</f>
        <v/>
      </c>
      <c r="BA324" t="n">
        <v>0.75</v>
      </c>
      <c r="BB324" t="n">
        <v>600</v>
      </c>
      <c r="BC324" t="inlineStr"/>
      <c r="BD324" t="inlineStr">
        <is>
          <t>bomb</t>
        </is>
      </c>
      <c r="BE324" t="inlineStr">
        <is>
          <t>a stick's release, 0.1 s and up (est.)</t>
        </is>
      </c>
      <c r="BG324" t="inlineStr">
        <is>
          <t>giong</t>
        </is>
      </c>
      <c r="CR324" t="n">
        <v>2</v>
      </c>
      <c r="CS324" t="n">
        <v>0.3</v>
      </c>
      <c r="DD324" t="n">
        <v>14</v>
      </c>
      <c r="DE324" t="n">
        <v>892</v>
      </c>
      <c r="DF324" t="inlineStr">
        <is>
          <t>HighExplosive</t>
        </is>
      </c>
      <c r="DJ324" t="inlineStr">
        <is>
          <t>bomb</t>
        </is>
      </c>
      <c r="DN324" t="inlineStr">
        <is>
          <t>HeavyBomb</t>
        </is>
      </c>
      <c r="DP324" t="b">
        <v>1</v>
      </c>
      <c r="DS324" t="inlineStr">
        <is>
          <t>Ultimate</t>
        </is>
      </c>
      <c r="DW324" t="n">
        <v>2</v>
      </c>
      <c r="EB324" t="n">
        <v>4</v>
      </c>
      <c r="EH324" t="inlineStr">
        <is>
          <t>Bomb</t>
        </is>
      </c>
      <c r="EI324" t="inlineStr">
        <is>
          <t>jdam</t>
        </is>
      </c>
      <c r="EJ324" t="n">
        <v>0.7185</v>
      </c>
      <c r="EK324" t="n">
        <v>40</v>
      </c>
      <c r="EP324" t="n">
        <v>30</v>
      </c>
      <c r="EQ324" t="inlineStr">
        <is>
          <t>GBU-31 JDAM (907 kg)</t>
        </is>
      </c>
      <c r="ET324" t="n">
        <v>1.94</v>
      </c>
      <c r="EX324" t="n">
        <v>907</v>
      </c>
      <c r="EY324" t="n">
        <v>13</v>
      </c>
      <c r="EZ324" t="n">
        <v>2</v>
      </c>
      <c r="FA324" t="inlineStr">
        <is>
          <t>CENTER</t>
        </is>
      </c>
      <c r="FB324" t="n">
        <v>1.5</v>
      </c>
      <c r="FC324" t="n">
        <v>2</v>
      </c>
      <c r="FD324" t="inlineStr">
        <is>
          <t>OVERFLY</t>
        </is>
      </c>
      <c r="FE324" t="n">
        <v>0</v>
      </c>
      <c r="FF324" t="n">
        <v>0</v>
      </c>
      <c r="FG324" t="inlineStr">
        <is>
          <t>APPROACH</t>
        </is>
      </c>
      <c r="FH324" t="n">
        <v>0.3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inlineStr">
        <is>
          <t>POINT</t>
        </is>
      </c>
      <c r="FO324" t="n">
        <v>0</v>
      </c>
      <c r="FP324" t="n">
        <v>0</v>
      </c>
      <c r="FQ324" t="n">
        <v>13</v>
      </c>
      <c r="FR324" t="n">
        <v>0</v>
      </c>
      <c r="FS324" t="n">
        <v>0</v>
      </c>
      <c r="FT324" t="inlineStr">
        <is>
          <t>NONE</t>
        </is>
      </c>
      <c r="FU324" t="n">
        <v>26</v>
      </c>
      <c r="FZ324" t="n">
        <v>907</v>
      </c>
      <c r="GB324" t="inlineStr">
        <is>
          <t>bomb_gbu_31_jdam</t>
        </is>
      </c>
      <c r="GD324" t="inlineStr">
        <is>
          <t>Assets/MachineBrigade/Resources/Data/balance.json: weapons[50]</t>
        </is>
      </c>
      <c r="GE324" t="inlineStr">
        <is>
          <t>{"id":"stealth_payload","weaponFamilyId":"bomb_gbu_31_jdam","load":2,"real":"GBU-31 JDAM (907 kg)","family":"bomb","size":907,"warheadKg":907,"pen":4,"form":"HeavyBomb","guided":true,"projectileModel":"jdam","projectileScale":0.7185,"roundLength":1.94,"damageType":"HighExplosive","damage":892,"cooldown":14,"range":30,"projectileSpeed":40,"splash":13,"spread":2,"impactTier":"Ultimate","projectile":"Bomb","burst":2,"burstInterval":0.3,"stick":{"mode":"POINT","bombs":2,"spacing":0,"length":0,"interval":0.3,"releaseSpeed":0,"fallTime":0,"lead":0,"heading":"APPROACH","anchor":"CENTER","drop":"OVERFLY","jitterAcross":0,"jitterAlong":0,"overlap":0,"width":26,"minTargets":0,"safety":13,"straightTime":0,"exit":0,"bayOpen":1.5,"warnShape":"NONE"}}</t>
        </is>
      </c>
    </row>
    <row r="325">
      <c r="A325" t="inlineStr">
        <is>
          <t>stinger_atas</t>
        </is>
      </c>
      <c r="B325" t="inlineStr">
        <is>
          <t>FIM-92 Stinger (ATAS)</t>
        </is>
      </c>
      <c r="C325" t="inlineStr">
        <is>
          <t>sam_fim_92_stinger</t>
        </is>
      </c>
      <c r="D325" t="inlineStr"/>
      <c r="E325" t="inlineStr"/>
      <c r="F325" t="inlineStr">
        <is>
          <t>aa_missile</t>
        </is>
      </c>
      <c r="G325" t="inlineStr"/>
      <c r="H325" t="n">
        <v>1</v>
      </c>
      <c r="I325" t="inlineStr"/>
      <c r="J325" t="inlineStr"/>
      <c r="K325" t="inlineStr">
        <is>
          <t>Fragmentation</t>
        </is>
      </c>
      <c r="L325" t="n">
        <v>2</v>
      </c>
      <c r="M325" t="inlineStr">
        <is>
          <t>Missile</t>
        </is>
      </c>
      <c r="N325" t="n">
        <v>1</v>
      </c>
      <c r="O325" t="inlineStr">
        <is>
          <t>RIPPLE</t>
        </is>
      </c>
      <c r="P325" t="n">
        <v>1</v>
      </c>
      <c r="Q325" t="n">
        <v>0.1</v>
      </c>
      <c r="R325" t="n">
        <v>9.07</v>
      </c>
      <c r="S325" t="n">
        <v>0</v>
      </c>
      <c r="T325" t="n">
        <v>0</v>
      </c>
      <c r="U325" t="n">
        <v>0</v>
      </c>
      <c r="V325" t="n">
        <v>0</v>
      </c>
      <c r="W325" t="n">
        <v>178</v>
      </c>
      <c r="X325" t="n">
        <v>1.5</v>
      </c>
      <c r="Y325" t="n">
        <v>0</v>
      </c>
      <c r="Z325" t="n">
        <v>180</v>
      </c>
      <c r="AA325" t="n">
        <v>30</v>
      </c>
      <c r="AB325" t="n">
        <v>0</v>
      </c>
      <c r="AC325" t="inlineStr">
        <is>
          <t>Air</t>
        </is>
      </c>
      <c r="AD325" t="inlineStr"/>
      <c r="AE325" t="n">
        <v>0</v>
      </c>
      <c r="AF325" t="inlineStr">
        <is>
          <t>Medium</t>
        </is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n">
        <v>3</v>
      </c>
      <c r="AO325" t="n">
        <v>2</v>
      </c>
      <c r="AP325" t="inlineStr">
        <is>
          <t>T2</t>
        </is>
      </c>
      <c r="AQ325" t="inlineStr"/>
      <c r="AR325" t="inlineStr"/>
      <c r="AS325" t="inlineStr">
        <is>
          <t>xe</t>
        </is>
      </c>
      <c r="AT325" t="inlineStr">
        <is>
          <t>attack_helicopter;elite_attack_helicopter</t>
        </is>
      </c>
      <c r="AU325" t="n">
        <v>2</v>
      </c>
      <c r="AV325" t="inlineStr">
        <is>
          <t>attack_helicopter:3;elite_attack_helicopter:3</t>
        </is>
      </c>
      <c r="AW325" t="n">
        <v>0</v>
      </c>
      <c r="AX325" t="b">
        <v>0</v>
      </c>
      <c r="AY325" t="inlineStr"/>
      <c r="AZ325">
        <f>IF(AND($AX$325,$AW$325&gt;$AA$325/$Z$325),$AW$325,$AA$325/$Z$325)</f>
        <v/>
      </c>
      <c r="BA325" t="n">
        <v>0.1666666666666667</v>
      </c>
      <c r="BB325" t="n">
        <v>20</v>
      </c>
      <c r="BC325" t="n">
        <v>10</v>
      </c>
      <c r="BD325" t="inlineStr">
        <is>
          <t>missile</t>
        </is>
      </c>
      <c r="BE325" t="inlineStr">
        <is>
          <t>Avenger / Stormer: ~3 s between rounds (est.); a MANPADS team 6-10 s</t>
        </is>
      </c>
      <c r="BG325" t="inlineStr">
        <is>
          <t>doi</t>
        </is>
      </c>
      <c r="BR325" t="n">
        <v>42</v>
      </c>
      <c r="BS325" t="n">
        <v>180</v>
      </c>
      <c r="DD325" t="n">
        <v>9.07</v>
      </c>
      <c r="DE325" t="n">
        <v>178</v>
      </c>
      <c r="DF325" t="inlineStr">
        <is>
          <t>Fragmentation</t>
        </is>
      </c>
      <c r="DJ325" t="inlineStr">
        <is>
          <t>aa_missile</t>
        </is>
      </c>
      <c r="DS325" t="inlineStr">
        <is>
          <t>Medium</t>
        </is>
      </c>
      <c r="DW325" t="n">
        <v>2</v>
      </c>
      <c r="EB325" t="n">
        <v>2</v>
      </c>
      <c r="EH325" t="inlineStr">
        <is>
          <t>Missile</t>
        </is>
      </c>
      <c r="EI325" t="inlineStr">
        <is>
          <t>stinger</t>
        </is>
      </c>
      <c r="EJ325" t="n">
        <v>0.7</v>
      </c>
      <c r="EK325" t="n">
        <v>180</v>
      </c>
      <c r="EP325" t="n">
        <v>30</v>
      </c>
      <c r="EQ325" t="inlineStr">
        <is>
          <t>FIM-92 Stinger (ATAS)</t>
        </is>
      </c>
      <c r="EX325" t="n">
        <v>3</v>
      </c>
      <c r="EY325" t="n">
        <v>1.5</v>
      </c>
      <c r="FW325" t="inlineStr">
        <is>
          <t>Air</t>
        </is>
      </c>
      <c r="FZ325" t="n">
        <v>1</v>
      </c>
      <c r="GB325" t="inlineStr">
        <is>
          <t>sam_fim_92_stinger</t>
        </is>
      </c>
      <c r="GD325" t="inlineStr">
        <is>
          <t>Assets/MachineBrigade/Resources/Data/balance.json: weapons[64]</t>
        </is>
      </c>
      <c r="GE325" t="inlineStr">
        <is>
          <t>{"id":"stinger_atas","weaponFamilyId":"sam_fim_92_stinger","load":2,"real":"FIM-92 Stinger (ATAS)","family":"aa_missile","size":3,"warheadKg":1,"pen":2,"projectileModel":"stinger","projectileScale":0.7,"damageType":"Fragmentation","damage":178,"cooldown":9.07,"range":30,"projectileSpeed":180,"splash":1.5,"impactTier":"Medium","projectile":"Missile","targets":"Air"}</t>
        </is>
      </c>
    </row>
    <row r="326">
      <c r="A326" t="inlineStr">
        <is>
          <t>stinger_post</t>
        </is>
      </c>
      <c r="B326" t="inlineStr">
        <is>
          <t>FIM-92 Stinger (tower post)</t>
        </is>
      </c>
      <c r="C326" t="inlineStr">
        <is>
          <t>sam_fim_92_stinger</t>
        </is>
      </c>
      <c r="D326" t="inlineStr"/>
      <c r="E326" t="inlineStr"/>
      <c r="F326" t="inlineStr">
        <is>
          <t>aa_missile</t>
        </is>
      </c>
      <c r="G326" t="inlineStr"/>
      <c r="H326" t="n">
        <v>1</v>
      </c>
      <c r="I326" t="inlineStr"/>
      <c r="J326" t="inlineStr"/>
      <c r="K326" t="inlineStr">
        <is>
          <t>Fragmentation</t>
        </is>
      </c>
      <c r="L326" t="n">
        <v>2</v>
      </c>
      <c r="M326" t="inlineStr">
        <is>
          <t>Missile</t>
        </is>
      </c>
      <c r="N326" t="n">
        <v>1</v>
      </c>
      <c r="O326" t="inlineStr">
        <is>
          <t>RIPPLE</t>
        </is>
      </c>
      <c r="P326" t="n">
        <v>1</v>
      </c>
      <c r="Q326" t="n">
        <v>0.1</v>
      </c>
      <c r="R326" t="n">
        <v>4.452</v>
      </c>
      <c r="S326" t="n">
        <v>0</v>
      </c>
      <c r="T326" t="n">
        <v>0</v>
      </c>
      <c r="U326" t="n">
        <v>0</v>
      </c>
      <c r="V326" t="n">
        <v>0</v>
      </c>
      <c r="W326" t="n">
        <v>170</v>
      </c>
      <c r="X326" t="n">
        <v>2</v>
      </c>
      <c r="Y326" t="n">
        <v>0</v>
      </c>
      <c r="Z326" t="n">
        <v>180</v>
      </c>
      <c r="AA326" t="n">
        <v>56</v>
      </c>
      <c r="AB326" t="n">
        <v>0</v>
      </c>
      <c r="AC326" t="inlineStr">
        <is>
          <t>Air</t>
        </is>
      </c>
      <c r="AD326" t="inlineStr"/>
      <c r="AE326" t="n">
        <v>0</v>
      </c>
      <c r="AF326" t="inlineStr">
        <is>
          <t>Medium</t>
        </is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n">
        <v>3</v>
      </c>
      <c r="AO326" t="n">
        <v>0</v>
      </c>
      <c r="AP326" t="inlineStr">
        <is>
          <t>T2</t>
        </is>
      </c>
      <c r="AQ326" t="inlineStr">
        <is>
          <t>sam</t>
        </is>
      </c>
      <c r="AR326" t="inlineStr"/>
      <c r="AS326" t="inlineStr">
        <is>
          <t>thap</t>
        </is>
      </c>
      <c r="AT326" t="inlineStr">
        <is>
          <t>aa_turret.sam</t>
        </is>
      </c>
      <c r="AU326" t="n">
        <v>1</v>
      </c>
      <c r="AV326" t="inlineStr">
        <is>
          <t>aa_turret.sam:0</t>
        </is>
      </c>
      <c r="AW326" t="n">
        <v>0</v>
      </c>
      <c r="AX326" t="b">
        <v>0</v>
      </c>
      <c r="AY326" t="inlineStr"/>
      <c r="AZ326">
        <f>IF(AND($AX$326,$AW$326&gt;$AA$326/$Z$326),$AW$326,$AA$326/$Z$326)</f>
        <v/>
      </c>
      <c r="BA326" t="n">
        <v>0.3111111111111111</v>
      </c>
      <c r="BB326" t="n">
        <v>20</v>
      </c>
      <c r="BC326" t="n">
        <v>10</v>
      </c>
      <c r="BD326" t="inlineStr">
        <is>
          <t>missile</t>
        </is>
      </c>
      <c r="BE326" t="inlineStr">
        <is>
          <t>Avenger / Stormer: ~3 s between rounds (est.); a MANPADS team 6-10 s</t>
        </is>
      </c>
      <c r="BG326" t="inlineStr">
        <is>
          <t>moi</t>
        </is>
      </c>
      <c r="DT326" t="inlineStr">
        <is>
          <t>sam</t>
        </is>
      </c>
      <c r="EK326" t="n">
        <v>180</v>
      </c>
      <c r="EP326" t="n">
        <v>56</v>
      </c>
      <c r="EQ326" t="inlineStr">
        <is>
          <t>FIM-92 Stinger (tower post)</t>
        </is>
      </c>
      <c r="GB326" t="inlineStr">
        <is>
          <t>sam_fim_92_stinger</t>
        </is>
      </c>
      <c r="GD326" t="inlineStr">
        <is>
          <t>Assets/MachineBrigade/Resources/Data/balance.json: weapons[21]</t>
        </is>
      </c>
      <c r="GE326" t="inlineStr">
        <is>
          <t>{"id":"stinger_post","projectileSpeed":180,"inherits":"sam","weaponFamilyId":"sam_fim_92_stinger","real":"FIM-92 Stinger (tower post)","range":56}</t>
        </is>
      </c>
    </row>
    <row r="327">
      <c r="A327" t="inlineStr">
        <is>
          <t>swarm_drones</t>
        </is>
      </c>
      <c r="B327" t="inlineStr">
        <is>
          <t>FPV drone (1.5 kg)</t>
        </is>
      </c>
      <c r="C327" t="inlineStr">
        <is>
          <t>drone_fpv_drone</t>
        </is>
      </c>
      <c r="D327" t="inlineStr"/>
      <c r="E327" t="inlineStr">
        <is>
          <t>fpv_drone</t>
        </is>
      </c>
      <c r="F327" t="inlineStr">
        <is>
          <t>drone</t>
        </is>
      </c>
      <c r="G327" t="inlineStr"/>
      <c r="H327" t="n">
        <v>1.5</v>
      </c>
      <c r="I327" t="inlineStr"/>
      <c r="J327" t="inlineStr"/>
      <c r="K327" t="inlineStr">
        <is>
          <t>ShapedCharge</t>
        </is>
      </c>
      <c r="L327" t="n">
        <v>3</v>
      </c>
      <c r="M327" t="inlineStr">
        <is>
          <t>Drone</t>
        </is>
      </c>
      <c r="N327" t="n">
        <v>1</v>
      </c>
      <c r="O327" t="inlineStr">
        <is>
          <t>RIPPLE</t>
        </is>
      </c>
      <c r="P327" t="n">
        <v>1</v>
      </c>
      <c r="Q327" t="n">
        <v>0.1</v>
      </c>
      <c r="R327" t="n">
        <v>3.3</v>
      </c>
      <c r="S327" t="n">
        <v>0</v>
      </c>
      <c r="T327" t="n">
        <v>0</v>
      </c>
      <c r="U327" t="n">
        <v>0</v>
      </c>
      <c r="V327" t="n">
        <v>0</v>
      </c>
      <c r="W327" t="n">
        <v>140</v>
      </c>
      <c r="X327" t="n">
        <v>2.5</v>
      </c>
      <c r="Y327" t="n">
        <v>0</v>
      </c>
      <c r="Z327" t="n">
        <v>26</v>
      </c>
      <c r="AA327" t="n">
        <v>60</v>
      </c>
      <c r="AB327" t="n">
        <v>0</v>
      </c>
      <c r="AC327" t="inlineStr">
        <is>
          <t>Ground</t>
        </is>
      </c>
      <c r="AD327" t="inlineStr"/>
      <c r="AE327" t="n">
        <v>0</v>
      </c>
      <c r="AF327" t="inlineStr">
        <is>
          <t>Medium</t>
        </is>
      </c>
      <c r="AG327" t="b">
        <v>1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n">
        <v>1.5</v>
      </c>
      <c r="AO327" t="n">
        <v>8</v>
      </c>
      <c r="AP327" t="inlineStr">
        <is>
          <t>T2</t>
        </is>
      </c>
      <c r="AQ327" t="inlineStr"/>
      <c r="AR327" t="inlineStr"/>
      <c r="AS327" t="inlineStr">
        <is>
          <t>xe</t>
        </is>
      </c>
      <c r="AT327" t="inlineStr">
        <is>
          <t>swarm_carrier</t>
        </is>
      </c>
      <c r="AU327" t="n">
        <v>1</v>
      </c>
      <c r="AV327" t="inlineStr">
        <is>
          <t>swarm_carrier:0</t>
        </is>
      </c>
      <c r="AW327" t="n">
        <v>0</v>
      </c>
      <c r="AX327" t="b">
        <v>0</v>
      </c>
      <c r="AY327" t="inlineStr"/>
      <c r="AZ327">
        <f>IF(AND($AX$327,$AW$327&gt;$AA$327/$Z$327),$AW$327,$AA$327/$Z$327)</f>
        <v/>
      </c>
      <c r="BA327" t="n">
        <v>2.307692307692307</v>
      </c>
      <c r="BB327" t="inlineStr">
        <is>
          <t>NEED_SOURCE</t>
        </is>
      </c>
      <c r="BC327" t="inlineStr">
        <is>
          <t>NEED_SOURCE</t>
        </is>
      </c>
      <c r="BE327" t="inlineStr">
        <is>
          <t>NEED_SOURCE</t>
        </is>
      </c>
      <c r="BG327" t="inlineStr">
        <is>
          <t>giong</t>
        </is>
      </c>
      <c r="DD327" t="n">
        <v>3.3</v>
      </c>
      <c r="DE327" t="n">
        <v>140</v>
      </c>
      <c r="DF327" t="inlineStr">
        <is>
          <t>ShapedCharge</t>
        </is>
      </c>
      <c r="DJ327" t="inlineStr">
        <is>
          <t>drone</t>
        </is>
      </c>
      <c r="DS327" t="inlineStr">
        <is>
          <t>Medium</t>
        </is>
      </c>
      <c r="DW327" t="n">
        <v>8</v>
      </c>
      <c r="EB327" t="n">
        <v>3</v>
      </c>
      <c r="EE327" t="b">
        <v>1</v>
      </c>
      <c r="EH327" t="inlineStr">
        <is>
          <t>Drone</t>
        </is>
      </c>
      <c r="EP327" t="n">
        <v>60</v>
      </c>
      <c r="EQ327" t="inlineStr">
        <is>
          <t>FPV drone (1.5 kg)</t>
        </is>
      </c>
      <c r="EX327" t="n">
        <v>1.5</v>
      </c>
      <c r="FV327" t="n">
        <v>18</v>
      </c>
      <c r="FY327" t="b">
        <v>1</v>
      </c>
      <c r="FZ327" t="n">
        <v>1.5</v>
      </c>
      <c r="GA327" t="inlineStr">
        <is>
          <t>fpv_drone</t>
        </is>
      </c>
      <c r="GB327" t="inlineStr">
        <is>
          <t>drone_fpv_drone</t>
        </is>
      </c>
      <c r="GD327" t="inlineStr">
        <is>
          <t>Assets/MachineBrigade/Resources/Data/balance.json: weapons[262]</t>
        </is>
      </c>
      <c r="GE327" t="inlineStr">
        <is>
          <t>{"id":"swarm_drones","weaponFamilyId":"drone_fpv_drone","weaponFamily":"fpv_drone","load":8,"real":"FPV drone (1.5 kg)","family":"drone","size":1.5,"warheadKg":1.5,"pen":3,"topAttack":true,"piercing":true,"damageType":"ShapedCharge","damage":140,"cooldown":3.3,"range":60,"impactTier":"Medium","projectile":"Drone","swarm":18,"bonuses":[{"armor":"Structure","mult":1.5}]}</t>
        </is>
      </c>
    </row>
    <row r="328">
      <c r="A328" t="inlineStr">
        <is>
          <t>tamir</t>
        </is>
      </c>
      <c r="B328" t="inlineStr">
        <is>
          <t>Tamir interceptor (Iron Dome)</t>
        </is>
      </c>
      <c r="C328" t="inlineStr">
        <is>
          <t>sam_tamir_interceptor</t>
        </is>
      </c>
      <c r="D328" t="inlineStr"/>
      <c r="E328" t="inlineStr"/>
      <c r="F328" t="inlineStr">
        <is>
          <t>aa_missile</t>
        </is>
      </c>
      <c r="G328" t="inlineStr"/>
      <c r="H328" t="n">
        <v>11</v>
      </c>
      <c r="I328" t="inlineStr"/>
      <c r="J328" t="inlineStr"/>
      <c r="K328" t="inlineStr">
        <is>
          <t>Fragmentation</t>
        </is>
      </c>
      <c r="L328" t="n">
        <v>2</v>
      </c>
      <c r="M328" t="inlineStr">
        <is>
          <t>Missile</t>
        </is>
      </c>
      <c r="N328" t="n">
        <v>1</v>
      </c>
      <c r="O328" t="inlineStr">
        <is>
          <t>RIPPLE</t>
        </is>
      </c>
      <c r="P328" t="n">
        <v>1</v>
      </c>
      <c r="Q328" t="n">
        <v>0.1</v>
      </c>
      <c r="R328" t="n">
        <v>3.5</v>
      </c>
      <c r="S328" t="n">
        <v>0</v>
      </c>
      <c r="T328" t="n">
        <v>0</v>
      </c>
      <c r="U328" t="n">
        <v>6</v>
      </c>
      <c r="V328" t="n">
        <v>20</v>
      </c>
      <c r="W328" t="n">
        <v>110</v>
      </c>
      <c r="X328" t="n">
        <v>2.5</v>
      </c>
      <c r="Y328" t="n">
        <v>0</v>
      </c>
      <c r="Z328" t="n">
        <v>180</v>
      </c>
      <c r="AA328" t="n">
        <v>60</v>
      </c>
      <c r="AB328" t="n">
        <v>0</v>
      </c>
      <c r="AC328" t="inlineStr">
        <is>
          <t>Air</t>
        </is>
      </c>
      <c r="AD328" t="inlineStr"/>
      <c r="AE328" t="n">
        <v>0</v>
      </c>
      <c r="AF328" t="inlineStr">
        <is>
          <t>Medium</t>
        </is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n">
        <v>1</v>
      </c>
      <c r="AO328" t="n">
        <v>0</v>
      </c>
      <c r="AP328" t="inlineStr">
        <is>
          <t>T2</t>
        </is>
      </c>
      <c r="AQ328" t="inlineStr"/>
      <c r="AR328" t="inlineStr"/>
      <c r="AS328" t="inlineStr">
        <is>
          <t>thap</t>
        </is>
      </c>
      <c r="AT328" t="inlineStr">
        <is>
          <t>c_ram.dome</t>
        </is>
      </c>
      <c r="AU328" t="n">
        <v>1</v>
      </c>
      <c r="AV328" t="inlineStr">
        <is>
          <t>c_ram.dome:0</t>
        </is>
      </c>
      <c r="AW328" t="n">
        <v>0</v>
      </c>
      <c r="AX328" t="b">
        <v>0</v>
      </c>
      <c r="AY328" t="inlineStr"/>
      <c r="AZ328">
        <f>IF(AND($AX$328,$AW$328&gt;$AA$328/$Z$328),$AW$328,$AA$328/$Z$328)</f>
        <v/>
      </c>
      <c r="BA328" t="n">
        <v>0.3333333333333333</v>
      </c>
      <c r="BB328" t="n">
        <v>60</v>
      </c>
      <c r="BC328" t="n">
        <v>30</v>
      </c>
      <c r="BD328" t="inlineStr">
        <is>
          <t>missile</t>
        </is>
      </c>
      <c r="BE328" t="inlineStr">
        <is>
          <t>Iron Dome: launches 1-2 s apart (DECISIONS 19R)</t>
        </is>
      </c>
      <c r="BG328" t="inlineStr">
        <is>
          <t>doi</t>
        </is>
      </c>
      <c r="BR328" t="n">
        <v>50</v>
      </c>
      <c r="BS328" t="n">
        <v>180</v>
      </c>
      <c r="CN328" t="n">
        <v>6</v>
      </c>
      <c r="DD328" t="n">
        <v>3.5</v>
      </c>
      <c r="DE328" t="n">
        <v>110</v>
      </c>
      <c r="DF328" t="inlineStr">
        <is>
          <t>Fragmentation</t>
        </is>
      </c>
      <c r="DJ328" t="inlineStr">
        <is>
          <t>aa_missile</t>
        </is>
      </c>
      <c r="DK328" t="n">
        <v>0.6</v>
      </c>
      <c r="DL328" t="inlineStr">
        <is>
          <t>Loft</t>
        </is>
      </c>
      <c r="DS328" t="inlineStr">
        <is>
          <t>Medium</t>
        </is>
      </c>
      <c r="EB328" t="n">
        <v>2</v>
      </c>
      <c r="EH328" t="inlineStr">
        <is>
          <t>Missile</t>
        </is>
      </c>
      <c r="EI328" t="inlineStr">
        <is>
          <t>shorad_dart</t>
        </is>
      </c>
      <c r="EJ328" t="n">
        <v>0.9</v>
      </c>
      <c r="EK328" t="n">
        <v>180</v>
      </c>
      <c r="EP328" t="n">
        <v>60</v>
      </c>
      <c r="EQ328" t="inlineStr">
        <is>
          <t>Tamir interceptor (Iron Dome)</t>
        </is>
      </c>
      <c r="ER328" t="n">
        <v>20</v>
      </c>
      <c r="EX328" t="n">
        <v>1</v>
      </c>
      <c r="EY328" t="n">
        <v>2.5</v>
      </c>
      <c r="FW328" t="inlineStr">
        <is>
          <t>Air</t>
        </is>
      </c>
      <c r="FZ328" t="n">
        <v>11</v>
      </c>
      <c r="GB328" t="inlineStr">
        <is>
          <t>sam_tamir_interceptor</t>
        </is>
      </c>
      <c r="GD328" t="inlineStr">
        <is>
          <t>Assets/MachineBrigade/Resources/Data/balance.json: weapons[122]</t>
        </is>
      </c>
      <c r="GE328" t="inlineStr">
        <is>
          <t>{"id":"tamir","flightProfile":"Loft","weaponFamilyId":"sam_tamir_interceptor","real":"Tamir interceptor (Iron Dome)","family":"aa_missile","size":1,"warheadKg":11,"pen":2,"projectileModel":"shorad_dart","projectileScale":0.9,"damageType":"Fragmentation","damage":110,"cooldown":3.5,"range":60,"projectileSpeed":180,"splash":2.5,"impactTier":"Medium","projectile":"Missile","targets":"Air","flareResist":0.6,"ammo":6,"reload":20}</t>
        </is>
      </c>
    </row>
    <row r="329">
      <c r="A329" t="inlineStr">
        <is>
          <t>technical_rockets</t>
        </is>
      </c>
      <c r="B329" t="inlineStr">
        <is>
          <t>Type 63 107 mm</t>
        </is>
      </c>
      <c r="C329" t="inlineStr">
        <is>
          <t>rkt_107</t>
        </is>
      </c>
      <c r="D329" t="inlineStr"/>
      <c r="E329" t="inlineStr"/>
      <c r="F329" t="inlineStr">
        <is>
          <t>rocket</t>
        </is>
      </c>
      <c r="G329" t="n">
        <v>107</v>
      </c>
      <c r="H329" t="inlineStr"/>
      <c r="I329" t="inlineStr"/>
      <c r="J329" t="inlineStr"/>
      <c r="K329" t="inlineStr">
        <is>
          <t>HighExplosive</t>
        </is>
      </c>
      <c r="L329" t="n">
        <v>2</v>
      </c>
      <c r="M329" t="inlineStr">
        <is>
          <t>Rocket</t>
        </is>
      </c>
      <c r="N329" t="n">
        <v>1</v>
      </c>
      <c r="O329" t="inlineStr">
        <is>
          <t>RIPPLE</t>
        </is>
      </c>
      <c r="P329" t="n">
        <v>5</v>
      </c>
      <c r="Q329" t="n">
        <v>0.5</v>
      </c>
      <c r="R329" t="n">
        <v>5.6</v>
      </c>
      <c r="S329" t="n">
        <v>0</v>
      </c>
      <c r="T329" t="n">
        <v>0</v>
      </c>
      <c r="U329" t="n">
        <v>6</v>
      </c>
      <c r="V329" t="n">
        <v>18</v>
      </c>
      <c r="W329" t="n">
        <v>49.5</v>
      </c>
      <c r="X329" t="n">
        <v>3.5</v>
      </c>
      <c r="Y329" t="n">
        <v>0</v>
      </c>
      <c r="Z329" t="n">
        <v>80</v>
      </c>
      <c r="AA329" t="n">
        <v>48</v>
      </c>
      <c r="AB329" t="n">
        <v>12</v>
      </c>
      <c r="AC329" t="inlineStr">
        <is>
          <t>Ground</t>
        </is>
      </c>
      <c r="AD329" t="inlineStr"/>
      <c r="AE329" t="n">
        <v>6</v>
      </c>
      <c r="AF329" t="inlineStr">
        <is>
          <t>Medium</t>
        </is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n">
        <v>107</v>
      </c>
      <c r="AO329" t="n">
        <v>0</v>
      </c>
      <c r="AP329" t="inlineStr">
        <is>
          <t>T2</t>
        </is>
      </c>
      <c r="AQ329" t="inlineStr"/>
      <c r="AR329" t="inlineStr"/>
      <c r="AS329" t="inlineStr">
        <is>
          <t>xe</t>
        </is>
      </c>
      <c r="AT329" t="inlineStr">
        <is>
          <t>rocket_technical</t>
        </is>
      </c>
      <c r="AU329" t="n">
        <v>1</v>
      </c>
      <c r="AV329" t="inlineStr">
        <is>
          <t>rocket_technical:0</t>
        </is>
      </c>
      <c r="AW329" t="n">
        <v>0</v>
      </c>
      <c r="AX329" t="b">
        <v>0</v>
      </c>
      <c r="AY329" t="inlineStr"/>
      <c r="AZ329">
        <f>IF(AND($AX$329,$AW$329&gt;$AA$329/$Z$329),$AW$329,$AA$329/$Z$329)</f>
        <v/>
      </c>
      <c r="BA329" t="n">
        <v>0.6</v>
      </c>
      <c r="BB329" t="n">
        <v>100</v>
      </c>
      <c r="BC329" t="inlineStr"/>
      <c r="BD329" t="inlineStr">
        <is>
          <t>rocket</t>
        </is>
      </c>
      <c r="BE329" t="inlineStr">
        <is>
          <t>Wikipedia 'Type 63 MRL': 12 rockets in 7-9 s</t>
        </is>
      </c>
      <c r="BG329" t="inlineStr">
        <is>
          <t>doi</t>
        </is>
      </c>
      <c r="BR329" t="n">
        <v>38</v>
      </c>
      <c r="BS329" t="n">
        <v>80</v>
      </c>
      <c r="CN329" t="n">
        <v>6</v>
      </c>
      <c r="CR329" t="n">
        <v>5</v>
      </c>
      <c r="CS329" t="n">
        <v>0.5</v>
      </c>
      <c r="CT329" t="n">
        <v>107</v>
      </c>
      <c r="DD329" t="n">
        <v>5.6</v>
      </c>
      <c r="DE329" t="n">
        <v>49.5</v>
      </c>
      <c r="DF329" t="inlineStr">
        <is>
          <t>HighExplosive</t>
        </is>
      </c>
      <c r="DJ329" t="inlineStr">
        <is>
          <t>rocket</t>
        </is>
      </c>
      <c r="DS329" t="inlineStr">
        <is>
          <t>Medium</t>
        </is>
      </c>
      <c r="DZ329" t="n">
        <v>12</v>
      </c>
      <c r="EB329" t="n">
        <v>2</v>
      </c>
      <c r="EH329" t="inlineStr">
        <is>
          <t>Rocket</t>
        </is>
      </c>
      <c r="EI329" t="inlineStr">
        <is>
          <t>rocket_107</t>
        </is>
      </c>
      <c r="EK329" t="n">
        <v>80</v>
      </c>
      <c r="EP329" t="n">
        <v>48</v>
      </c>
      <c r="EQ329" t="inlineStr">
        <is>
          <t>Type 63 107 mm</t>
        </is>
      </c>
      <c r="ER329" t="n">
        <v>18</v>
      </c>
      <c r="EX329" t="n">
        <v>107</v>
      </c>
      <c r="EY329" t="n">
        <v>3.5</v>
      </c>
      <c r="EZ329" t="n">
        <v>6</v>
      </c>
      <c r="GB329" t="inlineStr">
        <is>
          <t>rkt_107</t>
        </is>
      </c>
      <c r="GD329" t="inlineStr">
        <is>
          <t>Assets/MachineBrigade/Resources/Data/balance.json: weapons[32]</t>
        </is>
      </c>
      <c r="GE329" t="inlineStr">
        <is>
          <t>{"id":"technical_rockets","weaponFamilyId":"rkt_107","bonuses":[{"armor":"Structure","mult":0.6}],"real":"Type 63 107 mm","family":"rocket","size":107,"caliberMm":107,"pen":2,"projectileModel":"rocket_107","damageType":"HighExplosive","damage":49.5,"cooldown":5.6,"range":48,"minRange":12,"projectileSpeed":80,"splash":3.5,"spread":6,"impactTier":"Medium","projectile":"Rocket","burst":5,"burstInterval":0.5,"ammo":6,"reload":18}</t>
        </is>
      </c>
    </row>
    <row r="330">
      <c r="A330" t="inlineStr">
        <is>
          <t>thermobaric_rockets</t>
        </is>
      </c>
      <c r="B330" t="inlineStr">
        <is>
          <t>TOS-1A 220 mm thermobaric</t>
        </is>
      </c>
      <c r="C330" t="inlineStr">
        <is>
          <t>rkt_tos_220</t>
        </is>
      </c>
      <c r="D330" t="inlineStr"/>
      <c r="E330" t="inlineStr">
        <is>
          <t>tos_1a_220_mm_thermobaric</t>
        </is>
      </c>
      <c r="F330" t="inlineStr">
        <is>
          <t>rocket</t>
        </is>
      </c>
      <c r="G330" t="n">
        <v>220</v>
      </c>
      <c r="H330" t="inlineStr"/>
      <c r="I330" t="inlineStr"/>
      <c r="J330" t="inlineStr"/>
      <c r="K330" t="inlineStr">
        <is>
          <t>HighExplosive</t>
        </is>
      </c>
      <c r="L330" t="n">
        <v>3</v>
      </c>
      <c r="M330" t="inlineStr">
        <is>
          <t>Rocket</t>
        </is>
      </c>
      <c r="N330" t="n">
        <v>1</v>
      </c>
      <c r="O330" t="inlineStr">
        <is>
          <t>RIPPLE</t>
        </is>
      </c>
      <c r="P330" t="n">
        <v>9</v>
      </c>
      <c r="Q330" t="n">
        <v>0.3</v>
      </c>
      <c r="R330" t="n">
        <v>10.55</v>
      </c>
      <c r="S330" t="n">
        <v>0</v>
      </c>
      <c r="T330" t="n">
        <v>0</v>
      </c>
      <c r="U330" t="n">
        <v>4</v>
      </c>
      <c r="V330" t="n">
        <v>21.67</v>
      </c>
      <c r="W330" t="n">
        <v>97</v>
      </c>
      <c r="X330" t="n">
        <v>7</v>
      </c>
      <c r="Y330" t="n">
        <v>0</v>
      </c>
      <c r="Z330" t="n">
        <v>70</v>
      </c>
      <c r="AA330" t="n">
        <v>48</v>
      </c>
      <c r="AB330" t="n">
        <v>12</v>
      </c>
      <c r="AC330" t="inlineStr">
        <is>
          <t>Ground</t>
        </is>
      </c>
      <c r="AD330" t="inlineStr"/>
      <c r="AE330" t="n">
        <v>6</v>
      </c>
      <c r="AF330" t="inlineStr">
        <is>
          <t>Huge</t>
        </is>
      </c>
      <c r="AG330" t="b">
        <v>0</v>
      </c>
      <c r="AH330" t="b">
        <v>0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n">
        <v>220</v>
      </c>
      <c r="AO330" t="n">
        <v>0</v>
      </c>
      <c r="AP330" t="inlineStr">
        <is>
          <t>T4</t>
        </is>
      </c>
      <c r="AQ330" t="inlineStr"/>
      <c r="AR330" t="inlineStr"/>
      <c r="AS330" t="inlineStr">
        <is>
          <t>xe</t>
        </is>
      </c>
      <c r="AT330" t="inlineStr">
        <is>
          <t>thermobaric_launcher</t>
        </is>
      </c>
      <c r="AU330" t="n">
        <v>1</v>
      </c>
      <c r="AV330" t="inlineStr">
        <is>
          <t>thermobaric_launcher:0</t>
        </is>
      </c>
      <c r="AW330" t="n">
        <v>2.5</v>
      </c>
      <c r="AX330" t="b">
        <v>1</v>
      </c>
      <c r="AY330" t="inlineStr"/>
      <c r="AZ330">
        <f>IF(AND($AX$330,$AW$330&gt;$AA$330/$Z$330),$AW$330,$AA$330/$Z$330)</f>
        <v/>
      </c>
      <c r="BA330" t="n">
        <v>2.5</v>
      </c>
      <c r="BB330" t="n">
        <v>240</v>
      </c>
      <c r="BC330" t="inlineStr"/>
      <c r="BD330" t="inlineStr">
        <is>
          <t>rocket</t>
        </is>
      </c>
      <c r="BE330" t="inlineStr">
        <is>
          <t>Wikipedia 'TOS-1': 24 rockets in 6-12 s</t>
        </is>
      </c>
      <c r="BG330" t="inlineStr">
        <is>
          <t>doi</t>
        </is>
      </c>
      <c r="BR330" t="n">
        <v>35</v>
      </c>
      <c r="BS330" t="n">
        <v>70</v>
      </c>
      <c r="CN330" t="n">
        <v>4</v>
      </c>
      <c r="CR330" t="n">
        <v>9</v>
      </c>
      <c r="CS330" t="n">
        <v>0.3</v>
      </c>
      <c r="CT330" t="n">
        <v>220</v>
      </c>
      <c r="DD330" t="n">
        <v>10.55</v>
      </c>
      <c r="DE330" t="n">
        <v>97</v>
      </c>
      <c r="DF330" t="inlineStr">
        <is>
          <t>HighExplosive</t>
        </is>
      </c>
      <c r="DJ330" t="inlineStr">
        <is>
          <t>rocket</t>
        </is>
      </c>
      <c r="DS330" t="inlineStr">
        <is>
          <t>Huge</t>
        </is>
      </c>
      <c r="DZ330" t="n">
        <v>12</v>
      </c>
      <c r="EB330" t="n">
        <v>3</v>
      </c>
      <c r="EH330" t="inlineStr">
        <is>
          <t>Rocket</t>
        </is>
      </c>
      <c r="EP330" t="n">
        <v>48</v>
      </c>
      <c r="EQ330" t="inlineStr">
        <is>
          <t>TOS-1A 220 mm thermobaric</t>
        </is>
      </c>
      <c r="ER330" t="n">
        <v>21.67</v>
      </c>
      <c r="EX330" t="n">
        <v>220</v>
      </c>
      <c r="EZ330" t="n">
        <v>6</v>
      </c>
      <c r="FX330" t="b">
        <v>1</v>
      </c>
      <c r="GA330" t="inlineStr">
        <is>
          <t>tos_1a_220_mm_thermobaric</t>
        </is>
      </c>
      <c r="GB330" t="inlineStr">
        <is>
          <t>rkt_tos_220</t>
        </is>
      </c>
      <c r="GD330" t="inlineStr">
        <is>
          <t>Assets/MachineBrigade/Resources/Data/balance.json: weapons[43]</t>
        </is>
      </c>
      <c r="GE330" t="inlineStr">
        <is>
          <t>{"id":"thermobaric_rockets","weaponFamilyId":"rkt_tos_220","weaponFamily":"tos_1a_220_mm_thermobaric","real":"TOS-1A 220 mm thermobaric","family":"rocket","size":220,"caliberMm":220,"pen":3,"thermobaric":true,"damageType":"HighExplosive","damage":97,"cooldown":10.55,"range":48,"minRange":12,"spread":6,"impactTier":"Huge","projectile":"Rocket","burst":9,"burstInterval":0.3,"ammo":4,"reload":21.67}</t>
        </is>
      </c>
    </row>
    <row r="331">
      <c r="A331" t="inlineStr">
        <is>
          <t>tower_ac25</t>
        </is>
      </c>
      <c r="B331" t="inlineStr">
        <is>
          <t>M242 Bushmaster 25 mm</t>
        </is>
      </c>
      <c r="C331" t="inlineStr">
        <is>
          <t>cal_25</t>
        </is>
      </c>
      <c r="D331" t="inlineStr"/>
      <c r="E331" t="inlineStr">
        <is>
          <t>m242_bushmaster_25_mm</t>
        </is>
      </c>
      <c r="F331" t="inlineStr">
        <is>
          <t>autocannon</t>
        </is>
      </c>
      <c r="G331" t="n">
        <v>25</v>
      </c>
      <c r="H331" t="inlineStr"/>
      <c r="I331" t="inlineStr"/>
      <c r="J331" t="inlineStr"/>
      <c r="K331" t="inlineStr">
        <is>
          <t>Kinetic</t>
        </is>
      </c>
      <c r="L331" t="n">
        <v>2</v>
      </c>
      <c r="M331" t="inlineStr">
        <is>
          <t>Bullet</t>
        </is>
      </c>
      <c r="N331" t="n">
        <v>1</v>
      </c>
      <c r="O331" t="inlineStr">
        <is>
          <t>RIPPLE</t>
        </is>
      </c>
      <c r="P331" t="n">
        <v>1</v>
      </c>
      <c r="Q331" t="n">
        <v>0.1</v>
      </c>
      <c r="R331" t="n">
        <v>0.125</v>
      </c>
      <c r="S331" t="n">
        <v>10</v>
      </c>
      <c r="T331" t="n">
        <v>1.425</v>
      </c>
      <c r="U331" t="n">
        <v>0</v>
      </c>
      <c r="V331" t="n">
        <v>0</v>
      </c>
      <c r="W331" t="n">
        <v>17</v>
      </c>
      <c r="X331" t="n">
        <v>0</v>
      </c>
      <c r="Y331" t="n">
        <v>0</v>
      </c>
      <c r="Z331" t="n">
        <v>210</v>
      </c>
      <c r="AA331" t="n">
        <v>30</v>
      </c>
      <c r="AB331" t="n">
        <v>0</v>
      </c>
      <c r="AC331" t="inlineStr">
        <is>
          <t>Ground</t>
        </is>
      </c>
      <c r="AD331" t="inlineStr"/>
      <c r="AE331" t="n">
        <v>0.9</v>
      </c>
      <c r="AF331" t="inlineStr">
        <is>
          <t>Small</t>
        </is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n">
        <v>25</v>
      </c>
      <c r="AO331" t="n">
        <v>0</v>
      </c>
      <c r="AP331" t="inlineStr">
        <is>
          <t>T1</t>
        </is>
      </c>
      <c r="AQ331" t="inlineStr">
        <is>
          <t>autocannon_25</t>
        </is>
      </c>
      <c r="AR331" t="inlineStr">
        <is>
          <t>tower_ac25_flak</t>
        </is>
      </c>
      <c r="AS331" t="inlineStr">
        <is>
          <t>thap</t>
        </is>
      </c>
      <c r="AT331" t="inlineStr">
        <is>
          <t>guard_tower.nest</t>
        </is>
      </c>
      <c r="AU331" t="n">
        <v>1</v>
      </c>
      <c r="AV331" t="inlineStr">
        <is>
          <t>guard_tower.nest:0</t>
        </is>
      </c>
      <c r="AW331" t="n">
        <v>0</v>
      </c>
      <c r="AX331" t="b">
        <v>0</v>
      </c>
      <c r="AY331" t="inlineStr"/>
      <c r="AZ331">
        <f>IF(AND($AX$331,$AW$331&gt;$AA$331/$Z$331),$AW$331,$AA$331/$Z$331)</f>
        <v/>
      </c>
      <c r="BA331" t="n">
        <v>0.1428571428571428</v>
      </c>
      <c r="BB331" t="n">
        <v>500</v>
      </c>
      <c r="BC331" t="n">
        <v>200</v>
      </c>
      <c r="BD331" t="inlineStr">
        <is>
          <t>ac</t>
        </is>
      </c>
      <c r="BE331" t="inlineStr">
        <is>
          <t>Wikipedia 'M242 Bushmaster': 200 or 500 rpm</t>
        </is>
      </c>
      <c r="BG331" t="inlineStr">
        <is>
          <t>giong</t>
        </is>
      </c>
      <c r="CR331" t="n">
        <v>1</v>
      </c>
      <c r="CS331" t="n">
        <v>0.1</v>
      </c>
      <c r="CT331" t="n">
        <v>25</v>
      </c>
      <c r="CW331" t="n">
        <v>10</v>
      </c>
      <c r="CX331" t="n">
        <v>1.425</v>
      </c>
      <c r="DD331" t="n">
        <v>0.125</v>
      </c>
      <c r="DJ331" t="inlineStr">
        <is>
          <t>autocannon</t>
        </is>
      </c>
      <c r="DT331" t="inlineStr">
        <is>
          <t>autocannon_25</t>
        </is>
      </c>
      <c r="EB331" t="n">
        <v>2</v>
      </c>
      <c r="EQ331" t="inlineStr">
        <is>
          <t>M242 Bushmaster 25 mm</t>
        </is>
      </c>
      <c r="EX331" t="n">
        <v>25</v>
      </c>
      <c r="GA331" t="inlineStr">
        <is>
          <t>m242_bushmaster_25_mm</t>
        </is>
      </c>
      <c r="GD331" t="inlineStr">
        <is>
          <t>Assets/MachineBrigade/Resources/Data/balance.json: weapons[26]</t>
        </is>
      </c>
      <c r="GE331" t="inlineStr">
        <is>
          <t>{"id":"tower_ac25","weaponFamily":"m242_bushmaster_25_mm","burstInterval":0.1,"burst":1,"real":"M242 Bushmaster 25 mm","family":"autocannon","size":25,"caliberMm":25,"pen":2,"inherits":"autocannon_25","cooldown":0.125,"clip":10,"clipReload":1.425}</t>
        </is>
      </c>
    </row>
    <row r="332">
      <c r="A332" t="inlineStr">
        <is>
          <t>tower_ac25_flak</t>
        </is>
      </c>
      <c r="B332" t="inlineStr">
        <is>
          <t>M242 Bushmaster 25 mm air-burst</t>
        </is>
      </c>
      <c r="C332" t="inlineStr">
        <is>
          <t>cal_25</t>
        </is>
      </c>
      <c r="D332" t="inlineStr">
        <is>
          <t>flak</t>
        </is>
      </c>
      <c r="E332" t="inlineStr">
        <is>
          <t>m242_bushmaster_25_mm_air_burst</t>
        </is>
      </c>
      <c r="F332" t="inlineStr">
        <is>
          <t>autocannon</t>
        </is>
      </c>
      <c r="G332" t="n">
        <v>25</v>
      </c>
      <c r="H332" t="inlineStr"/>
      <c r="I332" t="inlineStr"/>
      <c r="J332" t="inlineStr"/>
      <c r="K332" t="inlineStr">
        <is>
          <t>Fragmentation</t>
        </is>
      </c>
      <c r="L332" t="n">
        <v>1</v>
      </c>
      <c r="M332" t="inlineStr">
        <is>
          <t>Bullet</t>
        </is>
      </c>
      <c r="N332" t="n">
        <v>1</v>
      </c>
      <c r="O332" t="inlineStr">
        <is>
          <t>RIPPLE</t>
        </is>
      </c>
      <c r="P332" t="n">
        <v>1</v>
      </c>
      <c r="Q332" t="n">
        <v>0.1</v>
      </c>
      <c r="R332" t="n">
        <v>0.125</v>
      </c>
      <c r="S332" t="n">
        <v>10</v>
      </c>
      <c r="T332" t="n">
        <v>1.425</v>
      </c>
      <c r="U332" t="n">
        <v>0</v>
      </c>
      <c r="V332" t="n">
        <v>0</v>
      </c>
      <c r="W332" t="n">
        <v>17</v>
      </c>
      <c r="X332" t="n">
        <v>2</v>
      </c>
      <c r="Y332" t="n">
        <v>0</v>
      </c>
      <c r="Z332" t="n">
        <v>210</v>
      </c>
      <c r="AA332" t="n">
        <v>30</v>
      </c>
      <c r="AB332" t="n">
        <v>0</v>
      </c>
      <c r="AC332" t="inlineStr">
        <is>
          <t>Air</t>
        </is>
      </c>
      <c r="AD332" t="inlineStr"/>
      <c r="AE332" t="n">
        <v>0.9</v>
      </c>
      <c r="AF332" t="inlineStr">
        <is>
          <t>Small</t>
        </is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n">
        <v>25</v>
      </c>
      <c r="AO332" t="n">
        <v>0</v>
      </c>
      <c r="AP332" t="inlineStr">
        <is>
          <t>T1</t>
        </is>
      </c>
      <c r="AQ332" t="inlineStr">
        <is>
          <t>tower_ac25</t>
        </is>
      </c>
      <c r="AR332" t="inlineStr"/>
      <c r="AS332" t="inlineStr"/>
      <c r="AT332" t="inlineStr"/>
      <c r="AU332" t="n">
        <v>0</v>
      </c>
      <c r="AV332" t="inlineStr"/>
      <c r="AW332" t="n">
        <v>0</v>
      </c>
      <c r="AX332" t="b">
        <v>0</v>
      </c>
      <c r="AY332" t="inlineStr"/>
      <c r="AZ332">
        <f>IF(AND($AX$332,$AW$332&gt;$AA$332/$Z$332),$AW$332,$AA$332/$Z$332)</f>
        <v/>
      </c>
      <c r="BA332" t="n">
        <v>0.1428571428571428</v>
      </c>
      <c r="BB332" t="n">
        <v>500</v>
      </c>
      <c r="BC332" t="n">
        <v>200</v>
      </c>
      <c r="BD332" t="inlineStr">
        <is>
          <t>ac</t>
        </is>
      </c>
      <c r="BE332" t="inlineStr">
        <is>
          <t>Wikipedia 'M242 Bushmaster': 200 or 500 rpm</t>
        </is>
      </c>
      <c r="BG332" t="inlineStr">
        <is>
          <t>giong</t>
        </is>
      </c>
      <c r="DE332" t="n">
        <v>17</v>
      </c>
      <c r="DF332" t="inlineStr">
        <is>
          <t>Fragmentation</t>
        </is>
      </c>
      <c r="DM332" t="inlineStr">
        <is>
          <t>air</t>
        </is>
      </c>
      <c r="DN332" t="inlineStr">
        <is>
          <t>Airburst</t>
        </is>
      </c>
      <c r="DT332" t="inlineStr">
        <is>
          <t>tower_ac25</t>
        </is>
      </c>
      <c r="EB332" t="n">
        <v>1</v>
      </c>
      <c r="EE332" t="b">
        <v>0</v>
      </c>
      <c r="EQ332" t="inlineStr">
        <is>
          <t>M242 Bushmaster 25 mm air-burst</t>
        </is>
      </c>
      <c r="ES332" t="inlineStr">
        <is>
          <t>flak</t>
        </is>
      </c>
      <c r="EU332" t="inlineStr">
        <is>
          <t>tower_ac25</t>
        </is>
      </c>
      <c r="EY332" t="n">
        <v>2</v>
      </c>
      <c r="FW332" t="inlineStr">
        <is>
          <t>Air</t>
        </is>
      </c>
      <c r="GA332" t="inlineStr">
        <is>
          <t>m242_bushmaster_25_mm_air_burst</t>
        </is>
      </c>
      <c r="GC332" t="inlineStr">
        <is>
          <t>flak</t>
        </is>
      </c>
      <c r="GD332" t="inlineStr">
        <is>
          <t>Assets/MachineBrigade/Resources/Data/balance.json: secondRounds.rounds[56]</t>
        </is>
      </c>
      <c r="GE332" t="inlineStr">
        <is>
          <t>{"id":"tower_ac25_flak","roundOf":"tower_ac25","inherits":"tower_ac25","weaponVariantId":"flak","weaponFamily":"m242_bushmaster_25_mm_air_burst","round":"flak","for":["air"],"real":"M242 Bushmaster 25 mm air-burst","damageType":"Fragmentation","pen":1,"damage":17,"splash":2,"form":"Airburst","piercing":false,"targets":"Air"}</t>
        </is>
      </c>
    </row>
    <row r="333">
      <c r="A333" t="inlineStr">
        <is>
          <t>tower_agl</t>
        </is>
      </c>
      <c r="B333" t="inlineStr">
        <is>
          <t>Mk 19 40 mm</t>
        </is>
      </c>
      <c r="C333" t="inlineStr">
        <is>
          <t>gl_40</t>
        </is>
      </c>
      <c r="D333" t="inlineStr"/>
      <c r="E333" t="inlineStr">
        <is>
          <t>mk_19_40_mm</t>
        </is>
      </c>
      <c r="F333" t="inlineStr">
        <is>
          <t>grenade</t>
        </is>
      </c>
      <c r="G333" t="n">
        <v>40</v>
      </c>
      <c r="H333" t="inlineStr"/>
      <c r="I333" t="inlineStr"/>
      <c r="J333" t="inlineStr"/>
      <c r="K333" t="inlineStr">
        <is>
          <t>HighExplosive</t>
        </is>
      </c>
      <c r="L333" t="n">
        <v>2</v>
      </c>
      <c r="M333" t="inlineStr">
        <is>
          <t>Bullet</t>
        </is>
      </c>
      <c r="N333" t="n">
        <v>1</v>
      </c>
      <c r="O333" t="inlineStr">
        <is>
          <t>RIPPLE</t>
        </is>
      </c>
      <c r="P333" t="n">
        <v>6</v>
      </c>
      <c r="Q333" t="n">
        <v>0.2</v>
      </c>
      <c r="R333" t="n">
        <v>4.3</v>
      </c>
      <c r="S333" t="n">
        <v>0</v>
      </c>
      <c r="T333" t="n">
        <v>0</v>
      </c>
      <c r="U333" t="n">
        <v>0</v>
      </c>
      <c r="V333" t="n">
        <v>0</v>
      </c>
      <c r="W333" t="n">
        <v>26</v>
      </c>
      <c r="X333" t="n">
        <v>2</v>
      </c>
      <c r="Y333" t="n">
        <v>0</v>
      </c>
      <c r="Z333" t="n">
        <v>70</v>
      </c>
      <c r="AA333" t="n">
        <v>30</v>
      </c>
      <c r="AB333" t="n">
        <v>0</v>
      </c>
      <c r="AC333" t="inlineStr">
        <is>
          <t>Ground</t>
        </is>
      </c>
      <c r="AD333" t="inlineStr"/>
      <c r="AE333" t="n">
        <v>2.2</v>
      </c>
      <c r="AF333" t="inlineStr">
        <is>
          <t>Small</t>
        </is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n">
        <v>40</v>
      </c>
      <c r="AO333" t="n">
        <v>0</v>
      </c>
      <c r="AP333" t="inlineStr">
        <is>
          <t>T1</t>
        </is>
      </c>
      <c r="AQ333" t="inlineStr">
        <is>
          <t>agl_40</t>
        </is>
      </c>
      <c r="AR333" t="inlineStr"/>
      <c r="AS333" t="inlineStr"/>
      <c r="AT333" t="inlineStr"/>
      <c r="AU333" t="n">
        <v>0</v>
      </c>
      <c r="AV333" t="inlineStr"/>
      <c r="AW333" t="n">
        <v>0</v>
      </c>
      <c r="AX333" t="b">
        <v>0</v>
      </c>
      <c r="AY333" t="inlineStr"/>
      <c r="AZ333">
        <f>IF(AND($AX$333,$AW$333&gt;$AA$333/$Z$333),$AW$333,$AA$333/$Z$333)</f>
        <v/>
      </c>
      <c r="BA333" t="n">
        <v>0.4285714285714285</v>
      </c>
      <c r="BB333" t="n">
        <v>375</v>
      </c>
      <c r="BC333" t="n">
        <v>60</v>
      </c>
      <c r="BD333" t="inlineStr">
        <is>
          <t>ac</t>
        </is>
      </c>
      <c r="BE333" t="inlineStr">
        <is>
          <t>US Army FM 3-22.27: 325-375 cyclic, 60 rapid</t>
        </is>
      </c>
      <c r="BG333" t="inlineStr">
        <is>
          <t>giong</t>
        </is>
      </c>
      <c r="CT333" t="n">
        <v>40</v>
      </c>
      <c r="DD333" t="n">
        <v>4.3</v>
      </c>
      <c r="DJ333" t="inlineStr">
        <is>
          <t>grenade</t>
        </is>
      </c>
      <c r="DT333" t="inlineStr">
        <is>
          <t>agl_40</t>
        </is>
      </c>
      <c r="EB333" t="n">
        <v>2</v>
      </c>
      <c r="EQ333" t="inlineStr">
        <is>
          <t>Mk 19 40 mm</t>
        </is>
      </c>
      <c r="EX333" t="n">
        <v>40</v>
      </c>
      <c r="GA333" t="inlineStr">
        <is>
          <t>mk_19_40_mm</t>
        </is>
      </c>
      <c r="GD333" t="inlineStr">
        <is>
          <t>Assets/MachineBrigade/Resources/Data/balance.json: weapons[235]</t>
        </is>
      </c>
      <c r="GE333" t="inlineStr">
        <is>
          <t>{"id":"tower_agl","weaponFamily":"mk_19_40_mm","real":"Mk 19 40 mm","family":"grenade","size":40,"caliberMm":40,"pen":2,"inherits":"agl_40","cooldown":4.3}</t>
        </is>
      </c>
    </row>
    <row r="334">
      <c r="A334" t="inlineStr">
        <is>
          <t>tower_flak_30</t>
        </is>
      </c>
      <c r="B334" t="inlineStr">
        <is>
          <t>2A38 30 mm (twin)</t>
        </is>
      </c>
      <c r="C334" t="inlineStr">
        <is>
          <t>cal_30</t>
        </is>
      </c>
      <c r="D334" t="inlineStr">
        <is>
          <t>flak</t>
        </is>
      </c>
      <c r="E334" t="inlineStr">
        <is>
          <t>2a38_30_mm</t>
        </is>
      </c>
      <c r="F334" t="inlineStr">
        <is>
          <t>autocannon</t>
        </is>
      </c>
      <c r="G334" t="n">
        <v>30</v>
      </c>
      <c r="H334" t="inlineStr"/>
      <c r="I334" t="inlineStr"/>
      <c r="J334" t="inlineStr"/>
      <c r="K334" t="inlineStr">
        <is>
          <t>Fragmentation</t>
        </is>
      </c>
      <c r="L334" t="n">
        <v>2</v>
      </c>
      <c r="M334" t="inlineStr">
        <is>
          <t>Bullet</t>
        </is>
      </c>
      <c r="N334" t="n">
        <v>1</v>
      </c>
      <c r="O334" t="inlineStr">
        <is>
          <t>RIPPLE</t>
        </is>
      </c>
      <c r="P334" t="n">
        <v>1</v>
      </c>
      <c r="Q334" t="n">
        <v>0.1</v>
      </c>
      <c r="R334" t="n">
        <v>0.0286</v>
      </c>
      <c r="S334" t="n">
        <v>120</v>
      </c>
      <c r="T334" t="n">
        <v>3.0286</v>
      </c>
      <c r="U334" t="n">
        <v>0</v>
      </c>
      <c r="V334" t="n">
        <v>0</v>
      </c>
      <c r="W334" t="n">
        <v>7</v>
      </c>
      <c r="X334" t="n">
        <v>2.5</v>
      </c>
      <c r="Y334" t="n">
        <v>0</v>
      </c>
      <c r="Z334" t="n">
        <v>280</v>
      </c>
      <c r="AA334" t="n">
        <v>42</v>
      </c>
      <c r="AB334" t="n">
        <v>0</v>
      </c>
      <c r="AC334" t="inlineStr">
        <is>
          <t>All</t>
        </is>
      </c>
      <c r="AD334" t="inlineStr"/>
      <c r="AE334" t="n">
        <v>1.4</v>
      </c>
      <c r="AF334" t="inlineStr">
        <is>
          <t>Small</t>
        </is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n">
        <v>30</v>
      </c>
      <c r="AO334" t="n">
        <v>0</v>
      </c>
      <c r="AP334" t="inlineStr">
        <is>
          <t>T1</t>
        </is>
      </c>
      <c r="AQ334" t="inlineStr">
        <is>
          <t>twin_30_flak</t>
        </is>
      </c>
      <c r="AR334" t="inlineStr">
        <is>
          <t>tower_flak_30_ap</t>
        </is>
      </c>
      <c r="AS334" t="inlineStr">
        <is>
          <t>thap</t>
        </is>
      </c>
      <c r="AT334" t="inlineStr">
        <is>
          <t>aa_turret</t>
        </is>
      </c>
      <c r="AU334" t="n">
        <v>1</v>
      </c>
      <c r="AV334" t="inlineStr">
        <is>
          <t>aa_turret:0</t>
        </is>
      </c>
      <c r="AW334" t="n">
        <v>0</v>
      </c>
      <c r="AX334" t="b">
        <v>0</v>
      </c>
      <c r="AY334" t="inlineStr"/>
      <c r="AZ334">
        <f>IF(AND($AX$334,$AW$334&gt;$AA$334/$Z$334),$AW$334,$AA$334/$Z$334)</f>
        <v/>
      </c>
      <c r="BA334" t="n">
        <v>0.15</v>
      </c>
      <c r="BB334" t="n">
        <v>2500</v>
      </c>
      <c r="BC334" t="n">
        <v>1000</v>
      </c>
      <c r="BD334" t="inlineStr">
        <is>
          <t>aa</t>
        </is>
      </c>
      <c r="BE334" t="inlineStr">
        <is>
          <t>Wikipedia '2A38': 4,060-5,000 rpm the twin mount</t>
        </is>
      </c>
      <c r="BG334" t="inlineStr">
        <is>
          <t>giong</t>
        </is>
      </c>
      <c r="CT334" t="n">
        <v>30</v>
      </c>
      <c r="CW334" t="n">
        <v>120</v>
      </c>
      <c r="CX334" t="n">
        <v>3.0286</v>
      </c>
      <c r="DD334" t="n">
        <v>0.0286</v>
      </c>
      <c r="DE334" t="n">
        <v>7</v>
      </c>
      <c r="DJ334" t="inlineStr">
        <is>
          <t>autocannon</t>
        </is>
      </c>
      <c r="DT334" t="inlineStr">
        <is>
          <t>twin_30_flak</t>
        </is>
      </c>
      <c r="EB334" t="n">
        <v>2</v>
      </c>
      <c r="EQ334" t="inlineStr">
        <is>
          <t>2A38 30 mm (twin)</t>
        </is>
      </c>
      <c r="EX334" t="n">
        <v>30</v>
      </c>
      <c r="GA334" t="inlineStr">
        <is>
          <t>2a38_30_mm</t>
        </is>
      </c>
      <c r="GD334" t="inlineStr">
        <is>
          <t>Assets/MachineBrigade/Resources/Data/balance.json: weapons[45]</t>
        </is>
      </c>
      <c r="GE334" t="inlineStr">
        <is>
          <t>{"id":"tower_flak_30","weaponFamily":"2a38_30_mm","damage":7,"real":"2A38 30 mm (twin)","family":"autocannon","size":30,"caliberMm":30,"pen":2,"inherits":"twin_30_flak","cooldown":0.0286,"clip":120,"clipReload":3.0286,"bonuses":[{"armor":"Light","mult":0.48},{"armor":"Heavy","mult":0.4}]}</t>
        </is>
      </c>
    </row>
    <row r="335">
      <c r="A335" t="inlineStr">
        <is>
          <t>tower_flak_30_ap</t>
        </is>
      </c>
      <c r="B335" t="inlineStr">
        <is>
          <t>2A38 30 mm AP (twin)</t>
        </is>
      </c>
      <c r="C335" t="inlineStr">
        <is>
          <t>cal_30</t>
        </is>
      </c>
      <c r="D335" t="inlineStr"/>
      <c r="E335" t="inlineStr">
        <is>
          <t>2a38_30_mm_ap</t>
        </is>
      </c>
      <c r="F335" t="inlineStr">
        <is>
          <t>autocannon</t>
        </is>
      </c>
      <c r="G335" t="n">
        <v>30</v>
      </c>
      <c r="H335" t="inlineStr"/>
      <c r="I335" t="inlineStr"/>
      <c r="J335" t="inlineStr"/>
      <c r="K335" t="inlineStr">
        <is>
          <t>Kinetic</t>
        </is>
      </c>
      <c r="L335" t="n">
        <v>2</v>
      </c>
      <c r="M335" t="inlineStr">
        <is>
          <t>Bullet</t>
        </is>
      </c>
      <c r="N335" t="n">
        <v>1</v>
      </c>
      <c r="O335" t="inlineStr">
        <is>
          <t>RIPPLE</t>
        </is>
      </c>
      <c r="P335" t="n">
        <v>1</v>
      </c>
      <c r="Q335" t="n">
        <v>0.1</v>
      </c>
      <c r="R335" t="n">
        <v>0.0286</v>
      </c>
      <c r="S335" t="n">
        <v>120</v>
      </c>
      <c r="T335" t="n">
        <v>3.0286</v>
      </c>
      <c r="U335" t="n">
        <v>0</v>
      </c>
      <c r="V335" t="n">
        <v>0</v>
      </c>
      <c r="W335" t="n">
        <v>7</v>
      </c>
      <c r="X335" t="n">
        <v>0</v>
      </c>
      <c r="Y335" t="n">
        <v>0</v>
      </c>
      <c r="Z335" t="n">
        <v>280</v>
      </c>
      <c r="AA335" t="n">
        <v>42</v>
      </c>
      <c r="AB335" t="n">
        <v>0</v>
      </c>
      <c r="AC335" t="inlineStr">
        <is>
          <t>Ground</t>
        </is>
      </c>
      <c r="AD335" t="inlineStr"/>
      <c r="AE335" t="n">
        <v>1.4</v>
      </c>
      <c r="AF335" t="inlineStr">
        <is>
          <t>Small</t>
        </is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n">
        <v>30</v>
      </c>
      <c r="AO335" t="n">
        <v>0</v>
      </c>
      <c r="AP335" t="inlineStr">
        <is>
          <t>T1</t>
        </is>
      </c>
      <c r="AQ335" t="inlineStr">
        <is>
          <t>tower_flak_30</t>
        </is>
      </c>
      <c r="AR335" t="inlineStr"/>
      <c r="AS335" t="inlineStr"/>
      <c r="AT335" t="inlineStr"/>
      <c r="AU335" t="n">
        <v>0</v>
      </c>
      <c r="AV335" t="inlineStr"/>
      <c r="AW335" t="n">
        <v>0</v>
      </c>
      <c r="AX335" t="b">
        <v>0</v>
      </c>
      <c r="AY335" t="inlineStr"/>
      <c r="AZ335">
        <f>IF(AND($AX$335,$AW$335&gt;$AA$335/$Z$335),$AW$335,$AA$335/$Z$335)</f>
        <v/>
      </c>
      <c r="BA335" t="n">
        <v>0.15</v>
      </c>
      <c r="BB335" t="n">
        <v>2500</v>
      </c>
      <c r="BC335" t="n">
        <v>1000</v>
      </c>
      <c r="BD335" t="inlineStr">
        <is>
          <t>aa</t>
        </is>
      </c>
      <c r="BE335" t="inlineStr">
        <is>
          <t>Wikipedia '2A38': 4,060-5,000 rpm the twin mount</t>
        </is>
      </c>
      <c r="BG335" t="inlineStr">
        <is>
          <t>giong</t>
        </is>
      </c>
      <c r="CQ335" t="inlineStr"/>
      <c r="DE335" t="n">
        <v>7</v>
      </c>
      <c r="DF335" t="inlineStr">
        <is>
          <t>Kinetic</t>
        </is>
      </c>
      <c r="DM335" t="inlineStr">
        <is>
          <t>ground</t>
        </is>
      </c>
      <c r="DN335" t="inlineStr">
        <is>
          <t>BeltedAutocannon</t>
        </is>
      </c>
      <c r="DT335" t="inlineStr">
        <is>
          <t>tower_flak_30</t>
        </is>
      </c>
      <c r="EB335" t="n">
        <v>2</v>
      </c>
      <c r="EE335" t="b">
        <v>1</v>
      </c>
      <c r="EQ335" t="inlineStr">
        <is>
          <t>2A38 30 mm AP (twin)</t>
        </is>
      </c>
      <c r="ES335" t="inlineStr">
        <is>
          <t>ap</t>
        </is>
      </c>
      <c r="EU335" t="inlineStr">
        <is>
          <t>tower_flak_30</t>
        </is>
      </c>
      <c r="EY335" t="n">
        <v>0</v>
      </c>
      <c r="FW335" t="inlineStr">
        <is>
          <t>Ground</t>
        </is>
      </c>
      <c r="GA335" t="inlineStr">
        <is>
          <t>2a38_30_mm_ap</t>
        </is>
      </c>
      <c r="GC335" t="inlineStr"/>
      <c r="GD335" t="inlineStr">
        <is>
          <t>Assets/MachineBrigade/Resources/Data/balance.json: secondRounds.rounds[57]</t>
        </is>
      </c>
      <c r="GE335" t="inlineStr">
        <is>
          <t>{"id":"tower_flak_30_ap","roundOf":"tower_flak_30","inherits":"tower_flak_30","weaponVariantId":"","weaponFamily":"2a38_30_mm_ap","round":"ap","for":["ground"],"real":"2A38 30 mm AP (twin)","damageType":"Kinetic","pen":2,"damage":7,"splash":0,"form":"BeltedAutocannon","piercing":true,"targets":"Ground","bonuses":[]}</t>
        </is>
      </c>
    </row>
    <row r="336">
      <c r="A336" t="inlineStr">
        <is>
          <t>tower_hmg</t>
        </is>
      </c>
      <c r="B336" t="inlineStr">
        <is>
          <t>M2 Browning 12.7 mm</t>
        </is>
      </c>
      <c r="C336" t="inlineStr">
        <is>
          <t>cal_12_7</t>
        </is>
      </c>
      <c r="D336" t="inlineStr"/>
      <c r="E336" t="inlineStr">
        <is>
          <t>m2_browning_12_7_mm</t>
        </is>
      </c>
      <c r="F336" t="inlineStr">
        <is>
          <t>mg</t>
        </is>
      </c>
      <c r="G336" t="n">
        <v>12.7</v>
      </c>
      <c r="H336" t="inlineStr"/>
      <c r="I336" t="inlineStr"/>
      <c r="J336" t="inlineStr"/>
      <c r="K336" t="inlineStr">
        <is>
          <t>Kinetic</t>
        </is>
      </c>
      <c r="L336" t="n">
        <v>1</v>
      </c>
      <c r="M336" t="inlineStr">
        <is>
          <t>Bullet</t>
        </is>
      </c>
      <c r="N336" t="n">
        <v>1</v>
      </c>
      <c r="O336" t="inlineStr">
        <is>
          <t>RIPPLE</t>
        </is>
      </c>
      <c r="P336" t="n">
        <v>1</v>
      </c>
      <c r="Q336" t="n">
        <v>0.1</v>
      </c>
      <c r="R336" t="n">
        <v>0.08500000000000001</v>
      </c>
      <c r="S336" t="n">
        <v>100</v>
      </c>
      <c r="T336" t="n">
        <v>4.085</v>
      </c>
      <c r="U336" t="n">
        <v>0</v>
      </c>
      <c r="V336" t="n">
        <v>0</v>
      </c>
      <c r="W336" t="n">
        <v>9.5</v>
      </c>
      <c r="X336" t="n">
        <v>0</v>
      </c>
      <c r="Y336" t="n">
        <v>0</v>
      </c>
      <c r="Z336" t="n">
        <v>230</v>
      </c>
      <c r="AA336" t="n">
        <v>30</v>
      </c>
      <c r="AB336" t="n">
        <v>0</v>
      </c>
      <c r="AC336" t="inlineStr">
        <is>
          <t>All</t>
        </is>
      </c>
      <c r="AD336" t="inlineStr"/>
      <c r="AE336" t="n">
        <v>1.3</v>
      </c>
      <c r="AF336" t="inlineStr">
        <is>
          <t>Small</t>
        </is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n">
        <v>12.7</v>
      </c>
      <c r="AO336" t="n">
        <v>0</v>
      </c>
      <c r="AP336" t="inlineStr">
        <is>
          <t>T0</t>
        </is>
      </c>
      <c r="AQ336" t="inlineStr">
        <is>
          <t>hmg_roof</t>
        </is>
      </c>
      <c r="AR336" t="inlineStr">
        <is>
          <t>tower_hmg_api</t>
        </is>
      </c>
      <c r="AS336" t="inlineStr">
        <is>
          <t>thap</t>
        </is>
      </c>
      <c r="AT336" t="inlineStr">
        <is>
          <t>guard_tower;guard_tower.watch</t>
        </is>
      </c>
      <c r="AU336" t="n">
        <v>2</v>
      </c>
      <c r="AV336" t="inlineStr">
        <is>
          <t>guard_tower:0;guard_tower.watch:0</t>
        </is>
      </c>
      <c r="AW336" t="n">
        <v>0</v>
      </c>
      <c r="AX336" t="b">
        <v>0</v>
      </c>
      <c r="AY336" t="inlineStr"/>
      <c r="AZ336">
        <f>IF(AND($AX$336,$AW$336&gt;$AA$336/$Z$336),$AW$336,$AA$336/$Z$336)</f>
        <v/>
      </c>
      <c r="BA336" t="n">
        <v>0.1304347826086956</v>
      </c>
      <c r="BB336" t="n">
        <v>600</v>
      </c>
      <c r="BC336" t="n">
        <v>40</v>
      </c>
      <c r="BD336" t="inlineStr">
        <is>
          <t>mg</t>
        </is>
      </c>
      <c r="BE336" t="inlineStr">
        <is>
          <t>US Army FM 3-22.65: cyclic 450-600, rapid 40 rpm</t>
        </is>
      </c>
      <c r="BG336" t="inlineStr">
        <is>
          <t>giong</t>
        </is>
      </c>
      <c r="CT336" t="n">
        <v>12.7</v>
      </c>
      <c r="CW336" t="n">
        <v>100</v>
      </c>
      <c r="CX336" t="n">
        <v>4.085</v>
      </c>
      <c r="DD336" t="n">
        <v>0.08500000000000001</v>
      </c>
      <c r="DJ336" t="inlineStr">
        <is>
          <t>mg</t>
        </is>
      </c>
      <c r="DT336" t="inlineStr">
        <is>
          <t>hmg_roof</t>
        </is>
      </c>
      <c r="EB336" t="n">
        <v>1</v>
      </c>
      <c r="EQ336" t="inlineStr">
        <is>
          <t>M2 Browning 12.7 mm</t>
        </is>
      </c>
      <c r="EX336" t="n">
        <v>12.7</v>
      </c>
      <c r="GA336" t="inlineStr">
        <is>
          <t>m2_browning_12_7_mm</t>
        </is>
      </c>
      <c r="GD336" t="inlineStr">
        <is>
          <t>Assets/MachineBrigade/Resources/Data/balance.json: weapons[7]</t>
        </is>
      </c>
      <c r="GE336" t="inlineStr">
        <is>
          <t>{"id":"tower_hmg","weaponFamily":"m2_browning_12_7_mm","real":"M2 Browning 12.7 mm","family":"mg","size":12.7,"caliberMm":12.7,"pen":1,"inherits":"hmg_roof","cooldown":0.085,"clip":100,"clipReload":4.085}</t>
        </is>
      </c>
    </row>
    <row r="337">
      <c r="A337" t="inlineStr">
        <is>
          <t>tower_hmg_api</t>
        </is>
      </c>
      <c r="B337" t="inlineStr">
        <is>
          <t>M2 Browning 12.7 mm API</t>
        </is>
      </c>
      <c r="C337" t="inlineStr">
        <is>
          <t>cal_12_7</t>
        </is>
      </c>
      <c r="D337" t="inlineStr"/>
      <c r="E337" t="inlineStr">
        <is>
          <t>m2_browning_12_7_mm_api</t>
        </is>
      </c>
      <c r="F337" t="inlineStr">
        <is>
          <t>mg</t>
        </is>
      </c>
      <c r="G337" t="n">
        <v>12.7</v>
      </c>
      <c r="H337" t="inlineStr"/>
      <c r="I337" t="inlineStr"/>
      <c r="J337" t="inlineStr"/>
      <c r="K337" t="inlineStr">
        <is>
          <t>Kinetic</t>
        </is>
      </c>
      <c r="L337" t="n">
        <v>2</v>
      </c>
      <c r="M337" t="inlineStr">
        <is>
          <t>Bullet</t>
        </is>
      </c>
      <c r="N337" t="n">
        <v>1</v>
      </c>
      <c r="O337" t="inlineStr">
        <is>
          <t>RIPPLE</t>
        </is>
      </c>
      <c r="P337" t="n">
        <v>1</v>
      </c>
      <c r="Q337" t="n">
        <v>0.1</v>
      </c>
      <c r="R337" t="n">
        <v>0.08500000000000001</v>
      </c>
      <c r="S337" t="n">
        <v>100</v>
      </c>
      <c r="T337" t="n">
        <v>4.085</v>
      </c>
      <c r="U337" t="n">
        <v>0</v>
      </c>
      <c r="V337" t="n">
        <v>0</v>
      </c>
      <c r="W337" t="n">
        <v>9.5</v>
      </c>
      <c r="X337" t="n">
        <v>0</v>
      </c>
      <c r="Y337" t="n">
        <v>0</v>
      </c>
      <c r="Z337" t="n">
        <v>230</v>
      </c>
      <c r="AA337" t="n">
        <v>30</v>
      </c>
      <c r="AB337" t="n">
        <v>0</v>
      </c>
      <c r="AC337" t="inlineStr">
        <is>
          <t>All</t>
        </is>
      </c>
      <c r="AD337" t="inlineStr"/>
      <c r="AE337" t="n">
        <v>1.3</v>
      </c>
      <c r="AF337" t="inlineStr">
        <is>
          <t>Small</t>
        </is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n">
        <v>12.7</v>
      </c>
      <c r="AO337" t="n">
        <v>0</v>
      </c>
      <c r="AP337" t="inlineStr">
        <is>
          <t>T0</t>
        </is>
      </c>
      <c r="AQ337" t="inlineStr">
        <is>
          <t>tower_hmg</t>
        </is>
      </c>
      <c r="AR337" t="inlineStr"/>
      <c r="AS337" t="inlineStr"/>
      <c r="AT337" t="inlineStr"/>
      <c r="AU337" t="n">
        <v>0</v>
      </c>
      <c r="AV337" t="inlineStr"/>
      <c r="AW337" t="n">
        <v>0</v>
      </c>
      <c r="AX337" t="b">
        <v>0</v>
      </c>
      <c r="AY337" t="inlineStr"/>
      <c r="AZ337">
        <f>IF(AND($AX$337,$AW$337&gt;$AA$337/$Z$337),$AW$337,$AA$337/$Z$337)</f>
        <v/>
      </c>
      <c r="BA337" t="n">
        <v>0.1304347826086956</v>
      </c>
      <c r="BB337" t="n">
        <v>600</v>
      </c>
      <c r="BC337" t="n">
        <v>40</v>
      </c>
      <c r="BD337" t="inlineStr">
        <is>
          <t>mg</t>
        </is>
      </c>
      <c r="BE337" t="inlineStr">
        <is>
          <t>US Army FM 3-22.65: cyclic 450-600, rapid 40 rpm</t>
        </is>
      </c>
      <c r="BG337" t="inlineStr">
        <is>
          <t>giong</t>
        </is>
      </c>
      <c r="DE337" t="n">
        <v>9.5</v>
      </c>
      <c r="DF337" t="inlineStr">
        <is>
          <t>Kinetic</t>
        </is>
      </c>
      <c r="DH337" t="b">
        <v>1</v>
      </c>
      <c r="DM337" t="inlineStr">
        <is>
          <t>any</t>
        </is>
      </c>
      <c r="DN337" t="inlineStr">
        <is>
          <t>BulletBig</t>
        </is>
      </c>
      <c r="DT337" t="inlineStr">
        <is>
          <t>tower_hmg</t>
        </is>
      </c>
      <c r="EB337" t="n">
        <v>2</v>
      </c>
      <c r="EE337" t="b">
        <v>1</v>
      </c>
      <c r="EQ337" t="inlineStr">
        <is>
          <t>M2 Browning 12.7 mm API</t>
        </is>
      </c>
      <c r="ES337" t="inlineStr">
        <is>
          <t>api</t>
        </is>
      </c>
      <c r="EU337" t="inlineStr">
        <is>
          <t>tower_hmg</t>
        </is>
      </c>
      <c r="GA337" t="inlineStr">
        <is>
          <t>m2_browning_12_7_mm_api</t>
        </is>
      </c>
      <c r="GD337" t="inlineStr">
        <is>
          <t>Assets/MachineBrigade/Resources/Data/balance.json: secondRounds.rounds[58]</t>
        </is>
      </c>
      <c r="GE337" t="inlineStr">
        <is>
          <t>{"id":"tower_hmg_api","roundOf":"tower_hmg","inherits":"tower_hmg","weaponFamily":"m2_browning_12_7_mm_api","round":"api","for":["any"],"elite":true,"real":"M2 Browning 12.7 mm API","damageType":"Kinetic","pen":2,"damage":9.5,"form":"BulletBig","piercing":true}</t>
        </is>
      </c>
    </row>
    <row r="338">
      <c r="A338" t="inlineStr">
        <is>
          <t>tower_kornet</t>
        </is>
      </c>
      <c r="B338" t="inlineStr">
        <is>
          <t>9M133 Kornet</t>
        </is>
      </c>
      <c r="C338" t="inlineStr">
        <is>
          <t>atgm_kornet</t>
        </is>
      </c>
      <c r="D338" t="inlineStr"/>
      <c r="E338" t="inlineStr">
        <is>
          <t>9m133_kornet</t>
        </is>
      </c>
      <c r="F338" t="inlineStr">
        <is>
          <t>atgm</t>
        </is>
      </c>
      <c r="G338" t="inlineStr"/>
      <c r="H338" t="n">
        <v>7</v>
      </c>
      <c r="I338" t="inlineStr"/>
      <c r="J338" t="inlineStr"/>
      <c r="K338" t="inlineStr">
        <is>
          <t>ShapedCharge</t>
        </is>
      </c>
      <c r="L338" t="n">
        <v>4</v>
      </c>
      <c r="M338" t="inlineStr">
        <is>
          <t>Missile</t>
        </is>
      </c>
      <c r="N338" t="n">
        <v>1</v>
      </c>
      <c r="O338" t="inlineStr">
        <is>
          <t>RIPPLE</t>
        </is>
      </c>
      <c r="P338" t="n">
        <v>2</v>
      </c>
      <c r="Q338" t="n">
        <v>0.6</v>
      </c>
      <c r="R338" t="n">
        <v>4.95</v>
      </c>
      <c r="S338" t="n">
        <v>0</v>
      </c>
      <c r="T338" t="n">
        <v>0</v>
      </c>
      <c r="U338" t="n">
        <v>0</v>
      </c>
      <c r="V338" t="n">
        <v>0</v>
      </c>
      <c r="W338" t="n">
        <v>230</v>
      </c>
      <c r="X338" t="n">
        <v>0</v>
      </c>
      <c r="Y338" t="n">
        <v>0</v>
      </c>
      <c r="Z338" t="n">
        <v>80</v>
      </c>
      <c r="AA338" t="n">
        <v>50</v>
      </c>
      <c r="AB338" t="n">
        <v>0</v>
      </c>
      <c r="AC338" t="inlineStr">
        <is>
          <t>Ground</t>
        </is>
      </c>
      <c r="AD338" t="inlineStr"/>
      <c r="AE338" t="n">
        <v>0</v>
      </c>
      <c r="AF338" t="inlineStr">
        <is>
          <t>Medium</t>
        </is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n">
        <v>29</v>
      </c>
      <c r="AO338" t="n">
        <v>0</v>
      </c>
      <c r="AP338" t="inlineStr">
        <is>
          <t>T2</t>
        </is>
      </c>
      <c r="AQ338" t="inlineStr">
        <is>
          <t>kornet_twin</t>
        </is>
      </c>
      <c r="AR338" t="inlineStr"/>
      <c r="AS338" t="inlineStr">
        <is>
          <t>thap</t>
        </is>
      </c>
      <c r="AT338" t="inlineStr">
        <is>
          <t>atgm_tower</t>
        </is>
      </c>
      <c r="AU338" t="n">
        <v>1</v>
      </c>
      <c r="AV338" t="inlineStr">
        <is>
          <t>atgm_tower:0</t>
        </is>
      </c>
      <c r="AW338" t="n">
        <v>0</v>
      </c>
      <c r="AX338" t="b">
        <v>0</v>
      </c>
      <c r="AY338" t="inlineStr"/>
      <c r="AZ338">
        <f>IF(AND($AX$338,$AW$338&gt;$AA$338/$Z$338),$AW$338,$AA$338/$Z$338)</f>
        <v/>
      </c>
      <c r="BA338" t="n">
        <v>0.625</v>
      </c>
      <c r="BB338" t="n">
        <v>3</v>
      </c>
      <c r="BC338" t="n">
        <v>3</v>
      </c>
      <c r="BD338" t="inlineStr">
        <is>
          <t>atgm</t>
        </is>
      </c>
      <c r="BE338" t="inlineStr">
        <is>
          <t>Wikipedia '9M133 Kornet': 2-3 rpm</t>
        </is>
      </c>
      <c r="BG338" t="inlineStr">
        <is>
          <t>doi</t>
        </is>
      </c>
      <c r="BR338" t="n">
        <v>22</v>
      </c>
      <c r="BS338" t="n">
        <v>80</v>
      </c>
      <c r="DD338" t="n">
        <v>4.95</v>
      </c>
      <c r="DJ338" t="inlineStr">
        <is>
          <t>atgm</t>
        </is>
      </c>
      <c r="DT338" t="inlineStr">
        <is>
          <t>kornet_twin</t>
        </is>
      </c>
      <c r="EB338" t="n">
        <v>4</v>
      </c>
      <c r="EQ338" t="inlineStr">
        <is>
          <t>9M133 Kornet</t>
        </is>
      </c>
      <c r="EX338" t="n">
        <v>29</v>
      </c>
      <c r="FZ338" t="n">
        <v>7</v>
      </c>
      <c r="GA338" t="inlineStr">
        <is>
          <t>9m133_kornet</t>
        </is>
      </c>
      <c r="GD338" t="inlineStr">
        <is>
          <t>Assets/MachineBrigade/Resources/Data/balance.json: weapons[103]</t>
        </is>
      </c>
      <c r="GE338" t="inlineStr">
        <is>
          <t>{"id":"tower_kornet","weaponFamily":"9m133_kornet","real":"9M133 Kornet","family":"atgm","size":29,"warheadKg":7,"pen":4,"inherits":"kornet_twin","cooldown":4.95,"bonuses":[{"armor":"Light","mult":0.4}]}</t>
        </is>
      </c>
    </row>
    <row r="339">
      <c r="A339" t="inlineStr">
        <is>
          <t>train_gun</t>
        </is>
      </c>
      <c r="B339" t="inlineStr">
        <is>
          <t>B-38 152 mm</t>
        </is>
      </c>
      <c r="C339" t="inlineStr">
        <is>
          <t>cal_152_155</t>
        </is>
      </c>
      <c r="D339" t="inlineStr">
        <is>
          <t>ap</t>
        </is>
      </c>
      <c r="E339" t="inlineStr"/>
      <c r="F339" t="inlineStr">
        <is>
          <t>tank_gun</t>
        </is>
      </c>
      <c r="G339" t="n">
        <v>152</v>
      </c>
      <c r="H339" t="inlineStr"/>
      <c r="I339" t="inlineStr"/>
      <c r="J339" t="inlineStr"/>
      <c r="K339" t="inlineStr">
        <is>
          <t>Kinetic</t>
        </is>
      </c>
      <c r="L339" t="n">
        <v>4</v>
      </c>
      <c r="M339" t="inlineStr">
        <is>
          <t>Shell</t>
        </is>
      </c>
      <c r="N339" t="n">
        <v>1</v>
      </c>
      <c r="O339" t="inlineStr">
        <is>
          <t>RIPPLE</t>
        </is>
      </c>
      <c r="P339" t="n">
        <v>1</v>
      </c>
      <c r="Q339" t="n">
        <v>0.1</v>
      </c>
      <c r="R339" t="n">
        <v>8</v>
      </c>
      <c r="S339" t="n">
        <v>0</v>
      </c>
      <c r="T339" t="n">
        <v>0</v>
      </c>
      <c r="U339" t="n">
        <v>0</v>
      </c>
      <c r="V339" t="n">
        <v>0</v>
      </c>
      <c r="W339" t="n">
        <v>600</v>
      </c>
      <c r="X339" t="n">
        <v>2.5</v>
      </c>
      <c r="Y339" t="n">
        <v>0</v>
      </c>
      <c r="Z339" t="n">
        <v>170</v>
      </c>
      <c r="AA339" t="n">
        <v>42</v>
      </c>
      <c r="AB339" t="n">
        <v>0</v>
      </c>
      <c r="AC339" t="inlineStr">
        <is>
          <t>Ground</t>
        </is>
      </c>
      <c r="AD339" t="inlineStr"/>
      <c r="AE339" t="n">
        <v>0.6</v>
      </c>
      <c r="AF339" t="inlineStr">
        <is>
          <t>Large</t>
        </is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n">
        <v>152</v>
      </c>
      <c r="AO339" t="n">
        <v>0</v>
      </c>
      <c r="AP339" t="inlineStr">
        <is>
          <t>T3</t>
        </is>
      </c>
      <c r="AQ339" t="inlineStr"/>
      <c r="AR339" t="inlineStr">
        <is>
          <t>train_gun_he</t>
        </is>
      </c>
      <c r="AS339" t="inlineStr">
        <is>
          <t>boss</t>
        </is>
      </c>
      <c r="AT339" t="inlineStr">
        <is>
          <t>armored_train</t>
        </is>
      </c>
      <c r="AU339" t="n">
        <v>1</v>
      </c>
      <c r="AV339" t="inlineStr">
        <is>
          <t>armored_train:0;armored_train:4</t>
        </is>
      </c>
      <c r="AW339" t="n">
        <v>0</v>
      </c>
      <c r="AX339" t="b">
        <v>0</v>
      </c>
      <c r="AY339" t="inlineStr"/>
      <c r="AZ339">
        <f>IF(AND($AX$339,$AW$339&gt;$AA$339/$Z$339),$AW$339,$AA$339/$Z$339)</f>
        <v/>
      </c>
      <c r="BA339" t="n">
        <v>0.2470588235294118</v>
      </c>
      <c r="BB339" t="n">
        <v>7.5</v>
      </c>
      <c r="BC339" t="n">
        <v>5</v>
      </c>
      <c r="BD339" t="inlineStr">
        <is>
          <t>gun</t>
        </is>
      </c>
      <c r="BE339" t="inlineStr">
        <is>
          <t>Wikipedia '15.2 cm/57 B-38': 5-7.5 rpm</t>
        </is>
      </c>
      <c r="BF339" t="inlineStr">
        <is>
          <t>real B-38 5-7.5 rpm (8 s at 7.5); wave 1's 5.11 s is too fast</t>
        </is>
      </c>
      <c r="BG339" t="inlineStr">
        <is>
          <t>doi</t>
        </is>
      </c>
      <c r="BH339" t="n">
        <v>320</v>
      </c>
      <c r="BI339" t="n">
        <v>600</v>
      </c>
      <c r="BJ339" t="n">
        <v>5.11</v>
      </c>
      <c r="BK339" t="n">
        <v>8</v>
      </c>
      <c r="CT339" t="n">
        <v>152</v>
      </c>
      <c r="DD339" t="n">
        <v>8</v>
      </c>
      <c r="DE339" t="n">
        <v>600</v>
      </c>
      <c r="DF339" t="inlineStr">
        <is>
          <t>Kinetic</t>
        </is>
      </c>
      <c r="DJ339" t="inlineStr">
        <is>
          <t>tank_gun</t>
        </is>
      </c>
      <c r="DO339" t="n">
        <v>14</v>
      </c>
      <c r="DS339" t="inlineStr">
        <is>
          <t>Large</t>
        </is>
      </c>
      <c r="EB339" t="n">
        <v>4</v>
      </c>
      <c r="EE339" t="b">
        <v>1</v>
      </c>
      <c r="EK339" t="n">
        <v>170</v>
      </c>
      <c r="EP339" t="n">
        <v>42</v>
      </c>
      <c r="EQ339" t="inlineStr">
        <is>
          <t>B-38 152 mm</t>
        </is>
      </c>
      <c r="EX339" t="n">
        <v>152</v>
      </c>
      <c r="EY339" t="n">
        <v>2.5</v>
      </c>
      <c r="EZ339" t="n">
        <v>0.6</v>
      </c>
      <c r="GB339" t="inlineStr">
        <is>
          <t>cal_152_155</t>
        </is>
      </c>
      <c r="GC339" t="inlineStr">
        <is>
          <t>ap</t>
        </is>
      </c>
      <c r="GD339" t="inlineStr">
        <is>
          <t>Assets/MachineBrigade/Resources/Data/balance.json: weapons[233]</t>
        </is>
      </c>
      <c r="GE339" t="inlineStr">
        <is>
          <t>{"id":"train_gun","groundMinReach":14,"weaponFamilyId":"cal_152_155","weaponVariantId":"ap","real":"B-38 152 mm","family":"tank_gun","size":152,"caliberMm":152,"pen":4,"piercing":true,"damageType":"Kinetic","damage":600,"cooldown":8,"range":42,"projectileSpeed":170,"splash":2.5,"spread":0.6,"impactTier":"Large"}</t>
        </is>
      </c>
    </row>
    <row r="340">
      <c r="A340" t="inlineStr">
        <is>
          <t>train_gun_he</t>
        </is>
      </c>
      <c r="B340" t="inlineStr">
        <is>
          <t>B-38 152 mm HE</t>
        </is>
      </c>
      <c r="C340" t="inlineStr">
        <is>
          <t>cal_152_155</t>
        </is>
      </c>
      <c r="D340" t="inlineStr"/>
      <c r="E340" t="inlineStr"/>
      <c r="F340" t="inlineStr">
        <is>
          <t>tank_gun</t>
        </is>
      </c>
      <c r="G340" t="n">
        <v>152</v>
      </c>
      <c r="H340" t="inlineStr"/>
      <c r="I340" t="inlineStr"/>
      <c r="J340" t="inlineStr"/>
      <c r="K340" t="inlineStr">
        <is>
          <t>HighExplosive</t>
        </is>
      </c>
      <c r="L340" t="n">
        <v>2</v>
      </c>
      <c r="M340" t="inlineStr">
        <is>
          <t>Shell</t>
        </is>
      </c>
      <c r="N340" t="n">
        <v>1</v>
      </c>
      <c r="O340" t="inlineStr">
        <is>
          <t>RIPPLE</t>
        </is>
      </c>
      <c r="P340" t="n">
        <v>1</v>
      </c>
      <c r="Q340" t="n">
        <v>0.1</v>
      </c>
      <c r="R340" t="n">
        <v>8</v>
      </c>
      <c r="S340" t="n">
        <v>0</v>
      </c>
      <c r="T340" t="n">
        <v>0</v>
      </c>
      <c r="U340" t="n">
        <v>0</v>
      </c>
      <c r="V340" t="n">
        <v>0</v>
      </c>
      <c r="W340" t="n">
        <v>600</v>
      </c>
      <c r="X340" t="n">
        <v>7</v>
      </c>
      <c r="Y340" t="n">
        <v>14</v>
      </c>
      <c r="Z340" t="n">
        <v>170</v>
      </c>
      <c r="AA340" t="n">
        <v>42</v>
      </c>
      <c r="AB340" t="n">
        <v>0</v>
      </c>
      <c r="AC340" t="inlineStr">
        <is>
          <t>Ground</t>
        </is>
      </c>
      <c r="AD340" t="inlineStr"/>
      <c r="AE340" t="n">
        <v>0.6</v>
      </c>
      <c r="AF340" t="inlineStr">
        <is>
          <t>Huge</t>
        </is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n">
        <v>152</v>
      </c>
      <c r="AO340" t="n">
        <v>0</v>
      </c>
      <c r="AP340" t="inlineStr">
        <is>
          <t>T3</t>
        </is>
      </c>
      <c r="AQ340" t="inlineStr">
        <is>
          <t>train_gun</t>
        </is>
      </c>
      <c r="AR340" t="inlineStr"/>
      <c r="AS340" t="inlineStr"/>
      <c r="AT340" t="inlineStr"/>
      <c r="AU340" t="n">
        <v>0</v>
      </c>
      <c r="AV340" t="inlineStr"/>
      <c r="AW340" t="n">
        <v>0</v>
      </c>
      <c r="AX340" t="b">
        <v>0</v>
      </c>
      <c r="AY340" t="inlineStr"/>
      <c r="AZ340">
        <f>IF(AND($AX$340,$AW$340&gt;$AA$340/$Z$340),$AW$340,$AA$340/$Z$340)</f>
        <v/>
      </c>
      <c r="BA340" t="n">
        <v>0.2470588235294118</v>
      </c>
      <c r="BB340" t="n">
        <v>7.5</v>
      </c>
      <c r="BC340" t="n">
        <v>5</v>
      </c>
      <c r="BD340" t="inlineStr">
        <is>
          <t>gun</t>
        </is>
      </c>
      <c r="BE340" t="inlineStr">
        <is>
          <t>Wikipedia '15.2 cm/57 B-38': 5-7.5 rpm</t>
        </is>
      </c>
      <c r="BG340" t="inlineStr">
        <is>
          <t>doi</t>
        </is>
      </c>
      <c r="BH340" t="n">
        <v>320</v>
      </c>
      <c r="BI340" t="n">
        <v>600</v>
      </c>
      <c r="BJ340" t="n">
        <v>5.11</v>
      </c>
      <c r="BK340" t="n">
        <v>8</v>
      </c>
      <c r="BN340" t="n">
        <v>3</v>
      </c>
      <c r="BO340" t="n">
        <v>7</v>
      </c>
      <c r="BP340" t="n">
        <v>0</v>
      </c>
      <c r="BQ340" t="n">
        <v>14</v>
      </c>
      <c r="DE340" t="n">
        <v>600</v>
      </c>
      <c r="DF340" t="inlineStr">
        <is>
          <t>HighExplosive</t>
        </is>
      </c>
      <c r="DG340" t="n">
        <v>14</v>
      </c>
      <c r="DM340" t="inlineStr">
        <is>
          <t>light;structure</t>
        </is>
      </c>
      <c r="DN340" t="inlineStr">
        <is>
          <t>HeShell</t>
        </is>
      </c>
      <c r="DS340" t="inlineStr">
        <is>
          <t>Huge</t>
        </is>
      </c>
      <c r="DT340" t="inlineStr">
        <is>
          <t>train_gun</t>
        </is>
      </c>
      <c r="EB340" t="n">
        <v>2</v>
      </c>
      <c r="EE340" t="b">
        <v>0</v>
      </c>
      <c r="EQ340" t="inlineStr">
        <is>
          <t>B-38 152 mm HE</t>
        </is>
      </c>
      <c r="ES340" t="inlineStr">
        <is>
          <t>he</t>
        </is>
      </c>
      <c r="EU340" t="inlineStr">
        <is>
          <t>train_gun</t>
        </is>
      </c>
      <c r="EY340" t="n">
        <v>7</v>
      </c>
      <c r="FW340" t="inlineStr">
        <is>
          <t>Ground</t>
        </is>
      </c>
      <c r="GA340" t="inlineStr"/>
      <c r="GC340" t="inlineStr"/>
      <c r="GD340" t="inlineStr">
        <is>
          <t>Assets/MachineBrigade/Resources/Data/balance.json: secondRounds.rounds[59]</t>
        </is>
      </c>
      <c r="GE340" t="inlineStr">
        <is>
          <t>{"id":"train_gun_he","roundOf":"train_gun","inherits":"train_gun","weaponVariantId":"","edge":14,"weaponFamily":"","round":"he","for":["light","structure"],"real":"B-38 152 mm HE","damageType":"HighExplosive","pen":2,"damage":600,"splash":7,"form":"HeShell","piercing":false,"targets":"Ground","impactTier":"Huge"}</t>
        </is>
      </c>
    </row>
    <row r="341">
      <c r="A341" t="inlineStr">
        <is>
          <t>train_mortar</t>
        </is>
      </c>
      <c r="B341" t="inlineStr">
        <is>
          <t>2B11 120 mm (twin)</t>
        </is>
      </c>
      <c r="C341" t="inlineStr">
        <is>
          <t>cal_120_he</t>
        </is>
      </c>
      <c r="D341" t="inlineStr">
        <is>
          <t>mortar</t>
        </is>
      </c>
      <c r="E341" t="inlineStr">
        <is>
          <t>2b11_120_mm</t>
        </is>
      </c>
      <c r="F341" t="inlineStr">
        <is>
          <t>mortar</t>
        </is>
      </c>
      <c r="G341" t="n">
        <v>120</v>
      </c>
      <c r="H341" t="inlineStr"/>
      <c r="I341" t="inlineStr"/>
      <c r="J341" t="inlineStr"/>
      <c r="K341" t="inlineStr">
        <is>
          <t>HighExplosive</t>
        </is>
      </c>
      <c r="L341" t="n">
        <v>2</v>
      </c>
      <c r="M341" t="inlineStr">
        <is>
          <t>Shell</t>
        </is>
      </c>
      <c r="N341" t="n">
        <v>1</v>
      </c>
      <c r="O341" t="inlineStr">
        <is>
          <t>RIPPLE</t>
        </is>
      </c>
      <c r="P341" t="n">
        <v>2</v>
      </c>
      <c r="Q341" t="n">
        <v>0.8</v>
      </c>
      <c r="R341" t="n">
        <v>7.5</v>
      </c>
      <c r="S341" t="n">
        <v>0</v>
      </c>
      <c r="T341" t="n">
        <v>0</v>
      </c>
      <c r="U341" t="n">
        <v>0</v>
      </c>
      <c r="V341" t="n">
        <v>0</v>
      </c>
      <c r="W341" t="n">
        <v>150</v>
      </c>
      <c r="X341" t="n">
        <v>5</v>
      </c>
      <c r="Y341" t="n">
        <v>0</v>
      </c>
      <c r="Z341" t="n">
        <v>60</v>
      </c>
      <c r="AA341" t="n">
        <v>60</v>
      </c>
      <c r="AB341" t="n">
        <v>10</v>
      </c>
      <c r="AC341" t="inlineStr">
        <is>
          <t>Ground</t>
        </is>
      </c>
      <c r="AD341" t="inlineStr"/>
      <c r="AE341" t="n">
        <v>4</v>
      </c>
      <c r="AF341" t="inlineStr">
        <is>
          <t>Large</t>
        </is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n">
        <v>120</v>
      </c>
      <c r="AO341" t="n">
        <v>0</v>
      </c>
      <c r="AP341" t="inlineStr">
        <is>
          <t>T3</t>
        </is>
      </c>
      <c r="AQ341" t="inlineStr"/>
      <c r="AR341" t="inlineStr"/>
      <c r="AS341" t="inlineStr"/>
      <c r="AT341" t="inlineStr"/>
      <c r="AU341" t="n">
        <v>0</v>
      </c>
      <c r="AV341" t="inlineStr"/>
      <c r="AW341" t="n">
        <v>0</v>
      </c>
      <c r="AX341" t="b">
        <v>0</v>
      </c>
      <c r="AY341" t="inlineStr"/>
      <c r="AZ341">
        <f>IF(AND($AX$341,$AW$341&gt;$AA$341/$Z$341),$AW$341,$AA$341/$Z$341)</f>
        <v/>
      </c>
      <c r="BA341" t="n">
        <v>1</v>
      </c>
      <c r="BB341" t="n">
        <v>15</v>
      </c>
      <c r="BC341" t="n">
        <v>10</v>
      </c>
      <c r="BD341" t="inlineStr">
        <is>
          <t>gun</t>
        </is>
      </c>
      <c r="BE341" t="inlineStr">
        <is>
          <t>Wikipedia '2B11': 15 rpm</t>
        </is>
      </c>
      <c r="BG341" t="inlineStr">
        <is>
          <t>doi</t>
        </is>
      </c>
      <c r="BR341" t="n">
        <v>32</v>
      </c>
      <c r="BS341" t="n">
        <v>60</v>
      </c>
      <c r="CR341" t="n">
        <v>2</v>
      </c>
      <c r="CS341" t="n">
        <v>0.8</v>
      </c>
      <c r="CT341" t="n">
        <v>120</v>
      </c>
      <c r="DD341" t="n">
        <v>7.5</v>
      </c>
      <c r="DE341" t="n">
        <v>150</v>
      </c>
      <c r="DF341" t="inlineStr">
        <is>
          <t>HighExplosive</t>
        </is>
      </c>
      <c r="DJ341" t="inlineStr">
        <is>
          <t>mortar</t>
        </is>
      </c>
      <c r="DS341" t="inlineStr">
        <is>
          <t>Large</t>
        </is>
      </c>
      <c r="DZ341" t="n">
        <v>10</v>
      </c>
      <c r="EB341" t="n">
        <v>2</v>
      </c>
      <c r="EH341" t="inlineStr">
        <is>
          <t>Shell</t>
        </is>
      </c>
      <c r="EP341" t="n">
        <v>60</v>
      </c>
      <c r="EQ341" t="inlineStr">
        <is>
          <t>2B11 120 mm (twin)</t>
        </is>
      </c>
      <c r="EX341" t="n">
        <v>120</v>
      </c>
      <c r="EZ341" t="n">
        <v>4</v>
      </c>
      <c r="GA341" t="inlineStr">
        <is>
          <t>2b11_120_mm</t>
        </is>
      </c>
      <c r="GB341" t="inlineStr">
        <is>
          <t>cal_120_he</t>
        </is>
      </c>
      <c r="GC341" t="inlineStr">
        <is>
          <t>mortar</t>
        </is>
      </c>
      <c r="GD341" t="inlineStr">
        <is>
          <t>Assets/MachineBrigade/Resources/Data/balance.json: weapons[259]</t>
        </is>
      </c>
      <c r="GE341" t="inlineStr">
        <is>
          <t>{"id":"train_mortar","weaponFamilyId":"cal_120_he","weaponVariantId":"mortar","weaponFamily":"2b11_120_mm","real":"2B11 120 mm (twin)","family":"mortar","size":120,"caliberMm":120,"pen":2,"damageType":"HighExplosive","damage":150,"cooldown":7.5,"range":60,"minRange":10,"spread":4,"impactTier":"Large","projectile":"Shell","burst":2,"burstInterval":0.8}</t>
        </is>
      </c>
    </row>
    <row r="342">
      <c r="A342" t="inlineStr">
        <is>
          <t>turret_gmlrs</t>
        </is>
      </c>
      <c r="B342" t="inlineStr">
        <is>
          <t>M31 GMLRS 227 mm (tower)</t>
        </is>
      </c>
      <c r="C342" t="inlineStr">
        <is>
          <t>rkt_gmlrs_227</t>
        </is>
      </c>
      <c r="D342" t="inlineStr"/>
      <c r="E342" t="inlineStr">
        <is>
          <t>m31_gmlrs_227_mm</t>
        </is>
      </c>
      <c r="F342" t="inlineStr">
        <is>
          <t>rocket</t>
        </is>
      </c>
      <c r="G342" t="n">
        <v>227</v>
      </c>
      <c r="H342" t="inlineStr"/>
      <c r="I342" t="inlineStr"/>
      <c r="J342" t="inlineStr"/>
      <c r="K342" t="inlineStr">
        <is>
          <t>HighExplosive</t>
        </is>
      </c>
      <c r="L342" t="n">
        <v>3</v>
      </c>
      <c r="M342" t="inlineStr">
        <is>
          <t>Rocket</t>
        </is>
      </c>
      <c r="N342" t="n">
        <v>1</v>
      </c>
      <c r="O342" t="inlineStr">
        <is>
          <t>RIPPLE</t>
        </is>
      </c>
      <c r="P342" t="n">
        <v>2</v>
      </c>
      <c r="Q342" t="n">
        <v>0.5</v>
      </c>
      <c r="R342" t="n">
        <v>7.5</v>
      </c>
      <c r="S342" t="n">
        <v>0</v>
      </c>
      <c r="T342" t="n">
        <v>0</v>
      </c>
      <c r="U342" t="n">
        <v>0</v>
      </c>
      <c r="V342" t="n">
        <v>0</v>
      </c>
      <c r="W342" t="n">
        <v>160</v>
      </c>
      <c r="X342" t="n">
        <v>4.5</v>
      </c>
      <c r="Y342" t="n">
        <v>0</v>
      </c>
      <c r="Z342" t="n">
        <v>140</v>
      </c>
      <c r="AA342" t="n">
        <v>90</v>
      </c>
      <c r="AB342" t="n">
        <v>20</v>
      </c>
      <c r="AC342" t="inlineStr">
        <is>
          <t>Ground</t>
        </is>
      </c>
      <c r="AD342" t="inlineStr"/>
      <c r="AE342" t="n">
        <v>0.8</v>
      </c>
      <c r="AF342" t="inlineStr">
        <is>
          <t>Large</t>
        </is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n">
        <v>227</v>
      </c>
      <c r="AO342" t="n">
        <v>0</v>
      </c>
      <c r="AP342" t="inlineStr">
        <is>
          <t>T4</t>
        </is>
      </c>
      <c r="AQ342" t="inlineStr"/>
      <c r="AR342" t="inlineStr"/>
      <c r="AS342" t="inlineStr">
        <is>
          <t>thap</t>
        </is>
      </c>
      <c r="AT342" t="inlineStr">
        <is>
          <t>rocket_turret.guided</t>
        </is>
      </c>
      <c r="AU342" t="n">
        <v>1</v>
      </c>
      <c r="AV342" t="inlineStr">
        <is>
          <t>rocket_turret.guided:0</t>
        </is>
      </c>
      <c r="AW342" t="n">
        <v>2.5</v>
      </c>
      <c r="AX342" t="b">
        <v>1</v>
      </c>
      <c r="AY342" t="inlineStr"/>
      <c r="AZ342">
        <f>IF(AND($AX$342,$AW$342&gt;$AA$342/$Z$342),$AW$342,$AA$342/$Z$342)</f>
        <v/>
      </c>
      <c r="BA342" t="n">
        <v>2.5</v>
      </c>
      <c r="BB342" t="n">
        <v>12</v>
      </c>
      <c r="BC342" t="inlineStr"/>
      <c r="BD342" t="inlineStr">
        <is>
          <t>rocket</t>
        </is>
      </c>
      <c r="BE342" t="inlineStr">
        <is>
          <t>Wikipedia 'M270 MLRS': 12 rockets in under a minute</t>
        </is>
      </c>
      <c r="BG342" t="inlineStr">
        <is>
          <t>doi</t>
        </is>
      </c>
      <c r="BR342" t="n">
        <v>50</v>
      </c>
      <c r="BS342" t="n">
        <v>140</v>
      </c>
      <c r="CR342" t="n">
        <v>2</v>
      </c>
      <c r="CS342" t="n">
        <v>0.5</v>
      </c>
      <c r="CT342" t="n">
        <v>227</v>
      </c>
      <c r="DD342" t="n">
        <v>7.5</v>
      </c>
      <c r="DE342" t="n">
        <v>160</v>
      </c>
      <c r="DF342" t="inlineStr">
        <is>
          <t>HighExplosive</t>
        </is>
      </c>
      <c r="DJ342" t="inlineStr">
        <is>
          <t>rocket</t>
        </is>
      </c>
      <c r="DS342" t="inlineStr">
        <is>
          <t>Large</t>
        </is>
      </c>
      <c r="DZ342" t="n">
        <v>20</v>
      </c>
      <c r="EB342" t="n">
        <v>3</v>
      </c>
      <c r="EH342" t="inlineStr">
        <is>
          <t>Rocket</t>
        </is>
      </c>
      <c r="EP342" t="n">
        <v>90</v>
      </c>
      <c r="EQ342" t="inlineStr">
        <is>
          <t>M31 GMLRS 227 mm (tower)</t>
        </is>
      </c>
      <c r="EX342" t="n">
        <v>227</v>
      </c>
      <c r="EZ342" t="n">
        <v>0.8</v>
      </c>
      <c r="GA342" t="inlineStr">
        <is>
          <t>m31_gmlrs_227_mm</t>
        </is>
      </c>
      <c r="GB342" t="inlineStr">
        <is>
          <t>rkt_gmlrs_227</t>
        </is>
      </c>
      <c r="GD342" t="inlineStr">
        <is>
          <t>Assets/MachineBrigade/Resources/Data/balance.json: weapons[121]</t>
        </is>
      </c>
      <c r="GE342" t="inlineStr">
        <is>
          <t>{"id":"turret_gmlrs","weaponFamilyId":"rkt_gmlrs_227","weaponFamily":"m31_gmlrs_227_mm","real":"M31 GMLRS 227 mm (tower)","family":"rocket","size":227,"caliberMm":227,"pen":3,"damageType":"HighExplosive","damage":160,"cooldown":7.5,"burst":2,"burstInterval":0.5,"range":90,"minRange":20,"spread":0.8,"impactTier":"Large","projectile":"Rocket","bonuses":[{"class":"Artillery","mult":1.5},{"armor":"Structure","mult":1.5}]}</t>
        </is>
      </c>
    </row>
    <row r="343">
      <c r="A343" t="inlineStr">
        <is>
          <t>turret_gun_120</t>
        </is>
      </c>
      <c r="B343" t="inlineStr">
        <is>
          <t>Rh-120 L/44 120 mm</t>
        </is>
      </c>
      <c r="C343" t="inlineStr">
        <is>
          <t>cal_120_ap</t>
        </is>
      </c>
      <c r="D343" t="inlineStr"/>
      <c r="E343" t="inlineStr">
        <is>
          <t>rh_120_l_44_120_mm</t>
        </is>
      </c>
      <c r="F343" t="inlineStr">
        <is>
          <t>tank_gun</t>
        </is>
      </c>
      <c r="G343" t="n">
        <v>120</v>
      </c>
      <c r="H343" t="inlineStr"/>
      <c r="I343" t="inlineStr"/>
      <c r="J343" t="inlineStr"/>
      <c r="K343" t="inlineStr">
        <is>
          <t>Kinetic</t>
        </is>
      </c>
      <c r="L343" t="n">
        <v>4</v>
      </c>
      <c r="M343" t="inlineStr">
        <is>
          <t>Shell</t>
        </is>
      </c>
      <c r="N343" t="n">
        <v>1</v>
      </c>
      <c r="O343" t="inlineStr">
        <is>
          <t>RIPPLE</t>
        </is>
      </c>
      <c r="P343" t="n">
        <v>1</v>
      </c>
      <c r="Q343" t="n">
        <v>0.1</v>
      </c>
      <c r="R343" t="n">
        <v>4.114</v>
      </c>
      <c r="S343" t="n">
        <v>0</v>
      </c>
      <c r="T343" t="n">
        <v>0</v>
      </c>
      <c r="U343" t="n">
        <v>0</v>
      </c>
      <c r="V343" t="n">
        <v>0</v>
      </c>
      <c r="W343" t="n">
        <v>343</v>
      </c>
      <c r="X343" t="n">
        <v>1.5</v>
      </c>
      <c r="Y343" t="n">
        <v>0</v>
      </c>
      <c r="Z343" t="n">
        <v>170</v>
      </c>
      <c r="AA343" t="n">
        <v>32</v>
      </c>
      <c r="AB343" t="n">
        <v>0</v>
      </c>
      <c r="AC343" t="inlineStr">
        <is>
          <t>Ground</t>
        </is>
      </c>
      <c r="AD343" t="inlineStr"/>
      <c r="AE343" t="n">
        <v>0.6</v>
      </c>
      <c r="AF343" t="inlineStr">
        <is>
          <t>Large</t>
        </is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n">
        <v>120</v>
      </c>
      <c r="AO343" t="n">
        <v>0</v>
      </c>
      <c r="AP343" t="inlineStr">
        <is>
          <t>T3</t>
        </is>
      </c>
      <c r="AQ343" t="inlineStr"/>
      <c r="AR343" t="inlineStr">
        <is>
          <t>turret_gun_120_he</t>
        </is>
      </c>
      <c r="AS343" t="inlineStr">
        <is>
          <t>thap</t>
        </is>
      </c>
      <c r="AT343" t="inlineStr">
        <is>
          <t>gun_turret</t>
        </is>
      </c>
      <c r="AU343" t="n">
        <v>1</v>
      </c>
      <c r="AV343" t="inlineStr">
        <is>
          <t>gun_turret:0</t>
        </is>
      </c>
      <c r="AW343" t="n">
        <v>0</v>
      </c>
      <c r="AX343" t="b">
        <v>0</v>
      </c>
      <c r="AY343" t="inlineStr"/>
      <c r="AZ343">
        <f>IF(AND($AX$343,$AW$343&gt;$AA$343/$Z$343),$AW$343,$AA$343/$Z$343)</f>
        <v/>
      </c>
      <c r="BA343" t="n">
        <v>0.1882352941176471</v>
      </c>
      <c r="BB343" t="n">
        <v>8</v>
      </c>
      <c r="BC343" t="n">
        <v>6</v>
      </c>
      <c r="BD343" t="inlineStr">
        <is>
          <t>gun</t>
        </is>
      </c>
      <c r="BE343" t="inlineStr">
        <is>
          <t>the sheet's 'Ngoài đời': Rh-120 6-8 rpm with a loader (Wikipedia 'Rheinmetall 120 mm gun')</t>
        </is>
      </c>
      <c r="BG343" t="inlineStr">
        <is>
          <t>doi</t>
        </is>
      </c>
      <c r="BH343" t="n">
        <v>240</v>
      </c>
      <c r="BI343" t="n">
        <v>343</v>
      </c>
      <c r="BJ343" t="n">
        <v>2.88</v>
      </c>
      <c r="BK343" t="n">
        <v>4.114</v>
      </c>
      <c r="CT343" t="n">
        <v>120</v>
      </c>
      <c r="DD343" t="n">
        <v>4.114</v>
      </c>
      <c r="DE343" t="n">
        <v>343</v>
      </c>
      <c r="DF343" t="inlineStr">
        <is>
          <t>Kinetic</t>
        </is>
      </c>
      <c r="DJ343" t="inlineStr">
        <is>
          <t>tank_gun</t>
        </is>
      </c>
      <c r="DR343" t="n">
        <v>1.35</v>
      </c>
      <c r="DS343" t="inlineStr">
        <is>
          <t>Large</t>
        </is>
      </c>
      <c r="EB343" t="n">
        <v>4</v>
      </c>
      <c r="EE343" t="b">
        <v>1</v>
      </c>
      <c r="EP343" t="n">
        <v>32</v>
      </c>
      <c r="EQ343" t="inlineStr">
        <is>
          <t>Rh-120 L/44 120 mm</t>
        </is>
      </c>
      <c r="EX343" t="n">
        <v>120</v>
      </c>
      <c r="EZ343" t="n">
        <v>0.6</v>
      </c>
      <c r="GA343" t="inlineStr">
        <is>
          <t>rh_120_l_44_120_mm</t>
        </is>
      </c>
      <c r="GB343" t="inlineStr">
        <is>
          <t>cal_120_ap</t>
        </is>
      </c>
      <c r="GD343" t="inlineStr">
        <is>
          <t>Assets/MachineBrigade/Resources/Data/balance.json: weapons[12]</t>
        </is>
      </c>
      <c r="GE343" t="inlineStr">
        <is>
          <t>{"id":"turret_gun_120","weaponFamilyId":"cal_120_ap","weaponFamily":"rh_120_l_44_120_mm","bonuses":[{"armor":"Light","mult":0.65}],"real":"Rh-120 L/44 120 mm","family":"tank_gun","size":120,"caliberMm":120,"pen":4,"piercing":true,"damageType":"Kinetic","damage":343,"cooldown":4.114,"range":32,"spread":0.6,"impactTier":"Large","impactScale":1.35}</t>
        </is>
      </c>
    </row>
    <row r="344">
      <c r="A344" t="inlineStr">
        <is>
          <t>turret_gun_120_auto</t>
        </is>
      </c>
      <c r="B344" t="inlineStr">
        <is>
          <t>Rh-120 L/44 120 mm (autoloader)</t>
        </is>
      </c>
      <c r="C344" t="inlineStr">
        <is>
          <t>cal_120_ap</t>
        </is>
      </c>
      <c r="D344" t="inlineStr"/>
      <c r="E344" t="inlineStr">
        <is>
          <t>rh_120_l_44_120_mm</t>
        </is>
      </c>
      <c r="F344" t="inlineStr">
        <is>
          <t>tank_gun</t>
        </is>
      </c>
      <c r="G344" t="n">
        <v>120</v>
      </c>
      <c r="H344" t="inlineStr"/>
      <c r="I344" t="inlineStr"/>
      <c r="J344" t="inlineStr"/>
      <c r="K344" t="inlineStr">
        <is>
          <t>Kinetic</t>
        </is>
      </c>
      <c r="L344" t="n">
        <v>4</v>
      </c>
      <c r="M344" t="inlineStr">
        <is>
          <t>Shell</t>
        </is>
      </c>
      <c r="N344" t="n">
        <v>1</v>
      </c>
      <c r="O344" t="inlineStr">
        <is>
          <t>RIPPLE</t>
        </is>
      </c>
      <c r="P344" t="n">
        <v>1</v>
      </c>
      <c r="Q344" t="n">
        <v>0.1</v>
      </c>
      <c r="R344" t="n">
        <v>3.614</v>
      </c>
      <c r="S344" t="n">
        <v>0</v>
      </c>
      <c r="T344" t="n">
        <v>0</v>
      </c>
      <c r="U344" t="n">
        <v>0</v>
      </c>
      <c r="V344" t="n">
        <v>0</v>
      </c>
      <c r="W344" t="n">
        <v>343</v>
      </c>
      <c r="X344" t="n">
        <v>1.5</v>
      </c>
      <c r="Y344" t="n">
        <v>0</v>
      </c>
      <c r="Z344" t="n">
        <v>170</v>
      </c>
      <c r="AA344" t="n">
        <v>32</v>
      </c>
      <c r="AB344" t="n">
        <v>0</v>
      </c>
      <c r="AC344" t="inlineStr">
        <is>
          <t>Ground</t>
        </is>
      </c>
      <c r="AD344" t="inlineStr"/>
      <c r="AE344" t="n">
        <v>0.6</v>
      </c>
      <c r="AF344" t="inlineStr">
        <is>
          <t>Large</t>
        </is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n">
        <v>120</v>
      </c>
      <c r="AO344" t="n">
        <v>0</v>
      </c>
      <c r="AP344" t="inlineStr">
        <is>
          <t>T3</t>
        </is>
      </c>
      <c r="AQ344" t="inlineStr">
        <is>
          <t>turret_gun_120</t>
        </is>
      </c>
      <c r="AR344" t="inlineStr"/>
      <c r="AS344" t="inlineStr"/>
      <c r="AT344" t="inlineStr"/>
      <c r="AU344" t="n">
        <v>0</v>
      </c>
      <c r="AV344" t="inlineStr"/>
      <c r="AW344" t="n">
        <v>0</v>
      </c>
      <c r="AX344" t="b">
        <v>0</v>
      </c>
      <c r="AY344" t="inlineStr"/>
      <c r="AZ344">
        <f>IF(AND($AX$344,$AW$344&gt;$AA$344/$Z$344),$AW$344,$AA$344/$Z$344)</f>
        <v/>
      </c>
      <c r="BA344" t="n">
        <v>0.1882352941176471</v>
      </c>
      <c r="BB344" t="n">
        <v>8</v>
      </c>
      <c r="BC344" t="n">
        <v>6</v>
      </c>
      <c r="BD344" t="inlineStr">
        <is>
          <t>gun</t>
        </is>
      </c>
      <c r="BE344" t="inlineStr">
        <is>
          <t>the sheet's 'Ngoài đời': Rh-120 6-8 rpm with a loader (Wikipedia 'Rheinmetall 120 mm gun')</t>
        </is>
      </c>
      <c r="BG344" t="inlineStr">
        <is>
          <t>doi</t>
        </is>
      </c>
      <c r="BH344" t="n">
        <v>240</v>
      </c>
      <c r="BI344" t="n">
        <v>343</v>
      </c>
      <c r="BJ344" t="n">
        <v>2.53</v>
      </c>
      <c r="BK344" t="n">
        <v>3.614</v>
      </c>
      <c r="CT344" t="n">
        <v>120</v>
      </c>
      <c r="DD344" t="n">
        <v>3.614</v>
      </c>
      <c r="DJ344" t="inlineStr">
        <is>
          <t>tank_gun</t>
        </is>
      </c>
      <c r="DT344" t="inlineStr">
        <is>
          <t>turret_gun_120</t>
        </is>
      </c>
      <c r="EB344" t="n">
        <v>4</v>
      </c>
      <c r="EQ344" t="inlineStr">
        <is>
          <t>Rh-120 L/44 120 mm (autoloader)</t>
        </is>
      </c>
      <c r="EX344" t="n">
        <v>120</v>
      </c>
      <c r="GA344" t="inlineStr">
        <is>
          <t>rh_120_l_44_120_mm</t>
        </is>
      </c>
      <c r="GD344" t="inlineStr">
        <is>
          <t>Assets/MachineBrigade/Resources/Data/balance.json: weapons[114]</t>
        </is>
      </c>
      <c r="GE344" t="inlineStr">
        <is>
          <t>{"id":"turret_gun_120_auto","weaponFamily":"rh_120_l_44_120_mm","real":"Rh-120 L/44 120 mm (autoloader)","family":"tank_gun","size":120,"caliberMm":120,"pen":4,"inherits":"turret_gun_120","cooldown":3.614}</t>
        </is>
      </c>
    </row>
    <row r="345">
      <c r="A345" t="inlineStr">
        <is>
          <t>turret_gun_120_he</t>
        </is>
      </c>
      <c r="B345" t="inlineStr">
        <is>
          <t>Rh-120 L/44 120 mm HE</t>
        </is>
      </c>
      <c r="C345" t="inlineStr">
        <is>
          <t>cal_120_he</t>
        </is>
      </c>
      <c r="D345" t="inlineStr"/>
      <c r="E345" t="inlineStr">
        <is>
          <t>rh_120_l_44_120_mm_he</t>
        </is>
      </c>
      <c r="F345" t="inlineStr">
        <is>
          <t>tank_gun</t>
        </is>
      </c>
      <c r="G345" t="n">
        <v>120</v>
      </c>
      <c r="H345" t="inlineStr"/>
      <c r="I345" t="inlineStr"/>
      <c r="J345" t="inlineStr"/>
      <c r="K345" t="inlineStr">
        <is>
          <t>HighExplosive</t>
        </is>
      </c>
      <c r="L345" t="n">
        <v>2</v>
      </c>
      <c r="M345" t="inlineStr">
        <is>
          <t>Shell</t>
        </is>
      </c>
      <c r="N345" t="n">
        <v>1</v>
      </c>
      <c r="O345" t="inlineStr">
        <is>
          <t>RIPPLE</t>
        </is>
      </c>
      <c r="P345" t="n">
        <v>1</v>
      </c>
      <c r="Q345" t="n">
        <v>0.1</v>
      </c>
      <c r="R345" t="n">
        <v>4.114</v>
      </c>
      <c r="S345" t="n">
        <v>0</v>
      </c>
      <c r="T345" t="n">
        <v>0</v>
      </c>
      <c r="U345" t="n">
        <v>0</v>
      </c>
      <c r="V345" t="n">
        <v>0</v>
      </c>
      <c r="W345" t="n">
        <v>343</v>
      </c>
      <c r="X345" t="n">
        <v>3</v>
      </c>
      <c r="Y345" t="n">
        <v>0</v>
      </c>
      <c r="Z345" t="n">
        <v>170</v>
      </c>
      <c r="AA345" t="n">
        <v>32</v>
      </c>
      <c r="AB345" t="n">
        <v>0</v>
      </c>
      <c r="AC345" t="inlineStr">
        <is>
          <t>Ground</t>
        </is>
      </c>
      <c r="AD345" t="inlineStr"/>
      <c r="AE345" t="n">
        <v>0.6</v>
      </c>
      <c r="AF345" t="inlineStr">
        <is>
          <t>Huge</t>
        </is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n">
        <v>120</v>
      </c>
      <c r="AO345" t="n">
        <v>0</v>
      </c>
      <c r="AP345" t="inlineStr">
        <is>
          <t>T3</t>
        </is>
      </c>
      <c r="AQ345" t="inlineStr">
        <is>
          <t>turret_gun_120</t>
        </is>
      </c>
      <c r="AR345" t="inlineStr"/>
      <c r="AS345" t="inlineStr"/>
      <c r="AT345" t="inlineStr"/>
      <c r="AU345" t="n">
        <v>0</v>
      </c>
      <c r="AV345" t="inlineStr"/>
      <c r="AW345" t="n">
        <v>0</v>
      </c>
      <c r="AX345" t="b">
        <v>0</v>
      </c>
      <c r="AY345" t="inlineStr"/>
      <c r="AZ345">
        <f>IF(AND($AX$345,$AW$345&gt;$AA$345/$Z$345),$AW$345,$AA$345/$Z$345)</f>
        <v/>
      </c>
      <c r="BA345" t="n">
        <v>0.1882352941176471</v>
      </c>
      <c r="BB345" t="n">
        <v>8</v>
      </c>
      <c r="BC345" t="n">
        <v>6</v>
      </c>
      <c r="BD345" t="inlineStr">
        <is>
          <t>gun</t>
        </is>
      </c>
      <c r="BE345" t="inlineStr">
        <is>
          <t>the sheet's 'Ngoài đời': Rh-120 6-8 rpm with a loader (Wikipedia 'Rheinmetall 120 mm gun')</t>
        </is>
      </c>
      <c r="BG345" t="inlineStr">
        <is>
          <t>doi</t>
        </is>
      </c>
      <c r="BH345" t="n">
        <v>240</v>
      </c>
      <c r="BI345" t="n">
        <v>343</v>
      </c>
      <c r="BJ345" t="n">
        <v>2.88</v>
      </c>
      <c r="BK345" t="n">
        <v>4.114</v>
      </c>
      <c r="CQ345" t="inlineStr"/>
      <c r="DE345" t="n">
        <v>343</v>
      </c>
      <c r="DF345" t="inlineStr">
        <is>
          <t>HighExplosive</t>
        </is>
      </c>
      <c r="DM345" t="inlineStr">
        <is>
          <t>light;structure</t>
        </is>
      </c>
      <c r="DN345" t="inlineStr">
        <is>
          <t>HeShell</t>
        </is>
      </c>
      <c r="DS345" t="inlineStr">
        <is>
          <t>Huge</t>
        </is>
      </c>
      <c r="DT345" t="inlineStr">
        <is>
          <t>turret_gun_120</t>
        </is>
      </c>
      <c r="EB345" t="n">
        <v>2</v>
      </c>
      <c r="EE345" t="b">
        <v>0</v>
      </c>
      <c r="EQ345" t="inlineStr">
        <is>
          <t>Rh-120 L/44 120 mm HE</t>
        </is>
      </c>
      <c r="ES345" t="inlineStr">
        <is>
          <t>he</t>
        </is>
      </c>
      <c r="EU345" t="inlineStr">
        <is>
          <t>turret_gun_120</t>
        </is>
      </c>
      <c r="EY345" t="n">
        <v>3</v>
      </c>
      <c r="FW345" t="inlineStr">
        <is>
          <t>Ground</t>
        </is>
      </c>
      <c r="GA345" t="inlineStr">
        <is>
          <t>rh_120_l_44_120_mm_he</t>
        </is>
      </c>
      <c r="GB345" t="inlineStr">
        <is>
          <t>cal_120_he</t>
        </is>
      </c>
      <c r="GD345" t="inlineStr">
        <is>
          <t>Assets/MachineBrigade/Resources/Data/balance.json: secondRounds.rounds[60]</t>
        </is>
      </c>
      <c r="GE345" t="inlineStr">
        <is>
          <t>{"id":"turret_gun_120_he","roundOf":"turret_gun_120","inherits":"turret_gun_120","weaponFamilyId":"cal_120_he","weaponFamily":"rh_120_l_44_120_mm_he","round":"he","for":["light","structure"],"real":"Rh-120 L/44 120 mm HE","damageType":"HighExplosive","pen":2,"damage":343,"splash":3,"form":"HeShell","piercing":false,"targets":"Ground","impactTier":"Huge","bonuses":[]}</t>
        </is>
      </c>
    </row>
    <row r="346">
      <c r="A346" t="inlineStr">
        <is>
          <t>turret_gun_120_long</t>
        </is>
      </c>
      <c r="B346" t="inlineStr">
        <is>
          <t>Rh-120 L/55 120 mm</t>
        </is>
      </c>
      <c r="C346" t="inlineStr">
        <is>
          <t>cal_120_ap</t>
        </is>
      </c>
      <c r="D346" t="inlineStr"/>
      <c r="E346" t="inlineStr"/>
      <c r="F346" t="inlineStr">
        <is>
          <t>tank_gun</t>
        </is>
      </c>
      <c r="G346" t="n">
        <v>120</v>
      </c>
      <c r="H346" t="inlineStr"/>
      <c r="I346" t="inlineStr"/>
      <c r="J346" t="inlineStr"/>
      <c r="K346" t="inlineStr">
        <is>
          <t>Kinetic</t>
        </is>
      </c>
      <c r="L346" t="n">
        <v>5</v>
      </c>
      <c r="M346" t="inlineStr">
        <is>
          <t>Shell</t>
        </is>
      </c>
      <c r="N346" t="n">
        <v>1</v>
      </c>
      <c r="O346" t="inlineStr">
        <is>
          <t>RIPPLE</t>
        </is>
      </c>
      <c r="P346" t="n">
        <v>1</v>
      </c>
      <c r="Q346" t="n">
        <v>0.1</v>
      </c>
      <c r="R346" t="n">
        <v>5.571</v>
      </c>
      <c r="S346" t="n">
        <v>0</v>
      </c>
      <c r="T346" t="n">
        <v>0</v>
      </c>
      <c r="U346" t="n">
        <v>0</v>
      </c>
      <c r="V346" t="n">
        <v>0</v>
      </c>
      <c r="W346" t="n">
        <v>343</v>
      </c>
      <c r="X346" t="n">
        <v>1.5</v>
      </c>
      <c r="Y346" t="n">
        <v>0</v>
      </c>
      <c r="Z346" t="n">
        <v>170</v>
      </c>
      <c r="AA346" t="n">
        <v>48</v>
      </c>
      <c r="AB346" t="n">
        <v>0</v>
      </c>
      <c r="AC346" t="inlineStr">
        <is>
          <t>Ground</t>
        </is>
      </c>
      <c r="AD346" t="inlineStr"/>
      <c r="AE346" t="n">
        <v>0.3</v>
      </c>
      <c r="AF346" t="inlineStr">
        <is>
          <t>Large</t>
        </is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n">
        <v>120</v>
      </c>
      <c r="AO346" t="n">
        <v>0</v>
      </c>
      <c r="AP346" t="inlineStr">
        <is>
          <t>T3</t>
        </is>
      </c>
      <c r="AQ346" t="inlineStr">
        <is>
          <t>turret_gun_120</t>
        </is>
      </c>
      <c r="AR346" t="inlineStr">
        <is>
          <t>turret_gun_120_long_he</t>
        </is>
      </c>
      <c r="AS346" t="inlineStr">
        <is>
          <t>cong_trinh;thap</t>
        </is>
      </c>
      <c r="AT346" t="inlineStr">
        <is>
          <t>gun_turret.long;headquarters.fortress_ground</t>
        </is>
      </c>
      <c r="AU346" t="n">
        <v>2</v>
      </c>
      <c r="AV346" t="inlineStr">
        <is>
          <t>gun_turret.long:0;headquarters.fortress_ground:4</t>
        </is>
      </c>
      <c r="AW346" t="n">
        <v>0</v>
      </c>
      <c r="AX346" t="b">
        <v>0</v>
      </c>
      <c r="AY346" t="inlineStr"/>
      <c r="AZ346">
        <f>IF(AND($AX$346,$AW$346&gt;$AA$346/$Z$346),$AW$346,$AA$346/$Z$346)</f>
        <v/>
      </c>
      <c r="BA346" t="n">
        <v>0.2823529411764706</v>
      </c>
      <c r="BB346" t="n">
        <v>8</v>
      </c>
      <c r="BC346" t="n">
        <v>6</v>
      </c>
      <c r="BD346" t="inlineStr">
        <is>
          <t>gun</t>
        </is>
      </c>
      <c r="BE346" t="inlineStr">
        <is>
          <t>the sheet's 'Ngoài đời': Rh-120 6-8 rpm with a loader (Wikipedia 'Rheinmetall 120 mm gun')</t>
        </is>
      </c>
      <c r="BG346" t="inlineStr">
        <is>
          <t>doi</t>
        </is>
      </c>
      <c r="BH346" t="n">
        <v>240</v>
      </c>
      <c r="BI346" t="n">
        <v>343</v>
      </c>
      <c r="BJ346" t="n">
        <v>3.9</v>
      </c>
      <c r="BK346" t="n">
        <v>5.571</v>
      </c>
      <c r="CT346" t="n">
        <v>120</v>
      </c>
      <c r="DD346" t="n">
        <v>5.571</v>
      </c>
      <c r="DJ346" t="inlineStr">
        <is>
          <t>tank_gun</t>
        </is>
      </c>
      <c r="DT346" t="inlineStr">
        <is>
          <t>turret_gun_120</t>
        </is>
      </c>
      <c r="EB346" t="n">
        <v>5</v>
      </c>
      <c r="EP346" t="n">
        <v>48</v>
      </c>
      <c r="EQ346" t="inlineStr">
        <is>
          <t>Rh-120 L/55 120 mm</t>
        </is>
      </c>
      <c r="EX346" t="n">
        <v>120</v>
      </c>
      <c r="EZ346" t="n">
        <v>0.3</v>
      </c>
      <c r="GA346" t="inlineStr"/>
      <c r="GD346" t="inlineStr">
        <is>
          <t>Assets/MachineBrigade/Resources/Data/balance.json: weapons[113]</t>
        </is>
      </c>
      <c r="GE346" t="inlineStr">
        <is>
          <t>{"id":"turret_gun_120_long","weaponFamily":"","spread":0.3,"real":"Rh-120 L/55 120 mm","family":"tank_gun","size":120,"caliberMm":120,"pen":5,"inherits":"turret_gun_120","range":48,"cooldown":5.571}</t>
        </is>
      </c>
    </row>
    <row r="347">
      <c r="A347" t="inlineStr">
        <is>
          <t>turret_gun_120_long_he</t>
        </is>
      </c>
      <c r="B347" t="inlineStr">
        <is>
          <t>Rh-120 L/55 120 mm HE</t>
        </is>
      </c>
      <c r="C347" t="inlineStr">
        <is>
          <t>cal_120_he</t>
        </is>
      </c>
      <c r="D347" t="inlineStr"/>
      <c r="E347" t="inlineStr"/>
      <c r="F347" t="inlineStr">
        <is>
          <t>tank_gun</t>
        </is>
      </c>
      <c r="G347" t="n">
        <v>120</v>
      </c>
      <c r="H347" t="inlineStr"/>
      <c r="I347" t="inlineStr"/>
      <c r="J347" t="inlineStr"/>
      <c r="K347" t="inlineStr">
        <is>
          <t>HighExplosive</t>
        </is>
      </c>
      <c r="L347" t="n">
        <v>2</v>
      </c>
      <c r="M347" t="inlineStr">
        <is>
          <t>Shell</t>
        </is>
      </c>
      <c r="N347" t="n">
        <v>1</v>
      </c>
      <c r="O347" t="inlineStr">
        <is>
          <t>RIPPLE</t>
        </is>
      </c>
      <c r="P347" t="n">
        <v>1</v>
      </c>
      <c r="Q347" t="n">
        <v>0.1</v>
      </c>
      <c r="R347" t="n">
        <v>5.571</v>
      </c>
      <c r="S347" t="n">
        <v>0</v>
      </c>
      <c r="T347" t="n">
        <v>0</v>
      </c>
      <c r="U347" t="n">
        <v>0</v>
      </c>
      <c r="V347" t="n">
        <v>0</v>
      </c>
      <c r="W347" t="n">
        <v>343</v>
      </c>
      <c r="X347" t="n">
        <v>3</v>
      </c>
      <c r="Y347" t="n">
        <v>0</v>
      </c>
      <c r="Z347" t="n">
        <v>170</v>
      </c>
      <c r="AA347" t="n">
        <v>48</v>
      </c>
      <c r="AB347" t="n">
        <v>0</v>
      </c>
      <c r="AC347" t="inlineStr">
        <is>
          <t>Ground</t>
        </is>
      </c>
      <c r="AD347" t="inlineStr"/>
      <c r="AE347" t="n">
        <v>0.3</v>
      </c>
      <c r="AF347" t="inlineStr">
        <is>
          <t>Huge</t>
        </is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n">
        <v>120</v>
      </c>
      <c r="AO347" t="n">
        <v>0</v>
      </c>
      <c r="AP347" t="inlineStr">
        <is>
          <t>T3</t>
        </is>
      </c>
      <c r="AQ347" t="inlineStr">
        <is>
          <t>turret_gun_120_long</t>
        </is>
      </c>
      <c r="AR347" t="inlineStr"/>
      <c r="AS347" t="inlineStr"/>
      <c r="AT347" t="inlineStr"/>
      <c r="AU347" t="n">
        <v>0</v>
      </c>
      <c r="AV347" t="inlineStr"/>
      <c r="AW347" t="n">
        <v>0</v>
      </c>
      <c r="AX347" t="b">
        <v>0</v>
      </c>
      <c r="AY347" t="inlineStr"/>
      <c r="AZ347">
        <f>IF(AND($AX$347,$AW$347&gt;$AA$347/$Z$347),$AW$347,$AA$347/$Z$347)</f>
        <v/>
      </c>
      <c r="BA347" t="n">
        <v>0.2823529411764706</v>
      </c>
      <c r="BB347" t="n">
        <v>8</v>
      </c>
      <c r="BC347" t="n">
        <v>6</v>
      </c>
      <c r="BD347" t="inlineStr">
        <is>
          <t>gun</t>
        </is>
      </c>
      <c r="BE347" t="inlineStr">
        <is>
          <t>the sheet's 'Ngoài đời': Rh-120 6-8 rpm with a loader (Wikipedia 'Rheinmetall 120 mm gun')</t>
        </is>
      </c>
      <c r="BG347" t="inlineStr">
        <is>
          <t>doi</t>
        </is>
      </c>
      <c r="BH347" t="n">
        <v>240</v>
      </c>
      <c r="BI347" t="n">
        <v>343</v>
      </c>
      <c r="BJ347" t="n">
        <v>3.9</v>
      </c>
      <c r="BK347" t="n">
        <v>5.571</v>
      </c>
      <c r="CQ347" t="inlineStr"/>
      <c r="DE347" t="n">
        <v>343</v>
      </c>
      <c r="DF347" t="inlineStr">
        <is>
          <t>HighExplosive</t>
        </is>
      </c>
      <c r="DM347" t="inlineStr">
        <is>
          <t>light;structure</t>
        </is>
      </c>
      <c r="DN347" t="inlineStr">
        <is>
          <t>HeShell</t>
        </is>
      </c>
      <c r="DS347" t="inlineStr">
        <is>
          <t>Huge</t>
        </is>
      </c>
      <c r="DT347" t="inlineStr">
        <is>
          <t>turret_gun_120_long</t>
        </is>
      </c>
      <c r="EB347" t="n">
        <v>2</v>
      </c>
      <c r="EE347" t="b">
        <v>0</v>
      </c>
      <c r="EQ347" t="inlineStr">
        <is>
          <t>Rh-120 L/55 120 mm HE</t>
        </is>
      </c>
      <c r="ES347" t="inlineStr">
        <is>
          <t>he</t>
        </is>
      </c>
      <c r="EU347" t="inlineStr">
        <is>
          <t>turret_gun_120_long</t>
        </is>
      </c>
      <c r="EY347" t="n">
        <v>3</v>
      </c>
      <c r="FW347" t="inlineStr">
        <is>
          <t>Ground</t>
        </is>
      </c>
      <c r="GA347" t="inlineStr"/>
      <c r="GB347" t="inlineStr">
        <is>
          <t>cal_120_he</t>
        </is>
      </c>
      <c r="GD347" t="inlineStr">
        <is>
          <t>Assets/MachineBrigade/Resources/Data/balance.json: secondRounds.rounds[61]</t>
        </is>
      </c>
      <c r="GE347" t="inlineStr">
        <is>
          <t>{"id":"turret_gun_120_long_he","roundOf":"turret_gun_120_long","inherits":"turret_gun_120_long","weaponFamilyId":"cal_120_he","weaponFamily":"","round":"he","for":["light","structure"],"real":"Rh-120 L/55 120 mm HE","damageType":"HighExplosive","pen":2,"damage":343,"splash":3,"form":"HeShell","piercing":false,"targets":"Ground","impactTier":"Huge","bonuses":[]}</t>
        </is>
      </c>
    </row>
    <row r="348">
      <c r="A348" t="inlineStr">
        <is>
          <t>turret_rockets</t>
        </is>
      </c>
      <c r="B348" t="inlineStr">
        <is>
          <t>BM-21 Grad 122 mm</t>
        </is>
      </c>
      <c r="C348" t="inlineStr">
        <is>
          <t>rkt_grad_122</t>
        </is>
      </c>
      <c r="D348" t="inlineStr"/>
      <c r="E348" t="inlineStr">
        <is>
          <t>bm_21_grad_122_mm</t>
        </is>
      </c>
      <c r="F348" t="inlineStr">
        <is>
          <t>rocket</t>
        </is>
      </c>
      <c r="G348" t="n">
        <v>122</v>
      </c>
      <c r="H348" t="inlineStr"/>
      <c r="I348" t="inlineStr"/>
      <c r="J348" t="inlineStr"/>
      <c r="K348" t="inlineStr">
        <is>
          <t>HighExplosive</t>
        </is>
      </c>
      <c r="L348" t="n">
        <v>2</v>
      </c>
      <c r="M348" t="inlineStr">
        <is>
          <t>Rocket</t>
        </is>
      </c>
      <c r="N348" t="n">
        <v>1</v>
      </c>
      <c r="O348" t="inlineStr">
        <is>
          <t>RIPPLE</t>
        </is>
      </c>
      <c r="P348" t="n">
        <v>6</v>
      </c>
      <c r="Q348" t="n">
        <v>0.5</v>
      </c>
      <c r="R348" t="n">
        <v>1.57</v>
      </c>
      <c r="S348" t="n">
        <v>0</v>
      </c>
      <c r="T348" t="n">
        <v>0</v>
      </c>
      <c r="U348" t="n">
        <v>0</v>
      </c>
      <c r="V348" t="n">
        <v>0</v>
      </c>
      <c r="W348" t="n">
        <v>66</v>
      </c>
      <c r="X348" t="n">
        <v>4.5</v>
      </c>
      <c r="Y348" t="n">
        <v>0</v>
      </c>
      <c r="Z348" t="n">
        <v>130</v>
      </c>
      <c r="AA348" t="n">
        <v>55</v>
      </c>
      <c r="AB348" t="n">
        <v>8</v>
      </c>
      <c r="AC348" t="inlineStr">
        <is>
          <t>Ground</t>
        </is>
      </c>
      <c r="AD348" t="inlineStr"/>
      <c r="AE348" t="n">
        <v>4</v>
      </c>
      <c r="AF348" t="inlineStr">
        <is>
          <t>Medium</t>
        </is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n">
        <v>122</v>
      </c>
      <c r="AO348" t="n">
        <v>0</v>
      </c>
      <c r="AP348" t="inlineStr">
        <is>
          <t>T3</t>
        </is>
      </c>
      <c r="AQ348" t="inlineStr"/>
      <c r="AR348" t="inlineStr"/>
      <c r="AS348" t="inlineStr">
        <is>
          <t>thap</t>
        </is>
      </c>
      <c r="AT348" t="inlineStr">
        <is>
          <t>rocket_turret</t>
        </is>
      </c>
      <c r="AU348" t="n">
        <v>1</v>
      </c>
      <c r="AV348" t="inlineStr">
        <is>
          <t>rocket_turret:0</t>
        </is>
      </c>
      <c r="AW348" t="n">
        <v>0</v>
      </c>
      <c r="AX348" t="b">
        <v>0</v>
      </c>
      <c r="AY348" t="inlineStr"/>
      <c r="AZ348">
        <f>IF(AND($AX$348,$AW$348&gt;$AA$348/$Z$348),$AW$348,$AA$348/$Z$348)</f>
        <v/>
      </c>
      <c r="BA348" t="n">
        <v>0.4230769230769231</v>
      </c>
      <c r="BB348" t="n">
        <v>120</v>
      </c>
      <c r="BC348" t="inlineStr"/>
      <c r="BD348" t="inlineStr">
        <is>
          <t>rocket</t>
        </is>
      </c>
      <c r="BE348" t="inlineStr">
        <is>
          <t>Wikipedia 'BM-21 Grad': 40 rockets in 20 s</t>
        </is>
      </c>
      <c r="BF348" t="inlineStr">
        <is>
          <t>player rule: BM-21's real 0.5 s between rockets (0.12 s was 4 x too fast), the 4.07 s cycle and the DPS kept</t>
        </is>
      </c>
      <c r="BG348" t="inlineStr">
        <is>
          <t>doi</t>
        </is>
      </c>
      <c r="BJ348" t="n">
        <v>3.47</v>
      </c>
      <c r="BK348" t="n">
        <v>1.57</v>
      </c>
      <c r="BR348" t="n">
        <v>45</v>
      </c>
      <c r="BS348" t="n">
        <v>130</v>
      </c>
      <c r="BV348" t="n">
        <v>0.12</v>
      </c>
      <c r="BW348" t="n">
        <v>0.5</v>
      </c>
      <c r="CR348" t="n">
        <v>6</v>
      </c>
      <c r="CS348" t="n">
        <v>0.5</v>
      </c>
      <c r="CT348" t="n">
        <v>122</v>
      </c>
      <c r="DD348" t="n">
        <v>1.57</v>
      </c>
      <c r="DE348" t="n">
        <v>66</v>
      </c>
      <c r="DF348" t="inlineStr">
        <is>
          <t>HighExplosive</t>
        </is>
      </c>
      <c r="DJ348" t="inlineStr">
        <is>
          <t>rocket</t>
        </is>
      </c>
      <c r="DR348" t="n">
        <v>1.3</v>
      </c>
      <c r="DS348" t="inlineStr">
        <is>
          <t>Medium</t>
        </is>
      </c>
      <c r="DZ348" t="n">
        <v>8</v>
      </c>
      <c r="EB348" t="n">
        <v>2</v>
      </c>
      <c r="EH348" t="inlineStr">
        <is>
          <t>Rocket</t>
        </is>
      </c>
      <c r="EP348" t="n">
        <v>55</v>
      </c>
      <c r="EQ348" t="inlineStr">
        <is>
          <t>BM-21 Grad 122 mm</t>
        </is>
      </c>
      <c r="EX348" t="n">
        <v>122</v>
      </c>
      <c r="EZ348" t="n">
        <v>4</v>
      </c>
      <c r="GA348" t="inlineStr">
        <is>
          <t>bm_21_grad_122_mm</t>
        </is>
      </c>
      <c r="GB348" t="inlineStr">
        <is>
          <t>rkt_grad_122</t>
        </is>
      </c>
      <c r="GD348" t="inlineStr">
        <is>
          <t>Assets/MachineBrigade/Resources/Data/balance.json: weapons[130]</t>
        </is>
      </c>
      <c r="GE348" t="inlineStr">
        <is>
          <t>{"id":"turret_rockets","weaponFamilyId":"rkt_grad_122","weaponFamily":"bm_21_grad_122_mm","bonuses":[{"armor":"Heavy","mult":0.46}],"real":"BM-21 Grad 122 mm","family":"rocket","size":122,"caliberMm":122,"pen":2,"damageType":"HighExplosive","damage":66,"cooldown":1.57,"range":55,"minRange":8,"spread":4,"impactTier":"Medium","projectile":"Rocket","burst":6,"burstInterval":0.5,"impactScale":1.3}</t>
        </is>
      </c>
    </row>
    <row r="349">
      <c r="A349" t="inlineStr">
        <is>
          <t>turret_rockets_cluster</t>
        </is>
      </c>
      <c r="B349" t="inlineStr">
        <is>
          <t>BM-21 Grad 122 mm (cluster)</t>
        </is>
      </c>
      <c r="C349" t="inlineStr">
        <is>
          <t>rkt_grad_122</t>
        </is>
      </c>
      <c r="D349" t="inlineStr">
        <is>
          <t>cluster</t>
        </is>
      </c>
      <c r="E349" t="inlineStr">
        <is>
          <t>bm_21_grad_122_mm_2</t>
        </is>
      </c>
      <c r="F349" t="inlineStr">
        <is>
          <t>rocket</t>
        </is>
      </c>
      <c r="G349" t="n">
        <v>122</v>
      </c>
      <c r="H349" t="inlineStr"/>
      <c r="I349" t="inlineStr"/>
      <c r="J349" t="inlineStr"/>
      <c r="K349" t="inlineStr">
        <is>
          <t>HighExplosive</t>
        </is>
      </c>
      <c r="L349" t="n">
        <v>2</v>
      </c>
      <c r="M349" t="inlineStr">
        <is>
          <t>Rocket</t>
        </is>
      </c>
      <c r="N349" t="n">
        <v>1</v>
      </c>
      <c r="O349" t="inlineStr">
        <is>
          <t>RIPPLE</t>
        </is>
      </c>
      <c r="P349" t="n">
        <v>6</v>
      </c>
      <c r="Q349" t="n">
        <v>0.5</v>
      </c>
      <c r="R349" t="n">
        <v>1.42</v>
      </c>
      <c r="S349" t="n">
        <v>0</v>
      </c>
      <c r="T349" t="n">
        <v>0</v>
      </c>
      <c r="U349" t="n">
        <v>0</v>
      </c>
      <c r="V349" t="n">
        <v>0</v>
      </c>
      <c r="W349" t="n">
        <v>57</v>
      </c>
      <c r="X349" t="n">
        <v>4</v>
      </c>
      <c r="Y349" t="n">
        <v>0</v>
      </c>
      <c r="Z349" t="n">
        <v>130</v>
      </c>
      <c r="AA349" t="n">
        <v>55</v>
      </c>
      <c r="AB349" t="n">
        <v>8</v>
      </c>
      <c r="AC349" t="inlineStr">
        <is>
          <t>Ground</t>
        </is>
      </c>
      <c r="AD349" t="inlineStr"/>
      <c r="AE349" t="n">
        <v>4</v>
      </c>
      <c r="AF349" t="inlineStr">
        <is>
          <t>Medium</t>
        </is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n">
        <v>122</v>
      </c>
      <c r="AO349" t="n">
        <v>0</v>
      </c>
      <c r="AP349" t="inlineStr">
        <is>
          <t>T3</t>
        </is>
      </c>
      <c r="AQ349" t="inlineStr">
        <is>
          <t>turret_rockets</t>
        </is>
      </c>
      <c r="AR349" t="inlineStr"/>
      <c r="AS349" t="inlineStr">
        <is>
          <t>thap</t>
        </is>
      </c>
      <c r="AT349" t="inlineStr">
        <is>
          <t>rocket_turret.cluster</t>
        </is>
      </c>
      <c r="AU349" t="n">
        <v>1</v>
      </c>
      <c r="AV349" t="inlineStr">
        <is>
          <t>rocket_turret.cluster:0</t>
        </is>
      </c>
      <c r="AW349" t="n">
        <v>0</v>
      </c>
      <c r="AX349" t="b">
        <v>0</v>
      </c>
      <c r="AY349" t="inlineStr"/>
      <c r="AZ349">
        <f>IF(AND($AX$349,$AW$349&gt;$AA$349/$Z$349),$AW$349,$AA$349/$Z$349)</f>
        <v/>
      </c>
      <c r="BA349" t="n">
        <v>0.4230769230769231</v>
      </c>
      <c r="BB349" t="n">
        <v>120</v>
      </c>
      <c r="BC349" t="inlineStr"/>
      <c r="BD349" t="inlineStr">
        <is>
          <t>rocket</t>
        </is>
      </c>
      <c r="BE349" t="inlineStr">
        <is>
          <t>Wikipedia 'BM-21 Grad': 40 rockets in 20 s</t>
        </is>
      </c>
      <c r="BF349" t="inlineStr">
        <is>
          <t>player rule: as turret_rockets, the 3.92 s cycle and the DPS kept</t>
        </is>
      </c>
      <c r="BG349" t="inlineStr">
        <is>
          <t>doi</t>
        </is>
      </c>
      <c r="BJ349" t="n">
        <v>3.32</v>
      </c>
      <c r="BK349" t="n">
        <v>1.42</v>
      </c>
      <c r="BR349" t="n">
        <v>45</v>
      </c>
      <c r="BS349" t="n">
        <v>130</v>
      </c>
      <c r="BV349" t="n">
        <v>0.12</v>
      </c>
      <c r="BW349" t="n">
        <v>0.5</v>
      </c>
      <c r="CT349" t="n">
        <v>122</v>
      </c>
      <c r="CY349" t="n">
        <v>3</v>
      </c>
      <c r="CZ349" t="n">
        <v>14</v>
      </c>
      <c r="DA349" t="n">
        <v>4</v>
      </c>
      <c r="DB349" t="n">
        <v>2</v>
      </c>
      <c r="DC349" t="inlineStr">
        <is>
          <t>Small</t>
        </is>
      </c>
      <c r="DD349" t="n">
        <v>1.42</v>
      </c>
      <c r="DE349" t="n">
        <v>57</v>
      </c>
      <c r="DJ349" t="inlineStr">
        <is>
          <t>rocket</t>
        </is>
      </c>
      <c r="DT349" t="inlineStr">
        <is>
          <t>turret_rockets</t>
        </is>
      </c>
      <c r="EB349" t="n">
        <v>2</v>
      </c>
      <c r="EQ349" t="inlineStr">
        <is>
          <t>BM-21 Grad 122 mm (cluster)</t>
        </is>
      </c>
      <c r="EX349" t="n">
        <v>122</v>
      </c>
      <c r="GA349" t="inlineStr">
        <is>
          <t>bm_21_grad_122_mm_2</t>
        </is>
      </c>
      <c r="GC349" t="inlineStr">
        <is>
          <t>cluster</t>
        </is>
      </c>
      <c r="GD349" t="inlineStr">
        <is>
          <t>Assets/MachineBrigade/Resources/Data/balance.json: weapons[119]</t>
        </is>
      </c>
      <c r="GE349" t="inlineStr">
        <is>
          <t>{"id":"turret_rockets_cluster","weaponFamily":"bm_21_grad_122_mm_2","damage":57,"real":"BM-21 Grad 122 mm (cluster)","family":"rocket","size":122,"caliberMm":122,"pen":2,"inherits":"turret_rockets","weaponVariantId":"cluster","cluster":{"count":3,"radius":4,"damage":14,"splash":2,"tier":"Small"},"cooldown":1.42}</t>
        </is>
      </c>
    </row>
    <row r="350">
      <c r="A350" t="inlineStr">
        <is>
          <t>turret_thermobaric</t>
        </is>
      </c>
      <c r="B350" t="inlineStr">
        <is>
          <t>122 mm thermobaric</t>
        </is>
      </c>
      <c r="C350" t="inlineStr">
        <is>
          <t>rkt_grad_122</t>
        </is>
      </c>
      <c r="D350" t="inlineStr">
        <is>
          <t>thermobaric</t>
        </is>
      </c>
      <c r="E350" t="inlineStr"/>
      <c r="F350" t="inlineStr">
        <is>
          <t>rocket</t>
        </is>
      </c>
      <c r="G350" t="n">
        <v>122</v>
      </c>
      <c r="H350" t="inlineStr"/>
      <c r="I350" t="inlineStr"/>
      <c r="J350" t="inlineStr"/>
      <c r="K350" t="inlineStr">
        <is>
          <t>HighExplosive</t>
        </is>
      </c>
      <c r="L350" t="n">
        <v>2</v>
      </c>
      <c r="M350" t="inlineStr">
        <is>
          <t>Rocket</t>
        </is>
      </c>
      <c r="N350" t="n">
        <v>1</v>
      </c>
      <c r="O350" t="inlineStr">
        <is>
          <t>RIPPLE</t>
        </is>
      </c>
      <c r="P350" t="n">
        <v>7</v>
      </c>
      <c r="Q350" t="n">
        <v>0.12</v>
      </c>
      <c r="R350" t="n">
        <v>7.1</v>
      </c>
      <c r="S350" t="n">
        <v>0</v>
      </c>
      <c r="T350" t="n">
        <v>0</v>
      </c>
      <c r="U350" t="n">
        <v>0</v>
      </c>
      <c r="V350" t="n">
        <v>0</v>
      </c>
      <c r="W350" t="n">
        <v>66</v>
      </c>
      <c r="X350" t="n">
        <v>4</v>
      </c>
      <c r="Y350" t="n">
        <v>0</v>
      </c>
      <c r="Z350" t="n">
        <v>130</v>
      </c>
      <c r="AA350" t="n">
        <v>44</v>
      </c>
      <c r="AB350" t="n">
        <v>8</v>
      </c>
      <c r="AC350" t="inlineStr">
        <is>
          <t>Ground</t>
        </is>
      </c>
      <c r="AD350" t="inlineStr"/>
      <c r="AE350" t="n">
        <v>4</v>
      </c>
      <c r="AF350" t="inlineStr">
        <is>
          <t>Medium</t>
        </is>
      </c>
      <c r="AG350" t="b">
        <v>0</v>
      </c>
      <c r="AH350" t="b">
        <v>0</v>
      </c>
      <c r="AI350" t="b">
        <v>1</v>
      </c>
      <c r="AJ350" t="b">
        <v>0</v>
      </c>
      <c r="AK350" t="b">
        <v>0</v>
      </c>
      <c r="AL350" t="b">
        <v>0</v>
      </c>
      <c r="AM350" t="b">
        <v>0</v>
      </c>
      <c r="AN350" t="n">
        <v>122</v>
      </c>
      <c r="AO350" t="n">
        <v>0</v>
      </c>
      <c r="AP350" t="inlineStr">
        <is>
          <t>T3</t>
        </is>
      </c>
      <c r="AQ350" t="inlineStr">
        <is>
          <t>turret_rockets</t>
        </is>
      </c>
      <c r="AR350" t="inlineStr"/>
      <c r="AS350" t="inlineStr"/>
      <c r="AT350" t="inlineStr"/>
      <c r="AU350" t="n">
        <v>0</v>
      </c>
      <c r="AV350" t="inlineStr"/>
      <c r="AW350" t="n">
        <v>0</v>
      </c>
      <c r="AX350" t="b">
        <v>0</v>
      </c>
      <c r="AY350" t="inlineStr"/>
      <c r="AZ350">
        <f>IF(AND($AX$350,$AW$350&gt;$AA$350/$Z$350),$AW$350,$AA$350/$Z$350)</f>
        <v/>
      </c>
      <c r="BA350" t="n">
        <v>0.3384615384615385</v>
      </c>
      <c r="BB350" t="n">
        <v>120</v>
      </c>
      <c r="BC350" t="inlineStr"/>
      <c r="BD350" t="inlineStr">
        <is>
          <t>rocket</t>
        </is>
      </c>
      <c r="BE350" t="inlineStr">
        <is>
          <t>Wikipedia 'BM-21 Grad': 40 rockets in 20 s</t>
        </is>
      </c>
      <c r="BG350" t="inlineStr">
        <is>
          <t>doi</t>
        </is>
      </c>
      <c r="BR350" t="n">
        <v>45</v>
      </c>
      <c r="BS350" t="n">
        <v>130</v>
      </c>
      <c r="CR350" t="n">
        <v>7</v>
      </c>
      <c r="CS350" t="n">
        <v>0.12</v>
      </c>
      <c r="CT350" t="n">
        <v>122</v>
      </c>
      <c r="DD350" t="n">
        <v>7.1</v>
      </c>
      <c r="DJ350" t="inlineStr">
        <is>
          <t>rocket</t>
        </is>
      </c>
      <c r="DT350" t="inlineStr">
        <is>
          <t>turret_rockets</t>
        </is>
      </c>
      <c r="EB350" t="n">
        <v>2</v>
      </c>
      <c r="EP350" t="n">
        <v>44</v>
      </c>
      <c r="EQ350" t="inlineStr">
        <is>
          <t>122 mm thermobaric</t>
        </is>
      </c>
      <c r="EX350" t="n">
        <v>122</v>
      </c>
      <c r="EY350" t="n">
        <v>4</v>
      </c>
      <c r="FX350" t="b">
        <v>1</v>
      </c>
      <c r="GA350" t="inlineStr"/>
      <c r="GC350" t="inlineStr">
        <is>
          <t>thermobaric</t>
        </is>
      </c>
      <c r="GD350" t="inlineStr">
        <is>
          <t>Assets/MachineBrigade/Resources/Data/balance.json: weapons[120]</t>
        </is>
      </c>
      <c r="GE350" t="inlineStr">
        <is>
          <t>{"id":"turret_thermobaric","weaponFamily":"","real":"122 mm thermobaric","family":"rocket","size":122,"caliberMm":122,"pen":2,"thermobaric":true,"inherits":"turret_rockets","weaponVariantId":"thermobaric","burstInterval":0.12,"splash":4,"range":44,"cooldown":7.1,"burst":7}</t>
        </is>
      </c>
    </row>
    <row r="351">
      <c r="A351" t="inlineStr">
        <is>
          <t>twin_30_bmpt</t>
        </is>
      </c>
      <c r="B351" t="inlineStr">
        <is>
          <t>2A42 30 mm (twin)</t>
        </is>
      </c>
      <c r="C351" t="inlineStr">
        <is>
          <t>cal_30</t>
        </is>
      </c>
      <c r="D351" t="inlineStr"/>
      <c r="E351" t="inlineStr">
        <is>
          <t>2a42_30_mm</t>
        </is>
      </c>
      <c r="F351" t="inlineStr">
        <is>
          <t>autocannon</t>
        </is>
      </c>
      <c r="G351" t="n">
        <v>30</v>
      </c>
      <c r="H351" t="inlineStr"/>
      <c r="I351" t="inlineStr"/>
      <c r="J351" t="inlineStr"/>
      <c r="K351" t="inlineStr">
        <is>
          <t>Kinetic</t>
        </is>
      </c>
      <c r="L351" t="n">
        <v>2</v>
      </c>
      <c r="M351" t="inlineStr">
        <is>
          <t>Bullet</t>
        </is>
      </c>
      <c r="N351" t="n">
        <v>1</v>
      </c>
      <c r="O351" t="inlineStr">
        <is>
          <t>RIPPLE</t>
        </is>
      </c>
      <c r="P351" t="n">
        <v>12</v>
      </c>
      <c r="Q351" t="n">
        <v>0.0833</v>
      </c>
      <c r="R351" t="n">
        <v>1.5833</v>
      </c>
      <c r="S351" t="n">
        <v>0</v>
      </c>
      <c r="T351" t="n">
        <v>0</v>
      </c>
      <c r="U351" t="n">
        <v>0</v>
      </c>
      <c r="V351" t="n">
        <v>0</v>
      </c>
      <c r="W351" t="n">
        <v>22</v>
      </c>
      <c r="X351" t="n">
        <v>0</v>
      </c>
      <c r="Y351" t="n">
        <v>0</v>
      </c>
      <c r="Z351" t="n">
        <v>200</v>
      </c>
      <c r="AA351" t="n">
        <v>30</v>
      </c>
      <c r="AB351" t="n">
        <v>0</v>
      </c>
      <c r="AC351" t="inlineStr">
        <is>
          <t>Ground</t>
        </is>
      </c>
      <c r="AD351" t="inlineStr"/>
      <c r="AE351" t="n">
        <v>0.9</v>
      </c>
      <c r="AF351" t="inlineStr">
        <is>
          <t>Small</t>
        </is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n">
        <v>30</v>
      </c>
      <c r="AO351" t="n">
        <v>0</v>
      </c>
      <c r="AP351" t="inlineStr">
        <is>
          <t>T1</t>
        </is>
      </c>
      <c r="AQ351" t="inlineStr"/>
      <c r="AR351" t="inlineStr">
        <is>
          <t>twin_30_bmpt_flak</t>
        </is>
      </c>
      <c r="AS351" t="inlineStr"/>
      <c r="AT351" t="inlineStr"/>
      <c r="AU351" t="n">
        <v>0</v>
      </c>
      <c r="AV351" t="inlineStr"/>
      <c r="AW351" t="n">
        <v>0</v>
      </c>
      <c r="AX351" t="b">
        <v>0</v>
      </c>
      <c r="AY351" t="inlineStr"/>
      <c r="AZ351">
        <f>IF(AND($AX$351,$AW$351&gt;$AA$351/$Z$351),$AW$351,$AA$351/$Z$351)</f>
        <v/>
      </c>
      <c r="BA351" t="n">
        <v>0.15</v>
      </c>
      <c r="BB351" t="n">
        <v>800</v>
      </c>
      <c r="BC351" t="n">
        <v>300</v>
      </c>
      <c r="BD351" t="inlineStr">
        <is>
          <t>ac</t>
        </is>
      </c>
      <c r="BE351" t="inlineStr">
        <is>
          <t>Wikipedia '2A42': 550-800 high, 200-300 low rpm</t>
        </is>
      </c>
      <c r="BG351" t="inlineStr">
        <is>
          <t>giong</t>
        </is>
      </c>
      <c r="CR351" t="n">
        <v>12</v>
      </c>
      <c r="CS351" t="n">
        <v>0.0833</v>
      </c>
      <c r="CT351" t="n">
        <v>30</v>
      </c>
      <c r="DD351" t="n">
        <v>1.5833</v>
      </c>
      <c r="DE351" t="n">
        <v>22</v>
      </c>
      <c r="DF351" t="inlineStr">
        <is>
          <t>Kinetic</t>
        </is>
      </c>
      <c r="DJ351" t="inlineStr">
        <is>
          <t>autocannon</t>
        </is>
      </c>
      <c r="DS351" t="inlineStr">
        <is>
          <t>Small</t>
        </is>
      </c>
      <c r="EB351" t="n">
        <v>2</v>
      </c>
      <c r="EH351" t="inlineStr">
        <is>
          <t>Bullet</t>
        </is>
      </c>
      <c r="EP351" t="n">
        <v>30</v>
      </c>
      <c r="EQ351" t="inlineStr">
        <is>
          <t>2A42 30 mm (twin)</t>
        </is>
      </c>
      <c r="EX351" t="n">
        <v>30</v>
      </c>
      <c r="EZ351" t="n">
        <v>0.9</v>
      </c>
      <c r="FW351" t="inlineStr">
        <is>
          <t>Ground</t>
        </is>
      </c>
      <c r="GA351" t="inlineStr">
        <is>
          <t>2a42_30_mm</t>
        </is>
      </c>
      <c r="GB351" t="inlineStr">
        <is>
          <t>cal_30</t>
        </is>
      </c>
      <c r="GD351" t="inlineStr">
        <is>
          <t>Assets/MachineBrigade/Resources/Data/balance.json: weapons[78]</t>
        </is>
      </c>
      <c r="GE351" t="inlineStr">
        <is>
          <t>{"id":"twin_30_bmpt","weaponFamilyId":"cal_30","weaponFamily":"2a42_30_mm","burstInterval":0.0833,"burst":12,"real":"2A42 30 mm (twin)","family":"autocannon","size":30,"caliberMm":30,"pen":2,"damageType":"Kinetic","damage":22,"cooldown":1.5833,"range":30,"spread":0.9,"impactTier":"Small","projectile":"Bullet","targets":"Ground"}</t>
        </is>
      </c>
    </row>
    <row r="352">
      <c r="A352" t="inlineStr">
        <is>
          <t>twin_30_bmpt_flak</t>
        </is>
      </c>
      <c r="B352" t="inlineStr">
        <is>
          <t>2A42 30 mm air-burst (twin)</t>
        </is>
      </c>
      <c r="C352" t="inlineStr">
        <is>
          <t>cal_30</t>
        </is>
      </c>
      <c r="D352" t="inlineStr">
        <is>
          <t>flak</t>
        </is>
      </c>
      <c r="E352" t="inlineStr">
        <is>
          <t>2a42_30_mm_air_burst</t>
        </is>
      </c>
      <c r="F352" t="inlineStr">
        <is>
          <t>autocannon</t>
        </is>
      </c>
      <c r="G352" t="n">
        <v>30</v>
      </c>
      <c r="H352" t="inlineStr"/>
      <c r="I352" t="inlineStr"/>
      <c r="J352" t="inlineStr"/>
      <c r="K352" t="inlineStr">
        <is>
          <t>Fragmentation</t>
        </is>
      </c>
      <c r="L352" t="n">
        <v>2</v>
      </c>
      <c r="M352" t="inlineStr">
        <is>
          <t>Bullet</t>
        </is>
      </c>
      <c r="N352" t="n">
        <v>1</v>
      </c>
      <c r="O352" t="inlineStr">
        <is>
          <t>RIPPLE</t>
        </is>
      </c>
      <c r="P352" t="n">
        <v>12</v>
      </c>
      <c r="Q352" t="n">
        <v>0.0833</v>
      </c>
      <c r="R352" t="n">
        <v>1.5833</v>
      </c>
      <c r="S352" t="n">
        <v>0</v>
      </c>
      <c r="T352" t="n">
        <v>0</v>
      </c>
      <c r="U352" t="n">
        <v>0</v>
      </c>
      <c r="V352" t="n">
        <v>0</v>
      </c>
      <c r="W352" t="n">
        <v>22</v>
      </c>
      <c r="X352" t="n">
        <v>2.5</v>
      </c>
      <c r="Y352" t="n">
        <v>0</v>
      </c>
      <c r="Z352" t="n">
        <v>200</v>
      </c>
      <c r="AA352" t="n">
        <v>30</v>
      </c>
      <c r="AB352" t="n">
        <v>0</v>
      </c>
      <c r="AC352" t="inlineStr">
        <is>
          <t>Air</t>
        </is>
      </c>
      <c r="AD352" t="inlineStr"/>
      <c r="AE352" t="n">
        <v>0.9</v>
      </c>
      <c r="AF352" t="inlineStr">
        <is>
          <t>Small</t>
        </is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n">
        <v>30</v>
      </c>
      <c r="AO352" t="n">
        <v>0</v>
      </c>
      <c r="AP352" t="inlineStr">
        <is>
          <t>T1</t>
        </is>
      </c>
      <c r="AQ352" t="inlineStr">
        <is>
          <t>twin_30_bmpt</t>
        </is>
      </c>
      <c r="AR352" t="inlineStr"/>
      <c r="AS352" t="inlineStr"/>
      <c r="AT352" t="inlineStr"/>
      <c r="AU352" t="n">
        <v>0</v>
      </c>
      <c r="AV352" t="inlineStr"/>
      <c r="AW352" t="n">
        <v>0</v>
      </c>
      <c r="AX352" t="b">
        <v>0</v>
      </c>
      <c r="AY352" t="inlineStr"/>
      <c r="AZ352">
        <f>IF(AND($AX$352,$AW$352&gt;$AA$352/$Z$352),$AW$352,$AA$352/$Z$352)</f>
        <v/>
      </c>
      <c r="BA352" t="n">
        <v>0.15</v>
      </c>
      <c r="BB352" t="n">
        <v>800</v>
      </c>
      <c r="BC352" t="n">
        <v>300</v>
      </c>
      <c r="BD352" t="inlineStr">
        <is>
          <t>ac</t>
        </is>
      </c>
      <c r="BE352" t="inlineStr">
        <is>
          <t>Wikipedia '2A42': 550-800 high, 200-300 low rpm</t>
        </is>
      </c>
      <c r="BG352" t="inlineStr">
        <is>
          <t>giong</t>
        </is>
      </c>
      <c r="DE352" t="n">
        <v>22</v>
      </c>
      <c r="DF352" t="inlineStr">
        <is>
          <t>Fragmentation</t>
        </is>
      </c>
      <c r="DM352" t="inlineStr">
        <is>
          <t>air</t>
        </is>
      </c>
      <c r="DN352" t="inlineStr">
        <is>
          <t>Airburst</t>
        </is>
      </c>
      <c r="DT352" t="inlineStr">
        <is>
          <t>twin_30_bmpt</t>
        </is>
      </c>
      <c r="EB352" t="n">
        <v>2</v>
      </c>
      <c r="EE352" t="b">
        <v>0</v>
      </c>
      <c r="EQ352" t="inlineStr">
        <is>
          <t>2A42 30 mm air-burst (twin)</t>
        </is>
      </c>
      <c r="ES352" t="inlineStr">
        <is>
          <t>flak</t>
        </is>
      </c>
      <c r="EU352" t="inlineStr">
        <is>
          <t>twin_30_bmpt</t>
        </is>
      </c>
      <c r="EY352" t="n">
        <v>2.5</v>
      </c>
      <c r="FW352" t="inlineStr">
        <is>
          <t>Air</t>
        </is>
      </c>
      <c r="GA352" t="inlineStr">
        <is>
          <t>2a42_30_mm_air_burst</t>
        </is>
      </c>
      <c r="GC352" t="inlineStr">
        <is>
          <t>flak</t>
        </is>
      </c>
      <c r="GD352" t="inlineStr">
        <is>
          <t>Assets/MachineBrigade/Resources/Data/balance.json: secondRounds.rounds[62]</t>
        </is>
      </c>
      <c r="GE352" t="inlineStr">
        <is>
          <t>{"id":"twin_30_bmpt_flak","roundOf":"twin_30_bmpt","inherits":"twin_30_bmpt","weaponVariantId":"flak","weaponFamily":"2a42_30_mm_air_burst","round":"flak","for":["air"],"real":"2A42 30 mm air-burst (twin)","damageType":"Fragmentation","pen":2,"damage":22,"splash":2.5,"form":"Airburst","piercing":false,"targets":"Air"}</t>
        </is>
      </c>
    </row>
    <row r="353">
      <c r="A353" t="inlineStr">
        <is>
          <t>twin_30_flak</t>
        </is>
      </c>
      <c r="B353" t="inlineStr">
        <is>
          <t>2A38 30 mm (twin)</t>
        </is>
      </c>
      <c r="C353" t="inlineStr">
        <is>
          <t>cal_30</t>
        </is>
      </c>
      <c r="D353" t="inlineStr">
        <is>
          <t>flak</t>
        </is>
      </c>
      <c r="E353" t="inlineStr">
        <is>
          <t>2a38_30_mm</t>
        </is>
      </c>
      <c r="F353" t="inlineStr">
        <is>
          <t>autocannon</t>
        </is>
      </c>
      <c r="G353" t="n">
        <v>30</v>
      </c>
      <c r="H353" t="inlineStr"/>
      <c r="I353" t="inlineStr"/>
      <c r="J353" t="inlineStr"/>
      <c r="K353" t="inlineStr">
        <is>
          <t>Fragmentation</t>
        </is>
      </c>
      <c r="L353" t="n">
        <v>2</v>
      </c>
      <c r="M353" t="inlineStr">
        <is>
          <t>Bullet</t>
        </is>
      </c>
      <c r="N353" t="n">
        <v>1</v>
      </c>
      <c r="O353" t="inlineStr">
        <is>
          <t>RIPPLE</t>
        </is>
      </c>
      <c r="P353" t="n">
        <v>1</v>
      </c>
      <c r="Q353" t="n">
        <v>0.1</v>
      </c>
      <c r="R353" t="n">
        <v>0.025</v>
      </c>
      <c r="S353" t="n">
        <v>160</v>
      </c>
      <c r="T353" t="n">
        <v>3.025</v>
      </c>
      <c r="U353" t="n">
        <v>0</v>
      </c>
      <c r="V353" t="n">
        <v>0</v>
      </c>
      <c r="W353" t="n">
        <v>7.5</v>
      </c>
      <c r="X353" t="n">
        <v>2.5</v>
      </c>
      <c r="Y353" t="n">
        <v>0</v>
      </c>
      <c r="Z353" t="n">
        <v>280</v>
      </c>
      <c r="AA353" t="n">
        <v>42</v>
      </c>
      <c r="AB353" t="n">
        <v>0</v>
      </c>
      <c r="AC353" t="inlineStr">
        <is>
          <t>All</t>
        </is>
      </c>
      <c r="AD353" t="inlineStr"/>
      <c r="AE353" t="n">
        <v>1.4</v>
      </c>
      <c r="AF353" t="inlineStr">
        <is>
          <t>Small</t>
        </is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n">
        <v>30</v>
      </c>
      <c r="AO353" t="n">
        <v>0</v>
      </c>
      <c r="AP353" t="inlineStr">
        <is>
          <t>T1</t>
        </is>
      </c>
      <c r="AQ353" t="inlineStr"/>
      <c r="AR353" t="inlineStr">
        <is>
          <t>twin_30_flak_ap</t>
        </is>
      </c>
      <c r="AS353" t="inlineStr">
        <is>
          <t>xe</t>
        </is>
      </c>
      <c r="AT353" t="inlineStr">
        <is>
          <t>heavy_aa</t>
        </is>
      </c>
      <c r="AU353" t="n">
        <v>1</v>
      </c>
      <c r="AV353" t="inlineStr">
        <is>
          <t>heavy_aa:0</t>
        </is>
      </c>
      <c r="AW353" t="n">
        <v>0</v>
      </c>
      <c r="AX353" t="b">
        <v>0</v>
      </c>
      <c r="AY353" t="inlineStr"/>
      <c r="AZ353">
        <f>IF(AND($AX$353,$AW$353&gt;$AA$353/$Z$353),$AW$353,$AA$353/$Z$353)</f>
        <v/>
      </c>
      <c r="BA353" t="n">
        <v>0.15</v>
      </c>
      <c r="BB353" t="n">
        <v>2500</v>
      </c>
      <c r="BC353" t="n">
        <v>1000</v>
      </c>
      <c r="BD353" t="inlineStr">
        <is>
          <t>aa</t>
        </is>
      </c>
      <c r="BE353" t="inlineStr">
        <is>
          <t>Wikipedia '2A38': 4,060-5,000 rpm the twin mount</t>
        </is>
      </c>
      <c r="BG353" t="inlineStr">
        <is>
          <t>giong</t>
        </is>
      </c>
      <c r="CT353" t="n">
        <v>30</v>
      </c>
      <c r="CW353" t="n">
        <v>160</v>
      </c>
      <c r="CX353" t="n">
        <v>3.025</v>
      </c>
      <c r="DD353" t="n">
        <v>0.025</v>
      </c>
      <c r="DE353" t="n">
        <v>7.5</v>
      </c>
      <c r="DF353" t="inlineStr">
        <is>
          <t>Fragmentation</t>
        </is>
      </c>
      <c r="DJ353" t="inlineStr">
        <is>
          <t>autocannon</t>
        </is>
      </c>
      <c r="DS353" t="inlineStr">
        <is>
          <t>Small</t>
        </is>
      </c>
      <c r="EB353" t="n">
        <v>2</v>
      </c>
      <c r="EH353" t="inlineStr">
        <is>
          <t>Bullet</t>
        </is>
      </c>
      <c r="EP353" t="n">
        <v>42</v>
      </c>
      <c r="EQ353" t="inlineStr">
        <is>
          <t>2A38 30 mm (twin)</t>
        </is>
      </c>
      <c r="EX353" t="n">
        <v>30</v>
      </c>
      <c r="EZ353" t="n">
        <v>1.4</v>
      </c>
      <c r="FW353" t="inlineStr">
        <is>
          <t>All</t>
        </is>
      </c>
      <c r="GA353" t="inlineStr">
        <is>
          <t>2a38_30_mm</t>
        </is>
      </c>
      <c r="GB353" t="inlineStr">
        <is>
          <t>cal_30</t>
        </is>
      </c>
      <c r="GC353" t="inlineStr">
        <is>
          <t>flak</t>
        </is>
      </c>
      <c r="GD353" t="inlineStr">
        <is>
          <t>Assets/MachineBrigade/Resources/Data/balance.json: weapons[44]</t>
        </is>
      </c>
      <c r="GE353" t="inlineStr">
        <is>
          <t>{"id":"twin_30_flak","weaponFamilyId":"cal_30","weaponVariantId":"flak","weaponFamily":"2a38_30_mm","real":"2A38 30 mm (twin)","family":"autocannon","size":30,"caliberMm":30,"pen":2,"damageType":"Fragmentation","damage":7.5,"cooldown":0.025,"range":42,"spread":1.4,"impactTier":"Small","projectile":"Bullet","targets":"All","clip":160,"clipReload":3.025,"bonuses":[{"class":"Plane","mult":1.25}]}</t>
        </is>
      </c>
    </row>
    <row r="354">
      <c r="A354" t="inlineStr">
        <is>
          <t>twin_30_flak_ap</t>
        </is>
      </c>
      <c r="B354" t="inlineStr">
        <is>
          <t>2A38 30 mm AP (twin)</t>
        </is>
      </c>
      <c r="C354" t="inlineStr">
        <is>
          <t>cal_30</t>
        </is>
      </c>
      <c r="D354" t="inlineStr"/>
      <c r="E354" t="inlineStr">
        <is>
          <t>2a38_30_mm_ap</t>
        </is>
      </c>
      <c r="F354" t="inlineStr">
        <is>
          <t>autocannon</t>
        </is>
      </c>
      <c r="G354" t="n">
        <v>30</v>
      </c>
      <c r="H354" t="inlineStr"/>
      <c r="I354" t="inlineStr"/>
      <c r="J354" t="inlineStr"/>
      <c r="K354" t="inlineStr">
        <is>
          <t>Kinetic</t>
        </is>
      </c>
      <c r="L354" t="n">
        <v>2</v>
      </c>
      <c r="M354" t="inlineStr">
        <is>
          <t>Bullet</t>
        </is>
      </c>
      <c r="N354" t="n">
        <v>1</v>
      </c>
      <c r="O354" t="inlineStr">
        <is>
          <t>RIPPLE</t>
        </is>
      </c>
      <c r="P354" t="n">
        <v>1</v>
      </c>
      <c r="Q354" t="n">
        <v>0.1</v>
      </c>
      <c r="R354" t="n">
        <v>0.025</v>
      </c>
      <c r="S354" t="n">
        <v>160</v>
      </c>
      <c r="T354" t="n">
        <v>3.025</v>
      </c>
      <c r="U354" t="n">
        <v>0</v>
      </c>
      <c r="V354" t="n">
        <v>0</v>
      </c>
      <c r="W354" t="n">
        <v>7.5</v>
      </c>
      <c r="X354" t="n">
        <v>0</v>
      </c>
      <c r="Y354" t="n">
        <v>0</v>
      </c>
      <c r="Z354" t="n">
        <v>280</v>
      </c>
      <c r="AA354" t="n">
        <v>42</v>
      </c>
      <c r="AB354" t="n">
        <v>0</v>
      </c>
      <c r="AC354" t="inlineStr">
        <is>
          <t>Ground</t>
        </is>
      </c>
      <c r="AD354" t="inlineStr"/>
      <c r="AE354" t="n">
        <v>1.4</v>
      </c>
      <c r="AF354" t="inlineStr">
        <is>
          <t>Small</t>
        </is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n">
        <v>30</v>
      </c>
      <c r="AO354" t="n">
        <v>0</v>
      </c>
      <c r="AP354" t="inlineStr">
        <is>
          <t>T1</t>
        </is>
      </c>
      <c r="AQ354" t="inlineStr">
        <is>
          <t>twin_30_flak</t>
        </is>
      </c>
      <c r="AR354" t="inlineStr"/>
      <c r="AS354" t="inlineStr"/>
      <c r="AT354" t="inlineStr"/>
      <c r="AU354" t="n">
        <v>0</v>
      </c>
      <c r="AV354" t="inlineStr"/>
      <c r="AW354" t="n">
        <v>0</v>
      </c>
      <c r="AX354" t="b">
        <v>0</v>
      </c>
      <c r="AY354" t="inlineStr"/>
      <c r="AZ354">
        <f>IF(AND($AX$354,$AW$354&gt;$AA$354/$Z$354),$AW$354,$AA$354/$Z$354)</f>
        <v/>
      </c>
      <c r="BA354" t="n">
        <v>0.15</v>
      </c>
      <c r="BB354" t="n">
        <v>2500</v>
      </c>
      <c r="BC354" t="n">
        <v>1000</v>
      </c>
      <c r="BD354" t="inlineStr">
        <is>
          <t>aa</t>
        </is>
      </c>
      <c r="BE354" t="inlineStr">
        <is>
          <t>Wikipedia '2A38': 4,060-5,000 rpm the twin mount</t>
        </is>
      </c>
      <c r="BG354" t="inlineStr">
        <is>
          <t>giong</t>
        </is>
      </c>
      <c r="CQ354" t="inlineStr"/>
      <c r="DE354" t="n">
        <v>7.5</v>
      </c>
      <c r="DF354" t="inlineStr">
        <is>
          <t>Kinetic</t>
        </is>
      </c>
      <c r="DM354" t="inlineStr">
        <is>
          <t>ground</t>
        </is>
      </c>
      <c r="DN354" t="inlineStr">
        <is>
          <t>BeltedAutocannon</t>
        </is>
      </c>
      <c r="DT354" t="inlineStr">
        <is>
          <t>twin_30_flak</t>
        </is>
      </c>
      <c r="EB354" t="n">
        <v>2</v>
      </c>
      <c r="EE354" t="b">
        <v>1</v>
      </c>
      <c r="EQ354" t="inlineStr">
        <is>
          <t>2A38 30 mm AP (twin)</t>
        </is>
      </c>
      <c r="ES354" t="inlineStr">
        <is>
          <t>ap</t>
        </is>
      </c>
      <c r="EU354" t="inlineStr">
        <is>
          <t>twin_30_flak</t>
        </is>
      </c>
      <c r="EY354" t="n">
        <v>0</v>
      </c>
      <c r="FW354" t="inlineStr">
        <is>
          <t>Ground</t>
        </is>
      </c>
      <c r="GA354" t="inlineStr">
        <is>
          <t>2a38_30_mm_ap</t>
        </is>
      </c>
      <c r="GC354" t="inlineStr"/>
      <c r="GD354" t="inlineStr">
        <is>
          <t>Assets/MachineBrigade/Resources/Data/balance.json: secondRounds.rounds[63]</t>
        </is>
      </c>
      <c r="GE354" t="inlineStr">
        <is>
          <t>{"id":"twin_30_flak_ap","roundOf":"twin_30_flak","inherits":"twin_30_flak","weaponVariantId":"","weaponFamily":"2a38_30_mm_ap","round":"ap","for":["ground"],"real":"2A38 30 mm AP (twin)","damageType":"Kinetic","pen":2,"damage":7.5,"splash":0,"form":"BeltedAutocannon","piercing":true,"targets":"Ground","bonuses":[]}</t>
        </is>
      </c>
    </row>
    <row r="355">
      <c r="A355" t="inlineStr">
        <is>
          <t>twin_35_ahead</t>
        </is>
      </c>
      <c r="B355" t="inlineStr">
        <is>
          <t>Skyranger 35 mm AHEAD</t>
        </is>
      </c>
      <c r="C355" t="inlineStr">
        <is>
          <t>cal_35</t>
        </is>
      </c>
      <c r="D355" t="inlineStr"/>
      <c r="E355" t="inlineStr"/>
      <c r="F355" t="inlineStr">
        <is>
          <t>autocannon</t>
        </is>
      </c>
      <c r="G355" t="n">
        <v>35</v>
      </c>
      <c r="H355" t="inlineStr"/>
      <c r="I355" t="inlineStr"/>
      <c r="J355" t="inlineStr"/>
      <c r="K355" t="inlineStr">
        <is>
          <t>Fragmentation</t>
        </is>
      </c>
      <c r="L355" t="n">
        <v>2</v>
      </c>
      <c r="M355" t="inlineStr">
        <is>
          <t>Bullet</t>
        </is>
      </c>
      <c r="N355" t="n">
        <v>1</v>
      </c>
      <c r="O355" t="inlineStr">
        <is>
          <t>RIPPLE</t>
        </is>
      </c>
      <c r="P355" t="n">
        <v>1</v>
      </c>
      <c r="Q355" t="n">
        <v>0.1</v>
      </c>
      <c r="R355" t="n">
        <v>0.2137</v>
      </c>
      <c r="S355" t="n">
        <v>24</v>
      </c>
      <c r="T355" t="n">
        <v>1.2137</v>
      </c>
      <c r="U355" t="n">
        <v>0</v>
      </c>
      <c r="V355" t="n">
        <v>0</v>
      </c>
      <c r="W355" t="n">
        <v>26</v>
      </c>
      <c r="X355" t="n">
        <v>4</v>
      </c>
      <c r="Y355" t="n">
        <v>0</v>
      </c>
      <c r="Z355" t="n">
        <v>300</v>
      </c>
      <c r="AA355" t="n">
        <v>46</v>
      </c>
      <c r="AB355" t="n">
        <v>0</v>
      </c>
      <c r="AC355" t="inlineStr">
        <is>
          <t>All</t>
        </is>
      </c>
      <c r="AD355" t="inlineStr"/>
      <c r="AE355" t="n">
        <v>1.2</v>
      </c>
      <c r="AF355" t="inlineStr">
        <is>
          <t>Small</t>
        </is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n">
        <v>35</v>
      </c>
      <c r="AO355" t="n">
        <v>0</v>
      </c>
      <c r="AP355" t="inlineStr">
        <is>
          <t>T1</t>
        </is>
      </c>
      <c r="AQ355" t="inlineStr"/>
      <c r="AR355" t="inlineStr">
        <is>
          <t>twin_35_ahead_ap</t>
        </is>
      </c>
      <c r="AS355" t="inlineStr">
        <is>
          <t>xe</t>
        </is>
      </c>
      <c r="AT355" t="inlineStr">
        <is>
          <t>elite_aa</t>
        </is>
      </c>
      <c r="AU355" t="n">
        <v>1</v>
      </c>
      <c r="AV355" t="inlineStr">
        <is>
          <t>elite_aa:0</t>
        </is>
      </c>
      <c r="AW355" t="n">
        <v>0</v>
      </c>
      <c r="AX355" t="b">
        <v>0</v>
      </c>
      <c r="AY355" t="inlineStr"/>
      <c r="AZ355">
        <f>IF(AND($AX$355,$AW$355&gt;$AA$355/$Z$355),$AW$355,$AA$355/$Z$355)</f>
        <v/>
      </c>
      <c r="BA355" t="n">
        <v>0.1533333333333333</v>
      </c>
      <c r="BB355" t="n">
        <v>1000</v>
      </c>
      <c r="BC355" t="n">
        <v>400</v>
      </c>
      <c r="BD355" t="inlineStr">
        <is>
          <t>aa</t>
        </is>
      </c>
      <c r="BE355" t="inlineStr">
        <is>
          <t>Rheinmetall Skyranger 30/35: 1,000 rpm, 20-24-round AHEAD bursts</t>
        </is>
      </c>
      <c r="BG355" t="inlineStr">
        <is>
          <t>giong</t>
        </is>
      </c>
      <c r="CT355" t="n">
        <v>35</v>
      </c>
      <c r="CW355" t="n">
        <v>24</v>
      </c>
      <c r="CX355" t="n">
        <v>1.2137</v>
      </c>
      <c r="DD355" t="n">
        <v>0.2137</v>
      </c>
      <c r="DE355" t="n">
        <v>26</v>
      </c>
      <c r="DF355" t="inlineStr">
        <is>
          <t>Fragmentation</t>
        </is>
      </c>
      <c r="DJ355" t="inlineStr">
        <is>
          <t>autocannon</t>
        </is>
      </c>
      <c r="DS355" t="inlineStr">
        <is>
          <t>Small</t>
        </is>
      </c>
      <c r="EB355" t="n">
        <v>2</v>
      </c>
      <c r="EH355" t="inlineStr">
        <is>
          <t>Bullet</t>
        </is>
      </c>
      <c r="EK355" t="n">
        <v>300</v>
      </c>
      <c r="EP355" t="n">
        <v>46</v>
      </c>
      <c r="EQ355" t="inlineStr">
        <is>
          <t>Skyranger 35 mm AHEAD</t>
        </is>
      </c>
      <c r="EX355" t="n">
        <v>35</v>
      </c>
      <c r="EY355" t="n">
        <v>4</v>
      </c>
      <c r="EZ355" t="n">
        <v>1.2</v>
      </c>
      <c r="FW355" t="inlineStr">
        <is>
          <t>All</t>
        </is>
      </c>
      <c r="GB355" t="inlineStr">
        <is>
          <t>cal_35</t>
        </is>
      </c>
      <c r="GD355" t="inlineStr">
        <is>
          <t>Assets/MachineBrigade/Resources/Data/balance.json: weapons[95]</t>
        </is>
      </c>
      <c r="GE355" t="inlineStr">
        <is>
          <t>{"id":"twin_35_ahead","weaponFamilyId":"cal_35","real":"Skyranger 35 mm AHEAD","family":"autocannon","size":35,"caliberMm":35,"pen":2,"damageType":"Fragmentation","damage":26,"cooldown":0.2137,"range":46,"projectileSpeed":300,"splash":4,"spread":1.2,"impactTier":"Small","projectile":"Bullet","targets":"All","clip":24,"clipReload":1.2137,"bonuses":[{"class":"Plane","mult":1.5}]}</t>
        </is>
      </c>
    </row>
    <row r="356">
      <c r="A356" t="inlineStr">
        <is>
          <t>twin_35_ahead_ap</t>
        </is>
      </c>
      <c r="B356" t="inlineStr">
        <is>
          <t>Skyranger 35 mm AHEAD AP</t>
        </is>
      </c>
      <c r="C356" t="inlineStr">
        <is>
          <t>cal_35</t>
        </is>
      </c>
      <c r="D356" t="inlineStr">
        <is>
          <t>ap</t>
        </is>
      </c>
      <c r="E356" t="inlineStr"/>
      <c r="F356" t="inlineStr">
        <is>
          <t>autocannon</t>
        </is>
      </c>
      <c r="G356" t="n">
        <v>35</v>
      </c>
      <c r="H356" t="inlineStr"/>
      <c r="I356" t="inlineStr"/>
      <c r="J356" t="inlineStr"/>
      <c r="K356" t="inlineStr">
        <is>
          <t>Kinetic</t>
        </is>
      </c>
      <c r="L356" t="n">
        <v>2</v>
      </c>
      <c r="M356" t="inlineStr">
        <is>
          <t>Bullet</t>
        </is>
      </c>
      <c r="N356" t="n">
        <v>1</v>
      </c>
      <c r="O356" t="inlineStr">
        <is>
          <t>RIPPLE</t>
        </is>
      </c>
      <c r="P356" t="n">
        <v>1</v>
      </c>
      <c r="Q356" t="n">
        <v>0.1</v>
      </c>
      <c r="R356" t="n">
        <v>0.2137</v>
      </c>
      <c r="S356" t="n">
        <v>24</v>
      </c>
      <c r="T356" t="n">
        <v>1.2137</v>
      </c>
      <c r="U356" t="n">
        <v>0</v>
      </c>
      <c r="V356" t="n">
        <v>0</v>
      </c>
      <c r="W356" t="n">
        <v>26</v>
      </c>
      <c r="X356" t="n">
        <v>0</v>
      </c>
      <c r="Y356" t="n">
        <v>0</v>
      </c>
      <c r="Z356" t="n">
        <v>300</v>
      </c>
      <c r="AA356" t="n">
        <v>46</v>
      </c>
      <c r="AB356" t="n">
        <v>0</v>
      </c>
      <c r="AC356" t="inlineStr">
        <is>
          <t>Ground</t>
        </is>
      </c>
      <c r="AD356" t="inlineStr"/>
      <c r="AE356" t="n">
        <v>1.2</v>
      </c>
      <c r="AF356" t="inlineStr">
        <is>
          <t>Small</t>
        </is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n">
        <v>35</v>
      </c>
      <c r="AO356" t="n">
        <v>0</v>
      </c>
      <c r="AP356" t="inlineStr">
        <is>
          <t>T1</t>
        </is>
      </c>
      <c r="AQ356" t="inlineStr">
        <is>
          <t>twin_35_ahead</t>
        </is>
      </c>
      <c r="AR356" t="inlineStr"/>
      <c r="AS356" t="inlineStr"/>
      <c r="AT356" t="inlineStr"/>
      <c r="AU356" t="n">
        <v>0</v>
      </c>
      <c r="AV356" t="inlineStr"/>
      <c r="AW356" t="n">
        <v>0</v>
      </c>
      <c r="AX356" t="b">
        <v>0</v>
      </c>
      <c r="AY356" t="inlineStr"/>
      <c r="AZ356">
        <f>IF(AND($AX$356,$AW$356&gt;$AA$356/$Z$356),$AW$356,$AA$356/$Z$356)</f>
        <v/>
      </c>
      <c r="BA356" t="n">
        <v>0.1533333333333333</v>
      </c>
      <c r="BB356" t="n">
        <v>1000</v>
      </c>
      <c r="BC356" t="n">
        <v>400</v>
      </c>
      <c r="BD356" t="inlineStr">
        <is>
          <t>aa</t>
        </is>
      </c>
      <c r="BE356" t="inlineStr">
        <is>
          <t>Rheinmetall Skyranger 30/35: 1,000 rpm, 20-24-round AHEAD bursts</t>
        </is>
      </c>
      <c r="BG356" t="inlineStr">
        <is>
          <t>giong</t>
        </is>
      </c>
      <c r="CQ356" t="inlineStr"/>
      <c r="DE356" t="n">
        <v>26</v>
      </c>
      <c r="DF356" t="inlineStr">
        <is>
          <t>Kinetic</t>
        </is>
      </c>
      <c r="DM356" t="inlineStr">
        <is>
          <t>ground</t>
        </is>
      </c>
      <c r="DN356" t="inlineStr">
        <is>
          <t>BeltedAutocannon</t>
        </is>
      </c>
      <c r="DT356" t="inlineStr">
        <is>
          <t>twin_35_ahead</t>
        </is>
      </c>
      <c r="EB356" t="n">
        <v>2</v>
      </c>
      <c r="EE356" t="b">
        <v>1</v>
      </c>
      <c r="EQ356" t="inlineStr">
        <is>
          <t>Skyranger 35 mm AHEAD AP</t>
        </is>
      </c>
      <c r="ES356" t="inlineStr">
        <is>
          <t>ap</t>
        </is>
      </c>
      <c r="EU356" t="inlineStr">
        <is>
          <t>twin_35_ahead</t>
        </is>
      </c>
      <c r="EY356" t="n">
        <v>0</v>
      </c>
      <c r="FW356" t="inlineStr">
        <is>
          <t>Ground</t>
        </is>
      </c>
      <c r="GA356" t="inlineStr"/>
      <c r="GC356" t="inlineStr">
        <is>
          <t>ap</t>
        </is>
      </c>
      <c r="GD356" t="inlineStr">
        <is>
          <t>Assets/MachineBrigade/Resources/Data/balance.json: secondRounds.rounds[64]</t>
        </is>
      </c>
      <c r="GE356" t="inlineStr">
        <is>
          <t>{"id":"twin_35_ahead_ap","roundOf":"twin_35_ahead","inherits":"twin_35_ahead","weaponVariantId":"ap","weaponFamily":"","round":"ap","for":["ground"],"real":"Skyranger 35 mm AHEAD AP","damageType":"Kinetic","pen":2,"damage":26,"splash":0,"form":"BeltedAutocannon","piercing":true,"targets":"Ground","bonuses":[]}</t>
        </is>
      </c>
    </row>
    <row r="357">
      <c r="A357" t="inlineStr">
        <is>
          <t>vikhr</t>
        </is>
      </c>
      <c r="B357" t="inlineStr">
        <is>
          <t>9K121 Vikhr</t>
        </is>
      </c>
      <c r="C357" t="inlineStr">
        <is>
          <t>atgm_9k121_vikhr</t>
        </is>
      </c>
      <c r="D357" t="inlineStr"/>
      <c r="E357" t="inlineStr"/>
      <c r="F357" t="inlineStr">
        <is>
          <t>atgm</t>
        </is>
      </c>
      <c r="G357" t="inlineStr"/>
      <c r="H357" t="n">
        <v>8</v>
      </c>
      <c r="I357" t="inlineStr"/>
      <c r="J357" t="inlineStr"/>
      <c r="K357" t="inlineStr">
        <is>
          <t>ShapedCharge</t>
        </is>
      </c>
      <c r="L357" t="n">
        <v>4</v>
      </c>
      <c r="M357" t="inlineStr">
        <is>
          <t>Missile</t>
        </is>
      </c>
      <c r="N357" t="n">
        <v>1</v>
      </c>
      <c r="O357" t="inlineStr">
        <is>
          <t>RIPPLE</t>
        </is>
      </c>
      <c r="P357" t="n">
        <v>2</v>
      </c>
      <c r="Q357" t="n">
        <v>0.45</v>
      </c>
      <c r="R357" t="n">
        <v>7.1</v>
      </c>
      <c r="S357" t="n">
        <v>0</v>
      </c>
      <c r="T357" t="n">
        <v>0</v>
      </c>
      <c r="U357" t="n">
        <v>0</v>
      </c>
      <c r="V357" t="n">
        <v>0</v>
      </c>
      <c r="W357" t="n">
        <v>250</v>
      </c>
      <c r="X357" t="n">
        <v>0</v>
      </c>
      <c r="Y357" t="n">
        <v>0</v>
      </c>
      <c r="Z357" t="n">
        <v>120</v>
      </c>
      <c r="AA357" t="n">
        <v>55</v>
      </c>
      <c r="AB357" t="n">
        <v>0</v>
      </c>
      <c r="AC357" t="inlineStr">
        <is>
          <t>Ground</t>
        </is>
      </c>
      <c r="AD357" t="inlineStr"/>
      <c r="AE357" t="n">
        <v>0</v>
      </c>
      <c r="AF357" t="inlineStr">
        <is>
          <t>Medium</t>
        </is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n">
        <v>45</v>
      </c>
      <c r="AO357" t="n">
        <v>8</v>
      </c>
      <c r="AP357" t="inlineStr">
        <is>
          <t>T2</t>
        </is>
      </c>
      <c r="AQ357" t="inlineStr"/>
      <c r="AR357" t="inlineStr"/>
      <c r="AS357" t="inlineStr"/>
      <c r="AT357" t="inlineStr"/>
      <c r="AU357" t="n">
        <v>0</v>
      </c>
      <c r="AV357" t="inlineStr"/>
      <c r="AW357" t="n">
        <v>0</v>
      </c>
      <c r="AX357" t="b">
        <v>0</v>
      </c>
      <c r="AY357" t="inlineStr"/>
      <c r="AZ357">
        <f>IF(AND($AX$357,$AW$357&gt;$AA$357/$Z$357),$AW$357,$AA$357/$Z$357)</f>
        <v/>
      </c>
      <c r="BA357" t="n">
        <v>0.4583333333333333</v>
      </c>
      <c r="BB357" t="n">
        <v>4</v>
      </c>
      <c r="BC357" t="n">
        <v>3</v>
      </c>
      <c r="BD357" t="inlineStr">
        <is>
          <t>atgm</t>
        </is>
      </c>
      <c r="BE357" t="inlineStr">
        <is>
          <t>Shturm / Ataka / Khrizantema launchers: est. 3-4 rpm a rail</t>
        </is>
      </c>
      <c r="BG357" t="inlineStr">
        <is>
          <t>doi</t>
        </is>
      </c>
      <c r="BR357" t="n">
        <v>24</v>
      </c>
      <c r="BS357" t="n">
        <v>120</v>
      </c>
      <c r="CR357" t="n">
        <v>2</v>
      </c>
      <c r="CS357" t="n">
        <v>0.45</v>
      </c>
      <c r="DD357" t="n">
        <v>7.1</v>
      </c>
      <c r="DE357" t="n">
        <v>250</v>
      </c>
      <c r="DF357" t="inlineStr">
        <is>
          <t>ShapedCharge</t>
        </is>
      </c>
      <c r="DJ357" t="inlineStr">
        <is>
          <t>atgm</t>
        </is>
      </c>
      <c r="DS357" t="inlineStr">
        <is>
          <t>Medium</t>
        </is>
      </c>
      <c r="DW357" t="n">
        <v>8</v>
      </c>
      <c r="EB357" t="n">
        <v>4</v>
      </c>
      <c r="EE357" t="b">
        <v>1</v>
      </c>
      <c r="EH357" t="inlineStr">
        <is>
          <t>Missile</t>
        </is>
      </c>
      <c r="EI357" t="inlineStr">
        <is>
          <t>atgm_ataka</t>
        </is>
      </c>
      <c r="EJ357" t="n">
        <v>0.72</v>
      </c>
      <c r="EK357" t="n">
        <v>120</v>
      </c>
      <c r="EP357" t="n">
        <v>55</v>
      </c>
      <c r="EQ357" t="inlineStr">
        <is>
          <t>9K121 Vikhr</t>
        </is>
      </c>
      <c r="EX357" t="n">
        <v>45</v>
      </c>
      <c r="FW357" t="inlineStr">
        <is>
          <t>Ground</t>
        </is>
      </c>
      <c r="FZ357" t="n">
        <v>8</v>
      </c>
      <c r="GB357" t="inlineStr">
        <is>
          <t>atgm_9k121_vikhr</t>
        </is>
      </c>
      <c r="GD357" t="inlineStr">
        <is>
          <t>Assets/MachineBrigade/Resources/Data/balance.json: weapons[79]</t>
        </is>
      </c>
      <c r="GE357" t="inlineStr">
        <is>
          <t>{"id":"vikhr","weaponFamilyId":"atgm_9k121_vikhr","load":8,"real":"9K121 Vikhr","family":"atgm","size":45,"warheadKg":8,"pen":4,"piercing":true,"projectileModel":"atgm_ataka","projectileScale":0.72,"damageType":"ShapedCharge","damage":250,"cooldown":7.1,"range":55,"projectileSpeed":120,"impactTier":"Medium","projectile":"Missile","targets":"Ground","burst":2,"burstInterval":0.45}</t>
        </is>
      </c>
    </row>
    <row r="358">
      <c r="A358" t="inlineStr">
        <is>
          <t>wvr_aam</t>
        </is>
      </c>
      <c r="B358" t="inlineStr">
        <is>
          <t>AIM-9X Sidewinder</t>
        </is>
      </c>
      <c r="C358" t="inlineStr">
        <is>
          <t>sam_aim_9x_sidewinder</t>
        </is>
      </c>
      <c r="D358" t="inlineStr"/>
      <c r="E358" t="inlineStr">
        <is>
          <t>aim_9_sidewinder</t>
        </is>
      </c>
      <c r="F358" t="inlineStr">
        <is>
          <t>aa_missile</t>
        </is>
      </c>
      <c r="G358" t="inlineStr"/>
      <c r="H358" t="n">
        <v>9.4</v>
      </c>
      <c r="I358" t="inlineStr"/>
      <c r="J358" t="inlineStr"/>
      <c r="K358" t="inlineStr">
        <is>
          <t>Fragmentation</t>
        </is>
      </c>
      <c r="L358" t="n">
        <v>2</v>
      </c>
      <c r="M358" t="inlineStr">
        <is>
          <t>Missile</t>
        </is>
      </c>
      <c r="N358" t="n">
        <v>1</v>
      </c>
      <c r="O358" t="inlineStr">
        <is>
          <t>RIPPLE</t>
        </is>
      </c>
      <c r="P358" t="n">
        <v>1</v>
      </c>
      <c r="Q358" t="n">
        <v>0.1</v>
      </c>
      <c r="R358" t="n">
        <v>2.12</v>
      </c>
      <c r="S358" t="n">
        <v>0</v>
      </c>
      <c r="T358" t="n">
        <v>0</v>
      </c>
      <c r="U358" t="n">
        <v>0</v>
      </c>
      <c r="V358" t="n">
        <v>0</v>
      </c>
      <c r="W358" t="n">
        <v>231</v>
      </c>
      <c r="X358" t="n">
        <v>1.5</v>
      </c>
      <c r="Y358" t="n">
        <v>0</v>
      </c>
      <c r="Z358" t="n">
        <v>210</v>
      </c>
      <c r="AA358" t="n">
        <v>30</v>
      </c>
      <c r="AB358" t="n">
        <v>0</v>
      </c>
      <c r="AC358" t="inlineStr">
        <is>
          <t>Air</t>
        </is>
      </c>
      <c r="AD358" t="inlineStr">
        <is>
          <t>high</t>
        </is>
      </c>
      <c r="AE358" t="n">
        <v>0</v>
      </c>
      <c r="AF358" t="inlineStr">
        <is>
          <t>Medium</t>
        </is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n">
        <v>9.4</v>
      </c>
      <c r="AO358" t="n">
        <v>2</v>
      </c>
      <c r="AP358" t="inlineStr">
        <is>
          <t>T2</t>
        </is>
      </c>
      <c r="AQ358" t="inlineStr"/>
      <c r="AR358" t="inlineStr"/>
      <c r="AS358" t="inlineStr">
        <is>
          <t>xe</t>
        </is>
      </c>
      <c r="AT358" t="inlineStr">
        <is>
          <t>fighter_jet</t>
        </is>
      </c>
      <c r="AU358" t="n">
        <v>1</v>
      </c>
      <c r="AV358" t="inlineStr">
        <is>
          <t>fighter_jet:1</t>
        </is>
      </c>
      <c r="AW358" t="n">
        <v>0</v>
      </c>
      <c r="AX358" t="b">
        <v>0</v>
      </c>
      <c r="AY358" t="inlineStr"/>
      <c r="AZ358">
        <f>IF(AND($AX$358,$AW$358&gt;$AA$358/$Z$358),$AW$358,$AA$358/$Z$358)</f>
        <v/>
      </c>
      <c r="BA358" t="n">
        <v>0.1428571428571428</v>
      </c>
      <c r="BB358" t="n">
        <v>60</v>
      </c>
      <c r="BC358" t="inlineStr"/>
      <c r="BD358" t="inlineStr">
        <is>
          <t>missile</t>
        </is>
      </c>
      <c r="BE358" t="inlineStr">
        <is>
          <t>air-to-air: ~1 s between launches (est.)</t>
        </is>
      </c>
      <c r="BG358" t="inlineStr">
        <is>
          <t>doi</t>
        </is>
      </c>
      <c r="BR358" t="n">
        <v>55</v>
      </c>
      <c r="BS358" t="n">
        <v>210</v>
      </c>
      <c r="CU358" t="inlineStr">
        <is>
          <t>high</t>
        </is>
      </c>
      <c r="DD358" t="n">
        <v>2.12</v>
      </c>
      <c r="DE358" t="n">
        <v>231</v>
      </c>
      <c r="DF358" t="inlineStr">
        <is>
          <t>Fragmentation</t>
        </is>
      </c>
      <c r="DJ358" t="inlineStr">
        <is>
          <t>aa_missile</t>
        </is>
      </c>
      <c r="DS358" t="inlineStr">
        <is>
          <t>Medium</t>
        </is>
      </c>
      <c r="DW358" t="n">
        <v>2</v>
      </c>
      <c r="EB358" t="n">
        <v>2</v>
      </c>
      <c r="EH358" t="inlineStr">
        <is>
          <t>Missile</t>
        </is>
      </c>
      <c r="EJ358" t="n">
        <v>0.8</v>
      </c>
      <c r="EP358" t="n">
        <v>30</v>
      </c>
      <c r="EQ358" t="inlineStr">
        <is>
          <t>AIM-9X Sidewinder</t>
        </is>
      </c>
      <c r="EX358" t="n">
        <v>9.4</v>
      </c>
      <c r="FW358" t="inlineStr">
        <is>
          <t>Air</t>
        </is>
      </c>
      <c r="FZ358" t="n">
        <v>9.4</v>
      </c>
      <c r="GA358" t="inlineStr">
        <is>
          <t>aim_9_sidewinder</t>
        </is>
      </c>
      <c r="GB358" t="inlineStr">
        <is>
          <t>sam_aim_9x_sidewinder</t>
        </is>
      </c>
      <c r="GD358" t="inlineStr">
        <is>
          <t>Assets/MachineBrigade/Resources/Data/balance.json: weapons[63]</t>
        </is>
      </c>
      <c r="GE358" t="inlineStr">
        <is>
          <t>{"id":"wvr_aam","weaponFamilyId":"sam_aim_9x_sidewinder","weaponFamily":"aim_9_sidewinder","ceiling":"high","load":2,"real":"AIM-9X Sidewinder","family":"aa_missile","size":9.4,"warheadKg":9.4,"pen":2,"projectileScale":0.8,"damageType":"Fragmentation","damage":231,"cooldown":2.12,"range":30,"impactTier":"Medium","projectile":"Missile","targets":"Air"}</t>
        </is>
      </c>
    </row>
    <row r="359">
      <c r="A359" t="inlineStr">
        <is>
          <t>zu23</t>
        </is>
      </c>
      <c r="B359" t="inlineStr">
        <is>
          <t>ZU-23-2 23 mm</t>
        </is>
      </c>
      <c r="C359" t="inlineStr">
        <is>
          <t>cal_23</t>
        </is>
      </c>
      <c r="D359" t="inlineStr"/>
      <c r="E359" t="inlineStr"/>
      <c r="F359" t="inlineStr">
        <is>
          <t>autocannon</t>
        </is>
      </c>
      <c r="G359" t="n">
        <v>23</v>
      </c>
      <c r="H359" t="inlineStr"/>
      <c r="I359" t="inlineStr"/>
      <c r="J359" t="inlineStr"/>
      <c r="K359" t="inlineStr">
        <is>
          <t>Fragmentation</t>
        </is>
      </c>
      <c r="L359" t="n">
        <v>1</v>
      </c>
      <c r="M359" t="inlineStr">
        <is>
          <t>Bullet</t>
        </is>
      </c>
      <c r="N359" t="n">
        <v>2</v>
      </c>
      <c r="O359" t="inlineStr">
        <is>
          <t>RIPPLE</t>
        </is>
      </c>
      <c r="P359" t="n">
        <v>1</v>
      </c>
      <c r="Q359" t="n">
        <v>0.1</v>
      </c>
      <c r="R359" t="n">
        <v>0.02</v>
      </c>
      <c r="S359" t="n">
        <v>100</v>
      </c>
      <c r="T359" t="n">
        <v>3.02</v>
      </c>
      <c r="U359" t="n">
        <v>0</v>
      </c>
      <c r="V359" t="n">
        <v>0</v>
      </c>
      <c r="W359" t="n">
        <v>3.5</v>
      </c>
      <c r="X359" t="n">
        <v>0</v>
      </c>
      <c r="Y359" t="n">
        <v>0</v>
      </c>
      <c r="Z359" t="n">
        <v>240</v>
      </c>
      <c r="AA359" t="n">
        <v>38</v>
      </c>
      <c r="AB359" t="n">
        <v>0</v>
      </c>
      <c r="AC359" t="inlineStr">
        <is>
          <t>All</t>
        </is>
      </c>
      <c r="AD359" t="inlineStr"/>
      <c r="AE359" t="n">
        <v>1.6</v>
      </c>
      <c r="AF359" t="inlineStr">
        <is>
          <t>Small</t>
        </is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n">
        <v>23</v>
      </c>
      <c r="AO359" t="n">
        <v>0</v>
      </c>
      <c r="AP359" t="inlineStr">
        <is>
          <t>T1</t>
        </is>
      </c>
      <c r="AQ359" t="inlineStr"/>
      <c r="AR359" t="inlineStr">
        <is>
          <t>zu23_ap</t>
        </is>
      </c>
      <c r="AS359" t="inlineStr">
        <is>
          <t>boss_part;xe</t>
        </is>
      </c>
      <c r="AT359" t="inlineStr">
        <is>
          <t>zu23;zu23_technical</t>
        </is>
      </c>
      <c r="AU359" t="n">
        <v>2</v>
      </c>
      <c r="AV359" t="inlineStr">
        <is>
          <t>zu23:part;zu23_technical:0</t>
        </is>
      </c>
      <c r="AW359" t="n">
        <v>0</v>
      </c>
      <c r="AX359" t="b">
        <v>0</v>
      </c>
      <c r="AY359" t="inlineStr">
        <is>
          <t>KHONG_AP_DUNG</t>
        </is>
      </c>
      <c r="AZ359">
        <f>IF(AND($AX$359,$AW$359&gt;$AA$359/$Z$359),$AW$359,$AA$359/$Z$359)</f>
        <v/>
      </c>
      <c r="BA359" t="n">
        <v>0.1583333333333333</v>
      </c>
      <c r="BB359" t="n">
        <v>1000</v>
      </c>
      <c r="BC359" t="n">
        <v>400</v>
      </c>
      <c r="BD359" t="inlineStr">
        <is>
          <t>aa</t>
        </is>
      </c>
      <c r="BE359" t="inlineStr">
        <is>
          <t>Wikipedia 'ZU-23-2': 2 x 800-1,000 rpm</t>
        </is>
      </c>
      <c r="BG359" t="inlineStr">
        <is>
          <t>doi</t>
        </is>
      </c>
      <c r="BH359" t="n">
        <v>7</v>
      </c>
      <c r="BI359" t="n">
        <v>3.5</v>
      </c>
      <c r="BJ359" t="n">
        <v>0.04</v>
      </c>
      <c r="BK359" t="n">
        <v>0.02</v>
      </c>
      <c r="BX359" t="n">
        <v>1</v>
      </c>
      <c r="BY359" t="n">
        <v>2</v>
      </c>
      <c r="CF359" t="n">
        <v>50</v>
      </c>
      <c r="CG359" t="n">
        <v>100</v>
      </c>
      <c r="CH359" t="n">
        <v>3.04</v>
      </c>
      <c r="CI359" t="n">
        <v>3.02</v>
      </c>
      <c r="CO359" t="n">
        <v>2</v>
      </c>
      <c r="CT359" t="n">
        <v>23</v>
      </c>
      <c r="CW359" t="n">
        <v>100</v>
      </c>
      <c r="CX359" t="n">
        <v>3.02</v>
      </c>
      <c r="DD359" t="n">
        <v>0.02</v>
      </c>
      <c r="DE359" t="n">
        <v>3.5</v>
      </c>
      <c r="DF359" t="inlineStr">
        <is>
          <t>Fragmentation</t>
        </is>
      </c>
      <c r="DJ359" t="inlineStr">
        <is>
          <t>autocannon</t>
        </is>
      </c>
      <c r="DS359" t="inlineStr">
        <is>
          <t>Small</t>
        </is>
      </c>
      <c r="EB359" t="n">
        <v>1</v>
      </c>
      <c r="EH359" t="inlineStr">
        <is>
          <t>Bullet</t>
        </is>
      </c>
      <c r="EK359" t="n">
        <v>240</v>
      </c>
      <c r="EP359" t="n">
        <v>38</v>
      </c>
      <c r="EQ359" t="inlineStr">
        <is>
          <t>ZU-23-2 23 mm</t>
        </is>
      </c>
      <c r="EX359" t="n">
        <v>23</v>
      </c>
      <c r="EZ359" t="n">
        <v>1.6</v>
      </c>
      <c r="FW359" t="inlineStr">
        <is>
          <t>All</t>
        </is>
      </c>
      <c r="GB359" t="inlineStr">
        <is>
          <t>cal_23</t>
        </is>
      </c>
      <c r="GD359" t="inlineStr">
        <is>
          <t>Assets/MachineBrigade/Resources/Data/balance.json: weapons[73]</t>
        </is>
      </c>
      <c r="GE359" t="inlineStr">
        <is>
          <t>{"id":"zu23","weaponFamilyId":"cal_23","real":"ZU-23-2 23 mm","family":"autocannon","size":23,"caliberMm":23,"barrels":2,"pen":1,"damageType":"Fragmentation","damage":3.5,"cooldown":0.02,"range":38,"projectileSpeed":240,"spread":1.6,"impactTier":"Small","projectile":"Bullet","targets":"All","clip":100,"clipReload":3.02}</t>
        </is>
      </c>
    </row>
    <row r="360">
      <c r="A360" t="inlineStr">
        <is>
          <t>zu23_ap</t>
        </is>
      </c>
      <c r="B360" t="inlineStr">
        <is>
          <t>ZU-23-2 23 mm AP</t>
        </is>
      </c>
      <c r="C360" t="inlineStr">
        <is>
          <t>cal_23</t>
        </is>
      </c>
      <c r="D360" t="inlineStr"/>
      <c r="E360" t="inlineStr"/>
      <c r="F360" t="inlineStr">
        <is>
          <t>autocannon</t>
        </is>
      </c>
      <c r="G360" t="n">
        <v>23</v>
      </c>
      <c r="H360" t="inlineStr"/>
      <c r="I360" t="inlineStr"/>
      <c r="J360" t="inlineStr"/>
      <c r="K360" t="inlineStr">
        <is>
          <t>Kinetic</t>
        </is>
      </c>
      <c r="L360" t="n">
        <v>2</v>
      </c>
      <c r="M360" t="inlineStr">
        <is>
          <t>Bullet</t>
        </is>
      </c>
      <c r="N360" t="n">
        <v>2</v>
      </c>
      <c r="O360" t="inlineStr">
        <is>
          <t>RIPPLE</t>
        </is>
      </c>
      <c r="P360" t="n">
        <v>1</v>
      </c>
      <c r="Q360" t="n">
        <v>0.1</v>
      </c>
      <c r="R360" t="n">
        <v>0.02</v>
      </c>
      <c r="S360" t="n">
        <v>100</v>
      </c>
      <c r="T360" t="n">
        <v>3.02</v>
      </c>
      <c r="U360" t="n">
        <v>0</v>
      </c>
      <c r="V360" t="n">
        <v>0</v>
      </c>
      <c r="W360" t="n">
        <v>3.5</v>
      </c>
      <c r="X360" t="n">
        <v>0</v>
      </c>
      <c r="Y360" t="n">
        <v>0</v>
      </c>
      <c r="Z360" t="n">
        <v>240</v>
      </c>
      <c r="AA360" t="n">
        <v>38</v>
      </c>
      <c r="AB360" t="n">
        <v>0</v>
      </c>
      <c r="AC360" t="inlineStr">
        <is>
          <t>Ground</t>
        </is>
      </c>
      <c r="AD360" t="inlineStr"/>
      <c r="AE360" t="n">
        <v>1.6</v>
      </c>
      <c r="AF360" t="inlineStr">
        <is>
          <t>Small</t>
        </is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n">
        <v>23</v>
      </c>
      <c r="AO360" t="n">
        <v>0</v>
      </c>
      <c r="AP360" t="inlineStr">
        <is>
          <t>T1</t>
        </is>
      </c>
      <c r="AQ360" t="inlineStr">
        <is>
          <t>zu23</t>
        </is>
      </c>
      <c r="AR360" t="inlineStr"/>
      <c r="AS360" t="inlineStr"/>
      <c r="AT360" t="inlineStr"/>
      <c r="AU360" t="n">
        <v>0</v>
      </c>
      <c r="AV360" t="inlineStr"/>
      <c r="AW360" t="n">
        <v>0</v>
      </c>
      <c r="AX360" t="b">
        <v>0</v>
      </c>
      <c r="AY360" t="inlineStr">
        <is>
          <t>KHONG_AP_DUNG</t>
        </is>
      </c>
      <c r="AZ360">
        <f>IF(AND($AX$360,$AW$360&gt;$AA$360/$Z$360),$AW$360,$AA$360/$Z$360)</f>
        <v/>
      </c>
      <c r="BA360" t="n">
        <v>0.1583333333333333</v>
      </c>
      <c r="BB360" t="n">
        <v>1000</v>
      </c>
      <c r="BC360" t="n">
        <v>400</v>
      </c>
      <c r="BD360" t="inlineStr">
        <is>
          <t>aa</t>
        </is>
      </c>
      <c r="BE360" t="inlineStr">
        <is>
          <t>Wikipedia 'ZU-23-2': 2 x 800-1,000 rpm</t>
        </is>
      </c>
      <c r="BG360" t="inlineStr">
        <is>
          <t>doi</t>
        </is>
      </c>
      <c r="BH360" t="n">
        <v>7</v>
      </c>
      <c r="BI360" t="n">
        <v>3.5</v>
      </c>
      <c r="BJ360" t="n">
        <v>0.04</v>
      </c>
      <c r="BK360" t="n">
        <v>0.02</v>
      </c>
      <c r="BX360" t="n">
        <v>1</v>
      </c>
      <c r="BY360" t="n">
        <v>2</v>
      </c>
      <c r="CF360" t="n">
        <v>50</v>
      </c>
      <c r="CG360" t="n">
        <v>100</v>
      </c>
      <c r="CH360" t="n">
        <v>3.04</v>
      </c>
      <c r="CI360" t="n">
        <v>3.02</v>
      </c>
      <c r="DE360" t="n">
        <v>3.5</v>
      </c>
      <c r="DF360" t="inlineStr">
        <is>
          <t>Kinetic</t>
        </is>
      </c>
      <c r="DM360" t="inlineStr">
        <is>
          <t>ground</t>
        </is>
      </c>
      <c r="DN360" t="inlineStr">
        <is>
          <t>BeltedAutocannon</t>
        </is>
      </c>
      <c r="DT360" t="inlineStr">
        <is>
          <t>zu23</t>
        </is>
      </c>
      <c r="EB360" t="n">
        <v>2</v>
      </c>
      <c r="EE360" t="b">
        <v>1</v>
      </c>
      <c r="EQ360" t="inlineStr">
        <is>
          <t>ZU-23-2 23 mm AP</t>
        </is>
      </c>
      <c r="ES360" t="inlineStr">
        <is>
          <t>ap</t>
        </is>
      </c>
      <c r="EU360" t="inlineStr">
        <is>
          <t>zu23</t>
        </is>
      </c>
      <c r="EY360" t="n">
        <v>0</v>
      </c>
      <c r="FW360" t="inlineStr">
        <is>
          <t>Ground</t>
        </is>
      </c>
      <c r="GA360" t="inlineStr"/>
      <c r="GD360" t="inlineStr">
        <is>
          <t>Assets/MachineBrigade/Resources/Data/balance.json: secondRounds.rounds[65]</t>
        </is>
      </c>
      <c r="GE360" t="inlineStr">
        <is>
          <t>{"id":"zu23_ap","roundOf":"zu23","inherits":"zu23","weaponFamily":"","round":"ap","for":["ground"],"real":"ZU-23-2 23 mm AP","damageType":"Kinetic","pen":2,"damage":3.5,"splash":0,"form":"BeltedAutocannon","piercing":true,"targets":"Ground"}</t>
        </is>
      </c>
    </row>
  </sheetData>
  <autoFilter ref="A1:GE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60" customWidth="1" min="9" max="9"/>
    <col width="33" customWidth="1" min="10" max="10"/>
  </cols>
  <sheetData>
    <row r="1">
      <c r="A1" s="1" t="inlineStr">
        <is>
          <t>id</t>
        </is>
      </c>
      <c r="B1" s="1" t="inlineStr">
        <is>
          <t>vu_khi_id</t>
        </is>
      </c>
      <c r="C1" s="1" t="inlineStr">
        <is>
          <t>thu_tu</t>
        </is>
      </c>
      <c r="D1" s="1" t="inlineStr">
        <is>
          <t>armor</t>
        </is>
      </c>
      <c r="E1" s="1" t="inlineStr">
        <is>
          <t>class</t>
        </is>
      </c>
      <c r="F1" s="1" t="inlineStr">
        <is>
          <t>flank</t>
        </is>
      </c>
      <c r="G1" s="1" t="inlineStr">
        <is>
          <t>mult</t>
        </is>
      </c>
      <c r="H1" s="1" t="inlineStr">
        <is>
          <t>still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borer_drill/0</t>
        </is>
      </c>
      <c r="B2" t="inlineStr">
        <is>
          <t>borer_drill</t>
        </is>
      </c>
      <c r="C2" t="n">
        <v>0</v>
      </c>
      <c r="D2" t="inlineStr">
        <is>
          <t>Structure</t>
        </is>
      </c>
      <c r="G2" t="n">
        <v>2</v>
      </c>
      <c r="I2" t="inlineStr">
        <is>
          <t>Assets/MachineBrigade/Resources/Data/balance.json: weapons[243].bonuses[0]</t>
        </is>
      </c>
      <c r="J2" t="inlineStr">
        <is>
          <t>{"armor":"Structure","mult":2}</t>
        </is>
      </c>
    </row>
    <row r="3">
      <c r="A3" t="inlineStr">
        <is>
          <t>detonator/0</t>
        </is>
      </c>
      <c r="B3" t="inlineStr">
        <is>
          <t>detonator</t>
        </is>
      </c>
      <c r="C3" t="n">
        <v>0</v>
      </c>
      <c r="D3" t="inlineStr">
        <is>
          <t>Structure</t>
        </is>
      </c>
      <c r="G3" t="n">
        <v>0.5</v>
      </c>
      <c r="I3" t="inlineStr">
        <is>
          <t>Assets/MachineBrigade/Resources/Data/balance.json: weapons[72].bonuses[0]</t>
        </is>
      </c>
      <c r="J3" t="inlineStr">
        <is>
          <t>{"armor":"Structure","mult":0.5}</t>
        </is>
      </c>
    </row>
    <row r="4">
      <c r="A4" t="inlineStr">
        <is>
          <t>dozer_blade/0</t>
        </is>
      </c>
      <c r="B4" t="inlineStr">
        <is>
          <t>dozer_blade</t>
        </is>
      </c>
      <c r="C4" t="n">
        <v>0</v>
      </c>
      <c r="D4" t="inlineStr">
        <is>
          <t>Structure</t>
        </is>
      </c>
      <c r="G4" t="n">
        <v>3</v>
      </c>
      <c r="I4" t="inlineStr">
        <is>
          <t>Assets/MachineBrigade/Resources/Data/balance.json: weapons[104].bonuses[0]</t>
        </is>
      </c>
      <c r="J4" t="inlineStr">
        <is>
          <t>{"armor":"Structure","mult":3}</t>
        </is>
      </c>
    </row>
    <row r="5">
      <c r="A5" t="inlineStr">
        <is>
          <t>dozer_blade/1</t>
        </is>
      </c>
      <c r="B5" t="inlineStr">
        <is>
          <t>dozer_blade</t>
        </is>
      </c>
      <c r="C5" t="n">
        <v>1</v>
      </c>
      <c r="D5" t="inlineStr">
        <is>
          <t>Heavy</t>
        </is>
      </c>
      <c r="G5" t="n">
        <v>0.4</v>
      </c>
      <c r="I5" t="inlineStr">
        <is>
          <t>Assets/MachineBrigade/Resources/Data/balance.json: weapons[104].bonuses[1]</t>
        </is>
      </c>
      <c r="J5" t="inlineStr">
        <is>
          <t>{"armor":"Heavy","mult":0.4}</t>
        </is>
      </c>
    </row>
    <row r="6">
      <c r="A6" t="inlineStr">
        <is>
          <t>dozer_blade/2</t>
        </is>
      </c>
      <c r="B6" t="inlineStr">
        <is>
          <t>dozer_blade</t>
        </is>
      </c>
      <c r="C6" t="n">
        <v>2</v>
      </c>
      <c r="D6" t="inlineStr">
        <is>
          <t>Light</t>
        </is>
      </c>
      <c r="G6" t="n">
        <v>0.55</v>
      </c>
      <c r="I6" t="inlineStr">
        <is>
          <t>Assets/MachineBrigade/Resources/Data/balance.json: weapons[104].bonuses[2]</t>
        </is>
      </c>
      <c r="J6" t="inlineStr">
        <is>
          <t>{"armor":"Light","mult":0.55}</t>
        </is>
      </c>
    </row>
    <row r="7">
      <c r="A7" t="inlineStr">
        <is>
          <t>drone_missile/0</t>
        </is>
      </c>
      <c r="B7" t="inlineStr">
        <is>
          <t>drone_missile</t>
        </is>
      </c>
      <c r="C7" t="n">
        <v>0</v>
      </c>
      <c r="D7" t="inlineStr">
        <is>
          <t>Structure</t>
        </is>
      </c>
      <c r="G7" t="n">
        <v>1.5</v>
      </c>
      <c r="I7" t="inlineStr">
        <is>
          <t>Assets/MachineBrigade/Resources/Data/balance.json: weapons[41].bonuses[0]</t>
        </is>
      </c>
      <c r="J7" t="inlineStr">
        <is>
          <t>{"armor":"Structure","mult":1.5}</t>
        </is>
      </c>
    </row>
    <row r="8">
      <c r="A8" t="inlineStr">
        <is>
          <t>flak_35/0</t>
        </is>
      </c>
      <c r="B8" t="inlineStr">
        <is>
          <t>flak_35</t>
        </is>
      </c>
      <c r="C8" t="n">
        <v>0</v>
      </c>
      <c r="E8" t="inlineStr">
        <is>
          <t>Plane</t>
        </is>
      </c>
      <c r="G8" t="n">
        <v>1.5</v>
      </c>
      <c r="I8" t="inlineStr">
        <is>
          <t>Assets/MachineBrigade/Resources/Data/balance.json: weapons[19].bonuses[0]</t>
        </is>
      </c>
      <c r="J8" t="inlineStr">
        <is>
          <t>{"class":"Plane","mult":1.5}</t>
        </is>
      </c>
    </row>
    <row r="9">
      <c r="A9" t="inlineStr">
        <is>
          <t>fpv_swarm/0</t>
        </is>
      </c>
      <c r="B9" t="inlineStr">
        <is>
          <t>fpv_swarm</t>
        </is>
      </c>
      <c r="C9" t="n">
        <v>0</v>
      </c>
      <c r="D9" t="inlineStr">
        <is>
          <t>Structure</t>
        </is>
      </c>
      <c r="G9" t="n">
        <v>1.5</v>
      </c>
      <c r="I9" t="inlineStr">
        <is>
          <t>Assets/MachineBrigade/Resources/Data/balance.json: weapons[61].bonuses[0]</t>
        </is>
      </c>
      <c r="J9" t="inlineStr">
        <is>
          <t>{"armor":"Structure","mult":1.5}</t>
        </is>
      </c>
    </row>
    <row r="10">
      <c r="A10" t="inlineStr">
        <is>
          <t>gun_105_wheeled/0</t>
        </is>
      </c>
      <c r="B10" t="inlineStr">
        <is>
          <t>gun_105_wheeled</t>
        </is>
      </c>
      <c r="C10" t="n">
        <v>0</v>
      </c>
      <c r="F10" t="b">
        <v>1</v>
      </c>
      <c r="G10" t="n">
        <v>1.25</v>
      </c>
      <c r="I10" t="inlineStr">
        <is>
          <t>Assets/MachineBrigade/Resources/Data/balance.json: weapons[100].bonuses[0]</t>
        </is>
      </c>
      <c r="J10" t="inlineStr">
        <is>
          <t>{"flank":true,"mult":1.25}</t>
        </is>
      </c>
    </row>
    <row r="11">
      <c r="A11" t="inlineStr">
        <is>
          <t>gun_203_siege/0</t>
        </is>
      </c>
      <c r="B11" t="inlineStr">
        <is>
          <t>gun_203_siege</t>
        </is>
      </c>
      <c r="C11" t="n">
        <v>0</v>
      </c>
      <c r="D11" t="inlineStr">
        <is>
          <t>Structure</t>
        </is>
      </c>
      <c r="G11" t="n">
        <v>2.4</v>
      </c>
      <c r="I11" t="inlineStr">
        <is>
          <t>Assets/MachineBrigade/Resources/Data/balance.json: weapons[55].bonuses[0]</t>
        </is>
      </c>
      <c r="J11" t="inlineStr">
        <is>
          <t>{"armor":"Structure","mult":2.4}</t>
        </is>
      </c>
    </row>
    <row r="12">
      <c r="A12" t="inlineStr">
        <is>
          <t>kornet_multi/0</t>
        </is>
      </c>
      <c r="B12" t="inlineStr">
        <is>
          <t>kornet_multi</t>
        </is>
      </c>
      <c r="C12" t="n">
        <v>0</v>
      </c>
      <c r="D12" t="inlineStr">
        <is>
          <t>Light</t>
        </is>
      </c>
      <c r="G12" t="n">
        <v>0.6</v>
      </c>
      <c r="I12" t="inlineStr">
        <is>
          <t>Assets/MachineBrigade/Resources/Data/balance.json: weapons[118].bonuses[0]</t>
        </is>
      </c>
      <c r="J12" t="inlineStr">
        <is>
          <t>{"armor":"Light","mult":0.6}</t>
        </is>
      </c>
    </row>
    <row r="13">
      <c r="A13" t="inlineStr">
        <is>
          <t>kornet_multi/1</t>
        </is>
      </c>
      <c r="B13" t="inlineStr">
        <is>
          <t>kornet_multi</t>
        </is>
      </c>
      <c r="C13" t="n">
        <v>1</v>
      </c>
      <c r="D13" t="inlineStr">
        <is>
          <t>Heavy</t>
        </is>
      </c>
      <c r="G13" t="n">
        <v>0.85</v>
      </c>
      <c r="I13" t="inlineStr">
        <is>
          <t>Assets/MachineBrigade/Resources/Data/balance.json: weapons[118].bonuses[1]</t>
        </is>
      </c>
      <c r="J13" t="inlineStr">
        <is>
          <t>{"armor":"Heavy","mult":0.85}</t>
        </is>
      </c>
    </row>
    <row r="14">
      <c r="A14" t="inlineStr">
        <is>
          <t>lancet/0</t>
        </is>
      </c>
      <c r="B14" t="inlineStr">
        <is>
          <t>lancet</t>
        </is>
      </c>
      <c r="C14" t="n">
        <v>0</v>
      </c>
      <c r="E14" t="inlineStr">
        <is>
          <t>Artillery</t>
        </is>
      </c>
      <c r="G14" t="n">
        <v>2</v>
      </c>
      <c r="I14" t="inlineStr">
        <is>
          <t>Assets/MachineBrigade/Resources/Data/balance.json: weapons[74].bonuses[0]</t>
        </is>
      </c>
      <c r="J14" t="inlineStr">
        <is>
          <t>{"class":"Artillery","mult":2}</t>
        </is>
      </c>
    </row>
    <row r="15">
      <c r="A15" t="inlineStr">
        <is>
          <t>lancet/1</t>
        </is>
      </c>
      <c r="B15" t="inlineStr">
        <is>
          <t>lancet</t>
        </is>
      </c>
      <c r="C15" t="n">
        <v>1</v>
      </c>
      <c r="G15" t="n">
        <v>2</v>
      </c>
      <c r="H15" t="n">
        <v>3</v>
      </c>
      <c r="I15" t="inlineStr">
        <is>
          <t>Assets/MachineBrigade/Resources/Data/balance.json: weapons[74].bonuses[1]</t>
        </is>
      </c>
      <c r="J15" t="inlineStr">
        <is>
          <t>{"still":3,"mult":2}</t>
        </is>
      </c>
    </row>
    <row r="16">
      <c r="A16" t="inlineStr">
        <is>
          <t>lancet/2</t>
        </is>
      </c>
      <c r="B16" t="inlineStr">
        <is>
          <t>lancet</t>
        </is>
      </c>
      <c r="C16" t="n">
        <v>2</v>
      </c>
      <c r="D16" t="inlineStr">
        <is>
          <t>Structure</t>
        </is>
      </c>
      <c r="G16" t="n">
        <v>1.5</v>
      </c>
      <c r="I16" t="inlineStr">
        <is>
          <t>Assets/MachineBrigade/Resources/Data/balance.json: weapons[74].bonuses[2]</t>
        </is>
      </c>
      <c r="J16" t="inlineStr">
        <is>
          <t>{"armor":"Structure","mult":1.5}</t>
        </is>
      </c>
    </row>
    <row r="17">
      <c r="A17" t="inlineStr">
        <is>
          <t>siege_mortar_240/0</t>
        </is>
      </c>
      <c r="B17" t="inlineStr">
        <is>
          <t>siege_mortar_240</t>
        </is>
      </c>
      <c r="C17" t="n">
        <v>0</v>
      </c>
      <c r="D17" t="inlineStr">
        <is>
          <t>Structure</t>
        </is>
      </c>
      <c r="G17" t="n">
        <v>2</v>
      </c>
      <c r="I17" t="inlineStr">
        <is>
          <t>Assets/MachineBrigade/Resources/Data/balance.json: weapons[57].bonuses[0]</t>
        </is>
      </c>
      <c r="J17" t="inlineStr">
        <is>
          <t>{"armor":"Structure","mult":2}</t>
        </is>
      </c>
    </row>
    <row r="18">
      <c r="A18" t="inlineStr">
        <is>
          <t>swarm_drones/0</t>
        </is>
      </c>
      <c r="B18" t="inlineStr">
        <is>
          <t>swarm_drones</t>
        </is>
      </c>
      <c r="C18" t="n">
        <v>0</v>
      </c>
      <c r="D18" t="inlineStr">
        <is>
          <t>Structure</t>
        </is>
      </c>
      <c r="G18" t="n">
        <v>1.5</v>
      </c>
      <c r="I18" t="inlineStr">
        <is>
          <t>Assets/MachineBrigade/Resources/Data/balance.json: weapons[262].bonuses[0]</t>
        </is>
      </c>
      <c r="J18" t="inlineStr">
        <is>
          <t>{"armor":"Structure","mult":1.5}</t>
        </is>
      </c>
    </row>
    <row r="19">
      <c r="A19" t="inlineStr">
        <is>
          <t>technical_rockets/0</t>
        </is>
      </c>
      <c r="B19" t="inlineStr">
        <is>
          <t>technical_rockets</t>
        </is>
      </c>
      <c r="C19" t="n">
        <v>0</v>
      </c>
      <c r="D19" t="inlineStr">
        <is>
          <t>Structure</t>
        </is>
      </c>
      <c r="G19" t="n">
        <v>0.6</v>
      </c>
      <c r="I19" t="inlineStr">
        <is>
          <t>Assets/MachineBrigade/Resources/Data/balance.json: weapons[32].bonuses[0]</t>
        </is>
      </c>
      <c r="J19" t="inlineStr">
        <is>
          <t>{"armor":"Structure","mult":0.6}</t>
        </is>
      </c>
    </row>
    <row r="20">
      <c r="A20" t="inlineStr">
        <is>
          <t>tower_flak_30/0</t>
        </is>
      </c>
      <c r="B20" t="inlineStr">
        <is>
          <t>tower_flak_30</t>
        </is>
      </c>
      <c r="C20" t="n">
        <v>0</v>
      </c>
      <c r="D20" t="inlineStr">
        <is>
          <t>Light</t>
        </is>
      </c>
      <c r="G20" t="n">
        <v>0.48</v>
      </c>
      <c r="I20" t="inlineStr">
        <is>
          <t>Assets/MachineBrigade/Resources/Data/balance.json: weapons[45].bonuses[0]</t>
        </is>
      </c>
      <c r="J20" t="inlineStr">
        <is>
          <t>{"armor":"Light","mult":0.48}</t>
        </is>
      </c>
    </row>
    <row r="21">
      <c r="A21" t="inlineStr">
        <is>
          <t>tower_flak_30/1</t>
        </is>
      </c>
      <c r="B21" t="inlineStr">
        <is>
          <t>tower_flak_30</t>
        </is>
      </c>
      <c r="C21" t="n">
        <v>1</v>
      </c>
      <c r="D21" t="inlineStr">
        <is>
          <t>Heavy</t>
        </is>
      </c>
      <c r="G21" t="n">
        <v>0.4</v>
      </c>
      <c r="I21" t="inlineStr">
        <is>
          <t>Assets/MachineBrigade/Resources/Data/balance.json: weapons[45].bonuses[1]</t>
        </is>
      </c>
      <c r="J21" t="inlineStr">
        <is>
          <t>{"armor":"Heavy","mult":0.4}</t>
        </is>
      </c>
    </row>
    <row r="22">
      <c r="A22" t="inlineStr">
        <is>
          <t>tower_kornet/0</t>
        </is>
      </c>
      <c r="B22" t="inlineStr">
        <is>
          <t>tower_kornet</t>
        </is>
      </c>
      <c r="C22" t="n">
        <v>0</v>
      </c>
      <c r="D22" t="inlineStr">
        <is>
          <t>Light</t>
        </is>
      </c>
      <c r="G22" t="n">
        <v>0.4</v>
      </c>
      <c r="I22" t="inlineStr">
        <is>
          <t>Assets/MachineBrigade/Resources/Data/balance.json: weapons[103].bonuses[0]</t>
        </is>
      </c>
      <c r="J22" t="inlineStr">
        <is>
          <t>{"armor":"Light","mult":0.4}</t>
        </is>
      </c>
    </row>
    <row r="23">
      <c r="A23" t="inlineStr">
        <is>
          <t>turret_gmlrs/0</t>
        </is>
      </c>
      <c r="B23" t="inlineStr">
        <is>
          <t>turret_gmlrs</t>
        </is>
      </c>
      <c r="C23" t="n">
        <v>0</v>
      </c>
      <c r="E23" t="inlineStr">
        <is>
          <t>Artillery</t>
        </is>
      </c>
      <c r="G23" t="n">
        <v>1.5</v>
      </c>
      <c r="I23" t="inlineStr">
        <is>
          <t>Assets/MachineBrigade/Resources/Data/balance.json: weapons[121].bonuses[0]</t>
        </is>
      </c>
      <c r="J23" t="inlineStr">
        <is>
          <t>{"class":"Artillery","mult":1.5}</t>
        </is>
      </c>
    </row>
    <row r="24">
      <c r="A24" t="inlineStr">
        <is>
          <t>turret_gmlrs/1</t>
        </is>
      </c>
      <c r="B24" t="inlineStr">
        <is>
          <t>turret_gmlrs</t>
        </is>
      </c>
      <c r="C24" t="n">
        <v>1</v>
      </c>
      <c r="D24" t="inlineStr">
        <is>
          <t>Structure</t>
        </is>
      </c>
      <c r="G24" t="n">
        <v>1.5</v>
      </c>
      <c r="I24" t="inlineStr">
        <is>
          <t>Assets/MachineBrigade/Resources/Data/balance.json: weapons[121].bonuses[1]</t>
        </is>
      </c>
      <c r="J24" t="inlineStr">
        <is>
          <t>{"armor":"Structure","mult":1.5}</t>
        </is>
      </c>
    </row>
    <row r="25">
      <c r="A25" t="inlineStr">
        <is>
          <t>turret_gun_120/0</t>
        </is>
      </c>
      <c r="B25" t="inlineStr">
        <is>
          <t>turret_gun_120</t>
        </is>
      </c>
      <c r="C25" t="n">
        <v>0</v>
      </c>
      <c r="D25" t="inlineStr">
        <is>
          <t>Light</t>
        </is>
      </c>
      <c r="G25" t="n">
        <v>0.65</v>
      </c>
      <c r="I25" t="inlineStr">
        <is>
          <t>Assets/MachineBrigade/Resources/Data/balance.json: weapons[12].bonuses[0]</t>
        </is>
      </c>
      <c r="J25" t="inlineStr">
        <is>
          <t>{"armor":"Light","mult":0.65}</t>
        </is>
      </c>
    </row>
    <row r="26">
      <c r="A26" t="inlineStr">
        <is>
          <t>turret_rockets/0</t>
        </is>
      </c>
      <c r="B26" t="inlineStr">
        <is>
          <t>turret_rockets</t>
        </is>
      </c>
      <c r="C26" t="n">
        <v>0</v>
      </c>
      <c r="D26" t="inlineStr">
        <is>
          <t>Heavy</t>
        </is>
      </c>
      <c r="G26" t="n">
        <v>0.46</v>
      </c>
      <c r="I26" t="inlineStr">
        <is>
          <t>Assets/MachineBrigade/Resources/Data/balance.json: weapons[130].bonuses[0]</t>
        </is>
      </c>
      <c r="J26" t="inlineStr">
        <is>
          <t>{"armor":"Heavy","mult":0.46}</t>
        </is>
      </c>
    </row>
    <row r="27">
      <c r="A27" t="inlineStr">
        <is>
          <t>twin_30_flak/0</t>
        </is>
      </c>
      <c r="B27" t="inlineStr">
        <is>
          <t>twin_30_flak</t>
        </is>
      </c>
      <c r="C27" t="n">
        <v>0</v>
      </c>
      <c r="E27" t="inlineStr">
        <is>
          <t>Plane</t>
        </is>
      </c>
      <c r="G27" t="n">
        <v>1.25</v>
      </c>
      <c r="I27" t="inlineStr">
        <is>
          <t>Assets/MachineBrigade/Resources/Data/balance.json: weapons[44].bonuses[0]</t>
        </is>
      </c>
      <c r="J27" t="inlineStr">
        <is>
          <t>{"class":"Plane","mult":1.25}</t>
        </is>
      </c>
    </row>
    <row r="28">
      <c r="A28" t="inlineStr">
        <is>
          <t>twin_35_ahead/0</t>
        </is>
      </c>
      <c r="B28" t="inlineStr">
        <is>
          <t>twin_35_ahead</t>
        </is>
      </c>
      <c r="C28" t="n">
        <v>0</v>
      </c>
      <c r="E28" t="inlineStr">
        <is>
          <t>Plane</t>
        </is>
      </c>
      <c r="G28" t="n">
        <v>1.5</v>
      </c>
      <c r="I28" t="inlineStr">
        <is>
          <t>Assets/MachineBrigade/Resources/Data/balance.json: weapons[95].bonuses[0]</t>
        </is>
      </c>
      <c r="J28" t="inlineStr">
        <is>
          <t>{"class":"Plane","mult":1.5}</t>
        </is>
      </c>
    </row>
  </sheetData>
  <autoFilter ref="A1:J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9" customWidth="1" min="2" max="2"/>
    <col width="8" customWidth="1" min="3" max="3"/>
    <col width="17" customWidth="1" min="4" max="4"/>
    <col width="12" customWidth="1" min="5" max="5"/>
    <col width="12" customWidth="1" min="6" max="6"/>
    <col width="21" customWidth="1" min="7" max="7"/>
    <col width="11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ten</t>
        </is>
      </c>
      <c r="C1" s="1" t="inlineStr">
        <is>
          <t>bac</t>
        </is>
      </c>
      <c r="D1" s="1" t="inlineStr">
        <is>
          <t>boss_sat_thuong</t>
        </is>
      </c>
      <c r="E1" s="1" t="inlineStr">
        <is>
          <t>boss_loi_m</t>
        </is>
      </c>
      <c r="F1" s="1" t="inlineStr">
        <is>
          <t>boss_ria_m</t>
        </is>
      </c>
      <c r="G1" s="1" t="inlineStr">
        <is>
          <t>bien_the</t>
        </is>
      </c>
      <c r="H1" s="1" t="inlineStr">
        <is>
          <t>so_vu_khi</t>
        </is>
      </c>
      <c r="I1" s="1" t="inlineStr">
        <is>
          <t>vu_khi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atgm_9k121_vikhr</t>
        </is>
      </c>
      <c r="B2" t="inlineStr">
        <is>
          <t>atgm_9k121_vikhr</t>
        </is>
      </c>
      <c r="C2" t="n">
        <v>2</v>
      </c>
      <c r="G2" t="inlineStr"/>
      <c r="H2" t="n">
        <v>1</v>
      </c>
      <c r="I2" t="inlineStr">
        <is>
          <t>vikhr</t>
        </is>
      </c>
      <c r="J2" t="inlineStr">
        <is>
          <t>Assets/MachineBrigade/Resources/Data/balance.json: weaponFamilyTable[37]</t>
        </is>
      </c>
      <c r="K2" t="inlineStr">
        <is>
          <t>{"id":"atgm_9k121_vikhr","name":"atgm_9k121_vikhr","tier":2}</t>
        </is>
      </c>
    </row>
    <row r="3">
      <c r="A3" t="inlineStr">
        <is>
          <t>atgm_9m113_konkurs</t>
        </is>
      </c>
      <c r="B3" t="inlineStr">
        <is>
          <t>atgm_9m113_konkurs</t>
        </is>
      </c>
      <c r="C3" t="n">
        <v>2</v>
      </c>
      <c r="G3" t="inlineStr"/>
      <c r="H3" t="n">
        <v>1</v>
      </c>
      <c r="I3" t="inlineStr">
        <is>
          <t>atgm_post</t>
        </is>
      </c>
      <c r="J3" t="inlineStr">
        <is>
          <t>Assets/MachineBrigade/Resources/Data/balance.json: weaponFamilyTable[38]</t>
        </is>
      </c>
      <c r="K3" t="inlineStr">
        <is>
          <t>{"id":"atgm_9m113_konkurs","name":"atgm_9m113_konkurs","tier":2}</t>
        </is>
      </c>
    </row>
    <row r="4">
      <c r="A4" t="inlineStr">
        <is>
          <t>atgm_9m120_ataka</t>
        </is>
      </c>
      <c r="B4" t="inlineStr">
        <is>
          <t>atgm_9m120_ataka</t>
        </is>
      </c>
      <c r="C4" t="n">
        <v>2</v>
      </c>
      <c r="G4" t="inlineStr"/>
      <c r="H4" t="n">
        <v>0</v>
      </c>
      <c r="I4" t="inlineStr"/>
      <c r="J4" t="inlineStr">
        <is>
          <t>Assets/MachineBrigade/Resources/Data/balance.json: weaponFamilyTable[39]</t>
        </is>
      </c>
      <c r="K4" t="inlineStr">
        <is>
          <t>{"id":"atgm_9m120_ataka","name":"atgm_9m120_ataka","tier":2}</t>
        </is>
      </c>
    </row>
    <row r="5">
      <c r="A5" t="inlineStr">
        <is>
          <t>atgm_9m123_khrizantema</t>
        </is>
      </c>
      <c r="B5" t="inlineStr">
        <is>
          <t>atgm_9m123_khrizantema</t>
        </is>
      </c>
      <c r="C5" t="n">
        <v>2</v>
      </c>
      <c r="G5" t="inlineStr"/>
      <c r="H5" t="n">
        <v>0</v>
      </c>
      <c r="I5" t="inlineStr"/>
      <c r="J5" t="inlineStr">
        <is>
          <t>Assets/MachineBrigade/Resources/Data/balance.json: weaponFamilyTable[40]</t>
        </is>
      </c>
      <c r="K5" t="inlineStr">
        <is>
          <t>{"id":"atgm_9m123_khrizantema","name":"atgm_9m123_khrizantema","tier":2}</t>
        </is>
      </c>
    </row>
    <row r="6">
      <c r="A6" t="inlineStr">
        <is>
          <t>atgm_agm_65_maverick</t>
        </is>
      </c>
      <c r="B6" t="inlineStr">
        <is>
          <t>atgm_agm_65_maverick</t>
        </is>
      </c>
      <c r="C6" t="n">
        <v>3</v>
      </c>
      <c r="G6" t="inlineStr"/>
      <c r="H6" t="n">
        <v>1</v>
      </c>
      <c r="I6" t="inlineStr">
        <is>
          <t>maverick</t>
        </is>
      </c>
      <c r="J6" t="inlineStr">
        <is>
          <t>Assets/MachineBrigade/Resources/Data/balance.json: weaponFamilyTable[44]</t>
        </is>
      </c>
      <c r="K6" t="inlineStr">
        <is>
          <t>{"id":"atgm_agm_65_maverick","name":"atgm_agm_65_maverick","tier":3}</t>
        </is>
      </c>
    </row>
    <row r="7">
      <c r="A7" t="inlineStr">
        <is>
          <t>atgm_agm_114_hellfire</t>
        </is>
      </c>
      <c r="B7" t="inlineStr">
        <is>
          <t>atgm_agm_114_hellfire</t>
        </is>
      </c>
      <c r="C7" t="n">
        <v>2</v>
      </c>
      <c r="G7" t="inlineStr"/>
      <c r="H7" t="n">
        <v>2</v>
      </c>
      <c r="I7" t="inlineStr">
        <is>
          <t>drone_missile;pt14_th_jagm</t>
        </is>
      </c>
      <c r="J7" t="inlineStr">
        <is>
          <t>Assets/MachineBrigade/Resources/Data/balance.json: weaponFamilyTable[41]</t>
        </is>
      </c>
      <c r="K7" t="inlineStr">
        <is>
          <t>{"id":"atgm_agm_114_hellfire","name":"atgm_agm_114_hellfire","tier":2}</t>
        </is>
      </c>
    </row>
    <row r="8">
      <c r="A8" t="inlineStr">
        <is>
          <t>atgm_agm_114l_hellfire_longbow</t>
        </is>
      </c>
      <c r="B8" t="inlineStr">
        <is>
          <t>atgm_agm_114l_hellfire_longbow</t>
        </is>
      </c>
      <c r="C8" t="n">
        <v>2</v>
      </c>
      <c r="G8" t="inlineStr"/>
      <c r="H8" t="n">
        <v>2</v>
      </c>
      <c r="I8" t="inlineStr">
        <is>
          <t>hellfire_standoff;hellfire_volley</t>
        </is>
      </c>
      <c r="J8" t="inlineStr">
        <is>
          <t>Assets/MachineBrigade/Resources/Data/balance.json: weaponFamilyTable[42]</t>
        </is>
      </c>
      <c r="K8" t="inlineStr">
        <is>
          <t>{"id":"atgm_agm_114l_hellfire_longbow","name":"atgm_agm_114l_hellfire_longbow","tier":2}</t>
        </is>
      </c>
    </row>
    <row r="9">
      <c r="A9" t="inlineStr">
        <is>
          <t>atgm_agm_176_griffin</t>
        </is>
      </c>
      <c r="B9" t="inlineStr">
        <is>
          <t>atgm_agm_176_griffin</t>
        </is>
      </c>
      <c r="C9" t="n">
        <v>2</v>
      </c>
      <c r="G9" t="inlineStr"/>
      <c r="H9" t="n">
        <v>0</v>
      </c>
      <c r="I9" t="inlineStr"/>
      <c r="J9" t="inlineStr">
        <is>
          <t>Assets/MachineBrigade/Resources/Data/balance.json: weaponFamilyTable[43]</t>
        </is>
      </c>
      <c r="K9" t="inlineStr">
        <is>
          <t>{"id":"atgm_agm_176_griffin","name":"atgm_agm_176_griffin","tier":2}</t>
        </is>
      </c>
    </row>
    <row r="10">
      <c r="A10" t="inlineStr">
        <is>
          <t>atgm_bgm_71_tow_2</t>
        </is>
      </c>
      <c r="B10" t="inlineStr">
        <is>
          <t>atgm_bgm_71_tow_2</t>
        </is>
      </c>
      <c r="C10" t="n">
        <v>2</v>
      </c>
      <c r="G10" t="inlineStr"/>
      <c r="H10" t="n">
        <v>1</v>
      </c>
      <c r="I10" t="inlineStr">
        <is>
          <t>atgm</t>
        </is>
      </c>
      <c r="J10" t="inlineStr">
        <is>
          <t>Assets/MachineBrigade/Resources/Data/balance.json: weaponFamilyTable[45]</t>
        </is>
      </c>
      <c r="K10" t="inlineStr">
        <is>
          <t>{"id":"atgm_bgm_71_tow_2","name":"atgm_bgm_71_tow_2","tier":2}</t>
        </is>
      </c>
    </row>
    <row r="11">
      <c r="A11" t="inlineStr">
        <is>
          <t>atgm_gun_launched_atgm</t>
        </is>
      </c>
      <c r="B11" t="inlineStr">
        <is>
          <t>atgm_gun_launched_atgm</t>
        </is>
      </c>
      <c r="C11" t="n">
        <v>2</v>
      </c>
      <c r="G11" t="inlineStr"/>
      <c r="H11" t="n">
        <v>1</v>
      </c>
      <c r="I11" t="inlineStr">
        <is>
          <t>gun_launched_atgm</t>
        </is>
      </c>
      <c r="J11" t="inlineStr">
        <is>
          <t>Assets/MachineBrigade/Resources/Data/balance.json: weaponFamilyTable[46]</t>
        </is>
      </c>
      <c r="K11" t="inlineStr">
        <is>
          <t>{"id":"atgm_gun_launched_atgm","name":"atgm_gun_launched_atgm","tier":2}</t>
        </is>
      </c>
    </row>
    <row r="12">
      <c r="A12" t="inlineStr">
        <is>
          <t>atgm_kh_29l</t>
        </is>
      </c>
      <c r="B12" t="inlineStr">
        <is>
          <t>atgm_kh_29l</t>
        </is>
      </c>
      <c r="C12" t="n">
        <v>4</v>
      </c>
      <c r="G12" t="inlineStr"/>
      <c r="H12" t="n">
        <v>1</v>
      </c>
      <c r="I12" t="inlineStr">
        <is>
          <t>kh29</t>
        </is>
      </c>
      <c r="J12" t="inlineStr">
        <is>
          <t>Assets/MachineBrigade/Resources/Data/balance.json: weaponFamilyTable[47]</t>
        </is>
      </c>
      <c r="K12" t="inlineStr">
        <is>
          <t>{"id":"atgm_kh_29l","name":"atgm_kh_29l","tier":4}</t>
        </is>
      </c>
    </row>
    <row r="13">
      <c r="A13" t="inlineStr">
        <is>
          <t>atgm_kornet</t>
        </is>
      </c>
      <c r="B13" t="inlineStr">
        <is>
          <t>9M133 Kornet</t>
        </is>
      </c>
      <c r="C13" t="n">
        <v>2</v>
      </c>
      <c r="D13" t="n">
        <v>230</v>
      </c>
      <c r="E13" t="n">
        <v>0</v>
      </c>
      <c r="F13" t="n">
        <v>0</v>
      </c>
      <c r="G13" t="inlineStr"/>
      <c r="H13" t="n">
        <v>14</v>
      </c>
      <c r="I13" t="inlineStr">
        <is>
          <t>atgm_heavy;boss_missiles;kornet_multi;kornet_top;kornet_twin;one_shot_kornet;p26_bastion_tiny_kornet_twin;p26_behemoth_tiny_boss_missiles;p26_matriarch_direct_ma_atgm;p26_matriarch_ma_atgm;p26_roc_direct_roc_atgm;p26_roc_roc_atgm;pt14_ixion_kornet;tower_kornet</t>
        </is>
      </c>
      <c r="J13" t="inlineStr">
        <is>
          <t>Assets/MachineBrigade/Resources/Data/balance.json: weaponFamilyTable[35]</t>
        </is>
      </c>
      <c r="K13" t="inlineStr">
        <is>
          <t>{"id":"atgm_kornet","name":"9M133 Kornet","tier":2,"boss":{"damage":230,"core":0,"edge":0}}</t>
        </is>
      </c>
    </row>
    <row r="14">
      <c r="A14" t="inlineStr">
        <is>
          <t>atgm_mam_l</t>
        </is>
      </c>
      <c r="B14" t="inlineStr">
        <is>
          <t>atgm_mam_l</t>
        </is>
      </c>
      <c r="C14" t="n">
        <v>2</v>
      </c>
      <c r="G14" t="inlineStr"/>
      <c r="H14" t="n">
        <v>1</v>
      </c>
      <c r="I14" t="inlineStr">
        <is>
          <t>recon_missile</t>
        </is>
      </c>
      <c r="J14" t="inlineStr">
        <is>
          <t>Assets/MachineBrigade/Resources/Data/balance.json: weaponFamilyTable[48]</t>
        </is>
      </c>
      <c r="K14" t="inlineStr">
        <is>
          <t>{"id":"atgm_mam_l","name":"atgm_mam_l","tier":2}</t>
        </is>
      </c>
    </row>
    <row r="15">
      <c r="A15" t="inlineStr">
        <is>
          <t>atgm_spike_nlos</t>
        </is>
      </c>
      <c r="B15" t="inlineStr">
        <is>
          <t>atgm_spike_nlos</t>
        </is>
      </c>
      <c r="C15" t="n">
        <v>2</v>
      </c>
      <c r="G15" t="inlineStr"/>
      <c r="H15" t="n">
        <v>1</v>
      </c>
      <c r="I15" t="inlineStr">
        <is>
          <t>pt14_co_spike</t>
        </is>
      </c>
      <c r="J15" t="inlineStr">
        <is>
          <t>Assets/MachineBrigade/Resources/Data/balance.json: weaponFamilyTable[49]</t>
        </is>
      </c>
      <c r="K15" t="inlineStr">
        <is>
          <t>{"id":"atgm_spike_nlos","name":"atgm_spike_nlos","tier":2}</t>
        </is>
      </c>
    </row>
    <row r="16">
      <c r="A16" t="inlineStr">
        <is>
          <t>bal_9m723_iskander</t>
        </is>
      </c>
      <c r="B16" t="inlineStr">
        <is>
          <t>bal_9m723_iskander</t>
        </is>
      </c>
      <c r="C16" t="n">
        <v>4</v>
      </c>
      <c r="G16" t="inlineStr"/>
      <c r="H16" t="n">
        <v>1</v>
      </c>
      <c r="I16" t="inlineStr">
        <is>
          <t>ballistic_missile</t>
        </is>
      </c>
      <c r="J16" t="inlineStr">
        <is>
          <t>Assets/MachineBrigade/Resources/Data/balance.json: weaponFamilyTable[50]</t>
        </is>
      </c>
      <c r="K16" t="inlineStr">
        <is>
          <t>{"id":"bal_9m723_iskander","name":"bal_9m723_iskander","tier":4}</t>
        </is>
      </c>
    </row>
    <row r="17">
      <c r="A17" t="inlineStr">
        <is>
          <t>bomb_400</t>
        </is>
      </c>
      <c r="B17" t="inlineStr">
        <is>
          <t>400 kg bomb</t>
        </is>
      </c>
      <c r="C17" t="n">
        <v>4</v>
      </c>
      <c r="D17" t="n">
        <v>700</v>
      </c>
      <c r="E17" t="n">
        <v>10</v>
      </c>
      <c r="F17" t="n">
        <v>20</v>
      </c>
      <c r="G17" t="inlineStr"/>
      <c r="H17" t="n">
        <v>2</v>
      </c>
      <c r="I17" t="inlineStr">
        <is>
          <t>p26_roc_main_roc_bombs;p26_roc_roc_bombs</t>
        </is>
      </c>
      <c r="J17" t="inlineStr">
        <is>
          <t>Assets/MachineBrigade/Resources/Data/balance.json: weaponFamilyTable[34]</t>
        </is>
      </c>
      <c r="K17" t="inlineStr">
        <is>
          <t>{"id":"bomb_400","name":"400 kg bomb","tier":4,"boss":{"damage":700,"core":10,"edge":20}}</t>
        </is>
      </c>
    </row>
    <row r="18">
      <c r="A18" t="inlineStr">
        <is>
          <t>bomb_car_bomb</t>
        </is>
      </c>
      <c r="B18" t="inlineStr">
        <is>
          <t>bomb_car_bomb</t>
        </is>
      </c>
      <c r="C18" t="n">
        <v>4</v>
      </c>
      <c r="G18" t="inlineStr"/>
      <c r="H18" t="n">
        <v>1</v>
      </c>
      <c r="I18" t="inlineStr">
        <is>
          <t>detonator</t>
        </is>
      </c>
      <c r="J18" t="inlineStr">
        <is>
          <t>Assets/MachineBrigade/Resources/Data/balance.json: weaponFamilyTable[51]</t>
        </is>
      </c>
      <c r="K18" t="inlineStr">
        <is>
          <t>{"id":"bomb_car_bomb","name":"bomb_car_bomb","tier":4}</t>
        </is>
      </c>
    </row>
    <row r="19">
      <c r="A19" t="inlineStr">
        <is>
          <t>bomb_cbu_97_sensor_fuzed_weapon</t>
        </is>
      </c>
      <c r="B19" t="inlineStr">
        <is>
          <t>bomb_cbu_97_sensor_fuzed_weapon</t>
        </is>
      </c>
      <c r="C19" t="n">
        <v>4</v>
      </c>
      <c r="G19" t="inlineStr"/>
      <c r="H19" t="n">
        <v>0</v>
      </c>
      <c r="I19" t="inlineStr"/>
      <c r="J19" t="inlineStr">
        <is>
          <t>Assets/MachineBrigade/Resources/Data/balance.json: weaponFamilyTable[52]</t>
        </is>
      </c>
      <c r="K19" t="inlineStr">
        <is>
          <t>{"id":"bomb_cbu_97_sensor_fuzed_weapon","name":"bomb_cbu_97_sensor_fuzed_weapon","tier":4}</t>
        </is>
      </c>
    </row>
    <row r="20">
      <c r="A20" t="inlineStr">
        <is>
          <t>bomb_fab_250</t>
        </is>
      </c>
      <c r="B20" t="inlineStr">
        <is>
          <t>bomb_fab_250</t>
        </is>
      </c>
      <c r="C20" t="n">
        <v>3</v>
      </c>
      <c r="G20" t="inlineStr"/>
      <c r="H20" t="n">
        <v>1</v>
      </c>
      <c r="I20" t="inlineStr">
        <is>
          <t>jet_bombs</t>
        </is>
      </c>
      <c r="J20" t="inlineStr">
        <is>
          <t>Assets/MachineBrigade/Resources/Data/balance.json: weaponFamilyTable[53]</t>
        </is>
      </c>
      <c r="K20" t="inlineStr">
        <is>
          <t>{"id":"bomb_fab_250","name":"bomb_fab_250","tier":3}</t>
        </is>
      </c>
    </row>
    <row r="21">
      <c r="A21" t="inlineStr">
        <is>
          <t>bomb_fab_500</t>
        </is>
      </c>
      <c r="B21" t="inlineStr">
        <is>
          <t>bomb_fab_500</t>
        </is>
      </c>
      <c r="C21" t="n">
        <v>4</v>
      </c>
      <c r="G21" t="inlineStr"/>
      <c r="H21" t="n">
        <v>1</v>
      </c>
      <c r="I21" t="inlineStr">
        <is>
          <t>bomber_payload</t>
        </is>
      </c>
      <c r="J21" t="inlineStr">
        <is>
          <t>Assets/MachineBrigade/Resources/Data/balance.json: weaponFamilyTable[54]</t>
        </is>
      </c>
      <c r="K21" t="inlineStr">
        <is>
          <t>{"id":"bomb_fab_500","name":"bomb_fab_500","tier":4}</t>
        </is>
      </c>
    </row>
    <row r="22">
      <c r="A22" t="inlineStr">
        <is>
          <t>bomb_fab_500_m_62_with_umpk_glide_kit</t>
        </is>
      </c>
      <c r="B22" t="inlineStr">
        <is>
          <t>bomb_fab_500_m_62_with_umpk_glide_kit</t>
        </is>
      </c>
      <c r="C22" t="n">
        <v>4</v>
      </c>
      <c r="G22" t="inlineStr"/>
      <c r="H22" t="n">
        <v>0</v>
      </c>
      <c r="I22" t="inlineStr"/>
      <c r="J22" t="inlineStr">
        <is>
          <t>Assets/MachineBrigade/Resources/Data/balance.json: weaponFamilyTable[55]</t>
        </is>
      </c>
      <c r="K22" t="inlineStr">
        <is>
          <t>{"id":"bomb_fab_500_m_62_with_umpk_glide_kit","name":"bomb_fab_500_m_62_with_umpk_glide_kit","tier":4}</t>
        </is>
      </c>
    </row>
    <row r="23">
      <c r="A23" t="inlineStr">
        <is>
          <t>bomb_gbu_28</t>
        </is>
      </c>
      <c r="B23" t="inlineStr">
        <is>
          <t>bomb_gbu_28</t>
        </is>
      </c>
      <c r="C23" t="n">
        <v>4</v>
      </c>
      <c r="G23" t="inlineStr"/>
      <c r="H23" t="n">
        <v>0</v>
      </c>
      <c r="I23" t="inlineStr"/>
      <c r="J23" t="inlineStr">
        <is>
          <t>Assets/MachineBrigade/Resources/Data/balance.json: weaponFamilyTable[56]</t>
        </is>
      </c>
      <c r="K23" t="inlineStr">
        <is>
          <t>{"id":"bomb_gbu_28","name":"bomb_gbu_28","tier":4}</t>
        </is>
      </c>
    </row>
    <row r="24">
      <c r="A24" t="inlineStr">
        <is>
          <t>bomb_gbu_31_jdam</t>
        </is>
      </c>
      <c r="B24" t="inlineStr">
        <is>
          <t>bomb_gbu_31_jdam</t>
        </is>
      </c>
      <c r="C24" t="n">
        <v>4</v>
      </c>
      <c r="G24" t="inlineStr"/>
      <c r="H24" t="n">
        <v>1</v>
      </c>
      <c r="I24" t="inlineStr">
        <is>
          <t>stealth_payload</t>
        </is>
      </c>
      <c r="J24" t="inlineStr">
        <is>
          <t>Assets/MachineBrigade/Resources/Data/balance.json: weaponFamilyTable[57]</t>
        </is>
      </c>
      <c r="K24" t="inlineStr">
        <is>
          <t>{"id":"bomb_gbu_31_jdam","name":"bomb_gbu_31_jdam","tier":4}</t>
        </is>
      </c>
    </row>
    <row r="25">
      <c r="A25" t="inlineStr">
        <is>
          <t>bomb_gbu_39_sdb</t>
        </is>
      </c>
      <c r="B25" t="inlineStr">
        <is>
          <t>bomb_gbu_39_sdb</t>
        </is>
      </c>
      <c r="C25" t="n">
        <v>2</v>
      </c>
      <c r="G25" t="inlineStr"/>
      <c r="H25" t="n">
        <v>1</v>
      </c>
      <c r="I25" t="inlineStr">
        <is>
          <t>guided_bomb</t>
        </is>
      </c>
      <c r="J25" t="inlineStr">
        <is>
          <t>Assets/MachineBrigade/Resources/Data/balance.json: weaponFamilyTable[58]</t>
        </is>
      </c>
      <c r="K25" t="inlineStr">
        <is>
          <t>{"id":"bomb_gbu_39_sdb","name":"bomb_gbu_39_sdb","tier":2}</t>
        </is>
      </c>
    </row>
    <row r="26">
      <c r="A26" t="inlineStr">
        <is>
          <t>bomb_odab_500</t>
        </is>
      </c>
      <c r="B26" t="inlineStr">
        <is>
          <t>bomb_odab_500</t>
        </is>
      </c>
      <c r="C26" t="n">
        <v>4</v>
      </c>
      <c r="G26" t="inlineStr"/>
      <c r="H26" t="n">
        <v>0</v>
      </c>
      <c r="I26" t="inlineStr"/>
      <c r="J26" t="inlineStr">
        <is>
          <t>Assets/MachineBrigade/Resources/Data/balance.json: weaponFamilyTable[59]</t>
        </is>
      </c>
      <c r="K26" t="inlineStr">
        <is>
          <t>{"id":"bomb_odab_500","name":"bomb_odab_500","tier":4}</t>
        </is>
      </c>
    </row>
    <row r="27">
      <c r="A27" t="inlineStr">
        <is>
          <t>cal_7_62</t>
        </is>
      </c>
      <c r="B27" t="inlineStr">
        <is>
          <t>7.62 mm machine gun</t>
        </is>
      </c>
      <c r="C27" t="n">
        <v>0</v>
      </c>
      <c r="G27" t="inlineStr"/>
      <c r="H27" t="n">
        <v>5</v>
      </c>
      <c r="I27" t="inlineStr">
        <is>
          <t>boss_minigun;bunker_pkm;mg_coax;mg_coax_long;minigun</t>
        </is>
      </c>
      <c r="J27" t="inlineStr">
        <is>
          <t>Assets/MachineBrigade/Resources/Data/balance.json: weaponFamilyTable[0]</t>
        </is>
      </c>
      <c r="K27" t="inlineStr">
        <is>
          <t>{"id":"cal_7_62","name":"7.62 mm machine gun","tier":0}</t>
        </is>
      </c>
    </row>
    <row r="28">
      <c r="A28" t="inlineStr">
        <is>
          <t>cal_12_7</t>
        </is>
      </c>
      <c r="B28" t="inlineStr">
        <is>
          <t>12.7 mm heavy machine gun</t>
        </is>
      </c>
      <c r="C28" t="n">
        <v>0</v>
      </c>
      <c r="D28" t="n">
        <v>15</v>
      </c>
      <c r="E28" t="n">
        <v>0</v>
      </c>
      <c r="F28" t="n">
        <v>0</v>
      </c>
      <c r="G28" t="inlineStr"/>
      <c r="H28" t="n">
        <v>25</v>
      </c>
      <c r="I28" t="inlineStr">
        <is>
          <t>bomber_tail_guns;bomber_tail_guns_api;boss_hmg;boss_hmg_api;bunker_hmg;bunker_hmg_api;bunker_hmg_twin;bunker_hmg_twin_api;drone_gun;hmg_roof;hmg_roof_api;hmg_selfdef_15;hmg_selfdef_15_api;hmg_selfdef_18;hmg_selfdef_18_api;hmg_selfdef_21;hmg_selfdef_21_api;mg_jeep;mg_jeep_api;mg_jeep_selfdef;mg_jeep_selfdef_api;p26_bastion_close_boss_hmg;p26_ixion_mg;tower_hmg;tower_hmg_api</t>
        </is>
      </c>
      <c r="J28" t="inlineStr">
        <is>
          <t>Assets/MachineBrigade/Resources/Data/balance.json: weaponFamilyTable[1]</t>
        </is>
      </c>
      <c r="K28" t="inlineStr">
        <is>
          <t>{"id":"cal_12_7","name":"12.7 mm heavy machine gun","tier":0,"boss":{"damage":15,"core":0,"edge":0}}</t>
        </is>
      </c>
    </row>
    <row r="29">
      <c r="A29" t="inlineStr">
        <is>
          <t>cal_14_5</t>
        </is>
      </c>
      <c r="B29" t="inlineStr">
        <is>
          <t>14.5 mm heavy machine gun</t>
        </is>
      </c>
      <c r="C29" t="n">
        <v>0</v>
      </c>
      <c r="G29" t="inlineStr"/>
      <c r="H29" t="n">
        <v>1</v>
      </c>
      <c r="I29" t="inlineStr">
        <is>
          <t>scylla_2m7</t>
        </is>
      </c>
      <c r="J29" t="inlineStr">
        <is>
          <t>Assets/MachineBrigade/Resources/Data/balance.json: weaponFamilyTable[2]</t>
        </is>
      </c>
      <c r="K29" t="inlineStr">
        <is>
          <t>{"id":"cal_14_5","name":"14.5 mm heavy machine gun","tier":0}</t>
        </is>
      </c>
    </row>
    <row r="30">
      <c r="A30" t="inlineStr">
        <is>
          <t>cal_20</t>
        </is>
      </c>
      <c r="B30" t="inlineStr">
        <is>
          <t>20 mm</t>
        </is>
      </c>
      <c r="C30" t="n">
        <v>1</v>
      </c>
      <c r="G30" t="inlineStr"/>
      <c r="H30" t="n">
        <v>1</v>
      </c>
      <c r="I30" t="inlineStr">
        <is>
          <t>c_ram_gatling</t>
        </is>
      </c>
      <c r="J30" t="inlineStr">
        <is>
          <t>Assets/MachineBrigade/Resources/Data/balance.json: weaponFamilyTable[3]</t>
        </is>
      </c>
      <c r="K30" t="inlineStr">
        <is>
          <t>{"id":"cal_20","name":"20 mm","tier":1}</t>
        </is>
      </c>
    </row>
    <row r="31">
      <c r="A31" t="inlineStr">
        <is>
          <t>cal_23</t>
        </is>
      </c>
      <c r="B31" t="inlineStr">
        <is>
          <t>23 mm</t>
        </is>
      </c>
      <c r="C31" t="n">
        <v>1</v>
      </c>
      <c r="D31" t="n">
        <v>3.5</v>
      </c>
      <c r="E31" t="n">
        <v>0</v>
      </c>
      <c r="F31" t="n">
        <v>0</v>
      </c>
      <c r="G31" t="inlineStr"/>
      <c r="H31" t="n">
        <v>7</v>
      </c>
      <c r="I31" t="inlineStr">
        <is>
          <t>flak_quad;flak_quad_ap;gsh_23v;p26_bastion_tiny_zu23;p26_moloch_tiny_zu23;zu23;zu23_ap</t>
        </is>
      </c>
      <c r="J31" t="inlineStr">
        <is>
          <t>Assets/MachineBrigade/Resources/Data/balance.json: weaponFamilyTable[4]</t>
        </is>
      </c>
      <c r="K31" t="inlineStr">
        <is>
          <t>{"id":"cal_23","name":"23 mm","tier":1,"boss":{"damage":3.5,"core":0,"edge":0}}</t>
        </is>
      </c>
    </row>
    <row r="32">
      <c r="A32" t="inlineStr">
        <is>
          <t>cal_25</t>
        </is>
      </c>
      <c r="B32" t="inlineStr">
        <is>
          <t>25 mm</t>
        </is>
      </c>
      <c r="C32" t="n">
        <v>1</v>
      </c>
      <c r="G32" t="inlineStr">
        <is>
          <t>flak</t>
        </is>
      </c>
      <c r="H32" t="n">
        <v>11</v>
      </c>
      <c r="I32" t="inlineStr">
        <is>
          <t>aa_25_triple;aa_25_triple_ap;autocannon_25;autocannon_25_flak;fighter_cannon;fighter_cannon_ap;gunship_25mm;gunship_25mm_flak;pt14_dd_v25;tower_ac25;tower_ac25_flak</t>
        </is>
      </c>
      <c r="J32" t="inlineStr">
        <is>
          <t>Assets/MachineBrigade/Resources/Data/balance.json: weaponFamilyTable[5]</t>
        </is>
      </c>
      <c r="K32" t="inlineStr">
        <is>
          <t>{"id":"cal_25","name":"25 mm","tier":1,"variants":{"flak":"air-burst rounds against aircraft, the family's others are plain belted rounds"}}</t>
        </is>
      </c>
    </row>
    <row r="33">
      <c r="A33" t="inlineStr">
        <is>
          <t>cal_30</t>
        </is>
      </c>
      <c r="B33" t="inlineStr">
        <is>
          <t>30 mm</t>
        </is>
      </c>
      <c r="C33" t="n">
        <v>1</v>
      </c>
      <c r="D33" t="n">
        <v>22</v>
      </c>
      <c r="E33" t="n">
        <v>0</v>
      </c>
      <c r="F33" t="n">
        <v>0</v>
      </c>
      <c r="G33" t="inlineStr">
        <is>
          <t>ciws;flak</t>
        </is>
      </c>
      <c r="H33" t="n">
        <v>29</v>
      </c>
      <c r="I33" t="inlineStr">
        <is>
          <t>autocannon_30;autocannon_30_flak;boss_heli_gun;boss_heli_gun_flak;ciws_aa;ciws_aa_flak;gau_gatling;heli_gun;heli_gun_flak;hover_ciws;hover_ciws_flak;hq_flak;hq_flak_ap;ifv_30;ifv_30_flak;jet_cannon;jet_cannon_flak;p26_jotunn_tiny_twin_30_flak;p26_matriarch_sec_autocannon_30;p26_roc_close_twin_30_bmpt;pt14_ixion_30;pt14_sb_v30;scylla_ak230;tower_flak_30;tower_flak_30_ap;twin_30_bmpt;twin_30_bmpt_flak;twin_30_flak;twin_30_flak_ap</t>
        </is>
      </c>
      <c r="J33" t="inlineStr">
        <is>
          <t>Assets/MachineBrigade/Resources/Data/balance.json: weaponFamilyTable[6]</t>
        </is>
      </c>
      <c r="K33" t="inlineStr">
        <is>
          <t>{"id":"cal_30","name":"30 mm","tier":1,"boss":{"damage":22,"core":0,"edge":0},"variants":{"flak":"the 2A38 / AK-630 air-burst (fragmentation, a 2.5 m burst) against aircraft; the family's round is a plain AP / HE belt","ciws":"the AK-630 close-in weapon of the ships and hovercraft: a six-barrel 5,000 rpm belt of light rounds (12 a round at 300 m/s) against the 22 of the 2A42 / M230 class"}}</t>
        </is>
      </c>
    </row>
    <row r="34">
      <c r="A34" t="inlineStr">
        <is>
          <t>cal_35</t>
        </is>
      </c>
      <c r="B34" t="inlineStr">
        <is>
          <t>35 mm Oerlikon</t>
        </is>
      </c>
      <c r="C34" t="n">
        <v>1</v>
      </c>
      <c r="D34" t="n">
        <v>25</v>
      </c>
      <c r="E34" t="n">
        <v>2.5</v>
      </c>
      <c r="F34" t="n">
        <v>0</v>
      </c>
      <c r="G34" t="inlineStr">
        <is>
          <t>ap</t>
        </is>
      </c>
      <c r="H34" t="n">
        <v>13</v>
      </c>
      <c r="I34" t="inlineStr">
        <is>
          <t>boss_flak;boss_flak_ap;flak_35;flak_35_ap;nyx_millennium;p26_behemoth_close_boss_flak;p26_jotunn_close_boss_flak;p26_matriarch_close_boss_flak;p26_moloch_close_boss_flak;p26_nemesis_close_boss_flak;pt14_th_v35;twin_35_ahead;twin_35_ahead_ap</t>
        </is>
      </c>
      <c r="J34" t="inlineStr">
        <is>
          <t>Assets/MachineBrigade/Resources/Data/balance.json: weaponFamilyTable[7]</t>
        </is>
      </c>
      <c r="K34" t="inlineStr">
        <is>
          <t>{"id":"cal_35","name":"35 mm Oerlikon","tier":1,"boss":{"damage":25,"core":2.5,"edge":0},"variants":{"ap":"AP rounds (no burst) loaded against ground targets instead of the air-burst"}}</t>
        </is>
      </c>
    </row>
    <row r="35">
      <c r="A35" t="inlineStr">
        <is>
          <t>cal_40</t>
        </is>
      </c>
      <c r="B35" t="inlineStr">
        <is>
          <t>40 mm Bofors</t>
        </is>
      </c>
      <c r="C35" t="n">
        <v>1</v>
      </c>
      <c r="D35" t="n">
        <v>30</v>
      </c>
      <c r="E35" t="n">
        <v>0</v>
      </c>
      <c r="F35" t="n">
        <v>0</v>
      </c>
      <c r="G35" t="inlineStr">
        <is>
          <t>flak;he</t>
        </is>
      </c>
      <c r="H35" t="n">
        <v>9</v>
      </c>
      <c r="I35" t="inlineStr">
        <is>
          <t>autocannon_40;autocannon_40_flak;bofors_l70;gunship_40mm;gunship_40mm_ap;gunship_40mm_flak;p26_bastion_tiny_autocannon_40;p26_icarus_close_autocannon_40;pt14_mk0_v40</t>
        </is>
      </c>
      <c r="J35" t="inlineStr">
        <is>
          <t>Assets/MachineBrigade/Resources/Data/balance.json: weaponFamilyTable[8]</t>
        </is>
      </c>
      <c r="K35" t="inlineStr">
        <is>
          <t>{"id":"cal_40","name":"40 mm Bofors","tier":1,"boss":{"damage":30,"core":0,"edge":0},"variants":{"flak":"proximity air-burst (3.5 m) against aircraft","he":"the AC-130's 40 mm HE against the ground (a 3 m burst), not the plain round"}}</t>
        </is>
      </c>
    </row>
    <row r="36">
      <c r="A36" t="inlineStr">
        <is>
          <t>cal_57</t>
        </is>
      </c>
      <c r="B36" t="inlineStr">
        <is>
          <t>57 mm</t>
        </is>
      </c>
      <c r="C36" t="n">
        <v>2</v>
      </c>
      <c r="D36" t="n">
        <v>120</v>
      </c>
      <c r="E36" t="n">
        <v>3</v>
      </c>
      <c r="F36" t="n">
        <v>6</v>
      </c>
      <c r="G36" t="inlineStr">
        <is>
          <t>ap;flak</t>
        </is>
      </c>
      <c r="H36" t="n">
        <v>12</v>
      </c>
      <c r="I36" t="inlineStr">
        <is>
          <t>airship_flak;gun_57_air;gun_57_auto;gun_57mm;gun_57mm_he;mothership_cannon;p26_daedalus_dae57;p26_daedalus_sec_dae57;p26_matriarch_tiny_mothership_cannon;p26_typhon_sec_ty57;p26_typhon_ty57;pt14_dd_v57</t>
        </is>
      </c>
      <c r="J36" t="inlineStr">
        <is>
          <t>Assets/MachineBrigade/Resources/Data/balance.json: weaponFamilyTable[10]</t>
        </is>
      </c>
      <c r="K36" t="inlineStr">
        <is>
          <t>{"id":"cal_57","name":"57 mm","tier":2,"boss":{"damage":120,"core":3,"edge":6},"variants":{"ap":"AP rounds (kinetic, no burst) instead of HE","flak":"air-burst against aircraft"}}</t>
        </is>
      </c>
    </row>
    <row r="37">
      <c r="A37" t="inlineStr">
        <is>
          <t>cal_76</t>
        </is>
      </c>
      <c r="B37" t="inlineStr">
        <is>
          <t>76 mm</t>
        </is>
      </c>
      <c r="C37" t="n">
        <v>2</v>
      </c>
      <c r="G37" t="inlineStr"/>
      <c r="H37" t="n">
        <v>5</v>
      </c>
      <c r="I37" t="inlineStr">
        <is>
          <t>borer_cannon;borer_cannon_he;naval_76;naval_76_guided;pt14_co_v76</t>
        </is>
      </c>
      <c r="J37" t="inlineStr">
        <is>
          <t>Assets/MachineBrigade/Resources/Data/balance.json: weaponFamilyTable[12]</t>
        </is>
      </c>
      <c r="K37" t="inlineStr">
        <is>
          <t>{"id":"cal_76","name":"76 mm","tier":2}</t>
        </is>
      </c>
    </row>
    <row r="38">
      <c r="A38" t="inlineStr">
        <is>
          <t>cal_100_105_ap</t>
        </is>
      </c>
      <c r="B38" t="inlineStr">
        <is>
          <t>100-105 mm AP</t>
        </is>
      </c>
      <c r="C38" t="n">
        <v>2</v>
      </c>
      <c r="G38" t="inlineStr">
        <is>
          <t>he</t>
        </is>
      </c>
      <c r="H38" t="n">
        <v>5</v>
      </c>
      <c r="I38" t="inlineStr">
        <is>
          <t>gun_105_bunker;gun_105_twin;p26_bastion_b100;p26_bastion_direct_b100;siege_gun_105</t>
        </is>
      </c>
      <c r="J38" t="inlineStr">
        <is>
          <t>Assets/MachineBrigade/Resources/Data/balance.json: weaponFamilyTable[14]</t>
        </is>
      </c>
      <c r="K38" t="inlineStr">
        <is>
          <t>{"id":"cal_100_105_ap","name":"100-105 mm AP","tier":2,"variants":{"he":"a high-explosive second round of an AP gun"}}</t>
        </is>
      </c>
    </row>
    <row r="39">
      <c r="A39" t="inlineStr">
        <is>
          <t>cal_100_105_he</t>
        </is>
      </c>
      <c r="B39" t="inlineStr">
        <is>
          <t>100-105 mm HE</t>
        </is>
      </c>
      <c r="C39" t="n">
        <v>2</v>
      </c>
      <c r="D39" t="n">
        <v>300</v>
      </c>
      <c r="E39" t="n">
        <v>5</v>
      </c>
      <c r="F39" t="n">
        <v>10</v>
      </c>
      <c r="G39" t="inlineStr">
        <is>
          <t>flak</t>
        </is>
      </c>
      <c r="H39" t="n">
        <v>11</v>
      </c>
      <c r="I39" t="inlineStr">
        <is>
          <t>gun_100_river;gun_105_bunker_he;gunship_105;gunship_105_guided;naval_100;naval_100_guided;p26_roc_roc105;p26_typhon_direct_ty100;p26_typhon_ty100;pt14_sb_v105;siege_gun_105_he</t>
        </is>
      </c>
      <c r="J39" t="inlineStr">
        <is>
          <t>Assets/MachineBrigade/Resources/Data/balance.json: weaponFamilyTable[13]</t>
        </is>
      </c>
      <c r="K39" t="inlineStr">
        <is>
          <t>{"id":"cal_100_105_he","name":"100-105 mm HE","tier":2,"boss":{"damage":300,"core":5,"edge":10},"variants":{"flak":"the KS-19's time-fused flak against aircraft"}}</t>
        </is>
      </c>
    </row>
    <row r="40">
      <c r="A40" t="inlineStr">
        <is>
          <t>cal_120_ap</t>
        </is>
      </c>
      <c r="B40" t="inlineStr">
        <is>
          <t>120 mm AP</t>
        </is>
      </c>
      <c r="C40" t="n">
        <v>3</v>
      </c>
      <c r="D40" t="n">
        <v>260</v>
      </c>
      <c r="E40" t="n">
        <v>0</v>
      </c>
      <c r="F40" t="n">
        <v>0</v>
      </c>
      <c r="G40" t="inlineStr"/>
      <c r="H40" t="n">
        <v>13</v>
      </c>
      <c r="I40" t="inlineStr">
        <is>
          <t>gun_105_wheeled;gun_120_twin;gun_120mm;gun_pit_105;p26_behemoth_be120;p26_behemoth_direct_be120;p26_behemoth_tiny_be120;p26_behemoth_tiny_kornet_twin;p26_moloch_direct_mo120ap;p26_moloch_mo120ap;turret_gun_120;turret_gun_120_auto;turret_gun_120_long</t>
        </is>
      </c>
      <c r="J40" t="inlineStr">
        <is>
          <t>Assets/MachineBrigade/Resources/Data/balance.json: weaponFamilyTable[17]</t>
        </is>
      </c>
      <c r="K40" t="inlineStr">
        <is>
          <t>{"id":"cal_120_ap","name":"120 mm AP","tier":3,"boss":{"damage":260,"core":0,"edge":0}}</t>
        </is>
      </c>
    </row>
    <row r="41">
      <c r="A41" t="inlineStr">
        <is>
          <t>cal_120_he</t>
        </is>
      </c>
      <c r="B41" t="inlineStr">
        <is>
          <t>120 mm HE</t>
        </is>
      </c>
      <c r="C41" t="n">
        <v>3</v>
      </c>
      <c r="D41" t="n">
        <v>340</v>
      </c>
      <c r="E41" t="n">
        <v>5</v>
      </c>
      <c r="F41" t="n">
        <v>10</v>
      </c>
      <c r="G41" t="inlineStr">
        <is>
          <t>mortar</t>
        </is>
      </c>
      <c r="H41" t="n">
        <v>10</v>
      </c>
      <c r="I41" t="inlineStr">
        <is>
          <t>amos_120;gun_105_wheeled_he;gun_120_twin_he;gun_120mm_he;mortar_120;p26_moloch_main_mo120;p26_moloch_mo120;train_mortar;turret_gun_120_he;turret_gun_120_long_he</t>
        </is>
      </c>
      <c r="J41" t="inlineStr">
        <is>
          <t>Assets/MachineBrigade/Resources/Data/balance.json: weaponFamilyTable[16]</t>
        </is>
      </c>
      <c r="K41" t="inlineStr">
        <is>
          <t>{"id":"cal_120_he","name":"120 mm HE","tier":3,"boss":{"damage":340,"core":5,"edge":10},"variants":{"mortar":"a lobbed mortar bomb (slow, high arc), not a gun's HE shell"}}</t>
        </is>
      </c>
    </row>
    <row r="42">
      <c r="A42" t="inlineStr">
        <is>
          <t>cal_125_ap</t>
        </is>
      </c>
      <c r="B42" t="inlineStr">
        <is>
          <t>125 mm AP</t>
        </is>
      </c>
      <c r="C42" t="n">
        <v>3</v>
      </c>
      <c r="D42" t="n">
        <v>400</v>
      </c>
      <c r="E42" t="n">
        <v>0</v>
      </c>
      <c r="F42" t="n">
        <v>0</v>
      </c>
      <c r="G42" t="inlineStr"/>
      <c r="H42" t="n">
        <v>9</v>
      </c>
      <c r="I42" t="inlineStr">
        <is>
          <t>gun_105_apfsds;gun_105_long;gun_125_armata_ke;gun_125_elite;p26_ixion_125;p26_jotunn_direct_jo125;p26_jotunn_jo125;p26_nemesis_direct_ne125;p26_nemesis_ne125</t>
        </is>
      </c>
      <c r="J42" t="inlineStr">
        <is>
          <t>Assets/MachineBrigade/Resources/Data/balance.json: weaponFamilyTable[18]</t>
        </is>
      </c>
      <c r="K42" t="inlineStr">
        <is>
          <t>{"id":"cal_125_ap","name":"125 mm AP","tier":3,"boss":{"damage":400,"core":0,"edge":0}}</t>
        </is>
      </c>
    </row>
    <row r="43">
      <c r="A43" t="inlineStr">
        <is>
          <t>cal_125_he</t>
        </is>
      </c>
      <c r="B43" t="inlineStr">
        <is>
          <t>125 mm HE</t>
        </is>
      </c>
      <c r="C43" t="n">
        <v>3</v>
      </c>
      <c r="G43" t="inlineStr"/>
      <c r="H43" t="n">
        <v>5</v>
      </c>
      <c r="I43" t="inlineStr">
        <is>
          <t>boss_thermo;gun_105_apfsds_he;gun_105_long_he;gun_125_elite_he;p26_ixion_125_he</t>
        </is>
      </c>
      <c r="J43" t="inlineStr">
        <is>
          <t>Assets/MachineBrigade/Resources/Data/balance.json: weaponFamilyTable[19]</t>
        </is>
      </c>
      <c r="K43" t="inlineStr">
        <is>
          <t>{"id":"cal_125_he","name":"125 mm HE","tier":3}</t>
        </is>
      </c>
    </row>
    <row r="44">
      <c r="A44" t="inlineStr">
        <is>
          <t>cal_127_130</t>
        </is>
      </c>
      <c r="B44" t="inlineStr">
        <is>
          <t>127-130 mm</t>
        </is>
      </c>
      <c r="C44" t="n">
        <v>3</v>
      </c>
      <c r="D44" t="n">
        <v>380</v>
      </c>
      <c r="E44" t="n">
        <v>5</v>
      </c>
      <c r="F44" t="n">
        <v>10</v>
      </c>
      <c r="G44" t="inlineStr">
        <is>
          <t>ap</t>
        </is>
      </c>
      <c r="H44" t="n">
        <v>5</v>
      </c>
      <c r="I44" t="inlineStr">
        <is>
          <t>naval_127;naval_130_twin;p26_leviathan_direct_lev127;p26_leviathan_lev127;pt14_hp_v127</t>
        </is>
      </c>
      <c r="J44" t="inlineStr">
        <is>
          <t>Assets/MachineBrigade/Resources/Data/balance.json: weaponFamilyTable[20]</t>
        </is>
      </c>
      <c r="K44" t="inlineStr">
        <is>
          <t>{"id":"cal_127_130","name":"127-130 mm","tier":3,"boss":{"damage":380,"core":5,"edge":10},"variants":{"ap":"an armour-piercing round fired direct (Leviathan's AK-127 in its direct-fire role), not the HE shell"}}</t>
        </is>
      </c>
    </row>
    <row r="45">
      <c r="A45" t="inlineStr">
        <is>
          <t>cal_140</t>
        </is>
      </c>
      <c r="B45" t="inlineStr">
        <is>
          <t>140 mm</t>
        </is>
      </c>
      <c r="C45" t="n">
        <v>3</v>
      </c>
      <c r="G45" t="inlineStr"/>
      <c r="H45" t="n">
        <v>2</v>
      </c>
      <c r="I45" t="inlineStr">
        <is>
          <t>gun_140_twin;gun_140_twin_he</t>
        </is>
      </c>
      <c r="J45" t="inlineStr">
        <is>
          <t>Assets/MachineBrigade/Resources/Data/balance.json: weaponFamilyTable[21]</t>
        </is>
      </c>
      <c r="K45" t="inlineStr">
        <is>
          <t>{"id":"cal_140","name":"140 mm","tier":3}</t>
        </is>
      </c>
    </row>
    <row r="46">
      <c r="A46" t="inlineStr">
        <is>
          <t>cal_152_155</t>
        </is>
      </c>
      <c r="B46" t="inlineStr">
        <is>
          <t>152-155 mm</t>
        </is>
      </c>
      <c r="C46" t="n">
        <v>3</v>
      </c>
      <c r="D46" t="n">
        <v>600</v>
      </c>
      <c r="E46" t="n">
        <v>7</v>
      </c>
      <c r="F46" t="n">
        <v>14</v>
      </c>
      <c r="G46" t="inlineStr">
        <is>
          <t>ap;guided;heat;smart</t>
        </is>
      </c>
      <c r="H46" t="n">
        <v>39</v>
      </c>
      <c r="I46" t="inlineStr">
        <is>
          <t>bastion_gun;bastion_gun_he;casemate_155;casemate_155_guided;gun_152;gun_152_he;gun_152_heat;gun_152_heat_he;gun_155_coastal;gun_155_coastal_guided;gun_155_sph;gun_155_twin;gun_155_twin_ap;gun_155_twin_coastlr;gun_155_twin_coastlr_guided;gun_155_twin_fort;gun_155_twin_fort_guided;gun_155_twin_long;gun_behemoth;gun_behemoth_guided;howitzer;howitzer_ext;howitzer_fixed;howitzer_fixed_guided;howitzer_guided;naval_155_triple;naval_155_triple_guided;nyx_ags_155;p26_bastion_b155;p26_bastion_main_b155;p26_behemoth_be152;p26_behemoth_main_be152;p26_leviathan_lev155;p26_leviathan_sec_lev155;p26_nemesis_main_ne152;p26_nemesis_ne152;pt14_hp_155;train_gun;train_gun_he</t>
        </is>
      </c>
      <c r="J46" t="inlineStr">
        <is>
          <t>Assets/MachineBrigade/Resources/Data/balance.json: weaponFamilyTable[22]</t>
        </is>
      </c>
      <c r="K46" t="inlineStr">
        <is>
          <t>{"id":"cal_152_155","name":"152-155 mm","tier":3,"boss":{"damage":600,"core":7,"edge":14},"variants":{"ap":"an armour-piercing round fired direct (a tank gun's or a naval gun's AP), not the HE shell","heat":"a shaped-charge (HEAT) round","smart":"a sensor-fuzed or guided shell with submunitions","guided":"a guided shell (one at a time)"}}</t>
        </is>
      </c>
    </row>
    <row r="47">
      <c r="A47" t="inlineStr">
        <is>
          <t>cal_203</t>
        </is>
      </c>
      <c r="B47" t="inlineStr">
        <is>
          <t>203 mm</t>
        </is>
      </c>
      <c r="C47" t="n">
        <v>4</v>
      </c>
      <c r="D47" t="n">
        <v>900</v>
      </c>
      <c r="E47" t="n">
        <v>8.5</v>
      </c>
      <c r="F47" t="n">
        <v>17</v>
      </c>
      <c r="G47" t="inlineStr"/>
      <c r="H47" t="n">
        <v>7</v>
      </c>
      <c r="I47" t="inlineStr">
        <is>
          <t>boss_howitzer;boss_howitzer_guided;cruiser_203;cruiser_203_guided;gun_203_siege;p26_jotunn_jo203;pt14_co_203</t>
        </is>
      </c>
      <c r="J47" t="inlineStr">
        <is>
          <t>Assets/MachineBrigade/Resources/Data/balance.json: weaponFamilyTable[23]</t>
        </is>
      </c>
      <c r="K47" t="inlineStr">
        <is>
          <t>{"id":"cal_203","name":"203 mm","tier":4,"boss":{"damage":900,"core":8.5,"edge":17}}</t>
        </is>
      </c>
    </row>
    <row r="48">
      <c r="A48" t="inlineStr">
        <is>
          <t>cal_240</t>
        </is>
      </c>
      <c r="B48" t="inlineStr">
        <is>
          <t>240 mm</t>
        </is>
      </c>
      <c r="C48" t="n">
        <v>4</v>
      </c>
      <c r="D48" t="n">
        <v>1100</v>
      </c>
      <c r="E48" t="n">
        <v>10</v>
      </c>
      <c r="F48" t="n">
        <v>20</v>
      </c>
      <c r="G48" t="inlineStr"/>
      <c r="H48" t="n">
        <v>5</v>
      </c>
      <c r="I48" t="inlineStr">
        <is>
          <t>boss_mortar;mortar_240;p26_bastion_b240;p26_bastion_sec_b240;siege_mortar_240</t>
        </is>
      </c>
      <c r="J48" t="inlineStr">
        <is>
          <t>Assets/MachineBrigade/Resources/Data/balance.json: weaponFamilyTable[24]</t>
        </is>
      </c>
      <c r="K48" t="inlineStr">
        <is>
          <t>{"id":"cal_240","name":"240 mm","tier":4,"boss":{"damage":1100,"core":10,"edge":20}}</t>
        </is>
      </c>
    </row>
    <row r="49">
      <c r="A49" t="inlineStr">
        <is>
          <t>cal_406</t>
        </is>
      </c>
      <c r="B49" t="inlineStr">
        <is>
          <t>406 mm</t>
        </is>
      </c>
      <c r="C49" t="n">
        <v>5</v>
      </c>
      <c r="D49" t="n">
        <v>2400</v>
      </c>
      <c r="E49" t="n">
        <v>14</v>
      </c>
      <c r="F49" t="n">
        <v>24</v>
      </c>
      <c r="G49" t="inlineStr"/>
      <c r="H49" t="n">
        <v>3</v>
      </c>
      <c r="I49" t="inlineStr">
        <is>
          <t>leviathan_460;leviathan_460_guided;p26_leviathan_lev406</t>
        </is>
      </c>
      <c r="J49" t="inlineStr">
        <is>
          <t>Assets/MachineBrigade/Resources/Data/balance.json: weaponFamilyTable[25]</t>
        </is>
      </c>
      <c r="K49" t="inlineStr">
        <is>
          <t>{"id":"cal_406","name":"406 mm","tier":5,"boss":{"damage":2400,"core":14,"edge":24}}</t>
        </is>
      </c>
    </row>
    <row r="50">
      <c r="A50" t="inlineStr">
        <is>
          <t>cal_800</t>
        </is>
      </c>
      <c r="B50" t="inlineStr">
        <is>
          <t>800 mm super-gun</t>
        </is>
      </c>
      <c r="C50" t="n">
        <v>5</v>
      </c>
      <c r="G50" t="inlineStr"/>
      <c r="H50" t="n">
        <v>0</v>
      </c>
      <c r="I50" t="inlineStr"/>
      <c r="J50" t="inlineStr">
        <is>
          <t>Assets/MachineBrigade/Resources/Data/balance.json: weaponFamilyTable[26]</t>
        </is>
      </c>
      <c r="K50" t="inlineStr">
        <is>
          <t>{"id":"cal_800","name":"800 mm super-gun","tier":5}</t>
        </is>
      </c>
    </row>
    <row r="51">
      <c r="A51" t="inlineStr">
        <is>
          <t>cruise_3m_54_kalibr</t>
        </is>
      </c>
      <c r="B51" t="inlineStr">
        <is>
          <t>cruise_3m_54_kalibr</t>
        </is>
      </c>
      <c r="C51" t="n">
        <v>4</v>
      </c>
      <c r="G51" t="inlineStr"/>
      <c r="H51" t="n">
        <v>2</v>
      </c>
      <c r="I51" t="inlineStr">
        <is>
          <t>hydra_club_s;leviathan_cruise</t>
        </is>
      </c>
      <c r="J51" t="inlineStr">
        <is>
          <t>Assets/MachineBrigade/Resources/Data/balance.json: weaponFamilyTable[60]</t>
        </is>
      </c>
      <c r="K51" t="inlineStr">
        <is>
          <t>{"id":"cruise_3m_54_kalibr","name":"cruise_3m_54_kalibr","tier":4}</t>
        </is>
      </c>
    </row>
    <row r="52">
      <c r="A52" t="inlineStr">
        <is>
          <t>cruise_agm_158_jassm</t>
        </is>
      </c>
      <c r="B52" t="inlineStr">
        <is>
          <t>cruise_agm_158_jassm</t>
        </is>
      </c>
      <c r="C52" t="n">
        <v>4</v>
      </c>
      <c r="G52" t="inlineStr"/>
      <c r="H52" t="n">
        <v>1</v>
      </c>
      <c r="I52" t="inlineStr">
        <is>
          <t>jassm</t>
        </is>
      </c>
      <c r="J52" t="inlineStr">
        <is>
          <t>Assets/MachineBrigade/Resources/Data/balance.json: weaponFamilyTable[61]</t>
        </is>
      </c>
      <c r="K52" t="inlineStr">
        <is>
          <t>{"id":"cruise_agm_158_jassm","name":"cruise_agm_158_jassm","tier":4}</t>
        </is>
      </c>
    </row>
    <row r="53">
      <c r="A53" t="inlineStr">
        <is>
          <t>cruise_kh_101</t>
        </is>
      </c>
      <c r="B53" t="inlineStr">
        <is>
          <t>cruise_kh_101</t>
        </is>
      </c>
      <c r="C53" t="n">
        <v>4</v>
      </c>
      <c r="G53" t="inlineStr"/>
      <c r="H53" t="n">
        <v>1</v>
      </c>
      <c r="I53" t="inlineStr">
        <is>
          <t>air_cruise_missile</t>
        </is>
      </c>
      <c r="J53" t="inlineStr">
        <is>
          <t>Assets/MachineBrigade/Resources/Data/balance.json: weaponFamilyTable[62]</t>
        </is>
      </c>
      <c r="K53" t="inlineStr">
        <is>
          <t>{"id":"cruise_kh_101","name":"cruise_kh_101","tier":4}</t>
        </is>
      </c>
    </row>
    <row r="54">
      <c r="A54" t="inlineStr">
        <is>
          <t>cruise_nsm_coastal_defence</t>
        </is>
      </c>
      <c r="B54" t="inlineStr">
        <is>
          <t>cruise_nsm_coastal_defence</t>
        </is>
      </c>
      <c r="C54" t="n">
        <v>4</v>
      </c>
      <c r="G54" t="inlineStr"/>
      <c r="H54" t="n">
        <v>0</v>
      </c>
      <c r="I54" t="inlineStr"/>
      <c r="J54" t="inlineStr">
        <is>
          <t>Assets/MachineBrigade/Resources/Data/balance.json: weaponFamilyTable[63]</t>
        </is>
      </c>
      <c r="K54" t="inlineStr">
        <is>
          <t>{"id":"cruise_nsm_coastal_defence","name":"cruise_nsm_coastal_defence","tier":4}</t>
        </is>
      </c>
    </row>
    <row r="55">
      <c r="A55" t="inlineStr">
        <is>
          <t>cruise_typhon_mrc</t>
        </is>
      </c>
      <c r="B55" t="inlineStr">
        <is>
          <t>cruise_typhon_mrc</t>
        </is>
      </c>
      <c r="C55" t="n">
        <v>4</v>
      </c>
      <c r="G55" t="inlineStr"/>
      <c r="H55" t="n">
        <v>2</v>
      </c>
      <c r="I55" t="inlineStr">
        <is>
          <t>cruise_missile_ground;nyx_tomahawk</t>
        </is>
      </c>
      <c r="J55" t="inlineStr">
        <is>
          <t>Assets/MachineBrigade/Resources/Data/balance.json: weaponFamilyTable[64]</t>
        </is>
      </c>
      <c r="K55" t="inlineStr">
        <is>
          <t>{"id":"cruise_typhon_mrc","name":"cruise_typhon_mrc","tier":4}</t>
        </is>
      </c>
    </row>
    <row r="56">
      <c r="A56" t="inlineStr">
        <is>
          <t>drone_coyote_block_2</t>
        </is>
      </c>
      <c r="B56" t="inlineStr">
        <is>
          <t>drone_coyote_block_2</t>
        </is>
      </c>
      <c r="C56" t="n">
        <v>2</v>
      </c>
      <c r="G56" t="inlineStr"/>
      <c r="H56" t="n">
        <v>0</v>
      </c>
      <c r="I56" t="inlineStr"/>
      <c r="J56" t="inlineStr">
        <is>
          <t>Assets/MachineBrigade/Resources/Data/balance.json: weaponFamilyTable[65]</t>
        </is>
      </c>
      <c r="K56" t="inlineStr">
        <is>
          <t>{"id":"drone_coyote_block_2","name":"drone_coyote_block_2","tier":2}</t>
        </is>
      </c>
    </row>
    <row r="57">
      <c r="A57" t="inlineStr">
        <is>
          <t>drone_fibre_optic_fpv_drone</t>
        </is>
      </c>
      <c r="B57" t="inlineStr">
        <is>
          <t>drone_fibre_optic_fpv_drone</t>
        </is>
      </c>
      <c r="C57" t="n">
        <v>2</v>
      </c>
      <c r="G57" t="inlineStr"/>
      <c r="H57" t="n">
        <v>0</v>
      </c>
      <c r="I57" t="inlineStr"/>
      <c r="J57" t="inlineStr">
        <is>
          <t>Assets/MachineBrigade/Resources/Data/balance.json: weaponFamilyTable[66]</t>
        </is>
      </c>
      <c r="K57" t="inlineStr">
        <is>
          <t>{"id":"drone_fibre_optic_fpv_drone","name":"drone_fibre_optic_fpv_drone","tier":2}</t>
        </is>
      </c>
    </row>
    <row r="58">
      <c r="A58" t="inlineStr">
        <is>
          <t>drone_fpv_drone</t>
        </is>
      </c>
      <c r="B58" t="inlineStr">
        <is>
          <t>drone_fpv_drone</t>
        </is>
      </c>
      <c r="C58" t="n">
        <v>2</v>
      </c>
      <c r="G58" t="inlineStr"/>
      <c r="H58" t="n">
        <v>5</v>
      </c>
      <c r="I58" t="inlineStr">
        <is>
          <t>airship_drones;fpv_hangar;fpv_hangar_swarm;fpv_swarm;swarm_drones</t>
        </is>
      </c>
      <c r="J58" t="inlineStr">
        <is>
          <t>Assets/MachineBrigade/Resources/Data/balance.json: weaponFamilyTable[67]</t>
        </is>
      </c>
      <c r="K58" t="inlineStr">
        <is>
          <t>{"id":"drone_fpv_drone","name":"drone_fpv_drone","tier":2}</t>
        </is>
      </c>
    </row>
    <row r="59">
      <c r="A59" t="inlineStr">
        <is>
          <t>drone_interceptor_drone</t>
        </is>
      </c>
      <c r="B59" t="inlineStr">
        <is>
          <t>drone_interceptor_drone</t>
        </is>
      </c>
      <c r="C59" t="n">
        <v>2</v>
      </c>
      <c r="G59" t="inlineStr"/>
      <c r="H59" t="n">
        <v>0</v>
      </c>
      <c r="I59" t="inlineStr"/>
      <c r="J59" t="inlineStr">
        <is>
          <t>Assets/MachineBrigade/Resources/Data/balance.json: weaponFamilyTable[68]</t>
        </is>
      </c>
      <c r="K59" t="inlineStr">
        <is>
          <t>{"id":"drone_interceptor_drone","name":"drone_interceptor_drone","tier":2}</t>
        </is>
      </c>
    </row>
    <row r="60">
      <c r="A60" t="inlineStr">
        <is>
          <t>drone_shahed_136</t>
        </is>
      </c>
      <c r="B60" t="inlineStr">
        <is>
          <t>drone_shahed_136</t>
        </is>
      </c>
      <c r="C60" t="n">
        <v>3</v>
      </c>
      <c r="G60" t="inlineStr"/>
      <c r="H60" t="n">
        <v>1</v>
      </c>
      <c r="I60" t="inlineStr">
        <is>
          <t>shahed</t>
        </is>
      </c>
      <c r="J60" t="inlineStr">
        <is>
          <t>Assets/MachineBrigade/Resources/Data/balance.json: weaponFamilyTable[69]</t>
        </is>
      </c>
      <c r="K60" t="inlineStr">
        <is>
          <t>{"id":"drone_shahed_136","name":"drone_shahed_136","tier":3}</t>
        </is>
      </c>
    </row>
    <row r="61">
      <c r="A61" t="inlineStr">
        <is>
          <t>drone_switchblade_300</t>
        </is>
      </c>
      <c r="B61" t="inlineStr">
        <is>
          <t>drone_switchblade_300</t>
        </is>
      </c>
      <c r="C61" t="n">
        <v>2</v>
      </c>
      <c r="G61" t="inlineStr"/>
      <c r="H61" t="n">
        <v>0</v>
      </c>
      <c r="I61" t="inlineStr"/>
      <c r="J61" t="inlineStr">
        <is>
          <t>Assets/MachineBrigade/Resources/Data/balance.json: weaponFamilyTable[70]</t>
        </is>
      </c>
      <c r="K61" t="inlineStr">
        <is>
          <t>{"id":"drone_switchblade_300","name":"drone_switchblade_300","tier":2}</t>
        </is>
      </c>
    </row>
    <row r="62">
      <c r="A62" t="inlineStr">
        <is>
          <t>drone_zala_lancet_3</t>
        </is>
      </c>
      <c r="B62" t="inlineStr">
        <is>
          <t>drone_zala_lancet_3</t>
        </is>
      </c>
      <c r="C62" t="n">
        <v>2</v>
      </c>
      <c r="G62" t="inlineStr"/>
      <c r="H62" t="n">
        <v>3</v>
      </c>
      <c r="I62" t="inlineStr">
        <is>
          <t>lancet;lancet_hangar;mothership_drones</t>
        </is>
      </c>
      <c r="J62" t="inlineStr">
        <is>
          <t>Assets/MachineBrigade/Resources/Data/balance.json: weaponFamilyTable[71]</t>
        </is>
      </c>
      <c r="K62" t="inlineStr">
        <is>
          <t>{"id":"drone_zala_lancet_3","name":"drone_zala_lancet_3","tier":2}</t>
        </is>
      </c>
    </row>
    <row r="63">
      <c r="A63" t="inlineStr">
        <is>
          <t>drone_zala_lancet_3_swarm</t>
        </is>
      </c>
      <c r="B63" t="inlineStr">
        <is>
          <t>drone_zala_lancet_3_swarm</t>
        </is>
      </c>
      <c r="C63" t="n">
        <v>2</v>
      </c>
      <c r="G63" t="inlineStr"/>
      <c r="H63" t="n">
        <v>2</v>
      </c>
      <c r="I63" t="inlineStr">
        <is>
          <t>locust_drones;p26_matriarch_ma_drones</t>
        </is>
      </c>
      <c r="J63" t="inlineStr">
        <is>
          <t>Assets/MachineBrigade/Resources/Data/balance.json: weaponFamilyTable[72]</t>
        </is>
      </c>
      <c r="K63" t="inlineStr">
        <is>
          <t>{"id":"drone_zala_lancet_3_swarm","name":"drone_zala_lancet_3_swarm","tier":2}</t>
        </is>
      </c>
    </row>
    <row r="64">
      <c r="A64" t="inlineStr">
        <is>
          <t>flame_flamethrower</t>
        </is>
      </c>
      <c r="B64" t="inlineStr">
        <is>
          <t>flame_flamethrower</t>
        </is>
      </c>
      <c r="C64" t="n">
        <v>1</v>
      </c>
      <c r="G64" t="inlineStr"/>
      <c r="H64" t="n">
        <v>3</v>
      </c>
      <c r="I64" t="inlineStr">
        <is>
          <t>boss_flamer;bunker_flame;flamethrower</t>
        </is>
      </c>
      <c r="J64" t="inlineStr">
        <is>
          <t>Assets/MachineBrigade/Resources/Data/balance.json: weaponFamilyTable[73]</t>
        </is>
      </c>
      <c r="K64" t="inlineStr">
        <is>
          <t>{"id":"flame_flamethrower","name":"flame_flamethrower","tier":1}</t>
        </is>
      </c>
    </row>
    <row r="65">
      <c r="A65" t="inlineStr">
        <is>
          <t>gl_40</t>
        </is>
      </c>
      <c r="B65" t="inlineStr">
        <is>
          <t>40 mm grenade launcher</t>
        </is>
      </c>
      <c r="C65" t="n">
        <v>1</v>
      </c>
      <c r="G65" t="inlineStr"/>
      <c r="H65" t="n">
        <v>2</v>
      </c>
      <c r="I65" t="inlineStr">
        <is>
          <t>agl_40;tower_agl</t>
        </is>
      </c>
      <c r="J65" t="inlineStr">
        <is>
          <t>Assets/MachineBrigade/Resources/Data/balance.json: weaponFamilyTable[9]</t>
        </is>
      </c>
      <c r="K65" t="inlineStr">
        <is>
          <t>{"id":"gl_40","name":"40 mm grenade launcher","tier":1}</t>
        </is>
      </c>
    </row>
    <row r="66">
      <c r="A66" t="inlineStr">
        <is>
          <t>gungnir_emrg</t>
        </is>
      </c>
      <c r="B66" t="inlineStr">
        <is>
          <t>EMRG electromagnetic railgun (Gungnir)</t>
        </is>
      </c>
      <c r="C66" t="n">
        <v>5</v>
      </c>
      <c r="G66" t="inlineStr"/>
      <c r="H66" t="n">
        <v>0</v>
      </c>
      <c r="I66" t="inlineStr"/>
      <c r="J66" t="inlineStr">
        <is>
          <t>Assets/MachineBrigade/Resources/Data/balance.json: weaponFamilyTable[36]</t>
        </is>
      </c>
      <c r="K66" t="inlineStr">
        <is>
          <t>{"id":"gungnir_emrg","name":"EMRG electromagnetic railgun (Gungnir)","tier":5}</t>
        </is>
      </c>
    </row>
    <row r="67">
      <c r="A67" t="inlineStr">
        <is>
          <t>laser_50_kw_laser</t>
        </is>
      </c>
      <c r="B67" t="inlineStr">
        <is>
          <t>laser_50_kw_laser</t>
        </is>
      </c>
      <c r="C67" t="n">
        <v>1</v>
      </c>
      <c r="G67" t="inlineStr"/>
      <c r="H67" t="n">
        <v>2</v>
      </c>
      <c r="I67" t="inlineStr">
        <is>
          <t>laser_50kw;pt14_th_pd</t>
        </is>
      </c>
      <c r="J67" t="inlineStr">
        <is>
          <t>Assets/MachineBrigade/Resources/Data/balance.json: weaponFamilyTable[74]</t>
        </is>
      </c>
      <c r="K67" t="inlineStr">
        <is>
          <t>{"id":"laser_50_kw_laser","name":"laser_50_kw_laser","tier":1}</t>
        </is>
      </c>
    </row>
    <row r="68">
      <c r="A68" t="inlineStr">
        <is>
          <t>laser_focused_laser</t>
        </is>
      </c>
      <c r="B68" t="inlineStr">
        <is>
          <t>laser_focused_laser</t>
        </is>
      </c>
      <c r="C68" t="n">
        <v>1</v>
      </c>
      <c r="G68" t="inlineStr"/>
      <c r="H68" t="n">
        <v>1</v>
      </c>
      <c r="I68" t="inlineStr">
        <is>
          <t>focus_laser</t>
        </is>
      </c>
      <c r="J68" t="inlineStr">
        <is>
          <t>Assets/MachineBrigade/Resources/Data/balance.json: weaponFamilyTable[75]</t>
        </is>
      </c>
      <c r="K68" t="inlineStr">
        <is>
          <t>{"id":"laser_focused_laser","name":"laser_focused_laser","tier":1}</t>
        </is>
      </c>
    </row>
    <row r="69">
      <c r="A69" t="inlineStr">
        <is>
          <t>laser_iron_beam_laser</t>
        </is>
      </c>
      <c r="B69" t="inlineStr">
        <is>
          <t>laser_iron_beam_laser</t>
        </is>
      </c>
      <c r="C69" t="n">
        <v>1</v>
      </c>
      <c r="G69" t="inlineStr"/>
      <c r="H69" t="n">
        <v>1</v>
      </c>
      <c r="I69" t="inlineStr">
        <is>
          <t>hel_beam</t>
        </is>
      </c>
      <c r="J69" t="inlineStr">
        <is>
          <t>Assets/MachineBrigade/Resources/Data/balance.json: weaponFamilyTable[76]</t>
        </is>
      </c>
      <c r="K69" t="inlineStr">
        <is>
          <t>{"id":"laser_iron_beam_laser","name":"laser_iron_beam_laser","tier":1}</t>
        </is>
      </c>
    </row>
    <row r="70">
      <c r="A70" t="inlineStr">
        <is>
          <t>laser_laser</t>
        </is>
      </c>
      <c r="B70" t="inlineStr">
        <is>
          <t>laser_laser</t>
        </is>
      </c>
      <c r="C70" t="n">
        <v>1</v>
      </c>
      <c r="G70" t="inlineStr"/>
      <c r="H70" t="n">
        <v>2</v>
      </c>
      <c r="I70" t="inlineStr">
        <is>
          <t>orbital_laser;p26_icarus_sec_orbital_laser</t>
        </is>
      </c>
      <c r="J70" t="inlineStr">
        <is>
          <t>Assets/MachineBrigade/Resources/Data/balance.json: weaponFamilyTable[77]</t>
        </is>
      </c>
      <c r="K70" t="inlineStr">
        <is>
          <t>{"id":"laser_laser","name":"laser_laser","tier":1}</t>
        </is>
      </c>
    </row>
    <row r="71">
      <c r="A71" t="inlineStr">
        <is>
          <t>laser_targeting_laser</t>
        </is>
      </c>
      <c r="B71" t="inlineStr">
        <is>
          <t>laser_targeting_laser</t>
        </is>
      </c>
      <c r="C71" t="n">
        <v>1</v>
      </c>
      <c r="G71" t="inlineStr"/>
      <c r="H71" t="n">
        <v>2</v>
      </c>
      <c r="I71" t="inlineStr">
        <is>
          <t>p26_daedalus_dae_laser;p26_daedalus_direct_dae_laser</t>
        </is>
      </c>
      <c r="J71" t="inlineStr">
        <is>
          <t>Assets/MachineBrigade/Resources/Data/balance.json: weaponFamilyTable[78]</t>
        </is>
      </c>
      <c r="K71" t="inlineStr">
        <is>
          <t>{"id":"laser_targeting_laser","name":"laser_targeting_laser","tier":1}</t>
        </is>
      </c>
    </row>
    <row r="72">
      <c r="A72" t="inlineStr">
        <is>
          <t>laser_tower</t>
        </is>
      </c>
      <c r="B72" t="inlineStr">
        <is>
          <t>laser_tower</t>
        </is>
      </c>
      <c r="C72" t="n">
        <v>1</v>
      </c>
      <c r="G72" t="inlineStr"/>
      <c r="H72" t="n">
        <v>3</v>
      </c>
      <c r="I72" t="inlineStr">
        <is>
          <t>p26_icarus_direct_ic_laser;p26_icarus_ic_laser;pt14_hp_vlaser</t>
        </is>
      </c>
      <c r="J72" t="inlineStr">
        <is>
          <t>Assets/MachineBrigade/Resources/Data/balance.json: weaponFamilyTable[79]</t>
        </is>
      </c>
      <c r="K72" t="inlineStr">
        <is>
          <t>{"id":"laser_tower","name":"laser_tower","tier":1}</t>
        </is>
      </c>
    </row>
    <row r="73">
      <c r="A73" t="inlineStr">
        <is>
          <t>melee_bucket_wheel</t>
        </is>
      </c>
      <c r="B73" t="inlineStr">
        <is>
          <t>melee_bucket_wheel</t>
        </is>
      </c>
      <c r="C73" t="n">
        <v>0</v>
      </c>
      <c r="G73" t="inlineStr"/>
      <c r="H73" t="n">
        <v>0</v>
      </c>
      <c r="I73" t="inlineStr"/>
      <c r="J73" t="inlineStr">
        <is>
          <t>Assets/MachineBrigade/Resources/Data/balance.json: weaponFamilyTable[80]</t>
        </is>
      </c>
      <c r="K73" t="inlineStr">
        <is>
          <t>{"id":"melee_bucket_wheel","name":"melee_bucket_wheel","tier":0}</t>
        </is>
      </c>
    </row>
    <row r="74">
      <c r="A74" t="inlineStr">
        <is>
          <t>melee_dozer_blade</t>
        </is>
      </c>
      <c r="B74" t="inlineStr">
        <is>
          <t>melee_dozer_blade</t>
        </is>
      </c>
      <c r="C74" t="n">
        <v>0</v>
      </c>
      <c r="G74" t="inlineStr"/>
      <c r="H74" t="n">
        <v>1</v>
      </c>
      <c r="I74" t="inlineStr">
        <is>
          <t>dozer_blade</t>
        </is>
      </c>
      <c r="J74" t="inlineStr">
        <is>
          <t>Assets/MachineBrigade/Resources/Data/balance.json: weaponFamilyTable[81]</t>
        </is>
      </c>
      <c r="K74" t="inlineStr">
        <is>
          <t>{"id":"melee_dozer_blade","name":"melee_dozer_blade","tier":0}</t>
        </is>
      </c>
    </row>
    <row r="75">
      <c r="A75" t="inlineStr">
        <is>
          <t>melee_drill_head</t>
        </is>
      </c>
      <c r="B75" t="inlineStr">
        <is>
          <t>melee_drill_head</t>
        </is>
      </c>
      <c r="C75" t="n">
        <v>0</v>
      </c>
      <c r="G75" t="inlineStr"/>
      <c r="H75" t="n">
        <v>1</v>
      </c>
      <c r="I75" t="inlineStr">
        <is>
          <t>borer_drill</t>
        </is>
      </c>
      <c r="J75" t="inlineStr">
        <is>
          <t>Assets/MachineBrigade/Resources/Data/balance.json: weaponFamilyTable[82]</t>
        </is>
      </c>
      <c r="K75" t="inlineStr">
        <is>
          <t>{"id":"melee_drill_head","name":"melee_drill_head","tier":0}</t>
        </is>
      </c>
    </row>
    <row r="76">
      <c r="A76" t="inlineStr">
        <is>
          <t>msl_agm_88_harm</t>
        </is>
      </c>
      <c r="B76" t="inlineStr">
        <is>
          <t>msl_agm_88_harm</t>
        </is>
      </c>
      <c r="C76" t="n">
        <v>3</v>
      </c>
      <c r="G76" t="inlineStr"/>
      <c r="H76" t="n">
        <v>0</v>
      </c>
      <c r="I76" t="inlineStr"/>
      <c r="J76" t="inlineStr">
        <is>
          <t>Assets/MachineBrigade/Resources/Data/balance.json: weaponFamilyTable[83]</t>
        </is>
      </c>
      <c r="K76" t="inlineStr">
        <is>
          <t>{"id":"msl_agm_88_harm","name":"msl_agm_88_harm","tier":3}</t>
        </is>
      </c>
    </row>
    <row r="77">
      <c r="A77" t="inlineStr">
        <is>
          <t>msl_nsm_p_800_oniks</t>
        </is>
      </c>
      <c r="B77" t="inlineStr">
        <is>
          <t>msl_nsm_p_800_oniks</t>
        </is>
      </c>
      <c r="C77" t="n">
        <v>4</v>
      </c>
      <c r="G77" t="inlineStr"/>
      <c r="H77" t="n">
        <v>3</v>
      </c>
      <c r="I77" t="inlineStr">
        <is>
          <t>anti_ship_missile;pt14_hp_nsm;scylla_kh35</t>
        </is>
      </c>
      <c r="J77" t="inlineStr">
        <is>
          <t>Assets/MachineBrigade/Resources/Data/balance.json: weaponFamilyTable[84]</t>
        </is>
      </c>
      <c r="K77" t="inlineStr">
        <is>
          <t>{"id":"msl_nsm_p_800_oniks","name":"msl_nsm_p_800_oniks","tier":4}</t>
        </is>
      </c>
    </row>
    <row r="78">
      <c r="A78" t="inlineStr">
        <is>
          <t>rail_coilgun</t>
        </is>
      </c>
      <c r="B78" t="inlineStr">
        <is>
          <t>rail_coilgun</t>
        </is>
      </c>
      <c r="C78" t="n">
        <v>3</v>
      </c>
      <c r="G78" t="inlineStr"/>
      <c r="H78" t="n">
        <v>2</v>
      </c>
      <c r="I78" t="inlineStr">
        <is>
          <t>coilgun;p26_icarus_ic_coil</t>
        </is>
      </c>
      <c r="J78" t="inlineStr">
        <is>
          <t>Assets/MachineBrigade/Resources/Data/balance.json: weaponFamilyTable[86]</t>
        </is>
      </c>
      <c r="K78" t="inlineStr">
        <is>
          <t>{"id":"rail_coilgun","name":"rail_coilgun","tier":3}</t>
        </is>
      </c>
    </row>
    <row r="79">
      <c r="A79" t="inlineStr">
        <is>
          <t>rail_heavy_coilgun</t>
        </is>
      </c>
      <c r="B79" t="inlineStr">
        <is>
          <t>heavy coilgun (64 MJ)</t>
        </is>
      </c>
      <c r="C79" t="n">
        <v>3</v>
      </c>
      <c r="G79" t="inlineStr"/>
      <c r="H79" t="n">
        <v>1</v>
      </c>
      <c r="I79" t="inlineStr">
        <is>
          <t>p26_icarus_main_ic_coil</t>
        </is>
      </c>
      <c r="J79" t="inlineStr">
        <is>
          <t>Assets/MachineBrigade/Resources/Data/balance.json: weaponFamilyTable[85]</t>
        </is>
      </c>
      <c r="K79" t="inlineStr">
        <is>
          <t>{"id":"rail_heavy_coilgun","name":"heavy coilgun (64 MJ)","tier":3}</t>
        </is>
      </c>
    </row>
    <row r="80">
      <c r="A80" t="inlineStr">
        <is>
          <t>rail_railgun</t>
        </is>
      </c>
      <c r="B80" t="inlineStr">
        <is>
          <t>rail_railgun</t>
        </is>
      </c>
      <c r="C80" t="n">
        <v>3</v>
      </c>
      <c r="G80" t="inlineStr"/>
      <c r="H80" t="n">
        <v>2</v>
      </c>
      <c r="I80" t="inlineStr">
        <is>
          <t>boss_railgun;railgun</t>
        </is>
      </c>
      <c r="J80" t="inlineStr">
        <is>
          <t>Assets/MachineBrigade/Resources/Data/balance.json: weaponFamilyTable[87]</t>
        </is>
      </c>
      <c r="K80" t="inlineStr">
        <is>
          <t>{"id":"rail_railgun","name":"rail_railgun","tier":3}</t>
        </is>
      </c>
    </row>
    <row r="81">
      <c r="A81" t="inlineStr">
        <is>
          <t>rcl_73</t>
        </is>
      </c>
      <c r="B81" t="inlineStr">
        <is>
          <t>73 mm recoilless</t>
        </is>
      </c>
      <c r="C81" t="n">
        <v>2</v>
      </c>
      <c r="G81" t="inlineStr"/>
      <c r="H81" t="n">
        <v>1</v>
      </c>
      <c r="I81" t="inlineStr">
        <is>
          <t>spg9_73mm</t>
        </is>
      </c>
      <c r="J81" t="inlineStr">
        <is>
          <t>Assets/MachineBrigade/Resources/Data/balance.json: weaponFamilyTable[11]</t>
        </is>
      </c>
      <c r="K81" t="inlineStr">
        <is>
          <t>{"id":"rcl_73","name":"73 mm recoilless","tier":2}</t>
        </is>
      </c>
    </row>
    <row r="82">
      <c r="A82" t="inlineStr">
        <is>
          <t>rcl_106</t>
        </is>
      </c>
      <c r="B82" t="inlineStr">
        <is>
          <t>106 mm recoilless</t>
        </is>
      </c>
      <c r="C82" t="n">
        <v>2</v>
      </c>
      <c r="G82" t="inlineStr"/>
      <c r="H82" t="n">
        <v>1</v>
      </c>
      <c r="I82" t="inlineStr">
        <is>
          <t>recoilless_106</t>
        </is>
      </c>
      <c r="J82" t="inlineStr">
        <is>
          <t>Assets/MachineBrigade/Resources/Data/balance.json: weaponFamilyTable[15]</t>
        </is>
      </c>
      <c r="K82" t="inlineStr">
        <is>
          <t>{"id":"rcl_106","name":"106 mm recoilless","tier":2}</t>
        </is>
      </c>
    </row>
    <row r="83">
      <c r="A83" t="inlineStr">
        <is>
          <t>rkt_70_80</t>
        </is>
      </c>
      <c r="B83" t="inlineStr">
        <is>
          <t>70-80 mm rockets</t>
        </is>
      </c>
      <c r="C83" t="n">
        <v>2</v>
      </c>
      <c r="G83" t="inlineStr">
        <is>
          <t>guided</t>
        </is>
      </c>
      <c r="H83" t="n">
        <v>8</v>
      </c>
      <c r="I83" t="inlineStr">
        <is>
          <t>apkws_rocket;boat_rockets;gunship_rockets;heli_rockets;hind_rockets;jet_rockets;s8_pods;scout_rockets</t>
        </is>
      </c>
      <c r="J83" t="inlineStr">
        <is>
          <t>Assets/MachineBrigade/Resources/Data/balance.json: weaponFamilyTable[27]</t>
        </is>
      </c>
      <c r="K83" t="inlineStr">
        <is>
          <t>{"id":"rkt_70_80","name":"70-80 mm rockets","tier":2,"variants":{"guided":"a laser-guided rocket (APKWS)"}}</t>
        </is>
      </c>
    </row>
    <row r="84">
      <c r="A84" t="inlineStr">
        <is>
          <t>rkt_107</t>
        </is>
      </c>
      <c r="B84" t="inlineStr">
        <is>
          <t>107 mm rockets</t>
        </is>
      </c>
      <c r="C84" t="n">
        <v>2</v>
      </c>
      <c r="G84" t="inlineStr"/>
      <c r="H84" t="n">
        <v>1</v>
      </c>
      <c r="I84" t="inlineStr">
        <is>
          <t>technical_rockets</t>
        </is>
      </c>
      <c r="J84" t="inlineStr">
        <is>
          <t>Assets/MachineBrigade/Resources/Data/balance.json: weaponFamilyTable[28]</t>
        </is>
      </c>
      <c r="K84" t="inlineStr">
        <is>
          <t>{"id":"rkt_107","name":"107 mm rockets","tier":2}</t>
        </is>
      </c>
    </row>
    <row r="85">
      <c r="A85" t="inlineStr">
        <is>
          <t>rkt_140</t>
        </is>
      </c>
      <c r="B85" t="inlineStr">
        <is>
          <t>140 mm rockets</t>
        </is>
      </c>
      <c r="C85" t="n">
        <v>3</v>
      </c>
      <c r="G85" t="inlineStr"/>
      <c r="H85" t="n">
        <v>1</v>
      </c>
      <c r="I85" t="inlineStr">
        <is>
          <t>hover_rockets</t>
        </is>
      </c>
      <c r="J85" t="inlineStr">
        <is>
          <t>Assets/MachineBrigade/Resources/Data/balance.json: weaponFamilyTable[30]</t>
        </is>
      </c>
      <c r="K85" t="inlineStr">
        <is>
          <t>{"id":"rkt_140","name":"140 mm rockets","tier":3}</t>
        </is>
      </c>
    </row>
    <row r="86">
      <c r="A86" t="inlineStr">
        <is>
          <t>rkt_gmlrs_227</t>
        </is>
      </c>
      <c r="B86" t="inlineStr">
        <is>
          <t>GMLRS 227 mm</t>
        </is>
      </c>
      <c r="C86" t="n">
        <v>4</v>
      </c>
      <c r="G86" t="inlineStr">
        <is>
          <t>cluster</t>
        </is>
      </c>
      <c r="H86" t="n">
        <v>3</v>
      </c>
      <c r="I86" t="inlineStr">
        <is>
          <t>mlrs_elite;mlrs_rockets;turret_gmlrs</t>
        </is>
      </c>
      <c r="J86" t="inlineStr">
        <is>
          <t>Assets/MachineBrigade/Resources/Data/balance.json: weaponFamilyTable[32]</t>
        </is>
      </c>
      <c r="K86" t="inlineStr">
        <is>
          <t>{"id":"rkt_gmlrs_227","name":"GMLRS 227 mm","tier":4,"variants":{"cluster":"the M30's cluster warhead"}}</t>
        </is>
      </c>
    </row>
    <row r="87">
      <c r="A87" t="inlineStr">
        <is>
          <t>rkt_grad_122</t>
        </is>
      </c>
      <c r="B87" t="inlineStr">
        <is>
          <t>Grad 122 mm rockets</t>
        </is>
      </c>
      <c r="C87" t="n">
        <v>3</v>
      </c>
      <c r="D87" t="n">
        <v>200</v>
      </c>
      <c r="E87" t="n">
        <v>4.5</v>
      </c>
      <c r="F87" t="n">
        <v>9</v>
      </c>
      <c r="G87" t="inlineStr">
        <is>
          <t>cluster;thermobaric</t>
        </is>
      </c>
      <c r="H87" t="n">
        <v>11</v>
      </c>
      <c r="I87" t="inlineStr">
        <is>
          <t>boss_rockets;grad_cluster;grad_rockets;p26_behemoth_be_rockets;p26_behemoth_sec_be_rockets;p26_nemesis_sec_boss_rockets;pt14_ixion_grad;pt14_train_grad;turret_rockets;turret_rockets_cluster;turret_thermobaric</t>
        </is>
      </c>
      <c r="J87" t="inlineStr">
        <is>
          <t>Assets/MachineBrigade/Resources/Data/balance.json: weaponFamilyTable[29]</t>
        </is>
      </c>
      <c r="K87" t="inlineStr">
        <is>
          <t>{"id":"rkt_grad_122","name":"Grad 122 mm rockets","tier":3,"boss":{"damage":200,"core":4.5,"edge":9},"variants":{"thermobaric":"a thermobaric warhead","cluster":"a cluster warhead (bomblets)"}}</t>
        </is>
      </c>
    </row>
    <row r="88">
      <c r="A88" t="inlineStr">
        <is>
          <t>rkt_smerch_300</t>
        </is>
      </c>
      <c r="B88" t="inlineStr">
        <is>
          <t>Smerch 300 mm rockets</t>
        </is>
      </c>
      <c r="C88" t="n">
        <v>4</v>
      </c>
      <c r="D88" t="n">
        <v>450</v>
      </c>
      <c r="E88" t="n">
        <v>8</v>
      </c>
      <c r="F88" t="n">
        <v>16</v>
      </c>
      <c r="G88" t="inlineStr"/>
      <c r="H88" t="n">
        <v>3</v>
      </c>
      <c r="I88" t="inlineStr">
        <is>
          <t>p26_jotunn_jo_rockets;p26_jotunn_sec_jo_rockets;rockets_300mm</t>
        </is>
      </c>
      <c r="J88" t="inlineStr">
        <is>
          <t>Assets/MachineBrigade/Resources/Data/balance.json: weaponFamilyTable[33]</t>
        </is>
      </c>
      <c r="K88" t="inlineStr">
        <is>
          <t>{"id":"rkt_smerch_300","name":"Smerch 300 mm rockets","tier":4,"boss":{"damage":450,"core":8,"edge":16}}</t>
        </is>
      </c>
    </row>
    <row r="89">
      <c r="A89" t="inlineStr">
        <is>
          <t>rkt_tos_220</t>
        </is>
      </c>
      <c r="B89" t="inlineStr">
        <is>
          <t>TOS-1A 220 mm thermobaric</t>
        </is>
      </c>
      <c r="C89" t="n">
        <v>4</v>
      </c>
      <c r="G89" t="inlineStr"/>
      <c r="H89" t="n">
        <v>1</v>
      </c>
      <c r="I89" t="inlineStr">
        <is>
          <t>thermobaric_rockets</t>
        </is>
      </c>
      <c r="J89" t="inlineStr">
        <is>
          <t>Assets/MachineBrigade/Resources/Data/balance.json: weaponFamilyTable[31]</t>
        </is>
      </c>
      <c r="K89" t="inlineStr">
        <is>
          <t>{"id":"rkt_tos_220","name":"TOS-1A 220 mm thermobaric","tier":4}</t>
        </is>
      </c>
    </row>
    <row r="90">
      <c r="A90" t="inlineStr">
        <is>
          <t>sam_9k38_igla_v</t>
        </is>
      </c>
      <c r="B90" t="inlineStr">
        <is>
          <t>sam_9k38_igla_v</t>
        </is>
      </c>
      <c r="C90" t="n">
        <v>2</v>
      </c>
      <c r="G90" t="inlineStr"/>
      <c r="H90" t="n">
        <v>1</v>
      </c>
      <c r="I90" t="inlineStr">
        <is>
          <t>igla_v</t>
        </is>
      </c>
      <c r="J90" t="inlineStr">
        <is>
          <t>Assets/MachineBrigade/Resources/Data/balance.json: weaponFamilyTable[89]</t>
        </is>
      </c>
      <c r="K90" t="inlineStr">
        <is>
          <t>{"id":"sam_9k38_igla_v","name":"sam_9k38_igla_v","tier":2}</t>
        </is>
      </c>
    </row>
    <row r="91">
      <c r="A91" t="inlineStr">
        <is>
          <t>sam_9m317_buk</t>
        </is>
      </c>
      <c r="B91" t="inlineStr">
        <is>
          <t>sam_9m317_buk</t>
        </is>
      </c>
      <c r="C91" t="n">
        <v>2</v>
      </c>
      <c r="G91" t="inlineStr"/>
      <c r="H91" t="n">
        <v>3</v>
      </c>
      <c r="I91" t="inlineStr">
        <is>
          <t>buk_launcher;sam_long;sam_post</t>
        </is>
      </c>
      <c r="J91" t="inlineStr">
        <is>
          <t>Assets/MachineBrigade/Resources/Data/balance.json: weaponFamilyTable[90]</t>
        </is>
      </c>
      <c r="K91" t="inlineStr">
        <is>
          <t>{"id":"sam_9m317_buk","name":"sam_9m317_buk","tier":2}</t>
        </is>
      </c>
    </row>
    <row r="92">
      <c r="A92" t="inlineStr">
        <is>
          <t>sam_57e6</t>
        </is>
      </c>
      <c r="B92" t="inlineStr">
        <is>
          <t>sam_57e6</t>
        </is>
      </c>
      <c r="C92" t="n">
        <v>2</v>
      </c>
      <c r="G92" t="inlineStr"/>
      <c r="H92" t="n">
        <v>1</v>
      </c>
      <c r="I92" t="inlineStr">
        <is>
          <t>missile_57e6</t>
        </is>
      </c>
      <c r="J92" t="inlineStr">
        <is>
          <t>Assets/MachineBrigade/Resources/Data/balance.json: weaponFamilyTable[88]</t>
        </is>
      </c>
      <c r="K92" t="inlineStr">
        <is>
          <t>{"id":"sam_57e6","name":"sam_57e6","tier":2}</t>
        </is>
      </c>
    </row>
    <row r="93">
      <c r="A93" t="inlineStr">
        <is>
          <t>sam_aim_9_sidewinder</t>
        </is>
      </c>
      <c r="B93" t="inlineStr">
        <is>
          <t>sam_aim_9_sidewinder</t>
        </is>
      </c>
      <c r="C93" t="n">
        <v>2</v>
      </c>
      <c r="G93" t="inlineStr"/>
      <c r="H93" t="n">
        <v>0</v>
      </c>
      <c r="I93" t="inlineStr"/>
      <c r="J93" t="inlineStr">
        <is>
          <t>Assets/MachineBrigade/Resources/Data/balance.json: weaponFamilyTable[92]</t>
        </is>
      </c>
      <c r="K93" t="inlineStr">
        <is>
          <t>{"id":"sam_aim_9_sidewinder","name":"sam_aim_9_sidewinder","tier":2}</t>
        </is>
      </c>
    </row>
    <row r="94">
      <c r="A94" t="inlineStr">
        <is>
          <t>sam_aim_9x_sidewinder</t>
        </is>
      </c>
      <c r="B94" t="inlineStr">
        <is>
          <t>sam_aim_9x_sidewinder</t>
        </is>
      </c>
      <c r="C94" t="n">
        <v>2</v>
      </c>
      <c r="G94" t="inlineStr"/>
      <c r="H94" t="n">
        <v>1</v>
      </c>
      <c r="I94" t="inlineStr">
        <is>
          <t>wvr_aam</t>
        </is>
      </c>
      <c r="J94" t="inlineStr">
        <is>
          <t>Assets/MachineBrigade/Resources/Data/balance.json: weaponFamilyTable[93]</t>
        </is>
      </c>
      <c r="K94" t="inlineStr">
        <is>
          <t>{"id":"sam_aim_9x_sidewinder","name":"sam_aim_9x_sidewinder","tier":2}</t>
        </is>
      </c>
    </row>
    <row r="95">
      <c r="A95" t="inlineStr">
        <is>
          <t>sam_aim_120_amraam</t>
        </is>
      </c>
      <c r="B95" t="inlineStr">
        <is>
          <t>sam_aim_120_amraam</t>
        </is>
      </c>
      <c r="C95" t="n">
        <v>2</v>
      </c>
      <c r="G95" t="inlineStr"/>
      <c r="H95" t="n">
        <v>1</v>
      </c>
      <c r="I95" t="inlineStr">
        <is>
          <t>air_to_air</t>
        </is>
      </c>
      <c r="J95" t="inlineStr">
        <is>
          <t>Assets/MachineBrigade/Resources/Data/balance.json: weaponFamilyTable[91]</t>
        </is>
      </c>
      <c r="K95" t="inlineStr">
        <is>
          <t>{"id":"sam_aim_120_amraam","name":"sam_aim_120_amraam","tier":2}</t>
        </is>
      </c>
    </row>
    <row r="96">
      <c r="A96" t="inlineStr">
        <is>
          <t>sam_fim_92_stinger</t>
        </is>
      </c>
      <c r="B96" t="inlineStr">
        <is>
          <t>sam_fim_92_stinger</t>
        </is>
      </c>
      <c r="C96" t="n">
        <v>2</v>
      </c>
      <c r="G96" t="inlineStr"/>
      <c r="H96" t="n">
        <v>2</v>
      </c>
      <c r="I96" t="inlineStr">
        <is>
          <t>stinger_atas;stinger_post</t>
        </is>
      </c>
      <c r="J96" t="inlineStr">
        <is>
          <t>Assets/MachineBrigade/Resources/Data/balance.json: weaponFamilyTable[94]</t>
        </is>
      </c>
      <c r="K96" t="inlineStr">
        <is>
          <t>{"id":"sam_fim_92_stinger","name":"sam_fim_92_stinger","tier":2}</t>
        </is>
      </c>
    </row>
    <row r="97">
      <c r="A97" t="inlineStr">
        <is>
          <t>sam_mim_104_patriot_pac_2</t>
        </is>
      </c>
      <c r="B97" t="inlineStr">
        <is>
          <t>sam_mim_104_patriot_pac_2</t>
        </is>
      </c>
      <c r="C97" t="n">
        <v>2</v>
      </c>
      <c r="G97" t="inlineStr"/>
      <c r="H97" t="n">
        <v>3</v>
      </c>
      <c r="I97" t="inlineStr">
        <is>
          <t>patriot;sam_battery;sam_battery_lrr</t>
        </is>
      </c>
      <c r="J97" t="inlineStr">
        <is>
          <t>Assets/MachineBrigade/Resources/Data/balance.json: weaponFamilyTable[95]</t>
        </is>
      </c>
      <c r="K97" t="inlineStr">
        <is>
          <t>{"id":"sam_mim_104_patriot_pac_2","name":"sam_mim_104_patriot_pac_2","tier":2}</t>
        </is>
      </c>
    </row>
    <row r="98">
      <c r="A98" t="inlineStr">
        <is>
          <t>sam_patriot_pac_3_mse</t>
        </is>
      </c>
      <c r="B98" t="inlineStr">
        <is>
          <t>sam_patriot_pac_3_mse</t>
        </is>
      </c>
      <c r="C98" t="n">
        <v>2</v>
      </c>
      <c r="G98" t="inlineStr"/>
      <c r="H98" t="n">
        <v>1</v>
      </c>
      <c r="I98" t="inlineStr">
        <is>
          <t>sam_pac3</t>
        </is>
      </c>
      <c r="J98" t="inlineStr">
        <is>
          <t>Assets/MachineBrigade/Resources/Data/balance.json: weaponFamilyTable[96]</t>
        </is>
      </c>
      <c r="K98" t="inlineStr">
        <is>
          <t>{"id":"sam_patriot_pac_3_mse","name":"sam_patriot_pac_3_mse","tier":2}</t>
        </is>
      </c>
    </row>
    <row r="99">
      <c r="A99" t="inlineStr">
        <is>
          <t>sam_r_37m</t>
        </is>
      </c>
      <c r="B99" t="inlineStr">
        <is>
          <t>sam_r_37m</t>
        </is>
      </c>
      <c r="C99" t="n">
        <v>2</v>
      </c>
      <c r="G99" t="inlineStr"/>
      <c r="H99" t="n">
        <v>0</v>
      </c>
      <c r="I99" t="inlineStr"/>
      <c r="J99" t="inlineStr">
        <is>
          <t>Assets/MachineBrigade/Resources/Data/balance.json: weaponFamilyTable[97]</t>
        </is>
      </c>
      <c r="K99" t="inlineStr">
        <is>
          <t>{"id":"sam_r_37m","name":"sam_r_37m","tier":2}</t>
        </is>
      </c>
    </row>
    <row r="100">
      <c r="A100" t="inlineStr">
        <is>
          <t>sam_r_60</t>
        </is>
      </c>
      <c r="B100" t="inlineStr">
        <is>
          <t>sam_r_60</t>
        </is>
      </c>
      <c r="C100" t="n">
        <v>2</v>
      </c>
      <c r="G100" t="inlineStr"/>
      <c r="H100" t="n">
        <v>1</v>
      </c>
      <c r="I100" t="inlineStr">
        <is>
          <t>r60</t>
        </is>
      </c>
      <c r="J100" t="inlineStr">
        <is>
          <t>Assets/MachineBrigade/Resources/Data/balance.json: weaponFamilyTable[98]</t>
        </is>
      </c>
      <c r="K100" t="inlineStr">
        <is>
          <t>{"id":"sam_r_60","name":"sam_r_60","tier":2}</t>
        </is>
      </c>
    </row>
    <row r="101">
      <c r="A101" t="inlineStr">
        <is>
          <t>sam_s_400_48n6</t>
        </is>
      </c>
      <c r="B101" t="inlineStr">
        <is>
          <t>sam_s_400_48n6</t>
        </is>
      </c>
      <c r="C101" t="n">
        <v>2</v>
      </c>
      <c r="G101" t="inlineStr"/>
      <c r="H101" t="n">
        <v>1</v>
      </c>
      <c r="I101" t="inlineStr">
        <is>
          <t>sam_48n6</t>
        </is>
      </c>
      <c r="J101" t="inlineStr">
        <is>
          <t>Assets/MachineBrigade/Resources/Data/balance.json: weaponFamilyTable[99]</t>
        </is>
      </c>
      <c r="K101" t="inlineStr">
        <is>
          <t>{"id":"sam_s_400_48n6","name":"sam_s_400_48n6","tier":2}</t>
        </is>
      </c>
    </row>
    <row r="102">
      <c r="A102" t="inlineStr">
        <is>
          <t>sam_starstreak_stinger_shorad</t>
        </is>
      </c>
      <c r="B102" t="inlineStr">
        <is>
          <t>sam_starstreak_stinger_shorad</t>
        </is>
      </c>
      <c r="C102" t="n">
        <v>2</v>
      </c>
      <c r="G102" t="inlineStr"/>
      <c r="H102" t="n">
        <v>1</v>
      </c>
      <c r="I102" t="inlineStr">
        <is>
          <t>sam</t>
        </is>
      </c>
      <c r="J102" t="inlineStr">
        <is>
          <t>Assets/MachineBrigade/Resources/Data/balance.json: weaponFamilyTable[100]</t>
        </is>
      </c>
      <c r="K102" t="inlineStr">
        <is>
          <t>{"id":"sam_starstreak_stinger_shorad","name":"sam_starstreak_stinger_shorad","tier":2}</t>
        </is>
      </c>
    </row>
    <row r="103">
      <c r="A103" t="inlineStr">
        <is>
          <t>sam_tamir_interceptor</t>
        </is>
      </c>
      <c r="B103" t="inlineStr">
        <is>
          <t>sam_tamir_interceptor</t>
        </is>
      </c>
      <c r="C103" t="n">
        <v>2</v>
      </c>
      <c r="G103" t="inlineStr"/>
      <c r="H103" t="n">
        <v>1</v>
      </c>
      <c r="I103" t="inlineStr">
        <is>
          <t>tamir</t>
        </is>
      </c>
      <c r="J103" t="inlineStr">
        <is>
          <t>Assets/MachineBrigade/Resources/Data/balance.json: weaponFamilyTable[101]</t>
        </is>
      </c>
      <c r="K103" t="inlineStr">
        <is>
          <t>{"id":"sam_tamir_interceptor","name":"sam_tamir_interceptor","tier":2}</t>
        </is>
      </c>
    </row>
    <row r="104">
      <c r="A104" t="inlineStr">
        <is>
          <t>special_anti_drone_net_corridor</t>
        </is>
      </c>
      <c r="B104" t="inlineStr">
        <is>
          <t>special_anti_drone_net_corridor</t>
        </is>
      </c>
      <c r="C104" t="n">
        <v>0</v>
      </c>
      <c r="G104" t="inlineStr"/>
      <c r="H104" t="n">
        <v>1</v>
      </c>
      <c r="I104" t="inlineStr">
        <is>
          <t>net_zap</t>
        </is>
      </c>
      <c r="J104" t="inlineStr">
        <is>
          <t>Assets/MachineBrigade/Resources/Data/balance.json: weaponFamilyTable[102]</t>
        </is>
      </c>
      <c r="K104" t="inlineStr">
        <is>
          <t>{"id":"special_anti_drone_net_corridor","name":"special_anti_drone_net_corridor","tier":0}</t>
        </is>
      </c>
    </row>
    <row r="105">
      <c r="A105" t="inlineStr">
        <is>
          <t>special_illumination_flare</t>
        </is>
      </c>
      <c r="B105" t="inlineStr">
        <is>
          <t>special_illumination_flare</t>
        </is>
      </c>
      <c r="C105" t="n">
        <v>0</v>
      </c>
      <c r="G105" t="inlineStr"/>
      <c r="H105" t="n">
        <v>1</v>
      </c>
      <c r="I105" t="inlineStr">
        <is>
          <t>illum_flare</t>
        </is>
      </c>
      <c r="J105" t="inlineStr">
        <is>
          <t>Assets/MachineBrigade/Resources/Data/balance.json: weaponFamilyTable[103]</t>
        </is>
      </c>
      <c r="K105" t="inlineStr">
        <is>
          <t>{"id":"special_illumination_flare","name":"special_illumination_flare","tier":0}</t>
        </is>
      </c>
    </row>
    <row r="106">
      <c r="A106" t="inlineStr">
        <is>
          <t>wpn_none</t>
        </is>
      </c>
      <c r="B106" t="inlineStr">
        <is>
          <t>wpn_none</t>
        </is>
      </c>
      <c r="C106" t="n">
        <v>0</v>
      </c>
      <c r="G106" t="inlineStr"/>
      <c r="H106" t="n">
        <v>1</v>
      </c>
      <c r="I106" t="inlineStr">
        <is>
          <t>none</t>
        </is>
      </c>
      <c r="J106" t="inlineStr">
        <is>
          <t>Assets/MachineBrigade/Resources/Data/balance.json: weaponFamilyTable[104]</t>
        </is>
      </c>
      <c r="K106" t="inlineStr">
        <is>
          <t>{"id":"wpn_none","name":"wpn_none","tier":0}</t>
        </is>
      </c>
    </row>
  </sheetData>
  <autoFilter ref="A1:K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8" customWidth="1" min="3" max="3"/>
    <col width="12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ho_vu_khi_id</t>
        </is>
      </c>
      <c r="C1" s="1" t="inlineStr">
        <is>
          <t>thu_tu</t>
        </is>
      </c>
      <c r="D1" s="1" t="inlineStr">
        <is>
          <t>bien_the</t>
        </is>
      </c>
      <c r="E1" s="1" t="inlineStr">
        <is>
          <t>ly_do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cal_25/flak</t>
        </is>
      </c>
      <c r="B2" t="inlineStr">
        <is>
          <t>cal_25</t>
        </is>
      </c>
      <c r="C2" t="n">
        <v>0</v>
      </c>
      <c r="D2" t="inlineStr">
        <is>
          <t>flak</t>
        </is>
      </c>
      <c r="E2" t="inlineStr">
        <is>
          <t>air-burst rounds against aircraft, the family's others are plain belted rounds</t>
        </is>
      </c>
      <c r="F2" t="inlineStr">
        <is>
          <t>Assets/MachineBrigade/Resources/Data/balance.json: weaponFamilyTable[5].variants.flak</t>
        </is>
      </c>
      <c r="G2" t="inlineStr">
        <is>
          <t>{"flak":"air-burst rounds against aircraft, the family's others are plain belted rounds"}</t>
        </is>
      </c>
    </row>
    <row r="3">
      <c r="A3" t="inlineStr">
        <is>
          <t>cal_30/ciws</t>
        </is>
      </c>
      <c r="B3" t="inlineStr">
        <is>
          <t>cal_30</t>
        </is>
      </c>
      <c r="C3" t="n">
        <v>0</v>
      </c>
      <c r="D3" t="inlineStr">
        <is>
          <t>ciws</t>
        </is>
      </c>
      <c r="E3" t="inlineStr">
        <is>
          <t>the AK-630 close-in weapon of the ships and hovercraft: a six-barrel 5,000 rpm belt of light rounds (12 a round at 300 m/s) against the 22 of the 2A42 / M230 class</t>
        </is>
      </c>
      <c r="F3" t="inlineStr">
        <is>
          <t>Assets/MachineBrigade/Resources/Data/balance.json: weaponFamilyTable[6].variants.ciws</t>
        </is>
      </c>
      <c r="G3" t="inlineStr">
        <is>
          <t>{"ciws":"the AK-630 close-in weapon of the ships and hovercraft: a six-barrel 5,000 rpm belt of light rounds (12 a round at 300 m/s) against the 22 of the 2A42 / M230 class"}</t>
        </is>
      </c>
    </row>
    <row r="4">
      <c r="A4" t="inlineStr">
        <is>
          <t>cal_30/flak</t>
        </is>
      </c>
      <c r="B4" t="inlineStr">
        <is>
          <t>cal_30</t>
        </is>
      </c>
      <c r="C4" t="n">
        <v>1</v>
      </c>
      <c r="D4" t="inlineStr">
        <is>
          <t>flak</t>
        </is>
      </c>
      <c r="E4" t="inlineStr">
        <is>
          <t>the 2A38 / AK-630 air-burst (fragmentation, a 2.5 m burst) against aircraft; the family's round is a plain AP / HE belt</t>
        </is>
      </c>
      <c r="F4" t="inlineStr">
        <is>
          <t>Assets/MachineBrigade/Resources/Data/balance.json: weaponFamilyTable[6].variants.flak</t>
        </is>
      </c>
      <c r="G4" t="inlineStr">
        <is>
          <t>{"flak":"the 2A38 / AK-630 air-burst (fragmentation, a 2.5 m burst) against aircraft; the family's round is a plain AP / HE belt"}</t>
        </is>
      </c>
    </row>
    <row r="5">
      <c r="A5" t="inlineStr">
        <is>
          <t>cal_35/ap</t>
        </is>
      </c>
      <c r="B5" t="inlineStr">
        <is>
          <t>cal_35</t>
        </is>
      </c>
      <c r="C5" t="n">
        <v>0</v>
      </c>
      <c r="D5" t="inlineStr">
        <is>
          <t>ap</t>
        </is>
      </c>
      <c r="E5" t="inlineStr">
        <is>
          <t>AP rounds (no burst) loaded against ground targets instead of the air-burst</t>
        </is>
      </c>
      <c r="F5" t="inlineStr">
        <is>
          <t>Assets/MachineBrigade/Resources/Data/balance.json: weaponFamilyTable[7].variants.ap</t>
        </is>
      </c>
      <c r="G5" t="inlineStr">
        <is>
          <t>{"ap":"AP rounds (no burst) loaded against ground targets instead of the air-burst"}</t>
        </is>
      </c>
    </row>
    <row r="6">
      <c r="A6" t="inlineStr">
        <is>
          <t>cal_40/flak</t>
        </is>
      </c>
      <c r="B6" t="inlineStr">
        <is>
          <t>cal_40</t>
        </is>
      </c>
      <c r="C6" t="n">
        <v>0</v>
      </c>
      <c r="D6" t="inlineStr">
        <is>
          <t>flak</t>
        </is>
      </c>
      <c r="E6" t="inlineStr">
        <is>
          <t>proximity air-burst (3.5 m) against aircraft</t>
        </is>
      </c>
      <c r="F6" t="inlineStr">
        <is>
          <t>Assets/MachineBrigade/Resources/Data/balance.json: weaponFamilyTable[8].variants.flak</t>
        </is>
      </c>
      <c r="G6" t="inlineStr">
        <is>
          <t>{"flak":"proximity air-burst (3.5 m) against aircraft"}</t>
        </is>
      </c>
    </row>
    <row r="7">
      <c r="A7" t="inlineStr">
        <is>
          <t>cal_40/he</t>
        </is>
      </c>
      <c r="B7" t="inlineStr">
        <is>
          <t>cal_40</t>
        </is>
      </c>
      <c r="C7" t="n">
        <v>1</v>
      </c>
      <c r="D7" t="inlineStr">
        <is>
          <t>he</t>
        </is>
      </c>
      <c r="E7" t="inlineStr">
        <is>
          <t>the AC-130's 40 mm HE against the ground (a 3 m burst), not the plain round</t>
        </is>
      </c>
      <c r="F7" t="inlineStr">
        <is>
          <t>Assets/MachineBrigade/Resources/Data/balance.json: weaponFamilyTable[8].variants.he</t>
        </is>
      </c>
      <c r="G7" t="inlineStr">
        <is>
          <t>{"he":"the AC-130's 40 mm HE against the ground (a 3 m burst), not the plain round"}</t>
        </is>
      </c>
    </row>
    <row r="8">
      <c r="A8" t="inlineStr">
        <is>
          <t>cal_57/ap</t>
        </is>
      </c>
      <c r="B8" t="inlineStr">
        <is>
          <t>cal_57</t>
        </is>
      </c>
      <c r="C8" t="n">
        <v>0</v>
      </c>
      <c r="D8" t="inlineStr">
        <is>
          <t>ap</t>
        </is>
      </c>
      <c r="E8" t="inlineStr">
        <is>
          <t>AP rounds (kinetic, no burst) instead of HE</t>
        </is>
      </c>
      <c r="F8" t="inlineStr">
        <is>
          <t>Assets/MachineBrigade/Resources/Data/balance.json: weaponFamilyTable[10].variants.ap</t>
        </is>
      </c>
      <c r="G8" t="inlineStr">
        <is>
          <t>{"ap":"AP rounds (kinetic, no burst) instead of HE"}</t>
        </is>
      </c>
    </row>
    <row r="9">
      <c r="A9" t="inlineStr">
        <is>
          <t>cal_57/flak</t>
        </is>
      </c>
      <c r="B9" t="inlineStr">
        <is>
          <t>cal_57</t>
        </is>
      </c>
      <c r="C9" t="n">
        <v>1</v>
      </c>
      <c r="D9" t="inlineStr">
        <is>
          <t>flak</t>
        </is>
      </c>
      <c r="E9" t="inlineStr">
        <is>
          <t>air-burst against aircraft</t>
        </is>
      </c>
      <c r="F9" t="inlineStr">
        <is>
          <t>Assets/MachineBrigade/Resources/Data/balance.json: weaponFamilyTable[10].variants.flak</t>
        </is>
      </c>
      <c r="G9" t="inlineStr">
        <is>
          <t>{"flak":"air-burst against aircraft"}</t>
        </is>
      </c>
    </row>
    <row r="10">
      <c r="A10" t="inlineStr">
        <is>
          <t>cal_100_105_ap/he</t>
        </is>
      </c>
      <c r="B10" t="inlineStr">
        <is>
          <t>cal_100_105_ap</t>
        </is>
      </c>
      <c r="C10" t="n">
        <v>0</v>
      </c>
      <c r="D10" t="inlineStr">
        <is>
          <t>he</t>
        </is>
      </c>
      <c r="E10" t="inlineStr">
        <is>
          <t>a high-explosive second round of an AP gun</t>
        </is>
      </c>
      <c r="F10" t="inlineStr">
        <is>
          <t>Assets/MachineBrigade/Resources/Data/balance.json: weaponFamilyTable[14].variants.he</t>
        </is>
      </c>
      <c r="G10" t="inlineStr">
        <is>
          <t>{"he":"a high-explosive second round of an AP gun"}</t>
        </is>
      </c>
    </row>
    <row r="11">
      <c r="A11" t="inlineStr">
        <is>
          <t>cal_100_105_he/flak</t>
        </is>
      </c>
      <c r="B11" t="inlineStr">
        <is>
          <t>cal_100_105_he</t>
        </is>
      </c>
      <c r="C11" t="n">
        <v>0</v>
      </c>
      <c r="D11" t="inlineStr">
        <is>
          <t>flak</t>
        </is>
      </c>
      <c r="E11" t="inlineStr">
        <is>
          <t>the KS-19's time-fused flak against aircraft</t>
        </is>
      </c>
      <c r="F11" t="inlineStr">
        <is>
          <t>Assets/MachineBrigade/Resources/Data/balance.json: weaponFamilyTable[13].variants.flak</t>
        </is>
      </c>
      <c r="G11" t="inlineStr">
        <is>
          <t>{"flak":"the KS-19's time-fused flak against aircraft"}</t>
        </is>
      </c>
    </row>
    <row r="12">
      <c r="A12" t="inlineStr">
        <is>
          <t>cal_120_he/mortar</t>
        </is>
      </c>
      <c r="B12" t="inlineStr">
        <is>
          <t>cal_120_he</t>
        </is>
      </c>
      <c r="C12" t="n">
        <v>0</v>
      </c>
      <c r="D12" t="inlineStr">
        <is>
          <t>mortar</t>
        </is>
      </c>
      <c r="E12" t="inlineStr">
        <is>
          <t>a lobbed mortar bomb (slow, high arc), not a gun's HE shell</t>
        </is>
      </c>
      <c r="F12" t="inlineStr">
        <is>
          <t>Assets/MachineBrigade/Resources/Data/balance.json: weaponFamilyTable[16].variants.mortar</t>
        </is>
      </c>
      <c r="G12" t="inlineStr">
        <is>
          <t>{"mortar":"a lobbed mortar bomb (slow, high arc), not a gun's HE shell"}</t>
        </is>
      </c>
    </row>
    <row r="13">
      <c r="A13" t="inlineStr">
        <is>
          <t>cal_127_130/ap</t>
        </is>
      </c>
      <c r="B13" t="inlineStr">
        <is>
          <t>cal_127_130</t>
        </is>
      </c>
      <c r="C13" t="n">
        <v>0</v>
      </c>
      <c r="D13" t="inlineStr">
        <is>
          <t>ap</t>
        </is>
      </c>
      <c r="E13" t="inlineStr">
        <is>
          <t>an armour-piercing round fired direct (Leviathan's AK-127 in its direct-fire role), not the HE shell</t>
        </is>
      </c>
      <c r="F13" t="inlineStr">
        <is>
          <t>Assets/MachineBrigade/Resources/Data/balance.json: weaponFamilyTable[20].variants.ap</t>
        </is>
      </c>
      <c r="G13" t="inlineStr">
        <is>
          <t>{"ap":"an armour-piercing round fired direct (Leviathan's AK-127 in its direct-fire role), not the HE shell"}</t>
        </is>
      </c>
    </row>
    <row r="14">
      <c r="A14" t="inlineStr">
        <is>
          <t>cal_152_155/ap</t>
        </is>
      </c>
      <c r="B14" t="inlineStr">
        <is>
          <t>cal_152_155</t>
        </is>
      </c>
      <c r="C14" t="n">
        <v>0</v>
      </c>
      <c r="D14" t="inlineStr">
        <is>
          <t>ap</t>
        </is>
      </c>
      <c r="E14" t="inlineStr">
        <is>
          <t>an armour-piercing round fired direct (a tank gun's or a naval gun's AP), not the HE shell</t>
        </is>
      </c>
      <c r="F14" t="inlineStr">
        <is>
          <t>Assets/MachineBrigade/Resources/Data/balance.json: weaponFamilyTable[22].variants.ap</t>
        </is>
      </c>
      <c r="G14" t="inlineStr">
        <is>
          <t>{"ap":"an armour-piercing round fired direct (a tank gun's or a naval gun's AP), not the HE shell"}</t>
        </is>
      </c>
    </row>
    <row r="15">
      <c r="A15" t="inlineStr">
        <is>
          <t>cal_152_155/guided</t>
        </is>
      </c>
      <c r="B15" t="inlineStr">
        <is>
          <t>cal_152_155</t>
        </is>
      </c>
      <c r="C15" t="n">
        <v>1</v>
      </c>
      <c r="D15" t="inlineStr">
        <is>
          <t>guided</t>
        </is>
      </c>
      <c r="E15" t="inlineStr">
        <is>
          <t>a guided shell (one at a time)</t>
        </is>
      </c>
      <c r="F15" t="inlineStr">
        <is>
          <t>Assets/MachineBrigade/Resources/Data/balance.json: weaponFamilyTable[22].variants.guided</t>
        </is>
      </c>
      <c r="G15" t="inlineStr">
        <is>
          <t>{"guided":"a guided shell (one at a time)"}</t>
        </is>
      </c>
    </row>
    <row r="16">
      <c r="A16" t="inlineStr">
        <is>
          <t>cal_152_155/heat</t>
        </is>
      </c>
      <c r="B16" t="inlineStr">
        <is>
          <t>cal_152_155</t>
        </is>
      </c>
      <c r="C16" t="n">
        <v>2</v>
      </c>
      <c r="D16" t="inlineStr">
        <is>
          <t>heat</t>
        </is>
      </c>
      <c r="E16" t="inlineStr">
        <is>
          <t>a shaped-charge (HEAT) round</t>
        </is>
      </c>
      <c r="F16" t="inlineStr">
        <is>
          <t>Assets/MachineBrigade/Resources/Data/balance.json: weaponFamilyTable[22].variants.heat</t>
        </is>
      </c>
      <c r="G16" t="inlineStr">
        <is>
          <t>{"heat":"a shaped-charge (HEAT) round"}</t>
        </is>
      </c>
    </row>
    <row r="17">
      <c r="A17" t="inlineStr">
        <is>
          <t>cal_152_155/smart</t>
        </is>
      </c>
      <c r="B17" t="inlineStr">
        <is>
          <t>cal_152_155</t>
        </is>
      </c>
      <c r="C17" t="n">
        <v>3</v>
      </c>
      <c r="D17" t="inlineStr">
        <is>
          <t>smart</t>
        </is>
      </c>
      <c r="E17" t="inlineStr">
        <is>
          <t>a sensor-fuzed or guided shell with submunitions</t>
        </is>
      </c>
      <c r="F17" t="inlineStr">
        <is>
          <t>Assets/MachineBrigade/Resources/Data/balance.json: weaponFamilyTable[22].variants.smart</t>
        </is>
      </c>
      <c r="G17" t="inlineStr">
        <is>
          <t>{"smart":"a sensor-fuzed or guided shell with submunitions"}</t>
        </is>
      </c>
    </row>
    <row r="18">
      <c r="A18" t="inlineStr">
        <is>
          <t>rkt_70_80/guided</t>
        </is>
      </c>
      <c r="B18" t="inlineStr">
        <is>
          <t>rkt_70_80</t>
        </is>
      </c>
      <c r="C18" t="n">
        <v>0</v>
      </c>
      <c r="D18" t="inlineStr">
        <is>
          <t>guided</t>
        </is>
      </c>
      <c r="E18" t="inlineStr">
        <is>
          <t>a laser-guided rocket (APKWS)</t>
        </is>
      </c>
      <c r="F18" t="inlineStr">
        <is>
          <t>Assets/MachineBrigade/Resources/Data/balance.json: weaponFamilyTable[27].variants.guided</t>
        </is>
      </c>
      <c r="G18" t="inlineStr">
        <is>
          <t>{"guided":"a laser-guided rocket (APKWS)"}</t>
        </is>
      </c>
    </row>
    <row r="19">
      <c r="A19" t="inlineStr">
        <is>
          <t>rkt_gmlrs_227/cluster</t>
        </is>
      </c>
      <c r="B19" t="inlineStr">
        <is>
          <t>rkt_gmlrs_227</t>
        </is>
      </c>
      <c r="C19" t="n">
        <v>0</v>
      </c>
      <c r="D19" t="inlineStr">
        <is>
          <t>cluster</t>
        </is>
      </c>
      <c r="E19" t="inlineStr">
        <is>
          <t>the M30's cluster warhead</t>
        </is>
      </c>
      <c r="F19" t="inlineStr">
        <is>
          <t>Assets/MachineBrigade/Resources/Data/balance.json: weaponFamilyTable[32].variants.cluster</t>
        </is>
      </c>
      <c r="G19" t="inlineStr">
        <is>
          <t>{"cluster":"the M30's cluster warhead"}</t>
        </is>
      </c>
    </row>
    <row r="20">
      <c r="A20" t="inlineStr">
        <is>
          <t>rkt_grad_122/cluster</t>
        </is>
      </c>
      <c r="B20" t="inlineStr">
        <is>
          <t>rkt_grad_122</t>
        </is>
      </c>
      <c r="C20" t="n">
        <v>0</v>
      </c>
      <c r="D20" t="inlineStr">
        <is>
          <t>cluster</t>
        </is>
      </c>
      <c r="E20" t="inlineStr">
        <is>
          <t>a cluster warhead (bomblets)</t>
        </is>
      </c>
      <c r="F20" t="inlineStr">
        <is>
          <t>Assets/MachineBrigade/Resources/Data/balance.json: weaponFamilyTable[29].variants.cluster</t>
        </is>
      </c>
      <c r="G20" t="inlineStr">
        <is>
          <t>{"cluster":"a cluster warhead (bomblets)"}</t>
        </is>
      </c>
    </row>
    <row r="21">
      <c r="A21" t="inlineStr">
        <is>
          <t>rkt_grad_122/thermobaric</t>
        </is>
      </c>
      <c r="B21" t="inlineStr">
        <is>
          <t>rkt_grad_122</t>
        </is>
      </c>
      <c r="C21" t="n">
        <v>1</v>
      </c>
      <c r="D21" t="inlineStr">
        <is>
          <t>thermobaric</t>
        </is>
      </c>
      <c r="E21" t="inlineStr">
        <is>
          <t>a thermobaric warhead</t>
        </is>
      </c>
      <c r="F21" t="inlineStr">
        <is>
          <t>Assets/MachineBrigade/Resources/Data/balance.json: weaponFamilyTable[29].variants.thermobaric</t>
        </is>
      </c>
      <c r="G21" t="inlineStr">
        <is>
          <t>{"thermobaric":"a thermobaric warhead"}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1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0" customWidth="1" min="11" max="11"/>
    <col width="6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ten_that</t>
        </is>
      </c>
      <c r="C1" s="1" t="inlineStr">
        <is>
          <t>khoi_nguon</t>
        </is>
      </c>
      <c r="D1" s="1" t="inlineStr">
        <is>
          <t>so_vu_khi</t>
        </is>
      </c>
      <c r="E1" s="1" t="inlineStr">
        <is>
          <t>flight_profile</t>
        </is>
      </c>
      <c r="F1" s="1" t="inlineStr">
        <is>
          <t>projectile_model</t>
        </is>
      </c>
      <c r="G1" s="1" t="inlineStr">
        <is>
          <t>projectile_scale</t>
        </is>
      </c>
      <c r="H1" s="1" t="inlineStr">
        <is>
          <t>projectile_speed_m_s</t>
        </is>
      </c>
      <c r="I1" s="1" t="inlineStr">
        <is>
          <t>round_length</t>
        </is>
      </c>
      <c r="J1" s="1" t="inlineStr">
        <is>
          <t>round_weight</t>
        </is>
      </c>
      <c r="K1" s="1" t="inlineStr">
        <is>
          <t>splash_m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2a38_30_mm</t>
        </is>
      </c>
      <c r="B2" t="inlineStr">
        <is>
          <t>2A38 30 mm</t>
        </is>
      </c>
      <c r="C2" t="inlineStr">
        <is>
          <t>weaponFamilies</t>
        </is>
      </c>
      <c r="D2" t="n">
        <v>3</v>
      </c>
      <c r="H2" t="n">
        <v>280</v>
      </c>
      <c r="J2" t="n">
        <v>7.5</v>
      </c>
      <c r="K2" t="n">
        <v>2.5</v>
      </c>
      <c r="L2" t="inlineStr">
        <is>
          <t>Assets/MachineBrigade/Resources/Data/balance.json: weaponFamilies[0]</t>
        </is>
      </c>
      <c r="M2" t="inlineStr">
        <is>
          <t>{"id":"2a38_30_mm","real":"2A38 30 mm","projectileSpeed":280,"splash":2.5,"roundWeight":7.5}</t>
        </is>
      </c>
    </row>
    <row r="3">
      <c r="A3" t="inlineStr">
        <is>
          <t>2a38_30_mm_ap</t>
        </is>
      </c>
      <c r="B3" t="inlineStr">
        <is>
          <t>2A38 30 mm AP</t>
        </is>
      </c>
      <c r="C3" t="inlineStr">
        <is>
          <t>secondRounds.families</t>
        </is>
      </c>
      <c r="D3" t="n">
        <v>3</v>
      </c>
      <c r="H3" t="n">
        <v>280</v>
      </c>
      <c r="J3" t="n">
        <v>7.5</v>
      </c>
      <c r="K3" t="n">
        <v>0</v>
      </c>
      <c r="L3" t="inlineStr">
        <is>
          <t>Assets/MachineBrigade/Resources/Data/balance.json: secondRounds.families[14]</t>
        </is>
      </c>
      <c r="M3" t="inlineStr">
        <is>
          <t>{"id":"2a38_30_mm_ap","real":"2A38 30 mm AP","projectileSpeed":280,"splash":0,"roundWeight":7.5}</t>
        </is>
      </c>
    </row>
    <row r="4">
      <c r="A4" t="inlineStr">
        <is>
          <t>2a42_30_mm</t>
        </is>
      </c>
      <c r="B4" t="inlineStr">
        <is>
          <t>2A42 30 mm</t>
        </is>
      </c>
      <c r="C4" t="inlineStr">
        <is>
          <t>weaponFamilies</t>
        </is>
      </c>
      <c r="D4" t="n">
        <v>3</v>
      </c>
      <c r="H4" t="n">
        <v>200</v>
      </c>
      <c r="J4" t="n">
        <v>32</v>
      </c>
      <c r="K4" t="n">
        <v>0</v>
      </c>
      <c r="L4" t="inlineStr">
        <is>
          <t>Assets/MachineBrigade/Resources/Data/balance.json: weaponFamilies[1]</t>
        </is>
      </c>
      <c r="M4" t="inlineStr">
        <is>
          <t>{"id":"2a42_30_mm","real":"2A42 30 mm","projectileSpeed":200,"splash":0,"roundWeight":32}</t>
        </is>
      </c>
    </row>
    <row r="5">
      <c r="A5" t="inlineStr">
        <is>
          <t>2a42_30_mm_air_burst</t>
        </is>
      </c>
      <c r="B5" t="inlineStr">
        <is>
          <t>2A42 30 mm air-burst</t>
        </is>
      </c>
      <c r="C5" t="inlineStr">
        <is>
          <t>secondRounds.families</t>
        </is>
      </c>
      <c r="D5" t="n">
        <v>3</v>
      </c>
      <c r="H5" t="n">
        <v>200</v>
      </c>
      <c r="J5" t="n">
        <v>32</v>
      </c>
      <c r="K5" t="n">
        <v>2.5</v>
      </c>
      <c r="L5" t="inlineStr">
        <is>
          <t>Assets/MachineBrigade/Resources/Data/balance.json: secondRounds.families[1]</t>
        </is>
      </c>
      <c r="M5" t="inlineStr">
        <is>
          <t>{"id":"2a42_30_mm_air_burst","real":"2A42 30 mm air-burst","projectileSpeed":200,"splash":2.5,"roundWeight":32}</t>
        </is>
      </c>
    </row>
    <row r="6">
      <c r="A6" t="inlineStr">
        <is>
          <t>2a75_125_mm_he</t>
        </is>
      </c>
      <c r="B6" t="inlineStr">
        <is>
          <t>2A75 125 mm HE</t>
        </is>
      </c>
      <c r="C6" t="inlineStr">
        <is>
          <t>secondRounds.families</t>
        </is>
      </c>
      <c r="D6" t="n">
        <v>2</v>
      </c>
      <c r="H6" t="n">
        <v>260</v>
      </c>
      <c r="J6" t="n">
        <v>345</v>
      </c>
      <c r="K6" t="n">
        <v>3</v>
      </c>
      <c r="L6" t="inlineStr">
        <is>
          <t>Assets/MachineBrigade/Resources/Data/balance.json: secondRounds.families[8]</t>
        </is>
      </c>
      <c r="M6" t="inlineStr">
        <is>
          <t>{"id":"2a75_125_mm_he","real":"2A75 125 mm HE","projectileSpeed":260,"splash":3,"roundWeight":345}</t>
        </is>
      </c>
    </row>
    <row r="7">
      <c r="A7" t="inlineStr">
        <is>
          <t>2a83_152_mm</t>
        </is>
      </c>
      <c r="B7" t="inlineStr">
        <is>
          <t>2A83 152 mm</t>
        </is>
      </c>
      <c r="C7" t="inlineStr">
        <is>
          <t>weaponFamilies</t>
        </is>
      </c>
      <c r="D7" t="n">
        <v>2</v>
      </c>
      <c r="H7" t="n">
        <v>160</v>
      </c>
      <c r="J7" t="n">
        <v>343</v>
      </c>
      <c r="K7" t="n">
        <v>2.5</v>
      </c>
      <c r="L7" t="inlineStr">
        <is>
          <t>Assets/MachineBrigade/Resources/Data/balance.json: weaponFamilies[2]</t>
        </is>
      </c>
      <c r="M7" t="inlineStr">
        <is>
          <t>{"id":"2a83_152_mm","real":"2A83 152 mm","projectileSpeed":160,"splash":2.5,"roundWeight":343}</t>
        </is>
      </c>
    </row>
    <row r="8">
      <c r="A8" t="inlineStr">
        <is>
          <t>2a83_152_mm_he_frag</t>
        </is>
      </c>
      <c r="B8" t="inlineStr">
        <is>
          <t>2A83 152 mm HE-FRAG</t>
        </is>
      </c>
      <c r="C8" t="inlineStr">
        <is>
          <t>secondRounds.families</t>
        </is>
      </c>
      <c r="D8" t="n">
        <v>3</v>
      </c>
      <c r="H8" t="n">
        <v>150</v>
      </c>
      <c r="J8" t="n">
        <v>343</v>
      </c>
      <c r="K8" t="n">
        <v>6.5</v>
      </c>
      <c r="L8" t="inlineStr">
        <is>
          <t>Assets/MachineBrigade/Resources/Data/balance.json: secondRounds.families[2]</t>
        </is>
      </c>
      <c r="M8" t="inlineStr">
        <is>
          <t>{"id":"2a83_152_mm_he_frag","real":"2A83 152 mm HE-FRAG","projectileSpeed":150,"splash":6.5,"roundWeight":343}</t>
        </is>
      </c>
    </row>
    <row r="9">
      <c r="A9" t="inlineStr">
        <is>
          <t>2b8_240_mm</t>
        </is>
      </c>
      <c r="B9" t="inlineStr">
        <is>
          <t>2B8 240 mm</t>
        </is>
      </c>
      <c r="C9" t="inlineStr">
        <is>
          <t>weaponFamilies</t>
        </is>
      </c>
      <c r="D9" t="n">
        <v>3</v>
      </c>
      <c r="F9" t="inlineStr">
        <is>
          <t>mortar_bomb</t>
        </is>
      </c>
      <c r="G9" t="n">
        <v>1.3333</v>
      </c>
      <c r="H9" t="n">
        <v>60</v>
      </c>
      <c r="I9" t="n">
        <v>1.2</v>
      </c>
      <c r="J9" t="n">
        <v>543</v>
      </c>
      <c r="K9" t="n">
        <v>9</v>
      </c>
      <c r="L9" t="inlineStr">
        <is>
          <t>Assets/MachineBrigade/Resources/Data/balance.json: weaponFamilies[4]</t>
        </is>
      </c>
      <c r="M9" t="inlineStr">
        <is>
          <t>{"id":"2b8_240_mm","real":"2B8 240 mm","projectileSpeed":60,"splash":9,"projectileModel":"mortar_bomb","roundWeight":543,"roundLength":1.2,"projectileScale":1.3333}</t>
        </is>
      </c>
    </row>
    <row r="10">
      <c r="A10" t="inlineStr">
        <is>
          <t>2b11_120_mm</t>
        </is>
      </c>
      <c r="B10" t="inlineStr">
        <is>
          <t>2B11 120 mm</t>
        </is>
      </c>
      <c r="C10" t="inlineStr">
        <is>
          <t>weaponFamilies</t>
        </is>
      </c>
      <c r="D10" t="n">
        <v>2</v>
      </c>
      <c r="F10" t="inlineStr">
        <is>
          <t>mortar_bomb</t>
        </is>
      </c>
      <c r="H10" t="n">
        <v>60</v>
      </c>
      <c r="K10" t="n">
        <v>5</v>
      </c>
      <c r="L10" t="inlineStr">
        <is>
          <t>Assets/MachineBrigade/Resources/Data/balance.json: weaponFamilies[3]</t>
        </is>
      </c>
      <c r="M10" t="inlineStr">
        <is>
          <t>{"id":"2b11_120_mm","real":"2B11 120 mm","projectileSpeed":60,"splash":5,"projectileModel":"mortar_bomb"}</t>
        </is>
      </c>
    </row>
    <row r="11">
      <c r="A11" t="inlineStr">
        <is>
          <t>9m120_ataka</t>
        </is>
      </c>
      <c r="B11" t="inlineStr">
        <is>
          <t>9M120 Ataka</t>
        </is>
      </c>
      <c r="C11" t="inlineStr">
        <is>
          <t>weaponFamilies</t>
        </is>
      </c>
      <c r="D11" t="n">
        <v>0</v>
      </c>
      <c r="F11" t="inlineStr">
        <is>
          <t>atgm_ataka</t>
        </is>
      </c>
      <c r="H11" t="n">
        <v>120</v>
      </c>
      <c r="K11" t="n">
        <v>0</v>
      </c>
      <c r="L11" t="inlineStr">
        <is>
          <t>Assets/MachineBrigade/Resources/Data/balance.json: weaponFamilies[5]</t>
        </is>
      </c>
      <c r="M11" t="inlineStr">
        <is>
          <t>{"id":"9m120_ataka","real":"9M120 Ataka","projectileSpeed":120,"splash":0,"projectileModel":"atgm_ataka"}</t>
        </is>
      </c>
    </row>
    <row r="12">
      <c r="A12" t="inlineStr">
        <is>
          <t>9m133_kornet</t>
        </is>
      </c>
      <c r="B12" t="inlineStr">
        <is>
          <t>9M133 Kornet</t>
        </is>
      </c>
      <c r="C12" t="inlineStr">
        <is>
          <t>weaponFamilies</t>
        </is>
      </c>
      <c r="D12" t="n">
        <v>7</v>
      </c>
      <c r="F12" t="inlineStr">
        <is>
          <t>atgm_kornet</t>
        </is>
      </c>
      <c r="G12" t="n">
        <v>0.7385</v>
      </c>
      <c r="H12" t="n">
        <v>80</v>
      </c>
      <c r="I12" t="n">
        <v>0.96</v>
      </c>
      <c r="K12" t="n">
        <v>0</v>
      </c>
      <c r="L12" t="inlineStr">
        <is>
          <t>Assets/MachineBrigade/Resources/Data/balance.json: weaponFamilies[6]</t>
        </is>
      </c>
      <c r="M12" t="inlineStr">
        <is>
          <t>{"id":"9m133_kornet","real":"9M133 Kornet","projectileSpeed":80,"splash":0,"projectileModel":"atgm_kornet","roundLength":0.96,"projectileScale":0.7385}</t>
        </is>
      </c>
    </row>
    <row r="13">
      <c r="A13" t="inlineStr">
        <is>
          <t>9m317_buk</t>
        </is>
      </c>
      <c r="B13" t="inlineStr">
        <is>
          <t>9M317 Buk</t>
        </is>
      </c>
      <c r="C13" t="inlineStr">
        <is>
          <t>weaponFamilies</t>
        </is>
      </c>
      <c r="D13" t="n">
        <v>2</v>
      </c>
      <c r="F13" t="inlineStr">
        <is>
          <t>buk</t>
        </is>
      </c>
      <c r="G13" t="n">
        <v>1.2333</v>
      </c>
      <c r="H13" t="n">
        <v>250</v>
      </c>
      <c r="I13" t="n">
        <v>4.44</v>
      </c>
      <c r="K13" t="n">
        <v>2</v>
      </c>
      <c r="L13" t="inlineStr">
        <is>
          <t>Assets/MachineBrigade/Resources/Data/balance.json: weaponFamilies[7]</t>
        </is>
      </c>
      <c r="M13" t="inlineStr">
        <is>
          <t>{"id":"9m317_buk","real":"9M317 Buk","projectileSpeed":250,"splash":2,"projectileModel":"buk","roundLength":4.44,"projectileScale":1.2333}</t>
        </is>
      </c>
    </row>
    <row r="14">
      <c r="A14" t="inlineStr">
        <is>
          <t>agm_88_harm</t>
        </is>
      </c>
      <c r="B14" t="inlineStr">
        <is>
          <t>AGM-88 HARM</t>
        </is>
      </c>
      <c r="C14" t="inlineStr">
        <is>
          <t>weaponFamilies</t>
        </is>
      </c>
      <c r="D14" t="n">
        <v>0</v>
      </c>
      <c r="H14" t="n">
        <v>210</v>
      </c>
      <c r="I14" t="n">
        <v>2.09</v>
      </c>
      <c r="J14" t="n">
        <v>360</v>
      </c>
      <c r="K14" t="n">
        <v>4</v>
      </c>
      <c r="L14" t="inlineStr">
        <is>
          <t>Assets/MachineBrigade/Resources/Data/balance.json: weaponFamilies[36]</t>
        </is>
      </c>
      <c r="M14" t="inlineStr">
        <is>
          <t>{"id":"agm_88_harm","real":"AGM-88 HARM","projectileSpeed":210,"splash":4,"roundWeight":360,"roundLength":2.09}</t>
        </is>
      </c>
    </row>
    <row r="15">
      <c r="A15" t="inlineStr">
        <is>
          <t>agm_114_hellfire</t>
        </is>
      </c>
      <c r="B15" t="inlineStr">
        <is>
          <t>AGM-114 Hellfire</t>
        </is>
      </c>
      <c r="C15" t="inlineStr">
        <is>
          <t>weaponFamilies</t>
        </is>
      </c>
      <c r="D15" t="n">
        <v>3</v>
      </c>
      <c r="F15" t="inlineStr">
        <is>
          <t>hellfire_longbow</t>
        </is>
      </c>
      <c r="H15" t="n">
        <v>110</v>
      </c>
      <c r="J15" t="n">
        <v>270</v>
      </c>
      <c r="K15" t="n">
        <v>0</v>
      </c>
      <c r="L15" t="inlineStr">
        <is>
          <t>Assets/MachineBrigade/Resources/Data/balance.json: weaponFamilies[8]</t>
        </is>
      </c>
      <c r="M15" t="inlineStr">
        <is>
          <t>{"id":"agm_114_hellfire","real":"AGM-114 Hellfire","projectileSpeed":110,"splash":0,"projectileModel":"hellfire_longbow","roundWeight":270}</t>
        </is>
      </c>
    </row>
    <row r="16">
      <c r="A16" t="inlineStr">
        <is>
          <t>aim_9_sidewinder</t>
        </is>
      </c>
      <c r="B16" t="inlineStr">
        <is>
          <t>AIM-9 Sidewinder</t>
        </is>
      </c>
      <c r="C16" t="inlineStr">
        <is>
          <t>weaponFamilies</t>
        </is>
      </c>
      <c r="D16" t="n">
        <v>1</v>
      </c>
      <c r="F16" t="inlineStr">
        <is>
          <t>aim9</t>
        </is>
      </c>
      <c r="H16" t="n">
        <v>210</v>
      </c>
      <c r="J16" t="n">
        <v>260</v>
      </c>
      <c r="K16" t="n">
        <v>1.5</v>
      </c>
      <c r="L16" t="inlineStr">
        <is>
          <t>Assets/MachineBrigade/Resources/Data/balance.json: weaponFamilies[9]</t>
        </is>
      </c>
      <c r="M16" t="inlineStr">
        <is>
          <t>{"id":"aim_9_sidewinder","real":"AIM-9 Sidewinder","projectileSpeed":210,"splash":1.5,"projectileModel":"aim9","roundWeight":260}</t>
        </is>
      </c>
    </row>
    <row r="17">
      <c r="A17" t="inlineStr">
        <is>
          <t>ak_630_30_mm</t>
        </is>
      </c>
      <c r="B17" t="inlineStr">
        <is>
          <t>AK-630 30 mm</t>
        </is>
      </c>
      <c r="C17" t="inlineStr">
        <is>
          <t>weaponFamilies</t>
        </is>
      </c>
      <c r="D17" t="n">
        <v>2</v>
      </c>
      <c r="H17" t="n">
        <v>300</v>
      </c>
      <c r="K17" t="n">
        <v>0</v>
      </c>
      <c r="L17" t="inlineStr">
        <is>
          <t>Assets/MachineBrigade/Resources/Data/balance.json: weaponFamilies[10]</t>
        </is>
      </c>
      <c r="M17" t="inlineStr">
        <is>
          <t>{"id":"ak_630_30_mm","real":"AK-630 30 mm","projectileSpeed":300,"splash":0}</t>
        </is>
      </c>
    </row>
    <row r="18">
      <c r="A18" t="inlineStr">
        <is>
          <t>ak_630_30_mm_air_burst</t>
        </is>
      </c>
      <c r="B18" t="inlineStr">
        <is>
          <t>AK-630 30 mm air-burst</t>
        </is>
      </c>
      <c r="C18" t="inlineStr">
        <is>
          <t>secondRounds.families</t>
        </is>
      </c>
      <c r="D18" t="n">
        <v>2</v>
      </c>
      <c r="H18" t="n">
        <v>300</v>
      </c>
      <c r="K18" t="n">
        <v>2.5</v>
      </c>
      <c r="L18" t="inlineStr">
        <is>
          <t>Assets/MachineBrigade/Resources/Data/balance.json: secondRounds.families[7]</t>
        </is>
      </c>
      <c r="M18" t="inlineStr">
        <is>
          <t>{"id":"ak_630_30_mm_air_burst","real":"AK-630 30 mm air-burst","projectileSpeed":300,"splash":2.5}</t>
        </is>
      </c>
    </row>
    <row r="19">
      <c r="A19" t="inlineStr">
        <is>
          <t>apkws</t>
        </is>
      </c>
      <c r="B19" t="inlineStr">
        <is>
          <t>APKWS (laser-guided Hydra 70)</t>
        </is>
      </c>
      <c r="C19" t="inlineStr">
        <is>
          <t>weaponFamilies</t>
        </is>
      </c>
      <c r="D19" t="n">
        <v>1</v>
      </c>
      <c r="F19" t="inlineStr">
        <is>
          <t>apkws</t>
        </is>
      </c>
      <c r="H19" t="n">
        <v>180</v>
      </c>
      <c r="I19" t="n">
        <v>0.8</v>
      </c>
      <c r="J19" t="n">
        <v>15</v>
      </c>
      <c r="K19" t="n">
        <v>2</v>
      </c>
      <c r="L19" t="inlineStr">
        <is>
          <t>Assets/MachineBrigade/Resources/Data/balance.json: weaponFamilies[37]</t>
        </is>
      </c>
      <c r="M19" t="inlineStr">
        <is>
          <t>{"id":"apkws","real":"APKWS (laser-guided Hydra 70)","projectileSpeed":180,"splash":2,"projectileModel":"apkws","roundWeight":15,"roundLength":0.8}</t>
        </is>
      </c>
    </row>
    <row r="20">
      <c r="A20" t="inlineStr">
        <is>
          <t>bm_21_grad_122_mm</t>
        </is>
      </c>
      <c r="B20" t="inlineStr">
        <is>
          <t>BM-21 Grad 122 mm</t>
        </is>
      </c>
      <c r="C20" t="inlineStr">
        <is>
          <t>weaponFamilies</t>
        </is>
      </c>
      <c r="D20" t="n">
        <v>2</v>
      </c>
      <c r="F20" t="inlineStr">
        <is>
          <t>grad</t>
        </is>
      </c>
      <c r="H20" t="n">
        <v>130</v>
      </c>
      <c r="J20" t="n">
        <v>66</v>
      </c>
      <c r="K20" t="n">
        <v>4.5</v>
      </c>
      <c r="L20" t="inlineStr">
        <is>
          <t>Assets/MachineBrigade/Resources/Data/balance.json: weaponFamilies[11]</t>
        </is>
      </c>
      <c r="M20" t="inlineStr">
        <is>
          <t>{"id":"bm_21_grad_122_mm","real":"BM-21 Grad 122 mm","projectileSpeed":130,"splash":4.5,"projectileModel":"grad","roundWeight":66}</t>
        </is>
      </c>
    </row>
    <row r="21">
      <c r="A21" t="inlineStr">
        <is>
          <t>bm_21_grad_122_mm_2</t>
        </is>
      </c>
      <c r="B21" t="inlineStr">
        <is>
          <t>BM-21 Grad 122 mm</t>
        </is>
      </c>
      <c r="C21" t="inlineStr">
        <is>
          <t>weaponFamilies</t>
        </is>
      </c>
      <c r="D21" t="n">
        <v>2</v>
      </c>
      <c r="F21" t="inlineStr">
        <is>
          <t>grad_cluster</t>
        </is>
      </c>
      <c r="H21" t="n">
        <v>130</v>
      </c>
      <c r="J21" t="n">
        <v>66</v>
      </c>
      <c r="K21" t="n">
        <v>4</v>
      </c>
      <c r="L21" t="inlineStr">
        <is>
          <t>Assets/MachineBrigade/Resources/Data/balance.json: weaponFamilies[12]</t>
        </is>
      </c>
      <c r="M21" t="inlineStr">
        <is>
          <t>{"id":"bm_21_grad_122_mm_2","real":"BM-21 Grad 122 mm","projectileSpeed":130,"splash":4,"projectileModel":"grad_cluster","roundWeight":66}</t>
        </is>
      </c>
    </row>
    <row r="22">
      <c r="A22" t="inlineStr">
        <is>
          <t>bofors_40_mm_l_70</t>
        </is>
      </c>
      <c r="B22" t="inlineStr">
        <is>
          <t>Bofors 40 mm L/70</t>
        </is>
      </c>
      <c r="C22" t="inlineStr">
        <is>
          <t>weaponFamilies</t>
        </is>
      </c>
      <c r="D22" t="n">
        <v>1</v>
      </c>
      <c r="H22" t="n">
        <v>220</v>
      </c>
      <c r="J22" t="n">
        <v>51</v>
      </c>
      <c r="K22" t="n">
        <v>2.5</v>
      </c>
      <c r="L22" t="inlineStr">
        <is>
          <t>Assets/MachineBrigade/Resources/Data/balance.json: weaponFamilies[32]</t>
        </is>
      </c>
      <c r="M22" t="inlineStr">
        <is>
          <t>{"id":"bofors_40_mm_l_70","real":"Bofors 40 mm L/70","projectileSpeed":220,"splash":2.5,"roundWeight":51}</t>
        </is>
      </c>
    </row>
    <row r="23">
      <c r="A23" t="inlineStr">
        <is>
          <t>cbu_97_sfw</t>
        </is>
      </c>
      <c r="B23" t="inlineStr">
        <is>
          <t>CBU-97 Sensor Fuzed Weapon</t>
        </is>
      </c>
      <c r="C23" t="inlineStr">
        <is>
          <t>weaponFamilies</t>
        </is>
      </c>
      <c r="D23" t="n">
        <v>0</v>
      </c>
      <c r="H23" t="n">
        <v>35</v>
      </c>
      <c r="I23" t="n">
        <v>1.17</v>
      </c>
      <c r="J23" t="n">
        <v>450</v>
      </c>
      <c r="K23" t="n">
        <v>3</v>
      </c>
      <c r="L23" t="inlineStr">
        <is>
          <t>Assets/MachineBrigade/Resources/Data/balance.json: weaponFamilies[33]</t>
        </is>
      </c>
      <c r="M23" t="inlineStr">
        <is>
          <t>{"id":"cbu_97_sfw","real":"CBU-97 Sensor Fuzed Weapon","projectileSpeed":35,"splash":3,"roundWeight":450,"roundLength":1.17}</t>
        </is>
      </c>
    </row>
    <row r="24">
      <c r="A24" t="inlineStr">
        <is>
          <t>coyote_block_2</t>
        </is>
      </c>
      <c r="B24" t="inlineStr">
        <is>
          <t>Coyote Block 2</t>
        </is>
      </c>
      <c r="C24" t="inlineStr">
        <is>
          <t>weaponFamilies</t>
        </is>
      </c>
      <c r="D24" t="n">
        <v>0</v>
      </c>
      <c r="H24" t="n">
        <v>40</v>
      </c>
      <c r="I24" t="n">
        <v>0.8</v>
      </c>
      <c r="J24" t="n">
        <v>5</v>
      </c>
      <c r="K24" t="n">
        <v>2</v>
      </c>
      <c r="L24" t="inlineStr">
        <is>
          <t>Assets/MachineBrigade/Resources/Data/balance.json: weaponFamilies[38]</t>
        </is>
      </c>
      <c r="M24" t="inlineStr">
        <is>
          <t>{"id":"coyote_block_2","real":"Coyote Block 2","projectileSpeed":40,"splash":2,"roundWeight":5,"roundLength":0.8}</t>
        </is>
      </c>
    </row>
    <row r="25">
      <c r="A25" t="inlineStr">
        <is>
          <t>fpv_drone</t>
        </is>
      </c>
      <c r="B25" t="inlineStr">
        <is>
          <t>FPV drone</t>
        </is>
      </c>
      <c r="C25" t="inlineStr">
        <is>
          <t>weaponFamilies</t>
        </is>
      </c>
      <c r="D25" t="n">
        <v>5</v>
      </c>
      <c r="F25" t="inlineStr">
        <is>
          <t>fpv_drone</t>
        </is>
      </c>
      <c r="G25" t="n">
        <v>1.4551</v>
      </c>
      <c r="H25" t="n">
        <v>26</v>
      </c>
      <c r="I25" t="n">
        <v>0.8</v>
      </c>
      <c r="K25" t="n">
        <v>2.5</v>
      </c>
      <c r="L25" t="inlineStr">
        <is>
          <t>Assets/MachineBrigade/Resources/Data/balance.json: weaponFamilies[13]</t>
        </is>
      </c>
      <c r="M25" t="inlineStr">
        <is>
          <t>{"id":"fpv_drone","real":"FPV drone","projectileSpeed":26,"splash":2.5,"projectileModel":"fpv_drone","roundLength":0.8,"projectileScale":1.4551}</t>
        </is>
      </c>
    </row>
    <row r="26">
      <c r="A26" t="inlineStr">
        <is>
          <t>gbu_28</t>
        </is>
      </c>
      <c r="B26" t="inlineStr">
        <is>
          <t>GBU-28</t>
        </is>
      </c>
      <c r="C26" t="inlineStr">
        <is>
          <t>weaponFamilies</t>
        </is>
      </c>
      <c r="D26" t="n">
        <v>0</v>
      </c>
      <c r="H26" t="n">
        <v>35</v>
      </c>
      <c r="I26" t="n">
        <v>2.92</v>
      </c>
      <c r="J26" t="n">
        <v>2100</v>
      </c>
      <c r="K26" t="n">
        <v>6</v>
      </c>
      <c r="L26" t="inlineStr">
        <is>
          <t>Assets/MachineBrigade/Resources/Data/balance.json: weaponFamilies[34]</t>
        </is>
      </c>
      <c r="M26" t="inlineStr">
        <is>
          <t>{"id":"gbu_28","real":"GBU-28","projectileSpeed":35,"splash":6,"roundWeight":2100,"roundLength":2.92}</t>
        </is>
      </c>
    </row>
    <row r="27">
      <c r="A27" t="inlineStr">
        <is>
          <t>hydra_70_mm</t>
        </is>
      </c>
      <c r="B27" t="inlineStr">
        <is>
          <t>Hydra 70 mm</t>
        </is>
      </c>
      <c r="C27" t="inlineStr">
        <is>
          <t>weaponFamilies</t>
        </is>
      </c>
      <c r="D27" t="n">
        <v>3</v>
      </c>
      <c r="F27" t="inlineStr">
        <is>
          <t>hydra</t>
        </is>
      </c>
      <c r="H27" t="n">
        <v>180</v>
      </c>
      <c r="J27" t="n">
        <v>61</v>
      </c>
      <c r="K27" t="n">
        <v>3</v>
      </c>
      <c r="L27" t="inlineStr">
        <is>
          <t>Assets/MachineBrigade/Resources/Data/balance.json: weaponFamilies[14]</t>
        </is>
      </c>
      <c r="M27" t="inlineStr">
        <is>
          <t>{"id":"hydra_70_mm","real":"Hydra 70 mm","projectileSpeed":180,"splash":3,"projectileModel":"hydra","roundWeight":61}</t>
        </is>
      </c>
    </row>
    <row r="28">
      <c r="A28" t="inlineStr">
        <is>
          <t>l7_105_mm</t>
        </is>
      </c>
      <c r="B28" t="inlineStr">
        <is>
          <t>L7 105 mm</t>
        </is>
      </c>
      <c r="C28" t="inlineStr">
        <is>
          <t>weaponFamilies</t>
        </is>
      </c>
      <c r="D28" t="n">
        <v>3</v>
      </c>
      <c r="H28" t="n">
        <v>190</v>
      </c>
      <c r="K28" t="n">
        <v>1.5</v>
      </c>
      <c r="L28" t="inlineStr">
        <is>
          <t>Assets/MachineBrigade/Resources/Data/balance.json: weaponFamilies[15]</t>
        </is>
      </c>
      <c r="M28" t="inlineStr">
        <is>
          <t>{"id":"l7_105_mm","real":"L7 105 mm","projectileSpeed":190,"splash":1.5}</t>
        </is>
      </c>
    </row>
    <row r="29">
      <c r="A29" t="inlineStr">
        <is>
          <t>l7_105_mm_he</t>
        </is>
      </c>
      <c r="B29" t="inlineStr">
        <is>
          <t>L7 105 mm HE</t>
        </is>
      </c>
      <c r="C29" t="inlineStr">
        <is>
          <t>secondRounds.families</t>
        </is>
      </c>
      <c r="D29" t="n">
        <v>1</v>
      </c>
      <c r="H29" t="n">
        <v>190</v>
      </c>
      <c r="K29" t="n">
        <v>3</v>
      </c>
      <c r="L29" t="inlineStr">
        <is>
          <t>Assets/MachineBrigade/Resources/Data/balance.json: secondRounds.families[9]</t>
        </is>
      </c>
      <c r="M29" t="inlineStr">
        <is>
          <t>{"id":"l7_105_mm_he","real":"L7 105 mm HE","projectileSpeed":190,"splash":3}</t>
        </is>
      </c>
    </row>
    <row r="30">
      <c r="A30" t="inlineStr">
        <is>
          <t>l7_105_mm_he_bunker</t>
        </is>
      </c>
      <c r="B30" t="inlineStr">
        <is>
          <t>L7 105 mm HE</t>
        </is>
      </c>
      <c r="C30" t="inlineStr">
        <is>
          <t>secondRounds.families</t>
        </is>
      </c>
      <c r="D30" t="n">
        <v>1</v>
      </c>
      <c r="H30" t="n">
        <v>190</v>
      </c>
      <c r="K30" t="n">
        <v>5.5</v>
      </c>
      <c r="L30" t="inlineStr">
        <is>
          <t>Assets/MachineBrigade/Resources/Data/balance.json: secondRounds.families[10]</t>
        </is>
      </c>
      <c r="M30" t="inlineStr">
        <is>
          <t>{"id":"l7_105_mm_he_bunker","real":"L7 105 mm HE","projectileSpeed":190,"splash":5.5}</t>
        </is>
      </c>
    </row>
    <row r="31">
      <c r="A31" t="inlineStr">
        <is>
          <t>m2_browning_12_7_mm</t>
        </is>
      </c>
      <c r="B31" t="inlineStr">
        <is>
          <t>M2 Browning 12.7 mm</t>
        </is>
      </c>
      <c r="C31" t="inlineStr">
        <is>
          <t>weaponFamilies</t>
        </is>
      </c>
      <c r="D31" t="n">
        <v>7</v>
      </c>
      <c r="H31" t="n">
        <v>230</v>
      </c>
      <c r="J31" t="n">
        <v>11</v>
      </c>
      <c r="K31" t="n">
        <v>0</v>
      </c>
      <c r="L31" t="inlineStr">
        <is>
          <t>Assets/MachineBrigade/Resources/Data/balance.json: weaponFamilies[16]</t>
        </is>
      </c>
      <c r="M31" t="inlineStr">
        <is>
          <t>{"id":"m2_browning_12_7_mm","real":"M2 Browning 12.7 mm","projectileSpeed":230,"splash":0,"roundWeight":11}</t>
        </is>
      </c>
    </row>
    <row r="32">
      <c r="A32" t="inlineStr">
        <is>
          <t>m2_browning_12_7_mm_api</t>
        </is>
      </c>
      <c r="B32" t="inlineStr">
        <is>
          <t>M2 Browning 12.7 mm API</t>
        </is>
      </c>
      <c r="C32" t="inlineStr">
        <is>
          <t>secondRounds.families</t>
        </is>
      </c>
      <c r="D32" t="n">
        <v>7</v>
      </c>
      <c r="H32" t="n">
        <v>230</v>
      </c>
      <c r="J32" t="n">
        <v>11</v>
      </c>
      <c r="K32" t="n">
        <v>0</v>
      </c>
      <c r="L32" t="inlineStr">
        <is>
          <t>Assets/MachineBrigade/Resources/Data/balance.json: secondRounds.families[13]</t>
        </is>
      </c>
      <c r="M32" t="inlineStr">
        <is>
          <t>{"id":"m2_browning_12_7_mm_api","real":"M2 Browning 12.7 mm API","projectileSpeed":230,"splash":0,"roundWeight":11}</t>
        </is>
      </c>
    </row>
    <row r="33">
      <c r="A33" t="inlineStr">
        <is>
          <t>m31_gmlrs_227_mm</t>
        </is>
      </c>
      <c r="B33" t="inlineStr">
        <is>
          <t>M31 GMLRS 227 mm</t>
        </is>
      </c>
      <c r="C33" t="inlineStr">
        <is>
          <t>weaponFamilies</t>
        </is>
      </c>
      <c r="D33" t="n">
        <v>2</v>
      </c>
      <c r="F33" t="inlineStr">
        <is>
          <t>gmlrs</t>
        </is>
      </c>
      <c r="H33" t="n">
        <v>140</v>
      </c>
      <c r="J33" t="n">
        <v>160</v>
      </c>
      <c r="K33" t="n">
        <v>4.5</v>
      </c>
      <c r="L33" t="inlineStr">
        <is>
          <t>Assets/MachineBrigade/Resources/Data/balance.json: weaponFamilies[22]</t>
        </is>
      </c>
      <c r="M33" t="inlineStr">
        <is>
          <t>{"id":"m31_gmlrs_227_mm","real":"M31 GMLRS 227 mm","projectileSpeed":140,"splash":4.5,"projectileModel":"gmlrs","roundWeight":160}</t>
        </is>
      </c>
    </row>
    <row r="34">
      <c r="A34" t="inlineStr">
        <is>
          <t>m230_30_mm</t>
        </is>
      </c>
      <c r="B34" t="inlineStr">
        <is>
          <t>M230 30 mm</t>
        </is>
      </c>
      <c r="C34" t="inlineStr">
        <is>
          <t>weaponFamilies</t>
        </is>
      </c>
      <c r="D34" t="n">
        <v>1</v>
      </c>
      <c r="H34" t="n">
        <v>220</v>
      </c>
      <c r="K34" t="n">
        <v>0</v>
      </c>
      <c r="L34" t="inlineStr">
        <is>
          <t>Assets/MachineBrigade/Resources/Data/balance.json: weaponFamilies[17]</t>
        </is>
      </c>
      <c r="M34" t="inlineStr">
        <is>
          <t>{"id":"m230_30_mm","real":"M230 30 mm","projectileSpeed":220,"splash":0}</t>
        </is>
      </c>
    </row>
    <row r="35">
      <c r="A35" t="inlineStr">
        <is>
          <t>m230_30_mm_air_burst</t>
        </is>
      </c>
      <c r="B35" t="inlineStr">
        <is>
          <t>M230 30 mm air-burst</t>
        </is>
      </c>
      <c r="C35" t="inlineStr">
        <is>
          <t>secondRounds.families</t>
        </is>
      </c>
      <c r="D35" t="n">
        <v>2</v>
      </c>
      <c r="H35" t="n">
        <v>220</v>
      </c>
      <c r="K35" t="n">
        <v>2.5</v>
      </c>
      <c r="L35" t="inlineStr">
        <is>
          <t>Assets/MachineBrigade/Resources/Data/balance.json: secondRounds.families[4]</t>
        </is>
      </c>
      <c r="M35" t="inlineStr">
        <is>
          <t>{"id":"m230_30_mm_air_burst","real":"M230 30 mm air-burst","projectileSpeed":220,"splash":2.5}</t>
        </is>
      </c>
    </row>
    <row r="36">
      <c r="A36" t="inlineStr">
        <is>
          <t>m242_bushmaster_25_mm</t>
        </is>
      </c>
      <c r="B36" t="inlineStr">
        <is>
          <t>M242 Bushmaster 25 mm</t>
        </is>
      </c>
      <c r="C36" t="inlineStr">
        <is>
          <t>weaponFamilies</t>
        </is>
      </c>
      <c r="D36" t="n">
        <v>2</v>
      </c>
      <c r="H36" t="n">
        <v>210</v>
      </c>
      <c r="K36" t="n">
        <v>0</v>
      </c>
      <c r="L36" t="inlineStr">
        <is>
          <t>Assets/MachineBrigade/Resources/Data/balance.json: weaponFamilies[18]</t>
        </is>
      </c>
      <c r="M36" t="inlineStr">
        <is>
          <t>{"id":"m242_bushmaster_25_mm","real":"M242 Bushmaster 25 mm","projectileSpeed":210,"splash":0}</t>
        </is>
      </c>
    </row>
    <row r="37">
      <c r="A37" t="inlineStr">
        <is>
          <t>m242_bushmaster_25_mm_air_burst</t>
        </is>
      </c>
      <c r="B37" t="inlineStr">
        <is>
          <t>M242 Bushmaster 25 mm air-burst</t>
        </is>
      </c>
      <c r="C37" t="inlineStr">
        <is>
          <t>secondRounds.families</t>
        </is>
      </c>
      <c r="D37" t="n">
        <v>2</v>
      </c>
      <c r="H37" t="n">
        <v>210</v>
      </c>
      <c r="J37" t="n">
        <v>22</v>
      </c>
      <c r="K37" t="n">
        <v>2</v>
      </c>
      <c r="L37" t="inlineStr">
        <is>
          <t>Assets/MachineBrigade/Resources/Data/balance.json: secondRounds.families[0]</t>
        </is>
      </c>
      <c r="M37" t="inlineStr">
        <is>
          <t>{"id":"m242_bushmaster_25_mm_air_burst","real":"M242 Bushmaster 25 mm air-burst","projectileSpeed":210,"splash":2,"roundWeight":22}</t>
        </is>
      </c>
    </row>
    <row r="38">
      <c r="A38" t="inlineStr">
        <is>
          <t>m284_155_mm</t>
        </is>
      </c>
      <c r="B38" t="inlineStr">
        <is>
          <t>M284 155 mm</t>
        </is>
      </c>
      <c r="C38" t="inlineStr">
        <is>
          <t>weaponFamilies</t>
        </is>
      </c>
      <c r="D38" t="n">
        <v>5</v>
      </c>
      <c r="F38" t="inlineStr">
        <is>
          <t>shell_155</t>
        </is>
      </c>
      <c r="G38" t="n">
        <v>0.7272999999999999</v>
      </c>
      <c r="H38" t="n">
        <v>150</v>
      </c>
      <c r="I38" t="n">
        <v>0.8</v>
      </c>
      <c r="K38" t="n">
        <v>7</v>
      </c>
      <c r="L38" t="inlineStr">
        <is>
          <t>Assets/MachineBrigade/Resources/Data/balance.json: weaponFamilies[19]</t>
        </is>
      </c>
      <c r="M38" t="inlineStr">
        <is>
          <t>{"id":"m284_155_mm","real":"M284 155 mm","projectileSpeed":150,"splash":7,"projectileModel":"shell_155","roundLength":0.8,"projectileScale":0.7273}</t>
        </is>
      </c>
    </row>
    <row r="39">
      <c r="A39" t="inlineStr">
        <is>
          <t>m284_155_mm_2</t>
        </is>
      </c>
      <c r="B39" t="inlineStr">
        <is>
          <t>M284 155 mm</t>
        </is>
      </c>
      <c r="C39" t="inlineStr">
        <is>
          <t>weaponFamilies</t>
        </is>
      </c>
      <c r="D39" t="n">
        <v>4</v>
      </c>
      <c r="F39" t="inlineStr">
        <is>
          <t>shell_155</t>
        </is>
      </c>
      <c r="G39" t="n">
        <v>0.7272999999999999</v>
      </c>
      <c r="H39" t="n">
        <v>100</v>
      </c>
      <c r="I39" t="n">
        <v>0.8</v>
      </c>
      <c r="K39" t="n">
        <v>7</v>
      </c>
      <c r="L39" t="inlineStr">
        <is>
          <t>Assets/MachineBrigade/Resources/Data/balance.json: weaponFamilies[20]</t>
        </is>
      </c>
      <c r="M39" t="inlineStr">
        <is>
          <t>{"id":"m284_155_mm_2","real":"M284 155 mm","projectileSpeed":100,"splash":7,"projectileModel":"shell_155","roundLength":0.8,"projectileScale":0.7273}</t>
        </is>
      </c>
    </row>
    <row r="40">
      <c r="A40" t="inlineStr">
        <is>
          <t>m284_155_mm_casemate</t>
        </is>
      </c>
      <c r="B40" t="inlineStr">
        <is>
          <t>M284 155 mm</t>
        </is>
      </c>
      <c r="C40" t="inlineStr">
        <is>
          <t>weaponFamilies</t>
        </is>
      </c>
      <c r="D40" t="n">
        <v>1</v>
      </c>
      <c r="F40" t="inlineStr">
        <is>
          <t>shell_155</t>
        </is>
      </c>
      <c r="G40" t="n">
        <v>0.7272999999999999</v>
      </c>
      <c r="H40" t="n">
        <v>100</v>
      </c>
      <c r="I40" t="n">
        <v>0.8</v>
      </c>
      <c r="K40" t="n">
        <v>8</v>
      </c>
      <c r="L40" t="inlineStr">
        <is>
          <t>Assets/MachineBrigade/Resources/Data/balance.json: weaponFamilies[21]</t>
        </is>
      </c>
      <c r="M40" t="inlineStr">
        <is>
          <t>{"id":"m284_155_mm_casemate","real":"M284 155 mm","projectileSpeed":100,"splash":8,"projectileModel":"shell_155","roundLength":0.8,"projectileScale":0.7273}</t>
        </is>
      </c>
    </row>
    <row r="41">
      <c r="A41" t="inlineStr">
        <is>
          <t>m284_155_mm_guided</t>
        </is>
      </c>
      <c r="B41" t="inlineStr">
        <is>
          <t>M284 155 mm guided</t>
        </is>
      </c>
      <c r="C41" t="inlineStr">
        <is>
          <t>secondRounds.families</t>
        </is>
      </c>
      <c r="D41" t="n">
        <v>3</v>
      </c>
      <c r="F41" t="inlineStr">
        <is>
          <t>shell_155</t>
        </is>
      </c>
      <c r="H41" t="n">
        <v>45</v>
      </c>
      <c r="K41" t="n">
        <v>7</v>
      </c>
      <c r="L41" t="inlineStr">
        <is>
          <t>Assets/MachineBrigade/Resources/Data/balance.json: secondRounds.families[6]</t>
        </is>
      </c>
      <c r="M41" t="inlineStr">
        <is>
          <t>{"id":"m284_155_mm_guided","real":"M284 155 mm guided","projectileSpeed":45,"splash":7,"projectileModel":"shell_155"}</t>
        </is>
      </c>
    </row>
    <row r="42">
      <c r="A42" t="inlineStr">
        <is>
          <t>m284_155_mm_guided_direct</t>
        </is>
      </c>
      <c r="B42" t="inlineStr">
        <is>
          <t>M284 155 mm guided</t>
        </is>
      </c>
      <c r="C42" t="inlineStr">
        <is>
          <t>secondRounds.families</t>
        </is>
      </c>
      <c r="D42" t="n">
        <v>3</v>
      </c>
      <c r="F42" t="inlineStr">
        <is>
          <t>shell_155</t>
        </is>
      </c>
      <c r="H42" t="n">
        <v>150</v>
      </c>
      <c r="K42" t="n">
        <v>7</v>
      </c>
      <c r="L42" t="inlineStr">
        <is>
          <t>Assets/MachineBrigade/Resources/Data/balance.json: secondRounds.families[12]</t>
        </is>
      </c>
      <c r="M42" t="inlineStr">
        <is>
          <t>{"id":"m284_155_mm_guided_direct","real":"M284 155 mm guided","projectileSpeed":150,"splash":7,"projectileModel":"shell_155"}</t>
        </is>
      </c>
    </row>
    <row r="43">
      <c r="A43" t="inlineStr">
        <is>
          <t>mim_104_patriot_pac_2</t>
        </is>
      </c>
      <c r="B43" t="inlineStr">
        <is>
          <t>MIM-104 Patriot PAC-2</t>
        </is>
      </c>
      <c r="C43" t="inlineStr">
        <is>
          <t>weaponFamilies</t>
        </is>
      </c>
      <c r="D43" t="n">
        <v>2</v>
      </c>
      <c r="E43" t="inlineStr">
        <is>
          <t>Loft</t>
        </is>
      </c>
      <c r="F43" t="inlineStr">
        <is>
          <t>patriot</t>
        </is>
      </c>
      <c r="G43" t="n">
        <v>1.2471</v>
      </c>
      <c r="H43" t="n">
        <v>300</v>
      </c>
      <c r="I43" t="n">
        <v>4.24</v>
      </c>
      <c r="K43" t="n">
        <v>2.5</v>
      </c>
      <c r="L43" t="inlineStr">
        <is>
          <t>Assets/MachineBrigade/Resources/Data/balance.json: weaponFamilies[23]</t>
        </is>
      </c>
      <c r="M43" t="inlineStr">
        <is>
          <t>{"id":"mim_104_patriot_pac_2","flightProfile":"Loft","real":"MIM-104 Patriot PAC-2","projectileSpeed":300,"splash":2.5,"projectileModel":"patriot","roundLength":4.24,"projectileScale":1.2471}</t>
        </is>
      </c>
    </row>
    <row r="44">
      <c r="A44" t="inlineStr">
        <is>
          <t>mk_19_40_mm</t>
        </is>
      </c>
      <c r="B44" t="inlineStr">
        <is>
          <t>Mk 19 40 mm</t>
        </is>
      </c>
      <c r="C44" t="inlineStr">
        <is>
          <t>weaponFamilies</t>
        </is>
      </c>
      <c r="D44" t="n">
        <v>2</v>
      </c>
      <c r="H44" t="n">
        <v>70</v>
      </c>
      <c r="K44" t="n">
        <v>2</v>
      </c>
      <c r="L44" t="inlineStr">
        <is>
          <t>Assets/MachineBrigade/Resources/Data/balance.json: weaponFamilies[24]</t>
        </is>
      </c>
      <c r="M44" t="inlineStr">
        <is>
          <t>{"id":"mk_19_40_mm","real":"Mk 19 40 mm","projectileSpeed":70,"splash":2}</t>
        </is>
      </c>
    </row>
    <row r="45">
      <c r="A45" t="inlineStr">
        <is>
          <t>nsm_oniks</t>
        </is>
      </c>
      <c r="B45" t="inlineStr">
        <is>
          <t>NSM / P-800 Oniks</t>
        </is>
      </c>
      <c r="C45" t="inlineStr">
        <is>
          <t>weaponFamilies</t>
        </is>
      </c>
      <c r="D45" t="n">
        <v>1</v>
      </c>
      <c r="E45" t="inlineStr">
        <is>
          <t>Loft</t>
        </is>
      </c>
      <c r="H45" t="n">
        <v>225</v>
      </c>
      <c r="I45" t="n">
        <v>3.17</v>
      </c>
      <c r="J45" t="n">
        <v>680</v>
      </c>
      <c r="K45" t="n">
        <v>7</v>
      </c>
      <c r="L45" t="inlineStr">
        <is>
          <t>Assets/MachineBrigade/Resources/Data/balance.json: weaponFamilies[41]</t>
        </is>
      </c>
      <c r="M45" t="inlineStr">
        <is>
          <t>{"id":"nsm_oniks","flightProfile":"Loft","real":"NSM / P-800 Oniks","projectileSpeed":225,"splash":7,"roundWeight":680,"roundLength":3.17}</t>
        </is>
      </c>
    </row>
    <row r="46">
      <c r="A46" t="inlineStr">
        <is>
          <t>nsv_12_7_mm</t>
        </is>
      </c>
      <c r="B46" t="inlineStr">
        <is>
          <t>NSV 12.7 mm</t>
        </is>
      </c>
      <c r="C46" t="inlineStr">
        <is>
          <t>weaponFamilies</t>
        </is>
      </c>
      <c r="D46" t="n">
        <v>3</v>
      </c>
      <c r="H46" t="n">
        <v>240</v>
      </c>
      <c r="J46" t="n">
        <v>14</v>
      </c>
      <c r="K46" t="n">
        <v>0</v>
      </c>
      <c r="L46" t="inlineStr">
        <is>
          <t>Assets/MachineBrigade/Resources/Data/balance.json: weaponFamilies[25]</t>
        </is>
      </c>
      <c r="M46" t="inlineStr">
        <is>
          <t>{"id":"nsv_12_7_mm","real":"NSV 12.7 mm","projectileSpeed":240,"splash":0,"roundWeight":14}</t>
        </is>
      </c>
    </row>
    <row r="47">
      <c r="A47" t="inlineStr">
        <is>
          <t>nsv_12_7_mm_api</t>
        </is>
      </c>
      <c r="B47" t="inlineStr">
        <is>
          <t>NSV 12.7 mm API</t>
        </is>
      </c>
      <c r="C47" t="inlineStr">
        <is>
          <t>secondRounds.families</t>
        </is>
      </c>
      <c r="D47" t="n">
        <v>3</v>
      </c>
      <c r="H47" t="n">
        <v>240</v>
      </c>
      <c r="J47" t="n">
        <v>14</v>
      </c>
      <c r="K47" t="n">
        <v>0</v>
      </c>
      <c r="L47" t="inlineStr">
        <is>
          <t>Assets/MachineBrigade/Resources/Data/balance.json: secondRounds.families[5]</t>
        </is>
      </c>
      <c r="M47" t="inlineStr">
        <is>
          <t>{"id":"nsv_12_7_mm_api","real":"NSV 12.7 mm API","projectileSpeed":240,"splash":0,"roundWeight":14}</t>
        </is>
      </c>
    </row>
    <row r="48">
      <c r="A48" t="inlineStr">
        <is>
          <t>odab_500</t>
        </is>
      </c>
      <c r="B48" t="inlineStr">
        <is>
          <t>ODAB-500</t>
        </is>
      </c>
      <c r="C48" t="inlineStr">
        <is>
          <t>weaponFamilies</t>
        </is>
      </c>
      <c r="D48" t="n">
        <v>0</v>
      </c>
      <c r="H48" t="n">
        <v>35</v>
      </c>
      <c r="I48" t="n">
        <v>1.23</v>
      </c>
      <c r="J48" t="n">
        <v>500</v>
      </c>
      <c r="K48" t="n">
        <v>12</v>
      </c>
      <c r="L48" t="inlineStr">
        <is>
          <t>Assets/MachineBrigade/Resources/Data/balance.json: weaponFamilies[35]</t>
        </is>
      </c>
      <c r="M48" t="inlineStr">
        <is>
          <t>{"id":"odab_500","real":"ODAB-500","projectileSpeed":35,"splash":12,"roundWeight":500,"roundLength":1.23}</t>
        </is>
      </c>
    </row>
    <row r="49">
      <c r="A49" t="inlineStr">
        <is>
          <t>oerlikon_35_mm</t>
        </is>
      </c>
      <c r="B49" t="inlineStr">
        <is>
          <t>Oerlikon 35 mm</t>
        </is>
      </c>
      <c r="C49" t="inlineStr">
        <is>
          <t>weaponFamilies</t>
        </is>
      </c>
      <c r="D49" t="n">
        <v>4</v>
      </c>
      <c r="H49" t="n">
        <v>260</v>
      </c>
      <c r="J49" t="n">
        <v>26</v>
      </c>
      <c r="K49" t="n">
        <v>2.5</v>
      </c>
      <c r="L49" t="inlineStr">
        <is>
          <t>Assets/MachineBrigade/Resources/Data/balance.json: weaponFamilies[26]</t>
        </is>
      </c>
      <c r="M49" t="inlineStr">
        <is>
          <t>{"id":"oerlikon_35_mm","real":"Oerlikon 35 mm","projectileSpeed":260,"splash":2.5,"roundWeight":26}</t>
        </is>
      </c>
    </row>
    <row r="50">
      <c r="A50" t="inlineStr">
        <is>
          <t>oerlikon_35_mm_ap</t>
        </is>
      </c>
      <c r="B50" t="inlineStr">
        <is>
          <t>Oerlikon 35 mm AP</t>
        </is>
      </c>
      <c r="C50" t="inlineStr">
        <is>
          <t>secondRounds.families</t>
        </is>
      </c>
      <c r="D50" t="n">
        <v>2</v>
      </c>
      <c r="H50" t="n">
        <v>260</v>
      </c>
      <c r="J50" t="n">
        <v>26</v>
      </c>
      <c r="K50" t="n">
        <v>0</v>
      </c>
      <c r="L50" t="inlineStr">
        <is>
          <t>Assets/MachineBrigade/Resources/Data/balance.json: secondRounds.families[3]</t>
        </is>
      </c>
      <c r="M50" t="inlineStr">
        <is>
          <t>{"id":"oerlikon_35_mm_ap","real":"Oerlikon 35 mm AP","projectileSpeed":260,"splash":0,"roundWeight":26}</t>
        </is>
      </c>
    </row>
    <row r="51">
      <c r="A51" t="inlineStr">
        <is>
          <t>pkt_m240_7_62_mm</t>
        </is>
      </c>
      <c r="B51" t="inlineStr">
        <is>
          <t>PKT / M240 7.62 mm</t>
        </is>
      </c>
      <c r="C51" t="inlineStr">
        <is>
          <t>weaponFamilies</t>
        </is>
      </c>
      <c r="D51" t="n">
        <v>3</v>
      </c>
      <c r="H51" t="n">
        <v>240</v>
      </c>
      <c r="K51" t="n">
        <v>0</v>
      </c>
      <c r="L51" t="inlineStr">
        <is>
          <t>Assets/MachineBrigade/Resources/Data/balance.json: weaponFamilies[27]</t>
        </is>
      </c>
      <c r="M51" t="inlineStr">
        <is>
          <t>{"id":"pkt_m240_7_62_mm","real":"PKT / M240 7.62 mm","projectileSpeed":240,"splash":0}</t>
        </is>
      </c>
    </row>
    <row r="52">
      <c r="A52" t="inlineStr">
        <is>
          <t>rh_120_l_44_120_mm</t>
        </is>
      </c>
      <c r="B52" t="inlineStr">
        <is>
          <t>Rh-120 L/44 120 mm</t>
        </is>
      </c>
      <c r="C52" t="inlineStr">
        <is>
          <t>weaponFamilies</t>
        </is>
      </c>
      <c r="D52" t="n">
        <v>5</v>
      </c>
      <c r="H52" t="n">
        <v>170</v>
      </c>
      <c r="J52" t="n">
        <v>290</v>
      </c>
      <c r="K52" t="n">
        <v>1.5</v>
      </c>
      <c r="L52" t="inlineStr">
        <is>
          <t>Assets/MachineBrigade/Resources/Data/balance.json: weaponFamilies[28]</t>
        </is>
      </c>
      <c r="M52" t="inlineStr">
        <is>
          <t>{"id":"rh_120_l_44_120_mm","real":"Rh-120 L/44 120 mm","projectileSpeed":170,"splash":1.5,"roundWeight":290}</t>
        </is>
      </c>
    </row>
    <row r="53">
      <c r="A53" t="inlineStr">
        <is>
          <t>rh_120_l_44_120_mm_he</t>
        </is>
      </c>
      <c r="B53" t="inlineStr">
        <is>
          <t>Rh-120 L/44 120 mm HE</t>
        </is>
      </c>
      <c r="C53" t="inlineStr">
        <is>
          <t>secondRounds.families</t>
        </is>
      </c>
      <c r="D53" t="n">
        <v>3</v>
      </c>
      <c r="H53" t="n">
        <v>170</v>
      </c>
      <c r="J53" t="n">
        <v>290</v>
      </c>
      <c r="K53" t="n">
        <v>3</v>
      </c>
      <c r="L53" t="inlineStr">
        <is>
          <t>Assets/MachineBrigade/Resources/Data/balance.json: secondRounds.families[11]</t>
        </is>
      </c>
      <c r="M53" t="inlineStr">
        <is>
          <t>{"id":"rh_120_l_44_120_mm_he","real":"Rh-120 L/44 120 mm HE","projectileSpeed":170,"splash":3,"roundWeight":290}</t>
        </is>
      </c>
    </row>
    <row r="54">
      <c r="A54" t="inlineStr">
        <is>
          <t>s_8_80_mm</t>
        </is>
      </c>
      <c r="B54" t="inlineStr">
        <is>
          <t>S-8 80 mm</t>
        </is>
      </c>
      <c r="C54" t="inlineStr">
        <is>
          <t>weaponFamilies</t>
        </is>
      </c>
      <c r="D54" t="n">
        <v>3</v>
      </c>
      <c r="F54" t="inlineStr">
        <is>
          <t>s8</t>
        </is>
      </c>
      <c r="H54" t="n">
        <v>180</v>
      </c>
      <c r="J54" t="n">
        <v>60</v>
      </c>
      <c r="K54" t="n">
        <v>3</v>
      </c>
      <c r="L54" t="inlineStr">
        <is>
          <t>Assets/MachineBrigade/Resources/Data/balance.json: weaponFamilies[29]</t>
        </is>
      </c>
      <c r="M54" t="inlineStr">
        <is>
          <t>{"id":"s_8_80_mm","real":"S-8 80 mm","projectileSpeed":180,"splash":3,"projectileModel":"s8","roundWeight":60}</t>
        </is>
      </c>
    </row>
    <row r="55">
      <c r="A55" t="inlineStr">
        <is>
          <t>s_8_80_mm_boat</t>
        </is>
      </c>
      <c r="B55" t="inlineStr">
        <is>
          <t>S-8 80 mm</t>
        </is>
      </c>
      <c r="C55" t="inlineStr">
        <is>
          <t>weaponFamilies</t>
        </is>
      </c>
      <c r="D55" t="n">
        <v>1</v>
      </c>
      <c r="F55" t="inlineStr">
        <is>
          <t>s8</t>
        </is>
      </c>
      <c r="H55" t="n">
        <v>180</v>
      </c>
      <c r="J55" t="n">
        <v>60</v>
      </c>
      <c r="K55" t="n">
        <v>3.5</v>
      </c>
      <c r="L55" t="inlineStr">
        <is>
          <t>Assets/MachineBrigade/Resources/Data/balance.json: weaponFamilies[30]</t>
        </is>
      </c>
      <c r="M55" t="inlineStr">
        <is>
          <t>{"id":"s_8_80_mm_boat","real":"S-8 80 mm","projectileSpeed":180,"splash":3.5,"projectileModel":"s8","roundWeight":60}</t>
        </is>
      </c>
    </row>
    <row r="56">
      <c r="A56" t="inlineStr">
        <is>
          <t>smart_155_bonus</t>
        </is>
      </c>
      <c r="B56" t="inlineStr">
        <is>
          <t>SMArt 155 / BONUS</t>
        </is>
      </c>
      <c r="C56" t="inlineStr">
        <is>
          <t>weaponFamilies</t>
        </is>
      </c>
      <c r="D56" t="n">
        <v>0</v>
      </c>
      <c r="F56" t="inlineStr">
        <is>
          <t>smart_155</t>
        </is>
      </c>
      <c r="H56" t="n">
        <v>100</v>
      </c>
      <c r="I56" t="n">
        <v>0.8</v>
      </c>
      <c r="K56" t="n">
        <v>2</v>
      </c>
      <c r="L56" t="inlineStr">
        <is>
          <t>Assets/MachineBrigade/Resources/Data/balance.json: weaponFamilies[39]</t>
        </is>
      </c>
      <c r="M56" t="inlineStr">
        <is>
          <t>{"id":"smart_155_bonus","real":"SMArt 155 / BONUS","projectileSpeed":100,"splash":2,"projectileModel":"smart_155","roundLength":0.8}</t>
        </is>
      </c>
    </row>
    <row r="57">
      <c r="A57" t="inlineStr">
        <is>
          <t>switchblade_300</t>
        </is>
      </c>
      <c r="B57" t="inlineStr">
        <is>
          <t>Switchblade 300</t>
        </is>
      </c>
      <c r="C57" t="inlineStr">
        <is>
          <t>weaponFamilies</t>
        </is>
      </c>
      <c r="D57" t="n">
        <v>0</v>
      </c>
      <c r="H57" t="n">
        <v>30</v>
      </c>
      <c r="I57" t="n">
        <v>0.8</v>
      </c>
      <c r="J57" t="n">
        <v>3</v>
      </c>
      <c r="K57" t="n">
        <v>2</v>
      </c>
      <c r="L57" t="inlineStr">
        <is>
          <t>Assets/MachineBrigade/Resources/Data/balance.json: weaponFamilies[40]</t>
        </is>
      </c>
      <c r="M57" t="inlineStr">
        <is>
          <t>{"id":"switchblade_300","real":"Switchblade 300","projectileSpeed":30,"splash":2,"roundWeight":3,"roundLength":0.8}</t>
        </is>
      </c>
    </row>
    <row r="58">
      <c r="A58" t="inlineStr">
        <is>
          <t>tos_1a_220_mm_thermobaric</t>
        </is>
      </c>
      <c r="B58" t="inlineStr">
        <is>
          <t>TOS-1A 220 mm thermobaric</t>
        </is>
      </c>
      <c r="C58" t="inlineStr">
        <is>
          <t>weaponFamilies</t>
        </is>
      </c>
      <c r="D58" t="n">
        <v>1</v>
      </c>
      <c r="F58" t="inlineStr">
        <is>
          <t>tos_rocket</t>
        </is>
      </c>
      <c r="H58" t="n">
        <v>70</v>
      </c>
      <c r="K58" t="n">
        <v>7</v>
      </c>
      <c r="L58" t="inlineStr">
        <is>
          <t>Assets/MachineBrigade/Resources/Data/balance.json: weaponFamilies[31]</t>
        </is>
      </c>
      <c r="M58" t="inlineStr">
        <is>
          <t>{"id":"tos_1a_220_mm_thermobaric","real":"TOS-1A 220 mm thermobaric","projectileSpeed":70,"splash":7,"projectileModel":"tos_rocket"}</t>
        </is>
      </c>
    </row>
    <row r="59">
      <c r="A59" t="inlineStr">
        <is>
          <t>zala_lancet_3</t>
        </is>
      </c>
      <c r="B59" t="inlineStr">
        <is>
          <t>ZALA Lancet-3</t>
        </is>
      </c>
      <c r="C59" t="inlineStr">
        <is>
          <t>weaponFamilies</t>
        </is>
      </c>
      <c r="D59" t="n">
        <v>3</v>
      </c>
      <c r="F59" t="inlineStr">
        <is>
          <t>lancet</t>
        </is>
      </c>
      <c r="H59" t="n">
        <v>28</v>
      </c>
      <c r="K59" t="n">
        <v>3</v>
      </c>
      <c r="L59" t="inlineStr">
        <is>
          <t>Assets/MachineBrigade/Resources/Data/balance.json: weaponFamilies[42]</t>
        </is>
      </c>
      <c r="M59" t="inlineStr">
        <is>
          <t>{"id":"zala_lancet_3","real":"ZALA Lancet-3","projectileSpeed":28,"splash":3,"projectileModel":"lancet"}</t>
        </is>
      </c>
    </row>
  </sheetData>
  <autoFilter ref="A1:M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21" customWidth="1" min="2" max="2"/>
    <col width="28" customWidth="1" min="3" max="3"/>
    <col width="10" customWidth="1" min="4" max="4"/>
    <col width="10" customWidth="1" min="5" max="5"/>
    <col width="16" customWidth="1" min="6" max="6"/>
    <col width="17" customWidth="1" min="7" max="7"/>
    <col width="8" customWidth="1" min="8" max="8"/>
    <col width="21" customWidth="1" min="9" max="9"/>
    <col width="8" customWidth="1" min="10" max="10"/>
    <col width="23" customWidth="1" min="11" max="11"/>
    <col width="17" customWidth="1" min="12" max="12"/>
    <col width="17" customWidth="1" min="13" max="13"/>
    <col width="60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vu_khi_goc</t>
        </is>
      </c>
      <c r="C1" s="1" t="inlineStr">
        <is>
          <t>dan_id</t>
        </is>
      </c>
      <c r="D1" s="1" t="inlineStr">
        <is>
          <t>lien_ket</t>
        </is>
      </c>
      <c r="E1" s="1" t="inlineStr">
        <is>
          <t>loai_dan</t>
        </is>
      </c>
      <c r="F1" s="1" t="inlineStr">
        <is>
          <t>dung_cho</t>
        </is>
      </c>
      <c r="G1" s="1" t="inlineStr">
        <is>
          <t>loai_sat_thuong</t>
        </is>
      </c>
      <c r="H1" s="1" t="inlineStr">
        <is>
          <t>xuyen</t>
        </is>
      </c>
      <c r="I1" s="1" t="inlineStr">
        <is>
          <t>sat_thuong_moi_phat</t>
        </is>
      </c>
      <c r="J1" s="1" t="inlineStr">
        <is>
          <t>loi_m</t>
        </is>
      </c>
      <c r="K1" s="1" t="inlineStr">
        <is>
          <t>dieu_kien_tu_doi</t>
        </is>
      </c>
      <c r="L1" s="1" t="inlineStr">
        <is>
          <t>thoi_gian_doi_s</t>
        </is>
      </c>
      <c r="M1" s="1" t="inlineStr">
        <is>
          <t>thoi_gian_giu_s</t>
        </is>
      </c>
      <c r="N1" s="1" t="inlineStr">
        <is>
          <t>nguon</t>
        </is>
      </c>
      <c r="O1" s="1" t="inlineStr">
        <is>
          <t>raw_json</t>
        </is>
      </c>
    </row>
    <row r="2">
      <c r="A2" t="inlineStr">
        <is>
          <t>aa_25_triple/aa_25_triple_ap</t>
        </is>
      </c>
      <c r="B2" t="inlineStr">
        <is>
          <t>aa_25_triple</t>
        </is>
      </c>
      <c r="C2" t="inlineStr">
        <is>
          <t>aa_25_triple_ap</t>
        </is>
      </c>
      <c r="D2" t="inlineStr">
        <is>
          <t>roundOf</t>
        </is>
      </c>
      <c r="E2" t="inlineStr">
        <is>
          <t>ap</t>
        </is>
      </c>
      <c r="F2" t="inlineStr">
        <is>
          <t>ground</t>
        </is>
      </c>
      <c r="G2" t="inlineStr">
        <is>
          <t>Kinetic</t>
        </is>
      </c>
      <c r="H2" t="n">
        <v>2</v>
      </c>
      <c r="I2" t="n">
        <v>17</v>
      </c>
      <c r="J2" t="n">
        <v>0</v>
      </c>
      <c r="K2" t="inlineStr">
        <is>
          <t>Ground</t>
        </is>
      </c>
      <c r="L2" t="n">
        <v>2.4</v>
      </c>
      <c r="M2" t="n">
        <v>2</v>
      </c>
      <c r="N2" t="inlineStr">
        <is>
          <t>Assets/MachineBrigade/Resources/Data/balance.json: secondRounds.rounds (roundOf)</t>
        </is>
      </c>
      <c r="O2" t="inlineStr"/>
    </row>
    <row r="3">
      <c r="A3" t="inlineStr">
        <is>
          <t>autocannon_25/autocannon_25_flak</t>
        </is>
      </c>
      <c r="B3" t="inlineStr">
        <is>
          <t>autocannon_25</t>
        </is>
      </c>
      <c r="C3" t="inlineStr">
        <is>
          <t>autocannon_25_flak</t>
        </is>
      </c>
      <c r="D3" t="inlineStr">
        <is>
          <t>roundOf</t>
        </is>
      </c>
      <c r="E3" t="inlineStr">
        <is>
          <t>flak</t>
        </is>
      </c>
      <c r="F3" t="inlineStr">
        <is>
          <t>air</t>
        </is>
      </c>
      <c r="G3" t="inlineStr">
        <is>
          <t>Fragmentation</t>
        </is>
      </c>
      <c r="H3" t="n">
        <v>1</v>
      </c>
      <c r="I3" t="n">
        <v>17</v>
      </c>
      <c r="J3" t="n">
        <v>2</v>
      </c>
      <c r="K3" t="inlineStr">
        <is>
          <t>Air</t>
        </is>
      </c>
      <c r="L3" t="n">
        <v>1.4667</v>
      </c>
      <c r="M3" t="n">
        <v>2</v>
      </c>
      <c r="N3" t="inlineStr">
        <is>
          <t>Assets/MachineBrigade/Resources/Data/balance.json: secondRounds.rounds (roundOf)</t>
        </is>
      </c>
      <c r="O3" t="inlineStr"/>
    </row>
    <row r="4">
      <c r="A4" t="inlineStr">
        <is>
          <t>autocannon_30/autocannon_30_flak</t>
        </is>
      </c>
      <c r="B4" t="inlineStr">
        <is>
          <t>autocannon_30</t>
        </is>
      </c>
      <c r="C4" t="inlineStr">
        <is>
          <t>autocannon_30_flak</t>
        </is>
      </c>
      <c r="D4" t="inlineStr">
        <is>
          <t>roundOf</t>
        </is>
      </c>
      <c r="E4" t="inlineStr">
        <is>
          <t>flak</t>
        </is>
      </c>
      <c r="F4" t="inlineStr">
        <is>
          <t>air</t>
        </is>
      </c>
      <c r="G4" t="inlineStr">
        <is>
          <t>Fragmentation</t>
        </is>
      </c>
      <c r="H4" t="n">
        <v>2</v>
      </c>
      <c r="I4" t="n">
        <v>22</v>
      </c>
      <c r="J4" t="n">
        <v>2.5</v>
      </c>
      <c r="K4" t="inlineStr">
        <is>
          <t>Air</t>
        </is>
      </c>
      <c r="L4" t="n">
        <v>1.6111</v>
      </c>
      <c r="M4" t="n">
        <v>2</v>
      </c>
      <c r="N4" t="inlineStr">
        <is>
          <t>Assets/MachineBrigade/Resources/Data/balance.json: secondRounds.rounds (roundOf)</t>
        </is>
      </c>
      <c r="O4" t="inlineStr"/>
    </row>
    <row r="5">
      <c r="A5" t="inlineStr">
        <is>
          <t>autocannon_40/autocannon_40_flak</t>
        </is>
      </c>
      <c r="B5" t="inlineStr">
        <is>
          <t>autocannon_40</t>
        </is>
      </c>
      <c r="C5" t="inlineStr">
        <is>
          <t>autocannon_40_flak</t>
        </is>
      </c>
      <c r="D5" t="inlineStr">
        <is>
          <t>roundOf</t>
        </is>
      </c>
      <c r="E5" t="inlineStr">
        <is>
          <t>flak</t>
        </is>
      </c>
      <c r="F5" t="inlineStr">
        <is>
          <t>air</t>
        </is>
      </c>
      <c r="G5" t="inlineStr">
        <is>
          <t>Fragmentation</t>
        </is>
      </c>
      <c r="H5" t="n">
        <v>2</v>
      </c>
      <c r="I5" t="n">
        <v>30</v>
      </c>
      <c r="J5" t="n">
        <v>3.5</v>
      </c>
      <c r="K5" t="inlineStr">
        <is>
          <t>Air</t>
        </is>
      </c>
      <c r="L5" t="n">
        <v>1.72</v>
      </c>
      <c r="M5" t="n">
        <v>2</v>
      </c>
      <c r="N5" t="inlineStr">
        <is>
          <t>Assets/MachineBrigade/Resources/Data/balance.json: secondRounds.rounds (roundOf)</t>
        </is>
      </c>
      <c r="O5" t="inlineStr"/>
    </row>
    <row r="6">
      <c r="A6" t="inlineStr">
        <is>
          <t>bastion_gun/bastion_gun_he</t>
        </is>
      </c>
      <c r="B6" t="inlineStr">
        <is>
          <t>bastion_gun</t>
        </is>
      </c>
      <c r="C6" t="inlineStr">
        <is>
          <t>bastion_gun_he</t>
        </is>
      </c>
      <c r="D6" t="inlineStr">
        <is>
          <t>roundOf</t>
        </is>
      </c>
      <c r="E6" t="inlineStr">
        <is>
          <t>he</t>
        </is>
      </c>
      <c r="F6" t="inlineStr">
        <is>
          <t>light;structure</t>
        </is>
      </c>
      <c r="G6" t="inlineStr">
        <is>
          <t>HighExplosive</t>
        </is>
      </c>
      <c r="H6" t="n">
        <v>3</v>
      </c>
      <c r="I6" t="n">
        <v>457</v>
      </c>
      <c r="J6" t="n">
        <v>6.5</v>
      </c>
      <c r="K6" t="inlineStr">
        <is>
          <t>Light, Structure</t>
        </is>
      </c>
      <c r="L6" t="n">
        <v>7.443</v>
      </c>
      <c r="M6" t="n">
        <v>2</v>
      </c>
      <c r="N6" t="inlineStr">
        <is>
          <t>Assets/MachineBrigade/Resources/Data/balance.json: secondRounds.rounds (roundOf)</t>
        </is>
      </c>
      <c r="O6" t="inlineStr"/>
    </row>
    <row r="7">
      <c r="A7" t="inlineStr">
        <is>
          <t>bomber_tail_guns/bomber_tail_guns_api</t>
        </is>
      </c>
      <c r="B7" t="inlineStr">
        <is>
          <t>bomber_tail_guns</t>
        </is>
      </c>
      <c r="C7" t="inlineStr">
        <is>
          <t>bomber_tail_guns_api</t>
        </is>
      </c>
      <c r="D7" t="inlineStr">
        <is>
          <t>roundOf</t>
        </is>
      </c>
      <c r="E7" t="inlineStr">
        <is>
          <t>api</t>
        </is>
      </c>
      <c r="F7" t="inlineStr">
        <is>
          <t>any</t>
        </is>
      </c>
      <c r="G7" t="inlineStr">
        <is>
          <t>Kinetic</t>
        </is>
      </c>
      <c r="H7" t="n">
        <v>2</v>
      </c>
      <c r="I7" t="n">
        <v>9.5</v>
      </c>
      <c r="J7" t="n">
        <v>0</v>
      </c>
      <c r="K7" t="inlineStr">
        <is>
          <t>Any (chỉ tinh nhuệ)</t>
        </is>
      </c>
      <c r="L7" t="n">
        <v>2.78</v>
      </c>
      <c r="M7" t="n">
        <v>2</v>
      </c>
      <c r="N7" t="inlineStr">
        <is>
          <t>Assets/MachineBrigade/Resources/Data/balance.json: secondRounds.rounds (roundOf)</t>
        </is>
      </c>
      <c r="O7" t="inlineStr"/>
    </row>
    <row r="8">
      <c r="A8" t="inlineStr">
        <is>
          <t>borer_cannon/borer_cannon_he</t>
        </is>
      </c>
      <c r="B8" t="inlineStr">
        <is>
          <t>borer_cannon</t>
        </is>
      </c>
      <c r="C8" t="inlineStr">
        <is>
          <t>borer_cannon_he</t>
        </is>
      </c>
      <c r="D8" t="inlineStr">
        <is>
          <t>roundOf</t>
        </is>
      </c>
      <c r="E8" t="inlineStr">
        <is>
          <t>he</t>
        </is>
      </c>
      <c r="F8" t="inlineStr">
        <is>
          <t>light;structure</t>
        </is>
      </c>
      <c r="G8" t="inlineStr">
        <is>
          <t>HighExplosive</t>
        </is>
      </c>
      <c r="H8" t="n">
        <v>2</v>
      </c>
      <c r="I8" t="n">
        <v>120</v>
      </c>
      <c r="J8" t="n">
        <v>3</v>
      </c>
      <c r="K8" t="inlineStr">
        <is>
          <t>Light, Structure</t>
        </is>
      </c>
      <c r="L8" t="n">
        <v>6</v>
      </c>
      <c r="M8" t="n">
        <v>2</v>
      </c>
      <c r="N8" t="inlineStr">
        <is>
          <t>Assets/MachineBrigade/Resources/Data/balance.json: secondRounds.rounds (roundOf)</t>
        </is>
      </c>
      <c r="O8" t="inlineStr"/>
    </row>
    <row r="9">
      <c r="A9" t="inlineStr">
        <is>
          <t>boss_flak/boss_flak_ap</t>
        </is>
      </c>
      <c r="B9" t="inlineStr">
        <is>
          <t>boss_flak</t>
        </is>
      </c>
      <c r="C9" t="inlineStr">
        <is>
          <t>boss_flak_ap</t>
        </is>
      </c>
      <c r="D9" t="inlineStr">
        <is>
          <t>roundOf</t>
        </is>
      </c>
      <c r="E9" t="inlineStr">
        <is>
          <t>ap</t>
        </is>
      </c>
      <c r="F9" t="inlineStr">
        <is>
          <t>ground</t>
        </is>
      </c>
      <c r="G9" t="inlineStr">
        <is>
          <t>Kinetic</t>
        </is>
      </c>
      <c r="H9" t="n">
        <v>2</v>
      </c>
      <c r="I9" t="n">
        <v>25</v>
      </c>
      <c r="J9" t="n">
        <v>0</v>
      </c>
      <c r="K9" t="inlineStr">
        <is>
          <t>Ground</t>
        </is>
      </c>
      <c r="L9" t="n">
        <v>3.38</v>
      </c>
      <c r="M9" t="n">
        <v>2</v>
      </c>
      <c r="N9" t="inlineStr">
        <is>
          <t>Assets/MachineBrigade/Resources/Data/balance.json: secondRounds.rounds (roundOf)</t>
        </is>
      </c>
      <c r="O9" t="inlineStr"/>
    </row>
    <row r="10">
      <c r="A10" t="inlineStr">
        <is>
          <t>boss_heli_gun/boss_heli_gun_flak</t>
        </is>
      </c>
      <c r="B10" t="inlineStr">
        <is>
          <t>boss_heli_gun</t>
        </is>
      </c>
      <c r="C10" t="inlineStr">
        <is>
          <t>boss_heli_gun_flak</t>
        </is>
      </c>
      <c r="D10" t="inlineStr">
        <is>
          <t>roundOf</t>
        </is>
      </c>
      <c r="E10" t="inlineStr">
        <is>
          <t>flak</t>
        </is>
      </c>
      <c r="F10" t="inlineStr">
        <is>
          <t>air</t>
        </is>
      </c>
      <c r="G10" t="inlineStr">
        <is>
          <t>Fragmentation</t>
        </is>
      </c>
      <c r="H10" t="n">
        <v>2</v>
      </c>
      <c r="I10" t="n">
        <v>22</v>
      </c>
      <c r="J10" t="n">
        <v>2.5</v>
      </c>
      <c r="K10" t="inlineStr">
        <is>
          <t>Air</t>
        </is>
      </c>
      <c r="L10" t="n">
        <v>3.167</v>
      </c>
      <c r="M10" t="n">
        <v>2</v>
      </c>
      <c r="N10" t="inlineStr">
        <is>
          <t>Assets/MachineBrigade/Resources/Data/balance.json: secondRounds.rounds (roundOf)</t>
        </is>
      </c>
      <c r="O10" t="inlineStr"/>
    </row>
    <row r="11">
      <c r="A11" t="inlineStr">
        <is>
          <t>boss_hmg/boss_hmg_api</t>
        </is>
      </c>
      <c r="B11" t="inlineStr">
        <is>
          <t>boss_hmg</t>
        </is>
      </c>
      <c r="C11" t="inlineStr">
        <is>
          <t>boss_hmg_api</t>
        </is>
      </c>
      <c r="D11" t="inlineStr">
        <is>
          <t>roundOf</t>
        </is>
      </c>
      <c r="E11" t="inlineStr">
        <is>
          <t>api</t>
        </is>
      </c>
      <c r="F11" t="inlineStr">
        <is>
          <t>any</t>
        </is>
      </c>
      <c r="G11" t="inlineStr">
        <is>
          <t>Kinetic</t>
        </is>
      </c>
      <c r="H11" t="n">
        <v>2</v>
      </c>
      <c r="I11" t="n">
        <v>15</v>
      </c>
      <c r="J11" t="n">
        <v>0</v>
      </c>
      <c r="K11" t="inlineStr">
        <is>
          <t>Any (chỉ tinh nhuệ)</t>
        </is>
      </c>
      <c r="L11" t="n">
        <v>5</v>
      </c>
      <c r="M11" t="n">
        <v>2</v>
      </c>
      <c r="N11" t="inlineStr">
        <is>
          <t>Assets/MachineBrigade/Resources/Data/balance.json: secondRounds.rounds (roundOf)</t>
        </is>
      </c>
      <c r="O11" t="inlineStr"/>
    </row>
    <row r="12">
      <c r="A12" t="inlineStr">
        <is>
          <t>boss_howitzer/boss_howitzer_guided</t>
        </is>
      </c>
      <c r="B12" t="inlineStr">
        <is>
          <t>boss_howitzer</t>
        </is>
      </c>
      <c r="C12" t="inlineStr">
        <is>
          <t>boss_howitzer_guided</t>
        </is>
      </c>
      <c r="D12" t="inlineStr">
        <is>
          <t>roundOf</t>
        </is>
      </c>
      <c r="E12" t="inlineStr">
        <is>
          <t>guided</t>
        </is>
      </c>
      <c r="F12" t="inlineStr">
        <is>
          <t>armour</t>
        </is>
      </c>
      <c r="G12" t="inlineStr">
        <is>
          <t>HighExplosive</t>
        </is>
      </c>
      <c r="H12" t="n">
        <v>4</v>
      </c>
      <c r="I12" t="n">
        <v>420</v>
      </c>
      <c r="J12" t="n">
        <v>8</v>
      </c>
      <c r="K12" t="inlineStr">
        <is>
          <t>Armour (chỉ tinh nhuệ)</t>
        </is>
      </c>
      <c r="L12" t="n">
        <v>9.44</v>
      </c>
      <c r="M12" t="n">
        <v>2</v>
      </c>
      <c r="N12" t="inlineStr">
        <is>
          <t>Assets/MachineBrigade/Resources/Data/balance.json: secondRounds.rounds (roundOf)</t>
        </is>
      </c>
      <c r="O12" t="inlineStr"/>
    </row>
    <row r="13">
      <c r="A13" t="inlineStr">
        <is>
          <t>bunker_hmg/bunker_hmg_api</t>
        </is>
      </c>
      <c r="B13" t="inlineStr">
        <is>
          <t>bunker_hmg</t>
        </is>
      </c>
      <c r="C13" t="inlineStr">
        <is>
          <t>bunker_hmg_api</t>
        </is>
      </c>
      <c r="D13" t="inlineStr">
        <is>
          <t>roundOf</t>
        </is>
      </c>
      <c r="E13" t="inlineStr">
        <is>
          <t>api</t>
        </is>
      </c>
      <c r="F13" t="inlineStr">
        <is>
          <t>any</t>
        </is>
      </c>
      <c r="G13" t="inlineStr">
        <is>
          <t>Kinetic</t>
        </is>
      </c>
      <c r="H13" t="n">
        <v>2</v>
      </c>
      <c r="I13" t="n">
        <v>9.5</v>
      </c>
      <c r="J13" t="n">
        <v>0</v>
      </c>
      <c r="K13" t="inlineStr">
        <is>
          <t>Any (chỉ tinh nhuệ)</t>
        </is>
      </c>
      <c r="L13" t="n">
        <v>4.062</v>
      </c>
      <c r="M13" t="n">
        <v>2</v>
      </c>
      <c r="N13" t="inlineStr">
        <is>
          <t>Assets/MachineBrigade/Resources/Data/balance.json: secondRounds.rounds (roundOf)</t>
        </is>
      </c>
      <c r="O13" t="inlineStr"/>
    </row>
    <row r="14">
      <c r="A14" t="inlineStr">
        <is>
          <t>bunker_hmg_twin/bunker_hmg_twin_api</t>
        </is>
      </c>
      <c r="B14" t="inlineStr">
        <is>
          <t>bunker_hmg_twin</t>
        </is>
      </c>
      <c r="C14" t="inlineStr">
        <is>
          <t>bunker_hmg_twin_api</t>
        </is>
      </c>
      <c r="D14" t="inlineStr">
        <is>
          <t>roundOf</t>
        </is>
      </c>
      <c r="E14" t="inlineStr">
        <is>
          <t>api</t>
        </is>
      </c>
      <c r="F14" t="inlineStr">
        <is>
          <t>any</t>
        </is>
      </c>
      <c r="G14" t="inlineStr">
        <is>
          <t>Kinetic</t>
        </is>
      </c>
      <c r="H14" t="n">
        <v>2</v>
      </c>
      <c r="I14" t="n">
        <v>9.5</v>
      </c>
      <c r="J14" t="n">
        <v>0</v>
      </c>
      <c r="K14" t="inlineStr">
        <is>
          <t>Any (chỉ tinh nhuệ)</t>
        </is>
      </c>
      <c r="L14" t="n">
        <v>4.05</v>
      </c>
      <c r="M14" t="n">
        <v>2</v>
      </c>
      <c r="N14" t="inlineStr">
        <is>
          <t>Assets/MachineBrigade/Resources/Data/balance.json: secondRounds.rounds (roundOf)</t>
        </is>
      </c>
      <c r="O14" t="inlineStr"/>
    </row>
    <row r="15">
      <c r="A15" t="inlineStr">
        <is>
          <t>casemate_155/casemate_155_guided</t>
        </is>
      </c>
      <c r="B15" t="inlineStr">
        <is>
          <t>casemate_155</t>
        </is>
      </c>
      <c r="C15" t="inlineStr">
        <is>
          <t>casemate_155_guided</t>
        </is>
      </c>
      <c r="D15" t="inlineStr">
        <is>
          <t>roundOf</t>
        </is>
      </c>
      <c r="E15" t="inlineStr">
        <is>
          <t>guided</t>
        </is>
      </c>
      <c r="F15" t="inlineStr">
        <is>
          <t>armour</t>
        </is>
      </c>
      <c r="G15" t="inlineStr">
        <is>
          <t>HighExplosive</t>
        </is>
      </c>
      <c r="H15" t="n">
        <v>3</v>
      </c>
      <c r="I15" t="n">
        <v>620</v>
      </c>
      <c r="J15" t="n">
        <v>7</v>
      </c>
      <c r="K15" t="inlineStr">
        <is>
          <t>Armour (chỉ tinh nhuệ)</t>
        </is>
      </c>
      <c r="L15" t="n">
        <v>12.81</v>
      </c>
      <c r="M15" t="n">
        <v>2</v>
      </c>
      <c r="N15" t="inlineStr">
        <is>
          <t>Assets/MachineBrigade/Resources/Data/balance.json: secondRounds.rounds (roundOf)</t>
        </is>
      </c>
      <c r="O15" t="inlineStr"/>
    </row>
    <row r="16">
      <c r="A16" t="inlineStr">
        <is>
          <t>ciws_aa/ciws_aa_flak</t>
        </is>
      </c>
      <c r="B16" t="inlineStr">
        <is>
          <t>ciws_aa</t>
        </is>
      </c>
      <c r="C16" t="inlineStr">
        <is>
          <t>ciws_aa_flak</t>
        </is>
      </c>
      <c r="D16" t="inlineStr">
        <is>
          <t>roundOf</t>
        </is>
      </c>
      <c r="E16" t="inlineStr">
        <is>
          <t>flak</t>
        </is>
      </c>
      <c r="F16" t="inlineStr">
        <is>
          <t>air</t>
        </is>
      </c>
      <c r="G16" t="inlineStr">
        <is>
          <t>Fragmentation</t>
        </is>
      </c>
      <c r="H16" t="n">
        <v>2</v>
      </c>
      <c r="I16" t="n">
        <v>12</v>
      </c>
      <c r="J16" t="n">
        <v>2.5</v>
      </c>
      <c r="K16" t="inlineStr">
        <is>
          <t>Air</t>
        </is>
      </c>
      <c r="L16" t="n">
        <v>5.0167</v>
      </c>
      <c r="M16" t="n">
        <v>2</v>
      </c>
      <c r="N16" t="inlineStr">
        <is>
          <t>Assets/MachineBrigade/Resources/Data/balance.json: secondRounds.rounds (roundOf)</t>
        </is>
      </c>
      <c r="O16" t="inlineStr"/>
    </row>
    <row r="17">
      <c r="A17" t="inlineStr">
        <is>
          <t>cruiser_203/cruiser_203_guided</t>
        </is>
      </c>
      <c r="B17" t="inlineStr">
        <is>
          <t>cruiser_203</t>
        </is>
      </c>
      <c r="C17" t="inlineStr">
        <is>
          <t>cruiser_203_guided</t>
        </is>
      </c>
      <c r="D17" t="inlineStr">
        <is>
          <t>roundOf</t>
        </is>
      </c>
      <c r="E17" t="inlineStr">
        <is>
          <t>guided</t>
        </is>
      </c>
      <c r="F17" t="inlineStr">
        <is>
          <t>armour</t>
        </is>
      </c>
      <c r="G17" t="inlineStr">
        <is>
          <t>HighExplosive</t>
        </is>
      </c>
      <c r="H17" t="n">
        <v>4</v>
      </c>
      <c r="I17" t="n">
        <v>600</v>
      </c>
      <c r="J17" t="n">
        <v>8</v>
      </c>
      <c r="K17" t="inlineStr">
        <is>
          <t>Armour (chỉ tinh nhuệ)</t>
        </is>
      </c>
      <c r="L17" t="n">
        <v>16.857</v>
      </c>
      <c r="M17" t="n">
        <v>2</v>
      </c>
      <c r="N17" t="inlineStr">
        <is>
          <t>Assets/MachineBrigade/Resources/Data/balance.json: secondRounds.rounds (roundOf)</t>
        </is>
      </c>
      <c r="O17" t="inlineStr"/>
    </row>
    <row r="18">
      <c r="A18" t="inlineStr">
        <is>
          <t>fighter_cannon/fighter_cannon_ap</t>
        </is>
      </c>
      <c r="B18" t="inlineStr">
        <is>
          <t>fighter_cannon</t>
        </is>
      </c>
      <c r="C18" t="inlineStr">
        <is>
          <t>fighter_cannon_ap</t>
        </is>
      </c>
      <c r="D18" t="inlineStr">
        <is>
          <t>roundOf</t>
        </is>
      </c>
      <c r="E18" t="inlineStr">
        <is>
          <t>ap</t>
        </is>
      </c>
      <c r="F18" t="inlineStr">
        <is>
          <t>ground</t>
        </is>
      </c>
      <c r="G18" t="inlineStr">
        <is>
          <t>Kinetic</t>
        </is>
      </c>
      <c r="H18" t="n">
        <v>2</v>
      </c>
      <c r="I18" t="n">
        <v>18</v>
      </c>
      <c r="J18" t="n">
        <v>0</v>
      </c>
      <c r="K18" t="inlineStr">
        <is>
          <t>Ground</t>
        </is>
      </c>
      <c r="L18" t="n">
        <v>1</v>
      </c>
      <c r="M18" t="n">
        <v>2</v>
      </c>
      <c r="N18" t="inlineStr">
        <is>
          <t>Assets/MachineBrigade/Resources/Data/balance.json: secondRounds.rounds (roundOf)</t>
        </is>
      </c>
      <c r="O18" t="inlineStr"/>
    </row>
    <row r="19">
      <c r="A19" t="inlineStr">
        <is>
          <t>flak_35/flak_35_ap</t>
        </is>
      </c>
      <c r="B19" t="inlineStr">
        <is>
          <t>flak_35</t>
        </is>
      </c>
      <c r="C19" t="inlineStr">
        <is>
          <t>flak_35_ap</t>
        </is>
      </c>
      <c r="D19" t="inlineStr">
        <is>
          <t>roundOf</t>
        </is>
      </c>
      <c r="E19" t="inlineStr">
        <is>
          <t>ap</t>
        </is>
      </c>
      <c r="F19" t="inlineStr">
        <is>
          <t>ground</t>
        </is>
      </c>
      <c r="G19" t="inlineStr">
        <is>
          <t>Kinetic</t>
        </is>
      </c>
      <c r="H19" t="n">
        <v>2</v>
      </c>
      <c r="I19" t="n">
        <v>26</v>
      </c>
      <c r="J19" t="n">
        <v>0</v>
      </c>
      <c r="K19" t="inlineStr">
        <is>
          <t>Ground</t>
        </is>
      </c>
      <c r="L19" t="n">
        <v>1.25</v>
      </c>
      <c r="M19" t="n">
        <v>2</v>
      </c>
      <c r="N19" t="inlineStr">
        <is>
          <t>Assets/MachineBrigade/Resources/Data/balance.json: secondRounds.rounds (roundOf)</t>
        </is>
      </c>
      <c r="O19" t="inlineStr"/>
    </row>
    <row r="20">
      <c r="A20" t="inlineStr">
        <is>
          <t>flak_quad/flak_quad_ap</t>
        </is>
      </c>
      <c r="B20" t="inlineStr">
        <is>
          <t>flak_quad</t>
        </is>
      </c>
      <c r="C20" t="inlineStr">
        <is>
          <t>flak_quad_ap</t>
        </is>
      </c>
      <c r="D20" t="inlineStr">
        <is>
          <t>roundOf</t>
        </is>
      </c>
      <c r="E20" t="inlineStr">
        <is>
          <t>ap</t>
        </is>
      </c>
      <c r="F20" t="inlineStr">
        <is>
          <t>ground</t>
        </is>
      </c>
      <c r="G20" t="inlineStr">
        <is>
          <t>Kinetic</t>
        </is>
      </c>
      <c r="H20" t="n">
        <v>2</v>
      </c>
      <c r="I20" t="n">
        <v>14</v>
      </c>
      <c r="J20" t="n">
        <v>0</v>
      </c>
      <c r="K20" t="inlineStr">
        <is>
          <t>Ground</t>
        </is>
      </c>
      <c r="L20" t="n">
        <v>1.5</v>
      </c>
      <c r="M20" t="n">
        <v>2</v>
      </c>
      <c r="N20" t="inlineStr">
        <is>
          <t>Assets/MachineBrigade/Resources/Data/balance.json: secondRounds.rounds (roundOf)</t>
        </is>
      </c>
      <c r="O20" t="inlineStr"/>
    </row>
    <row r="21">
      <c r="A21" t="inlineStr">
        <is>
          <t>gun_57mm/gun_57mm_he</t>
        </is>
      </c>
      <c r="B21" t="inlineStr">
        <is>
          <t>gun_57mm</t>
        </is>
      </c>
      <c r="C21" t="inlineStr">
        <is>
          <t>gun_57mm_he</t>
        </is>
      </c>
      <c r="D21" t="inlineStr">
        <is>
          <t>roundOf</t>
        </is>
      </c>
      <c r="E21" t="inlineStr">
        <is>
          <t>he</t>
        </is>
      </c>
      <c r="F21" t="inlineStr">
        <is>
          <t>light;structure</t>
        </is>
      </c>
      <c r="G21" t="inlineStr">
        <is>
          <t>HighExplosive</t>
        </is>
      </c>
      <c r="H21" t="n">
        <v>2</v>
      </c>
      <c r="I21" t="n">
        <v>110</v>
      </c>
      <c r="J21" t="n">
        <v>3</v>
      </c>
      <c r="K21" t="inlineStr">
        <is>
          <t>Light, Structure</t>
        </is>
      </c>
      <c r="L21" t="n">
        <v>5.929</v>
      </c>
      <c r="M21" t="n">
        <v>2</v>
      </c>
      <c r="N21" t="inlineStr">
        <is>
          <t>Assets/MachineBrigade/Resources/Data/balance.json: secondRounds.rounds (roundOf)</t>
        </is>
      </c>
      <c r="O21" t="inlineStr"/>
    </row>
    <row r="22">
      <c r="A22" t="inlineStr">
        <is>
          <t>gun_105_apfsds/gun_105_apfsds_he</t>
        </is>
      </c>
      <c r="B22" t="inlineStr">
        <is>
          <t>gun_105_apfsds</t>
        </is>
      </c>
      <c r="C22" t="inlineStr">
        <is>
          <t>gun_105_apfsds_he</t>
        </is>
      </c>
      <c r="D22" t="inlineStr">
        <is>
          <t>roundOf</t>
        </is>
      </c>
      <c r="E22" t="inlineStr">
        <is>
          <t>he</t>
        </is>
      </c>
      <c r="F22" t="inlineStr">
        <is>
          <t>light;structure</t>
        </is>
      </c>
      <c r="G22" t="inlineStr">
        <is>
          <t>HighExplosive</t>
        </is>
      </c>
      <c r="H22" t="n">
        <v>2</v>
      </c>
      <c r="I22" t="n">
        <v>371</v>
      </c>
      <c r="J22" t="n">
        <v>3</v>
      </c>
      <c r="K22" t="inlineStr">
        <is>
          <t>Light, Structure</t>
        </is>
      </c>
      <c r="L22" t="n">
        <v>5.583</v>
      </c>
      <c r="M22" t="n">
        <v>2</v>
      </c>
      <c r="N22" t="inlineStr">
        <is>
          <t>Assets/MachineBrigade/Resources/Data/balance.json: secondRounds.rounds (roundOf)</t>
        </is>
      </c>
      <c r="O22" t="inlineStr"/>
    </row>
    <row r="23">
      <c r="A23" t="inlineStr">
        <is>
          <t>gun_105_bunker/gun_105_bunker_he</t>
        </is>
      </c>
      <c r="B23" t="inlineStr">
        <is>
          <t>gun_105_bunker</t>
        </is>
      </c>
      <c r="C23" t="inlineStr">
        <is>
          <t>gun_105_bunker_he</t>
        </is>
      </c>
      <c r="D23" t="inlineStr">
        <is>
          <t>roundOf</t>
        </is>
      </c>
      <c r="E23" t="inlineStr">
        <is>
          <t>he</t>
        </is>
      </c>
      <c r="F23" t="inlineStr">
        <is>
          <t>light;structure</t>
        </is>
      </c>
      <c r="G23" t="inlineStr">
        <is>
          <t>HighExplosive</t>
        </is>
      </c>
      <c r="H23" t="n">
        <v>2</v>
      </c>
      <c r="I23" t="n">
        <v>300</v>
      </c>
      <c r="J23" t="n">
        <v>5.5</v>
      </c>
      <c r="K23" t="inlineStr">
        <is>
          <t>Light, Structure</t>
        </is>
      </c>
      <c r="L23" t="n">
        <v>4.536</v>
      </c>
      <c r="M23" t="n">
        <v>2</v>
      </c>
      <c r="N23" t="inlineStr">
        <is>
          <t>Assets/MachineBrigade/Resources/Data/balance.json: secondRounds.rounds (roundOf)</t>
        </is>
      </c>
      <c r="O23" t="inlineStr"/>
    </row>
    <row r="24">
      <c r="A24" t="inlineStr">
        <is>
          <t>gun_105_long/gun_105_long_he</t>
        </is>
      </c>
      <c r="B24" t="inlineStr">
        <is>
          <t>gun_105_long</t>
        </is>
      </c>
      <c r="C24" t="inlineStr">
        <is>
          <t>gun_105_long_he</t>
        </is>
      </c>
      <c r="D24" t="inlineStr">
        <is>
          <t>roundOf</t>
        </is>
      </c>
      <c r="E24" t="inlineStr">
        <is>
          <t>he</t>
        </is>
      </c>
      <c r="F24" t="inlineStr">
        <is>
          <t>light;structure</t>
        </is>
      </c>
      <c r="G24" t="inlineStr">
        <is>
          <t>HighExplosive</t>
        </is>
      </c>
      <c r="H24" t="n">
        <v>2</v>
      </c>
      <c r="I24" t="n">
        <v>371</v>
      </c>
      <c r="J24" t="n">
        <v>3</v>
      </c>
      <c r="K24" t="inlineStr">
        <is>
          <t>Light, Structure</t>
        </is>
      </c>
      <c r="L24" t="n">
        <v>4.762</v>
      </c>
      <c r="M24" t="n">
        <v>2</v>
      </c>
      <c r="N24" t="inlineStr">
        <is>
          <t>Assets/MachineBrigade/Resources/Data/balance.json: secondRounds.rounds (roundOf)</t>
        </is>
      </c>
      <c r="O24" t="inlineStr"/>
    </row>
    <row r="25">
      <c r="A25" t="inlineStr">
        <is>
          <t>gun_105_wheeled/gun_105_wheeled_he</t>
        </is>
      </c>
      <c r="B25" t="inlineStr">
        <is>
          <t>gun_105_wheeled</t>
        </is>
      </c>
      <c r="C25" t="inlineStr">
        <is>
          <t>gun_105_wheeled_he</t>
        </is>
      </c>
      <c r="D25" t="inlineStr">
        <is>
          <t>roundOf</t>
        </is>
      </c>
      <c r="E25" t="inlineStr">
        <is>
          <t>he</t>
        </is>
      </c>
      <c r="F25" t="inlineStr">
        <is>
          <t>light;structure</t>
        </is>
      </c>
      <c r="G25" t="inlineStr">
        <is>
          <t>HighExplosive</t>
        </is>
      </c>
      <c r="H25" t="n">
        <v>2</v>
      </c>
      <c r="I25" t="n">
        <v>369</v>
      </c>
      <c r="J25" t="n">
        <v>3</v>
      </c>
      <c r="K25" t="inlineStr">
        <is>
          <t>Light, Structure</t>
        </is>
      </c>
      <c r="L25" t="n">
        <v>5.291</v>
      </c>
      <c r="M25" t="n">
        <v>2</v>
      </c>
      <c r="N25" t="inlineStr">
        <is>
          <t>Assets/MachineBrigade/Resources/Data/balance.json: secondRounds.rounds (roundOf)</t>
        </is>
      </c>
      <c r="O25" t="inlineStr"/>
    </row>
    <row r="26">
      <c r="A26" t="inlineStr">
        <is>
          <t>gun_120_twin/gun_120_twin_he</t>
        </is>
      </c>
      <c r="B26" t="inlineStr">
        <is>
          <t>gun_120_twin</t>
        </is>
      </c>
      <c r="C26" t="inlineStr">
        <is>
          <t>gun_120_twin_he</t>
        </is>
      </c>
      <c r="D26" t="inlineStr">
        <is>
          <t>roundOf</t>
        </is>
      </c>
      <c r="E26" t="inlineStr">
        <is>
          <t>he</t>
        </is>
      </c>
      <c r="F26" t="inlineStr">
        <is>
          <t>light;structure</t>
        </is>
      </c>
      <c r="G26" t="inlineStr">
        <is>
          <t>HighExplosive</t>
        </is>
      </c>
      <c r="H26" t="n">
        <v>2</v>
      </c>
      <c r="I26" t="n">
        <v>343</v>
      </c>
      <c r="J26" t="n">
        <v>3</v>
      </c>
      <c r="K26" t="inlineStr">
        <is>
          <t>Light, Structure</t>
        </is>
      </c>
      <c r="L26" t="n">
        <v>7.326</v>
      </c>
      <c r="M26" t="n">
        <v>2</v>
      </c>
      <c r="N26" t="inlineStr">
        <is>
          <t>Assets/MachineBrigade/Resources/Data/balance.json: secondRounds.rounds (roundOf)</t>
        </is>
      </c>
      <c r="O26" t="inlineStr"/>
    </row>
    <row r="27">
      <c r="A27" t="inlineStr">
        <is>
          <t>gun_120mm/gun_120mm_he</t>
        </is>
      </c>
      <c r="B27" t="inlineStr">
        <is>
          <t>gun_120mm</t>
        </is>
      </c>
      <c r="C27" t="inlineStr">
        <is>
          <t>gun_120mm_he</t>
        </is>
      </c>
      <c r="D27" t="inlineStr">
        <is>
          <t>roundOf</t>
        </is>
      </c>
      <c r="E27" t="inlineStr">
        <is>
          <t>he</t>
        </is>
      </c>
      <c r="F27" t="inlineStr">
        <is>
          <t>light;structure</t>
        </is>
      </c>
      <c r="G27" t="inlineStr">
        <is>
          <t>HighExplosive</t>
        </is>
      </c>
      <c r="H27" t="n">
        <v>2</v>
      </c>
      <c r="I27" t="n">
        <v>343</v>
      </c>
      <c r="J27" t="n">
        <v>3</v>
      </c>
      <c r="K27" t="inlineStr">
        <is>
          <t>Light, Structure</t>
        </is>
      </c>
      <c r="L27" t="n">
        <v>7.283</v>
      </c>
      <c r="M27" t="n">
        <v>2</v>
      </c>
      <c r="N27" t="inlineStr">
        <is>
          <t>Assets/MachineBrigade/Resources/Data/balance.json: secondRounds.rounds (roundOf)</t>
        </is>
      </c>
      <c r="O27" t="inlineStr"/>
    </row>
    <row r="28">
      <c r="A28" t="inlineStr">
        <is>
          <t>gun_125_elite/gun_125_elite_he</t>
        </is>
      </c>
      <c r="B28" t="inlineStr">
        <is>
          <t>gun_125_elite</t>
        </is>
      </c>
      <c r="C28" t="inlineStr">
        <is>
          <t>gun_125_elite_he</t>
        </is>
      </c>
      <c r="D28" t="inlineStr">
        <is>
          <t>roundOf</t>
        </is>
      </c>
      <c r="E28" t="inlineStr">
        <is>
          <t>he</t>
        </is>
      </c>
      <c r="F28" t="inlineStr">
        <is>
          <t>light;structure</t>
        </is>
      </c>
      <c r="G28" t="inlineStr">
        <is>
          <t>HighExplosive</t>
        </is>
      </c>
      <c r="H28" t="n">
        <v>2</v>
      </c>
      <c r="I28" t="n">
        <v>371</v>
      </c>
      <c r="J28" t="n">
        <v>3</v>
      </c>
      <c r="K28" t="inlineStr">
        <is>
          <t>Light, Structure</t>
        </is>
      </c>
      <c r="L28" t="n">
        <v>8.086</v>
      </c>
      <c r="M28" t="n">
        <v>2</v>
      </c>
      <c r="N28" t="inlineStr">
        <is>
          <t>Assets/MachineBrigade/Resources/Data/balance.json: secondRounds.rounds (roundOf)</t>
        </is>
      </c>
      <c r="O28" t="inlineStr"/>
    </row>
    <row r="29">
      <c r="A29" t="inlineStr">
        <is>
          <t>gun_140_twin/gun_140_twin_he</t>
        </is>
      </c>
      <c r="B29" t="inlineStr">
        <is>
          <t>gun_140_twin</t>
        </is>
      </c>
      <c r="C29" t="inlineStr">
        <is>
          <t>gun_140_twin_he</t>
        </is>
      </c>
      <c r="D29" t="inlineStr">
        <is>
          <t>roundOf</t>
        </is>
      </c>
      <c r="E29" t="inlineStr">
        <is>
          <t>he</t>
        </is>
      </c>
      <c r="F29" t="inlineStr">
        <is>
          <t>light;structure</t>
        </is>
      </c>
      <c r="G29" t="inlineStr">
        <is>
          <t>HighExplosive</t>
        </is>
      </c>
      <c r="H29" t="n">
        <v>2</v>
      </c>
      <c r="I29" t="n">
        <v>414</v>
      </c>
      <c r="J29" t="n">
        <v>3</v>
      </c>
      <c r="K29" t="inlineStr">
        <is>
          <t>Light, Structure</t>
        </is>
      </c>
      <c r="L29" t="n">
        <v>6.481</v>
      </c>
      <c r="M29" t="n">
        <v>2</v>
      </c>
      <c r="N29" t="inlineStr">
        <is>
          <t>Assets/MachineBrigade/Resources/Data/balance.json: secondRounds.rounds (roundOf)</t>
        </is>
      </c>
      <c r="O29" t="inlineStr"/>
    </row>
    <row r="30">
      <c r="A30" t="inlineStr">
        <is>
          <t>gun_152/gun_152_he</t>
        </is>
      </c>
      <c r="B30" t="inlineStr">
        <is>
          <t>gun_152</t>
        </is>
      </c>
      <c r="C30" t="inlineStr">
        <is>
          <t>gun_152_he</t>
        </is>
      </c>
      <c r="D30" t="inlineStr">
        <is>
          <t>he</t>
        </is>
      </c>
      <c r="E30" t="inlineStr"/>
      <c r="F30" t="inlineStr"/>
      <c r="G30" t="inlineStr">
        <is>
          <t>HighExplosive</t>
        </is>
      </c>
      <c r="H30" t="n">
        <v>3</v>
      </c>
      <c r="I30" t="n">
        <v>457</v>
      </c>
      <c r="J30" t="n">
        <v>6.5</v>
      </c>
      <c r="K30" t="inlineStr">
        <is>
          <t>Light, Structure</t>
        </is>
      </c>
      <c r="L30" t="n">
        <v>8.163</v>
      </c>
      <c r="M30" t="n">
        <v>2</v>
      </c>
      <c r="N30" t="inlineStr">
        <is>
          <t>Assets/MachineBrigade/Resources/Data/balance.json: weapons (he)</t>
        </is>
      </c>
      <c r="O30" t="inlineStr"/>
    </row>
    <row r="31">
      <c r="A31" t="inlineStr">
        <is>
          <t>gun_152_heat/gun_152_heat_he</t>
        </is>
      </c>
      <c r="B31" t="inlineStr">
        <is>
          <t>gun_152_heat</t>
        </is>
      </c>
      <c r="C31" t="inlineStr">
        <is>
          <t>gun_152_heat_he</t>
        </is>
      </c>
      <c r="D31" t="inlineStr">
        <is>
          <t>roundOf</t>
        </is>
      </c>
      <c r="E31" t="inlineStr">
        <is>
          <t>he</t>
        </is>
      </c>
      <c r="F31" t="inlineStr">
        <is>
          <t>light;structure</t>
        </is>
      </c>
      <c r="G31" t="inlineStr">
        <is>
          <t>HighExplosive</t>
        </is>
      </c>
      <c r="H31" t="n">
        <v>3</v>
      </c>
      <c r="I31" t="n">
        <v>457</v>
      </c>
      <c r="J31" t="n">
        <v>6.5</v>
      </c>
      <c r="K31" t="inlineStr">
        <is>
          <t>Light, Structure</t>
        </is>
      </c>
      <c r="L31" t="n">
        <v>9.042999999999999</v>
      </c>
      <c r="M31" t="n">
        <v>2</v>
      </c>
      <c r="N31" t="inlineStr">
        <is>
          <t>Assets/MachineBrigade/Resources/Data/balance.json: secondRounds.rounds (roundOf)</t>
        </is>
      </c>
      <c r="O31" t="inlineStr"/>
    </row>
    <row r="32">
      <c r="A32" t="inlineStr">
        <is>
          <t>gun_155_coastal/gun_155_coastal_guided</t>
        </is>
      </c>
      <c r="B32" t="inlineStr">
        <is>
          <t>gun_155_coastal</t>
        </is>
      </c>
      <c r="C32" t="inlineStr">
        <is>
          <t>gun_155_coastal_guided</t>
        </is>
      </c>
      <c r="D32" t="inlineStr">
        <is>
          <t>roundOf</t>
        </is>
      </c>
      <c r="E32" t="inlineStr">
        <is>
          <t>guided</t>
        </is>
      </c>
      <c r="F32" t="inlineStr">
        <is>
          <t>armour</t>
        </is>
      </c>
      <c r="G32" t="inlineStr">
        <is>
          <t>HighExplosive</t>
        </is>
      </c>
      <c r="H32" t="n">
        <v>3</v>
      </c>
      <c r="I32" t="n">
        <v>457</v>
      </c>
      <c r="J32" t="n">
        <v>7</v>
      </c>
      <c r="K32" t="inlineStr">
        <is>
          <t>Armour (chỉ tinh nhuệ)</t>
        </is>
      </c>
      <c r="L32" t="n">
        <v>12.579</v>
      </c>
      <c r="M32" t="n">
        <v>2</v>
      </c>
      <c r="N32" t="inlineStr">
        <is>
          <t>Assets/MachineBrigade/Resources/Data/balance.json: secondRounds.rounds (roundOf)</t>
        </is>
      </c>
      <c r="O32" t="inlineStr"/>
    </row>
    <row r="33">
      <c r="A33" t="inlineStr">
        <is>
          <t>gun_155_twin_ap/gun_155_twin_fort</t>
        </is>
      </c>
      <c r="B33" t="inlineStr">
        <is>
          <t>gun_155_twin_ap</t>
        </is>
      </c>
      <c r="C33" t="inlineStr">
        <is>
          <t>gun_155_twin_fort</t>
        </is>
      </c>
      <c r="D33" t="inlineStr">
        <is>
          <t>he</t>
        </is>
      </c>
      <c r="E33" t="inlineStr"/>
      <c r="F33" t="inlineStr"/>
      <c r="G33" t="inlineStr">
        <is>
          <t>HighExplosive</t>
        </is>
      </c>
      <c r="H33" t="n">
        <v>3</v>
      </c>
      <c r="I33" t="n">
        <v>457</v>
      </c>
      <c r="J33" t="n">
        <v>7</v>
      </c>
      <c r="K33" t="inlineStr">
        <is>
          <t>Light, Structure</t>
        </is>
      </c>
      <c r="L33" t="n">
        <v>7.929</v>
      </c>
      <c r="M33" t="n">
        <v>2</v>
      </c>
      <c r="N33" t="inlineStr">
        <is>
          <t>Assets/MachineBrigade/Resources/Data/balance.json: weapons (he)</t>
        </is>
      </c>
      <c r="O33" t="inlineStr"/>
    </row>
    <row r="34">
      <c r="A34" t="inlineStr">
        <is>
          <t>gun_155_twin_coastlr/gun_155_twin_coastlr_guided</t>
        </is>
      </c>
      <c r="B34" t="inlineStr">
        <is>
          <t>gun_155_twin_coastlr</t>
        </is>
      </c>
      <c r="C34" t="inlineStr">
        <is>
          <t>gun_155_twin_coastlr_guided</t>
        </is>
      </c>
      <c r="D34" t="inlineStr">
        <is>
          <t>roundOf</t>
        </is>
      </c>
      <c r="E34" t="inlineStr">
        <is>
          <t>guided</t>
        </is>
      </c>
      <c r="F34" t="inlineStr">
        <is>
          <t>armour</t>
        </is>
      </c>
      <c r="G34" t="inlineStr">
        <is>
          <t>HighExplosive</t>
        </is>
      </c>
      <c r="H34" t="n">
        <v>3</v>
      </c>
      <c r="I34" t="n">
        <v>457</v>
      </c>
      <c r="J34" t="n">
        <v>7</v>
      </c>
      <c r="K34" t="inlineStr">
        <is>
          <t>Armour (chỉ tinh nhuệ)</t>
        </is>
      </c>
      <c r="L34" t="n">
        <v>7.929</v>
      </c>
      <c r="M34" t="n">
        <v>2</v>
      </c>
      <c r="N34" t="inlineStr">
        <is>
          <t>Assets/MachineBrigade/Resources/Data/balance.json: secondRounds.rounds (roundOf)</t>
        </is>
      </c>
      <c r="O34" t="inlineStr"/>
    </row>
    <row r="35">
      <c r="A35" t="inlineStr">
        <is>
          <t>gun_155_twin_fort/gun_155_twin_fort_guided</t>
        </is>
      </c>
      <c r="B35" t="inlineStr">
        <is>
          <t>gun_155_twin_fort</t>
        </is>
      </c>
      <c r="C35" t="inlineStr">
        <is>
          <t>gun_155_twin_fort_guided</t>
        </is>
      </c>
      <c r="D35" t="inlineStr">
        <is>
          <t>roundOf</t>
        </is>
      </c>
      <c r="E35" t="inlineStr">
        <is>
          <t>guided</t>
        </is>
      </c>
      <c r="F35" t="inlineStr">
        <is>
          <t>armour</t>
        </is>
      </c>
      <c r="G35" t="inlineStr">
        <is>
          <t>HighExplosive</t>
        </is>
      </c>
      <c r="H35" t="n">
        <v>3</v>
      </c>
      <c r="I35" t="n">
        <v>457</v>
      </c>
      <c r="J35" t="n">
        <v>7</v>
      </c>
      <c r="K35" t="inlineStr">
        <is>
          <t>Armour (chỉ tinh nhuệ)</t>
        </is>
      </c>
      <c r="L35" t="n">
        <v>7.929</v>
      </c>
      <c r="M35" t="n">
        <v>2</v>
      </c>
      <c r="N35" t="inlineStr">
        <is>
          <t>Assets/MachineBrigade/Resources/Data/balance.json: secondRounds.rounds (roundOf)</t>
        </is>
      </c>
      <c r="O35" t="inlineStr"/>
    </row>
    <row r="36">
      <c r="A36" t="inlineStr">
        <is>
          <t>gun_behemoth/gun_behemoth_guided</t>
        </is>
      </c>
      <c r="B36" t="inlineStr">
        <is>
          <t>gun_behemoth</t>
        </is>
      </c>
      <c r="C36" t="inlineStr">
        <is>
          <t>gun_behemoth_guided</t>
        </is>
      </c>
      <c r="D36" t="inlineStr">
        <is>
          <t>roundOf</t>
        </is>
      </c>
      <c r="E36" t="inlineStr">
        <is>
          <t>guided</t>
        </is>
      </c>
      <c r="F36" t="inlineStr">
        <is>
          <t>armour</t>
        </is>
      </c>
      <c r="G36" t="inlineStr">
        <is>
          <t>HighExplosive</t>
        </is>
      </c>
      <c r="H36" t="n">
        <v>3</v>
      </c>
      <c r="I36" t="n">
        <v>320</v>
      </c>
      <c r="J36" t="n">
        <v>6.5</v>
      </c>
      <c r="K36" t="inlineStr">
        <is>
          <t>Armour (chỉ tinh nhuệ)</t>
        </is>
      </c>
      <c r="L36" t="n">
        <v>8.93</v>
      </c>
      <c r="M36" t="n">
        <v>2</v>
      </c>
      <c r="N36" t="inlineStr">
        <is>
          <t>Assets/MachineBrigade/Resources/Data/balance.json: secondRounds.rounds (roundOf)</t>
        </is>
      </c>
      <c r="O36" t="inlineStr"/>
    </row>
    <row r="37">
      <c r="A37" t="inlineStr">
        <is>
          <t>gunship_25mm/gunship_25mm_flak</t>
        </is>
      </c>
      <c r="B37" t="inlineStr">
        <is>
          <t>gunship_25mm</t>
        </is>
      </c>
      <c r="C37" t="inlineStr">
        <is>
          <t>gunship_25mm_flak</t>
        </is>
      </c>
      <c r="D37" t="inlineStr">
        <is>
          <t>roundOf</t>
        </is>
      </c>
      <c r="E37" t="inlineStr">
        <is>
          <t>flak</t>
        </is>
      </c>
      <c r="F37" t="inlineStr">
        <is>
          <t>air</t>
        </is>
      </c>
      <c r="G37" t="inlineStr">
        <is>
          <t>Fragmentation</t>
        </is>
      </c>
      <c r="H37" t="n">
        <v>1</v>
      </c>
      <c r="I37" t="n">
        <v>17</v>
      </c>
      <c r="J37" t="n">
        <v>2</v>
      </c>
      <c r="K37" t="inlineStr">
        <is>
          <t>Air</t>
        </is>
      </c>
      <c r="L37" t="n">
        <v>1</v>
      </c>
      <c r="M37" t="n">
        <v>2</v>
      </c>
      <c r="N37" t="inlineStr">
        <is>
          <t>Assets/MachineBrigade/Resources/Data/balance.json: secondRounds.rounds (roundOf)</t>
        </is>
      </c>
      <c r="O37" t="inlineStr"/>
    </row>
    <row r="38">
      <c r="A38" t="inlineStr">
        <is>
          <t>gunship_40mm/gunship_40mm_ap</t>
        </is>
      </c>
      <c r="B38" t="inlineStr">
        <is>
          <t>gunship_40mm</t>
        </is>
      </c>
      <c r="C38" t="inlineStr">
        <is>
          <t>gunship_40mm_ap</t>
        </is>
      </c>
      <c r="D38" t="inlineStr">
        <is>
          <t>roundOf</t>
        </is>
      </c>
      <c r="E38" t="inlineStr">
        <is>
          <t>ap</t>
        </is>
      </c>
      <c r="F38" t="inlineStr">
        <is>
          <t>armour</t>
        </is>
      </c>
      <c r="G38" t="inlineStr">
        <is>
          <t>Kinetic</t>
        </is>
      </c>
      <c r="H38" t="n">
        <v>2</v>
      </c>
      <c r="I38" t="n">
        <v>30</v>
      </c>
      <c r="J38" t="n">
        <v>0</v>
      </c>
      <c r="K38" t="inlineStr">
        <is>
          <t>Armour</t>
        </is>
      </c>
      <c r="L38" t="n">
        <v>1</v>
      </c>
      <c r="M38" t="n">
        <v>2</v>
      </c>
      <c r="N38" t="inlineStr">
        <is>
          <t>Assets/MachineBrigade/Resources/Data/balance.json: secondRounds.rounds (roundOf)</t>
        </is>
      </c>
      <c r="O38" t="inlineStr"/>
    </row>
    <row r="39">
      <c r="A39" t="inlineStr">
        <is>
          <t>gunship_40mm/gunship_40mm_flak</t>
        </is>
      </c>
      <c r="B39" t="inlineStr">
        <is>
          <t>gunship_40mm</t>
        </is>
      </c>
      <c r="C39" t="inlineStr">
        <is>
          <t>gunship_40mm_flak</t>
        </is>
      </c>
      <c r="D39" t="inlineStr">
        <is>
          <t>roundOf</t>
        </is>
      </c>
      <c r="E39" t="inlineStr">
        <is>
          <t>flak</t>
        </is>
      </c>
      <c r="F39" t="inlineStr">
        <is>
          <t>air</t>
        </is>
      </c>
      <c r="G39" t="inlineStr">
        <is>
          <t>Fragmentation</t>
        </is>
      </c>
      <c r="H39" t="n">
        <v>2</v>
      </c>
      <c r="I39" t="n">
        <v>30</v>
      </c>
      <c r="J39" t="n">
        <v>3.5</v>
      </c>
      <c r="K39" t="inlineStr">
        <is>
          <t>Air</t>
        </is>
      </c>
      <c r="L39" t="n">
        <v>1</v>
      </c>
      <c r="M39" t="n">
        <v>2</v>
      </c>
      <c r="N39" t="inlineStr">
        <is>
          <t>Assets/MachineBrigade/Resources/Data/balance.json: secondRounds.rounds (roundOf)</t>
        </is>
      </c>
      <c r="O39" t="inlineStr"/>
    </row>
    <row r="40">
      <c r="A40" t="inlineStr">
        <is>
          <t>gunship_105/gunship_105_guided</t>
        </is>
      </c>
      <c r="B40" t="inlineStr">
        <is>
          <t>gunship_105</t>
        </is>
      </c>
      <c r="C40" t="inlineStr">
        <is>
          <t>gunship_105_guided</t>
        </is>
      </c>
      <c r="D40" t="inlineStr">
        <is>
          <t>roundOf</t>
        </is>
      </c>
      <c r="E40" t="inlineStr">
        <is>
          <t>guided</t>
        </is>
      </c>
      <c r="F40" t="inlineStr">
        <is>
          <t>armour</t>
        </is>
      </c>
      <c r="G40" t="inlineStr">
        <is>
          <t>HighExplosive</t>
        </is>
      </c>
      <c r="H40" t="n">
        <v>2</v>
      </c>
      <c r="I40" t="n">
        <v>286</v>
      </c>
      <c r="J40" t="n">
        <v>5.5</v>
      </c>
      <c r="K40" t="inlineStr">
        <is>
          <t>Armour (chỉ tinh nhuệ)</t>
        </is>
      </c>
      <c r="L40" t="n">
        <v>3.919</v>
      </c>
      <c r="M40" t="n">
        <v>2</v>
      </c>
      <c r="N40" t="inlineStr">
        <is>
          <t>Assets/MachineBrigade/Resources/Data/balance.json: secondRounds.rounds (roundOf)</t>
        </is>
      </c>
      <c r="O40" t="inlineStr"/>
    </row>
    <row r="41">
      <c r="A41" t="inlineStr">
        <is>
          <t>heli_gun/heli_gun_flak</t>
        </is>
      </c>
      <c r="B41" t="inlineStr">
        <is>
          <t>heli_gun</t>
        </is>
      </c>
      <c r="C41" t="inlineStr">
        <is>
          <t>heli_gun_flak</t>
        </is>
      </c>
      <c r="D41" t="inlineStr">
        <is>
          <t>roundOf</t>
        </is>
      </c>
      <c r="E41" t="inlineStr">
        <is>
          <t>flak</t>
        </is>
      </c>
      <c r="F41" t="inlineStr">
        <is>
          <t>air</t>
        </is>
      </c>
      <c r="G41" t="inlineStr">
        <is>
          <t>Fragmentation</t>
        </is>
      </c>
      <c r="H41" t="n">
        <v>2</v>
      </c>
      <c r="I41" t="n">
        <v>22</v>
      </c>
      <c r="J41" t="n">
        <v>2.5</v>
      </c>
      <c r="K41" t="inlineStr">
        <is>
          <t>Air</t>
        </is>
      </c>
      <c r="L41" t="n">
        <v>3.1667</v>
      </c>
      <c r="M41" t="n">
        <v>2</v>
      </c>
      <c r="N41" t="inlineStr">
        <is>
          <t>Assets/MachineBrigade/Resources/Data/balance.json: secondRounds.rounds (roundOf)</t>
        </is>
      </c>
      <c r="O41" t="inlineStr"/>
    </row>
    <row r="42">
      <c r="A42" t="inlineStr">
        <is>
          <t>hmg_roof/hmg_roof_api</t>
        </is>
      </c>
      <c r="B42" t="inlineStr">
        <is>
          <t>hmg_roof</t>
        </is>
      </c>
      <c r="C42" t="inlineStr">
        <is>
          <t>hmg_roof_api</t>
        </is>
      </c>
      <c r="D42" t="inlineStr">
        <is>
          <t>roundOf</t>
        </is>
      </c>
      <c r="E42" t="inlineStr">
        <is>
          <t>api</t>
        </is>
      </c>
      <c r="F42" t="inlineStr">
        <is>
          <t>any</t>
        </is>
      </c>
      <c r="G42" t="inlineStr">
        <is>
          <t>Kinetic</t>
        </is>
      </c>
      <c r="H42" t="n">
        <v>2</v>
      </c>
      <c r="I42" t="n">
        <v>9.5</v>
      </c>
      <c r="J42" t="n">
        <v>0</v>
      </c>
      <c r="K42" t="inlineStr">
        <is>
          <t>Any (chỉ tinh nhuệ)</t>
        </is>
      </c>
      <c r="L42" t="n">
        <v>5.1111</v>
      </c>
      <c r="M42" t="n">
        <v>2</v>
      </c>
      <c r="N42" t="inlineStr">
        <is>
          <t>Assets/MachineBrigade/Resources/Data/balance.json: secondRounds.rounds (roundOf)</t>
        </is>
      </c>
      <c r="O42" t="inlineStr"/>
    </row>
    <row r="43">
      <c r="A43" t="inlineStr">
        <is>
          <t>hmg_selfdef_15/hmg_selfdef_15_api</t>
        </is>
      </c>
      <c r="B43" t="inlineStr">
        <is>
          <t>hmg_selfdef_15</t>
        </is>
      </c>
      <c r="C43" t="inlineStr">
        <is>
          <t>hmg_selfdef_15_api</t>
        </is>
      </c>
      <c r="D43" t="inlineStr">
        <is>
          <t>roundOf</t>
        </is>
      </c>
      <c r="E43" t="inlineStr">
        <is>
          <t>api</t>
        </is>
      </c>
      <c r="F43" t="inlineStr">
        <is>
          <t>any</t>
        </is>
      </c>
      <c r="G43" t="inlineStr">
        <is>
          <t>Kinetic</t>
        </is>
      </c>
      <c r="H43" t="n">
        <v>2</v>
      </c>
      <c r="I43" t="n">
        <v>9.5</v>
      </c>
      <c r="J43" t="n">
        <v>0</v>
      </c>
      <c r="K43" t="inlineStr">
        <is>
          <t>Any (chỉ tinh nhuệ)</t>
        </is>
      </c>
      <c r="L43" t="n">
        <v>5.1111</v>
      </c>
      <c r="M43" t="n">
        <v>2</v>
      </c>
      <c r="N43" t="inlineStr">
        <is>
          <t>Assets/MachineBrigade/Resources/Data/balance.json: secondRounds.rounds (roundOf)</t>
        </is>
      </c>
      <c r="O43" t="inlineStr"/>
    </row>
    <row r="44">
      <c r="A44" t="inlineStr">
        <is>
          <t>hmg_selfdef_18/hmg_selfdef_18_api</t>
        </is>
      </c>
      <c r="B44" t="inlineStr">
        <is>
          <t>hmg_selfdef_18</t>
        </is>
      </c>
      <c r="C44" t="inlineStr">
        <is>
          <t>hmg_selfdef_18_api</t>
        </is>
      </c>
      <c r="D44" t="inlineStr">
        <is>
          <t>roundOf</t>
        </is>
      </c>
      <c r="E44" t="inlineStr">
        <is>
          <t>api</t>
        </is>
      </c>
      <c r="F44" t="inlineStr">
        <is>
          <t>any</t>
        </is>
      </c>
      <c r="G44" t="inlineStr">
        <is>
          <t>Kinetic</t>
        </is>
      </c>
      <c r="H44" t="n">
        <v>2</v>
      </c>
      <c r="I44" t="n">
        <v>9.5</v>
      </c>
      <c r="J44" t="n">
        <v>0</v>
      </c>
      <c r="K44" t="inlineStr">
        <is>
          <t>Any (chỉ tinh nhuệ)</t>
        </is>
      </c>
      <c r="L44" t="n">
        <v>5.1111</v>
      </c>
      <c r="M44" t="n">
        <v>2</v>
      </c>
      <c r="N44" t="inlineStr">
        <is>
          <t>Assets/MachineBrigade/Resources/Data/balance.json: secondRounds.rounds (roundOf)</t>
        </is>
      </c>
      <c r="O44" t="inlineStr"/>
    </row>
    <row r="45">
      <c r="A45" t="inlineStr">
        <is>
          <t>hmg_selfdef_21/hmg_selfdef_21_api</t>
        </is>
      </c>
      <c r="B45" t="inlineStr">
        <is>
          <t>hmg_selfdef_21</t>
        </is>
      </c>
      <c r="C45" t="inlineStr">
        <is>
          <t>hmg_selfdef_21_api</t>
        </is>
      </c>
      <c r="D45" t="inlineStr">
        <is>
          <t>roundOf</t>
        </is>
      </c>
      <c r="E45" t="inlineStr">
        <is>
          <t>api</t>
        </is>
      </c>
      <c r="F45" t="inlineStr">
        <is>
          <t>any</t>
        </is>
      </c>
      <c r="G45" t="inlineStr">
        <is>
          <t>Kinetic</t>
        </is>
      </c>
      <c r="H45" t="n">
        <v>2</v>
      </c>
      <c r="I45" t="n">
        <v>9.5</v>
      </c>
      <c r="J45" t="n">
        <v>0</v>
      </c>
      <c r="K45" t="inlineStr">
        <is>
          <t>Any (chỉ tinh nhuệ)</t>
        </is>
      </c>
      <c r="L45" t="n">
        <v>5.1111</v>
      </c>
      <c r="M45" t="n">
        <v>2</v>
      </c>
      <c r="N45" t="inlineStr">
        <is>
          <t>Assets/MachineBrigade/Resources/Data/balance.json: secondRounds.rounds (roundOf)</t>
        </is>
      </c>
      <c r="O45" t="inlineStr"/>
    </row>
    <row r="46">
      <c r="A46" t="inlineStr">
        <is>
          <t>hover_ciws/hover_ciws_flak</t>
        </is>
      </c>
      <c r="B46" t="inlineStr">
        <is>
          <t>hover_ciws</t>
        </is>
      </c>
      <c r="C46" t="inlineStr">
        <is>
          <t>hover_ciws_flak</t>
        </is>
      </c>
      <c r="D46" t="inlineStr">
        <is>
          <t>roundOf</t>
        </is>
      </c>
      <c r="E46" t="inlineStr">
        <is>
          <t>flak</t>
        </is>
      </c>
      <c r="F46" t="inlineStr">
        <is>
          <t>air</t>
        </is>
      </c>
      <c r="G46" t="inlineStr">
        <is>
          <t>Fragmentation</t>
        </is>
      </c>
      <c r="H46" t="n">
        <v>2</v>
      </c>
      <c r="I46" t="n">
        <v>12</v>
      </c>
      <c r="J46" t="n">
        <v>2.5</v>
      </c>
      <c r="K46" t="inlineStr">
        <is>
          <t>Air</t>
        </is>
      </c>
      <c r="L46" t="n">
        <v>5.0167</v>
      </c>
      <c r="M46" t="n">
        <v>2</v>
      </c>
      <c r="N46" t="inlineStr">
        <is>
          <t>Assets/MachineBrigade/Resources/Data/balance.json: secondRounds.rounds (roundOf)</t>
        </is>
      </c>
      <c r="O46" t="inlineStr"/>
    </row>
    <row r="47">
      <c r="A47" t="inlineStr">
        <is>
          <t>howitzer/howitzer_guided</t>
        </is>
      </c>
      <c r="B47" t="inlineStr">
        <is>
          <t>howitzer</t>
        </is>
      </c>
      <c r="C47" t="inlineStr">
        <is>
          <t>howitzer_guided</t>
        </is>
      </c>
      <c r="D47" t="inlineStr">
        <is>
          <t>roundOf</t>
        </is>
      </c>
      <c r="E47" t="inlineStr">
        <is>
          <t>guided</t>
        </is>
      </c>
      <c r="F47" t="inlineStr">
        <is>
          <t>armour</t>
        </is>
      </c>
      <c r="G47" t="inlineStr">
        <is>
          <t>HighExplosive</t>
        </is>
      </c>
      <c r="H47" t="n">
        <v>3</v>
      </c>
      <c r="I47" t="n">
        <v>457</v>
      </c>
      <c r="J47" t="n">
        <v>7</v>
      </c>
      <c r="K47" t="inlineStr">
        <is>
          <t>Armour (chỉ tinh nhuệ)</t>
        </is>
      </c>
      <c r="L47" t="n">
        <v>10.204</v>
      </c>
      <c r="M47" t="n">
        <v>2</v>
      </c>
      <c r="N47" t="inlineStr">
        <is>
          <t>Assets/MachineBrigade/Resources/Data/balance.json: secondRounds.rounds (roundOf)</t>
        </is>
      </c>
      <c r="O47" t="inlineStr"/>
    </row>
    <row r="48">
      <c r="A48" t="inlineStr">
        <is>
          <t>howitzer_fixed/howitzer_fixed_guided</t>
        </is>
      </c>
      <c r="B48" t="inlineStr">
        <is>
          <t>howitzer_fixed</t>
        </is>
      </c>
      <c r="C48" t="inlineStr">
        <is>
          <t>howitzer_fixed_guided</t>
        </is>
      </c>
      <c r="D48" t="inlineStr">
        <is>
          <t>roundOf</t>
        </is>
      </c>
      <c r="E48" t="inlineStr">
        <is>
          <t>guided</t>
        </is>
      </c>
      <c r="F48" t="inlineStr">
        <is>
          <t>armour</t>
        </is>
      </c>
      <c r="G48" t="inlineStr">
        <is>
          <t>HighExplosive</t>
        </is>
      </c>
      <c r="H48" t="n">
        <v>3</v>
      </c>
      <c r="I48" t="n">
        <v>520</v>
      </c>
      <c r="J48" t="n">
        <v>7</v>
      </c>
      <c r="K48" t="inlineStr">
        <is>
          <t>Armour (chỉ tinh nhuệ)</t>
        </is>
      </c>
      <c r="L48" t="n">
        <v>10</v>
      </c>
      <c r="M48" t="n">
        <v>2</v>
      </c>
      <c r="N48" t="inlineStr">
        <is>
          <t>Assets/MachineBrigade/Resources/Data/balance.json: secondRounds.rounds (roundOf)</t>
        </is>
      </c>
      <c r="O48" t="inlineStr"/>
    </row>
    <row r="49">
      <c r="A49" t="inlineStr">
        <is>
          <t>hq_flak/hq_flak_ap</t>
        </is>
      </c>
      <c r="B49" t="inlineStr">
        <is>
          <t>hq_flak</t>
        </is>
      </c>
      <c r="C49" t="inlineStr">
        <is>
          <t>hq_flak_ap</t>
        </is>
      </c>
      <c r="D49" t="inlineStr">
        <is>
          <t>roundOf</t>
        </is>
      </c>
      <c r="E49" t="inlineStr">
        <is>
          <t>ap</t>
        </is>
      </c>
      <c r="F49" t="inlineStr">
        <is>
          <t>ground</t>
        </is>
      </c>
      <c r="G49" t="inlineStr">
        <is>
          <t>Kinetic</t>
        </is>
      </c>
      <c r="H49" t="n">
        <v>2</v>
      </c>
      <c r="I49" t="n">
        <v>7.5</v>
      </c>
      <c r="J49" t="n">
        <v>0</v>
      </c>
      <c r="K49" t="inlineStr">
        <is>
          <t>Ground</t>
        </is>
      </c>
      <c r="L49" t="n">
        <v>3.0286</v>
      </c>
      <c r="M49" t="n">
        <v>2</v>
      </c>
      <c r="N49" t="inlineStr">
        <is>
          <t>Assets/MachineBrigade/Resources/Data/balance.json: secondRounds.rounds (roundOf)</t>
        </is>
      </c>
      <c r="O49" t="inlineStr"/>
    </row>
    <row r="50">
      <c r="A50" t="inlineStr">
        <is>
          <t>ifv_30/ifv_30_flak</t>
        </is>
      </c>
      <c r="B50" t="inlineStr">
        <is>
          <t>ifv_30</t>
        </is>
      </c>
      <c r="C50" t="inlineStr">
        <is>
          <t>ifv_30_flak</t>
        </is>
      </c>
      <c r="D50" t="inlineStr">
        <is>
          <t>roundOf</t>
        </is>
      </c>
      <c r="E50" t="inlineStr">
        <is>
          <t>flak</t>
        </is>
      </c>
      <c r="F50" t="inlineStr">
        <is>
          <t>air</t>
        </is>
      </c>
      <c r="G50" t="inlineStr">
        <is>
          <t>Fragmentation</t>
        </is>
      </c>
      <c r="H50" t="n">
        <v>2</v>
      </c>
      <c r="I50" t="n">
        <v>22</v>
      </c>
      <c r="J50" t="n">
        <v>2.5</v>
      </c>
      <c r="K50" t="inlineStr">
        <is>
          <t>Air</t>
        </is>
      </c>
      <c r="L50" t="n">
        <v>1.6111</v>
      </c>
      <c r="M50" t="n">
        <v>2</v>
      </c>
      <c r="N50" t="inlineStr">
        <is>
          <t>Assets/MachineBrigade/Resources/Data/balance.json: secondRounds.rounds (roundOf)</t>
        </is>
      </c>
      <c r="O50" t="inlineStr"/>
    </row>
    <row r="51">
      <c r="A51" t="inlineStr">
        <is>
          <t>jet_cannon/jet_cannon_flak</t>
        </is>
      </c>
      <c r="B51" t="inlineStr">
        <is>
          <t>jet_cannon</t>
        </is>
      </c>
      <c r="C51" t="inlineStr">
        <is>
          <t>jet_cannon_flak</t>
        </is>
      </c>
      <c r="D51" t="inlineStr">
        <is>
          <t>roundOf</t>
        </is>
      </c>
      <c r="E51" t="inlineStr">
        <is>
          <t>flak</t>
        </is>
      </c>
      <c r="F51" t="inlineStr">
        <is>
          <t>air</t>
        </is>
      </c>
      <c r="G51" t="inlineStr">
        <is>
          <t>Fragmentation</t>
        </is>
      </c>
      <c r="H51" t="n">
        <v>2</v>
      </c>
      <c r="I51" t="n">
        <v>23</v>
      </c>
      <c r="J51" t="n">
        <v>2.5</v>
      </c>
      <c r="K51" t="inlineStr">
        <is>
          <t>Air</t>
        </is>
      </c>
      <c r="L51" t="n">
        <v>1.5526</v>
      </c>
      <c r="M51" t="n">
        <v>2</v>
      </c>
      <c r="N51" t="inlineStr">
        <is>
          <t>Assets/MachineBrigade/Resources/Data/balance.json: secondRounds.rounds (roundOf)</t>
        </is>
      </c>
      <c r="O51" t="inlineStr"/>
    </row>
    <row r="52">
      <c r="A52" t="inlineStr">
        <is>
          <t>leviathan_460/leviathan_460_guided</t>
        </is>
      </c>
      <c r="B52" t="inlineStr">
        <is>
          <t>leviathan_460</t>
        </is>
      </c>
      <c r="C52" t="inlineStr">
        <is>
          <t>leviathan_460_guided</t>
        </is>
      </c>
      <c r="D52" t="inlineStr">
        <is>
          <t>roundOf</t>
        </is>
      </c>
      <c r="E52" t="inlineStr">
        <is>
          <t>guided</t>
        </is>
      </c>
      <c r="F52" t="inlineStr">
        <is>
          <t>armour</t>
        </is>
      </c>
      <c r="G52" t="inlineStr">
        <is>
          <t>HighExplosive</t>
        </is>
      </c>
      <c r="H52" t="n">
        <v>4</v>
      </c>
      <c r="I52" t="n">
        <v>950</v>
      </c>
      <c r="J52" t="n">
        <v>13</v>
      </c>
      <c r="K52" t="inlineStr">
        <is>
          <t>Armour (chỉ tinh nhuệ)</t>
        </is>
      </c>
      <c r="L52" t="n">
        <v>14</v>
      </c>
      <c r="M52" t="n">
        <v>2</v>
      </c>
      <c r="N52" t="inlineStr">
        <is>
          <t>Assets/MachineBrigade/Resources/Data/balance.json: secondRounds.rounds (roundOf)</t>
        </is>
      </c>
      <c r="O52" t="inlineStr"/>
    </row>
    <row r="53">
      <c r="A53" t="inlineStr">
        <is>
          <t>mg_jeep/mg_jeep_api</t>
        </is>
      </c>
      <c r="B53" t="inlineStr">
        <is>
          <t>mg_jeep</t>
        </is>
      </c>
      <c r="C53" t="inlineStr">
        <is>
          <t>mg_jeep_api</t>
        </is>
      </c>
      <c r="D53" t="inlineStr">
        <is>
          <t>roundOf</t>
        </is>
      </c>
      <c r="E53" t="inlineStr">
        <is>
          <t>api</t>
        </is>
      </c>
      <c r="F53" t="inlineStr">
        <is>
          <t>any</t>
        </is>
      </c>
      <c r="G53" t="inlineStr">
        <is>
          <t>Kinetic</t>
        </is>
      </c>
      <c r="H53" t="n">
        <v>2</v>
      </c>
      <c r="I53" t="n">
        <v>9.5</v>
      </c>
      <c r="J53" t="n">
        <v>0</v>
      </c>
      <c r="K53" t="inlineStr">
        <is>
          <t>Any (chỉ tinh nhuệ)</t>
        </is>
      </c>
      <c r="L53" t="n">
        <v>5.1111</v>
      </c>
      <c r="M53" t="n">
        <v>2</v>
      </c>
      <c r="N53" t="inlineStr">
        <is>
          <t>Assets/MachineBrigade/Resources/Data/balance.json: secondRounds.rounds (roundOf)</t>
        </is>
      </c>
      <c r="O53" t="inlineStr"/>
    </row>
    <row r="54">
      <c r="A54" t="inlineStr">
        <is>
          <t>mg_jeep_selfdef/mg_jeep_selfdef_api</t>
        </is>
      </c>
      <c r="B54" t="inlineStr">
        <is>
          <t>mg_jeep_selfdef</t>
        </is>
      </c>
      <c r="C54" t="inlineStr">
        <is>
          <t>mg_jeep_selfdef_api</t>
        </is>
      </c>
      <c r="D54" t="inlineStr">
        <is>
          <t>roundOf</t>
        </is>
      </c>
      <c r="E54" t="inlineStr">
        <is>
          <t>api</t>
        </is>
      </c>
      <c r="F54" t="inlineStr">
        <is>
          <t>any</t>
        </is>
      </c>
      <c r="G54" t="inlineStr">
        <is>
          <t>Kinetic</t>
        </is>
      </c>
      <c r="H54" t="n">
        <v>2</v>
      </c>
      <c r="I54" t="n">
        <v>9.5</v>
      </c>
      <c r="J54" t="n">
        <v>0</v>
      </c>
      <c r="K54" t="inlineStr">
        <is>
          <t>Any (chỉ tinh nhuệ)</t>
        </is>
      </c>
      <c r="L54" t="n">
        <v>5.1111</v>
      </c>
      <c r="M54" t="n">
        <v>2</v>
      </c>
      <c r="N54" t="inlineStr">
        <is>
          <t>Assets/MachineBrigade/Resources/Data/balance.json: secondRounds.rounds (roundOf)</t>
        </is>
      </c>
      <c r="O54" t="inlineStr"/>
    </row>
    <row r="55">
      <c r="A55" t="inlineStr">
        <is>
          <t>naval_76/naval_76_guided</t>
        </is>
      </c>
      <c r="B55" t="inlineStr">
        <is>
          <t>naval_76</t>
        </is>
      </c>
      <c r="C55" t="inlineStr">
        <is>
          <t>naval_76_guided</t>
        </is>
      </c>
      <c r="D55" t="inlineStr">
        <is>
          <t>roundOf</t>
        </is>
      </c>
      <c r="E55" t="inlineStr">
        <is>
          <t>guided</t>
        </is>
      </c>
      <c r="F55" t="inlineStr">
        <is>
          <t>armour</t>
        </is>
      </c>
      <c r="G55" t="inlineStr">
        <is>
          <t>HighExplosive</t>
        </is>
      </c>
      <c r="H55" t="n">
        <v>3</v>
      </c>
      <c r="I55" t="n">
        <v>171</v>
      </c>
      <c r="J55" t="n">
        <v>3</v>
      </c>
      <c r="K55" t="inlineStr">
        <is>
          <t>Armour (chỉ tinh nhuệ)</t>
        </is>
      </c>
      <c r="L55" t="n">
        <v>4.643</v>
      </c>
      <c r="M55" t="n">
        <v>2</v>
      </c>
      <c r="N55" t="inlineStr">
        <is>
          <t>Assets/MachineBrigade/Resources/Data/balance.json: secondRounds.rounds (roundOf)</t>
        </is>
      </c>
      <c r="O55" t="inlineStr"/>
    </row>
    <row r="56">
      <c r="A56" t="inlineStr">
        <is>
          <t>naval_100/naval_100_guided</t>
        </is>
      </c>
      <c r="B56" t="inlineStr">
        <is>
          <t>naval_100</t>
        </is>
      </c>
      <c r="C56" t="inlineStr">
        <is>
          <t>naval_100_guided</t>
        </is>
      </c>
      <c r="D56" t="inlineStr">
        <is>
          <t>roundOf</t>
        </is>
      </c>
      <c r="E56" t="inlineStr">
        <is>
          <t>guided</t>
        </is>
      </c>
      <c r="F56" t="inlineStr">
        <is>
          <t>armour</t>
        </is>
      </c>
      <c r="G56" t="inlineStr">
        <is>
          <t>HighExplosive</t>
        </is>
      </c>
      <c r="H56" t="n">
        <v>3</v>
      </c>
      <c r="I56" t="n">
        <v>229</v>
      </c>
      <c r="J56" t="n">
        <v>3.5</v>
      </c>
      <c r="K56" t="inlineStr">
        <is>
          <t>Armour (chỉ tinh nhuệ)</t>
        </is>
      </c>
      <c r="L56" t="n">
        <v>5</v>
      </c>
      <c r="M56" t="n">
        <v>2</v>
      </c>
      <c r="N56" t="inlineStr">
        <is>
          <t>Assets/MachineBrigade/Resources/Data/balance.json: secondRounds.rounds (roundOf)</t>
        </is>
      </c>
      <c r="O56" t="inlineStr"/>
    </row>
    <row r="57">
      <c r="A57" t="inlineStr">
        <is>
          <t>naval_155_triple/naval_155_triple_guided</t>
        </is>
      </c>
      <c r="B57" t="inlineStr">
        <is>
          <t>naval_155_triple</t>
        </is>
      </c>
      <c r="C57" t="inlineStr">
        <is>
          <t>naval_155_triple_guided</t>
        </is>
      </c>
      <c r="D57" t="inlineStr">
        <is>
          <t>roundOf</t>
        </is>
      </c>
      <c r="E57" t="inlineStr">
        <is>
          <t>guided</t>
        </is>
      </c>
      <c r="F57" t="inlineStr">
        <is>
          <t>armour</t>
        </is>
      </c>
      <c r="G57" t="inlineStr">
        <is>
          <t>HighExplosive</t>
        </is>
      </c>
      <c r="H57" t="n">
        <v>3</v>
      </c>
      <c r="I57" t="n">
        <v>320</v>
      </c>
      <c r="J57" t="n">
        <v>4.5</v>
      </c>
      <c r="K57" t="inlineStr">
        <is>
          <t>Armour (chỉ tinh nhuệ)</t>
        </is>
      </c>
      <c r="L57" t="n">
        <v>10</v>
      </c>
      <c r="M57" t="n">
        <v>2</v>
      </c>
      <c r="N57" t="inlineStr">
        <is>
          <t>Assets/MachineBrigade/Resources/Data/balance.json: secondRounds.rounds (roundOf)</t>
        </is>
      </c>
      <c r="O57" t="inlineStr"/>
    </row>
    <row r="58">
      <c r="A58" t="inlineStr">
        <is>
          <t>p26_ixion_125/p26_ixion_125_he</t>
        </is>
      </c>
      <c r="B58" t="inlineStr">
        <is>
          <t>p26_ixion_125</t>
        </is>
      </c>
      <c r="C58" t="inlineStr">
        <is>
          <t>p26_ixion_125_he</t>
        </is>
      </c>
      <c r="D58" t="inlineStr">
        <is>
          <t>roundOf</t>
        </is>
      </c>
      <c r="E58" t="inlineStr">
        <is>
          <t>he</t>
        </is>
      </c>
      <c r="F58" t="inlineStr">
        <is>
          <t>cluster</t>
        </is>
      </c>
      <c r="G58" t="inlineStr">
        <is>
          <t>HighExplosive</t>
        </is>
      </c>
      <c r="H58" t="n">
        <v>3</v>
      </c>
      <c r="I58" t="n">
        <v>400.1</v>
      </c>
      <c r="J58" t="n">
        <v>5</v>
      </c>
      <c r="K58" t="inlineStr">
        <is>
          <t>Cluster</t>
        </is>
      </c>
      <c r="L58" t="n">
        <v>7.5</v>
      </c>
      <c r="M58" t="n">
        <v>2</v>
      </c>
      <c r="N58" t="inlineStr">
        <is>
          <t>Assets/MachineBrigade/Resources/Data/balance.json: secondRounds.rounds (roundOf)</t>
        </is>
      </c>
      <c r="O58" t="inlineStr"/>
    </row>
    <row r="59">
      <c r="A59" t="inlineStr">
        <is>
          <t>siege_gun_105/siege_gun_105_he</t>
        </is>
      </c>
      <c r="B59" t="inlineStr">
        <is>
          <t>siege_gun_105</t>
        </is>
      </c>
      <c r="C59" t="inlineStr">
        <is>
          <t>siege_gun_105_he</t>
        </is>
      </c>
      <c r="D59" t="inlineStr">
        <is>
          <t>roundOf</t>
        </is>
      </c>
      <c r="E59" t="inlineStr">
        <is>
          <t>he</t>
        </is>
      </c>
      <c r="F59" t="inlineStr">
        <is>
          <t>light;structure</t>
        </is>
      </c>
      <c r="G59" t="inlineStr">
        <is>
          <t>HighExplosive</t>
        </is>
      </c>
      <c r="H59" t="n">
        <v>2</v>
      </c>
      <c r="I59" t="n">
        <v>303</v>
      </c>
      <c r="J59" t="n">
        <v>3</v>
      </c>
      <c r="K59" t="inlineStr">
        <is>
          <t>Light, Structure</t>
        </is>
      </c>
      <c r="L59" t="n">
        <v>6.571</v>
      </c>
      <c r="M59" t="n">
        <v>2</v>
      </c>
      <c r="N59" t="inlineStr">
        <is>
          <t>Assets/MachineBrigade/Resources/Data/balance.json: secondRounds.rounds (roundOf)</t>
        </is>
      </c>
      <c r="O59" t="inlineStr"/>
    </row>
    <row r="60">
      <c r="A60" t="inlineStr">
        <is>
          <t>tower_ac25/tower_ac25_flak</t>
        </is>
      </c>
      <c r="B60" t="inlineStr">
        <is>
          <t>tower_ac25</t>
        </is>
      </c>
      <c r="C60" t="inlineStr">
        <is>
          <t>tower_ac25_flak</t>
        </is>
      </c>
      <c r="D60" t="inlineStr">
        <is>
          <t>roundOf</t>
        </is>
      </c>
      <c r="E60" t="inlineStr">
        <is>
          <t>flak</t>
        </is>
      </c>
      <c r="F60" t="inlineStr">
        <is>
          <t>air</t>
        </is>
      </c>
      <c r="G60" t="inlineStr">
        <is>
          <t>Fragmentation</t>
        </is>
      </c>
      <c r="H60" t="n">
        <v>1</v>
      </c>
      <c r="I60" t="n">
        <v>17</v>
      </c>
      <c r="J60" t="n">
        <v>2</v>
      </c>
      <c r="K60" t="inlineStr">
        <is>
          <t>Air</t>
        </is>
      </c>
      <c r="L60" t="n">
        <v>1.425</v>
      </c>
      <c r="M60" t="n">
        <v>2</v>
      </c>
      <c r="N60" t="inlineStr">
        <is>
          <t>Assets/MachineBrigade/Resources/Data/balance.json: secondRounds.rounds (roundOf)</t>
        </is>
      </c>
      <c r="O60" t="inlineStr"/>
    </row>
    <row r="61">
      <c r="A61" t="inlineStr">
        <is>
          <t>tower_flak_30/tower_flak_30_ap</t>
        </is>
      </c>
      <c r="B61" t="inlineStr">
        <is>
          <t>tower_flak_30</t>
        </is>
      </c>
      <c r="C61" t="inlineStr">
        <is>
          <t>tower_flak_30_ap</t>
        </is>
      </c>
      <c r="D61" t="inlineStr">
        <is>
          <t>roundOf</t>
        </is>
      </c>
      <c r="E61" t="inlineStr">
        <is>
          <t>ap</t>
        </is>
      </c>
      <c r="F61" t="inlineStr">
        <is>
          <t>ground</t>
        </is>
      </c>
      <c r="G61" t="inlineStr">
        <is>
          <t>Kinetic</t>
        </is>
      </c>
      <c r="H61" t="n">
        <v>2</v>
      </c>
      <c r="I61" t="n">
        <v>7</v>
      </c>
      <c r="J61" t="n">
        <v>0</v>
      </c>
      <c r="K61" t="inlineStr">
        <is>
          <t>Ground</t>
        </is>
      </c>
      <c r="L61" t="n">
        <v>3.0286</v>
      </c>
      <c r="M61" t="n">
        <v>2</v>
      </c>
      <c r="N61" t="inlineStr">
        <is>
          <t>Assets/MachineBrigade/Resources/Data/balance.json: secondRounds.rounds (roundOf)</t>
        </is>
      </c>
      <c r="O61" t="inlineStr"/>
    </row>
    <row r="62">
      <c r="A62" t="inlineStr">
        <is>
          <t>tower_hmg/tower_hmg_api</t>
        </is>
      </c>
      <c r="B62" t="inlineStr">
        <is>
          <t>tower_hmg</t>
        </is>
      </c>
      <c r="C62" t="inlineStr">
        <is>
          <t>tower_hmg_api</t>
        </is>
      </c>
      <c r="D62" t="inlineStr">
        <is>
          <t>roundOf</t>
        </is>
      </c>
      <c r="E62" t="inlineStr">
        <is>
          <t>api</t>
        </is>
      </c>
      <c r="F62" t="inlineStr">
        <is>
          <t>any</t>
        </is>
      </c>
      <c r="G62" t="inlineStr">
        <is>
          <t>Kinetic</t>
        </is>
      </c>
      <c r="H62" t="n">
        <v>2</v>
      </c>
      <c r="I62" t="n">
        <v>9.5</v>
      </c>
      <c r="J62" t="n">
        <v>0</v>
      </c>
      <c r="K62" t="inlineStr">
        <is>
          <t>Any (chỉ tinh nhuệ)</t>
        </is>
      </c>
      <c r="L62" t="n">
        <v>4.085</v>
      </c>
      <c r="M62" t="n">
        <v>2</v>
      </c>
      <c r="N62" t="inlineStr">
        <is>
          <t>Assets/MachineBrigade/Resources/Data/balance.json: secondRounds.rounds (roundOf)</t>
        </is>
      </c>
      <c r="O62" t="inlineStr"/>
    </row>
    <row r="63">
      <c r="A63" t="inlineStr">
        <is>
          <t>train_gun/train_gun_he</t>
        </is>
      </c>
      <c r="B63" t="inlineStr">
        <is>
          <t>train_gun</t>
        </is>
      </c>
      <c r="C63" t="inlineStr">
        <is>
          <t>train_gun_he</t>
        </is>
      </c>
      <c r="D63" t="inlineStr">
        <is>
          <t>roundOf</t>
        </is>
      </c>
      <c r="E63" t="inlineStr">
        <is>
          <t>he</t>
        </is>
      </c>
      <c r="F63" t="inlineStr">
        <is>
          <t>light;structure</t>
        </is>
      </c>
      <c r="G63" t="inlineStr">
        <is>
          <t>HighExplosive</t>
        </is>
      </c>
      <c r="H63" t="n">
        <v>2</v>
      </c>
      <c r="I63" t="n">
        <v>600</v>
      </c>
      <c r="J63" t="n">
        <v>7</v>
      </c>
      <c r="K63" t="inlineStr">
        <is>
          <t>Light, Structure</t>
        </is>
      </c>
      <c r="L63" t="n">
        <v>8</v>
      </c>
      <c r="M63" t="n">
        <v>2</v>
      </c>
      <c r="N63" t="inlineStr">
        <is>
          <t>Assets/MachineBrigade/Resources/Data/balance.json: secondRounds.rounds (roundOf)</t>
        </is>
      </c>
      <c r="O63" t="inlineStr"/>
    </row>
    <row r="64">
      <c r="A64" t="inlineStr">
        <is>
          <t>turret_gun_120/turret_gun_120_he</t>
        </is>
      </c>
      <c r="B64" t="inlineStr">
        <is>
          <t>turret_gun_120</t>
        </is>
      </c>
      <c r="C64" t="inlineStr">
        <is>
          <t>turret_gun_120_he</t>
        </is>
      </c>
      <c r="D64" t="inlineStr">
        <is>
          <t>roundOf</t>
        </is>
      </c>
      <c r="E64" t="inlineStr">
        <is>
          <t>he</t>
        </is>
      </c>
      <c r="F64" t="inlineStr">
        <is>
          <t>light;structure</t>
        </is>
      </c>
      <c r="G64" t="inlineStr">
        <is>
          <t>HighExplosive</t>
        </is>
      </c>
      <c r="H64" t="n">
        <v>2</v>
      </c>
      <c r="I64" t="n">
        <v>343</v>
      </c>
      <c r="J64" t="n">
        <v>3</v>
      </c>
      <c r="K64" t="inlineStr">
        <is>
          <t>Light, Structure</t>
        </is>
      </c>
      <c r="L64" t="n">
        <v>4.114</v>
      </c>
      <c r="M64" t="n">
        <v>2</v>
      </c>
      <c r="N64" t="inlineStr">
        <is>
          <t>Assets/MachineBrigade/Resources/Data/balance.json: secondRounds.rounds (roundOf)</t>
        </is>
      </c>
      <c r="O64" t="inlineStr"/>
    </row>
    <row r="65">
      <c r="A65" t="inlineStr">
        <is>
          <t>turret_gun_120_long/turret_gun_120_long_he</t>
        </is>
      </c>
      <c r="B65" t="inlineStr">
        <is>
          <t>turret_gun_120_long</t>
        </is>
      </c>
      <c r="C65" t="inlineStr">
        <is>
          <t>turret_gun_120_long_he</t>
        </is>
      </c>
      <c r="D65" t="inlineStr">
        <is>
          <t>roundOf</t>
        </is>
      </c>
      <c r="E65" t="inlineStr">
        <is>
          <t>he</t>
        </is>
      </c>
      <c r="F65" t="inlineStr">
        <is>
          <t>light;structure</t>
        </is>
      </c>
      <c r="G65" t="inlineStr">
        <is>
          <t>HighExplosive</t>
        </is>
      </c>
      <c r="H65" t="n">
        <v>2</v>
      </c>
      <c r="I65" t="n">
        <v>343</v>
      </c>
      <c r="J65" t="n">
        <v>3</v>
      </c>
      <c r="K65" t="inlineStr">
        <is>
          <t>Light, Structure</t>
        </is>
      </c>
      <c r="L65" t="n">
        <v>5.571</v>
      </c>
      <c r="M65" t="n">
        <v>2</v>
      </c>
      <c r="N65" t="inlineStr">
        <is>
          <t>Assets/MachineBrigade/Resources/Data/balance.json: secondRounds.rounds (roundOf)</t>
        </is>
      </c>
      <c r="O65" t="inlineStr"/>
    </row>
    <row r="66">
      <c r="A66" t="inlineStr">
        <is>
          <t>twin_30_bmpt/twin_30_bmpt_flak</t>
        </is>
      </c>
      <c r="B66" t="inlineStr">
        <is>
          <t>twin_30_bmpt</t>
        </is>
      </c>
      <c r="C66" t="inlineStr">
        <is>
          <t>twin_30_bmpt_flak</t>
        </is>
      </c>
      <c r="D66" t="inlineStr">
        <is>
          <t>roundOf</t>
        </is>
      </c>
      <c r="E66" t="inlineStr">
        <is>
          <t>flak</t>
        </is>
      </c>
      <c r="F66" t="inlineStr">
        <is>
          <t>air</t>
        </is>
      </c>
      <c r="G66" t="inlineStr">
        <is>
          <t>Fragmentation</t>
        </is>
      </c>
      <c r="H66" t="n">
        <v>2</v>
      </c>
      <c r="I66" t="n">
        <v>22</v>
      </c>
      <c r="J66" t="n">
        <v>2.5</v>
      </c>
      <c r="K66" t="inlineStr">
        <is>
          <t>Air</t>
        </is>
      </c>
      <c r="L66" t="n">
        <v>1.5833</v>
      </c>
      <c r="M66" t="n">
        <v>2</v>
      </c>
      <c r="N66" t="inlineStr">
        <is>
          <t>Assets/MachineBrigade/Resources/Data/balance.json: secondRounds.rounds (roundOf)</t>
        </is>
      </c>
      <c r="O66" t="inlineStr"/>
    </row>
    <row r="67">
      <c r="A67" t="inlineStr">
        <is>
          <t>twin_30_flak/twin_30_flak_ap</t>
        </is>
      </c>
      <c r="B67" t="inlineStr">
        <is>
          <t>twin_30_flak</t>
        </is>
      </c>
      <c r="C67" t="inlineStr">
        <is>
          <t>twin_30_flak_ap</t>
        </is>
      </c>
      <c r="D67" t="inlineStr">
        <is>
          <t>roundOf</t>
        </is>
      </c>
      <c r="E67" t="inlineStr">
        <is>
          <t>ap</t>
        </is>
      </c>
      <c r="F67" t="inlineStr">
        <is>
          <t>ground</t>
        </is>
      </c>
      <c r="G67" t="inlineStr">
        <is>
          <t>Kinetic</t>
        </is>
      </c>
      <c r="H67" t="n">
        <v>2</v>
      </c>
      <c r="I67" t="n">
        <v>7.5</v>
      </c>
      <c r="J67" t="n">
        <v>0</v>
      </c>
      <c r="K67" t="inlineStr">
        <is>
          <t>Ground</t>
        </is>
      </c>
      <c r="L67" t="n">
        <v>3.025</v>
      </c>
      <c r="M67" t="n">
        <v>2</v>
      </c>
      <c r="N67" t="inlineStr">
        <is>
          <t>Assets/MachineBrigade/Resources/Data/balance.json: secondRounds.rounds (roundOf)</t>
        </is>
      </c>
      <c r="O67" t="inlineStr"/>
    </row>
    <row r="68">
      <c r="A68" t="inlineStr">
        <is>
          <t>twin_35_ahead/twin_35_ahead_ap</t>
        </is>
      </c>
      <c r="B68" t="inlineStr">
        <is>
          <t>twin_35_ahead</t>
        </is>
      </c>
      <c r="C68" t="inlineStr">
        <is>
          <t>twin_35_ahead_ap</t>
        </is>
      </c>
      <c r="D68" t="inlineStr">
        <is>
          <t>roundOf</t>
        </is>
      </c>
      <c r="E68" t="inlineStr">
        <is>
          <t>ap</t>
        </is>
      </c>
      <c r="F68" t="inlineStr">
        <is>
          <t>ground</t>
        </is>
      </c>
      <c r="G68" t="inlineStr">
        <is>
          <t>Kinetic</t>
        </is>
      </c>
      <c r="H68" t="n">
        <v>2</v>
      </c>
      <c r="I68" t="n">
        <v>26</v>
      </c>
      <c r="J68" t="n">
        <v>0</v>
      </c>
      <c r="K68" t="inlineStr">
        <is>
          <t>Ground</t>
        </is>
      </c>
      <c r="L68" t="n">
        <v>1.2137</v>
      </c>
      <c r="M68" t="n">
        <v>2</v>
      </c>
      <c r="N68" t="inlineStr">
        <is>
          <t>Assets/MachineBrigade/Resources/Data/balance.json: secondRounds.rounds (roundOf)</t>
        </is>
      </c>
      <c r="O68" t="inlineStr"/>
    </row>
    <row r="69">
      <c r="A69" t="inlineStr">
        <is>
          <t>zu23/zu23_ap</t>
        </is>
      </c>
      <c r="B69" t="inlineStr">
        <is>
          <t>zu23</t>
        </is>
      </c>
      <c r="C69" t="inlineStr">
        <is>
          <t>zu23_ap</t>
        </is>
      </c>
      <c r="D69" t="inlineStr">
        <is>
          <t>roundOf</t>
        </is>
      </c>
      <c r="E69" t="inlineStr">
        <is>
          <t>ap</t>
        </is>
      </c>
      <c r="F69" t="inlineStr">
        <is>
          <t>ground</t>
        </is>
      </c>
      <c r="G69" t="inlineStr">
        <is>
          <t>Kinetic</t>
        </is>
      </c>
      <c r="H69" t="n">
        <v>2</v>
      </c>
      <c r="I69" t="n">
        <v>3.5</v>
      </c>
      <c r="J69" t="n">
        <v>0</v>
      </c>
      <c r="K69" t="inlineStr">
        <is>
          <t>Ground</t>
        </is>
      </c>
      <c r="L69" t="n">
        <v>3.02</v>
      </c>
      <c r="M69" t="n">
        <v>2</v>
      </c>
      <c r="N69" t="inlineStr">
        <is>
          <t>Assets/MachineBrigade/Resources/Data/balance.json: secondRounds.rounds (roundOf)</t>
        </is>
      </c>
      <c r="O69" t="inlineStr"/>
    </row>
  </sheetData>
  <autoFilter ref="A1:O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60" customWidth="1" min="5" max="5"/>
    <col width="41" customWidth="1" min="6" max="6"/>
  </cols>
  <sheetData>
    <row r="1">
      <c r="A1" s="1" t="inlineStr">
        <is>
          <t>id</t>
        </is>
      </c>
      <c r="B1" s="1" t="inlineStr">
        <is>
          <t>mat_dat</t>
        </is>
      </c>
      <c r="C1" s="1" t="inlineStr">
        <is>
          <t>may_bay</t>
        </is>
      </c>
      <c r="D1" s="1" t="inlineStr">
        <is>
          <t>cong_trinh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Energy</t>
        </is>
      </c>
      <c r="B2" t="n">
        <v>1</v>
      </c>
      <c r="C2" t="n">
        <v>1.5</v>
      </c>
      <c r="D2" t="n">
        <v>0.5</v>
      </c>
      <c r="E2" t="inlineStr">
        <is>
          <t>Assets/MachineBrigade/Resources/Data/balance.json: damageTable.Energy</t>
        </is>
      </c>
      <c r="F2" t="inlineStr">
        <is>
          <t>{"Ground":1.0,"Air":1.5,"Structure":0.5}</t>
        </is>
      </c>
    </row>
    <row r="3">
      <c r="A3" t="inlineStr">
        <is>
          <t>Fire</t>
        </is>
      </c>
      <c r="B3" t="n">
        <v>1.5</v>
      </c>
      <c r="C3" t="n">
        <v>0</v>
      </c>
      <c r="D3" t="n">
        <v>1</v>
      </c>
      <c r="E3" t="inlineStr">
        <is>
          <t>Assets/MachineBrigade/Resources/Data/balance.json: damageTable.Fire</t>
        </is>
      </c>
      <c r="F3" t="inlineStr">
        <is>
          <t>{"Ground":1.5,"Air":0.0,"Structure":1.0}</t>
        </is>
      </c>
    </row>
    <row r="4">
      <c r="A4" t="inlineStr">
        <is>
          <t>Fragmentation</t>
        </is>
      </c>
      <c r="B4" t="n">
        <v>0.5</v>
      </c>
      <c r="C4" t="n">
        <v>1.3</v>
      </c>
      <c r="D4" t="n">
        <v>0.1</v>
      </c>
      <c r="E4" t="inlineStr">
        <is>
          <t>Assets/MachineBrigade/Resources/Data/balance.json: damageTable.Fragmentation</t>
        </is>
      </c>
      <c r="F4" t="inlineStr">
        <is>
          <t>{"Ground":0.5,"Air":1.3,"Structure":0.1}</t>
        </is>
      </c>
    </row>
    <row r="5">
      <c r="A5" t="inlineStr">
        <is>
          <t>HighExplosive</t>
        </is>
      </c>
      <c r="B5" t="n">
        <v>1</v>
      </c>
      <c r="C5" t="n">
        <v>0</v>
      </c>
      <c r="D5" t="n">
        <v>1.5</v>
      </c>
      <c r="E5" t="inlineStr">
        <is>
          <t>Assets/MachineBrigade/Resources/Data/balance.json: damageTable.HighExplosive</t>
        </is>
      </c>
      <c r="F5" t="inlineStr">
        <is>
          <t>{"Ground":1.0,"Air":0.0,"Structure":1.5}</t>
        </is>
      </c>
    </row>
    <row r="6">
      <c r="A6" t="inlineStr">
        <is>
          <t>Kinetic</t>
        </is>
      </c>
      <c r="B6" t="n">
        <v>1</v>
      </c>
      <c r="C6" t="n">
        <v>0.3</v>
      </c>
      <c r="D6" t="n">
        <v>0.6</v>
      </c>
      <c r="E6" t="inlineStr">
        <is>
          <t>Assets/MachineBrigade/Resources/Data/balance.json: damageTable.Kinetic</t>
        </is>
      </c>
      <c r="F6" t="inlineStr">
        <is>
          <t>{"Ground":1.0,"Air":0.3,"Structure":0.6}</t>
        </is>
      </c>
    </row>
    <row r="7">
      <c r="A7" t="inlineStr">
        <is>
          <t>ShapedCharge</t>
        </is>
      </c>
      <c r="B7" t="n">
        <v>1</v>
      </c>
      <c r="C7" t="n">
        <v>0.3</v>
      </c>
      <c r="D7" t="n">
        <v>0.6</v>
      </c>
      <c r="E7" t="inlineStr">
        <is>
          <t>Assets/MachineBrigade/Resources/Data/balance.json: damageTable.ShapedCharge</t>
        </is>
      </c>
      <c r="F7" t="inlineStr">
        <is>
          <t>{"Ground":1.0,"Air":0.3,"Structure":0.6}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chenh_xuyen_giap</t>
        </is>
      </c>
      <c r="C1" s="1" t="inlineStr">
        <is>
          <t>he_so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buoc_0</t>
        </is>
      </c>
      <c r="B2" t="inlineStr">
        <is>
          <t>+2</t>
        </is>
      </c>
      <c r="C2" t="n">
        <v>1.2</v>
      </c>
      <c r="D2" t="inlineStr">
        <is>
          <t>Assets/MachineBrigade/Resources/Data/balance.json: damageTable.penetration[0]</t>
        </is>
      </c>
      <c r="E2" t="inlineStr">
        <is>
          <t>1.2</t>
        </is>
      </c>
    </row>
    <row r="3">
      <c r="A3" t="inlineStr">
        <is>
          <t>buoc_1</t>
        </is>
      </c>
      <c r="B3" t="inlineStr">
        <is>
          <t>+1</t>
        </is>
      </c>
      <c r="C3" t="n">
        <v>1</v>
      </c>
      <c r="D3" t="inlineStr">
        <is>
          <t>Assets/MachineBrigade/Resources/Data/balance.json: damageTable.penetration[1]</t>
        </is>
      </c>
      <c r="E3" t="inlineStr">
        <is>
          <t>1.0</t>
        </is>
      </c>
    </row>
    <row r="4">
      <c r="A4" t="inlineStr">
        <is>
          <t>buoc_2</t>
        </is>
      </c>
      <c r="B4" t="inlineStr">
        <is>
          <t>0</t>
        </is>
      </c>
      <c r="C4" t="n">
        <v>0.85</v>
      </c>
      <c r="D4" t="inlineStr">
        <is>
          <t>Assets/MachineBrigade/Resources/Data/balance.json: damageTable.penetration[2]</t>
        </is>
      </c>
      <c r="E4" t="inlineStr">
        <is>
          <t>0.85</t>
        </is>
      </c>
    </row>
    <row r="5">
      <c r="A5" t="inlineStr">
        <is>
          <t>buoc_3</t>
        </is>
      </c>
      <c r="B5" t="inlineStr">
        <is>
          <t>-1</t>
        </is>
      </c>
      <c r="C5" t="n">
        <v>0.5</v>
      </c>
      <c r="D5" t="inlineStr">
        <is>
          <t>Assets/MachineBrigade/Resources/Data/balance.json: damageTable.penetration[3]</t>
        </is>
      </c>
      <c r="E5" t="inlineStr">
        <is>
          <t>0.5</t>
        </is>
      </c>
    </row>
    <row r="6">
      <c r="A6" t="inlineStr">
        <is>
          <t>buoc_4</t>
        </is>
      </c>
      <c r="B6" t="inlineStr">
        <is>
          <t>-2</t>
        </is>
      </c>
      <c r="C6" t="n">
        <v>0.25</v>
      </c>
      <c r="D6" t="inlineStr">
        <is>
          <t>Assets/MachineBrigade/Resources/Data/balance.json: damageTable.penetration[4]</t>
        </is>
      </c>
      <c r="E6" t="inlineStr">
        <is>
          <t>0.25</t>
        </is>
      </c>
    </row>
    <row r="7">
      <c r="A7" t="inlineStr">
        <is>
          <t>buoc_5</t>
        </is>
      </c>
      <c r="B7" t="inlineStr">
        <is>
          <t>-3</t>
        </is>
      </c>
      <c r="C7" t="n">
        <v>0.1</v>
      </c>
      <c r="D7" t="inlineStr">
        <is>
          <t>Assets/MachineBrigade/Resources/Data/balance.json: damageTable.penetration[5]</t>
        </is>
      </c>
      <c r="E7" t="inlineStr">
        <is>
          <t>0.1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damageTable.thermobaric</t>
        </is>
      </c>
      <c r="B2" t="inlineStr">
        <is>
          <t>damageTable</t>
        </is>
      </c>
      <c r="C2" t="inlineStr">
        <is>
          <t>thermobaric</t>
        </is>
      </c>
      <c r="D2" t="n">
        <v>2</v>
      </c>
      <c r="F2" t="inlineStr"/>
      <c r="G2" t="inlineStr">
        <is>
          <t>Assets/MachineBrigade/Resources/Data/balance.json: damageTable.thermobaric</t>
        </is>
      </c>
      <c r="H2" t="inlineStr">
        <is>
          <t>2.0</t>
        </is>
      </c>
    </row>
    <row r="3">
      <c r="A3" t="inlineStr">
        <is>
          <t>firepower.propBlasts</t>
        </is>
      </c>
      <c r="B3" t="inlineStr">
        <is>
          <t>firepower</t>
        </is>
      </c>
      <c r="C3" t="inlineStr">
        <is>
          <t>propBlasts</t>
        </is>
      </c>
      <c r="D3" t="n">
        <v>1.5</v>
      </c>
      <c r="F3" t="inlineStr"/>
      <c r="G3" t="inlineStr">
        <is>
          <t>Assets/MachineBrigade/Resources/Data/balance.json: firepower.propBlasts</t>
        </is>
      </c>
      <c r="H3" t="inlineStr">
        <is>
          <t>1.5</t>
        </is>
      </c>
    </row>
    <row r="4">
      <c r="A4" t="inlineStr">
        <is>
          <t>firepower.strikes</t>
        </is>
      </c>
      <c r="B4" t="inlineStr">
        <is>
          <t>firepower</t>
        </is>
      </c>
      <c r="C4" t="inlineStr">
        <is>
          <t>strikes</t>
        </is>
      </c>
      <c r="D4" t="n">
        <v>2</v>
      </c>
      <c r="F4" t="inlineStr"/>
      <c r="G4" t="inlineStr">
        <is>
          <t>Assets/MachineBrigade/Resources/Data/balance.json: firepower.strikes</t>
        </is>
      </c>
      <c r="H4" t="inlineStr">
        <is>
          <t>2.0</t>
        </is>
      </c>
    </row>
    <row r="5">
      <c r="A5" t="inlineStr">
        <is>
          <t>firepower.vehicleBlasts</t>
        </is>
      </c>
      <c r="B5" t="inlineStr">
        <is>
          <t>firepower</t>
        </is>
      </c>
      <c r="C5" t="inlineStr">
        <is>
          <t>vehicleBlasts</t>
        </is>
      </c>
      <c r="D5" t="n">
        <v>2</v>
      </c>
      <c r="F5" t="inlineStr"/>
      <c r="G5" t="inlineStr">
        <is>
          <t>Assets/MachineBrigade/Resources/Data/balance.json: firepower.vehicleBlasts</t>
        </is>
      </c>
      <c r="H5" t="inlineStr">
        <is>
          <t>2.0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20" customWidth="1" min="4" max="4"/>
    <col width="12" customWidth="1" min="5" max="5"/>
    <col width="19" customWidth="1" min="6" max="6"/>
    <col width="22" customWidth="1" min="7" max="7"/>
    <col width="18" customWidth="1" min="8" max="8"/>
    <col width="21" customWidth="1" min="9" max="9"/>
    <col width="16" customWidth="1" min="10" max="10"/>
    <col width="13" customWidth="1" min="11" max="11"/>
    <col width="13" customWidth="1" min="12" max="12"/>
    <col width="60" customWidth="1" min="13" max="13"/>
    <col width="60" customWidth="1" min="14" max="14"/>
    <col width="8" customWidth="1" min="15" max="15"/>
    <col width="11" customWidth="1" min="16" max="16"/>
    <col width="17" customWidth="1" min="17" max="17"/>
    <col width="13" customWidth="1" min="18" max="18"/>
    <col width="12" customWidth="1" min="19" max="19"/>
    <col width="11" customWidth="1" min="20" max="20"/>
    <col width="11" customWidth="1" min="21" max="21"/>
    <col width="14" customWidth="1" min="22" max="22"/>
    <col width="14" customWidth="1" min="23" max="23"/>
    <col width="16" customWidth="1" min="24" max="24"/>
    <col width="14" customWidth="1" min="25" max="25"/>
    <col width="13" customWidth="1" min="26" max="26"/>
    <col width="12" customWidth="1" min="27" max="27"/>
    <col width="19" customWidth="1" min="28" max="28"/>
    <col width="60" customWidth="1" min="29" max="29"/>
    <col width="60" customWidth="1" min="30" max="30"/>
  </cols>
  <sheetData>
    <row r="1">
      <c r="A1" s="1" t="inlineStr">
        <is>
          <t>id</t>
        </is>
      </c>
      <c r="B1" s="1" t="inlineStr">
        <is>
          <t>loai_don_vi</t>
        </is>
      </c>
      <c r="C1" s="1" t="inlineStr">
        <is>
          <t>he_phong_ve</t>
        </is>
      </c>
      <c r="D1" s="1" t="inlineStr">
        <is>
          <t>chan_directMissile</t>
        </is>
      </c>
      <c r="E1" s="1" t="inlineStr">
        <is>
          <t>chan_drone</t>
        </is>
      </c>
      <c r="F1" s="1" t="inlineStr">
        <is>
          <t>chan_directRocket</t>
        </is>
      </c>
      <c r="G1" s="1" t="inlineStr">
        <is>
          <t>chan_artilleryRocket</t>
        </is>
      </c>
      <c r="H1" s="1" t="inlineStr">
        <is>
          <t>chan_mortarShell</t>
        </is>
      </c>
      <c r="I1" s="1" t="inlineStr">
        <is>
          <t>chan_artilleryShell</t>
        </is>
      </c>
      <c r="J1" s="1" t="inlineStr">
        <is>
          <t>chan_tankShell</t>
        </is>
      </c>
      <c r="K1" s="1" t="inlineStr">
        <is>
          <t>chan_bullet</t>
        </is>
      </c>
      <c r="L1" s="1" t="inlineStr">
        <is>
          <t>chan_energy</t>
        </is>
      </c>
      <c r="M1" s="1" t="inlineStr">
        <is>
          <t>aps_nang_cap</t>
        </is>
      </c>
      <c r="N1" s="1" t="inlineStr">
        <is>
          <t>chan_khi_nang_cap</t>
        </is>
      </c>
      <c r="O1" s="1" t="inlineStr">
        <is>
          <t>aps</t>
        </is>
      </c>
      <c r="P1" s="1" t="inlineStr">
        <is>
          <t>aps_burst</t>
        </is>
      </c>
      <c r="Q1" s="1" t="inlineStr">
        <is>
          <t>aps_capability</t>
        </is>
      </c>
      <c r="R1" s="1" t="inlineStr">
        <is>
          <t>aps_charges</t>
        </is>
      </c>
      <c r="S1" s="1" t="inlineStr">
        <is>
          <t>aps_direct</t>
        </is>
      </c>
      <c r="T1" s="1" t="inlineStr">
        <is>
          <t>aps_heavy</t>
        </is>
      </c>
      <c r="U1" s="1" t="inlineStr">
        <is>
          <t>aps_laser</t>
        </is>
      </c>
      <c r="V1" s="1" t="inlineStr">
        <is>
          <t>aps_missiles</t>
        </is>
      </c>
      <c r="W1" s="1" t="inlineStr">
        <is>
          <t>aps_radius_m</t>
        </is>
      </c>
      <c r="X1" s="1" t="inlineStr">
        <is>
          <t>aps_recharge_s</t>
        </is>
      </c>
      <c r="Y1" s="1" t="inlineStr">
        <is>
          <t>aps_reload_s</t>
        </is>
      </c>
      <c r="Z1" s="1" t="inlineStr">
        <is>
          <t>aps_rockets</t>
        </is>
      </c>
      <c r="AA1" s="1" t="inlineStr">
        <is>
          <t>aps_shells</t>
        </is>
      </c>
      <c r="AB1" s="1" t="inlineStr">
        <is>
          <t>interception_mode</t>
        </is>
      </c>
      <c r="AC1" s="1" t="inlineStr">
        <is>
          <t>nguon</t>
        </is>
      </c>
      <c r="AD1" s="1" t="inlineStr">
        <is>
          <t>raw_json</t>
        </is>
      </c>
    </row>
    <row r="2">
      <c r="A2" t="inlineStr">
        <is>
          <t>behemoth</t>
        </is>
      </c>
      <c r="B2" t="inlineStr">
        <is>
          <t>boss</t>
        </is>
      </c>
      <c r="C2" t="inlineStr">
        <is>
          <t>SELF_APS</t>
        </is>
      </c>
      <c r="D2" t="inlineStr">
        <is>
          <t>co</t>
        </is>
      </c>
      <c r="E2" t="inlineStr">
        <is>
          <t>co</t>
        </is>
      </c>
      <c r="F2" t="inlineStr">
        <is>
          <t>co</t>
        </is>
      </c>
      <c r="G2" t="inlineStr">
        <is>
          <t>khong</t>
        </is>
      </c>
      <c r="H2" t="inlineStr">
        <is>
          <t>khong</t>
        </is>
      </c>
      <c r="I2" t="inlineStr">
        <is>
          <t>khong</t>
        </is>
      </c>
      <c r="J2" t="inlineStr">
        <is>
          <t>khong</t>
        </is>
      </c>
      <c r="K2" t="inlineStr">
        <is>
          <t>khong</t>
        </is>
      </c>
      <c r="L2" t="inlineStr">
        <is>
          <t>khong</t>
        </is>
      </c>
      <c r="R2" t="n">
        <v>2</v>
      </c>
      <c r="W2" t="n">
        <v>11</v>
      </c>
      <c r="X2" t="n">
        <v>4</v>
      </c>
      <c r="AC2" t="inlineStr">
        <is>
          <t>Assets/MachineBrigade/Resources/Data/balance.json: vehicles[138]</t>
        </is>
      </c>
      <c r="AD2" t="inlineStr">
        <is>
          <t>{"aps":{"radius":11,"charges":2,"recharge":4}}</t>
        </is>
      </c>
    </row>
    <row r="3">
      <c r="A3" t="inlineStr">
        <is>
          <t>behemoth_mk0</t>
        </is>
      </c>
      <c r="B3" t="inlineStr">
        <is>
          <t>boss</t>
        </is>
      </c>
      <c r="C3" t="inlineStr"/>
      <c r="D3" t="inlineStr">
        <is>
          <t>khong</t>
        </is>
      </c>
      <c r="E3" t="inlineStr">
        <is>
          <t>khong</t>
        </is>
      </c>
      <c r="F3" t="inlineStr">
        <is>
          <t>khong</t>
        </is>
      </c>
      <c r="G3" t="inlineStr">
        <is>
          <t>khong</t>
        </is>
      </c>
      <c r="H3" t="inlineStr">
        <is>
          <t>khong</t>
        </is>
      </c>
      <c r="I3" t="inlineStr">
        <is>
          <t>khong</t>
        </is>
      </c>
      <c r="J3" t="inlineStr">
        <is>
          <t>khong</t>
        </is>
      </c>
      <c r="K3" t="inlineStr">
        <is>
          <t>khong</t>
        </is>
      </c>
      <c r="L3" t="inlineStr">
        <is>
          <t>khong</t>
        </is>
      </c>
      <c r="AC3" t="inlineStr">
        <is>
          <t>Assets/MachineBrigade/Resources/Data/balance.json: vehicles[170]</t>
        </is>
      </c>
      <c r="AD3" t="inlineStr">
        <is>
          <t>{"aps":null}</t>
        </is>
      </c>
    </row>
    <row r="4">
      <c r="A4" t="inlineStr">
        <is>
          <t>behemoth_tempest</t>
        </is>
      </c>
      <c r="B4" t="inlineStr">
        <is>
          <t>boss</t>
        </is>
      </c>
      <c r="C4" t="inlineStr">
        <is>
          <t>POINT_DEFENSE</t>
        </is>
      </c>
      <c r="D4" t="inlineStr">
        <is>
          <t>co</t>
        </is>
      </c>
      <c r="E4" t="inlineStr">
        <is>
          <t>co</t>
        </is>
      </c>
      <c r="F4" t="inlineStr">
        <is>
          <t>co</t>
        </is>
      </c>
      <c r="G4" t="inlineStr">
        <is>
          <t>co</t>
        </is>
      </c>
      <c r="H4" t="inlineStr">
        <is>
          <t>khong</t>
        </is>
      </c>
      <c r="I4" t="inlineStr">
        <is>
          <t>khong</t>
        </is>
      </c>
      <c r="J4" t="inlineStr">
        <is>
          <t>khong</t>
        </is>
      </c>
      <c r="K4" t="inlineStr">
        <is>
          <t>khong</t>
        </is>
      </c>
      <c r="L4" t="inlineStr">
        <is>
          <t>khong</t>
        </is>
      </c>
      <c r="R4" t="n">
        <v>2</v>
      </c>
      <c r="U4" t="b">
        <v>1</v>
      </c>
      <c r="W4" t="n">
        <v>26</v>
      </c>
      <c r="X4" t="n">
        <v>1.6</v>
      </c>
      <c r="Z4" t="b">
        <v>1</v>
      </c>
      <c r="AC4" t="inlineStr">
        <is>
          <t>Assets/MachineBrigade/Resources/Data/balance.json: vehicles[147]</t>
        </is>
      </c>
      <c r="AD4" t="inlineStr">
        <is>
          <t>{"aps":{"radius":26,"charges":2,"recharge":1.6,"rockets":true,"laser":true}}</t>
        </is>
      </c>
    </row>
    <row r="5">
      <c r="A5" t="inlineStr">
        <is>
          <t>c_ram</t>
        </is>
      </c>
      <c r="B5" t="inlineStr">
        <is>
          <t>thap</t>
        </is>
      </c>
      <c r="C5" t="inlineStr">
        <is>
          <t>POINT_DEFENSE</t>
        </is>
      </c>
      <c r="D5" t="inlineStr">
        <is>
          <t>co</t>
        </is>
      </c>
      <c r="E5" t="inlineStr">
        <is>
          <t>co</t>
        </is>
      </c>
      <c r="F5" t="inlineStr">
        <is>
          <t>co</t>
        </is>
      </c>
      <c r="G5" t="inlineStr">
        <is>
          <t>co</t>
        </is>
      </c>
      <c r="H5" t="inlineStr">
        <is>
          <t>co</t>
        </is>
      </c>
      <c r="I5" t="inlineStr">
        <is>
          <t>co</t>
        </is>
      </c>
      <c r="J5" t="inlineStr">
        <is>
          <t>khong</t>
        </is>
      </c>
      <c r="K5" t="inlineStr">
        <is>
          <t>khong</t>
        </is>
      </c>
      <c r="L5" t="inlineStr">
        <is>
          <t>khong</t>
        </is>
      </c>
      <c r="P5" t="n">
        <v>0.5</v>
      </c>
      <c r="R5" t="n">
        <v>4</v>
      </c>
      <c r="W5" t="n">
        <v>35</v>
      </c>
      <c r="X5" t="n">
        <v>0.6</v>
      </c>
      <c r="Z5" t="b">
        <v>1</v>
      </c>
      <c r="AA5" t="n">
        <v>0.3</v>
      </c>
      <c r="AC5" t="inlineStr">
        <is>
          <t>Assets/MachineBrigade/Resources/Data/balance.json: vehicles[72]</t>
        </is>
      </c>
      <c r="AD5" t="inlineStr">
        <is>
          <t>{"aps":{"radius":35,"charges":4,"recharge":0.6,"rockets":true,"shells":0.3,"burst":0.5}}</t>
        </is>
      </c>
    </row>
    <row r="6">
      <c r="A6" t="inlineStr">
        <is>
          <t>c_ram.centurion</t>
        </is>
      </c>
      <c r="B6" t="inlineStr">
        <is>
          <t>thap</t>
        </is>
      </c>
      <c r="C6" t="inlineStr">
        <is>
          <t>POINT_DEFENSE</t>
        </is>
      </c>
      <c r="D6" t="inlineStr">
        <is>
          <t>co</t>
        </is>
      </c>
      <c r="E6" t="inlineStr">
        <is>
          <t>co</t>
        </is>
      </c>
      <c r="F6" t="inlineStr">
        <is>
          <t>co</t>
        </is>
      </c>
      <c r="G6" t="inlineStr">
        <is>
          <t>co</t>
        </is>
      </c>
      <c r="H6" t="inlineStr">
        <is>
          <t>co</t>
        </is>
      </c>
      <c r="I6" t="inlineStr">
        <is>
          <t>co</t>
        </is>
      </c>
      <c r="J6" t="inlineStr">
        <is>
          <t>khong</t>
        </is>
      </c>
      <c r="K6" t="inlineStr">
        <is>
          <t>khong</t>
        </is>
      </c>
      <c r="L6" t="inlineStr">
        <is>
          <t>khong</t>
        </is>
      </c>
      <c r="P6" t="n">
        <v>0.3</v>
      </c>
      <c r="R6" t="n">
        <v>5</v>
      </c>
      <c r="W6" t="n">
        <v>35</v>
      </c>
      <c r="X6" t="n">
        <v>0.35</v>
      </c>
      <c r="Z6" t="b">
        <v>1</v>
      </c>
      <c r="AA6" t="n">
        <v>0.4</v>
      </c>
      <c r="AC6" t="inlineStr">
        <is>
          <t>Assets/MachineBrigade/Resources/Data/balance.json: vehicles[91]</t>
        </is>
      </c>
      <c r="AD6" t="inlineStr">
        <is>
          <t>{"aps":{"radius":35,"charges":5,"recharge":0.35,"rockets":true,"shells":0.4,"burst":0.3}}</t>
        </is>
      </c>
    </row>
    <row r="7">
      <c r="A7" t="inlineStr">
        <is>
          <t>c_ram.dome</t>
        </is>
      </c>
      <c r="B7" t="inlineStr">
        <is>
          <t>thap</t>
        </is>
      </c>
      <c r="C7" t="inlineStr">
        <is>
          <t>POINT_DEFENSE</t>
        </is>
      </c>
      <c r="D7" t="inlineStr">
        <is>
          <t>khong</t>
        </is>
      </c>
      <c r="E7" t="inlineStr">
        <is>
          <t>co</t>
        </is>
      </c>
      <c r="F7" t="inlineStr">
        <is>
          <t>khong</t>
        </is>
      </c>
      <c r="G7" t="inlineStr">
        <is>
          <t>co</t>
        </is>
      </c>
      <c r="H7" t="inlineStr">
        <is>
          <t>co</t>
        </is>
      </c>
      <c r="I7" t="inlineStr">
        <is>
          <t>co</t>
        </is>
      </c>
      <c r="J7" t="inlineStr">
        <is>
          <t>khong</t>
        </is>
      </c>
      <c r="K7" t="inlineStr">
        <is>
          <t>khong</t>
        </is>
      </c>
      <c r="L7" t="inlineStr">
        <is>
          <t>khong</t>
        </is>
      </c>
      <c r="R7" t="n">
        <v>6</v>
      </c>
      <c r="S7" t="b">
        <v>0</v>
      </c>
      <c r="V7" t="b">
        <v>1</v>
      </c>
      <c r="W7" t="n">
        <v>60</v>
      </c>
      <c r="Y7" t="n">
        <v>12</v>
      </c>
      <c r="Z7" t="b">
        <v>1</v>
      </c>
      <c r="AA7" t="n">
        <v>0.5</v>
      </c>
      <c r="AC7" t="inlineStr">
        <is>
          <t>Assets/MachineBrigade/Resources/Data/balance.json: vehicles[92]</t>
        </is>
      </c>
      <c r="AD7" t="inlineStr">
        <is>
          <t>{"aps":{"radius":60,"charges":6,"reload":12,"rockets":true,"shells":0.5,"direct":false,"missiles":true}}</t>
        </is>
      </c>
    </row>
    <row r="8">
      <c r="A8" t="inlineStr">
        <is>
          <t>coeus</t>
        </is>
      </c>
      <c r="B8" t="inlineStr">
        <is>
          <t>boss</t>
        </is>
      </c>
      <c r="C8" t="inlineStr"/>
      <c r="D8" t="inlineStr">
        <is>
          <t>khong</t>
        </is>
      </c>
      <c r="E8" t="inlineStr">
        <is>
          <t>khong</t>
        </is>
      </c>
      <c r="F8" t="inlineStr">
        <is>
          <t>khong</t>
        </is>
      </c>
      <c r="G8" t="inlineStr">
        <is>
          <t>khong</t>
        </is>
      </c>
      <c r="H8" t="inlineStr">
        <is>
          <t>khong</t>
        </is>
      </c>
      <c r="I8" t="inlineStr">
        <is>
          <t>khong</t>
        </is>
      </c>
      <c r="J8" t="inlineStr">
        <is>
          <t>khong</t>
        </is>
      </c>
      <c r="K8" t="inlineStr">
        <is>
          <t>khong</t>
        </is>
      </c>
      <c r="L8" t="inlineStr">
        <is>
          <t>khong</t>
        </is>
      </c>
      <c r="AC8" t="inlineStr">
        <is>
          <t>Assets/MachineBrigade/Resources/Data/balance.json: vehicles[175]</t>
        </is>
      </c>
      <c r="AD8" t="inlineStr">
        <is>
          <t>{"aps":null}</t>
        </is>
      </c>
    </row>
    <row r="9">
      <c r="A9" t="inlineStr">
        <is>
          <t>daedalus</t>
        </is>
      </c>
      <c r="B9" t="inlineStr">
        <is>
          <t>boss</t>
        </is>
      </c>
      <c r="C9" t="inlineStr">
        <is>
          <t>POINT_DEFENSE</t>
        </is>
      </c>
      <c r="D9" t="inlineStr">
        <is>
          <t>co</t>
        </is>
      </c>
      <c r="E9" t="inlineStr">
        <is>
          <t>co</t>
        </is>
      </c>
      <c r="F9" t="inlineStr">
        <is>
          <t>co</t>
        </is>
      </c>
      <c r="G9" t="inlineStr">
        <is>
          <t>co</t>
        </is>
      </c>
      <c r="H9" t="inlineStr">
        <is>
          <t>khong</t>
        </is>
      </c>
      <c r="I9" t="inlineStr">
        <is>
          <t>khong</t>
        </is>
      </c>
      <c r="J9" t="inlineStr">
        <is>
          <t>khong</t>
        </is>
      </c>
      <c r="K9" t="inlineStr">
        <is>
          <t>khong</t>
        </is>
      </c>
      <c r="L9" t="inlineStr">
        <is>
          <t>khong</t>
        </is>
      </c>
      <c r="R9" t="n">
        <v>2</v>
      </c>
      <c r="U9" t="b">
        <v>1</v>
      </c>
      <c r="W9" t="n">
        <v>31.6</v>
      </c>
      <c r="X9" t="n">
        <v>1.6</v>
      </c>
      <c r="Z9" t="b">
        <v>1</v>
      </c>
      <c r="AC9" t="inlineStr">
        <is>
          <t>Assets/MachineBrigade/Resources/Data/balance.json: vehicles[160]</t>
        </is>
      </c>
      <c r="AD9" t="inlineStr">
        <is>
          <t>{"aps":{"radius":31.6,"charges":2,"recharge":1.6,"rockets":true,"laser":true}}</t>
        </is>
      </c>
    </row>
    <row r="10">
      <c r="A10" t="inlineStr">
        <is>
          <t>headquarters.shield</t>
        </is>
      </c>
      <c r="B10" t="inlineStr">
        <is>
          <t>cong_trinh</t>
        </is>
      </c>
      <c r="C10" t="inlineStr">
        <is>
          <t>POINT_DEFENSE</t>
        </is>
      </c>
      <c r="D10" t="inlineStr">
        <is>
          <t>co</t>
        </is>
      </c>
      <c r="E10" t="inlineStr">
        <is>
          <t>co</t>
        </is>
      </c>
      <c r="F10" t="inlineStr">
        <is>
          <t>co</t>
        </is>
      </c>
      <c r="G10" t="inlineStr">
        <is>
          <t>co</t>
        </is>
      </c>
      <c r="H10" t="inlineStr">
        <is>
          <t>co</t>
        </is>
      </c>
      <c r="I10" t="inlineStr">
        <is>
          <t>co</t>
        </is>
      </c>
      <c r="J10" t="inlineStr">
        <is>
          <t>khong</t>
        </is>
      </c>
      <c r="K10" t="inlineStr">
        <is>
          <t>khong</t>
        </is>
      </c>
      <c r="L10" t="inlineStr">
        <is>
          <t>khong</t>
        </is>
      </c>
      <c r="P10" t="n">
        <v>0.5</v>
      </c>
      <c r="R10" t="n">
        <v>6</v>
      </c>
      <c r="W10" t="n">
        <v>45</v>
      </c>
      <c r="X10" t="n">
        <v>0.6</v>
      </c>
      <c r="Z10" t="b">
        <v>1</v>
      </c>
      <c r="AA10" t="n">
        <v>0.3</v>
      </c>
      <c r="AC10" t="inlineStr">
        <is>
          <t>Assets/MachineBrigade/Resources/Data/balance.json: vehicles[63]</t>
        </is>
      </c>
      <c r="AD10" t="inlineStr">
        <is>
          <t>{"aps":{"radius":45,"charges":6,"recharge":0.6,"rockets":true,"shells":0.3,"burst":0.5}}</t>
        </is>
      </c>
    </row>
    <row r="11">
      <c r="A11" t="inlineStr">
        <is>
          <t>icarus_mk0</t>
        </is>
      </c>
      <c r="B11" t="inlineStr">
        <is>
          <t>boss</t>
        </is>
      </c>
      <c r="C11" t="inlineStr">
        <is>
          <t>POINT_DEFENSE</t>
        </is>
      </c>
      <c r="D11" t="inlineStr">
        <is>
          <t>co</t>
        </is>
      </c>
      <c r="E11" t="inlineStr">
        <is>
          <t>co</t>
        </is>
      </c>
      <c r="F11" t="inlineStr">
        <is>
          <t>co</t>
        </is>
      </c>
      <c r="G11" t="inlineStr">
        <is>
          <t>co</t>
        </is>
      </c>
      <c r="H11" t="inlineStr">
        <is>
          <t>khong</t>
        </is>
      </c>
      <c r="I11" t="inlineStr">
        <is>
          <t>khong</t>
        </is>
      </c>
      <c r="J11" t="inlineStr">
        <is>
          <t>khong</t>
        </is>
      </c>
      <c r="K11" t="inlineStr">
        <is>
          <t>khong</t>
        </is>
      </c>
      <c r="L11" t="inlineStr">
        <is>
          <t>khong</t>
        </is>
      </c>
      <c r="R11" t="n">
        <v>3</v>
      </c>
      <c r="U11" t="b">
        <v>1</v>
      </c>
      <c r="W11" t="n">
        <v>19.5</v>
      </c>
      <c r="X11" t="n">
        <v>1.4</v>
      </c>
      <c r="Z11" t="b">
        <v>1</v>
      </c>
      <c r="AB11" t="inlineStr">
        <is>
          <t>PointDefense</t>
        </is>
      </c>
      <c r="AC11" t="inlineStr">
        <is>
          <t>Assets/MachineBrigade/Resources/Data/balance.json: vehicles[168]</t>
        </is>
      </c>
      <c r="AD11" t="inlineStr">
        <is>
          <t>{"aps":{"radius":19.5,"charges":3,"recharge":1.4,"rockets":true,"laser":true},"interceptionMode":"PointDefense"}</t>
        </is>
      </c>
    </row>
    <row r="12">
      <c r="A12" t="inlineStr">
        <is>
          <t>iron_beam</t>
        </is>
      </c>
      <c r="B12" t="inlineStr">
        <is>
          <t>xe</t>
        </is>
      </c>
      <c r="C12" t="inlineStr">
        <is>
          <t>POINT_DEFENSE</t>
        </is>
      </c>
      <c r="D12" t="inlineStr">
        <is>
          <t>co</t>
        </is>
      </c>
      <c r="E12" t="inlineStr">
        <is>
          <t>co</t>
        </is>
      </c>
      <c r="F12" t="inlineStr">
        <is>
          <t>co</t>
        </is>
      </c>
      <c r="G12" t="inlineStr">
        <is>
          <t>co</t>
        </is>
      </c>
      <c r="H12" t="inlineStr">
        <is>
          <t>khong</t>
        </is>
      </c>
      <c r="I12" t="inlineStr">
        <is>
          <t>khong</t>
        </is>
      </c>
      <c r="J12" t="inlineStr">
        <is>
          <t>khong</t>
        </is>
      </c>
      <c r="K12" t="inlineStr">
        <is>
          <t>khong</t>
        </is>
      </c>
      <c r="L12" t="inlineStr">
        <is>
          <t>khong</t>
        </is>
      </c>
      <c r="R12" t="n">
        <v>1</v>
      </c>
      <c r="U12" t="b">
        <v>1</v>
      </c>
      <c r="W12" t="n">
        <v>30</v>
      </c>
      <c r="X12" t="n">
        <v>0.8</v>
      </c>
      <c r="Z12" t="b">
        <v>1</v>
      </c>
      <c r="AA12" t="n">
        <v>0</v>
      </c>
      <c r="AB12" t="inlineStr">
        <is>
          <t>PointDefense</t>
        </is>
      </c>
      <c r="AC12" t="inlineStr">
        <is>
          <t>Assets/MachineBrigade/Resources/Data/balance.json: vehicles[38]</t>
        </is>
      </c>
      <c r="AD12" t="inlineStr">
        <is>
          <t>{"aps":{"radius":30,"shells":0,"charges":1,"recharge":0.8,"rockets":true,"laser":true},"interceptionMode":"PointDefense"}</t>
        </is>
      </c>
    </row>
    <row r="13">
      <c r="A13" t="inlineStr">
        <is>
          <t>landing_hovercraft</t>
        </is>
      </c>
      <c r="B13" t="inlineStr">
        <is>
          <t>boss</t>
        </is>
      </c>
      <c r="C13" t="inlineStr">
        <is>
          <t>POINT_DEFENSE</t>
        </is>
      </c>
      <c r="D13" t="inlineStr">
        <is>
          <t>co</t>
        </is>
      </c>
      <c r="E13" t="inlineStr">
        <is>
          <t>co</t>
        </is>
      </c>
      <c r="F13" t="inlineStr">
        <is>
          <t>co</t>
        </is>
      </c>
      <c r="G13" t="inlineStr">
        <is>
          <t>co</t>
        </is>
      </c>
      <c r="H13" t="inlineStr">
        <is>
          <t>khong</t>
        </is>
      </c>
      <c r="I13" t="inlineStr">
        <is>
          <t>khong</t>
        </is>
      </c>
      <c r="J13" t="inlineStr">
        <is>
          <t>khong</t>
        </is>
      </c>
      <c r="K13" t="inlineStr">
        <is>
          <t>khong</t>
        </is>
      </c>
      <c r="L13" t="inlineStr">
        <is>
          <t>khong</t>
        </is>
      </c>
      <c r="R13" t="n">
        <v>2</v>
      </c>
      <c r="W13" t="n">
        <v>22</v>
      </c>
      <c r="X13" t="n">
        <v>3</v>
      </c>
      <c r="Z13" t="b">
        <v>1</v>
      </c>
      <c r="AC13" t="inlineStr">
        <is>
          <t>Assets/MachineBrigade/Resources/Data/balance.json: vehicles[152]</t>
        </is>
      </c>
      <c r="AD13" t="inlineStr">
        <is>
          <t>{"aps":{"radius":22,"charges":2,"recharge":3,"rockets":true}}</t>
        </is>
      </c>
    </row>
    <row r="14">
      <c r="A14" t="inlineStr">
        <is>
          <t>laser_ad_station</t>
        </is>
      </c>
      <c r="B14" t="inlineStr">
        <is>
          <t>thap</t>
        </is>
      </c>
      <c r="C14" t="inlineStr">
        <is>
          <t>POINT_DEFENSE</t>
        </is>
      </c>
      <c r="D14" t="inlineStr">
        <is>
          <t>co</t>
        </is>
      </c>
      <c r="E14" t="inlineStr">
        <is>
          <t>co</t>
        </is>
      </c>
      <c r="F14" t="inlineStr">
        <is>
          <t>co</t>
        </is>
      </c>
      <c r="G14" t="inlineStr">
        <is>
          <t>co</t>
        </is>
      </c>
      <c r="H14" t="inlineStr">
        <is>
          <t>khong</t>
        </is>
      </c>
      <c r="I14" t="inlineStr">
        <is>
          <t>khong</t>
        </is>
      </c>
      <c r="J14" t="inlineStr">
        <is>
          <t>khong</t>
        </is>
      </c>
      <c r="K14" t="inlineStr">
        <is>
          <t>khong</t>
        </is>
      </c>
      <c r="L14" t="inlineStr">
        <is>
          <t>khong</t>
        </is>
      </c>
      <c r="R14" t="n">
        <v>1</v>
      </c>
      <c r="U14" t="b">
        <v>1</v>
      </c>
      <c r="W14" t="n">
        <v>40</v>
      </c>
      <c r="X14" t="n">
        <v>0.8</v>
      </c>
      <c r="Z14" t="b">
        <v>1</v>
      </c>
      <c r="AA14" t="n">
        <v>0</v>
      </c>
      <c r="AC14" t="inlineStr">
        <is>
          <t>Assets/MachineBrigade/Resources/Data/balance.json: vehicles[119]</t>
        </is>
      </c>
      <c r="AD14" t="inlineStr">
        <is>
          <t>{"aps":{"radius":40,"shells":0,"charges":1,"recharge":0.8,"rockets":true,"laser":true}}</t>
        </is>
      </c>
    </row>
    <row r="15">
      <c r="A15" t="inlineStr">
        <is>
          <t>leviathan</t>
        </is>
      </c>
      <c r="B15" t="inlineStr">
        <is>
          <t>boss</t>
        </is>
      </c>
      <c r="C15" t="inlineStr">
        <is>
          <t>POINT_DEFENSE</t>
        </is>
      </c>
      <c r="D15" t="inlineStr">
        <is>
          <t>co</t>
        </is>
      </c>
      <c r="E15" t="inlineStr">
        <is>
          <t>co</t>
        </is>
      </c>
      <c r="F15" t="inlineStr">
        <is>
          <t>co</t>
        </is>
      </c>
      <c r="G15" t="inlineStr">
        <is>
          <t>co</t>
        </is>
      </c>
      <c r="H15" t="inlineStr">
        <is>
          <t>khong</t>
        </is>
      </c>
      <c r="I15" t="inlineStr">
        <is>
          <t>khong</t>
        </is>
      </c>
      <c r="J15" t="inlineStr">
        <is>
          <t>khong</t>
        </is>
      </c>
      <c r="K15" t="inlineStr">
        <is>
          <t>khong</t>
        </is>
      </c>
      <c r="L15" t="inlineStr">
        <is>
          <t>khong</t>
        </is>
      </c>
      <c r="R15" t="n">
        <v>3</v>
      </c>
      <c r="W15" t="n">
        <v>30</v>
      </c>
      <c r="X15" t="n">
        <v>2.2</v>
      </c>
      <c r="Z15" t="b">
        <v>1</v>
      </c>
      <c r="AC15" t="inlineStr">
        <is>
          <t>Assets/MachineBrigade/Resources/Data/balance.json: vehicles[153]</t>
        </is>
      </c>
      <c r="AD15" t="inlineStr">
        <is>
          <t>{"aps":{"radius":30,"charges":3,"recharge":2.2,"rockets":true}}</t>
        </is>
      </c>
    </row>
    <row r="16">
      <c r="A16" t="inlineStr">
        <is>
          <t>main_battle_tank</t>
        </is>
      </c>
      <c r="B16" t="inlineStr">
        <is>
          <t>xe</t>
        </is>
      </c>
      <c r="C16" t="inlineStr">
        <is>
          <t>SELF_APS</t>
        </is>
      </c>
      <c r="D16" t="inlineStr">
        <is>
          <t>khong</t>
        </is>
      </c>
      <c r="E16" t="inlineStr">
        <is>
          <t>khong</t>
        </is>
      </c>
      <c r="F16" t="inlineStr">
        <is>
          <t>khong</t>
        </is>
      </c>
      <c r="G16" t="inlineStr">
        <is>
          <t>khong</t>
        </is>
      </c>
      <c r="H16" t="inlineStr">
        <is>
          <t>khong</t>
        </is>
      </c>
      <c r="I16" t="inlineStr">
        <is>
          <t>khong</t>
        </is>
      </c>
      <c r="J16" t="inlineStr">
        <is>
          <t>khong</t>
        </is>
      </c>
      <c r="K16" t="inlineStr">
        <is>
          <t>khong</t>
        </is>
      </c>
      <c r="L16" t="inlineStr">
        <is>
          <t>khong</t>
        </is>
      </c>
      <c r="M16" t="inlineStr">
        <is>
          <t>trophy_aps: r 20 m, 2 đạn chặn, 20 s/đạn chặn (RetrofitEligible)</t>
        </is>
      </c>
      <c r="N16" t="inlineStr">
        <is>
          <t>directMissile:co;drone:co;directRocket:co;artilleryRocket:khong;mortarShell:khong;artilleryShell:khong;tankShell:khong;bullet:khong;energy:khong</t>
        </is>
      </c>
      <c r="Q16" t="inlineStr">
        <is>
          <t>RetrofitEligible</t>
        </is>
      </c>
      <c r="AC16" t="inlineStr">
        <is>
          <t>Assets/MachineBrigade/Resources/Data/balance.json: vehicles[2]</t>
        </is>
      </c>
      <c r="AD16" t="inlineStr">
        <is>
          <t>{"apsCapability":"RetrofitEligible"}</t>
        </is>
      </c>
    </row>
    <row r="17">
      <c r="A17" t="inlineStr">
        <is>
          <t>mara_behemoth</t>
        </is>
      </c>
      <c r="B17" t="inlineStr">
        <is>
          <t>xe</t>
        </is>
      </c>
      <c r="C17" t="inlineStr">
        <is>
          <t>SELF_APS</t>
        </is>
      </c>
      <c r="D17" t="inlineStr">
        <is>
          <t>co</t>
        </is>
      </c>
      <c r="E17" t="inlineStr">
        <is>
          <t>co</t>
        </is>
      </c>
      <c r="F17" t="inlineStr">
        <is>
          <t>co</t>
        </is>
      </c>
      <c r="G17" t="inlineStr">
        <is>
          <t>khong</t>
        </is>
      </c>
      <c r="H17" t="inlineStr">
        <is>
          <t>khong</t>
        </is>
      </c>
      <c r="I17" t="inlineStr">
        <is>
          <t>khong</t>
        </is>
      </c>
      <c r="J17" t="inlineStr">
        <is>
          <t>khong</t>
        </is>
      </c>
      <c r="K17" t="inlineStr">
        <is>
          <t>khong</t>
        </is>
      </c>
      <c r="L17" t="inlineStr">
        <is>
          <t>khong</t>
        </is>
      </c>
      <c r="R17" t="n">
        <v>2</v>
      </c>
      <c r="W17" t="n">
        <v>11</v>
      </c>
      <c r="X17" t="n">
        <v>10</v>
      </c>
      <c r="AC17" t="inlineStr">
        <is>
          <t>Assets/MachineBrigade/Resources/Data/balance.json: vehicles[178]</t>
        </is>
      </c>
      <c r="AD17" t="inlineStr">
        <is>
          <t>{"aps":{"radius":11,"charges":2,"recharge":10}}</t>
        </is>
      </c>
    </row>
    <row r="18">
      <c r="A18" t="inlineStr">
        <is>
          <t>missile_battery.pac3</t>
        </is>
      </c>
      <c r="B18" t="inlineStr">
        <is>
          <t>thap</t>
        </is>
      </c>
      <c r="C18" t="inlineStr">
        <is>
          <t>SELF_APS</t>
        </is>
      </c>
      <c r="D18" t="inlineStr">
        <is>
          <t>khong</t>
        </is>
      </c>
      <c r="E18" t="inlineStr">
        <is>
          <t>khong</t>
        </is>
      </c>
      <c r="F18" t="inlineStr">
        <is>
          <t>khong</t>
        </is>
      </c>
      <c r="G18" t="inlineStr">
        <is>
          <t>khong</t>
        </is>
      </c>
      <c r="H18" t="inlineStr">
        <is>
          <t>khong</t>
        </is>
      </c>
      <c r="I18" t="inlineStr">
        <is>
          <t>khong</t>
        </is>
      </c>
      <c r="J18" t="inlineStr">
        <is>
          <t>khong</t>
        </is>
      </c>
      <c r="K18" t="inlineStr">
        <is>
          <t>khong</t>
        </is>
      </c>
      <c r="L18" t="inlineStr">
        <is>
          <t>khong</t>
        </is>
      </c>
      <c r="R18" t="n">
        <v>4</v>
      </c>
      <c r="S18" t="b">
        <v>0</v>
      </c>
      <c r="T18" t="b">
        <v>1</v>
      </c>
      <c r="V18" t="b">
        <v>1</v>
      </c>
      <c r="W18" t="n">
        <v>72</v>
      </c>
      <c r="Y18" t="n">
        <v>16</v>
      </c>
      <c r="AC18" t="inlineStr">
        <is>
          <t>Assets/MachineBrigade/Resources/Data/balance.json: vehicles[93]</t>
        </is>
      </c>
      <c r="AD18" t="inlineStr">
        <is>
          <t>{"aps":{"radius":72,"charges":4,"reload":16,"heavy":true,"direct":false,"missiles":true}}</t>
        </is>
      </c>
    </row>
    <row r="19">
      <c r="A19" t="inlineStr">
        <is>
          <t>next_gen_tank</t>
        </is>
      </c>
      <c r="B19" t="inlineStr">
        <is>
          <t>xe</t>
        </is>
      </c>
      <c r="C19" t="inlineStr">
        <is>
          <t>SELF_APS</t>
        </is>
      </c>
      <c r="D19" t="inlineStr">
        <is>
          <t>co</t>
        </is>
      </c>
      <c r="E19" t="inlineStr">
        <is>
          <t>co</t>
        </is>
      </c>
      <c r="F19" t="inlineStr">
        <is>
          <t>co</t>
        </is>
      </c>
      <c r="G19" t="inlineStr">
        <is>
          <t>khong</t>
        </is>
      </c>
      <c r="H19" t="inlineStr">
        <is>
          <t>khong</t>
        </is>
      </c>
      <c r="I19" t="inlineStr">
        <is>
          <t>khong</t>
        </is>
      </c>
      <c r="J19" t="inlineStr">
        <is>
          <t>khong</t>
        </is>
      </c>
      <c r="K19" t="inlineStr">
        <is>
          <t>khong</t>
        </is>
      </c>
      <c r="L19" t="inlineStr">
        <is>
          <t>khong</t>
        </is>
      </c>
      <c r="Q19" t="inlineStr">
        <is>
          <t>BuiltIn</t>
        </is>
      </c>
      <c r="R19" t="n">
        <v>2</v>
      </c>
      <c r="U19" t="b">
        <v>1</v>
      </c>
      <c r="W19" t="n">
        <v>20</v>
      </c>
      <c r="X19" t="n">
        <v>10</v>
      </c>
      <c r="Z19" t="b">
        <v>0</v>
      </c>
      <c r="AA19" t="n">
        <v>0</v>
      </c>
      <c r="AB19" t="inlineStr">
        <is>
          <t>SelfAps</t>
        </is>
      </c>
      <c r="AC19" t="inlineStr">
        <is>
          <t>Assets/MachineBrigade/Resources/Data/balance.json: vehicles[122]</t>
        </is>
      </c>
      <c r="AD19" t="inlineStr">
        <is>
          <t>{"aps":{"radius":20,"shells":0,"charges":2,"recharge":10,"rockets":false,"laser":true},"apsCapability":"BuiltIn","interceptionMode":"SelfAps"}</t>
        </is>
      </c>
    </row>
    <row r="20">
      <c r="A20" t="inlineStr">
        <is>
          <t>sea_corvette</t>
        </is>
      </c>
      <c r="B20" t="inlineStr">
        <is>
          <t>xe</t>
        </is>
      </c>
      <c r="C20" t="inlineStr">
        <is>
          <t>POINT_DEFENSE</t>
        </is>
      </c>
      <c r="D20" t="inlineStr">
        <is>
          <t>co</t>
        </is>
      </c>
      <c r="E20" t="inlineStr">
        <is>
          <t>co</t>
        </is>
      </c>
      <c r="F20" t="inlineStr">
        <is>
          <t>co</t>
        </is>
      </c>
      <c r="G20" t="inlineStr">
        <is>
          <t>co</t>
        </is>
      </c>
      <c r="H20" t="inlineStr">
        <is>
          <t>khong</t>
        </is>
      </c>
      <c r="I20" t="inlineStr">
        <is>
          <t>khong</t>
        </is>
      </c>
      <c r="J20" t="inlineStr">
        <is>
          <t>khong</t>
        </is>
      </c>
      <c r="K20" t="inlineStr">
        <is>
          <t>khong</t>
        </is>
      </c>
      <c r="L20" t="inlineStr">
        <is>
          <t>khong</t>
        </is>
      </c>
      <c r="R20" t="n">
        <v>2</v>
      </c>
      <c r="W20" t="n">
        <v>32</v>
      </c>
      <c r="X20" t="n">
        <v>2.5</v>
      </c>
      <c r="Z20" t="b">
        <v>1</v>
      </c>
      <c r="AB20" t="inlineStr">
        <is>
          <t>PointDefense</t>
        </is>
      </c>
      <c r="AC20" t="inlineStr">
        <is>
          <t>Assets/MachineBrigade/Resources/Data/balance.json: vehicles[154]</t>
        </is>
      </c>
      <c r="AD20" t="inlineStr">
        <is>
          <t>{"aps":{"radius":32,"charges":2,"recharge":2.5,"rockets":true},"interceptionMode":"PointDefense"}</t>
        </is>
      </c>
    </row>
    <row r="21">
      <c r="A21" t="inlineStr">
        <is>
          <t>sea_cruiser</t>
        </is>
      </c>
      <c r="B21" t="inlineStr">
        <is>
          <t>xe</t>
        </is>
      </c>
      <c r="C21" t="inlineStr">
        <is>
          <t>POINT_DEFENSE</t>
        </is>
      </c>
      <c r="D21" t="inlineStr">
        <is>
          <t>co</t>
        </is>
      </c>
      <c r="E21" t="inlineStr">
        <is>
          <t>co</t>
        </is>
      </c>
      <c r="F21" t="inlineStr">
        <is>
          <t>co</t>
        </is>
      </c>
      <c r="G21" t="inlineStr">
        <is>
          <t>co</t>
        </is>
      </c>
      <c r="H21" t="inlineStr">
        <is>
          <t>khong</t>
        </is>
      </c>
      <c r="I21" t="inlineStr">
        <is>
          <t>khong</t>
        </is>
      </c>
      <c r="J21" t="inlineStr">
        <is>
          <t>khong</t>
        </is>
      </c>
      <c r="K21" t="inlineStr">
        <is>
          <t>khong</t>
        </is>
      </c>
      <c r="L21" t="inlineStr">
        <is>
          <t>khong</t>
        </is>
      </c>
      <c r="R21" t="n">
        <v>2</v>
      </c>
      <c r="W21" t="n">
        <v>30</v>
      </c>
      <c r="X21" t="n">
        <v>2.4</v>
      </c>
      <c r="Z21" t="b">
        <v>1</v>
      </c>
      <c r="AB21" t="inlineStr">
        <is>
          <t>PointDefense</t>
        </is>
      </c>
      <c r="AC21" t="inlineStr">
        <is>
          <t>Assets/MachineBrigade/Resources/Data/balance.json: vehicles[155]</t>
        </is>
      </c>
      <c r="AD21" t="inlineStr">
        <is>
          <t>{"aps":{"radius":30,"charges":2,"recharge":2.4,"rockets":true},"interceptionMode":"PointDefense"}</t>
        </is>
      </c>
    </row>
    <row r="22">
      <c r="A22" t="inlineStr">
        <is>
          <t>silver_bug</t>
        </is>
      </c>
      <c r="B22" t="inlineStr">
        <is>
          <t>boss</t>
        </is>
      </c>
      <c r="C22" t="inlineStr">
        <is>
          <t>POINT_DEFENSE</t>
        </is>
      </c>
      <c r="D22" t="inlineStr">
        <is>
          <t>co</t>
        </is>
      </c>
      <c r="E22" t="inlineStr">
        <is>
          <t>co</t>
        </is>
      </c>
      <c r="F22" t="inlineStr">
        <is>
          <t>co</t>
        </is>
      </c>
      <c r="G22" t="inlineStr">
        <is>
          <t>co</t>
        </is>
      </c>
      <c r="H22" t="inlineStr">
        <is>
          <t>khong</t>
        </is>
      </c>
      <c r="I22" t="inlineStr">
        <is>
          <t>khong</t>
        </is>
      </c>
      <c r="J22" t="inlineStr">
        <is>
          <t>khong</t>
        </is>
      </c>
      <c r="K22" t="inlineStr">
        <is>
          <t>khong</t>
        </is>
      </c>
      <c r="L22" t="inlineStr">
        <is>
          <t>khong</t>
        </is>
      </c>
      <c r="R22" t="n">
        <v>3</v>
      </c>
      <c r="U22" t="b">
        <v>1</v>
      </c>
      <c r="W22" t="n">
        <v>49.6</v>
      </c>
      <c r="X22" t="n">
        <v>1.4</v>
      </c>
      <c r="Z22" t="b">
        <v>1</v>
      </c>
      <c r="AC22" t="inlineStr">
        <is>
          <t>Assets/MachineBrigade/Resources/Data/balance.json: vehicles[144]</t>
        </is>
      </c>
      <c r="AD22" t="inlineStr">
        <is>
          <t>{"aps":{"radius":49.6,"charges":3,"recharge":1.4,"rockets":true,"laser":true}}</t>
        </is>
      </c>
    </row>
    <row r="23">
      <c r="A23" t="inlineStr">
        <is>
          <t>theia</t>
        </is>
      </c>
      <c r="B23" t="inlineStr">
        <is>
          <t>boss</t>
        </is>
      </c>
      <c r="C23" t="inlineStr">
        <is>
          <t>POINT_DEFENSE</t>
        </is>
      </c>
      <c r="D23" t="inlineStr">
        <is>
          <t>co</t>
        </is>
      </c>
      <c r="E23" t="inlineStr">
        <is>
          <t>co</t>
        </is>
      </c>
      <c r="F23" t="inlineStr">
        <is>
          <t>co</t>
        </is>
      </c>
      <c r="G23" t="inlineStr">
        <is>
          <t>co</t>
        </is>
      </c>
      <c r="H23" t="inlineStr">
        <is>
          <t>khong</t>
        </is>
      </c>
      <c r="I23" t="inlineStr">
        <is>
          <t>khong</t>
        </is>
      </c>
      <c r="J23" t="inlineStr">
        <is>
          <t>khong</t>
        </is>
      </c>
      <c r="K23" t="inlineStr">
        <is>
          <t>khong</t>
        </is>
      </c>
      <c r="L23" t="inlineStr">
        <is>
          <t>khong</t>
        </is>
      </c>
      <c r="R23" t="n">
        <v>3</v>
      </c>
      <c r="U23" t="b">
        <v>1</v>
      </c>
      <c r="W23" t="n">
        <v>20</v>
      </c>
      <c r="X23" t="n">
        <v>1.4</v>
      </c>
      <c r="Z23" t="b">
        <v>1</v>
      </c>
      <c r="AC23" t="inlineStr">
        <is>
          <t>Assets/MachineBrigade/Resources/Data/balance.json: vehicles[174]</t>
        </is>
      </c>
      <c r="AD23" t="inlineStr">
        <is>
          <t>{"aps":{"radius":20,"charges":3,"recharge":1.4,"rockets":true,"laser":true}}</t>
        </is>
      </c>
    </row>
    <row r="24">
      <c r="A24" t="inlineStr">
        <is>
          <t>titan_tank</t>
        </is>
      </c>
      <c r="B24" t="inlineStr">
        <is>
          <t>xe</t>
        </is>
      </c>
      <c r="C24" t="inlineStr">
        <is>
          <t>SELF_APS</t>
        </is>
      </c>
      <c r="D24" t="inlineStr">
        <is>
          <t>co</t>
        </is>
      </c>
      <c r="E24" t="inlineStr">
        <is>
          <t>co</t>
        </is>
      </c>
      <c r="F24" t="inlineStr">
        <is>
          <t>co</t>
        </is>
      </c>
      <c r="G24" t="inlineStr">
        <is>
          <t>khong</t>
        </is>
      </c>
      <c r="H24" t="inlineStr">
        <is>
          <t>khong</t>
        </is>
      </c>
      <c r="I24" t="inlineStr">
        <is>
          <t>khong</t>
        </is>
      </c>
      <c r="J24" t="inlineStr">
        <is>
          <t>khong</t>
        </is>
      </c>
      <c r="K24" t="inlineStr">
        <is>
          <t>khong</t>
        </is>
      </c>
      <c r="L24" t="inlineStr">
        <is>
          <t>khong</t>
        </is>
      </c>
      <c r="Q24" t="inlineStr">
        <is>
          <t>BuiltIn</t>
        </is>
      </c>
      <c r="R24" t="n">
        <v>3</v>
      </c>
      <c r="W24" t="n">
        <v>20</v>
      </c>
      <c r="X24" t="n">
        <v>10</v>
      </c>
      <c r="AC24" t="inlineStr">
        <is>
          <t>Assets/MachineBrigade/Resources/Data/balance.json: vehicles[20]</t>
        </is>
      </c>
      <c r="AD24" t="inlineStr">
        <is>
          <t>{"aps":{"radius":20,"recharge":10,"charges":3},"apsCapability":"BuiltIn"}</t>
        </is>
      </c>
    </row>
  </sheetData>
  <autoFilter ref="A1:AD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16" customWidth="1" min="4" max="4"/>
    <col width="16" customWidth="1" min="5" max="5"/>
    <col width="46" customWidth="1" min="6" max="6"/>
    <col width="16" customWidth="1" min="7" max="7"/>
    <col width="21" customWidth="1" min="8" max="8"/>
    <col width="19" customWidth="1" min="9" max="9"/>
    <col width="24" customWidth="1" min="10" max="10"/>
    <col width="22" customWidth="1" min="11" max="11"/>
    <col width="15" customWidth="1" min="12" max="12"/>
    <col width="18" customWidth="1" min="13" max="13"/>
    <col width="16" customWidth="1" min="14" max="14"/>
    <col width="17" customWidth="1" min="15" max="15"/>
    <col width="16" customWidth="1" min="16" max="16"/>
    <col width="18" customWidth="1" min="17" max="17"/>
    <col width="60" customWidth="1" min="18" max="18"/>
    <col width="60" customWidth="1" min="19" max="19"/>
  </cols>
  <sheetData>
    <row r="1">
      <c r="A1" s="1" t="inlineStr">
        <is>
          <t>id</t>
        </is>
      </c>
      <c r="B1" s="1" t="inlineStr">
        <is>
          <t>loai_don_vi</t>
        </is>
      </c>
      <c r="C1" s="1" t="inlineStr">
        <is>
          <t>mo_hinh</t>
        </is>
      </c>
      <c r="D1" s="1" t="inlineStr">
        <is>
          <t>so_mount_flare</t>
        </is>
      </c>
      <c r="E1" s="1" t="inlineStr">
        <is>
          <t>so_qua_moi_lan</t>
        </is>
      </c>
      <c r="F1" s="1" t="inlineStr">
        <is>
          <t>do_nang_cap</t>
        </is>
      </c>
      <c r="G1" s="1" t="inlineStr">
        <is>
          <t>so_voi_ban_goc</t>
        </is>
      </c>
      <c r="H1" s="1" t="inlineStr">
        <is>
          <t>flare_charges_truoc</t>
        </is>
      </c>
      <c r="I1" s="1" t="inlineStr">
        <is>
          <t>flare_charges_sau</t>
        </is>
      </c>
      <c r="J1" s="1" t="inlineStr">
        <is>
          <t>flare_recharge_s_truoc</t>
        </is>
      </c>
      <c r="K1" s="1" t="inlineStr">
        <is>
          <t>flare_recharge_s_sau</t>
        </is>
      </c>
      <c r="L1" s="1" t="inlineStr">
        <is>
          <t>flare_charges</t>
        </is>
      </c>
      <c r="M1" s="1" t="inlineStr">
        <is>
          <t>flare_recharge_s</t>
        </is>
      </c>
      <c r="N1" s="1" t="inlineStr">
        <is>
          <t>flares_every_s</t>
        </is>
      </c>
      <c r="O1" s="1" t="inlineStr">
        <is>
          <t>flares_radius_m</t>
        </is>
      </c>
      <c r="P1" s="1" t="inlineStr">
        <is>
          <t>flares_range_m</t>
        </is>
      </c>
      <c r="Q1" s="1" t="inlineStr">
        <is>
          <t>flares_seconds_s</t>
        </is>
      </c>
      <c r="R1" s="1" t="inlineStr">
        <is>
          <t>nguon</t>
        </is>
      </c>
      <c r="S1" s="1" t="inlineStr">
        <is>
          <t>raw_json</t>
        </is>
      </c>
    </row>
    <row r="2">
      <c r="A2" t="inlineStr">
        <is>
          <t>attack_helicopter</t>
        </is>
      </c>
      <c r="B2" t="inlineStr">
        <is>
          <t>xe</t>
        </is>
      </c>
      <c r="C2" t="inlineStr">
        <is>
          <t>attack_helicopter</t>
        </is>
      </c>
      <c r="D2" t="n">
        <v>0</v>
      </c>
      <c r="E2" t="inlineStr">
        <is>
          <t>4;8</t>
        </is>
      </c>
      <c r="F2" t="inlineStr">
        <is>
          <t>FlareDispenser (01_chien_dau/Trang_bi_mo_dun)</t>
        </is>
      </c>
      <c r="G2" t="inlineStr">
        <is>
          <t>doi</t>
        </is>
      </c>
      <c r="I2" t="n">
        <v>2</v>
      </c>
      <c r="L2" t="n">
        <v>2</v>
      </c>
      <c r="R2" t="inlineStr">
        <is>
          <t>Assets/MachineBrigade/Resources/Data/balance.json: vehicles[7]</t>
        </is>
      </c>
      <c r="S2" t="inlineStr">
        <is>
          <t>{"flareCharges":2}</t>
        </is>
      </c>
    </row>
    <row r="3">
      <c r="A3" t="inlineStr">
        <is>
          <t>attack_jet</t>
        </is>
      </c>
      <c r="B3" t="inlineStr">
        <is>
          <t>xe</t>
        </is>
      </c>
      <c r="C3" t="inlineStr">
        <is>
          <t>attack_jet</t>
        </is>
      </c>
      <c r="D3" t="n">
        <v>0</v>
      </c>
      <c r="E3" t="inlineStr">
        <is>
          <t>4;6</t>
        </is>
      </c>
      <c r="F3" t="inlineStr">
        <is>
          <t>FlareDispenser (01_chien_dau/Trang_bi_mo_dun)</t>
        </is>
      </c>
      <c r="G3" t="inlineStr">
        <is>
          <t>doi</t>
        </is>
      </c>
      <c r="I3" t="n">
        <v>2</v>
      </c>
      <c r="L3" t="n">
        <v>2</v>
      </c>
      <c r="R3" t="inlineStr">
        <is>
          <t>Assets/MachineBrigade/Resources/Data/balance.json: vehicles[15]</t>
        </is>
      </c>
      <c r="S3" t="inlineStr">
        <is>
          <t>{"flareCharges":2}</t>
        </is>
      </c>
    </row>
    <row r="4">
      <c r="A4" t="inlineStr">
        <is>
          <t>fighter_jet</t>
        </is>
      </c>
      <c r="B4" t="inlineStr">
        <is>
          <t>xe</t>
        </is>
      </c>
      <c r="C4" t="inlineStr">
        <is>
          <t>fighter_jet</t>
        </is>
      </c>
      <c r="D4" t="n">
        <v>0</v>
      </c>
      <c r="E4" t="inlineStr">
        <is>
          <t>4;6</t>
        </is>
      </c>
      <c r="F4" t="inlineStr">
        <is>
          <t>FlareDispenser (01_chien_dau/Trang_bi_mo_dun)</t>
        </is>
      </c>
      <c r="G4" t="inlineStr">
        <is>
          <t>doi</t>
        </is>
      </c>
      <c r="I4" t="n">
        <v>2</v>
      </c>
      <c r="L4" t="n">
        <v>2</v>
      </c>
      <c r="R4" t="inlineStr">
        <is>
          <t>Assets/MachineBrigade/Resources/Data/balance.json: vehicles[33]</t>
        </is>
      </c>
      <c r="S4" t="inlineStr">
        <is>
          <t>{"flareCharges":2}</t>
        </is>
      </c>
    </row>
    <row r="5">
      <c r="A5" t="inlineStr">
        <is>
          <t>flare_searchlight_tower</t>
        </is>
      </c>
      <c r="B5" t="inlineStr">
        <is>
          <t>thap</t>
        </is>
      </c>
      <c r="C5" t="inlineStr">
        <is>
          <t>flare_searchlight_tower</t>
        </is>
      </c>
      <c r="D5" t="n">
        <v>0</v>
      </c>
      <c r="E5" t="inlineStr">
        <is>
          <t>1;1</t>
        </is>
      </c>
      <c r="F5" t="inlineStr">
        <is>
          <t>FlareDispenser (01_chien_dau/Trang_bi_mo_dun)</t>
        </is>
      </c>
      <c r="G5" t="inlineStr">
        <is>
          <t>giong</t>
        </is>
      </c>
      <c r="N5" t="n">
        <v>15</v>
      </c>
      <c r="O5" t="n">
        <v>25</v>
      </c>
      <c r="P5" t="n">
        <v>40</v>
      </c>
      <c r="Q5" t="n">
        <v>15</v>
      </c>
      <c r="R5" t="inlineStr">
        <is>
          <t>Assets/MachineBrigade/Resources/Data/balance.json: vehicles[128]</t>
        </is>
      </c>
      <c r="S5" t="inlineStr">
        <is>
          <t>{"flares":{"every":15,"range":40,"radius":25,"seconds":15}}</t>
        </is>
      </c>
    </row>
    <row r="6">
      <c r="A6" t="inlineStr">
        <is>
          <t>flare_tower</t>
        </is>
      </c>
      <c r="B6" t="inlineStr">
        <is>
          <t>thap</t>
        </is>
      </c>
      <c r="C6" t="inlineStr">
        <is>
          <t>flare_tower</t>
        </is>
      </c>
      <c r="D6" t="n">
        <v>0</v>
      </c>
      <c r="E6" t="inlineStr">
        <is>
          <t>1;1</t>
        </is>
      </c>
      <c r="F6" t="inlineStr">
        <is>
          <t>FlareDispenser (01_chien_dau/Trang_bi_mo_dun)</t>
        </is>
      </c>
      <c r="G6" t="inlineStr">
        <is>
          <t>giong</t>
        </is>
      </c>
      <c r="N6" t="n">
        <v>15</v>
      </c>
      <c r="O6" t="n">
        <v>30</v>
      </c>
      <c r="P6" t="n">
        <v>40</v>
      </c>
      <c r="Q6" t="n">
        <v>15</v>
      </c>
      <c r="R6" t="inlineStr">
        <is>
          <t>Assets/MachineBrigade/Resources/Data/balance.json: vehicles[118]</t>
        </is>
      </c>
      <c r="S6" t="inlineStr">
        <is>
          <t>{"flares":{"every":15,"range":40,"radius":30,"seconds":15}}</t>
        </is>
      </c>
    </row>
    <row r="7">
      <c r="A7" t="inlineStr">
        <is>
          <t>heavy_bomber</t>
        </is>
      </c>
      <c r="B7" t="inlineStr">
        <is>
          <t>xe</t>
        </is>
      </c>
      <c r="C7" t="inlineStr">
        <is>
          <t>heavy_bomber</t>
        </is>
      </c>
      <c r="D7" t="n">
        <v>0</v>
      </c>
      <c r="E7" t="inlineStr">
        <is>
          <t>8;16</t>
        </is>
      </c>
      <c r="F7" t="inlineStr">
        <is>
          <t>FlareDispenser (01_chien_dau/Trang_bi_mo_dun)</t>
        </is>
      </c>
      <c r="G7" t="inlineStr">
        <is>
          <t>doi</t>
        </is>
      </c>
      <c r="I7" t="n">
        <v>3</v>
      </c>
      <c r="L7" t="n">
        <v>3</v>
      </c>
      <c r="R7" t="inlineStr">
        <is>
          <t>Assets/MachineBrigade/Resources/Data/balance.json: vehicles[21]</t>
        </is>
      </c>
      <c r="S7" t="inlineStr">
        <is>
          <t>{"flareCharges":3}</t>
        </is>
      </c>
    </row>
    <row r="8">
      <c r="A8" t="inlineStr">
        <is>
          <t>scout_heli</t>
        </is>
      </c>
      <c r="B8" t="inlineStr">
        <is>
          <t>xe</t>
        </is>
      </c>
      <c r="C8" t="inlineStr">
        <is>
          <t>scout_heli</t>
        </is>
      </c>
      <c r="D8" t="n">
        <v>0</v>
      </c>
      <c r="E8" t="inlineStr">
        <is>
          <t>4;8</t>
        </is>
      </c>
      <c r="F8" t="inlineStr">
        <is>
          <t>FlareDispenser (01_chien_dau/Trang_bi_mo_dun)</t>
        </is>
      </c>
      <c r="G8" t="inlineStr">
        <is>
          <t>doi</t>
        </is>
      </c>
      <c r="I8" t="n">
        <v>2</v>
      </c>
      <c r="K8" t="n">
        <v>20</v>
      </c>
      <c r="L8" t="n">
        <v>2</v>
      </c>
      <c r="M8" t="n">
        <v>20</v>
      </c>
      <c r="R8" t="inlineStr">
        <is>
          <t>Assets/MachineBrigade/Resources/Data/balance.json: vehicles[14]</t>
        </is>
      </c>
      <c r="S8" t="inlineStr">
        <is>
          <t>{"flareCharges":2,"flareRecharge":20}</t>
        </is>
      </c>
    </row>
    <row r="9">
      <c r="A9" t="inlineStr">
        <is>
          <t>sky_gunship</t>
        </is>
      </c>
      <c r="B9" t="inlineStr">
        <is>
          <t>xe</t>
        </is>
      </c>
      <c r="C9" t="inlineStr">
        <is>
          <t>sky_gunship</t>
        </is>
      </c>
      <c r="D9" t="n">
        <v>0</v>
      </c>
      <c r="E9" t="inlineStr">
        <is>
          <t>8;16</t>
        </is>
      </c>
      <c r="F9" t="inlineStr">
        <is>
          <t>FlareDispenser (01_chien_dau/Trang_bi_mo_dun)</t>
        </is>
      </c>
      <c r="G9" t="inlineStr">
        <is>
          <t>doi</t>
        </is>
      </c>
      <c r="I9" t="n">
        <v>3</v>
      </c>
      <c r="L9" t="n">
        <v>3</v>
      </c>
      <c r="R9" t="inlineStr">
        <is>
          <t>Assets/MachineBrigade/Resources/Data/balance.json: vehicles[23]</t>
        </is>
      </c>
      <c r="S9" t="inlineStr">
        <is>
          <t>{"flareCharges":3}</t>
        </is>
      </c>
    </row>
    <row r="10">
      <c r="A10" t="inlineStr">
        <is>
          <t>stealth_fighter</t>
        </is>
      </c>
      <c r="B10" t="inlineStr">
        <is>
          <t>xe</t>
        </is>
      </c>
      <c r="C10" t="inlineStr">
        <is>
          <t>stealth_fighter</t>
        </is>
      </c>
      <c r="D10" t="n">
        <v>0</v>
      </c>
      <c r="E10" t="inlineStr">
        <is>
          <t>4;6</t>
        </is>
      </c>
      <c r="F10" t="inlineStr">
        <is>
          <t>FlareDispenser (01_chien_dau/Trang_bi_mo_dun)</t>
        </is>
      </c>
      <c r="G10" t="inlineStr">
        <is>
          <t>doi</t>
        </is>
      </c>
      <c r="I10" t="n">
        <v>2</v>
      </c>
      <c r="L10" t="n">
        <v>2</v>
      </c>
      <c r="R10" t="inlineStr">
        <is>
          <t>Assets/MachineBrigade/Resources/Data/balance.json: vehicles[44]</t>
        </is>
      </c>
      <c r="S10" t="inlineStr">
        <is>
          <t>{"flareCharges":2}</t>
        </is>
      </c>
    </row>
    <row r="11">
      <c r="A11" t="inlineStr">
        <is>
          <t>swarm_carrier</t>
        </is>
      </c>
      <c r="B11" t="inlineStr">
        <is>
          <t>xe</t>
        </is>
      </c>
      <c r="C11" t="inlineStr">
        <is>
          <t>swarm_carrier</t>
        </is>
      </c>
      <c r="D11" t="n">
        <v>0</v>
      </c>
      <c r="E11" t="inlineStr">
        <is>
          <t>8;16</t>
        </is>
      </c>
      <c r="F11" t="inlineStr">
        <is>
          <t>FlareDispenser (01_chien_dau/Trang_bi_mo_dun)</t>
        </is>
      </c>
      <c r="G11" t="inlineStr">
        <is>
          <t>doi</t>
        </is>
      </c>
      <c r="I11" t="n">
        <v>3</v>
      </c>
      <c r="L11" t="n">
        <v>3</v>
      </c>
      <c r="R11" t="inlineStr">
        <is>
          <t>Assets/MachineBrigade/Resources/Data/balance.json: vehicles[47]</t>
        </is>
      </c>
      <c r="S11" t="inlineStr">
        <is>
          <t>{"flareCharges":3}</t>
        </is>
      </c>
    </row>
    <row r="12">
      <c r="A12" t="inlineStr">
        <is>
          <t>twin_rotor_gunship</t>
        </is>
      </c>
      <c r="B12" t="inlineStr">
        <is>
          <t>xe</t>
        </is>
      </c>
      <c r="C12" t="inlineStr">
        <is>
          <t>twin_rotor_gunship</t>
        </is>
      </c>
      <c r="D12" t="n">
        <v>0</v>
      </c>
      <c r="E12" t="inlineStr">
        <is>
          <t>4;8</t>
        </is>
      </c>
      <c r="F12" t="inlineStr">
        <is>
          <t>FlareDispenser (01_chien_dau/Trang_bi_mo_dun)</t>
        </is>
      </c>
      <c r="G12" t="inlineStr">
        <is>
          <t>doi</t>
        </is>
      </c>
      <c r="I12" t="n">
        <v>3</v>
      </c>
      <c r="K12" t="n">
        <v>20</v>
      </c>
      <c r="L12" t="n">
        <v>3</v>
      </c>
      <c r="M12" t="n">
        <v>20</v>
      </c>
      <c r="R12" t="inlineStr">
        <is>
          <t>Assets/MachineBrigade/Resources/Data/balance.json: vehicles[127]</t>
        </is>
      </c>
      <c r="S12" t="inlineStr">
        <is>
          <t>{"flareCharges":3,"flareRecharge":20}</t>
        </is>
      </c>
    </row>
  </sheetData>
  <autoFilter ref="A1:S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2" customWidth="1" min="4" max="4"/>
    <col width="60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flareBurn</t>
        </is>
      </c>
      <c r="B2" t="inlineStr">
        <is>
          <t>munitionRules</t>
        </is>
      </c>
      <c r="C2" t="inlineStr">
        <is>
          <t>flareBurn</t>
        </is>
      </c>
      <c r="E2" t="inlineStr">
        <is>
          <t>3;4</t>
        </is>
      </c>
      <c r="F2" t="inlineStr">
        <is>
          <t>s</t>
        </is>
      </c>
      <c r="G2" t="inlineStr">
        <is>
          <t>Assets/MachineBrigade/Resources/Data/balance.json: munitionRules.flareBurn</t>
        </is>
      </c>
      <c r="H2" t="inlineStr">
        <is>
          <t>[3,4]</t>
        </is>
      </c>
    </row>
    <row r="3">
      <c r="A3" t="inlineStr">
        <is>
          <t>flareDecoyChance</t>
        </is>
      </c>
      <c r="B3" t="inlineStr">
        <is>
          <t>munitionRules</t>
        </is>
      </c>
      <c r="C3" t="inlineStr">
        <is>
          <t>flareDecoyChance</t>
        </is>
      </c>
      <c r="D3" t="n">
        <v>0.35</v>
      </c>
      <c r="F3" t="inlineStr"/>
      <c r="G3" t="inlineStr">
        <is>
          <t>Assets/MachineBrigade/Resources/Data/balance.json: munitionRules.flareDecoyChance</t>
        </is>
      </c>
      <c r="H3" t="inlineStr">
        <is>
          <t>0.35</t>
        </is>
      </c>
    </row>
    <row r="4">
      <c r="A4" t="inlineStr">
        <is>
          <t>flareOffset</t>
        </is>
      </c>
      <c r="B4" t="inlineStr">
        <is>
          <t>munitionRules</t>
        </is>
      </c>
      <c r="C4" t="inlineStr">
        <is>
          <t>flareOffset</t>
        </is>
      </c>
      <c r="D4" t="n">
        <v>10</v>
      </c>
      <c r="F4" t="inlineStr">
        <is>
          <t>m</t>
        </is>
      </c>
      <c r="G4" t="inlineStr">
        <is>
          <t>Assets/MachineBrigade/Resources/Data/balance.json: munitionRules.flareOffset</t>
        </is>
      </c>
      <c r="H4" t="inlineStr">
        <is>
          <t>10</t>
        </is>
      </c>
    </row>
    <row r="5">
      <c r="A5" t="inlineStr">
        <is>
          <t>flareRelease.fighter</t>
        </is>
      </c>
      <c r="B5" t="inlineStr">
        <is>
          <t>munitionRules</t>
        </is>
      </c>
      <c r="C5" t="inlineStr">
        <is>
          <t>fighter</t>
        </is>
      </c>
      <c r="E5" t="inlineStr">
        <is>
          <t>4;6</t>
        </is>
      </c>
      <c r="F5" t="inlineStr"/>
      <c r="G5" t="inlineStr">
        <is>
          <t>Assets/MachineBrigade/Resources/Data/balance.json: munitionRules.flareRelease.fighter</t>
        </is>
      </c>
      <c r="H5" t="inlineStr">
        <is>
          <t>[4,6]</t>
        </is>
      </c>
    </row>
    <row r="6">
      <c r="A6" t="inlineStr">
        <is>
          <t>flareRelease.helicopter</t>
        </is>
      </c>
      <c r="B6" t="inlineStr">
        <is>
          <t>munitionRules</t>
        </is>
      </c>
      <c r="C6" t="inlineStr">
        <is>
          <t>helicopter</t>
        </is>
      </c>
      <c r="E6" t="inlineStr">
        <is>
          <t>4;8</t>
        </is>
      </c>
      <c r="F6" t="inlineStr"/>
      <c r="G6" t="inlineStr">
        <is>
          <t>Assets/MachineBrigade/Resources/Data/balance.json: munitionRules.flareRelease.helicopter</t>
        </is>
      </c>
      <c r="H6" t="inlineStr">
        <is>
          <t>[4,8]</t>
        </is>
      </c>
    </row>
    <row r="7">
      <c r="A7" t="inlineStr">
        <is>
          <t>flareRelease.large</t>
        </is>
      </c>
      <c r="B7" t="inlineStr">
        <is>
          <t>munitionRules</t>
        </is>
      </c>
      <c r="C7" t="inlineStr">
        <is>
          <t>large</t>
        </is>
      </c>
      <c r="E7" t="inlineStr">
        <is>
          <t>8;16</t>
        </is>
      </c>
      <c r="F7" t="inlineStr"/>
      <c r="G7" t="inlineStr">
        <is>
          <t>Assets/MachineBrigade/Resources/Data/balance.json: munitionRules.flareRelease.large</t>
        </is>
      </c>
      <c r="H7" t="inlineStr">
        <is>
          <t>[8,16]</t>
        </is>
      </c>
    </row>
    <row r="8">
      <c r="A8" t="inlineStr">
        <is>
          <t>leadCap</t>
        </is>
      </c>
      <c r="B8" t="inlineStr">
        <is>
          <t>munitionRules</t>
        </is>
      </c>
      <c r="C8" t="inlineStr">
        <is>
          <t>leadCap</t>
        </is>
      </c>
      <c r="D8" t="n">
        <v>3</v>
      </c>
      <c r="F8" t="inlineStr"/>
      <c r="G8" t="inlineStr">
        <is>
          <t>Assets/MachineBrigade/Resources/Data/balance.json: munitionRules.leadCap</t>
        </is>
      </c>
      <c r="H8" t="inlineStr">
        <is>
          <t>3</t>
        </is>
      </c>
    </row>
    <row r="9">
      <c r="A9" t="inlineStr">
        <is>
          <t>proximityFuze</t>
        </is>
      </c>
      <c r="B9" t="inlineStr">
        <is>
          <t>munitionRules</t>
        </is>
      </c>
      <c r="C9" t="inlineStr">
        <is>
          <t>proximityFuze</t>
        </is>
      </c>
      <c r="D9" t="n">
        <v>7</v>
      </c>
      <c r="F9" t="inlineStr">
        <is>
          <t>m</t>
        </is>
      </c>
      <c r="G9" t="inlineStr">
        <is>
          <t>Assets/MachineBrigade/Resources/Data/balance.json: munitionRules.proximityFuze</t>
        </is>
      </c>
      <c r="H9" t="inlineStr">
        <is>
          <t>7</t>
        </is>
      </c>
    </row>
    <row r="10">
      <c r="A10" t="inlineStr">
        <is>
          <t>radarGuided</t>
        </is>
      </c>
      <c r="B10" t="inlineStr">
        <is>
          <t>munitionRules</t>
        </is>
      </c>
      <c r="C10" t="inlineStr">
        <is>
          <t>radarGuided</t>
        </is>
      </c>
      <c r="E10" t="inlineStr">
        <is>
          <t>sam_aim_120_amraam;sam_r_37m;sam_9m317_buk;sam_mim_104_patriot_pac_2;sam_patriot_pac_3_mse;sam_s_400_48n6;sam_57e6;sam_tamir_interceptor</t>
        </is>
      </c>
      <c r="F10" t="inlineStr"/>
      <c r="G10" t="inlineStr">
        <is>
          <t>Assets/MachineBrigade/Resources/Data/balance.json: munitionRules.radarGuided</t>
        </is>
      </c>
      <c r="H10" t="inlineStr">
        <is>
          <t>["sam_aim_120_amraam","sam_r_37m","sam_9m317_buk","sam_mim_104_patriot_pac_2","sam_patriot_pac_3_mse","sam_s_400_48n6","sam_57e6","sam_tamir_interceptor"]</t>
        </is>
      </c>
    </row>
    <row r="11">
      <c r="A11" t="inlineStr">
        <is>
          <t>reachScale</t>
        </is>
      </c>
      <c r="B11" t="inlineStr">
        <is>
          <t>munitionRules</t>
        </is>
      </c>
      <c r="C11" t="inlineStr">
        <is>
          <t>reachScale</t>
        </is>
      </c>
      <c r="D11" t="n">
        <v>1.3</v>
      </c>
      <c r="F11" t="inlineStr"/>
      <c r="G11" t="inlineStr">
        <is>
          <t>Assets/MachineBrigade/Resources/Data/balance.json: munitionRules.reachScale</t>
        </is>
      </c>
      <c r="H11" t="inlineStr">
        <is>
          <t>1.3</t>
        </is>
      </c>
    </row>
    <row r="12">
      <c r="A12" t="inlineStr">
        <is>
          <t>sightGuided</t>
        </is>
      </c>
      <c r="B12" t="inlineStr">
        <is>
          <t>munitionRules</t>
        </is>
      </c>
      <c r="C12" t="inlineStr">
        <is>
          <t>sightGuided</t>
        </is>
      </c>
      <c r="E12" t="inlineStr">
        <is>
          <t>atgm_bgm_71_tow_2;atgm_gun_launched_atgm;atgm_kornet;atgm_9m113_konkurs;atgm_9m120_ataka;atgm_9k121_vikhr;atgm_9m123_khrizantema;atgm_agm_114_hellfire;atgm_kh_29l;atgm_agm_176_griffin;atgm_mam_l</t>
        </is>
      </c>
      <c r="F12" t="inlineStr"/>
      <c r="G12" t="inlineStr">
        <is>
          <t>Assets/MachineBrigade/Resources/Data/balance.json: munitionRules.sightGuided</t>
        </is>
      </c>
      <c r="H12" t="inlineStr">
        <is>
          <t>["atgm_bgm_71_tow_2","atgm_gun_launched_atgm","atgm_kornet","atgm_9m113_konkurs","atgm_9m120_ataka","atgm_9k121_vikhr","atgm_9m123_khrizantema","atgm_agm_114_hellfire","atgm_kh_29l","atgm_agm_176_griffin","atgm_mam_l"]</t>
        </is>
      </c>
    </row>
  </sheetData>
  <autoFilter ref="A1:H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49" customWidth="1" min="3" max="3"/>
    <col width="38" customWidth="1" min="4" max="4"/>
    <col width="60" customWidth="1" min="5" max="5"/>
    <col width="27" customWidth="1" min="6" max="6"/>
    <col width="24" customWidth="1" min="7" max="7"/>
    <col width="41" customWidth="1" min="8" max="8"/>
    <col width="37" customWidth="1" min="9" max="9"/>
    <col width="60" customWidth="1" min="10" max="10"/>
    <col width="6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so_vu_khi</t>
        </is>
      </c>
      <c r="C1" s="1" t="inlineStr">
        <is>
          <t>cach_nham</t>
        </is>
      </c>
      <c r="D1" s="1" t="inlineStr">
        <is>
          <t>khi_no</t>
        </is>
      </c>
      <c r="E1" s="1" t="inlineStr">
        <is>
          <t>khi_truot</t>
        </is>
      </c>
      <c r="F1" s="1" t="inlineStr">
        <is>
          <t>co_canh_bao</t>
        </is>
      </c>
      <c r="G1" s="1" t="inlineStr">
        <is>
          <t>thoi_gian_bay_toi_da_s</t>
        </is>
      </c>
      <c r="H1" s="1" t="inlineStr">
        <is>
          <t>tuong_tac_phao_sang</t>
        </is>
      </c>
      <c r="I1" s="1" t="inlineStr">
        <is>
          <t>tuong_tac_aps</t>
        </is>
      </c>
      <c r="J1" s="1" t="inlineStr">
        <is>
          <t>tuong_tac_gay_nhieu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Bomb</t>
        </is>
      </c>
      <c r="B2" t="n">
        <v>6</v>
      </c>
      <c r="C2" t="inlineStr">
        <is>
          <t>dẫn đường 33% vũ khí, còn lại đón đầu (trần 3 s)</t>
        </is>
      </c>
      <c r="D2" t="inlineStr">
        <is>
          <t>nổ lan 100% vũ khí</t>
        </is>
      </c>
      <c r="E2" t="inlineStr">
        <is>
          <t>quá tầm × 1.3 tự hủy; đạn dẫn bằng mắt mất kẻ bắn hoặc tầm nhìn thì mất</t>
        </is>
      </c>
      <c r="F2" t="inlineStr">
        <is>
          <t>0% vũ khí có vòng cảnh báo</t>
        </is>
      </c>
      <c r="G2" t="n">
        <v>0.8</v>
      </c>
      <c r="H2" t="inlineStr">
        <is>
          <t>pháo sáng mồi 0% vũ khí (xác suất 0.35)</t>
        </is>
      </c>
      <c r="I2" t="inlineStr">
        <is>
          <t>APS chặn được 100%, CIWS 100% vũ khí</t>
        </is>
      </c>
      <c r="J2" t="inlineStr">
        <is>
          <t>không bị nhiễu (không phải đạn dẫn đường)</t>
        </is>
      </c>
      <c r="K2" t="inlineStr">
        <is>
          <t>Assets/MachineBrigade/Resources/Data/balance.json: weapons[*].projectile (giá trị game, mặc định Shell)</t>
        </is>
      </c>
      <c r="L2" t="inlineStr"/>
    </row>
    <row r="3">
      <c r="A3" t="inlineStr">
        <is>
          <t>Bullet</t>
        </is>
      </c>
      <c r="B3" t="n">
        <v>122</v>
      </c>
      <c r="C3" t="inlineStr">
        <is>
          <t>đón đầu (led, trần 3 s)</t>
        </is>
      </c>
      <c r="D3" t="inlineStr">
        <is>
          <t>nổ lan 35% vũ khí</t>
        </is>
      </c>
      <c r="E3" t="inlineStr">
        <is>
          <t>quá tầm × 1.3 tự hủy</t>
        </is>
      </c>
      <c r="F3" t="inlineStr">
        <is>
          <t>0% vũ khí có vòng cảnh báo</t>
        </is>
      </c>
      <c r="G3" t="n">
        <v>0.4286</v>
      </c>
      <c r="H3" t="inlineStr">
        <is>
          <t>pháo sáng mồi 0% vũ khí (xác suất 0.35)</t>
        </is>
      </c>
      <c r="I3" t="inlineStr">
        <is>
          <t>APS chặn được 100%, CIWS 100% vũ khí</t>
        </is>
      </c>
      <c r="J3" t="inlineStr">
        <is>
          <t>không bị nhiễu (không phải đạn dẫn đường)</t>
        </is>
      </c>
      <c r="K3" t="inlineStr">
        <is>
          <t>Assets/MachineBrigade/Resources/Data/balance.json: weapons[*].projectile (giá trị game, mặc định Shell)</t>
        </is>
      </c>
      <c r="L3" t="inlineStr"/>
    </row>
    <row r="4">
      <c r="A4" t="inlineStr">
        <is>
          <t>Drone</t>
        </is>
      </c>
      <c r="B4" t="n">
        <v>11</v>
      </c>
      <c r="C4" t="inlineStr">
        <is>
          <t>dẫn đường (homing)</t>
        </is>
      </c>
      <c r="D4" t="inlineStr">
        <is>
          <t>nổ lan 100% vũ khí; ngòi cận đích 7 m</t>
        </is>
      </c>
      <c r="E4" t="inlineStr">
        <is>
          <t>quá tầm × 1.3 tự hủy; đạn dẫn bằng mắt mất kẻ bắn hoặc tầm nhìn thì mất</t>
        </is>
      </c>
      <c r="F4" t="inlineStr">
        <is>
          <t>0% vũ khí có vòng cảnh báo</t>
        </is>
      </c>
      <c r="G4" t="n">
        <v>7.5</v>
      </c>
      <c r="H4" t="inlineStr">
        <is>
          <t>pháo sáng mồi 0% vũ khí (xác suất 0.35)</t>
        </is>
      </c>
      <c r="I4" t="inlineStr">
        <is>
          <t>APS chặn được 100%, CIWS 100% vũ khí</t>
        </is>
      </c>
      <c r="J4" t="inlineStr">
        <is>
          <t>bị nhiễu 100% vũ khí (đạn dẫn đường trong vòng nhiễu địch: trượt 5–11 m)</t>
        </is>
      </c>
      <c r="K4" t="inlineStr">
        <is>
          <t>Assets/MachineBrigade/Resources/Data/balance.json: weapons[*].projectile (giá trị game, mặc định Shell)</t>
        </is>
      </c>
      <c r="L4" t="inlineStr"/>
    </row>
    <row r="5">
      <c r="A5" t="inlineStr">
        <is>
          <t>Flame</t>
        </is>
      </c>
      <c r="B5" t="n">
        <v>3</v>
      </c>
      <c r="C5" t="inlineStr">
        <is>
          <t>đón đầu (led, trần 3 s)</t>
        </is>
      </c>
      <c r="D5" t="inlineStr">
        <is>
          <t>nổ lan 100% vũ khí</t>
        </is>
      </c>
      <c r="E5" t="inlineStr">
        <is>
          <t>quá tầm × 1.3 tự hủy</t>
        </is>
      </c>
      <c r="F5" t="inlineStr">
        <is>
          <t>0% vũ khí có vòng cảnh báo</t>
        </is>
      </c>
      <c r="G5" t="n">
        <v>0.5263</v>
      </c>
      <c r="H5" t="inlineStr">
        <is>
          <t>pháo sáng mồi 0% vũ khí (xác suất 0.35)</t>
        </is>
      </c>
      <c r="I5" t="inlineStr">
        <is>
          <t>APS chặn được 100%, CIWS 100% vũ khí</t>
        </is>
      </c>
      <c r="J5" t="inlineStr">
        <is>
          <t>không bị nhiễu (không phải đạn dẫn đường)</t>
        </is>
      </c>
      <c r="K5" t="inlineStr">
        <is>
          <t>Assets/MachineBrigade/Resources/Data/balance.json: weapons[*].projectile (giá trị game, mặc định Shell)</t>
        </is>
      </c>
      <c r="L5" t="inlineStr"/>
    </row>
    <row r="6">
      <c r="A6" t="inlineStr">
        <is>
          <t>Missile</t>
        </is>
      </c>
      <c r="B6" t="n">
        <v>52</v>
      </c>
      <c r="C6" t="inlineStr">
        <is>
          <t>dẫn đường (homing)</t>
        </is>
      </c>
      <c r="D6" t="inlineStr">
        <is>
          <t>nổ lan 50% vũ khí; ngòi cận đích 7 m</t>
        </is>
      </c>
      <c r="E6" t="inlineStr">
        <is>
          <t>quá tầm × 1.3 tự hủy; đạn dẫn bằng mắt mất kẻ bắn hoặc tầm nhìn thì mất</t>
        </is>
      </c>
      <c r="F6" t="inlineStr">
        <is>
          <t>0% vũ khí có vòng cảnh báo</t>
        </is>
      </c>
      <c r="G6" t="n">
        <v>5.7143</v>
      </c>
      <c r="H6" t="inlineStr">
        <is>
          <t>pháo sáng mồi 79% vũ khí (xác suất 0.35)</t>
        </is>
      </c>
      <c r="I6" t="inlineStr">
        <is>
          <t>APS chặn được 100%, CIWS 100% vũ khí</t>
        </is>
      </c>
      <c r="J6" t="inlineStr">
        <is>
          <t>bị nhiễu 100% vũ khí (đạn dẫn đường trong vòng nhiễu địch: trượt 5–11 m)</t>
        </is>
      </c>
      <c r="K6" t="inlineStr">
        <is>
          <t>Assets/MachineBrigade/Resources/Data/balance.json: weapons[*].projectile (giá trị game, mặc định Shell)</t>
        </is>
      </c>
      <c r="L6" t="inlineStr"/>
    </row>
    <row r="7">
      <c r="A7" t="inlineStr">
        <is>
          <t>Rocket</t>
        </is>
      </c>
      <c r="B7" t="n">
        <v>29</v>
      </c>
      <c r="C7" t="inlineStr">
        <is>
          <t>dẫn đường 3% vũ khí, còn lại đón đầu (trần 3 s)</t>
        </is>
      </c>
      <c r="D7" t="inlineStr">
        <is>
          <t>nổ lan 100% vũ khí</t>
        </is>
      </c>
      <c r="E7" t="inlineStr">
        <is>
          <t>quá tầm × 1.3 tự hủy; đạn dẫn bằng mắt mất kẻ bắn hoặc tầm nhìn thì mất</t>
        </is>
      </c>
      <c r="F7" t="inlineStr">
        <is>
          <t>0% vũ khí có vòng cảnh báo</t>
        </is>
      </c>
      <c r="G7" t="n">
        <v>1.1667</v>
      </c>
      <c r="H7" t="inlineStr">
        <is>
          <t>pháo sáng mồi 0% vũ khí (xác suất 0.35)</t>
        </is>
      </c>
      <c r="I7" t="inlineStr">
        <is>
          <t>APS chặn được 100%, CIWS 100% vũ khí</t>
        </is>
      </c>
      <c r="J7" t="inlineStr">
        <is>
          <t>không bị nhiễu (không phải đạn dẫn đường)</t>
        </is>
      </c>
      <c r="K7" t="inlineStr">
        <is>
          <t>Assets/MachineBrigade/Resources/Data/balance.json: weapons[*].projectile (giá trị game, mặc định Shell)</t>
        </is>
      </c>
      <c r="L7" t="inlineStr"/>
    </row>
    <row r="8">
      <c r="A8" t="inlineStr">
        <is>
          <t>Shell</t>
        </is>
      </c>
      <c r="B8" t="n">
        <v>136</v>
      </c>
      <c r="C8" t="inlineStr">
        <is>
          <t>dẫn đường 10% vũ khí, còn lại đón đầu (trần 3 s)</t>
        </is>
      </c>
      <c r="D8" t="inlineStr">
        <is>
          <t>nổ lan 81% vũ khí</t>
        </is>
      </c>
      <c r="E8" t="inlineStr">
        <is>
          <t>quá tầm × 1.3 tự hủy; đạn dẫn bằng mắt mất kẻ bắn hoặc tầm nhìn thì mất</t>
        </is>
      </c>
      <c r="F8" t="inlineStr">
        <is>
          <t>0% vũ khí có vòng cảnh báo</t>
        </is>
      </c>
      <c r="G8" t="n">
        <v>2</v>
      </c>
      <c r="H8" t="inlineStr">
        <is>
          <t>pháo sáng mồi 0% vũ khí (xác suất 0.35)</t>
        </is>
      </c>
      <c r="I8" t="inlineStr">
        <is>
          <t>APS chặn được 100%, CIWS 100% vũ khí</t>
        </is>
      </c>
      <c r="J8" t="inlineStr">
        <is>
          <t>không bị nhiễu (không phải đạn dẫn đường)</t>
        </is>
      </c>
      <c r="K8" t="inlineStr">
        <is>
          <t>Assets/MachineBrigade/Resources/Data/balance.json: weapons[*].projectile (giá trị game, mặc định Shell)</t>
        </is>
      </c>
      <c r="L8" t="inlineStr"/>
    </row>
  </sheetData>
  <autoFilter ref="A1:L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1" customWidth="1" min="3" max="3"/>
    <col width="30" customWidth="1" min="4" max="4"/>
    <col width="12" customWidth="1" min="5" max="5"/>
    <col width="10" customWidth="1" min="6" max="6"/>
    <col width="32" customWidth="1" min="7" max="7"/>
    <col width="12" customWidth="1" min="8" max="8"/>
    <col width="8" customWidth="1" min="9" max="9"/>
    <col width="8" customWidth="1" min="10" max="10"/>
    <col width="8" customWidth="1" min="11" max="11"/>
    <col width="25" customWidth="1" min="12" max="12"/>
    <col width="8" customWidth="1" min="13" max="13"/>
    <col width="26" customWidth="1" min="14" max="14"/>
    <col width="10" customWidth="1" min="15" max="15"/>
    <col width="19" customWidth="1" min="16" max="16"/>
    <col width="11" customWidth="1" min="17" max="17"/>
    <col width="60" customWidth="1" min="18" max="18"/>
    <col width="10" customWidth="1" min="19" max="19"/>
  </cols>
  <sheetData>
    <row r="1">
      <c r="A1" s="1" t="inlineStr">
        <is>
          <t>id</t>
        </is>
      </c>
      <c r="B1" s="1" t="inlineStr">
        <is>
          <t>loai</t>
        </is>
      </c>
      <c r="C1" s="1" t="inlineStr">
        <is>
          <t>ten_that</t>
        </is>
      </c>
      <c r="D1" s="1" t="inlineStr">
        <is>
          <t>mang_boi</t>
        </is>
      </c>
      <c r="E1" s="1" t="inlineStr">
        <is>
          <t>toc_do_m_s</t>
        </is>
      </c>
      <c r="F1" s="1" t="inlineStr">
        <is>
          <t>do_cao_m</t>
        </is>
      </c>
      <c r="G1" s="1" t="inlineStr">
        <is>
          <t>dau_no_kg</t>
        </is>
      </c>
      <c r="H1" s="1" t="inlineStr">
        <is>
          <t>sat_thuong</t>
        </is>
      </c>
      <c r="I1" s="1" t="inlineStr">
        <is>
          <t>loi_m</t>
        </is>
      </c>
      <c r="J1" s="1" t="inlineStr">
        <is>
          <t>ria_m</t>
        </is>
      </c>
      <c r="K1" s="1" t="inlineStr">
        <is>
          <t>tam_m</t>
        </is>
      </c>
      <c r="L1" s="1" t="inlineStr">
        <is>
          <t>thoi_gian_bay_toi_tam_s</t>
        </is>
      </c>
      <c r="M1" s="1" t="inlineStr">
        <is>
          <t>mau_hp</t>
        </is>
      </c>
      <c r="N1" s="1" t="inlineStr">
        <is>
          <t>vu_khi</t>
        </is>
      </c>
      <c r="O1" s="1" t="inlineStr">
        <is>
          <t>mo_hinh</t>
        </is>
      </c>
      <c r="P1" s="1" t="inlineStr">
        <is>
          <t>kich_thuoc_m</t>
        </is>
      </c>
      <c r="Q1" s="1" t="inlineStr">
        <is>
          <t>no_hinh_x</t>
        </is>
      </c>
      <c r="R1" s="1" t="inlineStr">
        <is>
          <t>nguon</t>
        </is>
      </c>
      <c r="S1" s="1" t="inlineStr">
        <is>
          <t>raw_json</t>
        </is>
      </c>
    </row>
    <row r="2">
      <c r="A2" t="inlineStr">
        <is>
          <t>airship_drones</t>
        </is>
      </c>
      <c r="B2" t="inlineStr">
        <is>
          <t>dan_drone</t>
        </is>
      </c>
      <c r="C2" t="inlineStr">
        <is>
          <t>FPV drone (1.5 kg)</t>
        </is>
      </c>
      <c r="D2" t="inlineStr"/>
      <c r="E2" t="n">
        <v>26</v>
      </c>
      <c r="G2" t="n">
        <v>1.5</v>
      </c>
      <c r="H2" t="n">
        <v>140</v>
      </c>
      <c r="I2" t="n">
        <v>2.5</v>
      </c>
      <c r="J2" t="n">
        <v>0</v>
      </c>
      <c r="K2" t="n">
        <v>70</v>
      </c>
      <c r="L2" t="n">
        <v>2.692</v>
      </c>
      <c r="O2" t="inlineStr">
        <is>
          <t>fpv_drone</t>
        </is>
      </c>
      <c r="P2" t="n">
        <v>1.66</v>
      </c>
      <c r="Q2" t="n">
        <v>1.44</v>
      </c>
      <c r="R2" t="inlineStr">
        <is>
          <t>Assets/MachineBrigade/Resources/Data/balance.json: weapons[airship_drones] (giá trị game từ game.json balancePack.drones)</t>
        </is>
      </c>
      <c r="S2" t="inlineStr"/>
    </row>
    <row r="3">
      <c r="A3" t="inlineStr">
        <is>
          <t>fpv_hangar</t>
        </is>
      </c>
      <c r="B3" t="inlineStr">
        <is>
          <t>dan_drone</t>
        </is>
      </c>
      <c r="C3" t="inlineStr">
        <is>
          <t>FPV drone (1.5 kg)</t>
        </is>
      </c>
      <c r="D3" t="inlineStr">
        <is>
          <t>drone_hangar</t>
        </is>
      </c>
      <c r="E3" t="n">
        <v>26</v>
      </c>
      <c r="G3" t="n">
        <v>1.5</v>
      </c>
      <c r="H3" t="n">
        <v>140</v>
      </c>
      <c r="I3" t="n">
        <v>2.5</v>
      </c>
      <c r="J3" t="n">
        <v>0</v>
      </c>
      <c r="K3" t="n">
        <v>70</v>
      </c>
      <c r="L3" t="n">
        <v>2.692</v>
      </c>
      <c r="O3" t="inlineStr">
        <is>
          <t>fpv_drone</t>
        </is>
      </c>
      <c r="P3" t="n">
        <v>1.66</v>
      </c>
      <c r="Q3" t="n">
        <v>1.44</v>
      </c>
      <c r="R3" t="inlineStr">
        <is>
          <t>Assets/MachineBrigade/Resources/Data/balance.json: weapons[fpv_hangar] (giá trị game từ game.json balancePack.drones)</t>
        </is>
      </c>
      <c r="S3" t="inlineStr"/>
    </row>
    <row r="4">
      <c r="A4" t="inlineStr">
        <is>
          <t>fpv_hangar_swarm</t>
        </is>
      </c>
      <c r="B4" t="inlineStr">
        <is>
          <t>dan_drone</t>
        </is>
      </c>
      <c r="C4" t="inlineStr">
        <is>
          <t>FPV drone (1.5 kg)</t>
        </is>
      </c>
      <c r="D4" t="inlineStr">
        <is>
          <t>drone_hangar.swarm</t>
        </is>
      </c>
      <c r="E4" t="n">
        <v>26</v>
      </c>
      <c r="G4" t="n">
        <v>1.5</v>
      </c>
      <c r="H4" t="n">
        <v>140</v>
      </c>
      <c r="I4" t="n">
        <v>2.5</v>
      </c>
      <c r="J4" t="n">
        <v>0</v>
      </c>
      <c r="K4" t="n">
        <v>70</v>
      </c>
      <c r="L4" t="n">
        <v>2.692</v>
      </c>
      <c r="O4" t="inlineStr">
        <is>
          <t>fpv_drone</t>
        </is>
      </c>
      <c r="P4" t="n">
        <v>1.66</v>
      </c>
      <c r="Q4" t="n">
        <v>1.44</v>
      </c>
      <c r="R4" t="inlineStr">
        <is>
          <t>Assets/MachineBrigade/Resources/Data/balance.json: weapons[fpv_hangar_swarm] (giá trị game từ game.json balancePack.drones)</t>
        </is>
      </c>
      <c r="S4" t="inlineStr"/>
    </row>
    <row r="5">
      <c r="A5" t="inlineStr">
        <is>
          <t>fpv_swarm</t>
        </is>
      </c>
      <c r="B5" t="inlineStr">
        <is>
          <t>dan_drone</t>
        </is>
      </c>
      <c r="C5" t="inlineStr">
        <is>
          <t>FPV drone (1.5 kg)</t>
        </is>
      </c>
      <c r="D5" t="inlineStr">
        <is>
          <t>elite_fpv_carrier;fpv_carrier</t>
        </is>
      </c>
      <c r="E5" t="n">
        <v>26</v>
      </c>
      <c r="G5" t="n">
        <v>1.5</v>
      </c>
      <c r="H5" t="n">
        <v>140</v>
      </c>
      <c r="I5" t="n">
        <v>2.5</v>
      </c>
      <c r="J5" t="n">
        <v>0</v>
      </c>
      <c r="K5" t="n">
        <v>75</v>
      </c>
      <c r="L5" t="n">
        <v>2.885</v>
      </c>
      <c r="O5" t="inlineStr">
        <is>
          <t>fpv_drone</t>
        </is>
      </c>
      <c r="P5" t="n">
        <v>1.66</v>
      </c>
      <c r="Q5" t="n">
        <v>1.44</v>
      </c>
      <c r="R5" t="inlineStr">
        <is>
          <t>Assets/MachineBrigade/Resources/Data/balance.json: weapons[fpv_swarm] (giá trị game từ game.json balancePack.drones)</t>
        </is>
      </c>
      <c r="S5" t="inlineStr"/>
    </row>
    <row r="6">
      <c r="A6" t="inlineStr">
        <is>
          <t>lancet</t>
        </is>
      </c>
      <c r="B6" t="inlineStr">
        <is>
          <t>dan_drone</t>
        </is>
      </c>
      <c r="C6" t="inlineStr">
        <is>
          <t>ZALA Lancet-3 (3 kg)</t>
        </is>
      </c>
      <c r="D6" t="inlineStr"/>
      <c r="E6" t="n">
        <v>28</v>
      </c>
      <c r="G6" t="n">
        <v>3</v>
      </c>
      <c r="H6" t="n">
        <v>240</v>
      </c>
      <c r="I6" t="n">
        <v>3</v>
      </c>
      <c r="J6" t="n">
        <v>0</v>
      </c>
      <c r="K6" t="n">
        <v>100</v>
      </c>
      <c r="L6" t="n">
        <v>3.571</v>
      </c>
      <c r="O6" t="inlineStr">
        <is>
          <t>lancet</t>
        </is>
      </c>
      <c r="P6" t="n">
        <v>2.8</v>
      </c>
      <c r="Q6" t="n">
        <v>1.5</v>
      </c>
      <c r="R6" t="inlineStr">
        <is>
          <t>Assets/MachineBrigade/Resources/Data/balance.json: weapons[lancet] (giá trị game từ game.json balancePack.drones)</t>
        </is>
      </c>
      <c r="S6" t="inlineStr"/>
    </row>
    <row r="7">
      <c r="A7" t="inlineStr">
        <is>
          <t>lancet_hangar</t>
        </is>
      </c>
      <c r="B7" t="inlineStr">
        <is>
          <t>dan_drone</t>
        </is>
      </c>
      <c r="C7" t="inlineStr">
        <is>
          <t>ZALA Lancet-3 (3 kg)</t>
        </is>
      </c>
      <c r="D7" t="inlineStr">
        <is>
          <t>drone_hangar.lancet</t>
        </is>
      </c>
      <c r="E7" t="n">
        <v>28</v>
      </c>
      <c r="G7" t="n">
        <v>3</v>
      </c>
      <c r="H7" t="n">
        <v>240</v>
      </c>
      <c r="I7" t="n">
        <v>3</v>
      </c>
      <c r="J7" t="n">
        <v>0</v>
      </c>
      <c r="K7" t="n">
        <v>100</v>
      </c>
      <c r="L7" t="n">
        <v>3.571</v>
      </c>
      <c r="O7" t="inlineStr">
        <is>
          <t>lancet</t>
        </is>
      </c>
      <c r="P7" t="n">
        <v>2.8</v>
      </c>
      <c r="Q7" t="n">
        <v>1.5</v>
      </c>
      <c r="R7" t="inlineStr">
        <is>
          <t>Assets/MachineBrigade/Resources/Data/balance.json: weapons[lancet_hangar] (giá trị game từ game.json balancePack.drones)</t>
        </is>
      </c>
      <c r="S7" t="inlineStr"/>
    </row>
    <row r="8">
      <c r="A8" t="inlineStr">
        <is>
          <t>locust_drones</t>
        </is>
      </c>
      <c r="B8" t="inlineStr">
        <is>
          <t>dan_drone</t>
        </is>
      </c>
      <c r="C8" t="inlineStr">
        <is>
          <t>ZALA Lancet-3 swarm</t>
        </is>
      </c>
      <c r="D8" t="inlineStr">
        <is>
          <t>locust</t>
        </is>
      </c>
      <c r="E8" t="n">
        <v>28</v>
      </c>
      <c r="G8" t="n">
        <v>3</v>
      </c>
      <c r="H8" t="n">
        <v>320</v>
      </c>
      <c r="I8" t="n">
        <v>3</v>
      </c>
      <c r="J8" t="n">
        <v>6</v>
      </c>
      <c r="K8" t="n">
        <v>70</v>
      </c>
      <c r="L8" t="n">
        <v>2.5</v>
      </c>
      <c r="O8" t="inlineStr">
        <is>
          <t>lancet</t>
        </is>
      </c>
      <c r="P8" t="n">
        <v>2.8</v>
      </c>
      <c r="Q8" t="n">
        <v>1.44</v>
      </c>
      <c r="R8" t="inlineStr">
        <is>
          <t>Assets/MachineBrigade/Resources/Data/balance.json: weapons[locust_drones] (giá trị game từ game.json balancePack.drones)</t>
        </is>
      </c>
      <c r="S8" t="inlineStr"/>
    </row>
    <row r="9">
      <c r="A9" t="inlineStr">
        <is>
          <t>mothership_drones</t>
        </is>
      </c>
      <c r="B9" t="inlineStr">
        <is>
          <t>dan_drone</t>
        </is>
      </c>
      <c r="C9" t="inlineStr">
        <is>
          <t>ZALA Lancet-3 (3 kg)</t>
        </is>
      </c>
      <c r="D9" t="inlineStr">
        <is>
          <t>drone_bay</t>
        </is>
      </c>
      <c r="E9" t="n">
        <v>28</v>
      </c>
      <c r="G9" t="n">
        <v>3</v>
      </c>
      <c r="H9" t="n">
        <v>240</v>
      </c>
      <c r="I9" t="n">
        <v>3</v>
      </c>
      <c r="J9" t="n">
        <v>0</v>
      </c>
      <c r="K9" t="n">
        <v>70</v>
      </c>
      <c r="L9" t="n">
        <v>2.5</v>
      </c>
      <c r="O9" t="inlineStr">
        <is>
          <t>lancet</t>
        </is>
      </c>
      <c r="P9" t="n">
        <v>2.8</v>
      </c>
      <c r="Q9" t="n">
        <v>1.5</v>
      </c>
      <c r="R9" t="inlineStr">
        <is>
          <t>Assets/MachineBrigade/Resources/Data/balance.json: weapons[mothership_drones] (giá trị game từ game.json balancePack.drones)</t>
        </is>
      </c>
      <c r="S9" t="inlineStr"/>
    </row>
    <row r="10">
      <c r="A10" t="inlineStr">
        <is>
          <t>p26_matriarch_ma_drones</t>
        </is>
      </c>
      <c r="B10" t="inlineStr">
        <is>
          <t>dan_drone</t>
        </is>
      </c>
      <c r="C10" t="inlineStr">
        <is>
          <t>ZALA Lancet-3 swarm</t>
        </is>
      </c>
      <c r="D10" t="inlineStr">
        <is>
          <t>drone_mothership;theia</t>
        </is>
      </c>
      <c r="E10" t="n">
        <v>28</v>
      </c>
      <c r="G10" t="n">
        <v>3</v>
      </c>
      <c r="H10" t="n">
        <v>320</v>
      </c>
      <c r="I10" t="n">
        <v>3</v>
      </c>
      <c r="J10" t="n">
        <v>6</v>
      </c>
      <c r="K10" t="n">
        <v>70</v>
      </c>
      <c r="L10" t="n">
        <v>2.5</v>
      </c>
      <c r="O10" t="inlineStr">
        <is>
          <t>lancet</t>
        </is>
      </c>
      <c r="P10" t="n">
        <v>2.8</v>
      </c>
      <c r="Q10" t="n">
        <v>1.44</v>
      </c>
      <c r="R10" t="inlineStr">
        <is>
          <t>Assets/MachineBrigade/Resources/Data/balance.json: weapons[p26_matriarch_ma_drones] (giá trị game từ game.json balancePack.drones)</t>
        </is>
      </c>
      <c r="S10" t="inlineStr"/>
    </row>
    <row r="11">
      <c r="A11" t="inlineStr">
        <is>
          <t>recon_drone</t>
        </is>
      </c>
      <c r="B11" t="inlineStr">
        <is>
          <t>may_bay_drone</t>
        </is>
      </c>
      <c r="C11" t="inlineStr"/>
      <c r="E11" t="n">
        <v>13</v>
      </c>
      <c r="F11" t="n">
        <v>34</v>
      </c>
      <c r="G11" t="inlineStr">
        <is>
          <t>recon_missile:22</t>
        </is>
      </c>
      <c r="M11" t="n">
        <v>382</v>
      </c>
      <c r="N11" t="inlineStr">
        <is>
          <t>recon_missile</t>
        </is>
      </c>
      <c r="P11" t="inlineStr">
        <is>
          <t>2.67 x 4.83 x 0.48</t>
        </is>
      </c>
      <c r="R11" t="inlineStr">
        <is>
          <t>Assets/MachineBrigade/Resources/Data/balance.json: vehicles[recon_drone]</t>
        </is>
      </c>
      <c r="S11" t="inlineStr"/>
    </row>
    <row r="12">
      <c r="A12" t="inlineStr">
        <is>
          <t>shahed</t>
        </is>
      </c>
      <c r="B12" t="inlineStr">
        <is>
          <t>dan_drone</t>
        </is>
      </c>
      <c r="C12" t="inlineStr">
        <is>
          <t>Shahed-136 (50 kg)</t>
        </is>
      </c>
      <c r="D12" t="inlineStr">
        <is>
          <t>shahed_truck</t>
        </is>
      </c>
      <c r="E12" t="n">
        <v>20</v>
      </c>
      <c r="G12" t="n">
        <v>50</v>
      </c>
      <c r="H12" t="n">
        <v>344</v>
      </c>
      <c r="I12" t="n">
        <v>4.5</v>
      </c>
      <c r="J12" t="n">
        <v>0</v>
      </c>
      <c r="K12" t="n">
        <v>150</v>
      </c>
      <c r="L12" t="n">
        <v>7.5</v>
      </c>
      <c r="O12" t="inlineStr">
        <is>
          <t>shahed</t>
        </is>
      </c>
      <c r="P12" t="n">
        <v>5.2</v>
      </c>
      <c r="Q12" t="n">
        <v>1.56</v>
      </c>
      <c r="R12" t="inlineStr">
        <is>
          <t>Assets/MachineBrigade/Resources/Data/balance.json: weapons[shahed] (giá trị game từ game.json balancePack.drones)</t>
        </is>
      </c>
      <c r="S12" t="inlineStr"/>
    </row>
    <row r="13">
      <c r="A13" t="inlineStr">
        <is>
          <t>strike_drone</t>
        </is>
      </c>
      <c r="B13" t="inlineStr">
        <is>
          <t>may_bay_drone</t>
        </is>
      </c>
      <c r="C13" t="inlineStr"/>
      <c r="E13" t="n">
        <v>13.9</v>
      </c>
      <c r="F13" t="n">
        <v>30</v>
      </c>
      <c r="G13" t="inlineStr">
        <is>
          <t>drone_missile:9;guided_bomb:110</t>
        </is>
      </c>
      <c r="M13" t="n">
        <v>400</v>
      </c>
      <c r="N13" t="inlineStr">
        <is>
          <t>drone_missile;guided_bomb</t>
        </is>
      </c>
      <c r="P13" t="inlineStr">
        <is>
          <t>4.25 x 8.04 x 1.24</t>
        </is>
      </c>
      <c r="R13" t="inlineStr">
        <is>
          <t>Assets/MachineBrigade/Resources/Data/balance.json: vehicles[strike_drone]</t>
        </is>
      </c>
      <c r="S13" t="inlineStr"/>
    </row>
    <row r="14">
      <c r="A14" t="inlineStr">
        <is>
          <t>swarm_drones</t>
        </is>
      </c>
      <c r="B14" t="inlineStr">
        <is>
          <t>dan_drone</t>
        </is>
      </c>
      <c r="C14" t="inlineStr">
        <is>
          <t>FPV drone (1.5 kg)</t>
        </is>
      </c>
      <c r="D14" t="inlineStr">
        <is>
          <t>swarm_carrier</t>
        </is>
      </c>
      <c r="E14" t="n">
        <v>26</v>
      </c>
      <c r="G14" t="n">
        <v>1.5</v>
      </c>
      <c r="H14" t="n">
        <v>140</v>
      </c>
      <c r="I14" t="n">
        <v>2.5</v>
      </c>
      <c r="J14" t="n">
        <v>0</v>
      </c>
      <c r="K14" t="n">
        <v>60</v>
      </c>
      <c r="L14" t="n">
        <v>2.308</v>
      </c>
      <c r="O14" t="inlineStr">
        <is>
          <t>fpv_drone</t>
        </is>
      </c>
      <c r="P14" t="n">
        <v>1.66</v>
      </c>
      <c r="Q14" t="n">
        <v>1.44</v>
      </c>
      <c r="R14" t="inlineStr">
        <is>
          <t>Assets/MachineBrigade/Resources/Data/balance.json: weapons[swarm_drones] (giá trị game từ game.json balancePack.drones)</t>
        </is>
      </c>
      <c r="S14" t="inlineStr"/>
    </row>
  </sheetData>
  <autoFilter ref="A1:S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50" customWidth="1" min="3" max="3"/>
    <col width="10" customWidth="1" min="4" max="4"/>
    <col width="17" customWidth="1" min="5" max="5"/>
    <col width="19" customWidth="1" min="6" max="6"/>
    <col width="20" customWidth="1" min="7" max="7"/>
    <col width="17" customWidth="1" min="8" max="8"/>
    <col width="14" customWidth="1" min="9" max="9"/>
    <col width="18" customWidth="1" min="10" max="10"/>
    <col width="9" customWidth="1" min="11" max="11"/>
    <col width="17" customWidth="1" min="12" max="12"/>
    <col width="60" customWidth="1" min="13" max="13"/>
    <col width="16" customWidth="1" min="14" max="14"/>
    <col width="19" customWidth="1" min="15" max="15"/>
    <col width="26" customWidth="1" min="16" max="16"/>
    <col width="17" customWidth="1" min="17" max="17"/>
    <col width="17" customWidth="1" min="18" max="18"/>
    <col width="60" customWidth="1" min="19" max="19"/>
    <col width="60" customWidth="1" min="20" max="20"/>
    <col width="10" customWidth="1" min="21" max="21"/>
  </cols>
  <sheetData>
    <row r="1">
      <c r="A1" s="1" t="inlineStr">
        <is>
          <t>id</t>
        </is>
      </c>
      <c r="B1" s="1" t="inlineStr">
        <is>
          <t>vu_khi_id</t>
        </is>
      </c>
      <c r="C1" s="1" t="inlineStr">
        <is>
          <t>ten_that</t>
        </is>
      </c>
      <c r="D1" s="1" t="inlineStr">
        <is>
          <t>kieu_dan</t>
        </is>
      </c>
      <c r="E1" s="1" t="inlineStr">
        <is>
          <t>co_can_tam_nhin</t>
        </is>
      </c>
      <c r="F1" s="1" t="inlineStr">
        <is>
          <t>toc_do_quay_deg_s</t>
        </is>
      </c>
      <c r="G1" s="1" t="inlineStr">
        <is>
          <t>gia_toc_ngang_m_s2</t>
        </is>
      </c>
      <c r="H1" s="1" t="inlineStr">
        <is>
          <t>ban_kinh_quay_m</t>
        </is>
      </c>
      <c r="I1" s="1" t="inlineStr">
        <is>
          <t>he_so_bam</t>
        </is>
      </c>
      <c r="J1" s="1" t="inlineStr">
        <is>
          <t>thoi_gian_khoa_s</t>
        </is>
      </c>
      <c r="K1" s="1" t="inlineStr">
        <is>
          <t>quy_dao</t>
        </is>
      </c>
      <c r="L1" s="1" t="inlineStr">
        <is>
          <t>ngoi_can_dich_m</t>
        </is>
      </c>
      <c r="M1" s="1" t="inlineStr">
        <is>
          <t>ty_le_trung</t>
        </is>
      </c>
      <c r="N1" s="1" t="inlineStr">
        <is>
          <t>jam_miss_min_m</t>
        </is>
      </c>
      <c r="O1" s="1" t="inlineStr">
        <is>
          <t>jam_miss_spread_m</t>
        </is>
      </c>
      <c r="P1" s="1" t="inlineStr">
        <is>
          <t>thoi_gian_giua_hai_qua_s</t>
        </is>
      </c>
      <c r="Q1" s="1" t="inlineStr">
        <is>
          <t>so_qua_moi_bang</t>
        </is>
      </c>
      <c r="R1" s="1" t="inlineStr">
        <is>
          <t>vertical_launch</t>
        </is>
      </c>
      <c r="S1" s="1" t="inlineStr">
        <is>
          <t>mang_boi</t>
        </is>
      </c>
      <c r="T1" s="1" t="inlineStr">
        <is>
          <t>nguon</t>
        </is>
      </c>
      <c r="U1" s="1" t="inlineStr">
        <is>
          <t>raw_json</t>
        </is>
      </c>
    </row>
    <row r="2">
      <c r="A2" t="inlineStr">
        <is>
          <t>air_cruise_missile</t>
        </is>
      </c>
      <c r="B2" t="inlineStr">
        <is>
          <t>air_cruise_missile</t>
        </is>
      </c>
      <c r="C2" t="inlineStr">
        <is>
          <t>Kh-101 (400 kg)</t>
        </is>
      </c>
      <c r="D2" t="inlineStr">
        <is>
          <t>khong_dan</t>
        </is>
      </c>
      <c r="E2" t="b">
        <v>0</v>
      </c>
      <c r="F2" t="inlineStr">
        <is>
          <t>KHONG_AP_DUNG</t>
        </is>
      </c>
      <c r="G2" t="inlineStr">
        <is>
          <t>KHONG_AP_DUNG</t>
        </is>
      </c>
      <c r="H2" t="inlineStr">
        <is>
          <t>KHONG_AP_DUNG</t>
        </is>
      </c>
      <c r="I2" t="inlineStr">
        <is>
          <t>KHONG_AP_DUNG</t>
        </is>
      </c>
      <c r="J2" t="inlineStr">
        <is>
          <t>KHONG_AP_DUNG</t>
        </is>
      </c>
      <c r="K2" t="inlineStr">
        <is>
          <t>Direct</t>
        </is>
      </c>
      <c r="L2" t="n">
        <v>7</v>
      </c>
      <c r="M2" t="inlineStr">
        <is>
          <t>xem mô tả cột (phụ thuộc tầm bắn, không phụ thuộc tốc độ mục tiêu)</t>
        </is>
      </c>
      <c r="N2" t="n">
        <v>5</v>
      </c>
      <c r="O2" t="n">
        <v>6</v>
      </c>
      <c r="P2" t="n">
        <v>0.1</v>
      </c>
      <c r="Q2" t="n">
        <v>0</v>
      </c>
      <c r="R2" t="inlineStr">
        <is>
          <t>KHONG_AP_DUNG</t>
        </is>
      </c>
      <c r="S2" t="inlineStr">
        <is>
          <t>heavy_bomber</t>
        </is>
      </c>
      <c r="T2" t="inlineStr">
        <is>
          <t>Assets/MachineBrigade/Resources/Data/balance.json: weapons[air_cruise_missile] (guided/weaponFamilyId) + munitionRules.radarGuided/sightGuided</t>
        </is>
      </c>
      <c r="U2" t="inlineStr"/>
    </row>
    <row r="3">
      <c r="A3" t="inlineStr">
        <is>
          <t>air_to_air</t>
        </is>
      </c>
      <c r="B3" t="inlineStr">
        <is>
          <t>air_to_air</t>
        </is>
      </c>
      <c r="C3" t="inlineStr">
        <is>
          <t>AIM-120 AMRAAM</t>
        </is>
      </c>
      <c r="D3" t="inlineStr">
        <is>
          <t>khong_dan</t>
        </is>
      </c>
      <c r="E3" t="b">
        <v>0</v>
      </c>
      <c r="F3" t="inlineStr">
        <is>
          <t>KHONG_AP_DUNG</t>
        </is>
      </c>
      <c r="G3" t="inlineStr">
        <is>
          <t>KHONG_AP_DUNG</t>
        </is>
      </c>
      <c r="H3" t="inlineStr">
        <is>
          <t>KHONG_AP_DUNG</t>
        </is>
      </c>
      <c r="I3" t="inlineStr">
        <is>
          <t>KHONG_AP_DUNG</t>
        </is>
      </c>
      <c r="J3" t="inlineStr">
        <is>
          <t>KHONG_AP_DUNG</t>
        </is>
      </c>
      <c r="K3" t="inlineStr">
        <is>
          <t>Direct</t>
        </is>
      </c>
      <c r="L3" t="n">
        <v>7</v>
      </c>
      <c r="M3" t="inlineStr">
        <is>
          <t>xem mô tả cột (phụ thuộc tầm bắn, không phụ thuộc tốc độ mục tiêu)</t>
        </is>
      </c>
      <c r="N3" t="n">
        <v>5</v>
      </c>
      <c r="O3" t="n">
        <v>6</v>
      </c>
      <c r="P3" t="n">
        <v>0.1</v>
      </c>
      <c r="Q3" t="n">
        <v>0</v>
      </c>
      <c r="R3" t="inlineStr">
        <is>
          <t>KHONG_AP_DUNG</t>
        </is>
      </c>
      <c r="S3" t="inlineStr">
        <is>
          <t>fighter_jet;stealth_fighter</t>
        </is>
      </c>
      <c r="T3" t="inlineStr">
        <is>
          <t>Assets/MachineBrigade/Resources/Data/balance.json: weapons[air_to_air] (guided/weaponFamilyId) + munitionRules.radarGuided/sightGuided</t>
        </is>
      </c>
      <c r="U3" t="inlineStr"/>
    </row>
    <row r="4">
      <c r="A4" t="inlineStr">
        <is>
          <t>anti_ship_missile</t>
        </is>
      </c>
      <c r="B4" t="inlineStr">
        <is>
          <t>anti_ship_missile</t>
        </is>
      </c>
      <c r="C4" t="inlineStr">
        <is>
          <t>NSM / P-800 Oniks</t>
        </is>
      </c>
      <c r="D4" t="inlineStr">
        <is>
          <t>khong_dan</t>
        </is>
      </c>
      <c r="E4" t="b">
        <v>0</v>
      </c>
      <c r="F4" t="inlineStr">
        <is>
          <t>KHONG_AP_DUNG</t>
        </is>
      </c>
      <c r="G4" t="inlineStr">
        <is>
          <t>KHONG_AP_DUNG</t>
        </is>
      </c>
      <c r="H4" t="inlineStr">
        <is>
          <t>KHONG_AP_DUNG</t>
        </is>
      </c>
      <c r="I4" t="inlineStr">
        <is>
          <t>KHONG_AP_DUNG</t>
        </is>
      </c>
      <c r="J4" t="inlineStr">
        <is>
          <t>KHONG_AP_DUNG</t>
        </is>
      </c>
      <c r="K4" t="inlineStr">
        <is>
          <t>Loft</t>
        </is>
      </c>
      <c r="L4" t="n">
        <v>7</v>
      </c>
      <c r="M4" t="inlineStr">
        <is>
          <t>xem mô tả cột (phụ thuộc tầm bắn, không phụ thuộc tốc độ mục tiêu)</t>
        </is>
      </c>
      <c r="N4" t="n">
        <v>5</v>
      </c>
      <c r="O4" t="n">
        <v>6</v>
      </c>
      <c r="P4" t="n">
        <v>0.1</v>
      </c>
      <c r="Q4" t="n">
        <v>0</v>
      </c>
      <c r="R4" t="inlineStr">
        <is>
          <t>KHONG_AP_DUNG</t>
        </is>
      </c>
      <c r="S4" t="inlineStr"/>
      <c r="T4" t="inlineStr">
        <is>
          <t>Assets/MachineBrigade/Resources/Data/balance.json: weapons[anti_ship_missile] (guided/weaponFamilyId) + munitionRules.radarGuided/sightGuided</t>
        </is>
      </c>
      <c r="U4" t="inlineStr"/>
    </row>
    <row r="5">
      <c r="A5" t="inlineStr">
        <is>
          <t>atgm</t>
        </is>
      </c>
      <c r="B5" t="inlineStr">
        <is>
          <t>atgm</t>
        </is>
      </c>
      <c r="C5" t="inlineStr">
        <is>
          <t>BGM-71 TOW-2</t>
        </is>
      </c>
      <c r="D5" t="inlineStr">
        <is>
          <t>khong_dan</t>
        </is>
      </c>
      <c r="E5" t="b">
        <v>0</v>
      </c>
      <c r="F5" t="inlineStr">
        <is>
          <t>KHONG_AP_DUNG</t>
        </is>
      </c>
      <c r="G5" t="inlineStr">
        <is>
          <t>KHONG_AP_DUNG</t>
        </is>
      </c>
      <c r="H5" t="inlineStr">
        <is>
          <t>KHONG_AP_DUNG</t>
        </is>
      </c>
      <c r="I5" t="inlineStr">
        <is>
          <t>KHONG_AP_DUNG</t>
        </is>
      </c>
      <c r="J5" t="inlineStr">
        <is>
          <t>KHONG_AP_DUNG</t>
        </is>
      </c>
      <c r="K5" t="inlineStr">
        <is>
          <t>Direct</t>
        </is>
      </c>
      <c r="L5" t="n">
        <v>7</v>
      </c>
      <c r="M5" t="inlineStr">
        <is>
          <t>xem mô tả cột (phụ thuộc tầm bắn, không phụ thuộc tốc độ mục tiêu)</t>
        </is>
      </c>
      <c r="N5" t="n">
        <v>5</v>
      </c>
      <c r="O5" t="n">
        <v>6</v>
      </c>
      <c r="P5" t="n">
        <v>0.1</v>
      </c>
      <c r="Q5" t="n">
        <v>0</v>
      </c>
      <c r="R5" t="inlineStr">
        <is>
          <t>KHONG_AP_DUNG</t>
        </is>
      </c>
      <c r="S5" t="inlineStr">
        <is>
          <t>elite_apc;ifv;titan_tank</t>
        </is>
      </c>
      <c r="T5" t="inlineStr">
        <is>
          <t>Assets/MachineBrigade/Resources/Data/balance.json: weapons[atgm] (guided/weaponFamilyId) + munitionRules.radarGuided/sightGuided</t>
        </is>
      </c>
      <c r="U5" t="inlineStr"/>
    </row>
    <row r="6">
      <c r="A6" t="inlineStr">
        <is>
          <t>atgm_heavy</t>
        </is>
      </c>
      <c r="B6" t="inlineStr">
        <is>
          <t>atgm_heavy</t>
        </is>
      </c>
      <c r="C6" t="inlineStr">
        <is>
          <t>9M133 Kornet</t>
        </is>
      </c>
      <c r="D6" t="inlineStr">
        <is>
          <t>khong_dan</t>
        </is>
      </c>
      <c r="E6" t="b">
        <v>0</v>
      </c>
      <c r="F6" t="inlineStr">
        <is>
          <t>KHONG_AP_DUNG</t>
        </is>
      </c>
      <c r="G6" t="inlineStr">
        <is>
          <t>KHONG_AP_DUNG</t>
        </is>
      </c>
      <c r="H6" t="inlineStr">
        <is>
          <t>KHONG_AP_DUNG</t>
        </is>
      </c>
      <c r="I6" t="inlineStr">
        <is>
          <t>KHONG_AP_DUNG</t>
        </is>
      </c>
      <c r="J6" t="inlineStr">
        <is>
          <t>KHONG_AP_DUNG</t>
        </is>
      </c>
      <c r="K6" t="inlineStr">
        <is>
          <t>Direct</t>
        </is>
      </c>
      <c r="L6" t="n">
        <v>7</v>
      </c>
      <c r="M6" t="inlineStr">
        <is>
          <t>xem mô tả cột (phụ thuộc tầm bắn, không phụ thuộc tốc độ mục tiêu)</t>
        </is>
      </c>
      <c r="N6" t="n">
        <v>5</v>
      </c>
      <c r="O6" t="n">
        <v>6</v>
      </c>
      <c r="P6" t="n">
        <v>0.7</v>
      </c>
      <c r="Q6" t="n">
        <v>0</v>
      </c>
      <c r="R6" t="inlineStr">
        <is>
          <t>KHONG_AP_DUNG</t>
        </is>
      </c>
      <c r="S6" t="inlineStr"/>
      <c r="T6" t="inlineStr">
        <is>
          <t>Assets/MachineBrigade/Resources/Data/balance.json: weapons[atgm_heavy] (guided/weaponFamilyId) + munitionRules.radarGuided/sightGuided</t>
        </is>
      </c>
      <c r="U6" t="inlineStr"/>
    </row>
    <row r="7">
      <c r="A7" t="inlineStr">
        <is>
          <t>atgm_post</t>
        </is>
      </c>
      <c r="B7" t="inlineStr">
        <is>
          <t>atgm_post</t>
        </is>
      </c>
      <c r="C7" t="inlineStr">
        <is>
          <t>9M113 Konkurs</t>
        </is>
      </c>
      <c r="D7" t="inlineStr">
        <is>
          <t>khong_dan</t>
        </is>
      </c>
      <c r="E7" t="b">
        <v>0</v>
      </c>
      <c r="F7" t="inlineStr">
        <is>
          <t>KHONG_AP_DUNG</t>
        </is>
      </c>
      <c r="G7" t="inlineStr">
        <is>
          <t>KHONG_AP_DUNG</t>
        </is>
      </c>
      <c r="H7" t="inlineStr">
        <is>
          <t>KHONG_AP_DUNG</t>
        </is>
      </c>
      <c r="I7" t="inlineStr">
        <is>
          <t>KHONG_AP_DUNG</t>
        </is>
      </c>
      <c r="J7" t="inlineStr">
        <is>
          <t>KHONG_AP_DUNG</t>
        </is>
      </c>
      <c r="K7" t="inlineStr">
        <is>
          <t>Direct</t>
        </is>
      </c>
      <c r="L7" t="n">
        <v>7</v>
      </c>
      <c r="M7" t="inlineStr">
        <is>
          <t>xem mô tả cột (phụ thuộc tầm bắn, không phụ thuộc tốc độ mục tiêu)</t>
        </is>
      </c>
      <c r="N7" t="n">
        <v>5</v>
      </c>
      <c r="O7" t="n">
        <v>6</v>
      </c>
      <c r="P7" t="n">
        <v>0.1</v>
      </c>
      <c r="Q7" t="n">
        <v>0</v>
      </c>
      <c r="R7" t="inlineStr">
        <is>
          <t>KHONG_AP_DUNG</t>
        </is>
      </c>
      <c r="S7" t="inlineStr"/>
      <c r="T7" t="inlineStr">
        <is>
          <t>Assets/MachineBrigade/Resources/Data/balance.json: weapons[atgm_post] (guided/weaponFamilyId) + munitionRules.radarGuided/sightGuided</t>
        </is>
      </c>
      <c r="U7" t="inlineStr"/>
    </row>
    <row r="8">
      <c r="A8" t="inlineStr">
        <is>
          <t>boss_missiles</t>
        </is>
      </c>
      <c r="B8" t="inlineStr">
        <is>
          <t>boss_missiles</t>
        </is>
      </c>
      <c r="C8" t="inlineStr">
        <is>
          <t>9M133 Kornet</t>
        </is>
      </c>
      <c r="D8" t="inlineStr">
        <is>
          <t>khong_dan</t>
        </is>
      </c>
      <c r="E8" t="b">
        <v>0</v>
      </c>
      <c r="F8" t="inlineStr">
        <is>
          <t>KHONG_AP_DUNG</t>
        </is>
      </c>
      <c r="G8" t="inlineStr">
        <is>
          <t>KHONG_AP_DUNG</t>
        </is>
      </c>
      <c r="H8" t="inlineStr">
        <is>
          <t>KHONG_AP_DUNG</t>
        </is>
      </c>
      <c r="I8" t="inlineStr">
        <is>
          <t>KHONG_AP_DUNG</t>
        </is>
      </c>
      <c r="J8" t="inlineStr">
        <is>
          <t>KHONG_AP_DUNG</t>
        </is>
      </c>
      <c r="K8" t="inlineStr">
        <is>
          <t>Direct</t>
        </is>
      </c>
      <c r="L8" t="n">
        <v>7</v>
      </c>
      <c r="M8" t="inlineStr">
        <is>
          <t>xem mô tả cột (phụ thuộc tầm bắn, không phụ thuộc tốc độ mục tiêu)</t>
        </is>
      </c>
      <c r="N8" t="n">
        <v>5</v>
      </c>
      <c r="O8" t="n">
        <v>6</v>
      </c>
      <c r="P8" t="n">
        <v>0.1</v>
      </c>
      <c r="Q8" t="n">
        <v>0</v>
      </c>
      <c r="R8" t="inlineStr">
        <is>
          <t>KHONG_AP_DUNG</t>
        </is>
      </c>
      <c r="S8" t="inlineStr">
        <is>
          <t>mara_behemoth</t>
        </is>
      </c>
      <c r="T8" t="inlineStr">
        <is>
          <t>Assets/MachineBrigade/Resources/Data/balance.json: weapons[boss_missiles] (guided/weaponFamilyId) + munitionRules.radarGuided/sightGuided</t>
        </is>
      </c>
      <c r="U8" t="inlineStr"/>
    </row>
    <row r="9">
      <c r="A9" t="inlineStr">
        <is>
          <t>buk_launcher</t>
        </is>
      </c>
      <c r="B9" t="inlineStr">
        <is>
          <t>buk_launcher</t>
        </is>
      </c>
      <c r="C9" t="inlineStr">
        <is>
          <t>9M317 Buk</t>
        </is>
      </c>
      <c r="D9" t="inlineStr">
        <is>
          <t>khong_dan</t>
        </is>
      </c>
      <c r="E9" t="b">
        <v>0</v>
      </c>
      <c r="F9" t="inlineStr">
        <is>
          <t>KHONG_AP_DUNG</t>
        </is>
      </c>
      <c r="G9" t="inlineStr">
        <is>
          <t>KHONG_AP_DUNG</t>
        </is>
      </c>
      <c r="H9" t="inlineStr">
        <is>
          <t>KHONG_AP_DUNG</t>
        </is>
      </c>
      <c r="I9" t="inlineStr">
        <is>
          <t>KHONG_AP_DUNG</t>
        </is>
      </c>
      <c r="J9" t="inlineStr">
        <is>
          <t>KHONG_AP_DUNG</t>
        </is>
      </c>
      <c r="K9" t="inlineStr">
        <is>
          <t>Direct</t>
        </is>
      </c>
      <c r="L9" t="n">
        <v>7</v>
      </c>
      <c r="M9" t="inlineStr">
        <is>
          <t>xem mô tả cột (phụ thuộc tầm bắn, không phụ thuộc tốc độ mục tiêu)</t>
        </is>
      </c>
      <c r="N9" t="n">
        <v>5</v>
      </c>
      <c r="O9" t="n">
        <v>6</v>
      </c>
      <c r="P9" t="n">
        <v>0.5</v>
      </c>
      <c r="Q9" t="n">
        <v>0</v>
      </c>
      <c r="R9" t="inlineStr">
        <is>
          <t>KHONG_AP_DUNG</t>
        </is>
      </c>
      <c r="S9" t="inlineStr">
        <is>
          <t>sam_launcher</t>
        </is>
      </c>
      <c r="T9" t="inlineStr">
        <is>
          <t>Assets/MachineBrigade/Resources/Data/balance.json: weapons[buk_launcher] (guided/weaponFamilyId) + munitionRules.radarGuided/sightGuided</t>
        </is>
      </c>
      <c r="U9" t="inlineStr"/>
    </row>
    <row r="10">
      <c r="A10" t="inlineStr">
        <is>
          <t>cruise_missile_ground</t>
        </is>
      </c>
      <c r="B10" t="inlineStr">
        <is>
          <t>cruise_missile_ground</t>
        </is>
      </c>
      <c r="C10" t="inlineStr">
        <is>
          <t>Typhon MRC (ground-launched Tomahawk)</t>
        </is>
      </c>
      <c r="D10" t="inlineStr">
        <is>
          <t>khong_dan</t>
        </is>
      </c>
      <c r="E10" t="b">
        <v>0</v>
      </c>
      <c r="F10" t="inlineStr">
        <is>
          <t>KHONG_AP_DUNG</t>
        </is>
      </c>
      <c r="G10" t="inlineStr">
        <is>
          <t>KHONG_AP_DUNG</t>
        </is>
      </c>
      <c r="H10" t="inlineStr">
        <is>
          <t>KHONG_AP_DUNG</t>
        </is>
      </c>
      <c r="I10" t="inlineStr">
        <is>
          <t>KHONG_AP_DUNG</t>
        </is>
      </c>
      <c r="J10" t="inlineStr">
        <is>
          <t>KHONG_AP_DUNG</t>
        </is>
      </c>
      <c r="K10" t="inlineStr">
        <is>
          <t>Loft</t>
        </is>
      </c>
      <c r="L10" t="n">
        <v>7</v>
      </c>
      <c r="M10" t="inlineStr">
        <is>
          <t>xem mô tả cột (phụ thuộc tầm bắn, không phụ thuộc tốc độ mục tiêu)</t>
        </is>
      </c>
      <c r="N10" t="n">
        <v>5</v>
      </c>
      <c r="O10" t="n">
        <v>6</v>
      </c>
      <c r="P10" t="n">
        <v>0.1</v>
      </c>
      <c r="Q10" t="n">
        <v>2</v>
      </c>
      <c r="R10" t="inlineStr">
        <is>
          <t>KHONG_AP_DUNG</t>
        </is>
      </c>
      <c r="S10" t="inlineStr">
        <is>
          <t>ground_cruise_missile_vehicle</t>
        </is>
      </c>
      <c r="T10" t="inlineStr">
        <is>
          <t>Assets/MachineBrigade/Resources/Data/balance.json: weapons[cruise_missile_ground] (guided/weaponFamilyId) + munitionRules.radarGuided/sightGuided</t>
        </is>
      </c>
      <c r="U10" t="inlineStr"/>
    </row>
    <row r="11">
      <c r="A11" t="inlineStr">
        <is>
          <t>drone_missile</t>
        </is>
      </c>
      <c r="B11" t="inlineStr">
        <is>
          <t>drone_missile</t>
        </is>
      </c>
      <c r="C11" t="inlineStr">
        <is>
          <t>AGM-114 Hellfire</t>
        </is>
      </c>
      <c r="D11" t="inlineStr">
        <is>
          <t>khong_dan</t>
        </is>
      </c>
      <c r="E11" t="b">
        <v>0</v>
      </c>
      <c r="F11" t="inlineStr">
        <is>
          <t>KHONG_AP_DUNG</t>
        </is>
      </c>
      <c r="G11" t="inlineStr">
        <is>
          <t>KHONG_AP_DUNG</t>
        </is>
      </c>
      <c r="H11" t="inlineStr">
        <is>
          <t>KHONG_AP_DUNG</t>
        </is>
      </c>
      <c r="I11" t="inlineStr">
        <is>
          <t>KHONG_AP_DUNG</t>
        </is>
      </c>
      <c r="J11" t="inlineStr">
        <is>
          <t>KHONG_AP_DUNG</t>
        </is>
      </c>
      <c r="K11" t="inlineStr">
        <is>
          <t>Direct</t>
        </is>
      </c>
      <c r="L11" t="n">
        <v>7</v>
      </c>
      <c r="M11" t="inlineStr">
        <is>
          <t>xem mô tả cột (phụ thuộc tầm bắn, không phụ thuộc tốc độ mục tiêu)</t>
        </is>
      </c>
      <c r="N11" t="n">
        <v>5</v>
      </c>
      <c r="O11" t="n">
        <v>6</v>
      </c>
      <c r="P11" t="n">
        <v>0.1</v>
      </c>
      <c r="Q11" t="n">
        <v>0</v>
      </c>
      <c r="R11" t="inlineStr">
        <is>
          <t>KHONG_AP_DUNG</t>
        </is>
      </c>
      <c r="S11" t="inlineStr">
        <is>
          <t>strike_drone</t>
        </is>
      </c>
      <c r="T11" t="inlineStr">
        <is>
          <t>Assets/MachineBrigade/Resources/Data/balance.json: weapons[drone_missile] (guided/weaponFamilyId) + munitionRules.radarGuided/sightGuided</t>
        </is>
      </c>
      <c r="U11" t="inlineStr"/>
    </row>
    <row r="12">
      <c r="A12" t="inlineStr">
        <is>
          <t>gun_launched_atgm</t>
        </is>
      </c>
      <c r="B12" t="inlineStr">
        <is>
          <t>gun_launched_atgm</t>
        </is>
      </c>
      <c r="C12" t="inlineStr">
        <is>
          <t>gun-launched ATGM (9M117 class)</t>
        </is>
      </c>
      <c r="D12" t="inlineStr">
        <is>
          <t>khong_dan</t>
        </is>
      </c>
      <c r="E12" t="b">
        <v>0</v>
      </c>
      <c r="F12" t="inlineStr">
        <is>
          <t>KHONG_AP_DUNG</t>
        </is>
      </c>
      <c r="G12" t="inlineStr">
        <is>
          <t>KHONG_AP_DUNG</t>
        </is>
      </c>
      <c r="H12" t="inlineStr">
        <is>
          <t>KHONG_AP_DUNG</t>
        </is>
      </c>
      <c r="I12" t="inlineStr">
        <is>
          <t>KHONG_AP_DUNG</t>
        </is>
      </c>
      <c r="J12" t="inlineStr">
        <is>
          <t>KHONG_AP_DUNG</t>
        </is>
      </c>
      <c r="K12" t="inlineStr">
        <is>
          <t>Direct</t>
        </is>
      </c>
      <c r="L12" t="n">
        <v>7</v>
      </c>
      <c r="M12" t="inlineStr">
        <is>
          <t>xem mô tả cột (phụ thuộc tầm bắn, không phụ thuộc tốc độ mục tiêu)</t>
        </is>
      </c>
      <c r="N12" t="n">
        <v>5</v>
      </c>
      <c r="O12" t="n">
        <v>6</v>
      </c>
      <c r="P12" t="n">
        <v>0.1</v>
      </c>
      <c r="Q12" t="n">
        <v>0</v>
      </c>
      <c r="R12" t="inlineStr">
        <is>
          <t>KHONG_AP_DUNG</t>
        </is>
      </c>
      <c r="S12" t="inlineStr">
        <is>
          <t>light_tank</t>
        </is>
      </c>
      <c r="T12" t="inlineStr">
        <is>
          <t>Assets/MachineBrigade/Resources/Data/balance.json: weapons[gun_launched_atgm] (guided/weaponFamilyId) + munitionRules.radarGuided/sightGuided</t>
        </is>
      </c>
      <c r="U12" t="inlineStr"/>
    </row>
    <row r="13">
      <c r="A13" t="inlineStr">
        <is>
          <t>hellfire_standoff</t>
        </is>
      </c>
      <c r="B13" t="inlineStr">
        <is>
          <t>hellfire_standoff</t>
        </is>
      </c>
      <c r="C13" t="inlineStr">
        <is>
          <t>AGM-114L Hellfire Longbow</t>
        </is>
      </c>
      <c r="D13" t="inlineStr">
        <is>
          <t>khong_dan</t>
        </is>
      </c>
      <c r="E13" t="b">
        <v>0</v>
      </c>
      <c r="F13" t="inlineStr">
        <is>
          <t>KHONG_AP_DUNG</t>
        </is>
      </c>
      <c r="G13" t="inlineStr">
        <is>
          <t>KHONG_AP_DUNG</t>
        </is>
      </c>
      <c r="H13" t="inlineStr">
        <is>
          <t>KHONG_AP_DUNG</t>
        </is>
      </c>
      <c r="I13" t="inlineStr">
        <is>
          <t>KHONG_AP_DUNG</t>
        </is>
      </c>
      <c r="J13" t="inlineStr">
        <is>
          <t>KHONG_AP_DUNG</t>
        </is>
      </c>
      <c r="K13" t="inlineStr">
        <is>
          <t>Direct</t>
        </is>
      </c>
      <c r="L13" t="n">
        <v>7</v>
      </c>
      <c r="M13" t="inlineStr">
        <is>
          <t>xem mô tả cột (phụ thuộc tầm bắn, không phụ thuộc tốc độ mục tiêu)</t>
        </is>
      </c>
      <c r="N13" t="n">
        <v>5</v>
      </c>
      <c r="O13" t="n">
        <v>6</v>
      </c>
      <c r="P13" t="n">
        <v>0.45</v>
      </c>
      <c r="Q13" t="n">
        <v>0</v>
      </c>
      <c r="R13" t="inlineStr">
        <is>
          <t>KHONG_AP_DUNG</t>
        </is>
      </c>
      <c r="S13" t="inlineStr">
        <is>
          <t>attack_helicopter</t>
        </is>
      </c>
      <c r="T13" t="inlineStr">
        <is>
          <t>Assets/MachineBrigade/Resources/Data/balance.json: weapons[hellfire_standoff] (guided/weaponFamilyId) + munitionRules.radarGuided/sightGuided</t>
        </is>
      </c>
      <c r="U13" t="inlineStr"/>
    </row>
    <row r="14">
      <c r="A14" t="inlineStr">
        <is>
          <t>hellfire_volley</t>
        </is>
      </c>
      <c r="B14" t="inlineStr">
        <is>
          <t>hellfire_volley</t>
        </is>
      </c>
      <c r="C14" t="inlineStr">
        <is>
          <t>AGM-114L Hellfire Longbow</t>
        </is>
      </c>
      <c r="D14" t="inlineStr">
        <is>
          <t>khong_dan</t>
        </is>
      </c>
      <c r="E14" t="b">
        <v>0</v>
      </c>
      <c r="F14" t="inlineStr">
        <is>
          <t>KHONG_AP_DUNG</t>
        </is>
      </c>
      <c r="G14" t="inlineStr">
        <is>
          <t>KHONG_AP_DUNG</t>
        </is>
      </c>
      <c r="H14" t="inlineStr">
        <is>
          <t>KHONG_AP_DUNG</t>
        </is>
      </c>
      <c r="I14" t="inlineStr">
        <is>
          <t>KHONG_AP_DUNG</t>
        </is>
      </c>
      <c r="J14" t="inlineStr">
        <is>
          <t>KHONG_AP_DUNG</t>
        </is>
      </c>
      <c r="K14" t="inlineStr">
        <is>
          <t>Direct</t>
        </is>
      </c>
      <c r="L14" t="n">
        <v>7</v>
      </c>
      <c r="M14" t="inlineStr">
        <is>
          <t>xem mô tả cột (phụ thuộc tầm bắn, không phụ thuộc tốc độ mục tiêu)</t>
        </is>
      </c>
      <c r="N14" t="n">
        <v>5</v>
      </c>
      <c r="O14" t="n">
        <v>6</v>
      </c>
      <c r="P14" t="n">
        <v>0.45</v>
      </c>
      <c r="Q14" t="n">
        <v>0</v>
      </c>
      <c r="R14" t="inlineStr">
        <is>
          <t>KHONG_AP_DUNG</t>
        </is>
      </c>
      <c r="S14" t="inlineStr">
        <is>
          <t>elite_attack_helicopter</t>
        </is>
      </c>
      <c r="T14" t="inlineStr">
        <is>
          <t>Assets/MachineBrigade/Resources/Data/balance.json: weapons[hellfire_volley] (guided/weaponFamilyId) + munitionRules.radarGuided/sightGuided</t>
        </is>
      </c>
      <c r="U14" t="inlineStr"/>
    </row>
    <row r="15">
      <c r="A15" t="inlineStr">
        <is>
          <t>hydra_club_s</t>
        </is>
      </c>
      <c r="B15" t="inlineStr">
        <is>
          <t>hydra_club_s</t>
        </is>
      </c>
      <c r="C15" t="inlineStr">
        <is>
          <t>3M-54 Club-S (submarine-launched, vertical tubes)</t>
        </is>
      </c>
      <c r="D15" t="inlineStr">
        <is>
          <t>khong_dan</t>
        </is>
      </c>
      <c r="E15" t="b">
        <v>0</v>
      </c>
      <c r="F15" t="inlineStr">
        <is>
          <t>KHONG_AP_DUNG</t>
        </is>
      </c>
      <c r="G15" t="inlineStr">
        <is>
          <t>KHONG_AP_DUNG</t>
        </is>
      </c>
      <c r="H15" t="inlineStr">
        <is>
          <t>KHONG_AP_DUNG</t>
        </is>
      </c>
      <c r="I15" t="inlineStr">
        <is>
          <t>KHONG_AP_DUNG</t>
        </is>
      </c>
      <c r="J15" t="inlineStr">
        <is>
          <t>KHONG_AP_DUNG</t>
        </is>
      </c>
      <c r="K15" t="inlineStr">
        <is>
          <t>Loft</t>
        </is>
      </c>
      <c r="L15" t="n">
        <v>7</v>
      </c>
      <c r="M15" t="inlineStr">
        <is>
          <t>xem mô tả cột (phụ thuộc tầm bắn, không phụ thuộc tốc độ mục tiêu)</t>
        </is>
      </c>
      <c r="N15" t="n">
        <v>5</v>
      </c>
      <c r="O15" t="n">
        <v>6</v>
      </c>
      <c r="P15" t="n">
        <v>0.1</v>
      </c>
      <c r="Q15" t="n">
        <v>0</v>
      </c>
      <c r="R15" t="inlineStr">
        <is>
          <t>KHONG_AP_DUNG</t>
        </is>
      </c>
      <c r="S15" t="inlineStr">
        <is>
          <t>hydra</t>
        </is>
      </c>
      <c r="T15" t="inlineStr">
        <is>
          <t>Assets/MachineBrigade/Resources/Data/balance.json: weapons[hydra_club_s] (guided/weaponFamilyId) + munitionRules.radarGuided/sightGuided</t>
        </is>
      </c>
      <c r="U15" t="inlineStr"/>
    </row>
    <row r="16">
      <c r="A16" t="inlineStr">
        <is>
          <t>igla_v</t>
        </is>
      </c>
      <c r="B16" t="inlineStr">
        <is>
          <t>igla_v</t>
        </is>
      </c>
      <c r="C16" t="inlineStr">
        <is>
          <t>9K38 Igla-V</t>
        </is>
      </c>
      <c r="D16" t="inlineStr">
        <is>
          <t>khong_dan</t>
        </is>
      </c>
      <c r="E16" t="b">
        <v>0</v>
      </c>
      <c r="F16" t="inlineStr">
        <is>
          <t>KHONG_AP_DUNG</t>
        </is>
      </c>
      <c r="G16" t="inlineStr">
        <is>
          <t>KHONG_AP_DUNG</t>
        </is>
      </c>
      <c r="H16" t="inlineStr">
        <is>
          <t>KHONG_AP_DUNG</t>
        </is>
      </c>
      <c r="I16" t="inlineStr">
        <is>
          <t>KHONG_AP_DUNG</t>
        </is>
      </c>
      <c r="J16" t="inlineStr">
        <is>
          <t>KHONG_AP_DUNG</t>
        </is>
      </c>
      <c r="K16" t="inlineStr">
        <is>
          <t>Direct</t>
        </is>
      </c>
      <c r="L16" t="n">
        <v>7</v>
      </c>
      <c r="M16" t="inlineStr">
        <is>
          <t>xem mô tả cột (phụ thuộc tầm bắn, không phụ thuộc tốc độ mục tiêu)</t>
        </is>
      </c>
      <c r="N16" t="n">
        <v>5</v>
      </c>
      <c r="O16" t="n">
        <v>6</v>
      </c>
      <c r="P16" t="n">
        <v>0.1</v>
      </c>
      <c r="Q16" t="n">
        <v>0</v>
      </c>
      <c r="R16" t="inlineStr">
        <is>
          <t>KHONG_AP_DUNG</t>
        </is>
      </c>
      <c r="S16" t="inlineStr"/>
      <c r="T16" t="inlineStr">
        <is>
          <t>Assets/MachineBrigade/Resources/Data/balance.json: weapons[igla_v] (guided/weaponFamilyId) + munitionRules.radarGuided/sightGuided</t>
        </is>
      </c>
      <c r="U16" t="inlineStr"/>
    </row>
    <row r="17">
      <c r="A17" t="inlineStr">
        <is>
          <t>jassm</t>
        </is>
      </c>
      <c r="B17" t="inlineStr">
        <is>
          <t>jassm</t>
        </is>
      </c>
      <c r="C17" t="inlineStr">
        <is>
          <t>AGM-158 JASSM (450 kg)</t>
        </is>
      </c>
      <c r="D17" t="inlineStr">
        <is>
          <t>khong_dan</t>
        </is>
      </c>
      <c r="E17" t="b">
        <v>0</v>
      </c>
      <c r="F17" t="inlineStr">
        <is>
          <t>KHONG_AP_DUNG</t>
        </is>
      </c>
      <c r="G17" t="inlineStr">
        <is>
          <t>KHONG_AP_DUNG</t>
        </is>
      </c>
      <c r="H17" t="inlineStr">
        <is>
          <t>KHONG_AP_DUNG</t>
        </is>
      </c>
      <c r="I17" t="inlineStr">
        <is>
          <t>KHONG_AP_DUNG</t>
        </is>
      </c>
      <c r="J17" t="inlineStr">
        <is>
          <t>KHONG_AP_DUNG</t>
        </is>
      </c>
      <c r="K17" t="inlineStr">
        <is>
          <t>Direct</t>
        </is>
      </c>
      <c r="L17" t="n">
        <v>7</v>
      </c>
      <c r="M17" t="inlineStr">
        <is>
          <t>xem mô tả cột (phụ thuộc tầm bắn, không phụ thuộc tốc độ mục tiêu)</t>
        </is>
      </c>
      <c r="N17" t="n">
        <v>5</v>
      </c>
      <c r="O17" t="n">
        <v>6</v>
      </c>
      <c r="P17" t="n">
        <v>0.6</v>
      </c>
      <c r="Q17" t="n">
        <v>0</v>
      </c>
      <c r="R17" t="inlineStr">
        <is>
          <t>KHONG_AP_DUNG</t>
        </is>
      </c>
      <c r="S17" t="inlineStr">
        <is>
          <t>stealth_bomber;swarm_carrier</t>
        </is>
      </c>
      <c r="T17" t="inlineStr">
        <is>
          <t>Assets/MachineBrigade/Resources/Data/balance.json: weapons[jassm] (guided/weaponFamilyId) + munitionRules.radarGuided/sightGuided</t>
        </is>
      </c>
      <c r="U17" t="inlineStr"/>
    </row>
    <row r="18">
      <c r="A18" t="inlineStr">
        <is>
          <t>kh29</t>
        </is>
      </c>
      <c r="B18" t="inlineStr">
        <is>
          <t>kh29</t>
        </is>
      </c>
      <c r="C18" t="inlineStr">
        <is>
          <t>Kh-29L</t>
        </is>
      </c>
      <c r="D18" t="inlineStr">
        <is>
          <t>khong_dan</t>
        </is>
      </c>
      <c r="E18" t="b">
        <v>0</v>
      </c>
      <c r="F18" t="inlineStr">
        <is>
          <t>KHONG_AP_DUNG</t>
        </is>
      </c>
      <c r="G18" t="inlineStr">
        <is>
          <t>KHONG_AP_DUNG</t>
        </is>
      </c>
      <c r="H18" t="inlineStr">
        <is>
          <t>KHONG_AP_DUNG</t>
        </is>
      </c>
      <c r="I18" t="inlineStr">
        <is>
          <t>KHONG_AP_DUNG</t>
        </is>
      </c>
      <c r="J18" t="inlineStr">
        <is>
          <t>KHONG_AP_DUNG</t>
        </is>
      </c>
      <c r="K18" t="inlineStr">
        <is>
          <t>Direct</t>
        </is>
      </c>
      <c r="L18" t="n">
        <v>7</v>
      </c>
      <c r="M18" t="inlineStr">
        <is>
          <t>xem mô tả cột (phụ thuộc tầm bắn, không phụ thuộc tốc độ mục tiêu)</t>
        </is>
      </c>
      <c r="N18" t="n">
        <v>5</v>
      </c>
      <c r="O18" t="n">
        <v>6</v>
      </c>
      <c r="P18" t="n">
        <v>0.1</v>
      </c>
      <c r="Q18" t="n">
        <v>0</v>
      </c>
      <c r="R18" t="inlineStr">
        <is>
          <t>KHONG_AP_DUNG</t>
        </is>
      </c>
      <c r="S18" t="inlineStr">
        <is>
          <t>attack_jet;elite_attack_jet</t>
        </is>
      </c>
      <c r="T18" t="inlineStr">
        <is>
          <t>Assets/MachineBrigade/Resources/Data/balance.json: weapons[kh29] (guided/weaponFamilyId) + munitionRules.radarGuided/sightGuided</t>
        </is>
      </c>
      <c r="U18" t="inlineStr"/>
    </row>
    <row r="19">
      <c r="A19" t="inlineStr">
        <is>
          <t>kornet_multi</t>
        </is>
      </c>
      <c r="B19" t="inlineStr">
        <is>
          <t>kornet_multi</t>
        </is>
      </c>
      <c r="C19" t="inlineStr">
        <is>
          <t>9M133 Kornet</t>
        </is>
      </c>
      <c r="D19" t="inlineStr">
        <is>
          <t>khong_dan</t>
        </is>
      </c>
      <c r="E19" t="b">
        <v>0</v>
      </c>
      <c r="F19" t="inlineStr">
        <is>
          <t>KHONG_AP_DUNG</t>
        </is>
      </c>
      <c r="G19" t="inlineStr">
        <is>
          <t>KHONG_AP_DUNG</t>
        </is>
      </c>
      <c r="H19" t="inlineStr">
        <is>
          <t>KHONG_AP_DUNG</t>
        </is>
      </c>
      <c r="I19" t="inlineStr">
        <is>
          <t>KHONG_AP_DUNG</t>
        </is>
      </c>
      <c r="J19" t="inlineStr">
        <is>
          <t>KHONG_AP_DUNG</t>
        </is>
      </c>
      <c r="K19" t="inlineStr">
        <is>
          <t>Direct</t>
        </is>
      </c>
      <c r="L19" t="n">
        <v>7</v>
      </c>
      <c r="M19" t="inlineStr">
        <is>
          <t>xem mô tả cột (phụ thuộc tầm bắn, không phụ thuộc tốc độ mục tiêu)</t>
        </is>
      </c>
      <c r="N19" t="n">
        <v>5</v>
      </c>
      <c r="O19" t="n">
        <v>6</v>
      </c>
      <c r="P19" t="n">
        <v>0.6</v>
      </c>
      <c r="Q19" t="n">
        <v>0</v>
      </c>
      <c r="R19" t="inlineStr">
        <is>
          <t>KHONG_AP_DUNG</t>
        </is>
      </c>
      <c r="S19" t="inlineStr">
        <is>
          <t>atgm_tower.multi</t>
        </is>
      </c>
      <c r="T19" t="inlineStr">
        <is>
          <t>Assets/MachineBrigade/Resources/Data/balance.json: weapons[kornet_multi] (guided/weaponFamilyId) + munitionRules.radarGuided/sightGuided</t>
        </is>
      </c>
      <c r="U19" t="inlineStr"/>
    </row>
    <row r="20">
      <c r="A20" t="inlineStr">
        <is>
          <t>kornet_top</t>
        </is>
      </c>
      <c r="B20" t="inlineStr">
        <is>
          <t>kornet_top</t>
        </is>
      </c>
      <c r="C20" t="inlineStr">
        <is>
          <t>9M133 Kornet</t>
        </is>
      </c>
      <c r="D20" t="inlineStr">
        <is>
          <t>khong_dan</t>
        </is>
      </c>
      <c r="E20" t="b">
        <v>0</v>
      </c>
      <c r="F20" t="inlineStr">
        <is>
          <t>KHONG_AP_DUNG</t>
        </is>
      </c>
      <c r="G20" t="inlineStr">
        <is>
          <t>KHONG_AP_DUNG</t>
        </is>
      </c>
      <c r="H20" t="inlineStr">
        <is>
          <t>KHONG_AP_DUNG</t>
        </is>
      </c>
      <c r="I20" t="inlineStr">
        <is>
          <t>KHONG_AP_DUNG</t>
        </is>
      </c>
      <c r="J20" t="inlineStr">
        <is>
          <t>KHONG_AP_DUNG</t>
        </is>
      </c>
      <c r="K20" t="inlineStr">
        <is>
          <t>Loft</t>
        </is>
      </c>
      <c r="L20" t="n">
        <v>7</v>
      </c>
      <c r="M20" t="inlineStr">
        <is>
          <t>xem mô tả cột (phụ thuộc tầm bắn, không phụ thuộc tốc độ mục tiêu)</t>
        </is>
      </c>
      <c r="N20" t="n">
        <v>5</v>
      </c>
      <c r="O20" t="n">
        <v>6</v>
      </c>
      <c r="P20" t="n">
        <v>0.6</v>
      </c>
      <c r="Q20" t="n">
        <v>0</v>
      </c>
      <c r="R20" t="inlineStr">
        <is>
          <t>KHONG_AP_DUNG</t>
        </is>
      </c>
      <c r="S20" t="inlineStr">
        <is>
          <t>atgm_tower.top</t>
        </is>
      </c>
      <c r="T20" t="inlineStr">
        <is>
          <t>Assets/MachineBrigade/Resources/Data/balance.json: weapons[kornet_top] (guided/weaponFamilyId) + munitionRules.radarGuided/sightGuided</t>
        </is>
      </c>
      <c r="U20" t="inlineStr"/>
    </row>
    <row r="21">
      <c r="A21" t="inlineStr">
        <is>
          <t>kornet_twin</t>
        </is>
      </c>
      <c r="B21" t="inlineStr">
        <is>
          <t>kornet_twin</t>
        </is>
      </c>
      <c r="C21" t="inlineStr">
        <is>
          <t>9M133 Kornet</t>
        </is>
      </c>
      <c r="D21" t="inlineStr">
        <is>
          <t>khong_dan</t>
        </is>
      </c>
      <c r="E21" t="b">
        <v>0</v>
      </c>
      <c r="F21" t="inlineStr">
        <is>
          <t>KHONG_AP_DUNG</t>
        </is>
      </c>
      <c r="G21" t="inlineStr">
        <is>
          <t>KHONG_AP_DUNG</t>
        </is>
      </c>
      <c r="H21" t="inlineStr">
        <is>
          <t>KHONG_AP_DUNG</t>
        </is>
      </c>
      <c r="I21" t="inlineStr">
        <is>
          <t>KHONG_AP_DUNG</t>
        </is>
      </c>
      <c r="J21" t="inlineStr">
        <is>
          <t>KHONG_AP_DUNG</t>
        </is>
      </c>
      <c r="K21" t="inlineStr">
        <is>
          <t>Direct</t>
        </is>
      </c>
      <c r="L21" t="n">
        <v>7</v>
      </c>
      <c r="M21" t="inlineStr">
        <is>
          <t>xem mô tả cột (phụ thuộc tầm bắn, không phụ thuộc tốc độ mục tiêu)</t>
        </is>
      </c>
      <c r="N21" t="n">
        <v>5</v>
      </c>
      <c r="O21" t="n">
        <v>6</v>
      </c>
      <c r="P21" t="n">
        <v>0.6</v>
      </c>
      <c r="Q21" t="n">
        <v>0</v>
      </c>
      <c r="R21" t="inlineStr">
        <is>
          <t>KHONG_AP_DUNG</t>
        </is>
      </c>
      <c r="S21" t="inlineStr"/>
      <c r="T21" t="inlineStr">
        <is>
          <t>Assets/MachineBrigade/Resources/Data/balance.json: weapons[kornet_twin] (guided/weaponFamilyId) + munitionRules.radarGuided/sightGuided</t>
        </is>
      </c>
      <c r="U21" t="inlineStr"/>
    </row>
    <row r="22">
      <c r="A22" t="inlineStr">
        <is>
          <t>leviathan_cruise</t>
        </is>
      </c>
      <c r="B22" t="inlineStr">
        <is>
          <t>leviathan_cruise</t>
        </is>
      </c>
      <c r="C22" t="inlineStr">
        <is>
          <t>3M-54 Kalibr</t>
        </is>
      </c>
      <c r="D22" t="inlineStr">
        <is>
          <t>khong_dan</t>
        </is>
      </c>
      <c r="E22" t="b">
        <v>0</v>
      </c>
      <c r="F22" t="inlineStr">
        <is>
          <t>KHONG_AP_DUNG</t>
        </is>
      </c>
      <c r="G22" t="inlineStr">
        <is>
          <t>KHONG_AP_DUNG</t>
        </is>
      </c>
      <c r="H22" t="inlineStr">
        <is>
          <t>KHONG_AP_DUNG</t>
        </is>
      </c>
      <c r="I22" t="inlineStr">
        <is>
          <t>KHONG_AP_DUNG</t>
        </is>
      </c>
      <c r="J22" t="inlineStr">
        <is>
          <t>KHONG_AP_DUNG</t>
        </is>
      </c>
      <c r="K22" t="inlineStr">
        <is>
          <t>Loft</t>
        </is>
      </c>
      <c r="L22" t="n">
        <v>7</v>
      </c>
      <c r="M22" t="inlineStr">
        <is>
          <t>xem mô tả cột (phụ thuộc tầm bắn, không phụ thuộc tốc độ mục tiêu)</t>
        </is>
      </c>
      <c r="N22" t="n">
        <v>5</v>
      </c>
      <c r="O22" t="n">
        <v>6</v>
      </c>
      <c r="P22" t="n">
        <v>0.1</v>
      </c>
      <c r="Q22" t="n">
        <v>0</v>
      </c>
      <c r="R22" t="inlineStr">
        <is>
          <t>KHONG_AP_DUNG</t>
        </is>
      </c>
      <c r="S22" t="inlineStr">
        <is>
          <t>kraken;leviathan;nyx;scylla;typhon</t>
        </is>
      </c>
      <c r="T22" t="inlineStr">
        <is>
          <t>Assets/MachineBrigade/Resources/Data/balance.json: weapons[leviathan_cruise] (guided/weaponFamilyId) + munitionRules.radarGuided/sightGuided</t>
        </is>
      </c>
      <c r="U22" t="inlineStr"/>
    </row>
    <row r="23">
      <c r="A23" t="inlineStr">
        <is>
          <t>maverick</t>
        </is>
      </c>
      <c r="B23" t="inlineStr">
        <is>
          <t>maverick</t>
        </is>
      </c>
      <c r="C23" t="inlineStr">
        <is>
          <t>AGM-65 Maverick</t>
        </is>
      </c>
      <c r="D23" t="inlineStr">
        <is>
          <t>khong_dan</t>
        </is>
      </c>
      <c r="E23" t="b">
        <v>0</v>
      </c>
      <c r="F23" t="inlineStr">
        <is>
          <t>KHONG_AP_DUNG</t>
        </is>
      </c>
      <c r="G23" t="inlineStr">
        <is>
          <t>KHONG_AP_DUNG</t>
        </is>
      </c>
      <c r="H23" t="inlineStr">
        <is>
          <t>KHONG_AP_DUNG</t>
        </is>
      </c>
      <c r="I23" t="inlineStr">
        <is>
          <t>KHONG_AP_DUNG</t>
        </is>
      </c>
      <c r="J23" t="inlineStr">
        <is>
          <t>KHONG_AP_DUNG</t>
        </is>
      </c>
      <c r="K23" t="inlineStr">
        <is>
          <t>Direct</t>
        </is>
      </c>
      <c r="L23" t="n">
        <v>7</v>
      </c>
      <c r="M23" t="inlineStr">
        <is>
          <t>xem mô tả cột (phụ thuộc tầm bắn, không phụ thuộc tốc độ mục tiêu)</t>
        </is>
      </c>
      <c r="N23" t="n">
        <v>5</v>
      </c>
      <c r="O23" t="n">
        <v>6</v>
      </c>
      <c r="P23" t="n">
        <v>0.1</v>
      </c>
      <c r="Q23" t="n">
        <v>0</v>
      </c>
      <c r="R23" t="inlineStr">
        <is>
          <t>KHONG_AP_DUNG</t>
        </is>
      </c>
      <c r="S23" t="inlineStr"/>
      <c r="T23" t="inlineStr">
        <is>
          <t>Assets/MachineBrigade/Resources/Data/balance.json: weapons[maverick] (guided/weaponFamilyId) + munitionRules.radarGuided/sightGuided</t>
        </is>
      </c>
      <c r="U23" t="inlineStr"/>
    </row>
    <row r="24">
      <c r="A24" t="inlineStr">
        <is>
          <t>missile_57e6</t>
        </is>
      </c>
      <c r="B24" t="inlineStr">
        <is>
          <t>missile_57e6</t>
        </is>
      </c>
      <c r="C24" t="inlineStr">
        <is>
          <t>57E6 (Pantsir)</t>
        </is>
      </c>
      <c r="D24" t="inlineStr">
        <is>
          <t>khong_dan</t>
        </is>
      </c>
      <c r="E24" t="b">
        <v>0</v>
      </c>
      <c r="F24" t="inlineStr">
        <is>
          <t>KHONG_AP_DUNG</t>
        </is>
      </c>
      <c r="G24" t="inlineStr">
        <is>
          <t>KHONG_AP_DUNG</t>
        </is>
      </c>
      <c r="H24" t="inlineStr">
        <is>
          <t>KHONG_AP_DUNG</t>
        </is>
      </c>
      <c r="I24" t="inlineStr">
        <is>
          <t>KHONG_AP_DUNG</t>
        </is>
      </c>
      <c r="J24" t="inlineStr">
        <is>
          <t>KHONG_AP_DUNG</t>
        </is>
      </c>
      <c r="K24" t="inlineStr">
        <is>
          <t>Direct</t>
        </is>
      </c>
      <c r="L24" t="n">
        <v>7</v>
      </c>
      <c r="M24" t="inlineStr">
        <is>
          <t>xem mô tả cột (phụ thuộc tầm bắn, không phụ thuộc tốc độ mục tiêu)</t>
        </is>
      </c>
      <c r="N24" t="n">
        <v>5</v>
      </c>
      <c r="O24" t="n">
        <v>6</v>
      </c>
      <c r="P24" t="n">
        <v>0.1</v>
      </c>
      <c r="Q24" t="n">
        <v>0</v>
      </c>
      <c r="R24" t="inlineStr">
        <is>
          <t>KHONG_AP_DUNG</t>
        </is>
      </c>
      <c r="S24" t="inlineStr">
        <is>
          <t>heavy_aa</t>
        </is>
      </c>
      <c r="T24" t="inlineStr">
        <is>
          <t>Assets/MachineBrigade/Resources/Data/balance.json: weapons[missile_57e6] (guided/weaponFamilyId) + munitionRules.radarGuided/sightGuided</t>
        </is>
      </c>
      <c r="U24" t="inlineStr"/>
    </row>
    <row r="25">
      <c r="A25" t="inlineStr">
        <is>
          <t>nyx_tomahawk</t>
        </is>
      </c>
      <c r="B25" t="inlineStr">
        <is>
          <t>nyx_tomahawk</t>
        </is>
      </c>
      <c r="C25" t="inlineStr">
        <is>
          <t>RGM-109E Tomahawk (Mk 41-type 8-cell VLS)</t>
        </is>
      </c>
      <c r="D25" t="inlineStr">
        <is>
          <t>khong_dan</t>
        </is>
      </c>
      <c r="E25" t="b">
        <v>0</v>
      </c>
      <c r="F25" t="inlineStr">
        <is>
          <t>KHONG_AP_DUNG</t>
        </is>
      </c>
      <c r="G25" t="inlineStr">
        <is>
          <t>KHONG_AP_DUNG</t>
        </is>
      </c>
      <c r="H25" t="inlineStr">
        <is>
          <t>KHONG_AP_DUNG</t>
        </is>
      </c>
      <c r="I25" t="inlineStr">
        <is>
          <t>KHONG_AP_DUNG</t>
        </is>
      </c>
      <c r="J25" t="inlineStr">
        <is>
          <t>KHONG_AP_DUNG</t>
        </is>
      </c>
      <c r="K25" t="inlineStr">
        <is>
          <t>Loft</t>
        </is>
      </c>
      <c r="L25" t="n">
        <v>7</v>
      </c>
      <c r="M25" t="inlineStr">
        <is>
          <t>xem mô tả cột (phụ thuộc tầm bắn, không phụ thuộc tốc độ mục tiêu)</t>
        </is>
      </c>
      <c r="N25" t="n">
        <v>5</v>
      </c>
      <c r="O25" t="n">
        <v>6</v>
      </c>
      <c r="P25" t="n">
        <v>0.1</v>
      </c>
      <c r="Q25" t="n">
        <v>2</v>
      </c>
      <c r="R25" t="inlineStr">
        <is>
          <t>KHONG_AP_DUNG</t>
        </is>
      </c>
      <c r="S25" t="inlineStr">
        <is>
          <t>nyx</t>
        </is>
      </c>
      <c r="T25" t="inlineStr">
        <is>
          <t>Assets/MachineBrigade/Resources/Data/balance.json: weapons[nyx_tomahawk] (guided/weaponFamilyId) + munitionRules.radarGuided/sightGuided</t>
        </is>
      </c>
      <c r="U25" t="inlineStr"/>
    </row>
    <row r="26">
      <c r="A26" t="inlineStr">
        <is>
          <t>one_shot_kornet</t>
        </is>
      </c>
      <c r="B26" t="inlineStr">
        <is>
          <t>one_shot_kornet</t>
        </is>
      </c>
      <c r="C26" t="inlineStr">
        <is>
          <t>9M133 Kornet</t>
        </is>
      </c>
      <c r="D26" t="inlineStr">
        <is>
          <t>khong_dan</t>
        </is>
      </c>
      <c r="E26" t="b">
        <v>0</v>
      </c>
      <c r="F26" t="inlineStr">
        <is>
          <t>KHONG_AP_DUNG</t>
        </is>
      </c>
      <c r="G26" t="inlineStr">
        <is>
          <t>KHONG_AP_DUNG</t>
        </is>
      </c>
      <c r="H26" t="inlineStr">
        <is>
          <t>KHONG_AP_DUNG</t>
        </is>
      </c>
      <c r="I26" t="inlineStr">
        <is>
          <t>KHONG_AP_DUNG</t>
        </is>
      </c>
      <c r="J26" t="inlineStr">
        <is>
          <t>KHONG_AP_DUNG</t>
        </is>
      </c>
      <c r="K26" t="inlineStr">
        <is>
          <t>Direct</t>
        </is>
      </c>
      <c r="L26" t="n">
        <v>7</v>
      </c>
      <c r="M26" t="inlineStr">
        <is>
          <t>xem mô tả cột (phụ thuộc tầm bắn, không phụ thuộc tốc độ mục tiêu)</t>
        </is>
      </c>
      <c r="N26" t="n">
        <v>5</v>
      </c>
      <c r="O26" t="n">
        <v>6</v>
      </c>
      <c r="P26" t="n">
        <v>0.6</v>
      </c>
      <c r="Q26" t="n">
        <v>8</v>
      </c>
      <c r="R26" t="inlineStr">
        <is>
          <t>KHONG_AP_DUNG</t>
        </is>
      </c>
      <c r="S26" t="inlineStr">
        <is>
          <t>one_shot_atgm_tower</t>
        </is>
      </c>
      <c r="T26" t="inlineStr">
        <is>
          <t>Assets/MachineBrigade/Resources/Data/balance.json: weapons[one_shot_kornet] (guided/weaponFamilyId) + munitionRules.radarGuided/sightGuided</t>
        </is>
      </c>
      <c r="U26" t="inlineStr"/>
    </row>
    <row r="27">
      <c r="A27" t="inlineStr">
        <is>
          <t>p26_bastion_tiny_kornet_twin</t>
        </is>
      </c>
      <c r="B27" t="inlineStr">
        <is>
          <t>p26_bastion_tiny_kornet_twin</t>
        </is>
      </c>
      <c r="C27" t="inlineStr">
        <is>
          <t>9M133 Kornet</t>
        </is>
      </c>
      <c r="D27" t="inlineStr">
        <is>
          <t>khong_dan</t>
        </is>
      </c>
      <c r="E27" t="b">
        <v>0</v>
      </c>
      <c r="F27" t="inlineStr">
        <is>
          <t>KHONG_AP_DUNG</t>
        </is>
      </c>
      <c r="G27" t="inlineStr">
        <is>
          <t>KHONG_AP_DUNG</t>
        </is>
      </c>
      <c r="H27" t="inlineStr">
        <is>
          <t>KHONG_AP_DUNG</t>
        </is>
      </c>
      <c r="I27" t="inlineStr">
        <is>
          <t>KHONG_AP_DUNG</t>
        </is>
      </c>
      <c r="J27" t="inlineStr">
        <is>
          <t>KHONG_AP_DUNG</t>
        </is>
      </c>
      <c r="K27" t="inlineStr">
        <is>
          <t>Direct</t>
        </is>
      </c>
      <c r="L27" t="n">
        <v>7</v>
      </c>
      <c r="M27" t="inlineStr">
        <is>
          <t>xem mô tả cột (phụ thuộc tầm bắn, không phụ thuộc tốc độ mục tiêu)</t>
        </is>
      </c>
      <c r="N27" t="n">
        <v>5</v>
      </c>
      <c r="O27" t="n">
        <v>6</v>
      </c>
      <c r="P27" t="n">
        <v>0.6</v>
      </c>
      <c r="Q27" t="n">
        <v>0</v>
      </c>
      <c r="R27" t="inlineStr">
        <is>
          <t>KHONG_AP_DUNG</t>
        </is>
      </c>
      <c r="S27" t="inlineStr">
        <is>
          <t>fortress_bastion;monster</t>
        </is>
      </c>
      <c r="T27" t="inlineStr">
        <is>
          <t>Assets/MachineBrigade/Resources/Data/balance.json: weapons[p26_bastion_tiny_kornet_twin] (guided/weaponFamilyId) + munitionRules.radarGuided/sightGuided</t>
        </is>
      </c>
      <c r="U27" t="inlineStr"/>
    </row>
    <row r="28">
      <c r="A28" t="inlineStr">
        <is>
          <t>p26_behemoth_tiny_boss_missiles</t>
        </is>
      </c>
      <c r="B28" t="inlineStr">
        <is>
          <t>p26_behemoth_tiny_boss_missiles</t>
        </is>
      </c>
      <c r="C28" t="inlineStr">
        <is>
          <t>9M133 Kornet</t>
        </is>
      </c>
      <c r="D28" t="inlineStr">
        <is>
          <t>khong_dan</t>
        </is>
      </c>
      <c r="E28" t="b">
        <v>0</v>
      </c>
      <c r="F28" t="inlineStr">
        <is>
          <t>KHONG_AP_DUNG</t>
        </is>
      </c>
      <c r="G28" t="inlineStr">
        <is>
          <t>KHONG_AP_DUNG</t>
        </is>
      </c>
      <c r="H28" t="inlineStr">
        <is>
          <t>KHONG_AP_DUNG</t>
        </is>
      </c>
      <c r="I28" t="inlineStr">
        <is>
          <t>KHONG_AP_DUNG</t>
        </is>
      </c>
      <c r="J28" t="inlineStr">
        <is>
          <t>KHONG_AP_DUNG</t>
        </is>
      </c>
      <c r="K28" t="inlineStr">
        <is>
          <t>Direct</t>
        </is>
      </c>
      <c r="L28" t="n">
        <v>7</v>
      </c>
      <c r="M28" t="inlineStr">
        <is>
          <t>xem mô tả cột (phụ thuộc tầm bắn, không phụ thuộc tốc độ mục tiêu)</t>
        </is>
      </c>
      <c r="N28" t="n">
        <v>5</v>
      </c>
      <c r="O28" t="n">
        <v>6</v>
      </c>
      <c r="P28" t="n">
        <v>0.1</v>
      </c>
      <c r="Q28" t="n">
        <v>0</v>
      </c>
      <c r="R28" t="inlineStr">
        <is>
          <t>KHONG_AP_DUNG</t>
        </is>
      </c>
      <c r="S28" t="inlineStr">
        <is>
          <t>behemoth</t>
        </is>
      </c>
      <c r="T28" t="inlineStr">
        <is>
          <t>Assets/MachineBrigade/Resources/Data/balance.json: weapons[p26_behemoth_tiny_boss_missiles] (guided/weaponFamilyId) + munitionRules.radarGuided/sightGuided</t>
        </is>
      </c>
      <c r="U28" t="inlineStr"/>
    </row>
    <row r="29">
      <c r="A29" t="inlineStr">
        <is>
          <t>p26_matriarch_direct_ma_atgm</t>
        </is>
      </c>
      <c r="B29" t="inlineStr">
        <is>
          <t>p26_matriarch_direct_ma_atgm</t>
        </is>
      </c>
      <c r="C29" t="inlineStr">
        <is>
          <t>9M133 Kornet</t>
        </is>
      </c>
      <c r="D29" t="inlineStr">
        <is>
          <t>khong_dan</t>
        </is>
      </c>
      <c r="E29" t="b">
        <v>0</v>
      </c>
      <c r="F29" t="inlineStr">
        <is>
          <t>KHONG_AP_DUNG</t>
        </is>
      </c>
      <c r="G29" t="inlineStr">
        <is>
          <t>KHONG_AP_DUNG</t>
        </is>
      </c>
      <c r="H29" t="inlineStr">
        <is>
          <t>KHONG_AP_DUNG</t>
        </is>
      </c>
      <c r="I29" t="inlineStr">
        <is>
          <t>KHONG_AP_DUNG</t>
        </is>
      </c>
      <c r="J29" t="inlineStr">
        <is>
          <t>KHONG_AP_DUNG</t>
        </is>
      </c>
      <c r="K29" t="inlineStr">
        <is>
          <t>Direct</t>
        </is>
      </c>
      <c r="L29" t="n">
        <v>7</v>
      </c>
      <c r="M29" t="inlineStr">
        <is>
          <t>xem mô tả cột (phụ thuộc tầm bắn, không phụ thuộc tốc độ mục tiêu)</t>
        </is>
      </c>
      <c r="N29" t="n">
        <v>5</v>
      </c>
      <c r="O29" t="n">
        <v>6</v>
      </c>
      <c r="P29" t="n">
        <v>0.1</v>
      </c>
      <c r="Q29" t="n">
        <v>0</v>
      </c>
      <c r="R29" t="inlineStr">
        <is>
          <t>KHONG_AP_DUNG</t>
        </is>
      </c>
      <c r="S29" t="inlineStr">
        <is>
          <t>drone_mothership</t>
        </is>
      </c>
      <c r="T29" t="inlineStr">
        <is>
          <t>Assets/MachineBrigade/Resources/Data/balance.json: weapons[p26_matriarch_direct_ma_atgm] (guided/weaponFamilyId) + munitionRules.radarGuided/sightGuided</t>
        </is>
      </c>
      <c r="U29" t="inlineStr"/>
    </row>
    <row r="30">
      <c r="A30" t="inlineStr">
        <is>
          <t>p26_matriarch_ma_atgm</t>
        </is>
      </c>
      <c r="B30" t="inlineStr">
        <is>
          <t>p26_matriarch_ma_atgm</t>
        </is>
      </c>
      <c r="C30" t="inlineStr">
        <is>
          <t>9M133 Kornet</t>
        </is>
      </c>
      <c r="D30" t="inlineStr">
        <is>
          <t>khong_dan</t>
        </is>
      </c>
      <c r="E30" t="b">
        <v>0</v>
      </c>
      <c r="F30" t="inlineStr">
        <is>
          <t>KHONG_AP_DUNG</t>
        </is>
      </c>
      <c r="G30" t="inlineStr">
        <is>
          <t>KHONG_AP_DUNG</t>
        </is>
      </c>
      <c r="H30" t="inlineStr">
        <is>
          <t>KHONG_AP_DUNG</t>
        </is>
      </c>
      <c r="I30" t="inlineStr">
        <is>
          <t>KHONG_AP_DUNG</t>
        </is>
      </c>
      <c r="J30" t="inlineStr">
        <is>
          <t>KHONG_AP_DUNG</t>
        </is>
      </c>
      <c r="K30" t="inlineStr">
        <is>
          <t>Direct</t>
        </is>
      </c>
      <c r="L30" t="n">
        <v>7</v>
      </c>
      <c r="M30" t="inlineStr">
        <is>
          <t>xem mô tả cột (phụ thuộc tầm bắn, không phụ thuộc tốc độ mục tiêu)</t>
        </is>
      </c>
      <c r="N30" t="n">
        <v>5</v>
      </c>
      <c r="O30" t="n">
        <v>6</v>
      </c>
      <c r="P30" t="n">
        <v>0.1</v>
      </c>
      <c r="Q30" t="n">
        <v>0</v>
      </c>
      <c r="R30" t="inlineStr">
        <is>
          <t>KHONG_AP_DUNG</t>
        </is>
      </c>
      <c r="S30" t="inlineStr"/>
      <c r="T30" t="inlineStr">
        <is>
          <t>Assets/MachineBrigade/Resources/Data/balance.json: weapons[p26_matriarch_ma_atgm] (guided/weaponFamilyId) + munitionRules.radarGuided/sightGuided</t>
        </is>
      </c>
      <c r="U30" t="inlineStr"/>
    </row>
    <row r="31">
      <c r="A31" t="inlineStr">
        <is>
          <t>p26_roc_direct_roc_atgm</t>
        </is>
      </c>
      <c r="B31" t="inlineStr">
        <is>
          <t>p26_roc_direct_roc_atgm</t>
        </is>
      </c>
      <c r="C31" t="inlineStr">
        <is>
          <t>Kornet (dropped from the bay)</t>
        </is>
      </c>
      <c r="D31" t="inlineStr">
        <is>
          <t>khong_dan</t>
        </is>
      </c>
      <c r="E31" t="b">
        <v>0</v>
      </c>
      <c r="F31" t="inlineStr">
        <is>
          <t>KHONG_AP_DUNG</t>
        </is>
      </c>
      <c r="G31" t="inlineStr">
        <is>
          <t>KHONG_AP_DUNG</t>
        </is>
      </c>
      <c r="H31" t="inlineStr">
        <is>
          <t>KHONG_AP_DUNG</t>
        </is>
      </c>
      <c r="I31" t="inlineStr">
        <is>
          <t>KHONG_AP_DUNG</t>
        </is>
      </c>
      <c r="J31" t="inlineStr">
        <is>
          <t>KHONG_AP_DUNG</t>
        </is>
      </c>
      <c r="K31" t="inlineStr">
        <is>
          <t>Direct</t>
        </is>
      </c>
      <c r="L31" t="n">
        <v>7</v>
      </c>
      <c r="M31" t="inlineStr">
        <is>
          <t>xem mô tả cột (phụ thuộc tầm bắn, không phụ thuộc tốc độ mục tiêu)</t>
        </is>
      </c>
      <c r="N31" t="n">
        <v>5</v>
      </c>
      <c r="O31" t="n">
        <v>6</v>
      </c>
      <c r="P31" t="n">
        <v>0.6</v>
      </c>
      <c r="Q31" t="n">
        <v>0</v>
      </c>
      <c r="R31" t="inlineStr">
        <is>
          <t>KHONG_AP_DUNG</t>
        </is>
      </c>
      <c r="S31" t="inlineStr">
        <is>
          <t>command_airship</t>
        </is>
      </c>
      <c r="T31" t="inlineStr">
        <is>
          <t>Assets/MachineBrigade/Resources/Data/balance.json: weapons[p26_roc_direct_roc_atgm] (guided/weaponFamilyId) + munitionRules.radarGuided/sightGuided</t>
        </is>
      </c>
      <c r="U31" t="inlineStr"/>
    </row>
    <row r="32">
      <c r="A32" t="inlineStr">
        <is>
          <t>p26_roc_roc_atgm</t>
        </is>
      </c>
      <c r="B32" t="inlineStr">
        <is>
          <t>p26_roc_roc_atgm</t>
        </is>
      </c>
      <c r="C32" t="inlineStr">
        <is>
          <t>Kornet (dropped from the bay)</t>
        </is>
      </c>
      <c r="D32" t="inlineStr">
        <is>
          <t>khong_dan</t>
        </is>
      </c>
      <c r="E32" t="b">
        <v>0</v>
      </c>
      <c r="F32" t="inlineStr">
        <is>
          <t>KHONG_AP_DUNG</t>
        </is>
      </c>
      <c r="G32" t="inlineStr">
        <is>
          <t>KHONG_AP_DUNG</t>
        </is>
      </c>
      <c r="H32" t="inlineStr">
        <is>
          <t>KHONG_AP_DUNG</t>
        </is>
      </c>
      <c r="I32" t="inlineStr">
        <is>
          <t>KHONG_AP_DUNG</t>
        </is>
      </c>
      <c r="J32" t="inlineStr">
        <is>
          <t>KHONG_AP_DUNG</t>
        </is>
      </c>
      <c r="K32" t="inlineStr">
        <is>
          <t>Direct</t>
        </is>
      </c>
      <c r="L32" t="n">
        <v>7</v>
      </c>
      <c r="M32" t="inlineStr">
        <is>
          <t>xem mô tả cột (phụ thuộc tầm bắn, không phụ thuộc tốc độ mục tiêu)</t>
        </is>
      </c>
      <c r="N32" t="n">
        <v>5</v>
      </c>
      <c r="O32" t="n">
        <v>6</v>
      </c>
      <c r="P32" t="n">
        <v>0.1</v>
      </c>
      <c r="Q32" t="n">
        <v>0</v>
      </c>
      <c r="R32" t="inlineStr">
        <is>
          <t>KHONG_AP_DUNG</t>
        </is>
      </c>
      <c r="S32" t="inlineStr"/>
      <c r="T32" t="inlineStr">
        <is>
          <t>Assets/MachineBrigade/Resources/Data/balance.json: weapons[p26_roc_roc_atgm] (guided/weaponFamilyId) + munitionRules.radarGuided/sightGuided</t>
        </is>
      </c>
      <c r="U32" t="inlineStr"/>
    </row>
    <row r="33">
      <c r="A33" t="inlineStr">
        <is>
          <t>patriot</t>
        </is>
      </c>
      <c r="B33" t="inlineStr">
        <is>
          <t>patriot</t>
        </is>
      </c>
      <c r="C33" t="inlineStr">
        <is>
          <t>MIM-104 Patriot PAC-2</t>
        </is>
      </c>
      <c r="D33" t="inlineStr">
        <is>
          <t>khong_dan</t>
        </is>
      </c>
      <c r="E33" t="b">
        <v>0</v>
      </c>
      <c r="F33" t="inlineStr">
        <is>
          <t>KHONG_AP_DUNG</t>
        </is>
      </c>
      <c r="G33" t="inlineStr">
        <is>
          <t>KHONG_AP_DUNG</t>
        </is>
      </c>
      <c r="H33" t="inlineStr">
        <is>
          <t>KHONG_AP_DUNG</t>
        </is>
      </c>
      <c r="I33" t="inlineStr">
        <is>
          <t>KHONG_AP_DUNG</t>
        </is>
      </c>
      <c r="J33" t="inlineStr">
        <is>
          <t>KHONG_AP_DUNG</t>
        </is>
      </c>
      <c r="K33" t="inlineStr">
        <is>
          <t>Loft</t>
        </is>
      </c>
      <c r="L33" t="n">
        <v>7</v>
      </c>
      <c r="M33" t="inlineStr">
        <is>
          <t>xem mô tả cột (phụ thuộc tầm bắn, không phụ thuộc tốc độ mục tiêu)</t>
        </is>
      </c>
      <c r="N33" t="n">
        <v>5</v>
      </c>
      <c r="O33" t="n">
        <v>6</v>
      </c>
      <c r="P33" t="n">
        <v>0.45</v>
      </c>
      <c r="Q33" t="n">
        <v>0</v>
      </c>
      <c r="R33" t="inlineStr">
        <is>
          <t>KHONG_AP_DUNG</t>
        </is>
      </c>
      <c r="S33" t="inlineStr">
        <is>
          <t>missile_battery</t>
        </is>
      </c>
      <c r="T33" t="inlineStr">
        <is>
          <t>Assets/MachineBrigade/Resources/Data/balance.json: weapons[patriot] (guided/weaponFamilyId) + munitionRules.radarGuided/sightGuided</t>
        </is>
      </c>
      <c r="U33" t="inlineStr"/>
    </row>
    <row r="34">
      <c r="A34" t="inlineStr">
        <is>
          <t>pt14_co_spike</t>
        </is>
      </c>
      <c r="B34" t="inlineStr">
        <is>
          <t>pt14_co_spike</t>
        </is>
      </c>
      <c r="C34" t="inlineStr">
        <is>
          <t>Spike NLOS (Coeus box launcher)</t>
        </is>
      </c>
      <c r="D34" t="inlineStr">
        <is>
          <t>khong_dan</t>
        </is>
      </c>
      <c r="E34" t="b">
        <v>0</v>
      </c>
      <c r="F34" t="inlineStr">
        <is>
          <t>KHONG_AP_DUNG</t>
        </is>
      </c>
      <c r="G34" t="inlineStr">
        <is>
          <t>KHONG_AP_DUNG</t>
        </is>
      </c>
      <c r="H34" t="inlineStr">
        <is>
          <t>KHONG_AP_DUNG</t>
        </is>
      </c>
      <c r="I34" t="inlineStr">
        <is>
          <t>KHONG_AP_DUNG</t>
        </is>
      </c>
      <c r="J34" t="inlineStr">
        <is>
          <t>KHONG_AP_DUNG</t>
        </is>
      </c>
      <c r="K34" t="inlineStr">
        <is>
          <t>Direct</t>
        </is>
      </c>
      <c r="L34" t="n">
        <v>7</v>
      </c>
      <c r="M34" t="inlineStr">
        <is>
          <t>xem mô tả cột (phụ thuộc tầm bắn, không phụ thuộc tốc độ mục tiêu)</t>
        </is>
      </c>
      <c r="N34" t="n">
        <v>5</v>
      </c>
      <c r="O34" t="n">
        <v>6</v>
      </c>
      <c r="P34" t="n">
        <v>0.8</v>
      </c>
      <c r="Q34" t="n">
        <v>0</v>
      </c>
      <c r="R34" t="inlineStr">
        <is>
          <t>KHONG_AP_DUNG</t>
        </is>
      </c>
      <c r="S34" t="inlineStr">
        <is>
          <t>coeus</t>
        </is>
      </c>
      <c r="T34" t="inlineStr">
        <is>
          <t>Assets/MachineBrigade/Resources/Data/balance.json: weapons[pt14_co_spike] (guided/weaponFamilyId) + munitionRules.radarGuided/sightGuided</t>
        </is>
      </c>
      <c r="U34" t="inlineStr"/>
    </row>
    <row r="35">
      <c r="A35" t="inlineStr">
        <is>
          <t>pt14_hp_nsm</t>
        </is>
      </c>
      <c r="B35" t="inlineStr">
        <is>
          <t>pt14_hp_nsm</t>
        </is>
      </c>
      <c r="C35" t="inlineStr">
        <is>
          <t>NSM Block 1A (Hyperion VLS, land attack)</t>
        </is>
      </c>
      <c r="D35" t="inlineStr">
        <is>
          <t>khong_dan</t>
        </is>
      </c>
      <c r="E35" t="b">
        <v>0</v>
      </c>
      <c r="F35" t="inlineStr">
        <is>
          <t>KHONG_AP_DUNG</t>
        </is>
      </c>
      <c r="G35" t="inlineStr">
        <is>
          <t>KHONG_AP_DUNG</t>
        </is>
      </c>
      <c r="H35" t="inlineStr">
        <is>
          <t>KHONG_AP_DUNG</t>
        </is>
      </c>
      <c r="I35" t="inlineStr">
        <is>
          <t>KHONG_AP_DUNG</t>
        </is>
      </c>
      <c r="J35" t="inlineStr">
        <is>
          <t>KHONG_AP_DUNG</t>
        </is>
      </c>
      <c r="K35" t="inlineStr">
        <is>
          <t>Loft</t>
        </is>
      </c>
      <c r="L35" t="n">
        <v>7</v>
      </c>
      <c r="M35" t="inlineStr">
        <is>
          <t>xem mô tả cột (phụ thuộc tầm bắn, không phụ thuộc tốc độ mục tiêu)</t>
        </is>
      </c>
      <c r="N35" t="n">
        <v>5</v>
      </c>
      <c r="O35" t="n">
        <v>6</v>
      </c>
      <c r="P35" t="n">
        <v>0.6</v>
      </c>
      <c r="Q35" t="n">
        <v>0</v>
      </c>
      <c r="R35" t="inlineStr">
        <is>
          <t>KHONG_AP_DUNG</t>
        </is>
      </c>
      <c r="S35" t="inlineStr">
        <is>
          <t>hyperion</t>
        </is>
      </c>
      <c r="T35" t="inlineStr">
        <is>
          <t>Assets/MachineBrigade/Resources/Data/balance.json: weapons[pt14_hp_nsm] (guided/weaponFamilyId) + munitionRules.radarGuided/sightGuided</t>
        </is>
      </c>
      <c r="U35" t="inlineStr"/>
    </row>
    <row r="36">
      <c r="A36" t="inlineStr">
        <is>
          <t>pt14_ixion_kornet</t>
        </is>
      </c>
      <c r="B36" t="inlineStr">
        <is>
          <t>pt14_ixion_kornet</t>
        </is>
      </c>
      <c r="C36" t="inlineStr">
        <is>
          <t>9M133 Kornet-EM (twin launcher)</t>
        </is>
      </c>
      <c r="D36" t="inlineStr">
        <is>
          <t>khong_dan</t>
        </is>
      </c>
      <c r="E36" t="b">
        <v>0</v>
      </c>
      <c r="F36" t="inlineStr">
        <is>
          <t>KHONG_AP_DUNG</t>
        </is>
      </c>
      <c r="G36" t="inlineStr">
        <is>
          <t>KHONG_AP_DUNG</t>
        </is>
      </c>
      <c r="H36" t="inlineStr">
        <is>
          <t>KHONG_AP_DUNG</t>
        </is>
      </c>
      <c r="I36" t="inlineStr">
        <is>
          <t>KHONG_AP_DUNG</t>
        </is>
      </c>
      <c r="J36" t="inlineStr">
        <is>
          <t>KHONG_AP_DUNG</t>
        </is>
      </c>
      <c r="K36" t="inlineStr">
        <is>
          <t>Direct</t>
        </is>
      </c>
      <c r="L36" t="n">
        <v>7</v>
      </c>
      <c r="M36" t="inlineStr">
        <is>
          <t>xem mô tả cột (phụ thuộc tầm bắn, không phụ thuộc tốc độ mục tiêu)</t>
        </is>
      </c>
      <c r="N36" t="n">
        <v>5</v>
      </c>
      <c r="O36" t="n">
        <v>6</v>
      </c>
      <c r="P36" t="n">
        <v>0.1</v>
      </c>
      <c r="Q36" t="n">
        <v>0</v>
      </c>
      <c r="R36" t="inlineStr">
        <is>
          <t>KHONG_AP_DUNG</t>
        </is>
      </c>
      <c r="S36" t="inlineStr">
        <is>
          <t>ixion</t>
        </is>
      </c>
      <c r="T36" t="inlineStr">
        <is>
          <t>Assets/MachineBrigade/Resources/Data/balance.json: weapons[pt14_ixion_kornet] (guided/weaponFamilyId) + munitionRules.radarGuided/sightGuided</t>
        </is>
      </c>
      <c r="U36" t="inlineStr"/>
    </row>
    <row r="37">
      <c r="A37" t="inlineStr">
        <is>
          <t>pt14_th_jagm</t>
        </is>
      </c>
      <c r="B37" t="inlineStr">
        <is>
          <t>pt14_th_jagm</t>
        </is>
      </c>
      <c r="C37" t="inlineStr">
        <is>
          <t>AGM-179 JAGM (Theia quad pod)</t>
        </is>
      </c>
      <c r="D37" t="inlineStr">
        <is>
          <t>khong_dan</t>
        </is>
      </c>
      <c r="E37" t="b">
        <v>0</v>
      </c>
      <c r="F37" t="inlineStr">
        <is>
          <t>KHONG_AP_DUNG</t>
        </is>
      </c>
      <c r="G37" t="inlineStr">
        <is>
          <t>KHONG_AP_DUNG</t>
        </is>
      </c>
      <c r="H37" t="inlineStr">
        <is>
          <t>KHONG_AP_DUNG</t>
        </is>
      </c>
      <c r="I37" t="inlineStr">
        <is>
          <t>KHONG_AP_DUNG</t>
        </is>
      </c>
      <c r="J37" t="inlineStr">
        <is>
          <t>KHONG_AP_DUNG</t>
        </is>
      </c>
      <c r="K37" t="inlineStr">
        <is>
          <t>Direct</t>
        </is>
      </c>
      <c r="L37" t="n">
        <v>7</v>
      </c>
      <c r="M37" t="inlineStr">
        <is>
          <t>xem mô tả cột (phụ thuộc tầm bắn, không phụ thuộc tốc độ mục tiêu)</t>
        </is>
      </c>
      <c r="N37" t="n">
        <v>5</v>
      </c>
      <c r="O37" t="n">
        <v>6</v>
      </c>
      <c r="P37" t="n">
        <v>0.5</v>
      </c>
      <c r="Q37" t="n">
        <v>0</v>
      </c>
      <c r="R37" t="inlineStr">
        <is>
          <t>KHONG_AP_DUNG</t>
        </is>
      </c>
      <c r="S37" t="inlineStr">
        <is>
          <t>theia</t>
        </is>
      </c>
      <c r="T37" t="inlineStr">
        <is>
          <t>Assets/MachineBrigade/Resources/Data/balance.json: weapons[pt14_th_jagm] (guided/weaponFamilyId) + munitionRules.radarGuided/sightGuided</t>
        </is>
      </c>
      <c r="U37" t="inlineStr"/>
    </row>
    <row r="38">
      <c r="A38" t="inlineStr">
        <is>
          <t>r60</t>
        </is>
      </c>
      <c r="B38" t="inlineStr">
        <is>
          <t>r60</t>
        </is>
      </c>
      <c r="C38" t="inlineStr">
        <is>
          <t>R-60</t>
        </is>
      </c>
      <c r="D38" t="inlineStr">
        <is>
          <t>khong_dan</t>
        </is>
      </c>
      <c r="E38" t="b">
        <v>0</v>
      </c>
      <c r="F38" t="inlineStr">
        <is>
          <t>KHONG_AP_DUNG</t>
        </is>
      </c>
      <c r="G38" t="inlineStr">
        <is>
          <t>KHONG_AP_DUNG</t>
        </is>
      </c>
      <c r="H38" t="inlineStr">
        <is>
          <t>KHONG_AP_DUNG</t>
        </is>
      </c>
      <c r="I38" t="inlineStr">
        <is>
          <t>KHONG_AP_DUNG</t>
        </is>
      </c>
      <c r="J38" t="inlineStr">
        <is>
          <t>KHONG_AP_DUNG</t>
        </is>
      </c>
      <c r="K38" t="inlineStr">
        <is>
          <t>Direct</t>
        </is>
      </c>
      <c r="L38" t="n">
        <v>7</v>
      </c>
      <c r="M38" t="inlineStr">
        <is>
          <t>xem mô tả cột (phụ thuộc tầm bắn, không phụ thuộc tốc độ mục tiêu)</t>
        </is>
      </c>
      <c r="N38" t="n">
        <v>5</v>
      </c>
      <c r="O38" t="n">
        <v>6</v>
      </c>
      <c r="P38" t="n">
        <v>0.1</v>
      </c>
      <c r="Q38" t="n">
        <v>0</v>
      </c>
      <c r="R38" t="inlineStr">
        <is>
          <t>KHONG_AP_DUNG</t>
        </is>
      </c>
      <c r="S38" t="inlineStr">
        <is>
          <t>attack_jet;elite_attack_jet</t>
        </is>
      </c>
      <c r="T38" t="inlineStr">
        <is>
          <t>Assets/MachineBrigade/Resources/Data/balance.json: weapons[r60] (guided/weaponFamilyId) + munitionRules.radarGuided/sightGuided</t>
        </is>
      </c>
      <c r="U38" t="inlineStr"/>
    </row>
    <row r="39">
      <c r="A39" t="inlineStr">
        <is>
          <t>recon_missile</t>
        </is>
      </c>
      <c r="B39" t="inlineStr">
        <is>
          <t>recon_missile</t>
        </is>
      </c>
      <c r="C39" t="inlineStr">
        <is>
          <t>MAM-L</t>
        </is>
      </c>
      <c r="D39" t="inlineStr">
        <is>
          <t>khong_dan</t>
        </is>
      </c>
      <c r="E39" t="b">
        <v>0</v>
      </c>
      <c r="F39" t="inlineStr">
        <is>
          <t>KHONG_AP_DUNG</t>
        </is>
      </c>
      <c r="G39" t="inlineStr">
        <is>
          <t>KHONG_AP_DUNG</t>
        </is>
      </c>
      <c r="H39" t="inlineStr">
        <is>
          <t>KHONG_AP_DUNG</t>
        </is>
      </c>
      <c r="I39" t="inlineStr">
        <is>
          <t>KHONG_AP_DUNG</t>
        </is>
      </c>
      <c r="J39" t="inlineStr">
        <is>
          <t>KHONG_AP_DUNG</t>
        </is>
      </c>
      <c r="K39" t="inlineStr">
        <is>
          <t>Direct</t>
        </is>
      </c>
      <c r="L39" t="n">
        <v>7</v>
      </c>
      <c r="M39" t="inlineStr">
        <is>
          <t>xem mô tả cột (phụ thuộc tầm bắn, không phụ thuộc tốc độ mục tiêu)</t>
        </is>
      </c>
      <c r="N39" t="n">
        <v>5</v>
      </c>
      <c r="O39" t="n">
        <v>6</v>
      </c>
      <c r="P39" t="n">
        <v>0.1</v>
      </c>
      <c r="Q39" t="n">
        <v>0</v>
      </c>
      <c r="R39" t="inlineStr">
        <is>
          <t>KHONG_AP_DUNG</t>
        </is>
      </c>
      <c r="S39" t="inlineStr">
        <is>
          <t>recon_drone</t>
        </is>
      </c>
      <c r="T39" t="inlineStr">
        <is>
          <t>Assets/MachineBrigade/Resources/Data/balance.json: weapons[recon_missile] (guided/weaponFamilyId) + munitionRules.radarGuided/sightGuided</t>
        </is>
      </c>
      <c r="U39" t="inlineStr"/>
    </row>
    <row r="40">
      <c r="A40" t="inlineStr">
        <is>
          <t>sam</t>
        </is>
      </c>
      <c r="B40" t="inlineStr">
        <is>
          <t>sam</t>
        </is>
      </c>
      <c r="C40" t="inlineStr">
        <is>
          <t>Starstreak / Stinger SHORAD</t>
        </is>
      </c>
      <c r="D40" t="inlineStr">
        <is>
          <t>khong_dan</t>
        </is>
      </c>
      <c r="E40" t="b">
        <v>0</v>
      </c>
      <c r="F40" t="inlineStr">
        <is>
          <t>KHONG_AP_DUNG</t>
        </is>
      </c>
      <c r="G40" t="inlineStr">
        <is>
          <t>KHONG_AP_DUNG</t>
        </is>
      </c>
      <c r="H40" t="inlineStr">
        <is>
          <t>KHONG_AP_DUNG</t>
        </is>
      </c>
      <c r="I40" t="inlineStr">
        <is>
          <t>KHONG_AP_DUNG</t>
        </is>
      </c>
      <c r="J40" t="inlineStr">
        <is>
          <t>KHONG_AP_DUNG</t>
        </is>
      </c>
      <c r="K40" t="inlineStr">
        <is>
          <t>Direct</t>
        </is>
      </c>
      <c r="L40" t="n">
        <v>7</v>
      </c>
      <c r="M40" t="inlineStr">
        <is>
          <t>xem mô tả cột (phụ thuộc tầm bắn, không phụ thuộc tốc độ mục tiêu)</t>
        </is>
      </c>
      <c r="N40" t="n">
        <v>5</v>
      </c>
      <c r="O40" t="n">
        <v>6</v>
      </c>
      <c r="P40" t="n">
        <v>0.1</v>
      </c>
      <c r="Q40" t="n">
        <v>0</v>
      </c>
      <c r="R40" t="inlineStr">
        <is>
          <t>KHONG_AP_DUNG</t>
        </is>
      </c>
      <c r="S40" t="inlineStr">
        <is>
          <t>aa_turret;aa_vehicle;elite_aa;manpads_tower;mobile_fortress;nuke_train;typhon</t>
        </is>
      </c>
      <c r="T40" t="inlineStr">
        <is>
          <t>Assets/MachineBrigade/Resources/Data/balance.json: weapons[sam] (guided/weaponFamilyId) + munitionRules.radarGuided/sightGuided</t>
        </is>
      </c>
      <c r="U40" t="inlineStr"/>
    </row>
    <row r="41">
      <c r="A41" t="inlineStr">
        <is>
          <t>sam_48n6</t>
        </is>
      </c>
      <c r="B41" t="inlineStr">
        <is>
          <t>sam_48n6</t>
        </is>
      </c>
      <c r="C41" t="inlineStr">
        <is>
          <t>S-400 48N6</t>
        </is>
      </c>
      <c r="D41" t="inlineStr">
        <is>
          <t>khong_dan</t>
        </is>
      </c>
      <c r="E41" t="b">
        <v>0</v>
      </c>
      <c r="F41" t="inlineStr">
        <is>
          <t>KHONG_AP_DUNG</t>
        </is>
      </c>
      <c r="G41" t="inlineStr">
        <is>
          <t>KHONG_AP_DUNG</t>
        </is>
      </c>
      <c r="H41" t="inlineStr">
        <is>
          <t>KHONG_AP_DUNG</t>
        </is>
      </c>
      <c r="I41" t="inlineStr">
        <is>
          <t>KHONG_AP_DUNG</t>
        </is>
      </c>
      <c r="J41" t="inlineStr">
        <is>
          <t>KHONG_AP_DUNG</t>
        </is>
      </c>
      <c r="K41" t="inlineStr">
        <is>
          <t>Loft</t>
        </is>
      </c>
      <c r="L41" t="n">
        <v>7</v>
      </c>
      <c r="M41" t="inlineStr">
        <is>
          <t>xem mô tả cột (phụ thuộc tầm bắn, không phụ thuộc tốc độ mục tiêu)</t>
        </is>
      </c>
      <c r="N41" t="n">
        <v>5</v>
      </c>
      <c r="O41" t="n">
        <v>6</v>
      </c>
      <c r="P41" t="n">
        <v>0.1</v>
      </c>
      <c r="Q41" t="n">
        <v>0</v>
      </c>
      <c r="R41" t="inlineStr">
        <is>
          <t>KHONG_AP_DUNG</t>
        </is>
      </c>
      <c r="S41" t="inlineStr">
        <is>
          <t>elite_long_sam;long_sam</t>
        </is>
      </c>
      <c r="T41" t="inlineStr">
        <is>
          <t>Assets/MachineBrigade/Resources/Data/balance.json: weapons[sam_48n6] (guided/weaponFamilyId) + munitionRules.radarGuided/sightGuided</t>
        </is>
      </c>
      <c r="U41" t="inlineStr"/>
    </row>
    <row r="42">
      <c r="A42" t="inlineStr">
        <is>
          <t>sam_battery</t>
        </is>
      </c>
      <c r="B42" t="inlineStr">
        <is>
          <t>sam_battery</t>
        </is>
      </c>
      <c r="C42" t="inlineStr">
        <is>
          <t>MIM-104 Patriot PAC-2</t>
        </is>
      </c>
      <c r="D42" t="inlineStr">
        <is>
          <t>khong_dan</t>
        </is>
      </c>
      <c r="E42" t="b">
        <v>0</v>
      </c>
      <c r="F42" t="inlineStr">
        <is>
          <t>KHONG_AP_DUNG</t>
        </is>
      </c>
      <c r="G42" t="inlineStr">
        <is>
          <t>KHONG_AP_DUNG</t>
        </is>
      </c>
      <c r="H42" t="inlineStr">
        <is>
          <t>KHONG_AP_DUNG</t>
        </is>
      </c>
      <c r="I42" t="inlineStr">
        <is>
          <t>KHONG_AP_DUNG</t>
        </is>
      </c>
      <c r="J42" t="inlineStr">
        <is>
          <t>KHONG_AP_DUNG</t>
        </is>
      </c>
      <c r="K42" t="inlineStr">
        <is>
          <t>Loft</t>
        </is>
      </c>
      <c r="L42" t="n">
        <v>7</v>
      </c>
      <c r="M42" t="inlineStr">
        <is>
          <t>xem mô tả cột (phụ thuộc tầm bắn, không phụ thuộc tốc độ mục tiêu)</t>
        </is>
      </c>
      <c r="N42" t="n">
        <v>5</v>
      </c>
      <c r="O42" t="n">
        <v>6</v>
      </c>
      <c r="P42" t="n">
        <v>3</v>
      </c>
      <c r="Q42" t="n">
        <v>0</v>
      </c>
      <c r="R42" t="inlineStr">
        <is>
          <t>KHONG_AP_DUNG</t>
        </is>
      </c>
      <c r="S42" t="inlineStr">
        <is>
          <t>nuke_train</t>
        </is>
      </c>
      <c r="T42" t="inlineStr">
        <is>
          <t>Assets/MachineBrigade/Resources/Data/balance.json: weapons[sam_battery] (guided/weaponFamilyId) + munitionRules.radarGuided/sightGuided</t>
        </is>
      </c>
      <c r="U42" t="inlineStr"/>
    </row>
    <row r="43">
      <c r="A43" t="inlineStr">
        <is>
          <t>sam_battery_lrr</t>
        </is>
      </c>
      <c r="B43" t="inlineStr">
        <is>
          <t>sam_battery_lrr</t>
        </is>
      </c>
      <c r="C43" t="inlineStr">
        <is>
          <t>MIM-104 Patriot PAC-2</t>
        </is>
      </c>
      <c r="D43" t="inlineStr">
        <is>
          <t>khong_dan</t>
        </is>
      </c>
      <c r="E43" t="b">
        <v>0</v>
      </c>
      <c r="F43" t="inlineStr">
        <is>
          <t>KHONG_AP_DUNG</t>
        </is>
      </c>
      <c r="G43" t="inlineStr">
        <is>
          <t>KHONG_AP_DUNG</t>
        </is>
      </c>
      <c r="H43" t="inlineStr">
        <is>
          <t>KHONG_AP_DUNG</t>
        </is>
      </c>
      <c r="I43" t="inlineStr">
        <is>
          <t>KHONG_AP_DUNG</t>
        </is>
      </c>
      <c r="J43" t="inlineStr">
        <is>
          <t>KHONG_AP_DUNG</t>
        </is>
      </c>
      <c r="K43" t="inlineStr">
        <is>
          <t>Loft</t>
        </is>
      </c>
      <c r="L43" t="n">
        <v>7</v>
      </c>
      <c r="M43" t="inlineStr">
        <is>
          <t>xem mô tả cột (phụ thuộc tầm bắn, không phụ thuộc tốc độ mục tiêu)</t>
        </is>
      </c>
      <c r="N43" t="n">
        <v>5</v>
      </c>
      <c r="O43" t="n">
        <v>6</v>
      </c>
      <c r="P43" t="n">
        <v>0.45</v>
      </c>
      <c r="Q43" t="n">
        <v>0</v>
      </c>
      <c r="R43" t="inlineStr">
        <is>
          <t>KHONG_AP_DUNG</t>
        </is>
      </c>
      <c r="S43" t="inlineStr">
        <is>
          <t>missile_battery.lrr</t>
        </is>
      </c>
      <c r="T43" t="inlineStr">
        <is>
          <t>Assets/MachineBrigade/Resources/Data/balance.json: weapons[sam_battery_lrr] (guided/weaponFamilyId) + munitionRules.radarGuided/sightGuided</t>
        </is>
      </c>
      <c r="U43" t="inlineStr"/>
    </row>
    <row r="44">
      <c r="A44" t="inlineStr">
        <is>
          <t>sam_long</t>
        </is>
      </c>
      <c r="B44" t="inlineStr">
        <is>
          <t>sam_long</t>
        </is>
      </c>
      <c r="C44" t="inlineStr">
        <is>
          <t>9M317 Buk</t>
        </is>
      </c>
      <c r="D44" t="inlineStr">
        <is>
          <t>khong_dan</t>
        </is>
      </c>
      <c r="E44" t="b">
        <v>0</v>
      </c>
      <c r="F44" t="inlineStr">
        <is>
          <t>KHONG_AP_DUNG</t>
        </is>
      </c>
      <c r="G44" t="inlineStr">
        <is>
          <t>KHONG_AP_DUNG</t>
        </is>
      </c>
      <c r="H44" t="inlineStr">
        <is>
          <t>KHONG_AP_DUNG</t>
        </is>
      </c>
      <c r="I44" t="inlineStr">
        <is>
          <t>KHONG_AP_DUNG</t>
        </is>
      </c>
      <c r="J44" t="inlineStr">
        <is>
          <t>KHONG_AP_DUNG</t>
        </is>
      </c>
      <c r="K44" t="inlineStr">
        <is>
          <t>Direct</t>
        </is>
      </c>
      <c r="L44" t="n">
        <v>7</v>
      </c>
      <c r="M44" t="inlineStr">
        <is>
          <t>xem mô tả cột (phụ thuộc tầm bắn, không phụ thuộc tốc độ mục tiêu)</t>
        </is>
      </c>
      <c r="N44" t="n">
        <v>5</v>
      </c>
      <c r="O44" t="n">
        <v>6</v>
      </c>
      <c r="P44" t="n">
        <v>0.5</v>
      </c>
      <c r="Q44" t="n">
        <v>0</v>
      </c>
      <c r="R44" t="inlineStr">
        <is>
          <t>KHONG_AP_DUNG</t>
        </is>
      </c>
      <c r="S44" t="inlineStr"/>
      <c r="T44" t="inlineStr">
        <is>
          <t>Assets/MachineBrigade/Resources/Data/balance.json: weapons[sam_long] (guided/weaponFamilyId) + munitionRules.radarGuided/sightGuided</t>
        </is>
      </c>
      <c r="U44" t="inlineStr"/>
    </row>
    <row r="45">
      <c r="A45" t="inlineStr">
        <is>
          <t>sam_pac3</t>
        </is>
      </c>
      <c r="B45" t="inlineStr">
        <is>
          <t>sam_pac3</t>
        </is>
      </c>
      <c r="C45" t="inlineStr">
        <is>
          <t>Patriot PAC-3 MSE</t>
        </is>
      </c>
      <c r="D45" t="inlineStr">
        <is>
          <t>khong_dan</t>
        </is>
      </c>
      <c r="E45" t="b">
        <v>0</v>
      </c>
      <c r="F45" t="inlineStr">
        <is>
          <t>KHONG_AP_DUNG</t>
        </is>
      </c>
      <c r="G45" t="inlineStr">
        <is>
          <t>KHONG_AP_DUNG</t>
        </is>
      </c>
      <c r="H45" t="inlineStr">
        <is>
          <t>KHONG_AP_DUNG</t>
        </is>
      </c>
      <c r="I45" t="inlineStr">
        <is>
          <t>KHONG_AP_DUNG</t>
        </is>
      </c>
      <c r="J45" t="inlineStr">
        <is>
          <t>KHONG_AP_DUNG</t>
        </is>
      </c>
      <c r="K45" t="inlineStr">
        <is>
          <t>Loft</t>
        </is>
      </c>
      <c r="L45" t="n">
        <v>7</v>
      </c>
      <c r="M45" t="inlineStr">
        <is>
          <t>xem mô tả cột (phụ thuộc tầm bắn, không phụ thuộc tốc độ mục tiêu)</t>
        </is>
      </c>
      <c r="N45" t="n">
        <v>5</v>
      </c>
      <c r="O45" t="n">
        <v>6</v>
      </c>
      <c r="P45" t="n">
        <v>0.45</v>
      </c>
      <c r="Q45" t="n">
        <v>0</v>
      </c>
      <c r="R45" t="inlineStr">
        <is>
          <t>KHONG_AP_DUNG</t>
        </is>
      </c>
      <c r="S45" t="inlineStr">
        <is>
          <t>missile_battery.pac3</t>
        </is>
      </c>
      <c r="T45" t="inlineStr">
        <is>
          <t>Assets/MachineBrigade/Resources/Data/balance.json: weapons[sam_pac3] (guided/weaponFamilyId) + munitionRules.radarGuided/sightGuided</t>
        </is>
      </c>
      <c r="U45" t="inlineStr"/>
    </row>
    <row r="46">
      <c r="A46" t="inlineStr">
        <is>
          <t>sam_post</t>
        </is>
      </c>
      <c r="B46" t="inlineStr">
        <is>
          <t>sam_post</t>
        </is>
      </c>
      <c r="C46" t="inlineStr">
        <is>
          <t>9M317 Buk</t>
        </is>
      </c>
      <c r="D46" t="inlineStr">
        <is>
          <t>khong_dan</t>
        </is>
      </c>
      <c r="E46" t="b">
        <v>0</v>
      </c>
      <c r="F46" t="inlineStr">
        <is>
          <t>KHONG_AP_DUNG</t>
        </is>
      </c>
      <c r="G46" t="inlineStr">
        <is>
          <t>KHONG_AP_DUNG</t>
        </is>
      </c>
      <c r="H46" t="inlineStr">
        <is>
          <t>KHONG_AP_DUNG</t>
        </is>
      </c>
      <c r="I46" t="inlineStr">
        <is>
          <t>KHONG_AP_DUNG</t>
        </is>
      </c>
      <c r="J46" t="inlineStr">
        <is>
          <t>KHONG_AP_DUNG</t>
        </is>
      </c>
      <c r="K46" t="inlineStr">
        <is>
          <t>Direct</t>
        </is>
      </c>
      <c r="L46" t="n">
        <v>7</v>
      </c>
      <c r="M46" t="inlineStr">
        <is>
          <t>xem mô tả cột (phụ thuộc tầm bắn, không phụ thuộc tốc độ mục tiêu)</t>
        </is>
      </c>
      <c r="N46" t="n">
        <v>5</v>
      </c>
      <c r="O46" t="n">
        <v>6</v>
      </c>
      <c r="P46" t="n">
        <v>0.5</v>
      </c>
      <c r="Q46" t="n">
        <v>0</v>
      </c>
      <c r="R46" t="inlineStr">
        <is>
          <t>KHONG_AP_DUNG</t>
        </is>
      </c>
      <c r="S46" t="inlineStr">
        <is>
          <t>kraken;leviathan;mobile_fortress;sam_medium;typhon</t>
        </is>
      </c>
      <c r="T46" t="inlineStr">
        <is>
          <t>Assets/MachineBrigade/Resources/Data/balance.json: weapons[sam_post] (guided/weaponFamilyId) + munitionRules.radarGuided/sightGuided</t>
        </is>
      </c>
      <c r="U46" t="inlineStr"/>
    </row>
    <row r="47">
      <c r="A47" t="inlineStr">
        <is>
          <t>scylla_kh35</t>
        </is>
      </c>
      <c r="B47" t="inlineStr">
        <is>
          <t>scylla_kh35</t>
        </is>
      </c>
      <c r="C47" t="inlineStr">
        <is>
          <t>Kh-35U Uran (quad canister bank)</t>
        </is>
      </c>
      <c r="D47" t="inlineStr">
        <is>
          <t>khong_dan</t>
        </is>
      </c>
      <c r="E47" t="b">
        <v>0</v>
      </c>
      <c r="F47" t="inlineStr">
        <is>
          <t>KHONG_AP_DUNG</t>
        </is>
      </c>
      <c r="G47" t="inlineStr">
        <is>
          <t>KHONG_AP_DUNG</t>
        </is>
      </c>
      <c r="H47" t="inlineStr">
        <is>
          <t>KHONG_AP_DUNG</t>
        </is>
      </c>
      <c r="I47" t="inlineStr">
        <is>
          <t>KHONG_AP_DUNG</t>
        </is>
      </c>
      <c r="J47" t="inlineStr">
        <is>
          <t>KHONG_AP_DUNG</t>
        </is>
      </c>
      <c r="K47" t="inlineStr">
        <is>
          <t>Loft</t>
        </is>
      </c>
      <c r="L47" t="n">
        <v>7</v>
      </c>
      <c r="M47" t="inlineStr">
        <is>
          <t>xem mô tả cột (phụ thuộc tầm bắn, không phụ thuộc tốc độ mục tiêu)</t>
        </is>
      </c>
      <c r="N47" t="n">
        <v>5</v>
      </c>
      <c r="O47" t="n">
        <v>6</v>
      </c>
      <c r="P47" t="n">
        <v>0.7</v>
      </c>
      <c r="Q47" t="n">
        <v>0</v>
      </c>
      <c r="R47" t="inlineStr">
        <is>
          <t>KHONG_AP_DUNG</t>
        </is>
      </c>
      <c r="S47" t="inlineStr">
        <is>
          <t>scylla</t>
        </is>
      </c>
      <c r="T47" t="inlineStr">
        <is>
          <t>Assets/MachineBrigade/Resources/Data/balance.json: weapons[scylla_kh35] (guided/weaponFamilyId) + munitionRules.radarGuided/sightGuided</t>
        </is>
      </c>
      <c r="U47" t="inlineStr"/>
    </row>
    <row r="48">
      <c r="A48" t="inlineStr">
        <is>
          <t>stinger_atas</t>
        </is>
      </c>
      <c r="B48" t="inlineStr">
        <is>
          <t>stinger_atas</t>
        </is>
      </c>
      <c r="C48" t="inlineStr">
        <is>
          <t>FIM-92 Stinger (ATAS)</t>
        </is>
      </c>
      <c r="D48" t="inlineStr">
        <is>
          <t>khong_dan</t>
        </is>
      </c>
      <c r="E48" t="b">
        <v>0</v>
      </c>
      <c r="F48" t="inlineStr">
        <is>
          <t>KHONG_AP_DUNG</t>
        </is>
      </c>
      <c r="G48" t="inlineStr">
        <is>
          <t>KHONG_AP_DUNG</t>
        </is>
      </c>
      <c r="H48" t="inlineStr">
        <is>
          <t>KHONG_AP_DUNG</t>
        </is>
      </c>
      <c r="I48" t="inlineStr">
        <is>
          <t>KHONG_AP_DUNG</t>
        </is>
      </c>
      <c r="J48" t="inlineStr">
        <is>
          <t>KHONG_AP_DUNG</t>
        </is>
      </c>
      <c r="K48" t="inlineStr">
        <is>
          <t>Direct</t>
        </is>
      </c>
      <c r="L48" t="n">
        <v>7</v>
      </c>
      <c r="M48" t="inlineStr">
        <is>
          <t>xem mô tả cột (phụ thuộc tầm bắn, không phụ thuộc tốc độ mục tiêu)</t>
        </is>
      </c>
      <c r="N48" t="n">
        <v>5</v>
      </c>
      <c r="O48" t="n">
        <v>6</v>
      </c>
      <c r="P48" t="n">
        <v>0.1</v>
      </c>
      <c r="Q48" t="n">
        <v>0</v>
      </c>
      <c r="R48" t="inlineStr">
        <is>
          <t>KHONG_AP_DUNG</t>
        </is>
      </c>
      <c r="S48" t="inlineStr">
        <is>
          <t>attack_helicopter;elite_attack_helicopter</t>
        </is>
      </c>
      <c r="T48" t="inlineStr">
        <is>
          <t>Assets/MachineBrigade/Resources/Data/balance.json: weapons[stinger_atas] (guided/weaponFamilyId) + munitionRules.radarGuided/sightGuided</t>
        </is>
      </c>
      <c r="U48" t="inlineStr"/>
    </row>
    <row r="49">
      <c r="A49" t="inlineStr">
        <is>
          <t>stinger_post</t>
        </is>
      </c>
      <c r="B49" t="inlineStr">
        <is>
          <t>stinger_post</t>
        </is>
      </c>
      <c r="C49" t="inlineStr">
        <is>
          <t>FIM-92 Stinger (tower post)</t>
        </is>
      </c>
      <c r="D49" t="inlineStr">
        <is>
          <t>khong_dan</t>
        </is>
      </c>
      <c r="E49" t="b">
        <v>0</v>
      </c>
      <c r="F49" t="inlineStr">
        <is>
          <t>KHONG_AP_DUNG</t>
        </is>
      </c>
      <c r="G49" t="inlineStr">
        <is>
          <t>KHONG_AP_DUNG</t>
        </is>
      </c>
      <c r="H49" t="inlineStr">
        <is>
          <t>KHONG_AP_DUNG</t>
        </is>
      </c>
      <c r="I49" t="inlineStr">
        <is>
          <t>KHONG_AP_DUNG</t>
        </is>
      </c>
      <c r="J49" t="inlineStr">
        <is>
          <t>KHONG_AP_DUNG</t>
        </is>
      </c>
      <c r="K49" t="inlineStr">
        <is>
          <t>Direct</t>
        </is>
      </c>
      <c r="L49" t="n">
        <v>7</v>
      </c>
      <c r="M49" t="inlineStr">
        <is>
          <t>xem mô tả cột (phụ thuộc tầm bắn, không phụ thuộc tốc độ mục tiêu)</t>
        </is>
      </c>
      <c r="N49" t="n">
        <v>5</v>
      </c>
      <c r="O49" t="n">
        <v>6</v>
      </c>
      <c r="P49" t="n">
        <v>0.1</v>
      </c>
      <c r="Q49" t="n">
        <v>0</v>
      </c>
      <c r="R49" t="inlineStr">
        <is>
          <t>KHONG_AP_DUNG</t>
        </is>
      </c>
      <c r="S49" t="inlineStr">
        <is>
          <t>aa_turret.sam</t>
        </is>
      </c>
      <c r="T49" t="inlineStr">
        <is>
          <t>Assets/MachineBrigade/Resources/Data/balance.json: weapons[stinger_post] (guided/weaponFamilyId) + munitionRules.radarGuided/sightGuided</t>
        </is>
      </c>
      <c r="U49" t="inlineStr"/>
    </row>
    <row r="50">
      <c r="A50" t="inlineStr">
        <is>
          <t>tamir</t>
        </is>
      </c>
      <c r="B50" t="inlineStr">
        <is>
          <t>tamir</t>
        </is>
      </c>
      <c r="C50" t="inlineStr">
        <is>
          <t>Tamir interceptor (Iron Dome)</t>
        </is>
      </c>
      <c r="D50" t="inlineStr">
        <is>
          <t>khong_dan</t>
        </is>
      </c>
      <c r="E50" t="b">
        <v>0</v>
      </c>
      <c r="F50" t="inlineStr">
        <is>
          <t>KHONG_AP_DUNG</t>
        </is>
      </c>
      <c r="G50" t="inlineStr">
        <is>
          <t>KHONG_AP_DUNG</t>
        </is>
      </c>
      <c r="H50" t="inlineStr">
        <is>
          <t>KHONG_AP_DUNG</t>
        </is>
      </c>
      <c r="I50" t="inlineStr">
        <is>
          <t>KHONG_AP_DUNG</t>
        </is>
      </c>
      <c r="J50" t="inlineStr">
        <is>
          <t>KHONG_AP_DUNG</t>
        </is>
      </c>
      <c r="K50" t="inlineStr">
        <is>
          <t>Loft</t>
        </is>
      </c>
      <c r="L50" t="n">
        <v>7</v>
      </c>
      <c r="M50" t="inlineStr">
        <is>
          <t>xem mô tả cột (phụ thuộc tầm bắn, không phụ thuộc tốc độ mục tiêu)</t>
        </is>
      </c>
      <c r="N50" t="n">
        <v>5</v>
      </c>
      <c r="O50" t="n">
        <v>6</v>
      </c>
      <c r="P50" t="n">
        <v>0.1</v>
      </c>
      <c r="Q50" t="n">
        <v>0</v>
      </c>
      <c r="R50" t="inlineStr">
        <is>
          <t>KHONG_AP_DUNG</t>
        </is>
      </c>
      <c r="S50" t="inlineStr">
        <is>
          <t>c_ram.dome</t>
        </is>
      </c>
      <c r="T50" t="inlineStr">
        <is>
          <t>Assets/MachineBrigade/Resources/Data/balance.json: weapons[tamir] (guided/weaponFamilyId) + munitionRules.radarGuided/sightGuided</t>
        </is>
      </c>
      <c r="U50" t="inlineStr"/>
    </row>
    <row r="51">
      <c r="A51" t="inlineStr">
        <is>
          <t>tower_kornet</t>
        </is>
      </c>
      <c r="B51" t="inlineStr">
        <is>
          <t>tower_kornet</t>
        </is>
      </c>
      <c r="C51" t="inlineStr">
        <is>
          <t>9M133 Kornet</t>
        </is>
      </c>
      <c r="D51" t="inlineStr">
        <is>
          <t>khong_dan</t>
        </is>
      </c>
      <c r="E51" t="b">
        <v>0</v>
      </c>
      <c r="F51" t="inlineStr">
        <is>
          <t>KHONG_AP_DUNG</t>
        </is>
      </c>
      <c r="G51" t="inlineStr">
        <is>
          <t>KHONG_AP_DUNG</t>
        </is>
      </c>
      <c r="H51" t="inlineStr">
        <is>
          <t>KHONG_AP_DUNG</t>
        </is>
      </c>
      <c r="I51" t="inlineStr">
        <is>
          <t>KHONG_AP_DUNG</t>
        </is>
      </c>
      <c r="J51" t="inlineStr">
        <is>
          <t>KHONG_AP_DUNG</t>
        </is>
      </c>
      <c r="K51" t="inlineStr">
        <is>
          <t>Direct</t>
        </is>
      </c>
      <c r="L51" t="n">
        <v>7</v>
      </c>
      <c r="M51" t="inlineStr">
        <is>
          <t>xem mô tả cột (phụ thuộc tầm bắn, không phụ thuộc tốc độ mục tiêu)</t>
        </is>
      </c>
      <c r="N51" t="n">
        <v>5</v>
      </c>
      <c r="O51" t="n">
        <v>6</v>
      </c>
      <c r="P51" t="n">
        <v>0.6</v>
      </c>
      <c r="Q51" t="n">
        <v>0</v>
      </c>
      <c r="R51" t="inlineStr">
        <is>
          <t>KHONG_AP_DUNG</t>
        </is>
      </c>
      <c r="S51" t="inlineStr">
        <is>
          <t>atgm_tower</t>
        </is>
      </c>
      <c r="T51" t="inlineStr">
        <is>
          <t>Assets/MachineBrigade/Resources/Data/balance.json: weapons[tower_kornet] (guided/weaponFamilyId) + munitionRules.radarGuided/sightGuided</t>
        </is>
      </c>
      <c r="U51" t="inlineStr"/>
    </row>
    <row r="52">
      <c r="A52" t="inlineStr">
        <is>
          <t>vikhr</t>
        </is>
      </c>
      <c r="B52" t="inlineStr">
        <is>
          <t>vikhr</t>
        </is>
      </c>
      <c r="C52" t="inlineStr">
        <is>
          <t>9K121 Vikhr</t>
        </is>
      </c>
      <c r="D52" t="inlineStr">
        <is>
          <t>khong_dan</t>
        </is>
      </c>
      <c r="E52" t="b">
        <v>0</v>
      </c>
      <c r="F52" t="inlineStr">
        <is>
          <t>KHONG_AP_DUNG</t>
        </is>
      </c>
      <c r="G52" t="inlineStr">
        <is>
          <t>KHONG_AP_DUNG</t>
        </is>
      </c>
      <c r="H52" t="inlineStr">
        <is>
          <t>KHONG_AP_DUNG</t>
        </is>
      </c>
      <c r="I52" t="inlineStr">
        <is>
          <t>KHONG_AP_DUNG</t>
        </is>
      </c>
      <c r="J52" t="inlineStr">
        <is>
          <t>KHONG_AP_DUNG</t>
        </is>
      </c>
      <c r="K52" t="inlineStr">
        <is>
          <t>Direct</t>
        </is>
      </c>
      <c r="L52" t="n">
        <v>7</v>
      </c>
      <c r="M52" t="inlineStr">
        <is>
          <t>xem mô tả cột (phụ thuộc tầm bắn, không phụ thuộc tốc độ mục tiêu)</t>
        </is>
      </c>
      <c r="N52" t="n">
        <v>5</v>
      </c>
      <c r="O52" t="n">
        <v>6</v>
      </c>
      <c r="P52" t="n">
        <v>0.45</v>
      </c>
      <c r="Q52" t="n">
        <v>0</v>
      </c>
      <c r="R52" t="inlineStr">
        <is>
          <t>KHONG_AP_DUNG</t>
        </is>
      </c>
      <c r="S52" t="inlineStr"/>
      <c r="T52" t="inlineStr">
        <is>
          <t>Assets/MachineBrigade/Resources/Data/balance.json: weapons[vikhr] (guided/weaponFamilyId) + munitionRules.radarGuided/sightGuided</t>
        </is>
      </c>
      <c r="U52" t="inlineStr"/>
    </row>
    <row r="53">
      <c r="A53" t="inlineStr">
        <is>
          <t>wvr_aam</t>
        </is>
      </c>
      <c r="B53" t="inlineStr">
        <is>
          <t>wvr_aam</t>
        </is>
      </c>
      <c r="C53" t="inlineStr">
        <is>
          <t>AIM-9X Sidewinder</t>
        </is>
      </c>
      <c r="D53" t="inlineStr">
        <is>
          <t>khong_dan</t>
        </is>
      </c>
      <c r="E53" t="b">
        <v>0</v>
      </c>
      <c r="F53" t="inlineStr">
        <is>
          <t>KHONG_AP_DUNG</t>
        </is>
      </c>
      <c r="G53" t="inlineStr">
        <is>
          <t>KHONG_AP_DUNG</t>
        </is>
      </c>
      <c r="H53" t="inlineStr">
        <is>
          <t>KHONG_AP_DUNG</t>
        </is>
      </c>
      <c r="I53" t="inlineStr">
        <is>
          <t>KHONG_AP_DUNG</t>
        </is>
      </c>
      <c r="J53" t="inlineStr">
        <is>
          <t>KHONG_AP_DUNG</t>
        </is>
      </c>
      <c r="K53" t="inlineStr">
        <is>
          <t>Direct</t>
        </is>
      </c>
      <c r="L53" t="n">
        <v>7</v>
      </c>
      <c r="M53" t="inlineStr">
        <is>
          <t>xem mô tả cột (phụ thuộc tầm bắn, không phụ thuộc tốc độ mục tiêu)</t>
        </is>
      </c>
      <c r="N53" t="n">
        <v>5</v>
      </c>
      <c r="O53" t="n">
        <v>6</v>
      </c>
      <c r="P53" t="n">
        <v>0.1</v>
      </c>
      <c r="Q53" t="n">
        <v>0</v>
      </c>
      <c r="R53" t="inlineStr">
        <is>
          <t>KHONG_AP_DUNG</t>
        </is>
      </c>
      <c r="S53" t="inlineStr">
        <is>
          <t>fighter_jet</t>
        </is>
      </c>
      <c r="T53" t="inlineStr">
        <is>
          <t>Assets/MachineBrigade/Resources/Data/balance.json: weapons[wvr_aam] (guided/weaponFamilyId) + munitionRules.radarGuided/sightGuided</t>
        </is>
      </c>
      <c r="U53" t="inlineStr"/>
    </row>
  </sheetData>
  <autoFilter ref="A1:U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base</t>
        </is>
      </c>
      <c r="B2" t="inlineStr">
        <is>
          <t>warningRules</t>
        </is>
      </c>
      <c r="C2" t="inlineStr">
        <is>
          <t>base</t>
        </is>
      </c>
      <c r="D2" t="n">
        <v>0.5</v>
      </c>
      <c r="F2" t="inlineStr">
        <is>
          <t>s</t>
        </is>
      </c>
      <c r="G2" t="inlineStr">
        <is>
          <t>Assets/MachineBrigade/Resources/Data/balance.json: warningRules.base</t>
        </is>
      </c>
      <c r="H2" t="inlineStr">
        <is>
          <t>0.5</t>
        </is>
      </c>
    </row>
    <row r="3">
      <c r="A3" t="inlineStr">
        <is>
          <t>bombMinKg</t>
        </is>
      </c>
      <c r="B3" t="inlineStr">
        <is>
          <t>warningRules</t>
        </is>
      </c>
      <c r="C3" t="inlineStr">
        <is>
          <t>bombMinKg</t>
        </is>
      </c>
      <c r="D3" t="n">
        <v>400</v>
      </c>
      <c r="F3" t="inlineStr">
        <is>
          <t>kg</t>
        </is>
      </c>
      <c r="G3" t="inlineStr">
        <is>
          <t>Assets/MachineBrigade/Resources/Data/balance.json: warningRules.bombMinKg</t>
        </is>
      </c>
      <c r="H3" t="inlineStr">
        <is>
          <t>400</t>
        </is>
      </c>
    </row>
    <row r="4">
      <c r="A4" t="inlineStr">
        <is>
          <t>cap</t>
        </is>
      </c>
      <c r="B4" t="inlineStr">
        <is>
          <t>warningRules</t>
        </is>
      </c>
      <c r="C4" t="inlineStr">
        <is>
          <t>cap</t>
        </is>
      </c>
      <c r="D4" t="n">
        <v>6</v>
      </c>
      <c r="F4" t="inlineStr">
        <is>
          <t>s</t>
        </is>
      </c>
      <c r="G4" t="inlineStr">
        <is>
          <t>Assets/MachineBrigade/Resources/Data/balance.json: warningRules.cap</t>
        </is>
      </c>
      <c r="H4" t="inlineStr">
        <is>
          <t>6</t>
        </is>
      </c>
    </row>
    <row r="5">
      <c r="A5" t="inlineStr">
        <is>
          <t>escapeSpeed</t>
        </is>
      </c>
      <c r="B5" t="inlineStr">
        <is>
          <t>warningRules</t>
        </is>
      </c>
      <c r="C5" t="inlineStr">
        <is>
          <t>escapeSpeed</t>
        </is>
      </c>
      <c r="D5" t="n">
        <v>4.5</v>
      </c>
      <c r="F5" t="inlineStr">
        <is>
          <t>m/s</t>
        </is>
      </c>
      <c r="G5" t="inlineStr">
        <is>
          <t>Assets/MachineBrigade/Resources/Data/balance.json: warningRules.escapeSpeed</t>
        </is>
      </c>
      <c r="H5" t="inlineStr">
        <is>
          <t>4.5</t>
        </is>
      </c>
    </row>
    <row r="6">
      <c r="A6" t="inlineStr">
        <is>
          <t>fadeIn</t>
        </is>
      </c>
      <c r="B6" t="inlineStr">
        <is>
          <t>warningRules</t>
        </is>
      </c>
      <c r="C6" t="inlineStr">
        <is>
          <t>fadeIn</t>
        </is>
      </c>
      <c r="D6" t="n">
        <v>0.4</v>
      </c>
      <c r="F6" t="inlineStr">
        <is>
          <t>s</t>
        </is>
      </c>
      <c r="G6" t="inlineStr">
        <is>
          <t>Assets/MachineBrigade/Resources/Data/balance.json: warningRules.fadeIn</t>
        </is>
      </c>
      <c r="H6" t="inlineStr">
        <is>
          <t>0.4</t>
        </is>
      </c>
    </row>
    <row r="7">
      <c r="A7" t="inlineStr">
        <is>
          <t>floor406</t>
        </is>
      </c>
      <c r="B7" t="inlineStr">
        <is>
          <t>warningRules</t>
        </is>
      </c>
      <c r="C7" t="inlineStr">
        <is>
          <t>floor406</t>
        </is>
      </c>
      <c r="D7" t="n">
        <v>3.5</v>
      </c>
      <c r="F7" t="inlineStr">
        <is>
          <t>s</t>
        </is>
      </c>
      <c r="G7" t="inlineStr">
        <is>
          <t>Assets/MachineBrigade/Resources/Data/balance.json: warningRules.floor406</t>
        </is>
      </c>
      <c r="H7" t="inlineStr">
        <is>
          <t>3.5</t>
        </is>
      </c>
    </row>
    <row r="8">
      <c r="A8" t="inlineStr">
        <is>
          <t>floorT4</t>
        </is>
      </c>
      <c r="B8" t="inlineStr">
        <is>
          <t>warningRules</t>
        </is>
      </c>
      <c r="C8" t="inlineStr">
        <is>
          <t>floorT4</t>
        </is>
      </c>
      <c r="D8" t="n">
        <v>2.5</v>
      </c>
      <c r="F8" t="inlineStr">
        <is>
          <t>s</t>
        </is>
      </c>
      <c r="G8" t="inlineStr">
        <is>
          <t>Assets/MachineBrigade/Resources/Data/balance.json: warningRules.floorT4</t>
        </is>
      </c>
      <c r="H8" t="inlineStr">
        <is>
          <t>2.5</t>
        </is>
      </c>
    </row>
    <row r="9">
      <c r="A9" t="inlineStr">
        <is>
          <t>floorT5</t>
        </is>
      </c>
      <c r="B9" t="inlineStr">
        <is>
          <t>warningRules</t>
        </is>
      </c>
      <c r="C9" t="inlineStr">
        <is>
          <t>floorT5</t>
        </is>
      </c>
      <c r="D9" t="n">
        <v>4</v>
      </c>
      <c r="F9" t="inlineStr">
        <is>
          <t>s</t>
        </is>
      </c>
      <c r="G9" t="inlineStr">
        <is>
          <t>Assets/MachineBrigade/Resources/Data/balance.json: warningRules.floorT5</t>
        </is>
      </c>
      <c r="H9" t="inlineStr">
        <is>
          <t>4</t>
        </is>
      </c>
    </row>
    <row r="10">
      <c r="A10" t="inlineStr">
        <is>
          <t>gunMinMm</t>
        </is>
      </c>
      <c r="B10" t="inlineStr">
        <is>
          <t>warningRules</t>
        </is>
      </c>
      <c r="C10" t="inlineStr">
        <is>
          <t>gunMinMm</t>
        </is>
      </c>
      <c r="D10" t="n">
        <v>203</v>
      </c>
      <c r="F10" t="inlineStr">
        <is>
          <t>mm</t>
        </is>
      </c>
      <c r="G10" t="inlineStr">
        <is>
          <t>Assets/MachineBrigade/Resources/Data/balance.json: warningRules.gunMinMm</t>
        </is>
      </c>
      <c r="H10" t="inlineStr">
        <is>
          <t>203</t>
        </is>
      </c>
    </row>
    <row r="11">
      <c r="A11" t="inlineStr">
        <is>
          <t>maxShown</t>
        </is>
      </c>
      <c r="B11" t="inlineStr">
        <is>
          <t>warningRules</t>
        </is>
      </c>
      <c r="C11" t="inlineStr">
        <is>
          <t>maxShown</t>
        </is>
      </c>
      <c r="D11" t="n">
        <v>6</v>
      </c>
      <c r="F11" t="inlineStr"/>
      <c r="G11" t="inlineStr">
        <is>
          <t>Assets/MachineBrigade/Resources/Data/balance.json: warningRules.maxShown</t>
        </is>
      </c>
      <c r="H11" t="inlineStr">
        <is>
          <t>6</t>
        </is>
      </c>
    </row>
    <row r="12">
      <c r="A12" t="inlineStr">
        <is>
          <t>normalFire</t>
        </is>
      </c>
      <c r="B12" t="inlineStr">
        <is>
          <t>warningRules</t>
        </is>
      </c>
      <c r="C12" t="inlineStr">
        <is>
          <t>normalFire</t>
        </is>
      </c>
      <c r="D12" t="b">
        <v>0</v>
      </c>
      <c r="F12" t="inlineStr"/>
      <c r="G12" t="inlineStr">
        <is>
          <t>Assets/MachineBrigade/Resources/Data/balance.json: warningRules.normalFire</t>
        </is>
      </c>
      <c r="H12" t="inlineStr">
        <is>
          <t>false</t>
        </is>
      </c>
    </row>
    <row r="13">
      <c r="A13" t="inlineStr">
        <is>
          <t>rocketMinMm</t>
        </is>
      </c>
      <c r="B13" t="inlineStr">
        <is>
          <t>warningRules</t>
        </is>
      </c>
      <c r="C13" t="inlineStr">
        <is>
          <t>rocketMinMm</t>
        </is>
      </c>
      <c r="D13" t="n">
        <v>300</v>
      </c>
      <c r="F13" t="inlineStr">
        <is>
          <t>mm</t>
        </is>
      </c>
      <c r="G13" t="inlineStr">
        <is>
          <t>Assets/MachineBrigade/Resources/Data/balance.json: warningRules.rocketMinMm</t>
        </is>
      </c>
      <c r="H13" t="inlineStr">
        <is>
          <t>300</t>
        </is>
      </c>
    </row>
    <row r="14">
      <c r="A14" t="inlineStr">
        <is>
          <t>salvoMergeSeconds</t>
        </is>
      </c>
      <c r="B14" t="inlineStr">
        <is>
          <t>warningRules</t>
        </is>
      </c>
      <c r="C14" t="inlineStr">
        <is>
          <t>salvoMergeSeconds</t>
        </is>
      </c>
      <c r="D14" t="n">
        <v>0.6</v>
      </c>
      <c r="F14" t="inlineStr">
        <is>
          <t>s</t>
        </is>
      </c>
      <c r="G14" t="inlineStr">
        <is>
          <t>Assets/MachineBrigade/Resources/Data/balance.json: warningRules.salvoMergeSeconds</t>
        </is>
      </c>
      <c r="H14" t="inlineStr">
        <is>
          <t>0.6</t>
        </is>
      </c>
    </row>
  </sheetData>
  <autoFilter ref="A1:H1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0" customWidth="1" min="4" max="4"/>
    <col width="14" customWidth="1" min="5" max="5"/>
    <col width="24" customWidth="1" min="6" max="6"/>
    <col width="14" customWidth="1" min="7" max="7"/>
    <col width="23" customWidth="1" min="8" max="8"/>
    <col width="17" customWidth="1" min="9" max="9"/>
    <col width="15" customWidth="1" min="10" max="10"/>
    <col width="15" customWidth="1" min="11" max="11"/>
    <col width="49" customWidth="1" min="12" max="12"/>
    <col width="38" customWidth="1" min="13" max="13"/>
    <col width="35" customWidth="1" min="14" max="14"/>
    <col width="60" customWidth="1" min="15" max="15"/>
    <col width="6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vu_khi_id</t>
        </is>
      </c>
      <c r="C1" s="1" t="inlineStr">
        <is>
          <t>che_do_tha</t>
        </is>
      </c>
      <c r="D1" s="1" t="inlineStr">
        <is>
          <t>cach_tha</t>
        </is>
      </c>
      <c r="E1" s="1" t="inlineStr">
        <is>
          <t>so_bom_dai_n</t>
        </is>
      </c>
      <c r="F1" s="1" t="inlineStr">
        <is>
          <t>khoang_cach_giua_bom_m</t>
        </is>
      </c>
      <c r="G1" s="1" t="inlineStr">
        <is>
          <t>do_dai_dai_m</t>
        </is>
      </c>
      <c r="H1" s="1" t="inlineStr">
        <is>
          <t>chu_ky_tha_giua_bom_s</t>
        </is>
      </c>
      <c r="I1" s="1" t="inlineStr">
        <is>
          <t>ty_le_chong_lan</t>
        </is>
      </c>
      <c r="J1" s="1" t="inlineStr">
        <is>
          <t>do_rong_dai_m</t>
        </is>
      </c>
      <c r="K1" s="1" t="inlineStr">
        <is>
          <t>canh_bao_dang</t>
        </is>
      </c>
      <c r="L1" s="1" t="inlineStr">
        <is>
          <t>mang_boi</t>
        </is>
      </c>
      <c r="M1" s="1" t="inlineStr">
        <is>
          <t>the_vi</t>
        </is>
      </c>
      <c r="N1" s="1" t="inlineStr">
        <is>
          <t>the_en</t>
        </is>
      </c>
      <c r="O1" s="1" t="inlineStr">
        <is>
          <t>bang_day_du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bomber_payload</t>
        </is>
      </c>
      <c r="B2" t="inlineStr">
        <is>
          <t>bomber_payload</t>
        </is>
      </c>
      <c r="C2" t="inlineStr">
        <is>
          <t>STICK</t>
        </is>
      </c>
      <c r="D2" t="inlineStr">
        <is>
          <t>OVERFLY</t>
        </is>
      </c>
      <c r="E2" t="n">
        <v>7</v>
      </c>
      <c r="F2" t="n">
        <v>11</v>
      </c>
      <c r="G2" t="n">
        <v>66</v>
      </c>
      <c r="H2" t="n">
        <v>0.625</v>
      </c>
      <c r="I2" t="n">
        <v>0.909</v>
      </c>
      <c r="J2" t="n">
        <v>25</v>
      </c>
      <c r="K2" t="inlineStr">
        <is>
          <t>STICK_RECT</t>
        </is>
      </c>
      <c r="L2" t="inlineStr">
        <is>
          <t>heavy_bomber</t>
        </is>
      </c>
      <c r="M2" t="inlineStr">
        <is>
          <t>thả 7 quả, cách nhau 11 m, dải 66 m</t>
        </is>
      </c>
      <c r="N2" t="inlineStr">
        <is>
          <t>7 bombs 11 m apart, a 66 m stick</t>
        </is>
      </c>
      <c r="O2" t="inlineStr">
        <is>
          <t>Docs/export/bom_&lt;ngay&gt;/Machine_Brigade_Bom_&lt;ngay&gt;.xlsx; Docs/export/bom_&lt;ngay&gt;/Machine_Brigade_Bom_&lt;ngay&gt;.md; Docs/export/bom_&lt;ngay&gt;/BOM_REPORT.md</t>
        </is>
      </c>
      <c r="P2" t="inlineStr">
        <is>
          <t>Assets/MachineBrigade/Resources/Data/balance.json: weapons[bomber_payload].stick (giá trị game sau inherits); bản đủ: Docs/export/bom_&lt;ngay&gt;/</t>
        </is>
      </c>
      <c r="Q2" t="inlineStr"/>
    </row>
    <row r="3">
      <c r="A3" t="inlineStr">
        <is>
          <t>guided_bomb</t>
        </is>
      </c>
      <c r="B3" t="inlineStr">
        <is>
          <t>guided_bomb</t>
        </is>
      </c>
      <c r="C3" t="inlineStr">
        <is>
          <t>POINT</t>
        </is>
      </c>
      <c r="D3" t="inlineStr">
        <is>
          <t>OVERFLY</t>
        </is>
      </c>
      <c r="E3" t="n">
        <v>1</v>
      </c>
      <c r="F3" t="n">
        <v>0</v>
      </c>
      <c r="G3" t="n">
        <v>0</v>
      </c>
      <c r="H3" t="n">
        <v>0.1</v>
      </c>
      <c r="I3" t="n">
        <v>0</v>
      </c>
      <c r="J3" t="n">
        <v>8</v>
      </c>
      <c r="K3" t="inlineStr">
        <is>
          <t>NONE</t>
        </is>
      </c>
      <c r="L3" t="inlineStr">
        <is>
          <t>stealth_fighter;strike_drone</t>
        </is>
      </c>
      <c r="M3" t="inlineStr"/>
      <c r="N3" t="inlineStr"/>
      <c r="O3" t="inlineStr">
        <is>
          <t>Docs/export/bom_&lt;ngay&gt;/Machine_Brigade_Bom_&lt;ngay&gt;.xlsx; Docs/export/bom_&lt;ngay&gt;/Machine_Brigade_Bom_&lt;ngay&gt;.md; Docs/export/bom_&lt;ngay&gt;/BOM_REPORT.md</t>
        </is>
      </c>
      <c r="P3" t="inlineStr">
        <is>
          <t>Assets/MachineBrigade/Resources/Data/balance.json: weapons[guided_bomb].stick (giá trị game sau inherits); bản đủ: Docs/export/bom_&lt;ngay&gt;/</t>
        </is>
      </c>
      <c r="Q3" t="inlineStr"/>
    </row>
    <row r="4">
      <c r="A4" t="inlineStr">
        <is>
          <t>jet_bombs</t>
        </is>
      </c>
      <c r="B4" t="inlineStr">
        <is>
          <t>jet_bombs</t>
        </is>
      </c>
      <c r="C4" t="inlineStr">
        <is>
          <t>STICK</t>
        </is>
      </c>
      <c r="D4" t="inlineStr">
        <is>
          <t>OVERFLY</t>
        </is>
      </c>
      <c r="E4" t="n">
        <v>2</v>
      </c>
      <c r="F4" t="n">
        <v>8.800000000000001</v>
      </c>
      <c r="G4" t="n">
        <v>8.800000000000001</v>
      </c>
      <c r="H4" t="n">
        <v>0.3438</v>
      </c>
      <c r="I4" t="n">
        <v>0.909</v>
      </c>
      <c r="J4" t="n">
        <v>20</v>
      </c>
      <c r="K4" t="inlineStr">
        <is>
          <t>NONE</t>
        </is>
      </c>
      <c r="L4" t="inlineStr">
        <is>
          <t>attack_jet;elite_attack_jet;stealth_naval_strike</t>
        </is>
      </c>
      <c r="M4" t="inlineStr">
        <is>
          <t>thả 2 quả, cách nhau 8,8 m, dải 8,8 m</t>
        </is>
      </c>
      <c r="N4" t="inlineStr">
        <is>
          <t>2 bombs 8.8 m apart, a 8.8 m stick</t>
        </is>
      </c>
      <c r="O4" t="inlineStr">
        <is>
          <t>Docs/export/bom_&lt;ngay&gt;/Machine_Brigade_Bom_&lt;ngay&gt;.xlsx; Docs/export/bom_&lt;ngay&gt;/Machine_Brigade_Bom_&lt;ngay&gt;.md; Docs/export/bom_&lt;ngay&gt;/BOM_REPORT.md</t>
        </is>
      </c>
      <c r="P4" t="inlineStr">
        <is>
          <t>Assets/MachineBrigade/Resources/Data/balance.json: weapons[jet_bombs].stick (giá trị game sau inherits); bản đủ: Docs/export/bom_&lt;ngay&gt;/</t>
        </is>
      </c>
      <c r="Q4" t="inlineStr"/>
    </row>
    <row r="5">
      <c r="A5" t="inlineStr">
        <is>
          <t>p26_roc_main_roc_bombs</t>
        </is>
      </c>
      <c r="B5" t="inlineStr">
        <is>
          <t>p26_roc_main_roc_bombs</t>
        </is>
      </c>
      <c r="C5" t="inlineStr">
        <is>
          <t>STICK</t>
        </is>
      </c>
      <c r="D5" t="inlineStr">
        <is>
          <t>BAY</t>
        </is>
      </c>
      <c r="E5" t="n">
        <v>8</v>
      </c>
      <c r="F5" t="n">
        <v>11</v>
      </c>
      <c r="G5" t="n">
        <v>77</v>
      </c>
      <c r="H5" t="n">
        <v>0.3</v>
      </c>
      <c r="I5" t="n">
        <v>0.909</v>
      </c>
      <c r="J5" t="n">
        <v>45</v>
      </c>
      <c r="K5" t="inlineStr">
        <is>
          <t>STICK_RECT</t>
        </is>
      </c>
      <c r="L5" t="inlineStr">
        <is>
          <t>argus;command_airship</t>
        </is>
      </c>
      <c r="M5" t="inlineStr">
        <is>
          <t>thả 8 quả, cách nhau 11 m, dải 77 m</t>
        </is>
      </c>
      <c r="N5" t="inlineStr">
        <is>
          <t>8 bombs 11 m apart, a 77 m stick</t>
        </is>
      </c>
      <c r="O5" t="inlineStr">
        <is>
          <t>Docs/export/bom_&lt;ngay&gt;/Machine_Brigade_Bom_&lt;ngay&gt;.xlsx; Docs/export/bom_&lt;ngay&gt;/Machine_Brigade_Bom_&lt;ngay&gt;.md; Docs/export/bom_&lt;ngay&gt;/BOM_REPORT.md</t>
        </is>
      </c>
      <c r="P5" t="inlineStr">
        <is>
          <t>Assets/MachineBrigade/Resources/Data/balance.json: weapons[p26_roc_main_roc_bombs].stick (giá trị game sau inherits); bản đủ: Docs/export/bom_&lt;ngay&gt;/</t>
        </is>
      </c>
      <c r="Q5" t="inlineStr"/>
    </row>
    <row r="6">
      <c r="A6" t="inlineStr">
        <is>
          <t>p26_roc_roc_bombs</t>
        </is>
      </c>
      <c r="B6" t="inlineStr">
        <is>
          <t>p26_roc_roc_bombs</t>
        </is>
      </c>
      <c r="C6" t="inlineStr">
        <is>
          <t>STICK</t>
        </is>
      </c>
      <c r="D6" t="inlineStr">
        <is>
          <t>BAY</t>
        </is>
      </c>
      <c r="E6" t="n">
        <v>8</v>
      </c>
      <c r="F6" t="n">
        <v>5.5</v>
      </c>
      <c r="G6" t="n">
        <v>38.5</v>
      </c>
      <c r="H6" t="n">
        <v>0.3</v>
      </c>
      <c r="I6" t="inlineStr"/>
      <c r="J6" t="inlineStr"/>
      <c r="K6" t="inlineStr">
        <is>
          <t>STICK_RECT</t>
        </is>
      </c>
      <c r="L6" t="inlineStr"/>
      <c r="M6" t="inlineStr">
        <is>
          <t>thả 8 quả, cách nhau 5,5 m, dải 38 m</t>
        </is>
      </c>
      <c r="N6" t="inlineStr">
        <is>
          <t>8 bombs 5.5 m apart, a 38 m stick</t>
        </is>
      </c>
      <c r="O6" t="inlineStr">
        <is>
          <t>Docs/export/bom_&lt;ngay&gt;/Machine_Brigade_Bom_&lt;ngay&gt;.xlsx; Docs/export/bom_&lt;ngay&gt;/Machine_Brigade_Bom_&lt;ngay&gt;.md; Docs/export/bom_&lt;ngay&gt;/BOM_REPORT.md</t>
        </is>
      </c>
      <c r="P6" t="inlineStr">
        <is>
          <t>Assets/MachineBrigade/Resources/Data/balance.json: weapons[p26_roc_roc_bombs].stick (giá trị game sau inherits); bản đủ: Docs/export/bom_&lt;ngay&gt;/</t>
        </is>
      </c>
      <c r="Q6" t="inlineStr"/>
    </row>
    <row r="7">
      <c r="A7" t="inlineStr">
        <is>
          <t>stealth_payload</t>
        </is>
      </c>
      <c r="B7" t="inlineStr">
        <is>
          <t>stealth_payload</t>
        </is>
      </c>
      <c r="C7" t="inlineStr">
        <is>
          <t>POINT</t>
        </is>
      </c>
      <c r="D7" t="inlineStr">
        <is>
          <t>OVERFLY</t>
        </is>
      </c>
      <c r="E7" t="n">
        <v>2</v>
      </c>
      <c r="F7" t="n">
        <v>0</v>
      </c>
      <c r="G7" t="n">
        <v>0</v>
      </c>
      <c r="H7" t="n">
        <v>0.3</v>
      </c>
      <c r="I7" t="n">
        <v>0</v>
      </c>
      <c r="J7" t="n">
        <v>26</v>
      </c>
      <c r="K7" t="inlineStr">
        <is>
          <t>NONE</t>
        </is>
      </c>
      <c r="L7" t="inlineStr">
        <is>
          <t>stealth_bomber</t>
        </is>
      </c>
      <c r="M7" t="inlineStr"/>
      <c r="N7" t="inlineStr"/>
      <c r="O7" t="inlineStr">
        <is>
          <t>Docs/export/bom_&lt;ngay&gt;/Machine_Brigade_Bom_&lt;ngay&gt;.xlsx; Docs/export/bom_&lt;ngay&gt;/Machine_Brigade_Bom_&lt;ngay&gt;.md; Docs/export/bom_&lt;ngay&gt;/BOM_REPORT.md</t>
        </is>
      </c>
      <c r="P7" t="inlineStr">
        <is>
          <t>Assets/MachineBrigade/Resources/Data/balance.json: weapons[stealth_payload].stick (giá trị game sau inherits); bản đủ: Docs/export/bom_&lt;ngay&gt;/</t>
        </is>
      </c>
      <c r="Q7" t="inlineStr"/>
    </row>
  </sheetData>
  <autoFilter ref="A1:Q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57" customWidth="1" min="3" max="3"/>
    <col width="23" customWidth="1" min="4" max="4"/>
    <col width="56" customWidth="1" min="5" max="5"/>
    <col width="22" customWidth="1" min="6" max="6"/>
    <col width="60" customWidth="1" min="7" max="7"/>
    <col width="22" customWidth="1" min="8" max="8"/>
    <col width="29" customWidth="1" min="9" max="9"/>
    <col width="26" customWidth="1" min="10" max="10"/>
    <col width="60" customWidth="1" min="11" max="11"/>
    <col width="30" customWidth="1" min="12" max="12"/>
    <col width="60" customWidth="1" min="13" max="13"/>
    <col width="31" customWidth="1" min="14" max="14"/>
    <col width="60" customWidth="1" min="15" max="15"/>
    <col width="19" customWidth="1" min="16" max="16"/>
    <col width="60" customWidth="1" min="17" max="17"/>
    <col width="18" customWidth="1" min="18" max="18"/>
    <col width="60" customWidth="1" min="19" max="19"/>
    <col width="18" customWidth="1" min="20" max="20"/>
    <col width="60" customWidth="1" min="21" max="21"/>
    <col width="20" customWidth="1" min="22" max="22"/>
    <col width="60" customWidth="1" min="23" max="23"/>
    <col width="20" customWidth="1" min="24" max="24"/>
    <col width="60" customWidth="1" min="25" max="25"/>
    <col width="23" customWidth="1" min="26" max="26"/>
    <col width="60" customWidth="1" min="27" max="27"/>
    <col width="25" customWidth="1" min="28" max="28"/>
    <col width="60" customWidth="1" min="29" max="29"/>
    <col width="25" customWidth="1" min="30" max="30"/>
    <col width="60" customWidth="1" min="31" max="31"/>
    <col width="25" customWidth="1" min="32" max="32"/>
    <col width="60" customWidth="1" min="33" max="33"/>
    <col width="26" customWidth="1" min="34" max="34"/>
    <col width="36" customWidth="1" min="35" max="35"/>
    <col width="19" customWidth="1" min="36" max="36"/>
    <col width="36" customWidth="1" min="37" max="37"/>
    <col width="19" customWidth="1" min="38" max="38"/>
    <col width="36" customWidth="1" min="39" max="39"/>
    <col width="19" customWidth="1" min="40" max="40"/>
    <col width="36" customWidth="1" min="41" max="41"/>
    <col width="21" customWidth="1" min="42" max="42"/>
    <col width="36" customWidth="1" min="43" max="43"/>
    <col width="19" customWidth="1" min="44" max="44"/>
    <col width="60" customWidth="1" min="45" max="45"/>
    <col width="23" customWidth="1" min="46" max="46"/>
    <col width="36" customWidth="1" min="47" max="47"/>
    <col width="19" customWidth="1" min="48" max="48"/>
    <col width="60" customWidth="1" min="49" max="49"/>
    <col width="27" customWidth="1" min="50" max="50"/>
    <col width="31" customWidth="1" min="51" max="51"/>
    <col width="21" customWidth="1" min="52" max="52"/>
    <col width="19" customWidth="1" min="53" max="53"/>
    <col width="60" customWidth="1" min="54" max="54"/>
    <col width="10" customWidth="1" min="55" max="55"/>
  </cols>
  <sheetData>
    <row r="1">
      <c r="A1" s="1" t="inlineStr">
        <is>
          <t>id</t>
        </is>
      </c>
      <c r="B1" s="1" t="inlineStr">
        <is>
          <t>bac_so</t>
        </is>
      </c>
      <c r="C1" s="1" t="inlineStr">
        <is>
          <t>vien_moi_lan_bop</t>
        </is>
      </c>
      <c r="D1" s="1" t="inlineStr">
        <is>
          <t>vien_moi_lan_bop_game</t>
        </is>
      </c>
      <c r="E1" s="1" t="inlineStr">
        <is>
          <t>vien_moi_chu_ky</t>
        </is>
      </c>
      <c r="F1" s="1" t="inlineStr">
        <is>
          <t>vien_moi_chu_ky_game</t>
        </is>
      </c>
      <c r="G1" s="1" t="inlineStr">
        <is>
          <t>chu_ky_day_du_s</t>
        </is>
      </c>
      <c r="H1" s="1" t="inlineStr">
        <is>
          <t>chu_ky_day_du_s_game</t>
        </is>
      </c>
      <c r="I1" s="1" t="inlineStr">
        <is>
          <t>sat_thuong_moi_loat</t>
        </is>
      </c>
      <c r="J1" s="1" t="inlineStr">
        <is>
          <t>sat_thuong_moi_loat_game</t>
        </is>
      </c>
      <c r="K1" s="1" t="inlineStr">
        <is>
          <t>nap_lai_kho_hieu_dung_s</t>
        </is>
      </c>
      <c r="L1" s="1" t="inlineStr">
        <is>
          <t>nap_lai_kho_hieu_dung_s_game</t>
        </is>
      </c>
      <c r="M1" s="1" t="inlineStr">
        <is>
          <t>dps_duy_tri_mot_muc_tieu</t>
        </is>
      </c>
      <c r="N1" s="1" t="inlineStr">
        <is>
          <t>dps_duy_tri_mot_muc_tieu_game</t>
        </is>
      </c>
      <c r="O1" s="1" t="inlineStr">
        <is>
          <t>danh_tu_tren</t>
        </is>
      </c>
      <c r="P1" s="1" t="inlineStr">
        <is>
          <t>danh_tu_tren_game</t>
        </is>
      </c>
      <c r="Q1" s="1" t="inlineStr">
        <is>
          <t>ban_mat_dat</t>
        </is>
      </c>
      <c r="R1" s="1" t="inlineStr">
        <is>
          <t>ban_mat_dat_game</t>
        </is>
      </c>
      <c r="S1" s="1" t="inlineStr">
        <is>
          <t>ban_may_bay</t>
        </is>
      </c>
      <c r="T1" s="1" t="inlineStr">
        <is>
          <t>ban_may_bay_game</t>
        </is>
      </c>
      <c r="U1" s="1" t="inlineStr">
        <is>
          <t>he_so_mat_dat</t>
        </is>
      </c>
      <c r="V1" s="1" t="inlineStr">
        <is>
          <t>he_so_mat_dat_game</t>
        </is>
      </c>
      <c r="W1" s="1" t="inlineStr">
        <is>
          <t>he_so_may_bay</t>
        </is>
      </c>
      <c r="X1" s="1" t="inlineStr">
        <is>
          <t>he_so_may_bay_game</t>
        </is>
      </c>
      <c r="Y1" s="1" t="inlineStr">
        <is>
          <t>he_so_cong_trinh</t>
        </is>
      </c>
      <c r="Z1" s="1" t="inlineStr">
        <is>
          <t>he_so_cong_trinh_game</t>
        </is>
      </c>
      <c r="AA1" s="1" t="inlineStr">
        <is>
          <t>he_so_xuyen_giap_0</t>
        </is>
      </c>
      <c r="AB1" s="1" t="inlineStr">
        <is>
          <t>he_so_xuyen_giap_0_game</t>
        </is>
      </c>
      <c r="AC1" s="1" t="inlineStr">
        <is>
          <t>he_so_xuyen_giap_2</t>
        </is>
      </c>
      <c r="AD1" s="1" t="inlineStr">
        <is>
          <t>he_so_xuyen_giap_2_game</t>
        </is>
      </c>
      <c r="AE1" s="1" t="inlineStr">
        <is>
          <t>he_so_xuyen_giap_4</t>
        </is>
      </c>
      <c r="AF1" s="1" t="inlineStr">
        <is>
          <t>he_so_xuyen_giap_4_game</t>
        </is>
      </c>
      <c r="AG1" s="1" t="inlineStr">
        <is>
          <t>he_so_xuyen_may_bay</t>
        </is>
      </c>
      <c r="AH1" s="1" t="inlineStr">
        <is>
          <t>he_so_xuyen_may_bay_game</t>
        </is>
      </c>
      <c r="AI1" s="1" t="inlineStr">
        <is>
          <t>dps_giap_0</t>
        </is>
      </c>
      <c r="AJ1" s="1" t="inlineStr">
        <is>
          <t>dps_giap_0_game</t>
        </is>
      </c>
      <c r="AK1" s="1" t="inlineStr">
        <is>
          <t>dps_giap_2</t>
        </is>
      </c>
      <c r="AL1" s="1" t="inlineStr">
        <is>
          <t>dps_giap_2_game</t>
        </is>
      </c>
      <c r="AM1" s="1" t="inlineStr">
        <is>
          <t>dps_giap_4</t>
        </is>
      </c>
      <c r="AN1" s="1" t="inlineStr">
        <is>
          <t>dps_giap_4_game</t>
        </is>
      </c>
      <c r="AO1" s="1" t="inlineStr">
        <is>
          <t>dps_cong_trinh</t>
        </is>
      </c>
      <c r="AP1" s="1" t="inlineStr">
        <is>
          <t>dps_cong_trinh_game</t>
        </is>
      </c>
      <c r="AQ1" s="1" t="inlineStr">
        <is>
          <t>dps_may_bay</t>
        </is>
      </c>
      <c r="AR1" s="1" t="inlineStr">
        <is>
          <t>dps_may_bay_game</t>
        </is>
      </c>
      <c r="AS1" s="1" t="inlineStr">
        <is>
          <t>co_vong_canh_bao</t>
        </is>
      </c>
      <c r="AT1" s="1" t="inlineStr">
        <is>
          <t>co_vong_canh_bao_game</t>
        </is>
      </c>
      <c r="AU1" s="1" t="inlineStr">
        <is>
          <t>bac_canh_bao</t>
        </is>
      </c>
      <c r="AV1" s="1" t="inlineStr">
        <is>
          <t>bac_canh_bao_game</t>
        </is>
      </c>
      <c r="AW1" s="1" t="inlineStr">
        <is>
          <t>thoi_gian_canh_bao_s</t>
        </is>
      </c>
      <c r="AX1" s="1" t="inlineStr">
        <is>
          <t>thoi_gian_canh_bao_s_game</t>
        </is>
      </c>
      <c r="AY1" s="1" t="inlineStr">
        <is>
          <t>ty_le_chu_ky_so_voi_ngoai_doi</t>
        </is>
      </c>
      <c r="AZ1" s="1" t="inlineStr">
        <is>
          <t>ghi_chu_lech</t>
        </is>
      </c>
      <c r="BA1" s="1" t="inlineStr">
        <is>
          <t>cung_ho_nhat_quan</t>
        </is>
      </c>
      <c r="BB1" s="1" t="inlineStr">
        <is>
          <t>nguon</t>
        </is>
      </c>
      <c r="BC1" s="1" t="inlineStr">
        <is>
          <t>raw_json</t>
        </is>
      </c>
    </row>
    <row r="2">
      <c r="A2" t="inlineStr">
        <is>
          <t>aa_25_triple</t>
        </is>
      </c>
      <c r="B2" t="n">
        <v>1</v>
      </c>
      <c r="C2">
        <f>IF(Vu_khi!$O$2="SIMULTANEOUS",MAX(1,Vu_khi!$N$2),1)</f>
        <v/>
      </c>
      <c r="D2" t="n">
        <v>1</v>
      </c>
      <c r="E2">
        <f>IF(Vu_khi!$S$2&gt;0,Vu_khi!$S$2,Vu_khi!$P$2*$C$2)</f>
        <v/>
      </c>
      <c r="F2" t="n">
        <v>15</v>
      </c>
      <c r="G2">
        <f>IF(Vu_khi!$S$2&gt;0,(Vu_khi!$S$2-1)*Vu_khi!$R$2+Vu_khi!$T$2,Vu_khi!$R$2+(Vu_khi!$P$2-1)*Vu_khi!$Q$2)</f>
        <v/>
      </c>
      <c r="H2" t="n">
        <v>3.1</v>
      </c>
      <c r="I2">
        <f>Vu_khi!$W$2*MAX(1,$E$2)</f>
        <v/>
      </c>
      <c r="J2" t="n">
        <v>255</v>
      </c>
      <c r="K2">
        <f>IF(Vu_khi!$V$2&gt;0,Vu_khi!$V$2,MIN(28,MAX(10,Vu_khi!$U$2*Vu_khi!$R$2*0.4)))</f>
        <v/>
      </c>
      <c r="L2" t="n">
        <v>10</v>
      </c>
      <c r="M2">
        <f>IF(Vu_khi!$W$2&lt;=0,0,IF(Vu_khi!$U$2&gt;0,$I$2*Vu_khi!$U$2/(MAX(0.05,$G$2)*Vu_khi!$U$2+$K$2),$I$2/MAX(0.05,$G$2)))</f>
        <v/>
      </c>
      <c r="N2" t="n">
        <v>82.25806451612902</v>
      </c>
      <c r="O2">
        <f>OR(Vu_khi!$AG$2,Vu_khi!$AB$2&gt;0,Vu_khi!$AH$2,Vu_khi!$M$2="Bomb",Vu_khi!$M$2="Drone")</f>
        <v/>
      </c>
      <c r="P2" t="b">
        <v>0</v>
      </c>
      <c r="Q2">
        <f>AND(NOT(Vu_khi!$AJ$2),OR(Vu_khi!$AC$2="Ground",Vu_khi!$AC$2="All"))</f>
        <v/>
      </c>
      <c r="R2" t="b">
        <v>0</v>
      </c>
      <c r="S2">
        <f>AND(NOT(Vu_khi!$AJ$2),OR(Vu_khi!$AC$2="Air",Vu_khi!$AC$2="All"))</f>
        <v/>
      </c>
      <c r="T2" t="b">
        <v>1</v>
      </c>
      <c r="U2">
        <f>INDEX(Bang_sat_thuong!$B$2:$B$7,MATCH(Vu_khi!$K$2,Bang_sat_thuong!$A$2:$A$7,0))</f>
        <v/>
      </c>
      <c r="V2" t="n">
        <v>0.5</v>
      </c>
      <c r="W2">
        <f>INDEX(Bang_sat_thuong!$C$2:$C$7,MATCH(Vu_khi!$K$2,Bang_sat_thuong!$A$2:$A$7,0))</f>
        <v/>
      </c>
      <c r="X2" t="n">
        <v>1.3</v>
      </c>
      <c r="Y2">
        <f>IF(AND(Vu_khi!$AI$2,Vu_khi!$K$2="HighExplosive"),MAX(He_so_toan_cuc!$D$2,INDEX(Bang_sat_thuong!$D$2:$D$7,MATCH(Vu_khi!$K$2,Bang_sat_thuong!$A$2:$A$7,0))),INDEX(Bang_sat_thuong!$D$2:$D$7,MATCH(Vu_khi!$K$2,Bang_sat_thuong!$A$2:$A$7,0)))</f>
        <v/>
      </c>
      <c r="Z2" t="n">
        <v>0.1</v>
      </c>
      <c r="AA2">
        <f>INDEX(Bang_xuyen_giap!$C$2:$C$7,MIN(6,MAX(1,IF($O$2,MAX(1,2-(Vu_khi!$L$2-0)),2-(Vu_khi!$L$2-0))+1)))</f>
        <v/>
      </c>
      <c r="AB2" t="n">
        <v>1</v>
      </c>
      <c r="AC2">
        <f>INDEX(Bang_xuyen_giap!$C$2:$C$7,MIN(6,MAX(1,IF($O$2,MAX(1,2-(Vu_khi!$L$2-2)),2-(Vu_khi!$L$2-2))+1)))</f>
        <v/>
      </c>
      <c r="AD2" t="n">
        <v>0.5</v>
      </c>
      <c r="AE2">
        <f>INDEX(Bang_xuyen_giap!$C$2:$C$7,MIN(6,MAX(1,IF($O$2,MAX(1,2-(Vu_khi!$L$2-4)),2-(Vu_khi!$L$2-4))+1)))</f>
        <v/>
      </c>
      <c r="AF2" t="n">
        <v>0.1</v>
      </c>
      <c r="AG2">
        <f>INDEX(Bang_xuyen_giap!$C$2:$C$7,MIN(6,MAX(1,MAX(1,2-(Vu_khi!$L$2-0))+1)))</f>
        <v/>
      </c>
      <c r="AH2" t="n">
        <v>1</v>
      </c>
      <c r="AI2">
        <f>IF($Q$2,$M$2*$AA$2*$U$2,0)</f>
        <v/>
      </c>
      <c r="AJ2" t="n">
        <v>0</v>
      </c>
      <c r="AK2">
        <f>IF($Q$2,$M$2*$AC$2*$U$2,0)</f>
        <v/>
      </c>
      <c r="AL2" t="n">
        <v>0</v>
      </c>
      <c r="AM2">
        <f>IF($Q$2,$M$2*$AE$2*$U$2,0)</f>
        <v/>
      </c>
      <c r="AN2" t="n">
        <v>0</v>
      </c>
      <c r="AO2">
        <f>IF($Q$2,$M$2*$AC$2*$Y$2,0)</f>
        <v/>
      </c>
      <c r="AP2" t="n">
        <v>0</v>
      </c>
      <c r="AQ2">
        <f>IF($S$2,$M$2*$AG$2*$W$2,0)</f>
        <v/>
      </c>
      <c r="AR2" t="n">
        <v>106.9354838709677</v>
      </c>
      <c r="AS2">
        <f>IF(OR(Vu_khi!$M$2="Missile",Vu_khi!$M$2="Drone",AND(Vu_khi!$M$2="Rocket",OR(Vu_khi!$AM$2,Vu_khi!$D$2="guided")),Vu_khi!$AL$2,Vu_khi!$AK$2,Vu_khi!$X$2&lt;=0),FALSE,IF($B$2&gt;=0,$B$2&gt;=4,IF(Vu_khi!$M$2="Shell",Vu_khi!$AN$2&gt;=Canh_bao_vong!$D$10,IF(Vu_khi!$M$2="Bomb",Vu_khi!$AN$2&gt;=Canh_bao_vong!$D$3,IF(Vu_khi!$M$2="Rocket",Vu_khi!$AN$2&gt;=Canh_bao_vong!$D$13,FALSE)))))</f>
        <v/>
      </c>
      <c r="AT2" t="b">
        <v>0</v>
      </c>
      <c r="AU2">
        <f>IF(AND($B$2&lt;0,$AS$2),4,$B$2)</f>
        <v/>
      </c>
      <c r="AV2" t="n">
        <v>1</v>
      </c>
      <c r="AW2">
        <f>IF($AU$2&lt;4,0,MIN(MAX(0.5,Canh_bao_vong!$D$4),MAX(IF(Vu_khi!$C$2="cal_406",Canh_bao_vong!$D$7,IF($AU$2&gt;=5,Canh_bao_vong!$D$9,Canh_bao_vong!$D$8)),Canh_bao_vong!$D$2+MAX(0,Vu_khi!$X$2)/MAX(0.1,Canh_bao_vong!$D$5))))</f>
        <v/>
      </c>
      <c r="AX2" t="n">
        <v>0</v>
      </c>
      <c r="AY2" t="n">
        <v>2.686667</v>
      </c>
      <c r="AZ2" t="inlineStr">
        <is>
          <t>ok</t>
        </is>
      </c>
      <c r="BA2" t="b">
        <v>1</v>
      </c>
      <c r="BB2" t="inlineStr">
        <is>
          <t>Assets/MachineBrigade/Resources/Data/balance.json: weapons[id=aa_25_triple] (lớp B trên 01_chien_dau/Vu_khi)</t>
        </is>
      </c>
      <c r="BC2" t="inlineStr"/>
    </row>
    <row r="3">
      <c r="A3" t="inlineStr">
        <is>
          <t>aa_25_triple_ap</t>
        </is>
      </c>
      <c r="B3" t="n">
        <v>1</v>
      </c>
      <c r="C3">
        <f>IF(Vu_khi!$O$3="SIMULTANEOUS",MAX(1,Vu_khi!$N$3),1)</f>
        <v/>
      </c>
      <c r="D3" t="n">
        <v>1</v>
      </c>
      <c r="E3">
        <f>IF(Vu_khi!$S$3&gt;0,Vu_khi!$S$3,Vu_khi!$P$3*$C$3)</f>
        <v/>
      </c>
      <c r="F3" t="n">
        <v>15</v>
      </c>
      <c r="G3">
        <f>IF(Vu_khi!$S$3&gt;0,(Vu_khi!$S$3-1)*Vu_khi!$R$3+Vu_khi!$T$3,Vu_khi!$R$3+(Vu_khi!$P$3-1)*Vu_khi!$Q$3)</f>
        <v/>
      </c>
      <c r="H3" t="n">
        <v>3.1</v>
      </c>
      <c r="I3">
        <f>Vu_khi!$W$3*MAX(1,$E$3)</f>
        <v/>
      </c>
      <c r="J3" t="n">
        <v>255</v>
      </c>
      <c r="K3">
        <f>IF(Vu_khi!$V$3&gt;0,Vu_khi!$V$3,MIN(28,MAX(10,Vu_khi!$U$3*Vu_khi!$R$3*0.4)))</f>
        <v/>
      </c>
      <c r="L3" t="n">
        <v>10</v>
      </c>
      <c r="M3">
        <f>IF(Vu_khi!$W$3&lt;=0,0,IF(Vu_khi!$U$3&gt;0,$I$3*Vu_khi!$U$3/(MAX(0.05,$G$3)*Vu_khi!$U$3+$K$3),$I$3/MAX(0.05,$G$3)))</f>
        <v/>
      </c>
      <c r="N3" t="n">
        <v>82.25806451612902</v>
      </c>
      <c r="O3">
        <f>OR(Vu_khi!$AG$3,Vu_khi!$AB$3&gt;0,Vu_khi!$AH$3,Vu_khi!$M$3="Bomb",Vu_khi!$M$3="Drone")</f>
        <v/>
      </c>
      <c r="P3" t="b">
        <v>0</v>
      </c>
      <c r="Q3">
        <f>AND(NOT(Vu_khi!$AJ$3),OR(Vu_khi!$AC$3="Ground",Vu_khi!$AC$3="All"))</f>
        <v/>
      </c>
      <c r="R3" t="b">
        <v>1</v>
      </c>
      <c r="S3">
        <f>AND(NOT(Vu_khi!$AJ$3),OR(Vu_khi!$AC$3="Air",Vu_khi!$AC$3="All"))</f>
        <v/>
      </c>
      <c r="T3" t="b">
        <v>0</v>
      </c>
      <c r="U3">
        <f>INDEX(Bang_sat_thuong!$B$2:$B$7,MATCH(Vu_khi!$K$3,Bang_sat_thuong!$A$2:$A$7,0))</f>
        <v/>
      </c>
      <c r="V3" t="n">
        <v>1</v>
      </c>
      <c r="W3">
        <f>INDEX(Bang_sat_thuong!$C$2:$C$7,MATCH(Vu_khi!$K$3,Bang_sat_thuong!$A$2:$A$7,0))</f>
        <v/>
      </c>
      <c r="X3" t="n">
        <v>0.3</v>
      </c>
      <c r="Y3">
        <f>IF(AND(Vu_khi!$AI$3,Vu_khi!$K$3="HighExplosive"),MAX(He_so_toan_cuc!$D$2,INDEX(Bang_sat_thuong!$D$2:$D$7,MATCH(Vu_khi!$K$3,Bang_sat_thuong!$A$2:$A$7,0))),INDEX(Bang_sat_thuong!$D$2:$D$7,MATCH(Vu_khi!$K$3,Bang_sat_thuong!$A$2:$A$7,0)))</f>
        <v/>
      </c>
      <c r="Z3" t="n">
        <v>0.6</v>
      </c>
      <c r="AA3">
        <f>INDEX(Bang_xuyen_giap!$C$2:$C$7,MIN(6,MAX(1,IF($O$3,MAX(1,2-(Vu_khi!$L$3-0)),2-(Vu_khi!$L$3-0))+1)))</f>
        <v/>
      </c>
      <c r="AB3" t="n">
        <v>1.2</v>
      </c>
      <c r="AC3">
        <f>INDEX(Bang_xuyen_giap!$C$2:$C$7,MIN(6,MAX(1,IF($O$3,MAX(1,2-(Vu_khi!$L$3-2)),2-(Vu_khi!$L$3-2))+1)))</f>
        <v/>
      </c>
      <c r="AD3" t="n">
        <v>0.85</v>
      </c>
      <c r="AE3">
        <f>INDEX(Bang_xuyen_giap!$C$2:$C$7,MIN(6,MAX(1,IF($O$3,MAX(1,2-(Vu_khi!$L$3-4)),2-(Vu_khi!$L$3-4))+1)))</f>
        <v/>
      </c>
      <c r="AF3" t="n">
        <v>0.25</v>
      </c>
      <c r="AG3">
        <f>INDEX(Bang_xuyen_giap!$C$2:$C$7,MIN(6,MAX(1,MAX(1,2-(Vu_khi!$L$3-0))+1)))</f>
        <v/>
      </c>
      <c r="AH3" t="n">
        <v>1</v>
      </c>
      <c r="AI3">
        <f>IF($Q$3,$M$3*$AA$3*$U$3,0)</f>
        <v/>
      </c>
      <c r="AJ3" t="n">
        <v>98.70967741935483</v>
      </c>
      <c r="AK3">
        <f>IF($Q$3,$M$3*$AC$3*$U$3,0)</f>
        <v/>
      </c>
      <c r="AL3" t="n">
        <v>69.91935483870967</v>
      </c>
      <c r="AM3">
        <f>IF($Q$3,$M$3*$AE$3*$U$3,0)</f>
        <v/>
      </c>
      <c r="AN3" t="n">
        <v>20.56451612903226</v>
      </c>
      <c r="AO3">
        <f>IF($Q$3,$M$3*$AC$3*$Y$3,0)</f>
        <v/>
      </c>
      <c r="AP3" t="n">
        <v>41.9516129032258</v>
      </c>
      <c r="AQ3">
        <f>IF($S$3,$M$3*$AG$3*$W$3,0)</f>
        <v/>
      </c>
      <c r="AR3" t="n">
        <v>0</v>
      </c>
      <c r="AS3">
        <f>IF(OR(Vu_khi!$M$3="Missile",Vu_khi!$M$3="Drone",AND(Vu_khi!$M$3="Rocket",OR(Vu_khi!$AM$3,Vu_khi!$D$3="guided")),Vu_khi!$AL$3,Vu_khi!$AK$3,Vu_khi!$X$3&lt;=0),FALSE,IF($B$3&gt;=0,$B$3&gt;=4,IF(Vu_khi!$M$3="Shell",Vu_khi!$AN$3&gt;=Canh_bao_vong!$D$10,IF(Vu_khi!$M$3="Bomb",Vu_khi!$AN$3&gt;=Canh_bao_vong!$D$3,IF(Vu_khi!$M$3="Rocket",Vu_khi!$AN$3&gt;=Canh_bao_vong!$D$13,FALSE)))))</f>
        <v/>
      </c>
      <c r="AT3" t="b">
        <v>0</v>
      </c>
      <c r="AU3">
        <f>IF(AND($B$3&lt;0,$AS$3),4,$B$3)</f>
        <v/>
      </c>
      <c r="AV3" t="n">
        <v>1</v>
      </c>
      <c r="AW3">
        <f>IF($AU$3&lt;4,0,MIN(MAX(0.5,Canh_bao_vong!$D$4),MAX(IF(Vu_khi!$C$3="cal_406",Canh_bao_vong!$D$7,IF($AU$3&gt;=5,Canh_bao_vong!$D$9,Canh_bao_vong!$D$8)),Canh_bao_vong!$D$2+MAX(0,Vu_khi!$X$3)/MAX(0.1,Canh_bao_vong!$D$5))))</f>
        <v/>
      </c>
      <c r="AX3" t="n">
        <v>0</v>
      </c>
      <c r="BB3" t="inlineStr">
        <is>
          <t>Assets/MachineBrigade/Resources/Data/balance.json: weapons[id=aa_25_triple_ap] (lớp B trên 01_chien_dau/Vu_khi)</t>
        </is>
      </c>
      <c r="BC3" t="inlineStr"/>
    </row>
    <row r="4">
      <c r="A4" t="inlineStr">
        <is>
          <t>agl_40</t>
        </is>
      </c>
      <c r="B4" t="n">
        <v>1</v>
      </c>
      <c r="C4">
        <f>IF(Vu_khi!$O$4="SIMULTANEOUS",MAX(1,Vu_khi!$N$4),1)</f>
        <v/>
      </c>
      <c r="D4" t="n">
        <v>1</v>
      </c>
      <c r="E4">
        <f>IF(Vu_khi!$S$4&gt;0,Vu_khi!$S$4,Vu_khi!$P$4*$C$4)</f>
        <v/>
      </c>
      <c r="F4" t="n">
        <v>6</v>
      </c>
      <c r="G4">
        <f>IF(Vu_khi!$S$4&gt;0,(Vu_khi!$S$4-1)*Vu_khi!$R$4+Vu_khi!$T$4,Vu_khi!$R$4+(Vu_khi!$P$4-1)*Vu_khi!$Q$4)</f>
        <v/>
      </c>
      <c r="H4" t="n">
        <v>4.2</v>
      </c>
      <c r="I4">
        <f>Vu_khi!$W$4*MAX(1,$E$4)</f>
        <v/>
      </c>
      <c r="J4" t="n">
        <v>156</v>
      </c>
      <c r="K4">
        <f>IF(Vu_khi!$V$4&gt;0,Vu_khi!$V$4,MIN(28,MAX(10,Vu_khi!$U$4*Vu_khi!$R$4*0.4)))</f>
        <v/>
      </c>
      <c r="L4" t="n">
        <v>10</v>
      </c>
      <c r="M4">
        <f>IF(Vu_khi!$W$4&lt;=0,0,IF(Vu_khi!$U$4&gt;0,$I$4*Vu_khi!$U$4/(MAX(0.05,$G$4)*Vu_khi!$U$4+$K$4),$I$4/MAX(0.05,$G$4)))</f>
        <v/>
      </c>
      <c r="N4" t="n">
        <v>37.14285714285714</v>
      </c>
      <c r="O4">
        <f>OR(Vu_khi!$AG$4,Vu_khi!$AB$4&gt;0,Vu_khi!$AH$4,Vu_khi!$M$4="Bomb",Vu_khi!$M$4="Drone")</f>
        <v/>
      </c>
      <c r="P4" t="b">
        <v>0</v>
      </c>
      <c r="Q4">
        <f>AND(NOT(Vu_khi!$AJ$4),OR(Vu_khi!$AC$4="Ground",Vu_khi!$AC$4="All"))</f>
        <v/>
      </c>
      <c r="R4" t="b">
        <v>1</v>
      </c>
      <c r="S4">
        <f>AND(NOT(Vu_khi!$AJ$4),OR(Vu_khi!$AC$4="Air",Vu_khi!$AC$4="All"))</f>
        <v/>
      </c>
      <c r="T4" t="b">
        <v>0</v>
      </c>
      <c r="U4">
        <f>INDEX(Bang_sat_thuong!$B$2:$B$7,MATCH(Vu_khi!$K$4,Bang_sat_thuong!$A$2:$A$7,0))</f>
        <v/>
      </c>
      <c r="V4" t="n">
        <v>1</v>
      </c>
      <c r="W4">
        <f>INDEX(Bang_sat_thuong!$C$2:$C$7,MATCH(Vu_khi!$K$4,Bang_sat_thuong!$A$2:$A$7,0))</f>
        <v/>
      </c>
      <c r="X4" t="n">
        <v>0</v>
      </c>
      <c r="Y4">
        <f>IF(AND(Vu_khi!$AI$4,Vu_khi!$K$4="HighExplosive"),MAX(He_so_toan_cuc!$D$2,INDEX(Bang_sat_thuong!$D$2:$D$7,MATCH(Vu_khi!$K$4,Bang_sat_thuong!$A$2:$A$7,0))),INDEX(Bang_sat_thuong!$D$2:$D$7,MATCH(Vu_khi!$K$4,Bang_sat_thuong!$A$2:$A$7,0)))</f>
        <v/>
      </c>
      <c r="Z4" t="n">
        <v>1.5</v>
      </c>
      <c r="AA4">
        <f>INDEX(Bang_xuyen_giap!$C$2:$C$7,MIN(6,MAX(1,IF($O$4,MAX(1,2-(Vu_khi!$L$4-0)),2-(Vu_khi!$L$4-0))+1)))</f>
        <v/>
      </c>
      <c r="AB4" t="n">
        <v>1.2</v>
      </c>
      <c r="AC4">
        <f>INDEX(Bang_xuyen_giap!$C$2:$C$7,MIN(6,MAX(1,IF($O$4,MAX(1,2-(Vu_khi!$L$4-2)),2-(Vu_khi!$L$4-2))+1)))</f>
        <v/>
      </c>
      <c r="AD4" t="n">
        <v>0.85</v>
      </c>
      <c r="AE4">
        <f>INDEX(Bang_xuyen_giap!$C$2:$C$7,MIN(6,MAX(1,IF($O$4,MAX(1,2-(Vu_khi!$L$4-4)),2-(Vu_khi!$L$4-4))+1)))</f>
        <v/>
      </c>
      <c r="AF4" t="n">
        <v>0.25</v>
      </c>
      <c r="AG4">
        <f>INDEX(Bang_xuyen_giap!$C$2:$C$7,MIN(6,MAX(1,MAX(1,2-(Vu_khi!$L$4-0))+1)))</f>
        <v/>
      </c>
      <c r="AH4" t="n">
        <v>1</v>
      </c>
      <c r="AI4">
        <f>IF($Q$4,$M$4*$AA$4*$U$4,0)</f>
        <v/>
      </c>
      <c r="AJ4" t="n">
        <v>44.57142857142856</v>
      </c>
      <c r="AK4">
        <f>IF($Q$4,$M$4*$AC$4*$U$4,0)</f>
        <v/>
      </c>
      <c r="AL4" t="n">
        <v>31.57142857142857</v>
      </c>
      <c r="AM4">
        <f>IF($Q$4,$M$4*$AE$4*$U$4,0)</f>
        <v/>
      </c>
      <c r="AN4" t="n">
        <v>9.285714285714285</v>
      </c>
      <c r="AO4">
        <f>IF($Q$4,$M$4*$AC$4*$Y$4,0)</f>
        <v/>
      </c>
      <c r="AP4" t="n">
        <v>47.35714285714285</v>
      </c>
      <c r="AQ4">
        <f>IF($S$4,$M$4*$AG$4*$W$4,0)</f>
        <v/>
      </c>
      <c r="AR4" t="n">
        <v>0</v>
      </c>
      <c r="AS4">
        <f>IF(OR(Vu_khi!$M$4="Missile",Vu_khi!$M$4="Drone",AND(Vu_khi!$M$4="Rocket",OR(Vu_khi!$AM$4,Vu_khi!$D$4="guided")),Vu_khi!$AL$4,Vu_khi!$AK$4,Vu_khi!$X$4&lt;=0),FALSE,IF($B$4&gt;=0,$B$4&gt;=4,IF(Vu_khi!$M$4="Shell",Vu_khi!$AN$4&gt;=Canh_bao_vong!$D$10,IF(Vu_khi!$M$4="Bomb",Vu_khi!$AN$4&gt;=Canh_bao_vong!$D$3,IF(Vu_khi!$M$4="Rocket",Vu_khi!$AN$4&gt;=Canh_bao_vong!$D$13,FALSE)))))</f>
        <v/>
      </c>
      <c r="AT4" t="b">
        <v>0</v>
      </c>
      <c r="AU4">
        <f>IF(AND($B$4&lt;0,$AS$4),4,$B$4)</f>
        <v/>
      </c>
      <c r="AV4" t="n">
        <v>1</v>
      </c>
      <c r="AW4">
        <f>IF($AU$4&lt;4,0,MIN(MAX(0.5,Canh_bao_vong!$D$4),MAX(IF(Vu_khi!$C$4="cal_406",Canh_bao_vong!$D$7,IF($AU$4&gt;=5,Canh_bao_vong!$D$9,Canh_bao_vong!$D$8)),Canh_bao_vong!$D$2+MAX(0,Vu_khi!$X$4)/MAX(0.1,Canh_bao_vong!$D$5))))</f>
        <v/>
      </c>
      <c r="AX4" t="n">
        <v>0</v>
      </c>
      <c r="AY4" t="n">
        <v>4.375</v>
      </c>
      <c r="AZ4" t="inlineStr">
        <is>
          <t>ok</t>
        </is>
      </c>
      <c r="BA4" t="inlineStr"/>
      <c r="BB4" t="inlineStr">
        <is>
          <t>Assets/MachineBrigade/Resources/Data/balance.json: weapons[id=agl_40] (lớp B trên 01_chien_dau/Vu_khi)</t>
        </is>
      </c>
      <c r="BC4" t="inlineStr"/>
    </row>
    <row r="5">
      <c r="A5" t="inlineStr">
        <is>
          <t>air_cruise_missile</t>
        </is>
      </c>
      <c r="B5" t="n">
        <v>4</v>
      </c>
      <c r="C5">
        <f>IF(Vu_khi!$O$5="SIMULTANEOUS",MAX(1,Vu_khi!$N$5),1)</f>
        <v/>
      </c>
      <c r="D5" t="n">
        <v>1</v>
      </c>
      <c r="E5">
        <f>IF(Vu_khi!$S$5&gt;0,Vu_khi!$S$5,Vu_khi!$P$5*$C$5)</f>
        <v/>
      </c>
      <c r="F5" t="n">
        <v>1</v>
      </c>
      <c r="G5">
        <f>IF(Vu_khi!$S$5&gt;0,(Vu_khi!$S$5-1)*Vu_khi!$R$5+Vu_khi!$T$5,Vu_khi!$R$5+(Vu_khi!$P$5-1)*Vu_khi!$Q$5)</f>
        <v/>
      </c>
      <c r="H5" t="n">
        <v>11.2</v>
      </c>
      <c r="I5">
        <f>Vu_khi!$W$5*MAX(1,$E$5)</f>
        <v/>
      </c>
      <c r="J5" t="n">
        <v>378</v>
      </c>
      <c r="K5">
        <f>IF(Vu_khi!$V$5&gt;0,Vu_khi!$V$5,MIN(28,MAX(10,Vu_khi!$U$5*Vu_khi!$R$5*0.4)))</f>
        <v/>
      </c>
      <c r="L5" t="n">
        <v>10</v>
      </c>
      <c r="M5">
        <f>IF(Vu_khi!$W$5&lt;=0,0,IF(Vu_khi!$U$5&gt;0,$I$5*Vu_khi!$U$5/(MAX(0.05,$G$5)*Vu_khi!$U$5+$K$5),$I$5/MAX(0.05,$G$5)))</f>
        <v/>
      </c>
      <c r="N5" t="n">
        <v>33.75</v>
      </c>
      <c r="O5">
        <f>OR(Vu_khi!$AG$5,Vu_khi!$AB$5&gt;0,Vu_khi!$AH$5,Vu_khi!$M$5="Bomb",Vu_khi!$M$5="Drone")</f>
        <v/>
      </c>
      <c r="P5" t="b">
        <v>0</v>
      </c>
      <c r="Q5">
        <f>AND(NOT(Vu_khi!$AJ$5),OR(Vu_khi!$AC$5="Ground",Vu_khi!$AC$5="All"))</f>
        <v/>
      </c>
      <c r="R5" t="b">
        <v>1</v>
      </c>
      <c r="S5">
        <f>AND(NOT(Vu_khi!$AJ$5),OR(Vu_khi!$AC$5="Air",Vu_khi!$AC$5="All"))</f>
        <v/>
      </c>
      <c r="T5" t="b">
        <v>0</v>
      </c>
      <c r="U5">
        <f>INDEX(Bang_sat_thuong!$B$2:$B$7,MATCH(Vu_khi!$K$5,Bang_sat_thuong!$A$2:$A$7,0))</f>
        <v/>
      </c>
      <c r="V5" t="n">
        <v>1</v>
      </c>
      <c r="W5">
        <f>INDEX(Bang_sat_thuong!$C$2:$C$7,MATCH(Vu_khi!$K$5,Bang_sat_thuong!$A$2:$A$7,0))</f>
        <v/>
      </c>
      <c r="X5" t="n">
        <v>0</v>
      </c>
      <c r="Y5">
        <f>IF(AND(Vu_khi!$AI$5,Vu_khi!$K$5="HighExplosive"),MAX(He_so_toan_cuc!$D$2,INDEX(Bang_sat_thuong!$D$2:$D$7,MATCH(Vu_khi!$K$5,Bang_sat_thuong!$A$2:$A$7,0))),INDEX(Bang_sat_thuong!$D$2:$D$7,MATCH(Vu_khi!$K$5,Bang_sat_thuong!$A$2:$A$7,0)))</f>
        <v/>
      </c>
      <c r="Z5" t="n">
        <v>1.5</v>
      </c>
      <c r="AA5">
        <f>INDEX(Bang_xuyen_giap!$C$2:$C$7,MIN(6,MAX(1,IF($O$5,MAX(1,2-(Vu_khi!$L$5-0)),2-(Vu_khi!$L$5-0))+1)))</f>
        <v/>
      </c>
      <c r="AB5" t="n">
        <v>1.2</v>
      </c>
      <c r="AC5">
        <f>INDEX(Bang_xuyen_giap!$C$2:$C$7,MIN(6,MAX(1,IF($O$5,MAX(1,2-(Vu_khi!$L$5-2)),2-(Vu_khi!$L$5-2))+1)))</f>
        <v/>
      </c>
      <c r="AD5" t="n">
        <v>1</v>
      </c>
      <c r="AE5">
        <f>INDEX(Bang_xuyen_giap!$C$2:$C$7,MIN(6,MAX(1,IF($O$5,MAX(1,2-(Vu_khi!$L$5-4)),2-(Vu_khi!$L$5-4))+1)))</f>
        <v/>
      </c>
      <c r="AF5" t="n">
        <v>0.5</v>
      </c>
      <c r="AG5">
        <f>INDEX(Bang_xuyen_giap!$C$2:$C$7,MIN(6,MAX(1,MAX(1,2-(Vu_khi!$L$5-0))+1)))</f>
        <v/>
      </c>
      <c r="AH5" t="n">
        <v>1</v>
      </c>
      <c r="AI5">
        <f>IF($Q$5,$M$5*$AA$5*$U$5,0)</f>
        <v/>
      </c>
      <c r="AJ5" t="n">
        <v>40.5</v>
      </c>
      <c r="AK5">
        <f>IF($Q$5,$M$5*$AC$5*$U$5,0)</f>
        <v/>
      </c>
      <c r="AL5" t="n">
        <v>33.75</v>
      </c>
      <c r="AM5">
        <f>IF($Q$5,$M$5*$AE$5*$U$5,0)</f>
        <v/>
      </c>
      <c r="AN5" t="n">
        <v>16.875</v>
      </c>
      <c r="AO5">
        <f>IF($Q$5,$M$5*$AC$5*$Y$5,0)</f>
        <v/>
      </c>
      <c r="AP5" t="n">
        <v>50.625</v>
      </c>
      <c r="AQ5">
        <f>IF($S$5,$M$5*$AG$5*$W$5,0)</f>
        <v/>
      </c>
      <c r="AR5" t="n">
        <v>0</v>
      </c>
      <c r="AS5">
        <f>IF(OR(Vu_khi!$M$5="Missile",Vu_khi!$M$5="Drone",AND(Vu_khi!$M$5="Rocket",OR(Vu_khi!$AM$5,Vu_khi!$D$5="guided")),Vu_khi!$AL$5,Vu_khi!$AK$5,Vu_khi!$X$5&lt;=0),FALSE,IF($B$5&gt;=0,$B$5&gt;=4,IF(Vu_khi!$M$5="Shell",Vu_khi!$AN$5&gt;=Canh_bao_vong!$D$10,IF(Vu_khi!$M$5="Bomb",Vu_khi!$AN$5&gt;=Canh_bao_vong!$D$3,IF(Vu_khi!$M$5="Rocket",Vu_khi!$AN$5&gt;=Canh_bao_vong!$D$13,FALSE)))))</f>
        <v/>
      </c>
      <c r="AT5" t="b">
        <v>0</v>
      </c>
      <c r="AU5">
        <f>IF(AND($B$5&lt;0,$AS$5),4,$B$5)</f>
        <v/>
      </c>
      <c r="AV5" t="n">
        <v>4</v>
      </c>
      <c r="AW5">
        <f>IF($AU$5&lt;4,0,MIN(MAX(0.5,Canh_bao_vong!$D$4),MAX(IF(Vu_khi!$C$5="cal_406",Canh_bao_vong!$D$7,IF($AU$5&gt;=5,Canh_bao_vong!$D$9,Canh_bao_vong!$D$8)),Canh_bao_vong!$D$2+MAX(0,Vu_khi!$X$5)/MAX(0.1,Canh_bao_vong!$D$5))))</f>
        <v/>
      </c>
      <c r="AX5" t="n">
        <v>2.5</v>
      </c>
      <c r="AY5" t="inlineStr"/>
      <c r="AZ5" t="inlineStr">
        <is>
          <t>ok</t>
        </is>
      </c>
      <c r="BA5" t="inlineStr"/>
      <c r="BB5" t="inlineStr">
        <is>
          <t>Assets/MachineBrigade/Resources/Data/balance.json: weapons[id=air_cruise_missile] (lớp B trên 01_chien_dau/Vu_khi)</t>
        </is>
      </c>
      <c r="BC5" t="inlineStr"/>
    </row>
    <row r="6">
      <c r="A6" t="inlineStr">
        <is>
          <t>air_to_air</t>
        </is>
      </c>
      <c r="B6" t="n">
        <v>2</v>
      </c>
      <c r="C6">
        <f>IF(Vu_khi!$O$6="SIMULTANEOUS",MAX(1,Vu_khi!$N$6),1)</f>
        <v/>
      </c>
      <c r="D6" t="n">
        <v>1</v>
      </c>
      <c r="E6">
        <f>IF(Vu_khi!$S$6&gt;0,Vu_khi!$S$6,Vu_khi!$P$6*$C$6)</f>
        <v/>
      </c>
      <c r="F6" t="n">
        <v>1</v>
      </c>
      <c r="G6">
        <f>IF(Vu_khi!$S$6&gt;0,(Vu_khi!$S$6-1)*Vu_khi!$R$6+Vu_khi!$T$6,Vu_khi!$R$6+(Vu_khi!$P$6-1)*Vu_khi!$Q$6)</f>
        <v/>
      </c>
      <c r="H6" t="n">
        <v>3.99</v>
      </c>
      <c r="I6">
        <f>Vu_khi!$W$6*MAX(1,$E$6)</f>
        <v/>
      </c>
      <c r="J6" t="n">
        <v>294</v>
      </c>
      <c r="K6">
        <f>IF(Vu_khi!$V$6&gt;0,Vu_khi!$V$6,MIN(28,MAX(10,Vu_khi!$U$6*Vu_khi!$R$6*0.4)))</f>
        <v/>
      </c>
      <c r="L6" t="n">
        <v>10</v>
      </c>
      <c r="M6">
        <f>IF(Vu_khi!$W$6&lt;=0,0,IF(Vu_khi!$U$6&gt;0,$I$6*Vu_khi!$U$6/(MAX(0.05,$G$6)*Vu_khi!$U$6+$K$6),$I$6/MAX(0.05,$G$6)))</f>
        <v/>
      </c>
      <c r="N6" t="n">
        <v>73.68421052631578</v>
      </c>
      <c r="O6">
        <f>OR(Vu_khi!$AG$6,Vu_khi!$AB$6&gt;0,Vu_khi!$AH$6,Vu_khi!$M$6="Bomb",Vu_khi!$M$6="Drone")</f>
        <v/>
      </c>
      <c r="P6" t="b">
        <v>0</v>
      </c>
      <c r="Q6">
        <f>AND(NOT(Vu_khi!$AJ$6),OR(Vu_khi!$AC$6="Ground",Vu_khi!$AC$6="All"))</f>
        <v/>
      </c>
      <c r="R6" t="b">
        <v>0</v>
      </c>
      <c r="S6">
        <f>AND(NOT(Vu_khi!$AJ$6),OR(Vu_khi!$AC$6="Air",Vu_khi!$AC$6="All"))</f>
        <v/>
      </c>
      <c r="T6" t="b">
        <v>1</v>
      </c>
      <c r="U6">
        <f>INDEX(Bang_sat_thuong!$B$2:$B$7,MATCH(Vu_khi!$K$6,Bang_sat_thuong!$A$2:$A$7,0))</f>
        <v/>
      </c>
      <c r="V6" t="n">
        <v>0.5</v>
      </c>
      <c r="W6">
        <f>INDEX(Bang_sat_thuong!$C$2:$C$7,MATCH(Vu_khi!$K$6,Bang_sat_thuong!$A$2:$A$7,0))</f>
        <v/>
      </c>
      <c r="X6" t="n">
        <v>1.3</v>
      </c>
      <c r="Y6">
        <f>IF(AND(Vu_khi!$AI$6,Vu_khi!$K$6="HighExplosive"),MAX(He_so_toan_cuc!$D$2,INDEX(Bang_sat_thuong!$D$2:$D$7,MATCH(Vu_khi!$K$6,Bang_sat_thuong!$A$2:$A$7,0))),INDEX(Bang_sat_thuong!$D$2:$D$7,MATCH(Vu_khi!$K$6,Bang_sat_thuong!$A$2:$A$7,0)))</f>
        <v/>
      </c>
      <c r="Z6" t="n">
        <v>0.1</v>
      </c>
      <c r="AA6">
        <f>INDEX(Bang_xuyen_giap!$C$2:$C$7,MIN(6,MAX(1,IF($O$6,MAX(1,2-(Vu_khi!$L$6-0)),2-(Vu_khi!$L$6-0))+1)))</f>
        <v/>
      </c>
      <c r="AB6" t="n">
        <v>1.2</v>
      </c>
      <c r="AC6">
        <f>INDEX(Bang_xuyen_giap!$C$2:$C$7,MIN(6,MAX(1,IF($O$6,MAX(1,2-(Vu_khi!$L$6-2)),2-(Vu_khi!$L$6-2))+1)))</f>
        <v/>
      </c>
      <c r="AD6" t="n">
        <v>1</v>
      </c>
      <c r="AE6">
        <f>INDEX(Bang_xuyen_giap!$C$2:$C$7,MIN(6,MAX(1,IF($O$6,MAX(1,2-(Vu_khi!$L$6-4)),2-(Vu_khi!$L$6-4))+1)))</f>
        <v/>
      </c>
      <c r="AF6" t="n">
        <v>0.5</v>
      </c>
      <c r="AG6">
        <f>INDEX(Bang_xuyen_giap!$C$2:$C$7,MIN(6,MAX(1,MAX(1,2-(Vu_khi!$L$6-0))+1)))</f>
        <v/>
      </c>
      <c r="AH6" t="n">
        <v>1</v>
      </c>
      <c r="AI6">
        <f>IF($Q$6,$M$6*$AA$6*$U$6,0)</f>
        <v/>
      </c>
      <c r="AJ6" t="n">
        <v>0</v>
      </c>
      <c r="AK6">
        <f>IF($Q$6,$M$6*$AC$6*$U$6,0)</f>
        <v/>
      </c>
      <c r="AL6" t="n">
        <v>0</v>
      </c>
      <c r="AM6">
        <f>IF($Q$6,$M$6*$AE$6*$U$6,0)</f>
        <v/>
      </c>
      <c r="AN6" t="n">
        <v>0</v>
      </c>
      <c r="AO6">
        <f>IF($Q$6,$M$6*$AC$6*$Y$6,0)</f>
        <v/>
      </c>
      <c r="AP6" t="n">
        <v>0</v>
      </c>
      <c r="AQ6">
        <f>IF($S$6,$M$6*$AG$6*$W$6,0)</f>
        <v/>
      </c>
      <c r="AR6" t="n">
        <v>95.78947368421052</v>
      </c>
      <c r="AS6">
        <f>IF(OR(Vu_khi!$M$6="Missile",Vu_khi!$M$6="Drone",AND(Vu_khi!$M$6="Rocket",OR(Vu_khi!$AM$6,Vu_khi!$D$6="guided")),Vu_khi!$AL$6,Vu_khi!$AK$6,Vu_khi!$X$6&lt;=0),FALSE,IF($B$6&gt;=0,$B$6&gt;=4,IF(Vu_khi!$M$6="Shell",Vu_khi!$AN$6&gt;=Canh_bao_vong!$D$10,IF(Vu_khi!$M$6="Bomb",Vu_khi!$AN$6&gt;=Canh_bao_vong!$D$3,IF(Vu_khi!$M$6="Rocket",Vu_khi!$AN$6&gt;=Canh_bao_vong!$D$13,FALSE)))))</f>
        <v/>
      </c>
      <c r="AT6" t="b">
        <v>0</v>
      </c>
      <c r="AU6">
        <f>IF(AND($B$6&lt;0,$AS$6),4,$B$6)</f>
        <v/>
      </c>
      <c r="AV6" t="n">
        <v>2</v>
      </c>
      <c r="AW6">
        <f>IF($AU$6&lt;4,0,MIN(MAX(0.5,Canh_bao_vong!$D$4),MAX(IF(Vu_khi!$C$6="cal_406",Canh_bao_vong!$D$7,IF($AU$6&gt;=5,Canh_bao_vong!$D$9,Canh_bao_vong!$D$8)),Canh_bao_vong!$D$2+MAX(0,Vu_khi!$X$6)/MAX(0.1,Canh_bao_vong!$D$5))))</f>
        <v/>
      </c>
      <c r="AX6" t="n">
        <v>0</v>
      </c>
      <c r="AY6" t="inlineStr"/>
      <c r="AZ6" t="inlineStr">
        <is>
          <t>ok</t>
        </is>
      </c>
      <c r="BA6" t="inlineStr"/>
      <c r="BB6" t="inlineStr">
        <is>
          <t>Assets/MachineBrigade/Resources/Data/balance.json: weapons[id=air_to_air] (lớp B trên 01_chien_dau/Vu_khi)</t>
        </is>
      </c>
      <c r="BC6" t="inlineStr"/>
    </row>
    <row r="7">
      <c r="A7" t="inlineStr">
        <is>
          <t>airship_drones</t>
        </is>
      </c>
      <c r="B7" t="n">
        <v>2</v>
      </c>
      <c r="C7">
        <f>IF(Vu_khi!$O$7="SIMULTANEOUS",MAX(1,Vu_khi!$N$7),1)</f>
        <v/>
      </c>
      <c r="D7" t="n">
        <v>1</v>
      </c>
      <c r="E7">
        <f>IF(Vu_khi!$S$7&gt;0,Vu_khi!$S$7,Vu_khi!$P$7*$C$7)</f>
        <v/>
      </c>
      <c r="F7" t="n">
        <v>3</v>
      </c>
      <c r="G7">
        <f>IF(Vu_khi!$S$7&gt;0,(Vu_khi!$S$7-1)*Vu_khi!$R$7+Vu_khi!$T$7,Vu_khi!$R$7+(Vu_khi!$P$7-1)*Vu_khi!$Q$7)</f>
        <v/>
      </c>
      <c r="H7" t="n">
        <v>9.049999999999999</v>
      </c>
      <c r="I7">
        <f>Vu_khi!$W$7*MAX(1,$E$7)</f>
        <v/>
      </c>
      <c r="J7" t="n">
        <v>420</v>
      </c>
      <c r="K7">
        <f>IF(Vu_khi!$V$7&gt;0,Vu_khi!$V$7,MIN(28,MAX(10,Vu_khi!$U$7*Vu_khi!$R$7*0.4)))</f>
        <v/>
      </c>
      <c r="L7" t="n">
        <v>10</v>
      </c>
      <c r="M7">
        <f>IF(Vu_khi!$W$7&lt;=0,0,IF(Vu_khi!$U$7&gt;0,$I$7*Vu_khi!$U$7/(MAX(0.05,$G$7)*Vu_khi!$U$7+$K$7),$I$7/MAX(0.05,$G$7)))</f>
        <v/>
      </c>
      <c r="N7" t="n">
        <v>46.40883977900553</v>
      </c>
      <c r="O7">
        <f>OR(Vu_khi!$AG$7,Vu_khi!$AB$7&gt;0,Vu_khi!$AH$7,Vu_khi!$M$7="Bomb",Vu_khi!$M$7="Drone")</f>
        <v/>
      </c>
      <c r="P7" t="b">
        <v>1</v>
      </c>
      <c r="Q7">
        <f>AND(NOT(Vu_khi!$AJ$7),OR(Vu_khi!$AC$7="Ground",Vu_khi!$AC$7="All"))</f>
        <v/>
      </c>
      <c r="R7" t="b">
        <v>1</v>
      </c>
      <c r="S7">
        <f>AND(NOT(Vu_khi!$AJ$7),OR(Vu_khi!$AC$7="Air",Vu_khi!$AC$7="All"))</f>
        <v/>
      </c>
      <c r="T7" t="b">
        <v>0</v>
      </c>
      <c r="U7">
        <f>INDEX(Bang_sat_thuong!$B$2:$B$7,MATCH(Vu_khi!$K$7,Bang_sat_thuong!$A$2:$A$7,0))</f>
        <v/>
      </c>
      <c r="V7" t="n">
        <v>1</v>
      </c>
      <c r="W7">
        <f>INDEX(Bang_sat_thuong!$C$2:$C$7,MATCH(Vu_khi!$K$7,Bang_sat_thuong!$A$2:$A$7,0))</f>
        <v/>
      </c>
      <c r="X7" t="n">
        <v>0.3</v>
      </c>
      <c r="Y7">
        <f>IF(AND(Vu_khi!$AI$7,Vu_khi!$K$7="HighExplosive"),MAX(He_so_toan_cuc!$D$2,INDEX(Bang_sat_thuong!$D$2:$D$7,MATCH(Vu_khi!$K$7,Bang_sat_thuong!$A$2:$A$7,0))),INDEX(Bang_sat_thuong!$D$2:$D$7,MATCH(Vu_khi!$K$7,Bang_sat_thuong!$A$2:$A$7,0)))</f>
        <v/>
      </c>
      <c r="Z7" t="n">
        <v>0.6</v>
      </c>
      <c r="AA7">
        <f>INDEX(Bang_xuyen_giap!$C$2:$C$7,MIN(6,MAX(1,IF($O$7,MAX(1,2-(Vu_khi!$L$7-0)),2-(Vu_khi!$L$7-0))+1)))</f>
        <v/>
      </c>
      <c r="AB7" t="n">
        <v>1</v>
      </c>
      <c r="AC7">
        <f>INDEX(Bang_xuyen_giap!$C$2:$C$7,MIN(6,MAX(1,IF($O$7,MAX(1,2-(Vu_khi!$L$7-2)),2-(Vu_khi!$L$7-2))+1)))</f>
        <v/>
      </c>
      <c r="AD7" t="n">
        <v>1</v>
      </c>
      <c r="AE7">
        <f>INDEX(Bang_xuyen_giap!$C$2:$C$7,MIN(6,MAX(1,IF($O$7,MAX(1,2-(Vu_khi!$L$7-4)),2-(Vu_khi!$L$7-4))+1)))</f>
        <v/>
      </c>
      <c r="AF7" t="n">
        <v>0.5</v>
      </c>
      <c r="AG7">
        <f>INDEX(Bang_xuyen_giap!$C$2:$C$7,MIN(6,MAX(1,MAX(1,2-(Vu_khi!$L$7-0))+1)))</f>
        <v/>
      </c>
      <c r="AH7" t="n">
        <v>1</v>
      </c>
      <c r="AI7">
        <f>IF($Q$7,$M$7*$AA$7*$U$7,0)</f>
        <v/>
      </c>
      <c r="AJ7" t="n">
        <v>46.40883977900553</v>
      </c>
      <c r="AK7">
        <f>IF($Q$7,$M$7*$AC$7*$U$7,0)</f>
        <v/>
      </c>
      <c r="AL7" t="n">
        <v>46.40883977900553</v>
      </c>
      <c r="AM7">
        <f>IF($Q$7,$M$7*$AE$7*$U$7,0)</f>
        <v/>
      </c>
      <c r="AN7" t="n">
        <v>23.20441988950277</v>
      </c>
      <c r="AO7">
        <f>IF($Q$7,$M$7*$AC$7*$Y$7,0)</f>
        <v/>
      </c>
      <c r="AP7" t="n">
        <v>27.84530386740332</v>
      </c>
      <c r="AQ7">
        <f>IF($S$7,$M$7*$AG$7*$W$7,0)</f>
        <v/>
      </c>
      <c r="AR7" t="n">
        <v>0</v>
      </c>
      <c r="AS7">
        <f>IF(OR(Vu_khi!$M$7="Missile",Vu_khi!$M$7="Drone",AND(Vu_khi!$M$7="Rocket",OR(Vu_khi!$AM$7,Vu_khi!$D$7="guided")),Vu_khi!$AL$7,Vu_khi!$AK$7,Vu_khi!$X$7&lt;=0),FALSE,IF($B$7&gt;=0,$B$7&gt;=4,IF(Vu_khi!$M$7="Shell",Vu_khi!$AN$7&gt;=Canh_bao_vong!$D$10,IF(Vu_khi!$M$7="Bomb",Vu_khi!$AN$7&gt;=Canh_bao_vong!$D$3,IF(Vu_khi!$M$7="Rocket",Vu_khi!$AN$7&gt;=Canh_bao_vong!$D$13,FALSE)))))</f>
        <v/>
      </c>
      <c r="AT7" t="b">
        <v>0</v>
      </c>
      <c r="AU7">
        <f>IF(AND($B$7&lt;0,$AS$7),4,$B$7)</f>
        <v/>
      </c>
      <c r="AV7" t="n">
        <v>2</v>
      </c>
      <c r="AW7">
        <f>IF($AU$7&lt;4,0,MIN(MAX(0.5,Canh_bao_vong!$D$4),MAX(IF(Vu_khi!$C$7="cal_406",Canh_bao_vong!$D$7,IF($AU$7&gt;=5,Canh_bao_vong!$D$9,Canh_bao_vong!$D$8)),Canh_bao_vong!$D$2+MAX(0,Vu_khi!$X$7)/MAX(0.1,Canh_bao_vong!$D$5))))</f>
        <v/>
      </c>
      <c r="AX7" t="n">
        <v>0</v>
      </c>
      <c r="AY7" t="inlineStr"/>
      <c r="AZ7" t="inlineStr">
        <is>
          <t>ok</t>
        </is>
      </c>
      <c r="BA7" t="inlineStr"/>
      <c r="BB7" t="inlineStr">
        <is>
          <t>Assets/MachineBrigade/Resources/Data/balance.json: weapons[id=airship_drones] (lớp B trên 01_chien_dau/Vu_khi)</t>
        </is>
      </c>
      <c r="BC7" t="inlineStr"/>
    </row>
    <row r="8">
      <c r="A8" t="inlineStr">
        <is>
          <t>airship_flak</t>
        </is>
      </c>
      <c r="B8" t="n">
        <v>2</v>
      </c>
      <c r="C8">
        <f>IF(Vu_khi!$O$8="SIMULTANEOUS",MAX(1,Vu_khi!$N$8),1)</f>
        <v/>
      </c>
      <c r="D8" t="n">
        <v>1</v>
      </c>
      <c r="E8">
        <f>IF(Vu_khi!$S$8&gt;0,Vu_khi!$S$8,Vu_khi!$P$8*$C$8)</f>
        <v/>
      </c>
      <c r="F8" t="n">
        <v>8</v>
      </c>
      <c r="G8">
        <f>IF(Vu_khi!$S$8&gt;0,(Vu_khi!$S$8-1)*Vu_khi!$R$8+Vu_khi!$T$8,Vu_khi!$R$8+(Vu_khi!$P$8-1)*Vu_khi!$Q$8)</f>
        <v/>
      </c>
      <c r="H8" t="n">
        <v>4.88</v>
      </c>
      <c r="I8">
        <f>Vu_khi!$W$8*MAX(1,$E$8)</f>
        <v/>
      </c>
      <c r="J8" t="n">
        <v>560</v>
      </c>
      <c r="K8">
        <f>IF(Vu_khi!$V$8&gt;0,Vu_khi!$V$8,MIN(28,MAX(10,Vu_khi!$U$8*Vu_khi!$R$8*0.4)))</f>
        <v/>
      </c>
      <c r="L8" t="n">
        <v>10</v>
      </c>
      <c r="M8">
        <f>IF(Vu_khi!$W$8&lt;=0,0,IF(Vu_khi!$U$8&gt;0,$I$8*Vu_khi!$U$8/(MAX(0.05,$G$8)*Vu_khi!$U$8+$K$8),$I$8/MAX(0.05,$G$8)))</f>
        <v/>
      </c>
      <c r="N8" t="n">
        <v>114.7540983606557</v>
      </c>
      <c r="O8">
        <f>OR(Vu_khi!$AG$8,Vu_khi!$AB$8&gt;0,Vu_khi!$AH$8,Vu_khi!$M$8="Bomb",Vu_khi!$M$8="Drone")</f>
        <v/>
      </c>
      <c r="P8" t="b">
        <v>0</v>
      </c>
      <c r="Q8">
        <f>AND(NOT(Vu_khi!$AJ$8),OR(Vu_khi!$AC$8="Ground",Vu_khi!$AC$8="All"))</f>
        <v/>
      </c>
      <c r="R8" t="b">
        <v>1</v>
      </c>
      <c r="S8">
        <f>AND(NOT(Vu_khi!$AJ$8),OR(Vu_khi!$AC$8="Air",Vu_khi!$AC$8="All"))</f>
        <v/>
      </c>
      <c r="T8" t="b">
        <v>1</v>
      </c>
      <c r="U8">
        <f>INDEX(Bang_sat_thuong!$B$2:$B$7,MATCH(Vu_khi!$K$8,Bang_sat_thuong!$A$2:$A$7,0))</f>
        <v/>
      </c>
      <c r="V8" t="n">
        <v>0.5</v>
      </c>
      <c r="W8">
        <f>INDEX(Bang_sat_thuong!$C$2:$C$7,MATCH(Vu_khi!$K$8,Bang_sat_thuong!$A$2:$A$7,0))</f>
        <v/>
      </c>
      <c r="X8" t="n">
        <v>1.3</v>
      </c>
      <c r="Y8">
        <f>IF(AND(Vu_khi!$AI$8,Vu_khi!$K$8="HighExplosive"),MAX(He_so_toan_cuc!$D$2,INDEX(Bang_sat_thuong!$D$2:$D$7,MATCH(Vu_khi!$K$8,Bang_sat_thuong!$A$2:$A$7,0))),INDEX(Bang_sat_thuong!$D$2:$D$7,MATCH(Vu_khi!$K$8,Bang_sat_thuong!$A$2:$A$7,0)))</f>
        <v/>
      </c>
      <c r="Z8" t="n">
        <v>0.1</v>
      </c>
      <c r="AA8">
        <f>INDEX(Bang_xuyen_giap!$C$2:$C$7,MIN(6,MAX(1,IF($O$8,MAX(1,2-(Vu_khi!$L$8-0)),2-(Vu_khi!$L$8-0))+1)))</f>
        <v/>
      </c>
      <c r="AB8" t="n">
        <v>1.2</v>
      </c>
      <c r="AC8">
        <f>INDEX(Bang_xuyen_giap!$C$2:$C$7,MIN(6,MAX(1,IF($O$8,MAX(1,2-(Vu_khi!$L$8-2)),2-(Vu_khi!$L$8-2))+1)))</f>
        <v/>
      </c>
      <c r="AD8" t="n">
        <v>0.85</v>
      </c>
      <c r="AE8">
        <f>INDEX(Bang_xuyen_giap!$C$2:$C$7,MIN(6,MAX(1,IF($O$8,MAX(1,2-(Vu_khi!$L$8-4)),2-(Vu_khi!$L$8-4))+1)))</f>
        <v/>
      </c>
      <c r="AF8" t="n">
        <v>0.25</v>
      </c>
      <c r="AG8">
        <f>INDEX(Bang_xuyen_giap!$C$2:$C$7,MIN(6,MAX(1,MAX(1,2-(Vu_khi!$L$8-0))+1)))</f>
        <v/>
      </c>
      <c r="AH8" t="n">
        <v>1</v>
      </c>
      <c r="AI8">
        <f>IF($Q$8,$M$8*$AA$8*$U$8,0)</f>
        <v/>
      </c>
      <c r="AJ8" t="n">
        <v>68.85245901639344</v>
      </c>
      <c r="AK8">
        <f>IF($Q$8,$M$8*$AC$8*$U$8,0)</f>
        <v/>
      </c>
      <c r="AL8" t="n">
        <v>48.77049180327869</v>
      </c>
      <c r="AM8">
        <f>IF($Q$8,$M$8*$AE$8*$U$8,0)</f>
        <v/>
      </c>
      <c r="AN8" t="n">
        <v>14.34426229508197</v>
      </c>
      <c r="AO8">
        <f>IF($Q$8,$M$8*$AC$8*$Y$8,0)</f>
        <v/>
      </c>
      <c r="AP8" t="n">
        <v>9.754098360655739</v>
      </c>
      <c r="AQ8">
        <f>IF($S$8,$M$8*$AG$8*$W$8,0)</f>
        <v/>
      </c>
      <c r="AR8" t="n">
        <v>149.1803278688525</v>
      </c>
      <c r="AS8">
        <f>IF(OR(Vu_khi!$M$8="Missile",Vu_khi!$M$8="Drone",AND(Vu_khi!$M$8="Rocket",OR(Vu_khi!$AM$8,Vu_khi!$D$8="guided")),Vu_khi!$AL$8,Vu_khi!$AK$8,Vu_khi!$X$8&lt;=0),FALSE,IF($B$8&gt;=0,$B$8&gt;=4,IF(Vu_khi!$M$8="Shell",Vu_khi!$AN$8&gt;=Canh_bao_vong!$D$10,IF(Vu_khi!$M$8="Bomb",Vu_khi!$AN$8&gt;=Canh_bao_vong!$D$3,IF(Vu_khi!$M$8="Rocket",Vu_khi!$AN$8&gt;=Canh_bao_vong!$D$13,FALSE)))))</f>
        <v/>
      </c>
      <c r="AT8" t="b">
        <v>0</v>
      </c>
      <c r="AU8">
        <f>IF(AND($B$8&lt;0,$AS$8),4,$B$8)</f>
        <v/>
      </c>
      <c r="AV8" t="n">
        <v>2</v>
      </c>
      <c r="AW8">
        <f>IF($AU$8&lt;4,0,MIN(MAX(0.5,Canh_bao_vong!$D$4),MAX(IF(Vu_khi!$C$8="cal_406",Canh_bao_vong!$D$7,IF($AU$8&gt;=5,Canh_bao_vong!$D$9,Canh_bao_vong!$D$8)),Canh_bao_vong!$D$2+MAX(0,Vu_khi!$X$8)/MAX(0.1,Canh_bao_vong!$D$5))))</f>
        <v/>
      </c>
      <c r="AX8" t="n">
        <v>0</v>
      </c>
      <c r="AY8" t="n">
        <v>1.22</v>
      </c>
      <c r="AZ8" t="inlineStr">
        <is>
          <t>ok</t>
        </is>
      </c>
      <c r="BA8" t="inlineStr"/>
      <c r="BB8" t="inlineStr">
        <is>
          <t>Assets/MachineBrigade/Resources/Data/balance.json: weapons[id=airship_flak] (lớp B trên 01_chien_dau/Vu_khi)</t>
        </is>
      </c>
      <c r="BC8" t="inlineStr"/>
    </row>
    <row r="9">
      <c r="A9" t="inlineStr">
        <is>
          <t>amos_120</t>
        </is>
      </c>
      <c r="B9" t="n">
        <v>3</v>
      </c>
      <c r="C9">
        <f>IF(Vu_khi!$O$9="SIMULTANEOUS",MAX(1,Vu_khi!$N$9),1)</f>
        <v/>
      </c>
      <c r="D9" t="n">
        <v>1</v>
      </c>
      <c r="E9">
        <f>IF(Vu_khi!$S$9&gt;0,Vu_khi!$S$9,Vu_khi!$P$9*$C$9)</f>
        <v/>
      </c>
      <c r="F9" t="n">
        <v>4</v>
      </c>
      <c r="G9">
        <f>IF(Vu_khi!$S$9&gt;0,(Vu_khi!$S$9-1)*Vu_khi!$R$9+Vu_khi!$T$9,Vu_khi!$R$9+(Vu_khi!$P$9-1)*Vu_khi!$Q$9)</f>
        <v/>
      </c>
      <c r="H9" t="n">
        <v>15.357</v>
      </c>
      <c r="I9">
        <f>Vu_khi!$W$9*MAX(1,$E$9)</f>
        <v/>
      </c>
      <c r="J9" t="n">
        <v>856</v>
      </c>
      <c r="K9">
        <f>IF(Vu_khi!$V$9&gt;0,Vu_khi!$V$9,MIN(28,MAX(10,Vu_khi!$U$9*Vu_khi!$R$9*0.4)))</f>
        <v/>
      </c>
      <c r="L9" t="n">
        <v>10</v>
      </c>
      <c r="M9">
        <f>IF(Vu_khi!$W$9&lt;=0,0,IF(Vu_khi!$U$9&gt;0,$I$9*Vu_khi!$U$9/(MAX(0.05,$G$9)*Vu_khi!$U$9+$K$9),$I$9/MAX(0.05,$G$9)))</f>
        <v/>
      </c>
      <c r="N9" t="n">
        <v>55.74005339584554</v>
      </c>
      <c r="O9">
        <f>OR(Vu_khi!$AG$9,Vu_khi!$AB$9&gt;0,Vu_khi!$AH$9,Vu_khi!$M$9="Bomb",Vu_khi!$M$9="Drone")</f>
        <v/>
      </c>
      <c r="P9" t="b">
        <v>1</v>
      </c>
      <c r="Q9">
        <f>AND(NOT(Vu_khi!$AJ$9),OR(Vu_khi!$AC$9="Ground",Vu_khi!$AC$9="All"))</f>
        <v/>
      </c>
      <c r="R9" t="b">
        <v>1</v>
      </c>
      <c r="S9">
        <f>AND(NOT(Vu_khi!$AJ$9),OR(Vu_khi!$AC$9="Air",Vu_khi!$AC$9="All"))</f>
        <v/>
      </c>
      <c r="T9" t="b">
        <v>0</v>
      </c>
      <c r="U9">
        <f>INDEX(Bang_sat_thuong!$B$2:$B$7,MATCH(Vu_khi!$K$9,Bang_sat_thuong!$A$2:$A$7,0))</f>
        <v/>
      </c>
      <c r="V9" t="n">
        <v>1</v>
      </c>
      <c r="W9">
        <f>INDEX(Bang_sat_thuong!$C$2:$C$7,MATCH(Vu_khi!$K$9,Bang_sat_thuong!$A$2:$A$7,0))</f>
        <v/>
      </c>
      <c r="X9" t="n">
        <v>0</v>
      </c>
      <c r="Y9">
        <f>IF(AND(Vu_khi!$AI$9,Vu_khi!$K$9="HighExplosive"),MAX(He_so_toan_cuc!$D$2,INDEX(Bang_sat_thuong!$D$2:$D$7,MATCH(Vu_khi!$K$9,Bang_sat_thuong!$A$2:$A$7,0))),INDEX(Bang_sat_thuong!$D$2:$D$7,MATCH(Vu_khi!$K$9,Bang_sat_thuong!$A$2:$A$7,0)))</f>
        <v/>
      </c>
      <c r="Z9" t="n">
        <v>1.5</v>
      </c>
      <c r="AA9">
        <f>INDEX(Bang_xuyen_giap!$C$2:$C$7,MIN(6,MAX(1,IF($O$9,MAX(1,2-(Vu_khi!$L$9-0)),2-(Vu_khi!$L$9-0))+1)))</f>
        <v/>
      </c>
      <c r="AB9" t="n">
        <v>1</v>
      </c>
      <c r="AC9">
        <f>INDEX(Bang_xuyen_giap!$C$2:$C$7,MIN(6,MAX(1,IF($O$9,MAX(1,2-(Vu_khi!$L$9-2)),2-(Vu_khi!$L$9-2))+1)))</f>
        <v/>
      </c>
      <c r="AD9" t="n">
        <v>0.85</v>
      </c>
      <c r="AE9">
        <f>INDEX(Bang_xuyen_giap!$C$2:$C$7,MIN(6,MAX(1,IF($O$9,MAX(1,2-(Vu_khi!$L$9-4)),2-(Vu_khi!$L$9-4))+1)))</f>
        <v/>
      </c>
      <c r="AF9" t="n">
        <v>0.25</v>
      </c>
      <c r="AG9">
        <f>INDEX(Bang_xuyen_giap!$C$2:$C$7,MIN(6,MAX(1,MAX(1,2-(Vu_khi!$L$9-0))+1)))</f>
        <v/>
      </c>
      <c r="AH9" t="n">
        <v>1</v>
      </c>
      <c r="AI9">
        <f>IF($Q$9,$M$9*$AA$9*$U$9,0)</f>
        <v/>
      </c>
      <c r="AJ9" t="n">
        <v>55.74005339584554</v>
      </c>
      <c r="AK9">
        <f>IF($Q$9,$M$9*$AC$9*$U$9,0)</f>
        <v/>
      </c>
      <c r="AL9" t="n">
        <v>47.37904538646871</v>
      </c>
      <c r="AM9">
        <f>IF($Q$9,$M$9*$AE$9*$U$9,0)</f>
        <v/>
      </c>
      <c r="AN9" t="n">
        <v>13.93501334896139</v>
      </c>
      <c r="AO9">
        <f>IF($Q$9,$M$9*$AC$9*$Y$9,0)</f>
        <v/>
      </c>
      <c r="AP9" t="n">
        <v>71.06856807970306</v>
      </c>
      <c r="AQ9">
        <f>IF($S$9,$M$9*$AG$9*$W$9,0)</f>
        <v/>
      </c>
      <c r="AR9" t="n">
        <v>0</v>
      </c>
      <c r="AS9">
        <f>IF(OR(Vu_khi!$M$9="Missile",Vu_khi!$M$9="Drone",AND(Vu_khi!$M$9="Rocket",OR(Vu_khi!$AM$9,Vu_khi!$D$9="guided")),Vu_khi!$AL$9,Vu_khi!$AK$9,Vu_khi!$X$9&lt;=0),FALSE,IF($B$9&gt;=0,$B$9&gt;=4,IF(Vu_khi!$M$9="Shell",Vu_khi!$AN$9&gt;=Canh_bao_vong!$D$10,IF(Vu_khi!$M$9="Bomb",Vu_khi!$AN$9&gt;=Canh_bao_vong!$D$3,IF(Vu_khi!$M$9="Rocket",Vu_khi!$AN$9&gt;=Canh_bao_vong!$D$13,FALSE)))))</f>
        <v/>
      </c>
      <c r="AT9" t="b">
        <v>0</v>
      </c>
      <c r="AU9">
        <f>IF(AND($B$9&lt;0,$AS$9),4,$B$9)</f>
        <v/>
      </c>
      <c r="AV9" t="n">
        <v>3</v>
      </c>
      <c r="AW9">
        <f>IF($AU$9&lt;4,0,MIN(MAX(0.5,Canh_bao_vong!$D$4),MAX(IF(Vu_khi!$C$9="cal_406",Canh_bao_vong!$D$7,IF($AU$9&gt;=5,Canh_bao_vong!$D$9,Canh_bao_vong!$D$8)),Canh_bao_vong!$D$2+MAX(0,Vu_khi!$X$9)/MAX(0.1,Canh_bao_vong!$D$5))))</f>
        <v/>
      </c>
      <c r="AX9" t="n">
        <v>0</v>
      </c>
      <c r="AY9" t="n">
        <v>1.164573</v>
      </c>
      <c r="AZ9" t="inlineStr">
        <is>
          <t>NHANH_QUA</t>
        </is>
      </c>
      <c r="BA9" t="inlineStr"/>
      <c r="BB9" t="inlineStr">
        <is>
          <t>Assets/MachineBrigade/Resources/Data/balance.json: weapons[id=amos_120] (lớp B trên 01_chien_dau/Vu_khi)</t>
        </is>
      </c>
      <c r="BC9" t="inlineStr"/>
    </row>
    <row r="10">
      <c r="A10" t="inlineStr">
        <is>
          <t>anti_ship_missile</t>
        </is>
      </c>
      <c r="B10" t="n">
        <v>4</v>
      </c>
      <c r="C10">
        <f>IF(Vu_khi!$O$10="SIMULTANEOUS",MAX(1,Vu_khi!$N$10),1)</f>
        <v/>
      </c>
      <c r="D10" t="n">
        <v>1</v>
      </c>
      <c r="E10">
        <f>IF(Vu_khi!$S$10&gt;0,Vu_khi!$S$10,Vu_khi!$P$10*$C$10)</f>
        <v/>
      </c>
      <c r="F10" t="n">
        <v>1</v>
      </c>
      <c r="G10">
        <f>IF(Vu_khi!$S$10&gt;0,(Vu_khi!$S$10-1)*Vu_khi!$R$10+Vu_khi!$T$10,Vu_khi!$R$10+(Vu_khi!$P$10-1)*Vu_khi!$Q$10)</f>
        <v/>
      </c>
      <c r="H10" t="n">
        <v>30</v>
      </c>
      <c r="I10">
        <f>Vu_khi!$W$10*MAX(1,$E$10)</f>
        <v/>
      </c>
      <c r="J10" t="n">
        <v>450</v>
      </c>
      <c r="K10">
        <f>IF(Vu_khi!$V$10&gt;0,Vu_khi!$V$10,MIN(28,MAX(10,Vu_khi!$U$10*Vu_khi!$R$10*0.4)))</f>
        <v/>
      </c>
      <c r="L10" t="n">
        <v>10</v>
      </c>
      <c r="M10">
        <f>IF(Vu_khi!$W$10&lt;=0,0,IF(Vu_khi!$U$10&gt;0,$I$10*Vu_khi!$U$10/(MAX(0.05,$G$10)*Vu_khi!$U$10+$K$10),$I$10/MAX(0.05,$G$10)))</f>
        <v/>
      </c>
      <c r="N10" t="n">
        <v>15</v>
      </c>
      <c r="O10">
        <f>OR(Vu_khi!$AG$10,Vu_khi!$AB$10&gt;0,Vu_khi!$AH$10,Vu_khi!$M$10="Bomb",Vu_khi!$M$10="Drone")</f>
        <v/>
      </c>
      <c r="P10" t="b">
        <v>0</v>
      </c>
      <c r="Q10">
        <f>AND(NOT(Vu_khi!$AJ$10),OR(Vu_khi!$AC$10="Ground",Vu_khi!$AC$10="All"))</f>
        <v/>
      </c>
      <c r="R10" t="b">
        <v>1</v>
      </c>
      <c r="S10">
        <f>AND(NOT(Vu_khi!$AJ$10),OR(Vu_khi!$AC$10="Air",Vu_khi!$AC$10="All"))</f>
        <v/>
      </c>
      <c r="T10" t="b">
        <v>0</v>
      </c>
      <c r="U10">
        <f>INDEX(Bang_sat_thuong!$B$2:$B$7,MATCH(Vu_khi!$K$10,Bang_sat_thuong!$A$2:$A$7,0))</f>
        <v/>
      </c>
      <c r="V10" t="n">
        <v>1</v>
      </c>
      <c r="W10">
        <f>INDEX(Bang_sat_thuong!$C$2:$C$7,MATCH(Vu_khi!$K$10,Bang_sat_thuong!$A$2:$A$7,0))</f>
        <v/>
      </c>
      <c r="X10" t="n">
        <v>0</v>
      </c>
      <c r="Y10">
        <f>IF(AND(Vu_khi!$AI$10,Vu_khi!$K$10="HighExplosive"),MAX(He_so_toan_cuc!$D$2,INDEX(Bang_sat_thuong!$D$2:$D$7,MATCH(Vu_khi!$K$10,Bang_sat_thuong!$A$2:$A$7,0))),INDEX(Bang_sat_thuong!$D$2:$D$7,MATCH(Vu_khi!$K$10,Bang_sat_thuong!$A$2:$A$7,0)))</f>
        <v/>
      </c>
      <c r="Z10" t="n">
        <v>1.5</v>
      </c>
      <c r="AA10">
        <f>INDEX(Bang_xuyen_giap!$C$2:$C$7,MIN(6,MAX(1,IF($O$10,MAX(1,2-(Vu_khi!$L$10-0)),2-(Vu_khi!$L$10-0))+1)))</f>
        <v/>
      </c>
      <c r="AB10" t="n">
        <v>1.2</v>
      </c>
      <c r="AC10">
        <f>INDEX(Bang_xuyen_giap!$C$2:$C$7,MIN(6,MAX(1,IF($O$10,MAX(1,2-(Vu_khi!$L$10-2)),2-(Vu_khi!$L$10-2))+1)))</f>
        <v/>
      </c>
      <c r="AD10" t="n">
        <v>1.2</v>
      </c>
      <c r="AE10">
        <f>INDEX(Bang_xuyen_giap!$C$2:$C$7,MIN(6,MAX(1,IF($O$10,MAX(1,2-(Vu_khi!$L$10-4)),2-(Vu_khi!$L$10-4))+1)))</f>
        <v/>
      </c>
      <c r="AF10" t="n">
        <v>0.85</v>
      </c>
      <c r="AG10">
        <f>INDEX(Bang_xuyen_giap!$C$2:$C$7,MIN(6,MAX(1,MAX(1,2-(Vu_khi!$L$10-0))+1)))</f>
        <v/>
      </c>
      <c r="AH10" t="n">
        <v>1</v>
      </c>
      <c r="AI10">
        <f>IF($Q$10,$M$10*$AA$10*$U$10,0)</f>
        <v/>
      </c>
      <c r="AJ10" t="n">
        <v>18</v>
      </c>
      <c r="AK10">
        <f>IF($Q$10,$M$10*$AC$10*$U$10,0)</f>
        <v/>
      </c>
      <c r="AL10" t="n">
        <v>18</v>
      </c>
      <c r="AM10">
        <f>IF($Q$10,$M$10*$AE$10*$U$10,0)</f>
        <v/>
      </c>
      <c r="AN10" t="n">
        <v>12.75</v>
      </c>
      <c r="AO10">
        <f>IF($Q$10,$M$10*$AC$10*$Y$10,0)</f>
        <v/>
      </c>
      <c r="AP10" t="n">
        <v>27</v>
      </c>
      <c r="AQ10">
        <f>IF($S$10,$M$10*$AG$10*$W$10,0)</f>
        <v/>
      </c>
      <c r="AR10" t="n">
        <v>0</v>
      </c>
      <c r="AS10">
        <f>IF(OR(Vu_khi!$M$10="Missile",Vu_khi!$M$10="Drone",AND(Vu_khi!$M$10="Rocket",OR(Vu_khi!$AM$10,Vu_khi!$D$10="guided")),Vu_khi!$AL$10,Vu_khi!$AK$10,Vu_khi!$X$10&lt;=0),FALSE,IF($B$10&gt;=0,$B$10&gt;=4,IF(Vu_khi!$M$10="Shell",Vu_khi!$AN$10&gt;=Canh_bao_vong!$D$10,IF(Vu_khi!$M$10="Bomb",Vu_khi!$AN$10&gt;=Canh_bao_vong!$D$3,IF(Vu_khi!$M$10="Rocket",Vu_khi!$AN$10&gt;=Canh_bao_vong!$D$13,FALSE)))))</f>
        <v/>
      </c>
      <c r="AT10" t="b">
        <v>0</v>
      </c>
      <c r="AU10">
        <f>IF(AND($B$10&lt;0,$AS$10),4,$B$10)</f>
        <v/>
      </c>
      <c r="AV10" t="n">
        <v>4</v>
      </c>
      <c r="AW10">
        <f>IF($AU$10&lt;4,0,MIN(MAX(0.5,Canh_bao_vong!$D$4),MAX(IF(Vu_khi!$C$10="cal_406",Canh_bao_vong!$D$7,IF($AU$10&gt;=5,Canh_bao_vong!$D$9,Canh_bao_vong!$D$8)),Canh_bao_vong!$D$2+MAX(0,Vu_khi!$X$10)/MAX(0.1,Canh_bao_vong!$D$5))))</f>
        <v/>
      </c>
      <c r="AX10" t="n">
        <v>2.5</v>
      </c>
      <c r="AY10" t="n">
        <v>10</v>
      </c>
      <c r="AZ10" t="inlineStr">
        <is>
          <t>CHAM_QUA</t>
        </is>
      </c>
      <c r="BA10" t="inlineStr"/>
      <c r="BB10" t="inlineStr">
        <is>
          <t>Assets/MachineBrigade/Resources/Data/balance.json: weapons[id=anti_ship_missile] (lớp B trên 01_chien_dau/Vu_khi)</t>
        </is>
      </c>
      <c r="BC10" t="inlineStr"/>
    </row>
    <row r="11">
      <c r="A11" t="inlineStr">
        <is>
          <t>apkws_rocket</t>
        </is>
      </c>
      <c r="B11" t="n">
        <v>2</v>
      </c>
      <c r="C11">
        <f>IF(Vu_khi!$O$11="SIMULTANEOUS",MAX(1,Vu_khi!$N$11),1)</f>
        <v/>
      </c>
      <c r="D11" t="n">
        <v>1</v>
      </c>
      <c r="E11">
        <f>IF(Vu_khi!$S$11&gt;0,Vu_khi!$S$11,Vu_khi!$P$11*$C$11)</f>
        <v/>
      </c>
      <c r="F11" t="n">
        <v>1</v>
      </c>
      <c r="G11">
        <f>IF(Vu_khi!$S$11&gt;0,(Vu_khi!$S$11-1)*Vu_khi!$R$11+Vu_khi!$T$11,Vu_khi!$R$11+(Vu_khi!$P$11-1)*Vu_khi!$Q$11)</f>
        <v/>
      </c>
      <c r="H11" t="n">
        <v>1</v>
      </c>
      <c r="I11">
        <f>Vu_khi!$W$11*MAX(1,$E$11)</f>
        <v/>
      </c>
      <c r="J11" t="n">
        <v>90</v>
      </c>
      <c r="K11">
        <f>IF(Vu_khi!$V$11&gt;0,Vu_khi!$V$11,MIN(28,MAX(10,Vu_khi!$U$11*Vu_khi!$R$11*0.4)))</f>
        <v/>
      </c>
      <c r="L11" t="n">
        <v>10</v>
      </c>
      <c r="M11">
        <f>IF(Vu_khi!$W$11&lt;=0,0,IF(Vu_khi!$U$11&gt;0,$I$11*Vu_khi!$U$11/(MAX(0.05,$G$11)*Vu_khi!$U$11+$K$11),$I$11/MAX(0.05,$G$11)))</f>
        <v/>
      </c>
      <c r="N11" t="n">
        <v>90</v>
      </c>
      <c r="O11">
        <f>OR(Vu_khi!$AG$11,Vu_khi!$AB$11&gt;0,Vu_khi!$AH$11,Vu_khi!$M$11="Bomb",Vu_khi!$M$11="Drone")</f>
        <v/>
      </c>
      <c r="P11" t="b">
        <v>0</v>
      </c>
      <c r="Q11">
        <f>AND(NOT(Vu_khi!$AJ$11),OR(Vu_khi!$AC$11="Ground",Vu_khi!$AC$11="All"))</f>
        <v/>
      </c>
      <c r="R11" t="b">
        <v>1</v>
      </c>
      <c r="S11">
        <f>AND(NOT(Vu_khi!$AJ$11),OR(Vu_khi!$AC$11="Air",Vu_khi!$AC$11="All"))</f>
        <v/>
      </c>
      <c r="T11" t="b">
        <v>1</v>
      </c>
      <c r="U11">
        <f>INDEX(Bang_sat_thuong!$B$2:$B$7,MATCH(Vu_khi!$K$11,Bang_sat_thuong!$A$2:$A$7,0))</f>
        <v/>
      </c>
      <c r="V11" t="n">
        <v>1</v>
      </c>
      <c r="W11">
        <f>INDEX(Bang_sat_thuong!$C$2:$C$7,MATCH(Vu_khi!$K$11,Bang_sat_thuong!$A$2:$A$7,0))</f>
        <v/>
      </c>
      <c r="X11" t="n">
        <v>0.3</v>
      </c>
      <c r="Y11">
        <f>IF(AND(Vu_khi!$AI$11,Vu_khi!$K$11="HighExplosive"),MAX(He_so_toan_cuc!$D$2,INDEX(Bang_sat_thuong!$D$2:$D$7,MATCH(Vu_khi!$K$11,Bang_sat_thuong!$A$2:$A$7,0))),INDEX(Bang_sat_thuong!$D$2:$D$7,MATCH(Vu_khi!$K$11,Bang_sat_thuong!$A$2:$A$7,0)))</f>
        <v/>
      </c>
      <c r="Z11" t="n">
        <v>0.6</v>
      </c>
      <c r="AA11">
        <f>INDEX(Bang_xuyen_giap!$C$2:$C$7,MIN(6,MAX(1,IF($O$11,MAX(1,2-(Vu_khi!$L$11-0)),2-(Vu_khi!$L$11-0))+1)))</f>
        <v/>
      </c>
      <c r="AB11" t="n">
        <v>1.2</v>
      </c>
      <c r="AC11">
        <f>INDEX(Bang_xuyen_giap!$C$2:$C$7,MIN(6,MAX(1,IF($O$11,MAX(1,2-(Vu_khi!$L$11-2)),2-(Vu_khi!$L$11-2))+1)))</f>
        <v/>
      </c>
      <c r="AD11" t="n">
        <v>0.85</v>
      </c>
      <c r="AE11">
        <f>INDEX(Bang_xuyen_giap!$C$2:$C$7,MIN(6,MAX(1,IF($O$11,MAX(1,2-(Vu_khi!$L$11-4)),2-(Vu_khi!$L$11-4))+1)))</f>
        <v/>
      </c>
      <c r="AF11" t="n">
        <v>0.25</v>
      </c>
      <c r="AG11">
        <f>INDEX(Bang_xuyen_giap!$C$2:$C$7,MIN(6,MAX(1,MAX(1,2-(Vu_khi!$L$11-0))+1)))</f>
        <v/>
      </c>
      <c r="AH11" t="n">
        <v>1</v>
      </c>
      <c r="AI11">
        <f>IF($Q$11,$M$11*$AA$11*$U$11,0)</f>
        <v/>
      </c>
      <c r="AJ11" t="n">
        <v>108</v>
      </c>
      <c r="AK11">
        <f>IF($Q$11,$M$11*$AC$11*$U$11,0)</f>
        <v/>
      </c>
      <c r="AL11" t="n">
        <v>76.5</v>
      </c>
      <c r="AM11">
        <f>IF($Q$11,$M$11*$AE$11*$U$11,0)</f>
        <v/>
      </c>
      <c r="AN11" t="n">
        <v>22.5</v>
      </c>
      <c r="AO11">
        <f>IF($Q$11,$M$11*$AC$11*$Y$11,0)</f>
        <v/>
      </c>
      <c r="AP11" t="n">
        <v>45.9</v>
      </c>
      <c r="AQ11">
        <f>IF($S$11,$M$11*$AG$11*$W$11,0)</f>
        <v/>
      </c>
      <c r="AR11" t="n">
        <v>27</v>
      </c>
      <c r="AS11">
        <f>IF(OR(Vu_khi!$M$11="Missile",Vu_khi!$M$11="Drone",AND(Vu_khi!$M$11="Rocket",OR(Vu_khi!$AM$11,Vu_khi!$D$11="guided")),Vu_khi!$AL$11,Vu_khi!$AK$11,Vu_khi!$X$11&lt;=0),FALSE,IF($B$11&gt;=0,$B$11&gt;=4,IF(Vu_khi!$M$11="Shell",Vu_khi!$AN$11&gt;=Canh_bao_vong!$D$10,IF(Vu_khi!$M$11="Bomb",Vu_khi!$AN$11&gt;=Canh_bao_vong!$D$3,IF(Vu_khi!$M$11="Rocket",Vu_khi!$AN$11&gt;=Canh_bao_vong!$D$13,FALSE)))))</f>
        <v/>
      </c>
      <c r="AT11" t="b">
        <v>0</v>
      </c>
      <c r="AU11">
        <f>IF(AND($B$11&lt;0,$AS$11),4,$B$11)</f>
        <v/>
      </c>
      <c r="AV11" t="n">
        <v>2</v>
      </c>
      <c r="AW11">
        <f>IF($AU$11&lt;4,0,MIN(MAX(0.5,Canh_bao_vong!$D$4),MAX(IF(Vu_khi!$C$11="cal_406",Canh_bao_vong!$D$7,IF($AU$11&gt;=5,Canh_bao_vong!$D$9,Canh_bao_vong!$D$8)),Canh_bao_vong!$D$2+MAX(0,Vu_khi!$X$11)/MAX(0.1,Canh_bao_vong!$D$5))))</f>
        <v/>
      </c>
      <c r="AX11" t="n">
        <v>0</v>
      </c>
      <c r="AY11" t="n">
        <v>15</v>
      </c>
      <c r="AZ11" t="inlineStr">
        <is>
          <t>ok</t>
        </is>
      </c>
      <c r="BA11" t="inlineStr"/>
      <c r="BB11" t="inlineStr">
        <is>
          <t>Assets/MachineBrigade/Resources/Data/balance.json: weapons[id=apkws_rocket] (lớp B trên 01_chien_dau/Vu_khi)</t>
        </is>
      </c>
      <c r="BC11" t="inlineStr"/>
    </row>
    <row r="12">
      <c r="A12" t="inlineStr">
        <is>
          <t>atgm</t>
        </is>
      </c>
      <c r="B12" t="n">
        <v>2</v>
      </c>
      <c r="C12">
        <f>IF(Vu_khi!$O$12="SIMULTANEOUS",MAX(1,Vu_khi!$N$12),1)</f>
        <v/>
      </c>
      <c r="D12" t="n">
        <v>1</v>
      </c>
      <c r="E12">
        <f>IF(Vu_khi!$S$12&gt;0,Vu_khi!$S$12,Vu_khi!$P$12*$C$12)</f>
        <v/>
      </c>
      <c r="F12" t="n">
        <v>1</v>
      </c>
      <c r="G12">
        <f>IF(Vu_khi!$S$12&gt;0,(Vu_khi!$S$12-1)*Vu_khi!$R$12+Vu_khi!$T$12,Vu_khi!$R$12+(Vu_khi!$P$12-1)*Vu_khi!$Q$12)</f>
        <v/>
      </c>
      <c r="H12" t="n">
        <v>12.33</v>
      </c>
      <c r="I12">
        <f>Vu_khi!$W$12*MAX(1,$E$12)</f>
        <v/>
      </c>
      <c r="J12" t="n">
        <v>190</v>
      </c>
      <c r="K12">
        <f>IF(Vu_khi!$V$12&gt;0,Vu_khi!$V$12,MIN(28,MAX(10,Vu_khi!$U$12*Vu_khi!$R$12*0.4)))</f>
        <v/>
      </c>
      <c r="L12" t="n">
        <v>10</v>
      </c>
      <c r="M12">
        <f>IF(Vu_khi!$W$12&lt;=0,0,IF(Vu_khi!$U$12&gt;0,$I$12*Vu_khi!$U$12/(MAX(0.05,$G$12)*Vu_khi!$U$12+$K$12),$I$12/MAX(0.05,$G$12)))</f>
        <v/>
      </c>
      <c r="N12" t="n">
        <v>15.4095701540957</v>
      </c>
      <c r="O12">
        <f>OR(Vu_khi!$AG$12,Vu_khi!$AB$12&gt;0,Vu_khi!$AH$12,Vu_khi!$M$12="Bomb",Vu_khi!$M$12="Drone")</f>
        <v/>
      </c>
      <c r="P12" t="b">
        <v>0</v>
      </c>
      <c r="Q12">
        <f>AND(NOT(Vu_khi!$AJ$12),OR(Vu_khi!$AC$12="Ground",Vu_khi!$AC$12="All"))</f>
        <v/>
      </c>
      <c r="R12" t="b">
        <v>1</v>
      </c>
      <c r="S12">
        <f>AND(NOT(Vu_khi!$AJ$12),OR(Vu_khi!$AC$12="Air",Vu_khi!$AC$12="All"))</f>
        <v/>
      </c>
      <c r="T12" t="b">
        <v>0</v>
      </c>
      <c r="U12">
        <f>INDEX(Bang_sat_thuong!$B$2:$B$7,MATCH(Vu_khi!$K$12,Bang_sat_thuong!$A$2:$A$7,0))</f>
        <v/>
      </c>
      <c r="V12" t="n">
        <v>1</v>
      </c>
      <c r="W12">
        <f>INDEX(Bang_sat_thuong!$C$2:$C$7,MATCH(Vu_khi!$K$12,Bang_sat_thuong!$A$2:$A$7,0))</f>
        <v/>
      </c>
      <c r="X12" t="n">
        <v>0.3</v>
      </c>
      <c r="Y12">
        <f>IF(AND(Vu_khi!$AI$12,Vu_khi!$K$12="HighExplosive"),MAX(He_so_toan_cuc!$D$2,INDEX(Bang_sat_thuong!$D$2:$D$7,MATCH(Vu_khi!$K$12,Bang_sat_thuong!$A$2:$A$7,0))),INDEX(Bang_sat_thuong!$D$2:$D$7,MATCH(Vu_khi!$K$12,Bang_sat_thuong!$A$2:$A$7,0)))</f>
        <v/>
      </c>
      <c r="Z12" t="n">
        <v>0.6</v>
      </c>
      <c r="AA12">
        <f>INDEX(Bang_xuyen_giap!$C$2:$C$7,MIN(6,MAX(1,IF($O$12,MAX(1,2-(Vu_khi!$L$12-0)),2-(Vu_khi!$L$12-0))+1)))</f>
        <v/>
      </c>
      <c r="AB12" t="n">
        <v>1.2</v>
      </c>
      <c r="AC12">
        <f>INDEX(Bang_xuyen_giap!$C$2:$C$7,MIN(6,MAX(1,IF($O$12,MAX(1,2-(Vu_khi!$L$12-2)),2-(Vu_khi!$L$12-2))+1)))</f>
        <v/>
      </c>
      <c r="AD12" t="n">
        <v>1.2</v>
      </c>
      <c r="AE12">
        <f>INDEX(Bang_xuyen_giap!$C$2:$C$7,MIN(6,MAX(1,IF($O$12,MAX(1,2-(Vu_khi!$L$12-4)),2-(Vu_khi!$L$12-4))+1)))</f>
        <v/>
      </c>
      <c r="AF12" t="n">
        <v>0.85</v>
      </c>
      <c r="AG12">
        <f>INDEX(Bang_xuyen_giap!$C$2:$C$7,MIN(6,MAX(1,MAX(1,2-(Vu_khi!$L$12-0))+1)))</f>
        <v/>
      </c>
      <c r="AH12" t="n">
        <v>1</v>
      </c>
      <c r="AI12">
        <f>IF($Q$12,$M$12*$AA$12*$U$12,0)</f>
        <v/>
      </c>
      <c r="AJ12" t="n">
        <v>18.49148418491484</v>
      </c>
      <c r="AK12">
        <f>IF($Q$12,$M$12*$AC$12*$U$12,0)</f>
        <v/>
      </c>
      <c r="AL12" t="n">
        <v>18.49148418491484</v>
      </c>
      <c r="AM12">
        <f>IF($Q$12,$M$12*$AE$12*$U$12,0)</f>
        <v/>
      </c>
      <c r="AN12" t="n">
        <v>13.09813463098135</v>
      </c>
      <c r="AO12">
        <f>IF($Q$12,$M$12*$AC$12*$Y$12,0)</f>
        <v/>
      </c>
      <c r="AP12" t="n">
        <v>11.09489051094891</v>
      </c>
      <c r="AQ12">
        <f>IF($S$12,$M$12*$AG$12*$W$12,0)</f>
        <v/>
      </c>
      <c r="AR12" t="n">
        <v>0</v>
      </c>
      <c r="AS12">
        <f>IF(OR(Vu_khi!$M$12="Missile",Vu_khi!$M$12="Drone",AND(Vu_khi!$M$12="Rocket",OR(Vu_khi!$AM$12,Vu_khi!$D$12="guided")),Vu_khi!$AL$12,Vu_khi!$AK$12,Vu_khi!$X$12&lt;=0),FALSE,IF($B$12&gt;=0,$B$12&gt;=4,IF(Vu_khi!$M$12="Shell",Vu_khi!$AN$12&gt;=Canh_bao_vong!$D$10,IF(Vu_khi!$M$12="Bomb",Vu_khi!$AN$12&gt;=Canh_bao_vong!$D$3,IF(Vu_khi!$M$12="Rocket",Vu_khi!$AN$12&gt;=Canh_bao_vong!$D$13,FALSE)))))</f>
        <v/>
      </c>
      <c r="AT12" t="b">
        <v>0</v>
      </c>
      <c r="AU12">
        <f>IF(AND($B$12&lt;0,$AS$12),4,$B$12)</f>
        <v/>
      </c>
      <c r="AV12" t="n">
        <v>2</v>
      </c>
      <c r="AW12">
        <f>IF($AU$12&lt;4,0,MIN(MAX(0.5,Canh_bao_vong!$D$4),MAX(IF(Vu_khi!$C$12="cal_406",Canh_bao_vong!$D$7,IF($AU$12&gt;=5,Canh_bao_vong!$D$9,Canh_bao_vong!$D$8)),Canh_bao_vong!$D$2+MAX(0,Vu_khi!$X$12)/MAX(0.1,Canh_bao_vong!$D$5))))</f>
        <v/>
      </c>
      <c r="AX12" t="n">
        <v>0</v>
      </c>
      <c r="AY12" t="n">
        <v>0.6165</v>
      </c>
      <c r="AZ12" t="inlineStr">
        <is>
          <t>ok</t>
        </is>
      </c>
      <c r="BA12" t="inlineStr"/>
      <c r="BB12" t="inlineStr">
        <is>
          <t>Assets/MachineBrigade/Resources/Data/balance.json: weapons[id=atgm] (lớp B trên 01_chien_dau/Vu_khi)</t>
        </is>
      </c>
      <c r="BC12" t="inlineStr"/>
    </row>
    <row r="13">
      <c r="A13" t="inlineStr">
        <is>
          <t>atgm_heavy</t>
        </is>
      </c>
      <c r="B13" t="n">
        <v>2</v>
      </c>
      <c r="C13">
        <f>IF(Vu_khi!$O$13="SIMULTANEOUS",MAX(1,Vu_khi!$N$13),1)</f>
        <v/>
      </c>
      <c r="D13" t="n">
        <v>1</v>
      </c>
      <c r="E13">
        <f>IF(Vu_khi!$S$13&gt;0,Vu_khi!$S$13,Vu_khi!$P$13*$C$13)</f>
        <v/>
      </c>
      <c r="F13" t="n">
        <v>2</v>
      </c>
      <c r="G13">
        <f>IF(Vu_khi!$S$13&gt;0,(Vu_khi!$S$13-1)*Vu_khi!$R$13+Vu_khi!$T$13,Vu_khi!$R$13+(Vu_khi!$P$13-1)*Vu_khi!$Q$13)</f>
        <v/>
      </c>
      <c r="H13" t="n">
        <v>7.5</v>
      </c>
      <c r="I13">
        <f>Vu_khi!$W$13*MAX(1,$E$13)</f>
        <v/>
      </c>
      <c r="J13" t="n">
        <v>460</v>
      </c>
      <c r="K13">
        <f>IF(Vu_khi!$V$13&gt;0,Vu_khi!$V$13,MIN(28,MAX(10,Vu_khi!$U$13*Vu_khi!$R$13*0.4)))</f>
        <v/>
      </c>
      <c r="L13" t="n">
        <v>10</v>
      </c>
      <c r="M13">
        <f>IF(Vu_khi!$W$13&lt;=0,0,IF(Vu_khi!$U$13&gt;0,$I$13*Vu_khi!$U$13/(MAX(0.05,$G$13)*Vu_khi!$U$13+$K$13),$I$13/MAX(0.05,$G$13)))</f>
        <v/>
      </c>
      <c r="N13" t="n">
        <v>61.33333333333334</v>
      </c>
      <c r="O13">
        <f>OR(Vu_khi!$AG$13,Vu_khi!$AB$13&gt;0,Vu_khi!$AH$13,Vu_khi!$M$13="Bomb",Vu_khi!$M$13="Drone")</f>
        <v/>
      </c>
      <c r="P13" t="b">
        <v>0</v>
      </c>
      <c r="Q13">
        <f>AND(NOT(Vu_khi!$AJ$13),OR(Vu_khi!$AC$13="Ground",Vu_khi!$AC$13="All"))</f>
        <v/>
      </c>
      <c r="R13" t="b">
        <v>1</v>
      </c>
      <c r="S13">
        <f>AND(NOT(Vu_khi!$AJ$13),OR(Vu_khi!$AC$13="Air",Vu_khi!$AC$13="All"))</f>
        <v/>
      </c>
      <c r="T13" t="b">
        <v>0</v>
      </c>
      <c r="U13">
        <f>INDEX(Bang_sat_thuong!$B$2:$B$7,MATCH(Vu_khi!$K$13,Bang_sat_thuong!$A$2:$A$7,0))</f>
        <v/>
      </c>
      <c r="V13" t="n">
        <v>1</v>
      </c>
      <c r="W13">
        <f>INDEX(Bang_sat_thuong!$C$2:$C$7,MATCH(Vu_khi!$K$13,Bang_sat_thuong!$A$2:$A$7,0))</f>
        <v/>
      </c>
      <c r="X13" t="n">
        <v>0.3</v>
      </c>
      <c r="Y13">
        <f>IF(AND(Vu_khi!$AI$13,Vu_khi!$K$13="HighExplosive"),MAX(He_so_toan_cuc!$D$2,INDEX(Bang_sat_thuong!$D$2:$D$7,MATCH(Vu_khi!$K$13,Bang_sat_thuong!$A$2:$A$7,0))),INDEX(Bang_sat_thuong!$D$2:$D$7,MATCH(Vu_khi!$K$13,Bang_sat_thuong!$A$2:$A$7,0)))</f>
        <v/>
      </c>
      <c r="Z13" t="n">
        <v>0.6</v>
      </c>
      <c r="AA13">
        <f>INDEX(Bang_xuyen_giap!$C$2:$C$7,MIN(6,MAX(1,IF($O$13,MAX(1,2-(Vu_khi!$L$13-0)),2-(Vu_khi!$L$13-0))+1)))</f>
        <v/>
      </c>
      <c r="AB13" t="n">
        <v>1.2</v>
      </c>
      <c r="AC13">
        <f>INDEX(Bang_xuyen_giap!$C$2:$C$7,MIN(6,MAX(1,IF($O$13,MAX(1,2-(Vu_khi!$L$13-2)),2-(Vu_khi!$L$13-2))+1)))</f>
        <v/>
      </c>
      <c r="AD13" t="n">
        <v>1.2</v>
      </c>
      <c r="AE13">
        <f>INDEX(Bang_xuyen_giap!$C$2:$C$7,MIN(6,MAX(1,IF($O$13,MAX(1,2-(Vu_khi!$L$13-4)),2-(Vu_khi!$L$13-4))+1)))</f>
        <v/>
      </c>
      <c r="AF13" t="n">
        <v>0.85</v>
      </c>
      <c r="AG13">
        <f>INDEX(Bang_xuyen_giap!$C$2:$C$7,MIN(6,MAX(1,MAX(1,2-(Vu_khi!$L$13-0))+1)))</f>
        <v/>
      </c>
      <c r="AH13" t="n">
        <v>1</v>
      </c>
      <c r="AI13">
        <f>IF($Q$13,$M$13*$AA$13*$U$13,0)</f>
        <v/>
      </c>
      <c r="AJ13" t="n">
        <v>73.59999999999999</v>
      </c>
      <c r="AK13">
        <f>IF($Q$13,$M$13*$AC$13*$U$13,0)</f>
        <v/>
      </c>
      <c r="AL13" t="n">
        <v>73.59999999999999</v>
      </c>
      <c r="AM13">
        <f>IF($Q$13,$M$13*$AE$13*$U$13,0)</f>
        <v/>
      </c>
      <c r="AN13" t="n">
        <v>52.13333333333333</v>
      </c>
      <c r="AO13">
        <f>IF($Q$13,$M$13*$AC$13*$Y$13,0)</f>
        <v/>
      </c>
      <c r="AP13" t="n">
        <v>44.16</v>
      </c>
      <c r="AQ13">
        <f>IF($S$13,$M$13*$AG$13*$W$13,0)</f>
        <v/>
      </c>
      <c r="AR13" t="n">
        <v>0</v>
      </c>
      <c r="AS13">
        <f>IF(OR(Vu_khi!$M$13="Missile",Vu_khi!$M$13="Drone",AND(Vu_khi!$M$13="Rocket",OR(Vu_khi!$AM$13,Vu_khi!$D$13="guided")),Vu_khi!$AL$13,Vu_khi!$AK$13,Vu_khi!$X$13&lt;=0),FALSE,IF($B$13&gt;=0,$B$13&gt;=4,IF(Vu_khi!$M$13="Shell",Vu_khi!$AN$13&gt;=Canh_bao_vong!$D$10,IF(Vu_khi!$M$13="Bomb",Vu_khi!$AN$13&gt;=Canh_bao_vong!$D$3,IF(Vu_khi!$M$13="Rocket",Vu_khi!$AN$13&gt;=Canh_bao_vong!$D$13,FALSE)))))</f>
        <v/>
      </c>
      <c r="AT13" t="b">
        <v>0</v>
      </c>
      <c r="AU13">
        <f>IF(AND($B$13&lt;0,$AS$13),4,$B$13)</f>
        <v/>
      </c>
      <c r="AV13" t="n">
        <v>2</v>
      </c>
      <c r="AW13">
        <f>IF($AU$13&lt;4,0,MIN(MAX(0.5,Canh_bao_vong!$D$4),MAX(IF(Vu_khi!$C$13="cal_406",Canh_bao_vong!$D$7,IF($AU$13&gt;=5,Canh_bao_vong!$D$9,Canh_bao_vong!$D$8)),Canh_bao_vong!$D$2+MAX(0,Vu_khi!$X$13)/MAX(0.1,Canh_bao_vong!$D$5))))</f>
        <v/>
      </c>
      <c r="AX13" t="n">
        <v>0</v>
      </c>
      <c r="AY13" t="n">
        <v>0.375</v>
      </c>
      <c r="AZ13" t="inlineStr">
        <is>
          <t>NHANH_QUA</t>
        </is>
      </c>
      <c r="BA13" t="inlineStr"/>
      <c r="BB13" t="inlineStr">
        <is>
          <t>Assets/MachineBrigade/Resources/Data/balance.json: weapons[id=atgm_heavy] (lớp B trên 01_chien_dau/Vu_khi)</t>
        </is>
      </c>
      <c r="BC13" t="inlineStr"/>
    </row>
    <row r="14">
      <c r="A14" t="inlineStr">
        <is>
          <t>atgm_post</t>
        </is>
      </c>
      <c r="B14" t="n">
        <v>2</v>
      </c>
      <c r="C14">
        <f>IF(Vu_khi!$O$14="SIMULTANEOUS",MAX(1,Vu_khi!$N$14),1)</f>
        <v/>
      </c>
      <c r="D14" t="n">
        <v>1</v>
      </c>
      <c r="E14">
        <f>IF(Vu_khi!$S$14&gt;0,Vu_khi!$S$14,Vu_khi!$P$14*$C$14)</f>
        <v/>
      </c>
      <c r="F14" t="n">
        <v>1</v>
      </c>
      <c r="G14">
        <f>IF(Vu_khi!$S$14&gt;0,(Vu_khi!$S$14-1)*Vu_khi!$R$14+Vu_khi!$T$14,Vu_khi!$R$14+(Vu_khi!$P$14-1)*Vu_khi!$Q$14)</f>
        <v/>
      </c>
      <c r="H14" t="n">
        <v>12.1</v>
      </c>
      <c r="I14">
        <f>Vu_khi!$W$14*MAX(1,$E$14)</f>
        <v/>
      </c>
      <c r="J14" t="n">
        <v>190</v>
      </c>
      <c r="K14">
        <f>IF(Vu_khi!$V$14&gt;0,Vu_khi!$V$14,MIN(28,MAX(10,Vu_khi!$U$14*Vu_khi!$R$14*0.4)))</f>
        <v/>
      </c>
      <c r="L14" t="n">
        <v>10</v>
      </c>
      <c r="M14">
        <f>IF(Vu_khi!$W$14&lt;=0,0,IF(Vu_khi!$U$14&gt;0,$I$14*Vu_khi!$U$14/(MAX(0.05,$G$14)*Vu_khi!$U$14+$K$14),$I$14/MAX(0.05,$G$14)))</f>
        <v/>
      </c>
      <c r="N14" t="n">
        <v>15.70247933884298</v>
      </c>
      <c r="O14">
        <f>OR(Vu_khi!$AG$14,Vu_khi!$AB$14&gt;0,Vu_khi!$AH$14,Vu_khi!$M$14="Bomb",Vu_khi!$M$14="Drone")</f>
        <v/>
      </c>
      <c r="P14" t="b">
        <v>0</v>
      </c>
      <c r="Q14">
        <f>AND(NOT(Vu_khi!$AJ$14),OR(Vu_khi!$AC$14="Ground",Vu_khi!$AC$14="All"))</f>
        <v/>
      </c>
      <c r="R14" t="b">
        <v>1</v>
      </c>
      <c r="S14">
        <f>AND(NOT(Vu_khi!$AJ$14),OR(Vu_khi!$AC$14="Air",Vu_khi!$AC$14="All"))</f>
        <v/>
      </c>
      <c r="T14" t="b">
        <v>0</v>
      </c>
      <c r="U14">
        <f>INDEX(Bang_sat_thuong!$B$2:$B$7,MATCH(Vu_khi!$K$14,Bang_sat_thuong!$A$2:$A$7,0))</f>
        <v/>
      </c>
      <c r="V14" t="n">
        <v>1</v>
      </c>
      <c r="W14">
        <f>INDEX(Bang_sat_thuong!$C$2:$C$7,MATCH(Vu_khi!$K$14,Bang_sat_thuong!$A$2:$A$7,0))</f>
        <v/>
      </c>
      <c r="X14" t="n">
        <v>0.3</v>
      </c>
      <c r="Y14">
        <f>IF(AND(Vu_khi!$AI$14,Vu_khi!$K$14="HighExplosive"),MAX(He_so_toan_cuc!$D$2,INDEX(Bang_sat_thuong!$D$2:$D$7,MATCH(Vu_khi!$K$14,Bang_sat_thuong!$A$2:$A$7,0))),INDEX(Bang_sat_thuong!$D$2:$D$7,MATCH(Vu_khi!$K$14,Bang_sat_thuong!$A$2:$A$7,0)))</f>
        <v/>
      </c>
      <c r="Z14" t="n">
        <v>0.6</v>
      </c>
      <c r="AA14">
        <f>INDEX(Bang_xuyen_giap!$C$2:$C$7,MIN(6,MAX(1,IF($O$14,MAX(1,2-(Vu_khi!$L$14-0)),2-(Vu_khi!$L$14-0))+1)))</f>
        <v/>
      </c>
      <c r="AB14" t="n">
        <v>1.2</v>
      </c>
      <c r="AC14">
        <f>INDEX(Bang_xuyen_giap!$C$2:$C$7,MIN(6,MAX(1,IF($O$14,MAX(1,2-(Vu_khi!$L$14-2)),2-(Vu_khi!$L$14-2))+1)))</f>
        <v/>
      </c>
      <c r="AD14" t="n">
        <v>1</v>
      </c>
      <c r="AE14">
        <f>INDEX(Bang_xuyen_giap!$C$2:$C$7,MIN(6,MAX(1,IF($O$14,MAX(1,2-(Vu_khi!$L$14-4)),2-(Vu_khi!$L$14-4))+1)))</f>
        <v/>
      </c>
      <c r="AF14" t="n">
        <v>0.5</v>
      </c>
      <c r="AG14">
        <f>INDEX(Bang_xuyen_giap!$C$2:$C$7,MIN(6,MAX(1,MAX(1,2-(Vu_khi!$L$14-0))+1)))</f>
        <v/>
      </c>
      <c r="AH14" t="n">
        <v>1</v>
      </c>
      <c r="AI14">
        <f>IF($Q$14,$M$14*$AA$14*$U$14,0)</f>
        <v/>
      </c>
      <c r="AJ14" t="n">
        <v>18.84297520661157</v>
      </c>
      <c r="AK14">
        <f>IF($Q$14,$M$14*$AC$14*$U$14,0)</f>
        <v/>
      </c>
      <c r="AL14" t="n">
        <v>15.70247933884298</v>
      </c>
      <c r="AM14">
        <f>IF($Q$14,$M$14*$AE$14*$U$14,0)</f>
        <v/>
      </c>
      <c r="AN14" t="n">
        <v>7.851239669421488</v>
      </c>
      <c r="AO14">
        <f>IF($Q$14,$M$14*$AC$14*$Y$14,0)</f>
        <v/>
      </c>
      <c r="AP14" t="n">
        <v>9.421487603305785</v>
      </c>
      <c r="AQ14">
        <f>IF($S$14,$M$14*$AG$14*$W$14,0)</f>
        <v/>
      </c>
      <c r="AR14" t="n">
        <v>0</v>
      </c>
      <c r="AS14">
        <f>IF(OR(Vu_khi!$M$14="Missile",Vu_khi!$M$14="Drone",AND(Vu_khi!$M$14="Rocket",OR(Vu_khi!$AM$14,Vu_khi!$D$14="guided")),Vu_khi!$AL$14,Vu_khi!$AK$14,Vu_khi!$X$14&lt;=0),FALSE,IF($B$14&gt;=0,$B$14&gt;=4,IF(Vu_khi!$M$14="Shell",Vu_khi!$AN$14&gt;=Canh_bao_vong!$D$10,IF(Vu_khi!$M$14="Bomb",Vu_khi!$AN$14&gt;=Canh_bao_vong!$D$3,IF(Vu_khi!$M$14="Rocket",Vu_khi!$AN$14&gt;=Canh_bao_vong!$D$13,FALSE)))))</f>
        <v/>
      </c>
      <c r="AT14" t="b">
        <v>0</v>
      </c>
      <c r="AU14">
        <f>IF(AND($B$14&lt;0,$AS$14),4,$B$14)</f>
        <v/>
      </c>
      <c r="AV14" t="n">
        <v>2</v>
      </c>
      <c r="AW14">
        <f>IF($AU$14&lt;4,0,MIN(MAX(0.5,Canh_bao_vong!$D$4),MAX(IF(Vu_khi!$C$14="cal_406",Canh_bao_vong!$D$7,IF($AU$14&gt;=5,Canh_bao_vong!$D$9,Canh_bao_vong!$D$8)),Canh_bao_vong!$D$2+MAX(0,Vu_khi!$X$14)/MAX(0.1,Canh_bao_vong!$D$5))))</f>
        <v/>
      </c>
      <c r="AX14" t="n">
        <v>0</v>
      </c>
      <c r="AY14" t="n">
        <v>0.605</v>
      </c>
      <c r="AZ14" t="inlineStr">
        <is>
          <t>ok</t>
        </is>
      </c>
      <c r="BA14" t="inlineStr"/>
      <c r="BB14" t="inlineStr">
        <is>
          <t>Assets/MachineBrigade/Resources/Data/balance.json: weapons[id=atgm_post] (lớp B trên 01_chien_dau/Vu_khi)</t>
        </is>
      </c>
      <c r="BC14" t="inlineStr"/>
    </row>
    <row r="15">
      <c r="A15" t="inlineStr">
        <is>
          <t>autocannon_25</t>
        </is>
      </c>
      <c r="B15" t="n">
        <v>1</v>
      </c>
      <c r="C15">
        <f>IF(Vu_khi!$O$15="SIMULTANEOUS",MAX(1,Vu_khi!$N$15),1)</f>
        <v/>
      </c>
      <c r="D15" t="n">
        <v>1</v>
      </c>
      <c r="E15">
        <f>IF(Vu_khi!$S$15&gt;0,Vu_khi!$S$15,Vu_khi!$P$15*$C$15)</f>
        <v/>
      </c>
      <c r="F15" t="n">
        <v>8</v>
      </c>
      <c r="G15">
        <f>IF(Vu_khi!$S$15&gt;0,(Vu_khi!$S$15-1)*Vu_khi!$R$15+Vu_khi!$T$15,Vu_khi!$R$15+(Vu_khi!$P$15-1)*Vu_khi!$Q$15)</f>
        <v/>
      </c>
      <c r="H15" t="n">
        <v>2.633599999999999</v>
      </c>
      <c r="I15">
        <f>Vu_khi!$W$15*MAX(1,$E$15)</f>
        <v/>
      </c>
      <c r="J15" t="n">
        <v>136</v>
      </c>
      <c r="K15">
        <f>IF(Vu_khi!$V$15&gt;0,Vu_khi!$V$15,MIN(28,MAX(10,Vu_khi!$U$15*Vu_khi!$R$15*0.4)))</f>
        <v/>
      </c>
      <c r="L15" t="n">
        <v>10</v>
      </c>
      <c r="M15">
        <f>IF(Vu_khi!$W$15&lt;=0,0,IF(Vu_khi!$U$15&gt;0,$I$15*Vu_khi!$U$15/(MAX(0.05,$G$15)*Vu_khi!$U$15+$K$15),$I$15/MAX(0.05,$G$15)))</f>
        <v/>
      </c>
      <c r="N15" t="n">
        <v>51.64034021871204</v>
      </c>
      <c r="O15">
        <f>OR(Vu_khi!$AG$15,Vu_khi!$AB$15&gt;0,Vu_khi!$AH$15,Vu_khi!$M$15="Bomb",Vu_khi!$M$15="Drone")</f>
        <v/>
      </c>
      <c r="P15" t="b">
        <v>0</v>
      </c>
      <c r="Q15">
        <f>AND(NOT(Vu_khi!$AJ$15),OR(Vu_khi!$AC$15="Ground",Vu_khi!$AC$15="All"))</f>
        <v/>
      </c>
      <c r="R15" t="b">
        <v>1</v>
      </c>
      <c r="S15">
        <f>AND(NOT(Vu_khi!$AJ$15),OR(Vu_khi!$AC$15="Air",Vu_khi!$AC$15="All"))</f>
        <v/>
      </c>
      <c r="T15" t="b">
        <v>0</v>
      </c>
      <c r="U15">
        <f>INDEX(Bang_sat_thuong!$B$2:$B$7,MATCH(Vu_khi!$K$15,Bang_sat_thuong!$A$2:$A$7,0))</f>
        <v/>
      </c>
      <c r="V15" t="n">
        <v>1</v>
      </c>
      <c r="W15">
        <f>INDEX(Bang_sat_thuong!$C$2:$C$7,MATCH(Vu_khi!$K$15,Bang_sat_thuong!$A$2:$A$7,0))</f>
        <v/>
      </c>
      <c r="X15" t="n">
        <v>0.3</v>
      </c>
      <c r="Y15">
        <f>IF(AND(Vu_khi!$AI$15,Vu_khi!$K$15="HighExplosive"),MAX(He_so_toan_cuc!$D$2,INDEX(Bang_sat_thuong!$D$2:$D$7,MATCH(Vu_khi!$K$15,Bang_sat_thuong!$A$2:$A$7,0))),INDEX(Bang_sat_thuong!$D$2:$D$7,MATCH(Vu_khi!$K$15,Bang_sat_thuong!$A$2:$A$7,0)))</f>
        <v/>
      </c>
      <c r="Z15" t="n">
        <v>0.6</v>
      </c>
      <c r="AA15">
        <f>INDEX(Bang_xuyen_giap!$C$2:$C$7,MIN(6,MAX(1,IF($O$15,MAX(1,2-(Vu_khi!$L$15-0)),2-(Vu_khi!$L$15-0))+1)))</f>
        <v/>
      </c>
      <c r="AB15" t="n">
        <v>1.2</v>
      </c>
      <c r="AC15">
        <f>INDEX(Bang_xuyen_giap!$C$2:$C$7,MIN(6,MAX(1,IF($O$15,MAX(1,2-(Vu_khi!$L$15-2)),2-(Vu_khi!$L$15-2))+1)))</f>
        <v/>
      </c>
      <c r="AD15" t="n">
        <v>0.85</v>
      </c>
      <c r="AE15">
        <f>INDEX(Bang_xuyen_giap!$C$2:$C$7,MIN(6,MAX(1,IF($O$15,MAX(1,2-(Vu_khi!$L$15-4)),2-(Vu_khi!$L$15-4))+1)))</f>
        <v/>
      </c>
      <c r="AF15" t="n">
        <v>0.25</v>
      </c>
      <c r="AG15">
        <f>INDEX(Bang_xuyen_giap!$C$2:$C$7,MIN(6,MAX(1,MAX(1,2-(Vu_khi!$L$15-0))+1)))</f>
        <v/>
      </c>
      <c r="AH15" t="n">
        <v>1</v>
      </c>
      <c r="AI15">
        <f>IF($Q$15,$M$15*$AA$15*$U$15,0)</f>
        <v/>
      </c>
      <c r="AJ15" t="n">
        <v>61.96840826245445</v>
      </c>
      <c r="AK15">
        <f>IF($Q$15,$M$15*$AC$15*$U$15,0)</f>
        <v/>
      </c>
      <c r="AL15" t="n">
        <v>43.89428918590524</v>
      </c>
      <c r="AM15">
        <f>IF($Q$15,$M$15*$AE$15*$U$15,0)</f>
        <v/>
      </c>
      <c r="AN15" t="n">
        <v>12.91008505467801</v>
      </c>
      <c r="AO15">
        <f>IF($Q$15,$M$15*$AC$15*$Y$15,0)</f>
        <v/>
      </c>
      <c r="AP15" t="n">
        <v>26.33657351154314</v>
      </c>
      <c r="AQ15">
        <f>IF($S$15,$M$15*$AG$15*$W$15,0)</f>
        <v/>
      </c>
      <c r="AR15" t="n">
        <v>0</v>
      </c>
      <c r="AS15">
        <f>IF(OR(Vu_khi!$M$15="Missile",Vu_khi!$M$15="Drone",AND(Vu_khi!$M$15="Rocket",OR(Vu_khi!$AM$15,Vu_khi!$D$15="guided")),Vu_khi!$AL$15,Vu_khi!$AK$15,Vu_khi!$X$15&lt;=0),FALSE,IF($B$15&gt;=0,$B$15&gt;=4,IF(Vu_khi!$M$15="Shell",Vu_khi!$AN$15&gt;=Canh_bao_vong!$D$10,IF(Vu_khi!$M$15="Bomb",Vu_khi!$AN$15&gt;=Canh_bao_vong!$D$3,IF(Vu_khi!$M$15="Rocket",Vu_khi!$AN$15&gt;=Canh_bao_vong!$D$13,FALSE)))))</f>
        <v/>
      </c>
      <c r="AT15" t="b">
        <v>0</v>
      </c>
      <c r="AU15">
        <f>IF(AND($B$15&lt;0,$AS$15),4,$B$15)</f>
        <v/>
      </c>
      <c r="AV15" t="n">
        <v>1</v>
      </c>
      <c r="AW15">
        <f>IF($AU$15&lt;4,0,MIN(MAX(0.5,Canh_bao_vong!$D$4),MAX(IF(Vu_khi!$C$15="cal_406",Canh_bao_vong!$D$7,IF($AU$15&gt;=5,Canh_bao_vong!$D$9,Canh_bao_vong!$D$8)),Canh_bao_vong!$D$2+MAX(0,Vu_khi!$X$15)/MAX(0.1,Canh_bao_vong!$D$5))))</f>
        <v/>
      </c>
      <c r="AX15" t="n">
        <v>0</v>
      </c>
      <c r="AY15" t="n">
        <v>2.743333</v>
      </c>
      <c r="AZ15" t="inlineStr">
        <is>
          <t>ok</t>
        </is>
      </c>
      <c r="BA15" t="inlineStr"/>
      <c r="BB15" t="inlineStr">
        <is>
          <t>Assets/MachineBrigade/Resources/Data/balance.json: weapons[id=autocannon_25] (lớp B trên 01_chien_dau/Vu_khi)</t>
        </is>
      </c>
      <c r="BC15" t="inlineStr"/>
    </row>
    <row r="16">
      <c r="A16" t="inlineStr">
        <is>
          <t>autocannon_25_flak</t>
        </is>
      </c>
      <c r="B16" t="n">
        <v>1</v>
      </c>
      <c r="C16">
        <f>IF(Vu_khi!$O$16="SIMULTANEOUS",MAX(1,Vu_khi!$N$16),1)</f>
        <v/>
      </c>
      <c r="D16" t="n">
        <v>1</v>
      </c>
      <c r="E16">
        <f>IF(Vu_khi!$S$16&gt;0,Vu_khi!$S$16,Vu_khi!$P$16*$C$16)</f>
        <v/>
      </c>
      <c r="F16" t="n">
        <v>8</v>
      </c>
      <c r="G16">
        <f>IF(Vu_khi!$S$16&gt;0,(Vu_khi!$S$16-1)*Vu_khi!$R$16+Vu_khi!$T$16,Vu_khi!$R$16+(Vu_khi!$P$16-1)*Vu_khi!$Q$16)</f>
        <v/>
      </c>
      <c r="H16" t="n">
        <v>2.633599999999999</v>
      </c>
      <c r="I16">
        <f>Vu_khi!$W$16*MAX(1,$E$16)</f>
        <v/>
      </c>
      <c r="J16" t="n">
        <v>136</v>
      </c>
      <c r="K16">
        <f>IF(Vu_khi!$V$16&gt;0,Vu_khi!$V$16,MIN(28,MAX(10,Vu_khi!$U$16*Vu_khi!$R$16*0.4)))</f>
        <v/>
      </c>
      <c r="L16" t="n">
        <v>10</v>
      </c>
      <c r="M16">
        <f>IF(Vu_khi!$W$16&lt;=0,0,IF(Vu_khi!$U$16&gt;0,$I$16*Vu_khi!$U$16/(MAX(0.05,$G$16)*Vu_khi!$U$16+$K$16),$I$16/MAX(0.05,$G$16)))</f>
        <v/>
      </c>
      <c r="N16" t="n">
        <v>51.64034021871204</v>
      </c>
      <c r="O16">
        <f>OR(Vu_khi!$AG$16,Vu_khi!$AB$16&gt;0,Vu_khi!$AH$16,Vu_khi!$M$16="Bomb",Vu_khi!$M$16="Drone")</f>
        <v/>
      </c>
      <c r="P16" t="b">
        <v>0</v>
      </c>
      <c r="Q16">
        <f>AND(NOT(Vu_khi!$AJ$16),OR(Vu_khi!$AC$16="Ground",Vu_khi!$AC$16="All"))</f>
        <v/>
      </c>
      <c r="R16" t="b">
        <v>0</v>
      </c>
      <c r="S16">
        <f>AND(NOT(Vu_khi!$AJ$16),OR(Vu_khi!$AC$16="Air",Vu_khi!$AC$16="All"))</f>
        <v/>
      </c>
      <c r="T16" t="b">
        <v>1</v>
      </c>
      <c r="U16">
        <f>INDEX(Bang_sat_thuong!$B$2:$B$7,MATCH(Vu_khi!$K$16,Bang_sat_thuong!$A$2:$A$7,0))</f>
        <v/>
      </c>
      <c r="V16" t="n">
        <v>0.5</v>
      </c>
      <c r="W16">
        <f>INDEX(Bang_sat_thuong!$C$2:$C$7,MATCH(Vu_khi!$K$16,Bang_sat_thuong!$A$2:$A$7,0))</f>
        <v/>
      </c>
      <c r="X16" t="n">
        <v>1.3</v>
      </c>
      <c r="Y16">
        <f>IF(AND(Vu_khi!$AI$16,Vu_khi!$K$16="HighExplosive"),MAX(He_so_toan_cuc!$D$2,INDEX(Bang_sat_thuong!$D$2:$D$7,MATCH(Vu_khi!$K$16,Bang_sat_thuong!$A$2:$A$7,0))),INDEX(Bang_sat_thuong!$D$2:$D$7,MATCH(Vu_khi!$K$16,Bang_sat_thuong!$A$2:$A$7,0)))</f>
        <v/>
      </c>
      <c r="Z16" t="n">
        <v>0.1</v>
      </c>
      <c r="AA16">
        <f>INDEX(Bang_xuyen_giap!$C$2:$C$7,MIN(6,MAX(1,IF($O$16,MAX(1,2-(Vu_khi!$L$16-0)),2-(Vu_khi!$L$16-0))+1)))</f>
        <v/>
      </c>
      <c r="AB16" t="n">
        <v>1</v>
      </c>
      <c r="AC16">
        <f>INDEX(Bang_xuyen_giap!$C$2:$C$7,MIN(6,MAX(1,IF($O$16,MAX(1,2-(Vu_khi!$L$16-2)),2-(Vu_khi!$L$16-2))+1)))</f>
        <v/>
      </c>
      <c r="AD16" t="n">
        <v>0.5</v>
      </c>
      <c r="AE16">
        <f>INDEX(Bang_xuyen_giap!$C$2:$C$7,MIN(6,MAX(1,IF($O$16,MAX(1,2-(Vu_khi!$L$16-4)),2-(Vu_khi!$L$16-4))+1)))</f>
        <v/>
      </c>
      <c r="AF16" t="n">
        <v>0.1</v>
      </c>
      <c r="AG16">
        <f>INDEX(Bang_xuyen_giap!$C$2:$C$7,MIN(6,MAX(1,MAX(1,2-(Vu_khi!$L$16-0))+1)))</f>
        <v/>
      </c>
      <c r="AH16" t="n">
        <v>1</v>
      </c>
      <c r="AI16">
        <f>IF($Q$16,$M$16*$AA$16*$U$16,0)</f>
        <v/>
      </c>
      <c r="AJ16" t="n">
        <v>0</v>
      </c>
      <c r="AK16">
        <f>IF($Q$16,$M$16*$AC$16*$U$16,0)</f>
        <v/>
      </c>
      <c r="AL16" t="n">
        <v>0</v>
      </c>
      <c r="AM16">
        <f>IF($Q$16,$M$16*$AE$16*$U$16,0)</f>
        <v/>
      </c>
      <c r="AN16" t="n">
        <v>0</v>
      </c>
      <c r="AO16">
        <f>IF($Q$16,$M$16*$AC$16*$Y$16,0)</f>
        <v/>
      </c>
      <c r="AP16" t="n">
        <v>0</v>
      </c>
      <c r="AQ16">
        <f>IF($S$16,$M$16*$AG$16*$W$16,0)</f>
        <v/>
      </c>
      <c r="AR16" t="n">
        <v>67.13244228432565</v>
      </c>
      <c r="AS16">
        <f>IF(OR(Vu_khi!$M$16="Missile",Vu_khi!$M$16="Drone",AND(Vu_khi!$M$16="Rocket",OR(Vu_khi!$AM$16,Vu_khi!$D$16="guided")),Vu_khi!$AL$16,Vu_khi!$AK$16,Vu_khi!$X$16&lt;=0),FALSE,IF($B$16&gt;=0,$B$16&gt;=4,IF(Vu_khi!$M$16="Shell",Vu_khi!$AN$16&gt;=Canh_bao_vong!$D$10,IF(Vu_khi!$M$16="Bomb",Vu_khi!$AN$16&gt;=Canh_bao_vong!$D$3,IF(Vu_khi!$M$16="Rocket",Vu_khi!$AN$16&gt;=Canh_bao_vong!$D$13,FALSE)))))</f>
        <v/>
      </c>
      <c r="AT16" t="b">
        <v>0</v>
      </c>
      <c r="AU16">
        <f>IF(AND($B$16&lt;0,$AS$16),4,$B$16)</f>
        <v/>
      </c>
      <c r="AV16" t="n">
        <v>1</v>
      </c>
      <c r="AW16">
        <f>IF($AU$16&lt;4,0,MIN(MAX(0.5,Canh_bao_vong!$D$4),MAX(IF(Vu_khi!$C$16="cal_406",Canh_bao_vong!$D$7,IF($AU$16&gt;=5,Canh_bao_vong!$D$9,Canh_bao_vong!$D$8)),Canh_bao_vong!$D$2+MAX(0,Vu_khi!$X$16)/MAX(0.1,Canh_bao_vong!$D$5))))</f>
        <v/>
      </c>
      <c r="AX16" t="n">
        <v>0</v>
      </c>
      <c r="BB16" t="inlineStr">
        <is>
          <t>Assets/MachineBrigade/Resources/Data/balance.json: weapons[id=autocannon_25_flak] (lớp B trên 01_chien_dau/Vu_khi)</t>
        </is>
      </c>
      <c r="BC16" t="inlineStr"/>
    </row>
    <row r="17">
      <c r="A17" t="inlineStr">
        <is>
          <t>autocannon_30</t>
        </is>
      </c>
      <c r="B17" t="n">
        <v>1</v>
      </c>
      <c r="C17">
        <f>IF(Vu_khi!$O$17="SIMULTANEOUS",MAX(1,Vu_khi!$N$17),1)</f>
        <v/>
      </c>
      <c r="D17" t="n">
        <v>1</v>
      </c>
      <c r="E17">
        <f>IF(Vu_khi!$S$17&gt;0,Vu_khi!$S$17,Vu_khi!$P$17*$C$17)</f>
        <v/>
      </c>
      <c r="F17" t="n">
        <v>10</v>
      </c>
      <c r="G17">
        <f>IF(Vu_khi!$S$17&gt;0,(Vu_khi!$S$17-1)*Vu_khi!$R$17+Vu_khi!$T$17,Vu_khi!$R$17+(Vu_khi!$P$17-1)*Vu_khi!$Q$17)</f>
        <v/>
      </c>
      <c r="H17" t="n">
        <v>2.611</v>
      </c>
      <c r="I17">
        <f>Vu_khi!$W$17*MAX(1,$E$17)</f>
        <v/>
      </c>
      <c r="J17" t="n">
        <v>220</v>
      </c>
      <c r="K17">
        <f>IF(Vu_khi!$V$17&gt;0,Vu_khi!$V$17,MIN(28,MAX(10,Vu_khi!$U$17*Vu_khi!$R$17*0.4)))</f>
        <v/>
      </c>
      <c r="L17" t="n">
        <v>10</v>
      </c>
      <c r="M17">
        <f>IF(Vu_khi!$W$17&lt;=0,0,IF(Vu_khi!$U$17&gt;0,$I$17*Vu_khi!$U$17/(MAX(0.05,$G$17)*Vu_khi!$U$17+$K$17),$I$17/MAX(0.05,$G$17)))</f>
        <v/>
      </c>
      <c r="N17" t="n">
        <v>84.25890463423977</v>
      </c>
      <c r="O17">
        <f>OR(Vu_khi!$AG$17,Vu_khi!$AB$17&gt;0,Vu_khi!$AH$17,Vu_khi!$M$17="Bomb",Vu_khi!$M$17="Drone")</f>
        <v/>
      </c>
      <c r="P17" t="b">
        <v>0</v>
      </c>
      <c r="Q17">
        <f>AND(NOT(Vu_khi!$AJ$17),OR(Vu_khi!$AC$17="Ground",Vu_khi!$AC$17="All"))</f>
        <v/>
      </c>
      <c r="R17" t="b">
        <v>1</v>
      </c>
      <c r="S17">
        <f>AND(NOT(Vu_khi!$AJ$17),OR(Vu_khi!$AC$17="Air",Vu_khi!$AC$17="All"))</f>
        <v/>
      </c>
      <c r="T17" t="b">
        <v>0</v>
      </c>
      <c r="U17">
        <f>INDEX(Bang_sat_thuong!$B$2:$B$7,MATCH(Vu_khi!$K$17,Bang_sat_thuong!$A$2:$A$7,0))</f>
        <v/>
      </c>
      <c r="V17" t="n">
        <v>1</v>
      </c>
      <c r="W17">
        <f>INDEX(Bang_sat_thuong!$C$2:$C$7,MATCH(Vu_khi!$K$17,Bang_sat_thuong!$A$2:$A$7,0))</f>
        <v/>
      </c>
      <c r="X17" t="n">
        <v>0.3</v>
      </c>
      <c r="Y17">
        <f>IF(AND(Vu_khi!$AI$17,Vu_khi!$K$17="HighExplosive"),MAX(He_so_toan_cuc!$D$2,INDEX(Bang_sat_thuong!$D$2:$D$7,MATCH(Vu_khi!$K$17,Bang_sat_thuong!$A$2:$A$7,0))),INDEX(Bang_sat_thuong!$D$2:$D$7,MATCH(Vu_khi!$K$17,Bang_sat_thuong!$A$2:$A$7,0)))</f>
        <v/>
      </c>
      <c r="Z17" t="n">
        <v>0.6</v>
      </c>
      <c r="AA17">
        <f>INDEX(Bang_xuyen_giap!$C$2:$C$7,MIN(6,MAX(1,IF($O$17,MAX(1,2-(Vu_khi!$L$17-0)),2-(Vu_khi!$L$17-0))+1)))</f>
        <v/>
      </c>
      <c r="AB17" t="n">
        <v>1.2</v>
      </c>
      <c r="AC17">
        <f>INDEX(Bang_xuyen_giap!$C$2:$C$7,MIN(6,MAX(1,IF($O$17,MAX(1,2-(Vu_khi!$L$17-2)),2-(Vu_khi!$L$17-2))+1)))</f>
        <v/>
      </c>
      <c r="AD17" t="n">
        <v>0.85</v>
      </c>
      <c r="AE17">
        <f>INDEX(Bang_xuyen_giap!$C$2:$C$7,MIN(6,MAX(1,IF($O$17,MAX(1,2-(Vu_khi!$L$17-4)),2-(Vu_khi!$L$17-4))+1)))</f>
        <v/>
      </c>
      <c r="AF17" t="n">
        <v>0.25</v>
      </c>
      <c r="AG17">
        <f>INDEX(Bang_xuyen_giap!$C$2:$C$7,MIN(6,MAX(1,MAX(1,2-(Vu_khi!$L$17-0))+1)))</f>
        <v/>
      </c>
      <c r="AH17" t="n">
        <v>1</v>
      </c>
      <c r="AI17">
        <f>IF($Q$17,$M$17*$AA$17*$U$17,0)</f>
        <v/>
      </c>
      <c r="AJ17" t="n">
        <v>101.1106855610877</v>
      </c>
      <c r="AK17">
        <f>IF($Q$17,$M$17*$AC$17*$U$17,0)</f>
        <v/>
      </c>
      <c r="AL17" t="n">
        <v>71.6200689391038</v>
      </c>
      <c r="AM17">
        <f>IF($Q$17,$M$17*$AE$17*$U$17,0)</f>
        <v/>
      </c>
      <c r="AN17" t="n">
        <v>21.06472615855994</v>
      </c>
      <c r="AO17">
        <f>IF($Q$17,$M$17*$AC$17*$Y$17,0)</f>
        <v/>
      </c>
      <c r="AP17" t="n">
        <v>42.97204136346228</v>
      </c>
      <c r="AQ17">
        <f>IF($S$17,$M$17*$AG$17*$W$17,0)</f>
        <v/>
      </c>
      <c r="AR17" t="n">
        <v>0</v>
      </c>
      <c r="AS17">
        <f>IF(OR(Vu_khi!$M$17="Missile",Vu_khi!$M$17="Drone",AND(Vu_khi!$M$17="Rocket",OR(Vu_khi!$AM$17,Vu_khi!$D$17="guided")),Vu_khi!$AL$17,Vu_khi!$AK$17,Vu_khi!$X$17&lt;=0),FALSE,IF($B$17&gt;=0,$B$17&gt;=4,IF(Vu_khi!$M$17="Shell",Vu_khi!$AN$17&gt;=Canh_bao_vong!$D$10,IF(Vu_khi!$M$17="Bomb",Vu_khi!$AN$17&gt;=Canh_bao_vong!$D$3,IF(Vu_khi!$M$17="Rocket",Vu_khi!$AN$17&gt;=Canh_bao_vong!$D$13,FALSE)))))</f>
        <v/>
      </c>
      <c r="AT17" t="b">
        <v>0</v>
      </c>
      <c r="AU17">
        <f>IF(AND($B$17&lt;0,$AS$17),4,$B$17)</f>
        <v/>
      </c>
      <c r="AV17" t="n">
        <v>1</v>
      </c>
      <c r="AW17">
        <f>IF($AU$17&lt;4,0,MIN(MAX(0.5,Canh_bao_vong!$D$4),MAX(IF(Vu_khi!$C$17="cal_406",Canh_bao_vong!$D$7,IF($AU$17&gt;=5,Canh_bao_vong!$D$9,Canh_bao_vong!$D$8)),Canh_bao_vong!$D$2+MAX(0,Vu_khi!$X$17)/MAX(0.1,Canh_bao_vong!$D$5))))</f>
        <v/>
      </c>
      <c r="AX17" t="n">
        <v>0</v>
      </c>
      <c r="AY17" t="n">
        <v>3.481333</v>
      </c>
      <c r="AZ17" t="inlineStr">
        <is>
          <t>ok</t>
        </is>
      </c>
      <c r="BA17" t="inlineStr"/>
      <c r="BB17" t="inlineStr">
        <is>
          <t>Assets/MachineBrigade/Resources/Data/balance.json: weapons[id=autocannon_30] (lớp B trên 01_chien_dau/Vu_khi)</t>
        </is>
      </c>
      <c r="BC17" t="inlineStr"/>
    </row>
    <row r="18">
      <c r="A18" t="inlineStr">
        <is>
          <t>autocannon_30_flak</t>
        </is>
      </c>
      <c r="B18" t="n">
        <v>1</v>
      </c>
      <c r="C18">
        <f>IF(Vu_khi!$O$18="SIMULTANEOUS",MAX(1,Vu_khi!$N$18),1)</f>
        <v/>
      </c>
      <c r="D18" t="n">
        <v>1</v>
      </c>
      <c r="E18">
        <f>IF(Vu_khi!$S$18&gt;0,Vu_khi!$S$18,Vu_khi!$P$18*$C$18)</f>
        <v/>
      </c>
      <c r="F18" t="n">
        <v>10</v>
      </c>
      <c r="G18">
        <f>IF(Vu_khi!$S$18&gt;0,(Vu_khi!$S$18-1)*Vu_khi!$R$18+Vu_khi!$T$18,Vu_khi!$R$18+(Vu_khi!$P$18-1)*Vu_khi!$Q$18)</f>
        <v/>
      </c>
      <c r="H18" t="n">
        <v>2.611</v>
      </c>
      <c r="I18">
        <f>Vu_khi!$W$18*MAX(1,$E$18)</f>
        <v/>
      </c>
      <c r="J18" t="n">
        <v>220</v>
      </c>
      <c r="K18">
        <f>IF(Vu_khi!$V$18&gt;0,Vu_khi!$V$18,MIN(28,MAX(10,Vu_khi!$U$18*Vu_khi!$R$18*0.4)))</f>
        <v/>
      </c>
      <c r="L18" t="n">
        <v>10</v>
      </c>
      <c r="M18">
        <f>IF(Vu_khi!$W$18&lt;=0,0,IF(Vu_khi!$U$18&gt;0,$I$18*Vu_khi!$U$18/(MAX(0.05,$G$18)*Vu_khi!$U$18+$K$18),$I$18/MAX(0.05,$G$18)))</f>
        <v/>
      </c>
      <c r="N18" t="n">
        <v>84.25890463423977</v>
      </c>
      <c r="O18">
        <f>OR(Vu_khi!$AG$18,Vu_khi!$AB$18&gt;0,Vu_khi!$AH$18,Vu_khi!$M$18="Bomb",Vu_khi!$M$18="Drone")</f>
        <v/>
      </c>
      <c r="P18" t="b">
        <v>0</v>
      </c>
      <c r="Q18">
        <f>AND(NOT(Vu_khi!$AJ$18),OR(Vu_khi!$AC$18="Ground",Vu_khi!$AC$18="All"))</f>
        <v/>
      </c>
      <c r="R18" t="b">
        <v>0</v>
      </c>
      <c r="S18">
        <f>AND(NOT(Vu_khi!$AJ$18),OR(Vu_khi!$AC$18="Air",Vu_khi!$AC$18="All"))</f>
        <v/>
      </c>
      <c r="T18" t="b">
        <v>1</v>
      </c>
      <c r="U18">
        <f>INDEX(Bang_sat_thuong!$B$2:$B$7,MATCH(Vu_khi!$K$18,Bang_sat_thuong!$A$2:$A$7,0))</f>
        <v/>
      </c>
      <c r="V18" t="n">
        <v>0.5</v>
      </c>
      <c r="W18">
        <f>INDEX(Bang_sat_thuong!$C$2:$C$7,MATCH(Vu_khi!$K$18,Bang_sat_thuong!$A$2:$A$7,0))</f>
        <v/>
      </c>
      <c r="X18" t="n">
        <v>1.3</v>
      </c>
      <c r="Y18">
        <f>IF(AND(Vu_khi!$AI$18,Vu_khi!$K$18="HighExplosive"),MAX(He_so_toan_cuc!$D$2,INDEX(Bang_sat_thuong!$D$2:$D$7,MATCH(Vu_khi!$K$18,Bang_sat_thuong!$A$2:$A$7,0))),INDEX(Bang_sat_thuong!$D$2:$D$7,MATCH(Vu_khi!$K$18,Bang_sat_thuong!$A$2:$A$7,0)))</f>
        <v/>
      </c>
      <c r="Z18" t="n">
        <v>0.1</v>
      </c>
      <c r="AA18">
        <f>INDEX(Bang_xuyen_giap!$C$2:$C$7,MIN(6,MAX(1,IF($O$18,MAX(1,2-(Vu_khi!$L$18-0)),2-(Vu_khi!$L$18-0))+1)))</f>
        <v/>
      </c>
      <c r="AB18" t="n">
        <v>1.2</v>
      </c>
      <c r="AC18">
        <f>INDEX(Bang_xuyen_giap!$C$2:$C$7,MIN(6,MAX(1,IF($O$18,MAX(1,2-(Vu_khi!$L$18-2)),2-(Vu_khi!$L$18-2))+1)))</f>
        <v/>
      </c>
      <c r="AD18" t="n">
        <v>0.85</v>
      </c>
      <c r="AE18">
        <f>INDEX(Bang_xuyen_giap!$C$2:$C$7,MIN(6,MAX(1,IF($O$18,MAX(1,2-(Vu_khi!$L$18-4)),2-(Vu_khi!$L$18-4))+1)))</f>
        <v/>
      </c>
      <c r="AF18" t="n">
        <v>0.25</v>
      </c>
      <c r="AG18">
        <f>INDEX(Bang_xuyen_giap!$C$2:$C$7,MIN(6,MAX(1,MAX(1,2-(Vu_khi!$L$18-0))+1)))</f>
        <v/>
      </c>
      <c r="AH18" t="n">
        <v>1</v>
      </c>
      <c r="AI18">
        <f>IF($Q$18,$M$18*$AA$18*$U$18,0)</f>
        <v/>
      </c>
      <c r="AJ18" t="n">
        <v>0</v>
      </c>
      <c r="AK18">
        <f>IF($Q$18,$M$18*$AC$18*$U$18,0)</f>
        <v/>
      </c>
      <c r="AL18" t="n">
        <v>0</v>
      </c>
      <c r="AM18">
        <f>IF($Q$18,$M$18*$AE$18*$U$18,0)</f>
        <v/>
      </c>
      <c r="AN18" t="n">
        <v>0</v>
      </c>
      <c r="AO18">
        <f>IF($Q$18,$M$18*$AC$18*$Y$18,0)</f>
        <v/>
      </c>
      <c r="AP18" t="n">
        <v>0</v>
      </c>
      <c r="AQ18">
        <f>IF($S$18,$M$18*$AG$18*$W$18,0)</f>
        <v/>
      </c>
      <c r="AR18" t="n">
        <v>109.5365760245117</v>
      </c>
      <c r="AS18">
        <f>IF(OR(Vu_khi!$M$18="Missile",Vu_khi!$M$18="Drone",AND(Vu_khi!$M$18="Rocket",OR(Vu_khi!$AM$18,Vu_khi!$D$18="guided")),Vu_khi!$AL$18,Vu_khi!$AK$18,Vu_khi!$X$18&lt;=0),FALSE,IF($B$18&gt;=0,$B$18&gt;=4,IF(Vu_khi!$M$18="Shell",Vu_khi!$AN$18&gt;=Canh_bao_vong!$D$10,IF(Vu_khi!$M$18="Bomb",Vu_khi!$AN$18&gt;=Canh_bao_vong!$D$3,IF(Vu_khi!$M$18="Rocket",Vu_khi!$AN$18&gt;=Canh_bao_vong!$D$13,FALSE)))))</f>
        <v/>
      </c>
      <c r="AT18" t="b">
        <v>0</v>
      </c>
      <c r="AU18">
        <f>IF(AND($B$18&lt;0,$AS$18),4,$B$18)</f>
        <v/>
      </c>
      <c r="AV18" t="n">
        <v>1</v>
      </c>
      <c r="AW18">
        <f>IF($AU$18&lt;4,0,MIN(MAX(0.5,Canh_bao_vong!$D$4),MAX(IF(Vu_khi!$C$18="cal_406",Canh_bao_vong!$D$7,IF($AU$18&gt;=5,Canh_bao_vong!$D$9,Canh_bao_vong!$D$8)),Canh_bao_vong!$D$2+MAX(0,Vu_khi!$X$18)/MAX(0.1,Canh_bao_vong!$D$5))))</f>
        <v/>
      </c>
      <c r="AX18" t="n">
        <v>0</v>
      </c>
      <c r="BB18" t="inlineStr">
        <is>
          <t>Assets/MachineBrigade/Resources/Data/balance.json: weapons[id=autocannon_30_flak] (lớp B trên 01_chien_dau/Vu_khi)</t>
        </is>
      </c>
      <c r="BC18" t="inlineStr"/>
    </row>
    <row r="19">
      <c r="A19" t="inlineStr">
        <is>
          <t>autocannon_40</t>
        </is>
      </c>
      <c r="B19" t="n">
        <v>1</v>
      </c>
      <c r="C19">
        <f>IF(Vu_khi!$O$19="SIMULTANEOUS",MAX(1,Vu_khi!$N$19),1)</f>
        <v/>
      </c>
      <c r="D19" t="n">
        <v>1</v>
      </c>
      <c r="E19">
        <f>IF(Vu_khi!$S$19&gt;0,Vu_khi!$S$19,Vu_khi!$P$19*$C$19)</f>
        <v/>
      </c>
      <c r="F19" t="n">
        <v>10</v>
      </c>
      <c r="G19">
        <f>IF(Vu_khi!$S$19&gt;0,(Vu_khi!$S$19-1)*Vu_khi!$R$19+Vu_khi!$T$19,Vu_khi!$R$19+(Vu_khi!$P$19-1)*Vu_khi!$Q$19)</f>
        <v/>
      </c>
      <c r="H19" t="n">
        <v>3.52</v>
      </c>
      <c r="I19">
        <f>Vu_khi!$W$19*MAX(1,$E$19)</f>
        <v/>
      </c>
      <c r="J19" t="n">
        <v>300</v>
      </c>
      <c r="K19">
        <f>IF(Vu_khi!$V$19&gt;0,Vu_khi!$V$19,MIN(28,MAX(10,Vu_khi!$U$19*Vu_khi!$R$19*0.4)))</f>
        <v/>
      </c>
      <c r="L19" t="n">
        <v>10</v>
      </c>
      <c r="M19">
        <f>IF(Vu_khi!$W$19&lt;=0,0,IF(Vu_khi!$U$19&gt;0,$I$19*Vu_khi!$U$19/(MAX(0.05,$G$19)*Vu_khi!$U$19+$K$19),$I$19/MAX(0.05,$G$19)))</f>
        <v/>
      </c>
      <c r="N19" t="n">
        <v>85.22727272727273</v>
      </c>
      <c r="O19">
        <f>OR(Vu_khi!$AG$19,Vu_khi!$AB$19&gt;0,Vu_khi!$AH$19,Vu_khi!$M$19="Bomb",Vu_khi!$M$19="Drone")</f>
        <v/>
      </c>
      <c r="P19" t="b">
        <v>0</v>
      </c>
      <c r="Q19">
        <f>AND(NOT(Vu_khi!$AJ$19),OR(Vu_khi!$AC$19="Ground",Vu_khi!$AC$19="All"))</f>
        <v/>
      </c>
      <c r="R19" t="b">
        <v>1</v>
      </c>
      <c r="S19">
        <f>AND(NOT(Vu_khi!$AJ$19),OR(Vu_khi!$AC$19="Air",Vu_khi!$AC$19="All"))</f>
        <v/>
      </c>
      <c r="T19" t="b">
        <v>1</v>
      </c>
      <c r="U19">
        <f>INDEX(Bang_sat_thuong!$B$2:$B$7,MATCH(Vu_khi!$K$19,Bang_sat_thuong!$A$2:$A$7,0))</f>
        <v/>
      </c>
      <c r="V19" t="n">
        <v>1</v>
      </c>
      <c r="W19">
        <f>INDEX(Bang_sat_thuong!$C$2:$C$7,MATCH(Vu_khi!$K$19,Bang_sat_thuong!$A$2:$A$7,0))</f>
        <v/>
      </c>
      <c r="X19" t="n">
        <v>0.3</v>
      </c>
      <c r="Y19">
        <f>IF(AND(Vu_khi!$AI$19,Vu_khi!$K$19="HighExplosive"),MAX(He_so_toan_cuc!$D$2,INDEX(Bang_sat_thuong!$D$2:$D$7,MATCH(Vu_khi!$K$19,Bang_sat_thuong!$A$2:$A$7,0))),INDEX(Bang_sat_thuong!$D$2:$D$7,MATCH(Vu_khi!$K$19,Bang_sat_thuong!$A$2:$A$7,0)))</f>
        <v/>
      </c>
      <c r="Z19" t="n">
        <v>0.6</v>
      </c>
      <c r="AA19">
        <f>INDEX(Bang_xuyen_giap!$C$2:$C$7,MIN(6,MAX(1,IF($O$19,MAX(1,2-(Vu_khi!$L$19-0)),2-(Vu_khi!$L$19-0))+1)))</f>
        <v/>
      </c>
      <c r="AB19" t="n">
        <v>1.2</v>
      </c>
      <c r="AC19">
        <f>INDEX(Bang_xuyen_giap!$C$2:$C$7,MIN(6,MAX(1,IF($O$19,MAX(1,2-(Vu_khi!$L$19-2)),2-(Vu_khi!$L$19-2))+1)))</f>
        <v/>
      </c>
      <c r="AD19" t="n">
        <v>0.85</v>
      </c>
      <c r="AE19">
        <f>INDEX(Bang_xuyen_giap!$C$2:$C$7,MIN(6,MAX(1,IF($O$19,MAX(1,2-(Vu_khi!$L$19-4)),2-(Vu_khi!$L$19-4))+1)))</f>
        <v/>
      </c>
      <c r="AF19" t="n">
        <v>0.25</v>
      </c>
      <c r="AG19">
        <f>INDEX(Bang_xuyen_giap!$C$2:$C$7,MIN(6,MAX(1,MAX(1,2-(Vu_khi!$L$19-0))+1)))</f>
        <v/>
      </c>
      <c r="AH19" t="n">
        <v>1</v>
      </c>
      <c r="AI19">
        <f>IF($Q$19,$M$19*$AA$19*$U$19,0)</f>
        <v/>
      </c>
      <c r="AJ19" t="n">
        <v>102.2727272727273</v>
      </c>
      <c r="AK19">
        <f>IF($Q$19,$M$19*$AC$19*$U$19,0)</f>
        <v/>
      </c>
      <c r="AL19" t="n">
        <v>72.44318181818183</v>
      </c>
      <c r="AM19">
        <f>IF($Q$19,$M$19*$AE$19*$U$19,0)</f>
        <v/>
      </c>
      <c r="AN19" t="n">
        <v>21.30681818181818</v>
      </c>
      <c r="AO19">
        <f>IF($Q$19,$M$19*$AC$19*$Y$19,0)</f>
        <v/>
      </c>
      <c r="AP19" t="n">
        <v>43.46590909090909</v>
      </c>
      <c r="AQ19">
        <f>IF($S$19,$M$19*$AG$19*$W$19,0)</f>
        <v/>
      </c>
      <c r="AR19" t="n">
        <v>25.56818181818182</v>
      </c>
      <c r="AS19">
        <f>IF(OR(Vu_khi!$M$19="Missile",Vu_khi!$M$19="Drone",AND(Vu_khi!$M$19="Rocket",OR(Vu_khi!$AM$19,Vu_khi!$D$19="guided")),Vu_khi!$AL$19,Vu_khi!$AK$19,Vu_khi!$X$19&lt;=0),FALSE,IF($B$19&gt;=0,$B$19&gt;=4,IF(Vu_khi!$M$19="Shell",Vu_khi!$AN$19&gt;=Canh_bao_vong!$D$10,IF(Vu_khi!$M$19="Bomb",Vu_khi!$AN$19&gt;=Canh_bao_vong!$D$3,IF(Vu_khi!$M$19="Rocket",Vu_khi!$AN$19&gt;=Canh_bao_vong!$D$13,FALSE)))))</f>
        <v/>
      </c>
      <c r="AT19" t="b">
        <v>0</v>
      </c>
      <c r="AU19">
        <f>IF(AND($B$19&lt;0,$AS$19),4,$B$19)</f>
        <v/>
      </c>
      <c r="AV19" t="n">
        <v>1</v>
      </c>
      <c r="AW19">
        <f>IF($AU$19&lt;4,0,MIN(MAX(0.5,Canh_bao_vong!$D$4),MAX(IF(Vu_khi!$C$19="cal_406",Canh_bao_vong!$D$7,IF($AU$19&gt;=5,Canh_bao_vong!$D$9,Canh_bao_vong!$D$8)),Canh_bao_vong!$D$2+MAX(0,Vu_khi!$X$19)/MAX(0.1,Canh_bao_vong!$D$5))))</f>
        <v/>
      </c>
      <c r="AX19" t="n">
        <v>0</v>
      </c>
      <c r="AY19" t="n">
        <v>1.936</v>
      </c>
      <c r="AZ19" t="inlineStr">
        <is>
          <t>ok</t>
        </is>
      </c>
      <c r="BA19" t="inlineStr"/>
      <c r="BB19" t="inlineStr">
        <is>
          <t>Assets/MachineBrigade/Resources/Data/balance.json: weapons[id=autocannon_40] (lớp B trên 01_chien_dau/Vu_khi)</t>
        </is>
      </c>
      <c r="BC19" t="inlineStr"/>
    </row>
    <row r="20">
      <c r="A20" t="inlineStr">
        <is>
          <t>autocannon_40_flak</t>
        </is>
      </c>
      <c r="B20" t="n">
        <v>1</v>
      </c>
      <c r="C20">
        <f>IF(Vu_khi!$O$20="SIMULTANEOUS",MAX(1,Vu_khi!$N$20),1)</f>
        <v/>
      </c>
      <c r="D20" t="n">
        <v>1</v>
      </c>
      <c r="E20">
        <f>IF(Vu_khi!$S$20&gt;0,Vu_khi!$S$20,Vu_khi!$P$20*$C$20)</f>
        <v/>
      </c>
      <c r="F20" t="n">
        <v>10</v>
      </c>
      <c r="G20">
        <f>IF(Vu_khi!$S$20&gt;0,(Vu_khi!$S$20-1)*Vu_khi!$R$20+Vu_khi!$T$20,Vu_khi!$R$20+(Vu_khi!$P$20-1)*Vu_khi!$Q$20)</f>
        <v/>
      </c>
      <c r="H20" t="n">
        <v>3.52</v>
      </c>
      <c r="I20">
        <f>Vu_khi!$W$20*MAX(1,$E$20)</f>
        <v/>
      </c>
      <c r="J20" t="n">
        <v>300</v>
      </c>
      <c r="K20">
        <f>IF(Vu_khi!$V$20&gt;0,Vu_khi!$V$20,MIN(28,MAX(10,Vu_khi!$U$20*Vu_khi!$R$20*0.4)))</f>
        <v/>
      </c>
      <c r="L20" t="n">
        <v>10</v>
      </c>
      <c r="M20">
        <f>IF(Vu_khi!$W$20&lt;=0,0,IF(Vu_khi!$U$20&gt;0,$I$20*Vu_khi!$U$20/(MAX(0.05,$G$20)*Vu_khi!$U$20+$K$20),$I$20/MAX(0.05,$G$20)))</f>
        <v/>
      </c>
      <c r="N20" t="n">
        <v>85.22727272727273</v>
      </c>
      <c r="O20">
        <f>OR(Vu_khi!$AG$20,Vu_khi!$AB$20&gt;0,Vu_khi!$AH$20,Vu_khi!$M$20="Bomb",Vu_khi!$M$20="Drone")</f>
        <v/>
      </c>
      <c r="P20" t="b">
        <v>0</v>
      </c>
      <c r="Q20">
        <f>AND(NOT(Vu_khi!$AJ$20),OR(Vu_khi!$AC$20="Ground",Vu_khi!$AC$20="All"))</f>
        <v/>
      </c>
      <c r="R20" t="b">
        <v>0</v>
      </c>
      <c r="S20">
        <f>AND(NOT(Vu_khi!$AJ$20),OR(Vu_khi!$AC$20="Air",Vu_khi!$AC$20="All"))</f>
        <v/>
      </c>
      <c r="T20" t="b">
        <v>1</v>
      </c>
      <c r="U20">
        <f>INDEX(Bang_sat_thuong!$B$2:$B$7,MATCH(Vu_khi!$K$20,Bang_sat_thuong!$A$2:$A$7,0))</f>
        <v/>
      </c>
      <c r="V20" t="n">
        <v>0.5</v>
      </c>
      <c r="W20">
        <f>INDEX(Bang_sat_thuong!$C$2:$C$7,MATCH(Vu_khi!$K$20,Bang_sat_thuong!$A$2:$A$7,0))</f>
        <v/>
      </c>
      <c r="X20" t="n">
        <v>1.3</v>
      </c>
      <c r="Y20">
        <f>IF(AND(Vu_khi!$AI$20,Vu_khi!$K$20="HighExplosive"),MAX(He_so_toan_cuc!$D$2,INDEX(Bang_sat_thuong!$D$2:$D$7,MATCH(Vu_khi!$K$20,Bang_sat_thuong!$A$2:$A$7,0))),INDEX(Bang_sat_thuong!$D$2:$D$7,MATCH(Vu_khi!$K$20,Bang_sat_thuong!$A$2:$A$7,0)))</f>
        <v/>
      </c>
      <c r="Z20" t="n">
        <v>0.1</v>
      </c>
      <c r="AA20">
        <f>INDEX(Bang_xuyen_giap!$C$2:$C$7,MIN(6,MAX(1,IF($O$20,MAX(1,2-(Vu_khi!$L$20-0)),2-(Vu_khi!$L$20-0))+1)))</f>
        <v/>
      </c>
      <c r="AB20" t="n">
        <v>1.2</v>
      </c>
      <c r="AC20">
        <f>INDEX(Bang_xuyen_giap!$C$2:$C$7,MIN(6,MAX(1,IF($O$20,MAX(1,2-(Vu_khi!$L$20-2)),2-(Vu_khi!$L$20-2))+1)))</f>
        <v/>
      </c>
      <c r="AD20" t="n">
        <v>0.85</v>
      </c>
      <c r="AE20">
        <f>INDEX(Bang_xuyen_giap!$C$2:$C$7,MIN(6,MAX(1,IF($O$20,MAX(1,2-(Vu_khi!$L$20-4)),2-(Vu_khi!$L$20-4))+1)))</f>
        <v/>
      </c>
      <c r="AF20" t="n">
        <v>0.25</v>
      </c>
      <c r="AG20">
        <f>INDEX(Bang_xuyen_giap!$C$2:$C$7,MIN(6,MAX(1,MAX(1,2-(Vu_khi!$L$20-0))+1)))</f>
        <v/>
      </c>
      <c r="AH20" t="n">
        <v>1</v>
      </c>
      <c r="AI20">
        <f>IF($Q$20,$M$20*$AA$20*$U$20,0)</f>
        <v/>
      </c>
      <c r="AJ20" t="n">
        <v>0</v>
      </c>
      <c r="AK20">
        <f>IF($Q$20,$M$20*$AC$20*$U$20,0)</f>
        <v/>
      </c>
      <c r="AL20" t="n">
        <v>0</v>
      </c>
      <c r="AM20">
        <f>IF($Q$20,$M$20*$AE$20*$U$20,0)</f>
        <v/>
      </c>
      <c r="AN20" t="n">
        <v>0</v>
      </c>
      <c r="AO20">
        <f>IF($Q$20,$M$20*$AC$20*$Y$20,0)</f>
        <v/>
      </c>
      <c r="AP20" t="n">
        <v>0</v>
      </c>
      <c r="AQ20">
        <f>IF($S$20,$M$20*$AG$20*$W$20,0)</f>
        <v/>
      </c>
      <c r="AR20" t="n">
        <v>110.7954545454546</v>
      </c>
      <c r="AS20">
        <f>IF(OR(Vu_khi!$M$20="Missile",Vu_khi!$M$20="Drone",AND(Vu_khi!$M$20="Rocket",OR(Vu_khi!$AM$20,Vu_khi!$D$20="guided")),Vu_khi!$AL$20,Vu_khi!$AK$20,Vu_khi!$X$20&lt;=0),FALSE,IF($B$20&gt;=0,$B$20&gt;=4,IF(Vu_khi!$M$20="Shell",Vu_khi!$AN$20&gt;=Canh_bao_vong!$D$10,IF(Vu_khi!$M$20="Bomb",Vu_khi!$AN$20&gt;=Canh_bao_vong!$D$3,IF(Vu_khi!$M$20="Rocket",Vu_khi!$AN$20&gt;=Canh_bao_vong!$D$13,FALSE)))))</f>
        <v/>
      </c>
      <c r="AT20" t="b">
        <v>0</v>
      </c>
      <c r="AU20">
        <f>IF(AND($B$20&lt;0,$AS$20),4,$B$20)</f>
        <v/>
      </c>
      <c r="AV20" t="n">
        <v>1</v>
      </c>
      <c r="AW20">
        <f>IF($AU$20&lt;4,0,MIN(MAX(0.5,Canh_bao_vong!$D$4),MAX(IF(Vu_khi!$C$20="cal_406",Canh_bao_vong!$D$7,IF($AU$20&gt;=5,Canh_bao_vong!$D$9,Canh_bao_vong!$D$8)),Canh_bao_vong!$D$2+MAX(0,Vu_khi!$X$20)/MAX(0.1,Canh_bao_vong!$D$5))))</f>
        <v/>
      </c>
      <c r="AX20" t="n">
        <v>0</v>
      </c>
      <c r="BB20" t="inlineStr">
        <is>
          <t>Assets/MachineBrigade/Resources/Data/balance.json: weapons[id=autocannon_40_flak] (lớp B trên 01_chien_dau/Vu_khi)</t>
        </is>
      </c>
      <c r="BC20" t="inlineStr"/>
    </row>
    <row r="21">
      <c r="A21" t="inlineStr">
        <is>
          <t>ballistic_missile</t>
        </is>
      </c>
      <c r="B21" t="n">
        <v>4</v>
      </c>
      <c r="C21">
        <f>IF(Vu_khi!$O$21="SIMULTANEOUS",MAX(1,Vu_khi!$N$21),1)</f>
        <v/>
      </c>
      <c r="D21" t="n">
        <v>1</v>
      </c>
      <c r="E21">
        <f>IF(Vu_khi!$S$21&gt;0,Vu_khi!$S$21,Vu_khi!$P$21*$C$21)</f>
        <v/>
      </c>
      <c r="F21" t="n">
        <v>2</v>
      </c>
      <c r="G21">
        <f>IF(Vu_khi!$S$21&gt;0,(Vu_khi!$S$21-1)*Vu_khi!$R$21+Vu_khi!$T$21,Vu_khi!$R$21+(Vu_khi!$P$21-1)*Vu_khi!$Q$21)</f>
        <v/>
      </c>
      <c r="H21" t="n">
        <v>24.21</v>
      </c>
      <c r="I21">
        <f>Vu_khi!$W$21*MAX(1,$E$21)</f>
        <v/>
      </c>
      <c r="J21" t="n">
        <v>1260</v>
      </c>
      <c r="K21">
        <f>IF(Vu_khi!$V$21&gt;0,Vu_khi!$V$21,MIN(28,MAX(10,Vu_khi!$U$21*Vu_khi!$R$21*0.4)))</f>
        <v/>
      </c>
      <c r="L21" t="n">
        <v>18.168</v>
      </c>
      <c r="M21">
        <f>IF(Vu_khi!$W$21&lt;=0,0,IF(Vu_khi!$U$21&gt;0,$I$21*Vu_khi!$U$21/(MAX(0.05,$G$21)*Vu_khi!$U$21+$K$21),$I$21/MAX(0.05,$G$21)))</f>
        <v/>
      </c>
      <c r="N21" t="n">
        <v>37.84465669489997</v>
      </c>
      <c r="O21">
        <f>OR(Vu_khi!$AG$21,Vu_khi!$AB$21&gt;0,Vu_khi!$AH$21,Vu_khi!$M$21="Bomb",Vu_khi!$M$21="Drone")</f>
        <v/>
      </c>
      <c r="P21" t="b">
        <v>1</v>
      </c>
      <c r="Q21">
        <f>AND(NOT(Vu_khi!$AJ$21),OR(Vu_khi!$AC$21="Ground",Vu_khi!$AC$21="All"))</f>
        <v/>
      </c>
      <c r="R21" t="b">
        <v>1</v>
      </c>
      <c r="S21">
        <f>AND(NOT(Vu_khi!$AJ$21),OR(Vu_khi!$AC$21="Air",Vu_khi!$AC$21="All"))</f>
        <v/>
      </c>
      <c r="T21" t="b">
        <v>0</v>
      </c>
      <c r="U21">
        <f>INDEX(Bang_sat_thuong!$B$2:$B$7,MATCH(Vu_khi!$K$21,Bang_sat_thuong!$A$2:$A$7,0))</f>
        <v/>
      </c>
      <c r="V21" t="n">
        <v>1</v>
      </c>
      <c r="W21">
        <f>INDEX(Bang_sat_thuong!$C$2:$C$7,MATCH(Vu_khi!$K$21,Bang_sat_thuong!$A$2:$A$7,0))</f>
        <v/>
      </c>
      <c r="X21" t="n">
        <v>0</v>
      </c>
      <c r="Y21">
        <f>IF(AND(Vu_khi!$AI$21,Vu_khi!$K$21="HighExplosive"),MAX(He_so_toan_cuc!$D$2,INDEX(Bang_sat_thuong!$D$2:$D$7,MATCH(Vu_khi!$K$21,Bang_sat_thuong!$A$2:$A$7,0))),INDEX(Bang_sat_thuong!$D$2:$D$7,MATCH(Vu_khi!$K$21,Bang_sat_thuong!$A$2:$A$7,0)))</f>
        <v/>
      </c>
      <c r="Z21" t="n">
        <v>1.5</v>
      </c>
      <c r="AA21">
        <f>INDEX(Bang_xuyen_giap!$C$2:$C$7,MIN(6,MAX(1,IF($O$21,MAX(1,2-(Vu_khi!$L$21-0)),2-(Vu_khi!$L$21-0))+1)))</f>
        <v/>
      </c>
      <c r="AB21" t="n">
        <v>1</v>
      </c>
      <c r="AC21">
        <f>INDEX(Bang_xuyen_giap!$C$2:$C$7,MIN(6,MAX(1,IF($O$21,MAX(1,2-(Vu_khi!$L$21-2)),2-(Vu_khi!$L$21-2))+1)))</f>
        <v/>
      </c>
      <c r="AD21" t="n">
        <v>1</v>
      </c>
      <c r="AE21">
        <f>INDEX(Bang_xuyen_giap!$C$2:$C$7,MIN(6,MAX(1,IF($O$21,MAX(1,2-(Vu_khi!$L$21-4)),2-(Vu_khi!$L$21-4))+1)))</f>
        <v/>
      </c>
      <c r="AF21" t="n">
        <v>0.85</v>
      </c>
      <c r="AG21">
        <f>INDEX(Bang_xuyen_giap!$C$2:$C$7,MIN(6,MAX(1,MAX(1,2-(Vu_khi!$L$21-0))+1)))</f>
        <v/>
      </c>
      <c r="AH21" t="n">
        <v>1</v>
      </c>
      <c r="AI21">
        <f>IF($Q$21,$M$21*$AA$21*$U$21,0)</f>
        <v/>
      </c>
      <c r="AJ21" t="n">
        <v>37.84465669489997</v>
      </c>
      <c r="AK21">
        <f>IF($Q$21,$M$21*$AC$21*$U$21,0)</f>
        <v/>
      </c>
      <c r="AL21" t="n">
        <v>37.84465669489997</v>
      </c>
      <c r="AM21">
        <f>IF($Q$21,$M$21*$AE$21*$U$21,0)</f>
        <v/>
      </c>
      <c r="AN21" t="n">
        <v>32.16795819066498</v>
      </c>
      <c r="AO21">
        <f>IF($Q$21,$M$21*$AC$21*$Y$21,0)</f>
        <v/>
      </c>
      <c r="AP21" t="n">
        <v>56.76698504234996</v>
      </c>
      <c r="AQ21">
        <f>IF($S$21,$M$21*$AG$21*$W$21,0)</f>
        <v/>
      </c>
      <c r="AR21" t="n">
        <v>0</v>
      </c>
      <c r="AS21">
        <f>IF(OR(Vu_khi!$M$21="Missile",Vu_khi!$M$21="Drone",AND(Vu_khi!$M$21="Rocket",OR(Vu_khi!$AM$21,Vu_khi!$D$21="guided")),Vu_khi!$AL$21,Vu_khi!$AK$21,Vu_khi!$X$21&lt;=0),FALSE,IF($B$21&gt;=0,$B$21&gt;=4,IF(Vu_khi!$M$21="Shell",Vu_khi!$AN$21&gt;=Canh_bao_vong!$D$10,IF(Vu_khi!$M$21="Bomb",Vu_khi!$AN$21&gt;=Canh_bao_vong!$D$3,IF(Vu_khi!$M$21="Rocket",Vu_khi!$AN$21&gt;=Canh_bao_vong!$D$13,FALSE)))))</f>
        <v/>
      </c>
      <c r="AT21" t="b">
        <v>1</v>
      </c>
      <c r="AU21">
        <f>IF(AND($B$21&lt;0,$AS$21),4,$B$21)</f>
        <v/>
      </c>
      <c r="AV21" t="n">
        <v>4</v>
      </c>
      <c r="AW21">
        <f>IF($AU$21&lt;4,0,MIN(MAX(0.5,Canh_bao_vong!$D$4),MAX(IF(Vu_khi!$C$21="cal_406",Canh_bao_vong!$D$7,IF($AU$21&gt;=5,Canh_bao_vong!$D$9,Canh_bao_vong!$D$8)),Canh_bao_vong!$D$2+MAX(0,Vu_khi!$X$21)/MAX(0.1,Canh_bao_vong!$D$5))))</f>
        <v/>
      </c>
      <c r="AX21" t="n">
        <v>2.722222222222222</v>
      </c>
      <c r="AY21" t="n">
        <v>0.4035</v>
      </c>
      <c r="AZ21" t="inlineStr">
        <is>
          <t>NHANH_QUA</t>
        </is>
      </c>
      <c r="BA21" t="inlineStr"/>
      <c r="BB21" t="inlineStr">
        <is>
          <t>Assets/MachineBrigade/Resources/Data/balance.json: weapons[id=ballistic_missile] (lớp B trên 01_chien_dau/Vu_khi)</t>
        </is>
      </c>
      <c r="BC21" t="inlineStr"/>
    </row>
    <row r="22">
      <c r="A22" t="inlineStr">
        <is>
          <t>bastion_gun</t>
        </is>
      </c>
      <c r="B22" t="n">
        <v>3</v>
      </c>
      <c r="C22">
        <f>IF(Vu_khi!$O$22="SIMULTANEOUS",MAX(1,Vu_khi!$N$22),1)</f>
        <v/>
      </c>
      <c r="D22" t="n">
        <v>2</v>
      </c>
      <c r="E22">
        <f>IF(Vu_khi!$S$22&gt;0,Vu_khi!$S$22,Vu_khi!$P$22*$C$22)</f>
        <v/>
      </c>
      <c r="F22" t="n">
        <v>2</v>
      </c>
      <c r="G22">
        <f>IF(Vu_khi!$S$22&gt;0,(Vu_khi!$S$22-1)*Vu_khi!$R$22+Vu_khi!$T$22,Vu_khi!$R$22+(Vu_khi!$P$22-1)*Vu_khi!$Q$22)</f>
        <v/>
      </c>
      <c r="H22" t="n">
        <v>7.443</v>
      </c>
      <c r="I22">
        <f>Vu_khi!$W$22*MAX(1,$E$22)</f>
        <v/>
      </c>
      <c r="J22" t="n">
        <v>914</v>
      </c>
      <c r="K22">
        <f>IF(Vu_khi!$V$22&gt;0,Vu_khi!$V$22,MIN(28,MAX(10,Vu_khi!$U$22*Vu_khi!$R$22*0.4)))</f>
        <v/>
      </c>
      <c r="L22" t="n">
        <v>10</v>
      </c>
      <c r="M22">
        <f>IF(Vu_khi!$W$22&lt;=0,0,IF(Vu_khi!$U$22&gt;0,$I$22*Vu_khi!$U$22/(MAX(0.05,$G$22)*Vu_khi!$U$22+$K$22),$I$22/MAX(0.05,$G$22)))</f>
        <v/>
      </c>
      <c r="N22" t="n">
        <v>122.7999462582292</v>
      </c>
      <c r="O22">
        <f>OR(Vu_khi!$AG$22,Vu_khi!$AB$22&gt;0,Vu_khi!$AH$22,Vu_khi!$M$22="Bomb",Vu_khi!$M$22="Drone")</f>
        <v/>
      </c>
      <c r="P22" t="b">
        <v>0</v>
      </c>
      <c r="Q22">
        <f>AND(NOT(Vu_khi!$AJ$22),OR(Vu_khi!$AC$22="Ground",Vu_khi!$AC$22="All"))</f>
        <v/>
      </c>
      <c r="R22" t="b">
        <v>1</v>
      </c>
      <c r="S22">
        <f>AND(NOT(Vu_khi!$AJ$22),OR(Vu_khi!$AC$22="Air",Vu_khi!$AC$22="All"))</f>
        <v/>
      </c>
      <c r="T22" t="b">
        <v>0</v>
      </c>
      <c r="U22">
        <f>INDEX(Bang_sat_thuong!$B$2:$B$7,MATCH(Vu_khi!$K$22,Bang_sat_thuong!$A$2:$A$7,0))</f>
        <v/>
      </c>
      <c r="V22" t="n">
        <v>1</v>
      </c>
      <c r="W22">
        <f>INDEX(Bang_sat_thuong!$C$2:$C$7,MATCH(Vu_khi!$K$22,Bang_sat_thuong!$A$2:$A$7,0))</f>
        <v/>
      </c>
      <c r="X22" t="n">
        <v>0.3</v>
      </c>
      <c r="Y22">
        <f>IF(AND(Vu_khi!$AI$22,Vu_khi!$K$22="HighExplosive"),MAX(He_so_toan_cuc!$D$2,INDEX(Bang_sat_thuong!$D$2:$D$7,MATCH(Vu_khi!$K$22,Bang_sat_thuong!$A$2:$A$7,0))),INDEX(Bang_sat_thuong!$D$2:$D$7,MATCH(Vu_khi!$K$22,Bang_sat_thuong!$A$2:$A$7,0)))</f>
        <v/>
      </c>
      <c r="Z22" t="n">
        <v>0.6</v>
      </c>
      <c r="AA22">
        <f>INDEX(Bang_xuyen_giap!$C$2:$C$7,MIN(6,MAX(1,IF($O$22,MAX(1,2-(Vu_khi!$L$22-0)),2-(Vu_khi!$L$22-0))+1)))</f>
        <v/>
      </c>
      <c r="AB22" t="n">
        <v>1.2</v>
      </c>
      <c r="AC22">
        <f>INDEX(Bang_xuyen_giap!$C$2:$C$7,MIN(6,MAX(1,IF($O$22,MAX(1,2-(Vu_khi!$L$22-2)),2-(Vu_khi!$L$22-2))+1)))</f>
        <v/>
      </c>
      <c r="AD22" t="n">
        <v>1.2</v>
      </c>
      <c r="AE22">
        <f>INDEX(Bang_xuyen_giap!$C$2:$C$7,MIN(6,MAX(1,IF($O$22,MAX(1,2-(Vu_khi!$L$22-4)),2-(Vu_khi!$L$22-4))+1)))</f>
        <v/>
      </c>
      <c r="AF22" t="n">
        <v>0.85</v>
      </c>
      <c r="AG22">
        <f>INDEX(Bang_xuyen_giap!$C$2:$C$7,MIN(6,MAX(1,MAX(1,2-(Vu_khi!$L$22-0))+1)))</f>
        <v/>
      </c>
      <c r="AH22" t="n">
        <v>1</v>
      </c>
      <c r="AI22">
        <f>IF($Q$22,$M$22*$AA$22*$U$22,0)</f>
        <v/>
      </c>
      <c r="AJ22" t="n">
        <v>147.359935509875</v>
      </c>
      <c r="AK22">
        <f>IF($Q$22,$M$22*$AC$22*$U$22,0)</f>
        <v/>
      </c>
      <c r="AL22" t="n">
        <v>147.359935509875</v>
      </c>
      <c r="AM22">
        <f>IF($Q$22,$M$22*$AE$22*$U$22,0)</f>
        <v/>
      </c>
      <c r="AN22" t="n">
        <v>104.3799543194948</v>
      </c>
      <c r="AO22">
        <f>IF($Q$22,$M$22*$AC$22*$Y$22,0)</f>
        <v/>
      </c>
      <c r="AP22" t="n">
        <v>88.41596130592502</v>
      </c>
      <c r="AQ22">
        <f>IF($S$22,$M$22*$AG$22*$W$22,0)</f>
        <v/>
      </c>
      <c r="AR22" t="n">
        <v>0</v>
      </c>
      <c r="AS22">
        <f>IF(OR(Vu_khi!$M$22="Missile",Vu_khi!$M$22="Drone",AND(Vu_khi!$M$22="Rocket",OR(Vu_khi!$AM$22,Vu_khi!$D$22="guided")),Vu_khi!$AL$22,Vu_khi!$AK$22,Vu_khi!$X$22&lt;=0),FALSE,IF($B$22&gt;=0,$B$22&gt;=4,IF(Vu_khi!$M$22="Shell",Vu_khi!$AN$22&gt;=Canh_bao_vong!$D$10,IF(Vu_khi!$M$22="Bomb",Vu_khi!$AN$22&gt;=Canh_bao_vong!$D$3,IF(Vu_khi!$M$22="Rocket",Vu_khi!$AN$22&gt;=Canh_bao_vong!$D$13,FALSE)))))</f>
        <v/>
      </c>
      <c r="AT22" t="b">
        <v>0</v>
      </c>
      <c r="AU22">
        <f>IF(AND($B$22&lt;0,$AS$22),4,$B$22)</f>
        <v/>
      </c>
      <c r="AV22" t="n">
        <v>3</v>
      </c>
      <c r="AW22">
        <f>IF($AU$22&lt;4,0,MIN(MAX(0.5,Canh_bao_vong!$D$4),MAX(IF(Vu_khi!$C$22="cal_406",Canh_bao_vong!$D$7,IF($AU$22&gt;=5,Canh_bao_vong!$D$9,Canh_bao_vong!$D$8)),Canh_bao_vong!$D$2+MAX(0,Vu_khi!$X$22)/MAX(0.1,Canh_bao_vong!$D$5))))</f>
        <v/>
      </c>
      <c r="AX22" t="n">
        <v>0</v>
      </c>
      <c r="AY22" t="n">
        <v>0.86835</v>
      </c>
      <c r="AZ22" t="inlineStr">
        <is>
          <t>LECH_DOT_1</t>
        </is>
      </c>
      <c r="BA22" t="inlineStr"/>
      <c r="BB22" t="inlineStr">
        <is>
          <t>Assets/MachineBrigade/Resources/Data/balance.json: weapons[id=bastion_gun] (lớp B trên 01_chien_dau/Vu_khi)</t>
        </is>
      </c>
      <c r="BC22" t="inlineStr"/>
    </row>
    <row r="23">
      <c r="A23" t="inlineStr">
        <is>
          <t>bastion_gun_he</t>
        </is>
      </c>
      <c r="B23" t="n">
        <v>3</v>
      </c>
      <c r="C23">
        <f>IF(Vu_khi!$O$23="SIMULTANEOUS",MAX(1,Vu_khi!$N$23),1)</f>
        <v/>
      </c>
      <c r="D23" t="n">
        <v>2</v>
      </c>
      <c r="E23">
        <f>IF(Vu_khi!$S$23&gt;0,Vu_khi!$S$23,Vu_khi!$P$23*$C$23)</f>
        <v/>
      </c>
      <c r="F23" t="n">
        <v>2</v>
      </c>
      <c r="G23">
        <f>IF(Vu_khi!$S$23&gt;0,(Vu_khi!$S$23-1)*Vu_khi!$R$23+Vu_khi!$T$23,Vu_khi!$R$23+(Vu_khi!$P$23-1)*Vu_khi!$Q$23)</f>
        <v/>
      </c>
      <c r="H23" t="n">
        <v>7.443</v>
      </c>
      <c r="I23">
        <f>Vu_khi!$W$23*MAX(1,$E$23)</f>
        <v/>
      </c>
      <c r="J23" t="n">
        <v>914</v>
      </c>
      <c r="K23">
        <f>IF(Vu_khi!$V$23&gt;0,Vu_khi!$V$23,MIN(28,MAX(10,Vu_khi!$U$23*Vu_khi!$R$23*0.4)))</f>
        <v/>
      </c>
      <c r="L23" t="n">
        <v>10</v>
      </c>
      <c r="M23">
        <f>IF(Vu_khi!$W$23&lt;=0,0,IF(Vu_khi!$U$23&gt;0,$I$23*Vu_khi!$U$23/(MAX(0.05,$G$23)*Vu_khi!$U$23+$K$23),$I$23/MAX(0.05,$G$23)))</f>
        <v/>
      </c>
      <c r="N23" t="n">
        <v>122.7999462582292</v>
      </c>
      <c r="O23">
        <f>OR(Vu_khi!$AG$23,Vu_khi!$AB$23&gt;0,Vu_khi!$AH$23,Vu_khi!$M$23="Bomb",Vu_khi!$M$23="Drone")</f>
        <v/>
      </c>
      <c r="P23" t="b">
        <v>0</v>
      </c>
      <c r="Q23">
        <f>AND(NOT(Vu_khi!$AJ$23),OR(Vu_khi!$AC$23="Ground",Vu_khi!$AC$23="All"))</f>
        <v/>
      </c>
      <c r="R23" t="b">
        <v>1</v>
      </c>
      <c r="S23">
        <f>AND(NOT(Vu_khi!$AJ$23),OR(Vu_khi!$AC$23="Air",Vu_khi!$AC$23="All"))</f>
        <v/>
      </c>
      <c r="T23" t="b">
        <v>0</v>
      </c>
      <c r="U23">
        <f>INDEX(Bang_sat_thuong!$B$2:$B$7,MATCH(Vu_khi!$K$23,Bang_sat_thuong!$A$2:$A$7,0))</f>
        <v/>
      </c>
      <c r="V23" t="n">
        <v>1</v>
      </c>
      <c r="W23">
        <f>INDEX(Bang_sat_thuong!$C$2:$C$7,MATCH(Vu_khi!$K$23,Bang_sat_thuong!$A$2:$A$7,0))</f>
        <v/>
      </c>
      <c r="X23" t="n">
        <v>0</v>
      </c>
      <c r="Y23">
        <f>IF(AND(Vu_khi!$AI$23,Vu_khi!$K$23="HighExplosive"),MAX(He_so_toan_cuc!$D$2,INDEX(Bang_sat_thuong!$D$2:$D$7,MATCH(Vu_khi!$K$23,Bang_sat_thuong!$A$2:$A$7,0))),INDEX(Bang_sat_thuong!$D$2:$D$7,MATCH(Vu_khi!$K$23,Bang_sat_thuong!$A$2:$A$7,0)))</f>
        <v/>
      </c>
      <c r="Z23" t="n">
        <v>1.5</v>
      </c>
      <c r="AA23">
        <f>INDEX(Bang_xuyen_giap!$C$2:$C$7,MIN(6,MAX(1,IF($O$23,MAX(1,2-(Vu_khi!$L$23-0)),2-(Vu_khi!$L$23-0))+1)))</f>
        <v/>
      </c>
      <c r="AB23" t="n">
        <v>1.2</v>
      </c>
      <c r="AC23">
        <f>INDEX(Bang_xuyen_giap!$C$2:$C$7,MIN(6,MAX(1,IF($O$23,MAX(1,2-(Vu_khi!$L$23-2)),2-(Vu_khi!$L$23-2))+1)))</f>
        <v/>
      </c>
      <c r="AD23" t="n">
        <v>1</v>
      </c>
      <c r="AE23">
        <f>INDEX(Bang_xuyen_giap!$C$2:$C$7,MIN(6,MAX(1,IF($O$23,MAX(1,2-(Vu_khi!$L$23-4)),2-(Vu_khi!$L$23-4))+1)))</f>
        <v/>
      </c>
      <c r="AF23" t="n">
        <v>0.5</v>
      </c>
      <c r="AG23">
        <f>INDEX(Bang_xuyen_giap!$C$2:$C$7,MIN(6,MAX(1,MAX(1,2-(Vu_khi!$L$23-0))+1)))</f>
        <v/>
      </c>
      <c r="AH23" t="n">
        <v>1</v>
      </c>
      <c r="AI23">
        <f>IF($Q$23,$M$23*$AA$23*$U$23,0)</f>
        <v/>
      </c>
      <c r="AJ23" t="n">
        <v>147.359935509875</v>
      </c>
      <c r="AK23">
        <f>IF($Q$23,$M$23*$AC$23*$U$23,0)</f>
        <v/>
      </c>
      <c r="AL23" t="n">
        <v>122.7999462582292</v>
      </c>
      <c r="AM23">
        <f>IF($Q$23,$M$23*$AE$23*$U$23,0)</f>
        <v/>
      </c>
      <c r="AN23" t="n">
        <v>61.39997312911461</v>
      </c>
      <c r="AO23">
        <f>IF($Q$23,$M$23*$AC$23*$Y$23,0)</f>
        <v/>
      </c>
      <c r="AP23" t="n">
        <v>184.1999193873438</v>
      </c>
      <c r="AQ23">
        <f>IF($S$23,$M$23*$AG$23*$W$23,0)</f>
        <v/>
      </c>
      <c r="AR23" t="n">
        <v>0</v>
      </c>
      <c r="AS23">
        <f>IF(OR(Vu_khi!$M$23="Missile",Vu_khi!$M$23="Drone",AND(Vu_khi!$M$23="Rocket",OR(Vu_khi!$AM$23,Vu_khi!$D$23="guided")),Vu_khi!$AL$23,Vu_khi!$AK$23,Vu_khi!$X$23&lt;=0),FALSE,IF($B$23&gt;=0,$B$23&gt;=4,IF(Vu_khi!$M$23="Shell",Vu_khi!$AN$23&gt;=Canh_bao_vong!$D$10,IF(Vu_khi!$M$23="Bomb",Vu_khi!$AN$23&gt;=Canh_bao_vong!$D$3,IF(Vu_khi!$M$23="Rocket",Vu_khi!$AN$23&gt;=Canh_bao_vong!$D$13,FALSE)))))</f>
        <v/>
      </c>
      <c r="AT23" t="b">
        <v>0</v>
      </c>
      <c r="AU23">
        <f>IF(AND($B$23&lt;0,$AS$23),4,$B$23)</f>
        <v/>
      </c>
      <c r="AV23" t="n">
        <v>3</v>
      </c>
      <c r="AW23">
        <f>IF($AU$23&lt;4,0,MIN(MAX(0.5,Canh_bao_vong!$D$4),MAX(IF(Vu_khi!$C$23="cal_406",Canh_bao_vong!$D$7,IF($AU$23&gt;=5,Canh_bao_vong!$D$9,Canh_bao_vong!$D$8)),Canh_bao_vong!$D$2+MAX(0,Vu_khi!$X$23)/MAX(0.1,Canh_bao_vong!$D$5))))</f>
        <v/>
      </c>
      <c r="AX23" t="n">
        <v>0</v>
      </c>
      <c r="BB23" t="inlineStr">
        <is>
          <t>Assets/MachineBrigade/Resources/Data/balance.json: weapons[id=bastion_gun_he] (lớp B trên 01_chien_dau/Vu_khi)</t>
        </is>
      </c>
      <c r="BC23" t="inlineStr"/>
    </row>
    <row r="24">
      <c r="A24" t="inlineStr">
        <is>
          <t>boat_rockets</t>
        </is>
      </c>
      <c r="B24" t="n">
        <v>2</v>
      </c>
      <c r="C24">
        <f>IF(Vu_khi!$O$24="SIMULTANEOUS",MAX(1,Vu_khi!$N$24),1)</f>
        <v/>
      </c>
      <c r="D24" t="n">
        <v>1</v>
      </c>
      <c r="E24">
        <f>IF(Vu_khi!$S$24&gt;0,Vu_khi!$S$24,Vu_khi!$P$24*$C$24)</f>
        <v/>
      </c>
      <c r="F24" t="n">
        <v>10</v>
      </c>
      <c r="G24">
        <f>IF(Vu_khi!$S$24&gt;0,(Vu_khi!$S$24-1)*Vu_khi!$R$24+Vu_khi!$T$24,Vu_khi!$R$24+(Vu_khi!$P$24-1)*Vu_khi!$Q$24)</f>
        <v/>
      </c>
      <c r="H24" t="n">
        <v>8.08</v>
      </c>
      <c r="I24">
        <f>Vu_khi!$W$24*MAX(1,$E$24)</f>
        <v/>
      </c>
      <c r="J24" t="n">
        <v>320</v>
      </c>
      <c r="K24">
        <f>IF(Vu_khi!$V$24&gt;0,Vu_khi!$V$24,MIN(28,MAX(10,Vu_khi!$U$24*Vu_khi!$R$24*0.4)))</f>
        <v/>
      </c>
      <c r="L24" t="n">
        <v>10</v>
      </c>
      <c r="M24">
        <f>IF(Vu_khi!$W$24&lt;=0,0,IF(Vu_khi!$U$24&gt;0,$I$24*Vu_khi!$U$24/(MAX(0.05,$G$24)*Vu_khi!$U$24+$K$24),$I$24/MAX(0.05,$G$24)))</f>
        <v/>
      </c>
      <c r="N24" t="n">
        <v>39.6039603960396</v>
      </c>
      <c r="O24">
        <f>OR(Vu_khi!$AG$24,Vu_khi!$AB$24&gt;0,Vu_khi!$AH$24,Vu_khi!$M$24="Bomb",Vu_khi!$M$24="Drone")</f>
        <v/>
      </c>
      <c r="P24" t="b">
        <v>0</v>
      </c>
      <c r="Q24">
        <f>AND(NOT(Vu_khi!$AJ$24),OR(Vu_khi!$AC$24="Ground",Vu_khi!$AC$24="All"))</f>
        <v/>
      </c>
      <c r="R24" t="b">
        <v>1</v>
      </c>
      <c r="S24">
        <f>AND(NOT(Vu_khi!$AJ$24),OR(Vu_khi!$AC$24="Air",Vu_khi!$AC$24="All"))</f>
        <v/>
      </c>
      <c r="T24" t="b">
        <v>0</v>
      </c>
      <c r="U24">
        <f>INDEX(Bang_sat_thuong!$B$2:$B$7,MATCH(Vu_khi!$K$24,Bang_sat_thuong!$A$2:$A$7,0))</f>
        <v/>
      </c>
      <c r="V24" t="n">
        <v>1</v>
      </c>
      <c r="W24">
        <f>INDEX(Bang_sat_thuong!$C$2:$C$7,MATCH(Vu_khi!$K$24,Bang_sat_thuong!$A$2:$A$7,0))</f>
        <v/>
      </c>
      <c r="X24" t="n">
        <v>0</v>
      </c>
      <c r="Y24">
        <f>IF(AND(Vu_khi!$AI$24,Vu_khi!$K$24="HighExplosive"),MAX(He_so_toan_cuc!$D$2,INDEX(Bang_sat_thuong!$D$2:$D$7,MATCH(Vu_khi!$K$24,Bang_sat_thuong!$A$2:$A$7,0))),INDEX(Bang_sat_thuong!$D$2:$D$7,MATCH(Vu_khi!$K$24,Bang_sat_thuong!$A$2:$A$7,0)))</f>
        <v/>
      </c>
      <c r="Z24" t="n">
        <v>1.5</v>
      </c>
      <c r="AA24">
        <f>INDEX(Bang_xuyen_giap!$C$2:$C$7,MIN(6,MAX(1,IF($O$24,MAX(1,2-(Vu_khi!$L$24-0)),2-(Vu_khi!$L$24-0))+1)))</f>
        <v/>
      </c>
      <c r="AB24" t="n">
        <v>1.2</v>
      </c>
      <c r="AC24">
        <f>INDEX(Bang_xuyen_giap!$C$2:$C$7,MIN(6,MAX(1,IF($O$24,MAX(1,2-(Vu_khi!$L$24-2)),2-(Vu_khi!$L$24-2))+1)))</f>
        <v/>
      </c>
      <c r="AD24" t="n">
        <v>0.85</v>
      </c>
      <c r="AE24">
        <f>INDEX(Bang_xuyen_giap!$C$2:$C$7,MIN(6,MAX(1,IF($O$24,MAX(1,2-(Vu_khi!$L$24-4)),2-(Vu_khi!$L$24-4))+1)))</f>
        <v/>
      </c>
      <c r="AF24" t="n">
        <v>0.25</v>
      </c>
      <c r="AG24">
        <f>INDEX(Bang_xuyen_giap!$C$2:$C$7,MIN(6,MAX(1,MAX(1,2-(Vu_khi!$L$24-0))+1)))</f>
        <v/>
      </c>
      <c r="AH24" t="n">
        <v>1</v>
      </c>
      <c r="AI24">
        <f>IF($Q$24,$M$24*$AA$24*$U$24,0)</f>
        <v/>
      </c>
      <c r="AJ24" t="n">
        <v>47.52475247524752</v>
      </c>
      <c r="AK24">
        <f>IF($Q$24,$M$24*$AC$24*$U$24,0)</f>
        <v/>
      </c>
      <c r="AL24" t="n">
        <v>33.66336633663366</v>
      </c>
      <c r="AM24">
        <f>IF($Q$24,$M$24*$AE$24*$U$24,0)</f>
        <v/>
      </c>
      <c r="AN24" t="n">
        <v>9.900990099009901</v>
      </c>
      <c r="AO24">
        <f>IF($Q$24,$M$24*$AC$24*$Y$24,0)</f>
        <v/>
      </c>
      <c r="AP24" t="n">
        <v>50.49504950495049</v>
      </c>
      <c r="AQ24">
        <f>IF($S$24,$M$24*$AG$24*$W$24,0)</f>
        <v/>
      </c>
      <c r="AR24" t="n">
        <v>0</v>
      </c>
      <c r="AS24">
        <f>IF(OR(Vu_khi!$M$24="Missile",Vu_khi!$M$24="Drone",AND(Vu_khi!$M$24="Rocket",OR(Vu_khi!$AM$24,Vu_khi!$D$24="guided")),Vu_khi!$AL$24,Vu_khi!$AK$24,Vu_khi!$X$24&lt;=0),FALSE,IF($B$24&gt;=0,$B$24&gt;=4,IF(Vu_khi!$M$24="Shell",Vu_khi!$AN$24&gt;=Canh_bao_vong!$D$10,IF(Vu_khi!$M$24="Bomb",Vu_khi!$AN$24&gt;=Canh_bao_vong!$D$3,IF(Vu_khi!$M$24="Rocket",Vu_khi!$AN$24&gt;=Canh_bao_vong!$D$13,FALSE)))))</f>
        <v/>
      </c>
      <c r="AT24" t="b">
        <v>0</v>
      </c>
      <c r="AU24">
        <f>IF(AND($B$24&lt;0,$AS$24),4,$B$24)</f>
        <v/>
      </c>
      <c r="AV24" t="n">
        <v>2</v>
      </c>
      <c r="AW24">
        <f>IF($AU$24&lt;4,0,MIN(MAX(0.5,Canh_bao_vong!$D$4),MAX(IF(Vu_khi!$C$24="cal_406",Canh_bao_vong!$D$7,IF($AU$24&gt;=5,Canh_bao_vong!$D$9,Canh_bao_vong!$D$8)),Canh_bao_vong!$D$2+MAX(0,Vu_khi!$X$24)/MAX(0.1,Canh_bao_vong!$D$5))))</f>
        <v/>
      </c>
      <c r="AX24" t="n">
        <v>0</v>
      </c>
      <c r="AY24" t="n">
        <v>1.8</v>
      </c>
      <c r="AZ24" t="inlineStr">
        <is>
          <t>ok</t>
        </is>
      </c>
      <c r="BA24" t="inlineStr"/>
      <c r="BB24" t="inlineStr">
        <is>
          <t>Assets/MachineBrigade/Resources/Data/balance.json: weapons[id=boat_rockets] (lớp B trên 01_chien_dau/Vu_khi)</t>
        </is>
      </c>
      <c r="BC24" t="inlineStr"/>
    </row>
    <row r="25">
      <c r="A25" t="inlineStr">
        <is>
          <t>bofors_l70</t>
        </is>
      </c>
      <c r="B25" t="n">
        <v>1</v>
      </c>
      <c r="C25">
        <f>IF(Vu_khi!$O$25="SIMULTANEOUS",MAX(1,Vu_khi!$N$25),1)</f>
        <v/>
      </c>
      <c r="D25" t="n">
        <v>1</v>
      </c>
      <c r="E25">
        <f>IF(Vu_khi!$S$25&gt;0,Vu_khi!$S$25,Vu_khi!$P$25*$C$25)</f>
        <v/>
      </c>
      <c r="F25" t="n">
        <v>20</v>
      </c>
      <c r="G25">
        <f>IF(Vu_khi!$S$25&gt;0,(Vu_khi!$S$25-1)*Vu_khi!$R$25+Vu_khi!$T$25,Vu_khi!$R$25+(Vu_khi!$P$25-1)*Vu_khi!$Q$25)</f>
        <v/>
      </c>
      <c r="H25" t="n">
        <v>7.75</v>
      </c>
      <c r="I25">
        <f>Vu_khi!$W$25*MAX(1,$E$25)</f>
        <v/>
      </c>
      <c r="J25" t="n">
        <v>600</v>
      </c>
      <c r="K25">
        <f>IF(Vu_khi!$V$25&gt;0,Vu_khi!$V$25,MIN(28,MAX(10,Vu_khi!$U$25*Vu_khi!$R$25*0.4)))</f>
        <v/>
      </c>
      <c r="L25" t="n">
        <v>10</v>
      </c>
      <c r="M25">
        <f>IF(Vu_khi!$W$25&lt;=0,0,IF(Vu_khi!$U$25&gt;0,$I$25*Vu_khi!$U$25/(MAX(0.05,$G$25)*Vu_khi!$U$25+$K$25),$I$25/MAX(0.05,$G$25)))</f>
        <v/>
      </c>
      <c r="N25" t="n">
        <v>77.41935483870968</v>
      </c>
      <c r="O25">
        <f>OR(Vu_khi!$AG$25,Vu_khi!$AB$25&gt;0,Vu_khi!$AH$25,Vu_khi!$M$25="Bomb",Vu_khi!$M$25="Drone")</f>
        <v/>
      </c>
      <c r="P25" t="b">
        <v>0</v>
      </c>
      <c r="Q25">
        <f>AND(NOT(Vu_khi!$AJ$25),OR(Vu_khi!$AC$25="Ground",Vu_khi!$AC$25="All"))</f>
        <v/>
      </c>
      <c r="R25" t="b">
        <v>1</v>
      </c>
      <c r="S25">
        <f>AND(NOT(Vu_khi!$AJ$25),OR(Vu_khi!$AC$25="Air",Vu_khi!$AC$25="All"))</f>
        <v/>
      </c>
      <c r="T25" t="b">
        <v>1</v>
      </c>
      <c r="U25">
        <f>INDEX(Bang_sat_thuong!$B$2:$B$7,MATCH(Vu_khi!$K$25,Bang_sat_thuong!$A$2:$A$7,0))</f>
        <v/>
      </c>
      <c r="V25" t="n">
        <v>0.5</v>
      </c>
      <c r="W25">
        <f>INDEX(Bang_sat_thuong!$C$2:$C$7,MATCH(Vu_khi!$K$25,Bang_sat_thuong!$A$2:$A$7,0))</f>
        <v/>
      </c>
      <c r="X25" t="n">
        <v>1.3</v>
      </c>
      <c r="Y25">
        <f>IF(AND(Vu_khi!$AI$25,Vu_khi!$K$25="HighExplosive"),MAX(He_so_toan_cuc!$D$2,INDEX(Bang_sat_thuong!$D$2:$D$7,MATCH(Vu_khi!$K$25,Bang_sat_thuong!$A$2:$A$7,0))),INDEX(Bang_sat_thuong!$D$2:$D$7,MATCH(Vu_khi!$K$25,Bang_sat_thuong!$A$2:$A$7,0)))</f>
        <v/>
      </c>
      <c r="Z25" t="n">
        <v>0.1</v>
      </c>
      <c r="AA25">
        <f>INDEX(Bang_xuyen_giap!$C$2:$C$7,MIN(6,MAX(1,IF($O$25,MAX(1,2-(Vu_khi!$L$25-0)),2-(Vu_khi!$L$25-0))+1)))</f>
        <v/>
      </c>
      <c r="AB25" t="n">
        <v>1.2</v>
      </c>
      <c r="AC25">
        <f>INDEX(Bang_xuyen_giap!$C$2:$C$7,MIN(6,MAX(1,IF($O$25,MAX(1,2-(Vu_khi!$L$25-2)),2-(Vu_khi!$L$25-2))+1)))</f>
        <v/>
      </c>
      <c r="AD25" t="n">
        <v>0.85</v>
      </c>
      <c r="AE25">
        <f>INDEX(Bang_xuyen_giap!$C$2:$C$7,MIN(6,MAX(1,IF($O$25,MAX(1,2-(Vu_khi!$L$25-4)),2-(Vu_khi!$L$25-4))+1)))</f>
        <v/>
      </c>
      <c r="AF25" t="n">
        <v>0.25</v>
      </c>
      <c r="AG25">
        <f>INDEX(Bang_xuyen_giap!$C$2:$C$7,MIN(6,MAX(1,MAX(1,2-(Vu_khi!$L$25-0))+1)))</f>
        <v/>
      </c>
      <c r="AH25" t="n">
        <v>1</v>
      </c>
      <c r="AI25">
        <f>IF($Q$25,$M$25*$AA$25*$U$25,0)</f>
        <v/>
      </c>
      <c r="AJ25" t="n">
        <v>46.45161290322581</v>
      </c>
      <c r="AK25">
        <f>IF($Q$25,$M$25*$AC$25*$U$25,0)</f>
        <v/>
      </c>
      <c r="AL25" t="n">
        <v>32.90322580645162</v>
      </c>
      <c r="AM25">
        <f>IF($Q$25,$M$25*$AE$25*$U$25,0)</f>
        <v/>
      </c>
      <c r="AN25" t="n">
        <v>9.67741935483871</v>
      </c>
      <c r="AO25">
        <f>IF($Q$25,$M$25*$AC$25*$Y$25,0)</f>
        <v/>
      </c>
      <c r="AP25" t="n">
        <v>6.580645161290323</v>
      </c>
      <c r="AQ25">
        <f>IF($S$25,$M$25*$AG$25*$W$25,0)</f>
        <v/>
      </c>
      <c r="AR25" t="n">
        <v>100.6451612903226</v>
      </c>
      <c r="AS25">
        <f>IF(OR(Vu_khi!$M$25="Missile",Vu_khi!$M$25="Drone",AND(Vu_khi!$M$25="Rocket",OR(Vu_khi!$AM$25,Vu_khi!$D$25="guided")),Vu_khi!$AL$25,Vu_khi!$AK$25,Vu_khi!$X$25&lt;=0),FALSE,IF($B$25&gt;=0,$B$25&gt;=4,IF(Vu_khi!$M$25="Shell",Vu_khi!$AN$25&gt;=Canh_bao_vong!$D$10,IF(Vu_khi!$M$25="Bomb",Vu_khi!$AN$25&gt;=Canh_bao_vong!$D$3,IF(Vu_khi!$M$25="Rocket",Vu_khi!$AN$25&gt;=Canh_bao_vong!$D$13,FALSE)))))</f>
        <v/>
      </c>
      <c r="AT25" t="b">
        <v>0</v>
      </c>
      <c r="AU25">
        <f>IF(AND($B$25&lt;0,$AS$25),4,$B$25)</f>
        <v/>
      </c>
      <c r="AV25" t="n">
        <v>1</v>
      </c>
      <c r="AW25">
        <f>IF($AU$25&lt;4,0,MIN(MAX(0.5,Canh_bao_vong!$D$4),MAX(IF(Vu_khi!$C$25="cal_406",Canh_bao_vong!$D$7,IF($AU$25&gt;=5,Canh_bao_vong!$D$9,Canh_bao_vong!$D$8)),Canh_bao_vong!$D$2+MAX(0,Vu_khi!$X$25)/MAX(0.1,Canh_bao_vong!$D$5))))</f>
        <v/>
      </c>
      <c r="AX25" t="n">
        <v>0</v>
      </c>
      <c r="AY25" t="n">
        <v>2.13125</v>
      </c>
      <c r="AZ25" t="inlineStr">
        <is>
          <t>ok</t>
        </is>
      </c>
      <c r="BA25" t="inlineStr"/>
      <c r="BB25" t="inlineStr">
        <is>
          <t>Assets/MachineBrigade/Resources/Data/balance.json: weapons[id=bofors_l70] (lớp B trên 01_chien_dau/Vu_khi)</t>
        </is>
      </c>
      <c r="BC25" t="inlineStr"/>
    </row>
    <row r="26">
      <c r="A26" t="inlineStr">
        <is>
          <t>bomber_payload</t>
        </is>
      </c>
      <c r="B26" t="n">
        <v>4</v>
      </c>
      <c r="C26">
        <f>IF(Vu_khi!$O$26="SIMULTANEOUS",MAX(1,Vu_khi!$N$26),1)</f>
        <v/>
      </c>
      <c r="D26" t="n">
        <v>1</v>
      </c>
      <c r="E26">
        <f>IF(Vu_khi!$S$26&gt;0,Vu_khi!$S$26,Vu_khi!$P$26*$C$26)</f>
        <v/>
      </c>
      <c r="F26" t="n">
        <v>7</v>
      </c>
      <c r="G26">
        <f>IF(Vu_khi!$S$26&gt;0,(Vu_khi!$S$26-1)*Vu_khi!$R$26+Vu_khi!$T$26,Vu_khi!$R$26+(Vu_khi!$P$26-1)*Vu_khi!$Q$26)</f>
        <v/>
      </c>
      <c r="H26" t="n">
        <v>12.4</v>
      </c>
      <c r="I26">
        <f>Vu_khi!$W$26*MAX(1,$E$26)</f>
        <v/>
      </c>
      <c r="J26" t="n">
        <v>2940</v>
      </c>
      <c r="K26">
        <f>IF(Vu_khi!$V$26&gt;0,Vu_khi!$V$26,MIN(28,MAX(10,Vu_khi!$U$26*Vu_khi!$R$26*0.4)))</f>
        <v/>
      </c>
      <c r="L26" t="n">
        <v>10</v>
      </c>
      <c r="M26">
        <f>IF(Vu_khi!$W$26&lt;=0,0,IF(Vu_khi!$U$26&gt;0,$I$26*Vu_khi!$U$26/(MAX(0.05,$G$26)*Vu_khi!$U$26+$K$26),$I$26/MAX(0.05,$G$26)))</f>
        <v/>
      </c>
      <c r="N26" t="n">
        <v>237.0967741935484</v>
      </c>
      <c r="O26">
        <f>OR(Vu_khi!$AG$26,Vu_khi!$AB$26&gt;0,Vu_khi!$AH$26,Vu_khi!$M$26="Bomb",Vu_khi!$M$26="Drone")</f>
        <v/>
      </c>
      <c r="P26" t="b">
        <v>1</v>
      </c>
      <c r="Q26">
        <f>AND(NOT(Vu_khi!$AJ$26),OR(Vu_khi!$AC$26="Ground",Vu_khi!$AC$26="All"))</f>
        <v/>
      </c>
      <c r="R26" t="b">
        <v>1</v>
      </c>
      <c r="S26">
        <f>AND(NOT(Vu_khi!$AJ$26),OR(Vu_khi!$AC$26="Air",Vu_khi!$AC$26="All"))</f>
        <v/>
      </c>
      <c r="T26" t="b">
        <v>0</v>
      </c>
      <c r="U26">
        <f>INDEX(Bang_sat_thuong!$B$2:$B$7,MATCH(Vu_khi!$K$26,Bang_sat_thuong!$A$2:$A$7,0))</f>
        <v/>
      </c>
      <c r="V26" t="n">
        <v>1</v>
      </c>
      <c r="W26">
        <f>INDEX(Bang_sat_thuong!$C$2:$C$7,MATCH(Vu_khi!$K$26,Bang_sat_thuong!$A$2:$A$7,0))</f>
        <v/>
      </c>
      <c r="X26" t="n">
        <v>0</v>
      </c>
      <c r="Y26">
        <f>IF(AND(Vu_khi!$AI$26,Vu_khi!$K$26="HighExplosive"),MAX(He_so_toan_cuc!$D$2,INDEX(Bang_sat_thuong!$D$2:$D$7,MATCH(Vu_khi!$K$26,Bang_sat_thuong!$A$2:$A$7,0))),INDEX(Bang_sat_thuong!$D$2:$D$7,MATCH(Vu_khi!$K$26,Bang_sat_thuong!$A$2:$A$7,0)))</f>
        <v/>
      </c>
      <c r="Z26" t="n">
        <v>1.5</v>
      </c>
      <c r="AA26">
        <f>INDEX(Bang_xuyen_giap!$C$2:$C$7,MIN(6,MAX(1,IF($O$26,MAX(1,2-(Vu_khi!$L$26-0)),2-(Vu_khi!$L$26-0))+1)))</f>
        <v/>
      </c>
      <c r="AB26" t="n">
        <v>1</v>
      </c>
      <c r="AC26">
        <f>INDEX(Bang_xuyen_giap!$C$2:$C$7,MIN(6,MAX(1,IF($O$26,MAX(1,2-(Vu_khi!$L$26-2)),2-(Vu_khi!$L$26-2))+1)))</f>
        <v/>
      </c>
      <c r="AD26" t="n">
        <v>1</v>
      </c>
      <c r="AE26">
        <f>INDEX(Bang_xuyen_giap!$C$2:$C$7,MIN(6,MAX(1,IF($O$26,MAX(1,2-(Vu_khi!$L$26-4)),2-(Vu_khi!$L$26-4))+1)))</f>
        <v/>
      </c>
      <c r="AF26" t="n">
        <v>0.5</v>
      </c>
      <c r="AG26">
        <f>INDEX(Bang_xuyen_giap!$C$2:$C$7,MIN(6,MAX(1,MAX(1,2-(Vu_khi!$L$26-0))+1)))</f>
        <v/>
      </c>
      <c r="AH26" t="n">
        <v>1</v>
      </c>
      <c r="AI26">
        <f>IF($Q$26,$M$26*$AA$26*$U$26,0)</f>
        <v/>
      </c>
      <c r="AJ26" t="n">
        <v>237.0967741935484</v>
      </c>
      <c r="AK26">
        <f>IF($Q$26,$M$26*$AC$26*$U$26,0)</f>
        <v/>
      </c>
      <c r="AL26" t="n">
        <v>237.0967741935484</v>
      </c>
      <c r="AM26">
        <f>IF($Q$26,$M$26*$AE$26*$U$26,0)</f>
        <v/>
      </c>
      <c r="AN26" t="n">
        <v>118.5483870967742</v>
      </c>
      <c r="AO26">
        <f>IF($Q$26,$M$26*$AC$26*$Y$26,0)</f>
        <v/>
      </c>
      <c r="AP26" t="n">
        <v>355.6451612903226</v>
      </c>
      <c r="AQ26">
        <f>IF($S$26,$M$26*$AG$26*$W$26,0)</f>
        <v/>
      </c>
      <c r="AR26" t="n">
        <v>0</v>
      </c>
      <c r="AS26">
        <f>IF(OR(Vu_khi!$M$26="Missile",Vu_khi!$M$26="Drone",AND(Vu_khi!$M$26="Rocket",OR(Vu_khi!$AM$26,Vu_khi!$D$26="guided")),Vu_khi!$AL$26,Vu_khi!$AK$26,Vu_khi!$X$26&lt;=0),FALSE,IF($B$26&gt;=0,$B$26&gt;=4,IF(Vu_khi!$M$26="Shell",Vu_khi!$AN$26&gt;=Canh_bao_vong!$D$10,IF(Vu_khi!$M$26="Bomb",Vu_khi!$AN$26&gt;=Canh_bao_vong!$D$3,IF(Vu_khi!$M$26="Rocket",Vu_khi!$AN$26&gt;=Canh_bao_vong!$D$13,FALSE)))))</f>
        <v/>
      </c>
      <c r="AT26" t="b">
        <v>1</v>
      </c>
      <c r="AU26">
        <f>IF(AND($B$26&lt;0,$AS$26),4,$B$26)</f>
        <v/>
      </c>
      <c r="AV26" t="n">
        <v>4</v>
      </c>
      <c r="AW26">
        <f>IF($AU$26&lt;4,0,MIN(MAX(0.5,Canh_bao_vong!$D$4),MAX(IF(Vu_khi!$C$26="cal_406",Canh_bao_vong!$D$7,IF($AU$26&gt;=5,Canh_bao_vong!$D$9,Canh_bao_vong!$D$8)),Canh_bao_vong!$D$2+MAX(0,Vu_khi!$X$26)/MAX(0.1,Canh_bao_vong!$D$5))))</f>
        <v/>
      </c>
      <c r="AX26" t="n">
        <v>2.722222222222222</v>
      </c>
      <c r="AY26" t="n">
        <v>2</v>
      </c>
      <c r="AZ26" t="inlineStr">
        <is>
          <t>ok</t>
        </is>
      </c>
      <c r="BA26" t="inlineStr"/>
      <c r="BB26" t="inlineStr">
        <is>
          <t>Assets/MachineBrigade/Resources/Data/balance.json: weapons[id=bomber_payload] (lớp B trên 01_chien_dau/Vu_khi)</t>
        </is>
      </c>
      <c r="BC26" t="inlineStr"/>
    </row>
    <row r="27">
      <c r="A27" t="inlineStr">
        <is>
          <t>bomber_tail_guns</t>
        </is>
      </c>
      <c r="B27" t="n">
        <v>0</v>
      </c>
      <c r="C27">
        <f>IF(Vu_khi!$O$27="SIMULTANEOUS",MAX(1,Vu_khi!$N$27),1)</f>
        <v/>
      </c>
      <c r="D27" t="n">
        <v>1</v>
      </c>
      <c r="E27">
        <f>IF(Vu_khi!$S$27&gt;0,Vu_khi!$S$27,Vu_khi!$P$27*$C$27)</f>
        <v/>
      </c>
      <c r="F27" t="n">
        <v>26</v>
      </c>
      <c r="G27">
        <f>IF(Vu_khi!$S$27&gt;0,(Vu_khi!$S$27-1)*Vu_khi!$R$27+Vu_khi!$T$27,Vu_khi!$R$27+(Vu_khi!$P$27-1)*Vu_khi!$Q$27)</f>
        <v/>
      </c>
      <c r="H27" t="n">
        <v>3.1975</v>
      </c>
      <c r="I27">
        <f>Vu_khi!$W$27*MAX(1,$E$27)</f>
        <v/>
      </c>
      <c r="J27" t="n">
        <v>247</v>
      </c>
      <c r="K27">
        <f>IF(Vu_khi!$V$27&gt;0,Vu_khi!$V$27,MIN(28,MAX(10,Vu_khi!$U$27*Vu_khi!$R$27*0.4)))</f>
        <v/>
      </c>
      <c r="L27" t="n">
        <v>10</v>
      </c>
      <c r="M27">
        <f>IF(Vu_khi!$W$27&lt;=0,0,IF(Vu_khi!$U$27&gt;0,$I$27*Vu_khi!$U$27/(MAX(0.05,$G$27)*Vu_khi!$U$27+$K$27),$I$27/MAX(0.05,$G$27)))</f>
        <v/>
      </c>
      <c r="N27" t="n">
        <v>77.24784988272089</v>
      </c>
      <c r="O27">
        <f>OR(Vu_khi!$AG$27,Vu_khi!$AB$27&gt;0,Vu_khi!$AH$27,Vu_khi!$M$27="Bomb",Vu_khi!$M$27="Drone")</f>
        <v/>
      </c>
      <c r="P27" t="b">
        <v>0</v>
      </c>
      <c r="Q27">
        <f>AND(NOT(Vu_khi!$AJ$27),OR(Vu_khi!$AC$27="Ground",Vu_khi!$AC$27="All"))</f>
        <v/>
      </c>
      <c r="R27" t="b">
        <v>0</v>
      </c>
      <c r="S27">
        <f>AND(NOT(Vu_khi!$AJ$27),OR(Vu_khi!$AC$27="Air",Vu_khi!$AC$27="All"))</f>
        <v/>
      </c>
      <c r="T27" t="b">
        <v>1</v>
      </c>
      <c r="U27">
        <f>INDEX(Bang_sat_thuong!$B$2:$B$7,MATCH(Vu_khi!$K$27,Bang_sat_thuong!$A$2:$A$7,0))</f>
        <v/>
      </c>
      <c r="V27" t="n">
        <v>1</v>
      </c>
      <c r="W27">
        <f>INDEX(Bang_sat_thuong!$C$2:$C$7,MATCH(Vu_khi!$K$27,Bang_sat_thuong!$A$2:$A$7,0))</f>
        <v/>
      </c>
      <c r="X27" t="n">
        <v>0.3</v>
      </c>
      <c r="Y27">
        <f>IF(AND(Vu_khi!$AI$27,Vu_khi!$K$27="HighExplosive"),MAX(He_so_toan_cuc!$D$2,INDEX(Bang_sat_thuong!$D$2:$D$7,MATCH(Vu_khi!$K$27,Bang_sat_thuong!$A$2:$A$7,0))),INDEX(Bang_sat_thuong!$D$2:$D$7,MATCH(Vu_khi!$K$27,Bang_sat_thuong!$A$2:$A$7,0)))</f>
        <v/>
      </c>
      <c r="Z27" t="n">
        <v>0.6</v>
      </c>
      <c r="AA27">
        <f>INDEX(Bang_xuyen_giap!$C$2:$C$7,MIN(6,MAX(1,IF($O$27,MAX(1,2-(Vu_khi!$L$27-0)),2-(Vu_khi!$L$27-0))+1)))</f>
        <v/>
      </c>
      <c r="AB27" t="n">
        <v>1</v>
      </c>
      <c r="AC27">
        <f>INDEX(Bang_xuyen_giap!$C$2:$C$7,MIN(6,MAX(1,IF($O$27,MAX(1,2-(Vu_khi!$L$27-2)),2-(Vu_khi!$L$27-2))+1)))</f>
        <v/>
      </c>
      <c r="AD27" t="n">
        <v>0.5</v>
      </c>
      <c r="AE27">
        <f>INDEX(Bang_xuyen_giap!$C$2:$C$7,MIN(6,MAX(1,IF($O$27,MAX(1,2-(Vu_khi!$L$27-4)),2-(Vu_khi!$L$27-4))+1)))</f>
        <v/>
      </c>
      <c r="AF27" t="n">
        <v>0.1</v>
      </c>
      <c r="AG27">
        <f>INDEX(Bang_xuyen_giap!$C$2:$C$7,MIN(6,MAX(1,MAX(1,2-(Vu_khi!$L$27-0))+1)))</f>
        <v/>
      </c>
      <c r="AH27" t="n">
        <v>1</v>
      </c>
      <c r="AI27">
        <f>IF($Q$27,$M$27*$AA$27*$U$27,0)</f>
        <v/>
      </c>
      <c r="AJ27" t="n">
        <v>0</v>
      </c>
      <c r="AK27">
        <f>IF($Q$27,$M$27*$AC$27*$U$27,0)</f>
        <v/>
      </c>
      <c r="AL27" t="n">
        <v>0</v>
      </c>
      <c r="AM27">
        <f>IF($Q$27,$M$27*$AE$27*$U$27,0)</f>
        <v/>
      </c>
      <c r="AN27" t="n">
        <v>0</v>
      </c>
      <c r="AO27">
        <f>IF($Q$27,$M$27*$AC$27*$Y$27,0)</f>
        <v/>
      </c>
      <c r="AP27" t="n">
        <v>0</v>
      </c>
      <c r="AQ27">
        <f>IF($S$27,$M$27*$AG$27*$W$27,0)</f>
        <v/>
      </c>
      <c r="AR27" t="n">
        <v>23.17435496481626</v>
      </c>
      <c r="AS27">
        <f>IF(OR(Vu_khi!$M$27="Missile",Vu_khi!$M$27="Drone",AND(Vu_khi!$M$27="Rocket",OR(Vu_khi!$AM$27,Vu_khi!$D$27="guided")),Vu_khi!$AL$27,Vu_khi!$AK$27,Vu_khi!$X$27&lt;=0),FALSE,IF($B$27&gt;=0,$B$27&gt;=4,IF(Vu_khi!$M$27="Shell",Vu_khi!$AN$27&gt;=Canh_bao_vong!$D$10,IF(Vu_khi!$M$27="Bomb",Vu_khi!$AN$27&gt;=Canh_bao_vong!$D$3,IF(Vu_khi!$M$27="Rocket",Vu_khi!$AN$27&gt;=Canh_bao_vong!$D$13,FALSE)))))</f>
        <v/>
      </c>
      <c r="AT27" t="b">
        <v>0</v>
      </c>
      <c r="AU27">
        <f>IF(AND($B$27&lt;0,$AS$27),4,$B$27)</f>
        <v/>
      </c>
      <c r="AV27" t="n">
        <v>0</v>
      </c>
      <c r="AW27">
        <f>IF($AU$27&lt;4,0,MIN(MAX(0.5,Canh_bao_vong!$D$4),MAX(IF(Vu_khi!$C$27="cal_406",Canh_bao_vong!$D$7,IF($AU$27&gt;=5,Canh_bao_vong!$D$9,Canh_bao_vong!$D$8)),Canh_bao_vong!$D$2+MAX(0,Vu_khi!$X$27)/MAX(0.1,Canh_bao_vong!$D$5))))</f>
        <v/>
      </c>
      <c r="AX27" t="n">
        <v>0</v>
      </c>
      <c r="AY27" t="n">
        <v>9.838462</v>
      </c>
      <c r="AZ27" t="inlineStr">
        <is>
          <t>ok</t>
        </is>
      </c>
      <c r="BA27" t="inlineStr"/>
      <c r="BB27" t="inlineStr">
        <is>
          <t>Assets/MachineBrigade/Resources/Data/balance.json: weapons[id=bomber_tail_guns] (lớp B trên 01_chien_dau/Vu_khi)</t>
        </is>
      </c>
      <c r="BC27" t="inlineStr"/>
    </row>
    <row r="28">
      <c r="A28" t="inlineStr">
        <is>
          <t>bomber_tail_guns_api</t>
        </is>
      </c>
      <c r="B28" t="n">
        <v>0</v>
      </c>
      <c r="C28">
        <f>IF(Vu_khi!$O$28="SIMULTANEOUS",MAX(1,Vu_khi!$N$28),1)</f>
        <v/>
      </c>
      <c r="D28" t="n">
        <v>1</v>
      </c>
      <c r="E28">
        <f>IF(Vu_khi!$S$28&gt;0,Vu_khi!$S$28,Vu_khi!$P$28*$C$28)</f>
        <v/>
      </c>
      <c r="F28" t="n">
        <v>26</v>
      </c>
      <c r="G28">
        <f>IF(Vu_khi!$S$28&gt;0,(Vu_khi!$S$28-1)*Vu_khi!$R$28+Vu_khi!$T$28,Vu_khi!$R$28+(Vu_khi!$P$28-1)*Vu_khi!$Q$28)</f>
        <v/>
      </c>
      <c r="H28" t="n">
        <v>3.1975</v>
      </c>
      <c r="I28">
        <f>Vu_khi!$W$28*MAX(1,$E$28)</f>
        <v/>
      </c>
      <c r="J28" t="n">
        <v>247</v>
      </c>
      <c r="K28">
        <f>IF(Vu_khi!$V$28&gt;0,Vu_khi!$V$28,MIN(28,MAX(10,Vu_khi!$U$28*Vu_khi!$R$28*0.4)))</f>
        <v/>
      </c>
      <c r="L28" t="n">
        <v>10</v>
      </c>
      <c r="M28">
        <f>IF(Vu_khi!$W$28&lt;=0,0,IF(Vu_khi!$U$28&gt;0,$I$28*Vu_khi!$U$28/(MAX(0.05,$G$28)*Vu_khi!$U$28+$K$28),$I$28/MAX(0.05,$G$28)))</f>
        <v/>
      </c>
      <c r="N28" t="n">
        <v>77.24784988272089</v>
      </c>
      <c r="O28">
        <f>OR(Vu_khi!$AG$28,Vu_khi!$AB$28&gt;0,Vu_khi!$AH$28,Vu_khi!$M$28="Bomb",Vu_khi!$M$28="Drone")</f>
        <v/>
      </c>
      <c r="P28" t="b">
        <v>0</v>
      </c>
      <c r="Q28">
        <f>AND(NOT(Vu_khi!$AJ$28),OR(Vu_khi!$AC$28="Ground",Vu_khi!$AC$28="All"))</f>
        <v/>
      </c>
      <c r="R28" t="b">
        <v>0</v>
      </c>
      <c r="S28">
        <f>AND(NOT(Vu_khi!$AJ$28),OR(Vu_khi!$AC$28="Air",Vu_khi!$AC$28="All"))</f>
        <v/>
      </c>
      <c r="T28" t="b">
        <v>1</v>
      </c>
      <c r="U28">
        <f>INDEX(Bang_sat_thuong!$B$2:$B$7,MATCH(Vu_khi!$K$28,Bang_sat_thuong!$A$2:$A$7,0))</f>
        <v/>
      </c>
      <c r="V28" t="n">
        <v>1</v>
      </c>
      <c r="W28">
        <f>INDEX(Bang_sat_thuong!$C$2:$C$7,MATCH(Vu_khi!$K$28,Bang_sat_thuong!$A$2:$A$7,0))</f>
        <v/>
      </c>
      <c r="X28" t="n">
        <v>0.3</v>
      </c>
      <c r="Y28">
        <f>IF(AND(Vu_khi!$AI$28,Vu_khi!$K$28="HighExplosive"),MAX(He_so_toan_cuc!$D$2,INDEX(Bang_sat_thuong!$D$2:$D$7,MATCH(Vu_khi!$K$28,Bang_sat_thuong!$A$2:$A$7,0))),INDEX(Bang_sat_thuong!$D$2:$D$7,MATCH(Vu_khi!$K$28,Bang_sat_thuong!$A$2:$A$7,0)))</f>
        <v/>
      </c>
      <c r="Z28" t="n">
        <v>0.6</v>
      </c>
      <c r="AA28">
        <f>INDEX(Bang_xuyen_giap!$C$2:$C$7,MIN(6,MAX(1,IF($O$28,MAX(1,2-(Vu_khi!$L$28-0)),2-(Vu_khi!$L$28-0))+1)))</f>
        <v/>
      </c>
      <c r="AB28" t="n">
        <v>1.2</v>
      </c>
      <c r="AC28">
        <f>INDEX(Bang_xuyen_giap!$C$2:$C$7,MIN(6,MAX(1,IF($O$28,MAX(1,2-(Vu_khi!$L$28-2)),2-(Vu_khi!$L$28-2))+1)))</f>
        <v/>
      </c>
      <c r="AD28" t="n">
        <v>0.85</v>
      </c>
      <c r="AE28">
        <f>INDEX(Bang_xuyen_giap!$C$2:$C$7,MIN(6,MAX(1,IF($O$28,MAX(1,2-(Vu_khi!$L$28-4)),2-(Vu_khi!$L$28-4))+1)))</f>
        <v/>
      </c>
      <c r="AF28" t="n">
        <v>0.25</v>
      </c>
      <c r="AG28">
        <f>INDEX(Bang_xuyen_giap!$C$2:$C$7,MIN(6,MAX(1,MAX(1,2-(Vu_khi!$L$28-0))+1)))</f>
        <v/>
      </c>
      <c r="AH28" t="n">
        <v>1</v>
      </c>
      <c r="AI28">
        <f>IF($Q$28,$M$28*$AA$28*$U$28,0)</f>
        <v/>
      </c>
      <c r="AJ28" t="n">
        <v>0</v>
      </c>
      <c r="AK28">
        <f>IF($Q$28,$M$28*$AC$28*$U$28,0)</f>
        <v/>
      </c>
      <c r="AL28" t="n">
        <v>0</v>
      </c>
      <c r="AM28">
        <f>IF($Q$28,$M$28*$AE$28*$U$28,0)</f>
        <v/>
      </c>
      <c r="AN28" t="n">
        <v>0</v>
      </c>
      <c r="AO28">
        <f>IF($Q$28,$M$28*$AC$28*$Y$28,0)</f>
        <v/>
      </c>
      <c r="AP28" t="n">
        <v>0</v>
      </c>
      <c r="AQ28">
        <f>IF($S$28,$M$28*$AG$28*$W$28,0)</f>
        <v/>
      </c>
      <c r="AR28" t="n">
        <v>23.17435496481626</v>
      </c>
      <c r="AS28">
        <f>IF(OR(Vu_khi!$M$28="Missile",Vu_khi!$M$28="Drone",AND(Vu_khi!$M$28="Rocket",OR(Vu_khi!$AM$28,Vu_khi!$D$28="guided")),Vu_khi!$AL$28,Vu_khi!$AK$28,Vu_khi!$X$28&lt;=0),FALSE,IF($B$28&gt;=0,$B$28&gt;=4,IF(Vu_khi!$M$28="Shell",Vu_khi!$AN$28&gt;=Canh_bao_vong!$D$10,IF(Vu_khi!$M$28="Bomb",Vu_khi!$AN$28&gt;=Canh_bao_vong!$D$3,IF(Vu_khi!$M$28="Rocket",Vu_khi!$AN$28&gt;=Canh_bao_vong!$D$13,FALSE)))))</f>
        <v/>
      </c>
      <c r="AT28" t="b">
        <v>0</v>
      </c>
      <c r="AU28">
        <f>IF(AND($B$28&lt;0,$AS$28),4,$B$28)</f>
        <v/>
      </c>
      <c r="AV28" t="n">
        <v>0</v>
      </c>
      <c r="AW28">
        <f>IF($AU$28&lt;4,0,MIN(MAX(0.5,Canh_bao_vong!$D$4),MAX(IF(Vu_khi!$C$28="cal_406",Canh_bao_vong!$D$7,IF($AU$28&gt;=5,Canh_bao_vong!$D$9,Canh_bao_vong!$D$8)),Canh_bao_vong!$D$2+MAX(0,Vu_khi!$X$28)/MAX(0.1,Canh_bao_vong!$D$5))))</f>
        <v/>
      </c>
      <c r="AX28" t="n">
        <v>0</v>
      </c>
      <c r="BB28" t="inlineStr">
        <is>
          <t>Assets/MachineBrigade/Resources/Data/balance.json: weapons[id=bomber_tail_guns_api] (lớp B trên 01_chien_dau/Vu_khi)</t>
        </is>
      </c>
      <c r="BC28" t="inlineStr"/>
    </row>
    <row r="29">
      <c r="A29" t="inlineStr">
        <is>
          <t>borer_cannon</t>
        </is>
      </c>
      <c r="B29" t="n">
        <v>2</v>
      </c>
      <c r="C29">
        <f>IF(Vu_khi!$O$29="SIMULTANEOUS",MAX(1,Vu_khi!$N$29),1)</f>
        <v/>
      </c>
      <c r="D29" t="n">
        <v>1</v>
      </c>
      <c r="E29">
        <f>IF(Vu_khi!$S$29&gt;0,Vu_khi!$S$29,Vu_khi!$P$29*$C$29)</f>
        <v/>
      </c>
      <c r="F29" t="n">
        <v>1</v>
      </c>
      <c r="G29">
        <f>IF(Vu_khi!$S$29&gt;0,(Vu_khi!$S$29-1)*Vu_khi!$R$29+Vu_khi!$T$29,Vu_khi!$R$29+(Vu_khi!$P$29-1)*Vu_khi!$Q$29)</f>
        <v/>
      </c>
      <c r="H29" t="n">
        <v>6</v>
      </c>
      <c r="I29">
        <f>Vu_khi!$W$29*MAX(1,$E$29)</f>
        <v/>
      </c>
      <c r="J29" t="n">
        <v>120</v>
      </c>
      <c r="K29">
        <f>IF(Vu_khi!$V$29&gt;0,Vu_khi!$V$29,MIN(28,MAX(10,Vu_khi!$U$29*Vu_khi!$R$29*0.4)))</f>
        <v/>
      </c>
      <c r="L29" t="n">
        <v>10</v>
      </c>
      <c r="M29">
        <f>IF(Vu_khi!$W$29&lt;=0,0,IF(Vu_khi!$U$29&gt;0,$I$29*Vu_khi!$U$29/(MAX(0.05,$G$29)*Vu_khi!$U$29+$K$29),$I$29/MAX(0.05,$G$29)))</f>
        <v/>
      </c>
      <c r="N29" t="n">
        <v>20</v>
      </c>
      <c r="O29">
        <f>OR(Vu_khi!$AG$29,Vu_khi!$AB$29&gt;0,Vu_khi!$AH$29,Vu_khi!$M$29="Bomb",Vu_khi!$M$29="Drone")</f>
        <v/>
      </c>
      <c r="P29" t="b">
        <v>0</v>
      </c>
      <c r="Q29">
        <f>AND(NOT(Vu_khi!$AJ$29),OR(Vu_khi!$AC$29="Ground",Vu_khi!$AC$29="All"))</f>
        <v/>
      </c>
      <c r="R29" t="b">
        <v>1</v>
      </c>
      <c r="S29">
        <f>AND(NOT(Vu_khi!$AJ$29),OR(Vu_khi!$AC$29="Air",Vu_khi!$AC$29="All"))</f>
        <v/>
      </c>
      <c r="T29" t="b">
        <v>0</v>
      </c>
      <c r="U29">
        <f>INDEX(Bang_sat_thuong!$B$2:$B$7,MATCH(Vu_khi!$K$29,Bang_sat_thuong!$A$2:$A$7,0))</f>
        <v/>
      </c>
      <c r="V29" t="n">
        <v>1</v>
      </c>
      <c r="W29">
        <f>INDEX(Bang_sat_thuong!$C$2:$C$7,MATCH(Vu_khi!$K$29,Bang_sat_thuong!$A$2:$A$7,0))</f>
        <v/>
      </c>
      <c r="X29" t="n">
        <v>0.3</v>
      </c>
      <c r="Y29">
        <f>IF(AND(Vu_khi!$AI$29,Vu_khi!$K$29="HighExplosive"),MAX(He_so_toan_cuc!$D$2,INDEX(Bang_sat_thuong!$D$2:$D$7,MATCH(Vu_khi!$K$29,Bang_sat_thuong!$A$2:$A$7,0))),INDEX(Bang_sat_thuong!$D$2:$D$7,MATCH(Vu_khi!$K$29,Bang_sat_thuong!$A$2:$A$7,0)))</f>
        <v/>
      </c>
      <c r="Z29" t="n">
        <v>0.6</v>
      </c>
      <c r="AA29">
        <f>INDEX(Bang_xuyen_giap!$C$2:$C$7,MIN(6,MAX(1,IF($O$29,MAX(1,2-(Vu_khi!$L$29-0)),2-(Vu_khi!$L$29-0))+1)))</f>
        <v/>
      </c>
      <c r="AB29" t="n">
        <v>1.2</v>
      </c>
      <c r="AC29">
        <f>INDEX(Bang_xuyen_giap!$C$2:$C$7,MIN(6,MAX(1,IF($O$29,MAX(1,2-(Vu_khi!$L$29-2)),2-(Vu_khi!$L$29-2))+1)))</f>
        <v/>
      </c>
      <c r="AD29" t="n">
        <v>1</v>
      </c>
      <c r="AE29">
        <f>INDEX(Bang_xuyen_giap!$C$2:$C$7,MIN(6,MAX(1,IF($O$29,MAX(1,2-(Vu_khi!$L$29-4)),2-(Vu_khi!$L$29-4))+1)))</f>
        <v/>
      </c>
      <c r="AF29" t="n">
        <v>0.5</v>
      </c>
      <c r="AG29">
        <f>INDEX(Bang_xuyen_giap!$C$2:$C$7,MIN(6,MAX(1,MAX(1,2-(Vu_khi!$L$29-0))+1)))</f>
        <v/>
      </c>
      <c r="AH29" t="n">
        <v>1</v>
      </c>
      <c r="AI29">
        <f>IF($Q$29,$M$29*$AA$29*$U$29,0)</f>
        <v/>
      </c>
      <c r="AJ29" t="n">
        <v>24</v>
      </c>
      <c r="AK29">
        <f>IF($Q$29,$M$29*$AC$29*$U$29,0)</f>
        <v/>
      </c>
      <c r="AL29" t="n">
        <v>20</v>
      </c>
      <c r="AM29">
        <f>IF($Q$29,$M$29*$AE$29*$U$29,0)</f>
        <v/>
      </c>
      <c r="AN29" t="n">
        <v>10</v>
      </c>
      <c r="AO29">
        <f>IF($Q$29,$M$29*$AC$29*$Y$29,0)</f>
        <v/>
      </c>
      <c r="AP29" t="n">
        <v>12</v>
      </c>
      <c r="AQ29">
        <f>IF($S$29,$M$29*$AG$29*$W$29,0)</f>
        <v/>
      </c>
      <c r="AR29" t="n">
        <v>0</v>
      </c>
      <c r="AS29">
        <f>IF(OR(Vu_khi!$M$29="Missile",Vu_khi!$M$29="Drone",AND(Vu_khi!$M$29="Rocket",OR(Vu_khi!$AM$29,Vu_khi!$D$29="guided")),Vu_khi!$AL$29,Vu_khi!$AK$29,Vu_khi!$X$29&lt;=0),FALSE,IF($B$29&gt;=0,$B$29&gt;=4,IF(Vu_khi!$M$29="Shell",Vu_khi!$AN$29&gt;=Canh_bao_vong!$D$10,IF(Vu_khi!$M$29="Bomb",Vu_khi!$AN$29&gt;=Canh_bao_vong!$D$3,IF(Vu_khi!$M$29="Rocket",Vu_khi!$AN$29&gt;=Canh_bao_vong!$D$13,FALSE)))))</f>
        <v/>
      </c>
      <c r="AT29" t="b">
        <v>0</v>
      </c>
      <c r="AU29">
        <f>IF(AND($B$29&lt;0,$AS$29),4,$B$29)</f>
        <v/>
      </c>
      <c r="AV29" t="n">
        <v>2</v>
      </c>
      <c r="AW29">
        <f>IF($AU$29&lt;4,0,MIN(MAX(0.5,Canh_bao_vong!$D$4),MAX(IF(Vu_khi!$C$29="cal_406",Canh_bao_vong!$D$7,IF($AU$29&gt;=5,Canh_bao_vong!$D$9,Canh_bao_vong!$D$8)),Canh_bao_vong!$D$2+MAX(0,Vu_khi!$X$29)/MAX(0.1,Canh_bao_vong!$D$5))))</f>
        <v/>
      </c>
      <c r="AX29" t="n">
        <v>0</v>
      </c>
      <c r="AY29" t="n">
        <v>0.7</v>
      </c>
      <c r="AZ29" t="inlineStr">
        <is>
          <t>ok</t>
        </is>
      </c>
      <c r="BA29" t="b">
        <v>1</v>
      </c>
      <c r="BB29" t="inlineStr">
        <is>
          <t>Assets/MachineBrigade/Resources/Data/balance.json: weapons[id=borer_cannon] (lớp B trên 01_chien_dau/Vu_khi)</t>
        </is>
      </c>
      <c r="BC29" t="inlineStr"/>
    </row>
    <row r="30">
      <c r="A30" t="inlineStr">
        <is>
          <t>borer_cannon_he</t>
        </is>
      </c>
      <c r="B30" t="n">
        <v>2</v>
      </c>
      <c r="C30">
        <f>IF(Vu_khi!$O$30="SIMULTANEOUS",MAX(1,Vu_khi!$N$30),1)</f>
        <v/>
      </c>
      <c r="D30" t="n">
        <v>1</v>
      </c>
      <c r="E30">
        <f>IF(Vu_khi!$S$30&gt;0,Vu_khi!$S$30,Vu_khi!$P$30*$C$30)</f>
        <v/>
      </c>
      <c r="F30" t="n">
        <v>1</v>
      </c>
      <c r="G30">
        <f>IF(Vu_khi!$S$30&gt;0,(Vu_khi!$S$30-1)*Vu_khi!$R$30+Vu_khi!$T$30,Vu_khi!$R$30+(Vu_khi!$P$30-1)*Vu_khi!$Q$30)</f>
        <v/>
      </c>
      <c r="H30" t="n">
        <v>6</v>
      </c>
      <c r="I30">
        <f>Vu_khi!$W$30*MAX(1,$E$30)</f>
        <v/>
      </c>
      <c r="J30" t="n">
        <v>120</v>
      </c>
      <c r="K30">
        <f>IF(Vu_khi!$V$30&gt;0,Vu_khi!$V$30,MIN(28,MAX(10,Vu_khi!$U$30*Vu_khi!$R$30*0.4)))</f>
        <v/>
      </c>
      <c r="L30" t="n">
        <v>10</v>
      </c>
      <c r="M30">
        <f>IF(Vu_khi!$W$30&lt;=0,0,IF(Vu_khi!$U$30&gt;0,$I$30*Vu_khi!$U$30/(MAX(0.05,$G$30)*Vu_khi!$U$30+$K$30),$I$30/MAX(0.05,$G$30)))</f>
        <v/>
      </c>
      <c r="N30" t="n">
        <v>20</v>
      </c>
      <c r="O30">
        <f>OR(Vu_khi!$AG$30,Vu_khi!$AB$30&gt;0,Vu_khi!$AH$30,Vu_khi!$M$30="Bomb",Vu_khi!$M$30="Drone")</f>
        <v/>
      </c>
      <c r="P30" t="b">
        <v>0</v>
      </c>
      <c r="Q30">
        <f>AND(NOT(Vu_khi!$AJ$30),OR(Vu_khi!$AC$30="Ground",Vu_khi!$AC$30="All"))</f>
        <v/>
      </c>
      <c r="R30" t="b">
        <v>1</v>
      </c>
      <c r="S30">
        <f>AND(NOT(Vu_khi!$AJ$30),OR(Vu_khi!$AC$30="Air",Vu_khi!$AC$30="All"))</f>
        <v/>
      </c>
      <c r="T30" t="b">
        <v>0</v>
      </c>
      <c r="U30">
        <f>INDEX(Bang_sat_thuong!$B$2:$B$7,MATCH(Vu_khi!$K$30,Bang_sat_thuong!$A$2:$A$7,0))</f>
        <v/>
      </c>
      <c r="V30" t="n">
        <v>1</v>
      </c>
      <c r="W30">
        <f>INDEX(Bang_sat_thuong!$C$2:$C$7,MATCH(Vu_khi!$K$30,Bang_sat_thuong!$A$2:$A$7,0))</f>
        <v/>
      </c>
      <c r="X30" t="n">
        <v>0</v>
      </c>
      <c r="Y30">
        <f>IF(AND(Vu_khi!$AI$30,Vu_khi!$K$30="HighExplosive"),MAX(He_so_toan_cuc!$D$2,INDEX(Bang_sat_thuong!$D$2:$D$7,MATCH(Vu_khi!$K$30,Bang_sat_thuong!$A$2:$A$7,0))),INDEX(Bang_sat_thuong!$D$2:$D$7,MATCH(Vu_khi!$K$30,Bang_sat_thuong!$A$2:$A$7,0)))</f>
        <v/>
      </c>
      <c r="Z30" t="n">
        <v>1.5</v>
      </c>
      <c r="AA30">
        <f>INDEX(Bang_xuyen_giap!$C$2:$C$7,MIN(6,MAX(1,IF($O$30,MAX(1,2-(Vu_khi!$L$30-0)),2-(Vu_khi!$L$30-0))+1)))</f>
        <v/>
      </c>
      <c r="AB30" t="n">
        <v>1.2</v>
      </c>
      <c r="AC30">
        <f>INDEX(Bang_xuyen_giap!$C$2:$C$7,MIN(6,MAX(1,IF($O$30,MAX(1,2-(Vu_khi!$L$30-2)),2-(Vu_khi!$L$30-2))+1)))</f>
        <v/>
      </c>
      <c r="AD30" t="n">
        <v>0.85</v>
      </c>
      <c r="AE30">
        <f>INDEX(Bang_xuyen_giap!$C$2:$C$7,MIN(6,MAX(1,IF($O$30,MAX(1,2-(Vu_khi!$L$30-4)),2-(Vu_khi!$L$30-4))+1)))</f>
        <v/>
      </c>
      <c r="AF30" t="n">
        <v>0.25</v>
      </c>
      <c r="AG30">
        <f>INDEX(Bang_xuyen_giap!$C$2:$C$7,MIN(6,MAX(1,MAX(1,2-(Vu_khi!$L$30-0))+1)))</f>
        <v/>
      </c>
      <c r="AH30" t="n">
        <v>1</v>
      </c>
      <c r="AI30">
        <f>IF($Q$30,$M$30*$AA$30*$U$30,0)</f>
        <v/>
      </c>
      <c r="AJ30" t="n">
        <v>24</v>
      </c>
      <c r="AK30">
        <f>IF($Q$30,$M$30*$AC$30*$U$30,0)</f>
        <v/>
      </c>
      <c r="AL30" t="n">
        <v>17</v>
      </c>
      <c r="AM30">
        <f>IF($Q$30,$M$30*$AE$30*$U$30,0)</f>
        <v/>
      </c>
      <c r="AN30" t="n">
        <v>5</v>
      </c>
      <c r="AO30">
        <f>IF($Q$30,$M$30*$AC$30*$Y$30,0)</f>
        <v/>
      </c>
      <c r="AP30" t="n">
        <v>25.5</v>
      </c>
      <c r="AQ30">
        <f>IF($S$30,$M$30*$AG$30*$W$30,0)</f>
        <v/>
      </c>
      <c r="AR30" t="n">
        <v>0</v>
      </c>
      <c r="AS30">
        <f>IF(OR(Vu_khi!$M$30="Missile",Vu_khi!$M$30="Drone",AND(Vu_khi!$M$30="Rocket",OR(Vu_khi!$AM$30,Vu_khi!$D$30="guided")),Vu_khi!$AL$30,Vu_khi!$AK$30,Vu_khi!$X$30&lt;=0),FALSE,IF($B$30&gt;=0,$B$30&gt;=4,IF(Vu_khi!$M$30="Shell",Vu_khi!$AN$30&gt;=Canh_bao_vong!$D$10,IF(Vu_khi!$M$30="Bomb",Vu_khi!$AN$30&gt;=Canh_bao_vong!$D$3,IF(Vu_khi!$M$30="Rocket",Vu_khi!$AN$30&gt;=Canh_bao_vong!$D$13,FALSE)))))</f>
        <v/>
      </c>
      <c r="AT30" t="b">
        <v>0</v>
      </c>
      <c r="AU30">
        <f>IF(AND($B$30&lt;0,$AS$30),4,$B$30)</f>
        <v/>
      </c>
      <c r="AV30" t="n">
        <v>2</v>
      </c>
      <c r="AW30">
        <f>IF($AU$30&lt;4,0,MIN(MAX(0.5,Canh_bao_vong!$D$4),MAX(IF(Vu_khi!$C$30="cal_406",Canh_bao_vong!$D$7,IF($AU$30&gt;=5,Canh_bao_vong!$D$9,Canh_bao_vong!$D$8)),Canh_bao_vong!$D$2+MAX(0,Vu_khi!$X$30)/MAX(0.1,Canh_bao_vong!$D$5))))</f>
        <v/>
      </c>
      <c r="AX30" t="n">
        <v>0</v>
      </c>
      <c r="BB30" t="inlineStr">
        <is>
          <t>Assets/MachineBrigade/Resources/Data/balance.json: weapons[id=borer_cannon_he] (lớp B trên 01_chien_dau/Vu_khi)</t>
        </is>
      </c>
      <c r="BC30" t="inlineStr"/>
    </row>
    <row r="31">
      <c r="A31" t="inlineStr">
        <is>
          <t>borer_drill</t>
        </is>
      </c>
      <c r="B31" t="n">
        <v>0</v>
      </c>
      <c r="C31">
        <f>IF(Vu_khi!$O$31="SIMULTANEOUS",MAX(1,Vu_khi!$N$31),1)</f>
        <v/>
      </c>
      <c r="D31" t="n">
        <v>1</v>
      </c>
      <c r="E31">
        <f>IF(Vu_khi!$S$31&gt;0,Vu_khi!$S$31,Vu_khi!$P$31*$C$31)</f>
        <v/>
      </c>
      <c r="F31" t="n">
        <v>1</v>
      </c>
      <c r="G31">
        <f>IF(Vu_khi!$S$31&gt;0,(Vu_khi!$S$31-1)*Vu_khi!$R$31+Vu_khi!$T$31,Vu_khi!$R$31+(Vu_khi!$P$31-1)*Vu_khi!$Q$31)</f>
        <v/>
      </c>
      <c r="H31" t="n">
        <v>1.5</v>
      </c>
      <c r="I31">
        <f>Vu_khi!$W$31*MAX(1,$E$31)</f>
        <v/>
      </c>
      <c r="J31" t="n">
        <v>260</v>
      </c>
      <c r="K31">
        <f>IF(Vu_khi!$V$31&gt;0,Vu_khi!$V$31,MIN(28,MAX(10,Vu_khi!$U$31*Vu_khi!$R$31*0.4)))</f>
        <v/>
      </c>
      <c r="L31" t="n">
        <v>10</v>
      </c>
      <c r="M31">
        <f>IF(Vu_khi!$W$31&lt;=0,0,IF(Vu_khi!$U$31&gt;0,$I$31*Vu_khi!$U$31/(MAX(0.05,$G$31)*Vu_khi!$U$31+$K$31),$I$31/MAX(0.05,$G$31)))</f>
        <v/>
      </c>
      <c r="N31" t="n">
        <v>173.3333333333333</v>
      </c>
      <c r="O31">
        <f>OR(Vu_khi!$AG$31,Vu_khi!$AB$31&gt;0,Vu_khi!$AH$31,Vu_khi!$M$31="Bomb",Vu_khi!$M$31="Drone")</f>
        <v/>
      </c>
      <c r="P31" t="b">
        <v>0</v>
      </c>
      <c r="Q31">
        <f>AND(NOT(Vu_khi!$AJ$31),OR(Vu_khi!$AC$31="Ground",Vu_khi!$AC$31="All"))</f>
        <v/>
      </c>
      <c r="R31" t="b">
        <v>1</v>
      </c>
      <c r="S31">
        <f>AND(NOT(Vu_khi!$AJ$31),OR(Vu_khi!$AC$31="Air",Vu_khi!$AC$31="All"))</f>
        <v/>
      </c>
      <c r="T31" t="b">
        <v>0</v>
      </c>
      <c r="U31">
        <f>INDEX(Bang_sat_thuong!$B$2:$B$7,MATCH(Vu_khi!$K$31,Bang_sat_thuong!$A$2:$A$7,0))</f>
        <v/>
      </c>
      <c r="V31" t="n">
        <v>1</v>
      </c>
      <c r="W31">
        <f>INDEX(Bang_sat_thuong!$C$2:$C$7,MATCH(Vu_khi!$K$31,Bang_sat_thuong!$A$2:$A$7,0))</f>
        <v/>
      </c>
      <c r="X31" t="n">
        <v>0.3</v>
      </c>
      <c r="Y31">
        <f>IF(AND(Vu_khi!$AI$31,Vu_khi!$K$31="HighExplosive"),MAX(He_so_toan_cuc!$D$2,INDEX(Bang_sat_thuong!$D$2:$D$7,MATCH(Vu_khi!$K$31,Bang_sat_thuong!$A$2:$A$7,0))),INDEX(Bang_sat_thuong!$D$2:$D$7,MATCH(Vu_khi!$K$31,Bang_sat_thuong!$A$2:$A$7,0)))</f>
        <v/>
      </c>
      <c r="Z31" t="n">
        <v>0.6</v>
      </c>
      <c r="AA31">
        <f>INDEX(Bang_xuyen_giap!$C$2:$C$7,MIN(6,MAX(1,IF($O$31,MAX(1,2-(Vu_khi!$L$31-0)),2-(Vu_khi!$L$31-0))+1)))</f>
        <v/>
      </c>
      <c r="AB31" t="n">
        <v>1.2</v>
      </c>
      <c r="AC31">
        <f>INDEX(Bang_xuyen_giap!$C$2:$C$7,MIN(6,MAX(1,IF($O$31,MAX(1,2-(Vu_khi!$L$31-2)),2-(Vu_khi!$L$31-2))+1)))</f>
        <v/>
      </c>
      <c r="AD31" t="n">
        <v>1.2</v>
      </c>
      <c r="AE31">
        <f>INDEX(Bang_xuyen_giap!$C$2:$C$7,MIN(6,MAX(1,IF($O$31,MAX(1,2-(Vu_khi!$L$31-4)),2-(Vu_khi!$L$31-4))+1)))</f>
        <v/>
      </c>
      <c r="AF31" t="n">
        <v>0.85</v>
      </c>
      <c r="AG31">
        <f>INDEX(Bang_xuyen_giap!$C$2:$C$7,MIN(6,MAX(1,MAX(1,2-(Vu_khi!$L$31-0))+1)))</f>
        <v/>
      </c>
      <c r="AH31" t="n">
        <v>1</v>
      </c>
      <c r="AI31">
        <f>IF($Q$31,$M$31*$AA$31*$U$31,0)</f>
        <v/>
      </c>
      <c r="AJ31" t="n">
        <v>208</v>
      </c>
      <c r="AK31">
        <f>IF($Q$31,$M$31*$AC$31*$U$31,0)</f>
        <v/>
      </c>
      <c r="AL31" t="n">
        <v>208</v>
      </c>
      <c r="AM31">
        <f>IF($Q$31,$M$31*$AE$31*$U$31,0)</f>
        <v/>
      </c>
      <c r="AN31" t="n">
        <v>147.3333333333333</v>
      </c>
      <c r="AO31">
        <f>IF($Q$31,$M$31*$AC$31*$Y$31,0)</f>
        <v/>
      </c>
      <c r="AP31" t="n">
        <v>124.8</v>
      </c>
      <c r="AQ31">
        <f>IF($S$31,$M$31*$AG$31*$W$31,0)</f>
        <v/>
      </c>
      <c r="AR31" t="n">
        <v>0</v>
      </c>
      <c r="AS31">
        <f>IF(OR(Vu_khi!$M$31="Missile",Vu_khi!$M$31="Drone",AND(Vu_khi!$M$31="Rocket",OR(Vu_khi!$AM$31,Vu_khi!$D$31="guided")),Vu_khi!$AL$31,Vu_khi!$AK$31,Vu_khi!$X$31&lt;=0),FALSE,IF($B$31&gt;=0,$B$31&gt;=4,IF(Vu_khi!$M$31="Shell",Vu_khi!$AN$31&gt;=Canh_bao_vong!$D$10,IF(Vu_khi!$M$31="Bomb",Vu_khi!$AN$31&gt;=Canh_bao_vong!$D$3,IF(Vu_khi!$M$31="Rocket",Vu_khi!$AN$31&gt;=Canh_bao_vong!$D$13,FALSE)))))</f>
        <v/>
      </c>
      <c r="AT31" t="b">
        <v>0</v>
      </c>
      <c r="AU31">
        <f>IF(AND($B$31&lt;0,$AS$31),4,$B$31)</f>
        <v/>
      </c>
      <c r="AV31" t="n">
        <v>0</v>
      </c>
      <c r="AW31">
        <f>IF($AU$31&lt;4,0,MIN(MAX(0.5,Canh_bao_vong!$D$4),MAX(IF(Vu_khi!$C$31="cal_406",Canh_bao_vong!$D$7,IF($AU$31&gt;=5,Canh_bao_vong!$D$9,Canh_bao_vong!$D$8)),Canh_bao_vong!$D$2+MAX(0,Vu_khi!$X$31)/MAX(0.1,Canh_bao_vong!$D$5))))</f>
        <v/>
      </c>
      <c r="AX31" t="n">
        <v>0</v>
      </c>
      <c r="AY31" t="inlineStr"/>
      <c r="AZ31" t="inlineStr">
        <is>
          <t>ok</t>
        </is>
      </c>
      <c r="BA31" t="b">
        <v>1</v>
      </c>
      <c r="BB31" t="inlineStr">
        <is>
          <t>Assets/MachineBrigade/Resources/Data/balance.json: weapons[id=borer_drill] (lớp B trên 01_chien_dau/Vu_khi)</t>
        </is>
      </c>
      <c r="BC31" t="inlineStr"/>
    </row>
    <row r="32">
      <c r="A32" t="inlineStr">
        <is>
          <t>boss_flak</t>
        </is>
      </c>
      <c r="B32" t="n">
        <v>1</v>
      </c>
      <c r="C32">
        <f>IF(Vu_khi!$O$32="SIMULTANEOUS",MAX(1,Vu_khi!$N$32),1)</f>
        <v/>
      </c>
      <c r="D32" t="n">
        <v>1</v>
      </c>
      <c r="E32">
        <f>IF(Vu_khi!$S$32&gt;0,Vu_khi!$S$32,Vu_khi!$P$32*$C$32)</f>
        <v/>
      </c>
      <c r="F32" t="n">
        <v>41</v>
      </c>
      <c r="G32">
        <f>IF(Vu_khi!$S$32&gt;0,(Vu_khi!$S$32-1)*Vu_khi!$R$32+Vu_khi!$T$32,Vu_khi!$R$32+(Vu_khi!$P$32-1)*Vu_khi!$Q$32)</f>
        <v/>
      </c>
      <c r="H32" t="n">
        <v>5.38</v>
      </c>
      <c r="I32">
        <f>Vu_khi!$W$32*MAX(1,$E$32)</f>
        <v/>
      </c>
      <c r="J32" t="n">
        <v>1025</v>
      </c>
      <c r="K32">
        <f>IF(Vu_khi!$V$32&gt;0,Vu_khi!$V$32,MIN(28,MAX(10,Vu_khi!$U$32*Vu_khi!$R$32*0.4)))</f>
        <v/>
      </c>
      <c r="L32" t="n">
        <v>10</v>
      </c>
      <c r="M32">
        <f>IF(Vu_khi!$W$32&lt;=0,0,IF(Vu_khi!$U$32&gt;0,$I$32*Vu_khi!$U$32/(MAX(0.05,$G$32)*Vu_khi!$U$32+$K$32),$I$32/MAX(0.05,$G$32)))</f>
        <v/>
      </c>
      <c r="N32" t="n">
        <v>190.5204460966543</v>
      </c>
      <c r="O32">
        <f>OR(Vu_khi!$AG$32,Vu_khi!$AB$32&gt;0,Vu_khi!$AH$32,Vu_khi!$M$32="Bomb",Vu_khi!$M$32="Drone")</f>
        <v/>
      </c>
      <c r="P32" t="b">
        <v>0</v>
      </c>
      <c r="Q32">
        <f>AND(NOT(Vu_khi!$AJ$32),OR(Vu_khi!$AC$32="Ground",Vu_khi!$AC$32="All"))</f>
        <v/>
      </c>
      <c r="R32" t="b">
        <v>1</v>
      </c>
      <c r="S32">
        <f>AND(NOT(Vu_khi!$AJ$32),OR(Vu_khi!$AC$32="Air",Vu_khi!$AC$32="All"))</f>
        <v/>
      </c>
      <c r="T32" t="b">
        <v>1</v>
      </c>
      <c r="U32">
        <f>INDEX(Bang_sat_thuong!$B$2:$B$7,MATCH(Vu_khi!$K$32,Bang_sat_thuong!$A$2:$A$7,0))</f>
        <v/>
      </c>
      <c r="V32" t="n">
        <v>0.5</v>
      </c>
      <c r="W32">
        <f>INDEX(Bang_sat_thuong!$C$2:$C$7,MATCH(Vu_khi!$K$32,Bang_sat_thuong!$A$2:$A$7,0))</f>
        <v/>
      </c>
      <c r="X32" t="n">
        <v>1.3</v>
      </c>
      <c r="Y32">
        <f>IF(AND(Vu_khi!$AI$32,Vu_khi!$K$32="HighExplosive"),MAX(He_so_toan_cuc!$D$2,INDEX(Bang_sat_thuong!$D$2:$D$7,MATCH(Vu_khi!$K$32,Bang_sat_thuong!$A$2:$A$7,0))),INDEX(Bang_sat_thuong!$D$2:$D$7,MATCH(Vu_khi!$K$32,Bang_sat_thuong!$A$2:$A$7,0)))</f>
        <v/>
      </c>
      <c r="Z32" t="n">
        <v>0.1</v>
      </c>
      <c r="AA32">
        <f>INDEX(Bang_xuyen_giap!$C$2:$C$7,MIN(6,MAX(1,IF($O$32,MAX(1,2-(Vu_khi!$L$32-0)),2-(Vu_khi!$L$32-0))+1)))</f>
        <v/>
      </c>
      <c r="AB32" t="n">
        <v>1.2</v>
      </c>
      <c r="AC32">
        <f>INDEX(Bang_xuyen_giap!$C$2:$C$7,MIN(6,MAX(1,IF($O$32,MAX(1,2-(Vu_khi!$L$32-2)),2-(Vu_khi!$L$32-2))+1)))</f>
        <v/>
      </c>
      <c r="AD32" t="n">
        <v>0.85</v>
      </c>
      <c r="AE32">
        <f>INDEX(Bang_xuyen_giap!$C$2:$C$7,MIN(6,MAX(1,IF($O$32,MAX(1,2-(Vu_khi!$L$32-4)),2-(Vu_khi!$L$32-4))+1)))</f>
        <v/>
      </c>
      <c r="AF32" t="n">
        <v>0.25</v>
      </c>
      <c r="AG32">
        <f>INDEX(Bang_xuyen_giap!$C$2:$C$7,MIN(6,MAX(1,MAX(1,2-(Vu_khi!$L$32-0))+1)))</f>
        <v/>
      </c>
      <c r="AH32" t="n">
        <v>1</v>
      </c>
      <c r="AI32">
        <f>IF($Q$32,$M$32*$AA$32*$U$32,0)</f>
        <v/>
      </c>
      <c r="AJ32" t="n">
        <v>114.3122676579926</v>
      </c>
      <c r="AK32">
        <f>IF($Q$32,$M$32*$AC$32*$U$32,0)</f>
        <v/>
      </c>
      <c r="AL32" t="n">
        <v>80.97118959107806</v>
      </c>
      <c r="AM32">
        <f>IF($Q$32,$M$32*$AE$32*$U$32,0)</f>
        <v/>
      </c>
      <c r="AN32" t="n">
        <v>23.81505576208178</v>
      </c>
      <c r="AO32">
        <f>IF($Q$32,$M$32*$AC$32*$Y$32,0)</f>
        <v/>
      </c>
      <c r="AP32" t="n">
        <v>16.19423791821561</v>
      </c>
      <c r="AQ32">
        <f>IF($S$32,$M$32*$AG$32*$W$32,0)</f>
        <v/>
      </c>
      <c r="AR32" t="n">
        <v>247.6765799256505</v>
      </c>
      <c r="AS32">
        <f>IF(OR(Vu_khi!$M$32="Missile",Vu_khi!$M$32="Drone",AND(Vu_khi!$M$32="Rocket",OR(Vu_khi!$AM$32,Vu_khi!$D$32="guided")),Vu_khi!$AL$32,Vu_khi!$AK$32,Vu_khi!$X$32&lt;=0),FALSE,IF($B$32&gt;=0,$B$32&gt;=4,IF(Vu_khi!$M$32="Shell",Vu_khi!$AN$32&gt;=Canh_bao_vong!$D$10,IF(Vu_khi!$M$32="Bomb",Vu_khi!$AN$32&gt;=Canh_bao_vong!$D$3,IF(Vu_khi!$M$32="Rocket",Vu_khi!$AN$32&gt;=Canh_bao_vong!$D$13,FALSE)))))</f>
        <v/>
      </c>
      <c r="AT32" t="b">
        <v>0</v>
      </c>
      <c r="AU32">
        <f>IF(AND($B$32&lt;0,$AS$32),4,$B$32)</f>
        <v/>
      </c>
      <c r="AV32" t="n">
        <v>1</v>
      </c>
      <c r="AW32">
        <f>IF($AU$32&lt;4,0,MIN(MAX(0.5,Canh_bao_vong!$D$4),MAX(IF(Vu_khi!$C$32="cal_406",Canh_bao_vong!$D$7,IF($AU$32&gt;=5,Canh_bao_vong!$D$9,Canh_bao_vong!$D$8)),Canh_bao_vong!$D$2+MAX(0,Vu_khi!$X$32)/MAX(0.1,Canh_bao_vong!$D$5))))</f>
        <v/>
      </c>
      <c r="AX32" t="n">
        <v>0</v>
      </c>
      <c r="AY32" t="n">
        <v>2.405691</v>
      </c>
      <c r="AZ32" t="inlineStr">
        <is>
          <t>ok</t>
        </is>
      </c>
      <c r="BA32" t="b">
        <v>1</v>
      </c>
      <c r="BB32" t="inlineStr">
        <is>
          <t>Assets/MachineBrigade/Resources/Data/balance.json: weapons[id=boss_flak] (lớp B trên 01_chien_dau/Vu_khi)</t>
        </is>
      </c>
      <c r="BC32" t="inlineStr"/>
    </row>
    <row r="33">
      <c r="A33" t="inlineStr">
        <is>
          <t>boss_flak_ap</t>
        </is>
      </c>
      <c r="B33" t="n">
        <v>1</v>
      </c>
      <c r="C33">
        <f>IF(Vu_khi!$O$33="SIMULTANEOUS",MAX(1,Vu_khi!$N$33),1)</f>
        <v/>
      </c>
      <c r="D33" t="n">
        <v>1</v>
      </c>
      <c r="E33">
        <f>IF(Vu_khi!$S$33&gt;0,Vu_khi!$S$33,Vu_khi!$P$33*$C$33)</f>
        <v/>
      </c>
      <c r="F33" t="n">
        <v>41</v>
      </c>
      <c r="G33">
        <f>IF(Vu_khi!$S$33&gt;0,(Vu_khi!$S$33-1)*Vu_khi!$R$33+Vu_khi!$T$33,Vu_khi!$R$33+(Vu_khi!$P$33-1)*Vu_khi!$Q$33)</f>
        <v/>
      </c>
      <c r="H33" t="n">
        <v>5.38</v>
      </c>
      <c r="I33">
        <f>Vu_khi!$W$33*MAX(1,$E$33)</f>
        <v/>
      </c>
      <c r="J33" t="n">
        <v>1025</v>
      </c>
      <c r="K33">
        <f>IF(Vu_khi!$V$33&gt;0,Vu_khi!$V$33,MIN(28,MAX(10,Vu_khi!$U$33*Vu_khi!$R$33*0.4)))</f>
        <v/>
      </c>
      <c r="L33" t="n">
        <v>10</v>
      </c>
      <c r="M33">
        <f>IF(Vu_khi!$W$33&lt;=0,0,IF(Vu_khi!$U$33&gt;0,$I$33*Vu_khi!$U$33/(MAX(0.05,$G$33)*Vu_khi!$U$33+$K$33),$I$33/MAX(0.05,$G$33)))</f>
        <v/>
      </c>
      <c r="N33" t="n">
        <v>190.5204460966543</v>
      </c>
      <c r="O33">
        <f>OR(Vu_khi!$AG$33,Vu_khi!$AB$33&gt;0,Vu_khi!$AH$33,Vu_khi!$M$33="Bomb",Vu_khi!$M$33="Drone")</f>
        <v/>
      </c>
      <c r="P33" t="b">
        <v>0</v>
      </c>
      <c r="Q33">
        <f>AND(NOT(Vu_khi!$AJ$33),OR(Vu_khi!$AC$33="Ground",Vu_khi!$AC$33="All"))</f>
        <v/>
      </c>
      <c r="R33" t="b">
        <v>1</v>
      </c>
      <c r="S33">
        <f>AND(NOT(Vu_khi!$AJ$33),OR(Vu_khi!$AC$33="Air",Vu_khi!$AC$33="All"))</f>
        <v/>
      </c>
      <c r="T33" t="b">
        <v>0</v>
      </c>
      <c r="U33">
        <f>INDEX(Bang_sat_thuong!$B$2:$B$7,MATCH(Vu_khi!$K$33,Bang_sat_thuong!$A$2:$A$7,0))</f>
        <v/>
      </c>
      <c r="V33" t="n">
        <v>1</v>
      </c>
      <c r="W33">
        <f>INDEX(Bang_sat_thuong!$C$2:$C$7,MATCH(Vu_khi!$K$33,Bang_sat_thuong!$A$2:$A$7,0))</f>
        <v/>
      </c>
      <c r="X33" t="n">
        <v>0.3</v>
      </c>
      <c r="Y33">
        <f>IF(AND(Vu_khi!$AI$33,Vu_khi!$K$33="HighExplosive"),MAX(He_so_toan_cuc!$D$2,INDEX(Bang_sat_thuong!$D$2:$D$7,MATCH(Vu_khi!$K$33,Bang_sat_thuong!$A$2:$A$7,0))),INDEX(Bang_sat_thuong!$D$2:$D$7,MATCH(Vu_khi!$K$33,Bang_sat_thuong!$A$2:$A$7,0)))</f>
        <v/>
      </c>
      <c r="Z33" t="n">
        <v>0.6</v>
      </c>
      <c r="AA33">
        <f>INDEX(Bang_xuyen_giap!$C$2:$C$7,MIN(6,MAX(1,IF($O$33,MAX(1,2-(Vu_khi!$L$33-0)),2-(Vu_khi!$L$33-0))+1)))</f>
        <v/>
      </c>
      <c r="AB33" t="n">
        <v>1.2</v>
      </c>
      <c r="AC33">
        <f>INDEX(Bang_xuyen_giap!$C$2:$C$7,MIN(6,MAX(1,IF($O$33,MAX(1,2-(Vu_khi!$L$33-2)),2-(Vu_khi!$L$33-2))+1)))</f>
        <v/>
      </c>
      <c r="AD33" t="n">
        <v>0.85</v>
      </c>
      <c r="AE33">
        <f>INDEX(Bang_xuyen_giap!$C$2:$C$7,MIN(6,MAX(1,IF($O$33,MAX(1,2-(Vu_khi!$L$33-4)),2-(Vu_khi!$L$33-4))+1)))</f>
        <v/>
      </c>
      <c r="AF33" t="n">
        <v>0.25</v>
      </c>
      <c r="AG33">
        <f>INDEX(Bang_xuyen_giap!$C$2:$C$7,MIN(6,MAX(1,MAX(1,2-(Vu_khi!$L$33-0))+1)))</f>
        <v/>
      </c>
      <c r="AH33" t="n">
        <v>1</v>
      </c>
      <c r="AI33">
        <f>IF($Q$33,$M$33*$AA$33*$U$33,0)</f>
        <v/>
      </c>
      <c r="AJ33" t="n">
        <v>228.6245353159851</v>
      </c>
      <c r="AK33">
        <f>IF($Q$33,$M$33*$AC$33*$U$33,0)</f>
        <v/>
      </c>
      <c r="AL33" t="n">
        <v>161.9423791821561</v>
      </c>
      <c r="AM33">
        <f>IF($Q$33,$M$33*$AE$33*$U$33,0)</f>
        <v/>
      </c>
      <c r="AN33" t="n">
        <v>47.63011152416357</v>
      </c>
      <c r="AO33">
        <f>IF($Q$33,$M$33*$AC$33*$Y$33,0)</f>
        <v/>
      </c>
      <c r="AP33" t="n">
        <v>97.16542750929368</v>
      </c>
      <c r="AQ33">
        <f>IF($S$33,$M$33*$AG$33*$W$33,0)</f>
        <v/>
      </c>
      <c r="AR33" t="n">
        <v>0</v>
      </c>
      <c r="AS33">
        <f>IF(OR(Vu_khi!$M$33="Missile",Vu_khi!$M$33="Drone",AND(Vu_khi!$M$33="Rocket",OR(Vu_khi!$AM$33,Vu_khi!$D$33="guided")),Vu_khi!$AL$33,Vu_khi!$AK$33,Vu_khi!$X$33&lt;=0),FALSE,IF($B$33&gt;=0,$B$33&gt;=4,IF(Vu_khi!$M$33="Shell",Vu_khi!$AN$33&gt;=Canh_bao_vong!$D$10,IF(Vu_khi!$M$33="Bomb",Vu_khi!$AN$33&gt;=Canh_bao_vong!$D$3,IF(Vu_khi!$M$33="Rocket",Vu_khi!$AN$33&gt;=Canh_bao_vong!$D$13,FALSE)))))</f>
        <v/>
      </c>
      <c r="AT33" t="b">
        <v>0</v>
      </c>
      <c r="AU33">
        <f>IF(AND($B$33&lt;0,$AS$33),4,$B$33)</f>
        <v/>
      </c>
      <c r="AV33" t="n">
        <v>1</v>
      </c>
      <c r="AW33">
        <f>IF($AU$33&lt;4,0,MIN(MAX(0.5,Canh_bao_vong!$D$4),MAX(IF(Vu_khi!$C$33="cal_406",Canh_bao_vong!$D$7,IF($AU$33&gt;=5,Canh_bao_vong!$D$9,Canh_bao_vong!$D$8)),Canh_bao_vong!$D$2+MAX(0,Vu_khi!$X$33)/MAX(0.1,Canh_bao_vong!$D$5))))</f>
        <v/>
      </c>
      <c r="AX33" t="n">
        <v>0</v>
      </c>
      <c r="BB33" t="inlineStr">
        <is>
          <t>Assets/MachineBrigade/Resources/Data/balance.json: weapons[id=boss_flak_ap] (lớp B trên 01_chien_dau/Vu_khi)</t>
        </is>
      </c>
      <c r="BC33" t="inlineStr"/>
    </row>
    <row r="34">
      <c r="A34" t="inlineStr">
        <is>
          <t>boss_flamer</t>
        </is>
      </c>
      <c r="B34" t="n">
        <v>1</v>
      </c>
      <c r="C34">
        <f>IF(Vu_khi!$O$34="SIMULTANEOUS",MAX(1,Vu_khi!$N$34),1)</f>
        <v/>
      </c>
      <c r="D34" t="n">
        <v>1</v>
      </c>
      <c r="E34">
        <f>IF(Vu_khi!$S$34&gt;0,Vu_khi!$S$34,Vu_khi!$P$34*$C$34)</f>
        <v/>
      </c>
      <c r="F34" t="n">
        <v>1</v>
      </c>
      <c r="G34">
        <f>IF(Vu_khi!$S$34&gt;0,(Vu_khi!$S$34-1)*Vu_khi!$R$34+Vu_khi!$T$34,Vu_khi!$R$34+(Vu_khi!$P$34-1)*Vu_khi!$Q$34)</f>
        <v/>
      </c>
      <c r="H34" t="n">
        <v>0.25</v>
      </c>
      <c r="I34">
        <f>Vu_khi!$W$34*MAX(1,$E$34)</f>
        <v/>
      </c>
      <c r="J34" t="n">
        <v>30</v>
      </c>
      <c r="K34">
        <f>IF(Vu_khi!$V$34&gt;0,Vu_khi!$V$34,MIN(28,MAX(10,Vu_khi!$U$34*Vu_khi!$R$34*0.4)))</f>
        <v/>
      </c>
      <c r="L34" t="n">
        <v>10</v>
      </c>
      <c r="M34">
        <f>IF(Vu_khi!$W$34&lt;=0,0,IF(Vu_khi!$U$34&gt;0,$I$34*Vu_khi!$U$34/(MAX(0.05,$G$34)*Vu_khi!$U$34+$K$34),$I$34/MAX(0.05,$G$34)))</f>
        <v/>
      </c>
      <c r="N34" t="n">
        <v>120</v>
      </c>
      <c r="O34">
        <f>OR(Vu_khi!$AG$34,Vu_khi!$AB$34&gt;0,Vu_khi!$AH$34,Vu_khi!$M$34="Bomb",Vu_khi!$M$34="Drone")</f>
        <v/>
      </c>
      <c r="P34" t="b">
        <v>0</v>
      </c>
      <c r="Q34">
        <f>AND(NOT(Vu_khi!$AJ$34),OR(Vu_khi!$AC$34="Ground",Vu_khi!$AC$34="All"))</f>
        <v/>
      </c>
      <c r="R34" t="b">
        <v>1</v>
      </c>
      <c r="S34">
        <f>AND(NOT(Vu_khi!$AJ$34),OR(Vu_khi!$AC$34="Air",Vu_khi!$AC$34="All"))</f>
        <v/>
      </c>
      <c r="T34" t="b">
        <v>0</v>
      </c>
      <c r="U34">
        <f>INDEX(Bang_sat_thuong!$B$2:$B$7,MATCH(Vu_khi!$K$34,Bang_sat_thuong!$A$2:$A$7,0))</f>
        <v/>
      </c>
      <c r="V34" t="n">
        <v>1.5</v>
      </c>
      <c r="W34">
        <f>INDEX(Bang_sat_thuong!$C$2:$C$7,MATCH(Vu_khi!$K$34,Bang_sat_thuong!$A$2:$A$7,0))</f>
        <v/>
      </c>
      <c r="X34" t="n">
        <v>0</v>
      </c>
      <c r="Y34">
        <f>IF(AND(Vu_khi!$AI$34,Vu_khi!$K$34="HighExplosive"),MAX(He_so_toan_cuc!$D$2,INDEX(Bang_sat_thuong!$D$2:$D$7,MATCH(Vu_khi!$K$34,Bang_sat_thuong!$A$2:$A$7,0))),INDEX(Bang_sat_thuong!$D$2:$D$7,MATCH(Vu_khi!$K$34,Bang_sat_thuong!$A$2:$A$7,0)))</f>
        <v/>
      </c>
      <c r="Z34" t="n">
        <v>1</v>
      </c>
      <c r="AA34">
        <f>INDEX(Bang_xuyen_giap!$C$2:$C$7,MIN(6,MAX(1,IF($O$34,MAX(1,2-(Vu_khi!$L$34-0)),2-(Vu_khi!$L$34-0))+1)))</f>
        <v/>
      </c>
      <c r="AB34" t="n">
        <v>1.2</v>
      </c>
      <c r="AC34">
        <f>INDEX(Bang_xuyen_giap!$C$2:$C$7,MIN(6,MAX(1,IF($O$34,MAX(1,2-(Vu_khi!$L$34-2)),2-(Vu_khi!$L$34-2))+1)))</f>
        <v/>
      </c>
      <c r="AD34" t="n">
        <v>0.85</v>
      </c>
      <c r="AE34">
        <f>INDEX(Bang_xuyen_giap!$C$2:$C$7,MIN(6,MAX(1,IF($O$34,MAX(1,2-(Vu_khi!$L$34-4)),2-(Vu_khi!$L$34-4))+1)))</f>
        <v/>
      </c>
      <c r="AF34" t="n">
        <v>0.25</v>
      </c>
      <c r="AG34">
        <f>INDEX(Bang_xuyen_giap!$C$2:$C$7,MIN(6,MAX(1,MAX(1,2-(Vu_khi!$L$34-0))+1)))</f>
        <v/>
      </c>
      <c r="AH34" t="n">
        <v>1</v>
      </c>
      <c r="AI34">
        <f>IF($Q$34,$M$34*$AA$34*$U$34,0)</f>
        <v/>
      </c>
      <c r="AJ34" t="n">
        <v>216</v>
      </c>
      <c r="AK34">
        <f>IF($Q$34,$M$34*$AC$34*$U$34,0)</f>
        <v/>
      </c>
      <c r="AL34" t="n">
        <v>153</v>
      </c>
      <c r="AM34">
        <f>IF($Q$34,$M$34*$AE$34*$U$34,0)</f>
        <v/>
      </c>
      <c r="AN34" t="n">
        <v>45</v>
      </c>
      <c r="AO34">
        <f>IF($Q$34,$M$34*$AC$34*$Y$34,0)</f>
        <v/>
      </c>
      <c r="AP34" t="n">
        <v>102</v>
      </c>
      <c r="AQ34">
        <f>IF($S$34,$M$34*$AG$34*$W$34,0)</f>
        <v/>
      </c>
      <c r="AR34" t="n">
        <v>0</v>
      </c>
      <c r="AS34">
        <f>IF(OR(Vu_khi!$M$34="Missile",Vu_khi!$M$34="Drone",AND(Vu_khi!$M$34="Rocket",OR(Vu_khi!$AM$34,Vu_khi!$D$34="guided")),Vu_khi!$AL$34,Vu_khi!$AK$34,Vu_khi!$X$34&lt;=0),FALSE,IF($B$34&gt;=0,$B$34&gt;=4,IF(Vu_khi!$M$34="Shell",Vu_khi!$AN$34&gt;=Canh_bao_vong!$D$10,IF(Vu_khi!$M$34="Bomb",Vu_khi!$AN$34&gt;=Canh_bao_vong!$D$3,IF(Vu_khi!$M$34="Rocket",Vu_khi!$AN$34&gt;=Canh_bao_vong!$D$13,FALSE)))))</f>
        <v/>
      </c>
      <c r="AT34" t="b">
        <v>0</v>
      </c>
      <c r="AU34">
        <f>IF(AND($B$34&lt;0,$AS$34),4,$B$34)</f>
        <v/>
      </c>
      <c r="AV34" t="n">
        <v>1</v>
      </c>
      <c r="AW34">
        <f>IF($AU$34&lt;4,0,MIN(MAX(0.5,Canh_bao_vong!$D$4),MAX(IF(Vu_khi!$C$34="cal_406",Canh_bao_vong!$D$7,IF($AU$34&gt;=5,Canh_bao_vong!$D$9,Canh_bao_vong!$D$8)),Canh_bao_vong!$D$2+MAX(0,Vu_khi!$X$34)/MAX(0.1,Canh_bao_vong!$D$5))))</f>
        <v/>
      </c>
      <c r="AX34" t="n">
        <v>0</v>
      </c>
      <c r="AY34" t="inlineStr"/>
      <c r="AZ34" t="inlineStr">
        <is>
          <t>ok</t>
        </is>
      </c>
      <c r="BA34" t="b">
        <v>1</v>
      </c>
      <c r="BB34" t="inlineStr">
        <is>
          <t>Assets/MachineBrigade/Resources/Data/balance.json: weapons[id=boss_flamer] (lớp B trên 01_chien_dau/Vu_khi)</t>
        </is>
      </c>
      <c r="BC34" t="inlineStr"/>
    </row>
    <row r="35">
      <c r="A35" t="inlineStr">
        <is>
          <t>boss_heli_gun</t>
        </is>
      </c>
      <c r="B35" t="n">
        <v>1</v>
      </c>
      <c r="C35">
        <f>IF(Vu_khi!$O$35="SIMULTANEOUS",MAX(1,Vu_khi!$N$35),1)</f>
        <v/>
      </c>
      <c r="D35" t="n">
        <v>1</v>
      </c>
      <c r="E35">
        <f>IF(Vu_khi!$S$35&gt;0,Vu_khi!$S$35,Vu_khi!$P$35*$C$35)</f>
        <v/>
      </c>
      <c r="F35" t="n">
        <v>40</v>
      </c>
      <c r="G35">
        <f>IF(Vu_khi!$S$35&gt;0,(Vu_khi!$S$35-1)*Vu_khi!$R$35+Vu_khi!$T$35,Vu_khi!$R$35+(Vu_khi!$P$35-1)*Vu_khi!$Q$35)</f>
        <v/>
      </c>
      <c r="H35" t="n">
        <v>9.668299999999999</v>
      </c>
      <c r="I35">
        <f>Vu_khi!$W$35*MAX(1,$E$35)</f>
        <v/>
      </c>
      <c r="J35" t="n">
        <v>880</v>
      </c>
      <c r="K35">
        <f>IF(Vu_khi!$V$35&gt;0,Vu_khi!$V$35,MIN(28,MAX(10,Vu_khi!$U$35*Vu_khi!$R$35*0.4)))</f>
        <v/>
      </c>
      <c r="L35" t="n">
        <v>10</v>
      </c>
      <c r="M35">
        <f>IF(Vu_khi!$W$35&lt;=0,0,IF(Vu_khi!$U$35&gt;0,$I$35*Vu_khi!$U$35/(MAX(0.05,$G$35)*Vu_khi!$U$35+$K$35),$I$35/MAX(0.05,$G$35)))</f>
        <v/>
      </c>
      <c r="N35" t="n">
        <v>91.01910366869048</v>
      </c>
      <c r="O35">
        <f>OR(Vu_khi!$AG$35,Vu_khi!$AB$35&gt;0,Vu_khi!$AH$35,Vu_khi!$M$35="Bomb",Vu_khi!$M$35="Drone")</f>
        <v/>
      </c>
      <c r="P35" t="b">
        <v>0</v>
      </c>
      <c r="Q35">
        <f>AND(NOT(Vu_khi!$AJ$35),OR(Vu_khi!$AC$35="Ground",Vu_khi!$AC$35="All"))</f>
        <v/>
      </c>
      <c r="R35" t="b">
        <v>1</v>
      </c>
      <c r="S35">
        <f>AND(NOT(Vu_khi!$AJ$35),OR(Vu_khi!$AC$35="Air",Vu_khi!$AC$35="All"))</f>
        <v/>
      </c>
      <c r="T35" t="b">
        <v>1</v>
      </c>
      <c r="U35">
        <f>INDEX(Bang_sat_thuong!$B$2:$B$7,MATCH(Vu_khi!$K$35,Bang_sat_thuong!$A$2:$A$7,0))</f>
        <v/>
      </c>
      <c r="V35" t="n">
        <v>1</v>
      </c>
      <c r="W35">
        <f>INDEX(Bang_sat_thuong!$C$2:$C$7,MATCH(Vu_khi!$K$35,Bang_sat_thuong!$A$2:$A$7,0))</f>
        <v/>
      </c>
      <c r="X35" t="n">
        <v>0.3</v>
      </c>
      <c r="Y35">
        <f>IF(AND(Vu_khi!$AI$35,Vu_khi!$K$35="HighExplosive"),MAX(He_so_toan_cuc!$D$2,INDEX(Bang_sat_thuong!$D$2:$D$7,MATCH(Vu_khi!$K$35,Bang_sat_thuong!$A$2:$A$7,0))),INDEX(Bang_sat_thuong!$D$2:$D$7,MATCH(Vu_khi!$K$35,Bang_sat_thuong!$A$2:$A$7,0)))</f>
        <v/>
      </c>
      <c r="Z35" t="n">
        <v>0.6</v>
      </c>
      <c r="AA35">
        <f>INDEX(Bang_xuyen_giap!$C$2:$C$7,MIN(6,MAX(1,IF($O$35,MAX(1,2-(Vu_khi!$L$35-0)),2-(Vu_khi!$L$35-0))+1)))</f>
        <v/>
      </c>
      <c r="AB35" t="n">
        <v>1.2</v>
      </c>
      <c r="AC35">
        <f>INDEX(Bang_xuyen_giap!$C$2:$C$7,MIN(6,MAX(1,IF($O$35,MAX(1,2-(Vu_khi!$L$35-2)),2-(Vu_khi!$L$35-2))+1)))</f>
        <v/>
      </c>
      <c r="AD35" t="n">
        <v>0.85</v>
      </c>
      <c r="AE35">
        <f>INDEX(Bang_xuyen_giap!$C$2:$C$7,MIN(6,MAX(1,IF($O$35,MAX(1,2-(Vu_khi!$L$35-4)),2-(Vu_khi!$L$35-4))+1)))</f>
        <v/>
      </c>
      <c r="AF35" t="n">
        <v>0.25</v>
      </c>
      <c r="AG35">
        <f>INDEX(Bang_xuyen_giap!$C$2:$C$7,MIN(6,MAX(1,MAX(1,2-(Vu_khi!$L$35-0))+1)))</f>
        <v/>
      </c>
      <c r="AH35" t="n">
        <v>1</v>
      </c>
      <c r="AI35">
        <f>IF($Q$35,$M$35*$AA$35*$U$35,0)</f>
        <v/>
      </c>
      <c r="AJ35" t="n">
        <v>109.2229244024286</v>
      </c>
      <c r="AK35">
        <f>IF($Q$35,$M$35*$AC$35*$U$35,0)</f>
        <v/>
      </c>
      <c r="AL35" t="n">
        <v>77.3662381183869</v>
      </c>
      <c r="AM35">
        <f>IF($Q$35,$M$35*$AE$35*$U$35,0)</f>
        <v/>
      </c>
      <c r="AN35" t="n">
        <v>22.75477591717262</v>
      </c>
      <c r="AO35">
        <f>IF($Q$35,$M$35*$AC$35*$Y$35,0)</f>
        <v/>
      </c>
      <c r="AP35" t="n">
        <v>46.41974287103214</v>
      </c>
      <c r="AQ35">
        <f>IF($S$35,$M$35*$AG$35*$W$35,0)</f>
        <v/>
      </c>
      <c r="AR35" t="n">
        <v>27.30573110060714</v>
      </c>
      <c r="AS35">
        <f>IF(OR(Vu_khi!$M$35="Missile",Vu_khi!$M$35="Drone",AND(Vu_khi!$M$35="Rocket",OR(Vu_khi!$AM$35,Vu_khi!$D$35="guided")),Vu_khi!$AL$35,Vu_khi!$AK$35,Vu_khi!$X$35&lt;=0),FALSE,IF($B$35&gt;=0,$B$35&gt;=4,IF(Vu_khi!$M$35="Shell",Vu_khi!$AN$35&gt;=Canh_bao_vong!$D$10,IF(Vu_khi!$M$35="Bomb",Vu_khi!$AN$35&gt;=Canh_bao_vong!$D$3,IF(Vu_khi!$M$35="Rocket",Vu_khi!$AN$35&gt;=Canh_bao_vong!$D$13,FALSE)))))</f>
        <v/>
      </c>
      <c r="AT35" t="b">
        <v>0</v>
      </c>
      <c r="AU35">
        <f>IF(AND($B$35&lt;0,$AS$35),4,$B$35)</f>
        <v/>
      </c>
      <c r="AV35" t="n">
        <v>1</v>
      </c>
      <c r="AW35">
        <f>IF($AU$35&lt;4,0,MIN(MAX(0.5,Canh_bao_vong!$D$4),MAX(IF(Vu_khi!$C$35="cal_406",Canh_bao_vong!$D$7,IF($AU$35&gt;=5,Canh_bao_vong!$D$9,Canh_bao_vong!$D$8)),Canh_bao_vong!$D$2+MAX(0,Vu_khi!$X$35)/MAX(0.1,Canh_bao_vong!$D$5))))</f>
        <v/>
      </c>
      <c r="AX35" t="n">
        <v>0</v>
      </c>
      <c r="AY35" t="n">
        <v>2.517786</v>
      </c>
      <c r="AZ35" t="inlineStr">
        <is>
          <t>ok</t>
        </is>
      </c>
      <c r="BA35" t="b">
        <v>1</v>
      </c>
      <c r="BB35" t="inlineStr">
        <is>
          <t>Assets/MachineBrigade/Resources/Data/balance.json: weapons[id=boss_heli_gun] (lớp B trên 01_chien_dau/Vu_khi)</t>
        </is>
      </c>
      <c r="BC35" t="inlineStr"/>
    </row>
    <row r="36">
      <c r="A36" t="inlineStr">
        <is>
          <t>boss_heli_gun_flak</t>
        </is>
      </c>
      <c r="B36" t="n">
        <v>1</v>
      </c>
      <c r="C36">
        <f>IF(Vu_khi!$O$36="SIMULTANEOUS",MAX(1,Vu_khi!$N$36),1)</f>
        <v/>
      </c>
      <c r="D36" t="n">
        <v>1</v>
      </c>
      <c r="E36">
        <f>IF(Vu_khi!$S$36&gt;0,Vu_khi!$S$36,Vu_khi!$P$36*$C$36)</f>
        <v/>
      </c>
      <c r="F36" t="n">
        <v>40</v>
      </c>
      <c r="G36">
        <f>IF(Vu_khi!$S$36&gt;0,(Vu_khi!$S$36-1)*Vu_khi!$R$36+Vu_khi!$T$36,Vu_khi!$R$36+(Vu_khi!$P$36-1)*Vu_khi!$Q$36)</f>
        <v/>
      </c>
      <c r="H36" t="n">
        <v>9.668299999999999</v>
      </c>
      <c r="I36">
        <f>Vu_khi!$W$36*MAX(1,$E$36)</f>
        <v/>
      </c>
      <c r="J36" t="n">
        <v>880</v>
      </c>
      <c r="K36">
        <f>IF(Vu_khi!$V$36&gt;0,Vu_khi!$V$36,MIN(28,MAX(10,Vu_khi!$U$36*Vu_khi!$R$36*0.4)))</f>
        <v/>
      </c>
      <c r="L36" t="n">
        <v>10</v>
      </c>
      <c r="M36">
        <f>IF(Vu_khi!$W$36&lt;=0,0,IF(Vu_khi!$U$36&gt;0,$I$36*Vu_khi!$U$36/(MAX(0.05,$G$36)*Vu_khi!$U$36+$K$36),$I$36/MAX(0.05,$G$36)))</f>
        <v/>
      </c>
      <c r="N36" t="n">
        <v>91.01910366869048</v>
      </c>
      <c r="O36">
        <f>OR(Vu_khi!$AG$36,Vu_khi!$AB$36&gt;0,Vu_khi!$AH$36,Vu_khi!$M$36="Bomb",Vu_khi!$M$36="Drone")</f>
        <v/>
      </c>
      <c r="P36" t="b">
        <v>0</v>
      </c>
      <c r="Q36">
        <f>AND(NOT(Vu_khi!$AJ$36),OR(Vu_khi!$AC$36="Ground",Vu_khi!$AC$36="All"))</f>
        <v/>
      </c>
      <c r="R36" t="b">
        <v>0</v>
      </c>
      <c r="S36">
        <f>AND(NOT(Vu_khi!$AJ$36),OR(Vu_khi!$AC$36="Air",Vu_khi!$AC$36="All"))</f>
        <v/>
      </c>
      <c r="T36" t="b">
        <v>1</v>
      </c>
      <c r="U36">
        <f>INDEX(Bang_sat_thuong!$B$2:$B$7,MATCH(Vu_khi!$K$36,Bang_sat_thuong!$A$2:$A$7,0))</f>
        <v/>
      </c>
      <c r="V36" t="n">
        <v>0.5</v>
      </c>
      <c r="W36">
        <f>INDEX(Bang_sat_thuong!$C$2:$C$7,MATCH(Vu_khi!$K$36,Bang_sat_thuong!$A$2:$A$7,0))</f>
        <v/>
      </c>
      <c r="X36" t="n">
        <v>1.3</v>
      </c>
      <c r="Y36">
        <f>IF(AND(Vu_khi!$AI$36,Vu_khi!$K$36="HighExplosive"),MAX(He_so_toan_cuc!$D$2,INDEX(Bang_sat_thuong!$D$2:$D$7,MATCH(Vu_khi!$K$36,Bang_sat_thuong!$A$2:$A$7,0))),INDEX(Bang_sat_thuong!$D$2:$D$7,MATCH(Vu_khi!$K$36,Bang_sat_thuong!$A$2:$A$7,0)))</f>
        <v/>
      </c>
      <c r="Z36" t="n">
        <v>0.1</v>
      </c>
      <c r="AA36">
        <f>INDEX(Bang_xuyen_giap!$C$2:$C$7,MIN(6,MAX(1,IF($O$36,MAX(1,2-(Vu_khi!$L$36-0)),2-(Vu_khi!$L$36-0))+1)))</f>
        <v/>
      </c>
      <c r="AB36" t="n">
        <v>1.2</v>
      </c>
      <c r="AC36">
        <f>INDEX(Bang_xuyen_giap!$C$2:$C$7,MIN(6,MAX(1,IF($O$36,MAX(1,2-(Vu_khi!$L$36-2)),2-(Vu_khi!$L$36-2))+1)))</f>
        <v/>
      </c>
      <c r="AD36" t="n">
        <v>0.85</v>
      </c>
      <c r="AE36">
        <f>INDEX(Bang_xuyen_giap!$C$2:$C$7,MIN(6,MAX(1,IF($O$36,MAX(1,2-(Vu_khi!$L$36-4)),2-(Vu_khi!$L$36-4))+1)))</f>
        <v/>
      </c>
      <c r="AF36" t="n">
        <v>0.25</v>
      </c>
      <c r="AG36">
        <f>INDEX(Bang_xuyen_giap!$C$2:$C$7,MIN(6,MAX(1,MAX(1,2-(Vu_khi!$L$36-0))+1)))</f>
        <v/>
      </c>
      <c r="AH36" t="n">
        <v>1</v>
      </c>
      <c r="AI36">
        <f>IF($Q$36,$M$36*$AA$36*$U$36,0)</f>
        <v/>
      </c>
      <c r="AJ36" t="n">
        <v>0</v>
      </c>
      <c r="AK36">
        <f>IF($Q$36,$M$36*$AC$36*$U$36,0)</f>
        <v/>
      </c>
      <c r="AL36" t="n">
        <v>0</v>
      </c>
      <c r="AM36">
        <f>IF($Q$36,$M$36*$AE$36*$U$36,0)</f>
        <v/>
      </c>
      <c r="AN36" t="n">
        <v>0</v>
      </c>
      <c r="AO36">
        <f>IF($Q$36,$M$36*$AC$36*$Y$36,0)</f>
        <v/>
      </c>
      <c r="AP36" t="n">
        <v>0</v>
      </c>
      <c r="AQ36">
        <f>IF($S$36,$M$36*$AG$36*$W$36,0)</f>
        <v/>
      </c>
      <c r="AR36" t="n">
        <v>118.3248347692976</v>
      </c>
      <c r="AS36">
        <f>IF(OR(Vu_khi!$M$36="Missile",Vu_khi!$M$36="Drone",AND(Vu_khi!$M$36="Rocket",OR(Vu_khi!$AM$36,Vu_khi!$D$36="guided")),Vu_khi!$AL$36,Vu_khi!$AK$36,Vu_khi!$X$36&lt;=0),FALSE,IF($B$36&gt;=0,$B$36&gt;=4,IF(Vu_khi!$M$36="Shell",Vu_khi!$AN$36&gt;=Canh_bao_vong!$D$10,IF(Vu_khi!$M$36="Bomb",Vu_khi!$AN$36&gt;=Canh_bao_vong!$D$3,IF(Vu_khi!$M$36="Rocket",Vu_khi!$AN$36&gt;=Canh_bao_vong!$D$13,FALSE)))))</f>
        <v/>
      </c>
      <c r="AT36" t="b">
        <v>0</v>
      </c>
      <c r="AU36">
        <f>IF(AND($B$36&lt;0,$AS$36),4,$B$36)</f>
        <v/>
      </c>
      <c r="AV36" t="n">
        <v>1</v>
      </c>
      <c r="AW36">
        <f>IF($AU$36&lt;4,0,MIN(MAX(0.5,Canh_bao_vong!$D$4),MAX(IF(Vu_khi!$C$36="cal_406",Canh_bao_vong!$D$7,IF($AU$36&gt;=5,Canh_bao_vong!$D$9,Canh_bao_vong!$D$8)),Canh_bao_vong!$D$2+MAX(0,Vu_khi!$X$36)/MAX(0.1,Canh_bao_vong!$D$5))))</f>
        <v/>
      </c>
      <c r="AX36" t="n">
        <v>0</v>
      </c>
      <c r="BB36" t="inlineStr">
        <is>
          <t>Assets/MachineBrigade/Resources/Data/balance.json: weapons[id=boss_heli_gun_flak] (lớp B trên 01_chien_dau/Vu_khi)</t>
        </is>
      </c>
      <c r="BC36" t="inlineStr"/>
    </row>
    <row r="37">
      <c r="A37" t="inlineStr">
        <is>
          <t>boss_hmg</t>
        </is>
      </c>
      <c r="B37" t="n">
        <v>0</v>
      </c>
      <c r="C37">
        <f>IF(Vu_khi!$O$37="SIMULTANEOUS",MAX(1,Vu_khi!$N$37),1)</f>
        <v/>
      </c>
      <c r="D37" t="n">
        <v>1</v>
      </c>
      <c r="E37">
        <f>IF(Vu_khi!$S$37&gt;0,Vu_khi!$S$37,Vu_khi!$P$37*$C$37)</f>
        <v/>
      </c>
      <c r="F37" t="n">
        <v>100</v>
      </c>
      <c r="G37">
        <f>IF(Vu_khi!$S$37&gt;0,(Vu_khi!$S$37-1)*Vu_khi!$R$37+Vu_khi!$T$37,Vu_khi!$R$37+(Vu_khi!$P$37-1)*Vu_khi!$Q$37)</f>
        <v/>
      </c>
      <c r="H37" t="n">
        <v>13.2467</v>
      </c>
      <c r="I37">
        <f>Vu_khi!$W$37*MAX(1,$E$37)</f>
        <v/>
      </c>
      <c r="J37" t="n">
        <v>1500</v>
      </c>
      <c r="K37">
        <f>IF(Vu_khi!$V$37&gt;0,Vu_khi!$V$37,MIN(28,MAX(10,Vu_khi!$U$37*Vu_khi!$R$37*0.4)))</f>
        <v/>
      </c>
      <c r="L37" t="n">
        <v>10</v>
      </c>
      <c r="M37">
        <f>IF(Vu_khi!$W$37&lt;=0,0,IF(Vu_khi!$U$37&gt;0,$I$37*Vu_khi!$U$37/(MAX(0.05,$G$37)*Vu_khi!$U$37+$K$37),$I$37/MAX(0.05,$G$37)))</f>
        <v/>
      </c>
      <c r="N37" t="n">
        <v>113.235749280953</v>
      </c>
      <c r="O37">
        <f>OR(Vu_khi!$AG$37,Vu_khi!$AB$37&gt;0,Vu_khi!$AH$37,Vu_khi!$M$37="Bomb",Vu_khi!$M$37="Drone")</f>
        <v/>
      </c>
      <c r="P37" t="b">
        <v>0</v>
      </c>
      <c r="Q37">
        <f>AND(NOT(Vu_khi!$AJ$37),OR(Vu_khi!$AC$37="Ground",Vu_khi!$AC$37="All"))</f>
        <v/>
      </c>
      <c r="R37" t="b">
        <v>1</v>
      </c>
      <c r="S37">
        <f>AND(NOT(Vu_khi!$AJ$37),OR(Vu_khi!$AC$37="Air",Vu_khi!$AC$37="All"))</f>
        <v/>
      </c>
      <c r="T37" t="b">
        <v>1</v>
      </c>
      <c r="U37">
        <f>INDEX(Bang_sat_thuong!$B$2:$B$7,MATCH(Vu_khi!$K$37,Bang_sat_thuong!$A$2:$A$7,0))</f>
        <v/>
      </c>
      <c r="V37" t="n">
        <v>1</v>
      </c>
      <c r="W37">
        <f>INDEX(Bang_sat_thuong!$C$2:$C$7,MATCH(Vu_khi!$K$37,Bang_sat_thuong!$A$2:$A$7,0))</f>
        <v/>
      </c>
      <c r="X37" t="n">
        <v>0.3</v>
      </c>
      <c r="Y37">
        <f>IF(AND(Vu_khi!$AI$37,Vu_khi!$K$37="HighExplosive"),MAX(He_so_toan_cuc!$D$2,INDEX(Bang_sat_thuong!$D$2:$D$7,MATCH(Vu_khi!$K$37,Bang_sat_thuong!$A$2:$A$7,0))),INDEX(Bang_sat_thuong!$D$2:$D$7,MATCH(Vu_khi!$K$37,Bang_sat_thuong!$A$2:$A$7,0)))</f>
        <v/>
      </c>
      <c r="Z37" t="n">
        <v>0.6</v>
      </c>
      <c r="AA37">
        <f>INDEX(Bang_xuyen_giap!$C$2:$C$7,MIN(6,MAX(1,IF($O$37,MAX(1,2-(Vu_khi!$L$37-0)),2-(Vu_khi!$L$37-0))+1)))</f>
        <v/>
      </c>
      <c r="AB37" t="n">
        <v>1</v>
      </c>
      <c r="AC37">
        <f>INDEX(Bang_xuyen_giap!$C$2:$C$7,MIN(6,MAX(1,IF($O$37,MAX(1,2-(Vu_khi!$L$37-2)),2-(Vu_khi!$L$37-2))+1)))</f>
        <v/>
      </c>
      <c r="AD37" t="n">
        <v>0.5</v>
      </c>
      <c r="AE37">
        <f>INDEX(Bang_xuyen_giap!$C$2:$C$7,MIN(6,MAX(1,IF($O$37,MAX(1,2-(Vu_khi!$L$37-4)),2-(Vu_khi!$L$37-4))+1)))</f>
        <v/>
      </c>
      <c r="AF37" t="n">
        <v>0.1</v>
      </c>
      <c r="AG37">
        <f>INDEX(Bang_xuyen_giap!$C$2:$C$7,MIN(6,MAX(1,MAX(1,2-(Vu_khi!$L$37-0))+1)))</f>
        <v/>
      </c>
      <c r="AH37" t="n">
        <v>1</v>
      </c>
      <c r="AI37">
        <f>IF($Q$37,$M$37*$AA$37*$U$37,0)</f>
        <v/>
      </c>
      <c r="AJ37" t="n">
        <v>113.235749280953</v>
      </c>
      <c r="AK37">
        <f>IF($Q$37,$M$37*$AC$37*$U$37,0)</f>
        <v/>
      </c>
      <c r="AL37" t="n">
        <v>56.61787464047649</v>
      </c>
      <c r="AM37">
        <f>IF($Q$37,$M$37*$AE$37*$U$37,0)</f>
        <v/>
      </c>
      <c r="AN37" t="n">
        <v>11.3235749280953</v>
      </c>
      <c r="AO37">
        <f>IF($Q$37,$M$37*$AC$37*$Y$37,0)</f>
        <v/>
      </c>
      <c r="AP37" t="n">
        <v>33.97072478428589</v>
      </c>
      <c r="AQ37">
        <f>IF($S$37,$M$37*$AG$37*$W$37,0)</f>
        <v/>
      </c>
      <c r="AR37" t="n">
        <v>33.97072478428589</v>
      </c>
      <c r="AS37">
        <f>IF(OR(Vu_khi!$M$37="Missile",Vu_khi!$M$37="Drone",AND(Vu_khi!$M$37="Rocket",OR(Vu_khi!$AM$37,Vu_khi!$D$37="guided")),Vu_khi!$AL$37,Vu_khi!$AK$37,Vu_khi!$X$37&lt;=0),FALSE,IF($B$37&gt;=0,$B$37&gt;=4,IF(Vu_khi!$M$37="Shell",Vu_khi!$AN$37&gt;=Canh_bao_vong!$D$10,IF(Vu_khi!$M$37="Bomb",Vu_khi!$AN$37&gt;=Canh_bao_vong!$D$3,IF(Vu_khi!$M$37="Rocket",Vu_khi!$AN$37&gt;=Canh_bao_vong!$D$13,FALSE)))))</f>
        <v/>
      </c>
      <c r="AT37" t="b">
        <v>0</v>
      </c>
      <c r="AU37">
        <f>IF(AND($B$37&lt;0,$AS$37),4,$B$37)</f>
        <v/>
      </c>
      <c r="AV37" t="n">
        <v>0</v>
      </c>
      <c r="AW37">
        <f>IF($AU$37&lt;4,0,MIN(MAX(0.5,Canh_bao_vong!$D$4),MAX(IF(Vu_khi!$C$37="cal_406",Canh_bao_vong!$D$7,IF($AU$37&gt;=5,Canh_bao_vong!$D$9,Canh_bao_vong!$D$8)),Canh_bao_vong!$D$2+MAX(0,Vu_khi!$X$37)/MAX(0.1,Canh_bao_vong!$D$5))))</f>
        <v/>
      </c>
      <c r="AX37" t="n">
        <v>0</v>
      </c>
      <c r="AY37" t="n">
        <v>1.766227</v>
      </c>
      <c r="AZ37" t="inlineStr">
        <is>
          <t>ok</t>
        </is>
      </c>
      <c r="BA37" t="b">
        <v>1</v>
      </c>
      <c r="BB37" t="inlineStr">
        <is>
          <t>Assets/MachineBrigade/Resources/Data/balance.json: weapons[id=boss_hmg] (lớp B trên 01_chien_dau/Vu_khi)</t>
        </is>
      </c>
      <c r="BC37" t="inlineStr"/>
    </row>
    <row r="38">
      <c r="A38" t="inlineStr">
        <is>
          <t>boss_hmg_api</t>
        </is>
      </c>
      <c r="B38" t="n">
        <v>0</v>
      </c>
      <c r="C38">
        <f>IF(Vu_khi!$O$38="SIMULTANEOUS",MAX(1,Vu_khi!$N$38),1)</f>
        <v/>
      </c>
      <c r="D38" t="n">
        <v>1</v>
      </c>
      <c r="E38">
        <f>IF(Vu_khi!$S$38&gt;0,Vu_khi!$S$38,Vu_khi!$P$38*$C$38)</f>
        <v/>
      </c>
      <c r="F38" t="n">
        <v>100</v>
      </c>
      <c r="G38">
        <f>IF(Vu_khi!$S$38&gt;0,(Vu_khi!$S$38-1)*Vu_khi!$R$38+Vu_khi!$T$38,Vu_khi!$R$38+(Vu_khi!$P$38-1)*Vu_khi!$Q$38)</f>
        <v/>
      </c>
      <c r="H38" t="n">
        <v>13.2467</v>
      </c>
      <c r="I38">
        <f>Vu_khi!$W$38*MAX(1,$E$38)</f>
        <v/>
      </c>
      <c r="J38" t="n">
        <v>1500</v>
      </c>
      <c r="K38">
        <f>IF(Vu_khi!$V$38&gt;0,Vu_khi!$V$38,MIN(28,MAX(10,Vu_khi!$U$38*Vu_khi!$R$38*0.4)))</f>
        <v/>
      </c>
      <c r="L38" t="n">
        <v>10</v>
      </c>
      <c r="M38">
        <f>IF(Vu_khi!$W$38&lt;=0,0,IF(Vu_khi!$U$38&gt;0,$I$38*Vu_khi!$U$38/(MAX(0.05,$G$38)*Vu_khi!$U$38+$K$38),$I$38/MAX(0.05,$G$38)))</f>
        <v/>
      </c>
      <c r="N38" t="n">
        <v>113.235749280953</v>
      </c>
      <c r="O38">
        <f>OR(Vu_khi!$AG$38,Vu_khi!$AB$38&gt;0,Vu_khi!$AH$38,Vu_khi!$M$38="Bomb",Vu_khi!$M$38="Drone")</f>
        <v/>
      </c>
      <c r="P38" t="b">
        <v>0</v>
      </c>
      <c r="Q38">
        <f>AND(NOT(Vu_khi!$AJ$38),OR(Vu_khi!$AC$38="Ground",Vu_khi!$AC$38="All"))</f>
        <v/>
      </c>
      <c r="R38" t="b">
        <v>1</v>
      </c>
      <c r="S38">
        <f>AND(NOT(Vu_khi!$AJ$38),OR(Vu_khi!$AC$38="Air",Vu_khi!$AC$38="All"))</f>
        <v/>
      </c>
      <c r="T38" t="b">
        <v>1</v>
      </c>
      <c r="U38">
        <f>INDEX(Bang_sat_thuong!$B$2:$B$7,MATCH(Vu_khi!$K$38,Bang_sat_thuong!$A$2:$A$7,0))</f>
        <v/>
      </c>
      <c r="V38" t="n">
        <v>1</v>
      </c>
      <c r="W38">
        <f>INDEX(Bang_sat_thuong!$C$2:$C$7,MATCH(Vu_khi!$K$38,Bang_sat_thuong!$A$2:$A$7,0))</f>
        <v/>
      </c>
      <c r="X38" t="n">
        <v>0.3</v>
      </c>
      <c r="Y38">
        <f>IF(AND(Vu_khi!$AI$38,Vu_khi!$K$38="HighExplosive"),MAX(He_so_toan_cuc!$D$2,INDEX(Bang_sat_thuong!$D$2:$D$7,MATCH(Vu_khi!$K$38,Bang_sat_thuong!$A$2:$A$7,0))),INDEX(Bang_sat_thuong!$D$2:$D$7,MATCH(Vu_khi!$K$38,Bang_sat_thuong!$A$2:$A$7,0)))</f>
        <v/>
      </c>
      <c r="Z38" t="n">
        <v>0.6</v>
      </c>
      <c r="AA38">
        <f>INDEX(Bang_xuyen_giap!$C$2:$C$7,MIN(6,MAX(1,IF($O$38,MAX(1,2-(Vu_khi!$L$38-0)),2-(Vu_khi!$L$38-0))+1)))</f>
        <v/>
      </c>
      <c r="AB38" t="n">
        <v>1.2</v>
      </c>
      <c r="AC38">
        <f>INDEX(Bang_xuyen_giap!$C$2:$C$7,MIN(6,MAX(1,IF($O$38,MAX(1,2-(Vu_khi!$L$38-2)),2-(Vu_khi!$L$38-2))+1)))</f>
        <v/>
      </c>
      <c r="AD38" t="n">
        <v>0.85</v>
      </c>
      <c r="AE38">
        <f>INDEX(Bang_xuyen_giap!$C$2:$C$7,MIN(6,MAX(1,IF($O$38,MAX(1,2-(Vu_khi!$L$38-4)),2-(Vu_khi!$L$38-4))+1)))</f>
        <v/>
      </c>
      <c r="AF38" t="n">
        <v>0.25</v>
      </c>
      <c r="AG38">
        <f>INDEX(Bang_xuyen_giap!$C$2:$C$7,MIN(6,MAX(1,MAX(1,2-(Vu_khi!$L$38-0))+1)))</f>
        <v/>
      </c>
      <c r="AH38" t="n">
        <v>1</v>
      </c>
      <c r="AI38">
        <f>IF($Q$38,$M$38*$AA$38*$U$38,0)</f>
        <v/>
      </c>
      <c r="AJ38" t="n">
        <v>135.8828991371436</v>
      </c>
      <c r="AK38">
        <f>IF($Q$38,$M$38*$AC$38*$U$38,0)</f>
        <v/>
      </c>
      <c r="AL38" t="n">
        <v>96.25038688881004</v>
      </c>
      <c r="AM38">
        <f>IF($Q$38,$M$38*$AE$38*$U$38,0)</f>
        <v/>
      </c>
      <c r="AN38" t="n">
        <v>28.30893732023825</v>
      </c>
      <c r="AO38">
        <f>IF($Q$38,$M$38*$AC$38*$Y$38,0)</f>
        <v/>
      </c>
      <c r="AP38" t="n">
        <v>57.75023213328603</v>
      </c>
      <c r="AQ38">
        <f>IF($S$38,$M$38*$AG$38*$W$38,0)</f>
        <v/>
      </c>
      <c r="AR38" t="n">
        <v>33.97072478428589</v>
      </c>
      <c r="AS38">
        <f>IF(OR(Vu_khi!$M$38="Missile",Vu_khi!$M$38="Drone",AND(Vu_khi!$M$38="Rocket",OR(Vu_khi!$AM$38,Vu_khi!$D$38="guided")),Vu_khi!$AL$38,Vu_khi!$AK$38,Vu_khi!$X$38&lt;=0),FALSE,IF($B$38&gt;=0,$B$38&gt;=4,IF(Vu_khi!$M$38="Shell",Vu_khi!$AN$38&gt;=Canh_bao_vong!$D$10,IF(Vu_khi!$M$38="Bomb",Vu_khi!$AN$38&gt;=Canh_bao_vong!$D$3,IF(Vu_khi!$M$38="Rocket",Vu_khi!$AN$38&gt;=Canh_bao_vong!$D$13,FALSE)))))</f>
        <v/>
      </c>
      <c r="AT38" t="b">
        <v>0</v>
      </c>
      <c r="AU38">
        <f>IF(AND($B$38&lt;0,$AS$38),4,$B$38)</f>
        <v/>
      </c>
      <c r="AV38" t="n">
        <v>0</v>
      </c>
      <c r="AW38">
        <f>IF($AU$38&lt;4,0,MIN(MAX(0.5,Canh_bao_vong!$D$4),MAX(IF(Vu_khi!$C$38="cal_406",Canh_bao_vong!$D$7,IF($AU$38&gt;=5,Canh_bao_vong!$D$9,Canh_bao_vong!$D$8)),Canh_bao_vong!$D$2+MAX(0,Vu_khi!$X$38)/MAX(0.1,Canh_bao_vong!$D$5))))</f>
        <v/>
      </c>
      <c r="AX38" t="n">
        <v>0</v>
      </c>
      <c r="BB38" t="inlineStr">
        <is>
          <t>Assets/MachineBrigade/Resources/Data/balance.json: weapons[id=boss_hmg_api] (lớp B trên 01_chien_dau/Vu_khi)</t>
        </is>
      </c>
      <c r="BC38" t="inlineStr"/>
    </row>
    <row r="39">
      <c r="A39" t="inlineStr">
        <is>
          <t>boss_howitzer</t>
        </is>
      </c>
      <c r="B39" t="n">
        <v>4</v>
      </c>
      <c r="C39">
        <f>IF(Vu_khi!$O$39="SIMULTANEOUS",MAX(1,Vu_khi!$N$39),1)</f>
        <v/>
      </c>
      <c r="D39" t="n">
        <v>1</v>
      </c>
      <c r="E39">
        <f>IF(Vu_khi!$S$39&gt;0,Vu_khi!$S$39,Vu_khi!$P$39*$C$39)</f>
        <v/>
      </c>
      <c r="F39" t="n">
        <v>1</v>
      </c>
      <c r="G39">
        <f>IF(Vu_khi!$S$39&gt;0,(Vu_khi!$S$39-1)*Vu_khi!$R$39+Vu_khi!$T$39,Vu_khi!$R$39+(Vu_khi!$P$39-1)*Vu_khi!$Q$39)</f>
        <v/>
      </c>
      <c r="H39" t="n">
        <v>9.44</v>
      </c>
      <c r="I39">
        <f>Vu_khi!$W$39*MAX(1,$E$39)</f>
        <v/>
      </c>
      <c r="J39" t="n">
        <v>420</v>
      </c>
      <c r="K39">
        <f>IF(Vu_khi!$V$39&gt;0,Vu_khi!$V$39,MIN(28,MAX(10,Vu_khi!$U$39*Vu_khi!$R$39*0.4)))</f>
        <v/>
      </c>
      <c r="L39" t="n">
        <v>10</v>
      </c>
      <c r="M39">
        <f>IF(Vu_khi!$W$39&lt;=0,0,IF(Vu_khi!$U$39&gt;0,$I$39*Vu_khi!$U$39/(MAX(0.05,$G$39)*Vu_khi!$U$39+$K$39),$I$39/MAX(0.05,$G$39)))</f>
        <v/>
      </c>
      <c r="N39" t="n">
        <v>44.49152542372882</v>
      </c>
      <c r="O39">
        <f>OR(Vu_khi!$AG$39,Vu_khi!$AB$39&gt;0,Vu_khi!$AH$39,Vu_khi!$M$39="Bomb",Vu_khi!$M$39="Drone")</f>
        <v/>
      </c>
      <c r="P39" t="b">
        <v>0</v>
      </c>
      <c r="Q39">
        <f>AND(NOT(Vu_khi!$AJ$39),OR(Vu_khi!$AC$39="Ground",Vu_khi!$AC$39="All"))</f>
        <v/>
      </c>
      <c r="R39" t="b">
        <v>1</v>
      </c>
      <c r="S39">
        <f>AND(NOT(Vu_khi!$AJ$39),OR(Vu_khi!$AC$39="Air",Vu_khi!$AC$39="All"))</f>
        <v/>
      </c>
      <c r="T39" t="b">
        <v>0</v>
      </c>
      <c r="U39">
        <f>INDEX(Bang_sat_thuong!$B$2:$B$7,MATCH(Vu_khi!$K$39,Bang_sat_thuong!$A$2:$A$7,0))</f>
        <v/>
      </c>
      <c r="V39" t="n">
        <v>1</v>
      </c>
      <c r="W39">
        <f>INDEX(Bang_sat_thuong!$C$2:$C$7,MATCH(Vu_khi!$K$39,Bang_sat_thuong!$A$2:$A$7,0))</f>
        <v/>
      </c>
      <c r="X39" t="n">
        <v>0</v>
      </c>
      <c r="Y39">
        <f>IF(AND(Vu_khi!$AI$39,Vu_khi!$K$39="HighExplosive"),MAX(He_so_toan_cuc!$D$2,INDEX(Bang_sat_thuong!$D$2:$D$7,MATCH(Vu_khi!$K$39,Bang_sat_thuong!$A$2:$A$7,0))),INDEX(Bang_sat_thuong!$D$2:$D$7,MATCH(Vu_khi!$K$39,Bang_sat_thuong!$A$2:$A$7,0)))</f>
        <v/>
      </c>
      <c r="Z39" t="n">
        <v>1.5</v>
      </c>
      <c r="AA39">
        <f>INDEX(Bang_xuyen_giap!$C$2:$C$7,MIN(6,MAX(1,IF($O$39,MAX(1,2-(Vu_khi!$L$39-0)),2-(Vu_khi!$L$39-0))+1)))</f>
        <v/>
      </c>
      <c r="AB39" t="n">
        <v>1.2</v>
      </c>
      <c r="AC39">
        <f>INDEX(Bang_xuyen_giap!$C$2:$C$7,MIN(6,MAX(1,IF($O$39,MAX(1,2-(Vu_khi!$L$39-2)),2-(Vu_khi!$L$39-2))+1)))</f>
        <v/>
      </c>
      <c r="AD39" t="n">
        <v>1.2</v>
      </c>
      <c r="AE39">
        <f>INDEX(Bang_xuyen_giap!$C$2:$C$7,MIN(6,MAX(1,IF($O$39,MAX(1,2-(Vu_khi!$L$39-4)),2-(Vu_khi!$L$39-4))+1)))</f>
        <v/>
      </c>
      <c r="AF39" t="n">
        <v>0.85</v>
      </c>
      <c r="AG39">
        <f>INDEX(Bang_xuyen_giap!$C$2:$C$7,MIN(6,MAX(1,MAX(1,2-(Vu_khi!$L$39-0))+1)))</f>
        <v/>
      </c>
      <c r="AH39" t="n">
        <v>1</v>
      </c>
      <c r="AI39">
        <f>IF($Q$39,$M$39*$AA$39*$U$39,0)</f>
        <v/>
      </c>
      <c r="AJ39" t="n">
        <v>53.38983050847458</v>
      </c>
      <c r="AK39">
        <f>IF($Q$39,$M$39*$AC$39*$U$39,0)</f>
        <v/>
      </c>
      <c r="AL39" t="n">
        <v>53.38983050847458</v>
      </c>
      <c r="AM39">
        <f>IF($Q$39,$M$39*$AE$39*$U$39,0)</f>
        <v/>
      </c>
      <c r="AN39" t="n">
        <v>37.81779661016949</v>
      </c>
      <c r="AO39">
        <f>IF($Q$39,$M$39*$AC$39*$Y$39,0)</f>
        <v/>
      </c>
      <c r="AP39" t="n">
        <v>80.08474576271186</v>
      </c>
      <c r="AQ39">
        <f>IF($S$39,$M$39*$AG$39*$W$39,0)</f>
        <v/>
      </c>
      <c r="AR39" t="n">
        <v>0</v>
      </c>
      <c r="AS39">
        <f>IF(OR(Vu_khi!$M$39="Missile",Vu_khi!$M$39="Drone",AND(Vu_khi!$M$39="Rocket",OR(Vu_khi!$AM$39,Vu_khi!$D$39="guided")),Vu_khi!$AL$39,Vu_khi!$AK$39,Vu_khi!$X$39&lt;=0),FALSE,IF($B$39&gt;=0,$B$39&gt;=4,IF(Vu_khi!$M$39="Shell",Vu_khi!$AN$39&gt;=Canh_bao_vong!$D$10,IF(Vu_khi!$M$39="Bomb",Vu_khi!$AN$39&gt;=Canh_bao_vong!$D$3,IF(Vu_khi!$M$39="Rocket",Vu_khi!$AN$39&gt;=Canh_bao_vong!$D$13,FALSE)))))</f>
        <v/>
      </c>
      <c r="AT39" t="b">
        <v>1</v>
      </c>
      <c r="AU39">
        <f>IF(AND($B$39&lt;0,$AS$39),4,$B$39)</f>
        <v/>
      </c>
      <c r="AV39" t="n">
        <v>4</v>
      </c>
      <c r="AW39">
        <f>IF($AU$39&lt;4,0,MIN(MAX(0.5,Canh_bao_vong!$D$4),MAX(IF(Vu_khi!$C$39="cal_406",Canh_bao_vong!$D$7,IF($AU$39&gt;=5,Canh_bao_vong!$D$9,Canh_bao_vong!$D$8)),Canh_bao_vong!$D$2+MAX(0,Vu_khi!$X$39)/MAX(0.1,Canh_bao_vong!$D$5))))</f>
        <v/>
      </c>
      <c r="AX39" t="n">
        <v>2.5</v>
      </c>
      <c r="AY39" t="n">
        <v>0.275333</v>
      </c>
      <c r="AZ39" t="inlineStr">
        <is>
          <t>NHANH_QUA</t>
        </is>
      </c>
      <c r="BA39" t="inlineStr"/>
      <c r="BB39" t="inlineStr">
        <is>
          <t>Assets/MachineBrigade/Resources/Data/balance.json: weapons[id=boss_howitzer] (lớp B trên 01_chien_dau/Vu_khi)</t>
        </is>
      </c>
      <c r="BC39" t="inlineStr"/>
    </row>
    <row r="40">
      <c r="A40" t="inlineStr">
        <is>
          <t>boss_howitzer_guided</t>
        </is>
      </c>
      <c r="B40" t="n">
        <v>4</v>
      </c>
      <c r="C40">
        <f>IF(Vu_khi!$O$40="SIMULTANEOUS",MAX(1,Vu_khi!$N$40),1)</f>
        <v/>
      </c>
      <c r="D40" t="n">
        <v>1</v>
      </c>
      <c r="E40">
        <f>IF(Vu_khi!$S$40&gt;0,Vu_khi!$S$40,Vu_khi!$P$40*$C$40)</f>
        <v/>
      </c>
      <c r="F40" t="n">
        <v>1</v>
      </c>
      <c r="G40">
        <f>IF(Vu_khi!$S$40&gt;0,(Vu_khi!$S$40-1)*Vu_khi!$R$40+Vu_khi!$T$40,Vu_khi!$R$40+(Vu_khi!$P$40-1)*Vu_khi!$Q$40)</f>
        <v/>
      </c>
      <c r="H40" t="n">
        <v>9.44</v>
      </c>
      <c r="I40">
        <f>Vu_khi!$W$40*MAX(1,$E$40)</f>
        <v/>
      </c>
      <c r="J40" t="n">
        <v>420</v>
      </c>
      <c r="K40">
        <f>IF(Vu_khi!$V$40&gt;0,Vu_khi!$V$40,MIN(28,MAX(10,Vu_khi!$U$40*Vu_khi!$R$40*0.4)))</f>
        <v/>
      </c>
      <c r="L40" t="n">
        <v>10</v>
      </c>
      <c r="M40">
        <f>IF(Vu_khi!$W$40&lt;=0,0,IF(Vu_khi!$U$40&gt;0,$I$40*Vu_khi!$U$40/(MAX(0.05,$G$40)*Vu_khi!$U$40+$K$40),$I$40/MAX(0.05,$G$40)))</f>
        <v/>
      </c>
      <c r="N40" t="n">
        <v>44.49152542372882</v>
      </c>
      <c r="O40">
        <f>OR(Vu_khi!$AG$40,Vu_khi!$AB$40&gt;0,Vu_khi!$AH$40,Vu_khi!$M$40="Bomb",Vu_khi!$M$40="Drone")</f>
        <v/>
      </c>
      <c r="P40" t="b">
        <v>0</v>
      </c>
      <c r="Q40">
        <f>AND(NOT(Vu_khi!$AJ$40),OR(Vu_khi!$AC$40="Ground",Vu_khi!$AC$40="All"))</f>
        <v/>
      </c>
      <c r="R40" t="b">
        <v>1</v>
      </c>
      <c r="S40">
        <f>AND(NOT(Vu_khi!$AJ$40),OR(Vu_khi!$AC$40="Air",Vu_khi!$AC$40="All"))</f>
        <v/>
      </c>
      <c r="T40" t="b">
        <v>0</v>
      </c>
      <c r="U40">
        <f>INDEX(Bang_sat_thuong!$B$2:$B$7,MATCH(Vu_khi!$K$40,Bang_sat_thuong!$A$2:$A$7,0))</f>
        <v/>
      </c>
      <c r="V40" t="n">
        <v>1</v>
      </c>
      <c r="W40">
        <f>INDEX(Bang_sat_thuong!$C$2:$C$7,MATCH(Vu_khi!$K$40,Bang_sat_thuong!$A$2:$A$7,0))</f>
        <v/>
      </c>
      <c r="X40" t="n">
        <v>0</v>
      </c>
      <c r="Y40">
        <f>IF(AND(Vu_khi!$AI$40,Vu_khi!$K$40="HighExplosive"),MAX(He_so_toan_cuc!$D$2,INDEX(Bang_sat_thuong!$D$2:$D$7,MATCH(Vu_khi!$K$40,Bang_sat_thuong!$A$2:$A$7,0))),INDEX(Bang_sat_thuong!$D$2:$D$7,MATCH(Vu_khi!$K$40,Bang_sat_thuong!$A$2:$A$7,0)))</f>
        <v/>
      </c>
      <c r="Z40" t="n">
        <v>1.5</v>
      </c>
      <c r="AA40">
        <f>INDEX(Bang_xuyen_giap!$C$2:$C$7,MIN(6,MAX(1,IF($O$40,MAX(1,2-(Vu_khi!$L$40-0)),2-(Vu_khi!$L$40-0))+1)))</f>
        <v/>
      </c>
      <c r="AB40" t="n">
        <v>1.2</v>
      </c>
      <c r="AC40">
        <f>INDEX(Bang_xuyen_giap!$C$2:$C$7,MIN(6,MAX(1,IF($O$40,MAX(1,2-(Vu_khi!$L$40-2)),2-(Vu_khi!$L$40-2))+1)))</f>
        <v/>
      </c>
      <c r="AD40" t="n">
        <v>1.2</v>
      </c>
      <c r="AE40">
        <f>INDEX(Bang_xuyen_giap!$C$2:$C$7,MIN(6,MAX(1,IF($O$40,MAX(1,2-(Vu_khi!$L$40-4)),2-(Vu_khi!$L$40-4))+1)))</f>
        <v/>
      </c>
      <c r="AF40" t="n">
        <v>0.85</v>
      </c>
      <c r="AG40">
        <f>INDEX(Bang_xuyen_giap!$C$2:$C$7,MIN(6,MAX(1,MAX(1,2-(Vu_khi!$L$40-0))+1)))</f>
        <v/>
      </c>
      <c r="AH40" t="n">
        <v>1</v>
      </c>
      <c r="AI40">
        <f>IF($Q$40,$M$40*$AA$40*$U$40,0)</f>
        <v/>
      </c>
      <c r="AJ40" t="n">
        <v>53.38983050847458</v>
      </c>
      <c r="AK40">
        <f>IF($Q$40,$M$40*$AC$40*$U$40,0)</f>
        <v/>
      </c>
      <c r="AL40" t="n">
        <v>53.38983050847458</v>
      </c>
      <c r="AM40">
        <f>IF($Q$40,$M$40*$AE$40*$U$40,0)</f>
        <v/>
      </c>
      <c r="AN40" t="n">
        <v>37.81779661016949</v>
      </c>
      <c r="AO40">
        <f>IF($Q$40,$M$40*$AC$40*$Y$40,0)</f>
        <v/>
      </c>
      <c r="AP40" t="n">
        <v>80.08474576271186</v>
      </c>
      <c r="AQ40">
        <f>IF($S$40,$M$40*$AG$40*$W$40,0)</f>
        <v/>
      </c>
      <c r="AR40" t="n">
        <v>0</v>
      </c>
      <c r="AS40">
        <f>IF(OR(Vu_khi!$M$40="Missile",Vu_khi!$M$40="Drone",AND(Vu_khi!$M$40="Rocket",OR(Vu_khi!$AM$40,Vu_khi!$D$40="guided")),Vu_khi!$AL$40,Vu_khi!$AK$40,Vu_khi!$X$40&lt;=0),FALSE,IF($B$40&gt;=0,$B$40&gt;=4,IF(Vu_khi!$M$40="Shell",Vu_khi!$AN$40&gt;=Canh_bao_vong!$D$10,IF(Vu_khi!$M$40="Bomb",Vu_khi!$AN$40&gt;=Canh_bao_vong!$D$3,IF(Vu_khi!$M$40="Rocket",Vu_khi!$AN$40&gt;=Canh_bao_vong!$D$13,FALSE)))))</f>
        <v/>
      </c>
      <c r="AT40" t="b">
        <v>1</v>
      </c>
      <c r="AU40">
        <f>IF(AND($B$40&lt;0,$AS$40),4,$B$40)</f>
        <v/>
      </c>
      <c r="AV40" t="n">
        <v>4</v>
      </c>
      <c r="AW40">
        <f>IF($AU$40&lt;4,0,MIN(MAX(0.5,Canh_bao_vong!$D$4),MAX(IF(Vu_khi!$C$40="cal_406",Canh_bao_vong!$D$7,IF($AU$40&gt;=5,Canh_bao_vong!$D$9,Canh_bao_vong!$D$8)),Canh_bao_vong!$D$2+MAX(0,Vu_khi!$X$40)/MAX(0.1,Canh_bao_vong!$D$5))))</f>
        <v/>
      </c>
      <c r="AX40" t="n">
        <v>2.5</v>
      </c>
      <c r="BB40" t="inlineStr">
        <is>
          <t>Assets/MachineBrigade/Resources/Data/balance.json: weapons[id=boss_howitzer_guided] (lớp B trên 01_chien_dau/Vu_khi)</t>
        </is>
      </c>
      <c r="BC40" t="inlineStr"/>
    </row>
    <row r="41">
      <c r="A41" t="inlineStr">
        <is>
          <t>boss_minigun</t>
        </is>
      </c>
      <c r="B41" t="n">
        <v>0</v>
      </c>
      <c r="C41">
        <f>IF(Vu_khi!$O$41="SIMULTANEOUS",MAX(1,Vu_khi!$N$41),1)</f>
        <v/>
      </c>
      <c r="D41" t="n">
        <v>1</v>
      </c>
      <c r="E41">
        <f>IF(Vu_khi!$S$41&gt;0,Vu_khi!$S$41,Vu_khi!$P$41*$C$41)</f>
        <v/>
      </c>
      <c r="F41" t="n">
        <v>40</v>
      </c>
      <c r="G41">
        <f>IF(Vu_khi!$S$41&gt;0,(Vu_khi!$S$41-1)*Vu_khi!$R$41+Vu_khi!$T$41,Vu_khi!$R$41+(Vu_khi!$P$41-1)*Vu_khi!$Q$41)</f>
        <v/>
      </c>
      <c r="H41" t="n">
        <v>6.7608</v>
      </c>
      <c r="I41">
        <f>Vu_khi!$W$41*MAX(1,$E$41)</f>
        <v/>
      </c>
      <c r="J41" t="n">
        <v>220</v>
      </c>
      <c r="K41">
        <f>IF(Vu_khi!$V$41&gt;0,Vu_khi!$V$41,MIN(28,MAX(10,Vu_khi!$U$41*Vu_khi!$R$41*0.4)))</f>
        <v/>
      </c>
      <c r="L41" t="n">
        <v>10</v>
      </c>
      <c r="M41">
        <f>IF(Vu_khi!$W$41&lt;=0,0,IF(Vu_khi!$U$41&gt;0,$I$41*Vu_khi!$U$41/(MAX(0.05,$G$41)*Vu_khi!$U$41+$K$41),$I$41/MAX(0.05,$G$41)))</f>
        <v/>
      </c>
      <c r="N41" t="n">
        <v>32.54052774819548</v>
      </c>
      <c r="O41">
        <f>OR(Vu_khi!$AG$41,Vu_khi!$AB$41&gt;0,Vu_khi!$AH$41,Vu_khi!$M$41="Bomb",Vu_khi!$M$41="Drone")</f>
        <v/>
      </c>
      <c r="P41" t="b">
        <v>0</v>
      </c>
      <c r="Q41">
        <f>AND(NOT(Vu_khi!$AJ$41),OR(Vu_khi!$AC$41="Ground",Vu_khi!$AC$41="All"))</f>
        <v/>
      </c>
      <c r="R41" t="b">
        <v>1</v>
      </c>
      <c r="S41">
        <f>AND(NOT(Vu_khi!$AJ$41),OR(Vu_khi!$AC$41="Air",Vu_khi!$AC$41="All"))</f>
        <v/>
      </c>
      <c r="T41" t="b">
        <v>1</v>
      </c>
      <c r="U41">
        <f>INDEX(Bang_sat_thuong!$B$2:$B$7,MATCH(Vu_khi!$K$41,Bang_sat_thuong!$A$2:$A$7,0))</f>
        <v/>
      </c>
      <c r="V41" t="n">
        <v>1</v>
      </c>
      <c r="W41">
        <f>INDEX(Bang_sat_thuong!$C$2:$C$7,MATCH(Vu_khi!$K$41,Bang_sat_thuong!$A$2:$A$7,0))</f>
        <v/>
      </c>
      <c r="X41" t="n">
        <v>0.3</v>
      </c>
      <c r="Y41">
        <f>IF(AND(Vu_khi!$AI$41,Vu_khi!$K$41="HighExplosive"),MAX(He_so_toan_cuc!$D$2,INDEX(Bang_sat_thuong!$D$2:$D$7,MATCH(Vu_khi!$K$41,Bang_sat_thuong!$A$2:$A$7,0))),INDEX(Bang_sat_thuong!$D$2:$D$7,MATCH(Vu_khi!$K$41,Bang_sat_thuong!$A$2:$A$7,0)))</f>
        <v/>
      </c>
      <c r="Z41" t="n">
        <v>0.6</v>
      </c>
      <c r="AA41">
        <f>INDEX(Bang_xuyen_giap!$C$2:$C$7,MIN(6,MAX(1,IF($O$41,MAX(1,2-(Vu_khi!$L$41-0)),2-(Vu_khi!$L$41-0))+1)))</f>
        <v/>
      </c>
      <c r="AB41" t="n">
        <v>0.85</v>
      </c>
      <c r="AC41">
        <f>INDEX(Bang_xuyen_giap!$C$2:$C$7,MIN(6,MAX(1,IF($O$41,MAX(1,2-(Vu_khi!$L$41-2)),2-(Vu_khi!$L$41-2))+1)))</f>
        <v/>
      </c>
      <c r="AD41" t="n">
        <v>0.25</v>
      </c>
      <c r="AE41">
        <f>INDEX(Bang_xuyen_giap!$C$2:$C$7,MIN(6,MAX(1,IF($O$41,MAX(1,2-(Vu_khi!$L$41-4)),2-(Vu_khi!$L$41-4))+1)))</f>
        <v/>
      </c>
      <c r="AF41" t="n">
        <v>0.1</v>
      </c>
      <c r="AG41">
        <f>INDEX(Bang_xuyen_giap!$C$2:$C$7,MIN(6,MAX(1,MAX(1,2-(Vu_khi!$L$41-0))+1)))</f>
        <v/>
      </c>
      <c r="AH41" t="n">
        <v>0.85</v>
      </c>
      <c r="AI41">
        <f>IF($Q$41,$M$41*$AA$41*$U$41,0)</f>
        <v/>
      </c>
      <c r="AJ41" t="n">
        <v>27.65944858596616</v>
      </c>
      <c r="AK41">
        <f>IF($Q$41,$M$41*$AC$41*$U$41,0)</f>
        <v/>
      </c>
      <c r="AL41" t="n">
        <v>8.13513193704887</v>
      </c>
      <c r="AM41">
        <f>IF($Q$41,$M$41*$AE$41*$U$41,0)</f>
        <v/>
      </c>
      <c r="AN41" t="n">
        <v>3.254052774819548</v>
      </c>
      <c r="AO41">
        <f>IF($Q$41,$M$41*$AC$41*$Y$41,0)</f>
        <v/>
      </c>
      <c r="AP41" t="n">
        <v>4.881079162229322</v>
      </c>
      <c r="AQ41">
        <f>IF($S$41,$M$41*$AG$41*$W$41,0)</f>
        <v/>
      </c>
      <c r="AR41" t="n">
        <v>8.297834575789848</v>
      </c>
      <c r="AS41">
        <f>IF(OR(Vu_khi!$M$41="Missile",Vu_khi!$M$41="Drone",AND(Vu_khi!$M$41="Rocket",OR(Vu_khi!$AM$41,Vu_khi!$D$41="guided")),Vu_khi!$AL$41,Vu_khi!$AK$41,Vu_khi!$X$41&lt;=0),FALSE,IF($B$41&gt;=0,$B$41&gt;=4,IF(Vu_khi!$M$41="Shell",Vu_khi!$AN$41&gt;=Canh_bao_vong!$D$10,IF(Vu_khi!$M$41="Bomb",Vu_khi!$AN$41&gt;=Canh_bao_vong!$D$3,IF(Vu_khi!$M$41="Rocket",Vu_khi!$AN$41&gt;=Canh_bao_vong!$D$13,FALSE)))))</f>
        <v/>
      </c>
      <c r="AT41" t="b">
        <v>0</v>
      </c>
      <c r="AU41">
        <f>IF(AND($B$41&lt;0,$AS$41),4,$B$41)</f>
        <v/>
      </c>
      <c r="AV41" t="n">
        <v>0</v>
      </c>
      <c r="AW41">
        <f>IF($AU$41&lt;4,0,MIN(MAX(0.5,Canh_bao_vong!$D$4),MAX(IF(Vu_khi!$C$41="cal_406",Canh_bao_vong!$D$7,IF($AU$41&gt;=5,Canh_bao_vong!$D$9,Canh_bao_vong!$D$8)),Canh_bao_vong!$D$2+MAX(0,Vu_khi!$X$41)/MAX(0.1,Canh_bao_vong!$D$5))))</f>
        <v/>
      </c>
      <c r="AX41" t="n">
        <v>0</v>
      </c>
      <c r="AY41" t="n">
        <v>16.902</v>
      </c>
      <c r="AZ41" t="inlineStr">
        <is>
          <t>ok</t>
        </is>
      </c>
      <c r="BA41" t="b">
        <v>1</v>
      </c>
      <c r="BB41" t="inlineStr">
        <is>
          <t>Assets/MachineBrigade/Resources/Data/balance.json: weapons[id=boss_minigun] (lớp B trên 01_chien_dau/Vu_khi)</t>
        </is>
      </c>
      <c r="BC41" t="inlineStr"/>
    </row>
    <row r="42">
      <c r="A42" t="inlineStr">
        <is>
          <t>boss_missiles</t>
        </is>
      </c>
      <c r="B42" t="n">
        <v>2</v>
      </c>
      <c r="C42">
        <f>IF(Vu_khi!$O$42="SIMULTANEOUS",MAX(1,Vu_khi!$N$42),1)</f>
        <v/>
      </c>
      <c r="D42" t="n">
        <v>1</v>
      </c>
      <c r="E42">
        <f>IF(Vu_khi!$S$42&gt;0,Vu_khi!$S$42,Vu_khi!$P$42*$C$42)</f>
        <v/>
      </c>
      <c r="F42" t="n">
        <v>1</v>
      </c>
      <c r="G42">
        <f>IF(Vu_khi!$S$42&gt;0,(Vu_khi!$S$42-1)*Vu_khi!$R$42+Vu_khi!$T$42,Vu_khi!$R$42+(Vu_khi!$P$42-1)*Vu_khi!$Q$42)</f>
        <v/>
      </c>
      <c r="H42" t="n">
        <v>6.39</v>
      </c>
      <c r="I42">
        <f>Vu_khi!$W$42*MAX(1,$E$42)</f>
        <v/>
      </c>
      <c r="J42" t="n">
        <v>230</v>
      </c>
      <c r="K42">
        <f>IF(Vu_khi!$V$42&gt;0,Vu_khi!$V$42,MIN(28,MAX(10,Vu_khi!$U$42*Vu_khi!$R$42*0.4)))</f>
        <v/>
      </c>
      <c r="L42" t="n">
        <v>10</v>
      </c>
      <c r="M42">
        <f>IF(Vu_khi!$W$42&lt;=0,0,IF(Vu_khi!$U$42&gt;0,$I$42*Vu_khi!$U$42/(MAX(0.05,$G$42)*Vu_khi!$U$42+$K$42),$I$42/MAX(0.05,$G$42)))</f>
        <v/>
      </c>
      <c r="N42" t="n">
        <v>35.99374021909233</v>
      </c>
      <c r="O42">
        <f>OR(Vu_khi!$AG$42,Vu_khi!$AB$42&gt;0,Vu_khi!$AH$42,Vu_khi!$M$42="Bomb",Vu_khi!$M$42="Drone")</f>
        <v/>
      </c>
      <c r="P42" t="b">
        <v>0</v>
      </c>
      <c r="Q42">
        <f>AND(NOT(Vu_khi!$AJ$42),OR(Vu_khi!$AC$42="Ground",Vu_khi!$AC$42="All"))</f>
        <v/>
      </c>
      <c r="R42" t="b">
        <v>1</v>
      </c>
      <c r="S42">
        <f>AND(NOT(Vu_khi!$AJ$42),OR(Vu_khi!$AC$42="Air",Vu_khi!$AC$42="All"))</f>
        <v/>
      </c>
      <c r="T42" t="b">
        <v>0</v>
      </c>
      <c r="U42">
        <f>INDEX(Bang_sat_thuong!$B$2:$B$7,MATCH(Vu_khi!$K$42,Bang_sat_thuong!$A$2:$A$7,0))</f>
        <v/>
      </c>
      <c r="V42" t="n">
        <v>1</v>
      </c>
      <c r="W42">
        <f>INDEX(Bang_sat_thuong!$C$2:$C$7,MATCH(Vu_khi!$K$42,Bang_sat_thuong!$A$2:$A$7,0))</f>
        <v/>
      </c>
      <c r="X42" t="n">
        <v>0.3</v>
      </c>
      <c r="Y42">
        <f>IF(AND(Vu_khi!$AI$42,Vu_khi!$K$42="HighExplosive"),MAX(He_so_toan_cuc!$D$2,INDEX(Bang_sat_thuong!$D$2:$D$7,MATCH(Vu_khi!$K$42,Bang_sat_thuong!$A$2:$A$7,0))),INDEX(Bang_sat_thuong!$D$2:$D$7,MATCH(Vu_khi!$K$42,Bang_sat_thuong!$A$2:$A$7,0)))</f>
        <v/>
      </c>
      <c r="Z42" t="n">
        <v>0.6</v>
      </c>
      <c r="AA42">
        <f>INDEX(Bang_xuyen_giap!$C$2:$C$7,MIN(6,MAX(1,IF($O$42,MAX(1,2-(Vu_khi!$L$42-0)),2-(Vu_khi!$L$42-0))+1)))</f>
        <v/>
      </c>
      <c r="AB42" t="n">
        <v>1.2</v>
      </c>
      <c r="AC42">
        <f>INDEX(Bang_xuyen_giap!$C$2:$C$7,MIN(6,MAX(1,IF($O$42,MAX(1,2-(Vu_khi!$L$42-2)),2-(Vu_khi!$L$42-2))+1)))</f>
        <v/>
      </c>
      <c r="AD42" t="n">
        <v>1.2</v>
      </c>
      <c r="AE42">
        <f>INDEX(Bang_xuyen_giap!$C$2:$C$7,MIN(6,MAX(1,IF($O$42,MAX(1,2-(Vu_khi!$L$42-4)),2-(Vu_khi!$L$42-4))+1)))</f>
        <v/>
      </c>
      <c r="AF42" t="n">
        <v>0.85</v>
      </c>
      <c r="AG42">
        <f>INDEX(Bang_xuyen_giap!$C$2:$C$7,MIN(6,MAX(1,MAX(1,2-(Vu_khi!$L$42-0))+1)))</f>
        <v/>
      </c>
      <c r="AH42" t="n">
        <v>1</v>
      </c>
      <c r="AI42">
        <f>IF($Q$42,$M$42*$AA$42*$U$42,0)</f>
        <v/>
      </c>
      <c r="AJ42" t="n">
        <v>43.19248826291079</v>
      </c>
      <c r="AK42">
        <f>IF($Q$42,$M$42*$AC$42*$U$42,0)</f>
        <v/>
      </c>
      <c r="AL42" t="n">
        <v>43.19248826291079</v>
      </c>
      <c r="AM42">
        <f>IF($Q$42,$M$42*$AE$42*$U$42,0)</f>
        <v/>
      </c>
      <c r="AN42" t="n">
        <v>30.59467918622848</v>
      </c>
      <c r="AO42">
        <f>IF($Q$42,$M$42*$AC$42*$Y$42,0)</f>
        <v/>
      </c>
      <c r="AP42" t="n">
        <v>25.91549295774648</v>
      </c>
      <c r="AQ42">
        <f>IF($S$42,$M$42*$AG$42*$W$42,0)</f>
        <v/>
      </c>
      <c r="AR42" t="n">
        <v>0</v>
      </c>
      <c r="AS42">
        <f>IF(OR(Vu_khi!$M$42="Missile",Vu_khi!$M$42="Drone",AND(Vu_khi!$M$42="Rocket",OR(Vu_khi!$AM$42,Vu_khi!$D$42="guided")),Vu_khi!$AL$42,Vu_khi!$AK$42,Vu_khi!$X$42&lt;=0),FALSE,IF($B$42&gt;=0,$B$42&gt;=4,IF(Vu_khi!$M$42="Shell",Vu_khi!$AN$42&gt;=Canh_bao_vong!$D$10,IF(Vu_khi!$M$42="Bomb",Vu_khi!$AN$42&gt;=Canh_bao_vong!$D$3,IF(Vu_khi!$M$42="Rocket",Vu_khi!$AN$42&gt;=Canh_bao_vong!$D$13,FALSE)))))</f>
        <v/>
      </c>
      <c r="AT42" t="b">
        <v>0</v>
      </c>
      <c r="AU42">
        <f>IF(AND($B$42&lt;0,$AS$42),4,$B$42)</f>
        <v/>
      </c>
      <c r="AV42" t="n">
        <v>2</v>
      </c>
      <c r="AW42">
        <f>IF($AU$42&lt;4,0,MIN(MAX(0.5,Canh_bao_vong!$D$4),MAX(IF(Vu_khi!$C$42="cal_406",Canh_bao_vong!$D$7,IF($AU$42&gt;=5,Canh_bao_vong!$D$9,Canh_bao_vong!$D$8)),Canh_bao_vong!$D$2+MAX(0,Vu_khi!$X$42)/MAX(0.1,Canh_bao_vong!$D$5))))</f>
        <v/>
      </c>
      <c r="AX42" t="n">
        <v>0</v>
      </c>
      <c r="AY42" t="n">
        <v>0.3195</v>
      </c>
      <c r="AZ42" t="inlineStr">
        <is>
          <t>NHANH_QUA</t>
        </is>
      </c>
      <c r="BA42" t="inlineStr"/>
      <c r="BB42" t="inlineStr">
        <is>
          <t>Assets/MachineBrigade/Resources/Data/balance.json: weapons[id=boss_missiles] (lớp B trên 01_chien_dau/Vu_khi)</t>
        </is>
      </c>
      <c r="BC42" t="inlineStr"/>
    </row>
    <row r="43">
      <c r="A43" t="inlineStr">
        <is>
          <t>boss_mortar</t>
        </is>
      </c>
      <c r="B43" t="n">
        <v>4</v>
      </c>
      <c r="C43">
        <f>IF(Vu_khi!$O$43="SIMULTANEOUS",MAX(1,Vu_khi!$N$43),1)</f>
        <v/>
      </c>
      <c r="D43" t="n">
        <v>1</v>
      </c>
      <c r="E43">
        <f>IF(Vu_khi!$S$43&gt;0,Vu_khi!$S$43,Vu_khi!$P$43*$C$43)</f>
        <v/>
      </c>
      <c r="F43" t="n">
        <v>1</v>
      </c>
      <c r="G43">
        <f>IF(Vu_khi!$S$43&gt;0,(Vu_khi!$S$43-1)*Vu_khi!$R$43+Vu_khi!$T$43,Vu_khi!$R$43+(Vu_khi!$P$43-1)*Vu_khi!$Q$43)</f>
        <v/>
      </c>
      <c r="H43" t="n">
        <v>9.779999999999999</v>
      </c>
      <c r="I43">
        <f>Vu_khi!$W$43*MAX(1,$E$43)</f>
        <v/>
      </c>
      <c r="J43" t="n">
        <v>450</v>
      </c>
      <c r="K43">
        <f>IF(Vu_khi!$V$43&gt;0,Vu_khi!$V$43,MIN(28,MAX(10,Vu_khi!$U$43*Vu_khi!$R$43*0.4)))</f>
        <v/>
      </c>
      <c r="L43" t="n">
        <v>10</v>
      </c>
      <c r="M43">
        <f>IF(Vu_khi!$W$43&lt;=0,0,IF(Vu_khi!$U$43&gt;0,$I$43*Vu_khi!$U$43/(MAX(0.05,$G$43)*Vu_khi!$U$43+$K$43),$I$43/MAX(0.05,$G$43)))</f>
        <v/>
      </c>
      <c r="N43" t="n">
        <v>46.01226993865031</v>
      </c>
      <c r="O43">
        <f>OR(Vu_khi!$AG$43,Vu_khi!$AB$43&gt;0,Vu_khi!$AH$43,Vu_khi!$M$43="Bomb",Vu_khi!$M$43="Drone")</f>
        <v/>
      </c>
      <c r="P43" t="b">
        <v>1</v>
      </c>
      <c r="Q43">
        <f>AND(NOT(Vu_khi!$AJ$43),OR(Vu_khi!$AC$43="Ground",Vu_khi!$AC$43="All"))</f>
        <v/>
      </c>
      <c r="R43" t="b">
        <v>1</v>
      </c>
      <c r="S43">
        <f>AND(NOT(Vu_khi!$AJ$43),OR(Vu_khi!$AC$43="Air",Vu_khi!$AC$43="All"))</f>
        <v/>
      </c>
      <c r="T43" t="b">
        <v>0</v>
      </c>
      <c r="U43">
        <f>INDEX(Bang_sat_thuong!$B$2:$B$7,MATCH(Vu_khi!$K$43,Bang_sat_thuong!$A$2:$A$7,0))</f>
        <v/>
      </c>
      <c r="V43" t="n">
        <v>1</v>
      </c>
      <c r="W43">
        <f>INDEX(Bang_sat_thuong!$C$2:$C$7,MATCH(Vu_khi!$K$43,Bang_sat_thuong!$A$2:$A$7,0))</f>
        <v/>
      </c>
      <c r="X43" t="n">
        <v>0</v>
      </c>
      <c r="Y43">
        <f>IF(AND(Vu_khi!$AI$43,Vu_khi!$K$43="HighExplosive"),MAX(He_so_toan_cuc!$D$2,INDEX(Bang_sat_thuong!$D$2:$D$7,MATCH(Vu_khi!$K$43,Bang_sat_thuong!$A$2:$A$7,0))),INDEX(Bang_sat_thuong!$D$2:$D$7,MATCH(Vu_khi!$K$43,Bang_sat_thuong!$A$2:$A$7,0)))</f>
        <v/>
      </c>
      <c r="Z43" t="n">
        <v>1.5</v>
      </c>
      <c r="AA43">
        <f>INDEX(Bang_xuyen_giap!$C$2:$C$7,MIN(6,MAX(1,IF($O$43,MAX(1,2-(Vu_khi!$L$43-0)),2-(Vu_khi!$L$43-0))+1)))</f>
        <v/>
      </c>
      <c r="AB43" t="n">
        <v>1</v>
      </c>
      <c r="AC43">
        <f>INDEX(Bang_xuyen_giap!$C$2:$C$7,MIN(6,MAX(1,IF($O$43,MAX(1,2-(Vu_khi!$L$43-2)),2-(Vu_khi!$L$43-2))+1)))</f>
        <v/>
      </c>
      <c r="AD43" t="n">
        <v>1</v>
      </c>
      <c r="AE43">
        <f>INDEX(Bang_xuyen_giap!$C$2:$C$7,MIN(6,MAX(1,IF($O$43,MAX(1,2-(Vu_khi!$L$43-4)),2-(Vu_khi!$L$43-4))+1)))</f>
        <v/>
      </c>
      <c r="AF43" t="n">
        <v>0.85</v>
      </c>
      <c r="AG43">
        <f>INDEX(Bang_xuyen_giap!$C$2:$C$7,MIN(6,MAX(1,MAX(1,2-(Vu_khi!$L$43-0))+1)))</f>
        <v/>
      </c>
      <c r="AH43" t="n">
        <v>1</v>
      </c>
      <c r="AI43">
        <f>IF($Q$43,$M$43*$AA$43*$U$43,0)</f>
        <v/>
      </c>
      <c r="AJ43" t="n">
        <v>46.01226993865031</v>
      </c>
      <c r="AK43">
        <f>IF($Q$43,$M$43*$AC$43*$U$43,0)</f>
        <v/>
      </c>
      <c r="AL43" t="n">
        <v>46.01226993865031</v>
      </c>
      <c r="AM43">
        <f>IF($Q$43,$M$43*$AE$43*$U$43,0)</f>
        <v/>
      </c>
      <c r="AN43" t="n">
        <v>39.11042944785277</v>
      </c>
      <c r="AO43">
        <f>IF($Q$43,$M$43*$AC$43*$Y$43,0)</f>
        <v/>
      </c>
      <c r="AP43" t="n">
        <v>69.01840490797547</v>
      </c>
      <c r="AQ43">
        <f>IF($S$43,$M$43*$AG$43*$W$43,0)</f>
        <v/>
      </c>
      <c r="AR43" t="n">
        <v>0</v>
      </c>
      <c r="AS43">
        <f>IF(OR(Vu_khi!$M$43="Missile",Vu_khi!$M$43="Drone",AND(Vu_khi!$M$43="Rocket",OR(Vu_khi!$AM$43,Vu_khi!$D$43="guided")),Vu_khi!$AL$43,Vu_khi!$AK$43,Vu_khi!$X$43&lt;=0),FALSE,IF($B$43&gt;=0,$B$43&gt;=4,IF(Vu_khi!$M$43="Shell",Vu_khi!$AN$43&gt;=Canh_bao_vong!$D$10,IF(Vu_khi!$M$43="Bomb",Vu_khi!$AN$43&gt;=Canh_bao_vong!$D$3,IF(Vu_khi!$M$43="Rocket",Vu_khi!$AN$43&gt;=Canh_bao_vong!$D$13,FALSE)))))</f>
        <v/>
      </c>
      <c r="AT43" t="b">
        <v>1</v>
      </c>
      <c r="AU43">
        <f>IF(AND($B$43&lt;0,$AS$43),4,$B$43)</f>
        <v/>
      </c>
      <c r="AV43" t="n">
        <v>4</v>
      </c>
      <c r="AW43">
        <f>IF($AU$43&lt;4,0,MIN(MAX(0.5,Canh_bao_vong!$D$4),MAX(IF(Vu_khi!$C$43="cal_406",Canh_bao_vong!$D$7,IF($AU$43&gt;=5,Canh_bao_vong!$D$9,Canh_bao_vong!$D$8)),Canh_bao_vong!$D$2+MAX(0,Vu_khi!$X$43)/MAX(0.1,Canh_bao_vong!$D$5))))</f>
        <v/>
      </c>
      <c r="AX43" t="n">
        <v>2.5</v>
      </c>
      <c r="AY43" t="n">
        <v>0.1141</v>
      </c>
      <c r="AZ43" t="inlineStr">
        <is>
          <t>NHANH_QUA</t>
        </is>
      </c>
      <c r="BA43" t="inlineStr"/>
      <c r="BB43" t="inlineStr">
        <is>
          <t>Assets/MachineBrigade/Resources/Data/balance.json: weapons[id=boss_mortar] (lớp B trên 01_chien_dau/Vu_khi)</t>
        </is>
      </c>
      <c r="BC43" t="inlineStr"/>
    </row>
    <row r="44">
      <c r="A44" t="inlineStr">
        <is>
          <t>boss_railgun</t>
        </is>
      </c>
      <c r="B44" t="n">
        <v>3</v>
      </c>
      <c r="C44">
        <f>IF(Vu_khi!$O$44="SIMULTANEOUS",MAX(1,Vu_khi!$N$44),1)</f>
        <v/>
      </c>
      <c r="D44" t="n">
        <v>1</v>
      </c>
      <c r="E44">
        <f>IF(Vu_khi!$S$44&gt;0,Vu_khi!$S$44,Vu_khi!$P$44*$C$44)</f>
        <v/>
      </c>
      <c r="F44" t="n">
        <v>1</v>
      </c>
      <c r="G44">
        <f>IF(Vu_khi!$S$44&gt;0,(Vu_khi!$S$44-1)*Vu_khi!$R$44+Vu_khi!$T$44,Vu_khi!$R$44+(Vu_khi!$P$44-1)*Vu_khi!$Q$44)</f>
        <v/>
      </c>
      <c r="H44" t="n">
        <v>8</v>
      </c>
      <c r="I44">
        <f>Vu_khi!$W$44*MAX(1,$E$44)</f>
        <v/>
      </c>
      <c r="J44" t="n">
        <v>720</v>
      </c>
      <c r="K44">
        <f>IF(Vu_khi!$V$44&gt;0,Vu_khi!$V$44,MIN(28,MAX(10,Vu_khi!$U$44*Vu_khi!$R$44*0.4)))</f>
        <v/>
      </c>
      <c r="L44" t="n">
        <v>10</v>
      </c>
      <c r="M44">
        <f>IF(Vu_khi!$W$44&lt;=0,0,IF(Vu_khi!$U$44&gt;0,$I$44*Vu_khi!$U$44/(MAX(0.05,$G$44)*Vu_khi!$U$44+$K$44),$I$44/MAX(0.05,$G$44)))</f>
        <v/>
      </c>
      <c r="N44" t="n">
        <v>90</v>
      </c>
      <c r="O44">
        <f>OR(Vu_khi!$AG$44,Vu_khi!$AB$44&gt;0,Vu_khi!$AH$44,Vu_khi!$M$44="Bomb",Vu_khi!$M$44="Drone")</f>
        <v/>
      </c>
      <c r="P44" t="b">
        <v>0</v>
      </c>
      <c r="Q44">
        <f>AND(NOT(Vu_khi!$AJ$44),OR(Vu_khi!$AC$44="Ground",Vu_khi!$AC$44="All"))</f>
        <v/>
      </c>
      <c r="R44" t="b">
        <v>1</v>
      </c>
      <c r="S44">
        <f>AND(NOT(Vu_khi!$AJ$44),OR(Vu_khi!$AC$44="Air",Vu_khi!$AC$44="All"))</f>
        <v/>
      </c>
      <c r="T44" t="b">
        <v>0</v>
      </c>
      <c r="U44">
        <f>INDEX(Bang_sat_thuong!$B$2:$B$7,MATCH(Vu_khi!$K$44,Bang_sat_thuong!$A$2:$A$7,0))</f>
        <v/>
      </c>
      <c r="V44" t="n">
        <v>1</v>
      </c>
      <c r="W44">
        <f>INDEX(Bang_sat_thuong!$C$2:$C$7,MATCH(Vu_khi!$K$44,Bang_sat_thuong!$A$2:$A$7,0))</f>
        <v/>
      </c>
      <c r="X44" t="n">
        <v>0.3</v>
      </c>
      <c r="Y44">
        <f>IF(AND(Vu_khi!$AI$44,Vu_khi!$K$44="HighExplosive"),MAX(He_so_toan_cuc!$D$2,INDEX(Bang_sat_thuong!$D$2:$D$7,MATCH(Vu_khi!$K$44,Bang_sat_thuong!$A$2:$A$7,0))),INDEX(Bang_sat_thuong!$D$2:$D$7,MATCH(Vu_khi!$K$44,Bang_sat_thuong!$A$2:$A$7,0)))</f>
        <v/>
      </c>
      <c r="Z44" t="n">
        <v>0.6</v>
      </c>
      <c r="AA44">
        <f>INDEX(Bang_xuyen_giap!$C$2:$C$7,MIN(6,MAX(1,IF($O$44,MAX(1,2-(Vu_khi!$L$44-0)),2-(Vu_khi!$L$44-0))+1)))</f>
        <v/>
      </c>
      <c r="AB44" t="n">
        <v>1.2</v>
      </c>
      <c r="AC44">
        <f>INDEX(Bang_xuyen_giap!$C$2:$C$7,MIN(6,MAX(1,IF($O$44,MAX(1,2-(Vu_khi!$L$44-2)),2-(Vu_khi!$L$44-2))+1)))</f>
        <v/>
      </c>
      <c r="AD44" t="n">
        <v>1.2</v>
      </c>
      <c r="AE44">
        <f>INDEX(Bang_xuyen_giap!$C$2:$C$7,MIN(6,MAX(1,IF($O$44,MAX(1,2-(Vu_khi!$L$44-4)),2-(Vu_khi!$L$44-4))+1)))</f>
        <v/>
      </c>
      <c r="AF44" t="n">
        <v>0.85</v>
      </c>
      <c r="AG44">
        <f>INDEX(Bang_xuyen_giap!$C$2:$C$7,MIN(6,MAX(1,MAX(1,2-(Vu_khi!$L$44-0))+1)))</f>
        <v/>
      </c>
      <c r="AH44" t="n">
        <v>1</v>
      </c>
      <c r="AI44">
        <f>IF($Q$44,$M$44*$AA$44*$U$44,0)</f>
        <v/>
      </c>
      <c r="AJ44" t="n">
        <v>108</v>
      </c>
      <c r="AK44">
        <f>IF($Q$44,$M$44*$AC$44*$U$44,0)</f>
        <v/>
      </c>
      <c r="AL44" t="n">
        <v>108</v>
      </c>
      <c r="AM44">
        <f>IF($Q$44,$M$44*$AE$44*$U$44,0)</f>
        <v/>
      </c>
      <c r="AN44" t="n">
        <v>76.5</v>
      </c>
      <c r="AO44">
        <f>IF($Q$44,$M$44*$AC$44*$Y$44,0)</f>
        <v/>
      </c>
      <c r="AP44" t="n">
        <v>64.8</v>
      </c>
      <c r="AQ44">
        <f>IF($S$44,$M$44*$AG$44*$W$44,0)</f>
        <v/>
      </c>
      <c r="AR44" t="n">
        <v>0</v>
      </c>
      <c r="AS44">
        <f>IF(OR(Vu_khi!$M$44="Missile",Vu_khi!$M$44="Drone",AND(Vu_khi!$M$44="Rocket",OR(Vu_khi!$AM$44,Vu_khi!$D$44="guided")),Vu_khi!$AL$44,Vu_khi!$AK$44,Vu_khi!$X$44&lt;=0),FALSE,IF($B$44&gt;=0,$B$44&gt;=4,IF(Vu_khi!$M$44="Shell",Vu_khi!$AN$44&gt;=Canh_bao_vong!$D$10,IF(Vu_khi!$M$44="Bomb",Vu_khi!$AN$44&gt;=Canh_bao_vong!$D$3,IF(Vu_khi!$M$44="Rocket",Vu_khi!$AN$44&gt;=Canh_bao_vong!$D$13,FALSE)))))</f>
        <v/>
      </c>
      <c r="AT44" t="b">
        <v>0</v>
      </c>
      <c r="AU44">
        <f>IF(AND($B$44&lt;0,$AS$44),4,$B$44)</f>
        <v/>
      </c>
      <c r="AV44" t="n">
        <v>3</v>
      </c>
      <c r="AW44">
        <f>IF($AU$44&lt;4,0,MIN(MAX(0.5,Canh_bao_vong!$D$4),MAX(IF(Vu_khi!$C$44="cal_406",Canh_bao_vong!$D$7,IF($AU$44&gt;=5,Canh_bao_vong!$D$9,Canh_bao_vong!$D$8)),Canh_bao_vong!$D$2+MAX(0,Vu_khi!$X$44)/MAX(0.1,Canh_bao_vong!$D$5))))</f>
        <v/>
      </c>
      <c r="AX44" t="n">
        <v>0</v>
      </c>
      <c r="AY44" t="inlineStr"/>
      <c r="AZ44" t="inlineStr">
        <is>
          <t>ok</t>
        </is>
      </c>
      <c r="BA44" t="b">
        <v>1</v>
      </c>
      <c r="BB44" t="inlineStr">
        <is>
          <t>Assets/MachineBrigade/Resources/Data/balance.json: weapons[id=boss_railgun] (lớp B trên 01_chien_dau/Vu_khi)</t>
        </is>
      </c>
      <c r="BC44" t="inlineStr"/>
    </row>
    <row r="45">
      <c r="A45" t="inlineStr">
        <is>
          <t>boss_rockets</t>
        </is>
      </c>
      <c r="B45" t="n">
        <v>3</v>
      </c>
      <c r="C45">
        <f>IF(Vu_khi!$O$45="SIMULTANEOUS",MAX(1,Vu_khi!$N$45),1)</f>
        <v/>
      </c>
      <c r="D45" t="n">
        <v>1</v>
      </c>
      <c r="E45">
        <f>IF(Vu_khi!$S$45&gt;0,Vu_khi!$S$45,Vu_khi!$P$45*$C$45)</f>
        <v/>
      </c>
      <c r="F45" t="n">
        <v>13</v>
      </c>
      <c r="G45">
        <f>IF(Vu_khi!$S$45&gt;0,(Vu_khi!$S$45-1)*Vu_khi!$R$45+Vu_khi!$T$45,Vu_khi!$R$45+(Vu_khi!$P$45-1)*Vu_khi!$Q$45)</f>
        <v/>
      </c>
      <c r="H45" t="n">
        <v>8.44</v>
      </c>
      <c r="I45">
        <f>Vu_khi!$W$45*MAX(1,$E$45)</f>
        <v/>
      </c>
      <c r="J45" t="n">
        <v>2600</v>
      </c>
      <c r="K45">
        <f>IF(Vu_khi!$V$45&gt;0,Vu_khi!$V$45,MIN(28,MAX(10,Vu_khi!$U$45*Vu_khi!$R$45*0.4)))</f>
        <v/>
      </c>
      <c r="L45" t="n">
        <v>10</v>
      </c>
      <c r="M45">
        <f>IF(Vu_khi!$W$45&lt;=0,0,IF(Vu_khi!$U$45&gt;0,$I$45*Vu_khi!$U$45/(MAX(0.05,$G$45)*Vu_khi!$U$45+$K$45),$I$45/MAX(0.05,$G$45)))</f>
        <v/>
      </c>
      <c r="N45" t="n">
        <v>308.0568720379147</v>
      </c>
      <c r="O45">
        <f>OR(Vu_khi!$AG$45,Vu_khi!$AB$45&gt;0,Vu_khi!$AH$45,Vu_khi!$M$45="Bomb",Vu_khi!$M$45="Drone")</f>
        <v/>
      </c>
      <c r="P45" t="b">
        <v>0</v>
      </c>
      <c r="Q45">
        <f>AND(NOT(Vu_khi!$AJ$45),OR(Vu_khi!$AC$45="Ground",Vu_khi!$AC$45="All"))</f>
        <v/>
      </c>
      <c r="R45" t="b">
        <v>1</v>
      </c>
      <c r="S45">
        <f>AND(NOT(Vu_khi!$AJ$45),OR(Vu_khi!$AC$45="Air",Vu_khi!$AC$45="All"))</f>
        <v/>
      </c>
      <c r="T45" t="b">
        <v>0</v>
      </c>
      <c r="U45">
        <f>INDEX(Bang_sat_thuong!$B$2:$B$7,MATCH(Vu_khi!$K$45,Bang_sat_thuong!$A$2:$A$7,0))</f>
        <v/>
      </c>
      <c r="V45" t="n">
        <v>1</v>
      </c>
      <c r="W45">
        <f>INDEX(Bang_sat_thuong!$C$2:$C$7,MATCH(Vu_khi!$K$45,Bang_sat_thuong!$A$2:$A$7,0))</f>
        <v/>
      </c>
      <c r="X45" t="n">
        <v>0</v>
      </c>
      <c r="Y45">
        <f>IF(AND(Vu_khi!$AI$45,Vu_khi!$K$45="HighExplosive"),MAX(He_so_toan_cuc!$D$2,INDEX(Bang_sat_thuong!$D$2:$D$7,MATCH(Vu_khi!$K$45,Bang_sat_thuong!$A$2:$A$7,0))),INDEX(Bang_sat_thuong!$D$2:$D$7,MATCH(Vu_khi!$K$45,Bang_sat_thuong!$A$2:$A$7,0)))</f>
        <v/>
      </c>
      <c r="Z45" t="n">
        <v>1.5</v>
      </c>
      <c r="AA45">
        <f>INDEX(Bang_xuyen_giap!$C$2:$C$7,MIN(6,MAX(1,IF($O$45,MAX(1,2-(Vu_khi!$L$45-0)),2-(Vu_khi!$L$45-0))+1)))</f>
        <v/>
      </c>
      <c r="AB45" t="n">
        <v>1.2</v>
      </c>
      <c r="AC45">
        <f>INDEX(Bang_xuyen_giap!$C$2:$C$7,MIN(6,MAX(1,IF($O$45,MAX(1,2-(Vu_khi!$L$45-2)),2-(Vu_khi!$L$45-2))+1)))</f>
        <v/>
      </c>
      <c r="AD45" t="n">
        <v>0.85</v>
      </c>
      <c r="AE45">
        <f>INDEX(Bang_xuyen_giap!$C$2:$C$7,MIN(6,MAX(1,IF($O$45,MAX(1,2-(Vu_khi!$L$45-4)),2-(Vu_khi!$L$45-4))+1)))</f>
        <v/>
      </c>
      <c r="AF45" t="n">
        <v>0.25</v>
      </c>
      <c r="AG45">
        <f>INDEX(Bang_xuyen_giap!$C$2:$C$7,MIN(6,MAX(1,MAX(1,2-(Vu_khi!$L$45-0))+1)))</f>
        <v/>
      </c>
      <c r="AH45" t="n">
        <v>1</v>
      </c>
      <c r="AI45">
        <f>IF($Q$45,$M$45*$AA$45*$U$45,0)</f>
        <v/>
      </c>
      <c r="AJ45" t="n">
        <v>369.6682464454977</v>
      </c>
      <c r="AK45">
        <f>IF($Q$45,$M$45*$AC$45*$U$45,0)</f>
        <v/>
      </c>
      <c r="AL45" t="n">
        <v>261.8483412322275</v>
      </c>
      <c r="AM45">
        <f>IF($Q$45,$M$45*$AE$45*$U$45,0)</f>
        <v/>
      </c>
      <c r="AN45" t="n">
        <v>77.01421800947868</v>
      </c>
      <c r="AO45">
        <f>IF($Q$45,$M$45*$AC$45*$Y$45,0)</f>
        <v/>
      </c>
      <c r="AP45" t="n">
        <v>392.7725118483413</v>
      </c>
      <c r="AQ45">
        <f>IF($S$45,$M$45*$AG$45*$W$45,0)</f>
        <v/>
      </c>
      <c r="AR45" t="n">
        <v>0</v>
      </c>
      <c r="AS45">
        <f>IF(OR(Vu_khi!$M$45="Missile",Vu_khi!$M$45="Drone",AND(Vu_khi!$M$45="Rocket",OR(Vu_khi!$AM$45,Vu_khi!$D$45="guided")),Vu_khi!$AL$45,Vu_khi!$AK$45,Vu_khi!$X$45&lt;=0),FALSE,IF($B$45&gt;=0,$B$45&gt;=4,IF(Vu_khi!$M$45="Shell",Vu_khi!$AN$45&gt;=Canh_bao_vong!$D$10,IF(Vu_khi!$M$45="Bomb",Vu_khi!$AN$45&gt;=Canh_bao_vong!$D$3,IF(Vu_khi!$M$45="Rocket",Vu_khi!$AN$45&gt;=Canh_bao_vong!$D$13,FALSE)))))</f>
        <v/>
      </c>
      <c r="AT45" t="b">
        <v>0</v>
      </c>
      <c r="AU45">
        <f>IF(AND($B$45&lt;0,$AS$45),4,$B$45)</f>
        <v/>
      </c>
      <c r="AV45" t="n">
        <v>3</v>
      </c>
      <c r="AW45">
        <f>IF($AU$45&lt;4,0,MIN(MAX(0.5,Canh_bao_vong!$D$4),MAX(IF(Vu_khi!$C$45="cal_406",Canh_bao_vong!$D$7,IF($AU$45&gt;=5,Canh_bao_vong!$D$9,Canh_bao_vong!$D$8)),Canh_bao_vong!$D$2+MAX(0,Vu_khi!$X$45)/MAX(0.1,Canh_bao_vong!$D$5))))</f>
        <v/>
      </c>
      <c r="AX45" t="n">
        <v>0</v>
      </c>
      <c r="AY45" t="n">
        <v>1</v>
      </c>
      <c r="AZ45" t="inlineStr">
        <is>
          <t>ok</t>
        </is>
      </c>
      <c r="BA45" t="inlineStr"/>
      <c r="BB45" t="inlineStr">
        <is>
          <t>Assets/MachineBrigade/Resources/Data/balance.json: weapons[id=boss_rockets] (lớp B trên 01_chien_dau/Vu_khi)</t>
        </is>
      </c>
      <c r="BC45" t="inlineStr"/>
    </row>
    <row r="46">
      <c r="A46" t="inlineStr">
        <is>
          <t>boss_thermo</t>
        </is>
      </c>
      <c r="B46" t="n">
        <v>3</v>
      </c>
      <c r="C46">
        <f>IF(Vu_khi!$O$46="SIMULTANEOUS",MAX(1,Vu_khi!$N$46),1)</f>
        <v/>
      </c>
      <c r="D46" t="n">
        <v>1</v>
      </c>
      <c r="E46">
        <f>IF(Vu_khi!$S$46&gt;0,Vu_khi!$S$46,Vu_khi!$P$46*$C$46)</f>
        <v/>
      </c>
      <c r="F46" t="n">
        <v>1</v>
      </c>
      <c r="G46">
        <f>IF(Vu_khi!$S$46&gt;0,(Vu_khi!$S$46-1)*Vu_khi!$R$46+Vu_khi!$T$46,Vu_khi!$R$46+(Vu_khi!$P$46-1)*Vu_khi!$Q$46)</f>
        <v/>
      </c>
      <c r="H46" t="n">
        <v>6.255</v>
      </c>
      <c r="I46">
        <f>Vu_khi!$W$46*MAX(1,$E$46)</f>
        <v/>
      </c>
      <c r="J46" t="n">
        <v>291</v>
      </c>
      <c r="K46">
        <f>IF(Vu_khi!$V$46&gt;0,Vu_khi!$V$46,MIN(28,MAX(10,Vu_khi!$U$46*Vu_khi!$R$46*0.4)))</f>
        <v/>
      </c>
      <c r="L46" t="n">
        <v>10</v>
      </c>
      <c r="M46">
        <f>IF(Vu_khi!$W$46&lt;=0,0,IF(Vu_khi!$U$46&gt;0,$I$46*Vu_khi!$U$46/(MAX(0.05,$G$46)*Vu_khi!$U$46+$K$46),$I$46/MAX(0.05,$G$46)))</f>
        <v/>
      </c>
      <c r="N46" t="n">
        <v>46.52278177458034</v>
      </c>
      <c r="O46">
        <f>OR(Vu_khi!$AG$46,Vu_khi!$AB$46&gt;0,Vu_khi!$AH$46,Vu_khi!$M$46="Bomb",Vu_khi!$M$46="Drone")</f>
        <v/>
      </c>
      <c r="P46" t="b">
        <v>0</v>
      </c>
      <c r="Q46">
        <f>AND(NOT(Vu_khi!$AJ$46),OR(Vu_khi!$AC$46="Ground",Vu_khi!$AC$46="All"))</f>
        <v/>
      </c>
      <c r="R46" t="b">
        <v>1</v>
      </c>
      <c r="S46">
        <f>AND(NOT(Vu_khi!$AJ$46),OR(Vu_khi!$AC$46="Air",Vu_khi!$AC$46="All"))</f>
        <v/>
      </c>
      <c r="T46" t="b">
        <v>0</v>
      </c>
      <c r="U46">
        <f>INDEX(Bang_sat_thuong!$B$2:$B$7,MATCH(Vu_khi!$K$46,Bang_sat_thuong!$A$2:$A$7,0))</f>
        <v/>
      </c>
      <c r="V46" t="n">
        <v>1</v>
      </c>
      <c r="W46">
        <f>INDEX(Bang_sat_thuong!$C$2:$C$7,MATCH(Vu_khi!$K$46,Bang_sat_thuong!$A$2:$A$7,0))</f>
        <v/>
      </c>
      <c r="X46" t="n">
        <v>0</v>
      </c>
      <c r="Y46">
        <f>IF(AND(Vu_khi!$AI$46,Vu_khi!$K$46="HighExplosive"),MAX(He_so_toan_cuc!$D$2,INDEX(Bang_sat_thuong!$D$2:$D$7,MATCH(Vu_khi!$K$46,Bang_sat_thuong!$A$2:$A$7,0))),INDEX(Bang_sat_thuong!$D$2:$D$7,MATCH(Vu_khi!$K$46,Bang_sat_thuong!$A$2:$A$7,0)))</f>
        <v/>
      </c>
      <c r="Z46" t="n">
        <v>2</v>
      </c>
      <c r="AA46">
        <f>INDEX(Bang_xuyen_giap!$C$2:$C$7,MIN(6,MAX(1,IF($O$46,MAX(1,2-(Vu_khi!$L$46-0)),2-(Vu_khi!$L$46-0))+1)))</f>
        <v/>
      </c>
      <c r="AB46" t="n">
        <v>1.2</v>
      </c>
      <c r="AC46">
        <f>INDEX(Bang_xuyen_giap!$C$2:$C$7,MIN(6,MAX(1,IF($O$46,MAX(1,2-(Vu_khi!$L$46-2)),2-(Vu_khi!$L$46-2))+1)))</f>
        <v/>
      </c>
      <c r="AD46" t="n">
        <v>1</v>
      </c>
      <c r="AE46">
        <f>INDEX(Bang_xuyen_giap!$C$2:$C$7,MIN(6,MAX(1,IF($O$46,MAX(1,2-(Vu_khi!$L$46-4)),2-(Vu_khi!$L$46-4))+1)))</f>
        <v/>
      </c>
      <c r="AF46" t="n">
        <v>0.5</v>
      </c>
      <c r="AG46">
        <f>INDEX(Bang_xuyen_giap!$C$2:$C$7,MIN(6,MAX(1,MAX(1,2-(Vu_khi!$L$46-0))+1)))</f>
        <v/>
      </c>
      <c r="AH46" t="n">
        <v>1</v>
      </c>
      <c r="AI46">
        <f>IF($Q$46,$M$46*$AA$46*$U$46,0)</f>
        <v/>
      </c>
      <c r="AJ46" t="n">
        <v>55.8273381294964</v>
      </c>
      <c r="AK46">
        <f>IF($Q$46,$M$46*$AC$46*$U$46,0)</f>
        <v/>
      </c>
      <c r="AL46" t="n">
        <v>46.52278177458034</v>
      </c>
      <c r="AM46">
        <f>IF($Q$46,$M$46*$AE$46*$U$46,0)</f>
        <v/>
      </c>
      <c r="AN46" t="n">
        <v>23.26139088729017</v>
      </c>
      <c r="AO46">
        <f>IF($Q$46,$M$46*$AC$46*$Y$46,0)</f>
        <v/>
      </c>
      <c r="AP46" t="n">
        <v>93.04556354916068</v>
      </c>
      <c r="AQ46">
        <f>IF($S$46,$M$46*$AG$46*$W$46,0)</f>
        <v/>
      </c>
      <c r="AR46" t="n">
        <v>0</v>
      </c>
      <c r="AS46">
        <f>IF(OR(Vu_khi!$M$46="Missile",Vu_khi!$M$46="Drone",AND(Vu_khi!$M$46="Rocket",OR(Vu_khi!$AM$46,Vu_khi!$D$46="guided")),Vu_khi!$AL$46,Vu_khi!$AK$46,Vu_khi!$X$46&lt;=0),FALSE,IF($B$46&gt;=0,$B$46&gt;=4,IF(Vu_khi!$M$46="Shell",Vu_khi!$AN$46&gt;=Canh_bao_vong!$D$10,IF(Vu_khi!$M$46="Bomb",Vu_khi!$AN$46&gt;=Canh_bao_vong!$D$3,IF(Vu_khi!$M$46="Rocket",Vu_khi!$AN$46&gt;=Canh_bao_vong!$D$13,FALSE)))))</f>
        <v/>
      </c>
      <c r="AT46" t="b">
        <v>0</v>
      </c>
      <c r="AU46">
        <f>IF(AND($B$46&lt;0,$AS$46),4,$B$46)</f>
        <v/>
      </c>
      <c r="AV46" t="n">
        <v>3</v>
      </c>
      <c r="AW46">
        <f>IF($AU$46&lt;4,0,MIN(MAX(0.5,Canh_bao_vong!$D$4),MAX(IF(Vu_khi!$C$46="cal_406",Canh_bao_vong!$D$7,IF($AU$46&gt;=5,Canh_bao_vong!$D$9,Canh_bao_vong!$D$8)),Canh_bao_vong!$D$2+MAX(0,Vu_khi!$X$46)/MAX(0.1,Canh_bao_vong!$D$5))))</f>
        <v/>
      </c>
      <c r="AX46" t="n">
        <v>0</v>
      </c>
      <c r="AY46" t="n">
        <v>0.5838</v>
      </c>
      <c r="AZ46" t="inlineStr">
        <is>
          <t>NHANH_QUA;LECH_DOT_1</t>
        </is>
      </c>
      <c r="BA46" t="b">
        <v>1</v>
      </c>
      <c r="BB46" t="inlineStr">
        <is>
          <t>Assets/MachineBrigade/Resources/Data/balance.json: weapons[id=boss_thermo] (lớp B trên 01_chien_dau/Vu_khi)</t>
        </is>
      </c>
      <c r="BC46" t="inlineStr"/>
    </row>
    <row r="47">
      <c r="A47" t="inlineStr">
        <is>
          <t>buk_launcher</t>
        </is>
      </c>
      <c r="B47" t="n">
        <v>2</v>
      </c>
      <c r="C47">
        <f>IF(Vu_khi!$O$47="SIMULTANEOUS",MAX(1,Vu_khi!$N$47),1)</f>
        <v/>
      </c>
      <c r="D47" t="n">
        <v>1</v>
      </c>
      <c r="E47">
        <f>IF(Vu_khi!$S$47&gt;0,Vu_khi!$S$47,Vu_khi!$P$47*$C$47)</f>
        <v/>
      </c>
      <c r="F47" t="n">
        <v>2</v>
      </c>
      <c r="G47">
        <f>IF(Vu_khi!$S$47&gt;0,(Vu_khi!$S$47-1)*Vu_khi!$R$47+Vu_khi!$T$47,Vu_khi!$R$47+(Vu_khi!$P$47-1)*Vu_khi!$Q$47)</f>
        <v/>
      </c>
      <c r="H47" t="n">
        <v>3.3</v>
      </c>
      <c r="I47">
        <f>Vu_khi!$W$47*MAX(1,$E$47)</f>
        <v/>
      </c>
      <c r="J47" t="n">
        <v>640</v>
      </c>
      <c r="K47">
        <f>IF(Vu_khi!$V$47&gt;0,Vu_khi!$V$47,MIN(28,MAX(10,Vu_khi!$U$47*Vu_khi!$R$47*0.4)))</f>
        <v/>
      </c>
      <c r="L47" t="n">
        <v>10</v>
      </c>
      <c r="M47">
        <f>IF(Vu_khi!$W$47&lt;=0,0,IF(Vu_khi!$U$47&gt;0,$I$47*Vu_khi!$U$47/(MAX(0.05,$G$47)*Vu_khi!$U$47+$K$47),$I$47/MAX(0.05,$G$47)))</f>
        <v/>
      </c>
      <c r="N47" t="n">
        <v>193.9393939393939</v>
      </c>
      <c r="O47">
        <f>OR(Vu_khi!$AG$47,Vu_khi!$AB$47&gt;0,Vu_khi!$AH$47,Vu_khi!$M$47="Bomb",Vu_khi!$M$47="Drone")</f>
        <v/>
      </c>
      <c r="P47" t="b">
        <v>0</v>
      </c>
      <c r="Q47">
        <f>AND(NOT(Vu_khi!$AJ$47),OR(Vu_khi!$AC$47="Ground",Vu_khi!$AC$47="All"))</f>
        <v/>
      </c>
      <c r="R47" t="b">
        <v>0</v>
      </c>
      <c r="S47">
        <f>AND(NOT(Vu_khi!$AJ$47),OR(Vu_khi!$AC$47="Air",Vu_khi!$AC$47="All"))</f>
        <v/>
      </c>
      <c r="T47" t="b">
        <v>1</v>
      </c>
      <c r="U47">
        <f>INDEX(Bang_sat_thuong!$B$2:$B$7,MATCH(Vu_khi!$K$47,Bang_sat_thuong!$A$2:$A$7,0))</f>
        <v/>
      </c>
      <c r="V47" t="n">
        <v>0.5</v>
      </c>
      <c r="W47">
        <f>INDEX(Bang_sat_thuong!$C$2:$C$7,MATCH(Vu_khi!$K$47,Bang_sat_thuong!$A$2:$A$7,0))</f>
        <v/>
      </c>
      <c r="X47" t="n">
        <v>1.3</v>
      </c>
      <c r="Y47">
        <f>IF(AND(Vu_khi!$AI$47,Vu_khi!$K$47="HighExplosive"),MAX(He_so_toan_cuc!$D$2,INDEX(Bang_sat_thuong!$D$2:$D$7,MATCH(Vu_khi!$K$47,Bang_sat_thuong!$A$2:$A$7,0))),INDEX(Bang_sat_thuong!$D$2:$D$7,MATCH(Vu_khi!$K$47,Bang_sat_thuong!$A$2:$A$7,0)))</f>
        <v/>
      </c>
      <c r="Z47" t="n">
        <v>0.1</v>
      </c>
      <c r="AA47">
        <f>INDEX(Bang_xuyen_giap!$C$2:$C$7,MIN(6,MAX(1,IF($O$47,MAX(1,2-(Vu_khi!$L$47-0)),2-(Vu_khi!$L$47-0))+1)))</f>
        <v/>
      </c>
      <c r="AB47" t="n">
        <v>1.2</v>
      </c>
      <c r="AC47">
        <f>INDEX(Bang_xuyen_giap!$C$2:$C$7,MIN(6,MAX(1,IF($O$47,MAX(1,2-(Vu_khi!$L$47-2)),2-(Vu_khi!$L$47-2))+1)))</f>
        <v/>
      </c>
      <c r="AD47" t="n">
        <v>1</v>
      </c>
      <c r="AE47">
        <f>INDEX(Bang_xuyen_giap!$C$2:$C$7,MIN(6,MAX(1,IF($O$47,MAX(1,2-(Vu_khi!$L$47-4)),2-(Vu_khi!$L$47-4))+1)))</f>
        <v/>
      </c>
      <c r="AF47" t="n">
        <v>0.5</v>
      </c>
      <c r="AG47">
        <f>INDEX(Bang_xuyen_giap!$C$2:$C$7,MIN(6,MAX(1,MAX(1,2-(Vu_khi!$L$47-0))+1)))</f>
        <v/>
      </c>
      <c r="AH47" t="n">
        <v>1</v>
      </c>
      <c r="AI47">
        <f>IF($Q$47,$M$47*$AA$47*$U$47,0)</f>
        <v/>
      </c>
      <c r="AJ47" t="n">
        <v>0</v>
      </c>
      <c r="AK47">
        <f>IF($Q$47,$M$47*$AC$47*$U$47,0)</f>
        <v/>
      </c>
      <c r="AL47" t="n">
        <v>0</v>
      </c>
      <c r="AM47">
        <f>IF($Q$47,$M$47*$AE$47*$U$47,0)</f>
        <v/>
      </c>
      <c r="AN47" t="n">
        <v>0</v>
      </c>
      <c r="AO47">
        <f>IF($Q$47,$M$47*$AC$47*$Y$47,0)</f>
        <v/>
      </c>
      <c r="AP47" t="n">
        <v>0</v>
      </c>
      <c r="AQ47">
        <f>IF($S$47,$M$47*$AG$47*$W$47,0)</f>
        <v/>
      </c>
      <c r="AR47" t="n">
        <v>252.1212121212121</v>
      </c>
      <c r="AS47">
        <f>IF(OR(Vu_khi!$M$47="Missile",Vu_khi!$M$47="Drone",AND(Vu_khi!$M$47="Rocket",OR(Vu_khi!$AM$47,Vu_khi!$D$47="guided")),Vu_khi!$AL$47,Vu_khi!$AK$47,Vu_khi!$X$47&lt;=0),FALSE,IF($B$47&gt;=0,$B$47&gt;=4,IF(Vu_khi!$M$47="Shell",Vu_khi!$AN$47&gt;=Canh_bao_vong!$D$10,IF(Vu_khi!$M$47="Bomb",Vu_khi!$AN$47&gt;=Canh_bao_vong!$D$3,IF(Vu_khi!$M$47="Rocket",Vu_khi!$AN$47&gt;=Canh_bao_vong!$D$13,FALSE)))))</f>
        <v/>
      </c>
      <c r="AT47" t="b">
        <v>0</v>
      </c>
      <c r="AU47">
        <f>IF(AND($B$47&lt;0,$AS$47),4,$B$47)</f>
        <v/>
      </c>
      <c r="AV47" t="n">
        <v>2</v>
      </c>
      <c r="AW47">
        <f>IF($AU$47&lt;4,0,MIN(MAX(0.5,Canh_bao_vong!$D$4),MAX(IF(Vu_khi!$C$47="cal_406",Canh_bao_vong!$D$7,IF($AU$47&gt;=5,Canh_bao_vong!$D$9,Canh_bao_vong!$D$8)),Canh_bao_vong!$D$2+MAX(0,Vu_khi!$X$47)/MAX(0.1,Canh_bao_vong!$D$5))))</f>
        <v/>
      </c>
      <c r="AX47" t="n">
        <v>0</v>
      </c>
      <c r="AY47" t="n">
        <v>0.4125</v>
      </c>
      <c r="AZ47" t="inlineStr">
        <is>
          <t>NHANH_QUA</t>
        </is>
      </c>
      <c r="BA47" t="inlineStr"/>
      <c r="BB47" t="inlineStr">
        <is>
          <t>Assets/MachineBrigade/Resources/Data/balance.json: weapons[id=buk_launcher] (lớp B trên 01_chien_dau/Vu_khi)</t>
        </is>
      </c>
      <c r="BC47" t="inlineStr"/>
    </row>
    <row r="48">
      <c r="A48" t="inlineStr">
        <is>
          <t>bunker_flame</t>
        </is>
      </c>
      <c r="B48" t="n">
        <v>1</v>
      </c>
      <c r="C48">
        <f>IF(Vu_khi!$O$48="SIMULTANEOUS",MAX(1,Vu_khi!$N$48),1)</f>
        <v/>
      </c>
      <c r="D48" t="n">
        <v>1</v>
      </c>
      <c r="E48">
        <f>IF(Vu_khi!$S$48&gt;0,Vu_khi!$S$48,Vu_khi!$P$48*$C$48)</f>
        <v/>
      </c>
      <c r="F48" t="n">
        <v>1</v>
      </c>
      <c r="G48">
        <f>IF(Vu_khi!$S$48&gt;0,(Vu_khi!$S$48-1)*Vu_khi!$R$48+Vu_khi!$T$48,Vu_khi!$R$48+(Vu_khi!$P$48-1)*Vu_khi!$Q$48)</f>
        <v/>
      </c>
      <c r="H48" t="n">
        <v>0.195</v>
      </c>
      <c r="I48">
        <f>Vu_khi!$W$48*MAX(1,$E$48)</f>
        <v/>
      </c>
      <c r="J48" t="n">
        <v>26</v>
      </c>
      <c r="K48">
        <f>IF(Vu_khi!$V$48&gt;0,Vu_khi!$V$48,MIN(28,MAX(10,Vu_khi!$U$48*Vu_khi!$R$48*0.4)))</f>
        <v/>
      </c>
      <c r="L48" t="n">
        <v>10</v>
      </c>
      <c r="M48">
        <f>IF(Vu_khi!$W$48&lt;=0,0,IF(Vu_khi!$U$48&gt;0,$I$48*Vu_khi!$U$48/(MAX(0.05,$G$48)*Vu_khi!$U$48+$K$48),$I$48/MAX(0.05,$G$48)))</f>
        <v/>
      </c>
      <c r="N48" t="n">
        <v>133.3333333333333</v>
      </c>
      <c r="O48">
        <f>OR(Vu_khi!$AG$48,Vu_khi!$AB$48&gt;0,Vu_khi!$AH$48,Vu_khi!$M$48="Bomb",Vu_khi!$M$48="Drone")</f>
        <v/>
      </c>
      <c r="P48" t="b">
        <v>0</v>
      </c>
      <c r="Q48">
        <f>AND(NOT(Vu_khi!$AJ$48),OR(Vu_khi!$AC$48="Ground",Vu_khi!$AC$48="All"))</f>
        <v/>
      </c>
      <c r="R48" t="b">
        <v>1</v>
      </c>
      <c r="S48">
        <f>AND(NOT(Vu_khi!$AJ$48),OR(Vu_khi!$AC$48="Air",Vu_khi!$AC$48="All"))</f>
        <v/>
      </c>
      <c r="T48" t="b">
        <v>0</v>
      </c>
      <c r="U48">
        <f>INDEX(Bang_sat_thuong!$B$2:$B$7,MATCH(Vu_khi!$K$48,Bang_sat_thuong!$A$2:$A$7,0))</f>
        <v/>
      </c>
      <c r="V48" t="n">
        <v>1.5</v>
      </c>
      <c r="W48">
        <f>INDEX(Bang_sat_thuong!$C$2:$C$7,MATCH(Vu_khi!$K$48,Bang_sat_thuong!$A$2:$A$7,0))</f>
        <v/>
      </c>
      <c r="X48" t="n">
        <v>0</v>
      </c>
      <c r="Y48">
        <f>IF(AND(Vu_khi!$AI$48,Vu_khi!$K$48="HighExplosive"),MAX(He_so_toan_cuc!$D$2,INDEX(Bang_sat_thuong!$D$2:$D$7,MATCH(Vu_khi!$K$48,Bang_sat_thuong!$A$2:$A$7,0))),INDEX(Bang_sat_thuong!$D$2:$D$7,MATCH(Vu_khi!$K$48,Bang_sat_thuong!$A$2:$A$7,0)))</f>
        <v/>
      </c>
      <c r="Z48" t="n">
        <v>1</v>
      </c>
      <c r="AA48">
        <f>INDEX(Bang_xuyen_giap!$C$2:$C$7,MIN(6,MAX(1,IF($O$48,MAX(1,2-(Vu_khi!$L$48-0)),2-(Vu_khi!$L$48-0))+1)))</f>
        <v/>
      </c>
      <c r="AB48" t="n">
        <v>1</v>
      </c>
      <c r="AC48">
        <f>INDEX(Bang_xuyen_giap!$C$2:$C$7,MIN(6,MAX(1,IF($O$48,MAX(1,2-(Vu_khi!$L$48-2)),2-(Vu_khi!$L$48-2))+1)))</f>
        <v/>
      </c>
      <c r="AD48" t="n">
        <v>0.5</v>
      </c>
      <c r="AE48">
        <f>INDEX(Bang_xuyen_giap!$C$2:$C$7,MIN(6,MAX(1,IF($O$48,MAX(1,2-(Vu_khi!$L$48-4)),2-(Vu_khi!$L$48-4))+1)))</f>
        <v/>
      </c>
      <c r="AF48" t="n">
        <v>0.1</v>
      </c>
      <c r="AG48">
        <f>INDEX(Bang_xuyen_giap!$C$2:$C$7,MIN(6,MAX(1,MAX(1,2-(Vu_khi!$L$48-0))+1)))</f>
        <v/>
      </c>
      <c r="AH48" t="n">
        <v>1</v>
      </c>
      <c r="AI48">
        <f>IF($Q$48,$M$48*$AA$48*$U$48,0)</f>
        <v/>
      </c>
      <c r="AJ48" t="n">
        <v>200</v>
      </c>
      <c r="AK48">
        <f>IF($Q$48,$M$48*$AC$48*$U$48,0)</f>
        <v/>
      </c>
      <c r="AL48" t="n">
        <v>100</v>
      </c>
      <c r="AM48">
        <f>IF($Q$48,$M$48*$AE$48*$U$48,0)</f>
        <v/>
      </c>
      <c r="AN48" t="n">
        <v>20</v>
      </c>
      <c r="AO48">
        <f>IF($Q$48,$M$48*$AC$48*$Y$48,0)</f>
        <v/>
      </c>
      <c r="AP48" t="n">
        <v>66.66666666666667</v>
      </c>
      <c r="AQ48">
        <f>IF($S$48,$M$48*$AG$48*$W$48,0)</f>
        <v/>
      </c>
      <c r="AR48" t="n">
        <v>0</v>
      </c>
      <c r="AS48">
        <f>IF(OR(Vu_khi!$M$48="Missile",Vu_khi!$M$48="Drone",AND(Vu_khi!$M$48="Rocket",OR(Vu_khi!$AM$48,Vu_khi!$D$48="guided")),Vu_khi!$AL$48,Vu_khi!$AK$48,Vu_khi!$X$48&lt;=0),FALSE,IF($B$48&gt;=0,$B$48&gt;=4,IF(Vu_khi!$M$48="Shell",Vu_khi!$AN$48&gt;=Canh_bao_vong!$D$10,IF(Vu_khi!$M$48="Bomb",Vu_khi!$AN$48&gt;=Canh_bao_vong!$D$3,IF(Vu_khi!$M$48="Rocket",Vu_khi!$AN$48&gt;=Canh_bao_vong!$D$13,FALSE)))))</f>
        <v/>
      </c>
      <c r="AT48" t="b">
        <v>0</v>
      </c>
      <c r="AU48">
        <f>IF(AND($B$48&lt;0,$AS$48),4,$B$48)</f>
        <v/>
      </c>
      <c r="AV48" t="n">
        <v>1</v>
      </c>
      <c r="AW48">
        <f>IF($AU$48&lt;4,0,MIN(MAX(0.5,Canh_bao_vong!$D$4),MAX(IF(Vu_khi!$C$48="cal_406",Canh_bao_vong!$D$7,IF($AU$48&gt;=5,Canh_bao_vong!$D$9,Canh_bao_vong!$D$8)),Canh_bao_vong!$D$2+MAX(0,Vu_khi!$X$48)/MAX(0.1,Canh_bao_vong!$D$5))))</f>
        <v/>
      </c>
      <c r="AX48" t="n">
        <v>0</v>
      </c>
      <c r="AY48" t="inlineStr"/>
      <c r="AZ48" t="inlineStr">
        <is>
          <t>ok</t>
        </is>
      </c>
      <c r="BA48" t="inlineStr"/>
      <c r="BB48" t="inlineStr">
        <is>
          <t>Assets/MachineBrigade/Resources/Data/balance.json: weapons[id=bunker_flame] (lớp B trên 01_chien_dau/Vu_khi)</t>
        </is>
      </c>
      <c r="BC48" t="inlineStr"/>
    </row>
    <row r="49">
      <c r="A49" t="inlineStr">
        <is>
          <t>bunker_hmg</t>
        </is>
      </c>
      <c r="B49" t="n">
        <v>0</v>
      </c>
      <c r="C49">
        <f>IF(Vu_khi!$O$49="SIMULTANEOUS",MAX(1,Vu_khi!$N$49),1)</f>
        <v/>
      </c>
      <c r="D49" t="n">
        <v>1</v>
      </c>
      <c r="E49">
        <f>IF(Vu_khi!$S$49&gt;0,Vu_khi!$S$49,Vu_khi!$P$49*$C$49)</f>
        <v/>
      </c>
      <c r="F49" t="n">
        <v>150</v>
      </c>
      <c r="G49">
        <f>IF(Vu_khi!$S$49&gt;0,(Vu_khi!$S$49-1)*Vu_khi!$R$49+Vu_khi!$T$49,Vu_khi!$R$49+(Vu_khi!$P$49-1)*Vu_khi!$Q$49)</f>
        <v/>
      </c>
      <c r="H49" t="n">
        <v>13.3</v>
      </c>
      <c r="I49">
        <f>Vu_khi!$W$49*MAX(1,$E$49)</f>
        <v/>
      </c>
      <c r="J49" t="n">
        <v>1425</v>
      </c>
      <c r="K49">
        <f>IF(Vu_khi!$V$49&gt;0,Vu_khi!$V$49,MIN(28,MAX(10,Vu_khi!$U$49*Vu_khi!$R$49*0.4)))</f>
        <v/>
      </c>
      <c r="L49" t="n">
        <v>10</v>
      </c>
      <c r="M49">
        <f>IF(Vu_khi!$W$49&lt;=0,0,IF(Vu_khi!$U$49&gt;0,$I$49*Vu_khi!$U$49/(MAX(0.05,$G$49)*Vu_khi!$U$49+$K$49),$I$49/MAX(0.05,$G$49)))</f>
        <v/>
      </c>
      <c r="N49" t="n">
        <v>107.1428571428571</v>
      </c>
      <c r="O49">
        <f>OR(Vu_khi!$AG$49,Vu_khi!$AB$49&gt;0,Vu_khi!$AH$49,Vu_khi!$M$49="Bomb",Vu_khi!$M$49="Drone")</f>
        <v/>
      </c>
      <c r="P49" t="b">
        <v>0</v>
      </c>
      <c r="Q49">
        <f>AND(NOT(Vu_khi!$AJ$49),OR(Vu_khi!$AC$49="Ground",Vu_khi!$AC$49="All"))</f>
        <v/>
      </c>
      <c r="R49" t="b">
        <v>1</v>
      </c>
      <c r="S49">
        <f>AND(NOT(Vu_khi!$AJ$49),OR(Vu_khi!$AC$49="Air",Vu_khi!$AC$49="All"))</f>
        <v/>
      </c>
      <c r="T49" t="b">
        <v>1</v>
      </c>
      <c r="U49">
        <f>INDEX(Bang_sat_thuong!$B$2:$B$7,MATCH(Vu_khi!$K$49,Bang_sat_thuong!$A$2:$A$7,0))</f>
        <v/>
      </c>
      <c r="V49" t="n">
        <v>1</v>
      </c>
      <c r="W49">
        <f>INDEX(Bang_sat_thuong!$C$2:$C$7,MATCH(Vu_khi!$K$49,Bang_sat_thuong!$A$2:$A$7,0))</f>
        <v/>
      </c>
      <c r="X49" t="n">
        <v>0.3</v>
      </c>
      <c r="Y49">
        <f>IF(AND(Vu_khi!$AI$49,Vu_khi!$K$49="HighExplosive"),MAX(He_so_toan_cuc!$D$2,INDEX(Bang_sat_thuong!$D$2:$D$7,MATCH(Vu_khi!$K$49,Bang_sat_thuong!$A$2:$A$7,0))),INDEX(Bang_sat_thuong!$D$2:$D$7,MATCH(Vu_khi!$K$49,Bang_sat_thuong!$A$2:$A$7,0)))</f>
        <v/>
      </c>
      <c r="Z49" t="n">
        <v>0.6</v>
      </c>
      <c r="AA49">
        <f>INDEX(Bang_xuyen_giap!$C$2:$C$7,MIN(6,MAX(1,IF($O$49,MAX(1,2-(Vu_khi!$L$49-0)),2-(Vu_khi!$L$49-0))+1)))</f>
        <v/>
      </c>
      <c r="AB49" t="n">
        <v>1</v>
      </c>
      <c r="AC49">
        <f>INDEX(Bang_xuyen_giap!$C$2:$C$7,MIN(6,MAX(1,IF($O$49,MAX(1,2-(Vu_khi!$L$49-2)),2-(Vu_khi!$L$49-2))+1)))</f>
        <v/>
      </c>
      <c r="AD49" t="n">
        <v>0.5</v>
      </c>
      <c r="AE49">
        <f>INDEX(Bang_xuyen_giap!$C$2:$C$7,MIN(6,MAX(1,IF($O$49,MAX(1,2-(Vu_khi!$L$49-4)),2-(Vu_khi!$L$49-4))+1)))</f>
        <v/>
      </c>
      <c r="AF49" t="n">
        <v>0.1</v>
      </c>
      <c r="AG49">
        <f>INDEX(Bang_xuyen_giap!$C$2:$C$7,MIN(6,MAX(1,MAX(1,2-(Vu_khi!$L$49-0))+1)))</f>
        <v/>
      </c>
      <c r="AH49" t="n">
        <v>1</v>
      </c>
      <c r="AI49">
        <f>IF($Q$49,$M$49*$AA$49*$U$49,0)</f>
        <v/>
      </c>
      <c r="AJ49" t="n">
        <v>107.1428571428571</v>
      </c>
      <c r="AK49">
        <f>IF($Q$49,$M$49*$AC$49*$U$49,0)</f>
        <v/>
      </c>
      <c r="AL49" t="n">
        <v>53.57142857142857</v>
      </c>
      <c r="AM49">
        <f>IF($Q$49,$M$49*$AE$49*$U$49,0)</f>
        <v/>
      </c>
      <c r="AN49" t="n">
        <v>10.71428571428572</v>
      </c>
      <c r="AO49">
        <f>IF($Q$49,$M$49*$AC$49*$Y$49,0)</f>
        <v/>
      </c>
      <c r="AP49" t="n">
        <v>32.14285714285714</v>
      </c>
      <c r="AQ49">
        <f>IF($S$49,$M$49*$AG$49*$W$49,0)</f>
        <v/>
      </c>
      <c r="AR49" t="n">
        <v>32.14285714285714</v>
      </c>
      <c r="AS49">
        <f>IF(OR(Vu_khi!$M$49="Missile",Vu_khi!$M$49="Drone",AND(Vu_khi!$M$49="Rocket",OR(Vu_khi!$AM$49,Vu_khi!$D$49="guided")),Vu_khi!$AL$49,Vu_khi!$AK$49,Vu_khi!$X$49&lt;=0),FALSE,IF($B$49&gt;=0,$B$49&gt;=4,IF(Vu_khi!$M$49="Shell",Vu_khi!$AN$49&gt;=Canh_bao_vong!$D$10,IF(Vu_khi!$M$49="Bomb",Vu_khi!$AN$49&gt;=Canh_bao_vong!$D$3,IF(Vu_khi!$M$49="Rocket",Vu_khi!$AN$49&gt;=Canh_bao_vong!$D$13,FALSE)))))</f>
        <v/>
      </c>
      <c r="AT49" t="b">
        <v>0</v>
      </c>
      <c r="AU49">
        <f>IF(AND($B$49&lt;0,$AS$49),4,$B$49)</f>
        <v/>
      </c>
      <c r="AV49" t="n">
        <v>0</v>
      </c>
      <c r="AW49">
        <f>IF($AU$49&lt;4,0,MIN(MAX(0.5,Canh_bao_vong!$D$4),MAX(IF(Vu_khi!$C$49="cal_406",Canh_bao_vong!$D$7,IF($AU$49&gt;=5,Canh_bao_vong!$D$9,Canh_bao_vong!$D$8)),Canh_bao_vong!$D$2+MAX(0,Vu_khi!$X$49)/MAX(0.1,Canh_bao_vong!$D$5))))</f>
        <v/>
      </c>
      <c r="AX49" t="n">
        <v>0</v>
      </c>
      <c r="AY49" t="n">
        <v>1.182222</v>
      </c>
      <c r="AZ49" t="inlineStr">
        <is>
          <t>ok</t>
        </is>
      </c>
      <c r="BA49" t="inlineStr"/>
      <c r="BB49" t="inlineStr">
        <is>
          <t>Assets/MachineBrigade/Resources/Data/balance.json: weapons[id=bunker_hmg] (lớp B trên 01_chien_dau/Vu_khi)</t>
        </is>
      </c>
      <c r="BC49" t="inlineStr"/>
    </row>
    <row r="50">
      <c r="A50" t="inlineStr">
        <is>
          <t>bunker_hmg_api</t>
        </is>
      </c>
      <c r="B50" t="n">
        <v>0</v>
      </c>
      <c r="C50">
        <f>IF(Vu_khi!$O$50="SIMULTANEOUS",MAX(1,Vu_khi!$N$50),1)</f>
        <v/>
      </c>
      <c r="D50" t="n">
        <v>1</v>
      </c>
      <c r="E50">
        <f>IF(Vu_khi!$S$50&gt;0,Vu_khi!$S$50,Vu_khi!$P$50*$C$50)</f>
        <v/>
      </c>
      <c r="F50" t="n">
        <v>150</v>
      </c>
      <c r="G50">
        <f>IF(Vu_khi!$S$50&gt;0,(Vu_khi!$S$50-1)*Vu_khi!$R$50+Vu_khi!$T$50,Vu_khi!$R$50+(Vu_khi!$P$50-1)*Vu_khi!$Q$50)</f>
        <v/>
      </c>
      <c r="H50" t="n">
        <v>13.3</v>
      </c>
      <c r="I50">
        <f>Vu_khi!$W$50*MAX(1,$E$50)</f>
        <v/>
      </c>
      <c r="J50" t="n">
        <v>1425</v>
      </c>
      <c r="K50">
        <f>IF(Vu_khi!$V$50&gt;0,Vu_khi!$V$50,MIN(28,MAX(10,Vu_khi!$U$50*Vu_khi!$R$50*0.4)))</f>
        <v/>
      </c>
      <c r="L50" t="n">
        <v>10</v>
      </c>
      <c r="M50">
        <f>IF(Vu_khi!$W$50&lt;=0,0,IF(Vu_khi!$U$50&gt;0,$I$50*Vu_khi!$U$50/(MAX(0.05,$G$50)*Vu_khi!$U$50+$K$50),$I$50/MAX(0.05,$G$50)))</f>
        <v/>
      </c>
      <c r="N50" t="n">
        <v>107.1428571428571</v>
      </c>
      <c r="O50">
        <f>OR(Vu_khi!$AG$50,Vu_khi!$AB$50&gt;0,Vu_khi!$AH$50,Vu_khi!$M$50="Bomb",Vu_khi!$M$50="Drone")</f>
        <v/>
      </c>
      <c r="P50" t="b">
        <v>0</v>
      </c>
      <c r="Q50">
        <f>AND(NOT(Vu_khi!$AJ$50),OR(Vu_khi!$AC$50="Ground",Vu_khi!$AC$50="All"))</f>
        <v/>
      </c>
      <c r="R50" t="b">
        <v>1</v>
      </c>
      <c r="S50">
        <f>AND(NOT(Vu_khi!$AJ$50),OR(Vu_khi!$AC$50="Air",Vu_khi!$AC$50="All"))</f>
        <v/>
      </c>
      <c r="T50" t="b">
        <v>1</v>
      </c>
      <c r="U50">
        <f>INDEX(Bang_sat_thuong!$B$2:$B$7,MATCH(Vu_khi!$K$50,Bang_sat_thuong!$A$2:$A$7,0))</f>
        <v/>
      </c>
      <c r="V50" t="n">
        <v>1</v>
      </c>
      <c r="W50">
        <f>INDEX(Bang_sat_thuong!$C$2:$C$7,MATCH(Vu_khi!$K$50,Bang_sat_thuong!$A$2:$A$7,0))</f>
        <v/>
      </c>
      <c r="X50" t="n">
        <v>0.3</v>
      </c>
      <c r="Y50">
        <f>IF(AND(Vu_khi!$AI$50,Vu_khi!$K$50="HighExplosive"),MAX(He_so_toan_cuc!$D$2,INDEX(Bang_sat_thuong!$D$2:$D$7,MATCH(Vu_khi!$K$50,Bang_sat_thuong!$A$2:$A$7,0))),INDEX(Bang_sat_thuong!$D$2:$D$7,MATCH(Vu_khi!$K$50,Bang_sat_thuong!$A$2:$A$7,0)))</f>
        <v/>
      </c>
      <c r="Z50" t="n">
        <v>0.6</v>
      </c>
      <c r="AA50">
        <f>INDEX(Bang_xuyen_giap!$C$2:$C$7,MIN(6,MAX(1,IF($O$50,MAX(1,2-(Vu_khi!$L$50-0)),2-(Vu_khi!$L$50-0))+1)))</f>
        <v/>
      </c>
      <c r="AB50" t="n">
        <v>1.2</v>
      </c>
      <c r="AC50">
        <f>INDEX(Bang_xuyen_giap!$C$2:$C$7,MIN(6,MAX(1,IF($O$50,MAX(1,2-(Vu_khi!$L$50-2)),2-(Vu_khi!$L$50-2))+1)))</f>
        <v/>
      </c>
      <c r="AD50" t="n">
        <v>0.85</v>
      </c>
      <c r="AE50">
        <f>INDEX(Bang_xuyen_giap!$C$2:$C$7,MIN(6,MAX(1,IF($O$50,MAX(1,2-(Vu_khi!$L$50-4)),2-(Vu_khi!$L$50-4))+1)))</f>
        <v/>
      </c>
      <c r="AF50" t="n">
        <v>0.25</v>
      </c>
      <c r="AG50">
        <f>INDEX(Bang_xuyen_giap!$C$2:$C$7,MIN(6,MAX(1,MAX(1,2-(Vu_khi!$L$50-0))+1)))</f>
        <v/>
      </c>
      <c r="AH50" t="n">
        <v>1</v>
      </c>
      <c r="AI50">
        <f>IF($Q$50,$M$50*$AA$50*$U$50,0)</f>
        <v/>
      </c>
      <c r="AJ50" t="n">
        <v>128.5714285714286</v>
      </c>
      <c r="AK50">
        <f>IF($Q$50,$M$50*$AC$50*$U$50,0)</f>
        <v/>
      </c>
      <c r="AL50" t="n">
        <v>91.07142857142857</v>
      </c>
      <c r="AM50">
        <f>IF($Q$50,$M$50*$AE$50*$U$50,0)</f>
        <v/>
      </c>
      <c r="AN50" t="n">
        <v>26.78571428571428</v>
      </c>
      <c r="AO50">
        <f>IF($Q$50,$M$50*$AC$50*$Y$50,0)</f>
        <v/>
      </c>
      <c r="AP50" t="n">
        <v>54.64285714285714</v>
      </c>
      <c r="AQ50">
        <f>IF($S$50,$M$50*$AG$50*$W$50,0)</f>
        <v/>
      </c>
      <c r="AR50" t="n">
        <v>32.14285714285714</v>
      </c>
      <c r="AS50">
        <f>IF(OR(Vu_khi!$M$50="Missile",Vu_khi!$M$50="Drone",AND(Vu_khi!$M$50="Rocket",OR(Vu_khi!$AM$50,Vu_khi!$D$50="guided")),Vu_khi!$AL$50,Vu_khi!$AK$50,Vu_khi!$X$50&lt;=0),FALSE,IF($B$50&gt;=0,$B$50&gt;=4,IF(Vu_khi!$M$50="Shell",Vu_khi!$AN$50&gt;=Canh_bao_vong!$D$10,IF(Vu_khi!$M$50="Bomb",Vu_khi!$AN$50&gt;=Canh_bao_vong!$D$3,IF(Vu_khi!$M$50="Rocket",Vu_khi!$AN$50&gt;=Canh_bao_vong!$D$13,FALSE)))))</f>
        <v/>
      </c>
      <c r="AT50" t="b">
        <v>0</v>
      </c>
      <c r="AU50">
        <f>IF(AND($B$50&lt;0,$AS$50),4,$B$50)</f>
        <v/>
      </c>
      <c r="AV50" t="n">
        <v>0</v>
      </c>
      <c r="AW50">
        <f>IF($AU$50&lt;4,0,MIN(MAX(0.5,Canh_bao_vong!$D$4),MAX(IF(Vu_khi!$C$50="cal_406",Canh_bao_vong!$D$7,IF($AU$50&gt;=5,Canh_bao_vong!$D$9,Canh_bao_vong!$D$8)),Canh_bao_vong!$D$2+MAX(0,Vu_khi!$X$50)/MAX(0.1,Canh_bao_vong!$D$5))))</f>
        <v/>
      </c>
      <c r="AX50" t="n">
        <v>0</v>
      </c>
      <c r="BB50" t="inlineStr">
        <is>
          <t>Assets/MachineBrigade/Resources/Data/balance.json: weapons[id=bunker_hmg_api] (lớp B trên 01_chien_dau/Vu_khi)</t>
        </is>
      </c>
      <c r="BC50" t="inlineStr"/>
    </row>
    <row r="51">
      <c r="A51" t="inlineStr">
        <is>
          <t>bunker_hmg_twin</t>
        </is>
      </c>
      <c r="B51" t="n">
        <v>0</v>
      </c>
      <c r="C51">
        <f>IF(Vu_khi!$O$51="SIMULTANEOUS",MAX(1,Vu_khi!$N$51),1)</f>
        <v/>
      </c>
      <c r="D51" t="n">
        <v>1</v>
      </c>
      <c r="E51">
        <f>IF(Vu_khi!$S$51&gt;0,Vu_khi!$S$51,Vu_khi!$P$51*$C$51)</f>
        <v/>
      </c>
      <c r="F51" t="n">
        <v>150</v>
      </c>
      <c r="G51">
        <f>IF(Vu_khi!$S$51&gt;0,(Vu_khi!$S$51-1)*Vu_khi!$R$51+Vu_khi!$T$51,Vu_khi!$R$51+(Vu_khi!$P$51-1)*Vu_khi!$Q$51)</f>
        <v/>
      </c>
      <c r="H51" t="n">
        <v>11.5</v>
      </c>
      <c r="I51">
        <f>Vu_khi!$W$51*MAX(1,$E$51)</f>
        <v/>
      </c>
      <c r="J51" t="n">
        <v>1425</v>
      </c>
      <c r="K51">
        <f>IF(Vu_khi!$V$51&gt;0,Vu_khi!$V$51,MIN(28,MAX(10,Vu_khi!$U$51*Vu_khi!$R$51*0.4)))</f>
        <v/>
      </c>
      <c r="L51" t="n">
        <v>10</v>
      </c>
      <c r="M51">
        <f>IF(Vu_khi!$W$51&lt;=0,0,IF(Vu_khi!$U$51&gt;0,$I$51*Vu_khi!$U$51/(MAX(0.05,$G$51)*Vu_khi!$U$51+$K$51),$I$51/MAX(0.05,$G$51)))</f>
        <v/>
      </c>
      <c r="N51" t="n">
        <v>123.9130434782609</v>
      </c>
      <c r="O51">
        <f>OR(Vu_khi!$AG$51,Vu_khi!$AB$51&gt;0,Vu_khi!$AH$51,Vu_khi!$M$51="Bomb",Vu_khi!$M$51="Drone")</f>
        <v/>
      </c>
      <c r="P51" t="b">
        <v>0</v>
      </c>
      <c r="Q51">
        <f>AND(NOT(Vu_khi!$AJ$51),OR(Vu_khi!$AC$51="Ground",Vu_khi!$AC$51="All"))</f>
        <v/>
      </c>
      <c r="R51" t="b">
        <v>1</v>
      </c>
      <c r="S51">
        <f>AND(NOT(Vu_khi!$AJ$51),OR(Vu_khi!$AC$51="Air",Vu_khi!$AC$51="All"))</f>
        <v/>
      </c>
      <c r="T51" t="b">
        <v>1</v>
      </c>
      <c r="U51">
        <f>INDEX(Bang_sat_thuong!$B$2:$B$7,MATCH(Vu_khi!$K$51,Bang_sat_thuong!$A$2:$A$7,0))</f>
        <v/>
      </c>
      <c r="V51" t="n">
        <v>1</v>
      </c>
      <c r="W51">
        <f>INDEX(Bang_sat_thuong!$C$2:$C$7,MATCH(Vu_khi!$K$51,Bang_sat_thuong!$A$2:$A$7,0))</f>
        <v/>
      </c>
      <c r="X51" t="n">
        <v>0.3</v>
      </c>
      <c r="Y51">
        <f>IF(AND(Vu_khi!$AI$51,Vu_khi!$K$51="HighExplosive"),MAX(He_so_toan_cuc!$D$2,INDEX(Bang_sat_thuong!$D$2:$D$7,MATCH(Vu_khi!$K$51,Bang_sat_thuong!$A$2:$A$7,0))),INDEX(Bang_sat_thuong!$D$2:$D$7,MATCH(Vu_khi!$K$51,Bang_sat_thuong!$A$2:$A$7,0)))</f>
        <v/>
      </c>
      <c r="Z51" t="n">
        <v>0.6</v>
      </c>
      <c r="AA51">
        <f>INDEX(Bang_xuyen_giap!$C$2:$C$7,MIN(6,MAX(1,IF($O$51,MAX(1,2-(Vu_khi!$L$51-0)),2-(Vu_khi!$L$51-0))+1)))</f>
        <v/>
      </c>
      <c r="AB51" t="n">
        <v>1</v>
      </c>
      <c r="AC51">
        <f>INDEX(Bang_xuyen_giap!$C$2:$C$7,MIN(6,MAX(1,IF($O$51,MAX(1,2-(Vu_khi!$L$51-2)),2-(Vu_khi!$L$51-2))+1)))</f>
        <v/>
      </c>
      <c r="AD51" t="n">
        <v>0.5</v>
      </c>
      <c r="AE51">
        <f>INDEX(Bang_xuyen_giap!$C$2:$C$7,MIN(6,MAX(1,IF($O$51,MAX(1,2-(Vu_khi!$L$51-4)),2-(Vu_khi!$L$51-4))+1)))</f>
        <v/>
      </c>
      <c r="AF51" t="n">
        <v>0.1</v>
      </c>
      <c r="AG51">
        <f>INDEX(Bang_xuyen_giap!$C$2:$C$7,MIN(6,MAX(1,MAX(1,2-(Vu_khi!$L$51-0))+1)))</f>
        <v/>
      </c>
      <c r="AH51" t="n">
        <v>1</v>
      </c>
      <c r="AI51">
        <f>IF($Q$51,$M$51*$AA$51*$U$51,0)</f>
        <v/>
      </c>
      <c r="AJ51" t="n">
        <v>123.9130434782609</v>
      </c>
      <c r="AK51">
        <f>IF($Q$51,$M$51*$AC$51*$U$51,0)</f>
        <v/>
      </c>
      <c r="AL51" t="n">
        <v>61.95652173913044</v>
      </c>
      <c r="AM51">
        <f>IF($Q$51,$M$51*$AE$51*$U$51,0)</f>
        <v/>
      </c>
      <c r="AN51" t="n">
        <v>12.39130434782609</v>
      </c>
      <c r="AO51">
        <f>IF($Q$51,$M$51*$AC$51*$Y$51,0)</f>
        <v/>
      </c>
      <c r="AP51" t="n">
        <v>37.17391304347826</v>
      </c>
      <c r="AQ51">
        <f>IF($S$51,$M$51*$AG$51*$W$51,0)</f>
        <v/>
      </c>
      <c r="AR51" t="n">
        <v>37.17391304347826</v>
      </c>
      <c r="AS51">
        <f>IF(OR(Vu_khi!$M$51="Missile",Vu_khi!$M$51="Drone",AND(Vu_khi!$M$51="Rocket",OR(Vu_khi!$AM$51,Vu_khi!$D$51="guided")),Vu_khi!$AL$51,Vu_khi!$AK$51,Vu_khi!$X$51&lt;=0),FALSE,IF($B$51&gt;=0,$B$51&gt;=4,IF(Vu_khi!$M$51="Shell",Vu_khi!$AN$51&gt;=Canh_bao_vong!$D$10,IF(Vu_khi!$M$51="Bomb",Vu_khi!$AN$51&gt;=Canh_bao_vong!$D$3,IF(Vu_khi!$M$51="Rocket",Vu_khi!$AN$51&gt;=Canh_bao_vong!$D$13,FALSE)))))</f>
        <v/>
      </c>
      <c r="AT51" t="b">
        <v>0</v>
      </c>
      <c r="AU51">
        <f>IF(AND($B$51&lt;0,$AS$51),4,$B$51)</f>
        <v/>
      </c>
      <c r="AV51" t="n">
        <v>0</v>
      </c>
      <c r="AW51">
        <f>IF($AU$51&lt;4,0,MIN(MAX(0.5,Canh_bao_vong!$D$4),MAX(IF(Vu_khi!$C$51="cal_406",Canh_bao_vong!$D$7,IF($AU$51&gt;=5,Canh_bao_vong!$D$9,Canh_bao_vong!$D$8)),Canh_bao_vong!$D$2+MAX(0,Vu_khi!$X$51)/MAX(0.1,Canh_bao_vong!$D$5))))</f>
        <v/>
      </c>
      <c r="AX51" t="n">
        <v>0</v>
      </c>
      <c r="AY51" t="n">
        <v>2.044444</v>
      </c>
      <c r="AZ51" t="inlineStr">
        <is>
          <t>ok</t>
        </is>
      </c>
      <c r="BA51" t="inlineStr"/>
      <c r="BB51" t="inlineStr">
        <is>
          <t>Assets/MachineBrigade/Resources/Data/balance.json: weapons[id=bunker_hmg_twin] (lớp B trên 01_chien_dau/Vu_khi)</t>
        </is>
      </c>
      <c r="BC51" t="inlineStr"/>
    </row>
    <row r="52">
      <c r="A52" t="inlineStr">
        <is>
          <t>bunker_hmg_twin_api</t>
        </is>
      </c>
      <c r="B52" t="n">
        <v>0</v>
      </c>
      <c r="C52">
        <f>IF(Vu_khi!$O$52="SIMULTANEOUS",MAX(1,Vu_khi!$N$52),1)</f>
        <v/>
      </c>
      <c r="D52" t="n">
        <v>1</v>
      </c>
      <c r="E52">
        <f>IF(Vu_khi!$S$52&gt;0,Vu_khi!$S$52,Vu_khi!$P$52*$C$52)</f>
        <v/>
      </c>
      <c r="F52" t="n">
        <v>150</v>
      </c>
      <c r="G52">
        <f>IF(Vu_khi!$S$52&gt;0,(Vu_khi!$S$52-1)*Vu_khi!$R$52+Vu_khi!$T$52,Vu_khi!$R$52+(Vu_khi!$P$52-1)*Vu_khi!$Q$52)</f>
        <v/>
      </c>
      <c r="H52" t="n">
        <v>11.5</v>
      </c>
      <c r="I52">
        <f>Vu_khi!$W$52*MAX(1,$E$52)</f>
        <v/>
      </c>
      <c r="J52" t="n">
        <v>1425</v>
      </c>
      <c r="K52">
        <f>IF(Vu_khi!$V$52&gt;0,Vu_khi!$V$52,MIN(28,MAX(10,Vu_khi!$U$52*Vu_khi!$R$52*0.4)))</f>
        <v/>
      </c>
      <c r="L52" t="n">
        <v>10</v>
      </c>
      <c r="M52">
        <f>IF(Vu_khi!$W$52&lt;=0,0,IF(Vu_khi!$U$52&gt;0,$I$52*Vu_khi!$U$52/(MAX(0.05,$G$52)*Vu_khi!$U$52+$K$52),$I$52/MAX(0.05,$G$52)))</f>
        <v/>
      </c>
      <c r="N52" t="n">
        <v>123.9130434782609</v>
      </c>
      <c r="O52">
        <f>OR(Vu_khi!$AG$52,Vu_khi!$AB$52&gt;0,Vu_khi!$AH$52,Vu_khi!$M$52="Bomb",Vu_khi!$M$52="Drone")</f>
        <v/>
      </c>
      <c r="P52" t="b">
        <v>0</v>
      </c>
      <c r="Q52">
        <f>AND(NOT(Vu_khi!$AJ$52),OR(Vu_khi!$AC$52="Ground",Vu_khi!$AC$52="All"))</f>
        <v/>
      </c>
      <c r="R52" t="b">
        <v>1</v>
      </c>
      <c r="S52">
        <f>AND(NOT(Vu_khi!$AJ$52),OR(Vu_khi!$AC$52="Air",Vu_khi!$AC$52="All"))</f>
        <v/>
      </c>
      <c r="T52" t="b">
        <v>1</v>
      </c>
      <c r="U52">
        <f>INDEX(Bang_sat_thuong!$B$2:$B$7,MATCH(Vu_khi!$K$52,Bang_sat_thuong!$A$2:$A$7,0))</f>
        <v/>
      </c>
      <c r="V52" t="n">
        <v>1</v>
      </c>
      <c r="W52">
        <f>INDEX(Bang_sat_thuong!$C$2:$C$7,MATCH(Vu_khi!$K$52,Bang_sat_thuong!$A$2:$A$7,0))</f>
        <v/>
      </c>
      <c r="X52" t="n">
        <v>0.3</v>
      </c>
      <c r="Y52">
        <f>IF(AND(Vu_khi!$AI$52,Vu_khi!$K$52="HighExplosive"),MAX(He_so_toan_cuc!$D$2,INDEX(Bang_sat_thuong!$D$2:$D$7,MATCH(Vu_khi!$K$52,Bang_sat_thuong!$A$2:$A$7,0))),INDEX(Bang_sat_thuong!$D$2:$D$7,MATCH(Vu_khi!$K$52,Bang_sat_thuong!$A$2:$A$7,0)))</f>
        <v/>
      </c>
      <c r="Z52" t="n">
        <v>0.6</v>
      </c>
      <c r="AA52">
        <f>INDEX(Bang_xuyen_giap!$C$2:$C$7,MIN(6,MAX(1,IF($O$52,MAX(1,2-(Vu_khi!$L$52-0)),2-(Vu_khi!$L$52-0))+1)))</f>
        <v/>
      </c>
      <c r="AB52" t="n">
        <v>1.2</v>
      </c>
      <c r="AC52">
        <f>INDEX(Bang_xuyen_giap!$C$2:$C$7,MIN(6,MAX(1,IF($O$52,MAX(1,2-(Vu_khi!$L$52-2)),2-(Vu_khi!$L$52-2))+1)))</f>
        <v/>
      </c>
      <c r="AD52" t="n">
        <v>0.85</v>
      </c>
      <c r="AE52">
        <f>INDEX(Bang_xuyen_giap!$C$2:$C$7,MIN(6,MAX(1,IF($O$52,MAX(1,2-(Vu_khi!$L$52-4)),2-(Vu_khi!$L$52-4))+1)))</f>
        <v/>
      </c>
      <c r="AF52" t="n">
        <v>0.25</v>
      </c>
      <c r="AG52">
        <f>INDEX(Bang_xuyen_giap!$C$2:$C$7,MIN(6,MAX(1,MAX(1,2-(Vu_khi!$L$52-0))+1)))</f>
        <v/>
      </c>
      <c r="AH52" t="n">
        <v>1</v>
      </c>
      <c r="AI52">
        <f>IF($Q$52,$M$52*$AA$52*$U$52,0)</f>
        <v/>
      </c>
      <c r="AJ52" t="n">
        <v>148.695652173913</v>
      </c>
      <c r="AK52">
        <f>IF($Q$52,$M$52*$AC$52*$U$52,0)</f>
        <v/>
      </c>
      <c r="AL52" t="n">
        <v>105.3260869565217</v>
      </c>
      <c r="AM52">
        <f>IF($Q$52,$M$52*$AE$52*$U$52,0)</f>
        <v/>
      </c>
      <c r="AN52" t="n">
        <v>30.97826086956522</v>
      </c>
      <c r="AO52">
        <f>IF($Q$52,$M$52*$AC$52*$Y$52,0)</f>
        <v/>
      </c>
      <c r="AP52" t="n">
        <v>63.19565217391305</v>
      </c>
      <c r="AQ52">
        <f>IF($S$52,$M$52*$AG$52*$W$52,0)</f>
        <v/>
      </c>
      <c r="AR52" t="n">
        <v>37.17391304347826</v>
      </c>
      <c r="AS52">
        <f>IF(OR(Vu_khi!$M$52="Missile",Vu_khi!$M$52="Drone",AND(Vu_khi!$M$52="Rocket",OR(Vu_khi!$AM$52,Vu_khi!$D$52="guided")),Vu_khi!$AL$52,Vu_khi!$AK$52,Vu_khi!$X$52&lt;=0),FALSE,IF($B$52&gt;=0,$B$52&gt;=4,IF(Vu_khi!$M$52="Shell",Vu_khi!$AN$52&gt;=Canh_bao_vong!$D$10,IF(Vu_khi!$M$52="Bomb",Vu_khi!$AN$52&gt;=Canh_bao_vong!$D$3,IF(Vu_khi!$M$52="Rocket",Vu_khi!$AN$52&gt;=Canh_bao_vong!$D$13,FALSE)))))</f>
        <v/>
      </c>
      <c r="AT52" t="b">
        <v>0</v>
      </c>
      <c r="AU52">
        <f>IF(AND($B$52&lt;0,$AS$52),4,$B$52)</f>
        <v/>
      </c>
      <c r="AV52" t="n">
        <v>0</v>
      </c>
      <c r="AW52">
        <f>IF($AU$52&lt;4,0,MIN(MAX(0.5,Canh_bao_vong!$D$4),MAX(IF(Vu_khi!$C$52="cal_406",Canh_bao_vong!$D$7,IF($AU$52&gt;=5,Canh_bao_vong!$D$9,Canh_bao_vong!$D$8)),Canh_bao_vong!$D$2+MAX(0,Vu_khi!$X$52)/MAX(0.1,Canh_bao_vong!$D$5))))</f>
        <v/>
      </c>
      <c r="AX52" t="n">
        <v>0</v>
      </c>
      <c r="BB52" t="inlineStr">
        <is>
          <t>Assets/MachineBrigade/Resources/Data/balance.json: weapons[id=bunker_hmg_twin_api] (lớp B trên 01_chien_dau/Vu_khi)</t>
        </is>
      </c>
      <c r="BC52" t="inlineStr"/>
    </row>
    <row r="53">
      <c r="A53" t="inlineStr">
        <is>
          <t>bunker_pkm</t>
        </is>
      </c>
      <c r="B53" t="n">
        <v>0</v>
      </c>
      <c r="C53">
        <f>IF(Vu_khi!$O$53="SIMULTANEOUS",MAX(1,Vu_khi!$N$53),1)</f>
        <v/>
      </c>
      <c r="D53" t="n">
        <v>1</v>
      </c>
      <c r="E53">
        <f>IF(Vu_khi!$S$53&gt;0,Vu_khi!$S$53,Vu_khi!$P$53*$C$53)</f>
        <v/>
      </c>
      <c r="F53" t="n">
        <v>100</v>
      </c>
      <c r="G53">
        <f>IF(Vu_khi!$S$53&gt;0,(Vu_khi!$S$53-1)*Vu_khi!$R$53+Vu_khi!$T$53,Vu_khi!$R$53+(Vu_khi!$P$53-1)*Vu_khi!$Q$53)</f>
        <v/>
      </c>
      <c r="H53" t="n">
        <v>15.108</v>
      </c>
      <c r="I53">
        <f>Vu_khi!$W$53*MAX(1,$E$53)</f>
        <v/>
      </c>
      <c r="J53" t="n">
        <v>160</v>
      </c>
      <c r="K53">
        <f>IF(Vu_khi!$V$53&gt;0,Vu_khi!$V$53,MIN(28,MAX(10,Vu_khi!$U$53*Vu_khi!$R$53*0.4)))</f>
        <v/>
      </c>
      <c r="L53" t="n">
        <v>10</v>
      </c>
      <c r="M53">
        <f>IF(Vu_khi!$W$53&lt;=0,0,IF(Vu_khi!$U$53&gt;0,$I$53*Vu_khi!$U$53/(MAX(0.05,$G$53)*Vu_khi!$U$53+$K$53),$I$53/MAX(0.05,$G$53)))</f>
        <v/>
      </c>
      <c r="N53" t="n">
        <v>10.5904156738152</v>
      </c>
      <c r="O53">
        <f>OR(Vu_khi!$AG$53,Vu_khi!$AB$53&gt;0,Vu_khi!$AH$53,Vu_khi!$M$53="Bomb",Vu_khi!$M$53="Drone")</f>
        <v/>
      </c>
      <c r="P53" t="b">
        <v>0</v>
      </c>
      <c r="Q53">
        <f>AND(NOT(Vu_khi!$AJ$53),OR(Vu_khi!$AC$53="Ground",Vu_khi!$AC$53="All"))</f>
        <v/>
      </c>
      <c r="R53" t="b">
        <v>1</v>
      </c>
      <c r="S53">
        <f>AND(NOT(Vu_khi!$AJ$53),OR(Vu_khi!$AC$53="Air",Vu_khi!$AC$53="All"))</f>
        <v/>
      </c>
      <c r="T53" t="b">
        <v>1</v>
      </c>
      <c r="U53">
        <f>INDEX(Bang_sat_thuong!$B$2:$B$7,MATCH(Vu_khi!$K$53,Bang_sat_thuong!$A$2:$A$7,0))</f>
        <v/>
      </c>
      <c r="V53" t="n">
        <v>1</v>
      </c>
      <c r="W53">
        <f>INDEX(Bang_sat_thuong!$C$2:$C$7,MATCH(Vu_khi!$K$53,Bang_sat_thuong!$A$2:$A$7,0))</f>
        <v/>
      </c>
      <c r="X53" t="n">
        <v>0.3</v>
      </c>
      <c r="Y53">
        <f>IF(AND(Vu_khi!$AI$53,Vu_khi!$K$53="HighExplosive"),MAX(He_so_toan_cuc!$D$2,INDEX(Bang_sat_thuong!$D$2:$D$7,MATCH(Vu_khi!$K$53,Bang_sat_thuong!$A$2:$A$7,0))),INDEX(Bang_sat_thuong!$D$2:$D$7,MATCH(Vu_khi!$K$53,Bang_sat_thuong!$A$2:$A$7,0)))</f>
        <v/>
      </c>
      <c r="Z53" t="n">
        <v>0.6</v>
      </c>
      <c r="AA53">
        <f>INDEX(Bang_xuyen_giap!$C$2:$C$7,MIN(6,MAX(1,IF($O$53,MAX(1,2-(Vu_khi!$L$53-0)),2-(Vu_khi!$L$53-0))+1)))</f>
        <v/>
      </c>
      <c r="AB53" t="n">
        <v>0.85</v>
      </c>
      <c r="AC53">
        <f>INDEX(Bang_xuyen_giap!$C$2:$C$7,MIN(6,MAX(1,IF($O$53,MAX(1,2-(Vu_khi!$L$53-2)),2-(Vu_khi!$L$53-2))+1)))</f>
        <v/>
      </c>
      <c r="AD53" t="n">
        <v>0.25</v>
      </c>
      <c r="AE53">
        <f>INDEX(Bang_xuyen_giap!$C$2:$C$7,MIN(6,MAX(1,IF($O$53,MAX(1,2-(Vu_khi!$L$53-4)),2-(Vu_khi!$L$53-4))+1)))</f>
        <v/>
      </c>
      <c r="AF53" t="n">
        <v>0.1</v>
      </c>
      <c r="AG53">
        <f>INDEX(Bang_xuyen_giap!$C$2:$C$7,MIN(6,MAX(1,MAX(1,2-(Vu_khi!$L$53-0))+1)))</f>
        <v/>
      </c>
      <c r="AH53" t="n">
        <v>0.85</v>
      </c>
      <c r="AI53">
        <f>IF($Q$53,$M$53*$AA$53*$U$53,0)</f>
        <v/>
      </c>
      <c r="AJ53" t="n">
        <v>9.001853322742917</v>
      </c>
      <c r="AK53">
        <f>IF($Q$53,$M$53*$AC$53*$U$53,0)</f>
        <v/>
      </c>
      <c r="AL53" t="n">
        <v>2.647603918453799</v>
      </c>
      <c r="AM53">
        <f>IF($Q$53,$M$53*$AE$53*$U$53,0)</f>
        <v/>
      </c>
      <c r="AN53" t="n">
        <v>1.05904156738152</v>
      </c>
      <c r="AO53">
        <f>IF($Q$53,$M$53*$AC$53*$Y$53,0)</f>
        <v/>
      </c>
      <c r="AP53" t="n">
        <v>1.588562351072279</v>
      </c>
      <c r="AQ53">
        <f>IF($S$53,$M$53*$AG$53*$W$53,0)</f>
        <v/>
      </c>
      <c r="AR53" t="n">
        <v>2.700555996822875</v>
      </c>
      <c r="AS53">
        <f>IF(OR(Vu_khi!$M$53="Missile",Vu_khi!$M$53="Drone",AND(Vu_khi!$M$53="Rocket",OR(Vu_khi!$AM$53,Vu_khi!$D$53="guided")),Vu_khi!$AL$53,Vu_khi!$AK$53,Vu_khi!$X$53&lt;=0),FALSE,IF($B$53&gt;=0,$B$53&gt;=4,IF(Vu_khi!$M$53="Shell",Vu_khi!$AN$53&gt;=Canh_bao_vong!$D$10,IF(Vu_khi!$M$53="Bomb",Vu_khi!$AN$53&gt;=Canh_bao_vong!$D$3,IF(Vu_khi!$M$53="Rocket",Vu_khi!$AN$53&gt;=Canh_bao_vong!$D$13,FALSE)))))</f>
        <v/>
      </c>
      <c r="AT53" t="b">
        <v>0</v>
      </c>
      <c r="AU53">
        <f>IF(AND($B$53&lt;0,$AS$53),4,$B$53)</f>
        <v/>
      </c>
      <c r="AV53" t="n">
        <v>0</v>
      </c>
      <c r="AW53">
        <f>IF($AU$53&lt;4,0,MIN(MAX(0.5,Canh_bao_vong!$D$4),MAX(IF(Vu_khi!$C$53="cal_406",Canh_bao_vong!$D$7,IF($AU$53&gt;=5,Canh_bao_vong!$D$9,Canh_bao_vong!$D$8)),Canh_bao_vong!$D$2+MAX(0,Vu_khi!$X$53)/MAX(0.1,Canh_bao_vong!$D$5))))</f>
        <v/>
      </c>
      <c r="AX53" t="n">
        <v>0</v>
      </c>
      <c r="AY53" t="inlineStr"/>
      <c r="AZ53" t="inlineStr">
        <is>
          <t>LECH_DOT_1</t>
        </is>
      </c>
      <c r="BA53" t="inlineStr"/>
      <c r="BB53" t="inlineStr">
        <is>
          <t>Assets/MachineBrigade/Resources/Data/balance.json: weapons[id=bunker_pkm] (lớp B trên 01_chien_dau/Vu_khi)</t>
        </is>
      </c>
      <c r="BC53" t="inlineStr"/>
    </row>
    <row r="54">
      <c r="A54" t="inlineStr">
        <is>
          <t>c_ram_gatling</t>
        </is>
      </c>
      <c r="B54" t="n">
        <v>1</v>
      </c>
      <c r="C54">
        <f>IF(Vu_khi!$O$54="SIMULTANEOUS",MAX(1,Vu_khi!$N$54),1)</f>
        <v/>
      </c>
      <c r="D54" t="n">
        <v>1</v>
      </c>
      <c r="E54">
        <f>IF(Vu_khi!$S$54&gt;0,Vu_khi!$S$54,Vu_khi!$P$54*$C$54)</f>
        <v/>
      </c>
      <c r="F54" t="n">
        <v>200</v>
      </c>
      <c r="G54">
        <f>IF(Vu_khi!$S$54&gt;0,(Vu_khi!$S$54-1)*Vu_khi!$R$54+Vu_khi!$T$54,Vu_khi!$R$54+(Vu_khi!$P$54-1)*Vu_khi!$Q$54)</f>
        <v/>
      </c>
      <c r="H54" t="n">
        <v>7</v>
      </c>
      <c r="I54">
        <f>Vu_khi!$W$54*MAX(1,$E$54)</f>
        <v/>
      </c>
      <c r="J54" t="n">
        <v>400</v>
      </c>
      <c r="K54">
        <f>IF(Vu_khi!$V$54&gt;0,Vu_khi!$V$54,MIN(28,MAX(10,Vu_khi!$U$54*Vu_khi!$R$54*0.4)))</f>
        <v/>
      </c>
      <c r="L54" t="n">
        <v>10</v>
      </c>
      <c r="M54">
        <f>IF(Vu_khi!$W$54&lt;=0,0,IF(Vu_khi!$U$54&gt;0,$I$54*Vu_khi!$U$54/(MAX(0.05,$G$54)*Vu_khi!$U$54+$K$54),$I$54/MAX(0.05,$G$54)))</f>
        <v/>
      </c>
      <c r="N54" t="n">
        <v>57.14285714285715</v>
      </c>
      <c r="O54">
        <f>OR(Vu_khi!$AG$54,Vu_khi!$AB$54&gt;0,Vu_khi!$AH$54,Vu_khi!$M$54="Bomb",Vu_khi!$M$54="Drone")</f>
        <v/>
      </c>
      <c r="P54" t="b">
        <v>0</v>
      </c>
      <c r="Q54">
        <f>AND(NOT(Vu_khi!$AJ$54),OR(Vu_khi!$AC$54="Ground",Vu_khi!$AC$54="All"))</f>
        <v/>
      </c>
      <c r="R54" t="b">
        <v>0</v>
      </c>
      <c r="S54">
        <f>AND(NOT(Vu_khi!$AJ$54),OR(Vu_khi!$AC$54="Air",Vu_khi!$AC$54="All"))</f>
        <v/>
      </c>
      <c r="T54" t="b">
        <v>0</v>
      </c>
      <c r="U54">
        <f>INDEX(Bang_sat_thuong!$B$2:$B$7,MATCH(Vu_khi!$K$54,Bang_sat_thuong!$A$2:$A$7,0))</f>
        <v/>
      </c>
      <c r="V54" t="n">
        <v>0.5</v>
      </c>
      <c r="W54">
        <f>INDEX(Bang_sat_thuong!$C$2:$C$7,MATCH(Vu_khi!$K$54,Bang_sat_thuong!$A$2:$A$7,0))</f>
        <v/>
      </c>
      <c r="X54" t="n">
        <v>1.3</v>
      </c>
      <c r="Y54">
        <f>IF(AND(Vu_khi!$AI$54,Vu_khi!$K$54="HighExplosive"),MAX(He_so_toan_cuc!$D$2,INDEX(Bang_sat_thuong!$D$2:$D$7,MATCH(Vu_khi!$K$54,Bang_sat_thuong!$A$2:$A$7,0))),INDEX(Bang_sat_thuong!$D$2:$D$7,MATCH(Vu_khi!$K$54,Bang_sat_thuong!$A$2:$A$7,0)))</f>
        <v/>
      </c>
      <c r="Z54" t="n">
        <v>0.1</v>
      </c>
      <c r="AA54">
        <f>INDEX(Bang_xuyen_giap!$C$2:$C$7,MIN(6,MAX(1,IF($O$54,MAX(1,2-(Vu_khi!$L$54-0)),2-(Vu_khi!$L$54-0))+1)))</f>
        <v/>
      </c>
      <c r="AB54" t="n">
        <v>1</v>
      </c>
      <c r="AC54">
        <f>INDEX(Bang_xuyen_giap!$C$2:$C$7,MIN(6,MAX(1,IF($O$54,MAX(1,2-(Vu_khi!$L$54-2)),2-(Vu_khi!$L$54-2))+1)))</f>
        <v/>
      </c>
      <c r="AD54" t="n">
        <v>0.5</v>
      </c>
      <c r="AE54">
        <f>INDEX(Bang_xuyen_giap!$C$2:$C$7,MIN(6,MAX(1,IF($O$54,MAX(1,2-(Vu_khi!$L$54-4)),2-(Vu_khi!$L$54-4))+1)))</f>
        <v/>
      </c>
      <c r="AF54" t="n">
        <v>0.1</v>
      </c>
      <c r="AG54">
        <f>INDEX(Bang_xuyen_giap!$C$2:$C$7,MIN(6,MAX(1,MAX(1,2-(Vu_khi!$L$54-0))+1)))</f>
        <v/>
      </c>
      <c r="AH54" t="n">
        <v>1</v>
      </c>
      <c r="AI54">
        <f>IF($Q$54,$M$54*$AA$54*$U$54,0)</f>
        <v/>
      </c>
      <c r="AJ54" t="n">
        <v>0</v>
      </c>
      <c r="AK54">
        <f>IF($Q$54,$M$54*$AC$54*$U$54,0)</f>
        <v/>
      </c>
      <c r="AL54" t="n">
        <v>0</v>
      </c>
      <c r="AM54">
        <f>IF($Q$54,$M$54*$AE$54*$U$54,0)</f>
        <v/>
      </c>
      <c r="AN54" t="n">
        <v>0</v>
      </c>
      <c r="AO54">
        <f>IF($Q$54,$M$54*$AC$54*$Y$54,0)</f>
        <v/>
      </c>
      <c r="AP54" t="n">
        <v>0</v>
      </c>
      <c r="AQ54">
        <f>IF($S$54,$M$54*$AG$54*$W$54,0)</f>
        <v/>
      </c>
      <c r="AR54" t="n">
        <v>0</v>
      </c>
      <c r="AS54">
        <f>IF(OR(Vu_khi!$M$54="Missile",Vu_khi!$M$54="Drone",AND(Vu_khi!$M$54="Rocket",OR(Vu_khi!$AM$54,Vu_khi!$D$54="guided")),Vu_khi!$AL$54,Vu_khi!$AK$54,Vu_khi!$X$54&lt;=0),FALSE,IF($B$54&gt;=0,$B$54&gt;=4,IF(Vu_khi!$M$54="Shell",Vu_khi!$AN$54&gt;=Canh_bao_vong!$D$10,IF(Vu_khi!$M$54="Bomb",Vu_khi!$AN$54&gt;=Canh_bao_vong!$D$3,IF(Vu_khi!$M$54="Rocket",Vu_khi!$AN$54&gt;=Canh_bao_vong!$D$13,FALSE)))))</f>
        <v/>
      </c>
      <c r="AT54" t="b">
        <v>0</v>
      </c>
      <c r="AU54">
        <f>IF(AND($B$54&lt;0,$AS$54),4,$B$54)</f>
        <v/>
      </c>
      <c r="AV54" t="n">
        <v>1</v>
      </c>
      <c r="AW54">
        <f>IF($AU$54&lt;4,0,MIN(MAX(0.5,Canh_bao_vong!$D$4),MAX(IF(Vu_khi!$C$54="cal_406",Canh_bao_vong!$D$7,IF($AU$54&gt;=5,Canh_bao_vong!$D$9,Canh_bao_vong!$D$8)),Canh_bao_vong!$D$2+MAX(0,Vu_khi!$X$54)/MAX(0.1,Canh_bao_vong!$D$5))))</f>
        <v/>
      </c>
      <c r="AX54" t="n">
        <v>0</v>
      </c>
      <c r="AY54" t="n">
        <v>2.625</v>
      </c>
      <c r="AZ54" t="inlineStr">
        <is>
          <t>ok</t>
        </is>
      </c>
      <c r="BA54" t="inlineStr"/>
      <c r="BB54" t="inlineStr">
        <is>
          <t>Assets/MachineBrigade/Resources/Data/balance.json: weapons[id=c_ram_gatling] (lớp B trên 01_chien_dau/Vu_khi)</t>
        </is>
      </c>
      <c r="BC54" t="inlineStr"/>
    </row>
    <row r="55">
      <c r="A55" t="inlineStr">
        <is>
          <t>casemate_155</t>
        </is>
      </c>
      <c r="B55" t="n">
        <v>3</v>
      </c>
      <c r="C55">
        <f>IF(Vu_khi!$O$55="SIMULTANEOUS",MAX(1,Vu_khi!$N$55),1)</f>
        <v/>
      </c>
      <c r="D55" t="n">
        <v>1</v>
      </c>
      <c r="E55">
        <f>IF(Vu_khi!$S$55&gt;0,Vu_khi!$S$55,Vu_khi!$P$55*$C$55)</f>
        <v/>
      </c>
      <c r="F55" t="n">
        <v>1</v>
      </c>
      <c r="G55">
        <f>IF(Vu_khi!$S$55&gt;0,(Vu_khi!$S$55-1)*Vu_khi!$R$55+Vu_khi!$T$55,Vu_khi!$R$55+(Vu_khi!$P$55-1)*Vu_khi!$Q$55)</f>
        <v/>
      </c>
      <c r="H55" t="n">
        <v>12.81</v>
      </c>
      <c r="I55">
        <f>Vu_khi!$W$55*MAX(1,$E$55)</f>
        <v/>
      </c>
      <c r="J55" t="n">
        <v>620</v>
      </c>
      <c r="K55">
        <f>IF(Vu_khi!$V$55&gt;0,Vu_khi!$V$55,MIN(28,MAX(10,Vu_khi!$U$55*Vu_khi!$R$55*0.4)))</f>
        <v/>
      </c>
      <c r="L55" t="n">
        <v>10</v>
      </c>
      <c r="M55">
        <f>IF(Vu_khi!$W$55&lt;=0,0,IF(Vu_khi!$U$55&gt;0,$I$55*Vu_khi!$U$55/(MAX(0.05,$G$55)*Vu_khi!$U$55+$K$55),$I$55/MAX(0.05,$G$55)))</f>
        <v/>
      </c>
      <c r="N55" t="n">
        <v>48.39968774395004</v>
      </c>
      <c r="O55">
        <f>OR(Vu_khi!$AG$55,Vu_khi!$AB$55&gt;0,Vu_khi!$AH$55,Vu_khi!$M$55="Bomb",Vu_khi!$M$55="Drone")</f>
        <v/>
      </c>
      <c r="P55" t="b">
        <v>1</v>
      </c>
      <c r="Q55">
        <f>AND(NOT(Vu_khi!$AJ$55),OR(Vu_khi!$AC$55="Ground",Vu_khi!$AC$55="All"))</f>
        <v/>
      </c>
      <c r="R55" t="b">
        <v>1</v>
      </c>
      <c r="S55">
        <f>AND(NOT(Vu_khi!$AJ$55),OR(Vu_khi!$AC$55="Air",Vu_khi!$AC$55="All"))</f>
        <v/>
      </c>
      <c r="T55" t="b">
        <v>0</v>
      </c>
      <c r="U55">
        <f>INDEX(Bang_sat_thuong!$B$2:$B$7,MATCH(Vu_khi!$K$55,Bang_sat_thuong!$A$2:$A$7,0))</f>
        <v/>
      </c>
      <c r="V55" t="n">
        <v>1</v>
      </c>
      <c r="W55">
        <f>INDEX(Bang_sat_thuong!$C$2:$C$7,MATCH(Vu_khi!$K$55,Bang_sat_thuong!$A$2:$A$7,0))</f>
        <v/>
      </c>
      <c r="X55" t="n">
        <v>0</v>
      </c>
      <c r="Y55">
        <f>IF(AND(Vu_khi!$AI$55,Vu_khi!$K$55="HighExplosive"),MAX(He_so_toan_cuc!$D$2,INDEX(Bang_sat_thuong!$D$2:$D$7,MATCH(Vu_khi!$K$55,Bang_sat_thuong!$A$2:$A$7,0))),INDEX(Bang_sat_thuong!$D$2:$D$7,MATCH(Vu_khi!$K$55,Bang_sat_thuong!$A$2:$A$7,0)))</f>
        <v/>
      </c>
      <c r="Z55" t="n">
        <v>1.5</v>
      </c>
      <c r="AA55">
        <f>INDEX(Bang_xuyen_giap!$C$2:$C$7,MIN(6,MAX(1,IF($O$55,MAX(1,2-(Vu_khi!$L$55-0)),2-(Vu_khi!$L$55-0))+1)))</f>
        <v/>
      </c>
      <c r="AB55" t="n">
        <v>1</v>
      </c>
      <c r="AC55">
        <f>INDEX(Bang_xuyen_giap!$C$2:$C$7,MIN(6,MAX(1,IF($O$55,MAX(1,2-(Vu_khi!$L$55-2)),2-(Vu_khi!$L$55-2))+1)))</f>
        <v/>
      </c>
      <c r="AD55" t="n">
        <v>1</v>
      </c>
      <c r="AE55">
        <f>INDEX(Bang_xuyen_giap!$C$2:$C$7,MIN(6,MAX(1,IF($O$55,MAX(1,2-(Vu_khi!$L$55-4)),2-(Vu_khi!$L$55-4))+1)))</f>
        <v/>
      </c>
      <c r="AF55" t="n">
        <v>0.5</v>
      </c>
      <c r="AG55">
        <f>INDEX(Bang_xuyen_giap!$C$2:$C$7,MIN(6,MAX(1,MAX(1,2-(Vu_khi!$L$55-0))+1)))</f>
        <v/>
      </c>
      <c r="AH55" t="n">
        <v>1</v>
      </c>
      <c r="AI55">
        <f>IF($Q$55,$M$55*$AA$55*$U$55,0)</f>
        <v/>
      </c>
      <c r="AJ55" t="n">
        <v>48.39968774395004</v>
      </c>
      <c r="AK55">
        <f>IF($Q$55,$M$55*$AC$55*$U$55,0)</f>
        <v/>
      </c>
      <c r="AL55" t="n">
        <v>48.39968774395004</v>
      </c>
      <c r="AM55">
        <f>IF($Q$55,$M$55*$AE$55*$U$55,0)</f>
        <v/>
      </c>
      <c r="AN55" t="n">
        <v>24.19984387197502</v>
      </c>
      <c r="AO55">
        <f>IF($Q$55,$M$55*$AC$55*$Y$55,0)</f>
        <v/>
      </c>
      <c r="AP55" t="n">
        <v>72.59953161592506</v>
      </c>
      <c r="AQ55">
        <f>IF($S$55,$M$55*$AG$55*$W$55,0)</f>
        <v/>
      </c>
      <c r="AR55" t="n">
        <v>0</v>
      </c>
      <c r="AS55">
        <f>IF(OR(Vu_khi!$M$55="Missile",Vu_khi!$M$55="Drone",AND(Vu_khi!$M$55="Rocket",OR(Vu_khi!$AM$55,Vu_khi!$D$55="guided")),Vu_khi!$AL$55,Vu_khi!$AK$55,Vu_khi!$X$55&lt;=0),FALSE,IF($B$55&gt;=0,$B$55&gt;=4,IF(Vu_khi!$M$55="Shell",Vu_khi!$AN$55&gt;=Canh_bao_vong!$D$10,IF(Vu_khi!$M$55="Bomb",Vu_khi!$AN$55&gt;=Canh_bao_vong!$D$3,IF(Vu_khi!$M$55="Rocket",Vu_khi!$AN$55&gt;=Canh_bao_vong!$D$13,FALSE)))))</f>
        <v/>
      </c>
      <c r="AT55" t="b">
        <v>0</v>
      </c>
      <c r="AU55">
        <f>IF(AND($B$55&lt;0,$AS$55),4,$B$55)</f>
        <v/>
      </c>
      <c r="AV55" t="n">
        <v>3</v>
      </c>
      <c r="AW55">
        <f>IF($AU$55&lt;4,0,MIN(MAX(0.5,Canh_bao_vong!$D$4),MAX(IF(Vu_khi!$C$55="cal_406",Canh_bao_vong!$D$7,IF($AU$55&gt;=5,Canh_bao_vong!$D$9,Canh_bao_vong!$D$8)),Canh_bao_vong!$D$2+MAX(0,Vu_khi!$X$55)/MAX(0.1,Canh_bao_vong!$D$5))))</f>
        <v/>
      </c>
      <c r="AX55" t="n">
        <v>0</v>
      </c>
      <c r="AY55" t="n">
        <v>0.5978</v>
      </c>
      <c r="AZ55" t="inlineStr">
        <is>
          <t>NHANH_QUA</t>
        </is>
      </c>
      <c r="BA55" t="inlineStr"/>
      <c r="BB55" t="inlineStr">
        <is>
          <t>Assets/MachineBrigade/Resources/Data/balance.json: weapons[id=casemate_155] (lớp B trên 01_chien_dau/Vu_khi)</t>
        </is>
      </c>
      <c r="BC55" t="inlineStr"/>
    </row>
    <row r="56">
      <c r="A56" t="inlineStr">
        <is>
          <t>casemate_155_guided</t>
        </is>
      </c>
      <c r="B56" t="n">
        <v>3</v>
      </c>
      <c r="C56">
        <f>IF(Vu_khi!$O$56="SIMULTANEOUS",MAX(1,Vu_khi!$N$56),1)</f>
        <v/>
      </c>
      <c r="D56" t="n">
        <v>1</v>
      </c>
      <c r="E56">
        <f>IF(Vu_khi!$S$56&gt;0,Vu_khi!$S$56,Vu_khi!$P$56*$C$56)</f>
        <v/>
      </c>
      <c r="F56" t="n">
        <v>1</v>
      </c>
      <c r="G56">
        <f>IF(Vu_khi!$S$56&gt;0,(Vu_khi!$S$56-1)*Vu_khi!$R$56+Vu_khi!$T$56,Vu_khi!$R$56+(Vu_khi!$P$56-1)*Vu_khi!$Q$56)</f>
        <v/>
      </c>
      <c r="H56" t="n">
        <v>12.81</v>
      </c>
      <c r="I56">
        <f>Vu_khi!$W$56*MAX(1,$E$56)</f>
        <v/>
      </c>
      <c r="J56" t="n">
        <v>620</v>
      </c>
      <c r="K56">
        <f>IF(Vu_khi!$V$56&gt;0,Vu_khi!$V$56,MIN(28,MAX(10,Vu_khi!$U$56*Vu_khi!$R$56*0.4)))</f>
        <v/>
      </c>
      <c r="L56" t="n">
        <v>10</v>
      </c>
      <c r="M56">
        <f>IF(Vu_khi!$W$56&lt;=0,0,IF(Vu_khi!$U$56&gt;0,$I$56*Vu_khi!$U$56/(MAX(0.05,$G$56)*Vu_khi!$U$56+$K$56),$I$56/MAX(0.05,$G$56)))</f>
        <v/>
      </c>
      <c r="N56" t="n">
        <v>48.39968774395004</v>
      </c>
      <c r="O56">
        <f>OR(Vu_khi!$AG$56,Vu_khi!$AB$56&gt;0,Vu_khi!$AH$56,Vu_khi!$M$56="Bomb",Vu_khi!$M$56="Drone")</f>
        <v/>
      </c>
      <c r="P56" t="b">
        <v>1</v>
      </c>
      <c r="Q56">
        <f>AND(NOT(Vu_khi!$AJ$56),OR(Vu_khi!$AC$56="Ground",Vu_khi!$AC$56="All"))</f>
        <v/>
      </c>
      <c r="R56" t="b">
        <v>1</v>
      </c>
      <c r="S56">
        <f>AND(NOT(Vu_khi!$AJ$56),OR(Vu_khi!$AC$56="Air",Vu_khi!$AC$56="All"))</f>
        <v/>
      </c>
      <c r="T56" t="b">
        <v>0</v>
      </c>
      <c r="U56">
        <f>INDEX(Bang_sat_thuong!$B$2:$B$7,MATCH(Vu_khi!$K$56,Bang_sat_thuong!$A$2:$A$7,0))</f>
        <v/>
      </c>
      <c r="V56" t="n">
        <v>1</v>
      </c>
      <c r="W56">
        <f>INDEX(Bang_sat_thuong!$C$2:$C$7,MATCH(Vu_khi!$K$56,Bang_sat_thuong!$A$2:$A$7,0))</f>
        <v/>
      </c>
      <c r="X56" t="n">
        <v>0</v>
      </c>
      <c r="Y56">
        <f>IF(AND(Vu_khi!$AI$56,Vu_khi!$K$56="HighExplosive"),MAX(He_so_toan_cuc!$D$2,INDEX(Bang_sat_thuong!$D$2:$D$7,MATCH(Vu_khi!$K$56,Bang_sat_thuong!$A$2:$A$7,0))),INDEX(Bang_sat_thuong!$D$2:$D$7,MATCH(Vu_khi!$K$56,Bang_sat_thuong!$A$2:$A$7,0)))</f>
        <v/>
      </c>
      <c r="Z56" t="n">
        <v>1.5</v>
      </c>
      <c r="AA56">
        <f>INDEX(Bang_xuyen_giap!$C$2:$C$7,MIN(6,MAX(1,IF($O$56,MAX(1,2-(Vu_khi!$L$56-0)),2-(Vu_khi!$L$56-0))+1)))</f>
        <v/>
      </c>
      <c r="AB56" t="n">
        <v>1</v>
      </c>
      <c r="AC56">
        <f>INDEX(Bang_xuyen_giap!$C$2:$C$7,MIN(6,MAX(1,IF($O$56,MAX(1,2-(Vu_khi!$L$56-2)),2-(Vu_khi!$L$56-2))+1)))</f>
        <v/>
      </c>
      <c r="AD56" t="n">
        <v>1</v>
      </c>
      <c r="AE56">
        <f>INDEX(Bang_xuyen_giap!$C$2:$C$7,MIN(6,MAX(1,IF($O$56,MAX(1,2-(Vu_khi!$L$56-4)),2-(Vu_khi!$L$56-4))+1)))</f>
        <v/>
      </c>
      <c r="AF56" t="n">
        <v>0.5</v>
      </c>
      <c r="AG56">
        <f>INDEX(Bang_xuyen_giap!$C$2:$C$7,MIN(6,MAX(1,MAX(1,2-(Vu_khi!$L$56-0))+1)))</f>
        <v/>
      </c>
      <c r="AH56" t="n">
        <v>1</v>
      </c>
      <c r="AI56">
        <f>IF($Q$56,$M$56*$AA$56*$U$56,0)</f>
        <v/>
      </c>
      <c r="AJ56" t="n">
        <v>48.39968774395004</v>
      </c>
      <c r="AK56">
        <f>IF($Q$56,$M$56*$AC$56*$U$56,0)</f>
        <v/>
      </c>
      <c r="AL56" t="n">
        <v>48.39968774395004</v>
      </c>
      <c r="AM56">
        <f>IF($Q$56,$M$56*$AE$56*$U$56,0)</f>
        <v/>
      </c>
      <c r="AN56" t="n">
        <v>24.19984387197502</v>
      </c>
      <c r="AO56">
        <f>IF($Q$56,$M$56*$AC$56*$Y$56,0)</f>
        <v/>
      </c>
      <c r="AP56" t="n">
        <v>72.59953161592506</v>
      </c>
      <c r="AQ56">
        <f>IF($S$56,$M$56*$AG$56*$W$56,0)</f>
        <v/>
      </c>
      <c r="AR56" t="n">
        <v>0</v>
      </c>
      <c r="AS56">
        <f>IF(OR(Vu_khi!$M$56="Missile",Vu_khi!$M$56="Drone",AND(Vu_khi!$M$56="Rocket",OR(Vu_khi!$AM$56,Vu_khi!$D$56="guided")),Vu_khi!$AL$56,Vu_khi!$AK$56,Vu_khi!$X$56&lt;=0),FALSE,IF($B$56&gt;=0,$B$56&gt;=4,IF(Vu_khi!$M$56="Shell",Vu_khi!$AN$56&gt;=Canh_bao_vong!$D$10,IF(Vu_khi!$M$56="Bomb",Vu_khi!$AN$56&gt;=Canh_bao_vong!$D$3,IF(Vu_khi!$M$56="Rocket",Vu_khi!$AN$56&gt;=Canh_bao_vong!$D$13,FALSE)))))</f>
        <v/>
      </c>
      <c r="AT56" t="b">
        <v>0</v>
      </c>
      <c r="AU56">
        <f>IF(AND($B$56&lt;0,$AS$56),4,$B$56)</f>
        <v/>
      </c>
      <c r="AV56" t="n">
        <v>3</v>
      </c>
      <c r="AW56">
        <f>IF($AU$56&lt;4,0,MIN(MAX(0.5,Canh_bao_vong!$D$4),MAX(IF(Vu_khi!$C$56="cal_406",Canh_bao_vong!$D$7,IF($AU$56&gt;=5,Canh_bao_vong!$D$9,Canh_bao_vong!$D$8)),Canh_bao_vong!$D$2+MAX(0,Vu_khi!$X$56)/MAX(0.1,Canh_bao_vong!$D$5))))</f>
        <v/>
      </c>
      <c r="AX56" t="n">
        <v>0</v>
      </c>
      <c r="BB56" t="inlineStr">
        <is>
          <t>Assets/MachineBrigade/Resources/Data/balance.json: weapons[id=casemate_155_guided] (lớp B trên 01_chien_dau/Vu_khi)</t>
        </is>
      </c>
      <c r="BC56" t="inlineStr"/>
    </row>
    <row r="57">
      <c r="A57" t="inlineStr">
        <is>
          <t>ciws_aa</t>
        </is>
      </c>
      <c r="B57" t="n">
        <v>1</v>
      </c>
      <c r="C57">
        <f>IF(Vu_khi!$O$57="SIMULTANEOUS",MAX(1,Vu_khi!$N$57),1)</f>
        <v/>
      </c>
      <c r="D57" t="n">
        <v>1</v>
      </c>
      <c r="E57">
        <f>IF(Vu_khi!$S$57&gt;0,Vu_khi!$S$57,Vu_khi!$P$57*$C$57)</f>
        <v/>
      </c>
      <c r="F57" t="n">
        <v>60</v>
      </c>
      <c r="G57">
        <f>IF(Vu_khi!$S$57&gt;0,(Vu_khi!$S$57-1)*Vu_khi!$R$57+Vu_khi!$T$57,Vu_khi!$R$57+(Vu_khi!$P$57-1)*Vu_khi!$Q$57)</f>
        <v/>
      </c>
      <c r="H57" t="n">
        <v>6.002</v>
      </c>
      <c r="I57">
        <f>Vu_khi!$W$57*MAX(1,$E$57)</f>
        <v/>
      </c>
      <c r="J57" t="n">
        <v>720</v>
      </c>
      <c r="K57">
        <f>IF(Vu_khi!$V$57&gt;0,Vu_khi!$V$57,MIN(28,MAX(10,Vu_khi!$U$57*Vu_khi!$R$57*0.4)))</f>
        <v/>
      </c>
      <c r="L57" t="n">
        <v>10</v>
      </c>
      <c r="M57">
        <f>IF(Vu_khi!$W$57&lt;=0,0,IF(Vu_khi!$U$57&gt;0,$I$57*Vu_khi!$U$57/(MAX(0.05,$G$57)*Vu_khi!$U$57+$K$57),$I$57/MAX(0.05,$G$57)))</f>
        <v/>
      </c>
      <c r="N57" t="n">
        <v>119.9600133288904</v>
      </c>
      <c r="O57">
        <f>OR(Vu_khi!$AG$57,Vu_khi!$AB$57&gt;0,Vu_khi!$AH$57,Vu_khi!$M$57="Bomb",Vu_khi!$M$57="Drone")</f>
        <v/>
      </c>
      <c r="P57" t="b">
        <v>0</v>
      </c>
      <c r="Q57">
        <f>AND(NOT(Vu_khi!$AJ$57),OR(Vu_khi!$AC$57="Ground",Vu_khi!$AC$57="All"))</f>
        <v/>
      </c>
      <c r="R57" t="b">
        <v>0</v>
      </c>
      <c r="S57">
        <f>AND(NOT(Vu_khi!$AJ$57),OR(Vu_khi!$AC$57="Air",Vu_khi!$AC$57="All"))</f>
        <v/>
      </c>
      <c r="T57" t="b">
        <v>1</v>
      </c>
      <c r="U57">
        <f>INDEX(Bang_sat_thuong!$B$2:$B$7,MATCH(Vu_khi!$K$57,Bang_sat_thuong!$A$2:$A$7,0))</f>
        <v/>
      </c>
      <c r="V57" t="n">
        <v>1</v>
      </c>
      <c r="W57">
        <f>INDEX(Bang_sat_thuong!$C$2:$C$7,MATCH(Vu_khi!$K$57,Bang_sat_thuong!$A$2:$A$7,0))</f>
        <v/>
      </c>
      <c r="X57" t="n">
        <v>0.3</v>
      </c>
      <c r="Y57">
        <f>IF(AND(Vu_khi!$AI$57,Vu_khi!$K$57="HighExplosive"),MAX(He_so_toan_cuc!$D$2,INDEX(Bang_sat_thuong!$D$2:$D$7,MATCH(Vu_khi!$K$57,Bang_sat_thuong!$A$2:$A$7,0))),INDEX(Bang_sat_thuong!$D$2:$D$7,MATCH(Vu_khi!$K$57,Bang_sat_thuong!$A$2:$A$7,0)))</f>
        <v/>
      </c>
      <c r="Z57" t="n">
        <v>0.6</v>
      </c>
      <c r="AA57">
        <f>INDEX(Bang_xuyen_giap!$C$2:$C$7,MIN(6,MAX(1,IF($O$57,MAX(1,2-(Vu_khi!$L$57-0)),2-(Vu_khi!$L$57-0))+1)))</f>
        <v/>
      </c>
      <c r="AB57" t="n">
        <v>1.2</v>
      </c>
      <c r="AC57">
        <f>INDEX(Bang_xuyen_giap!$C$2:$C$7,MIN(6,MAX(1,IF($O$57,MAX(1,2-(Vu_khi!$L$57-2)),2-(Vu_khi!$L$57-2))+1)))</f>
        <v/>
      </c>
      <c r="AD57" t="n">
        <v>0.85</v>
      </c>
      <c r="AE57">
        <f>INDEX(Bang_xuyen_giap!$C$2:$C$7,MIN(6,MAX(1,IF($O$57,MAX(1,2-(Vu_khi!$L$57-4)),2-(Vu_khi!$L$57-4))+1)))</f>
        <v/>
      </c>
      <c r="AF57" t="n">
        <v>0.25</v>
      </c>
      <c r="AG57">
        <f>INDEX(Bang_xuyen_giap!$C$2:$C$7,MIN(6,MAX(1,MAX(1,2-(Vu_khi!$L$57-0))+1)))</f>
        <v/>
      </c>
      <c r="AH57" t="n">
        <v>1</v>
      </c>
      <c r="AI57">
        <f>IF($Q$57,$M$57*$AA$57*$U$57,0)</f>
        <v/>
      </c>
      <c r="AJ57" t="n">
        <v>0</v>
      </c>
      <c r="AK57">
        <f>IF($Q$57,$M$57*$AC$57*$U$57,0)</f>
        <v/>
      </c>
      <c r="AL57" t="n">
        <v>0</v>
      </c>
      <c r="AM57">
        <f>IF($Q$57,$M$57*$AE$57*$U$57,0)</f>
        <v/>
      </c>
      <c r="AN57" t="n">
        <v>0</v>
      </c>
      <c r="AO57">
        <f>IF($Q$57,$M$57*$AC$57*$Y$57,0)</f>
        <v/>
      </c>
      <c r="AP57" t="n">
        <v>0</v>
      </c>
      <c r="AQ57">
        <f>IF($S$57,$M$57*$AG$57*$W$57,0)</f>
        <v/>
      </c>
      <c r="AR57" t="n">
        <v>35.98800399866711</v>
      </c>
      <c r="AS57">
        <f>IF(OR(Vu_khi!$M$57="Missile",Vu_khi!$M$57="Drone",AND(Vu_khi!$M$57="Rocket",OR(Vu_khi!$AM$57,Vu_khi!$D$57="guided")),Vu_khi!$AL$57,Vu_khi!$AK$57,Vu_khi!$X$57&lt;=0),FALSE,IF($B$57&gt;=0,$B$57&gt;=4,IF(Vu_khi!$M$57="Shell",Vu_khi!$AN$57&gt;=Canh_bao_vong!$D$10,IF(Vu_khi!$M$57="Bomb",Vu_khi!$AN$57&gt;=Canh_bao_vong!$D$3,IF(Vu_khi!$M$57="Rocket",Vu_khi!$AN$57&gt;=Canh_bao_vong!$D$13,FALSE)))))</f>
        <v/>
      </c>
      <c r="AT57" t="b">
        <v>0</v>
      </c>
      <c r="AU57">
        <f>IF(AND($B$57&lt;0,$AS$57),4,$B$57)</f>
        <v/>
      </c>
      <c r="AV57" t="n">
        <v>1</v>
      </c>
      <c r="AW57">
        <f>IF($AU$57&lt;4,0,MIN(MAX(0.5,Canh_bao_vong!$D$4),MAX(IF(Vu_khi!$C$57="cal_406",Canh_bao_vong!$D$7,IF($AU$57&gt;=5,Canh_bao_vong!$D$9,Canh_bao_vong!$D$8)),Canh_bao_vong!$D$2+MAX(0,Vu_khi!$X$57)/MAX(0.1,Canh_bao_vong!$D$5))))</f>
        <v/>
      </c>
      <c r="AX57" t="n">
        <v>0</v>
      </c>
      <c r="AY57" t="n">
        <v>8.336111000000001</v>
      </c>
      <c r="AZ57" t="inlineStr">
        <is>
          <t>ok</t>
        </is>
      </c>
      <c r="BA57" t="b">
        <v>1</v>
      </c>
      <c r="BB57" t="inlineStr">
        <is>
          <t>Assets/MachineBrigade/Resources/Data/balance.json: weapons[id=ciws_aa] (lớp B trên 01_chien_dau/Vu_khi)</t>
        </is>
      </c>
      <c r="BC57" t="inlineStr"/>
    </row>
    <row r="58">
      <c r="A58" t="inlineStr">
        <is>
          <t>ciws_aa_flak</t>
        </is>
      </c>
      <c r="B58" t="n">
        <v>1</v>
      </c>
      <c r="C58">
        <f>IF(Vu_khi!$O$58="SIMULTANEOUS",MAX(1,Vu_khi!$N$58),1)</f>
        <v/>
      </c>
      <c r="D58" t="n">
        <v>1</v>
      </c>
      <c r="E58">
        <f>IF(Vu_khi!$S$58&gt;0,Vu_khi!$S$58,Vu_khi!$P$58*$C$58)</f>
        <v/>
      </c>
      <c r="F58" t="n">
        <v>60</v>
      </c>
      <c r="G58">
        <f>IF(Vu_khi!$S$58&gt;0,(Vu_khi!$S$58-1)*Vu_khi!$R$58+Vu_khi!$T$58,Vu_khi!$R$58+(Vu_khi!$P$58-1)*Vu_khi!$Q$58)</f>
        <v/>
      </c>
      <c r="H58" t="n">
        <v>6.002</v>
      </c>
      <c r="I58">
        <f>Vu_khi!$W$58*MAX(1,$E$58)</f>
        <v/>
      </c>
      <c r="J58" t="n">
        <v>720</v>
      </c>
      <c r="K58">
        <f>IF(Vu_khi!$V$58&gt;0,Vu_khi!$V$58,MIN(28,MAX(10,Vu_khi!$U$58*Vu_khi!$R$58*0.4)))</f>
        <v/>
      </c>
      <c r="L58" t="n">
        <v>10</v>
      </c>
      <c r="M58">
        <f>IF(Vu_khi!$W$58&lt;=0,0,IF(Vu_khi!$U$58&gt;0,$I$58*Vu_khi!$U$58/(MAX(0.05,$G$58)*Vu_khi!$U$58+$K$58),$I$58/MAX(0.05,$G$58)))</f>
        <v/>
      </c>
      <c r="N58" t="n">
        <v>119.9600133288904</v>
      </c>
      <c r="O58">
        <f>OR(Vu_khi!$AG$58,Vu_khi!$AB$58&gt;0,Vu_khi!$AH$58,Vu_khi!$M$58="Bomb",Vu_khi!$M$58="Drone")</f>
        <v/>
      </c>
      <c r="P58" t="b">
        <v>0</v>
      </c>
      <c r="Q58">
        <f>AND(NOT(Vu_khi!$AJ$58),OR(Vu_khi!$AC$58="Ground",Vu_khi!$AC$58="All"))</f>
        <v/>
      </c>
      <c r="R58" t="b">
        <v>0</v>
      </c>
      <c r="S58">
        <f>AND(NOT(Vu_khi!$AJ$58),OR(Vu_khi!$AC$58="Air",Vu_khi!$AC$58="All"))</f>
        <v/>
      </c>
      <c r="T58" t="b">
        <v>1</v>
      </c>
      <c r="U58">
        <f>INDEX(Bang_sat_thuong!$B$2:$B$7,MATCH(Vu_khi!$K$58,Bang_sat_thuong!$A$2:$A$7,0))</f>
        <v/>
      </c>
      <c r="V58" t="n">
        <v>0.5</v>
      </c>
      <c r="W58">
        <f>INDEX(Bang_sat_thuong!$C$2:$C$7,MATCH(Vu_khi!$K$58,Bang_sat_thuong!$A$2:$A$7,0))</f>
        <v/>
      </c>
      <c r="X58" t="n">
        <v>1.3</v>
      </c>
      <c r="Y58">
        <f>IF(AND(Vu_khi!$AI$58,Vu_khi!$K$58="HighExplosive"),MAX(He_so_toan_cuc!$D$2,INDEX(Bang_sat_thuong!$D$2:$D$7,MATCH(Vu_khi!$K$58,Bang_sat_thuong!$A$2:$A$7,0))),INDEX(Bang_sat_thuong!$D$2:$D$7,MATCH(Vu_khi!$K$58,Bang_sat_thuong!$A$2:$A$7,0)))</f>
        <v/>
      </c>
      <c r="Z58" t="n">
        <v>0.1</v>
      </c>
      <c r="AA58">
        <f>INDEX(Bang_xuyen_giap!$C$2:$C$7,MIN(6,MAX(1,IF($O$58,MAX(1,2-(Vu_khi!$L$58-0)),2-(Vu_khi!$L$58-0))+1)))</f>
        <v/>
      </c>
      <c r="AB58" t="n">
        <v>1.2</v>
      </c>
      <c r="AC58">
        <f>INDEX(Bang_xuyen_giap!$C$2:$C$7,MIN(6,MAX(1,IF($O$58,MAX(1,2-(Vu_khi!$L$58-2)),2-(Vu_khi!$L$58-2))+1)))</f>
        <v/>
      </c>
      <c r="AD58" t="n">
        <v>0.85</v>
      </c>
      <c r="AE58">
        <f>INDEX(Bang_xuyen_giap!$C$2:$C$7,MIN(6,MAX(1,IF($O$58,MAX(1,2-(Vu_khi!$L$58-4)),2-(Vu_khi!$L$58-4))+1)))</f>
        <v/>
      </c>
      <c r="AF58" t="n">
        <v>0.25</v>
      </c>
      <c r="AG58">
        <f>INDEX(Bang_xuyen_giap!$C$2:$C$7,MIN(6,MAX(1,MAX(1,2-(Vu_khi!$L$58-0))+1)))</f>
        <v/>
      </c>
      <c r="AH58" t="n">
        <v>1</v>
      </c>
      <c r="AI58">
        <f>IF($Q$58,$M$58*$AA$58*$U$58,0)</f>
        <v/>
      </c>
      <c r="AJ58" t="n">
        <v>0</v>
      </c>
      <c r="AK58">
        <f>IF($Q$58,$M$58*$AC$58*$U$58,0)</f>
        <v/>
      </c>
      <c r="AL58" t="n">
        <v>0</v>
      </c>
      <c r="AM58">
        <f>IF($Q$58,$M$58*$AE$58*$U$58,0)</f>
        <v/>
      </c>
      <c r="AN58" t="n">
        <v>0</v>
      </c>
      <c r="AO58">
        <f>IF($Q$58,$M$58*$AC$58*$Y$58,0)</f>
        <v/>
      </c>
      <c r="AP58" t="n">
        <v>0</v>
      </c>
      <c r="AQ58">
        <f>IF($S$58,$M$58*$AG$58*$W$58,0)</f>
        <v/>
      </c>
      <c r="AR58" t="n">
        <v>155.9480173275575</v>
      </c>
      <c r="AS58">
        <f>IF(OR(Vu_khi!$M$58="Missile",Vu_khi!$M$58="Drone",AND(Vu_khi!$M$58="Rocket",OR(Vu_khi!$AM$58,Vu_khi!$D$58="guided")),Vu_khi!$AL$58,Vu_khi!$AK$58,Vu_khi!$X$58&lt;=0),FALSE,IF($B$58&gt;=0,$B$58&gt;=4,IF(Vu_khi!$M$58="Shell",Vu_khi!$AN$58&gt;=Canh_bao_vong!$D$10,IF(Vu_khi!$M$58="Bomb",Vu_khi!$AN$58&gt;=Canh_bao_vong!$D$3,IF(Vu_khi!$M$58="Rocket",Vu_khi!$AN$58&gt;=Canh_bao_vong!$D$13,FALSE)))))</f>
        <v/>
      </c>
      <c r="AT58" t="b">
        <v>0</v>
      </c>
      <c r="AU58">
        <f>IF(AND($B$58&lt;0,$AS$58),4,$B$58)</f>
        <v/>
      </c>
      <c r="AV58" t="n">
        <v>1</v>
      </c>
      <c r="AW58">
        <f>IF($AU$58&lt;4,0,MIN(MAX(0.5,Canh_bao_vong!$D$4),MAX(IF(Vu_khi!$C$58="cal_406",Canh_bao_vong!$D$7,IF($AU$58&gt;=5,Canh_bao_vong!$D$9,Canh_bao_vong!$D$8)),Canh_bao_vong!$D$2+MAX(0,Vu_khi!$X$58)/MAX(0.1,Canh_bao_vong!$D$5))))</f>
        <v/>
      </c>
      <c r="AX58" t="n">
        <v>0</v>
      </c>
      <c r="BB58" t="inlineStr">
        <is>
          <t>Assets/MachineBrigade/Resources/Data/balance.json: weapons[id=ciws_aa_flak] (lớp B trên 01_chien_dau/Vu_khi)</t>
        </is>
      </c>
      <c r="BC58" t="inlineStr"/>
    </row>
    <row r="59">
      <c r="A59" t="inlineStr">
        <is>
          <t>coilgun</t>
        </is>
      </c>
      <c r="B59" t="n">
        <v>3</v>
      </c>
      <c r="C59">
        <f>IF(Vu_khi!$O$59="SIMULTANEOUS",MAX(1,Vu_khi!$N$59),1)</f>
        <v/>
      </c>
      <c r="D59" t="n">
        <v>1</v>
      </c>
      <c r="E59">
        <f>IF(Vu_khi!$S$59&gt;0,Vu_khi!$S$59,Vu_khi!$P$59*$C$59)</f>
        <v/>
      </c>
      <c r="F59" t="n">
        <v>2</v>
      </c>
      <c r="G59">
        <f>IF(Vu_khi!$S$59&gt;0,(Vu_khi!$S$59-1)*Vu_khi!$R$59+Vu_khi!$T$59,Vu_khi!$R$59+(Vu_khi!$P$59-1)*Vu_khi!$Q$59)</f>
        <v/>
      </c>
      <c r="H59" t="n">
        <v>4.79</v>
      </c>
      <c r="I59">
        <f>Vu_khi!$W$59*MAX(1,$E$59)</f>
        <v/>
      </c>
      <c r="J59" t="n">
        <v>500</v>
      </c>
      <c r="K59">
        <f>IF(Vu_khi!$V$59&gt;0,Vu_khi!$V$59,MIN(28,MAX(10,Vu_khi!$U$59*Vu_khi!$R$59*0.4)))</f>
        <v/>
      </c>
      <c r="L59" t="n">
        <v>10</v>
      </c>
      <c r="M59">
        <f>IF(Vu_khi!$W$59&lt;=0,0,IF(Vu_khi!$U$59&gt;0,$I$59*Vu_khi!$U$59/(MAX(0.05,$G$59)*Vu_khi!$U$59+$K$59),$I$59/MAX(0.05,$G$59)))</f>
        <v/>
      </c>
      <c r="N59" t="n">
        <v>104.384133611691</v>
      </c>
      <c r="O59">
        <f>OR(Vu_khi!$AG$59,Vu_khi!$AB$59&gt;0,Vu_khi!$AH$59,Vu_khi!$M$59="Bomb",Vu_khi!$M$59="Drone")</f>
        <v/>
      </c>
      <c r="P59" t="b">
        <v>0</v>
      </c>
      <c r="Q59">
        <f>AND(NOT(Vu_khi!$AJ$59),OR(Vu_khi!$AC$59="Ground",Vu_khi!$AC$59="All"))</f>
        <v/>
      </c>
      <c r="R59" t="b">
        <v>1</v>
      </c>
      <c r="S59">
        <f>AND(NOT(Vu_khi!$AJ$59),OR(Vu_khi!$AC$59="Air",Vu_khi!$AC$59="All"))</f>
        <v/>
      </c>
      <c r="T59" t="b">
        <v>1</v>
      </c>
      <c r="U59">
        <f>INDEX(Bang_sat_thuong!$B$2:$B$7,MATCH(Vu_khi!$K$59,Bang_sat_thuong!$A$2:$A$7,0))</f>
        <v/>
      </c>
      <c r="V59" t="n">
        <v>1</v>
      </c>
      <c r="W59">
        <f>INDEX(Bang_sat_thuong!$C$2:$C$7,MATCH(Vu_khi!$K$59,Bang_sat_thuong!$A$2:$A$7,0))</f>
        <v/>
      </c>
      <c r="X59" t="n">
        <v>0.3</v>
      </c>
      <c r="Y59">
        <f>IF(AND(Vu_khi!$AI$59,Vu_khi!$K$59="HighExplosive"),MAX(He_so_toan_cuc!$D$2,INDEX(Bang_sat_thuong!$D$2:$D$7,MATCH(Vu_khi!$K$59,Bang_sat_thuong!$A$2:$A$7,0))),INDEX(Bang_sat_thuong!$D$2:$D$7,MATCH(Vu_khi!$K$59,Bang_sat_thuong!$A$2:$A$7,0)))</f>
        <v/>
      </c>
      <c r="Z59" t="n">
        <v>0.6</v>
      </c>
      <c r="AA59">
        <f>INDEX(Bang_xuyen_giap!$C$2:$C$7,MIN(6,MAX(1,IF($O$59,MAX(1,2-(Vu_khi!$L$59-0)),2-(Vu_khi!$L$59-0))+1)))</f>
        <v/>
      </c>
      <c r="AB59" t="n">
        <v>1.2</v>
      </c>
      <c r="AC59">
        <f>INDEX(Bang_xuyen_giap!$C$2:$C$7,MIN(6,MAX(1,IF($O$59,MAX(1,2-(Vu_khi!$L$59-2)),2-(Vu_khi!$L$59-2))+1)))</f>
        <v/>
      </c>
      <c r="AD59" t="n">
        <v>1.2</v>
      </c>
      <c r="AE59">
        <f>INDEX(Bang_xuyen_giap!$C$2:$C$7,MIN(6,MAX(1,IF($O$59,MAX(1,2-(Vu_khi!$L$59-4)),2-(Vu_khi!$L$59-4))+1)))</f>
        <v/>
      </c>
      <c r="AF59" t="n">
        <v>0.85</v>
      </c>
      <c r="AG59">
        <f>INDEX(Bang_xuyen_giap!$C$2:$C$7,MIN(6,MAX(1,MAX(1,2-(Vu_khi!$L$59-0))+1)))</f>
        <v/>
      </c>
      <c r="AH59" t="n">
        <v>1</v>
      </c>
      <c r="AI59">
        <f>IF($Q$59,$M$59*$AA$59*$U$59,0)</f>
        <v/>
      </c>
      <c r="AJ59" t="n">
        <v>125.2609603340292</v>
      </c>
      <c r="AK59">
        <f>IF($Q$59,$M$59*$AC$59*$U$59,0)</f>
        <v/>
      </c>
      <c r="AL59" t="n">
        <v>125.2609603340292</v>
      </c>
      <c r="AM59">
        <f>IF($Q$59,$M$59*$AE$59*$U$59,0)</f>
        <v/>
      </c>
      <c r="AN59" t="n">
        <v>88.72651356993737</v>
      </c>
      <c r="AO59">
        <f>IF($Q$59,$M$59*$AC$59*$Y$59,0)</f>
        <v/>
      </c>
      <c r="AP59" t="n">
        <v>75.15657620041753</v>
      </c>
      <c r="AQ59">
        <f>IF($S$59,$M$59*$AG$59*$W$59,0)</f>
        <v/>
      </c>
      <c r="AR59" t="n">
        <v>31.31524008350731</v>
      </c>
      <c r="AS59">
        <f>IF(OR(Vu_khi!$M$59="Missile",Vu_khi!$M$59="Drone",AND(Vu_khi!$M$59="Rocket",OR(Vu_khi!$AM$59,Vu_khi!$D$59="guided")),Vu_khi!$AL$59,Vu_khi!$AK$59,Vu_khi!$X$59&lt;=0),FALSE,IF($B$59&gt;=0,$B$59&gt;=4,IF(Vu_khi!$M$59="Shell",Vu_khi!$AN$59&gt;=Canh_bao_vong!$D$10,IF(Vu_khi!$M$59="Bomb",Vu_khi!$AN$59&gt;=Canh_bao_vong!$D$3,IF(Vu_khi!$M$59="Rocket",Vu_khi!$AN$59&gt;=Canh_bao_vong!$D$13,FALSE)))))</f>
        <v/>
      </c>
      <c r="AT59" t="b">
        <v>0</v>
      </c>
      <c r="AU59">
        <f>IF(AND($B$59&lt;0,$AS$59),4,$B$59)</f>
        <v/>
      </c>
      <c r="AV59" t="n">
        <v>3</v>
      </c>
      <c r="AW59">
        <f>IF($AU$59&lt;4,0,MIN(MAX(0.5,Canh_bao_vong!$D$4),MAX(IF(Vu_khi!$C$59="cal_406",Canh_bao_vong!$D$7,IF($AU$59&gt;=5,Canh_bao_vong!$D$9,Canh_bao_vong!$D$8)),Canh_bao_vong!$D$2+MAX(0,Vu_khi!$X$59)/MAX(0.1,Canh_bao_vong!$D$5))))</f>
        <v/>
      </c>
      <c r="AX59" t="n">
        <v>0</v>
      </c>
      <c r="AY59" t="inlineStr"/>
      <c r="AZ59" t="inlineStr">
        <is>
          <t>ok</t>
        </is>
      </c>
      <c r="BA59" t="b">
        <v>1</v>
      </c>
      <c r="BB59" t="inlineStr">
        <is>
          <t>Assets/MachineBrigade/Resources/Data/balance.json: weapons[id=coilgun] (lớp B trên 01_chien_dau/Vu_khi)</t>
        </is>
      </c>
      <c r="BC59" t="inlineStr"/>
    </row>
    <row r="60">
      <c r="A60" t="inlineStr">
        <is>
          <t>cruise_missile_ground</t>
        </is>
      </c>
      <c r="B60" t="n">
        <v>4</v>
      </c>
      <c r="C60">
        <f>IF(Vu_khi!$O$60="SIMULTANEOUS",MAX(1,Vu_khi!$N$60),1)</f>
        <v/>
      </c>
      <c r="D60" t="n">
        <v>1</v>
      </c>
      <c r="E60">
        <f>IF(Vu_khi!$S$60&gt;0,Vu_khi!$S$60,Vu_khi!$P$60*$C$60)</f>
        <v/>
      </c>
      <c r="F60" t="n">
        <v>2</v>
      </c>
      <c r="G60">
        <f>IF(Vu_khi!$S$60&gt;0,(Vu_khi!$S$60-1)*Vu_khi!$R$60+Vu_khi!$T$60,Vu_khi!$R$60+(Vu_khi!$P$60-1)*Vu_khi!$Q$60)</f>
        <v/>
      </c>
      <c r="H60" t="n">
        <v>45</v>
      </c>
      <c r="I60">
        <f>Vu_khi!$W$60*MAX(1,$E$60)</f>
        <v/>
      </c>
      <c r="J60" t="n">
        <v>900</v>
      </c>
      <c r="K60">
        <f>IF(Vu_khi!$V$60&gt;0,Vu_khi!$V$60,MIN(28,MAX(10,Vu_khi!$U$60*Vu_khi!$R$60*0.4)))</f>
        <v/>
      </c>
      <c r="L60" t="n">
        <v>10</v>
      </c>
      <c r="M60">
        <f>IF(Vu_khi!$W$60&lt;=0,0,IF(Vu_khi!$U$60&gt;0,$I$60*Vu_khi!$U$60/(MAX(0.05,$G$60)*Vu_khi!$U$60+$K$60),$I$60/MAX(0.05,$G$60)))</f>
        <v/>
      </c>
      <c r="N60" t="n">
        <v>20</v>
      </c>
      <c r="O60">
        <f>OR(Vu_khi!$AG$60,Vu_khi!$AB$60&gt;0,Vu_khi!$AH$60,Vu_khi!$M$60="Bomb",Vu_khi!$M$60="Drone")</f>
        <v/>
      </c>
      <c r="P60" t="b">
        <v>0</v>
      </c>
      <c r="Q60">
        <f>AND(NOT(Vu_khi!$AJ$60),OR(Vu_khi!$AC$60="Ground",Vu_khi!$AC$60="All"))</f>
        <v/>
      </c>
      <c r="R60" t="b">
        <v>1</v>
      </c>
      <c r="S60">
        <f>AND(NOT(Vu_khi!$AJ$60),OR(Vu_khi!$AC$60="Air",Vu_khi!$AC$60="All"))</f>
        <v/>
      </c>
      <c r="T60" t="b">
        <v>1</v>
      </c>
      <c r="U60">
        <f>INDEX(Bang_sat_thuong!$B$2:$B$7,MATCH(Vu_khi!$K$60,Bang_sat_thuong!$A$2:$A$7,0))</f>
        <v/>
      </c>
      <c r="V60" t="n">
        <v>1</v>
      </c>
      <c r="W60">
        <f>INDEX(Bang_sat_thuong!$C$2:$C$7,MATCH(Vu_khi!$K$60,Bang_sat_thuong!$A$2:$A$7,0))</f>
        <v/>
      </c>
      <c r="X60" t="n">
        <v>0.3</v>
      </c>
      <c r="Y60">
        <f>IF(AND(Vu_khi!$AI$60,Vu_khi!$K$60="HighExplosive"),MAX(He_so_toan_cuc!$D$2,INDEX(Bang_sat_thuong!$D$2:$D$7,MATCH(Vu_khi!$K$60,Bang_sat_thuong!$A$2:$A$7,0))),INDEX(Bang_sat_thuong!$D$2:$D$7,MATCH(Vu_khi!$K$60,Bang_sat_thuong!$A$2:$A$7,0)))</f>
        <v/>
      </c>
      <c r="Z60" t="n">
        <v>0.6</v>
      </c>
      <c r="AA60">
        <f>INDEX(Bang_xuyen_giap!$C$2:$C$7,MIN(6,MAX(1,IF($O$60,MAX(1,2-(Vu_khi!$L$60-0)),2-(Vu_khi!$L$60-0))+1)))</f>
        <v/>
      </c>
      <c r="AB60" t="n">
        <v>1.2</v>
      </c>
      <c r="AC60">
        <f>INDEX(Bang_xuyen_giap!$C$2:$C$7,MIN(6,MAX(1,IF($O$60,MAX(1,2-(Vu_khi!$L$60-2)),2-(Vu_khi!$L$60-2))+1)))</f>
        <v/>
      </c>
      <c r="AD60" t="n">
        <v>1.2</v>
      </c>
      <c r="AE60">
        <f>INDEX(Bang_xuyen_giap!$C$2:$C$7,MIN(6,MAX(1,IF($O$60,MAX(1,2-(Vu_khi!$L$60-4)),2-(Vu_khi!$L$60-4))+1)))</f>
        <v/>
      </c>
      <c r="AF60" t="n">
        <v>0.85</v>
      </c>
      <c r="AG60">
        <f>INDEX(Bang_xuyen_giap!$C$2:$C$7,MIN(6,MAX(1,MAX(1,2-(Vu_khi!$L$60-0))+1)))</f>
        <v/>
      </c>
      <c r="AH60" t="n">
        <v>1</v>
      </c>
      <c r="AI60">
        <f>IF($Q$60,$M$60*$AA$60*$U$60,0)</f>
        <v/>
      </c>
      <c r="AJ60" t="n">
        <v>24</v>
      </c>
      <c r="AK60">
        <f>IF($Q$60,$M$60*$AC$60*$U$60,0)</f>
        <v/>
      </c>
      <c r="AL60" t="n">
        <v>24</v>
      </c>
      <c r="AM60">
        <f>IF($Q$60,$M$60*$AE$60*$U$60,0)</f>
        <v/>
      </c>
      <c r="AN60" t="n">
        <v>17</v>
      </c>
      <c r="AO60">
        <f>IF($Q$60,$M$60*$AC$60*$Y$60,0)</f>
        <v/>
      </c>
      <c r="AP60" t="n">
        <v>14.4</v>
      </c>
      <c r="AQ60">
        <f>IF($S$60,$M$60*$AG$60*$W$60,0)</f>
        <v/>
      </c>
      <c r="AR60" t="n">
        <v>6</v>
      </c>
      <c r="AS60">
        <f>IF(OR(Vu_khi!$M$60="Missile",Vu_khi!$M$60="Drone",AND(Vu_khi!$M$60="Rocket",OR(Vu_khi!$AM$60,Vu_khi!$D$60="guided")),Vu_khi!$AL$60,Vu_khi!$AK$60,Vu_khi!$X$60&lt;=0),FALSE,IF($B$60&gt;=0,$B$60&gt;=4,IF(Vu_khi!$M$60="Shell",Vu_khi!$AN$60&gt;=Canh_bao_vong!$D$10,IF(Vu_khi!$M$60="Bomb",Vu_khi!$AN$60&gt;=Canh_bao_vong!$D$3,IF(Vu_khi!$M$60="Rocket",Vu_khi!$AN$60&gt;=Canh_bao_vong!$D$13,FALSE)))))</f>
        <v/>
      </c>
      <c r="AT60" t="b">
        <v>0</v>
      </c>
      <c r="AU60">
        <f>IF(AND($B$60&lt;0,$AS$60),4,$B$60)</f>
        <v/>
      </c>
      <c r="AV60" t="n">
        <v>4</v>
      </c>
      <c r="AW60">
        <f>IF($AU$60&lt;4,0,MIN(MAX(0.5,Canh_bao_vong!$D$4),MAX(IF(Vu_khi!$C$60="cal_406",Canh_bao_vong!$D$7,IF($AU$60&gt;=5,Canh_bao_vong!$D$9,Canh_bao_vong!$D$8)),Canh_bao_vong!$D$2+MAX(0,Vu_khi!$X$60)/MAX(0.1,Canh_bao_vong!$D$5))))</f>
        <v/>
      </c>
      <c r="AX60" t="n">
        <v>2.5</v>
      </c>
      <c r="AY60" t="n">
        <v>7.5</v>
      </c>
      <c r="AZ60" t="inlineStr">
        <is>
          <t>CHAM_QUA</t>
        </is>
      </c>
      <c r="BA60" t="inlineStr"/>
      <c r="BB60" t="inlineStr">
        <is>
          <t>Assets/MachineBrigade/Resources/Data/balance.json: weapons[id=cruise_missile_ground] (lớp B trên 01_chien_dau/Vu_khi)</t>
        </is>
      </c>
      <c r="BC60" t="inlineStr"/>
    </row>
    <row r="61">
      <c r="A61" t="inlineStr">
        <is>
          <t>cruiser_203</t>
        </is>
      </c>
      <c r="B61" t="n">
        <v>4</v>
      </c>
      <c r="C61">
        <f>IF(Vu_khi!$O$61="SIMULTANEOUS",MAX(1,Vu_khi!$N$61),1)</f>
        <v/>
      </c>
      <c r="D61" t="n">
        <v>2</v>
      </c>
      <c r="E61">
        <f>IF(Vu_khi!$S$61&gt;0,Vu_khi!$S$61,Vu_khi!$P$61*$C$61)</f>
        <v/>
      </c>
      <c r="F61" t="n">
        <v>2</v>
      </c>
      <c r="G61">
        <f>IF(Vu_khi!$S$61&gt;0,(Vu_khi!$S$61-1)*Vu_khi!$R$61+Vu_khi!$T$61,Vu_khi!$R$61+(Vu_khi!$P$61-1)*Vu_khi!$Q$61)</f>
        <v/>
      </c>
      <c r="H61" t="n">
        <v>16.857</v>
      </c>
      <c r="I61">
        <f>Vu_khi!$W$61*MAX(1,$E$61)</f>
        <v/>
      </c>
      <c r="J61" t="n">
        <v>1200</v>
      </c>
      <c r="K61">
        <f>IF(Vu_khi!$V$61&gt;0,Vu_khi!$V$61,MIN(28,MAX(10,Vu_khi!$U$61*Vu_khi!$R$61*0.4)))</f>
        <v/>
      </c>
      <c r="L61" t="n">
        <v>10</v>
      </c>
      <c r="M61">
        <f>IF(Vu_khi!$W$61&lt;=0,0,IF(Vu_khi!$U$61&gt;0,$I$61*Vu_khi!$U$61/(MAX(0.05,$G$61)*Vu_khi!$U$61+$K$61),$I$61/MAX(0.05,$G$61)))</f>
        <v/>
      </c>
      <c r="N61" t="n">
        <v>71.18704395799965</v>
      </c>
      <c r="O61">
        <f>OR(Vu_khi!$AG$61,Vu_khi!$AB$61&gt;0,Vu_khi!$AH$61,Vu_khi!$M$61="Bomb",Vu_khi!$M$61="Drone")</f>
        <v/>
      </c>
      <c r="P61" t="b">
        <v>0</v>
      </c>
      <c r="Q61">
        <f>AND(NOT(Vu_khi!$AJ$61),OR(Vu_khi!$AC$61="Ground",Vu_khi!$AC$61="All"))</f>
        <v/>
      </c>
      <c r="R61" t="b">
        <v>1</v>
      </c>
      <c r="S61">
        <f>AND(NOT(Vu_khi!$AJ$61),OR(Vu_khi!$AC$61="Air",Vu_khi!$AC$61="All"))</f>
        <v/>
      </c>
      <c r="T61" t="b">
        <v>0</v>
      </c>
      <c r="U61">
        <f>INDEX(Bang_sat_thuong!$B$2:$B$7,MATCH(Vu_khi!$K$61,Bang_sat_thuong!$A$2:$A$7,0))</f>
        <v/>
      </c>
      <c r="V61" t="n">
        <v>1</v>
      </c>
      <c r="W61">
        <f>INDEX(Bang_sat_thuong!$C$2:$C$7,MATCH(Vu_khi!$K$61,Bang_sat_thuong!$A$2:$A$7,0))</f>
        <v/>
      </c>
      <c r="X61" t="n">
        <v>0</v>
      </c>
      <c r="Y61">
        <f>IF(AND(Vu_khi!$AI$61,Vu_khi!$K$61="HighExplosive"),MAX(He_so_toan_cuc!$D$2,INDEX(Bang_sat_thuong!$D$2:$D$7,MATCH(Vu_khi!$K$61,Bang_sat_thuong!$A$2:$A$7,0))),INDEX(Bang_sat_thuong!$D$2:$D$7,MATCH(Vu_khi!$K$61,Bang_sat_thuong!$A$2:$A$7,0)))</f>
        <v/>
      </c>
      <c r="Z61" t="n">
        <v>1.5</v>
      </c>
      <c r="AA61">
        <f>INDEX(Bang_xuyen_giap!$C$2:$C$7,MIN(6,MAX(1,IF($O$61,MAX(1,2-(Vu_khi!$L$61-0)),2-(Vu_khi!$L$61-0))+1)))</f>
        <v/>
      </c>
      <c r="AB61" t="n">
        <v>1.2</v>
      </c>
      <c r="AC61">
        <f>INDEX(Bang_xuyen_giap!$C$2:$C$7,MIN(6,MAX(1,IF($O$61,MAX(1,2-(Vu_khi!$L$61-2)),2-(Vu_khi!$L$61-2))+1)))</f>
        <v/>
      </c>
      <c r="AD61" t="n">
        <v>1.2</v>
      </c>
      <c r="AE61">
        <f>INDEX(Bang_xuyen_giap!$C$2:$C$7,MIN(6,MAX(1,IF($O$61,MAX(1,2-(Vu_khi!$L$61-4)),2-(Vu_khi!$L$61-4))+1)))</f>
        <v/>
      </c>
      <c r="AF61" t="n">
        <v>0.85</v>
      </c>
      <c r="AG61">
        <f>INDEX(Bang_xuyen_giap!$C$2:$C$7,MIN(6,MAX(1,MAX(1,2-(Vu_khi!$L$61-0))+1)))</f>
        <v/>
      </c>
      <c r="AH61" t="n">
        <v>1</v>
      </c>
      <c r="AI61">
        <f>IF($Q$61,$M$61*$AA$61*$U$61,0)</f>
        <v/>
      </c>
      <c r="AJ61" t="n">
        <v>85.42445274959958</v>
      </c>
      <c r="AK61">
        <f>IF($Q$61,$M$61*$AC$61*$U$61,0)</f>
        <v/>
      </c>
      <c r="AL61" t="n">
        <v>85.42445274959958</v>
      </c>
      <c r="AM61">
        <f>IF($Q$61,$M$61*$AE$61*$U$61,0)</f>
        <v/>
      </c>
      <c r="AN61" t="n">
        <v>60.5089873642997</v>
      </c>
      <c r="AO61">
        <f>IF($Q$61,$M$61*$AC$61*$Y$61,0)</f>
        <v/>
      </c>
      <c r="AP61" t="n">
        <v>128.1366791243994</v>
      </c>
      <c r="AQ61">
        <f>IF($S$61,$M$61*$AG$61*$W$61,0)</f>
        <v/>
      </c>
      <c r="AR61" t="n">
        <v>0</v>
      </c>
      <c r="AS61">
        <f>IF(OR(Vu_khi!$M$61="Missile",Vu_khi!$M$61="Drone",AND(Vu_khi!$M$61="Rocket",OR(Vu_khi!$AM$61,Vu_khi!$D$61="guided")),Vu_khi!$AL$61,Vu_khi!$AK$61,Vu_khi!$X$61&lt;=0),FALSE,IF($B$61&gt;=0,$B$61&gt;=4,IF(Vu_khi!$M$61="Shell",Vu_khi!$AN$61&gt;=Canh_bao_vong!$D$10,IF(Vu_khi!$M$61="Bomb",Vu_khi!$AN$61&gt;=Canh_bao_vong!$D$3,IF(Vu_khi!$M$61="Rocket",Vu_khi!$AN$61&gt;=Canh_bao_vong!$D$13,FALSE)))))</f>
        <v/>
      </c>
      <c r="AT61" t="b">
        <v>1</v>
      </c>
      <c r="AU61">
        <f>IF(AND($B$61&lt;0,$AS$61),4,$B$61)</f>
        <v/>
      </c>
      <c r="AV61" t="n">
        <v>4</v>
      </c>
      <c r="AW61">
        <f>IF($AU$61&lt;4,0,MIN(MAX(0.5,Canh_bao_vong!$D$4),MAX(IF(Vu_khi!$C$61="cal_406",Canh_bao_vong!$D$7,IF($AU$61&gt;=5,Canh_bao_vong!$D$9,Canh_bao_vong!$D$8)),Canh_bao_vong!$D$2+MAX(0,Vu_khi!$X$61)/MAX(0.1,Canh_bao_vong!$D$5))))</f>
        <v/>
      </c>
      <c r="AX61" t="n">
        <v>2.5</v>
      </c>
      <c r="AY61" t="n">
        <v>2.35998</v>
      </c>
      <c r="AZ61" t="inlineStr">
        <is>
          <t>CHAM_QUA;LECH_DOT_1</t>
        </is>
      </c>
      <c r="BA61" t="inlineStr"/>
      <c r="BB61" t="inlineStr">
        <is>
          <t>Assets/MachineBrigade/Resources/Data/balance.json: weapons[id=cruiser_203] (lớp B trên 01_chien_dau/Vu_khi)</t>
        </is>
      </c>
      <c r="BC61" t="inlineStr"/>
    </row>
    <row r="62">
      <c r="A62" t="inlineStr">
        <is>
          <t>cruiser_203_guided</t>
        </is>
      </c>
      <c r="B62" t="n">
        <v>4</v>
      </c>
      <c r="C62">
        <f>IF(Vu_khi!$O$62="SIMULTANEOUS",MAX(1,Vu_khi!$N$62),1)</f>
        <v/>
      </c>
      <c r="D62" t="n">
        <v>1</v>
      </c>
      <c r="E62">
        <f>IF(Vu_khi!$S$62&gt;0,Vu_khi!$S$62,Vu_khi!$P$62*$C$62)</f>
        <v/>
      </c>
      <c r="F62" t="n">
        <v>1</v>
      </c>
      <c r="G62">
        <f>IF(Vu_khi!$S$62&gt;0,(Vu_khi!$S$62-1)*Vu_khi!$R$62+Vu_khi!$T$62,Vu_khi!$R$62+(Vu_khi!$P$62-1)*Vu_khi!$Q$62)</f>
        <v/>
      </c>
      <c r="H62" t="n">
        <v>16.857</v>
      </c>
      <c r="I62">
        <f>Vu_khi!$W$62*MAX(1,$E$62)</f>
        <v/>
      </c>
      <c r="J62" t="n">
        <v>600</v>
      </c>
      <c r="K62">
        <f>IF(Vu_khi!$V$62&gt;0,Vu_khi!$V$62,MIN(28,MAX(10,Vu_khi!$U$62*Vu_khi!$R$62*0.4)))</f>
        <v/>
      </c>
      <c r="L62" t="n">
        <v>10</v>
      </c>
      <c r="M62">
        <f>IF(Vu_khi!$W$62&lt;=0,0,IF(Vu_khi!$U$62&gt;0,$I$62*Vu_khi!$U$62/(MAX(0.05,$G$62)*Vu_khi!$U$62+$K$62),$I$62/MAX(0.05,$G$62)))</f>
        <v/>
      </c>
      <c r="N62" t="n">
        <v>35.59352197899982</v>
      </c>
      <c r="O62">
        <f>OR(Vu_khi!$AG$62,Vu_khi!$AB$62&gt;0,Vu_khi!$AH$62,Vu_khi!$M$62="Bomb",Vu_khi!$M$62="Drone")</f>
        <v/>
      </c>
      <c r="P62" t="b">
        <v>0</v>
      </c>
      <c r="Q62">
        <f>AND(NOT(Vu_khi!$AJ$62),OR(Vu_khi!$AC$62="Ground",Vu_khi!$AC$62="All"))</f>
        <v/>
      </c>
      <c r="R62" t="b">
        <v>1</v>
      </c>
      <c r="S62">
        <f>AND(NOT(Vu_khi!$AJ$62),OR(Vu_khi!$AC$62="Air",Vu_khi!$AC$62="All"))</f>
        <v/>
      </c>
      <c r="T62" t="b">
        <v>0</v>
      </c>
      <c r="U62">
        <f>INDEX(Bang_sat_thuong!$B$2:$B$7,MATCH(Vu_khi!$K$62,Bang_sat_thuong!$A$2:$A$7,0))</f>
        <v/>
      </c>
      <c r="V62" t="n">
        <v>1</v>
      </c>
      <c r="W62">
        <f>INDEX(Bang_sat_thuong!$C$2:$C$7,MATCH(Vu_khi!$K$62,Bang_sat_thuong!$A$2:$A$7,0))</f>
        <v/>
      </c>
      <c r="X62" t="n">
        <v>0</v>
      </c>
      <c r="Y62">
        <f>IF(AND(Vu_khi!$AI$62,Vu_khi!$K$62="HighExplosive"),MAX(He_so_toan_cuc!$D$2,INDEX(Bang_sat_thuong!$D$2:$D$7,MATCH(Vu_khi!$K$62,Bang_sat_thuong!$A$2:$A$7,0))),INDEX(Bang_sat_thuong!$D$2:$D$7,MATCH(Vu_khi!$K$62,Bang_sat_thuong!$A$2:$A$7,0)))</f>
        <v/>
      </c>
      <c r="Z62" t="n">
        <v>1.5</v>
      </c>
      <c r="AA62">
        <f>INDEX(Bang_xuyen_giap!$C$2:$C$7,MIN(6,MAX(1,IF($O$62,MAX(1,2-(Vu_khi!$L$62-0)),2-(Vu_khi!$L$62-0))+1)))</f>
        <v/>
      </c>
      <c r="AB62" t="n">
        <v>1.2</v>
      </c>
      <c r="AC62">
        <f>INDEX(Bang_xuyen_giap!$C$2:$C$7,MIN(6,MAX(1,IF($O$62,MAX(1,2-(Vu_khi!$L$62-2)),2-(Vu_khi!$L$62-2))+1)))</f>
        <v/>
      </c>
      <c r="AD62" t="n">
        <v>1.2</v>
      </c>
      <c r="AE62">
        <f>INDEX(Bang_xuyen_giap!$C$2:$C$7,MIN(6,MAX(1,IF($O$62,MAX(1,2-(Vu_khi!$L$62-4)),2-(Vu_khi!$L$62-4))+1)))</f>
        <v/>
      </c>
      <c r="AF62" t="n">
        <v>0.85</v>
      </c>
      <c r="AG62">
        <f>INDEX(Bang_xuyen_giap!$C$2:$C$7,MIN(6,MAX(1,MAX(1,2-(Vu_khi!$L$62-0))+1)))</f>
        <v/>
      </c>
      <c r="AH62" t="n">
        <v>1</v>
      </c>
      <c r="AI62">
        <f>IF($Q$62,$M$62*$AA$62*$U$62,0)</f>
        <v/>
      </c>
      <c r="AJ62" t="n">
        <v>42.71222637479979</v>
      </c>
      <c r="AK62">
        <f>IF($Q$62,$M$62*$AC$62*$U$62,0)</f>
        <v/>
      </c>
      <c r="AL62" t="n">
        <v>42.71222637479979</v>
      </c>
      <c r="AM62">
        <f>IF($Q$62,$M$62*$AE$62*$U$62,0)</f>
        <v/>
      </c>
      <c r="AN62" t="n">
        <v>30.25449368214985</v>
      </c>
      <c r="AO62">
        <f>IF($Q$62,$M$62*$AC$62*$Y$62,0)</f>
        <v/>
      </c>
      <c r="AP62" t="n">
        <v>64.06833956219968</v>
      </c>
      <c r="AQ62">
        <f>IF($S$62,$M$62*$AG$62*$W$62,0)</f>
        <v/>
      </c>
      <c r="AR62" t="n">
        <v>0</v>
      </c>
      <c r="AS62">
        <f>IF(OR(Vu_khi!$M$62="Missile",Vu_khi!$M$62="Drone",AND(Vu_khi!$M$62="Rocket",OR(Vu_khi!$AM$62,Vu_khi!$D$62="guided")),Vu_khi!$AL$62,Vu_khi!$AK$62,Vu_khi!$X$62&lt;=0),FALSE,IF($B$62&gt;=0,$B$62&gt;=4,IF(Vu_khi!$M$62="Shell",Vu_khi!$AN$62&gt;=Canh_bao_vong!$D$10,IF(Vu_khi!$M$62="Bomb",Vu_khi!$AN$62&gt;=Canh_bao_vong!$D$3,IF(Vu_khi!$M$62="Rocket",Vu_khi!$AN$62&gt;=Canh_bao_vong!$D$13,FALSE)))))</f>
        <v/>
      </c>
      <c r="AT62" t="b">
        <v>1</v>
      </c>
      <c r="AU62">
        <f>IF(AND($B$62&lt;0,$AS$62),4,$B$62)</f>
        <v/>
      </c>
      <c r="AV62" t="n">
        <v>4</v>
      </c>
      <c r="AW62">
        <f>IF($AU$62&lt;4,0,MIN(MAX(0.5,Canh_bao_vong!$D$4),MAX(IF(Vu_khi!$C$62="cal_406",Canh_bao_vong!$D$7,IF($AU$62&gt;=5,Canh_bao_vong!$D$9,Canh_bao_vong!$D$8)),Canh_bao_vong!$D$2+MAX(0,Vu_khi!$X$62)/MAX(0.1,Canh_bao_vong!$D$5))))</f>
        <v/>
      </c>
      <c r="AX62" t="n">
        <v>2.5</v>
      </c>
      <c r="BB62" t="inlineStr">
        <is>
          <t>Assets/MachineBrigade/Resources/Data/balance.json: weapons[id=cruiser_203_guided] (lớp B trên 01_chien_dau/Vu_khi)</t>
        </is>
      </c>
      <c r="BC62" t="inlineStr"/>
    </row>
    <row r="63">
      <c r="A63" t="inlineStr">
        <is>
          <t>detonator</t>
        </is>
      </c>
      <c r="B63" t="n">
        <v>4</v>
      </c>
      <c r="C63">
        <f>IF(Vu_khi!$O$63="SIMULTANEOUS",MAX(1,Vu_khi!$N$63),1)</f>
        <v/>
      </c>
      <c r="D63" t="n">
        <v>1</v>
      </c>
      <c r="E63">
        <f>IF(Vu_khi!$S$63&gt;0,Vu_khi!$S$63,Vu_khi!$P$63*$C$63)</f>
        <v/>
      </c>
      <c r="F63" t="n">
        <v>1</v>
      </c>
      <c r="G63">
        <f>IF(Vu_khi!$S$63&gt;0,(Vu_khi!$S$63-1)*Vu_khi!$R$63+Vu_khi!$T$63,Vu_khi!$R$63+(Vu_khi!$P$63-1)*Vu_khi!$Q$63)</f>
        <v/>
      </c>
      <c r="H63" t="n">
        <v>1</v>
      </c>
      <c r="I63">
        <f>Vu_khi!$W$63*MAX(1,$E$63)</f>
        <v/>
      </c>
      <c r="J63" t="n">
        <v>770</v>
      </c>
      <c r="K63">
        <f>IF(Vu_khi!$V$63&gt;0,Vu_khi!$V$63,MIN(28,MAX(10,Vu_khi!$U$63*Vu_khi!$R$63*0.4)))</f>
        <v/>
      </c>
      <c r="L63" t="n">
        <v>10</v>
      </c>
      <c r="M63">
        <f>IF(Vu_khi!$W$63&lt;=0,0,IF(Vu_khi!$U$63&gt;0,$I$63*Vu_khi!$U$63/(MAX(0.05,$G$63)*Vu_khi!$U$63+$K$63),$I$63/MAX(0.05,$G$63)))</f>
        <v/>
      </c>
      <c r="N63" t="n">
        <v>770</v>
      </c>
      <c r="O63">
        <f>OR(Vu_khi!$AG$63,Vu_khi!$AB$63&gt;0,Vu_khi!$AH$63,Vu_khi!$M$63="Bomb",Vu_khi!$M$63="Drone")</f>
        <v/>
      </c>
      <c r="P63" t="b">
        <v>0</v>
      </c>
      <c r="Q63">
        <f>AND(NOT(Vu_khi!$AJ$63),OR(Vu_khi!$AC$63="Ground",Vu_khi!$AC$63="All"))</f>
        <v/>
      </c>
      <c r="R63" t="b">
        <v>1</v>
      </c>
      <c r="S63">
        <f>AND(NOT(Vu_khi!$AJ$63),OR(Vu_khi!$AC$63="Air",Vu_khi!$AC$63="All"))</f>
        <v/>
      </c>
      <c r="T63" t="b">
        <v>0</v>
      </c>
      <c r="U63">
        <f>INDEX(Bang_sat_thuong!$B$2:$B$7,MATCH(Vu_khi!$K$63,Bang_sat_thuong!$A$2:$A$7,0))</f>
        <v/>
      </c>
      <c r="V63" t="n">
        <v>1</v>
      </c>
      <c r="W63">
        <f>INDEX(Bang_sat_thuong!$C$2:$C$7,MATCH(Vu_khi!$K$63,Bang_sat_thuong!$A$2:$A$7,0))</f>
        <v/>
      </c>
      <c r="X63" t="n">
        <v>0</v>
      </c>
      <c r="Y63">
        <f>IF(AND(Vu_khi!$AI$63,Vu_khi!$K$63="HighExplosive"),MAX(He_so_toan_cuc!$D$2,INDEX(Bang_sat_thuong!$D$2:$D$7,MATCH(Vu_khi!$K$63,Bang_sat_thuong!$A$2:$A$7,0))),INDEX(Bang_sat_thuong!$D$2:$D$7,MATCH(Vu_khi!$K$63,Bang_sat_thuong!$A$2:$A$7,0)))</f>
        <v/>
      </c>
      <c r="Z63" t="n">
        <v>1.5</v>
      </c>
      <c r="AA63">
        <f>INDEX(Bang_xuyen_giap!$C$2:$C$7,MIN(6,MAX(1,IF($O$63,MAX(1,2-(Vu_khi!$L$63-0)),2-(Vu_khi!$L$63-0))+1)))</f>
        <v/>
      </c>
      <c r="AB63" t="n">
        <v>1.2</v>
      </c>
      <c r="AC63">
        <f>INDEX(Bang_xuyen_giap!$C$2:$C$7,MIN(6,MAX(1,IF($O$63,MAX(1,2-(Vu_khi!$L$63-2)),2-(Vu_khi!$L$63-2))+1)))</f>
        <v/>
      </c>
      <c r="AD63" t="n">
        <v>1.2</v>
      </c>
      <c r="AE63">
        <f>INDEX(Bang_xuyen_giap!$C$2:$C$7,MIN(6,MAX(1,IF($O$63,MAX(1,2-(Vu_khi!$L$63-4)),2-(Vu_khi!$L$63-4))+1)))</f>
        <v/>
      </c>
      <c r="AF63" t="n">
        <v>0.85</v>
      </c>
      <c r="AG63">
        <f>INDEX(Bang_xuyen_giap!$C$2:$C$7,MIN(6,MAX(1,MAX(1,2-(Vu_khi!$L$63-0))+1)))</f>
        <v/>
      </c>
      <c r="AH63" t="n">
        <v>1</v>
      </c>
      <c r="AI63">
        <f>IF($Q$63,$M$63*$AA$63*$U$63,0)</f>
        <v/>
      </c>
      <c r="AJ63" t="n">
        <v>924</v>
      </c>
      <c r="AK63">
        <f>IF($Q$63,$M$63*$AC$63*$U$63,0)</f>
        <v/>
      </c>
      <c r="AL63" t="n">
        <v>924</v>
      </c>
      <c r="AM63">
        <f>IF($Q$63,$M$63*$AE$63*$U$63,0)</f>
        <v/>
      </c>
      <c r="AN63" t="n">
        <v>654.5</v>
      </c>
      <c r="AO63">
        <f>IF($Q$63,$M$63*$AC$63*$Y$63,0)</f>
        <v/>
      </c>
      <c r="AP63" t="n">
        <v>1386</v>
      </c>
      <c r="AQ63">
        <f>IF($S$63,$M$63*$AG$63*$W$63,0)</f>
        <v/>
      </c>
      <c r="AR63" t="n">
        <v>0</v>
      </c>
      <c r="AS63">
        <f>IF(OR(Vu_khi!$M$63="Missile",Vu_khi!$M$63="Drone",AND(Vu_khi!$M$63="Rocket",OR(Vu_khi!$AM$63,Vu_khi!$D$63="guided")),Vu_khi!$AL$63,Vu_khi!$AK$63,Vu_khi!$X$63&lt;=0),FALSE,IF($B$63&gt;=0,$B$63&gt;=4,IF(Vu_khi!$M$63="Shell",Vu_khi!$AN$63&gt;=Canh_bao_vong!$D$10,IF(Vu_khi!$M$63="Bomb",Vu_khi!$AN$63&gt;=Canh_bao_vong!$D$3,IF(Vu_khi!$M$63="Rocket",Vu_khi!$AN$63&gt;=Canh_bao_vong!$D$13,FALSE)))))</f>
        <v/>
      </c>
      <c r="AT63" t="b">
        <v>1</v>
      </c>
      <c r="AU63">
        <f>IF(AND($B$63&lt;0,$AS$63),4,$B$63)</f>
        <v/>
      </c>
      <c r="AV63" t="n">
        <v>4</v>
      </c>
      <c r="AW63">
        <f>IF($AU$63&lt;4,0,MIN(MAX(0.5,Canh_bao_vong!$D$4),MAX(IF(Vu_khi!$C$63="cal_406",Canh_bao_vong!$D$7,IF($AU$63&gt;=5,Canh_bao_vong!$D$9,Canh_bao_vong!$D$8)),Canh_bao_vong!$D$2+MAX(0,Vu_khi!$X$63)/MAX(0.1,Canh_bao_vong!$D$5))))</f>
        <v/>
      </c>
      <c r="AX63" t="n">
        <v>2.722222222222222</v>
      </c>
      <c r="AY63" t="inlineStr"/>
      <c r="AZ63" t="inlineStr">
        <is>
          <t>ok</t>
        </is>
      </c>
      <c r="BA63" t="inlineStr"/>
      <c r="BB63" t="inlineStr">
        <is>
          <t>Assets/MachineBrigade/Resources/Data/balance.json: weapons[id=detonator] (lớp B trên 01_chien_dau/Vu_khi)</t>
        </is>
      </c>
      <c r="BC63" t="inlineStr"/>
    </row>
    <row r="64">
      <c r="A64" t="inlineStr">
        <is>
          <t>dozer_blade</t>
        </is>
      </c>
      <c r="B64" t="n">
        <v>0</v>
      </c>
      <c r="C64">
        <f>IF(Vu_khi!$O$64="SIMULTANEOUS",MAX(1,Vu_khi!$N$64),1)</f>
        <v/>
      </c>
      <c r="D64" t="n">
        <v>1</v>
      </c>
      <c r="E64">
        <f>IF(Vu_khi!$S$64&gt;0,Vu_khi!$S$64,Vu_khi!$P$64*$C$64)</f>
        <v/>
      </c>
      <c r="F64" t="n">
        <v>1</v>
      </c>
      <c r="G64">
        <f>IF(Vu_khi!$S$64&gt;0,(Vu_khi!$S$64-1)*Vu_khi!$R$64+Vu_khi!$T$64,Vu_khi!$R$64+(Vu_khi!$P$64-1)*Vu_khi!$Q$64)</f>
        <v/>
      </c>
      <c r="H64" t="n">
        <v>1.6</v>
      </c>
      <c r="I64">
        <f>Vu_khi!$W$64*MAX(1,$E$64)</f>
        <v/>
      </c>
      <c r="J64" t="n">
        <v>110</v>
      </c>
      <c r="K64">
        <f>IF(Vu_khi!$V$64&gt;0,Vu_khi!$V$64,MIN(28,MAX(10,Vu_khi!$U$64*Vu_khi!$R$64*0.4)))</f>
        <v/>
      </c>
      <c r="L64" t="n">
        <v>10</v>
      </c>
      <c r="M64">
        <f>IF(Vu_khi!$W$64&lt;=0,0,IF(Vu_khi!$U$64&gt;0,$I$64*Vu_khi!$U$64/(MAX(0.05,$G$64)*Vu_khi!$U$64+$K$64),$I$64/MAX(0.05,$G$64)))</f>
        <v/>
      </c>
      <c r="N64" t="n">
        <v>68.75</v>
      </c>
      <c r="O64">
        <f>OR(Vu_khi!$AG$64,Vu_khi!$AB$64&gt;0,Vu_khi!$AH$64,Vu_khi!$M$64="Bomb",Vu_khi!$M$64="Drone")</f>
        <v/>
      </c>
      <c r="P64" t="b">
        <v>0</v>
      </c>
      <c r="Q64">
        <f>AND(NOT(Vu_khi!$AJ$64),OR(Vu_khi!$AC$64="Ground",Vu_khi!$AC$64="All"))</f>
        <v/>
      </c>
      <c r="R64" t="b">
        <v>1</v>
      </c>
      <c r="S64">
        <f>AND(NOT(Vu_khi!$AJ$64),OR(Vu_khi!$AC$64="Air",Vu_khi!$AC$64="All"))</f>
        <v/>
      </c>
      <c r="T64" t="b">
        <v>0</v>
      </c>
      <c r="U64">
        <f>INDEX(Bang_sat_thuong!$B$2:$B$7,MATCH(Vu_khi!$K$64,Bang_sat_thuong!$A$2:$A$7,0))</f>
        <v/>
      </c>
      <c r="V64" t="n">
        <v>1</v>
      </c>
      <c r="W64">
        <f>INDEX(Bang_sat_thuong!$C$2:$C$7,MATCH(Vu_khi!$K$64,Bang_sat_thuong!$A$2:$A$7,0))</f>
        <v/>
      </c>
      <c r="X64" t="n">
        <v>0.3</v>
      </c>
      <c r="Y64">
        <f>IF(AND(Vu_khi!$AI$64,Vu_khi!$K$64="HighExplosive"),MAX(He_so_toan_cuc!$D$2,INDEX(Bang_sat_thuong!$D$2:$D$7,MATCH(Vu_khi!$K$64,Bang_sat_thuong!$A$2:$A$7,0))),INDEX(Bang_sat_thuong!$D$2:$D$7,MATCH(Vu_khi!$K$64,Bang_sat_thuong!$A$2:$A$7,0)))</f>
        <v/>
      </c>
      <c r="Z64" t="n">
        <v>0.6</v>
      </c>
      <c r="AA64">
        <f>INDEX(Bang_xuyen_giap!$C$2:$C$7,MIN(6,MAX(1,IF($O$64,MAX(1,2-(Vu_khi!$L$64-0)),2-(Vu_khi!$L$64-0))+1)))</f>
        <v/>
      </c>
      <c r="AB64" t="n">
        <v>1.2</v>
      </c>
      <c r="AC64">
        <f>INDEX(Bang_xuyen_giap!$C$2:$C$7,MIN(6,MAX(1,IF($O$64,MAX(1,2-(Vu_khi!$L$64-2)),2-(Vu_khi!$L$64-2))+1)))</f>
        <v/>
      </c>
      <c r="AD64" t="n">
        <v>1</v>
      </c>
      <c r="AE64">
        <f>INDEX(Bang_xuyen_giap!$C$2:$C$7,MIN(6,MAX(1,IF($O$64,MAX(1,2-(Vu_khi!$L$64-4)),2-(Vu_khi!$L$64-4))+1)))</f>
        <v/>
      </c>
      <c r="AF64" t="n">
        <v>0.5</v>
      </c>
      <c r="AG64">
        <f>INDEX(Bang_xuyen_giap!$C$2:$C$7,MIN(6,MAX(1,MAX(1,2-(Vu_khi!$L$64-0))+1)))</f>
        <v/>
      </c>
      <c r="AH64" t="n">
        <v>1</v>
      </c>
      <c r="AI64">
        <f>IF($Q$64,$M$64*$AA$64*$U$64,0)</f>
        <v/>
      </c>
      <c r="AJ64" t="n">
        <v>82.5</v>
      </c>
      <c r="AK64">
        <f>IF($Q$64,$M$64*$AC$64*$U$64,0)</f>
        <v/>
      </c>
      <c r="AL64" t="n">
        <v>68.75</v>
      </c>
      <c r="AM64">
        <f>IF($Q$64,$M$64*$AE$64*$U$64,0)</f>
        <v/>
      </c>
      <c r="AN64" t="n">
        <v>34.375</v>
      </c>
      <c r="AO64">
        <f>IF($Q$64,$M$64*$AC$64*$Y$64,0)</f>
        <v/>
      </c>
      <c r="AP64" t="n">
        <v>41.25</v>
      </c>
      <c r="AQ64">
        <f>IF($S$64,$M$64*$AG$64*$W$64,0)</f>
        <v/>
      </c>
      <c r="AR64" t="n">
        <v>0</v>
      </c>
      <c r="AS64">
        <f>IF(OR(Vu_khi!$M$64="Missile",Vu_khi!$M$64="Drone",AND(Vu_khi!$M$64="Rocket",OR(Vu_khi!$AM$64,Vu_khi!$D$64="guided")),Vu_khi!$AL$64,Vu_khi!$AK$64,Vu_khi!$X$64&lt;=0),FALSE,IF($B$64&gt;=0,$B$64&gt;=4,IF(Vu_khi!$M$64="Shell",Vu_khi!$AN$64&gt;=Canh_bao_vong!$D$10,IF(Vu_khi!$M$64="Bomb",Vu_khi!$AN$64&gt;=Canh_bao_vong!$D$3,IF(Vu_khi!$M$64="Rocket",Vu_khi!$AN$64&gt;=Canh_bao_vong!$D$13,FALSE)))))</f>
        <v/>
      </c>
      <c r="AT64" t="b">
        <v>0</v>
      </c>
      <c r="AU64">
        <f>IF(AND($B$64&lt;0,$AS$64),4,$B$64)</f>
        <v/>
      </c>
      <c r="AV64" t="n">
        <v>0</v>
      </c>
      <c r="AW64">
        <f>IF($AU$64&lt;4,0,MIN(MAX(0.5,Canh_bao_vong!$D$4),MAX(IF(Vu_khi!$C$64="cal_406",Canh_bao_vong!$D$7,IF($AU$64&gt;=5,Canh_bao_vong!$D$9,Canh_bao_vong!$D$8)),Canh_bao_vong!$D$2+MAX(0,Vu_khi!$X$64)/MAX(0.1,Canh_bao_vong!$D$5))))</f>
        <v/>
      </c>
      <c r="AX64" t="n">
        <v>0</v>
      </c>
      <c r="AY64" t="inlineStr"/>
      <c r="AZ64" t="inlineStr">
        <is>
          <t>ok</t>
        </is>
      </c>
      <c r="BA64" t="inlineStr"/>
      <c r="BB64" t="inlineStr">
        <is>
          <t>Assets/MachineBrigade/Resources/Data/balance.json: weapons[id=dozer_blade] (lớp B trên 01_chien_dau/Vu_khi)</t>
        </is>
      </c>
      <c r="BC64" t="inlineStr"/>
    </row>
    <row r="65">
      <c r="A65" t="inlineStr">
        <is>
          <t>drone_gun</t>
        </is>
      </c>
      <c r="B65" t="n">
        <v>0</v>
      </c>
      <c r="C65">
        <f>IF(Vu_khi!$O$65="SIMULTANEOUS",MAX(1,Vu_khi!$N$65),1)</f>
        <v/>
      </c>
      <c r="D65" t="n">
        <v>1</v>
      </c>
      <c r="E65">
        <f>IF(Vu_khi!$S$65&gt;0,Vu_khi!$S$65,Vu_khi!$P$65*$C$65)</f>
        <v/>
      </c>
      <c r="F65" t="n">
        <v>1</v>
      </c>
      <c r="G65">
        <f>IF(Vu_khi!$S$65&gt;0,(Vu_khi!$S$65-1)*Vu_khi!$R$65+Vu_khi!$T$65,Vu_khi!$R$65+(Vu_khi!$P$65-1)*Vu_khi!$Q$65)</f>
        <v/>
      </c>
      <c r="H65" t="n">
        <v>0.158</v>
      </c>
      <c r="I65">
        <f>Vu_khi!$W$65*MAX(1,$E$65)</f>
        <v/>
      </c>
      <c r="J65" t="n">
        <v>9.5</v>
      </c>
      <c r="K65">
        <f>IF(Vu_khi!$V$65&gt;0,Vu_khi!$V$65,MIN(28,MAX(10,Vu_khi!$U$65*Vu_khi!$R$65*0.4)))</f>
        <v/>
      </c>
      <c r="L65" t="n">
        <v>10</v>
      </c>
      <c r="M65">
        <f>IF(Vu_khi!$W$65&lt;=0,0,IF(Vu_khi!$U$65&gt;0,$I$65*Vu_khi!$U$65/(MAX(0.05,$G$65)*Vu_khi!$U$65+$K$65),$I$65/MAX(0.05,$G$65)))</f>
        <v/>
      </c>
      <c r="N65" t="n">
        <v>60.12658227848101</v>
      </c>
      <c r="O65">
        <f>OR(Vu_khi!$AG$65,Vu_khi!$AB$65&gt;0,Vu_khi!$AH$65,Vu_khi!$M$65="Bomb",Vu_khi!$M$65="Drone")</f>
        <v/>
      </c>
      <c r="P65" t="b">
        <v>0</v>
      </c>
      <c r="Q65">
        <f>AND(NOT(Vu_khi!$AJ$65),OR(Vu_khi!$AC$65="Ground",Vu_khi!$AC$65="All"))</f>
        <v/>
      </c>
      <c r="R65" t="b">
        <v>1</v>
      </c>
      <c r="S65">
        <f>AND(NOT(Vu_khi!$AJ$65),OR(Vu_khi!$AC$65="Air",Vu_khi!$AC$65="All"))</f>
        <v/>
      </c>
      <c r="T65" t="b">
        <v>0</v>
      </c>
      <c r="U65">
        <f>INDEX(Bang_sat_thuong!$B$2:$B$7,MATCH(Vu_khi!$K$65,Bang_sat_thuong!$A$2:$A$7,0))</f>
        <v/>
      </c>
      <c r="V65" t="n">
        <v>1</v>
      </c>
      <c r="W65">
        <f>INDEX(Bang_sat_thuong!$C$2:$C$7,MATCH(Vu_khi!$K$65,Bang_sat_thuong!$A$2:$A$7,0))</f>
        <v/>
      </c>
      <c r="X65" t="n">
        <v>0.3</v>
      </c>
      <c r="Y65">
        <f>IF(AND(Vu_khi!$AI$65,Vu_khi!$K$65="HighExplosive"),MAX(He_so_toan_cuc!$D$2,INDEX(Bang_sat_thuong!$D$2:$D$7,MATCH(Vu_khi!$K$65,Bang_sat_thuong!$A$2:$A$7,0))),INDEX(Bang_sat_thuong!$D$2:$D$7,MATCH(Vu_khi!$K$65,Bang_sat_thuong!$A$2:$A$7,0)))</f>
        <v/>
      </c>
      <c r="Z65" t="n">
        <v>0.6</v>
      </c>
      <c r="AA65">
        <f>INDEX(Bang_xuyen_giap!$C$2:$C$7,MIN(6,MAX(1,IF($O$65,MAX(1,2-(Vu_khi!$L$65-0)),2-(Vu_khi!$L$65-0))+1)))</f>
        <v/>
      </c>
      <c r="AB65" t="n">
        <v>1</v>
      </c>
      <c r="AC65">
        <f>INDEX(Bang_xuyen_giap!$C$2:$C$7,MIN(6,MAX(1,IF($O$65,MAX(1,2-(Vu_khi!$L$65-2)),2-(Vu_khi!$L$65-2))+1)))</f>
        <v/>
      </c>
      <c r="AD65" t="n">
        <v>0.5</v>
      </c>
      <c r="AE65">
        <f>INDEX(Bang_xuyen_giap!$C$2:$C$7,MIN(6,MAX(1,IF($O$65,MAX(1,2-(Vu_khi!$L$65-4)),2-(Vu_khi!$L$65-4))+1)))</f>
        <v/>
      </c>
      <c r="AF65" t="n">
        <v>0.1</v>
      </c>
      <c r="AG65">
        <f>INDEX(Bang_xuyen_giap!$C$2:$C$7,MIN(6,MAX(1,MAX(1,2-(Vu_khi!$L$65-0))+1)))</f>
        <v/>
      </c>
      <c r="AH65" t="n">
        <v>1</v>
      </c>
      <c r="AI65">
        <f>IF($Q$65,$M$65*$AA$65*$U$65,0)</f>
        <v/>
      </c>
      <c r="AJ65" t="n">
        <v>60.12658227848101</v>
      </c>
      <c r="AK65">
        <f>IF($Q$65,$M$65*$AC$65*$U$65,0)</f>
        <v/>
      </c>
      <c r="AL65" t="n">
        <v>30.0632911392405</v>
      </c>
      <c r="AM65">
        <f>IF($Q$65,$M$65*$AE$65*$U$65,0)</f>
        <v/>
      </c>
      <c r="AN65" t="n">
        <v>6.012658227848101</v>
      </c>
      <c r="AO65">
        <f>IF($Q$65,$M$65*$AC$65*$Y$65,0)</f>
        <v/>
      </c>
      <c r="AP65" t="n">
        <v>18.0379746835443</v>
      </c>
      <c r="AQ65">
        <f>IF($S$65,$M$65*$AG$65*$W$65,0)</f>
        <v/>
      </c>
      <c r="AR65" t="n">
        <v>0</v>
      </c>
      <c r="AS65">
        <f>IF(OR(Vu_khi!$M$65="Missile",Vu_khi!$M$65="Drone",AND(Vu_khi!$M$65="Rocket",OR(Vu_khi!$AM$65,Vu_khi!$D$65="guided")),Vu_khi!$AL$65,Vu_khi!$AK$65,Vu_khi!$X$65&lt;=0),FALSE,IF($B$65&gt;=0,$B$65&gt;=4,IF(Vu_khi!$M$65="Shell",Vu_khi!$AN$65&gt;=Canh_bao_vong!$D$10,IF(Vu_khi!$M$65="Bomb",Vu_khi!$AN$65&gt;=Canh_bao_vong!$D$3,IF(Vu_khi!$M$65="Rocket",Vu_khi!$AN$65&gt;=Canh_bao_vong!$D$13,FALSE)))))</f>
        <v/>
      </c>
      <c r="AT65" t="b">
        <v>0</v>
      </c>
      <c r="AU65">
        <f>IF(AND($B$65&lt;0,$AS$65),4,$B$65)</f>
        <v/>
      </c>
      <c r="AV65" t="n">
        <v>0</v>
      </c>
      <c r="AW65">
        <f>IF($AU$65&lt;4,0,MIN(MAX(0.5,Canh_bao_vong!$D$4),MAX(IF(Vu_khi!$C$65="cal_406",Canh_bao_vong!$D$7,IF($AU$65&gt;=5,Canh_bao_vong!$D$9,Canh_bao_vong!$D$8)),Canh_bao_vong!$D$2+MAX(0,Vu_khi!$X$65)/MAX(0.1,Canh_bao_vong!$D$5))))</f>
        <v/>
      </c>
      <c r="AX65" t="n">
        <v>0</v>
      </c>
      <c r="AY65" t="n">
        <v>3.16</v>
      </c>
      <c r="AZ65" t="inlineStr">
        <is>
          <t>ok</t>
        </is>
      </c>
      <c r="BA65" t="inlineStr"/>
      <c r="BB65" t="inlineStr">
        <is>
          <t>Assets/MachineBrigade/Resources/Data/balance.json: weapons[id=drone_gun] (lớp B trên 01_chien_dau/Vu_khi)</t>
        </is>
      </c>
      <c r="BC65" t="inlineStr"/>
    </row>
    <row r="66">
      <c r="A66" t="inlineStr">
        <is>
          <t>drone_missile</t>
        </is>
      </c>
      <c r="B66" t="n">
        <v>2</v>
      </c>
      <c r="C66">
        <f>IF(Vu_khi!$O$66="SIMULTANEOUS",MAX(1,Vu_khi!$N$66),1)</f>
        <v/>
      </c>
      <c r="D66" t="n">
        <v>1</v>
      </c>
      <c r="E66">
        <f>IF(Vu_khi!$S$66&gt;0,Vu_khi!$S$66,Vu_khi!$P$66*$C$66)</f>
        <v/>
      </c>
      <c r="F66" t="n">
        <v>1</v>
      </c>
      <c r="G66">
        <f>IF(Vu_khi!$S$66&gt;0,(Vu_khi!$S$66-1)*Vu_khi!$R$66+Vu_khi!$T$66,Vu_khi!$R$66+(Vu_khi!$P$66-1)*Vu_khi!$Q$66)</f>
        <v/>
      </c>
      <c r="H66" t="n">
        <v>3.58</v>
      </c>
      <c r="I66">
        <f>Vu_khi!$W$66*MAX(1,$E$66)</f>
        <v/>
      </c>
      <c r="J66" t="n">
        <v>260</v>
      </c>
      <c r="K66">
        <f>IF(Vu_khi!$V$66&gt;0,Vu_khi!$V$66,MIN(28,MAX(10,Vu_khi!$U$66*Vu_khi!$R$66*0.4)))</f>
        <v/>
      </c>
      <c r="L66" t="n">
        <v>10</v>
      </c>
      <c r="M66">
        <f>IF(Vu_khi!$W$66&lt;=0,0,IF(Vu_khi!$U$66&gt;0,$I$66*Vu_khi!$U$66/(MAX(0.05,$G$66)*Vu_khi!$U$66+$K$66),$I$66/MAX(0.05,$G$66)))</f>
        <v/>
      </c>
      <c r="N66" t="n">
        <v>72.62569832402235</v>
      </c>
      <c r="O66">
        <f>OR(Vu_khi!$AG$66,Vu_khi!$AB$66&gt;0,Vu_khi!$AH$66,Vu_khi!$M$66="Bomb",Vu_khi!$M$66="Drone")</f>
        <v/>
      </c>
      <c r="P66" t="b">
        <v>0</v>
      </c>
      <c r="Q66">
        <f>AND(NOT(Vu_khi!$AJ$66),OR(Vu_khi!$AC$66="Ground",Vu_khi!$AC$66="All"))</f>
        <v/>
      </c>
      <c r="R66" t="b">
        <v>1</v>
      </c>
      <c r="S66">
        <f>AND(NOT(Vu_khi!$AJ$66),OR(Vu_khi!$AC$66="Air",Vu_khi!$AC$66="All"))</f>
        <v/>
      </c>
      <c r="T66" t="b">
        <v>0</v>
      </c>
      <c r="U66">
        <f>INDEX(Bang_sat_thuong!$B$2:$B$7,MATCH(Vu_khi!$K$66,Bang_sat_thuong!$A$2:$A$7,0))</f>
        <v/>
      </c>
      <c r="V66" t="n">
        <v>1</v>
      </c>
      <c r="W66">
        <f>INDEX(Bang_sat_thuong!$C$2:$C$7,MATCH(Vu_khi!$K$66,Bang_sat_thuong!$A$2:$A$7,0))</f>
        <v/>
      </c>
      <c r="X66" t="n">
        <v>0.3</v>
      </c>
      <c r="Y66">
        <f>IF(AND(Vu_khi!$AI$66,Vu_khi!$K$66="HighExplosive"),MAX(He_so_toan_cuc!$D$2,INDEX(Bang_sat_thuong!$D$2:$D$7,MATCH(Vu_khi!$K$66,Bang_sat_thuong!$A$2:$A$7,0))),INDEX(Bang_sat_thuong!$D$2:$D$7,MATCH(Vu_khi!$K$66,Bang_sat_thuong!$A$2:$A$7,0)))</f>
        <v/>
      </c>
      <c r="Z66" t="n">
        <v>0.6</v>
      </c>
      <c r="AA66">
        <f>INDEX(Bang_xuyen_giap!$C$2:$C$7,MIN(6,MAX(1,IF($O$66,MAX(1,2-(Vu_khi!$L$66-0)),2-(Vu_khi!$L$66-0))+1)))</f>
        <v/>
      </c>
      <c r="AB66" t="n">
        <v>1.2</v>
      </c>
      <c r="AC66">
        <f>INDEX(Bang_xuyen_giap!$C$2:$C$7,MIN(6,MAX(1,IF($O$66,MAX(1,2-(Vu_khi!$L$66-2)),2-(Vu_khi!$L$66-2))+1)))</f>
        <v/>
      </c>
      <c r="AD66" t="n">
        <v>1.2</v>
      </c>
      <c r="AE66">
        <f>INDEX(Bang_xuyen_giap!$C$2:$C$7,MIN(6,MAX(1,IF($O$66,MAX(1,2-(Vu_khi!$L$66-4)),2-(Vu_khi!$L$66-4))+1)))</f>
        <v/>
      </c>
      <c r="AF66" t="n">
        <v>0.85</v>
      </c>
      <c r="AG66">
        <f>INDEX(Bang_xuyen_giap!$C$2:$C$7,MIN(6,MAX(1,MAX(1,2-(Vu_khi!$L$66-0))+1)))</f>
        <v/>
      </c>
      <c r="AH66" t="n">
        <v>1</v>
      </c>
      <c r="AI66">
        <f>IF($Q$66,$M$66*$AA$66*$U$66,0)</f>
        <v/>
      </c>
      <c r="AJ66" t="n">
        <v>87.15083798882682</v>
      </c>
      <c r="AK66">
        <f>IF($Q$66,$M$66*$AC$66*$U$66,0)</f>
        <v/>
      </c>
      <c r="AL66" t="n">
        <v>87.15083798882682</v>
      </c>
      <c r="AM66">
        <f>IF($Q$66,$M$66*$AE$66*$U$66,0)</f>
        <v/>
      </c>
      <c r="AN66" t="n">
        <v>61.731843575419</v>
      </c>
      <c r="AO66">
        <f>IF($Q$66,$M$66*$AC$66*$Y$66,0)</f>
        <v/>
      </c>
      <c r="AP66" t="n">
        <v>52.29050279329609</v>
      </c>
      <c r="AQ66">
        <f>IF($S$66,$M$66*$AG$66*$W$66,0)</f>
        <v/>
      </c>
      <c r="AR66" t="n">
        <v>0</v>
      </c>
      <c r="AS66">
        <f>IF(OR(Vu_khi!$M$66="Missile",Vu_khi!$M$66="Drone",AND(Vu_khi!$M$66="Rocket",OR(Vu_khi!$AM$66,Vu_khi!$D$66="guided")),Vu_khi!$AL$66,Vu_khi!$AK$66,Vu_khi!$X$66&lt;=0),FALSE,IF($B$66&gt;=0,$B$66&gt;=4,IF(Vu_khi!$M$66="Shell",Vu_khi!$AN$66&gt;=Canh_bao_vong!$D$10,IF(Vu_khi!$M$66="Bomb",Vu_khi!$AN$66&gt;=Canh_bao_vong!$D$3,IF(Vu_khi!$M$66="Rocket",Vu_khi!$AN$66&gt;=Canh_bao_vong!$D$13,FALSE)))))</f>
        <v/>
      </c>
      <c r="AT66" t="b">
        <v>0</v>
      </c>
      <c r="AU66">
        <f>IF(AND($B$66&lt;0,$AS$66),4,$B$66)</f>
        <v/>
      </c>
      <c r="AV66" t="n">
        <v>2</v>
      </c>
      <c r="AW66">
        <f>IF($AU$66&lt;4,0,MIN(MAX(0.5,Canh_bao_vong!$D$4),MAX(IF(Vu_khi!$C$66="cal_406",Canh_bao_vong!$D$7,IF($AU$66&gt;=5,Canh_bao_vong!$D$9,Canh_bao_vong!$D$8)),Canh_bao_vong!$D$2+MAX(0,Vu_khi!$X$66)/MAX(0.1,Canh_bao_vong!$D$5))))</f>
        <v/>
      </c>
      <c r="AX66" t="n">
        <v>0</v>
      </c>
      <c r="AY66" t="inlineStr"/>
      <c r="AZ66" t="inlineStr">
        <is>
          <t>ok</t>
        </is>
      </c>
      <c r="BA66" t="inlineStr"/>
      <c r="BB66" t="inlineStr">
        <is>
          <t>Assets/MachineBrigade/Resources/Data/balance.json: weapons[id=drone_missile] (lớp B trên 01_chien_dau/Vu_khi)</t>
        </is>
      </c>
      <c r="BC66" t="inlineStr"/>
    </row>
    <row r="67">
      <c r="A67" t="inlineStr">
        <is>
          <t>fighter_cannon</t>
        </is>
      </c>
      <c r="B67" t="n">
        <v>1</v>
      </c>
      <c r="C67">
        <f>IF(Vu_khi!$O$67="SIMULTANEOUS",MAX(1,Vu_khi!$N$67),1)</f>
        <v/>
      </c>
      <c r="D67" t="n">
        <v>1</v>
      </c>
      <c r="E67">
        <f>IF(Vu_khi!$S$67&gt;0,Vu_khi!$S$67,Vu_khi!$P$67*$C$67)</f>
        <v/>
      </c>
      <c r="F67" t="n">
        <v>44</v>
      </c>
      <c r="G67">
        <f>IF(Vu_khi!$S$67&gt;0,(Vu_khi!$S$67-1)*Vu_khi!$R$67+Vu_khi!$T$67,Vu_khi!$R$67+(Vu_khi!$P$67-1)*Vu_khi!$Q$67)</f>
        <v/>
      </c>
      <c r="H67" t="n">
        <v>5.9493</v>
      </c>
      <c r="I67">
        <f>Vu_khi!$W$67*MAX(1,$E$67)</f>
        <v/>
      </c>
      <c r="J67" t="n">
        <v>792</v>
      </c>
      <c r="K67">
        <f>IF(Vu_khi!$V$67&gt;0,Vu_khi!$V$67,MIN(28,MAX(10,Vu_khi!$U$67*Vu_khi!$R$67*0.4)))</f>
        <v/>
      </c>
      <c r="L67" t="n">
        <v>10</v>
      </c>
      <c r="M67">
        <f>IF(Vu_khi!$W$67&lt;=0,0,IF(Vu_khi!$U$67&gt;0,$I$67*Vu_khi!$U$67/(MAX(0.05,$G$67)*Vu_khi!$U$67+$K$67),$I$67/MAX(0.05,$G$67)))</f>
        <v/>
      </c>
      <c r="N67" t="n">
        <v>133.1249054510615</v>
      </c>
      <c r="O67">
        <f>OR(Vu_khi!$AG$67,Vu_khi!$AB$67&gt;0,Vu_khi!$AH$67,Vu_khi!$M$67="Bomb",Vu_khi!$M$67="Drone")</f>
        <v/>
      </c>
      <c r="P67" t="b">
        <v>0</v>
      </c>
      <c r="Q67">
        <f>AND(NOT(Vu_khi!$AJ$67),OR(Vu_khi!$AC$67="Ground",Vu_khi!$AC$67="All"))</f>
        <v/>
      </c>
      <c r="R67" t="b">
        <v>1</v>
      </c>
      <c r="S67">
        <f>AND(NOT(Vu_khi!$AJ$67),OR(Vu_khi!$AC$67="Air",Vu_khi!$AC$67="All"))</f>
        <v/>
      </c>
      <c r="T67" t="b">
        <v>1</v>
      </c>
      <c r="U67">
        <f>INDEX(Bang_sat_thuong!$B$2:$B$7,MATCH(Vu_khi!$K$67,Bang_sat_thuong!$A$2:$A$7,0))</f>
        <v/>
      </c>
      <c r="V67" t="n">
        <v>0.5</v>
      </c>
      <c r="W67">
        <f>INDEX(Bang_sat_thuong!$C$2:$C$7,MATCH(Vu_khi!$K$67,Bang_sat_thuong!$A$2:$A$7,0))</f>
        <v/>
      </c>
      <c r="X67" t="n">
        <v>1.3</v>
      </c>
      <c r="Y67">
        <f>IF(AND(Vu_khi!$AI$67,Vu_khi!$K$67="HighExplosive"),MAX(He_so_toan_cuc!$D$2,INDEX(Bang_sat_thuong!$D$2:$D$7,MATCH(Vu_khi!$K$67,Bang_sat_thuong!$A$2:$A$7,0))),INDEX(Bang_sat_thuong!$D$2:$D$7,MATCH(Vu_khi!$K$67,Bang_sat_thuong!$A$2:$A$7,0)))</f>
        <v/>
      </c>
      <c r="Z67" t="n">
        <v>0.1</v>
      </c>
      <c r="AA67">
        <f>INDEX(Bang_xuyen_giap!$C$2:$C$7,MIN(6,MAX(1,IF($O$67,MAX(1,2-(Vu_khi!$L$67-0)),2-(Vu_khi!$L$67-0))+1)))</f>
        <v/>
      </c>
      <c r="AB67" t="n">
        <v>1.2</v>
      </c>
      <c r="AC67">
        <f>INDEX(Bang_xuyen_giap!$C$2:$C$7,MIN(6,MAX(1,IF($O$67,MAX(1,2-(Vu_khi!$L$67-2)),2-(Vu_khi!$L$67-2))+1)))</f>
        <v/>
      </c>
      <c r="AD67" t="n">
        <v>0.85</v>
      </c>
      <c r="AE67">
        <f>INDEX(Bang_xuyen_giap!$C$2:$C$7,MIN(6,MAX(1,IF($O$67,MAX(1,2-(Vu_khi!$L$67-4)),2-(Vu_khi!$L$67-4))+1)))</f>
        <v/>
      </c>
      <c r="AF67" t="n">
        <v>0.25</v>
      </c>
      <c r="AG67">
        <f>INDEX(Bang_xuyen_giap!$C$2:$C$7,MIN(6,MAX(1,MAX(1,2-(Vu_khi!$L$67-0))+1)))</f>
        <v/>
      </c>
      <c r="AH67" t="n">
        <v>1</v>
      </c>
      <c r="AI67">
        <f>IF($Q$67,$M$67*$AA$67*$U$67,0)</f>
        <v/>
      </c>
      <c r="AJ67" t="n">
        <v>79.87494327063688</v>
      </c>
      <c r="AK67">
        <f>IF($Q$67,$M$67*$AC$67*$U$67,0)</f>
        <v/>
      </c>
      <c r="AL67" t="n">
        <v>56.57808481670112</v>
      </c>
      <c r="AM67">
        <f>IF($Q$67,$M$67*$AE$67*$U$67,0)</f>
        <v/>
      </c>
      <c r="AN67" t="n">
        <v>16.64061318138268</v>
      </c>
      <c r="AO67">
        <f>IF($Q$67,$M$67*$AC$67*$Y$67,0)</f>
        <v/>
      </c>
      <c r="AP67" t="n">
        <v>11.31561696334023</v>
      </c>
      <c r="AQ67">
        <f>IF($S$67,$M$67*$AG$67*$W$67,0)</f>
        <v/>
      </c>
      <c r="AR67" t="n">
        <v>173.0623770863799</v>
      </c>
      <c r="AS67">
        <f>IF(OR(Vu_khi!$M$67="Missile",Vu_khi!$M$67="Drone",AND(Vu_khi!$M$67="Rocket",OR(Vu_khi!$AM$67,Vu_khi!$D$67="guided")),Vu_khi!$AL$67,Vu_khi!$AK$67,Vu_khi!$X$67&lt;=0),FALSE,IF($B$67&gt;=0,$B$67&gt;=4,IF(Vu_khi!$M$67="Shell",Vu_khi!$AN$67&gt;=Canh_bao_vong!$D$10,IF(Vu_khi!$M$67="Bomb",Vu_khi!$AN$67&gt;=Canh_bao_vong!$D$3,IF(Vu_khi!$M$67="Rocket",Vu_khi!$AN$67&gt;=Canh_bao_vong!$D$13,FALSE)))))</f>
        <v/>
      </c>
      <c r="AT67" t="b">
        <v>0</v>
      </c>
      <c r="AU67">
        <f>IF(AND($B$67&lt;0,$AS$67),4,$B$67)</f>
        <v/>
      </c>
      <c r="AV67" t="n">
        <v>1</v>
      </c>
      <c r="AW67">
        <f>IF($AU$67&lt;4,0,MIN(MAX(0.5,Canh_bao_vong!$D$4),MAX(IF(Vu_khi!$C$67="cal_406",Canh_bao_vong!$D$7,IF($AU$67&gt;=5,Canh_bao_vong!$D$9,Canh_bao_vong!$D$8)),Canh_bao_vong!$D$2+MAX(0,Vu_khi!$X$67)/MAX(0.1,Canh_bao_vong!$D$5))))</f>
        <v/>
      </c>
      <c r="AX67" t="n">
        <v>0</v>
      </c>
      <c r="AY67" t="n">
        <v>7.436625</v>
      </c>
      <c r="AZ67" t="inlineStr">
        <is>
          <t>ok</t>
        </is>
      </c>
      <c r="BA67" t="inlineStr"/>
      <c r="BB67" t="inlineStr">
        <is>
          <t>Assets/MachineBrigade/Resources/Data/balance.json: weapons[id=fighter_cannon] (lớp B trên 01_chien_dau/Vu_khi)</t>
        </is>
      </c>
      <c r="BC67" t="inlineStr"/>
    </row>
    <row r="68">
      <c r="A68" t="inlineStr">
        <is>
          <t>fighter_cannon_ap</t>
        </is>
      </c>
      <c r="B68" t="n">
        <v>1</v>
      </c>
      <c r="C68">
        <f>IF(Vu_khi!$O$68="SIMULTANEOUS",MAX(1,Vu_khi!$N$68),1)</f>
        <v/>
      </c>
      <c r="D68" t="n">
        <v>1</v>
      </c>
      <c r="E68">
        <f>IF(Vu_khi!$S$68&gt;0,Vu_khi!$S$68,Vu_khi!$P$68*$C$68)</f>
        <v/>
      </c>
      <c r="F68" t="n">
        <v>44</v>
      </c>
      <c r="G68">
        <f>IF(Vu_khi!$S$68&gt;0,(Vu_khi!$S$68-1)*Vu_khi!$R$68+Vu_khi!$T$68,Vu_khi!$R$68+(Vu_khi!$P$68-1)*Vu_khi!$Q$68)</f>
        <v/>
      </c>
      <c r="H68" t="n">
        <v>5.9493</v>
      </c>
      <c r="I68">
        <f>Vu_khi!$W$68*MAX(1,$E$68)</f>
        <v/>
      </c>
      <c r="J68" t="n">
        <v>792</v>
      </c>
      <c r="K68">
        <f>IF(Vu_khi!$V$68&gt;0,Vu_khi!$V$68,MIN(28,MAX(10,Vu_khi!$U$68*Vu_khi!$R$68*0.4)))</f>
        <v/>
      </c>
      <c r="L68" t="n">
        <v>10</v>
      </c>
      <c r="M68">
        <f>IF(Vu_khi!$W$68&lt;=0,0,IF(Vu_khi!$U$68&gt;0,$I$68*Vu_khi!$U$68/(MAX(0.05,$G$68)*Vu_khi!$U$68+$K$68),$I$68/MAX(0.05,$G$68)))</f>
        <v/>
      </c>
      <c r="N68" t="n">
        <v>133.1249054510615</v>
      </c>
      <c r="O68">
        <f>OR(Vu_khi!$AG$68,Vu_khi!$AB$68&gt;0,Vu_khi!$AH$68,Vu_khi!$M$68="Bomb",Vu_khi!$M$68="Drone")</f>
        <v/>
      </c>
      <c r="P68" t="b">
        <v>0</v>
      </c>
      <c r="Q68">
        <f>AND(NOT(Vu_khi!$AJ$68),OR(Vu_khi!$AC$68="Ground",Vu_khi!$AC$68="All"))</f>
        <v/>
      </c>
      <c r="R68" t="b">
        <v>1</v>
      </c>
      <c r="S68">
        <f>AND(NOT(Vu_khi!$AJ$68),OR(Vu_khi!$AC$68="Air",Vu_khi!$AC$68="All"))</f>
        <v/>
      </c>
      <c r="T68" t="b">
        <v>0</v>
      </c>
      <c r="U68">
        <f>INDEX(Bang_sat_thuong!$B$2:$B$7,MATCH(Vu_khi!$K$68,Bang_sat_thuong!$A$2:$A$7,0))</f>
        <v/>
      </c>
      <c r="V68" t="n">
        <v>1</v>
      </c>
      <c r="W68">
        <f>INDEX(Bang_sat_thuong!$C$2:$C$7,MATCH(Vu_khi!$K$68,Bang_sat_thuong!$A$2:$A$7,0))</f>
        <v/>
      </c>
      <c r="X68" t="n">
        <v>0.3</v>
      </c>
      <c r="Y68">
        <f>IF(AND(Vu_khi!$AI$68,Vu_khi!$K$68="HighExplosive"),MAX(He_so_toan_cuc!$D$2,INDEX(Bang_sat_thuong!$D$2:$D$7,MATCH(Vu_khi!$K$68,Bang_sat_thuong!$A$2:$A$7,0))),INDEX(Bang_sat_thuong!$D$2:$D$7,MATCH(Vu_khi!$K$68,Bang_sat_thuong!$A$2:$A$7,0)))</f>
        <v/>
      </c>
      <c r="Z68" t="n">
        <v>0.6</v>
      </c>
      <c r="AA68">
        <f>INDEX(Bang_xuyen_giap!$C$2:$C$7,MIN(6,MAX(1,IF($O$68,MAX(1,2-(Vu_khi!$L$68-0)),2-(Vu_khi!$L$68-0))+1)))</f>
        <v/>
      </c>
      <c r="AB68" t="n">
        <v>1.2</v>
      </c>
      <c r="AC68">
        <f>INDEX(Bang_xuyen_giap!$C$2:$C$7,MIN(6,MAX(1,IF($O$68,MAX(1,2-(Vu_khi!$L$68-2)),2-(Vu_khi!$L$68-2))+1)))</f>
        <v/>
      </c>
      <c r="AD68" t="n">
        <v>0.85</v>
      </c>
      <c r="AE68">
        <f>INDEX(Bang_xuyen_giap!$C$2:$C$7,MIN(6,MAX(1,IF($O$68,MAX(1,2-(Vu_khi!$L$68-4)),2-(Vu_khi!$L$68-4))+1)))</f>
        <v/>
      </c>
      <c r="AF68" t="n">
        <v>0.25</v>
      </c>
      <c r="AG68">
        <f>INDEX(Bang_xuyen_giap!$C$2:$C$7,MIN(6,MAX(1,MAX(1,2-(Vu_khi!$L$68-0))+1)))</f>
        <v/>
      </c>
      <c r="AH68" t="n">
        <v>1</v>
      </c>
      <c r="AI68">
        <f>IF($Q$68,$M$68*$AA$68*$U$68,0)</f>
        <v/>
      </c>
      <c r="AJ68" t="n">
        <v>159.7498865412738</v>
      </c>
      <c r="AK68">
        <f>IF($Q$68,$M$68*$AC$68*$U$68,0)</f>
        <v/>
      </c>
      <c r="AL68" t="n">
        <v>113.1561696334022</v>
      </c>
      <c r="AM68">
        <f>IF($Q$68,$M$68*$AE$68*$U$68,0)</f>
        <v/>
      </c>
      <c r="AN68" t="n">
        <v>33.28122636276537</v>
      </c>
      <c r="AO68">
        <f>IF($Q$68,$M$68*$AC$68*$Y$68,0)</f>
        <v/>
      </c>
      <c r="AP68" t="n">
        <v>67.89370178004135</v>
      </c>
      <c r="AQ68">
        <f>IF($S$68,$M$68*$AG$68*$W$68,0)</f>
        <v/>
      </c>
      <c r="AR68" t="n">
        <v>0</v>
      </c>
      <c r="AS68">
        <f>IF(OR(Vu_khi!$M$68="Missile",Vu_khi!$M$68="Drone",AND(Vu_khi!$M$68="Rocket",OR(Vu_khi!$AM$68,Vu_khi!$D$68="guided")),Vu_khi!$AL$68,Vu_khi!$AK$68,Vu_khi!$X$68&lt;=0),FALSE,IF($B$68&gt;=0,$B$68&gt;=4,IF(Vu_khi!$M$68="Shell",Vu_khi!$AN$68&gt;=Canh_bao_vong!$D$10,IF(Vu_khi!$M$68="Bomb",Vu_khi!$AN$68&gt;=Canh_bao_vong!$D$3,IF(Vu_khi!$M$68="Rocket",Vu_khi!$AN$68&gt;=Canh_bao_vong!$D$13,FALSE)))))</f>
        <v/>
      </c>
      <c r="AT68" t="b">
        <v>0</v>
      </c>
      <c r="AU68">
        <f>IF(AND($B$68&lt;0,$AS$68),4,$B$68)</f>
        <v/>
      </c>
      <c r="AV68" t="n">
        <v>1</v>
      </c>
      <c r="AW68">
        <f>IF($AU$68&lt;4,0,MIN(MAX(0.5,Canh_bao_vong!$D$4),MAX(IF(Vu_khi!$C$68="cal_406",Canh_bao_vong!$D$7,IF($AU$68&gt;=5,Canh_bao_vong!$D$9,Canh_bao_vong!$D$8)),Canh_bao_vong!$D$2+MAX(0,Vu_khi!$X$68)/MAX(0.1,Canh_bao_vong!$D$5))))</f>
        <v/>
      </c>
      <c r="AX68" t="n">
        <v>0</v>
      </c>
      <c r="BB68" t="inlineStr">
        <is>
          <t>Assets/MachineBrigade/Resources/Data/balance.json: weapons[id=fighter_cannon_ap] (lớp B trên 01_chien_dau/Vu_khi)</t>
        </is>
      </c>
      <c r="BC68" t="inlineStr"/>
    </row>
    <row r="69">
      <c r="A69" t="inlineStr">
        <is>
          <t>flak_35</t>
        </is>
      </c>
      <c r="B69" t="n">
        <v>1</v>
      </c>
      <c r="C69">
        <f>IF(Vu_khi!$O$69="SIMULTANEOUS",MAX(1,Vu_khi!$N$69),1)</f>
        <v/>
      </c>
      <c r="D69" t="n">
        <v>1</v>
      </c>
      <c r="E69">
        <f>IF(Vu_khi!$S$69&gt;0,Vu_khi!$S$69,Vu_khi!$P$69*$C$69)</f>
        <v/>
      </c>
      <c r="F69" t="n">
        <v>22</v>
      </c>
      <c r="G69">
        <f>IF(Vu_khi!$S$69&gt;0,(Vu_khi!$S$69-1)*Vu_khi!$R$69+Vu_khi!$T$69,Vu_khi!$R$69+(Vu_khi!$P$69-1)*Vu_khi!$Q$69)</f>
        <v/>
      </c>
      <c r="H69" t="n">
        <v>6.5</v>
      </c>
      <c r="I69">
        <f>Vu_khi!$W$69*MAX(1,$E$69)</f>
        <v/>
      </c>
      <c r="J69" t="n">
        <v>572</v>
      </c>
      <c r="K69">
        <f>IF(Vu_khi!$V$69&gt;0,Vu_khi!$V$69,MIN(28,MAX(10,Vu_khi!$U$69*Vu_khi!$R$69*0.4)))</f>
        <v/>
      </c>
      <c r="L69" t="n">
        <v>10</v>
      </c>
      <c r="M69">
        <f>IF(Vu_khi!$W$69&lt;=0,0,IF(Vu_khi!$U$69&gt;0,$I$69*Vu_khi!$U$69/(MAX(0.05,$G$69)*Vu_khi!$U$69+$K$69),$I$69/MAX(0.05,$G$69)))</f>
        <v/>
      </c>
      <c r="N69" t="n">
        <v>88</v>
      </c>
      <c r="O69">
        <f>OR(Vu_khi!$AG$69,Vu_khi!$AB$69&gt;0,Vu_khi!$AH$69,Vu_khi!$M$69="Bomb",Vu_khi!$M$69="Drone")</f>
        <v/>
      </c>
      <c r="P69" t="b">
        <v>0</v>
      </c>
      <c r="Q69">
        <f>AND(NOT(Vu_khi!$AJ$69),OR(Vu_khi!$AC$69="Ground",Vu_khi!$AC$69="All"))</f>
        <v/>
      </c>
      <c r="R69" t="b">
        <v>1</v>
      </c>
      <c r="S69">
        <f>AND(NOT(Vu_khi!$AJ$69),OR(Vu_khi!$AC$69="Air",Vu_khi!$AC$69="All"))</f>
        <v/>
      </c>
      <c r="T69" t="b">
        <v>1</v>
      </c>
      <c r="U69">
        <f>INDEX(Bang_sat_thuong!$B$2:$B$7,MATCH(Vu_khi!$K$69,Bang_sat_thuong!$A$2:$A$7,0))</f>
        <v/>
      </c>
      <c r="V69" t="n">
        <v>0.5</v>
      </c>
      <c r="W69">
        <f>INDEX(Bang_sat_thuong!$C$2:$C$7,MATCH(Vu_khi!$K$69,Bang_sat_thuong!$A$2:$A$7,0))</f>
        <v/>
      </c>
      <c r="X69" t="n">
        <v>1.3</v>
      </c>
      <c r="Y69">
        <f>IF(AND(Vu_khi!$AI$69,Vu_khi!$K$69="HighExplosive"),MAX(He_so_toan_cuc!$D$2,INDEX(Bang_sat_thuong!$D$2:$D$7,MATCH(Vu_khi!$K$69,Bang_sat_thuong!$A$2:$A$7,0))),INDEX(Bang_sat_thuong!$D$2:$D$7,MATCH(Vu_khi!$K$69,Bang_sat_thuong!$A$2:$A$7,0)))</f>
        <v/>
      </c>
      <c r="Z69" t="n">
        <v>0.1</v>
      </c>
      <c r="AA69">
        <f>INDEX(Bang_xuyen_giap!$C$2:$C$7,MIN(6,MAX(1,IF($O$69,MAX(1,2-(Vu_khi!$L$69-0)),2-(Vu_khi!$L$69-0))+1)))</f>
        <v/>
      </c>
      <c r="AB69" t="n">
        <v>1.2</v>
      </c>
      <c r="AC69">
        <f>INDEX(Bang_xuyen_giap!$C$2:$C$7,MIN(6,MAX(1,IF($O$69,MAX(1,2-(Vu_khi!$L$69-2)),2-(Vu_khi!$L$69-2))+1)))</f>
        <v/>
      </c>
      <c r="AD69" t="n">
        <v>0.85</v>
      </c>
      <c r="AE69">
        <f>INDEX(Bang_xuyen_giap!$C$2:$C$7,MIN(6,MAX(1,IF($O$69,MAX(1,2-(Vu_khi!$L$69-4)),2-(Vu_khi!$L$69-4))+1)))</f>
        <v/>
      </c>
      <c r="AF69" t="n">
        <v>0.25</v>
      </c>
      <c r="AG69">
        <f>INDEX(Bang_xuyen_giap!$C$2:$C$7,MIN(6,MAX(1,MAX(1,2-(Vu_khi!$L$69-0))+1)))</f>
        <v/>
      </c>
      <c r="AH69" t="n">
        <v>1</v>
      </c>
      <c r="AI69">
        <f>IF($Q$69,$M$69*$AA$69*$U$69,0)</f>
        <v/>
      </c>
      <c r="AJ69" t="n">
        <v>52.8</v>
      </c>
      <c r="AK69">
        <f>IF($Q$69,$M$69*$AC$69*$U$69,0)</f>
        <v/>
      </c>
      <c r="AL69" t="n">
        <v>37.4</v>
      </c>
      <c r="AM69">
        <f>IF($Q$69,$M$69*$AE$69*$U$69,0)</f>
        <v/>
      </c>
      <c r="AN69" t="n">
        <v>11</v>
      </c>
      <c r="AO69">
        <f>IF($Q$69,$M$69*$AC$69*$Y$69,0)</f>
        <v/>
      </c>
      <c r="AP69" t="n">
        <v>7.48</v>
      </c>
      <c r="AQ69">
        <f>IF($S$69,$M$69*$AG$69*$W$69,0)</f>
        <v/>
      </c>
      <c r="AR69" t="n">
        <v>114.4</v>
      </c>
      <c r="AS69">
        <f>IF(OR(Vu_khi!$M$69="Missile",Vu_khi!$M$69="Drone",AND(Vu_khi!$M$69="Rocket",OR(Vu_khi!$AM$69,Vu_khi!$D$69="guided")),Vu_khi!$AL$69,Vu_khi!$AK$69,Vu_khi!$X$69&lt;=0),FALSE,IF($B$69&gt;=0,$B$69&gt;=4,IF(Vu_khi!$M$69="Shell",Vu_khi!$AN$69&gt;=Canh_bao_vong!$D$10,IF(Vu_khi!$M$69="Bomb",Vu_khi!$AN$69&gt;=Canh_bao_vong!$D$3,IF(Vu_khi!$M$69="Rocket",Vu_khi!$AN$69&gt;=Canh_bao_vong!$D$13,FALSE)))))</f>
        <v/>
      </c>
      <c r="AT69" t="b">
        <v>0</v>
      </c>
      <c r="AU69">
        <f>IF(AND($B$69&lt;0,$AS$69),4,$B$69)</f>
        <v/>
      </c>
      <c r="AV69" t="n">
        <v>1</v>
      </c>
      <c r="AW69">
        <f>IF($AU$69&lt;4,0,MIN(MAX(0.5,Canh_bao_vong!$D$4),MAX(IF(Vu_khi!$C$69="cal_406",Canh_bao_vong!$D$7,IF($AU$69&gt;=5,Canh_bao_vong!$D$9,Canh_bao_vong!$D$8)),Canh_bao_vong!$D$2+MAX(0,Vu_khi!$X$69)/MAX(0.1,Canh_bao_vong!$D$5))))</f>
        <v/>
      </c>
      <c r="AX69" t="n">
        <v>0</v>
      </c>
      <c r="AY69" t="n">
        <v>5.416667</v>
      </c>
      <c r="AZ69" t="inlineStr">
        <is>
          <t>CHAM_QUA</t>
        </is>
      </c>
      <c r="BA69" t="inlineStr"/>
      <c r="BB69" t="inlineStr">
        <is>
          <t>Assets/MachineBrigade/Resources/Data/balance.json: weapons[id=flak_35] (lớp B trên 01_chien_dau/Vu_khi)</t>
        </is>
      </c>
      <c r="BC69" t="inlineStr"/>
    </row>
    <row r="70">
      <c r="A70" t="inlineStr">
        <is>
          <t>flak_35_ap</t>
        </is>
      </c>
      <c r="B70" t="n">
        <v>1</v>
      </c>
      <c r="C70">
        <f>IF(Vu_khi!$O$70="SIMULTANEOUS",MAX(1,Vu_khi!$N$70),1)</f>
        <v/>
      </c>
      <c r="D70" t="n">
        <v>1</v>
      </c>
      <c r="E70">
        <f>IF(Vu_khi!$S$70&gt;0,Vu_khi!$S$70,Vu_khi!$P$70*$C$70)</f>
        <v/>
      </c>
      <c r="F70" t="n">
        <v>22</v>
      </c>
      <c r="G70">
        <f>IF(Vu_khi!$S$70&gt;0,(Vu_khi!$S$70-1)*Vu_khi!$R$70+Vu_khi!$T$70,Vu_khi!$R$70+(Vu_khi!$P$70-1)*Vu_khi!$Q$70)</f>
        <v/>
      </c>
      <c r="H70" t="n">
        <v>6.5</v>
      </c>
      <c r="I70">
        <f>Vu_khi!$W$70*MAX(1,$E$70)</f>
        <v/>
      </c>
      <c r="J70" t="n">
        <v>572</v>
      </c>
      <c r="K70">
        <f>IF(Vu_khi!$V$70&gt;0,Vu_khi!$V$70,MIN(28,MAX(10,Vu_khi!$U$70*Vu_khi!$R$70*0.4)))</f>
        <v/>
      </c>
      <c r="L70" t="n">
        <v>10</v>
      </c>
      <c r="M70">
        <f>IF(Vu_khi!$W$70&lt;=0,0,IF(Vu_khi!$U$70&gt;0,$I$70*Vu_khi!$U$70/(MAX(0.05,$G$70)*Vu_khi!$U$70+$K$70),$I$70/MAX(0.05,$G$70)))</f>
        <v/>
      </c>
      <c r="N70" t="n">
        <v>88</v>
      </c>
      <c r="O70">
        <f>OR(Vu_khi!$AG$70,Vu_khi!$AB$70&gt;0,Vu_khi!$AH$70,Vu_khi!$M$70="Bomb",Vu_khi!$M$70="Drone")</f>
        <v/>
      </c>
      <c r="P70" t="b">
        <v>0</v>
      </c>
      <c r="Q70">
        <f>AND(NOT(Vu_khi!$AJ$70),OR(Vu_khi!$AC$70="Ground",Vu_khi!$AC$70="All"))</f>
        <v/>
      </c>
      <c r="R70" t="b">
        <v>1</v>
      </c>
      <c r="S70">
        <f>AND(NOT(Vu_khi!$AJ$70),OR(Vu_khi!$AC$70="Air",Vu_khi!$AC$70="All"))</f>
        <v/>
      </c>
      <c r="T70" t="b">
        <v>0</v>
      </c>
      <c r="U70">
        <f>INDEX(Bang_sat_thuong!$B$2:$B$7,MATCH(Vu_khi!$K$70,Bang_sat_thuong!$A$2:$A$7,0))</f>
        <v/>
      </c>
      <c r="V70" t="n">
        <v>1</v>
      </c>
      <c r="W70">
        <f>INDEX(Bang_sat_thuong!$C$2:$C$7,MATCH(Vu_khi!$K$70,Bang_sat_thuong!$A$2:$A$7,0))</f>
        <v/>
      </c>
      <c r="X70" t="n">
        <v>0.3</v>
      </c>
      <c r="Y70">
        <f>IF(AND(Vu_khi!$AI$70,Vu_khi!$K$70="HighExplosive"),MAX(He_so_toan_cuc!$D$2,INDEX(Bang_sat_thuong!$D$2:$D$7,MATCH(Vu_khi!$K$70,Bang_sat_thuong!$A$2:$A$7,0))),INDEX(Bang_sat_thuong!$D$2:$D$7,MATCH(Vu_khi!$K$70,Bang_sat_thuong!$A$2:$A$7,0)))</f>
        <v/>
      </c>
      <c r="Z70" t="n">
        <v>0.6</v>
      </c>
      <c r="AA70">
        <f>INDEX(Bang_xuyen_giap!$C$2:$C$7,MIN(6,MAX(1,IF($O$70,MAX(1,2-(Vu_khi!$L$70-0)),2-(Vu_khi!$L$70-0))+1)))</f>
        <v/>
      </c>
      <c r="AB70" t="n">
        <v>1.2</v>
      </c>
      <c r="AC70">
        <f>INDEX(Bang_xuyen_giap!$C$2:$C$7,MIN(6,MAX(1,IF($O$70,MAX(1,2-(Vu_khi!$L$70-2)),2-(Vu_khi!$L$70-2))+1)))</f>
        <v/>
      </c>
      <c r="AD70" t="n">
        <v>0.85</v>
      </c>
      <c r="AE70">
        <f>INDEX(Bang_xuyen_giap!$C$2:$C$7,MIN(6,MAX(1,IF($O$70,MAX(1,2-(Vu_khi!$L$70-4)),2-(Vu_khi!$L$70-4))+1)))</f>
        <v/>
      </c>
      <c r="AF70" t="n">
        <v>0.25</v>
      </c>
      <c r="AG70">
        <f>INDEX(Bang_xuyen_giap!$C$2:$C$7,MIN(6,MAX(1,MAX(1,2-(Vu_khi!$L$70-0))+1)))</f>
        <v/>
      </c>
      <c r="AH70" t="n">
        <v>1</v>
      </c>
      <c r="AI70">
        <f>IF($Q$70,$M$70*$AA$70*$U$70,0)</f>
        <v/>
      </c>
      <c r="AJ70" t="n">
        <v>105.6</v>
      </c>
      <c r="AK70">
        <f>IF($Q$70,$M$70*$AC$70*$U$70,0)</f>
        <v/>
      </c>
      <c r="AL70" t="n">
        <v>74.8</v>
      </c>
      <c r="AM70">
        <f>IF($Q$70,$M$70*$AE$70*$U$70,0)</f>
        <v/>
      </c>
      <c r="AN70" t="n">
        <v>22</v>
      </c>
      <c r="AO70">
        <f>IF($Q$70,$M$70*$AC$70*$Y$70,0)</f>
        <v/>
      </c>
      <c r="AP70" t="n">
        <v>44.88</v>
      </c>
      <c r="AQ70">
        <f>IF($S$70,$M$70*$AG$70*$W$70,0)</f>
        <v/>
      </c>
      <c r="AR70" t="n">
        <v>0</v>
      </c>
      <c r="AS70">
        <f>IF(OR(Vu_khi!$M$70="Missile",Vu_khi!$M$70="Drone",AND(Vu_khi!$M$70="Rocket",OR(Vu_khi!$AM$70,Vu_khi!$D$70="guided")),Vu_khi!$AL$70,Vu_khi!$AK$70,Vu_khi!$X$70&lt;=0),FALSE,IF($B$70&gt;=0,$B$70&gt;=4,IF(Vu_khi!$M$70="Shell",Vu_khi!$AN$70&gt;=Canh_bao_vong!$D$10,IF(Vu_khi!$M$70="Bomb",Vu_khi!$AN$70&gt;=Canh_bao_vong!$D$3,IF(Vu_khi!$M$70="Rocket",Vu_khi!$AN$70&gt;=Canh_bao_vong!$D$13,FALSE)))))</f>
        <v/>
      </c>
      <c r="AT70" t="b">
        <v>0</v>
      </c>
      <c r="AU70">
        <f>IF(AND($B$70&lt;0,$AS$70),4,$B$70)</f>
        <v/>
      </c>
      <c r="AV70" t="n">
        <v>1</v>
      </c>
      <c r="AW70">
        <f>IF($AU$70&lt;4,0,MIN(MAX(0.5,Canh_bao_vong!$D$4),MAX(IF(Vu_khi!$C$70="cal_406",Canh_bao_vong!$D$7,IF($AU$70&gt;=5,Canh_bao_vong!$D$9,Canh_bao_vong!$D$8)),Canh_bao_vong!$D$2+MAX(0,Vu_khi!$X$70)/MAX(0.1,Canh_bao_vong!$D$5))))</f>
        <v/>
      </c>
      <c r="AX70" t="n">
        <v>0</v>
      </c>
      <c r="BB70" t="inlineStr">
        <is>
          <t>Assets/MachineBrigade/Resources/Data/balance.json: weapons[id=flak_35_ap] (lớp B trên 01_chien_dau/Vu_khi)</t>
        </is>
      </c>
      <c r="BC70" t="inlineStr"/>
    </row>
    <row r="71">
      <c r="A71" t="inlineStr">
        <is>
          <t>flak_quad</t>
        </is>
      </c>
      <c r="B71" t="n">
        <v>1</v>
      </c>
      <c r="C71">
        <f>IF(Vu_khi!$O$71="SIMULTANEOUS",MAX(1,Vu_khi!$N$71),1)</f>
        <v/>
      </c>
      <c r="D71" t="n">
        <v>1</v>
      </c>
      <c r="E71">
        <f>IF(Vu_khi!$S$71&gt;0,Vu_khi!$S$71,Vu_khi!$P$71*$C$71)</f>
        <v/>
      </c>
      <c r="F71" t="n">
        <v>54</v>
      </c>
      <c r="G71">
        <f>IF(Vu_khi!$S$71&gt;0,(Vu_khi!$S$71-1)*Vu_khi!$R$71+Vu_khi!$T$71,Vu_khi!$R$71+(Vu_khi!$P$71-1)*Vu_khi!$Q$71)</f>
        <v/>
      </c>
      <c r="H71" t="n">
        <v>3.2172</v>
      </c>
      <c r="I71">
        <f>Vu_khi!$W$71*MAX(1,$E$71)</f>
        <v/>
      </c>
      <c r="J71" t="n">
        <v>756</v>
      </c>
      <c r="K71">
        <f>IF(Vu_khi!$V$71&gt;0,Vu_khi!$V$71,MIN(28,MAX(10,Vu_khi!$U$71*Vu_khi!$R$71*0.4)))</f>
        <v/>
      </c>
      <c r="L71" t="n">
        <v>10</v>
      </c>
      <c r="M71">
        <f>IF(Vu_khi!$W$71&lt;=0,0,IF(Vu_khi!$U$71&gt;0,$I$71*Vu_khi!$U$71/(MAX(0.05,$G$71)*Vu_khi!$U$71+$K$71),$I$71/MAX(0.05,$G$71)))</f>
        <v/>
      </c>
      <c r="N71" t="n">
        <v>234.9869451697128</v>
      </c>
      <c r="O71">
        <f>OR(Vu_khi!$AG$71,Vu_khi!$AB$71&gt;0,Vu_khi!$AH$71,Vu_khi!$M$71="Bomb",Vu_khi!$M$71="Drone")</f>
        <v/>
      </c>
      <c r="P71" t="b">
        <v>0</v>
      </c>
      <c r="Q71">
        <f>AND(NOT(Vu_khi!$AJ$71),OR(Vu_khi!$AC$71="Ground",Vu_khi!$AC$71="All"))</f>
        <v/>
      </c>
      <c r="R71" t="b">
        <v>1</v>
      </c>
      <c r="S71">
        <f>AND(NOT(Vu_khi!$AJ$71),OR(Vu_khi!$AC$71="Air",Vu_khi!$AC$71="All"))</f>
        <v/>
      </c>
      <c r="T71" t="b">
        <v>1</v>
      </c>
      <c r="U71">
        <f>INDEX(Bang_sat_thuong!$B$2:$B$7,MATCH(Vu_khi!$K$71,Bang_sat_thuong!$A$2:$A$7,0))</f>
        <v/>
      </c>
      <c r="V71" t="n">
        <v>0.5</v>
      </c>
      <c r="W71">
        <f>INDEX(Bang_sat_thuong!$C$2:$C$7,MATCH(Vu_khi!$K$71,Bang_sat_thuong!$A$2:$A$7,0))</f>
        <v/>
      </c>
      <c r="X71" t="n">
        <v>1.3</v>
      </c>
      <c r="Y71">
        <f>IF(AND(Vu_khi!$AI$71,Vu_khi!$K$71="HighExplosive"),MAX(He_so_toan_cuc!$D$2,INDEX(Bang_sat_thuong!$D$2:$D$7,MATCH(Vu_khi!$K$71,Bang_sat_thuong!$A$2:$A$7,0))),INDEX(Bang_sat_thuong!$D$2:$D$7,MATCH(Vu_khi!$K$71,Bang_sat_thuong!$A$2:$A$7,0)))</f>
        <v/>
      </c>
      <c r="Z71" t="n">
        <v>0.1</v>
      </c>
      <c r="AA71">
        <f>INDEX(Bang_xuyen_giap!$C$2:$C$7,MIN(6,MAX(1,IF($O$71,MAX(1,2-(Vu_khi!$L$71-0)),2-(Vu_khi!$L$71-0))+1)))</f>
        <v/>
      </c>
      <c r="AB71" t="n">
        <v>1</v>
      </c>
      <c r="AC71">
        <f>INDEX(Bang_xuyen_giap!$C$2:$C$7,MIN(6,MAX(1,IF($O$71,MAX(1,2-(Vu_khi!$L$71-2)),2-(Vu_khi!$L$71-2))+1)))</f>
        <v/>
      </c>
      <c r="AD71" t="n">
        <v>0.5</v>
      </c>
      <c r="AE71">
        <f>INDEX(Bang_xuyen_giap!$C$2:$C$7,MIN(6,MAX(1,IF($O$71,MAX(1,2-(Vu_khi!$L$71-4)),2-(Vu_khi!$L$71-4))+1)))</f>
        <v/>
      </c>
      <c r="AF71" t="n">
        <v>0.1</v>
      </c>
      <c r="AG71">
        <f>INDEX(Bang_xuyen_giap!$C$2:$C$7,MIN(6,MAX(1,MAX(1,2-(Vu_khi!$L$71-0))+1)))</f>
        <v/>
      </c>
      <c r="AH71" t="n">
        <v>1</v>
      </c>
      <c r="AI71">
        <f>IF($Q$71,$M$71*$AA$71*$U$71,0)</f>
        <v/>
      </c>
      <c r="AJ71" t="n">
        <v>117.4934725848564</v>
      </c>
      <c r="AK71">
        <f>IF($Q$71,$M$71*$AC$71*$U$71,0)</f>
        <v/>
      </c>
      <c r="AL71" t="n">
        <v>58.7467362924282</v>
      </c>
      <c r="AM71">
        <f>IF($Q$71,$M$71*$AE$71*$U$71,0)</f>
        <v/>
      </c>
      <c r="AN71" t="n">
        <v>11.74934725848564</v>
      </c>
      <c r="AO71">
        <f>IF($Q$71,$M$71*$AC$71*$Y$71,0)</f>
        <v/>
      </c>
      <c r="AP71" t="n">
        <v>11.74934725848564</v>
      </c>
      <c r="AQ71">
        <f>IF($S$71,$M$71*$AG$71*$W$71,0)</f>
        <v/>
      </c>
      <c r="AR71" t="n">
        <v>305.4830287206266</v>
      </c>
      <c r="AS71">
        <f>IF(OR(Vu_khi!$M$71="Missile",Vu_khi!$M$71="Drone",AND(Vu_khi!$M$71="Rocket",OR(Vu_khi!$AM$71,Vu_khi!$D$71="guided")),Vu_khi!$AL$71,Vu_khi!$AK$71,Vu_khi!$X$71&lt;=0),FALSE,IF($B$71&gt;=0,$B$71&gt;=4,IF(Vu_khi!$M$71="Shell",Vu_khi!$AN$71&gt;=Canh_bao_vong!$D$10,IF(Vu_khi!$M$71="Bomb",Vu_khi!$AN$71&gt;=Canh_bao_vong!$D$3,IF(Vu_khi!$M$71="Rocket",Vu_khi!$AN$71&gt;=Canh_bao_vong!$D$13,FALSE)))))</f>
        <v/>
      </c>
      <c r="AT71" t="b">
        <v>0</v>
      </c>
      <c r="AU71">
        <f>IF(AND($B$71&lt;0,$AS$71),4,$B$71)</f>
        <v/>
      </c>
      <c r="AV71" t="n">
        <v>1</v>
      </c>
      <c r="AW71">
        <f>IF($AU$71&lt;4,0,MIN(MAX(0.5,Canh_bao_vong!$D$4),MAX(IF(Vu_khi!$C$71="cal_406",Canh_bao_vong!$D$7,IF($AU$71&gt;=5,Canh_bao_vong!$D$9,Canh_bao_vong!$D$8)),Canh_bao_vong!$D$2+MAX(0,Vu_khi!$X$71)/MAX(0.1,Canh_bao_vong!$D$5))))</f>
        <v/>
      </c>
      <c r="AX71" t="n">
        <v>0</v>
      </c>
      <c r="AY71" t="n">
        <v>3.971852</v>
      </c>
      <c r="AZ71" t="inlineStr">
        <is>
          <t>ok</t>
        </is>
      </c>
      <c r="BA71" t="inlineStr"/>
      <c r="BB71" t="inlineStr">
        <is>
          <t>Assets/MachineBrigade/Resources/Data/balance.json: weapons[id=flak_quad] (lớp B trên 01_chien_dau/Vu_khi)</t>
        </is>
      </c>
      <c r="BC71" t="inlineStr"/>
    </row>
    <row r="72">
      <c r="A72" t="inlineStr">
        <is>
          <t>flak_quad_ap</t>
        </is>
      </c>
      <c r="B72" t="n">
        <v>1</v>
      </c>
      <c r="C72">
        <f>IF(Vu_khi!$O$72="SIMULTANEOUS",MAX(1,Vu_khi!$N$72),1)</f>
        <v/>
      </c>
      <c r="D72" t="n">
        <v>1</v>
      </c>
      <c r="E72">
        <f>IF(Vu_khi!$S$72&gt;0,Vu_khi!$S$72,Vu_khi!$P$72*$C$72)</f>
        <v/>
      </c>
      <c r="F72" t="n">
        <v>54</v>
      </c>
      <c r="G72">
        <f>IF(Vu_khi!$S$72&gt;0,(Vu_khi!$S$72-1)*Vu_khi!$R$72+Vu_khi!$T$72,Vu_khi!$R$72+(Vu_khi!$P$72-1)*Vu_khi!$Q$72)</f>
        <v/>
      </c>
      <c r="H72" t="n">
        <v>3.2172</v>
      </c>
      <c r="I72">
        <f>Vu_khi!$W$72*MAX(1,$E$72)</f>
        <v/>
      </c>
      <c r="J72" t="n">
        <v>756</v>
      </c>
      <c r="K72">
        <f>IF(Vu_khi!$V$72&gt;0,Vu_khi!$V$72,MIN(28,MAX(10,Vu_khi!$U$72*Vu_khi!$R$72*0.4)))</f>
        <v/>
      </c>
      <c r="L72" t="n">
        <v>10</v>
      </c>
      <c r="M72">
        <f>IF(Vu_khi!$W$72&lt;=0,0,IF(Vu_khi!$U$72&gt;0,$I$72*Vu_khi!$U$72/(MAX(0.05,$G$72)*Vu_khi!$U$72+$K$72),$I$72/MAX(0.05,$G$72)))</f>
        <v/>
      </c>
      <c r="N72" t="n">
        <v>234.9869451697128</v>
      </c>
      <c r="O72">
        <f>OR(Vu_khi!$AG$72,Vu_khi!$AB$72&gt;0,Vu_khi!$AH$72,Vu_khi!$M$72="Bomb",Vu_khi!$M$72="Drone")</f>
        <v/>
      </c>
      <c r="P72" t="b">
        <v>0</v>
      </c>
      <c r="Q72">
        <f>AND(NOT(Vu_khi!$AJ$72),OR(Vu_khi!$AC$72="Ground",Vu_khi!$AC$72="All"))</f>
        <v/>
      </c>
      <c r="R72" t="b">
        <v>1</v>
      </c>
      <c r="S72">
        <f>AND(NOT(Vu_khi!$AJ$72),OR(Vu_khi!$AC$72="Air",Vu_khi!$AC$72="All"))</f>
        <v/>
      </c>
      <c r="T72" t="b">
        <v>0</v>
      </c>
      <c r="U72">
        <f>INDEX(Bang_sat_thuong!$B$2:$B$7,MATCH(Vu_khi!$K$72,Bang_sat_thuong!$A$2:$A$7,0))</f>
        <v/>
      </c>
      <c r="V72" t="n">
        <v>1</v>
      </c>
      <c r="W72">
        <f>INDEX(Bang_sat_thuong!$C$2:$C$7,MATCH(Vu_khi!$K$72,Bang_sat_thuong!$A$2:$A$7,0))</f>
        <v/>
      </c>
      <c r="X72" t="n">
        <v>0.3</v>
      </c>
      <c r="Y72">
        <f>IF(AND(Vu_khi!$AI$72,Vu_khi!$K$72="HighExplosive"),MAX(He_so_toan_cuc!$D$2,INDEX(Bang_sat_thuong!$D$2:$D$7,MATCH(Vu_khi!$K$72,Bang_sat_thuong!$A$2:$A$7,0))),INDEX(Bang_sat_thuong!$D$2:$D$7,MATCH(Vu_khi!$K$72,Bang_sat_thuong!$A$2:$A$7,0)))</f>
        <v/>
      </c>
      <c r="Z72" t="n">
        <v>0.6</v>
      </c>
      <c r="AA72">
        <f>INDEX(Bang_xuyen_giap!$C$2:$C$7,MIN(6,MAX(1,IF($O$72,MAX(1,2-(Vu_khi!$L$72-0)),2-(Vu_khi!$L$72-0))+1)))</f>
        <v/>
      </c>
      <c r="AB72" t="n">
        <v>1.2</v>
      </c>
      <c r="AC72">
        <f>INDEX(Bang_xuyen_giap!$C$2:$C$7,MIN(6,MAX(1,IF($O$72,MAX(1,2-(Vu_khi!$L$72-2)),2-(Vu_khi!$L$72-2))+1)))</f>
        <v/>
      </c>
      <c r="AD72" t="n">
        <v>0.85</v>
      </c>
      <c r="AE72">
        <f>INDEX(Bang_xuyen_giap!$C$2:$C$7,MIN(6,MAX(1,IF($O$72,MAX(1,2-(Vu_khi!$L$72-4)),2-(Vu_khi!$L$72-4))+1)))</f>
        <v/>
      </c>
      <c r="AF72" t="n">
        <v>0.25</v>
      </c>
      <c r="AG72">
        <f>INDEX(Bang_xuyen_giap!$C$2:$C$7,MIN(6,MAX(1,MAX(1,2-(Vu_khi!$L$72-0))+1)))</f>
        <v/>
      </c>
      <c r="AH72" t="n">
        <v>1</v>
      </c>
      <c r="AI72">
        <f>IF($Q$72,$M$72*$AA$72*$U$72,0)</f>
        <v/>
      </c>
      <c r="AJ72" t="n">
        <v>281.9843342036554</v>
      </c>
      <c r="AK72">
        <f>IF($Q$72,$M$72*$AC$72*$U$72,0)</f>
        <v/>
      </c>
      <c r="AL72" t="n">
        <v>199.7389033942559</v>
      </c>
      <c r="AM72">
        <f>IF($Q$72,$M$72*$AE$72*$U$72,0)</f>
        <v/>
      </c>
      <c r="AN72" t="n">
        <v>58.7467362924282</v>
      </c>
      <c r="AO72">
        <f>IF($Q$72,$M$72*$AC$72*$Y$72,0)</f>
        <v/>
      </c>
      <c r="AP72" t="n">
        <v>119.8433420365535</v>
      </c>
      <c r="AQ72">
        <f>IF($S$72,$M$72*$AG$72*$W$72,0)</f>
        <v/>
      </c>
      <c r="AR72" t="n">
        <v>0</v>
      </c>
      <c r="AS72">
        <f>IF(OR(Vu_khi!$M$72="Missile",Vu_khi!$M$72="Drone",AND(Vu_khi!$M$72="Rocket",OR(Vu_khi!$AM$72,Vu_khi!$D$72="guided")),Vu_khi!$AL$72,Vu_khi!$AK$72,Vu_khi!$X$72&lt;=0),FALSE,IF($B$72&gt;=0,$B$72&gt;=4,IF(Vu_khi!$M$72="Shell",Vu_khi!$AN$72&gt;=Canh_bao_vong!$D$10,IF(Vu_khi!$M$72="Bomb",Vu_khi!$AN$72&gt;=Canh_bao_vong!$D$3,IF(Vu_khi!$M$72="Rocket",Vu_khi!$AN$72&gt;=Canh_bao_vong!$D$13,FALSE)))))</f>
        <v/>
      </c>
      <c r="AT72" t="b">
        <v>0</v>
      </c>
      <c r="AU72">
        <f>IF(AND($B$72&lt;0,$AS$72),4,$B$72)</f>
        <v/>
      </c>
      <c r="AV72" t="n">
        <v>1</v>
      </c>
      <c r="AW72">
        <f>IF($AU$72&lt;4,0,MIN(MAX(0.5,Canh_bao_vong!$D$4),MAX(IF(Vu_khi!$C$72="cal_406",Canh_bao_vong!$D$7,IF($AU$72&gt;=5,Canh_bao_vong!$D$9,Canh_bao_vong!$D$8)),Canh_bao_vong!$D$2+MAX(0,Vu_khi!$X$72)/MAX(0.1,Canh_bao_vong!$D$5))))</f>
        <v/>
      </c>
      <c r="AX72" t="n">
        <v>0</v>
      </c>
      <c r="BB72" t="inlineStr">
        <is>
          <t>Assets/MachineBrigade/Resources/Data/balance.json: weapons[id=flak_quad_ap] (lớp B trên 01_chien_dau/Vu_khi)</t>
        </is>
      </c>
      <c r="BC72" t="inlineStr"/>
    </row>
    <row r="73">
      <c r="A73" t="inlineStr">
        <is>
          <t>flamethrower</t>
        </is>
      </c>
      <c r="B73" t="n">
        <v>1</v>
      </c>
      <c r="C73">
        <f>IF(Vu_khi!$O$73="SIMULTANEOUS",MAX(1,Vu_khi!$N$73),1)</f>
        <v/>
      </c>
      <c r="D73" t="n">
        <v>1</v>
      </c>
      <c r="E73">
        <f>IF(Vu_khi!$S$73&gt;0,Vu_khi!$S$73,Vu_khi!$P$73*$C$73)</f>
        <v/>
      </c>
      <c r="F73" t="n">
        <v>1</v>
      </c>
      <c r="G73">
        <f>IF(Vu_khi!$S$73&gt;0,(Vu_khi!$S$73-1)*Vu_khi!$R$73+Vu_khi!$T$73,Vu_khi!$R$73+(Vu_khi!$P$73-1)*Vu_khi!$Q$73)</f>
        <v/>
      </c>
      <c r="H73" t="n">
        <v>0.25</v>
      </c>
      <c r="I73">
        <f>Vu_khi!$W$73*MAX(1,$E$73)</f>
        <v/>
      </c>
      <c r="J73" t="n">
        <v>21</v>
      </c>
      <c r="K73">
        <f>IF(Vu_khi!$V$73&gt;0,Vu_khi!$V$73,MIN(28,MAX(10,Vu_khi!$U$73*Vu_khi!$R$73*0.4)))</f>
        <v/>
      </c>
      <c r="L73" t="n">
        <v>10</v>
      </c>
      <c r="M73">
        <f>IF(Vu_khi!$W$73&lt;=0,0,IF(Vu_khi!$U$73&gt;0,$I$73*Vu_khi!$U$73/(MAX(0.05,$G$73)*Vu_khi!$U$73+$K$73),$I$73/MAX(0.05,$G$73)))</f>
        <v/>
      </c>
      <c r="N73" t="n">
        <v>84</v>
      </c>
      <c r="O73">
        <f>OR(Vu_khi!$AG$73,Vu_khi!$AB$73&gt;0,Vu_khi!$AH$73,Vu_khi!$M$73="Bomb",Vu_khi!$M$73="Drone")</f>
        <v/>
      </c>
      <c r="P73" t="b">
        <v>0</v>
      </c>
      <c r="Q73">
        <f>AND(NOT(Vu_khi!$AJ$73),OR(Vu_khi!$AC$73="Ground",Vu_khi!$AC$73="All"))</f>
        <v/>
      </c>
      <c r="R73" t="b">
        <v>1</v>
      </c>
      <c r="S73">
        <f>AND(NOT(Vu_khi!$AJ$73),OR(Vu_khi!$AC$73="Air",Vu_khi!$AC$73="All"))</f>
        <v/>
      </c>
      <c r="T73" t="b">
        <v>0</v>
      </c>
      <c r="U73">
        <f>INDEX(Bang_sat_thuong!$B$2:$B$7,MATCH(Vu_khi!$K$73,Bang_sat_thuong!$A$2:$A$7,0))</f>
        <v/>
      </c>
      <c r="V73" t="n">
        <v>1.5</v>
      </c>
      <c r="W73">
        <f>INDEX(Bang_sat_thuong!$C$2:$C$7,MATCH(Vu_khi!$K$73,Bang_sat_thuong!$A$2:$A$7,0))</f>
        <v/>
      </c>
      <c r="X73" t="n">
        <v>0</v>
      </c>
      <c r="Y73">
        <f>IF(AND(Vu_khi!$AI$73,Vu_khi!$K$73="HighExplosive"),MAX(He_so_toan_cuc!$D$2,INDEX(Bang_sat_thuong!$D$2:$D$7,MATCH(Vu_khi!$K$73,Bang_sat_thuong!$A$2:$A$7,0))),INDEX(Bang_sat_thuong!$D$2:$D$7,MATCH(Vu_khi!$K$73,Bang_sat_thuong!$A$2:$A$7,0)))</f>
        <v/>
      </c>
      <c r="Z73" t="n">
        <v>1</v>
      </c>
      <c r="AA73">
        <f>INDEX(Bang_xuyen_giap!$C$2:$C$7,MIN(6,MAX(1,IF($O$73,MAX(1,2-(Vu_khi!$L$73-0)),2-(Vu_khi!$L$73-0))+1)))</f>
        <v/>
      </c>
      <c r="AB73" t="n">
        <v>1</v>
      </c>
      <c r="AC73">
        <f>INDEX(Bang_xuyen_giap!$C$2:$C$7,MIN(6,MAX(1,IF($O$73,MAX(1,2-(Vu_khi!$L$73-2)),2-(Vu_khi!$L$73-2))+1)))</f>
        <v/>
      </c>
      <c r="AD73" t="n">
        <v>0.5</v>
      </c>
      <c r="AE73">
        <f>INDEX(Bang_xuyen_giap!$C$2:$C$7,MIN(6,MAX(1,IF($O$73,MAX(1,2-(Vu_khi!$L$73-4)),2-(Vu_khi!$L$73-4))+1)))</f>
        <v/>
      </c>
      <c r="AF73" t="n">
        <v>0.1</v>
      </c>
      <c r="AG73">
        <f>INDEX(Bang_xuyen_giap!$C$2:$C$7,MIN(6,MAX(1,MAX(1,2-(Vu_khi!$L$73-0))+1)))</f>
        <v/>
      </c>
      <c r="AH73" t="n">
        <v>1</v>
      </c>
      <c r="AI73">
        <f>IF($Q$73,$M$73*$AA$73*$U$73,0)</f>
        <v/>
      </c>
      <c r="AJ73" t="n">
        <v>126</v>
      </c>
      <c r="AK73">
        <f>IF($Q$73,$M$73*$AC$73*$U$73,0)</f>
        <v/>
      </c>
      <c r="AL73" t="n">
        <v>63</v>
      </c>
      <c r="AM73">
        <f>IF($Q$73,$M$73*$AE$73*$U$73,0)</f>
        <v/>
      </c>
      <c r="AN73" t="n">
        <v>12.6</v>
      </c>
      <c r="AO73">
        <f>IF($Q$73,$M$73*$AC$73*$Y$73,0)</f>
        <v/>
      </c>
      <c r="AP73" t="n">
        <v>42</v>
      </c>
      <c r="AQ73">
        <f>IF($S$73,$M$73*$AG$73*$W$73,0)</f>
        <v/>
      </c>
      <c r="AR73" t="n">
        <v>0</v>
      </c>
      <c r="AS73">
        <f>IF(OR(Vu_khi!$M$73="Missile",Vu_khi!$M$73="Drone",AND(Vu_khi!$M$73="Rocket",OR(Vu_khi!$AM$73,Vu_khi!$D$73="guided")),Vu_khi!$AL$73,Vu_khi!$AK$73,Vu_khi!$X$73&lt;=0),FALSE,IF($B$73&gt;=0,$B$73&gt;=4,IF(Vu_khi!$M$73="Shell",Vu_khi!$AN$73&gt;=Canh_bao_vong!$D$10,IF(Vu_khi!$M$73="Bomb",Vu_khi!$AN$73&gt;=Canh_bao_vong!$D$3,IF(Vu_khi!$M$73="Rocket",Vu_khi!$AN$73&gt;=Canh_bao_vong!$D$13,FALSE)))))</f>
        <v/>
      </c>
      <c r="AT73" t="b">
        <v>0</v>
      </c>
      <c r="AU73">
        <f>IF(AND($B$73&lt;0,$AS$73),4,$B$73)</f>
        <v/>
      </c>
      <c r="AV73" t="n">
        <v>1</v>
      </c>
      <c r="AW73">
        <f>IF($AU$73&lt;4,0,MIN(MAX(0.5,Canh_bao_vong!$D$4),MAX(IF(Vu_khi!$C$73="cal_406",Canh_bao_vong!$D$7,IF($AU$73&gt;=5,Canh_bao_vong!$D$9,Canh_bao_vong!$D$8)),Canh_bao_vong!$D$2+MAX(0,Vu_khi!$X$73)/MAX(0.1,Canh_bao_vong!$D$5))))</f>
        <v/>
      </c>
      <c r="AX73" t="n">
        <v>0</v>
      </c>
      <c r="AY73" t="inlineStr"/>
      <c r="AZ73" t="inlineStr">
        <is>
          <t>ok</t>
        </is>
      </c>
      <c r="BA73" t="inlineStr"/>
      <c r="BB73" t="inlineStr">
        <is>
          <t>Assets/MachineBrigade/Resources/Data/balance.json: weapons[id=flamethrower] (lớp B trên 01_chien_dau/Vu_khi)</t>
        </is>
      </c>
      <c r="BC73" t="inlineStr"/>
    </row>
    <row r="74">
      <c r="A74" t="inlineStr">
        <is>
          <t>focus_laser</t>
        </is>
      </c>
      <c r="B74" t="n">
        <v>1</v>
      </c>
      <c r="C74">
        <f>IF(Vu_khi!$O$74="SIMULTANEOUS",MAX(1,Vu_khi!$N$74),1)</f>
        <v/>
      </c>
      <c r="D74" t="n">
        <v>1</v>
      </c>
      <c r="E74">
        <f>IF(Vu_khi!$S$74&gt;0,Vu_khi!$S$74,Vu_khi!$P$74*$C$74)</f>
        <v/>
      </c>
      <c r="F74" t="n">
        <v>80</v>
      </c>
      <c r="G74">
        <f>IF(Vu_khi!$S$74&gt;0,(Vu_khi!$S$74-1)*Vu_khi!$R$74+Vu_khi!$T$74,Vu_khi!$R$74+(Vu_khi!$P$74-1)*Vu_khi!$Q$74)</f>
        <v/>
      </c>
      <c r="H74" t="n">
        <v>9.4</v>
      </c>
      <c r="I74">
        <f>Vu_khi!$W$74*MAX(1,$E$74)</f>
        <v/>
      </c>
      <c r="J74" t="n">
        <v>1000</v>
      </c>
      <c r="K74">
        <f>IF(Vu_khi!$V$74&gt;0,Vu_khi!$V$74,MIN(28,MAX(10,Vu_khi!$U$74*Vu_khi!$R$74*0.4)))</f>
        <v/>
      </c>
      <c r="L74" t="n">
        <v>10</v>
      </c>
      <c r="M74">
        <f>IF(Vu_khi!$W$74&lt;=0,0,IF(Vu_khi!$U$74&gt;0,$I$74*Vu_khi!$U$74/(MAX(0.05,$G$74)*Vu_khi!$U$74+$K$74),$I$74/MAX(0.05,$G$74)))</f>
        <v/>
      </c>
      <c r="N74" t="n">
        <v>106.3829787234042</v>
      </c>
      <c r="O74">
        <f>OR(Vu_khi!$AG$74,Vu_khi!$AB$74&gt;0,Vu_khi!$AH$74,Vu_khi!$M$74="Bomb",Vu_khi!$M$74="Drone")</f>
        <v/>
      </c>
      <c r="P74" t="b">
        <v>0</v>
      </c>
      <c r="Q74">
        <f>AND(NOT(Vu_khi!$AJ$74),OR(Vu_khi!$AC$74="Ground",Vu_khi!$AC$74="All"))</f>
        <v/>
      </c>
      <c r="R74" t="b">
        <v>1</v>
      </c>
      <c r="S74">
        <f>AND(NOT(Vu_khi!$AJ$74),OR(Vu_khi!$AC$74="Air",Vu_khi!$AC$74="All"))</f>
        <v/>
      </c>
      <c r="T74" t="b">
        <v>0</v>
      </c>
      <c r="U74">
        <f>INDEX(Bang_sat_thuong!$B$2:$B$7,MATCH(Vu_khi!$K$74,Bang_sat_thuong!$A$2:$A$7,0))</f>
        <v/>
      </c>
      <c r="V74" t="n">
        <v>1</v>
      </c>
      <c r="W74">
        <f>INDEX(Bang_sat_thuong!$C$2:$C$7,MATCH(Vu_khi!$K$74,Bang_sat_thuong!$A$2:$A$7,0))</f>
        <v/>
      </c>
      <c r="X74" t="n">
        <v>1.5</v>
      </c>
      <c r="Y74">
        <f>IF(AND(Vu_khi!$AI$74,Vu_khi!$K$74="HighExplosive"),MAX(He_so_toan_cuc!$D$2,INDEX(Bang_sat_thuong!$D$2:$D$7,MATCH(Vu_khi!$K$74,Bang_sat_thuong!$A$2:$A$7,0))),INDEX(Bang_sat_thuong!$D$2:$D$7,MATCH(Vu_khi!$K$74,Bang_sat_thuong!$A$2:$A$7,0)))</f>
        <v/>
      </c>
      <c r="Z74" t="n">
        <v>0.5</v>
      </c>
      <c r="AA74">
        <f>INDEX(Bang_xuyen_giap!$C$2:$C$7,MIN(6,MAX(1,IF($O$74,MAX(1,2-(Vu_khi!$L$74-0)),2-(Vu_khi!$L$74-0))+1)))</f>
        <v/>
      </c>
      <c r="AB74" t="n">
        <v>1.2</v>
      </c>
      <c r="AC74">
        <f>INDEX(Bang_xuyen_giap!$C$2:$C$7,MIN(6,MAX(1,IF($O$74,MAX(1,2-(Vu_khi!$L$74-2)),2-(Vu_khi!$L$74-2))+1)))</f>
        <v/>
      </c>
      <c r="AD74" t="n">
        <v>1.2</v>
      </c>
      <c r="AE74">
        <f>INDEX(Bang_xuyen_giap!$C$2:$C$7,MIN(6,MAX(1,IF($O$74,MAX(1,2-(Vu_khi!$L$74-4)),2-(Vu_khi!$L$74-4))+1)))</f>
        <v/>
      </c>
      <c r="AF74" t="n">
        <v>0.85</v>
      </c>
      <c r="AG74">
        <f>INDEX(Bang_xuyen_giap!$C$2:$C$7,MIN(6,MAX(1,MAX(1,2-(Vu_khi!$L$74-0))+1)))</f>
        <v/>
      </c>
      <c r="AH74" t="n">
        <v>1</v>
      </c>
      <c r="AI74">
        <f>IF($Q$74,$M$74*$AA$74*$U$74,0)</f>
        <v/>
      </c>
      <c r="AJ74" t="n">
        <v>127.6595744680851</v>
      </c>
      <c r="AK74">
        <f>IF($Q$74,$M$74*$AC$74*$U$74,0)</f>
        <v/>
      </c>
      <c r="AL74" t="n">
        <v>127.6595744680851</v>
      </c>
      <c r="AM74">
        <f>IF($Q$74,$M$74*$AE$74*$U$74,0)</f>
        <v/>
      </c>
      <c r="AN74" t="n">
        <v>90.42553191489361</v>
      </c>
      <c r="AO74">
        <f>IF($Q$74,$M$74*$AC$74*$Y$74,0)</f>
        <v/>
      </c>
      <c r="AP74" t="n">
        <v>63.82978723404255</v>
      </c>
      <c r="AQ74">
        <f>IF($S$74,$M$74*$AG$74*$W$74,0)</f>
        <v/>
      </c>
      <c r="AR74" t="n">
        <v>0</v>
      </c>
      <c r="AS74">
        <f>IF(OR(Vu_khi!$M$74="Missile",Vu_khi!$M$74="Drone",AND(Vu_khi!$M$74="Rocket",OR(Vu_khi!$AM$74,Vu_khi!$D$74="guided")),Vu_khi!$AL$74,Vu_khi!$AK$74,Vu_khi!$X$74&lt;=0),FALSE,IF($B$74&gt;=0,$B$74&gt;=4,IF(Vu_khi!$M$74="Shell",Vu_khi!$AN$74&gt;=Canh_bao_vong!$D$10,IF(Vu_khi!$M$74="Bomb",Vu_khi!$AN$74&gt;=Canh_bao_vong!$D$3,IF(Vu_khi!$M$74="Rocket",Vu_khi!$AN$74&gt;=Canh_bao_vong!$D$13,FALSE)))))</f>
        <v/>
      </c>
      <c r="AT74" t="b">
        <v>0</v>
      </c>
      <c r="AU74">
        <f>IF(AND($B$74&lt;0,$AS$74),4,$B$74)</f>
        <v/>
      </c>
      <c r="AV74" t="n">
        <v>1</v>
      </c>
      <c r="AW74">
        <f>IF($AU$74&lt;4,0,MIN(MAX(0.5,Canh_bao_vong!$D$4),MAX(IF(Vu_khi!$C$74="cal_406",Canh_bao_vong!$D$7,IF($AU$74&gt;=5,Canh_bao_vong!$D$9,Canh_bao_vong!$D$8)),Canh_bao_vong!$D$2+MAX(0,Vu_khi!$X$74)/MAX(0.1,Canh_bao_vong!$D$5))))</f>
        <v/>
      </c>
      <c r="AX74" t="n">
        <v>0</v>
      </c>
      <c r="AY74" t="inlineStr"/>
      <c r="AZ74" t="inlineStr">
        <is>
          <t>ok</t>
        </is>
      </c>
      <c r="BA74" t="inlineStr"/>
      <c r="BB74" t="inlineStr">
        <is>
          <t>Assets/MachineBrigade/Resources/Data/balance.json: weapons[id=focus_laser] (lớp B trên 01_chien_dau/Vu_khi)</t>
        </is>
      </c>
      <c r="BC74" t="inlineStr"/>
    </row>
    <row r="75">
      <c r="A75" t="inlineStr">
        <is>
          <t>fpv_hangar</t>
        </is>
      </c>
      <c r="B75" t="n">
        <v>2</v>
      </c>
      <c r="C75">
        <f>IF(Vu_khi!$O$75="SIMULTANEOUS",MAX(1,Vu_khi!$N$75),1)</f>
        <v/>
      </c>
      <c r="D75" t="n">
        <v>1</v>
      </c>
      <c r="E75">
        <f>IF(Vu_khi!$S$75&gt;0,Vu_khi!$S$75,Vu_khi!$P$75*$C$75)</f>
        <v/>
      </c>
      <c r="F75" t="n">
        <v>4</v>
      </c>
      <c r="G75">
        <f>IF(Vu_khi!$S$75&gt;0,(Vu_khi!$S$75-1)*Vu_khi!$R$75+Vu_khi!$T$75,Vu_khi!$R$75+(Vu_khi!$P$75-1)*Vu_khi!$Q$75)</f>
        <v/>
      </c>
      <c r="H75" t="n">
        <v>10.5</v>
      </c>
      <c r="I75">
        <f>Vu_khi!$W$75*MAX(1,$E$75)</f>
        <v/>
      </c>
      <c r="J75" t="n">
        <v>560</v>
      </c>
      <c r="K75">
        <f>IF(Vu_khi!$V$75&gt;0,Vu_khi!$V$75,MIN(28,MAX(10,Vu_khi!$U$75*Vu_khi!$R$75*0.4)))</f>
        <v/>
      </c>
      <c r="L75" t="n">
        <v>9</v>
      </c>
      <c r="M75">
        <f>IF(Vu_khi!$W$75&lt;=0,0,IF(Vu_khi!$U$75&gt;0,$I$75*Vu_khi!$U$75/(MAX(0.05,$G$75)*Vu_khi!$U$75+$K$75),$I$75/MAX(0.05,$G$75)))</f>
        <v/>
      </c>
      <c r="N75" t="n">
        <v>53.33333333333334</v>
      </c>
      <c r="O75">
        <f>OR(Vu_khi!$AG$75,Vu_khi!$AB$75&gt;0,Vu_khi!$AH$75,Vu_khi!$M$75="Bomb",Vu_khi!$M$75="Drone")</f>
        <v/>
      </c>
      <c r="P75" t="b">
        <v>1</v>
      </c>
      <c r="Q75">
        <f>AND(NOT(Vu_khi!$AJ$75),OR(Vu_khi!$AC$75="Ground",Vu_khi!$AC$75="All"))</f>
        <v/>
      </c>
      <c r="R75" t="b">
        <v>1</v>
      </c>
      <c r="S75">
        <f>AND(NOT(Vu_khi!$AJ$75),OR(Vu_khi!$AC$75="Air",Vu_khi!$AC$75="All"))</f>
        <v/>
      </c>
      <c r="T75" t="b">
        <v>0</v>
      </c>
      <c r="U75">
        <f>INDEX(Bang_sat_thuong!$B$2:$B$7,MATCH(Vu_khi!$K$75,Bang_sat_thuong!$A$2:$A$7,0))</f>
        <v/>
      </c>
      <c r="V75" t="n">
        <v>1</v>
      </c>
      <c r="W75">
        <f>INDEX(Bang_sat_thuong!$C$2:$C$7,MATCH(Vu_khi!$K$75,Bang_sat_thuong!$A$2:$A$7,0))</f>
        <v/>
      </c>
      <c r="X75" t="n">
        <v>0.3</v>
      </c>
      <c r="Y75">
        <f>IF(AND(Vu_khi!$AI$75,Vu_khi!$K$75="HighExplosive"),MAX(He_so_toan_cuc!$D$2,INDEX(Bang_sat_thuong!$D$2:$D$7,MATCH(Vu_khi!$K$75,Bang_sat_thuong!$A$2:$A$7,0))),INDEX(Bang_sat_thuong!$D$2:$D$7,MATCH(Vu_khi!$K$75,Bang_sat_thuong!$A$2:$A$7,0)))</f>
        <v/>
      </c>
      <c r="Z75" t="n">
        <v>0.6</v>
      </c>
      <c r="AA75">
        <f>INDEX(Bang_xuyen_giap!$C$2:$C$7,MIN(6,MAX(1,IF($O$75,MAX(1,2-(Vu_khi!$L$75-0)),2-(Vu_khi!$L$75-0))+1)))</f>
        <v/>
      </c>
      <c r="AB75" t="n">
        <v>1</v>
      </c>
      <c r="AC75">
        <f>INDEX(Bang_xuyen_giap!$C$2:$C$7,MIN(6,MAX(1,IF($O$75,MAX(1,2-(Vu_khi!$L$75-2)),2-(Vu_khi!$L$75-2))+1)))</f>
        <v/>
      </c>
      <c r="AD75" t="n">
        <v>1</v>
      </c>
      <c r="AE75">
        <f>INDEX(Bang_xuyen_giap!$C$2:$C$7,MIN(6,MAX(1,IF($O$75,MAX(1,2-(Vu_khi!$L$75-4)),2-(Vu_khi!$L$75-4))+1)))</f>
        <v/>
      </c>
      <c r="AF75" t="n">
        <v>0.5</v>
      </c>
      <c r="AG75">
        <f>INDEX(Bang_xuyen_giap!$C$2:$C$7,MIN(6,MAX(1,MAX(1,2-(Vu_khi!$L$75-0))+1)))</f>
        <v/>
      </c>
      <c r="AH75" t="n">
        <v>1</v>
      </c>
      <c r="AI75">
        <f>IF($Q$75,$M$75*$AA$75*$U$75,0)</f>
        <v/>
      </c>
      <c r="AJ75" t="n">
        <v>53.33333333333334</v>
      </c>
      <c r="AK75">
        <f>IF($Q$75,$M$75*$AC$75*$U$75,0)</f>
        <v/>
      </c>
      <c r="AL75" t="n">
        <v>53.33333333333334</v>
      </c>
      <c r="AM75">
        <f>IF($Q$75,$M$75*$AE$75*$U$75,0)</f>
        <v/>
      </c>
      <c r="AN75" t="n">
        <v>26.66666666666667</v>
      </c>
      <c r="AO75">
        <f>IF($Q$75,$M$75*$AC$75*$Y$75,0)</f>
        <v/>
      </c>
      <c r="AP75" t="n">
        <v>32</v>
      </c>
      <c r="AQ75">
        <f>IF($S$75,$M$75*$AG$75*$W$75,0)</f>
        <v/>
      </c>
      <c r="AR75" t="n">
        <v>0</v>
      </c>
      <c r="AS75">
        <f>IF(OR(Vu_khi!$M$75="Missile",Vu_khi!$M$75="Drone",AND(Vu_khi!$M$75="Rocket",OR(Vu_khi!$AM$75,Vu_khi!$D$75="guided")),Vu_khi!$AL$75,Vu_khi!$AK$75,Vu_khi!$X$75&lt;=0),FALSE,IF($B$75&gt;=0,$B$75&gt;=4,IF(Vu_khi!$M$75="Shell",Vu_khi!$AN$75&gt;=Canh_bao_vong!$D$10,IF(Vu_khi!$M$75="Bomb",Vu_khi!$AN$75&gt;=Canh_bao_vong!$D$3,IF(Vu_khi!$M$75="Rocket",Vu_khi!$AN$75&gt;=Canh_bao_vong!$D$13,FALSE)))))</f>
        <v/>
      </c>
      <c r="AT75" t="b">
        <v>0</v>
      </c>
      <c r="AU75">
        <f>IF(AND($B$75&lt;0,$AS$75),4,$B$75)</f>
        <v/>
      </c>
      <c r="AV75" t="n">
        <v>2</v>
      </c>
      <c r="AW75">
        <f>IF($AU$75&lt;4,0,MIN(MAX(0.5,Canh_bao_vong!$D$4),MAX(IF(Vu_khi!$C$75="cal_406",Canh_bao_vong!$D$7,IF($AU$75&gt;=5,Canh_bao_vong!$D$9,Canh_bao_vong!$D$8)),Canh_bao_vong!$D$2+MAX(0,Vu_khi!$X$75)/MAX(0.1,Canh_bao_vong!$D$5))))</f>
        <v/>
      </c>
      <c r="AX75" t="n">
        <v>0</v>
      </c>
      <c r="AY75" t="inlineStr"/>
      <c r="AZ75" t="inlineStr">
        <is>
          <t>ok</t>
        </is>
      </c>
      <c r="BA75" t="inlineStr"/>
      <c r="BB75" t="inlineStr">
        <is>
          <t>Assets/MachineBrigade/Resources/Data/balance.json: weapons[id=fpv_hangar] (lớp B trên 01_chien_dau/Vu_khi)</t>
        </is>
      </c>
      <c r="BC75" t="inlineStr"/>
    </row>
    <row r="76">
      <c r="A76" t="inlineStr">
        <is>
          <t>fpv_hangar_swarm</t>
        </is>
      </c>
      <c r="B76" t="n">
        <v>2</v>
      </c>
      <c r="C76">
        <f>IF(Vu_khi!$O$76="SIMULTANEOUS",MAX(1,Vu_khi!$N$76),1)</f>
        <v/>
      </c>
      <c r="D76" t="n">
        <v>1</v>
      </c>
      <c r="E76">
        <f>IF(Vu_khi!$S$76&gt;0,Vu_khi!$S$76,Vu_khi!$P$76*$C$76)</f>
        <v/>
      </c>
      <c r="F76" t="n">
        <v>4</v>
      </c>
      <c r="G76">
        <f>IF(Vu_khi!$S$76&gt;0,(Vu_khi!$S$76-1)*Vu_khi!$R$76+Vu_khi!$T$76,Vu_khi!$R$76+(Vu_khi!$P$76-1)*Vu_khi!$Q$76)</f>
        <v/>
      </c>
      <c r="H76" t="n">
        <v>7.899999999999999</v>
      </c>
      <c r="I76">
        <f>Vu_khi!$W$76*MAX(1,$E$76)</f>
        <v/>
      </c>
      <c r="J76" t="n">
        <v>560</v>
      </c>
      <c r="K76">
        <f>IF(Vu_khi!$V$76&gt;0,Vu_khi!$V$76,MIN(28,MAX(10,Vu_khi!$U$76*Vu_khi!$R$76*0.4)))</f>
        <v/>
      </c>
      <c r="L76" t="n">
        <v>9</v>
      </c>
      <c r="M76">
        <f>IF(Vu_khi!$W$76&lt;=0,0,IF(Vu_khi!$U$76&gt;0,$I$76*Vu_khi!$U$76/(MAX(0.05,$G$76)*Vu_khi!$U$76+$K$76),$I$76/MAX(0.05,$G$76)))</f>
        <v/>
      </c>
      <c r="N76" t="n">
        <v>70.8860759493671</v>
      </c>
      <c r="O76">
        <f>OR(Vu_khi!$AG$76,Vu_khi!$AB$76&gt;0,Vu_khi!$AH$76,Vu_khi!$M$76="Bomb",Vu_khi!$M$76="Drone")</f>
        <v/>
      </c>
      <c r="P76" t="b">
        <v>1</v>
      </c>
      <c r="Q76">
        <f>AND(NOT(Vu_khi!$AJ$76),OR(Vu_khi!$AC$76="Ground",Vu_khi!$AC$76="All"))</f>
        <v/>
      </c>
      <c r="R76" t="b">
        <v>1</v>
      </c>
      <c r="S76">
        <f>AND(NOT(Vu_khi!$AJ$76),OR(Vu_khi!$AC$76="Air",Vu_khi!$AC$76="All"))</f>
        <v/>
      </c>
      <c r="T76" t="b">
        <v>0</v>
      </c>
      <c r="U76">
        <f>INDEX(Bang_sat_thuong!$B$2:$B$7,MATCH(Vu_khi!$K$76,Bang_sat_thuong!$A$2:$A$7,0))</f>
        <v/>
      </c>
      <c r="V76" t="n">
        <v>1</v>
      </c>
      <c r="W76">
        <f>INDEX(Bang_sat_thuong!$C$2:$C$7,MATCH(Vu_khi!$K$76,Bang_sat_thuong!$A$2:$A$7,0))</f>
        <v/>
      </c>
      <c r="X76" t="n">
        <v>0.3</v>
      </c>
      <c r="Y76">
        <f>IF(AND(Vu_khi!$AI$76,Vu_khi!$K$76="HighExplosive"),MAX(He_so_toan_cuc!$D$2,INDEX(Bang_sat_thuong!$D$2:$D$7,MATCH(Vu_khi!$K$76,Bang_sat_thuong!$A$2:$A$7,0))),INDEX(Bang_sat_thuong!$D$2:$D$7,MATCH(Vu_khi!$K$76,Bang_sat_thuong!$A$2:$A$7,0)))</f>
        <v/>
      </c>
      <c r="Z76" t="n">
        <v>0.6</v>
      </c>
      <c r="AA76">
        <f>INDEX(Bang_xuyen_giap!$C$2:$C$7,MIN(6,MAX(1,IF($O$76,MAX(1,2-(Vu_khi!$L$76-0)),2-(Vu_khi!$L$76-0))+1)))</f>
        <v/>
      </c>
      <c r="AB76" t="n">
        <v>1</v>
      </c>
      <c r="AC76">
        <f>INDEX(Bang_xuyen_giap!$C$2:$C$7,MIN(6,MAX(1,IF($O$76,MAX(1,2-(Vu_khi!$L$76-2)),2-(Vu_khi!$L$76-2))+1)))</f>
        <v/>
      </c>
      <c r="AD76" t="n">
        <v>1</v>
      </c>
      <c r="AE76">
        <f>INDEX(Bang_xuyen_giap!$C$2:$C$7,MIN(6,MAX(1,IF($O$76,MAX(1,2-(Vu_khi!$L$76-4)),2-(Vu_khi!$L$76-4))+1)))</f>
        <v/>
      </c>
      <c r="AF76" t="n">
        <v>0.5</v>
      </c>
      <c r="AG76">
        <f>INDEX(Bang_xuyen_giap!$C$2:$C$7,MIN(6,MAX(1,MAX(1,2-(Vu_khi!$L$76-0))+1)))</f>
        <v/>
      </c>
      <c r="AH76" t="n">
        <v>1</v>
      </c>
      <c r="AI76">
        <f>IF($Q$76,$M$76*$AA$76*$U$76,0)</f>
        <v/>
      </c>
      <c r="AJ76" t="n">
        <v>70.8860759493671</v>
      </c>
      <c r="AK76">
        <f>IF($Q$76,$M$76*$AC$76*$U$76,0)</f>
        <v/>
      </c>
      <c r="AL76" t="n">
        <v>70.8860759493671</v>
      </c>
      <c r="AM76">
        <f>IF($Q$76,$M$76*$AE$76*$U$76,0)</f>
        <v/>
      </c>
      <c r="AN76" t="n">
        <v>35.44303797468355</v>
      </c>
      <c r="AO76">
        <f>IF($Q$76,$M$76*$AC$76*$Y$76,0)</f>
        <v/>
      </c>
      <c r="AP76" t="n">
        <v>42.53164556962026</v>
      </c>
      <c r="AQ76">
        <f>IF($S$76,$M$76*$AG$76*$W$76,0)</f>
        <v/>
      </c>
      <c r="AR76" t="n">
        <v>0</v>
      </c>
      <c r="AS76">
        <f>IF(OR(Vu_khi!$M$76="Missile",Vu_khi!$M$76="Drone",AND(Vu_khi!$M$76="Rocket",OR(Vu_khi!$AM$76,Vu_khi!$D$76="guided")),Vu_khi!$AL$76,Vu_khi!$AK$76,Vu_khi!$X$76&lt;=0),FALSE,IF($B$76&gt;=0,$B$76&gt;=4,IF(Vu_khi!$M$76="Shell",Vu_khi!$AN$76&gt;=Canh_bao_vong!$D$10,IF(Vu_khi!$M$76="Bomb",Vu_khi!$AN$76&gt;=Canh_bao_vong!$D$3,IF(Vu_khi!$M$76="Rocket",Vu_khi!$AN$76&gt;=Canh_bao_vong!$D$13,FALSE)))))</f>
        <v/>
      </c>
      <c r="AT76" t="b">
        <v>0</v>
      </c>
      <c r="AU76">
        <f>IF(AND($B$76&lt;0,$AS$76),4,$B$76)</f>
        <v/>
      </c>
      <c r="AV76" t="n">
        <v>2</v>
      </c>
      <c r="AW76">
        <f>IF($AU$76&lt;4,0,MIN(MAX(0.5,Canh_bao_vong!$D$4),MAX(IF(Vu_khi!$C$76="cal_406",Canh_bao_vong!$D$7,IF($AU$76&gt;=5,Canh_bao_vong!$D$9,Canh_bao_vong!$D$8)),Canh_bao_vong!$D$2+MAX(0,Vu_khi!$X$76)/MAX(0.1,Canh_bao_vong!$D$5))))</f>
        <v/>
      </c>
      <c r="AX76" t="n">
        <v>0</v>
      </c>
      <c r="AY76" t="inlineStr"/>
      <c r="AZ76" t="inlineStr">
        <is>
          <t>ok</t>
        </is>
      </c>
      <c r="BA76" t="inlineStr"/>
      <c r="BB76" t="inlineStr">
        <is>
          <t>Assets/MachineBrigade/Resources/Data/balance.json: weapons[id=fpv_hangar_swarm] (lớp B trên 01_chien_dau/Vu_khi)</t>
        </is>
      </c>
      <c r="BC76" t="inlineStr"/>
    </row>
    <row r="77">
      <c r="A77" t="inlineStr">
        <is>
          <t>fpv_swarm</t>
        </is>
      </c>
      <c r="B77" t="n">
        <v>2</v>
      </c>
      <c r="C77">
        <f>IF(Vu_khi!$O$77="SIMULTANEOUS",MAX(1,Vu_khi!$N$77),1)</f>
        <v/>
      </c>
      <c r="D77" t="n">
        <v>1</v>
      </c>
      <c r="E77">
        <f>IF(Vu_khi!$S$77&gt;0,Vu_khi!$S$77,Vu_khi!$P$77*$C$77)</f>
        <v/>
      </c>
      <c r="F77" t="n">
        <v>1</v>
      </c>
      <c r="G77">
        <f>IF(Vu_khi!$S$77&gt;0,(Vu_khi!$S$77-1)*Vu_khi!$R$77+Vu_khi!$T$77,Vu_khi!$R$77+(Vu_khi!$P$77-1)*Vu_khi!$Q$77)</f>
        <v/>
      </c>
      <c r="H77" t="n">
        <v>2.8</v>
      </c>
      <c r="I77">
        <f>Vu_khi!$W$77*MAX(1,$E$77)</f>
        <v/>
      </c>
      <c r="J77" t="n">
        <v>140</v>
      </c>
      <c r="K77">
        <f>IF(Vu_khi!$V$77&gt;0,Vu_khi!$V$77,MIN(28,MAX(10,Vu_khi!$U$77*Vu_khi!$R$77*0.4)))</f>
        <v/>
      </c>
      <c r="L77" t="n">
        <v>9</v>
      </c>
      <c r="M77">
        <f>IF(Vu_khi!$W$77&lt;=0,0,IF(Vu_khi!$U$77&gt;0,$I$77*Vu_khi!$U$77/(MAX(0.05,$G$77)*Vu_khi!$U$77+$K$77),$I$77/MAX(0.05,$G$77)))</f>
        <v/>
      </c>
      <c r="N77" t="n">
        <v>41.63568773234201</v>
      </c>
      <c r="O77">
        <f>OR(Vu_khi!$AG$77,Vu_khi!$AB$77&gt;0,Vu_khi!$AH$77,Vu_khi!$M$77="Bomb",Vu_khi!$M$77="Drone")</f>
        <v/>
      </c>
      <c r="P77" t="b">
        <v>1</v>
      </c>
      <c r="Q77">
        <f>AND(NOT(Vu_khi!$AJ$77),OR(Vu_khi!$AC$77="Ground",Vu_khi!$AC$77="All"))</f>
        <v/>
      </c>
      <c r="R77" t="b">
        <v>1</v>
      </c>
      <c r="S77">
        <f>AND(NOT(Vu_khi!$AJ$77),OR(Vu_khi!$AC$77="Air",Vu_khi!$AC$77="All"))</f>
        <v/>
      </c>
      <c r="T77" t="b">
        <v>0</v>
      </c>
      <c r="U77">
        <f>INDEX(Bang_sat_thuong!$B$2:$B$7,MATCH(Vu_khi!$K$77,Bang_sat_thuong!$A$2:$A$7,0))</f>
        <v/>
      </c>
      <c r="V77" t="n">
        <v>1</v>
      </c>
      <c r="W77">
        <f>INDEX(Bang_sat_thuong!$C$2:$C$7,MATCH(Vu_khi!$K$77,Bang_sat_thuong!$A$2:$A$7,0))</f>
        <v/>
      </c>
      <c r="X77" t="n">
        <v>0.3</v>
      </c>
      <c r="Y77">
        <f>IF(AND(Vu_khi!$AI$77,Vu_khi!$K$77="HighExplosive"),MAX(He_so_toan_cuc!$D$2,INDEX(Bang_sat_thuong!$D$2:$D$7,MATCH(Vu_khi!$K$77,Bang_sat_thuong!$A$2:$A$7,0))),INDEX(Bang_sat_thuong!$D$2:$D$7,MATCH(Vu_khi!$K$77,Bang_sat_thuong!$A$2:$A$7,0)))</f>
        <v/>
      </c>
      <c r="Z77" t="n">
        <v>0.6</v>
      </c>
      <c r="AA77">
        <f>INDEX(Bang_xuyen_giap!$C$2:$C$7,MIN(6,MAX(1,IF($O$77,MAX(1,2-(Vu_khi!$L$77-0)),2-(Vu_khi!$L$77-0))+1)))</f>
        <v/>
      </c>
      <c r="AB77" t="n">
        <v>1</v>
      </c>
      <c r="AC77">
        <f>INDEX(Bang_xuyen_giap!$C$2:$C$7,MIN(6,MAX(1,IF($O$77,MAX(1,2-(Vu_khi!$L$77-2)),2-(Vu_khi!$L$77-2))+1)))</f>
        <v/>
      </c>
      <c r="AD77" t="n">
        <v>1</v>
      </c>
      <c r="AE77">
        <f>INDEX(Bang_xuyen_giap!$C$2:$C$7,MIN(6,MAX(1,IF($O$77,MAX(1,2-(Vu_khi!$L$77-4)),2-(Vu_khi!$L$77-4))+1)))</f>
        <v/>
      </c>
      <c r="AF77" t="n">
        <v>0.5</v>
      </c>
      <c r="AG77">
        <f>INDEX(Bang_xuyen_giap!$C$2:$C$7,MIN(6,MAX(1,MAX(1,2-(Vu_khi!$L$77-0))+1)))</f>
        <v/>
      </c>
      <c r="AH77" t="n">
        <v>1</v>
      </c>
      <c r="AI77">
        <f>IF($Q$77,$M$77*$AA$77*$U$77,0)</f>
        <v/>
      </c>
      <c r="AJ77" t="n">
        <v>41.63568773234201</v>
      </c>
      <c r="AK77">
        <f>IF($Q$77,$M$77*$AC$77*$U$77,0)</f>
        <v/>
      </c>
      <c r="AL77" t="n">
        <v>41.63568773234201</v>
      </c>
      <c r="AM77">
        <f>IF($Q$77,$M$77*$AE$77*$U$77,0)</f>
        <v/>
      </c>
      <c r="AN77" t="n">
        <v>20.817843866171</v>
      </c>
      <c r="AO77">
        <f>IF($Q$77,$M$77*$AC$77*$Y$77,0)</f>
        <v/>
      </c>
      <c r="AP77" t="n">
        <v>24.9814126394052</v>
      </c>
      <c r="AQ77">
        <f>IF($S$77,$M$77*$AG$77*$W$77,0)</f>
        <v/>
      </c>
      <c r="AR77" t="n">
        <v>0</v>
      </c>
      <c r="AS77">
        <f>IF(OR(Vu_khi!$M$77="Missile",Vu_khi!$M$77="Drone",AND(Vu_khi!$M$77="Rocket",OR(Vu_khi!$AM$77,Vu_khi!$D$77="guided")),Vu_khi!$AL$77,Vu_khi!$AK$77,Vu_khi!$X$77&lt;=0),FALSE,IF($B$77&gt;=0,$B$77&gt;=4,IF(Vu_khi!$M$77="Shell",Vu_khi!$AN$77&gt;=Canh_bao_vong!$D$10,IF(Vu_khi!$M$77="Bomb",Vu_khi!$AN$77&gt;=Canh_bao_vong!$D$3,IF(Vu_khi!$M$77="Rocket",Vu_khi!$AN$77&gt;=Canh_bao_vong!$D$13,FALSE)))))</f>
        <v/>
      </c>
      <c r="AT77" t="b">
        <v>0</v>
      </c>
      <c r="AU77">
        <f>IF(AND($B$77&lt;0,$AS$77),4,$B$77)</f>
        <v/>
      </c>
      <c r="AV77" t="n">
        <v>2</v>
      </c>
      <c r="AW77">
        <f>IF($AU$77&lt;4,0,MIN(MAX(0.5,Canh_bao_vong!$D$4),MAX(IF(Vu_khi!$C$77="cal_406",Canh_bao_vong!$D$7,IF($AU$77&gt;=5,Canh_bao_vong!$D$9,Canh_bao_vong!$D$8)),Canh_bao_vong!$D$2+MAX(0,Vu_khi!$X$77)/MAX(0.1,Canh_bao_vong!$D$5))))</f>
        <v/>
      </c>
      <c r="AX77" t="n">
        <v>0</v>
      </c>
      <c r="AY77" t="inlineStr"/>
      <c r="AZ77" t="inlineStr">
        <is>
          <t>ok</t>
        </is>
      </c>
      <c r="BA77" t="inlineStr"/>
      <c r="BB77" t="inlineStr">
        <is>
          <t>Assets/MachineBrigade/Resources/Data/balance.json: weapons[id=fpv_swarm] (lớp B trên 01_chien_dau/Vu_khi)</t>
        </is>
      </c>
      <c r="BC77" t="inlineStr"/>
    </row>
    <row r="78">
      <c r="A78" t="inlineStr">
        <is>
          <t>gau_gatling</t>
        </is>
      </c>
      <c r="B78" t="n">
        <v>1</v>
      </c>
      <c r="C78">
        <f>IF(Vu_khi!$O$78="SIMULTANEOUS",MAX(1,Vu_khi!$N$78),1)</f>
        <v/>
      </c>
      <c r="D78" t="n">
        <v>1</v>
      </c>
      <c r="E78">
        <f>IF(Vu_khi!$S$78&gt;0,Vu_khi!$S$78,Vu_khi!$P$78*$C$78)</f>
        <v/>
      </c>
      <c r="F78" t="n">
        <v>113</v>
      </c>
      <c r="G78">
        <f>IF(Vu_khi!$S$78&gt;0,(Vu_khi!$S$78-1)*Vu_khi!$R$78+Vu_khi!$T$78,Vu_khi!$R$78+(Vu_khi!$P$78-1)*Vu_khi!$Q$78)</f>
        <v/>
      </c>
      <c r="H78" t="n">
        <v>4.6604</v>
      </c>
      <c r="I78">
        <f>Vu_khi!$W$78*MAX(1,$E$78)</f>
        <v/>
      </c>
      <c r="J78" t="n">
        <v>2486</v>
      </c>
      <c r="K78">
        <f>IF(Vu_khi!$V$78&gt;0,Vu_khi!$V$78,MIN(28,MAX(10,Vu_khi!$U$78*Vu_khi!$R$78*0.4)))</f>
        <v/>
      </c>
      <c r="L78" t="n">
        <v>10</v>
      </c>
      <c r="M78">
        <f>IF(Vu_khi!$W$78&lt;=0,0,IF(Vu_khi!$U$78&gt;0,$I$78*Vu_khi!$U$78/(MAX(0.05,$G$78)*Vu_khi!$U$78+$K$78),$I$78/MAX(0.05,$G$78)))</f>
        <v/>
      </c>
      <c r="N78" t="n">
        <v>533.4306068148657</v>
      </c>
      <c r="O78">
        <f>OR(Vu_khi!$AG$78,Vu_khi!$AB$78&gt;0,Vu_khi!$AH$78,Vu_khi!$M$78="Bomb",Vu_khi!$M$78="Drone")</f>
        <v/>
      </c>
      <c r="P78" t="b">
        <v>0</v>
      </c>
      <c r="Q78">
        <f>AND(NOT(Vu_khi!$AJ$78),OR(Vu_khi!$AC$78="Ground",Vu_khi!$AC$78="All"))</f>
        <v/>
      </c>
      <c r="R78" t="b">
        <v>1</v>
      </c>
      <c r="S78">
        <f>AND(NOT(Vu_khi!$AJ$78),OR(Vu_khi!$AC$78="Air",Vu_khi!$AC$78="All"))</f>
        <v/>
      </c>
      <c r="T78" t="b">
        <v>0</v>
      </c>
      <c r="U78">
        <f>INDEX(Bang_sat_thuong!$B$2:$B$7,MATCH(Vu_khi!$K$78,Bang_sat_thuong!$A$2:$A$7,0))</f>
        <v/>
      </c>
      <c r="V78" t="n">
        <v>1</v>
      </c>
      <c r="W78">
        <f>INDEX(Bang_sat_thuong!$C$2:$C$7,MATCH(Vu_khi!$K$78,Bang_sat_thuong!$A$2:$A$7,0))</f>
        <v/>
      </c>
      <c r="X78" t="n">
        <v>0.3</v>
      </c>
      <c r="Y78">
        <f>IF(AND(Vu_khi!$AI$78,Vu_khi!$K$78="HighExplosive"),MAX(He_so_toan_cuc!$D$2,INDEX(Bang_sat_thuong!$D$2:$D$7,MATCH(Vu_khi!$K$78,Bang_sat_thuong!$A$2:$A$7,0))),INDEX(Bang_sat_thuong!$D$2:$D$7,MATCH(Vu_khi!$K$78,Bang_sat_thuong!$A$2:$A$7,0)))</f>
        <v/>
      </c>
      <c r="Z78" t="n">
        <v>0.6</v>
      </c>
      <c r="AA78">
        <f>INDEX(Bang_xuyen_giap!$C$2:$C$7,MIN(6,MAX(1,IF($O$78,MAX(1,2-(Vu_khi!$L$78-0)),2-(Vu_khi!$L$78-0))+1)))</f>
        <v/>
      </c>
      <c r="AB78" t="n">
        <v>1.2</v>
      </c>
      <c r="AC78">
        <f>INDEX(Bang_xuyen_giap!$C$2:$C$7,MIN(6,MAX(1,IF($O$78,MAX(1,2-(Vu_khi!$L$78-2)),2-(Vu_khi!$L$78-2))+1)))</f>
        <v/>
      </c>
      <c r="AD78" t="n">
        <v>1</v>
      </c>
      <c r="AE78">
        <f>INDEX(Bang_xuyen_giap!$C$2:$C$7,MIN(6,MAX(1,IF($O$78,MAX(1,2-(Vu_khi!$L$78-4)),2-(Vu_khi!$L$78-4))+1)))</f>
        <v/>
      </c>
      <c r="AF78" t="n">
        <v>0.5</v>
      </c>
      <c r="AG78">
        <f>INDEX(Bang_xuyen_giap!$C$2:$C$7,MIN(6,MAX(1,MAX(1,2-(Vu_khi!$L$78-0))+1)))</f>
        <v/>
      </c>
      <c r="AH78" t="n">
        <v>1</v>
      </c>
      <c r="AI78">
        <f>IF($Q$78,$M$78*$AA$78*$U$78,0)</f>
        <v/>
      </c>
      <c r="AJ78" t="n">
        <v>640.1167281778388</v>
      </c>
      <c r="AK78">
        <f>IF($Q$78,$M$78*$AC$78*$U$78,0)</f>
        <v/>
      </c>
      <c r="AL78" t="n">
        <v>533.4306068148657</v>
      </c>
      <c r="AM78">
        <f>IF($Q$78,$M$78*$AE$78*$U$78,0)</f>
        <v/>
      </c>
      <c r="AN78" t="n">
        <v>266.7153034074328</v>
      </c>
      <c r="AO78">
        <f>IF($Q$78,$M$78*$AC$78*$Y$78,0)</f>
        <v/>
      </c>
      <c r="AP78" t="n">
        <v>320.0583640889194</v>
      </c>
      <c r="AQ78">
        <f>IF($S$78,$M$78*$AG$78*$W$78,0)</f>
        <v/>
      </c>
      <c r="AR78" t="n">
        <v>0</v>
      </c>
      <c r="AS78">
        <f>IF(OR(Vu_khi!$M$78="Missile",Vu_khi!$M$78="Drone",AND(Vu_khi!$M$78="Rocket",OR(Vu_khi!$AM$78,Vu_khi!$D$78="guided")),Vu_khi!$AL$78,Vu_khi!$AK$78,Vu_khi!$X$78&lt;=0),FALSE,IF($B$78&gt;=0,$B$78&gt;=4,IF(Vu_khi!$M$78="Shell",Vu_khi!$AN$78&gt;=Canh_bao_vong!$D$10,IF(Vu_khi!$M$78="Bomb",Vu_khi!$AN$78&gt;=Canh_bao_vong!$D$3,IF(Vu_khi!$M$78="Rocket",Vu_khi!$AN$78&gt;=Canh_bao_vong!$D$13,FALSE)))))</f>
        <v/>
      </c>
      <c r="AT78" t="b">
        <v>0</v>
      </c>
      <c r="AU78">
        <f>IF(AND($B$78&lt;0,$AS$78),4,$B$78)</f>
        <v/>
      </c>
      <c r="AV78" t="n">
        <v>1</v>
      </c>
      <c r="AW78">
        <f>IF($AU$78&lt;4,0,MIN(MAX(0.5,Canh_bao_vong!$D$4),MAX(IF(Vu_khi!$C$78="cal_406",Canh_bao_vong!$D$7,IF($AU$78&gt;=5,Canh_bao_vong!$D$9,Canh_bao_vong!$D$8)),Canh_bao_vong!$D$2+MAX(0,Vu_khi!$X$78)/MAX(0.1,Canh_bao_vong!$D$5))))</f>
        <v/>
      </c>
      <c r="AX78" t="n">
        <v>0</v>
      </c>
      <c r="AY78" t="n">
        <v>2.680761</v>
      </c>
      <c r="AZ78" t="inlineStr">
        <is>
          <t>ok</t>
        </is>
      </c>
      <c r="BA78" t="inlineStr"/>
      <c r="BB78" t="inlineStr">
        <is>
          <t>Assets/MachineBrigade/Resources/Data/balance.json: weapons[id=gau_gatling] (lớp B trên 01_chien_dau/Vu_khi)</t>
        </is>
      </c>
      <c r="BC78" t="inlineStr"/>
    </row>
    <row r="79">
      <c r="A79" t="inlineStr">
        <is>
          <t>grad_cluster</t>
        </is>
      </c>
      <c r="B79" t="n">
        <v>3</v>
      </c>
      <c r="C79">
        <f>IF(Vu_khi!$O$79="SIMULTANEOUS",MAX(1,Vu_khi!$N$79),1)</f>
        <v/>
      </c>
      <c r="D79" t="n">
        <v>1</v>
      </c>
      <c r="E79">
        <f>IF(Vu_khi!$S$79&gt;0,Vu_khi!$S$79,Vu_khi!$P$79*$C$79)</f>
        <v/>
      </c>
      <c r="F79" t="n">
        <v>11</v>
      </c>
      <c r="G79">
        <f>IF(Vu_khi!$S$79&gt;0,(Vu_khi!$S$79-1)*Vu_khi!$R$79+Vu_khi!$T$79,Vu_khi!$R$79+(Vu_khi!$P$79-1)*Vu_khi!$Q$79)</f>
        <v/>
      </c>
      <c r="H79" t="n">
        <v>13</v>
      </c>
      <c r="I79">
        <f>Vu_khi!$W$79*MAX(1,$E$79)</f>
        <v/>
      </c>
      <c r="J79" t="n">
        <v>627</v>
      </c>
      <c r="K79">
        <f>IF(Vu_khi!$V$79&gt;0,Vu_khi!$V$79,MIN(28,MAX(10,Vu_khi!$U$79*Vu_khi!$R$79*0.4)))</f>
        <v/>
      </c>
      <c r="L79" t="n">
        <v>13.67</v>
      </c>
      <c r="M79">
        <f>IF(Vu_khi!$W$79&lt;=0,0,IF(Vu_khi!$U$79&gt;0,$I$79*Vu_khi!$U$79/(MAX(0.05,$G$79)*Vu_khi!$U$79+$K$79),$I$79/MAX(0.05,$G$79)))</f>
        <v/>
      </c>
      <c r="N79" t="n">
        <v>35.71292956142016</v>
      </c>
      <c r="O79">
        <f>OR(Vu_khi!$AG$79,Vu_khi!$AB$79&gt;0,Vu_khi!$AH$79,Vu_khi!$M$79="Bomb",Vu_khi!$M$79="Drone")</f>
        <v/>
      </c>
      <c r="P79" t="b">
        <v>1</v>
      </c>
      <c r="Q79">
        <f>AND(NOT(Vu_khi!$AJ$79),OR(Vu_khi!$AC$79="Ground",Vu_khi!$AC$79="All"))</f>
        <v/>
      </c>
      <c r="R79" t="b">
        <v>1</v>
      </c>
      <c r="S79">
        <f>AND(NOT(Vu_khi!$AJ$79),OR(Vu_khi!$AC$79="Air",Vu_khi!$AC$79="All"))</f>
        <v/>
      </c>
      <c r="T79" t="b">
        <v>0</v>
      </c>
      <c r="U79">
        <f>INDEX(Bang_sat_thuong!$B$2:$B$7,MATCH(Vu_khi!$K$79,Bang_sat_thuong!$A$2:$A$7,0))</f>
        <v/>
      </c>
      <c r="V79" t="n">
        <v>1</v>
      </c>
      <c r="W79">
        <f>INDEX(Bang_sat_thuong!$C$2:$C$7,MATCH(Vu_khi!$K$79,Bang_sat_thuong!$A$2:$A$7,0))</f>
        <v/>
      </c>
      <c r="X79" t="n">
        <v>0</v>
      </c>
      <c r="Y79">
        <f>IF(AND(Vu_khi!$AI$79,Vu_khi!$K$79="HighExplosive"),MAX(He_so_toan_cuc!$D$2,INDEX(Bang_sat_thuong!$D$2:$D$7,MATCH(Vu_khi!$K$79,Bang_sat_thuong!$A$2:$A$7,0))),INDEX(Bang_sat_thuong!$D$2:$D$7,MATCH(Vu_khi!$K$79,Bang_sat_thuong!$A$2:$A$7,0)))</f>
        <v/>
      </c>
      <c r="Z79" t="n">
        <v>1.5</v>
      </c>
      <c r="AA79">
        <f>INDEX(Bang_xuyen_giap!$C$2:$C$7,MIN(6,MAX(1,IF($O$79,MAX(1,2-(Vu_khi!$L$79-0)),2-(Vu_khi!$L$79-0))+1)))</f>
        <v/>
      </c>
      <c r="AB79" t="n">
        <v>1</v>
      </c>
      <c r="AC79">
        <f>INDEX(Bang_xuyen_giap!$C$2:$C$7,MIN(6,MAX(1,IF($O$79,MAX(1,2-(Vu_khi!$L$79-2)),2-(Vu_khi!$L$79-2))+1)))</f>
        <v/>
      </c>
      <c r="AD79" t="n">
        <v>0.85</v>
      </c>
      <c r="AE79">
        <f>INDEX(Bang_xuyen_giap!$C$2:$C$7,MIN(6,MAX(1,IF($O$79,MAX(1,2-(Vu_khi!$L$79-4)),2-(Vu_khi!$L$79-4))+1)))</f>
        <v/>
      </c>
      <c r="AF79" t="n">
        <v>0.25</v>
      </c>
      <c r="AG79">
        <f>INDEX(Bang_xuyen_giap!$C$2:$C$7,MIN(6,MAX(1,MAX(1,2-(Vu_khi!$L$79-0))+1)))</f>
        <v/>
      </c>
      <c r="AH79" t="n">
        <v>1</v>
      </c>
      <c r="AI79">
        <f>IF($Q$79,$M$79*$AA$79*$U$79,0)</f>
        <v/>
      </c>
      <c r="AJ79" t="n">
        <v>35.71292956142016</v>
      </c>
      <c r="AK79">
        <f>IF($Q$79,$M$79*$AC$79*$U$79,0)</f>
        <v/>
      </c>
      <c r="AL79" t="n">
        <v>30.35599012720714</v>
      </c>
      <c r="AM79">
        <f>IF($Q$79,$M$79*$AE$79*$U$79,0)</f>
        <v/>
      </c>
      <c r="AN79" t="n">
        <v>8.92823239035504</v>
      </c>
      <c r="AO79">
        <f>IF($Q$79,$M$79*$AC$79*$Y$79,0)</f>
        <v/>
      </c>
      <c r="AP79" t="n">
        <v>45.5339851908107</v>
      </c>
      <c r="AQ79">
        <f>IF($S$79,$M$79*$AG$79*$W$79,0)</f>
        <v/>
      </c>
      <c r="AR79" t="n">
        <v>0</v>
      </c>
      <c r="AS79">
        <f>IF(OR(Vu_khi!$M$79="Missile",Vu_khi!$M$79="Drone",AND(Vu_khi!$M$79="Rocket",OR(Vu_khi!$AM$79,Vu_khi!$D$79="guided")),Vu_khi!$AL$79,Vu_khi!$AK$79,Vu_khi!$X$79&lt;=0),FALSE,IF($B$79&gt;=0,$B$79&gt;=4,IF(Vu_khi!$M$79="Shell",Vu_khi!$AN$79&gt;=Canh_bao_vong!$D$10,IF(Vu_khi!$M$79="Bomb",Vu_khi!$AN$79&gt;=Canh_bao_vong!$D$3,IF(Vu_khi!$M$79="Rocket",Vu_khi!$AN$79&gt;=Canh_bao_vong!$D$13,FALSE)))))</f>
        <v/>
      </c>
      <c r="AT79" t="b">
        <v>0</v>
      </c>
      <c r="AU79">
        <f>IF(AND($B$79&lt;0,$AS$79),4,$B$79)</f>
        <v/>
      </c>
      <c r="AV79" t="n">
        <v>3</v>
      </c>
      <c r="AW79">
        <f>IF($AU$79&lt;4,0,MIN(MAX(0.5,Canh_bao_vong!$D$4),MAX(IF(Vu_khi!$C$79="cal_406",Canh_bao_vong!$D$7,IF($AU$79&gt;=5,Canh_bao_vong!$D$9,Canh_bao_vong!$D$8)),Canh_bao_vong!$D$2+MAX(0,Vu_khi!$X$79)/MAX(0.1,Canh_bao_vong!$D$5))))</f>
        <v/>
      </c>
      <c r="AX79" t="n">
        <v>0</v>
      </c>
      <c r="AY79" t="n">
        <v>1</v>
      </c>
      <c r="AZ79" t="inlineStr">
        <is>
          <t>ok</t>
        </is>
      </c>
      <c r="BA79" t="inlineStr"/>
      <c r="BB79" t="inlineStr">
        <is>
          <t>Assets/MachineBrigade/Resources/Data/balance.json: weapons[id=grad_cluster] (lớp B trên 01_chien_dau/Vu_khi)</t>
        </is>
      </c>
      <c r="BC79" t="inlineStr"/>
    </row>
    <row r="80">
      <c r="A80" t="inlineStr">
        <is>
          <t>grad_rockets</t>
        </is>
      </c>
      <c r="B80" t="n">
        <v>3</v>
      </c>
      <c r="C80">
        <f>IF(Vu_khi!$O$80="SIMULTANEOUS",MAX(1,Vu_khi!$N$80),1)</f>
        <v/>
      </c>
      <c r="D80" t="n">
        <v>1</v>
      </c>
      <c r="E80">
        <f>IF(Vu_khi!$S$80&gt;0,Vu_khi!$S$80,Vu_khi!$P$80*$C$80)</f>
        <v/>
      </c>
      <c r="F80" t="n">
        <v>9</v>
      </c>
      <c r="G80">
        <f>IF(Vu_khi!$S$80&gt;0,(Vu_khi!$S$80-1)*Vu_khi!$R$80+Vu_khi!$T$80,Vu_khi!$R$80+(Vu_khi!$P$80-1)*Vu_khi!$Q$80)</f>
        <v/>
      </c>
      <c r="H80" t="n">
        <v>15.31</v>
      </c>
      <c r="I80">
        <f>Vu_khi!$W$80*MAX(1,$E$80)</f>
        <v/>
      </c>
      <c r="J80" t="n">
        <v>513</v>
      </c>
      <c r="K80">
        <f>IF(Vu_khi!$V$80&gt;0,Vu_khi!$V$80,MIN(28,MAX(10,Vu_khi!$U$80*Vu_khi!$R$80*0.4)))</f>
        <v/>
      </c>
      <c r="L80" t="n">
        <v>16.6</v>
      </c>
      <c r="M80">
        <f>IF(Vu_khi!$W$80&lt;=0,0,IF(Vu_khi!$U$80&gt;0,$I$80*Vu_khi!$U$80/(MAX(0.05,$G$80)*Vu_khi!$U$80+$K$80),$I$80/MAX(0.05,$G$80)))</f>
        <v/>
      </c>
      <c r="N80" t="n">
        <v>24.61218615064769</v>
      </c>
      <c r="O80">
        <f>OR(Vu_khi!$AG$80,Vu_khi!$AB$80&gt;0,Vu_khi!$AH$80,Vu_khi!$M$80="Bomb",Vu_khi!$M$80="Drone")</f>
        <v/>
      </c>
      <c r="P80" t="b">
        <v>1</v>
      </c>
      <c r="Q80">
        <f>AND(NOT(Vu_khi!$AJ$80),OR(Vu_khi!$AC$80="Ground",Vu_khi!$AC$80="All"))</f>
        <v/>
      </c>
      <c r="R80" t="b">
        <v>1</v>
      </c>
      <c r="S80">
        <f>AND(NOT(Vu_khi!$AJ$80),OR(Vu_khi!$AC$80="Air",Vu_khi!$AC$80="All"))</f>
        <v/>
      </c>
      <c r="T80" t="b">
        <v>0</v>
      </c>
      <c r="U80">
        <f>INDEX(Bang_sat_thuong!$B$2:$B$7,MATCH(Vu_khi!$K$80,Bang_sat_thuong!$A$2:$A$7,0))</f>
        <v/>
      </c>
      <c r="V80" t="n">
        <v>1</v>
      </c>
      <c r="W80">
        <f>INDEX(Bang_sat_thuong!$C$2:$C$7,MATCH(Vu_khi!$K$80,Bang_sat_thuong!$A$2:$A$7,0))</f>
        <v/>
      </c>
      <c r="X80" t="n">
        <v>0</v>
      </c>
      <c r="Y80">
        <f>IF(AND(Vu_khi!$AI$80,Vu_khi!$K$80="HighExplosive"),MAX(He_so_toan_cuc!$D$2,INDEX(Bang_sat_thuong!$D$2:$D$7,MATCH(Vu_khi!$K$80,Bang_sat_thuong!$A$2:$A$7,0))),INDEX(Bang_sat_thuong!$D$2:$D$7,MATCH(Vu_khi!$K$80,Bang_sat_thuong!$A$2:$A$7,0)))</f>
        <v/>
      </c>
      <c r="Z80" t="n">
        <v>1.5</v>
      </c>
      <c r="AA80">
        <f>INDEX(Bang_xuyen_giap!$C$2:$C$7,MIN(6,MAX(1,IF($O$80,MAX(1,2-(Vu_khi!$L$80-0)),2-(Vu_khi!$L$80-0))+1)))</f>
        <v/>
      </c>
      <c r="AB80" t="n">
        <v>1</v>
      </c>
      <c r="AC80">
        <f>INDEX(Bang_xuyen_giap!$C$2:$C$7,MIN(6,MAX(1,IF($O$80,MAX(1,2-(Vu_khi!$L$80-2)),2-(Vu_khi!$L$80-2))+1)))</f>
        <v/>
      </c>
      <c r="AD80" t="n">
        <v>0.85</v>
      </c>
      <c r="AE80">
        <f>INDEX(Bang_xuyen_giap!$C$2:$C$7,MIN(6,MAX(1,IF($O$80,MAX(1,2-(Vu_khi!$L$80-4)),2-(Vu_khi!$L$80-4))+1)))</f>
        <v/>
      </c>
      <c r="AF80" t="n">
        <v>0.25</v>
      </c>
      <c r="AG80">
        <f>INDEX(Bang_xuyen_giap!$C$2:$C$7,MIN(6,MAX(1,MAX(1,2-(Vu_khi!$L$80-0))+1)))</f>
        <v/>
      </c>
      <c r="AH80" t="n">
        <v>1</v>
      </c>
      <c r="AI80">
        <f>IF($Q$80,$M$80*$AA$80*$U$80,0)</f>
        <v/>
      </c>
      <c r="AJ80" t="n">
        <v>24.61218615064769</v>
      </c>
      <c r="AK80">
        <f>IF($Q$80,$M$80*$AC$80*$U$80,0)</f>
        <v/>
      </c>
      <c r="AL80" t="n">
        <v>20.92035822805054</v>
      </c>
      <c r="AM80">
        <f>IF($Q$80,$M$80*$AE$80*$U$80,0)</f>
        <v/>
      </c>
      <c r="AN80" t="n">
        <v>6.153046537661922</v>
      </c>
      <c r="AO80">
        <f>IF($Q$80,$M$80*$AC$80*$Y$80,0)</f>
        <v/>
      </c>
      <c r="AP80" t="n">
        <v>31.3805373420758</v>
      </c>
      <c r="AQ80">
        <f>IF($S$80,$M$80*$AG$80*$W$80,0)</f>
        <v/>
      </c>
      <c r="AR80" t="n">
        <v>0</v>
      </c>
      <c r="AS80">
        <f>IF(OR(Vu_khi!$M$80="Missile",Vu_khi!$M$80="Drone",AND(Vu_khi!$M$80="Rocket",OR(Vu_khi!$AM$80,Vu_khi!$D$80="guided")),Vu_khi!$AL$80,Vu_khi!$AK$80,Vu_khi!$X$80&lt;=0),FALSE,IF($B$80&gt;=0,$B$80&gt;=4,IF(Vu_khi!$M$80="Shell",Vu_khi!$AN$80&gt;=Canh_bao_vong!$D$10,IF(Vu_khi!$M$80="Bomb",Vu_khi!$AN$80&gt;=Canh_bao_vong!$D$3,IF(Vu_khi!$M$80="Rocket",Vu_khi!$AN$80&gt;=Canh_bao_vong!$D$13,FALSE)))))</f>
        <v/>
      </c>
      <c r="AT80" t="b">
        <v>0</v>
      </c>
      <c r="AU80">
        <f>IF(AND($B$80&lt;0,$AS$80),4,$B$80)</f>
        <v/>
      </c>
      <c r="AV80" t="n">
        <v>3</v>
      </c>
      <c r="AW80">
        <f>IF($AU$80&lt;4,0,MIN(MAX(0.5,Canh_bao_vong!$D$4),MAX(IF(Vu_khi!$C$80="cal_406",Canh_bao_vong!$D$7,IF($AU$80&gt;=5,Canh_bao_vong!$D$9,Canh_bao_vong!$D$8)),Canh_bao_vong!$D$2+MAX(0,Vu_khi!$X$80)/MAX(0.1,Canh_bao_vong!$D$5))))</f>
        <v/>
      </c>
      <c r="AX80" t="n">
        <v>0</v>
      </c>
      <c r="AY80" t="n">
        <v>1</v>
      </c>
      <c r="AZ80" t="inlineStr">
        <is>
          <t>ok</t>
        </is>
      </c>
      <c r="BA80" t="inlineStr"/>
      <c r="BB80" t="inlineStr">
        <is>
          <t>Assets/MachineBrigade/Resources/Data/balance.json: weapons[id=grad_rockets] (lớp B trên 01_chien_dau/Vu_khi)</t>
        </is>
      </c>
      <c r="BC80" t="inlineStr"/>
    </row>
    <row r="81">
      <c r="A81" t="inlineStr">
        <is>
          <t>gsh_23v</t>
        </is>
      </c>
      <c r="B81" t="n">
        <v>1</v>
      </c>
      <c r="C81">
        <f>IF(Vu_khi!$O$81="SIMULTANEOUS",MAX(1,Vu_khi!$N$81),1)</f>
        <v/>
      </c>
      <c r="D81" t="n">
        <v>1</v>
      </c>
      <c r="E81">
        <f>IF(Vu_khi!$S$81&gt;0,Vu_khi!$S$81,Vu_khi!$P$81*$C$81)</f>
        <v/>
      </c>
      <c r="F81" t="n">
        <v>44</v>
      </c>
      <c r="G81">
        <f>IF(Vu_khi!$S$81&gt;0,(Vu_khi!$S$81-1)*Vu_khi!$R$81+Vu_khi!$T$81,Vu_khi!$R$81+(Vu_khi!$P$81-1)*Vu_khi!$Q$81)</f>
        <v/>
      </c>
      <c r="H81" t="n">
        <v>6.3826</v>
      </c>
      <c r="I81">
        <f>Vu_khi!$W$81*MAX(1,$E$81)</f>
        <v/>
      </c>
      <c r="J81" t="n">
        <v>616</v>
      </c>
      <c r="K81">
        <f>IF(Vu_khi!$V$81&gt;0,Vu_khi!$V$81,MIN(28,MAX(10,Vu_khi!$U$81*Vu_khi!$R$81*0.4)))</f>
        <v/>
      </c>
      <c r="L81" t="n">
        <v>10</v>
      </c>
      <c r="M81">
        <f>IF(Vu_khi!$W$81&lt;=0,0,IF(Vu_khi!$U$81&gt;0,$I$81*Vu_khi!$U$81/(MAX(0.05,$G$81)*Vu_khi!$U$81+$K$81),$I$81/MAX(0.05,$G$81)))</f>
        <v/>
      </c>
      <c r="N81" t="n">
        <v>96.5123930686554</v>
      </c>
      <c r="O81">
        <f>OR(Vu_khi!$AG$81,Vu_khi!$AB$81&gt;0,Vu_khi!$AH$81,Vu_khi!$M$81="Bomb",Vu_khi!$M$81="Drone")</f>
        <v/>
      </c>
      <c r="P81" t="b">
        <v>0</v>
      </c>
      <c r="Q81">
        <f>AND(NOT(Vu_khi!$AJ$81),OR(Vu_khi!$AC$81="Ground",Vu_khi!$AC$81="All"))</f>
        <v/>
      </c>
      <c r="R81" t="b">
        <v>1</v>
      </c>
      <c r="S81">
        <f>AND(NOT(Vu_khi!$AJ$81),OR(Vu_khi!$AC$81="Air",Vu_khi!$AC$81="All"))</f>
        <v/>
      </c>
      <c r="T81" t="b">
        <v>1</v>
      </c>
      <c r="U81">
        <f>INDEX(Bang_sat_thuong!$B$2:$B$7,MATCH(Vu_khi!$K$81,Bang_sat_thuong!$A$2:$A$7,0))</f>
        <v/>
      </c>
      <c r="V81" t="n">
        <v>1</v>
      </c>
      <c r="W81">
        <f>INDEX(Bang_sat_thuong!$C$2:$C$7,MATCH(Vu_khi!$K$81,Bang_sat_thuong!$A$2:$A$7,0))</f>
        <v/>
      </c>
      <c r="X81" t="n">
        <v>0.3</v>
      </c>
      <c r="Y81">
        <f>IF(AND(Vu_khi!$AI$81,Vu_khi!$K$81="HighExplosive"),MAX(He_so_toan_cuc!$D$2,INDEX(Bang_sat_thuong!$D$2:$D$7,MATCH(Vu_khi!$K$81,Bang_sat_thuong!$A$2:$A$7,0))),INDEX(Bang_sat_thuong!$D$2:$D$7,MATCH(Vu_khi!$K$81,Bang_sat_thuong!$A$2:$A$7,0)))</f>
        <v/>
      </c>
      <c r="Z81" t="n">
        <v>0.6</v>
      </c>
      <c r="AA81">
        <f>INDEX(Bang_xuyen_giap!$C$2:$C$7,MIN(6,MAX(1,IF($O$81,MAX(1,2-(Vu_khi!$L$81-0)),2-(Vu_khi!$L$81-0))+1)))</f>
        <v/>
      </c>
      <c r="AB81" t="n">
        <v>1.2</v>
      </c>
      <c r="AC81">
        <f>INDEX(Bang_xuyen_giap!$C$2:$C$7,MIN(6,MAX(1,IF($O$81,MAX(1,2-(Vu_khi!$L$81-2)),2-(Vu_khi!$L$81-2))+1)))</f>
        <v/>
      </c>
      <c r="AD81" t="n">
        <v>0.85</v>
      </c>
      <c r="AE81">
        <f>INDEX(Bang_xuyen_giap!$C$2:$C$7,MIN(6,MAX(1,IF($O$81,MAX(1,2-(Vu_khi!$L$81-4)),2-(Vu_khi!$L$81-4))+1)))</f>
        <v/>
      </c>
      <c r="AF81" t="n">
        <v>0.25</v>
      </c>
      <c r="AG81">
        <f>INDEX(Bang_xuyen_giap!$C$2:$C$7,MIN(6,MAX(1,MAX(1,2-(Vu_khi!$L$81-0))+1)))</f>
        <v/>
      </c>
      <c r="AH81" t="n">
        <v>1</v>
      </c>
      <c r="AI81">
        <f>IF($Q$81,$M$81*$AA$81*$U$81,0)</f>
        <v/>
      </c>
      <c r="AJ81" t="n">
        <v>115.8148716823865</v>
      </c>
      <c r="AK81">
        <f>IF($Q$81,$M$81*$AC$81*$U$81,0)</f>
        <v/>
      </c>
      <c r="AL81" t="n">
        <v>82.03553410835708</v>
      </c>
      <c r="AM81">
        <f>IF($Q$81,$M$81*$AE$81*$U$81,0)</f>
        <v/>
      </c>
      <c r="AN81" t="n">
        <v>24.12809826716385</v>
      </c>
      <c r="AO81">
        <f>IF($Q$81,$M$81*$AC$81*$Y$81,0)</f>
        <v/>
      </c>
      <c r="AP81" t="n">
        <v>49.22132046501425</v>
      </c>
      <c r="AQ81">
        <f>IF($S$81,$M$81*$AG$81*$W$81,0)</f>
        <v/>
      </c>
      <c r="AR81" t="n">
        <v>28.95371792059662</v>
      </c>
      <c r="AS81">
        <f>IF(OR(Vu_khi!$M$81="Missile",Vu_khi!$M$81="Drone",AND(Vu_khi!$M$81="Rocket",OR(Vu_khi!$AM$81,Vu_khi!$D$81="guided")),Vu_khi!$AL$81,Vu_khi!$AK$81,Vu_khi!$X$81&lt;=0),FALSE,IF($B$81&gt;=0,$B$81&gt;=4,IF(Vu_khi!$M$81="Shell",Vu_khi!$AN$81&gt;=Canh_bao_vong!$D$10,IF(Vu_khi!$M$81="Bomb",Vu_khi!$AN$81&gt;=Canh_bao_vong!$D$3,IF(Vu_khi!$M$81="Rocket",Vu_khi!$AN$81&gt;=Canh_bao_vong!$D$13,FALSE)))))</f>
        <v/>
      </c>
      <c r="AT81" t="b">
        <v>0</v>
      </c>
      <c r="AU81">
        <f>IF(AND($B$81&lt;0,$AS$81),4,$B$81)</f>
        <v/>
      </c>
      <c r="AV81" t="n">
        <v>1</v>
      </c>
      <c r="AW81">
        <f>IF($AU$81&lt;4,0,MIN(MAX(0.5,Canh_bao_vong!$D$4),MAX(IF(Vu_khi!$C$81="cal_406",Canh_bao_vong!$D$7,IF($AU$81&gt;=5,Canh_bao_vong!$D$9,Canh_bao_vong!$D$8)),Canh_bao_vong!$D$2+MAX(0,Vu_khi!$X$81)/MAX(0.1,Canh_bao_vong!$D$5))))</f>
        <v/>
      </c>
      <c r="AX81" t="n">
        <v>0</v>
      </c>
      <c r="AY81" t="n">
        <v>8.220015</v>
      </c>
      <c r="AZ81" t="inlineStr">
        <is>
          <t>ok</t>
        </is>
      </c>
      <c r="BA81" t="inlineStr"/>
      <c r="BB81" t="inlineStr">
        <is>
          <t>Assets/MachineBrigade/Resources/Data/balance.json: weapons[id=gsh_23v] (lớp B trên 01_chien_dau/Vu_khi)</t>
        </is>
      </c>
      <c r="BC81" t="inlineStr"/>
    </row>
    <row r="82">
      <c r="A82" t="inlineStr">
        <is>
          <t>guided_bomb</t>
        </is>
      </c>
      <c r="B82" t="n">
        <v>2</v>
      </c>
      <c r="C82">
        <f>IF(Vu_khi!$O$82="SIMULTANEOUS",MAX(1,Vu_khi!$N$82),1)</f>
        <v/>
      </c>
      <c r="D82" t="n">
        <v>1</v>
      </c>
      <c r="E82">
        <f>IF(Vu_khi!$S$82&gt;0,Vu_khi!$S$82,Vu_khi!$P$82*$C$82)</f>
        <v/>
      </c>
      <c r="F82" t="n">
        <v>1</v>
      </c>
      <c r="G82">
        <f>IF(Vu_khi!$S$82&gt;0,(Vu_khi!$S$82-1)*Vu_khi!$R$82+Vu_khi!$T$82,Vu_khi!$R$82+(Vu_khi!$P$82-1)*Vu_khi!$Q$82)</f>
        <v/>
      </c>
      <c r="H82" t="n">
        <v>6.651</v>
      </c>
      <c r="I82">
        <f>Vu_khi!$W$82*MAX(1,$E$82)</f>
        <v/>
      </c>
      <c r="J82" t="n">
        <v>210</v>
      </c>
      <c r="K82">
        <f>IF(Vu_khi!$V$82&gt;0,Vu_khi!$V$82,MIN(28,MAX(10,Vu_khi!$U$82*Vu_khi!$R$82*0.4)))</f>
        <v/>
      </c>
      <c r="L82" t="n">
        <v>10</v>
      </c>
      <c r="M82">
        <f>IF(Vu_khi!$W$82&lt;=0,0,IF(Vu_khi!$U$82&gt;0,$I$82*Vu_khi!$U$82/(MAX(0.05,$G$82)*Vu_khi!$U$82+$K$82),$I$82/MAX(0.05,$G$82)))</f>
        <v/>
      </c>
      <c r="N82" t="n">
        <v>31.57419936851601</v>
      </c>
      <c r="O82">
        <f>OR(Vu_khi!$AG$82,Vu_khi!$AB$82&gt;0,Vu_khi!$AH$82,Vu_khi!$M$82="Bomb",Vu_khi!$M$82="Drone")</f>
        <v/>
      </c>
      <c r="P82" t="b">
        <v>1</v>
      </c>
      <c r="Q82">
        <f>AND(NOT(Vu_khi!$AJ$82),OR(Vu_khi!$AC$82="Ground",Vu_khi!$AC$82="All"))</f>
        <v/>
      </c>
      <c r="R82" t="b">
        <v>1</v>
      </c>
      <c r="S82">
        <f>AND(NOT(Vu_khi!$AJ$82),OR(Vu_khi!$AC$82="Air",Vu_khi!$AC$82="All"))</f>
        <v/>
      </c>
      <c r="T82" t="b">
        <v>0</v>
      </c>
      <c r="U82">
        <f>INDEX(Bang_sat_thuong!$B$2:$B$7,MATCH(Vu_khi!$K$82,Bang_sat_thuong!$A$2:$A$7,0))</f>
        <v/>
      </c>
      <c r="V82" t="n">
        <v>1</v>
      </c>
      <c r="W82">
        <f>INDEX(Bang_sat_thuong!$C$2:$C$7,MATCH(Vu_khi!$K$82,Bang_sat_thuong!$A$2:$A$7,0))</f>
        <v/>
      </c>
      <c r="X82" t="n">
        <v>0</v>
      </c>
      <c r="Y82">
        <f>IF(AND(Vu_khi!$AI$82,Vu_khi!$K$82="HighExplosive"),MAX(He_so_toan_cuc!$D$2,INDEX(Bang_sat_thuong!$D$2:$D$7,MATCH(Vu_khi!$K$82,Bang_sat_thuong!$A$2:$A$7,0))),INDEX(Bang_sat_thuong!$D$2:$D$7,MATCH(Vu_khi!$K$82,Bang_sat_thuong!$A$2:$A$7,0)))</f>
        <v/>
      </c>
      <c r="Z82" t="n">
        <v>1.5</v>
      </c>
      <c r="AA82">
        <f>INDEX(Bang_xuyen_giap!$C$2:$C$7,MIN(6,MAX(1,IF($O$82,MAX(1,2-(Vu_khi!$L$82-0)),2-(Vu_khi!$L$82-0))+1)))</f>
        <v/>
      </c>
      <c r="AB82" t="n">
        <v>1</v>
      </c>
      <c r="AC82">
        <f>INDEX(Bang_xuyen_giap!$C$2:$C$7,MIN(6,MAX(1,IF($O$82,MAX(1,2-(Vu_khi!$L$82-2)),2-(Vu_khi!$L$82-2))+1)))</f>
        <v/>
      </c>
      <c r="AD82" t="n">
        <v>1</v>
      </c>
      <c r="AE82">
        <f>INDEX(Bang_xuyen_giap!$C$2:$C$7,MIN(6,MAX(1,IF($O$82,MAX(1,2-(Vu_khi!$L$82-4)),2-(Vu_khi!$L$82-4))+1)))</f>
        <v/>
      </c>
      <c r="AF82" t="n">
        <v>0.5</v>
      </c>
      <c r="AG82">
        <f>INDEX(Bang_xuyen_giap!$C$2:$C$7,MIN(6,MAX(1,MAX(1,2-(Vu_khi!$L$82-0))+1)))</f>
        <v/>
      </c>
      <c r="AH82" t="n">
        <v>1</v>
      </c>
      <c r="AI82">
        <f>IF($Q$82,$M$82*$AA$82*$U$82,0)</f>
        <v/>
      </c>
      <c r="AJ82" t="n">
        <v>31.57419936851601</v>
      </c>
      <c r="AK82">
        <f>IF($Q$82,$M$82*$AC$82*$U$82,0)</f>
        <v/>
      </c>
      <c r="AL82" t="n">
        <v>31.57419936851601</v>
      </c>
      <c r="AM82">
        <f>IF($Q$82,$M$82*$AE$82*$U$82,0)</f>
        <v/>
      </c>
      <c r="AN82" t="n">
        <v>15.78709968425801</v>
      </c>
      <c r="AO82">
        <f>IF($Q$82,$M$82*$AC$82*$Y$82,0)</f>
        <v/>
      </c>
      <c r="AP82" t="n">
        <v>47.36129905277402</v>
      </c>
      <c r="AQ82">
        <f>IF($S$82,$M$82*$AG$82*$W$82,0)</f>
        <v/>
      </c>
      <c r="AR82" t="n">
        <v>0</v>
      </c>
      <c r="AS82">
        <f>IF(OR(Vu_khi!$M$82="Missile",Vu_khi!$M$82="Drone",AND(Vu_khi!$M$82="Rocket",OR(Vu_khi!$AM$82,Vu_khi!$D$82="guided")),Vu_khi!$AL$82,Vu_khi!$AK$82,Vu_khi!$X$82&lt;=0),FALSE,IF($B$82&gt;=0,$B$82&gt;=4,IF(Vu_khi!$M$82="Shell",Vu_khi!$AN$82&gt;=Canh_bao_vong!$D$10,IF(Vu_khi!$M$82="Bomb",Vu_khi!$AN$82&gt;=Canh_bao_vong!$D$3,IF(Vu_khi!$M$82="Rocket",Vu_khi!$AN$82&gt;=Canh_bao_vong!$D$13,FALSE)))))</f>
        <v/>
      </c>
      <c r="AT82" t="b">
        <v>0</v>
      </c>
      <c r="AU82">
        <f>IF(AND($B$82&lt;0,$AS$82),4,$B$82)</f>
        <v/>
      </c>
      <c r="AV82" t="n">
        <v>2</v>
      </c>
      <c r="AW82">
        <f>IF($AU$82&lt;4,0,MIN(MAX(0.5,Canh_bao_vong!$D$4),MAX(IF(Vu_khi!$C$82="cal_406",Canh_bao_vong!$D$7,IF($AU$82&gt;=5,Canh_bao_vong!$D$9,Canh_bao_vong!$D$8)),Canh_bao_vong!$D$2+MAX(0,Vu_khi!$X$82)/MAX(0.1,Canh_bao_vong!$D$5))))</f>
        <v/>
      </c>
      <c r="AX82" t="n">
        <v>0</v>
      </c>
      <c r="AY82" t="inlineStr"/>
      <c r="AZ82" t="inlineStr">
        <is>
          <t>ok</t>
        </is>
      </c>
      <c r="BA82" t="inlineStr"/>
      <c r="BB82" t="inlineStr">
        <is>
          <t>Assets/MachineBrigade/Resources/Data/balance.json: weapons[id=guided_bomb] (lớp B trên 01_chien_dau/Vu_khi)</t>
        </is>
      </c>
      <c r="BC82" t="inlineStr"/>
    </row>
    <row r="83">
      <c r="A83" t="inlineStr">
        <is>
          <t>gun_57_air</t>
        </is>
      </c>
      <c r="B83" t="n">
        <v>2</v>
      </c>
      <c r="C83">
        <f>IF(Vu_khi!$O$83="SIMULTANEOUS",MAX(1,Vu_khi!$N$83),1)</f>
        <v/>
      </c>
      <c r="D83" t="n">
        <v>1</v>
      </c>
      <c r="E83">
        <f>IF(Vu_khi!$S$83&gt;0,Vu_khi!$S$83,Vu_khi!$P$83*$C$83)</f>
        <v/>
      </c>
      <c r="F83" t="n">
        <v>6</v>
      </c>
      <c r="G83">
        <f>IF(Vu_khi!$S$83&gt;0,(Vu_khi!$S$83-1)*Vu_khi!$R$83+Vu_khi!$T$83,Vu_khi!$R$83+(Vu_khi!$P$83-1)*Vu_khi!$Q$83)</f>
        <v/>
      </c>
      <c r="H83" t="n">
        <v>4.9</v>
      </c>
      <c r="I83">
        <f>Vu_khi!$W$83*MAX(1,$E$83)</f>
        <v/>
      </c>
      <c r="J83" t="n">
        <v>420</v>
      </c>
      <c r="K83">
        <f>IF(Vu_khi!$V$83&gt;0,Vu_khi!$V$83,MIN(28,MAX(10,Vu_khi!$U$83*Vu_khi!$R$83*0.4)))</f>
        <v/>
      </c>
      <c r="L83" t="n">
        <v>10</v>
      </c>
      <c r="M83">
        <f>IF(Vu_khi!$W$83&lt;=0,0,IF(Vu_khi!$U$83&gt;0,$I$83*Vu_khi!$U$83/(MAX(0.05,$G$83)*Vu_khi!$U$83+$K$83),$I$83/MAX(0.05,$G$83)))</f>
        <v/>
      </c>
      <c r="N83" t="n">
        <v>85.71428571428571</v>
      </c>
      <c r="O83">
        <f>OR(Vu_khi!$AG$83,Vu_khi!$AB$83&gt;0,Vu_khi!$AH$83,Vu_khi!$M$83="Bomb",Vu_khi!$M$83="Drone")</f>
        <v/>
      </c>
      <c r="P83" t="b">
        <v>0</v>
      </c>
      <c r="Q83">
        <f>AND(NOT(Vu_khi!$AJ$83),OR(Vu_khi!$AC$83="Ground",Vu_khi!$AC$83="All"))</f>
        <v/>
      </c>
      <c r="R83" t="b">
        <v>0</v>
      </c>
      <c r="S83">
        <f>AND(NOT(Vu_khi!$AJ$83),OR(Vu_khi!$AC$83="Air",Vu_khi!$AC$83="All"))</f>
        <v/>
      </c>
      <c r="T83" t="b">
        <v>1</v>
      </c>
      <c r="U83">
        <f>INDEX(Bang_sat_thuong!$B$2:$B$7,MATCH(Vu_khi!$K$83,Bang_sat_thuong!$A$2:$A$7,0))</f>
        <v/>
      </c>
      <c r="V83" t="n">
        <v>0.5</v>
      </c>
      <c r="W83">
        <f>INDEX(Bang_sat_thuong!$C$2:$C$7,MATCH(Vu_khi!$K$83,Bang_sat_thuong!$A$2:$A$7,0))</f>
        <v/>
      </c>
      <c r="X83" t="n">
        <v>1.3</v>
      </c>
      <c r="Y83">
        <f>IF(AND(Vu_khi!$AI$83,Vu_khi!$K$83="HighExplosive"),MAX(He_so_toan_cuc!$D$2,INDEX(Bang_sat_thuong!$D$2:$D$7,MATCH(Vu_khi!$K$83,Bang_sat_thuong!$A$2:$A$7,0))),INDEX(Bang_sat_thuong!$D$2:$D$7,MATCH(Vu_khi!$K$83,Bang_sat_thuong!$A$2:$A$7,0)))</f>
        <v/>
      </c>
      <c r="Z83" t="n">
        <v>0.1</v>
      </c>
      <c r="AA83">
        <f>INDEX(Bang_xuyen_giap!$C$2:$C$7,MIN(6,MAX(1,IF($O$83,MAX(1,2-(Vu_khi!$L$83-0)),2-(Vu_khi!$L$83-0))+1)))</f>
        <v/>
      </c>
      <c r="AB83" t="n">
        <v>1.2</v>
      </c>
      <c r="AC83">
        <f>INDEX(Bang_xuyen_giap!$C$2:$C$7,MIN(6,MAX(1,IF($O$83,MAX(1,2-(Vu_khi!$L$83-2)),2-(Vu_khi!$L$83-2))+1)))</f>
        <v/>
      </c>
      <c r="AD83" t="n">
        <v>0.85</v>
      </c>
      <c r="AE83">
        <f>INDEX(Bang_xuyen_giap!$C$2:$C$7,MIN(6,MAX(1,IF($O$83,MAX(1,2-(Vu_khi!$L$83-4)),2-(Vu_khi!$L$83-4))+1)))</f>
        <v/>
      </c>
      <c r="AF83" t="n">
        <v>0.25</v>
      </c>
      <c r="AG83">
        <f>INDEX(Bang_xuyen_giap!$C$2:$C$7,MIN(6,MAX(1,MAX(1,2-(Vu_khi!$L$83-0))+1)))</f>
        <v/>
      </c>
      <c r="AH83" t="n">
        <v>1</v>
      </c>
      <c r="AI83">
        <f>IF($Q$83,$M$83*$AA$83*$U$83,0)</f>
        <v/>
      </c>
      <c r="AJ83" t="n">
        <v>0</v>
      </c>
      <c r="AK83">
        <f>IF($Q$83,$M$83*$AC$83*$U$83,0)</f>
        <v/>
      </c>
      <c r="AL83" t="n">
        <v>0</v>
      </c>
      <c r="AM83">
        <f>IF($Q$83,$M$83*$AE$83*$U$83,0)</f>
        <v/>
      </c>
      <c r="AN83" t="n">
        <v>0</v>
      </c>
      <c r="AO83">
        <f>IF($Q$83,$M$83*$AC$83*$Y$83,0)</f>
        <v/>
      </c>
      <c r="AP83" t="n">
        <v>0</v>
      </c>
      <c r="AQ83">
        <f>IF($S$83,$M$83*$AG$83*$W$83,0)</f>
        <v/>
      </c>
      <c r="AR83" t="n">
        <v>111.4285714285714</v>
      </c>
      <c r="AS83">
        <f>IF(OR(Vu_khi!$M$83="Missile",Vu_khi!$M$83="Drone",AND(Vu_khi!$M$83="Rocket",OR(Vu_khi!$AM$83,Vu_khi!$D$83="guided")),Vu_khi!$AL$83,Vu_khi!$AK$83,Vu_khi!$X$83&lt;=0),FALSE,IF($B$83&gt;=0,$B$83&gt;=4,IF(Vu_khi!$M$83="Shell",Vu_khi!$AN$83&gt;=Canh_bao_vong!$D$10,IF(Vu_khi!$M$83="Bomb",Vu_khi!$AN$83&gt;=Canh_bao_vong!$D$3,IF(Vu_khi!$M$83="Rocket",Vu_khi!$AN$83&gt;=Canh_bao_vong!$D$13,FALSE)))))</f>
        <v/>
      </c>
      <c r="AT83" t="b">
        <v>0</v>
      </c>
      <c r="AU83">
        <f>IF(AND($B$83&lt;0,$AS$83),4,$B$83)</f>
        <v/>
      </c>
      <c r="AV83" t="n">
        <v>2</v>
      </c>
      <c r="AW83">
        <f>IF($AU$83&lt;4,0,MIN(MAX(0.5,Canh_bao_vong!$D$4),MAX(IF(Vu_khi!$C$83="cal_406",Canh_bao_vong!$D$7,IF($AU$83&gt;=5,Canh_bao_vong!$D$9,Canh_bao_vong!$D$8)),Canh_bao_vong!$D$2+MAX(0,Vu_khi!$X$83)/MAX(0.1,Canh_bao_vong!$D$5))))</f>
        <v/>
      </c>
      <c r="AX83" t="n">
        <v>0</v>
      </c>
      <c r="AY83" t="n">
        <v>1.633333</v>
      </c>
      <c r="AZ83" t="inlineStr">
        <is>
          <t>ok</t>
        </is>
      </c>
      <c r="BA83" t="inlineStr"/>
      <c r="BB83" t="inlineStr">
        <is>
          <t>Assets/MachineBrigade/Resources/Data/balance.json: weapons[id=gun_57_air] (lớp B trên 01_chien_dau/Vu_khi)</t>
        </is>
      </c>
      <c r="BC83" t="inlineStr"/>
    </row>
    <row r="84">
      <c r="A84" t="inlineStr">
        <is>
          <t>gun_57_auto</t>
        </is>
      </c>
      <c r="B84" t="n">
        <v>2</v>
      </c>
      <c r="C84">
        <f>IF(Vu_khi!$O$84="SIMULTANEOUS",MAX(1,Vu_khi!$N$84),1)</f>
        <v/>
      </c>
      <c r="D84" t="n">
        <v>1</v>
      </c>
      <c r="E84">
        <f>IF(Vu_khi!$S$84&gt;0,Vu_khi!$S$84,Vu_khi!$P$84*$C$84)</f>
        <v/>
      </c>
      <c r="F84" t="n">
        <v>12</v>
      </c>
      <c r="G84">
        <f>IF(Vu_khi!$S$84&gt;0,(Vu_khi!$S$84-1)*Vu_khi!$R$84+Vu_khi!$T$84,Vu_khi!$R$84+(Vu_khi!$P$84-1)*Vu_khi!$Q$84)</f>
        <v/>
      </c>
      <c r="H84" t="n">
        <v>5.4</v>
      </c>
      <c r="I84">
        <f>Vu_khi!$W$84*MAX(1,$E$84)</f>
        <v/>
      </c>
      <c r="J84" t="n">
        <v>420</v>
      </c>
      <c r="K84">
        <f>IF(Vu_khi!$V$84&gt;0,Vu_khi!$V$84,MIN(28,MAX(10,Vu_khi!$U$84*Vu_khi!$R$84*0.4)))</f>
        <v/>
      </c>
      <c r="L84" t="n">
        <v>10</v>
      </c>
      <c r="M84">
        <f>IF(Vu_khi!$W$84&lt;=0,0,IF(Vu_khi!$U$84&gt;0,$I$84*Vu_khi!$U$84/(MAX(0.05,$G$84)*Vu_khi!$U$84+$K$84),$I$84/MAX(0.05,$G$84)))</f>
        <v/>
      </c>
      <c r="N84" t="n">
        <v>77.77777777777777</v>
      </c>
      <c r="O84">
        <f>OR(Vu_khi!$AG$84,Vu_khi!$AB$84&gt;0,Vu_khi!$AH$84,Vu_khi!$M$84="Bomb",Vu_khi!$M$84="Drone")</f>
        <v/>
      </c>
      <c r="P84" t="b">
        <v>0</v>
      </c>
      <c r="Q84">
        <f>AND(NOT(Vu_khi!$AJ$84),OR(Vu_khi!$AC$84="Ground",Vu_khi!$AC$84="All"))</f>
        <v/>
      </c>
      <c r="R84" t="b">
        <v>1</v>
      </c>
      <c r="S84">
        <f>AND(NOT(Vu_khi!$AJ$84),OR(Vu_khi!$AC$84="Air",Vu_khi!$AC$84="All"))</f>
        <v/>
      </c>
      <c r="T84" t="b">
        <v>0</v>
      </c>
      <c r="U84">
        <f>INDEX(Bang_sat_thuong!$B$2:$B$7,MATCH(Vu_khi!$K$84,Bang_sat_thuong!$A$2:$A$7,0))</f>
        <v/>
      </c>
      <c r="V84" t="n">
        <v>1</v>
      </c>
      <c r="W84">
        <f>INDEX(Bang_sat_thuong!$C$2:$C$7,MATCH(Vu_khi!$K$84,Bang_sat_thuong!$A$2:$A$7,0))</f>
        <v/>
      </c>
      <c r="X84" t="n">
        <v>0.3</v>
      </c>
      <c r="Y84">
        <f>IF(AND(Vu_khi!$AI$84,Vu_khi!$K$84="HighExplosive"),MAX(He_so_toan_cuc!$D$2,INDEX(Bang_sat_thuong!$D$2:$D$7,MATCH(Vu_khi!$K$84,Bang_sat_thuong!$A$2:$A$7,0))),INDEX(Bang_sat_thuong!$D$2:$D$7,MATCH(Vu_khi!$K$84,Bang_sat_thuong!$A$2:$A$7,0)))</f>
        <v/>
      </c>
      <c r="Z84" t="n">
        <v>0.6</v>
      </c>
      <c r="AA84">
        <f>INDEX(Bang_xuyen_giap!$C$2:$C$7,MIN(6,MAX(1,IF($O$84,MAX(1,2-(Vu_khi!$L$84-0)),2-(Vu_khi!$L$84-0))+1)))</f>
        <v/>
      </c>
      <c r="AB84" t="n">
        <v>1.2</v>
      </c>
      <c r="AC84">
        <f>INDEX(Bang_xuyen_giap!$C$2:$C$7,MIN(6,MAX(1,IF($O$84,MAX(1,2-(Vu_khi!$L$84-2)),2-(Vu_khi!$L$84-2))+1)))</f>
        <v/>
      </c>
      <c r="AD84" t="n">
        <v>0.85</v>
      </c>
      <c r="AE84">
        <f>INDEX(Bang_xuyen_giap!$C$2:$C$7,MIN(6,MAX(1,IF($O$84,MAX(1,2-(Vu_khi!$L$84-4)),2-(Vu_khi!$L$84-4))+1)))</f>
        <v/>
      </c>
      <c r="AF84" t="n">
        <v>0.25</v>
      </c>
      <c r="AG84">
        <f>INDEX(Bang_xuyen_giap!$C$2:$C$7,MIN(6,MAX(1,MAX(1,2-(Vu_khi!$L$84-0))+1)))</f>
        <v/>
      </c>
      <c r="AH84" t="n">
        <v>1</v>
      </c>
      <c r="AI84">
        <f>IF($Q$84,$M$84*$AA$84*$U$84,0)</f>
        <v/>
      </c>
      <c r="AJ84" t="n">
        <v>93.33333333333333</v>
      </c>
      <c r="AK84">
        <f>IF($Q$84,$M$84*$AC$84*$U$84,0)</f>
        <v/>
      </c>
      <c r="AL84" t="n">
        <v>66.1111111111111</v>
      </c>
      <c r="AM84">
        <f>IF($Q$84,$M$84*$AE$84*$U$84,0)</f>
        <v/>
      </c>
      <c r="AN84" t="n">
        <v>19.44444444444444</v>
      </c>
      <c r="AO84">
        <f>IF($Q$84,$M$84*$AC$84*$Y$84,0)</f>
        <v/>
      </c>
      <c r="AP84" t="n">
        <v>39.66666666666666</v>
      </c>
      <c r="AQ84">
        <f>IF($S$84,$M$84*$AG$84*$W$84,0)</f>
        <v/>
      </c>
      <c r="AR84" t="n">
        <v>0</v>
      </c>
      <c r="AS84">
        <f>IF(OR(Vu_khi!$M$84="Missile",Vu_khi!$M$84="Drone",AND(Vu_khi!$M$84="Rocket",OR(Vu_khi!$AM$84,Vu_khi!$D$84="guided")),Vu_khi!$AL$84,Vu_khi!$AK$84,Vu_khi!$X$84&lt;=0),FALSE,IF($B$84&gt;=0,$B$84&gt;=4,IF(Vu_khi!$M$84="Shell",Vu_khi!$AN$84&gt;=Canh_bao_vong!$D$10,IF(Vu_khi!$M$84="Bomb",Vu_khi!$AN$84&gt;=Canh_bao_vong!$D$3,IF(Vu_khi!$M$84="Rocket",Vu_khi!$AN$84&gt;=Canh_bao_vong!$D$13,FALSE)))))</f>
        <v/>
      </c>
      <c r="AT84" t="b">
        <v>0</v>
      </c>
      <c r="AU84">
        <f>IF(AND($B$84&lt;0,$AS$84),4,$B$84)</f>
        <v/>
      </c>
      <c r="AV84" t="n">
        <v>2</v>
      </c>
      <c r="AW84">
        <f>IF($AU$84&lt;4,0,MIN(MAX(0.5,Canh_bao_vong!$D$4),MAX(IF(Vu_khi!$C$84="cal_406",Canh_bao_vong!$D$7,IF($AU$84&gt;=5,Canh_bao_vong!$D$9,Canh_bao_vong!$D$8)),Canh_bao_vong!$D$2+MAX(0,Vu_khi!$X$84)/MAX(0.1,Canh_bao_vong!$D$5))))</f>
        <v/>
      </c>
      <c r="AX84" t="n">
        <v>0</v>
      </c>
      <c r="AY84" t="n">
        <v>1.8</v>
      </c>
      <c r="AZ84" t="inlineStr">
        <is>
          <t>ok</t>
        </is>
      </c>
      <c r="BA84" t="inlineStr"/>
      <c r="BB84" t="inlineStr">
        <is>
          <t>Assets/MachineBrigade/Resources/Data/balance.json: weapons[id=gun_57_auto] (lớp B trên 01_chien_dau/Vu_khi)</t>
        </is>
      </c>
      <c r="BC84" t="inlineStr"/>
    </row>
    <row r="85">
      <c r="A85" t="inlineStr">
        <is>
          <t>gun_57mm</t>
        </is>
      </c>
      <c r="B85" t="n">
        <v>2</v>
      </c>
      <c r="C85">
        <f>IF(Vu_khi!$O$85="SIMULTANEOUS",MAX(1,Vu_khi!$N$85),1)</f>
        <v/>
      </c>
      <c r="D85" t="n">
        <v>1</v>
      </c>
      <c r="E85">
        <f>IF(Vu_khi!$S$85&gt;0,Vu_khi!$S$85,Vu_khi!$P$85*$C$85)</f>
        <v/>
      </c>
      <c r="F85" t="n">
        <v>2</v>
      </c>
      <c r="G85">
        <f>IF(Vu_khi!$S$85&gt;0,(Vu_khi!$S$85-1)*Vu_khi!$R$85+Vu_khi!$T$85,Vu_khi!$R$85+(Vu_khi!$P$85-1)*Vu_khi!$Q$85)</f>
        <v/>
      </c>
      <c r="H85" t="n">
        <v>6.429</v>
      </c>
      <c r="I85">
        <f>Vu_khi!$W$85*MAX(1,$E$85)</f>
        <v/>
      </c>
      <c r="J85" t="n">
        <v>220</v>
      </c>
      <c r="K85">
        <f>IF(Vu_khi!$V$85&gt;0,Vu_khi!$V$85,MIN(28,MAX(10,Vu_khi!$U$85*Vu_khi!$R$85*0.4)))</f>
        <v/>
      </c>
      <c r="L85" t="n">
        <v>10</v>
      </c>
      <c r="M85">
        <f>IF(Vu_khi!$W$85&lt;=0,0,IF(Vu_khi!$U$85&gt;0,$I$85*Vu_khi!$U$85/(MAX(0.05,$G$85)*Vu_khi!$U$85+$K$85),$I$85/MAX(0.05,$G$85)))</f>
        <v/>
      </c>
      <c r="N85" t="n">
        <v>34.21994089282936</v>
      </c>
      <c r="O85">
        <f>OR(Vu_khi!$AG$85,Vu_khi!$AB$85&gt;0,Vu_khi!$AH$85,Vu_khi!$M$85="Bomb",Vu_khi!$M$85="Drone")</f>
        <v/>
      </c>
      <c r="P85" t="b">
        <v>0</v>
      </c>
      <c r="Q85">
        <f>AND(NOT(Vu_khi!$AJ$85),OR(Vu_khi!$AC$85="Ground",Vu_khi!$AC$85="All"))</f>
        <v/>
      </c>
      <c r="R85" t="b">
        <v>1</v>
      </c>
      <c r="S85">
        <f>AND(NOT(Vu_khi!$AJ$85),OR(Vu_khi!$AC$85="Air",Vu_khi!$AC$85="All"))</f>
        <v/>
      </c>
      <c r="T85" t="b">
        <v>0</v>
      </c>
      <c r="U85">
        <f>INDEX(Bang_sat_thuong!$B$2:$B$7,MATCH(Vu_khi!$K$85,Bang_sat_thuong!$A$2:$A$7,0))</f>
        <v/>
      </c>
      <c r="V85" t="n">
        <v>1</v>
      </c>
      <c r="W85">
        <f>INDEX(Bang_sat_thuong!$C$2:$C$7,MATCH(Vu_khi!$K$85,Bang_sat_thuong!$A$2:$A$7,0))</f>
        <v/>
      </c>
      <c r="X85" t="n">
        <v>0.3</v>
      </c>
      <c r="Y85">
        <f>IF(AND(Vu_khi!$AI$85,Vu_khi!$K$85="HighExplosive"),MAX(He_so_toan_cuc!$D$2,INDEX(Bang_sat_thuong!$D$2:$D$7,MATCH(Vu_khi!$K$85,Bang_sat_thuong!$A$2:$A$7,0))),INDEX(Bang_sat_thuong!$D$2:$D$7,MATCH(Vu_khi!$K$85,Bang_sat_thuong!$A$2:$A$7,0)))</f>
        <v/>
      </c>
      <c r="Z85" t="n">
        <v>0.6</v>
      </c>
      <c r="AA85">
        <f>INDEX(Bang_xuyen_giap!$C$2:$C$7,MIN(6,MAX(1,IF($O$85,MAX(1,2-(Vu_khi!$L$85-0)),2-(Vu_khi!$L$85-0))+1)))</f>
        <v/>
      </c>
      <c r="AB85" t="n">
        <v>1.2</v>
      </c>
      <c r="AC85">
        <f>INDEX(Bang_xuyen_giap!$C$2:$C$7,MIN(6,MAX(1,IF($O$85,MAX(1,2-(Vu_khi!$L$85-2)),2-(Vu_khi!$L$85-2))+1)))</f>
        <v/>
      </c>
      <c r="AD85" t="n">
        <v>0.85</v>
      </c>
      <c r="AE85">
        <f>INDEX(Bang_xuyen_giap!$C$2:$C$7,MIN(6,MAX(1,IF($O$85,MAX(1,2-(Vu_khi!$L$85-4)),2-(Vu_khi!$L$85-4))+1)))</f>
        <v/>
      </c>
      <c r="AF85" t="n">
        <v>0.25</v>
      </c>
      <c r="AG85">
        <f>INDEX(Bang_xuyen_giap!$C$2:$C$7,MIN(6,MAX(1,MAX(1,2-(Vu_khi!$L$85-0))+1)))</f>
        <v/>
      </c>
      <c r="AH85" t="n">
        <v>1</v>
      </c>
      <c r="AI85">
        <f>IF($Q$85,$M$85*$AA$85*$U$85,0)</f>
        <v/>
      </c>
      <c r="AJ85" t="n">
        <v>41.06392907139524</v>
      </c>
      <c r="AK85">
        <f>IF($Q$85,$M$85*$AC$85*$U$85,0)</f>
        <v/>
      </c>
      <c r="AL85" t="n">
        <v>29.08694975890496</v>
      </c>
      <c r="AM85">
        <f>IF($Q$85,$M$85*$AE$85*$U$85,0)</f>
        <v/>
      </c>
      <c r="AN85" t="n">
        <v>8.554985223207341</v>
      </c>
      <c r="AO85">
        <f>IF($Q$85,$M$85*$AC$85*$Y$85,0)</f>
        <v/>
      </c>
      <c r="AP85" t="n">
        <v>17.45216985534298</v>
      </c>
      <c r="AQ85">
        <f>IF($S$85,$M$85*$AG$85*$W$85,0)</f>
        <v/>
      </c>
      <c r="AR85" t="n">
        <v>0</v>
      </c>
      <c r="AS85">
        <f>IF(OR(Vu_khi!$M$85="Missile",Vu_khi!$M$85="Drone",AND(Vu_khi!$M$85="Rocket",OR(Vu_khi!$AM$85,Vu_khi!$D$85="guided")),Vu_khi!$AL$85,Vu_khi!$AK$85,Vu_khi!$X$85&lt;=0),FALSE,IF($B$85&gt;=0,$B$85&gt;=4,IF(Vu_khi!$M$85="Shell",Vu_khi!$AN$85&gt;=Canh_bao_vong!$D$10,IF(Vu_khi!$M$85="Bomb",Vu_khi!$AN$85&gt;=Canh_bao_vong!$D$3,IF(Vu_khi!$M$85="Rocket",Vu_khi!$AN$85&gt;=Canh_bao_vong!$D$13,FALSE)))))</f>
        <v/>
      </c>
      <c r="AT85" t="b">
        <v>0</v>
      </c>
      <c r="AU85">
        <f>IF(AND($B$85&lt;0,$AS$85),4,$B$85)</f>
        <v/>
      </c>
      <c r="AV85" t="n">
        <v>2</v>
      </c>
      <c r="AW85">
        <f>IF($AU$85&lt;4,0,MIN(MAX(0.5,Canh_bao_vong!$D$4),MAX(IF(Vu_khi!$C$85="cal_406",Canh_bao_vong!$D$7,IF($AU$85&gt;=5,Canh_bao_vong!$D$9,Canh_bao_vong!$D$8)),Canh_bao_vong!$D$2+MAX(0,Vu_khi!$X$85)/MAX(0.1,Canh_bao_vong!$D$5))))</f>
        <v/>
      </c>
      <c r="AX85" t="n">
        <v>0</v>
      </c>
      <c r="AY85" t="n">
        <v>6.429</v>
      </c>
      <c r="AZ85" t="inlineStr">
        <is>
          <t>CHAM_QUA;LECH_DOT_1</t>
        </is>
      </c>
      <c r="BA85" t="inlineStr"/>
      <c r="BB85" t="inlineStr">
        <is>
          <t>Assets/MachineBrigade/Resources/Data/balance.json: weapons[id=gun_57mm] (lớp B trên 01_chien_dau/Vu_khi)</t>
        </is>
      </c>
      <c r="BC85" t="inlineStr"/>
    </row>
    <row r="86">
      <c r="A86" t="inlineStr">
        <is>
          <t>gun_57mm_he</t>
        </is>
      </c>
      <c r="B86" t="n">
        <v>2</v>
      </c>
      <c r="C86">
        <f>IF(Vu_khi!$O$86="SIMULTANEOUS",MAX(1,Vu_khi!$N$86),1)</f>
        <v/>
      </c>
      <c r="D86" t="n">
        <v>1</v>
      </c>
      <c r="E86">
        <f>IF(Vu_khi!$S$86&gt;0,Vu_khi!$S$86,Vu_khi!$P$86*$C$86)</f>
        <v/>
      </c>
      <c r="F86" t="n">
        <v>2</v>
      </c>
      <c r="G86">
        <f>IF(Vu_khi!$S$86&gt;0,(Vu_khi!$S$86-1)*Vu_khi!$R$86+Vu_khi!$T$86,Vu_khi!$R$86+(Vu_khi!$P$86-1)*Vu_khi!$Q$86)</f>
        <v/>
      </c>
      <c r="H86" t="n">
        <v>6.429</v>
      </c>
      <c r="I86">
        <f>Vu_khi!$W$86*MAX(1,$E$86)</f>
        <v/>
      </c>
      <c r="J86" t="n">
        <v>220</v>
      </c>
      <c r="K86">
        <f>IF(Vu_khi!$V$86&gt;0,Vu_khi!$V$86,MIN(28,MAX(10,Vu_khi!$U$86*Vu_khi!$R$86*0.4)))</f>
        <v/>
      </c>
      <c r="L86" t="n">
        <v>10</v>
      </c>
      <c r="M86">
        <f>IF(Vu_khi!$W$86&lt;=0,0,IF(Vu_khi!$U$86&gt;0,$I$86*Vu_khi!$U$86/(MAX(0.05,$G$86)*Vu_khi!$U$86+$K$86),$I$86/MAX(0.05,$G$86)))</f>
        <v/>
      </c>
      <c r="N86" t="n">
        <v>34.21994089282936</v>
      </c>
      <c r="O86">
        <f>OR(Vu_khi!$AG$86,Vu_khi!$AB$86&gt;0,Vu_khi!$AH$86,Vu_khi!$M$86="Bomb",Vu_khi!$M$86="Drone")</f>
        <v/>
      </c>
      <c r="P86" t="b">
        <v>0</v>
      </c>
      <c r="Q86">
        <f>AND(NOT(Vu_khi!$AJ$86),OR(Vu_khi!$AC$86="Ground",Vu_khi!$AC$86="All"))</f>
        <v/>
      </c>
      <c r="R86" t="b">
        <v>1</v>
      </c>
      <c r="S86">
        <f>AND(NOT(Vu_khi!$AJ$86),OR(Vu_khi!$AC$86="Air",Vu_khi!$AC$86="All"))</f>
        <v/>
      </c>
      <c r="T86" t="b">
        <v>0</v>
      </c>
      <c r="U86">
        <f>INDEX(Bang_sat_thuong!$B$2:$B$7,MATCH(Vu_khi!$K$86,Bang_sat_thuong!$A$2:$A$7,0))</f>
        <v/>
      </c>
      <c r="V86" t="n">
        <v>1</v>
      </c>
      <c r="W86">
        <f>INDEX(Bang_sat_thuong!$C$2:$C$7,MATCH(Vu_khi!$K$86,Bang_sat_thuong!$A$2:$A$7,0))</f>
        <v/>
      </c>
      <c r="X86" t="n">
        <v>0</v>
      </c>
      <c r="Y86">
        <f>IF(AND(Vu_khi!$AI$86,Vu_khi!$K$86="HighExplosive"),MAX(He_so_toan_cuc!$D$2,INDEX(Bang_sat_thuong!$D$2:$D$7,MATCH(Vu_khi!$K$86,Bang_sat_thuong!$A$2:$A$7,0))),INDEX(Bang_sat_thuong!$D$2:$D$7,MATCH(Vu_khi!$K$86,Bang_sat_thuong!$A$2:$A$7,0)))</f>
        <v/>
      </c>
      <c r="Z86" t="n">
        <v>1.5</v>
      </c>
      <c r="AA86">
        <f>INDEX(Bang_xuyen_giap!$C$2:$C$7,MIN(6,MAX(1,IF($O$86,MAX(1,2-(Vu_khi!$L$86-0)),2-(Vu_khi!$L$86-0))+1)))</f>
        <v/>
      </c>
      <c r="AB86" t="n">
        <v>1.2</v>
      </c>
      <c r="AC86">
        <f>INDEX(Bang_xuyen_giap!$C$2:$C$7,MIN(6,MAX(1,IF($O$86,MAX(1,2-(Vu_khi!$L$86-2)),2-(Vu_khi!$L$86-2))+1)))</f>
        <v/>
      </c>
      <c r="AD86" t="n">
        <v>0.85</v>
      </c>
      <c r="AE86">
        <f>INDEX(Bang_xuyen_giap!$C$2:$C$7,MIN(6,MAX(1,IF($O$86,MAX(1,2-(Vu_khi!$L$86-4)),2-(Vu_khi!$L$86-4))+1)))</f>
        <v/>
      </c>
      <c r="AF86" t="n">
        <v>0.25</v>
      </c>
      <c r="AG86">
        <f>INDEX(Bang_xuyen_giap!$C$2:$C$7,MIN(6,MAX(1,MAX(1,2-(Vu_khi!$L$86-0))+1)))</f>
        <v/>
      </c>
      <c r="AH86" t="n">
        <v>1</v>
      </c>
      <c r="AI86">
        <f>IF($Q$86,$M$86*$AA$86*$U$86,0)</f>
        <v/>
      </c>
      <c r="AJ86" t="n">
        <v>41.06392907139524</v>
      </c>
      <c r="AK86">
        <f>IF($Q$86,$M$86*$AC$86*$U$86,0)</f>
        <v/>
      </c>
      <c r="AL86" t="n">
        <v>29.08694975890496</v>
      </c>
      <c r="AM86">
        <f>IF($Q$86,$M$86*$AE$86*$U$86,0)</f>
        <v/>
      </c>
      <c r="AN86" t="n">
        <v>8.554985223207341</v>
      </c>
      <c r="AO86">
        <f>IF($Q$86,$M$86*$AC$86*$Y$86,0)</f>
        <v/>
      </c>
      <c r="AP86" t="n">
        <v>43.63042463835743</v>
      </c>
      <c r="AQ86">
        <f>IF($S$86,$M$86*$AG$86*$W$86,0)</f>
        <v/>
      </c>
      <c r="AR86" t="n">
        <v>0</v>
      </c>
      <c r="AS86">
        <f>IF(OR(Vu_khi!$M$86="Missile",Vu_khi!$M$86="Drone",AND(Vu_khi!$M$86="Rocket",OR(Vu_khi!$AM$86,Vu_khi!$D$86="guided")),Vu_khi!$AL$86,Vu_khi!$AK$86,Vu_khi!$X$86&lt;=0),FALSE,IF($B$86&gt;=0,$B$86&gt;=4,IF(Vu_khi!$M$86="Shell",Vu_khi!$AN$86&gt;=Canh_bao_vong!$D$10,IF(Vu_khi!$M$86="Bomb",Vu_khi!$AN$86&gt;=Canh_bao_vong!$D$3,IF(Vu_khi!$M$86="Rocket",Vu_khi!$AN$86&gt;=Canh_bao_vong!$D$13,FALSE)))))</f>
        <v/>
      </c>
      <c r="AT86" t="b">
        <v>0</v>
      </c>
      <c r="AU86">
        <f>IF(AND($B$86&lt;0,$AS$86),4,$B$86)</f>
        <v/>
      </c>
      <c r="AV86" t="n">
        <v>2</v>
      </c>
      <c r="AW86">
        <f>IF($AU$86&lt;4,0,MIN(MAX(0.5,Canh_bao_vong!$D$4),MAX(IF(Vu_khi!$C$86="cal_406",Canh_bao_vong!$D$7,IF($AU$86&gt;=5,Canh_bao_vong!$D$9,Canh_bao_vong!$D$8)),Canh_bao_vong!$D$2+MAX(0,Vu_khi!$X$86)/MAX(0.1,Canh_bao_vong!$D$5))))</f>
        <v/>
      </c>
      <c r="AX86" t="n">
        <v>0</v>
      </c>
      <c r="BB86" t="inlineStr">
        <is>
          <t>Assets/MachineBrigade/Resources/Data/balance.json: weapons[id=gun_57mm_he] (lớp B trên 01_chien_dau/Vu_khi)</t>
        </is>
      </c>
      <c r="BC86" t="inlineStr"/>
    </row>
    <row r="87">
      <c r="A87" t="inlineStr">
        <is>
          <t>gun_100_river</t>
        </is>
      </c>
      <c r="B87" t="n">
        <v>2</v>
      </c>
      <c r="C87">
        <f>IF(Vu_khi!$O$87="SIMULTANEOUS",MAX(1,Vu_khi!$N$87),1)</f>
        <v/>
      </c>
      <c r="D87" t="n">
        <v>1</v>
      </c>
      <c r="E87">
        <f>IF(Vu_khi!$S$87&gt;0,Vu_khi!$S$87,Vu_khi!$P$87*$C$87)</f>
        <v/>
      </c>
      <c r="F87" t="n">
        <v>1</v>
      </c>
      <c r="G87">
        <f>IF(Vu_khi!$S$87&gt;0,(Vu_khi!$S$87-1)*Vu_khi!$R$87+Vu_khi!$T$87,Vu_khi!$R$87+(Vu_khi!$P$87-1)*Vu_khi!$Q$87)</f>
        <v/>
      </c>
      <c r="H87" t="n">
        <v>4.286</v>
      </c>
      <c r="I87">
        <f>Vu_khi!$W$87*MAX(1,$E$87)</f>
        <v/>
      </c>
      <c r="J87" t="n">
        <v>229</v>
      </c>
      <c r="K87">
        <f>IF(Vu_khi!$V$87&gt;0,Vu_khi!$V$87,MIN(28,MAX(10,Vu_khi!$U$87*Vu_khi!$R$87*0.4)))</f>
        <v/>
      </c>
      <c r="L87" t="n">
        <v>10</v>
      </c>
      <c r="M87">
        <f>IF(Vu_khi!$W$87&lt;=0,0,IF(Vu_khi!$U$87&gt;0,$I$87*Vu_khi!$U$87/(MAX(0.05,$G$87)*Vu_khi!$U$87+$K$87),$I$87/MAX(0.05,$G$87)))</f>
        <v/>
      </c>
      <c r="N87" t="n">
        <v>53.42977134857676</v>
      </c>
      <c r="O87">
        <f>OR(Vu_khi!$AG$87,Vu_khi!$AB$87&gt;0,Vu_khi!$AH$87,Vu_khi!$M$87="Bomb",Vu_khi!$M$87="Drone")</f>
        <v/>
      </c>
      <c r="P87" t="b">
        <v>0</v>
      </c>
      <c r="Q87">
        <f>AND(NOT(Vu_khi!$AJ$87),OR(Vu_khi!$AC$87="Ground",Vu_khi!$AC$87="All"))</f>
        <v/>
      </c>
      <c r="R87" t="b">
        <v>1</v>
      </c>
      <c r="S87">
        <f>AND(NOT(Vu_khi!$AJ$87),OR(Vu_khi!$AC$87="Air",Vu_khi!$AC$87="All"))</f>
        <v/>
      </c>
      <c r="T87" t="b">
        <v>0</v>
      </c>
      <c r="U87">
        <f>INDEX(Bang_sat_thuong!$B$2:$B$7,MATCH(Vu_khi!$K$87,Bang_sat_thuong!$A$2:$A$7,0))</f>
        <v/>
      </c>
      <c r="V87" t="n">
        <v>1</v>
      </c>
      <c r="W87">
        <f>INDEX(Bang_sat_thuong!$C$2:$C$7,MATCH(Vu_khi!$K$87,Bang_sat_thuong!$A$2:$A$7,0))</f>
        <v/>
      </c>
      <c r="X87" t="n">
        <v>0</v>
      </c>
      <c r="Y87">
        <f>IF(AND(Vu_khi!$AI$87,Vu_khi!$K$87="HighExplosive"),MAX(He_so_toan_cuc!$D$2,INDEX(Bang_sat_thuong!$D$2:$D$7,MATCH(Vu_khi!$K$87,Bang_sat_thuong!$A$2:$A$7,0))),INDEX(Bang_sat_thuong!$D$2:$D$7,MATCH(Vu_khi!$K$87,Bang_sat_thuong!$A$2:$A$7,0)))</f>
        <v/>
      </c>
      <c r="Z87" t="n">
        <v>1.5</v>
      </c>
      <c r="AA87">
        <f>INDEX(Bang_xuyen_giap!$C$2:$C$7,MIN(6,MAX(1,IF($O$87,MAX(1,2-(Vu_khi!$L$87-0)),2-(Vu_khi!$L$87-0))+1)))</f>
        <v/>
      </c>
      <c r="AB87" t="n">
        <v>1.2</v>
      </c>
      <c r="AC87">
        <f>INDEX(Bang_xuyen_giap!$C$2:$C$7,MIN(6,MAX(1,IF($O$87,MAX(1,2-(Vu_khi!$L$87-2)),2-(Vu_khi!$L$87-2))+1)))</f>
        <v/>
      </c>
      <c r="AD87" t="n">
        <v>0.85</v>
      </c>
      <c r="AE87">
        <f>INDEX(Bang_xuyen_giap!$C$2:$C$7,MIN(6,MAX(1,IF($O$87,MAX(1,2-(Vu_khi!$L$87-4)),2-(Vu_khi!$L$87-4))+1)))</f>
        <v/>
      </c>
      <c r="AF87" t="n">
        <v>0.25</v>
      </c>
      <c r="AG87">
        <f>INDEX(Bang_xuyen_giap!$C$2:$C$7,MIN(6,MAX(1,MAX(1,2-(Vu_khi!$L$87-0))+1)))</f>
        <v/>
      </c>
      <c r="AH87" t="n">
        <v>1</v>
      </c>
      <c r="AI87">
        <f>IF($Q$87,$M$87*$AA$87*$U$87,0)</f>
        <v/>
      </c>
      <c r="AJ87" t="n">
        <v>64.11572561829212</v>
      </c>
      <c r="AK87">
        <f>IF($Q$87,$M$87*$AC$87*$U$87,0)</f>
        <v/>
      </c>
      <c r="AL87" t="n">
        <v>45.41530564629025</v>
      </c>
      <c r="AM87">
        <f>IF($Q$87,$M$87*$AE$87*$U$87,0)</f>
        <v/>
      </c>
      <c r="AN87" t="n">
        <v>13.35744283714419</v>
      </c>
      <c r="AO87">
        <f>IF($Q$87,$M$87*$AC$87*$Y$87,0)</f>
        <v/>
      </c>
      <c r="AP87" t="n">
        <v>68.12295846943537</v>
      </c>
      <c r="AQ87">
        <f>IF($S$87,$M$87*$AG$87*$W$87,0)</f>
        <v/>
      </c>
      <c r="AR87" t="n">
        <v>0</v>
      </c>
      <c r="AS87">
        <f>IF(OR(Vu_khi!$M$87="Missile",Vu_khi!$M$87="Drone",AND(Vu_khi!$M$87="Rocket",OR(Vu_khi!$AM$87,Vu_khi!$D$87="guided")),Vu_khi!$AL$87,Vu_khi!$AK$87,Vu_khi!$X$87&lt;=0),FALSE,IF($B$87&gt;=0,$B$87&gt;=4,IF(Vu_khi!$M$87="Shell",Vu_khi!$AN$87&gt;=Canh_bao_vong!$D$10,IF(Vu_khi!$M$87="Bomb",Vu_khi!$AN$87&gt;=Canh_bao_vong!$D$3,IF(Vu_khi!$M$87="Rocket",Vu_khi!$AN$87&gt;=Canh_bao_vong!$D$13,FALSE)))))</f>
        <v/>
      </c>
      <c r="AT87" t="b">
        <v>0</v>
      </c>
      <c r="AU87">
        <f>IF(AND($B$87&lt;0,$AS$87),4,$B$87)</f>
        <v/>
      </c>
      <c r="AV87" t="n">
        <v>2</v>
      </c>
      <c r="AW87">
        <f>IF($AU$87&lt;4,0,MIN(MAX(0.5,Canh_bao_vong!$D$4),MAX(IF(Vu_khi!$C$87="cal_406",Canh_bao_vong!$D$7,IF($AU$87&gt;=5,Canh_bao_vong!$D$9,Canh_bao_vong!$D$8)),Canh_bao_vong!$D$2+MAX(0,Vu_khi!$X$87)/MAX(0.1,Canh_bao_vong!$D$5))))</f>
        <v/>
      </c>
      <c r="AX87" t="n">
        <v>0</v>
      </c>
      <c r="AY87" t="n">
        <v>4.000267</v>
      </c>
      <c r="AZ87" t="inlineStr">
        <is>
          <t>CHAM_QUA</t>
        </is>
      </c>
      <c r="BA87" t="inlineStr"/>
      <c r="BB87" t="inlineStr">
        <is>
          <t>Assets/MachineBrigade/Resources/Data/balance.json: weapons[id=gun_100_river] (lớp B trên 01_chien_dau/Vu_khi)</t>
        </is>
      </c>
      <c r="BC87" t="inlineStr"/>
    </row>
    <row r="88">
      <c r="A88" t="inlineStr">
        <is>
          <t>gun_105_apfsds</t>
        </is>
      </c>
      <c r="B88" t="n">
        <v>3</v>
      </c>
      <c r="C88">
        <f>IF(Vu_khi!$O$88="SIMULTANEOUS",MAX(1,Vu_khi!$N$88),1)</f>
        <v/>
      </c>
      <c r="D88" t="n">
        <v>1</v>
      </c>
      <c r="E88">
        <f>IF(Vu_khi!$S$88&gt;0,Vu_khi!$S$88,Vu_khi!$P$88*$C$88)</f>
        <v/>
      </c>
      <c r="F88" t="n">
        <v>1</v>
      </c>
      <c r="G88">
        <f>IF(Vu_khi!$S$88&gt;0,(Vu_khi!$S$88-1)*Vu_khi!$R$88+Vu_khi!$T$88,Vu_khi!$R$88+(Vu_khi!$P$88-1)*Vu_khi!$Q$88)</f>
        <v/>
      </c>
      <c r="H88" t="n">
        <v>5.583</v>
      </c>
      <c r="I88">
        <f>Vu_khi!$W$88*MAX(1,$E$88)</f>
        <v/>
      </c>
      <c r="J88" t="n">
        <v>371</v>
      </c>
      <c r="K88">
        <f>IF(Vu_khi!$V$88&gt;0,Vu_khi!$V$88,MIN(28,MAX(10,Vu_khi!$U$88*Vu_khi!$R$88*0.4)))</f>
        <v/>
      </c>
      <c r="L88" t="n">
        <v>10</v>
      </c>
      <c r="M88">
        <f>IF(Vu_khi!$W$88&lt;=0,0,IF(Vu_khi!$U$88&gt;0,$I$88*Vu_khi!$U$88/(MAX(0.05,$G$88)*Vu_khi!$U$88+$K$88),$I$88/MAX(0.05,$G$88)))</f>
        <v/>
      </c>
      <c r="N88" t="n">
        <v>66.45172846140068</v>
      </c>
      <c r="O88">
        <f>OR(Vu_khi!$AG$88,Vu_khi!$AB$88&gt;0,Vu_khi!$AH$88,Vu_khi!$M$88="Bomb",Vu_khi!$M$88="Drone")</f>
        <v/>
      </c>
      <c r="P88" t="b">
        <v>0</v>
      </c>
      <c r="Q88">
        <f>AND(NOT(Vu_khi!$AJ$88),OR(Vu_khi!$AC$88="Ground",Vu_khi!$AC$88="All"))</f>
        <v/>
      </c>
      <c r="R88" t="b">
        <v>1</v>
      </c>
      <c r="S88">
        <f>AND(NOT(Vu_khi!$AJ$88),OR(Vu_khi!$AC$88="Air",Vu_khi!$AC$88="All"))</f>
        <v/>
      </c>
      <c r="T88" t="b">
        <v>0</v>
      </c>
      <c r="U88">
        <f>INDEX(Bang_sat_thuong!$B$2:$B$7,MATCH(Vu_khi!$K$88,Bang_sat_thuong!$A$2:$A$7,0))</f>
        <v/>
      </c>
      <c r="V88" t="n">
        <v>1</v>
      </c>
      <c r="W88">
        <f>INDEX(Bang_sat_thuong!$C$2:$C$7,MATCH(Vu_khi!$K$88,Bang_sat_thuong!$A$2:$A$7,0))</f>
        <v/>
      </c>
      <c r="X88" t="n">
        <v>0.3</v>
      </c>
      <c r="Y88">
        <f>IF(AND(Vu_khi!$AI$88,Vu_khi!$K$88="HighExplosive"),MAX(He_so_toan_cuc!$D$2,INDEX(Bang_sat_thuong!$D$2:$D$7,MATCH(Vu_khi!$K$88,Bang_sat_thuong!$A$2:$A$7,0))),INDEX(Bang_sat_thuong!$D$2:$D$7,MATCH(Vu_khi!$K$88,Bang_sat_thuong!$A$2:$A$7,0)))</f>
        <v/>
      </c>
      <c r="Z88" t="n">
        <v>0.6</v>
      </c>
      <c r="AA88">
        <f>INDEX(Bang_xuyen_giap!$C$2:$C$7,MIN(6,MAX(1,IF($O$88,MAX(1,2-(Vu_khi!$L$88-0)),2-(Vu_khi!$L$88-0))+1)))</f>
        <v/>
      </c>
      <c r="AB88" t="n">
        <v>1.2</v>
      </c>
      <c r="AC88">
        <f>INDEX(Bang_xuyen_giap!$C$2:$C$7,MIN(6,MAX(1,IF($O$88,MAX(1,2-(Vu_khi!$L$88-2)),2-(Vu_khi!$L$88-2))+1)))</f>
        <v/>
      </c>
      <c r="AD88" t="n">
        <v>1.2</v>
      </c>
      <c r="AE88">
        <f>INDEX(Bang_xuyen_giap!$C$2:$C$7,MIN(6,MAX(1,IF($O$88,MAX(1,2-(Vu_khi!$L$88-4)),2-(Vu_khi!$L$88-4))+1)))</f>
        <v/>
      </c>
      <c r="AF88" t="n">
        <v>0.85</v>
      </c>
      <c r="AG88">
        <f>INDEX(Bang_xuyen_giap!$C$2:$C$7,MIN(6,MAX(1,MAX(1,2-(Vu_khi!$L$88-0))+1)))</f>
        <v/>
      </c>
      <c r="AH88" t="n">
        <v>1</v>
      </c>
      <c r="AI88">
        <f>IF($Q$88,$M$88*$AA$88*$U$88,0)</f>
        <v/>
      </c>
      <c r="AJ88" t="n">
        <v>79.7420741536808</v>
      </c>
      <c r="AK88">
        <f>IF($Q$88,$M$88*$AC$88*$U$88,0)</f>
        <v/>
      </c>
      <c r="AL88" t="n">
        <v>79.7420741536808</v>
      </c>
      <c r="AM88">
        <f>IF($Q$88,$M$88*$AE$88*$U$88,0)</f>
        <v/>
      </c>
      <c r="AN88" t="n">
        <v>56.48396919219057</v>
      </c>
      <c r="AO88">
        <f>IF($Q$88,$M$88*$AC$88*$Y$88,0)</f>
        <v/>
      </c>
      <c r="AP88" t="n">
        <v>47.84524449220849</v>
      </c>
      <c r="AQ88">
        <f>IF($S$88,$M$88*$AG$88*$W$88,0)</f>
        <v/>
      </c>
      <c r="AR88" t="n">
        <v>0</v>
      </c>
      <c r="AS88">
        <f>IF(OR(Vu_khi!$M$88="Missile",Vu_khi!$M$88="Drone",AND(Vu_khi!$M$88="Rocket",OR(Vu_khi!$AM$88,Vu_khi!$D$88="guided")),Vu_khi!$AL$88,Vu_khi!$AK$88,Vu_khi!$X$88&lt;=0),FALSE,IF($B$88&gt;=0,$B$88&gt;=4,IF(Vu_khi!$M$88="Shell",Vu_khi!$AN$88&gt;=Canh_bao_vong!$D$10,IF(Vu_khi!$M$88="Bomb",Vu_khi!$AN$88&gt;=Canh_bao_vong!$D$3,IF(Vu_khi!$M$88="Rocket",Vu_khi!$AN$88&gt;=Canh_bao_vong!$D$13,FALSE)))))</f>
        <v/>
      </c>
      <c r="AT88" t="b">
        <v>0</v>
      </c>
      <c r="AU88">
        <f>IF(AND($B$88&lt;0,$AS$88),4,$B$88)</f>
        <v/>
      </c>
      <c r="AV88" t="n">
        <v>3</v>
      </c>
      <c r="AW88">
        <f>IF($AU$88&lt;4,0,MIN(MAX(0.5,Canh_bao_vong!$D$4),MAX(IF(Vu_khi!$C$88="cal_406",Canh_bao_vong!$D$7,IF($AU$88&gt;=5,Canh_bao_vong!$D$9,Canh_bao_vong!$D$8)),Canh_bao_vong!$D$2+MAX(0,Vu_khi!$X$88)/MAX(0.1,Canh_bao_vong!$D$5))))</f>
        <v/>
      </c>
      <c r="AX88" t="n">
        <v>0</v>
      </c>
      <c r="AY88" t="n">
        <v>0.455945</v>
      </c>
      <c r="AZ88" t="inlineStr">
        <is>
          <t>NHANH_QUA;LECH_DOT_1</t>
        </is>
      </c>
      <c r="BA88" t="inlineStr"/>
      <c r="BB88" t="inlineStr">
        <is>
          <t>Assets/MachineBrigade/Resources/Data/balance.json: weapons[id=gun_105_apfsds] (lớp B trên 01_chien_dau/Vu_khi)</t>
        </is>
      </c>
      <c r="BC88" t="inlineStr"/>
    </row>
    <row r="89">
      <c r="A89" t="inlineStr">
        <is>
          <t>gun_105_apfsds_he</t>
        </is>
      </c>
      <c r="B89" t="n">
        <v>3</v>
      </c>
      <c r="C89">
        <f>IF(Vu_khi!$O$89="SIMULTANEOUS",MAX(1,Vu_khi!$N$89),1)</f>
        <v/>
      </c>
      <c r="D89" t="n">
        <v>1</v>
      </c>
      <c r="E89">
        <f>IF(Vu_khi!$S$89&gt;0,Vu_khi!$S$89,Vu_khi!$P$89*$C$89)</f>
        <v/>
      </c>
      <c r="F89" t="n">
        <v>1</v>
      </c>
      <c r="G89">
        <f>IF(Vu_khi!$S$89&gt;0,(Vu_khi!$S$89-1)*Vu_khi!$R$89+Vu_khi!$T$89,Vu_khi!$R$89+(Vu_khi!$P$89-1)*Vu_khi!$Q$89)</f>
        <v/>
      </c>
      <c r="H89" t="n">
        <v>5.583</v>
      </c>
      <c r="I89">
        <f>Vu_khi!$W$89*MAX(1,$E$89)</f>
        <v/>
      </c>
      <c r="J89" t="n">
        <v>371</v>
      </c>
      <c r="K89">
        <f>IF(Vu_khi!$V$89&gt;0,Vu_khi!$V$89,MIN(28,MAX(10,Vu_khi!$U$89*Vu_khi!$R$89*0.4)))</f>
        <v/>
      </c>
      <c r="L89" t="n">
        <v>10</v>
      </c>
      <c r="M89">
        <f>IF(Vu_khi!$W$89&lt;=0,0,IF(Vu_khi!$U$89&gt;0,$I$89*Vu_khi!$U$89/(MAX(0.05,$G$89)*Vu_khi!$U$89+$K$89),$I$89/MAX(0.05,$G$89)))</f>
        <v/>
      </c>
      <c r="N89" t="n">
        <v>66.45172846140068</v>
      </c>
      <c r="O89">
        <f>OR(Vu_khi!$AG$89,Vu_khi!$AB$89&gt;0,Vu_khi!$AH$89,Vu_khi!$M$89="Bomb",Vu_khi!$M$89="Drone")</f>
        <v/>
      </c>
      <c r="P89" t="b">
        <v>0</v>
      </c>
      <c r="Q89">
        <f>AND(NOT(Vu_khi!$AJ$89),OR(Vu_khi!$AC$89="Ground",Vu_khi!$AC$89="All"))</f>
        <v/>
      </c>
      <c r="R89" t="b">
        <v>1</v>
      </c>
      <c r="S89">
        <f>AND(NOT(Vu_khi!$AJ$89),OR(Vu_khi!$AC$89="Air",Vu_khi!$AC$89="All"))</f>
        <v/>
      </c>
      <c r="T89" t="b">
        <v>0</v>
      </c>
      <c r="U89">
        <f>INDEX(Bang_sat_thuong!$B$2:$B$7,MATCH(Vu_khi!$K$89,Bang_sat_thuong!$A$2:$A$7,0))</f>
        <v/>
      </c>
      <c r="V89" t="n">
        <v>1</v>
      </c>
      <c r="W89">
        <f>INDEX(Bang_sat_thuong!$C$2:$C$7,MATCH(Vu_khi!$K$89,Bang_sat_thuong!$A$2:$A$7,0))</f>
        <v/>
      </c>
      <c r="X89" t="n">
        <v>0</v>
      </c>
      <c r="Y89">
        <f>IF(AND(Vu_khi!$AI$89,Vu_khi!$K$89="HighExplosive"),MAX(He_so_toan_cuc!$D$2,INDEX(Bang_sat_thuong!$D$2:$D$7,MATCH(Vu_khi!$K$89,Bang_sat_thuong!$A$2:$A$7,0))),INDEX(Bang_sat_thuong!$D$2:$D$7,MATCH(Vu_khi!$K$89,Bang_sat_thuong!$A$2:$A$7,0)))</f>
        <v/>
      </c>
      <c r="Z89" t="n">
        <v>1.5</v>
      </c>
      <c r="AA89">
        <f>INDEX(Bang_xuyen_giap!$C$2:$C$7,MIN(6,MAX(1,IF($O$89,MAX(1,2-(Vu_khi!$L$89-0)),2-(Vu_khi!$L$89-0))+1)))</f>
        <v/>
      </c>
      <c r="AB89" t="n">
        <v>1.2</v>
      </c>
      <c r="AC89">
        <f>INDEX(Bang_xuyen_giap!$C$2:$C$7,MIN(6,MAX(1,IF($O$89,MAX(1,2-(Vu_khi!$L$89-2)),2-(Vu_khi!$L$89-2))+1)))</f>
        <v/>
      </c>
      <c r="AD89" t="n">
        <v>0.85</v>
      </c>
      <c r="AE89">
        <f>INDEX(Bang_xuyen_giap!$C$2:$C$7,MIN(6,MAX(1,IF($O$89,MAX(1,2-(Vu_khi!$L$89-4)),2-(Vu_khi!$L$89-4))+1)))</f>
        <v/>
      </c>
      <c r="AF89" t="n">
        <v>0.25</v>
      </c>
      <c r="AG89">
        <f>INDEX(Bang_xuyen_giap!$C$2:$C$7,MIN(6,MAX(1,MAX(1,2-(Vu_khi!$L$89-0))+1)))</f>
        <v/>
      </c>
      <c r="AH89" t="n">
        <v>1</v>
      </c>
      <c r="AI89">
        <f>IF($Q$89,$M$89*$AA$89*$U$89,0)</f>
        <v/>
      </c>
      <c r="AJ89" t="n">
        <v>79.7420741536808</v>
      </c>
      <c r="AK89">
        <f>IF($Q$89,$M$89*$AC$89*$U$89,0)</f>
        <v/>
      </c>
      <c r="AL89" t="n">
        <v>56.48396919219057</v>
      </c>
      <c r="AM89">
        <f>IF($Q$89,$M$89*$AE$89*$U$89,0)</f>
        <v/>
      </c>
      <c r="AN89" t="n">
        <v>16.61293211535017</v>
      </c>
      <c r="AO89">
        <f>IF($Q$89,$M$89*$AC$89*$Y$89,0)</f>
        <v/>
      </c>
      <c r="AP89" t="n">
        <v>84.72595378828586</v>
      </c>
      <c r="AQ89">
        <f>IF($S$89,$M$89*$AG$89*$W$89,0)</f>
        <v/>
      </c>
      <c r="AR89" t="n">
        <v>0</v>
      </c>
      <c r="AS89">
        <f>IF(OR(Vu_khi!$M$89="Missile",Vu_khi!$M$89="Drone",AND(Vu_khi!$M$89="Rocket",OR(Vu_khi!$AM$89,Vu_khi!$D$89="guided")),Vu_khi!$AL$89,Vu_khi!$AK$89,Vu_khi!$X$89&lt;=0),FALSE,IF($B$89&gt;=0,$B$89&gt;=4,IF(Vu_khi!$M$89="Shell",Vu_khi!$AN$89&gt;=Canh_bao_vong!$D$10,IF(Vu_khi!$M$89="Bomb",Vu_khi!$AN$89&gt;=Canh_bao_vong!$D$3,IF(Vu_khi!$M$89="Rocket",Vu_khi!$AN$89&gt;=Canh_bao_vong!$D$13,FALSE)))))</f>
        <v/>
      </c>
      <c r="AT89" t="b">
        <v>0</v>
      </c>
      <c r="AU89">
        <f>IF(AND($B$89&lt;0,$AS$89),4,$B$89)</f>
        <v/>
      </c>
      <c r="AV89" t="n">
        <v>3</v>
      </c>
      <c r="AW89">
        <f>IF($AU$89&lt;4,0,MIN(MAX(0.5,Canh_bao_vong!$D$4),MAX(IF(Vu_khi!$C$89="cal_406",Canh_bao_vong!$D$7,IF($AU$89&gt;=5,Canh_bao_vong!$D$9,Canh_bao_vong!$D$8)),Canh_bao_vong!$D$2+MAX(0,Vu_khi!$X$89)/MAX(0.1,Canh_bao_vong!$D$5))))</f>
        <v/>
      </c>
      <c r="AX89" t="n">
        <v>0</v>
      </c>
      <c r="BB89" t="inlineStr">
        <is>
          <t>Assets/MachineBrigade/Resources/Data/balance.json: weapons[id=gun_105_apfsds_he] (lớp B trên 01_chien_dau/Vu_khi)</t>
        </is>
      </c>
      <c r="BC89" t="inlineStr"/>
    </row>
    <row r="90">
      <c r="A90" t="inlineStr">
        <is>
          <t>gun_105_bunker</t>
        </is>
      </c>
      <c r="B90" t="n">
        <v>2</v>
      </c>
      <c r="C90">
        <f>IF(Vu_khi!$O$90="SIMULTANEOUS",MAX(1,Vu_khi!$N$90),1)</f>
        <v/>
      </c>
      <c r="D90" t="n">
        <v>1</v>
      </c>
      <c r="E90">
        <f>IF(Vu_khi!$S$90&gt;0,Vu_khi!$S$90,Vu_khi!$P$90*$C$90)</f>
        <v/>
      </c>
      <c r="F90" t="n">
        <v>1</v>
      </c>
      <c r="G90">
        <f>IF(Vu_khi!$S$90&gt;0,(Vu_khi!$S$90-1)*Vu_khi!$R$90+Vu_khi!$T$90,Vu_khi!$R$90+(Vu_khi!$P$90-1)*Vu_khi!$Q$90)</f>
        <v/>
      </c>
      <c r="H90" t="n">
        <v>4.536</v>
      </c>
      <c r="I90">
        <f>Vu_khi!$W$90*MAX(1,$E$90)</f>
        <v/>
      </c>
      <c r="J90" t="n">
        <v>250</v>
      </c>
      <c r="K90">
        <f>IF(Vu_khi!$V$90&gt;0,Vu_khi!$V$90,MIN(28,MAX(10,Vu_khi!$U$90*Vu_khi!$R$90*0.4)))</f>
        <v/>
      </c>
      <c r="L90" t="n">
        <v>10</v>
      </c>
      <c r="M90">
        <f>IF(Vu_khi!$W$90&lt;=0,0,IF(Vu_khi!$U$90&gt;0,$I$90*Vu_khi!$U$90/(MAX(0.05,$G$90)*Vu_khi!$U$90+$K$90),$I$90/MAX(0.05,$G$90)))</f>
        <v/>
      </c>
      <c r="N90" t="n">
        <v>55.11463844797179</v>
      </c>
      <c r="O90">
        <f>OR(Vu_khi!$AG$90,Vu_khi!$AB$90&gt;0,Vu_khi!$AH$90,Vu_khi!$M$90="Bomb",Vu_khi!$M$90="Drone")</f>
        <v/>
      </c>
      <c r="P90" t="b">
        <v>0</v>
      </c>
      <c r="Q90">
        <f>AND(NOT(Vu_khi!$AJ$90),OR(Vu_khi!$AC$90="Ground",Vu_khi!$AC$90="All"))</f>
        <v/>
      </c>
      <c r="R90" t="b">
        <v>1</v>
      </c>
      <c r="S90">
        <f>AND(NOT(Vu_khi!$AJ$90),OR(Vu_khi!$AC$90="Air",Vu_khi!$AC$90="All"))</f>
        <v/>
      </c>
      <c r="T90" t="b">
        <v>0</v>
      </c>
      <c r="U90">
        <f>INDEX(Bang_sat_thuong!$B$2:$B$7,MATCH(Vu_khi!$K$90,Bang_sat_thuong!$A$2:$A$7,0))</f>
        <v/>
      </c>
      <c r="V90" t="n">
        <v>1</v>
      </c>
      <c r="W90">
        <f>INDEX(Bang_sat_thuong!$C$2:$C$7,MATCH(Vu_khi!$K$90,Bang_sat_thuong!$A$2:$A$7,0))</f>
        <v/>
      </c>
      <c r="X90" t="n">
        <v>0.3</v>
      </c>
      <c r="Y90">
        <f>IF(AND(Vu_khi!$AI$90,Vu_khi!$K$90="HighExplosive"),MAX(He_so_toan_cuc!$D$2,INDEX(Bang_sat_thuong!$D$2:$D$7,MATCH(Vu_khi!$K$90,Bang_sat_thuong!$A$2:$A$7,0))),INDEX(Bang_sat_thuong!$D$2:$D$7,MATCH(Vu_khi!$K$90,Bang_sat_thuong!$A$2:$A$7,0)))</f>
        <v/>
      </c>
      <c r="Z90" t="n">
        <v>0.6</v>
      </c>
      <c r="AA90">
        <f>INDEX(Bang_xuyen_giap!$C$2:$C$7,MIN(6,MAX(1,IF($O$90,MAX(1,2-(Vu_khi!$L$90-0)),2-(Vu_khi!$L$90-0))+1)))</f>
        <v/>
      </c>
      <c r="AB90" t="n">
        <v>1.2</v>
      </c>
      <c r="AC90">
        <f>INDEX(Bang_xuyen_giap!$C$2:$C$7,MIN(6,MAX(1,IF($O$90,MAX(1,2-(Vu_khi!$L$90-2)),2-(Vu_khi!$L$90-2))+1)))</f>
        <v/>
      </c>
      <c r="AD90" t="n">
        <v>1</v>
      </c>
      <c r="AE90">
        <f>INDEX(Bang_xuyen_giap!$C$2:$C$7,MIN(6,MAX(1,IF($O$90,MAX(1,2-(Vu_khi!$L$90-4)),2-(Vu_khi!$L$90-4))+1)))</f>
        <v/>
      </c>
      <c r="AF90" t="n">
        <v>0.5</v>
      </c>
      <c r="AG90">
        <f>INDEX(Bang_xuyen_giap!$C$2:$C$7,MIN(6,MAX(1,MAX(1,2-(Vu_khi!$L$90-0))+1)))</f>
        <v/>
      </c>
      <c r="AH90" t="n">
        <v>1</v>
      </c>
      <c r="AI90">
        <f>IF($Q$90,$M$90*$AA$90*$U$90,0)</f>
        <v/>
      </c>
      <c r="AJ90" t="n">
        <v>66.13756613756614</v>
      </c>
      <c r="AK90">
        <f>IF($Q$90,$M$90*$AC$90*$U$90,0)</f>
        <v/>
      </c>
      <c r="AL90" t="n">
        <v>55.11463844797179</v>
      </c>
      <c r="AM90">
        <f>IF($Q$90,$M$90*$AE$90*$U$90,0)</f>
        <v/>
      </c>
      <c r="AN90" t="n">
        <v>27.55731922398589</v>
      </c>
      <c r="AO90">
        <f>IF($Q$90,$M$90*$AC$90*$Y$90,0)</f>
        <v/>
      </c>
      <c r="AP90" t="n">
        <v>33.06878306878307</v>
      </c>
      <c r="AQ90">
        <f>IF($S$90,$M$90*$AG$90*$W$90,0)</f>
        <v/>
      </c>
      <c r="AR90" t="n">
        <v>0</v>
      </c>
      <c r="AS90">
        <f>IF(OR(Vu_khi!$M$90="Missile",Vu_khi!$M$90="Drone",AND(Vu_khi!$M$90="Rocket",OR(Vu_khi!$AM$90,Vu_khi!$D$90="guided")),Vu_khi!$AL$90,Vu_khi!$AK$90,Vu_khi!$X$90&lt;=0),FALSE,IF($B$90&gt;=0,$B$90&gt;=4,IF(Vu_khi!$M$90="Shell",Vu_khi!$AN$90&gt;=Canh_bao_vong!$D$10,IF(Vu_khi!$M$90="Bomb",Vu_khi!$AN$90&gt;=Canh_bao_vong!$D$3,IF(Vu_khi!$M$90="Rocket",Vu_khi!$AN$90&gt;=Canh_bao_vong!$D$13,FALSE)))))</f>
        <v/>
      </c>
      <c r="AT90" t="b">
        <v>0</v>
      </c>
      <c r="AU90">
        <f>IF(AND($B$90&lt;0,$AS$90),4,$B$90)</f>
        <v/>
      </c>
      <c r="AV90" t="n">
        <v>2</v>
      </c>
      <c r="AW90">
        <f>IF($AU$90&lt;4,0,MIN(MAX(0.5,Canh_bao_vong!$D$4),MAX(IF(Vu_khi!$C$90="cal_406",Canh_bao_vong!$D$7,IF($AU$90&gt;=5,Canh_bao_vong!$D$9,Canh_bao_vong!$D$8)),Canh_bao_vong!$D$2+MAX(0,Vu_khi!$X$90)/MAX(0.1,Canh_bao_vong!$D$5))))</f>
        <v/>
      </c>
      <c r="AX90" t="n">
        <v>0</v>
      </c>
      <c r="AY90" t="n">
        <v>0.5292</v>
      </c>
      <c r="AZ90" t="inlineStr">
        <is>
          <t>NHANH_QUA</t>
        </is>
      </c>
      <c r="BA90" t="inlineStr"/>
      <c r="BB90" t="inlineStr">
        <is>
          <t>Assets/MachineBrigade/Resources/Data/balance.json: weapons[id=gun_105_bunker] (lớp B trên 01_chien_dau/Vu_khi)</t>
        </is>
      </c>
      <c r="BC90" t="inlineStr"/>
    </row>
    <row r="91">
      <c r="A91" t="inlineStr">
        <is>
          <t>gun_105_bunker_he</t>
        </is>
      </c>
      <c r="B91" t="n">
        <v>2</v>
      </c>
      <c r="C91">
        <f>IF(Vu_khi!$O$91="SIMULTANEOUS",MAX(1,Vu_khi!$N$91),1)</f>
        <v/>
      </c>
      <c r="D91" t="n">
        <v>1</v>
      </c>
      <c r="E91">
        <f>IF(Vu_khi!$S$91&gt;0,Vu_khi!$S$91,Vu_khi!$P$91*$C$91)</f>
        <v/>
      </c>
      <c r="F91" t="n">
        <v>1</v>
      </c>
      <c r="G91">
        <f>IF(Vu_khi!$S$91&gt;0,(Vu_khi!$S$91-1)*Vu_khi!$R$91+Vu_khi!$T$91,Vu_khi!$R$91+(Vu_khi!$P$91-1)*Vu_khi!$Q$91)</f>
        <v/>
      </c>
      <c r="H91" t="n">
        <v>4.536</v>
      </c>
      <c r="I91">
        <f>Vu_khi!$W$91*MAX(1,$E$91)</f>
        <v/>
      </c>
      <c r="J91" t="n">
        <v>300</v>
      </c>
      <c r="K91">
        <f>IF(Vu_khi!$V$91&gt;0,Vu_khi!$V$91,MIN(28,MAX(10,Vu_khi!$U$91*Vu_khi!$R$91*0.4)))</f>
        <v/>
      </c>
      <c r="L91" t="n">
        <v>10</v>
      </c>
      <c r="M91">
        <f>IF(Vu_khi!$W$91&lt;=0,0,IF(Vu_khi!$U$91&gt;0,$I$91*Vu_khi!$U$91/(MAX(0.05,$G$91)*Vu_khi!$U$91+$K$91),$I$91/MAX(0.05,$G$91)))</f>
        <v/>
      </c>
      <c r="N91" t="n">
        <v>66.13756613756614</v>
      </c>
      <c r="O91">
        <f>OR(Vu_khi!$AG$91,Vu_khi!$AB$91&gt;0,Vu_khi!$AH$91,Vu_khi!$M$91="Bomb",Vu_khi!$M$91="Drone")</f>
        <v/>
      </c>
      <c r="P91" t="b">
        <v>0</v>
      </c>
      <c r="Q91">
        <f>AND(NOT(Vu_khi!$AJ$91),OR(Vu_khi!$AC$91="Ground",Vu_khi!$AC$91="All"))</f>
        <v/>
      </c>
      <c r="R91" t="b">
        <v>1</v>
      </c>
      <c r="S91">
        <f>AND(NOT(Vu_khi!$AJ$91),OR(Vu_khi!$AC$91="Air",Vu_khi!$AC$91="All"))</f>
        <v/>
      </c>
      <c r="T91" t="b">
        <v>0</v>
      </c>
      <c r="U91">
        <f>INDEX(Bang_sat_thuong!$B$2:$B$7,MATCH(Vu_khi!$K$91,Bang_sat_thuong!$A$2:$A$7,0))</f>
        <v/>
      </c>
      <c r="V91" t="n">
        <v>1</v>
      </c>
      <c r="W91">
        <f>INDEX(Bang_sat_thuong!$C$2:$C$7,MATCH(Vu_khi!$K$91,Bang_sat_thuong!$A$2:$A$7,0))</f>
        <v/>
      </c>
      <c r="X91" t="n">
        <v>0</v>
      </c>
      <c r="Y91">
        <f>IF(AND(Vu_khi!$AI$91,Vu_khi!$K$91="HighExplosive"),MAX(He_so_toan_cuc!$D$2,INDEX(Bang_sat_thuong!$D$2:$D$7,MATCH(Vu_khi!$K$91,Bang_sat_thuong!$A$2:$A$7,0))),INDEX(Bang_sat_thuong!$D$2:$D$7,MATCH(Vu_khi!$K$91,Bang_sat_thuong!$A$2:$A$7,0)))</f>
        <v/>
      </c>
      <c r="Z91" t="n">
        <v>1.5</v>
      </c>
      <c r="AA91">
        <f>INDEX(Bang_xuyen_giap!$C$2:$C$7,MIN(6,MAX(1,IF($O$91,MAX(1,2-(Vu_khi!$L$91-0)),2-(Vu_khi!$L$91-0))+1)))</f>
        <v/>
      </c>
      <c r="AB91" t="n">
        <v>1.2</v>
      </c>
      <c r="AC91">
        <f>INDEX(Bang_xuyen_giap!$C$2:$C$7,MIN(6,MAX(1,IF($O$91,MAX(1,2-(Vu_khi!$L$91-2)),2-(Vu_khi!$L$91-2))+1)))</f>
        <v/>
      </c>
      <c r="AD91" t="n">
        <v>0.85</v>
      </c>
      <c r="AE91">
        <f>INDEX(Bang_xuyen_giap!$C$2:$C$7,MIN(6,MAX(1,IF($O$91,MAX(1,2-(Vu_khi!$L$91-4)),2-(Vu_khi!$L$91-4))+1)))</f>
        <v/>
      </c>
      <c r="AF91" t="n">
        <v>0.25</v>
      </c>
      <c r="AG91">
        <f>INDEX(Bang_xuyen_giap!$C$2:$C$7,MIN(6,MAX(1,MAX(1,2-(Vu_khi!$L$91-0))+1)))</f>
        <v/>
      </c>
      <c r="AH91" t="n">
        <v>1</v>
      </c>
      <c r="AI91">
        <f>IF($Q$91,$M$91*$AA$91*$U$91,0)</f>
        <v/>
      </c>
      <c r="AJ91" t="n">
        <v>79.36507936507937</v>
      </c>
      <c r="AK91">
        <f>IF($Q$91,$M$91*$AC$91*$U$91,0)</f>
        <v/>
      </c>
      <c r="AL91" t="n">
        <v>56.21693121693121</v>
      </c>
      <c r="AM91">
        <f>IF($Q$91,$M$91*$AE$91*$U$91,0)</f>
        <v/>
      </c>
      <c r="AN91" t="n">
        <v>16.53439153439153</v>
      </c>
      <c r="AO91">
        <f>IF($Q$91,$M$91*$AC$91*$Y$91,0)</f>
        <v/>
      </c>
      <c r="AP91" t="n">
        <v>84.32539682539682</v>
      </c>
      <c r="AQ91">
        <f>IF($S$91,$M$91*$AG$91*$W$91,0)</f>
        <v/>
      </c>
      <c r="AR91" t="n">
        <v>0</v>
      </c>
      <c r="AS91">
        <f>IF(OR(Vu_khi!$M$91="Missile",Vu_khi!$M$91="Drone",AND(Vu_khi!$M$91="Rocket",OR(Vu_khi!$AM$91,Vu_khi!$D$91="guided")),Vu_khi!$AL$91,Vu_khi!$AK$91,Vu_khi!$X$91&lt;=0),FALSE,IF($B$91&gt;=0,$B$91&gt;=4,IF(Vu_khi!$M$91="Shell",Vu_khi!$AN$91&gt;=Canh_bao_vong!$D$10,IF(Vu_khi!$M$91="Bomb",Vu_khi!$AN$91&gt;=Canh_bao_vong!$D$3,IF(Vu_khi!$M$91="Rocket",Vu_khi!$AN$91&gt;=Canh_bao_vong!$D$13,FALSE)))))</f>
        <v/>
      </c>
      <c r="AT91" t="b">
        <v>0</v>
      </c>
      <c r="AU91">
        <f>IF(AND($B$91&lt;0,$AS$91),4,$B$91)</f>
        <v/>
      </c>
      <c r="AV91" t="n">
        <v>2</v>
      </c>
      <c r="AW91">
        <f>IF($AU$91&lt;4,0,MIN(MAX(0.5,Canh_bao_vong!$D$4),MAX(IF(Vu_khi!$C$91="cal_406",Canh_bao_vong!$D$7,IF($AU$91&gt;=5,Canh_bao_vong!$D$9,Canh_bao_vong!$D$8)),Canh_bao_vong!$D$2+MAX(0,Vu_khi!$X$91)/MAX(0.1,Canh_bao_vong!$D$5))))</f>
        <v/>
      </c>
      <c r="AX91" t="n">
        <v>0</v>
      </c>
      <c r="BB91" t="inlineStr">
        <is>
          <t>Assets/MachineBrigade/Resources/Data/balance.json: weapons[id=gun_105_bunker_he] (lớp B trên 01_chien_dau/Vu_khi)</t>
        </is>
      </c>
      <c r="BC91" t="inlineStr"/>
    </row>
    <row r="92">
      <c r="A92" t="inlineStr">
        <is>
          <t>gun_105_long</t>
        </is>
      </c>
      <c r="B92" t="n">
        <v>3</v>
      </c>
      <c r="C92">
        <f>IF(Vu_khi!$O$92="SIMULTANEOUS",MAX(1,Vu_khi!$N$92),1)</f>
        <v/>
      </c>
      <c r="D92" t="n">
        <v>1</v>
      </c>
      <c r="E92">
        <f>IF(Vu_khi!$S$92&gt;0,Vu_khi!$S$92,Vu_khi!$P$92*$C$92)</f>
        <v/>
      </c>
      <c r="F92" t="n">
        <v>1</v>
      </c>
      <c r="G92">
        <f>IF(Vu_khi!$S$92&gt;0,(Vu_khi!$S$92-1)*Vu_khi!$R$92+Vu_khi!$T$92,Vu_khi!$R$92+(Vu_khi!$P$92-1)*Vu_khi!$Q$92)</f>
        <v/>
      </c>
      <c r="H92" t="n">
        <v>4.762</v>
      </c>
      <c r="I92">
        <f>Vu_khi!$W$92*MAX(1,$E$92)</f>
        <v/>
      </c>
      <c r="J92" t="n">
        <v>371</v>
      </c>
      <c r="K92">
        <f>IF(Vu_khi!$V$92&gt;0,Vu_khi!$V$92,MIN(28,MAX(10,Vu_khi!$U$92*Vu_khi!$R$92*0.4)))</f>
        <v/>
      </c>
      <c r="L92" t="n">
        <v>10</v>
      </c>
      <c r="M92">
        <f>IF(Vu_khi!$W$92&lt;=0,0,IF(Vu_khi!$U$92&gt;0,$I$92*Vu_khi!$U$92/(MAX(0.05,$G$92)*Vu_khi!$U$92+$K$92),$I$92/MAX(0.05,$G$92)))</f>
        <v/>
      </c>
      <c r="N92" t="n">
        <v>77.90844183116339</v>
      </c>
      <c r="O92">
        <f>OR(Vu_khi!$AG$92,Vu_khi!$AB$92&gt;0,Vu_khi!$AH$92,Vu_khi!$M$92="Bomb",Vu_khi!$M$92="Drone")</f>
        <v/>
      </c>
      <c r="P92" t="b">
        <v>0</v>
      </c>
      <c r="Q92">
        <f>AND(NOT(Vu_khi!$AJ$92),OR(Vu_khi!$AC$92="Ground",Vu_khi!$AC$92="All"))</f>
        <v/>
      </c>
      <c r="R92" t="b">
        <v>1</v>
      </c>
      <c r="S92">
        <f>AND(NOT(Vu_khi!$AJ$92),OR(Vu_khi!$AC$92="Air",Vu_khi!$AC$92="All"))</f>
        <v/>
      </c>
      <c r="T92" t="b">
        <v>0</v>
      </c>
      <c r="U92">
        <f>INDEX(Bang_sat_thuong!$B$2:$B$7,MATCH(Vu_khi!$K$92,Bang_sat_thuong!$A$2:$A$7,0))</f>
        <v/>
      </c>
      <c r="V92" t="n">
        <v>1</v>
      </c>
      <c r="W92">
        <f>INDEX(Bang_sat_thuong!$C$2:$C$7,MATCH(Vu_khi!$K$92,Bang_sat_thuong!$A$2:$A$7,0))</f>
        <v/>
      </c>
      <c r="X92" t="n">
        <v>0.3</v>
      </c>
      <c r="Y92">
        <f>IF(AND(Vu_khi!$AI$92,Vu_khi!$K$92="HighExplosive"),MAX(He_so_toan_cuc!$D$2,INDEX(Bang_sat_thuong!$D$2:$D$7,MATCH(Vu_khi!$K$92,Bang_sat_thuong!$A$2:$A$7,0))),INDEX(Bang_sat_thuong!$D$2:$D$7,MATCH(Vu_khi!$K$92,Bang_sat_thuong!$A$2:$A$7,0)))</f>
        <v/>
      </c>
      <c r="Z92" t="n">
        <v>0.6</v>
      </c>
      <c r="AA92">
        <f>INDEX(Bang_xuyen_giap!$C$2:$C$7,MIN(6,MAX(1,IF($O$92,MAX(1,2-(Vu_khi!$L$92-0)),2-(Vu_khi!$L$92-0))+1)))</f>
        <v/>
      </c>
      <c r="AB92" t="n">
        <v>1.2</v>
      </c>
      <c r="AC92">
        <f>INDEX(Bang_xuyen_giap!$C$2:$C$7,MIN(6,MAX(1,IF($O$92,MAX(1,2-(Vu_khi!$L$92-2)),2-(Vu_khi!$L$92-2))+1)))</f>
        <v/>
      </c>
      <c r="AD92" t="n">
        <v>1.2</v>
      </c>
      <c r="AE92">
        <f>INDEX(Bang_xuyen_giap!$C$2:$C$7,MIN(6,MAX(1,IF($O$92,MAX(1,2-(Vu_khi!$L$92-4)),2-(Vu_khi!$L$92-4))+1)))</f>
        <v/>
      </c>
      <c r="AF92" t="n">
        <v>0.85</v>
      </c>
      <c r="AG92">
        <f>INDEX(Bang_xuyen_giap!$C$2:$C$7,MIN(6,MAX(1,MAX(1,2-(Vu_khi!$L$92-0))+1)))</f>
        <v/>
      </c>
      <c r="AH92" t="n">
        <v>1</v>
      </c>
      <c r="AI92">
        <f>IF($Q$92,$M$92*$AA$92*$U$92,0)</f>
        <v/>
      </c>
      <c r="AJ92" t="n">
        <v>93.49013019739606</v>
      </c>
      <c r="AK92">
        <f>IF($Q$92,$M$92*$AC$92*$U$92,0)</f>
        <v/>
      </c>
      <c r="AL92" t="n">
        <v>93.49013019739606</v>
      </c>
      <c r="AM92">
        <f>IF($Q$92,$M$92*$AE$92*$U$92,0)</f>
        <v/>
      </c>
      <c r="AN92" t="n">
        <v>66.22217555648888</v>
      </c>
      <c r="AO92">
        <f>IF($Q$92,$M$92*$AC$92*$Y$92,0)</f>
        <v/>
      </c>
      <c r="AP92" t="n">
        <v>56.09407811843764</v>
      </c>
      <c r="AQ92">
        <f>IF($S$92,$M$92*$AG$92*$W$92,0)</f>
        <v/>
      </c>
      <c r="AR92" t="n">
        <v>0</v>
      </c>
      <c r="AS92">
        <f>IF(OR(Vu_khi!$M$92="Missile",Vu_khi!$M$92="Drone",AND(Vu_khi!$M$92="Rocket",OR(Vu_khi!$AM$92,Vu_khi!$D$92="guided")),Vu_khi!$AL$92,Vu_khi!$AK$92,Vu_khi!$X$92&lt;=0),FALSE,IF($B$92&gt;=0,$B$92&gt;=4,IF(Vu_khi!$M$92="Shell",Vu_khi!$AN$92&gt;=Canh_bao_vong!$D$10,IF(Vu_khi!$M$92="Bomb",Vu_khi!$AN$92&gt;=Canh_bao_vong!$D$3,IF(Vu_khi!$M$92="Rocket",Vu_khi!$AN$92&gt;=Canh_bao_vong!$D$13,FALSE)))))</f>
        <v/>
      </c>
      <c r="AT92" t="b">
        <v>0</v>
      </c>
      <c r="AU92">
        <f>IF(AND($B$92&lt;0,$AS$92),4,$B$92)</f>
        <v/>
      </c>
      <c r="AV92" t="n">
        <v>3</v>
      </c>
      <c r="AW92">
        <f>IF($AU$92&lt;4,0,MIN(MAX(0.5,Canh_bao_vong!$D$4),MAX(IF(Vu_khi!$C$92="cal_406",Canh_bao_vong!$D$7,IF($AU$92&gt;=5,Canh_bao_vong!$D$9,Canh_bao_vong!$D$8)),Canh_bao_vong!$D$2+MAX(0,Vu_khi!$X$92)/MAX(0.1,Canh_bao_vong!$D$5))))</f>
        <v/>
      </c>
      <c r="AX92" t="n">
        <v>0</v>
      </c>
      <c r="AY92" t="n">
        <v>0.388897</v>
      </c>
      <c r="AZ92" t="inlineStr">
        <is>
          <t>NHANH_QUA;LECH_DOT_1</t>
        </is>
      </c>
      <c r="BA92" t="inlineStr"/>
      <c r="BB92" t="inlineStr">
        <is>
          <t>Assets/MachineBrigade/Resources/Data/balance.json: weapons[id=gun_105_long] (lớp B trên 01_chien_dau/Vu_khi)</t>
        </is>
      </c>
      <c r="BC92" t="inlineStr"/>
    </row>
    <row r="93">
      <c r="A93" t="inlineStr">
        <is>
          <t>gun_105_long_he</t>
        </is>
      </c>
      <c r="B93" t="n">
        <v>3</v>
      </c>
      <c r="C93">
        <f>IF(Vu_khi!$O$93="SIMULTANEOUS",MAX(1,Vu_khi!$N$93),1)</f>
        <v/>
      </c>
      <c r="D93" t="n">
        <v>1</v>
      </c>
      <c r="E93">
        <f>IF(Vu_khi!$S$93&gt;0,Vu_khi!$S$93,Vu_khi!$P$93*$C$93)</f>
        <v/>
      </c>
      <c r="F93" t="n">
        <v>1</v>
      </c>
      <c r="G93">
        <f>IF(Vu_khi!$S$93&gt;0,(Vu_khi!$S$93-1)*Vu_khi!$R$93+Vu_khi!$T$93,Vu_khi!$R$93+(Vu_khi!$P$93-1)*Vu_khi!$Q$93)</f>
        <v/>
      </c>
      <c r="H93" t="n">
        <v>4.762</v>
      </c>
      <c r="I93">
        <f>Vu_khi!$W$93*MAX(1,$E$93)</f>
        <v/>
      </c>
      <c r="J93" t="n">
        <v>371</v>
      </c>
      <c r="K93">
        <f>IF(Vu_khi!$V$93&gt;0,Vu_khi!$V$93,MIN(28,MAX(10,Vu_khi!$U$93*Vu_khi!$R$93*0.4)))</f>
        <v/>
      </c>
      <c r="L93" t="n">
        <v>10</v>
      </c>
      <c r="M93">
        <f>IF(Vu_khi!$W$93&lt;=0,0,IF(Vu_khi!$U$93&gt;0,$I$93*Vu_khi!$U$93/(MAX(0.05,$G$93)*Vu_khi!$U$93+$K$93),$I$93/MAX(0.05,$G$93)))</f>
        <v/>
      </c>
      <c r="N93" t="n">
        <v>77.90844183116339</v>
      </c>
      <c r="O93">
        <f>OR(Vu_khi!$AG$93,Vu_khi!$AB$93&gt;0,Vu_khi!$AH$93,Vu_khi!$M$93="Bomb",Vu_khi!$M$93="Drone")</f>
        <v/>
      </c>
      <c r="P93" t="b">
        <v>0</v>
      </c>
      <c r="Q93">
        <f>AND(NOT(Vu_khi!$AJ$93),OR(Vu_khi!$AC$93="Ground",Vu_khi!$AC$93="All"))</f>
        <v/>
      </c>
      <c r="R93" t="b">
        <v>1</v>
      </c>
      <c r="S93">
        <f>AND(NOT(Vu_khi!$AJ$93),OR(Vu_khi!$AC$93="Air",Vu_khi!$AC$93="All"))</f>
        <v/>
      </c>
      <c r="T93" t="b">
        <v>0</v>
      </c>
      <c r="U93">
        <f>INDEX(Bang_sat_thuong!$B$2:$B$7,MATCH(Vu_khi!$K$93,Bang_sat_thuong!$A$2:$A$7,0))</f>
        <v/>
      </c>
      <c r="V93" t="n">
        <v>1</v>
      </c>
      <c r="W93">
        <f>INDEX(Bang_sat_thuong!$C$2:$C$7,MATCH(Vu_khi!$K$93,Bang_sat_thuong!$A$2:$A$7,0))</f>
        <v/>
      </c>
      <c r="X93" t="n">
        <v>0</v>
      </c>
      <c r="Y93">
        <f>IF(AND(Vu_khi!$AI$93,Vu_khi!$K$93="HighExplosive"),MAX(He_so_toan_cuc!$D$2,INDEX(Bang_sat_thuong!$D$2:$D$7,MATCH(Vu_khi!$K$93,Bang_sat_thuong!$A$2:$A$7,0))),INDEX(Bang_sat_thuong!$D$2:$D$7,MATCH(Vu_khi!$K$93,Bang_sat_thuong!$A$2:$A$7,0)))</f>
        <v/>
      </c>
      <c r="Z93" t="n">
        <v>1.5</v>
      </c>
      <c r="AA93">
        <f>INDEX(Bang_xuyen_giap!$C$2:$C$7,MIN(6,MAX(1,IF($O$93,MAX(1,2-(Vu_khi!$L$93-0)),2-(Vu_khi!$L$93-0))+1)))</f>
        <v/>
      </c>
      <c r="AB93" t="n">
        <v>1.2</v>
      </c>
      <c r="AC93">
        <f>INDEX(Bang_xuyen_giap!$C$2:$C$7,MIN(6,MAX(1,IF($O$93,MAX(1,2-(Vu_khi!$L$93-2)),2-(Vu_khi!$L$93-2))+1)))</f>
        <v/>
      </c>
      <c r="AD93" t="n">
        <v>0.85</v>
      </c>
      <c r="AE93">
        <f>INDEX(Bang_xuyen_giap!$C$2:$C$7,MIN(6,MAX(1,IF($O$93,MAX(1,2-(Vu_khi!$L$93-4)),2-(Vu_khi!$L$93-4))+1)))</f>
        <v/>
      </c>
      <c r="AF93" t="n">
        <v>0.25</v>
      </c>
      <c r="AG93">
        <f>INDEX(Bang_xuyen_giap!$C$2:$C$7,MIN(6,MAX(1,MAX(1,2-(Vu_khi!$L$93-0))+1)))</f>
        <v/>
      </c>
      <c r="AH93" t="n">
        <v>1</v>
      </c>
      <c r="AI93">
        <f>IF($Q$93,$M$93*$AA$93*$U$93,0)</f>
        <v/>
      </c>
      <c r="AJ93" t="n">
        <v>93.49013019739606</v>
      </c>
      <c r="AK93">
        <f>IF($Q$93,$M$93*$AC$93*$U$93,0)</f>
        <v/>
      </c>
      <c r="AL93" t="n">
        <v>66.22217555648888</v>
      </c>
      <c r="AM93">
        <f>IF($Q$93,$M$93*$AE$93*$U$93,0)</f>
        <v/>
      </c>
      <c r="AN93" t="n">
        <v>19.47711045779085</v>
      </c>
      <c r="AO93">
        <f>IF($Q$93,$M$93*$AC$93*$Y$93,0)</f>
        <v/>
      </c>
      <c r="AP93" t="n">
        <v>99.33326333473332</v>
      </c>
      <c r="AQ93">
        <f>IF($S$93,$M$93*$AG$93*$W$93,0)</f>
        <v/>
      </c>
      <c r="AR93" t="n">
        <v>0</v>
      </c>
      <c r="AS93">
        <f>IF(OR(Vu_khi!$M$93="Missile",Vu_khi!$M$93="Drone",AND(Vu_khi!$M$93="Rocket",OR(Vu_khi!$AM$93,Vu_khi!$D$93="guided")),Vu_khi!$AL$93,Vu_khi!$AK$93,Vu_khi!$X$93&lt;=0),FALSE,IF($B$93&gt;=0,$B$93&gt;=4,IF(Vu_khi!$M$93="Shell",Vu_khi!$AN$93&gt;=Canh_bao_vong!$D$10,IF(Vu_khi!$M$93="Bomb",Vu_khi!$AN$93&gt;=Canh_bao_vong!$D$3,IF(Vu_khi!$M$93="Rocket",Vu_khi!$AN$93&gt;=Canh_bao_vong!$D$13,FALSE)))))</f>
        <v/>
      </c>
      <c r="AT93" t="b">
        <v>0</v>
      </c>
      <c r="AU93">
        <f>IF(AND($B$93&lt;0,$AS$93),4,$B$93)</f>
        <v/>
      </c>
      <c r="AV93" t="n">
        <v>3</v>
      </c>
      <c r="AW93">
        <f>IF($AU$93&lt;4,0,MIN(MAX(0.5,Canh_bao_vong!$D$4),MAX(IF(Vu_khi!$C$93="cal_406",Canh_bao_vong!$D$7,IF($AU$93&gt;=5,Canh_bao_vong!$D$9,Canh_bao_vong!$D$8)),Canh_bao_vong!$D$2+MAX(0,Vu_khi!$X$93)/MAX(0.1,Canh_bao_vong!$D$5))))</f>
        <v/>
      </c>
      <c r="AX93" t="n">
        <v>0</v>
      </c>
      <c r="BB93" t="inlineStr">
        <is>
          <t>Assets/MachineBrigade/Resources/Data/balance.json: weapons[id=gun_105_long_he] (lớp B trên 01_chien_dau/Vu_khi)</t>
        </is>
      </c>
      <c r="BC93" t="inlineStr"/>
    </row>
    <row r="94">
      <c r="A94" t="inlineStr">
        <is>
          <t>gun_105_twin</t>
        </is>
      </c>
      <c r="B94" t="n">
        <v>2</v>
      </c>
      <c r="C94">
        <f>IF(Vu_khi!$O$94="SIMULTANEOUS",MAX(1,Vu_khi!$N$94),1)</f>
        <v/>
      </c>
      <c r="D94" t="n">
        <v>1</v>
      </c>
      <c r="E94">
        <f>IF(Vu_khi!$S$94&gt;0,Vu_khi!$S$94,Vu_khi!$P$94*$C$94)</f>
        <v/>
      </c>
      <c r="F94" t="n">
        <v>2</v>
      </c>
      <c r="G94">
        <f>IF(Vu_khi!$S$94&gt;0,(Vu_khi!$S$94-1)*Vu_khi!$R$94+Vu_khi!$T$94,Vu_khi!$R$94+(Vu_khi!$P$94-1)*Vu_khi!$Q$94)</f>
        <v/>
      </c>
      <c r="H94" t="n">
        <v>5.74</v>
      </c>
      <c r="I94">
        <f>Vu_khi!$W$94*MAX(1,$E$94)</f>
        <v/>
      </c>
      <c r="J94" t="n">
        <v>424</v>
      </c>
      <c r="K94">
        <f>IF(Vu_khi!$V$94&gt;0,Vu_khi!$V$94,MIN(28,MAX(10,Vu_khi!$U$94*Vu_khi!$R$94*0.4)))</f>
        <v/>
      </c>
      <c r="L94" t="n">
        <v>10</v>
      </c>
      <c r="M94">
        <f>IF(Vu_khi!$W$94&lt;=0,0,IF(Vu_khi!$U$94&gt;0,$I$94*Vu_khi!$U$94/(MAX(0.05,$G$94)*Vu_khi!$U$94+$K$94),$I$94/MAX(0.05,$G$94)))</f>
        <v/>
      </c>
      <c r="N94" t="n">
        <v>73.86759581881533</v>
      </c>
      <c r="O94">
        <f>OR(Vu_khi!$AG$94,Vu_khi!$AB$94&gt;0,Vu_khi!$AH$94,Vu_khi!$M$94="Bomb",Vu_khi!$M$94="Drone")</f>
        <v/>
      </c>
      <c r="P94" t="b">
        <v>0</v>
      </c>
      <c r="Q94">
        <f>AND(NOT(Vu_khi!$AJ$94),OR(Vu_khi!$AC$94="Ground",Vu_khi!$AC$94="All"))</f>
        <v/>
      </c>
      <c r="R94" t="b">
        <v>1</v>
      </c>
      <c r="S94">
        <f>AND(NOT(Vu_khi!$AJ$94),OR(Vu_khi!$AC$94="Air",Vu_khi!$AC$94="All"))</f>
        <v/>
      </c>
      <c r="T94" t="b">
        <v>0</v>
      </c>
      <c r="U94">
        <f>INDEX(Bang_sat_thuong!$B$2:$B$7,MATCH(Vu_khi!$K$94,Bang_sat_thuong!$A$2:$A$7,0))</f>
        <v/>
      </c>
      <c r="V94" t="n">
        <v>1</v>
      </c>
      <c r="W94">
        <f>INDEX(Bang_sat_thuong!$C$2:$C$7,MATCH(Vu_khi!$K$94,Bang_sat_thuong!$A$2:$A$7,0))</f>
        <v/>
      </c>
      <c r="X94" t="n">
        <v>0.3</v>
      </c>
      <c r="Y94">
        <f>IF(AND(Vu_khi!$AI$94,Vu_khi!$K$94="HighExplosive"),MAX(He_so_toan_cuc!$D$2,INDEX(Bang_sat_thuong!$D$2:$D$7,MATCH(Vu_khi!$K$94,Bang_sat_thuong!$A$2:$A$7,0))),INDEX(Bang_sat_thuong!$D$2:$D$7,MATCH(Vu_khi!$K$94,Bang_sat_thuong!$A$2:$A$7,0)))</f>
        <v/>
      </c>
      <c r="Z94" t="n">
        <v>0.6</v>
      </c>
      <c r="AA94">
        <f>INDEX(Bang_xuyen_giap!$C$2:$C$7,MIN(6,MAX(1,IF($O$94,MAX(1,2-(Vu_khi!$L$94-0)),2-(Vu_khi!$L$94-0))+1)))</f>
        <v/>
      </c>
      <c r="AB94" t="n">
        <v>1.2</v>
      </c>
      <c r="AC94">
        <f>INDEX(Bang_xuyen_giap!$C$2:$C$7,MIN(6,MAX(1,IF($O$94,MAX(1,2-(Vu_khi!$L$94-2)),2-(Vu_khi!$L$94-2))+1)))</f>
        <v/>
      </c>
      <c r="AD94" t="n">
        <v>1</v>
      </c>
      <c r="AE94">
        <f>INDEX(Bang_xuyen_giap!$C$2:$C$7,MIN(6,MAX(1,IF($O$94,MAX(1,2-(Vu_khi!$L$94-4)),2-(Vu_khi!$L$94-4))+1)))</f>
        <v/>
      </c>
      <c r="AF94" t="n">
        <v>0.5</v>
      </c>
      <c r="AG94">
        <f>INDEX(Bang_xuyen_giap!$C$2:$C$7,MIN(6,MAX(1,MAX(1,2-(Vu_khi!$L$94-0))+1)))</f>
        <v/>
      </c>
      <c r="AH94" t="n">
        <v>1</v>
      </c>
      <c r="AI94">
        <f>IF($Q$94,$M$94*$AA$94*$U$94,0)</f>
        <v/>
      </c>
      <c r="AJ94" t="n">
        <v>88.6411149825784</v>
      </c>
      <c r="AK94">
        <f>IF($Q$94,$M$94*$AC$94*$U$94,0)</f>
        <v/>
      </c>
      <c r="AL94" t="n">
        <v>73.86759581881533</v>
      </c>
      <c r="AM94">
        <f>IF($Q$94,$M$94*$AE$94*$U$94,0)</f>
        <v/>
      </c>
      <c r="AN94" t="n">
        <v>36.93379790940767</v>
      </c>
      <c r="AO94">
        <f>IF($Q$94,$M$94*$AC$94*$Y$94,0)</f>
        <v/>
      </c>
      <c r="AP94" t="n">
        <v>44.3205574912892</v>
      </c>
      <c r="AQ94">
        <f>IF($S$94,$M$94*$AG$94*$W$94,0)</f>
        <v/>
      </c>
      <c r="AR94" t="n">
        <v>0</v>
      </c>
      <c r="AS94">
        <f>IF(OR(Vu_khi!$M$94="Missile",Vu_khi!$M$94="Drone",AND(Vu_khi!$M$94="Rocket",OR(Vu_khi!$AM$94,Vu_khi!$D$94="guided")),Vu_khi!$AL$94,Vu_khi!$AK$94,Vu_khi!$X$94&lt;=0),FALSE,IF($B$94&gt;=0,$B$94&gt;=4,IF(Vu_khi!$M$94="Shell",Vu_khi!$AN$94&gt;=Canh_bao_vong!$D$10,IF(Vu_khi!$M$94="Bomb",Vu_khi!$AN$94&gt;=Canh_bao_vong!$D$3,IF(Vu_khi!$M$94="Rocket",Vu_khi!$AN$94&gt;=Canh_bao_vong!$D$13,FALSE)))))</f>
        <v/>
      </c>
      <c r="AT94" t="b">
        <v>0</v>
      </c>
      <c r="AU94">
        <f>IF(AND($B$94&lt;0,$AS$94),4,$B$94)</f>
        <v/>
      </c>
      <c r="AV94" t="n">
        <v>2</v>
      </c>
      <c r="AW94">
        <f>IF($AU$94&lt;4,0,MIN(MAX(0.5,Canh_bao_vong!$D$4),MAX(IF(Vu_khi!$C$94="cal_406",Canh_bao_vong!$D$7,IF($AU$94&gt;=5,Canh_bao_vong!$D$9,Canh_bao_vong!$D$8)),Canh_bao_vong!$D$2+MAX(0,Vu_khi!$X$94)/MAX(0.1,Canh_bao_vong!$D$5))))</f>
        <v/>
      </c>
      <c r="AX94" t="n">
        <v>0</v>
      </c>
      <c r="AY94" t="n">
        <v>0.669667</v>
      </c>
      <c r="AZ94" t="inlineStr">
        <is>
          <t>ok</t>
        </is>
      </c>
      <c r="BA94" t="inlineStr"/>
      <c r="BB94" t="inlineStr">
        <is>
          <t>Assets/MachineBrigade/Resources/Data/balance.json: weapons[id=gun_105_twin] (lớp B trên 01_chien_dau/Vu_khi)</t>
        </is>
      </c>
      <c r="BC94" t="inlineStr"/>
    </row>
    <row r="95">
      <c r="A95" t="inlineStr">
        <is>
          <t>gun_105_wheeled</t>
        </is>
      </c>
      <c r="B95" t="n">
        <v>3</v>
      </c>
      <c r="C95">
        <f>IF(Vu_khi!$O$95="SIMULTANEOUS",MAX(1,Vu_khi!$N$95),1)</f>
        <v/>
      </c>
      <c r="D95" t="n">
        <v>1</v>
      </c>
      <c r="E95">
        <f>IF(Vu_khi!$S$95&gt;0,Vu_khi!$S$95,Vu_khi!$P$95*$C$95)</f>
        <v/>
      </c>
      <c r="F95" t="n">
        <v>1</v>
      </c>
      <c r="G95">
        <f>IF(Vu_khi!$S$95&gt;0,(Vu_khi!$S$95-1)*Vu_khi!$R$95+Vu_khi!$T$95,Vu_khi!$R$95+(Vu_khi!$P$95-1)*Vu_khi!$Q$95)</f>
        <v/>
      </c>
      <c r="H95" t="n">
        <v>5.291</v>
      </c>
      <c r="I95">
        <f>Vu_khi!$W$95*MAX(1,$E$95)</f>
        <v/>
      </c>
      <c r="J95" t="n">
        <v>369</v>
      </c>
      <c r="K95">
        <f>IF(Vu_khi!$V$95&gt;0,Vu_khi!$V$95,MIN(28,MAX(10,Vu_khi!$U$95*Vu_khi!$R$95*0.4)))</f>
        <v/>
      </c>
      <c r="L95" t="n">
        <v>10</v>
      </c>
      <c r="M95">
        <f>IF(Vu_khi!$W$95&lt;=0,0,IF(Vu_khi!$U$95&gt;0,$I$95*Vu_khi!$U$95/(MAX(0.05,$G$95)*Vu_khi!$U$95+$K$95),$I$95/MAX(0.05,$G$95)))</f>
        <v/>
      </c>
      <c r="N95" t="n">
        <v>69.74106974106974</v>
      </c>
      <c r="O95">
        <f>OR(Vu_khi!$AG$95,Vu_khi!$AB$95&gt;0,Vu_khi!$AH$95,Vu_khi!$M$95="Bomb",Vu_khi!$M$95="Drone")</f>
        <v/>
      </c>
      <c r="P95" t="b">
        <v>0</v>
      </c>
      <c r="Q95">
        <f>AND(NOT(Vu_khi!$AJ$95),OR(Vu_khi!$AC$95="Ground",Vu_khi!$AC$95="All"))</f>
        <v/>
      </c>
      <c r="R95" t="b">
        <v>1</v>
      </c>
      <c r="S95">
        <f>AND(NOT(Vu_khi!$AJ$95),OR(Vu_khi!$AC$95="Air",Vu_khi!$AC$95="All"))</f>
        <v/>
      </c>
      <c r="T95" t="b">
        <v>0</v>
      </c>
      <c r="U95">
        <f>INDEX(Bang_sat_thuong!$B$2:$B$7,MATCH(Vu_khi!$K$95,Bang_sat_thuong!$A$2:$A$7,0))</f>
        <v/>
      </c>
      <c r="V95" t="n">
        <v>1</v>
      </c>
      <c r="W95">
        <f>INDEX(Bang_sat_thuong!$C$2:$C$7,MATCH(Vu_khi!$K$95,Bang_sat_thuong!$A$2:$A$7,0))</f>
        <v/>
      </c>
      <c r="X95" t="n">
        <v>0.3</v>
      </c>
      <c r="Y95">
        <f>IF(AND(Vu_khi!$AI$95,Vu_khi!$K$95="HighExplosive"),MAX(He_so_toan_cuc!$D$2,INDEX(Bang_sat_thuong!$D$2:$D$7,MATCH(Vu_khi!$K$95,Bang_sat_thuong!$A$2:$A$7,0))),INDEX(Bang_sat_thuong!$D$2:$D$7,MATCH(Vu_khi!$K$95,Bang_sat_thuong!$A$2:$A$7,0)))</f>
        <v/>
      </c>
      <c r="Z95" t="n">
        <v>0.6</v>
      </c>
      <c r="AA95">
        <f>INDEX(Bang_xuyen_giap!$C$2:$C$7,MIN(6,MAX(1,IF($O$95,MAX(1,2-(Vu_khi!$L$95-0)),2-(Vu_khi!$L$95-0))+1)))</f>
        <v/>
      </c>
      <c r="AB95" t="n">
        <v>1.2</v>
      </c>
      <c r="AC95">
        <f>INDEX(Bang_xuyen_giap!$C$2:$C$7,MIN(6,MAX(1,IF($O$95,MAX(1,2-(Vu_khi!$L$95-2)),2-(Vu_khi!$L$95-2))+1)))</f>
        <v/>
      </c>
      <c r="AD95" t="n">
        <v>1.2</v>
      </c>
      <c r="AE95">
        <f>INDEX(Bang_xuyen_giap!$C$2:$C$7,MIN(6,MAX(1,IF($O$95,MAX(1,2-(Vu_khi!$L$95-4)),2-(Vu_khi!$L$95-4))+1)))</f>
        <v/>
      </c>
      <c r="AF95" t="n">
        <v>0.85</v>
      </c>
      <c r="AG95">
        <f>INDEX(Bang_xuyen_giap!$C$2:$C$7,MIN(6,MAX(1,MAX(1,2-(Vu_khi!$L$95-0))+1)))</f>
        <v/>
      </c>
      <c r="AH95" t="n">
        <v>1</v>
      </c>
      <c r="AI95">
        <f>IF($Q$95,$M$95*$AA$95*$U$95,0)</f>
        <v/>
      </c>
      <c r="AJ95" t="n">
        <v>83.68928368928368</v>
      </c>
      <c r="AK95">
        <f>IF($Q$95,$M$95*$AC$95*$U$95,0)</f>
        <v/>
      </c>
      <c r="AL95" t="n">
        <v>83.68928368928368</v>
      </c>
      <c r="AM95">
        <f>IF($Q$95,$M$95*$AE$95*$U$95,0)</f>
        <v/>
      </c>
      <c r="AN95" t="n">
        <v>59.27990927990928</v>
      </c>
      <c r="AO95">
        <f>IF($Q$95,$M$95*$AC$95*$Y$95,0)</f>
        <v/>
      </c>
      <c r="AP95" t="n">
        <v>50.21357021357021</v>
      </c>
      <c r="AQ95">
        <f>IF($S$95,$M$95*$AG$95*$W$95,0)</f>
        <v/>
      </c>
      <c r="AR95" t="n">
        <v>0</v>
      </c>
      <c r="AS95">
        <f>IF(OR(Vu_khi!$M$95="Missile",Vu_khi!$M$95="Drone",AND(Vu_khi!$M$95="Rocket",OR(Vu_khi!$AM$95,Vu_khi!$D$95="guided")),Vu_khi!$AL$95,Vu_khi!$AK$95,Vu_khi!$X$95&lt;=0),FALSE,IF($B$95&gt;=0,$B$95&gt;=4,IF(Vu_khi!$M$95="Shell",Vu_khi!$AN$95&gt;=Canh_bao_vong!$D$10,IF(Vu_khi!$M$95="Bomb",Vu_khi!$AN$95&gt;=Canh_bao_vong!$D$3,IF(Vu_khi!$M$95="Rocket",Vu_khi!$AN$95&gt;=Canh_bao_vong!$D$13,FALSE)))))</f>
        <v/>
      </c>
      <c r="AT95" t="b">
        <v>0</v>
      </c>
      <c r="AU95">
        <f>IF(AND($B$95&lt;0,$AS$95),4,$B$95)</f>
        <v/>
      </c>
      <c r="AV95" t="n">
        <v>3</v>
      </c>
      <c r="AW95">
        <f>IF($AU$95&lt;4,0,MIN(MAX(0.5,Canh_bao_vong!$D$4),MAX(IF(Vu_khi!$C$95="cal_406",Canh_bao_vong!$D$7,IF($AU$95&gt;=5,Canh_bao_vong!$D$9,Canh_bao_vong!$D$8)),Canh_bao_vong!$D$2+MAX(0,Vu_khi!$X$95)/MAX(0.1,Canh_bao_vong!$D$5))))</f>
        <v/>
      </c>
      <c r="AX95" t="n">
        <v>0</v>
      </c>
      <c r="AY95" t="n">
        <v>0.493827</v>
      </c>
      <c r="AZ95" t="inlineStr">
        <is>
          <t>NHANH_QUA;LECH_DOT_1</t>
        </is>
      </c>
      <c r="BA95" t="inlineStr"/>
      <c r="BB95" t="inlineStr">
        <is>
          <t>Assets/MachineBrigade/Resources/Data/balance.json: weapons[id=gun_105_wheeled] (lớp B trên 01_chien_dau/Vu_khi)</t>
        </is>
      </c>
      <c r="BC95" t="inlineStr"/>
    </row>
    <row r="96">
      <c r="A96" t="inlineStr">
        <is>
          <t>gun_105_wheeled_he</t>
        </is>
      </c>
      <c r="B96" t="n">
        <v>3</v>
      </c>
      <c r="C96">
        <f>IF(Vu_khi!$O$96="SIMULTANEOUS",MAX(1,Vu_khi!$N$96),1)</f>
        <v/>
      </c>
      <c r="D96" t="n">
        <v>1</v>
      </c>
      <c r="E96">
        <f>IF(Vu_khi!$S$96&gt;0,Vu_khi!$S$96,Vu_khi!$P$96*$C$96)</f>
        <v/>
      </c>
      <c r="F96" t="n">
        <v>1</v>
      </c>
      <c r="G96">
        <f>IF(Vu_khi!$S$96&gt;0,(Vu_khi!$S$96-1)*Vu_khi!$R$96+Vu_khi!$T$96,Vu_khi!$R$96+(Vu_khi!$P$96-1)*Vu_khi!$Q$96)</f>
        <v/>
      </c>
      <c r="H96" t="n">
        <v>5.291</v>
      </c>
      <c r="I96">
        <f>Vu_khi!$W$96*MAX(1,$E$96)</f>
        <v/>
      </c>
      <c r="J96" t="n">
        <v>369</v>
      </c>
      <c r="K96">
        <f>IF(Vu_khi!$V$96&gt;0,Vu_khi!$V$96,MIN(28,MAX(10,Vu_khi!$U$96*Vu_khi!$R$96*0.4)))</f>
        <v/>
      </c>
      <c r="L96" t="n">
        <v>10</v>
      </c>
      <c r="M96">
        <f>IF(Vu_khi!$W$96&lt;=0,0,IF(Vu_khi!$U$96&gt;0,$I$96*Vu_khi!$U$96/(MAX(0.05,$G$96)*Vu_khi!$U$96+$K$96),$I$96/MAX(0.05,$G$96)))</f>
        <v/>
      </c>
      <c r="N96" t="n">
        <v>69.74106974106974</v>
      </c>
      <c r="O96">
        <f>OR(Vu_khi!$AG$96,Vu_khi!$AB$96&gt;0,Vu_khi!$AH$96,Vu_khi!$M$96="Bomb",Vu_khi!$M$96="Drone")</f>
        <v/>
      </c>
      <c r="P96" t="b">
        <v>0</v>
      </c>
      <c r="Q96">
        <f>AND(NOT(Vu_khi!$AJ$96),OR(Vu_khi!$AC$96="Ground",Vu_khi!$AC$96="All"))</f>
        <v/>
      </c>
      <c r="R96" t="b">
        <v>1</v>
      </c>
      <c r="S96">
        <f>AND(NOT(Vu_khi!$AJ$96),OR(Vu_khi!$AC$96="Air",Vu_khi!$AC$96="All"))</f>
        <v/>
      </c>
      <c r="T96" t="b">
        <v>0</v>
      </c>
      <c r="U96">
        <f>INDEX(Bang_sat_thuong!$B$2:$B$7,MATCH(Vu_khi!$K$96,Bang_sat_thuong!$A$2:$A$7,0))</f>
        <v/>
      </c>
      <c r="V96" t="n">
        <v>1</v>
      </c>
      <c r="W96">
        <f>INDEX(Bang_sat_thuong!$C$2:$C$7,MATCH(Vu_khi!$K$96,Bang_sat_thuong!$A$2:$A$7,0))</f>
        <v/>
      </c>
      <c r="X96" t="n">
        <v>0</v>
      </c>
      <c r="Y96">
        <f>IF(AND(Vu_khi!$AI$96,Vu_khi!$K$96="HighExplosive"),MAX(He_so_toan_cuc!$D$2,INDEX(Bang_sat_thuong!$D$2:$D$7,MATCH(Vu_khi!$K$96,Bang_sat_thuong!$A$2:$A$7,0))),INDEX(Bang_sat_thuong!$D$2:$D$7,MATCH(Vu_khi!$K$96,Bang_sat_thuong!$A$2:$A$7,0)))</f>
        <v/>
      </c>
      <c r="Z96" t="n">
        <v>1.5</v>
      </c>
      <c r="AA96">
        <f>INDEX(Bang_xuyen_giap!$C$2:$C$7,MIN(6,MAX(1,IF($O$96,MAX(1,2-(Vu_khi!$L$96-0)),2-(Vu_khi!$L$96-0))+1)))</f>
        <v/>
      </c>
      <c r="AB96" t="n">
        <v>1.2</v>
      </c>
      <c r="AC96">
        <f>INDEX(Bang_xuyen_giap!$C$2:$C$7,MIN(6,MAX(1,IF($O$96,MAX(1,2-(Vu_khi!$L$96-2)),2-(Vu_khi!$L$96-2))+1)))</f>
        <v/>
      </c>
      <c r="AD96" t="n">
        <v>0.85</v>
      </c>
      <c r="AE96">
        <f>INDEX(Bang_xuyen_giap!$C$2:$C$7,MIN(6,MAX(1,IF($O$96,MAX(1,2-(Vu_khi!$L$96-4)),2-(Vu_khi!$L$96-4))+1)))</f>
        <v/>
      </c>
      <c r="AF96" t="n">
        <v>0.25</v>
      </c>
      <c r="AG96">
        <f>INDEX(Bang_xuyen_giap!$C$2:$C$7,MIN(6,MAX(1,MAX(1,2-(Vu_khi!$L$96-0))+1)))</f>
        <v/>
      </c>
      <c r="AH96" t="n">
        <v>1</v>
      </c>
      <c r="AI96">
        <f>IF($Q$96,$M$96*$AA$96*$U$96,0)</f>
        <v/>
      </c>
      <c r="AJ96" t="n">
        <v>83.68928368928368</v>
      </c>
      <c r="AK96">
        <f>IF($Q$96,$M$96*$AC$96*$U$96,0)</f>
        <v/>
      </c>
      <c r="AL96" t="n">
        <v>59.27990927990928</v>
      </c>
      <c r="AM96">
        <f>IF($Q$96,$M$96*$AE$96*$U$96,0)</f>
        <v/>
      </c>
      <c r="AN96" t="n">
        <v>17.43526743526743</v>
      </c>
      <c r="AO96">
        <f>IF($Q$96,$M$96*$AC$96*$Y$96,0)</f>
        <v/>
      </c>
      <c r="AP96" t="n">
        <v>88.91986391986391</v>
      </c>
      <c r="AQ96">
        <f>IF($S$96,$M$96*$AG$96*$W$96,0)</f>
        <v/>
      </c>
      <c r="AR96" t="n">
        <v>0</v>
      </c>
      <c r="AS96">
        <f>IF(OR(Vu_khi!$M$96="Missile",Vu_khi!$M$96="Drone",AND(Vu_khi!$M$96="Rocket",OR(Vu_khi!$AM$96,Vu_khi!$D$96="guided")),Vu_khi!$AL$96,Vu_khi!$AK$96,Vu_khi!$X$96&lt;=0),FALSE,IF($B$96&gt;=0,$B$96&gt;=4,IF(Vu_khi!$M$96="Shell",Vu_khi!$AN$96&gt;=Canh_bao_vong!$D$10,IF(Vu_khi!$M$96="Bomb",Vu_khi!$AN$96&gt;=Canh_bao_vong!$D$3,IF(Vu_khi!$M$96="Rocket",Vu_khi!$AN$96&gt;=Canh_bao_vong!$D$13,FALSE)))))</f>
        <v/>
      </c>
      <c r="AT96" t="b">
        <v>0</v>
      </c>
      <c r="AU96">
        <f>IF(AND($B$96&lt;0,$AS$96),4,$B$96)</f>
        <v/>
      </c>
      <c r="AV96" t="n">
        <v>3</v>
      </c>
      <c r="AW96">
        <f>IF($AU$96&lt;4,0,MIN(MAX(0.5,Canh_bao_vong!$D$4),MAX(IF(Vu_khi!$C$96="cal_406",Canh_bao_vong!$D$7,IF($AU$96&gt;=5,Canh_bao_vong!$D$9,Canh_bao_vong!$D$8)),Canh_bao_vong!$D$2+MAX(0,Vu_khi!$X$96)/MAX(0.1,Canh_bao_vong!$D$5))))</f>
        <v/>
      </c>
      <c r="AX96" t="n">
        <v>0</v>
      </c>
      <c r="BB96" t="inlineStr">
        <is>
          <t>Assets/MachineBrigade/Resources/Data/balance.json: weapons[id=gun_105_wheeled_he] (lớp B trên 01_chien_dau/Vu_khi)</t>
        </is>
      </c>
      <c r="BC96" t="inlineStr"/>
    </row>
    <row r="97">
      <c r="A97" t="inlineStr">
        <is>
          <t>gun_120_twin</t>
        </is>
      </c>
      <c r="B97" t="n">
        <v>3</v>
      </c>
      <c r="C97">
        <f>IF(Vu_khi!$O$97="SIMULTANEOUS",MAX(1,Vu_khi!$N$97),1)</f>
        <v/>
      </c>
      <c r="D97" t="n">
        <v>1</v>
      </c>
      <c r="E97">
        <f>IF(Vu_khi!$S$97&gt;0,Vu_khi!$S$97,Vu_khi!$P$97*$C$97)</f>
        <v/>
      </c>
      <c r="F97" t="n">
        <v>2</v>
      </c>
      <c r="G97">
        <f>IF(Vu_khi!$S$97&gt;0,(Vu_khi!$S$97-1)*Vu_khi!$R$97+Vu_khi!$T$97,Vu_khi!$R$97+(Vu_khi!$P$97-1)*Vu_khi!$Q$97)</f>
        <v/>
      </c>
      <c r="H97" t="n">
        <v>7.375999999999999</v>
      </c>
      <c r="I97">
        <f>Vu_khi!$W$97*MAX(1,$E$97)</f>
        <v/>
      </c>
      <c r="J97" t="n">
        <v>686</v>
      </c>
      <c r="K97">
        <f>IF(Vu_khi!$V$97&gt;0,Vu_khi!$V$97,MIN(28,MAX(10,Vu_khi!$U$97*Vu_khi!$R$97*0.4)))</f>
        <v/>
      </c>
      <c r="L97" t="n">
        <v>10</v>
      </c>
      <c r="M97">
        <f>IF(Vu_khi!$W$97&lt;=0,0,IF(Vu_khi!$U$97&gt;0,$I$97*Vu_khi!$U$97/(MAX(0.05,$G$97)*Vu_khi!$U$97+$K$97),$I$97/MAX(0.05,$G$97)))</f>
        <v/>
      </c>
      <c r="N97" t="n">
        <v>93.00433839479393</v>
      </c>
      <c r="O97">
        <f>OR(Vu_khi!$AG$97,Vu_khi!$AB$97&gt;0,Vu_khi!$AH$97,Vu_khi!$M$97="Bomb",Vu_khi!$M$97="Drone")</f>
        <v/>
      </c>
      <c r="P97" t="b">
        <v>0</v>
      </c>
      <c r="Q97">
        <f>AND(NOT(Vu_khi!$AJ$97),OR(Vu_khi!$AC$97="Ground",Vu_khi!$AC$97="All"))</f>
        <v/>
      </c>
      <c r="R97" t="b">
        <v>1</v>
      </c>
      <c r="S97">
        <f>AND(NOT(Vu_khi!$AJ$97),OR(Vu_khi!$AC$97="Air",Vu_khi!$AC$97="All"))</f>
        <v/>
      </c>
      <c r="T97" t="b">
        <v>0</v>
      </c>
      <c r="U97">
        <f>INDEX(Bang_sat_thuong!$B$2:$B$7,MATCH(Vu_khi!$K$97,Bang_sat_thuong!$A$2:$A$7,0))</f>
        <v/>
      </c>
      <c r="V97" t="n">
        <v>1</v>
      </c>
      <c r="W97">
        <f>INDEX(Bang_sat_thuong!$C$2:$C$7,MATCH(Vu_khi!$K$97,Bang_sat_thuong!$A$2:$A$7,0))</f>
        <v/>
      </c>
      <c r="X97" t="n">
        <v>0.3</v>
      </c>
      <c r="Y97">
        <f>IF(AND(Vu_khi!$AI$97,Vu_khi!$K$97="HighExplosive"),MAX(He_so_toan_cuc!$D$2,INDEX(Bang_sat_thuong!$D$2:$D$7,MATCH(Vu_khi!$K$97,Bang_sat_thuong!$A$2:$A$7,0))),INDEX(Bang_sat_thuong!$D$2:$D$7,MATCH(Vu_khi!$K$97,Bang_sat_thuong!$A$2:$A$7,0)))</f>
        <v/>
      </c>
      <c r="Z97" t="n">
        <v>0.6</v>
      </c>
      <c r="AA97">
        <f>INDEX(Bang_xuyen_giap!$C$2:$C$7,MIN(6,MAX(1,IF($O$97,MAX(1,2-(Vu_khi!$L$97-0)),2-(Vu_khi!$L$97-0))+1)))</f>
        <v/>
      </c>
      <c r="AB97" t="n">
        <v>1.2</v>
      </c>
      <c r="AC97">
        <f>INDEX(Bang_xuyen_giap!$C$2:$C$7,MIN(6,MAX(1,IF($O$97,MAX(1,2-(Vu_khi!$L$97-2)),2-(Vu_khi!$L$97-2))+1)))</f>
        <v/>
      </c>
      <c r="AD97" t="n">
        <v>1.2</v>
      </c>
      <c r="AE97">
        <f>INDEX(Bang_xuyen_giap!$C$2:$C$7,MIN(6,MAX(1,IF($O$97,MAX(1,2-(Vu_khi!$L$97-4)),2-(Vu_khi!$L$97-4))+1)))</f>
        <v/>
      </c>
      <c r="AF97" t="n">
        <v>0.85</v>
      </c>
      <c r="AG97">
        <f>INDEX(Bang_xuyen_giap!$C$2:$C$7,MIN(6,MAX(1,MAX(1,2-(Vu_khi!$L$97-0))+1)))</f>
        <v/>
      </c>
      <c r="AH97" t="n">
        <v>1</v>
      </c>
      <c r="AI97">
        <f>IF($Q$97,$M$97*$AA$97*$U$97,0)</f>
        <v/>
      </c>
      <c r="AJ97" t="n">
        <v>111.6052060737527</v>
      </c>
      <c r="AK97">
        <f>IF($Q$97,$M$97*$AC$97*$U$97,0)</f>
        <v/>
      </c>
      <c r="AL97" t="n">
        <v>111.6052060737527</v>
      </c>
      <c r="AM97">
        <f>IF($Q$97,$M$97*$AE$97*$U$97,0)</f>
        <v/>
      </c>
      <c r="AN97" t="n">
        <v>79.05368763557485</v>
      </c>
      <c r="AO97">
        <f>IF($Q$97,$M$97*$AC$97*$Y$97,0)</f>
        <v/>
      </c>
      <c r="AP97" t="n">
        <v>66.96312364425162</v>
      </c>
      <c r="AQ97">
        <f>IF($S$97,$M$97*$AG$97*$W$97,0)</f>
        <v/>
      </c>
      <c r="AR97" t="n">
        <v>0</v>
      </c>
      <c r="AS97">
        <f>IF(OR(Vu_khi!$M$97="Missile",Vu_khi!$M$97="Drone",AND(Vu_khi!$M$97="Rocket",OR(Vu_khi!$AM$97,Vu_khi!$D$97="guided")),Vu_khi!$AL$97,Vu_khi!$AK$97,Vu_khi!$X$97&lt;=0),FALSE,IF($B$97&gt;=0,$B$97&gt;=4,IF(Vu_khi!$M$97="Shell",Vu_khi!$AN$97&gt;=Canh_bao_vong!$D$10,IF(Vu_khi!$M$97="Bomb",Vu_khi!$AN$97&gt;=Canh_bao_vong!$D$3,IF(Vu_khi!$M$97="Rocket",Vu_khi!$AN$97&gt;=Canh_bao_vong!$D$13,FALSE)))))</f>
        <v/>
      </c>
      <c r="AT97" t="b">
        <v>0</v>
      </c>
      <c r="AU97">
        <f>IF(AND($B$97&lt;0,$AS$97),4,$B$97)</f>
        <v/>
      </c>
      <c r="AV97" t="n">
        <v>3</v>
      </c>
      <c r="AW97">
        <f>IF($AU$97&lt;4,0,MIN(MAX(0.5,Canh_bao_vong!$D$4),MAX(IF(Vu_khi!$C$97="cal_406",Canh_bao_vong!$D$7,IF($AU$97&gt;=5,Canh_bao_vong!$D$9,Canh_bao_vong!$D$8)),Canh_bao_vong!$D$2+MAX(0,Vu_khi!$X$97)/MAX(0.1,Canh_bao_vong!$D$5))))</f>
        <v/>
      </c>
      <c r="AX97" t="n">
        <v>0</v>
      </c>
      <c r="AY97" t="n">
        <v>0.688427</v>
      </c>
      <c r="AZ97" t="inlineStr">
        <is>
          <t>LECH_DOT_1</t>
        </is>
      </c>
      <c r="BA97" t="inlineStr"/>
      <c r="BB97" t="inlineStr">
        <is>
          <t>Assets/MachineBrigade/Resources/Data/balance.json: weapons[id=gun_120_twin] (lớp B trên 01_chien_dau/Vu_khi)</t>
        </is>
      </c>
      <c r="BC97" t="inlineStr"/>
    </row>
    <row r="98">
      <c r="A98" t="inlineStr">
        <is>
          <t>gun_120_twin_he</t>
        </is>
      </c>
      <c r="B98" t="n">
        <v>3</v>
      </c>
      <c r="C98">
        <f>IF(Vu_khi!$O$98="SIMULTANEOUS",MAX(1,Vu_khi!$N$98),1)</f>
        <v/>
      </c>
      <c r="D98" t="n">
        <v>1</v>
      </c>
      <c r="E98">
        <f>IF(Vu_khi!$S$98&gt;0,Vu_khi!$S$98,Vu_khi!$P$98*$C$98)</f>
        <v/>
      </c>
      <c r="F98" t="n">
        <v>2</v>
      </c>
      <c r="G98">
        <f>IF(Vu_khi!$S$98&gt;0,(Vu_khi!$S$98-1)*Vu_khi!$R$98+Vu_khi!$T$98,Vu_khi!$R$98+(Vu_khi!$P$98-1)*Vu_khi!$Q$98)</f>
        <v/>
      </c>
      <c r="H98" t="n">
        <v>7.375999999999999</v>
      </c>
      <c r="I98">
        <f>Vu_khi!$W$98*MAX(1,$E$98)</f>
        <v/>
      </c>
      <c r="J98" t="n">
        <v>686</v>
      </c>
      <c r="K98">
        <f>IF(Vu_khi!$V$98&gt;0,Vu_khi!$V$98,MIN(28,MAX(10,Vu_khi!$U$98*Vu_khi!$R$98*0.4)))</f>
        <v/>
      </c>
      <c r="L98" t="n">
        <v>10</v>
      </c>
      <c r="M98">
        <f>IF(Vu_khi!$W$98&lt;=0,0,IF(Vu_khi!$U$98&gt;0,$I$98*Vu_khi!$U$98/(MAX(0.05,$G$98)*Vu_khi!$U$98+$K$98),$I$98/MAX(0.05,$G$98)))</f>
        <v/>
      </c>
      <c r="N98" t="n">
        <v>93.00433839479393</v>
      </c>
      <c r="O98">
        <f>OR(Vu_khi!$AG$98,Vu_khi!$AB$98&gt;0,Vu_khi!$AH$98,Vu_khi!$M$98="Bomb",Vu_khi!$M$98="Drone")</f>
        <v/>
      </c>
      <c r="P98" t="b">
        <v>0</v>
      </c>
      <c r="Q98">
        <f>AND(NOT(Vu_khi!$AJ$98),OR(Vu_khi!$AC$98="Ground",Vu_khi!$AC$98="All"))</f>
        <v/>
      </c>
      <c r="R98" t="b">
        <v>1</v>
      </c>
      <c r="S98">
        <f>AND(NOT(Vu_khi!$AJ$98),OR(Vu_khi!$AC$98="Air",Vu_khi!$AC$98="All"))</f>
        <v/>
      </c>
      <c r="T98" t="b">
        <v>0</v>
      </c>
      <c r="U98">
        <f>INDEX(Bang_sat_thuong!$B$2:$B$7,MATCH(Vu_khi!$K$98,Bang_sat_thuong!$A$2:$A$7,0))</f>
        <v/>
      </c>
      <c r="V98" t="n">
        <v>1</v>
      </c>
      <c r="W98">
        <f>INDEX(Bang_sat_thuong!$C$2:$C$7,MATCH(Vu_khi!$K$98,Bang_sat_thuong!$A$2:$A$7,0))</f>
        <v/>
      </c>
      <c r="X98" t="n">
        <v>0</v>
      </c>
      <c r="Y98">
        <f>IF(AND(Vu_khi!$AI$98,Vu_khi!$K$98="HighExplosive"),MAX(He_so_toan_cuc!$D$2,INDEX(Bang_sat_thuong!$D$2:$D$7,MATCH(Vu_khi!$K$98,Bang_sat_thuong!$A$2:$A$7,0))),INDEX(Bang_sat_thuong!$D$2:$D$7,MATCH(Vu_khi!$K$98,Bang_sat_thuong!$A$2:$A$7,0)))</f>
        <v/>
      </c>
      <c r="Z98" t="n">
        <v>1.5</v>
      </c>
      <c r="AA98">
        <f>INDEX(Bang_xuyen_giap!$C$2:$C$7,MIN(6,MAX(1,IF($O$98,MAX(1,2-(Vu_khi!$L$98-0)),2-(Vu_khi!$L$98-0))+1)))</f>
        <v/>
      </c>
      <c r="AB98" t="n">
        <v>1.2</v>
      </c>
      <c r="AC98">
        <f>INDEX(Bang_xuyen_giap!$C$2:$C$7,MIN(6,MAX(1,IF($O$98,MAX(1,2-(Vu_khi!$L$98-2)),2-(Vu_khi!$L$98-2))+1)))</f>
        <v/>
      </c>
      <c r="AD98" t="n">
        <v>0.85</v>
      </c>
      <c r="AE98">
        <f>INDEX(Bang_xuyen_giap!$C$2:$C$7,MIN(6,MAX(1,IF($O$98,MAX(1,2-(Vu_khi!$L$98-4)),2-(Vu_khi!$L$98-4))+1)))</f>
        <v/>
      </c>
      <c r="AF98" t="n">
        <v>0.25</v>
      </c>
      <c r="AG98">
        <f>INDEX(Bang_xuyen_giap!$C$2:$C$7,MIN(6,MAX(1,MAX(1,2-(Vu_khi!$L$98-0))+1)))</f>
        <v/>
      </c>
      <c r="AH98" t="n">
        <v>1</v>
      </c>
      <c r="AI98">
        <f>IF($Q$98,$M$98*$AA$98*$U$98,0)</f>
        <v/>
      </c>
      <c r="AJ98" t="n">
        <v>111.6052060737527</v>
      </c>
      <c r="AK98">
        <f>IF($Q$98,$M$98*$AC$98*$U$98,0)</f>
        <v/>
      </c>
      <c r="AL98" t="n">
        <v>79.05368763557485</v>
      </c>
      <c r="AM98">
        <f>IF($Q$98,$M$98*$AE$98*$U$98,0)</f>
        <v/>
      </c>
      <c r="AN98" t="n">
        <v>23.25108459869848</v>
      </c>
      <c r="AO98">
        <f>IF($Q$98,$M$98*$AC$98*$Y$98,0)</f>
        <v/>
      </c>
      <c r="AP98" t="n">
        <v>118.5805314533623</v>
      </c>
      <c r="AQ98">
        <f>IF($S$98,$M$98*$AG$98*$W$98,0)</f>
        <v/>
      </c>
      <c r="AR98" t="n">
        <v>0</v>
      </c>
      <c r="AS98">
        <f>IF(OR(Vu_khi!$M$98="Missile",Vu_khi!$M$98="Drone",AND(Vu_khi!$M$98="Rocket",OR(Vu_khi!$AM$98,Vu_khi!$D$98="guided")),Vu_khi!$AL$98,Vu_khi!$AK$98,Vu_khi!$X$98&lt;=0),FALSE,IF($B$98&gt;=0,$B$98&gt;=4,IF(Vu_khi!$M$98="Shell",Vu_khi!$AN$98&gt;=Canh_bao_vong!$D$10,IF(Vu_khi!$M$98="Bomb",Vu_khi!$AN$98&gt;=Canh_bao_vong!$D$3,IF(Vu_khi!$M$98="Rocket",Vu_khi!$AN$98&gt;=Canh_bao_vong!$D$13,FALSE)))))</f>
        <v/>
      </c>
      <c r="AT98" t="b">
        <v>0</v>
      </c>
      <c r="AU98">
        <f>IF(AND($B$98&lt;0,$AS$98),4,$B$98)</f>
        <v/>
      </c>
      <c r="AV98" t="n">
        <v>3</v>
      </c>
      <c r="AW98">
        <f>IF($AU$98&lt;4,0,MIN(MAX(0.5,Canh_bao_vong!$D$4),MAX(IF(Vu_khi!$C$98="cal_406",Canh_bao_vong!$D$7,IF($AU$98&gt;=5,Canh_bao_vong!$D$9,Canh_bao_vong!$D$8)),Canh_bao_vong!$D$2+MAX(0,Vu_khi!$X$98)/MAX(0.1,Canh_bao_vong!$D$5))))</f>
        <v/>
      </c>
      <c r="AX98" t="n">
        <v>0</v>
      </c>
      <c r="BB98" t="inlineStr">
        <is>
          <t>Assets/MachineBrigade/Resources/Data/balance.json: weapons[id=gun_120_twin_he] (lớp B trên 01_chien_dau/Vu_khi)</t>
        </is>
      </c>
      <c r="BC98" t="inlineStr"/>
    </row>
    <row r="99">
      <c r="A99" t="inlineStr">
        <is>
          <t>gun_120mm</t>
        </is>
      </c>
      <c r="B99" t="n">
        <v>3</v>
      </c>
      <c r="C99">
        <f>IF(Vu_khi!$O$99="SIMULTANEOUS",MAX(1,Vu_khi!$N$99),1)</f>
        <v/>
      </c>
      <c r="D99" t="n">
        <v>1</v>
      </c>
      <c r="E99">
        <f>IF(Vu_khi!$S$99&gt;0,Vu_khi!$S$99,Vu_khi!$P$99*$C$99)</f>
        <v/>
      </c>
      <c r="F99" t="n">
        <v>1</v>
      </c>
      <c r="G99">
        <f>IF(Vu_khi!$S$99&gt;0,(Vu_khi!$S$99-1)*Vu_khi!$R$99+Vu_khi!$T$99,Vu_khi!$R$99+(Vu_khi!$P$99-1)*Vu_khi!$Q$99)</f>
        <v/>
      </c>
      <c r="H99" t="n">
        <v>7.283</v>
      </c>
      <c r="I99">
        <f>Vu_khi!$W$99*MAX(1,$E$99)</f>
        <v/>
      </c>
      <c r="J99" t="n">
        <v>343</v>
      </c>
      <c r="K99">
        <f>IF(Vu_khi!$V$99&gt;0,Vu_khi!$V$99,MIN(28,MAX(10,Vu_khi!$U$99*Vu_khi!$R$99*0.4)))</f>
        <v/>
      </c>
      <c r="L99" t="n">
        <v>10</v>
      </c>
      <c r="M99">
        <f>IF(Vu_khi!$W$99&lt;=0,0,IF(Vu_khi!$U$99&gt;0,$I$99*Vu_khi!$U$99/(MAX(0.05,$G$99)*Vu_khi!$U$99+$K$99),$I$99/MAX(0.05,$G$99)))</f>
        <v/>
      </c>
      <c r="N99" t="n">
        <v>47.09597693258272</v>
      </c>
      <c r="O99">
        <f>OR(Vu_khi!$AG$99,Vu_khi!$AB$99&gt;0,Vu_khi!$AH$99,Vu_khi!$M$99="Bomb",Vu_khi!$M$99="Drone")</f>
        <v/>
      </c>
      <c r="P99" t="b">
        <v>0</v>
      </c>
      <c r="Q99">
        <f>AND(NOT(Vu_khi!$AJ$99),OR(Vu_khi!$AC$99="Ground",Vu_khi!$AC$99="All"))</f>
        <v/>
      </c>
      <c r="R99" t="b">
        <v>1</v>
      </c>
      <c r="S99">
        <f>AND(NOT(Vu_khi!$AJ$99),OR(Vu_khi!$AC$99="Air",Vu_khi!$AC$99="All"))</f>
        <v/>
      </c>
      <c r="T99" t="b">
        <v>0</v>
      </c>
      <c r="U99">
        <f>INDEX(Bang_sat_thuong!$B$2:$B$7,MATCH(Vu_khi!$K$99,Bang_sat_thuong!$A$2:$A$7,0))</f>
        <v/>
      </c>
      <c r="V99" t="n">
        <v>1</v>
      </c>
      <c r="W99">
        <f>INDEX(Bang_sat_thuong!$C$2:$C$7,MATCH(Vu_khi!$K$99,Bang_sat_thuong!$A$2:$A$7,0))</f>
        <v/>
      </c>
      <c r="X99" t="n">
        <v>0.3</v>
      </c>
      <c r="Y99">
        <f>IF(AND(Vu_khi!$AI$99,Vu_khi!$K$99="HighExplosive"),MAX(He_so_toan_cuc!$D$2,INDEX(Bang_sat_thuong!$D$2:$D$7,MATCH(Vu_khi!$K$99,Bang_sat_thuong!$A$2:$A$7,0))),INDEX(Bang_sat_thuong!$D$2:$D$7,MATCH(Vu_khi!$K$99,Bang_sat_thuong!$A$2:$A$7,0)))</f>
        <v/>
      </c>
      <c r="Z99" t="n">
        <v>0.6</v>
      </c>
      <c r="AA99">
        <f>INDEX(Bang_xuyen_giap!$C$2:$C$7,MIN(6,MAX(1,IF($O$99,MAX(1,2-(Vu_khi!$L$99-0)),2-(Vu_khi!$L$99-0))+1)))</f>
        <v/>
      </c>
      <c r="AB99" t="n">
        <v>1.2</v>
      </c>
      <c r="AC99">
        <f>INDEX(Bang_xuyen_giap!$C$2:$C$7,MIN(6,MAX(1,IF($O$99,MAX(1,2-(Vu_khi!$L$99-2)),2-(Vu_khi!$L$99-2))+1)))</f>
        <v/>
      </c>
      <c r="AD99" t="n">
        <v>1.2</v>
      </c>
      <c r="AE99">
        <f>INDEX(Bang_xuyen_giap!$C$2:$C$7,MIN(6,MAX(1,IF($O$99,MAX(1,2-(Vu_khi!$L$99-4)),2-(Vu_khi!$L$99-4))+1)))</f>
        <v/>
      </c>
      <c r="AF99" t="n">
        <v>0.85</v>
      </c>
      <c r="AG99">
        <f>INDEX(Bang_xuyen_giap!$C$2:$C$7,MIN(6,MAX(1,MAX(1,2-(Vu_khi!$L$99-0))+1)))</f>
        <v/>
      </c>
      <c r="AH99" t="n">
        <v>1</v>
      </c>
      <c r="AI99">
        <f>IF($Q$99,$M$99*$AA$99*$U$99,0)</f>
        <v/>
      </c>
      <c r="AJ99" t="n">
        <v>56.51517231909926</v>
      </c>
      <c r="AK99">
        <f>IF($Q$99,$M$99*$AC$99*$U$99,0)</f>
        <v/>
      </c>
      <c r="AL99" t="n">
        <v>56.51517231909926</v>
      </c>
      <c r="AM99">
        <f>IF($Q$99,$M$99*$AE$99*$U$99,0)</f>
        <v/>
      </c>
      <c r="AN99" t="n">
        <v>40.03158039269531</v>
      </c>
      <c r="AO99">
        <f>IF($Q$99,$M$99*$AC$99*$Y$99,0)</f>
        <v/>
      </c>
      <c r="AP99" t="n">
        <v>33.90910339145956</v>
      </c>
      <c r="AQ99">
        <f>IF($S$99,$M$99*$AG$99*$W$99,0)</f>
        <v/>
      </c>
      <c r="AR99" t="n">
        <v>0</v>
      </c>
      <c r="AS99">
        <f>IF(OR(Vu_khi!$M$99="Missile",Vu_khi!$M$99="Drone",AND(Vu_khi!$M$99="Rocket",OR(Vu_khi!$AM$99,Vu_khi!$D$99="guided")),Vu_khi!$AL$99,Vu_khi!$AK$99,Vu_khi!$X$99&lt;=0),FALSE,IF($B$99&gt;=0,$B$99&gt;=4,IF(Vu_khi!$M$99="Shell",Vu_khi!$AN$99&gt;=Canh_bao_vong!$D$10,IF(Vu_khi!$M$99="Bomb",Vu_khi!$AN$99&gt;=Canh_bao_vong!$D$3,IF(Vu_khi!$M$99="Rocket",Vu_khi!$AN$99&gt;=Canh_bao_vong!$D$13,FALSE)))))</f>
        <v/>
      </c>
      <c r="AT99" t="b">
        <v>0</v>
      </c>
      <c r="AU99">
        <f>IF(AND($B$99&lt;0,$AS$99),4,$B$99)</f>
        <v/>
      </c>
      <c r="AV99" t="n">
        <v>3</v>
      </c>
      <c r="AW99">
        <f>IF($AU$99&lt;4,0,MIN(MAX(0.5,Canh_bao_vong!$D$4),MAX(IF(Vu_khi!$C$99="cal_406",Canh_bao_vong!$D$7,IF($AU$99&gt;=5,Canh_bao_vong!$D$9,Canh_bao_vong!$D$8)),Canh_bao_vong!$D$2+MAX(0,Vu_khi!$X$99)/MAX(0.1,Canh_bao_vong!$D$5))))</f>
        <v/>
      </c>
      <c r="AX99" t="n">
        <v>0</v>
      </c>
      <c r="AY99" t="n">
        <v>0.679747</v>
      </c>
      <c r="AZ99" t="inlineStr">
        <is>
          <t>LECH_DOT_1</t>
        </is>
      </c>
      <c r="BA99" t="inlineStr"/>
      <c r="BB99" t="inlineStr">
        <is>
          <t>Assets/MachineBrigade/Resources/Data/balance.json: weapons[id=gun_120mm] (lớp B trên 01_chien_dau/Vu_khi)</t>
        </is>
      </c>
      <c r="BC99" t="inlineStr"/>
    </row>
    <row r="100">
      <c r="A100" t="inlineStr">
        <is>
          <t>gun_120mm_he</t>
        </is>
      </c>
      <c r="B100" t="n">
        <v>3</v>
      </c>
      <c r="C100">
        <f>IF(Vu_khi!$O$100="SIMULTANEOUS",MAX(1,Vu_khi!$N$100),1)</f>
        <v/>
      </c>
      <c r="D100" t="n">
        <v>1</v>
      </c>
      <c r="E100">
        <f>IF(Vu_khi!$S$100&gt;0,Vu_khi!$S$100,Vu_khi!$P$100*$C$100)</f>
        <v/>
      </c>
      <c r="F100" t="n">
        <v>1</v>
      </c>
      <c r="G100">
        <f>IF(Vu_khi!$S$100&gt;0,(Vu_khi!$S$100-1)*Vu_khi!$R$100+Vu_khi!$T$100,Vu_khi!$R$100+(Vu_khi!$P$100-1)*Vu_khi!$Q$100)</f>
        <v/>
      </c>
      <c r="H100" t="n">
        <v>7.283</v>
      </c>
      <c r="I100">
        <f>Vu_khi!$W$100*MAX(1,$E$100)</f>
        <v/>
      </c>
      <c r="J100" t="n">
        <v>343</v>
      </c>
      <c r="K100">
        <f>IF(Vu_khi!$V$100&gt;0,Vu_khi!$V$100,MIN(28,MAX(10,Vu_khi!$U$100*Vu_khi!$R$100*0.4)))</f>
        <v/>
      </c>
      <c r="L100" t="n">
        <v>10</v>
      </c>
      <c r="M100">
        <f>IF(Vu_khi!$W$100&lt;=0,0,IF(Vu_khi!$U$100&gt;0,$I$100*Vu_khi!$U$100/(MAX(0.05,$G$100)*Vu_khi!$U$100+$K$100),$I$100/MAX(0.05,$G$100)))</f>
        <v/>
      </c>
      <c r="N100" t="n">
        <v>47.09597693258272</v>
      </c>
      <c r="O100">
        <f>OR(Vu_khi!$AG$100,Vu_khi!$AB$100&gt;0,Vu_khi!$AH$100,Vu_khi!$M$100="Bomb",Vu_khi!$M$100="Drone")</f>
        <v/>
      </c>
      <c r="P100" t="b">
        <v>0</v>
      </c>
      <c r="Q100">
        <f>AND(NOT(Vu_khi!$AJ$100),OR(Vu_khi!$AC$100="Ground",Vu_khi!$AC$100="All"))</f>
        <v/>
      </c>
      <c r="R100" t="b">
        <v>1</v>
      </c>
      <c r="S100">
        <f>AND(NOT(Vu_khi!$AJ$100),OR(Vu_khi!$AC$100="Air",Vu_khi!$AC$100="All"))</f>
        <v/>
      </c>
      <c r="T100" t="b">
        <v>0</v>
      </c>
      <c r="U100">
        <f>INDEX(Bang_sat_thuong!$B$2:$B$7,MATCH(Vu_khi!$K$100,Bang_sat_thuong!$A$2:$A$7,0))</f>
        <v/>
      </c>
      <c r="V100" t="n">
        <v>1</v>
      </c>
      <c r="W100">
        <f>INDEX(Bang_sat_thuong!$C$2:$C$7,MATCH(Vu_khi!$K$100,Bang_sat_thuong!$A$2:$A$7,0))</f>
        <v/>
      </c>
      <c r="X100" t="n">
        <v>0</v>
      </c>
      <c r="Y100">
        <f>IF(AND(Vu_khi!$AI$100,Vu_khi!$K$100="HighExplosive"),MAX(He_so_toan_cuc!$D$2,INDEX(Bang_sat_thuong!$D$2:$D$7,MATCH(Vu_khi!$K$100,Bang_sat_thuong!$A$2:$A$7,0))),INDEX(Bang_sat_thuong!$D$2:$D$7,MATCH(Vu_khi!$K$100,Bang_sat_thuong!$A$2:$A$7,0)))</f>
        <v/>
      </c>
      <c r="Z100" t="n">
        <v>1.5</v>
      </c>
      <c r="AA100">
        <f>INDEX(Bang_xuyen_giap!$C$2:$C$7,MIN(6,MAX(1,IF($O$100,MAX(1,2-(Vu_khi!$L$100-0)),2-(Vu_khi!$L$100-0))+1)))</f>
        <v/>
      </c>
      <c r="AB100" t="n">
        <v>1.2</v>
      </c>
      <c r="AC100">
        <f>INDEX(Bang_xuyen_giap!$C$2:$C$7,MIN(6,MAX(1,IF($O$100,MAX(1,2-(Vu_khi!$L$100-2)),2-(Vu_khi!$L$100-2))+1)))</f>
        <v/>
      </c>
      <c r="AD100" t="n">
        <v>0.85</v>
      </c>
      <c r="AE100">
        <f>INDEX(Bang_xuyen_giap!$C$2:$C$7,MIN(6,MAX(1,IF($O$100,MAX(1,2-(Vu_khi!$L$100-4)),2-(Vu_khi!$L$100-4))+1)))</f>
        <v/>
      </c>
      <c r="AF100" t="n">
        <v>0.25</v>
      </c>
      <c r="AG100">
        <f>INDEX(Bang_xuyen_giap!$C$2:$C$7,MIN(6,MAX(1,MAX(1,2-(Vu_khi!$L$100-0))+1)))</f>
        <v/>
      </c>
      <c r="AH100" t="n">
        <v>1</v>
      </c>
      <c r="AI100">
        <f>IF($Q$100,$M$100*$AA$100*$U$100,0)</f>
        <v/>
      </c>
      <c r="AJ100" t="n">
        <v>56.51517231909926</v>
      </c>
      <c r="AK100">
        <f>IF($Q$100,$M$100*$AC$100*$U$100,0)</f>
        <v/>
      </c>
      <c r="AL100" t="n">
        <v>40.03158039269531</v>
      </c>
      <c r="AM100">
        <f>IF($Q$100,$M$100*$AE$100*$U$100,0)</f>
        <v/>
      </c>
      <c r="AN100" t="n">
        <v>11.77399423314568</v>
      </c>
      <c r="AO100">
        <f>IF($Q$100,$M$100*$AC$100*$Y$100,0)</f>
        <v/>
      </c>
      <c r="AP100" t="n">
        <v>60.04737058904297</v>
      </c>
      <c r="AQ100">
        <f>IF($S$100,$M$100*$AG$100*$W$100,0)</f>
        <v/>
      </c>
      <c r="AR100" t="n">
        <v>0</v>
      </c>
      <c r="AS100">
        <f>IF(OR(Vu_khi!$M$100="Missile",Vu_khi!$M$100="Drone",AND(Vu_khi!$M$100="Rocket",OR(Vu_khi!$AM$100,Vu_khi!$D$100="guided")),Vu_khi!$AL$100,Vu_khi!$AK$100,Vu_khi!$X$100&lt;=0),FALSE,IF($B$100&gt;=0,$B$100&gt;=4,IF(Vu_khi!$M$100="Shell",Vu_khi!$AN$100&gt;=Canh_bao_vong!$D$10,IF(Vu_khi!$M$100="Bomb",Vu_khi!$AN$100&gt;=Canh_bao_vong!$D$3,IF(Vu_khi!$M$100="Rocket",Vu_khi!$AN$100&gt;=Canh_bao_vong!$D$13,FALSE)))))</f>
        <v/>
      </c>
      <c r="AT100" t="b">
        <v>0</v>
      </c>
      <c r="AU100">
        <f>IF(AND($B$100&lt;0,$AS$100),4,$B$100)</f>
        <v/>
      </c>
      <c r="AV100" t="n">
        <v>3</v>
      </c>
      <c r="AW100">
        <f>IF($AU$100&lt;4,0,MIN(MAX(0.5,Canh_bao_vong!$D$4),MAX(IF(Vu_khi!$C$100="cal_406",Canh_bao_vong!$D$7,IF($AU$100&gt;=5,Canh_bao_vong!$D$9,Canh_bao_vong!$D$8)),Canh_bao_vong!$D$2+MAX(0,Vu_khi!$X$100)/MAX(0.1,Canh_bao_vong!$D$5))))</f>
        <v/>
      </c>
      <c r="AX100" t="n">
        <v>0</v>
      </c>
      <c r="BB100" t="inlineStr">
        <is>
          <t>Assets/MachineBrigade/Resources/Data/balance.json: weapons[id=gun_120mm_he] (lớp B trên 01_chien_dau/Vu_khi)</t>
        </is>
      </c>
      <c r="BC100" t="inlineStr"/>
    </row>
    <row r="101">
      <c r="A101" t="inlineStr">
        <is>
          <t>gun_125_armata_ke</t>
        </is>
      </c>
      <c r="B101" t="n">
        <v>3</v>
      </c>
      <c r="C101">
        <f>IF(Vu_khi!$O$101="SIMULTANEOUS",MAX(1,Vu_khi!$N$101),1)</f>
        <v/>
      </c>
      <c r="D101" t="n">
        <v>1</v>
      </c>
      <c r="E101">
        <f>IF(Vu_khi!$S$101&gt;0,Vu_khi!$S$101,Vu_khi!$P$101*$C$101)</f>
        <v/>
      </c>
      <c r="F101" t="n">
        <v>1</v>
      </c>
      <c r="G101">
        <f>IF(Vu_khi!$S$101&gt;0,(Vu_khi!$S$101-1)*Vu_khi!$R$101+Vu_khi!$T$101,Vu_khi!$R$101+(Vu_khi!$P$101-1)*Vu_khi!$Q$101)</f>
        <v/>
      </c>
      <c r="H101" t="n">
        <v>7.143</v>
      </c>
      <c r="I101">
        <f>Vu_khi!$W$101*MAX(1,$E$101)</f>
        <v/>
      </c>
      <c r="J101" t="n">
        <v>371</v>
      </c>
      <c r="K101">
        <f>IF(Vu_khi!$V$101&gt;0,Vu_khi!$V$101,MIN(28,MAX(10,Vu_khi!$U$101*Vu_khi!$R$101*0.4)))</f>
        <v/>
      </c>
      <c r="L101" t="n">
        <v>10</v>
      </c>
      <c r="M101">
        <f>IF(Vu_khi!$W$101&lt;=0,0,IF(Vu_khi!$U$101&gt;0,$I$101*Vu_khi!$U$101/(MAX(0.05,$G$101)*Vu_khi!$U$101+$K$101),$I$101/MAX(0.05,$G$101)))</f>
        <v/>
      </c>
      <c r="N101" t="n">
        <v>51.93896122077559</v>
      </c>
      <c r="O101">
        <f>OR(Vu_khi!$AG$101,Vu_khi!$AB$101&gt;0,Vu_khi!$AH$101,Vu_khi!$M$101="Bomb",Vu_khi!$M$101="Drone")</f>
        <v/>
      </c>
      <c r="P101" t="b">
        <v>0</v>
      </c>
      <c r="Q101">
        <f>AND(NOT(Vu_khi!$AJ$101),OR(Vu_khi!$AC$101="Ground",Vu_khi!$AC$101="All"))</f>
        <v/>
      </c>
      <c r="R101" t="b">
        <v>1</v>
      </c>
      <c r="S101">
        <f>AND(NOT(Vu_khi!$AJ$101),OR(Vu_khi!$AC$101="Air",Vu_khi!$AC$101="All"))</f>
        <v/>
      </c>
      <c r="T101" t="b">
        <v>1</v>
      </c>
      <c r="U101">
        <f>INDEX(Bang_sat_thuong!$B$2:$B$7,MATCH(Vu_khi!$K$101,Bang_sat_thuong!$A$2:$A$7,0))</f>
        <v/>
      </c>
      <c r="V101" t="n">
        <v>1</v>
      </c>
      <c r="W101">
        <f>INDEX(Bang_sat_thuong!$C$2:$C$7,MATCH(Vu_khi!$K$101,Bang_sat_thuong!$A$2:$A$7,0))</f>
        <v/>
      </c>
      <c r="X101" t="n">
        <v>0.3</v>
      </c>
      <c r="Y101">
        <f>IF(AND(Vu_khi!$AI$101,Vu_khi!$K$101="HighExplosive"),MAX(He_so_toan_cuc!$D$2,INDEX(Bang_sat_thuong!$D$2:$D$7,MATCH(Vu_khi!$K$101,Bang_sat_thuong!$A$2:$A$7,0))),INDEX(Bang_sat_thuong!$D$2:$D$7,MATCH(Vu_khi!$K$101,Bang_sat_thuong!$A$2:$A$7,0)))</f>
        <v/>
      </c>
      <c r="Z101" t="n">
        <v>0.6</v>
      </c>
      <c r="AA101">
        <f>INDEX(Bang_xuyen_giap!$C$2:$C$7,MIN(6,MAX(1,IF($O$101,MAX(1,2-(Vu_khi!$L$101-0)),2-(Vu_khi!$L$101-0))+1)))</f>
        <v/>
      </c>
      <c r="AB101" t="n">
        <v>1.2</v>
      </c>
      <c r="AC101">
        <f>INDEX(Bang_xuyen_giap!$C$2:$C$7,MIN(6,MAX(1,IF($O$101,MAX(1,2-(Vu_khi!$L$101-2)),2-(Vu_khi!$L$101-2))+1)))</f>
        <v/>
      </c>
      <c r="AD101" t="n">
        <v>1.2</v>
      </c>
      <c r="AE101">
        <f>INDEX(Bang_xuyen_giap!$C$2:$C$7,MIN(6,MAX(1,IF($O$101,MAX(1,2-(Vu_khi!$L$101-4)),2-(Vu_khi!$L$101-4))+1)))</f>
        <v/>
      </c>
      <c r="AF101" t="n">
        <v>0.85</v>
      </c>
      <c r="AG101">
        <f>INDEX(Bang_xuyen_giap!$C$2:$C$7,MIN(6,MAX(1,MAX(1,2-(Vu_khi!$L$101-0))+1)))</f>
        <v/>
      </c>
      <c r="AH101" t="n">
        <v>1</v>
      </c>
      <c r="AI101">
        <f>IF($Q$101,$M$101*$AA$101*$U$101,0)</f>
        <v/>
      </c>
      <c r="AJ101" t="n">
        <v>62.3267534649307</v>
      </c>
      <c r="AK101">
        <f>IF($Q$101,$M$101*$AC$101*$U$101,0)</f>
        <v/>
      </c>
      <c r="AL101" t="n">
        <v>62.3267534649307</v>
      </c>
      <c r="AM101">
        <f>IF($Q$101,$M$101*$AE$101*$U$101,0)</f>
        <v/>
      </c>
      <c r="AN101" t="n">
        <v>44.14811703765925</v>
      </c>
      <c r="AO101">
        <f>IF($Q$101,$M$101*$AC$101*$Y$101,0)</f>
        <v/>
      </c>
      <c r="AP101" t="n">
        <v>37.39605207895842</v>
      </c>
      <c r="AQ101">
        <f>IF($S$101,$M$101*$AG$101*$W$101,0)</f>
        <v/>
      </c>
      <c r="AR101" t="n">
        <v>15.58168836623268</v>
      </c>
      <c r="AS101">
        <f>IF(OR(Vu_khi!$M$101="Missile",Vu_khi!$M$101="Drone",AND(Vu_khi!$M$101="Rocket",OR(Vu_khi!$AM$101,Vu_khi!$D$101="guided")),Vu_khi!$AL$101,Vu_khi!$AK$101,Vu_khi!$X$101&lt;=0),FALSE,IF($B$101&gt;=0,$B$101&gt;=4,IF(Vu_khi!$M$101="Shell",Vu_khi!$AN$101&gt;=Canh_bao_vong!$D$10,IF(Vu_khi!$M$101="Bomb",Vu_khi!$AN$101&gt;=Canh_bao_vong!$D$3,IF(Vu_khi!$M$101="Rocket",Vu_khi!$AN$101&gt;=Canh_bao_vong!$D$13,FALSE)))))</f>
        <v/>
      </c>
      <c r="AT101" t="b">
        <v>0</v>
      </c>
      <c r="AU101">
        <f>IF(AND($B$101&lt;0,$AS$101),4,$B$101)</f>
        <v/>
      </c>
      <c r="AV101" t="n">
        <v>3</v>
      </c>
      <c r="AW101">
        <f>IF($AU$101&lt;4,0,MIN(MAX(0.5,Canh_bao_vong!$D$4),MAX(IF(Vu_khi!$C$101="cal_406",Canh_bao_vong!$D$7,IF($AU$101&gt;=5,Canh_bao_vong!$D$9,Canh_bao_vong!$D$8)),Canh_bao_vong!$D$2+MAX(0,Vu_khi!$X$101)/MAX(0.1,Canh_bao_vong!$D$5))))</f>
        <v/>
      </c>
      <c r="AX101" t="n">
        <v>0</v>
      </c>
      <c r="AY101" t="n">
        <v>0.6666800000000001</v>
      </c>
      <c r="AZ101" t="inlineStr">
        <is>
          <t>ok</t>
        </is>
      </c>
      <c r="BA101" t="inlineStr"/>
      <c r="BB101" t="inlineStr">
        <is>
          <t>Assets/MachineBrigade/Resources/Data/balance.json: weapons[id=gun_125_armata_ke] (lớp B trên 01_chien_dau/Vu_khi)</t>
        </is>
      </c>
      <c r="BC101" t="inlineStr"/>
    </row>
    <row r="102">
      <c r="A102" t="inlineStr">
        <is>
          <t>gun_125_elite</t>
        </is>
      </c>
      <c r="B102" t="n">
        <v>3</v>
      </c>
      <c r="C102">
        <f>IF(Vu_khi!$O$102="SIMULTANEOUS",MAX(1,Vu_khi!$N$102),1)</f>
        <v/>
      </c>
      <c r="D102" t="n">
        <v>1</v>
      </c>
      <c r="E102">
        <f>IF(Vu_khi!$S$102&gt;0,Vu_khi!$S$102,Vu_khi!$P$102*$C$102)</f>
        <v/>
      </c>
      <c r="F102" t="n">
        <v>1</v>
      </c>
      <c r="G102">
        <f>IF(Vu_khi!$S$102&gt;0,(Vu_khi!$S$102-1)*Vu_khi!$R$102+Vu_khi!$T$102,Vu_khi!$R$102+(Vu_khi!$P$102-1)*Vu_khi!$Q$102)</f>
        <v/>
      </c>
      <c r="H102" t="n">
        <v>8.086</v>
      </c>
      <c r="I102">
        <f>Vu_khi!$W$102*MAX(1,$E$102)</f>
        <v/>
      </c>
      <c r="J102" t="n">
        <v>371</v>
      </c>
      <c r="K102">
        <f>IF(Vu_khi!$V$102&gt;0,Vu_khi!$V$102,MIN(28,MAX(10,Vu_khi!$U$102*Vu_khi!$R$102*0.4)))</f>
        <v/>
      </c>
      <c r="L102" t="n">
        <v>10</v>
      </c>
      <c r="M102">
        <f>IF(Vu_khi!$W$102&lt;=0,0,IF(Vu_khi!$U$102&gt;0,$I$102*Vu_khi!$U$102/(MAX(0.05,$G$102)*Vu_khi!$U$102+$K$102),$I$102/MAX(0.05,$G$102)))</f>
        <v/>
      </c>
      <c r="N102" t="n">
        <v>45.88177096215681</v>
      </c>
      <c r="O102">
        <f>OR(Vu_khi!$AG$102,Vu_khi!$AB$102&gt;0,Vu_khi!$AH$102,Vu_khi!$M$102="Bomb",Vu_khi!$M$102="Drone")</f>
        <v/>
      </c>
      <c r="P102" t="b">
        <v>0</v>
      </c>
      <c r="Q102">
        <f>AND(NOT(Vu_khi!$AJ$102),OR(Vu_khi!$AC$102="Ground",Vu_khi!$AC$102="All"))</f>
        <v/>
      </c>
      <c r="R102" t="b">
        <v>1</v>
      </c>
      <c r="S102">
        <f>AND(NOT(Vu_khi!$AJ$102),OR(Vu_khi!$AC$102="Air",Vu_khi!$AC$102="All"))</f>
        <v/>
      </c>
      <c r="T102" t="b">
        <v>0</v>
      </c>
      <c r="U102">
        <f>INDEX(Bang_sat_thuong!$B$2:$B$7,MATCH(Vu_khi!$K$102,Bang_sat_thuong!$A$2:$A$7,0))</f>
        <v/>
      </c>
      <c r="V102" t="n">
        <v>1</v>
      </c>
      <c r="W102">
        <f>INDEX(Bang_sat_thuong!$C$2:$C$7,MATCH(Vu_khi!$K$102,Bang_sat_thuong!$A$2:$A$7,0))</f>
        <v/>
      </c>
      <c r="X102" t="n">
        <v>0.3</v>
      </c>
      <c r="Y102">
        <f>IF(AND(Vu_khi!$AI$102,Vu_khi!$K$102="HighExplosive"),MAX(He_so_toan_cuc!$D$2,INDEX(Bang_sat_thuong!$D$2:$D$7,MATCH(Vu_khi!$K$102,Bang_sat_thuong!$A$2:$A$7,0))),INDEX(Bang_sat_thuong!$D$2:$D$7,MATCH(Vu_khi!$K$102,Bang_sat_thuong!$A$2:$A$7,0)))</f>
        <v/>
      </c>
      <c r="Z102" t="n">
        <v>0.6</v>
      </c>
      <c r="AA102">
        <f>INDEX(Bang_xuyen_giap!$C$2:$C$7,MIN(6,MAX(1,IF($O$102,MAX(1,2-(Vu_khi!$L$102-0)),2-(Vu_khi!$L$102-0))+1)))</f>
        <v/>
      </c>
      <c r="AB102" t="n">
        <v>1.2</v>
      </c>
      <c r="AC102">
        <f>INDEX(Bang_xuyen_giap!$C$2:$C$7,MIN(6,MAX(1,IF($O$102,MAX(1,2-(Vu_khi!$L$102-2)),2-(Vu_khi!$L$102-2))+1)))</f>
        <v/>
      </c>
      <c r="AD102" t="n">
        <v>1.2</v>
      </c>
      <c r="AE102">
        <f>INDEX(Bang_xuyen_giap!$C$2:$C$7,MIN(6,MAX(1,IF($O$102,MAX(1,2-(Vu_khi!$L$102-4)),2-(Vu_khi!$L$102-4))+1)))</f>
        <v/>
      </c>
      <c r="AF102" t="n">
        <v>0.85</v>
      </c>
      <c r="AG102">
        <f>INDEX(Bang_xuyen_giap!$C$2:$C$7,MIN(6,MAX(1,MAX(1,2-(Vu_khi!$L$102-0))+1)))</f>
        <v/>
      </c>
      <c r="AH102" t="n">
        <v>1</v>
      </c>
      <c r="AI102">
        <f>IF($Q$102,$M$102*$AA$102*$U$102,0)</f>
        <v/>
      </c>
      <c r="AJ102" t="n">
        <v>55.05812515458818</v>
      </c>
      <c r="AK102">
        <f>IF($Q$102,$M$102*$AC$102*$U$102,0)</f>
        <v/>
      </c>
      <c r="AL102" t="n">
        <v>55.05812515458818</v>
      </c>
      <c r="AM102">
        <f>IF($Q$102,$M$102*$AE$102*$U$102,0)</f>
        <v/>
      </c>
      <c r="AN102" t="n">
        <v>38.99950531783329</v>
      </c>
      <c r="AO102">
        <f>IF($Q$102,$M$102*$AC$102*$Y$102,0)</f>
        <v/>
      </c>
      <c r="AP102" t="n">
        <v>33.03487509275291</v>
      </c>
      <c r="AQ102">
        <f>IF($S$102,$M$102*$AG$102*$W$102,0)</f>
        <v/>
      </c>
      <c r="AR102" t="n">
        <v>0</v>
      </c>
      <c r="AS102">
        <f>IF(OR(Vu_khi!$M$102="Missile",Vu_khi!$M$102="Drone",AND(Vu_khi!$M$102="Rocket",OR(Vu_khi!$AM$102,Vu_khi!$D$102="guided")),Vu_khi!$AL$102,Vu_khi!$AK$102,Vu_khi!$X$102&lt;=0),FALSE,IF($B$102&gt;=0,$B$102&gt;=4,IF(Vu_khi!$M$102="Shell",Vu_khi!$AN$102&gt;=Canh_bao_vong!$D$10,IF(Vu_khi!$M$102="Bomb",Vu_khi!$AN$102&gt;=Canh_bao_vong!$D$3,IF(Vu_khi!$M$102="Rocket",Vu_khi!$AN$102&gt;=Canh_bao_vong!$D$13,FALSE)))))</f>
        <v/>
      </c>
      <c r="AT102" t="b">
        <v>0</v>
      </c>
      <c r="AU102">
        <f>IF(AND($B$102&lt;0,$AS$102),4,$B$102)</f>
        <v/>
      </c>
      <c r="AV102" t="n">
        <v>3</v>
      </c>
      <c r="AW102">
        <f>IF($AU$102&lt;4,0,MIN(MAX(0.5,Canh_bao_vong!$D$4),MAX(IF(Vu_khi!$C$102="cal_406",Canh_bao_vong!$D$7,IF($AU$102&gt;=5,Canh_bao_vong!$D$9,Canh_bao_vong!$D$8)),Canh_bao_vong!$D$2+MAX(0,Vu_khi!$X$102)/MAX(0.1,Canh_bao_vong!$D$5))))</f>
        <v/>
      </c>
      <c r="AX102" t="n">
        <v>0</v>
      </c>
      <c r="AY102" t="n">
        <v>0.7546929999999999</v>
      </c>
      <c r="AZ102" t="inlineStr">
        <is>
          <t>LECH_DOT_1</t>
        </is>
      </c>
      <c r="BA102" t="inlineStr"/>
      <c r="BB102" t="inlineStr">
        <is>
          <t>Assets/MachineBrigade/Resources/Data/balance.json: weapons[id=gun_125_elite] (lớp B trên 01_chien_dau/Vu_khi)</t>
        </is>
      </c>
      <c r="BC102" t="inlineStr"/>
    </row>
    <row r="103">
      <c r="A103" t="inlineStr">
        <is>
          <t>gun_125_elite_he</t>
        </is>
      </c>
      <c r="B103" t="n">
        <v>3</v>
      </c>
      <c r="C103">
        <f>IF(Vu_khi!$O$103="SIMULTANEOUS",MAX(1,Vu_khi!$N$103),1)</f>
        <v/>
      </c>
      <c r="D103" t="n">
        <v>1</v>
      </c>
      <c r="E103">
        <f>IF(Vu_khi!$S$103&gt;0,Vu_khi!$S$103,Vu_khi!$P$103*$C$103)</f>
        <v/>
      </c>
      <c r="F103" t="n">
        <v>1</v>
      </c>
      <c r="G103">
        <f>IF(Vu_khi!$S$103&gt;0,(Vu_khi!$S$103-1)*Vu_khi!$R$103+Vu_khi!$T$103,Vu_khi!$R$103+(Vu_khi!$P$103-1)*Vu_khi!$Q$103)</f>
        <v/>
      </c>
      <c r="H103" t="n">
        <v>8.086</v>
      </c>
      <c r="I103">
        <f>Vu_khi!$W$103*MAX(1,$E$103)</f>
        <v/>
      </c>
      <c r="J103" t="n">
        <v>371</v>
      </c>
      <c r="K103">
        <f>IF(Vu_khi!$V$103&gt;0,Vu_khi!$V$103,MIN(28,MAX(10,Vu_khi!$U$103*Vu_khi!$R$103*0.4)))</f>
        <v/>
      </c>
      <c r="L103" t="n">
        <v>10</v>
      </c>
      <c r="M103">
        <f>IF(Vu_khi!$W$103&lt;=0,0,IF(Vu_khi!$U$103&gt;0,$I$103*Vu_khi!$U$103/(MAX(0.05,$G$103)*Vu_khi!$U$103+$K$103),$I$103/MAX(0.05,$G$103)))</f>
        <v/>
      </c>
      <c r="N103" t="n">
        <v>45.88177096215681</v>
      </c>
      <c r="O103">
        <f>OR(Vu_khi!$AG$103,Vu_khi!$AB$103&gt;0,Vu_khi!$AH$103,Vu_khi!$M$103="Bomb",Vu_khi!$M$103="Drone")</f>
        <v/>
      </c>
      <c r="P103" t="b">
        <v>0</v>
      </c>
      <c r="Q103">
        <f>AND(NOT(Vu_khi!$AJ$103),OR(Vu_khi!$AC$103="Ground",Vu_khi!$AC$103="All"))</f>
        <v/>
      </c>
      <c r="R103" t="b">
        <v>1</v>
      </c>
      <c r="S103">
        <f>AND(NOT(Vu_khi!$AJ$103),OR(Vu_khi!$AC$103="Air",Vu_khi!$AC$103="All"))</f>
        <v/>
      </c>
      <c r="T103" t="b">
        <v>0</v>
      </c>
      <c r="U103">
        <f>INDEX(Bang_sat_thuong!$B$2:$B$7,MATCH(Vu_khi!$K$103,Bang_sat_thuong!$A$2:$A$7,0))</f>
        <v/>
      </c>
      <c r="V103" t="n">
        <v>1</v>
      </c>
      <c r="W103">
        <f>INDEX(Bang_sat_thuong!$C$2:$C$7,MATCH(Vu_khi!$K$103,Bang_sat_thuong!$A$2:$A$7,0))</f>
        <v/>
      </c>
      <c r="X103" t="n">
        <v>0</v>
      </c>
      <c r="Y103">
        <f>IF(AND(Vu_khi!$AI$103,Vu_khi!$K$103="HighExplosive"),MAX(He_so_toan_cuc!$D$2,INDEX(Bang_sat_thuong!$D$2:$D$7,MATCH(Vu_khi!$K$103,Bang_sat_thuong!$A$2:$A$7,0))),INDEX(Bang_sat_thuong!$D$2:$D$7,MATCH(Vu_khi!$K$103,Bang_sat_thuong!$A$2:$A$7,0)))</f>
        <v/>
      </c>
      <c r="Z103" t="n">
        <v>1.5</v>
      </c>
      <c r="AA103">
        <f>INDEX(Bang_xuyen_giap!$C$2:$C$7,MIN(6,MAX(1,IF($O$103,MAX(1,2-(Vu_khi!$L$103-0)),2-(Vu_khi!$L$103-0))+1)))</f>
        <v/>
      </c>
      <c r="AB103" t="n">
        <v>1.2</v>
      </c>
      <c r="AC103">
        <f>INDEX(Bang_xuyen_giap!$C$2:$C$7,MIN(6,MAX(1,IF($O$103,MAX(1,2-(Vu_khi!$L$103-2)),2-(Vu_khi!$L$103-2))+1)))</f>
        <v/>
      </c>
      <c r="AD103" t="n">
        <v>0.85</v>
      </c>
      <c r="AE103">
        <f>INDEX(Bang_xuyen_giap!$C$2:$C$7,MIN(6,MAX(1,IF($O$103,MAX(1,2-(Vu_khi!$L$103-4)),2-(Vu_khi!$L$103-4))+1)))</f>
        <v/>
      </c>
      <c r="AF103" t="n">
        <v>0.25</v>
      </c>
      <c r="AG103">
        <f>INDEX(Bang_xuyen_giap!$C$2:$C$7,MIN(6,MAX(1,MAX(1,2-(Vu_khi!$L$103-0))+1)))</f>
        <v/>
      </c>
      <c r="AH103" t="n">
        <v>1</v>
      </c>
      <c r="AI103">
        <f>IF($Q$103,$M$103*$AA$103*$U$103,0)</f>
        <v/>
      </c>
      <c r="AJ103" t="n">
        <v>55.05812515458818</v>
      </c>
      <c r="AK103">
        <f>IF($Q$103,$M$103*$AC$103*$U$103,0)</f>
        <v/>
      </c>
      <c r="AL103" t="n">
        <v>38.99950531783329</v>
      </c>
      <c r="AM103">
        <f>IF($Q$103,$M$103*$AE$103*$U$103,0)</f>
        <v/>
      </c>
      <c r="AN103" t="n">
        <v>11.4704427405392</v>
      </c>
      <c r="AO103">
        <f>IF($Q$103,$M$103*$AC$103*$Y$103,0)</f>
        <v/>
      </c>
      <c r="AP103" t="n">
        <v>58.49925797674993</v>
      </c>
      <c r="AQ103">
        <f>IF($S$103,$M$103*$AG$103*$W$103,0)</f>
        <v/>
      </c>
      <c r="AR103" t="n">
        <v>0</v>
      </c>
      <c r="AS103">
        <f>IF(OR(Vu_khi!$M$103="Missile",Vu_khi!$M$103="Drone",AND(Vu_khi!$M$103="Rocket",OR(Vu_khi!$AM$103,Vu_khi!$D$103="guided")),Vu_khi!$AL$103,Vu_khi!$AK$103,Vu_khi!$X$103&lt;=0),FALSE,IF($B$103&gt;=0,$B$103&gt;=4,IF(Vu_khi!$M$103="Shell",Vu_khi!$AN$103&gt;=Canh_bao_vong!$D$10,IF(Vu_khi!$M$103="Bomb",Vu_khi!$AN$103&gt;=Canh_bao_vong!$D$3,IF(Vu_khi!$M$103="Rocket",Vu_khi!$AN$103&gt;=Canh_bao_vong!$D$13,FALSE)))))</f>
        <v/>
      </c>
      <c r="AT103" t="b">
        <v>0</v>
      </c>
      <c r="AU103">
        <f>IF(AND($B$103&lt;0,$AS$103),4,$B$103)</f>
        <v/>
      </c>
      <c r="AV103" t="n">
        <v>3</v>
      </c>
      <c r="AW103">
        <f>IF($AU$103&lt;4,0,MIN(MAX(0.5,Canh_bao_vong!$D$4),MAX(IF(Vu_khi!$C$103="cal_406",Canh_bao_vong!$D$7,IF($AU$103&gt;=5,Canh_bao_vong!$D$9,Canh_bao_vong!$D$8)),Canh_bao_vong!$D$2+MAX(0,Vu_khi!$X$103)/MAX(0.1,Canh_bao_vong!$D$5))))</f>
        <v/>
      </c>
      <c r="AX103" t="n">
        <v>0</v>
      </c>
      <c r="BB103" t="inlineStr">
        <is>
          <t>Assets/MachineBrigade/Resources/Data/balance.json: weapons[id=gun_125_elite_he] (lớp B trên 01_chien_dau/Vu_khi)</t>
        </is>
      </c>
      <c r="BC103" t="inlineStr"/>
    </row>
    <row r="104">
      <c r="A104" t="inlineStr">
        <is>
          <t>gun_140_twin</t>
        </is>
      </c>
      <c r="B104" t="n">
        <v>3</v>
      </c>
      <c r="C104">
        <f>IF(Vu_khi!$O$104="SIMULTANEOUS",MAX(1,Vu_khi!$N$104),1)</f>
        <v/>
      </c>
      <c r="D104" t="n">
        <v>2</v>
      </c>
      <c r="E104">
        <f>IF(Vu_khi!$S$104&gt;0,Vu_khi!$S$104,Vu_khi!$P$104*$C$104)</f>
        <v/>
      </c>
      <c r="F104" t="n">
        <v>2</v>
      </c>
      <c r="G104">
        <f>IF(Vu_khi!$S$104&gt;0,(Vu_khi!$S$104-1)*Vu_khi!$R$104+Vu_khi!$T$104,Vu_khi!$R$104+(Vu_khi!$P$104-1)*Vu_khi!$Q$104)</f>
        <v/>
      </c>
      <c r="H104" t="n">
        <v>6.481</v>
      </c>
      <c r="I104">
        <f>Vu_khi!$W$104*MAX(1,$E$104)</f>
        <v/>
      </c>
      <c r="J104" t="n">
        <v>828</v>
      </c>
      <c r="K104">
        <f>IF(Vu_khi!$V$104&gt;0,Vu_khi!$V$104,MIN(28,MAX(10,Vu_khi!$U$104*Vu_khi!$R$104*0.4)))</f>
        <v/>
      </c>
      <c r="L104" t="n">
        <v>10</v>
      </c>
      <c r="M104">
        <f>IF(Vu_khi!$W$104&lt;=0,0,IF(Vu_khi!$U$104&gt;0,$I$104*Vu_khi!$U$104/(MAX(0.05,$G$104)*Vu_khi!$U$104+$K$104),$I$104/MAX(0.05,$G$104)))</f>
        <v/>
      </c>
      <c r="N104" t="n">
        <v>127.7580620274649</v>
      </c>
      <c r="O104">
        <f>OR(Vu_khi!$AG$104,Vu_khi!$AB$104&gt;0,Vu_khi!$AH$104,Vu_khi!$M$104="Bomb",Vu_khi!$M$104="Drone")</f>
        <v/>
      </c>
      <c r="P104" t="b">
        <v>0</v>
      </c>
      <c r="Q104">
        <f>AND(NOT(Vu_khi!$AJ$104),OR(Vu_khi!$AC$104="Ground",Vu_khi!$AC$104="All"))</f>
        <v/>
      </c>
      <c r="R104" t="b">
        <v>1</v>
      </c>
      <c r="S104">
        <f>AND(NOT(Vu_khi!$AJ$104),OR(Vu_khi!$AC$104="Air",Vu_khi!$AC$104="All"))</f>
        <v/>
      </c>
      <c r="T104" t="b">
        <v>0</v>
      </c>
      <c r="U104">
        <f>INDEX(Bang_sat_thuong!$B$2:$B$7,MATCH(Vu_khi!$K$104,Bang_sat_thuong!$A$2:$A$7,0))</f>
        <v/>
      </c>
      <c r="V104" t="n">
        <v>1</v>
      </c>
      <c r="W104">
        <f>INDEX(Bang_sat_thuong!$C$2:$C$7,MATCH(Vu_khi!$K$104,Bang_sat_thuong!$A$2:$A$7,0))</f>
        <v/>
      </c>
      <c r="X104" t="n">
        <v>0.3</v>
      </c>
      <c r="Y104">
        <f>IF(AND(Vu_khi!$AI$104,Vu_khi!$K$104="HighExplosive"),MAX(He_so_toan_cuc!$D$2,INDEX(Bang_sat_thuong!$D$2:$D$7,MATCH(Vu_khi!$K$104,Bang_sat_thuong!$A$2:$A$7,0))),INDEX(Bang_sat_thuong!$D$2:$D$7,MATCH(Vu_khi!$K$104,Bang_sat_thuong!$A$2:$A$7,0)))</f>
        <v/>
      </c>
      <c r="Z104" t="n">
        <v>0.6</v>
      </c>
      <c r="AA104">
        <f>INDEX(Bang_xuyen_giap!$C$2:$C$7,MIN(6,MAX(1,IF($O$104,MAX(1,2-(Vu_khi!$L$104-0)),2-(Vu_khi!$L$104-0))+1)))</f>
        <v/>
      </c>
      <c r="AB104" t="n">
        <v>1.2</v>
      </c>
      <c r="AC104">
        <f>INDEX(Bang_xuyen_giap!$C$2:$C$7,MIN(6,MAX(1,IF($O$104,MAX(1,2-(Vu_khi!$L$104-2)),2-(Vu_khi!$L$104-2))+1)))</f>
        <v/>
      </c>
      <c r="AD104" t="n">
        <v>1.2</v>
      </c>
      <c r="AE104">
        <f>INDEX(Bang_xuyen_giap!$C$2:$C$7,MIN(6,MAX(1,IF($O$104,MAX(1,2-(Vu_khi!$L$104-4)),2-(Vu_khi!$L$104-4))+1)))</f>
        <v/>
      </c>
      <c r="AF104" t="n">
        <v>0.85</v>
      </c>
      <c r="AG104">
        <f>INDEX(Bang_xuyen_giap!$C$2:$C$7,MIN(6,MAX(1,MAX(1,2-(Vu_khi!$L$104-0))+1)))</f>
        <v/>
      </c>
      <c r="AH104" t="n">
        <v>1</v>
      </c>
      <c r="AI104">
        <f>IF($Q$104,$M$104*$AA$104*$U$104,0)</f>
        <v/>
      </c>
      <c r="AJ104" t="n">
        <v>153.3096744329579</v>
      </c>
      <c r="AK104">
        <f>IF($Q$104,$M$104*$AC$104*$U$104,0)</f>
        <v/>
      </c>
      <c r="AL104" t="n">
        <v>153.3096744329579</v>
      </c>
      <c r="AM104">
        <f>IF($Q$104,$M$104*$AE$104*$U$104,0)</f>
        <v/>
      </c>
      <c r="AN104" t="n">
        <v>108.5943527233452</v>
      </c>
      <c r="AO104">
        <f>IF($Q$104,$M$104*$AC$104*$Y$104,0)</f>
        <v/>
      </c>
      <c r="AP104" t="n">
        <v>91.98580465977473</v>
      </c>
      <c r="AQ104">
        <f>IF($S$104,$M$104*$AG$104*$W$104,0)</f>
        <v/>
      </c>
      <c r="AR104" t="n">
        <v>0</v>
      </c>
      <c r="AS104">
        <f>IF(OR(Vu_khi!$M$104="Missile",Vu_khi!$M$104="Drone",AND(Vu_khi!$M$104="Rocket",OR(Vu_khi!$AM$104,Vu_khi!$D$104="guided")),Vu_khi!$AL$104,Vu_khi!$AK$104,Vu_khi!$X$104&lt;=0),FALSE,IF($B$104&gt;=0,$B$104&gt;=4,IF(Vu_khi!$M$104="Shell",Vu_khi!$AN$104&gt;=Canh_bao_vong!$D$10,IF(Vu_khi!$M$104="Bomb",Vu_khi!$AN$104&gt;=Canh_bao_vong!$D$3,IF(Vu_khi!$M$104="Rocket",Vu_khi!$AN$104&gt;=Canh_bao_vong!$D$13,FALSE)))))</f>
        <v/>
      </c>
      <c r="AT104" t="b">
        <v>0</v>
      </c>
      <c r="AU104">
        <f>IF(AND($B$104&lt;0,$AS$104),4,$B$104)</f>
        <v/>
      </c>
      <c r="AV104" t="n">
        <v>3</v>
      </c>
      <c r="AW104">
        <f>IF($AU$104&lt;4,0,MIN(MAX(0.5,Canh_bao_vong!$D$4),MAX(IF(Vu_khi!$C$104="cal_406",Canh_bao_vong!$D$7,IF($AU$104&gt;=5,Canh_bao_vong!$D$9,Canh_bao_vong!$D$8)),Canh_bao_vong!$D$2+MAX(0,Vu_khi!$X$104)/MAX(0.1,Canh_bao_vong!$D$5))))</f>
        <v/>
      </c>
      <c r="AX104" t="n">
        <v>0</v>
      </c>
      <c r="AY104" t="n">
        <v>0.756117</v>
      </c>
      <c r="AZ104" t="inlineStr">
        <is>
          <t>LECH_DOT_1</t>
        </is>
      </c>
      <c r="BA104" t="inlineStr"/>
      <c r="BB104" t="inlineStr">
        <is>
          <t>Assets/MachineBrigade/Resources/Data/balance.json: weapons[id=gun_140_twin] (lớp B trên 01_chien_dau/Vu_khi)</t>
        </is>
      </c>
      <c r="BC104" t="inlineStr"/>
    </row>
    <row r="105">
      <c r="A105" t="inlineStr">
        <is>
          <t>gun_140_twin_he</t>
        </is>
      </c>
      <c r="B105" t="n">
        <v>3</v>
      </c>
      <c r="C105">
        <f>IF(Vu_khi!$O$105="SIMULTANEOUS",MAX(1,Vu_khi!$N$105),1)</f>
        <v/>
      </c>
      <c r="D105" t="n">
        <v>2</v>
      </c>
      <c r="E105">
        <f>IF(Vu_khi!$S$105&gt;0,Vu_khi!$S$105,Vu_khi!$P$105*$C$105)</f>
        <v/>
      </c>
      <c r="F105" t="n">
        <v>2</v>
      </c>
      <c r="G105">
        <f>IF(Vu_khi!$S$105&gt;0,(Vu_khi!$S$105-1)*Vu_khi!$R$105+Vu_khi!$T$105,Vu_khi!$R$105+(Vu_khi!$P$105-1)*Vu_khi!$Q$105)</f>
        <v/>
      </c>
      <c r="H105" t="n">
        <v>6.481</v>
      </c>
      <c r="I105">
        <f>Vu_khi!$W$105*MAX(1,$E$105)</f>
        <v/>
      </c>
      <c r="J105" t="n">
        <v>828</v>
      </c>
      <c r="K105">
        <f>IF(Vu_khi!$V$105&gt;0,Vu_khi!$V$105,MIN(28,MAX(10,Vu_khi!$U$105*Vu_khi!$R$105*0.4)))</f>
        <v/>
      </c>
      <c r="L105" t="n">
        <v>10</v>
      </c>
      <c r="M105">
        <f>IF(Vu_khi!$W$105&lt;=0,0,IF(Vu_khi!$U$105&gt;0,$I$105*Vu_khi!$U$105/(MAX(0.05,$G$105)*Vu_khi!$U$105+$K$105),$I$105/MAX(0.05,$G$105)))</f>
        <v/>
      </c>
      <c r="N105" t="n">
        <v>127.7580620274649</v>
      </c>
      <c r="O105">
        <f>OR(Vu_khi!$AG$105,Vu_khi!$AB$105&gt;0,Vu_khi!$AH$105,Vu_khi!$M$105="Bomb",Vu_khi!$M$105="Drone")</f>
        <v/>
      </c>
      <c r="P105" t="b">
        <v>0</v>
      </c>
      <c r="Q105">
        <f>AND(NOT(Vu_khi!$AJ$105),OR(Vu_khi!$AC$105="Ground",Vu_khi!$AC$105="All"))</f>
        <v/>
      </c>
      <c r="R105" t="b">
        <v>1</v>
      </c>
      <c r="S105">
        <f>AND(NOT(Vu_khi!$AJ$105),OR(Vu_khi!$AC$105="Air",Vu_khi!$AC$105="All"))</f>
        <v/>
      </c>
      <c r="T105" t="b">
        <v>0</v>
      </c>
      <c r="U105">
        <f>INDEX(Bang_sat_thuong!$B$2:$B$7,MATCH(Vu_khi!$K$105,Bang_sat_thuong!$A$2:$A$7,0))</f>
        <v/>
      </c>
      <c r="V105" t="n">
        <v>1</v>
      </c>
      <c r="W105">
        <f>INDEX(Bang_sat_thuong!$C$2:$C$7,MATCH(Vu_khi!$K$105,Bang_sat_thuong!$A$2:$A$7,0))</f>
        <v/>
      </c>
      <c r="X105" t="n">
        <v>0</v>
      </c>
      <c r="Y105">
        <f>IF(AND(Vu_khi!$AI$105,Vu_khi!$K$105="HighExplosive"),MAX(He_so_toan_cuc!$D$2,INDEX(Bang_sat_thuong!$D$2:$D$7,MATCH(Vu_khi!$K$105,Bang_sat_thuong!$A$2:$A$7,0))),INDEX(Bang_sat_thuong!$D$2:$D$7,MATCH(Vu_khi!$K$105,Bang_sat_thuong!$A$2:$A$7,0)))</f>
        <v/>
      </c>
      <c r="Z105" t="n">
        <v>1.5</v>
      </c>
      <c r="AA105">
        <f>INDEX(Bang_xuyen_giap!$C$2:$C$7,MIN(6,MAX(1,IF($O$105,MAX(1,2-(Vu_khi!$L$105-0)),2-(Vu_khi!$L$105-0))+1)))</f>
        <v/>
      </c>
      <c r="AB105" t="n">
        <v>1.2</v>
      </c>
      <c r="AC105">
        <f>INDEX(Bang_xuyen_giap!$C$2:$C$7,MIN(6,MAX(1,IF($O$105,MAX(1,2-(Vu_khi!$L$105-2)),2-(Vu_khi!$L$105-2))+1)))</f>
        <v/>
      </c>
      <c r="AD105" t="n">
        <v>0.85</v>
      </c>
      <c r="AE105">
        <f>INDEX(Bang_xuyen_giap!$C$2:$C$7,MIN(6,MAX(1,IF($O$105,MAX(1,2-(Vu_khi!$L$105-4)),2-(Vu_khi!$L$105-4))+1)))</f>
        <v/>
      </c>
      <c r="AF105" t="n">
        <v>0.25</v>
      </c>
      <c r="AG105">
        <f>INDEX(Bang_xuyen_giap!$C$2:$C$7,MIN(6,MAX(1,MAX(1,2-(Vu_khi!$L$105-0))+1)))</f>
        <v/>
      </c>
      <c r="AH105" t="n">
        <v>1</v>
      </c>
      <c r="AI105">
        <f>IF($Q$105,$M$105*$AA$105*$U$105,0)</f>
        <v/>
      </c>
      <c r="AJ105" t="n">
        <v>153.3096744329579</v>
      </c>
      <c r="AK105">
        <f>IF($Q$105,$M$105*$AC$105*$U$105,0)</f>
        <v/>
      </c>
      <c r="AL105" t="n">
        <v>108.5943527233452</v>
      </c>
      <c r="AM105">
        <f>IF($Q$105,$M$105*$AE$105*$U$105,0)</f>
        <v/>
      </c>
      <c r="AN105" t="n">
        <v>31.93951550686623</v>
      </c>
      <c r="AO105">
        <f>IF($Q$105,$M$105*$AC$105*$Y$105,0)</f>
        <v/>
      </c>
      <c r="AP105" t="n">
        <v>162.8915290850177</v>
      </c>
      <c r="AQ105">
        <f>IF($S$105,$M$105*$AG$105*$W$105,0)</f>
        <v/>
      </c>
      <c r="AR105" t="n">
        <v>0</v>
      </c>
      <c r="AS105">
        <f>IF(OR(Vu_khi!$M$105="Missile",Vu_khi!$M$105="Drone",AND(Vu_khi!$M$105="Rocket",OR(Vu_khi!$AM$105,Vu_khi!$D$105="guided")),Vu_khi!$AL$105,Vu_khi!$AK$105,Vu_khi!$X$105&lt;=0),FALSE,IF($B$105&gt;=0,$B$105&gt;=4,IF(Vu_khi!$M$105="Shell",Vu_khi!$AN$105&gt;=Canh_bao_vong!$D$10,IF(Vu_khi!$M$105="Bomb",Vu_khi!$AN$105&gt;=Canh_bao_vong!$D$3,IF(Vu_khi!$M$105="Rocket",Vu_khi!$AN$105&gt;=Canh_bao_vong!$D$13,FALSE)))))</f>
        <v/>
      </c>
      <c r="AT105" t="b">
        <v>0</v>
      </c>
      <c r="AU105">
        <f>IF(AND($B$105&lt;0,$AS$105),4,$B$105)</f>
        <v/>
      </c>
      <c r="AV105" t="n">
        <v>3</v>
      </c>
      <c r="AW105">
        <f>IF($AU$105&lt;4,0,MIN(MAX(0.5,Canh_bao_vong!$D$4),MAX(IF(Vu_khi!$C$105="cal_406",Canh_bao_vong!$D$7,IF($AU$105&gt;=5,Canh_bao_vong!$D$9,Canh_bao_vong!$D$8)),Canh_bao_vong!$D$2+MAX(0,Vu_khi!$X$105)/MAX(0.1,Canh_bao_vong!$D$5))))</f>
        <v/>
      </c>
      <c r="AX105" t="n">
        <v>0</v>
      </c>
      <c r="BB105" t="inlineStr">
        <is>
          <t>Assets/MachineBrigade/Resources/Data/balance.json: weapons[id=gun_140_twin_he] (lớp B trên 01_chien_dau/Vu_khi)</t>
        </is>
      </c>
      <c r="BC105" t="inlineStr"/>
    </row>
    <row r="106">
      <c r="A106" t="inlineStr">
        <is>
          <t>gun_152</t>
        </is>
      </c>
      <c r="B106" t="n">
        <v>3</v>
      </c>
      <c r="C106">
        <f>IF(Vu_khi!$O$106="SIMULTANEOUS",MAX(1,Vu_khi!$N$106),1)</f>
        <v/>
      </c>
      <c r="D106" t="n">
        <v>1</v>
      </c>
      <c r="E106">
        <f>IF(Vu_khi!$S$106&gt;0,Vu_khi!$S$106,Vu_khi!$P$106*$C$106)</f>
        <v/>
      </c>
      <c r="F106" t="n">
        <v>1</v>
      </c>
      <c r="G106">
        <f>IF(Vu_khi!$S$106&gt;0,(Vu_khi!$S$106-1)*Vu_khi!$R$106+Vu_khi!$T$106,Vu_khi!$R$106+(Vu_khi!$P$106-1)*Vu_khi!$Q$106)</f>
        <v/>
      </c>
      <c r="H106" t="n">
        <v>8.163</v>
      </c>
      <c r="I106">
        <f>Vu_khi!$W$106*MAX(1,$E$106)</f>
        <v/>
      </c>
      <c r="J106" t="n">
        <v>457</v>
      </c>
      <c r="K106">
        <f>IF(Vu_khi!$V$106&gt;0,Vu_khi!$V$106,MIN(28,MAX(10,Vu_khi!$U$106*Vu_khi!$R$106*0.4)))</f>
        <v/>
      </c>
      <c r="L106" t="n">
        <v>10</v>
      </c>
      <c r="M106">
        <f>IF(Vu_khi!$W$106&lt;=0,0,IF(Vu_khi!$U$106&gt;0,$I$106*Vu_khi!$U$106/(MAX(0.05,$G$106)*Vu_khi!$U$106+$K$106),$I$106/MAX(0.05,$G$106)))</f>
        <v/>
      </c>
      <c r="N106" t="n">
        <v>55.98431949038343</v>
      </c>
      <c r="O106">
        <f>OR(Vu_khi!$AG$106,Vu_khi!$AB$106&gt;0,Vu_khi!$AH$106,Vu_khi!$M$106="Bomb",Vu_khi!$M$106="Drone")</f>
        <v/>
      </c>
      <c r="P106" t="b">
        <v>0</v>
      </c>
      <c r="Q106">
        <f>AND(NOT(Vu_khi!$AJ$106),OR(Vu_khi!$AC$106="Ground",Vu_khi!$AC$106="All"))</f>
        <v/>
      </c>
      <c r="R106" t="b">
        <v>1</v>
      </c>
      <c r="S106">
        <f>AND(NOT(Vu_khi!$AJ$106),OR(Vu_khi!$AC$106="Air",Vu_khi!$AC$106="All"))</f>
        <v/>
      </c>
      <c r="T106" t="b">
        <v>0</v>
      </c>
      <c r="U106">
        <f>INDEX(Bang_sat_thuong!$B$2:$B$7,MATCH(Vu_khi!$K$106,Bang_sat_thuong!$A$2:$A$7,0))</f>
        <v/>
      </c>
      <c r="V106" t="n">
        <v>1</v>
      </c>
      <c r="W106">
        <f>INDEX(Bang_sat_thuong!$C$2:$C$7,MATCH(Vu_khi!$K$106,Bang_sat_thuong!$A$2:$A$7,0))</f>
        <v/>
      </c>
      <c r="X106" t="n">
        <v>0.3</v>
      </c>
      <c r="Y106">
        <f>IF(AND(Vu_khi!$AI$106,Vu_khi!$K$106="HighExplosive"),MAX(He_so_toan_cuc!$D$2,INDEX(Bang_sat_thuong!$D$2:$D$7,MATCH(Vu_khi!$K$106,Bang_sat_thuong!$A$2:$A$7,0))),INDEX(Bang_sat_thuong!$D$2:$D$7,MATCH(Vu_khi!$K$106,Bang_sat_thuong!$A$2:$A$7,0)))</f>
        <v/>
      </c>
      <c r="Z106" t="n">
        <v>0.6</v>
      </c>
      <c r="AA106">
        <f>INDEX(Bang_xuyen_giap!$C$2:$C$7,MIN(6,MAX(1,IF($O$106,MAX(1,2-(Vu_khi!$L$106-0)),2-(Vu_khi!$L$106-0))+1)))</f>
        <v/>
      </c>
      <c r="AB106" t="n">
        <v>1.2</v>
      </c>
      <c r="AC106">
        <f>INDEX(Bang_xuyen_giap!$C$2:$C$7,MIN(6,MAX(1,IF($O$106,MAX(1,2-(Vu_khi!$L$106-2)),2-(Vu_khi!$L$106-2))+1)))</f>
        <v/>
      </c>
      <c r="AD106" t="n">
        <v>1.2</v>
      </c>
      <c r="AE106">
        <f>INDEX(Bang_xuyen_giap!$C$2:$C$7,MIN(6,MAX(1,IF($O$106,MAX(1,2-(Vu_khi!$L$106-4)),2-(Vu_khi!$L$106-4))+1)))</f>
        <v/>
      </c>
      <c r="AF106" t="n">
        <v>0.85</v>
      </c>
      <c r="AG106">
        <f>INDEX(Bang_xuyen_giap!$C$2:$C$7,MIN(6,MAX(1,MAX(1,2-(Vu_khi!$L$106-0))+1)))</f>
        <v/>
      </c>
      <c r="AH106" t="n">
        <v>1</v>
      </c>
      <c r="AI106">
        <f>IF($Q$106,$M$106*$AA$106*$U$106,0)</f>
        <v/>
      </c>
      <c r="AJ106" t="n">
        <v>67.18118338846011</v>
      </c>
      <c r="AK106">
        <f>IF($Q$106,$M$106*$AC$106*$U$106,0)</f>
        <v/>
      </c>
      <c r="AL106" t="n">
        <v>67.18118338846011</v>
      </c>
      <c r="AM106">
        <f>IF($Q$106,$M$106*$AE$106*$U$106,0)</f>
        <v/>
      </c>
      <c r="AN106" t="n">
        <v>47.58667156682592</v>
      </c>
      <c r="AO106">
        <f>IF($Q$106,$M$106*$AC$106*$Y$106,0)</f>
        <v/>
      </c>
      <c r="AP106" t="n">
        <v>40.30871003307607</v>
      </c>
      <c r="AQ106">
        <f>IF($S$106,$M$106*$AG$106*$W$106,0)</f>
        <v/>
      </c>
      <c r="AR106" t="n">
        <v>0</v>
      </c>
      <c r="AS106">
        <f>IF(OR(Vu_khi!$M$106="Missile",Vu_khi!$M$106="Drone",AND(Vu_khi!$M$106="Rocket",OR(Vu_khi!$AM$106,Vu_khi!$D$106="guided")),Vu_khi!$AL$106,Vu_khi!$AK$106,Vu_khi!$X$106&lt;=0),FALSE,IF($B$106&gt;=0,$B$106&gt;=4,IF(Vu_khi!$M$106="Shell",Vu_khi!$AN$106&gt;=Canh_bao_vong!$D$10,IF(Vu_khi!$M$106="Bomb",Vu_khi!$AN$106&gt;=Canh_bao_vong!$D$3,IF(Vu_khi!$M$106="Rocket",Vu_khi!$AN$106&gt;=Canh_bao_vong!$D$13,FALSE)))))</f>
        <v/>
      </c>
      <c r="AT106" t="b">
        <v>0</v>
      </c>
      <c r="AU106">
        <f>IF(AND($B$106&lt;0,$AS$106),4,$B$106)</f>
        <v/>
      </c>
      <c r="AV106" t="n">
        <v>3</v>
      </c>
      <c r="AW106">
        <f>IF($AU$106&lt;4,0,MIN(MAX(0.5,Canh_bao_vong!$D$4),MAX(IF(Vu_khi!$C$106="cal_406",Canh_bao_vong!$D$7,IF($AU$106&gt;=5,Canh_bao_vong!$D$9,Canh_bao_vong!$D$8)),Canh_bao_vong!$D$2+MAX(0,Vu_khi!$X$106)/MAX(0.1,Canh_bao_vong!$D$5))))</f>
        <v/>
      </c>
      <c r="AX106" t="n">
        <v>0</v>
      </c>
      <c r="AY106" t="n">
        <v>0.95235</v>
      </c>
      <c r="AZ106" t="inlineStr">
        <is>
          <t>LECH_DOT_1</t>
        </is>
      </c>
      <c r="BA106" t="inlineStr"/>
      <c r="BB106" t="inlineStr">
        <is>
          <t>Assets/MachineBrigade/Resources/Data/balance.json: weapons[id=gun_152] (lớp B trên 01_chien_dau/Vu_khi)</t>
        </is>
      </c>
      <c r="BC106" t="inlineStr"/>
    </row>
    <row r="107">
      <c r="A107" t="inlineStr">
        <is>
          <t>gun_152_he</t>
        </is>
      </c>
      <c r="B107" t="n">
        <v>3</v>
      </c>
      <c r="C107">
        <f>IF(Vu_khi!$O$107="SIMULTANEOUS",MAX(1,Vu_khi!$N$107),1)</f>
        <v/>
      </c>
      <c r="D107" t="n">
        <v>1</v>
      </c>
      <c r="E107">
        <f>IF(Vu_khi!$S$107&gt;0,Vu_khi!$S$107,Vu_khi!$P$107*$C$107)</f>
        <v/>
      </c>
      <c r="F107" t="n">
        <v>1</v>
      </c>
      <c r="G107">
        <f>IF(Vu_khi!$S$107&gt;0,(Vu_khi!$S$107-1)*Vu_khi!$R$107+Vu_khi!$T$107,Vu_khi!$R$107+(Vu_khi!$P$107-1)*Vu_khi!$Q$107)</f>
        <v/>
      </c>
      <c r="H107" t="n">
        <v>8.571</v>
      </c>
      <c r="I107">
        <f>Vu_khi!$W$107*MAX(1,$E$107)</f>
        <v/>
      </c>
      <c r="J107" t="n">
        <v>457</v>
      </c>
      <c r="K107">
        <f>IF(Vu_khi!$V$107&gt;0,Vu_khi!$V$107,MIN(28,MAX(10,Vu_khi!$U$107*Vu_khi!$R$107*0.4)))</f>
        <v/>
      </c>
      <c r="L107" t="n">
        <v>10</v>
      </c>
      <c r="M107">
        <f>IF(Vu_khi!$W$107&lt;=0,0,IF(Vu_khi!$U$107&gt;0,$I$107*Vu_khi!$U$107/(MAX(0.05,$G$107)*Vu_khi!$U$107+$K$107),$I$107/MAX(0.05,$G$107)))</f>
        <v/>
      </c>
      <c r="N107" t="n">
        <v>53.31933263329833</v>
      </c>
      <c r="O107">
        <f>OR(Vu_khi!$AG$107,Vu_khi!$AB$107&gt;0,Vu_khi!$AH$107,Vu_khi!$M$107="Bomb",Vu_khi!$M$107="Drone")</f>
        <v/>
      </c>
      <c r="P107" t="b">
        <v>0</v>
      </c>
      <c r="Q107">
        <f>AND(NOT(Vu_khi!$AJ$107),OR(Vu_khi!$AC$107="Ground",Vu_khi!$AC$107="All"))</f>
        <v/>
      </c>
      <c r="R107" t="b">
        <v>1</v>
      </c>
      <c r="S107">
        <f>AND(NOT(Vu_khi!$AJ$107),OR(Vu_khi!$AC$107="Air",Vu_khi!$AC$107="All"))</f>
        <v/>
      </c>
      <c r="T107" t="b">
        <v>0</v>
      </c>
      <c r="U107">
        <f>INDEX(Bang_sat_thuong!$B$2:$B$7,MATCH(Vu_khi!$K$107,Bang_sat_thuong!$A$2:$A$7,0))</f>
        <v/>
      </c>
      <c r="V107" t="n">
        <v>1</v>
      </c>
      <c r="W107">
        <f>INDEX(Bang_sat_thuong!$C$2:$C$7,MATCH(Vu_khi!$K$107,Bang_sat_thuong!$A$2:$A$7,0))</f>
        <v/>
      </c>
      <c r="X107" t="n">
        <v>0</v>
      </c>
      <c r="Y107">
        <f>IF(AND(Vu_khi!$AI$107,Vu_khi!$K$107="HighExplosive"),MAX(He_so_toan_cuc!$D$2,INDEX(Bang_sat_thuong!$D$2:$D$7,MATCH(Vu_khi!$K$107,Bang_sat_thuong!$A$2:$A$7,0))),INDEX(Bang_sat_thuong!$D$2:$D$7,MATCH(Vu_khi!$K$107,Bang_sat_thuong!$A$2:$A$7,0)))</f>
        <v/>
      </c>
      <c r="Z107" t="n">
        <v>1.5</v>
      </c>
      <c r="AA107">
        <f>INDEX(Bang_xuyen_giap!$C$2:$C$7,MIN(6,MAX(1,IF($O$107,MAX(1,2-(Vu_khi!$L$107-0)),2-(Vu_khi!$L$107-0))+1)))</f>
        <v/>
      </c>
      <c r="AB107" t="n">
        <v>1.2</v>
      </c>
      <c r="AC107">
        <f>INDEX(Bang_xuyen_giap!$C$2:$C$7,MIN(6,MAX(1,IF($O$107,MAX(1,2-(Vu_khi!$L$107-2)),2-(Vu_khi!$L$107-2))+1)))</f>
        <v/>
      </c>
      <c r="AD107" t="n">
        <v>1</v>
      </c>
      <c r="AE107">
        <f>INDEX(Bang_xuyen_giap!$C$2:$C$7,MIN(6,MAX(1,IF($O$107,MAX(1,2-(Vu_khi!$L$107-4)),2-(Vu_khi!$L$107-4))+1)))</f>
        <v/>
      </c>
      <c r="AF107" t="n">
        <v>0.5</v>
      </c>
      <c r="AG107">
        <f>INDEX(Bang_xuyen_giap!$C$2:$C$7,MIN(6,MAX(1,MAX(1,2-(Vu_khi!$L$107-0))+1)))</f>
        <v/>
      </c>
      <c r="AH107" t="n">
        <v>1</v>
      </c>
      <c r="AI107">
        <f>IF($Q$107,$M$107*$AA$107*$U$107,0)</f>
        <v/>
      </c>
      <c r="AJ107" t="n">
        <v>63.98319915995799</v>
      </c>
      <c r="AK107">
        <f>IF($Q$107,$M$107*$AC$107*$U$107,0)</f>
        <v/>
      </c>
      <c r="AL107" t="n">
        <v>53.31933263329833</v>
      </c>
      <c r="AM107">
        <f>IF($Q$107,$M$107*$AE$107*$U$107,0)</f>
        <v/>
      </c>
      <c r="AN107" t="n">
        <v>26.65966631664917</v>
      </c>
      <c r="AO107">
        <f>IF($Q$107,$M$107*$AC$107*$Y$107,0)</f>
        <v/>
      </c>
      <c r="AP107" t="n">
        <v>79.9789989499475</v>
      </c>
      <c r="AQ107">
        <f>IF($S$107,$M$107*$AG$107*$W$107,0)</f>
        <v/>
      </c>
      <c r="AR107" t="n">
        <v>0</v>
      </c>
      <c r="AS107">
        <f>IF(OR(Vu_khi!$M$107="Missile",Vu_khi!$M$107="Drone",AND(Vu_khi!$M$107="Rocket",OR(Vu_khi!$AM$107,Vu_khi!$D$107="guided")),Vu_khi!$AL$107,Vu_khi!$AK$107,Vu_khi!$X$107&lt;=0),FALSE,IF($B$107&gt;=0,$B$107&gt;=4,IF(Vu_khi!$M$107="Shell",Vu_khi!$AN$107&gt;=Canh_bao_vong!$D$10,IF(Vu_khi!$M$107="Bomb",Vu_khi!$AN$107&gt;=Canh_bao_vong!$D$3,IF(Vu_khi!$M$107="Rocket",Vu_khi!$AN$107&gt;=Canh_bao_vong!$D$13,FALSE)))))</f>
        <v/>
      </c>
      <c r="AT107" t="b">
        <v>0</v>
      </c>
      <c r="AU107">
        <f>IF(AND($B$107&lt;0,$AS$107),4,$B$107)</f>
        <v/>
      </c>
      <c r="AV107" t="n">
        <v>3</v>
      </c>
      <c r="AW107">
        <f>IF($AU$107&lt;4,0,MIN(MAX(0.5,Canh_bao_vong!$D$4),MAX(IF(Vu_khi!$C$107="cal_406",Canh_bao_vong!$D$7,IF($AU$107&gt;=5,Canh_bao_vong!$D$9,Canh_bao_vong!$D$8)),Canh_bao_vong!$D$2+MAX(0,Vu_khi!$X$107)/MAX(0.1,Canh_bao_vong!$D$5))))</f>
        <v/>
      </c>
      <c r="AX107" t="n">
        <v>0</v>
      </c>
      <c r="AY107" t="n">
        <v>0.99995</v>
      </c>
      <c r="AZ107" t="inlineStr">
        <is>
          <t>LECH_DOT_1</t>
        </is>
      </c>
      <c r="BA107" t="inlineStr"/>
      <c r="BB107" t="inlineStr">
        <is>
          <t>Assets/MachineBrigade/Resources/Data/balance.json: weapons[id=gun_152_he] (lớp B trên 01_chien_dau/Vu_khi)</t>
        </is>
      </c>
      <c r="BC107" t="inlineStr"/>
    </row>
    <row r="108">
      <c r="A108" t="inlineStr">
        <is>
          <t>gun_152_heat</t>
        </is>
      </c>
      <c r="B108" t="n">
        <v>3</v>
      </c>
      <c r="C108">
        <f>IF(Vu_khi!$O$108="SIMULTANEOUS",MAX(1,Vu_khi!$N$108),1)</f>
        <v/>
      </c>
      <c r="D108" t="n">
        <v>1</v>
      </c>
      <c r="E108">
        <f>IF(Vu_khi!$S$108&gt;0,Vu_khi!$S$108,Vu_khi!$P$108*$C$108)</f>
        <v/>
      </c>
      <c r="F108" t="n">
        <v>1</v>
      </c>
      <c r="G108">
        <f>IF(Vu_khi!$S$108&gt;0,(Vu_khi!$S$108-1)*Vu_khi!$R$108+Vu_khi!$T$108,Vu_khi!$R$108+(Vu_khi!$P$108-1)*Vu_khi!$Q$108)</f>
        <v/>
      </c>
      <c r="H108" t="n">
        <v>9.042999999999999</v>
      </c>
      <c r="I108">
        <f>Vu_khi!$W$108*MAX(1,$E$108)</f>
        <v/>
      </c>
      <c r="J108" t="n">
        <v>480</v>
      </c>
      <c r="K108">
        <f>IF(Vu_khi!$V$108&gt;0,Vu_khi!$V$108,MIN(28,MAX(10,Vu_khi!$U$108*Vu_khi!$R$108*0.4)))</f>
        <v/>
      </c>
      <c r="L108" t="n">
        <v>10</v>
      </c>
      <c r="M108">
        <f>IF(Vu_khi!$W$108&lt;=0,0,IF(Vu_khi!$U$108&gt;0,$I$108*Vu_khi!$U$108/(MAX(0.05,$G$108)*Vu_khi!$U$108+$K$108),$I$108/MAX(0.05,$G$108)))</f>
        <v/>
      </c>
      <c r="N108" t="n">
        <v>53.07973017803827</v>
      </c>
      <c r="O108">
        <f>OR(Vu_khi!$AG$108,Vu_khi!$AB$108&gt;0,Vu_khi!$AH$108,Vu_khi!$M$108="Bomb",Vu_khi!$M$108="Drone")</f>
        <v/>
      </c>
      <c r="P108" t="b">
        <v>0</v>
      </c>
      <c r="Q108">
        <f>AND(NOT(Vu_khi!$AJ$108),OR(Vu_khi!$AC$108="Ground",Vu_khi!$AC$108="All"))</f>
        <v/>
      </c>
      <c r="R108" t="b">
        <v>1</v>
      </c>
      <c r="S108">
        <f>AND(NOT(Vu_khi!$AJ$108),OR(Vu_khi!$AC$108="Air",Vu_khi!$AC$108="All"))</f>
        <v/>
      </c>
      <c r="T108" t="b">
        <v>0</v>
      </c>
      <c r="U108">
        <f>INDEX(Bang_sat_thuong!$B$2:$B$7,MATCH(Vu_khi!$K$108,Bang_sat_thuong!$A$2:$A$7,0))</f>
        <v/>
      </c>
      <c r="V108" t="n">
        <v>1</v>
      </c>
      <c r="W108">
        <f>INDEX(Bang_sat_thuong!$C$2:$C$7,MATCH(Vu_khi!$K$108,Bang_sat_thuong!$A$2:$A$7,0))</f>
        <v/>
      </c>
      <c r="X108" t="n">
        <v>0.3</v>
      </c>
      <c r="Y108">
        <f>IF(AND(Vu_khi!$AI$108,Vu_khi!$K$108="HighExplosive"),MAX(He_so_toan_cuc!$D$2,INDEX(Bang_sat_thuong!$D$2:$D$7,MATCH(Vu_khi!$K$108,Bang_sat_thuong!$A$2:$A$7,0))),INDEX(Bang_sat_thuong!$D$2:$D$7,MATCH(Vu_khi!$K$108,Bang_sat_thuong!$A$2:$A$7,0)))</f>
        <v/>
      </c>
      <c r="Z108" t="n">
        <v>0.6</v>
      </c>
      <c r="AA108">
        <f>INDEX(Bang_xuyen_giap!$C$2:$C$7,MIN(6,MAX(1,IF($O$108,MAX(1,2-(Vu_khi!$L$108-0)),2-(Vu_khi!$L$108-0))+1)))</f>
        <v/>
      </c>
      <c r="AB108" t="n">
        <v>1.2</v>
      </c>
      <c r="AC108">
        <f>INDEX(Bang_xuyen_giap!$C$2:$C$7,MIN(6,MAX(1,IF($O$108,MAX(1,2-(Vu_khi!$L$108-2)),2-(Vu_khi!$L$108-2))+1)))</f>
        <v/>
      </c>
      <c r="AD108" t="n">
        <v>1.2</v>
      </c>
      <c r="AE108">
        <f>INDEX(Bang_xuyen_giap!$C$2:$C$7,MIN(6,MAX(1,IF($O$108,MAX(1,2-(Vu_khi!$L$108-4)),2-(Vu_khi!$L$108-4))+1)))</f>
        <v/>
      </c>
      <c r="AF108" t="n">
        <v>0.85</v>
      </c>
      <c r="AG108">
        <f>INDEX(Bang_xuyen_giap!$C$2:$C$7,MIN(6,MAX(1,MAX(1,2-(Vu_khi!$L$108-0))+1)))</f>
        <v/>
      </c>
      <c r="AH108" t="n">
        <v>1</v>
      </c>
      <c r="AI108">
        <f>IF($Q$108,$M$108*$AA$108*$U$108,0)</f>
        <v/>
      </c>
      <c r="AJ108" t="n">
        <v>63.69567621364592</v>
      </c>
      <c r="AK108">
        <f>IF($Q$108,$M$108*$AC$108*$U$108,0)</f>
        <v/>
      </c>
      <c r="AL108" t="n">
        <v>63.69567621364592</v>
      </c>
      <c r="AM108">
        <f>IF($Q$108,$M$108*$AE$108*$U$108,0)</f>
        <v/>
      </c>
      <c r="AN108" t="n">
        <v>45.11777065133253</v>
      </c>
      <c r="AO108">
        <f>IF($Q$108,$M$108*$AC$108*$Y$108,0)</f>
        <v/>
      </c>
      <c r="AP108" t="n">
        <v>38.21740572818755</v>
      </c>
      <c r="AQ108">
        <f>IF($S$108,$M$108*$AG$108*$W$108,0)</f>
        <v/>
      </c>
      <c r="AR108" t="n">
        <v>0</v>
      </c>
      <c r="AS108">
        <f>IF(OR(Vu_khi!$M$108="Missile",Vu_khi!$M$108="Drone",AND(Vu_khi!$M$108="Rocket",OR(Vu_khi!$AM$108,Vu_khi!$D$108="guided")),Vu_khi!$AL$108,Vu_khi!$AK$108,Vu_khi!$X$108&lt;=0),FALSE,IF($B$108&gt;=0,$B$108&gt;=4,IF(Vu_khi!$M$108="Shell",Vu_khi!$AN$108&gt;=Canh_bao_vong!$D$10,IF(Vu_khi!$M$108="Bomb",Vu_khi!$AN$108&gt;=Canh_bao_vong!$D$3,IF(Vu_khi!$M$108="Rocket",Vu_khi!$AN$108&gt;=Canh_bao_vong!$D$13,FALSE)))))</f>
        <v/>
      </c>
      <c r="AT108" t="b">
        <v>0</v>
      </c>
      <c r="AU108">
        <f>IF(AND($B$108&lt;0,$AS$108),4,$B$108)</f>
        <v/>
      </c>
      <c r="AV108" t="n">
        <v>3</v>
      </c>
      <c r="AW108">
        <f>IF($AU$108&lt;4,0,MIN(MAX(0.5,Canh_bao_vong!$D$4),MAX(IF(Vu_khi!$C$108="cal_406",Canh_bao_vong!$D$7,IF($AU$108&gt;=5,Canh_bao_vong!$D$9,Canh_bao_vong!$D$8)),Canh_bao_vong!$D$2+MAX(0,Vu_khi!$X$108)/MAX(0.1,Canh_bao_vong!$D$5))))</f>
        <v/>
      </c>
      <c r="AX108" t="n">
        <v>0</v>
      </c>
      <c r="AY108" t="n">
        <v>1.055017</v>
      </c>
      <c r="AZ108" t="inlineStr">
        <is>
          <t>LECH_DOT_1</t>
        </is>
      </c>
      <c r="BA108" t="inlineStr"/>
      <c r="BB108" t="inlineStr">
        <is>
          <t>Assets/MachineBrigade/Resources/Data/balance.json: weapons[id=gun_152_heat] (lớp B trên 01_chien_dau/Vu_khi)</t>
        </is>
      </c>
      <c r="BC108" t="inlineStr"/>
    </row>
    <row r="109">
      <c r="A109" t="inlineStr">
        <is>
          <t>gun_152_heat_he</t>
        </is>
      </c>
      <c r="B109" t="n">
        <v>3</v>
      </c>
      <c r="C109">
        <f>IF(Vu_khi!$O$109="SIMULTANEOUS",MAX(1,Vu_khi!$N$109),1)</f>
        <v/>
      </c>
      <c r="D109" t="n">
        <v>1</v>
      </c>
      <c r="E109">
        <f>IF(Vu_khi!$S$109&gt;0,Vu_khi!$S$109,Vu_khi!$P$109*$C$109)</f>
        <v/>
      </c>
      <c r="F109" t="n">
        <v>1</v>
      </c>
      <c r="G109">
        <f>IF(Vu_khi!$S$109&gt;0,(Vu_khi!$S$109-1)*Vu_khi!$R$109+Vu_khi!$T$109,Vu_khi!$R$109+(Vu_khi!$P$109-1)*Vu_khi!$Q$109)</f>
        <v/>
      </c>
      <c r="H109" t="n">
        <v>9.042999999999999</v>
      </c>
      <c r="I109">
        <f>Vu_khi!$W$109*MAX(1,$E$109)</f>
        <v/>
      </c>
      <c r="J109" t="n">
        <v>457</v>
      </c>
      <c r="K109">
        <f>IF(Vu_khi!$V$109&gt;0,Vu_khi!$V$109,MIN(28,MAX(10,Vu_khi!$U$109*Vu_khi!$R$109*0.4)))</f>
        <v/>
      </c>
      <c r="L109" t="n">
        <v>10</v>
      </c>
      <c r="M109">
        <f>IF(Vu_khi!$W$109&lt;=0,0,IF(Vu_khi!$U$109&gt;0,$I$109*Vu_khi!$U$109/(MAX(0.05,$G$109)*Vu_khi!$U$109+$K$109),$I$109/MAX(0.05,$G$109)))</f>
        <v/>
      </c>
      <c r="N109" t="n">
        <v>50.5363264403406</v>
      </c>
      <c r="O109">
        <f>OR(Vu_khi!$AG$109,Vu_khi!$AB$109&gt;0,Vu_khi!$AH$109,Vu_khi!$M$109="Bomb",Vu_khi!$M$109="Drone")</f>
        <v/>
      </c>
      <c r="P109" t="b">
        <v>0</v>
      </c>
      <c r="Q109">
        <f>AND(NOT(Vu_khi!$AJ$109),OR(Vu_khi!$AC$109="Ground",Vu_khi!$AC$109="All"))</f>
        <v/>
      </c>
      <c r="R109" t="b">
        <v>1</v>
      </c>
      <c r="S109">
        <f>AND(NOT(Vu_khi!$AJ$109),OR(Vu_khi!$AC$109="Air",Vu_khi!$AC$109="All"))</f>
        <v/>
      </c>
      <c r="T109" t="b">
        <v>0</v>
      </c>
      <c r="U109">
        <f>INDEX(Bang_sat_thuong!$B$2:$B$7,MATCH(Vu_khi!$K$109,Bang_sat_thuong!$A$2:$A$7,0))</f>
        <v/>
      </c>
      <c r="V109" t="n">
        <v>1</v>
      </c>
      <c r="W109">
        <f>INDEX(Bang_sat_thuong!$C$2:$C$7,MATCH(Vu_khi!$K$109,Bang_sat_thuong!$A$2:$A$7,0))</f>
        <v/>
      </c>
      <c r="X109" t="n">
        <v>0</v>
      </c>
      <c r="Y109">
        <f>IF(AND(Vu_khi!$AI$109,Vu_khi!$K$109="HighExplosive"),MAX(He_so_toan_cuc!$D$2,INDEX(Bang_sat_thuong!$D$2:$D$7,MATCH(Vu_khi!$K$109,Bang_sat_thuong!$A$2:$A$7,0))),INDEX(Bang_sat_thuong!$D$2:$D$7,MATCH(Vu_khi!$K$109,Bang_sat_thuong!$A$2:$A$7,0)))</f>
        <v/>
      </c>
      <c r="Z109" t="n">
        <v>1.5</v>
      </c>
      <c r="AA109">
        <f>INDEX(Bang_xuyen_giap!$C$2:$C$7,MIN(6,MAX(1,IF($O$109,MAX(1,2-(Vu_khi!$L$109-0)),2-(Vu_khi!$L$109-0))+1)))</f>
        <v/>
      </c>
      <c r="AB109" t="n">
        <v>1.2</v>
      </c>
      <c r="AC109">
        <f>INDEX(Bang_xuyen_giap!$C$2:$C$7,MIN(6,MAX(1,IF($O$109,MAX(1,2-(Vu_khi!$L$109-2)),2-(Vu_khi!$L$109-2))+1)))</f>
        <v/>
      </c>
      <c r="AD109" t="n">
        <v>1</v>
      </c>
      <c r="AE109">
        <f>INDEX(Bang_xuyen_giap!$C$2:$C$7,MIN(6,MAX(1,IF($O$109,MAX(1,2-(Vu_khi!$L$109-4)),2-(Vu_khi!$L$109-4))+1)))</f>
        <v/>
      </c>
      <c r="AF109" t="n">
        <v>0.5</v>
      </c>
      <c r="AG109">
        <f>INDEX(Bang_xuyen_giap!$C$2:$C$7,MIN(6,MAX(1,MAX(1,2-(Vu_khi!$L$109-0))+1)))</f>
        <v/>
      </c>
      <c r="AH109" t="n">
        <v>1</v>
      </c>
      <c r="AI109">
        <f>IF($Q$109,$M$109*$AA$109*$U$109,0)</f>
        <v/>
      </c>
      <c r="AJ109" t="n">
        <v>60.64359172840872</v>
      </c>
      <c r="AK109">
        <f>IF($Q$109,$M$109*$AC$109*$U$109,0)</f>
        <v/>
      </c>
      <c r="AL109" t="n">
        <v>50.5363264403406</v>
      </c>
      <c r="AM109">
        <f>IF($Q$109,$M$109*$AE$109*$U$109,0)</f>
        <v/>
      </c>
      <c r="AN109" t="n">
        <v>25.2681632201703</v>
      </c>
      <c r="AO109">
        <f>IF($Q$109,$M$109*$AC$109*$Y$109,0)</f>
        <v/>
      </c>
      <c r="AP109" t="n">
        <v>75.80448966051091</v>
      </c>
      <c r="AQ109">
        <f>IF($S$109,$M$109*$AG$109*$W$109,0)</f>
        <v/>
      </c>
      <c r="AR109" t="n">
        <v>0</v>
      </c>
      <c r="AS109">
        <f>IF(OR(Vu_khi!$M$109="Missile",Vu_khi!$M$109="Drone",AND(Vu_khi!$M$109="Rocket",OR(Vu_khi!$AM$109,Vu_khi!$D$109="guided")),Vu_khi!$AL$109,Vu_khi!$AK$109,Vu_khi!$X$109&lt;=0),FALSE,IF($B$109&gt;=0,$B$109&gt;=4,IF(Vu_khi!$M$109="Shell",Vu_khi!$AN$109&gt;=Canh_bao_vong!$D$10,IF(Vu_khi!$M$109="Bomb",Vu_khi!$AN$109&gt;=Canh_bao_vong!$D$3,IF(Vu_khi!$M$109="Rocket",Vu_khi!$AN$109&gt;=Canh_bao_vong!$D$13,FALSE)))))</f>
        <v/>
      </c>
      <c r="AT109" t="b">
        <v>0</v>
      </c>
      <c r="AU109">
        <f>IF(AND($B$109&lt;0,$AS$109),4,$B$109)</f>
        <v/>
      </c>
      <c r="AV109" t="n">
        <v>3</v>
      </c>
      <c r="AW109">
        <f>IF($AU$109&lt;4,0,MIN(MAX(0.5,Canh_bao_vong!$D$4),MAX(IF(Vu_khi!$C$109="cal_406",Canh_bao_vong!$D$7,IF($AU$109&gt;=5,Canh_bao_vong!$D$9,Canh_bao_vong!$D$8)),Canh_bao_vong!$D$2+MAX(0,Vu_khi!$X$109)/MAX(0.1,Canh_bao_vong!$D$5))))</f>
        <v/>
      </c>
      <c r="AX109" t="n">
        <v>0</v>
      </c>
      <c r="BB109" t="inlineStr">
        <is>
          <t>Assets/MachineBrigade/Resources/Data/balance.json: weapons[id=gun_152_heat_he] (lớp B trên 01_chien_dau/Vu_khi)</t>
        </is>
      </c>
      <c r="BC109" t="inlineStr"/>
    </row>
    <row r="110">
      <c r="A110" t="inlineStr">
        <is>
          <t>gun_155_coastal</t>
        </is>
      </c>
      <c r="B110" t="n">
        <v>3</v>
      </c>
      <c r="C110">
        <f>IF(Vu_khi!$O$110="SIMULTANEOUS",MAX(1,Vu_khi!$N$110),1)</f>
        <v/>
      </c>
      <c r="D110" t="n">
        <v>1</v>
      </c>
      <c r="E110">
        <f>IF(Vu_khi!$S$110&gt;0,Vu_khi!$S$110,Vu_khi!$P$110*$C$110)</f>
        <v/>
      </c>
      <c r="F110" t="n">
        <v>2</v>
      </c>
      <c r="G110">
        <f>IF(Vu_khi!$S$110&gt;0,(Vu_khi!$S$110-1)*Vu_khi!$R$110+Vu_khi!$T$110,Vu_khi!$R$110+(Vu_khi!$P$110-1)*Vu_khi!$Q$110)</f>
        <v/>
      </c>
      <c r="H110" t="n">
        <v>12.629</v>
      </c>
      <c r="I110">
        <f>Vu_khi!$W$110*MAX(1,$E$110)</f>
        <v/>
      </c>
      <c r="J110" t="n">
        <v>914</v>
      </c>
      <c r="K110">
        <f>IF(Vu_khi!$V$110&gt;0,Vu_khi!$V$110,MIN(28,MAX(10,Vu_khi!$U$110*Vu_khi!$R$110*0.4)))</f>
        <v/>
      </c>
      <c r="L110" t="n">
        <v>10</v>
      </c>
      <c r="M110">
        <f>IF(Vu_khi!$W$110&lt;=0,0,IF(Vu_khi!$U$110&gt;0,$I$110*Vu_khi!$U$110/(MAX(0.05,$G$110)*Vu_khi!$U$110+$K$110),$I$110/MAX(0.05,$G$110)))</f>
        <v/>
      </c>
      <c r="N110" t="n">
        <v>72.37310950985825</v>
      </c>
      <c r="O110">
        <f>OR(Vu_khi!$AG$110,Vu_khi!$AB$110&gt;0,Vu_khi!$AH$110,Vu_khi!$M$110="Bomb",Vu_khi!$M$110="Drone")</f>
        <v/>
      </c>
      <c r="P110" t="b">
        <v>0</v>
      </c>
      <c r="Q110">
        <f>AND(NOT(Vu_khi!$AJ$110),OR(Vu_khi!$AC$110="Ground",Vu_khi!$AC$110="All"))</f>
        <v/>
      </c>
      <c r="R110" t="b">
        <v>1</v>
      </c>
      <c r="S110">
        <f>AND(NOT(Vu_khi!$AJ$110),OR(Vu_khi!$AC$110="Air",Vu_khi!$AC$110="All"))</f>
        <v/>
      </c>
      <c r="T110" t="b">
        <v>0</v>
      </c>
      <c r="U110">
        <f>INDEX(Bang_sat_thuong!$B$2:$B$7,MATCH(Vu_khi!$K$110,Bang_sat_thuong!$A$2:$A$7,0))</f>
        <v/>
      </c>
      <c r="V110" t="n">
        <v>1</v>
      </c>
      <c r="W110">
        <f>INDEX(Bang_sat_thuong!$C$2:$C$7,MATCH(Vu_khi!$K$110,Bang_sat_thuong!$A$2:$A$7,0))</f>
        <v/>
      </c>
      <c r="X110" t="n">
        <v>0</v>
      </c>
      <c r="Y110">
        <f>IF(AND(Vu_khi!$AI$110,Vu_khi!$K$110="HighExplosive"),MAX(He_so_toan_cuc!$D$2,INDEX(Bang_sat_thuong!$D$2:$D$7,MATCH(Vu_khi!$K$110,Bang_sat_thuong!$A$2:$A$7,0))),INDEX(Bang_sat_thuong!$D$2:$D$7,MATCH(Vu_khi!$K$110,Bang_sat_thuong!$A$2:$A$7,0)))</f>
        <v/>
      </c>
      <c r="Z110" t="n">
        <v>1.5</v>
      </c>
      <c r="AA110">
        <f>INDEX(Bang_xuyen_giap!$C$2:$C$7,MIN(6,MAX(1,IF($O$110,MAX(1,2-(Vu_khi!$L$110-0)),2-(Vu_khi!$L$110-0))+1)))</f>
        <v/>
      </c>
      <c r="AB110" t="n">
        <v>1.2</v>
      </c>
      <c r="AC110">
        <f>INDEX(Bang_xuyen_giap!$C$2:$C$7,MIN(6,MAX(1,IF($O$110,MAX(1,2-(Vu_khi!$L$110-2)),2-(Vu_khi!$L$110-2))+1)))</f>
        <v/>
      </c>
      <c r="AD110" t="n">
        <v>1</v>
      </c>
      <c r="AE110">
        <f>INDEX(Bang_xuyen_giap!$C$2:$C$7,MIN(6,MAX(1,IF($O$110,MAX(1,2-(Vu_khi!$L$110-4)),2-(Vu_khi!$L$110-4))+1)))</f>
        <v/>
      </c>
      <c r="AF110" t="n">
        <v>0.5</v>
      </c>
      <c r="AG110">
        <f>INDEX(Bang_xuyen_giap!$C$2:$C$7,MIN(6,MAX(1,MAX(1,2-(Vu_khi!$L$110-0))+1)))</f>
        <v/>
      </c>
      <c r="AH110" t="n">
        <v>1</v>
      </c>
      <c r="AI110">
        <f>IF($Q$110,$M$110*$AA$110*$U$110,0)</f>
        <v/>
      </c>
      <c r="AJ110" t="n">
        <v>86.8477314118299</v>
      </c>
      <c r="AK110">
        <f>IF($Q$110,$M$110*$AC$110*$U$110,0)</f>
        <v/>
      </c>
      <c r="AL110" t="n">
        <v>72.37310950985825</v>
      </c>
      <c r="AM110">
        <f>IF($Q$110,$M$110*$AE$110*$U$110,0)</f>
        <v/>
      </c>
      <c r="AN110" t="n">
        <v>36.18655475492913</v>
      </c>
      <c r="AO110">
        <f>IF($Q$110,$M$110*$AC$110*$Y$110,0)</f>
        <v/>
      </c>
      <c r="AP110" t="n">
        <v>108.5596642647874</v>
      </c>
      <c r="AQ110">
        <f>IF($S$110,$M$110*$AG$110*$W$110,0)</f>
        <v/>
      </c>
      <c r="AR110" t="n">
        <v>0</v>
      </c>
      <c r="AS110">
        <f>IF(OR(Vu_khi!$M$110="Missile",Vu_khi!$M$110="Drone",AND(Vu_khi!$M$110="Rocket",OR(Vu_khi!$AM$110,Vu_khi!$D$110="guided")),Vu_khi!$AL$110,Vu_khi!$AK$110,Vu_khi!$X$110&lt;=0),FALSE,IF($B$110&gt;=0,$B$110&gt;=4,IF(Vu_khi!$M$110="Shell",Vu_khi!$AN$110&gt;=Canh_bao_vong!$D$10,IF(Vu_khi!$M$110="Bomb",Vu_khi!$AN$110&gt;=Canh_bao_vong!$D$3,IF(Vu_khi!$M$110="Rocket",Vu_khi!$AN$110&gt;=Canh_bao_vong!$D$13,FALSE)))))</f>
        <v/>
      </c>
      <c r="AT110" t="b">
        <v>0</v>
      </c>
      <c r="AU110">
        <f>IF(AND($B$110&lt;0,$AS$110),4,$B$110)</f>
        <v/>
      </c>
      <c r="AV110" t="n">
        <v>3</v>
      </c>
      <c r="AW110">
        <f>IF($AU$110&lt;4,0,MIN(MAX(0.5,Canh_bao_vong!$D$4),MAX(IF(Vu_khi!$C$110="cal_406",Canh_bao_vong!$D$7,IF($AU$110&gt;=5,Canh_bao_vong!$D$9,Canh_bao_vong!$D$8)),Canh_bao_vong!$D$2+MAX(0,Vu_khi!$X$110)/MAX(0.1,Canh_bao_vong!$D$5))))</f>
        <v/>
      </c>
      <c r="AX110" t="n">
        <v>0</v>
      </c>
      <c r="AY110" t="n">
        <v>0.294677</v>
      </c>
      <c r="AZ110" t="inlineStr">
        <is>
          <t>NHANH_QUA;LECH_DOT_1</t>
        </is>
      </c>
      <c r="BA110" t="inlineStr"/>
      <c r="BB110" t="inlineStr">
        <is>
          <t>Assets/MachineBrigade/Resources/Data/balance.json: weapons[id=gun_155_coastal] (lớp B trên 01_chien_dau/Vu_khi)</t>
        </is>
      </c>
      <c r="BC110" t="inlineStr"/>
    </row>
    <row r="111">
      <c r="A111" t="inlineStr">
        <is>
          <t>gun_155_coastal_guided</t>
        </is>
      </c>
      <c r="B111" t="n">
        <v>3</v>
      </c>
      <c r="C111">
        <f>IF(Vu_khi!$O$111="SIMULTANEOUS",MAX(1,Vu_khi!$N$111),1)</f>
        <v/>
      </c>
      <c r="D111" t="n">
        <v>1</v>
      </c>
      <c r="E111">
        <f>IF(Vu_khi!$S$111&gt;0,Vu_khi!$S$111,Vu_khi!$P$111*$C$111)</f>
        <v/>
      </c>
      <c r="F111" t="n">
        <v>1</v>
      </c>
      <c r="G111">
        <f>IF(Vu_khi!$S$111&gt;0,(Vu_khi!$S$111-1)*Vu_khi!$R$111+Vu_khi!$T$111,Vu_khi!$R$111+(Vu_khi!$P$111-1)*Vu_khi!$Q$111)</f>
        <v/>
      </c>
      <c r="H111" t="n">
        <v>12.579</v>
      </c>
      <c r="I111">
        <f>Vu_khi!$W$111*MAX(1,$E$111)</f>
        <v/>
      </c>
      <c r="J111" t="n">
        <v>457</v>
      </c>
      <c r="K111">
        <f>IF(Vu_khi!$V$111&gt;0,Vu_khi!$V$111,MIN(28,MAX(10,Vu_khi!$U$111*Vu_khi!$R$111*0.4)))</f>
        <v/>
      </c>
      <c r="L111" t="n">
        <v>10</v>
      </c>
      <c r="M111">
        <f>IF(Vu_khi!$W$111&lt;=0,0,IF(Vu_khi!$U$111&gt;0,$I$111*Vu_khi!$U$111/(MAX(0.05,$G$111)*Vu_khi!$U$111+$K$111),$I$111/MAX(0.05,$G$111)))</f>
        <v/>
      </c>
      <c r="N111" t="n">
        <v>36.33039192304634</v>
      </c>
      <c r="O111">
        <f>OR(Vu_khi!$AG$111,Vu_khi!$AB$111&gt;0,Vu_khi!$AH$111,Vu_khi!$M$111="Bomb",Vu_khi!$M$111="Drone")</f>
        <v/>
      </c>
      <c r="P111" t="b">
        <v>0</v>
      </c>
      <c r="Q111">
        <f>AND(NOT(Vu_khi!$AJ$111),OR(Vu_khi!$AC$111="Ground",Vu_khi!$AC$111="All"))</f>
        <v/>
      </c>
      <c r="R111" t="b">
        <v>1</v>
      </c>
      <c r="S111">
        <f>AND(NOT(Vu_khi!$AJ$111),OR(Vu_khi!$AC$111="Air",Vu_khi!$AC$111="All"))</f>
        <v/>
      </c>
      <c r="T111" t="b">
        <v>0</v>
      </c>
      <c r="U111">
        <f>INDEX(Bang_sat_thuong!$B$2:$B$7,MATCH(Vu_khi!$K$111,Bang_sat_thuong!$A$2:$A$7,0))</f>
        <v/>
      </c>
      <c r="V111" t="n">
        <v>1</v>
      </c>
      <c r="W111">
        <f>INDEX(Bang_sat_thuong!$C$2:$C$7,MATCH(Vu_khi!$K$111,Bang_sat_thuong!$A$2:$A$7,0))</f>
        <v/>
      </c>
      <c r="X111" t="n">
        <v>0</v>
      </c>
      <c r="Y111">
        <f>IF(AND(Vu_khi!$AI$111,Vu_khi!$K$111="HighExplosive"),MAX(He_so_toan_cuc!$D$2,INDEX(Bang_sat_thuong!$D$2:$D$7,MATCH(Vu_khi!$K$111,Bang_sat_thuong!$A$2:$A$7,0))),INDEX(Bang_sat_thuong!$D$2:$D$7,MATCH(Vu_khi!$K$111,Bang_sat_thuong!$A$2:$A$7,0)))</f>
        <v/>
      </c>
      <c r="Z111" t="n">
        <v>1.5</v>
      </c>
      <c r="AA111">
        <f>INDEX(Bang_xuyen_giap!$C$2:$C$7,MIN(6,MAX(1,IF($O$111,MAX(1,2-(Vu_khi!$L$111-0)),2-(Vu_khi!$L$111-0))+1)))</f>
        <v/>
      </c>
      <c r="AB111" t="n">
        <v>1.2</v>
      </c>
      <c r="AC111">
        <f>INDEX(Bang_xuyen_giap!$C$2:$C$7,MIN(6,MAX(1,IF($O$111,MAX(1,2-(Vu_khi!$L$111-2)),2-(Vu_khi!$L$111-2))+1)))</f>
        <v/>
      </c>
      <c r="AD111" t="n">
        <v>1</v>
      </c>
      <c r="AE111">
        <f>INDEX(Bang_xuyen_giap!$C$2:$C$7,MIN(6,MAX(1,IF($O$111,MAX(1,2-(Vu_khi!$L$111-4)),2-(Vu_khi!$L$111-4))+1)))</f>
        <v/>
      </c>
      <c r="AF111" t="n">
        <v>0.5</v>
      </c>
      <c r="AG111">
        <f>INDEX(Bang_xuyen_giap!$C$2:$C$7,MIN(6,MAX(1,MAX(1,2-(Vu_khi!$L$111-0))+1)))</f>
        <v/>
      </c>
      <c r="AH111" t="n">
        <v>1</v>
      </c>
      <c r="AI111">
        <f>IF($Q$111,$M$111*$AA$111*$U$111,0)</f>
        <v/>
      </c>
      <c r="AJ111" t="n">
        <v>43.59647030765561</v>
      </c>
      <c r="AK111">
        <f>IF($Q$111,$M$111*$AC$111*$U$111,0)</f>
        <v/>
      </c>
      <c r="AL111" t="n">
        <v>36.33039192304634</v>
      </c>
      <c r="AM111">
        <f>IF($Q$111,$M$111*$AE$111*$U$111,0)</f>
        <v/>
      </c>
      <c r="AN111" t="n">
        <v>18.16519596152317</v>
      </c>
      <c r="AO111">
        <f>IF($Q$111,$M$111*$AC$111*$Y$111,0)</f>
        <v/>
      </c>
      <c r="AP111" t="n">
        <v>54.49558788456952</v>
      </c>
      <c r="AQ111">
        <f>IF($S$111,$M$111*$AG$111*$W$111,0)</f>
        <v/>
      </c>
      <c r="AR111" t="n">
        <v>0</v>
      </c>
      <c r="AS111">
        <f>IF(OR(Vu_khi!$M$111="Missile",Vu_khi!$M$111="Drone",AND(Vu_khi!$M$111="Rocket",OR(Vu_khi!$AM$111,Vu_khi!$D$111="guided")),Vu_khi!$AL$111,Vu_khi!$AK$111,Vu_khi!$X$111&lt;=0),FALSE,IF($B$111&gt;=0,$B$111&gt;=4,IF(Vu_khi!$M$111="Shell",Vu_khi!$AN$111&gt;=Canh_bao_vong!$D$10,IF(Vu_khi!$M$111="Bomb",Vu_khi!$AN$111&gt;=Canh_bao_vong!$D$3,IF(Vu_khi!$M$111="Rocket",Vu_khi!$AN$111&gt;=Canh_bao_vong!$D$13,FALSE)))))</f>
        <v/>
      </c>
      <c r="AT111" t="b">
        <v>0</v>
      </c>
      <c r="AU111">
        <f>IF(AND($B$111&lt;0,$AS$111),4,$B$111)</f>
        <v/>
      </c>
      <c r="AV111" t="n">
        <v>3</v>
      </c>
      <c r="AW111">
        <f>IF($AU$111&lt;4,0,MIN(MAX(0.5,Canh_bao_vong!$D$4),MAX(IF(Vu_khi!$C$111="cal_406",Canh_bao_vong!$D$7,IF($AU$111&gt;=5,Canh_bao_vong!$D$9,Canh_bao_vong!$D$8)),Canh_bao_vong!$D$2+MAX(0,Vu_khi!$X$111)/MAX(0.1,Canh_bao_vong!$D$5))))</f>
        <v/>
      </c>
      <c r="AX111" t="n">
        <v>0</v>
      </c>
      <c r="BB111" t="inlineStr">
        <is>
          <t>Assets/MachineBrigade/Resources/Data/balance.json: weapons[id=gun_155_coastal_guided] (lớp B trên 01_chien_dau/Vu_khi)</t>
        </is>
      </c>
      <c r="BC111" t="inlineStr"/>
    </row>
    <row r="112">
      <c r="A112" t="inlineStr">
        <is>
          <t>gun_155_sph</t>
        </is>
      </c>
      <c r="B112" t="n">
        <v>3</v>
      </c>
      <c r="C112">
        <f>IF(Vu_khi!$O$112="SIMULTANEOUS",MAX(1,Vu_khi!$N$112),1)</f>
        <v/>
      </c>
      <c r="D112" t="n">
        <v>1</v>
      </c>
      <c r="E112">
        <f>IF(Vu_khi!$S$112&gt;0,Vu_khi!$S$112,Vu_khi!$P$112*$C$112)</f>
        <v/>
      </c>
      <c r="F112" t="n">
        <v>1</v>
      </c>
      <c r="G112">
        <f>IF(Vu_khi!$S$112&gt;0,(Vu_khi!$S$112-1)*Vu_khi!$R$112+Vu_khi!$T$112,Vu_khi!$R$112+(Vu_khi!$P$112-1)*Vu_khi!$Q$112)</f>
        <v/>
      </c>
      <c r="H112" t="n">
        <v>12.81</v>
      </c>
      <c r="I112">
        <f>Vu_khi!$W$112*MAX(1,$E$112)</f>
        <v/>
      </c>
      <c r="J112" t="n">
        <v>320</v>
      </c>
      <c r="K112">
        <f>IF(Vu_khi!$V$112&gt;0,Vu_khi!$V$112,MIN(28,MAX(10,Vu_khi!$U$112*Vu_khi!$R$112*0.4)))</f>
        <v/>
      </c>
      <c r="L112" t="n">
        <v>41.9</v>
      </c>
      <c r="M112">
        <f>IF(Vu_khi!$W$112&lt;=0,0,IF(Vu_khi!$U$112&gt;0,$I$112*Vu_khi!$U$112/(MAX(0.05,$G$112)*Vu_khi!$U$112+$K$112),$I$112/MAX(0.05,$G$112)))</f>
        <v/>
      </c>
      <c r="N112" t="n">
        <v>20.74050068864944</v>
      </c>
      <c r="O112">
        <f>OR(Vu_khi!$AG$112,Vu_khi!$AB$112&gt;0,Vu_khi!$AH$112,Vu_khi!$M$112="Bomb",Vu_khi!$M$112="Drone")</f>
        <v/>
      </c>
      <c r="P112" t="b">
        <v>1</v>
      </c>
      <c r="Q112">
        <f>AND(NOT(Vu_khi!$AJ$112),OR(Vu_khi!$AC$112="Ground",Vu_khi!$AC$112="All"))</f>
        <v/>
      </c>
      <c r="R112" t="b">
        <v>1</v>
      </c>
      <c r="S112">
        <f>AND(NOT(Vu_khi!$AJ$112),OR(Vu_khi!$AC$112="Air",Vu_khi!$AC$112="All"))</f>
        <v/>
      </c>
      <c r="T112" t="b">
        <v>0</v>
      </c>
      <c r="U112">
        <f>INDEX(Bang_sat_thuong!$B$2:$B$7,MATCH(Vu_khi!$K$112,Bang_sat_thuong!$A$2:$A$7,0))</f>
        <v/>
      </c>
      <c r="V112" t="n">
        <v>1</v>
      </c>
      <c r="W112">
        <f>INDEX(Bang_sat_thuong!$C$2:$C$7,MATCH(Vu_khi!$K$112,Bang_sat_thuong!$A$2:$A$7,0))</f>
        <v/>
      </c>
      <c r="X112" t="n">
        <v>0</v>
      </c>
      <c r="Y112">
        <f>IF(AND(Vu_khi!$AI$112,Vu_khi!$K$112="HighExplosive"),MAX(He_so_toan_cuc!$D$2,INDEX(Bang_sat_thuong!$D$2:$D$7,MATCH(Vu_khi!$K$112,Bang_sat_thuong!$A$2:$A$7,0))),INDEX(Bang_sat_thuong!$D$2:$D$7,MATCH(Vu_khi!$K$112,Bang_sat_thuong!$A$2:$A$7,0)))</f>
        <v/>
      </c>
      <c r="Z112" t="n">
        <v>1.5</v>
      </c>
      <c r="AA112">
        <f>INDEX(Bang_xuyen_giap!$C$2:$C$7,MIN(6,MAX(1,IF($O$112,MAX(1,2-(Vu_khi!$L$112-0)),2-(Vu_khi!$L$112-0))+1)))</f>
        <v/>
      </c>
      <c r="AB112" t="n">
        <v>1</v>
      </c>
      <c r="AC112">
        <f>INDEX(Bang_xuyen_giap!$C$2:$C$7,MIN(6,MAX(1,IF($O$112,MAX(1,2-(Vu_khi!$L$112-2)),2-(Vu_khi!$L$112-2))+1)))</f>
        <v/>
      </c>
      <c r="AD112" t="n">
        <v>1</v>
      </c>
      <c r="AE112">
        <f>INDEX(Bang_xuyen_giap!$C$2:$C$7,MIN(6,MAX(1,IF($O$112,MAX(1,2-(Vu_khi!$L$112-4)),2-(Vu_khi!$L$112-4))+1)))</f>
        <v/>
      </c>
      <c r="AF112" t="n">
        <v>0.5</v>
      </c>
      <c r="AG112">
        <f>INDEX(Bang_xuyen_giap!$C$2:$C$7,MIN(6,MAX(1,MAX(1,2-(Vu_khi!$L$112-0))+1)))</f>
        <v/>
      </c>
      <c r="AH112" t="n">
        <v>1</v>
      </c>
      <c r="AI112">
        <f>IF($Q$112,$M$112*$AA$112*$U$112,0)</f>
        <v/>
      </c>
      <c r="AJ112" t="n">
        <v>20.74050068864944</v>
      </c>
      <c r="AK112">
        <f>IF($Q$112,$M$112*$AC$112*$U$112,0)</f>
        <v/>
      </c>
      <c r="AL112" t="n">
        <v>20.74050068864944</v>
      </c>
      <c r="AM112">
        <f>IF($Q$112,$M$112*$AE$112*$U$112,0)</f>
        <v/>
      </c>
      <c r="AN112" t="n">
        <v>10.37025034432472</v>
      </c>
      <c r="AO112">
        <f>IF($Q$112,$M$112*$AC$112*$Y$112,0)</f>
        <v/>
      </c>
      <c r="AP112" t="n">
        <v>31.11075103297416</v>
      </c>
      <c r="AQ112">
        <f>IF($S$112,$M$112*$AG$112*$W$112,0)</f>
        <v/>
      </c>
      <c r="AR112" t="n">
        <v>0</v>
      </c>
      <c r="AS112">
        <f>IF(OR(Vu_khi!$M$112="Missile",Vu_khi!$M$112="Drone",AND(Vu_khi!$M$112="Rocket",OR(Vu_khi!$AM$112,Vu_khi!$D$112="guided")),Vu_khi!$AL$112,Vu_khi!$AK$112,Vu_khi!$X$112&lt;=0),FALSE,IF($B$112&gt;=0,$B$112&gt;=4,IF(Vu_khi!$M$112="Shell",Vu_khi!$AN$112&gt;=Canh_bao_vong!$D$10,IF(Vu_khi!$M$112="Bomb",Vu_khi!$AN$112&gt;=Canh_bao_vong!$D$3,IF(Vu_khi!$M$112="Rocket",Vu_khi!$AN$112&gt;=Canh_bao_vong!$D$13,FALSE)))))</f>
        <v/>
      </c>
      <c r="AT112" t="b">
        <v>0</v>
      </c>
      <c r="AU112">
        <f>IF(AND($B$112&lt;0,$AS$112),4,$B$112)</f>
        <v/>
      </c>
      <c r="AV112" t="n">
        <v>3</v>
      </c>
      <c r="AW112">
        <f>IF($AU$112&lt;4,0,MIN(MAX(0.5,Canh_bao_vong!$D$4),MAX(IF(Vu_khi!$C$112="cal_406",Canh_bao_vong!$D$7,IF($AU$112&gt;=5,Canh_bao_vong!$D$9,Canh_bao_vong!$D$8)),Canh_bao_vong!$D$2+MAX(0,Vu_khi!$X$112)/MAX(0.1,Canh_bao_vong!$D$5))))</f>
        <v/>
      </c>
      <c r="AX112" t="n">
        <v>0</v>
      </c>
      <c r="AY112" t="n">
        <v>0.720008</v>
      </c>
      <c r="AZ112" t="inlineStr">
        <is>
          <t>ok</t>
        </is>
      </c>
      <c r="BA112" t="inlineStr"/>
      <c r="BB112" t="inlineStr">
        <is>
          <t>Assets/MachineBrigade/Resources/Data/balance.json: weapons[id=gun_155_sph] (lớp B trên 01_chien_dau/Vu_khi)</t>
        </is>
      </c>
      <c r="BC112" t="inlineStr"/>
    </row>
    <row r="113">
      <c r="A113" t="inlineStr">
        <is>
          <t>gun_155_twin</t>
        </is>
      </c>
      <c r="B113" t="n">
        <v>3</v>
      </c>
      <c r="C113">
        <f>IF(Vu_khi!$O$113="SIMULTANEOUS",MAX(1,Vu_khi!$N$113),1)</f>
        <v/>
      </c>
      <c r="D113" t="n">
        <v>1</v>
      </c>
      <c r="E113">
        <f>IF(Vu_khi!$S$113&gt;0,Vu_khi!$S$113,Vu_khi!$P$113*$C$113)</f>
        <v/>
      </c>
      <c r="F113" t="n">
        <v>2</v>
      </c>
      <c r="G113">
        <f>IF(Vu_khi!$S$113&gt;0,(Vu_khi!$S$113-1)*Vu_khi!$R$113+Vu_khi!$T$113,Vu_khi!$R$113+(Vu_khi!$P$113-1)*Vu_khi!$Q$113)</f>
        <v/>
      </c>
      <c r="H113" t="n">
        <v>8.84</v>
      </c>
      <c r="I113">
        <f>Vu_khi!$W$113*MAX(1,$E$113)</f>
        <v/>
      </c>
      <c r="J113" t="n">
        <v>640</v>
      </c>
      <c r="K113">
        <f>IF(Vu_khi!$V$113&gt;0,Vu_khi!$V$113,MIN(28,MAX(10,Vu_khi!$U$113*Vu_khi!$R$113*0.4)))</f>
        <v/>
      </c>
      <c r="L113" t="n">
        <v>10</v>
      </c>
      <c r="M113">
        <f>IF(Vu_khi!$W$113&lt;=0,0,IF(Vu_khi!$U$113&gt;0,$I$113*Vu_khi!$U$113/(MAX(0.05,$G$113)*Vu_khi!$U$113+$K$113),$I$113/MAX(0.05,$G$113)))</f>
        <v/>
      </c>
      <c r="N113" t="n">
        <v>72.39819004524887</v>
      </c>
      <c r="O113">
        <f>OR(Vu_khi!$AG$113,Vu_khi!$AB$113&gt;0,Vu_khi!$AH$113,Vu_khi!$M$113="Bomb",Vu_khi!$M$113="Drone")</f>
        <v/>
      </c>
      <c r="P113" t="b">
        <v>0</v>
      </c>
      <c r="Q113">
        <f>AND(NOT(Vu_khi!$AJ$113),OR(Vu_khi!$AC$113="Ground",Vu_khi!$AC$113="All"))</f>
        <v/>
      </c>
      <c r="R113" t="b">
        <v>1</v>
      </c>
      <c r="S113">
        <f>AND(NOT(Vu_khi!$AJ$113),OR(Vu_khi!$AC$113="Air",Vu_khi!$AC$113="All"))</f>
        <v/>
      </c>
      <c r="T113" t="b">
        <v>0</v>
      </c>
      <c r="U113">
        <f>INDEX(Bang_sat_thuong!$B$2:$B$7,MATCH(Vu_khi!$K$113,Bang_sat_thuong!$A$2:$A$7,0))</f>
        <v/>
      </c>
      <c r="V113" t="n">
        <v>1</v>
      </c>
      <c r="W113">
        <f>INDEX(Bang_sat_thuong!$C$2:$C$7,MATCH(Vu_khi!$K$113,Bang_sat_thuong!$A$2:$A$7,0))</f>
        <v/>
      </c>
      <c r="X113" t="n">
        <v>0</v>
      </c>
      <c r="Y113">
        <f>IF(AND(Vu_khi!$AI$113,Vu_khi!$K$113="HighExplosive"),MAX(He_so_toan_cuc!$D$2,INDEX(Bang_sat_thuong!$D$2:$D$7,MATCH(Vu_khi!$K$113,Bang_sat_thuong!$A$2:$A$7,0))),INDEX(Bang_sat_thuong!$D$2:$D$7,MATCH(Vu_khi!$K$113,Bang_sat_thuong!$A$2:$A$7,0)))</f>
        <v/>
      </c>
      <c r="Z113" t="n">
        <v>1.5</v>
      </c>
      <c r="AA113">
        <f>INDEX(Bang_xuyen_giap!$C$2:$C$7,MIN(6,MAX(1,IF($O$113,MAX(1,2-(Vu_khi!$L$113-0)),2-(Vu_khi!$L$113-0))+1)))</f>
        <v/>
      </c>
      <c r="AB113" t="n">
        <v>1.2</v>
      </c>
      <c r="AC113">
        <f>INDEX(Bang_xuyen_giap!$C$2:$C$7,MIN(6,MAX(1,IF($O$113,MAX(1,2-(Vu_khi!$L$113-2)),2-(Vu_khi!$L$113-2))+1)))</f>
        <v/>
      </c>
      <c r="AD113" t="n">
        <v>1</v>
      </c>
      <c r="AE113">
        <f>INDEX(Bang_xuyen_giap!$C$2:$C$7,MIN(6,MAX(1,IF($O$113,MAX(1,2-(Vu_khi!$L$113-4)),2-(Vu_khi!$L$113-4))+1)))</f>
        <v/>
      </c>
      <c r="AF113" t="n">
        <v>0.5</v>
      </c>
      <c r="AG113">
        <f>INDEX(Bang_xuyen_giap!$C$2:$C$7,MIN(6,MAX(1,MAX(1,2-(Vu_khi!$L$113-0))+1)))</f>
        <v/>
      </c>
      <c r="AH113" t="n">
        <v>1</v>
      </c>
      <c r="AI113">
        <f>IF($Q$113,$M$113*$AA$113*$U$113,0)</f>
        <v/>
      </c>
      <c r="AJ113" t="n">
        <v>86.87782805429863</v>
      </c>
      <c r="AK113">
        <f>IF($Q$113,$M$113*$AC$113*$U$113,0)</f>
        <v/>
      </c>
      <c r="AL113" t="n">
        <v>72.39819004524887</v>
      </c>
      <c r="AM113">
        <f>IF($Q$113,$M$113*$AE$113*$U$113,0)</f>
        <v/>
      </c>
      <c r="AN113" t="n">
        <v>36.19909502262443</v>
      </c>
      <c r="AO113">
        <f>IF($Q$113,$M$113*$AC$113*$Y$113,0)</f>
        <v/>
      </c>
      <c r="AP113" t="n">
        <v>108.5972850678733</v>
      </c>
      <c r="AQ113">
        <f>IF($S$113,$M$113*$AG$113*$W$113,0)</f>
        <v/>
      </c>
      <c r="AR113" t="n">
        <v>0</v>
      </c>
      <c r="AS113">
        <f>IF(OR(Vu_khi!$M$113="Missile",Vu_khi!$M$113="Drone",AND(Vu_khi!$M$113="Rocket",OR(Vu_khi!$AM$113,Vu_khi!$D$113="guided")),Vu_khi!$AL$113,Vu_khi!$AK$113,Vu_khi!$X$113&lt;=0),FALSE,IF($B$113&gt;=0,$B$113&gt;=4,IF(Vu_khi!$M$113="Shell",Vu_khi!$AN$113&gt;=Canh_bao_vong!$D$10,IF(Vu_khi!$M$113="Bomb",Vu_khi!$AN$113&gt;=Canh_bao_vong!$D$3,IF(Vu_khi!$M$113="Rocket",Vu_khi!$AN$113&gt;=Canh_bao_vong!$D$13,FALSE)))))</f>
        <v/>
      </c>
      <c r="AT113" t="b">
        <v>0</v>
      </c>
      <c r="AU113">
        <f>IF(AND($B$113&lt;0,$AS$113),4,$B$113)</f>
        <v/>
      </c>
      <c r="AV113" t="n">
        <v>3</v>
      </c>
      <c r="AW113">
        <f>IF($AU$113&lt;4,0,MIN(MAX(0.5,Canh_bao_vong!$D$4),MAX(IF(Vu_khi!$C$113="cal_406",Canh_bao_vong!$D$7,IF($AU$113&gt;=5,Canh_bao_vong!$D$9,Canh_bao_vong!$D$8)),Canh_bao_vong!$D$2+MAX(0,Vu_khi!$X$113)/MAX(0.1,Canh_bao_vong!$D$5))))</f>
        <v/>
      </c>
      <c r="AX113" t="n">
        <v>0</v>
      </c>
      <c r="AY113" t="n">
        <v>0.412533</v>
      </c>
      <c r="AZ113" t="inlineStr">
        <is>
          <t>NHANH_QUA</t>
        </is>
      </c>
      <c r="BA113" t="inlineStr"/>
      <c r="BB113" t="inlineStr">
        <is>
          <t>Assets/MachineBrigade/Resources/Data/balance.json: weapons[id=gun_155_twin] (lớp B trên 01_chien_dau/Vu_khi)</t>
        </is>
      </c>
      <c r="BC113" t="inlineStr"/>
    </row>
    <row r="114">
      <c r="A114" t="inlineStr">
        <is>
          <t>gun_155_twin_ap</t>
        </is>
      </c>
      <c r="B114" t="n">
        <v>3</v>
      </c>
      <c r="C114">
        <f>IF(Vu_khi!$O$114="SIMULTANEOUS",MAX(1,Vu_khi!$N$114),1)</f>
        <v/>
      </c>
      <c r="D114" t="n">
        <v>2</v>
      </c>
      <c r="E114">
        <f>IF(Vu_khi!$S$114&gt;0,Vu_khi!$S$114,Vu_khi!$P$114*$C$114)</f>
        <v/>
      </c>
      <c r="F114" t="n">
        <v>2</v>
      </c>
      <c r="G114">
        <f>IF(Vu_khi!$S$114&gt;0,(Vu_khi!$S$114-1)*Vu_khi!$R$114+Vu_khi!$T$114,Vu_khi!$R$114+(Vu_khi!$P$114-1)*Vu_khi!$Q$114)</f>
        <v/>
      </c>
      <c r="H114" t="n">
        <v>7.929</v>
      </c>
      <c r="I114">
        <f>Vu_khi!$W$114*MAX(1,$E$114)</f>
        <v/>
      </c>
      <c r="J114" t="n">
        <v>858</v>
      </c>
      <c r="K114">
        <f>IF(Vu_khi!$V$114&gt;0,Vu_khi!$V$114,MIN(28,MAX(10,Vu_khi!$U$114*Vu_khi!$R$114*0.4)))</f>
        <v/>
      </c>
      <c r="L114" t="n">
        <v>10</v>
      </c>
      <c r="M114">
        <f>IF(Vu_khi!$W$114&lt;=0,0,IF(Vu_khi!$U$114&gt;0,$I$114*Vu_khi!$U$114/(MAX(0.05,$G$114)*Vu_khi!$U$114+$K$114),$I$114/MAX(0.05,$G$114)))</f>
        <v/>
      </c>
      <c r="N114" t="n">
        <v>108.2103670071888</v>
      </c>
      <c r="O114">
        <f>OR(Vu_khi!$AG$114,Vu_khi!$AB$114&gt;0,Vu_khi!$AH$114,Vu_khi!$M$114="Bomb",Vu_khi!$M$114="Drone")</f>
        <v/>
      </c>
      <c r="P114" t="b">
        <v>0</v>
      </c>
      <c r="Q114">
        <f>AND(NOT(Vu_khi!$AJ$114),OR(Vu_khi!$AC$114="Ground",Vu_khi!$AC$114="All"))</f>
        <v/>
      </c>
      <c r="R114" t="b">
        <v>1</v>
      </c>
      <c r="S114">
        <f>AND(NOT(Vu_khi!$AJ$114),OR(Vu_khi!$AC$114="Air",Vu_khi!$AC$114="All"))</f>
        <v/>
      </c>
      <c r="T114" t="b">
        <v>0</v>
      </c>
      <c r="U114">
        <f>INDEX(Bang_sat_thuong!$B$2:$B$7,MATCH(Vu_khi!$K$114,Bang_sat_thuong!$A$2:$A$7,0))</f>
        <v/>
      </c>
      <c r="V114" t="n">
        <v>1</v>
      </c>
      <c r="W114">
        <f>INDEX(Bang_sat_thuong!$C$2:$C$7,MATCH(Vu_khi!$K$114,Bang_sat_thuong!$A$2:$A$7,0))</f>
        <v/>
      </c>
      <c r="X114" t="n">
        <v>0.3</v>
      </c>
      <c r="Y114">
        <f>IF(AND(Vu_khi!$AI$114,Vu_khi!$K$114="HighExplosive"),MAX(He_so_toan_cuc!$D$2,INDEX(Bang_sat_thuong!$D$2:$D$7,MATCH(Vu_khi!$K$114,Bang_sat_thuong!$A$2:$A$7,0))),INDEX(Bang_sat_thuong!$D$2:$D$7,MATCH(Vu_khi!$K$114,Bang_sat_thuong!$A$2:$A$7,0)))</f>
        <v/>
      </c>
      <c r="Z114" t="n">
        <v>0.6</v>
      </c>
      <c r="AA114">
        <f>INDEX(Bang_xuyen_giap!$C$2:$C$7,MIN(6,MAX(1,IF($O$114,MAX(1,2-(Vu_khi!$L$114-0)),2-(Vu_khi!$L$114-0))+1)))</f>
        <v/>
      </c>
      <c r="AB114" t="n">
        <v>1.2</v>
      </c>
      <c r="AC114">
        <f>INDEX(Bang_xuyen_giap!$C$2:$C$7,MIN(6,MAX(1,IF($O$114,MAX(1,2-(Vu_khi!$L$114-2)),2-(Vu_khi!$L$114-2))+1)))</f>
        <v/>
      </c>
      <c r="AD114" t="n">
        <v>1.2</v>
      </c>
      <c r="AE114">
        <f>INDEX(Bang_xuyen_giap!$C$2:$C$7,MIN(6,MAX(1,IF($O$114,MAX(1,2-(Vu_khi!$L$114-4)),2-(Vu_khi!$L$114-4))+1)))</f>
        <v/>
      </c>
      <c r="AF114" t="n">
        <v>0.85</v>
      </c>
      <c r="AG114">
        <f>INDEX(Bang_xuyen_giap!$C$2:$C$7,MIN(6,MAX(1,MAX(1,2-(Vu_khi!$L$114-0))+1)))</f>
        <v/>
      </c>
      <c r="AH114" t="n">
        <v>1</v>
      </c>
      <c r="AI114">
        <f>IF($Q$114,$M$114*$AA$114*$U$114,0)</f>
        <v/>
      </c>
      <c r="AJ114" t="n">
        <v>129.8524404086265</v>
      </c>
      <c r="AK114">
        <f>IF($Q$114,$M$114*$AC$114*$U$114,0)</f>
        <v/>
      </c>
      <c r="AL114" t="n">
        <v>129.8524404086265</v>
      </c>
      <c r="AM114">
        <f>IF($Q$114,$M$114*$AE$114*$U$114,0)</f>
        <v/>
      </c>
      <c r="AN114" t="n">
        <v>91.97881195611048</v>
      </c>
      <c r="AO114">
        <f>IF($Q$114,$M$114*$AC$114*$Y$114,0)</f>
        <v/>
      </c>
      <c r="AP114" t="n">
        <v>77.91146424517594</v>
      </c>
      <c r="AQ114">
        <f>IF($S$114,$M$114*$AG$114*$W$114,0)</f>
        <v/>
      </c>
      <c r="AR114" t="n">
        <v>0</v>
      </c>
      <c r="AS114">
        <f>IF(OR(Vu_khi!$M$114="Missile",Vu_khi!$M$114="Drone",AND(Vu_khi!$M$114="Rocket",OR(Vu_khi!$AM$114,Vu_khi!$D$114="guided")),Vu_khi!$AL$114,Vu_khi!$AK$114,Vu_khi!$X$114&lt;=0),FALSE,IF($B$114&gt;=0,$B$114&gt;=4,IF(Vu_khi!$M$114="Shell",Vu_khi!$AN$114&gt;=Canh_bao_vong!$D$10,IF(Vu_khi!$M$114="Bomb",Vu_khi!$AN$114&gt;=Canh_bao_vong!$D$3,IF(Vu_khi!$M$114="Rocket",Vu_khi!$AN$114&gt;=Canh_bao_vong!$D$13,FALSE)))))</f>
        <v/>
      </c>
      <c r="AT114" t="b">
        <v>0</v>
      </c>
      <c r="AU114">
        <f>IF(AND($B$114&lt;0,$AS$114),4,$B$114)</f>
        <v/>
      </c>
      <c r="AV114" t="n">
        <v>3</v>
      </c>
      <c r="AW114">
        <f>IF($AU$114&lt;4,0,MIN(MAX(0.5,Canh_bao_vong!$D$4),MAX(IF(Vu_khi!$C$114="cal_406",Canh_bao_vong!$D$7,IF($AU$114&gt;=5,Canh_bao_vong!$D$9,Canh_bao_vong!$D$8)),Canh_bao_vong!$D$2+MAX(0,Vu_khi!$X$114)/MAX(0.1,Canh_bao_vong!$D$5))))</f>
        <v/>
      </c>
      <c r="AX114" t="n">
        <v>0</v>
      </c>
      <c r="AY114" t="n">
        <v>0.37002</v>
      </c>
      <c r="AZ114" t="inlineStr">
        <is>
          <t>NHANH_QUA;LECH_DOT_1</t>
        </is>
      </c>
      <c r="BA114" t="inlineStr"/>
      <c r="BB114" t="inlineStr">
        <is>
          <t>Assets/MachineBrigade/Resources/Data/balance.json: weapons[id=gun_155_twin_ap] (lớp B trên 01_chien_dau/Vu_khi)</t>
        </is>
      </c>
      <c r="BC114" t="inlineStr"/>
    </row>
    <row r="115">
      <c r="A115" t="inlineStr">
        <is>
          <t>gun_155_twin_coastlr</t>
        </is>
      </c>
      <c r="B115" t="n">
        <v>3</v>
      </c>
      <c r="C115">
        <f>IF(Vu_khi!$O$115="SIMULTANEOUS",MAX(1,Vu_khi!$N$115),1)</f>
        <v/>
      </c>
      <c r="D115" t="n">
        <v>2</v>
      </c>
      <c r="E115">
        <f>IF(Vu_khi!$S$115&gt;0,Vu_khi!$S$115,Vu_khi!$P$115*$C$115)</f>
        <v/>
      </c>
      <c r="F115" t="n">
        <v>2</v>
      </c>
      <c r="G115">
        <f>IF(Vu_khi!$S$115&gt;0,(Vu_khi!$S$115-1)*Vu_khi!$R$115+Vu_khi!$T$115,Vu_khi!$R$115+(Vu_khi!$P$115-1)*Vu_khi!$Q$115)</f>
        <v/>
      </c>
      <c r="H115" t="n">
        <v>7.929</v>
      </c>
      <c r="I115">
        <f>Vu_khi!$W$115*MAX(1,$E$115)</f>
        <v/>
      </c>
      <c r="J115" t="n">
        <v>914</v>
      </c>
      <c r="K115">
        <f>IF(Vu_khi!$V$115&gt;0,Vu_khi!$V$115,MIN(28,MAX(10,Vu_khi!$U$115*Vu_khi!$R$115*0.4)))</f>
        <v/>
      </c>
      <c r="L115" t="n">
        <v>10</v>
      </c>
      <c r="M115">
        <f>IF(Vu_khi!$W$115&lt;=0,0,IF(Vu_khi!$U$115&gt;0,$I$115*Vu_khi!$U$115/(MAX(0.05,$G$115)*Vu_khi!$U$115+$K$115),$I$115/MAX(0.05,$G$115)))</f>
        <v/>
      </c>
      <c r="N115" t="n">
        <v>115.2730483036953</v>
      </c>
      <c r="O115">
        <f>OR(Vu_khi!$AG$115,Vu_khi!$AB$115&gt;0,Vu_khi!$AH$115,Vu_khi!$M$115="Bomb",Vu_khi!$M$115="Drone")</f>
        <v/>
      </c>
      <c r="P115" t="b">
        <v>0</v>
      </c>
      <c r="Q115">
        <f>AND(NOT(Vu_khi!$AJ$115),OR(Vu_khi!$AC$115="Ground",Vu_khi!$AC$115="All"))</f>
        <v/>
      </c>
      <c r="R115" t="b">
        <v>1</v>
      </c>
      <c r="S115">
        <f>AND(NOT(Vu_khi!$AJ$115),OR(Vu_khi!$AC$115="Air",Vu_khi!$AC$115="All"))</f>
        <v/>
      </c>
      <c r="T115" t="b">
        <v>0</v>
      </c>
      <c r="U115">
        <f>INDEX(Bang_sat_thuong!$B$2:$B$7,MATCH(Vu_khi!$K$115,Bang_sat_thuong!$A$2:$A$7,0))</f>
        <v/>
      </c>
      <c r="V115" t="n">
        <v>1</v>
      </c>
      <c r="W115">
        <f>INDEX(Bang_sat_thuong!$C$2:$C$7,MATCH(Vu_khi!$K$115,Bang_sat_thuong!$A$2:$A$7,0))</f>
        <v/>
      </c>
      <c r="X115" t="n">
        <v>0</v>
      </c>
      <c r="Y115">
        <f>IF(AND(Vu_khi!$AI$115,Vu_khi!$K$115="HighExplosive"),MAX(He_so_toan_cuc!$D$2,INDEX(Bang_sat_thuong!$D$2:$D$7,MATCH(Vu_khi!$K$115,Bang_sat_thuong!$A$2:$A$7,0))),INDEX(Bang_sat_thuong!$D$2:$D$7,MATCH(Vu_khi!$K$115,Bang_sat_thuong!$A$2:$A$7,0)))</f>
        <v/>
      </c>
      <c r="Z115" t="n">
        <v>1.5</v>
      </c>
      <c r="AA115">
        <f>INDEX(Bang_xuyen_giap!$C$2:$C$7,MIN(6,MAX(1,IF($O$115,MAX(1,2-(Vu_khi!$L$115-0)),2-(Vu_khi!$L$115-0))+1)))</f>
        <v/>
      </c>
      <c r="AB115" t="n">
        <v>1.2</v>
      </c>
      <c r="AC115">
        <f>INDEX(Bang_xuyen_giap!$C$2:$C$7,MIN(6,MAX(1,IF($O$115,MAX(1,2-(Vu_khi!$L$115-2)),2-(Vu_khi!$L$115-2))+1)))</f>
        <v/>
      </c>
      <c r="AD115" t="n">
        <v>1</v>
      </c>
      <c r="AE115">
        <f>INDEX(Bang_xuyen_giap!$C$2:$C$7,MIN(6,MAX(1,IF($O$115,MAX(1,2-(Vu_khi!$L$115-4)),2-(Vu_khi!$L$115-4))+1)))</f>
        <v/>
      </c>
      <c r="AF115" t="n">
        <v>0.5</v>
      </c>
      <c r="AG115">
        <f>INDEX(Bang_xuyen_giap!$C$2:$C$7,MIN(6,MAX(1,MAX(1,2-(Vu_khi!$L$115-0))+1)))</f>
        <v/>
      </c>
      <c r="AH115" t="n">
        <v>1</v>
      </c>
      <c r="AI115">
        <f>IF($Q$115,$M$115*$AA$115*$U$115,0)</f>
        <v/>
      </c>
      <c r="AJ115" t="n">
        <v>138.3276579644343</v>
      </c>
      <c r="AK115">
        <f>IF($Q$115,$M$115*$AC$115*$U$115,0)</f>
        <v/>
      </c>
      <c r="AL115" t="n">
        <v>115.2730483036953</v>
      </c>
      <c r="AM115">
        <f>IF($Q$115,$M$115*$AE$115*$U$115,0)</f>
        <v/>
      </c>
      <c r="AN115" t="n">
        <v>57.63652415184765</v>
      </c>
      <c r="AO115">
        <f>IF($Q$115,$M$115*$AC$115*$Y$115,0)</f>
        <v/>
      </c>
      <c r="AP115" t="n">
        <v>172.9095724555429</v>
      </c>
      <c r="AQ115">
        <f>IF($S$115,$M$115*$AG$115*$W$115,0)</f>
        <v/>
      </c>
      <c r="AR115" t="n">
        <v>0</v>
      </c>
      <c r="AS115">
        <f>IF(OR(Vu_khi!$M$115="Missile",Vu_khi!$M$115="Drone",AND(Vu_khi!$M$115="Rocket",OR(Vu_khi!$AM$115,Vu_khi!$D$115="guided")),Vu_khi!$AL$115,Vu_khi!$AK$115,Vu_khi!$X$115&lt;=0),FALSE,IF($B$115&gt;=0,$B$115&gt;=4,IF(Vu_khi!$M$115="Shell",Vu_khi!$AN$115&gt;=Canh_bao_vong!$D$10,IF(Vu_khi!$M$115="Bomb",Vu_khi!$AN$115&gt;=Canh_bao_vong!$D$3,IF(Vu_khi!$M$115="Rocket",Vu_khi!$AN$115&gt;=Canh_bao_vong!$D$13,FALSE)))))</f>
        <v/>
      </c>
      <c r="AT115" t="b">
        <v>0</v>
      </c>
      <c r="AU115">
        <f>IF(AND($B$115&lt;0,$AS$115),4,$B$115)</f>
        <v/>
      </c>
      <c r="AV115" t="n">
        <v>3</v>
      </c>
      <c r="AW115">
        <f>IF($AU$115&lt;4,0,MIN(MAX(0.5,Canh_bao_vong!$D$4),MAX(IF(Vu_khi!$C$115="cal_406",Canh_bao_vong!$D$7,IF($AU$115&gt;=5,Canh_bao_vong!$D$9,Canh_bao_vong!$D$8)),Canh_bao_vong!$D$2+MAX(0,Vu_khi!$X$115)/MAX(0.1,Canh_bao_vong!$D$5))))</f>
        <v/>
      </c>
      <c r="AX115" t="n">
        <v>0</v>
      </c>
      <c r="AY115" t="n">
        <v>0.37002</v>
      </c>
      <c r="AZ115" t="inlineStr">
        <is>
          <t>NHANH_QUA;LECH_DOT_1</t>
        </is>
      </c>
      <c r="BA115" t="inlineStr"/>
      <c r="BB115" t="inlineStr">
        <is>
          <t>Assets/MachineBrigade/Resources/Data/balance.json: weapons[id=gun_155_twin_coastlr] (lớp B trên 01_chien_dau/Vu_khi)</t>
        </is>
      </c>
      <c r="BC115" t="inlineStr"/>
    </row>
    <row r="116">
      <c r="A116" t="inlineStr">
        <is>
          <t>gun_155_twin_coastlr_guided</t>
        </is>
      </c>
      <c r="B116" t="n">
        <v>3</v>
      </c>
      <c r="C116">
        <f>IF(Vu_khi!$O$116="SIMULTANEOUS",MAX(1,Vu_khi!$N$116),1)</f>
        <v/>
      </c>
      <c r="D116" t="n">
        <v>1</v>
      </c>
      <c r="E116">
        <f>IF(Vu_khi!$S$116&gt;0,Vu_khi!$S$116,Vu_khi!$P$116*$C$116)</f>
        <v/>
      </c>
      <c r="F116" t="n">
        <v>1</v>
      </c>
      <c r="G116">
        <f>IF(Vu_khi!$S$116&gt;0,(Vu_khi!$S$116-1)*Vu_khi!$R$116+Vu_khi!$T$116,Vu_khi!$R$116+(Vu_khi!$P$116-1)*Vu_khi!$Q$116)</f>
        <v/>
      </c>
      <c r="H116" t="n">
        <v>7.929</v>
      </c>
      <c r="I116">
        <f>Vu_khi!$W$116*MAX(1,$E$116)</f>
        <v/>
      </c>
      <c r="J116" t="n">
        <v>457</v>
      </c>
      <c r="K116">
        <f>IF(Vu_khi!$V$116&gt;0,Vu_khi!$V$116,MIN(28,MAX(10,Vu_khi!$U$116*Vu_khi!$R$116*0.4)))</f>
        <v/>
      </c>
      <c r="L116" t="n">
        <v>10</v>
      </c>
      <c r="M116">
        <f>IF(Vu_khi!$W$116&lt;=0,0,IF(Vu_khi!$U$116&gt;0,$I$116*Vu_khi!$U$116/(MAX(0.05,$G$116)*Vu_khi!$U$116+$K$116),$I$116/MAX(0.05,$G$116)))</f>
        <v/>
      </c>
      <c r="N116" t="n">
        <v>57.63652415184765</v>
      </c>
      <c r="O116">
        <f>OR(Vu_khi!$AG$116,Vu_khi!$AB$116&gt;0,Vu_khi!$AH$116,Vu_khi!$M$116="Bomb",Vu_khi!$M$116="Drone")</f>
        <v/>
      </c>
      <c r="P116" t="b">
        <v>0</v>
      </c>
      <c r="Q116">
        <f>AND(NOT(Vu_khi!$AJ$116),OR(Vu_khi!$AC$116="Ground",Vu_khi!$AC$116="All"))</f>
        <v/>
      </c>
      <c r="R116" t="b">
        <v>1</v>
      </c>
      <c r="S116">
        <f>AND(NOT(Vu_khi!$AJ$116),OR(Vu_khi!$AC$116="Air",Vu_khi!$AC$116="All"))</f>
        <v/>
      </c>
      <c r="T116" t="b">
        <v>0</v>
      </c>
      <c r="U116">
        <f>INDEX(Bang_sat_thuong!$B$2:$B$7,MATCH(Vu_khi!$K$116,Bang_sat_thuong!$A$2:$A$7,0))</f>
        <v/>
      </c>
      <c r="V116" t="n">
        <v>1</v>
      </c>
      <c r="W116">
        <f>INDEX(Bang_sat_thuong!$C$2:$C$7,MATCH(Vu_khi!$K$116,Bang_sat_thuong!$A$2:$A$7,0))</f>
        <v/>
      </c>
      <c r="X116" t="n">
        <v>0</v>
      </c>
      <c r="Y116">
        <f>IF(AND(Vu_khi!$AI$116,Vu_khi!$K$116="HighExplosive"),MAX(He_so_toan_cuc!$D$2,INDEX(Bang_sat_thuong!$D$2:$D$7,MATCH(Vu_khi!$K$116,Bang_sat_thuong!$A$2:$A$7,0))),INDEX(Bang_sat_thuong!$D$2:$D$7,MATCH(Vu_khi!$K$116,Bang_sat_thuong!$A$2:$A$7,0)))</f>
        <v/>
      </c>
      <c r="Z116" t="n">
        <v>1.5</v>
      </c>
      <c r="AA116">
        <f>INDEX(Bang_xuyen_giap!$C$2:$C$7,MIN(6,MAX(1,IF($O$116,MAX(1,2-(Vu_khi!$L$116-0)),2-(Vu_khi!$L$116-0))+1)))</f>
        <v/>
      </c>
      <c r="AB116" t="n">
        <v>1.2</v>
      </c>
      <c r="AC116">
        <f>INDEX(Bang_xuyen_giap!$C$2:$C$7,MIN(6,MAX(1,IF($O$116,MAX(1,2-(Vu_khi!$L$116-2)),2-(Vu_khi!$L$116-2))+1)))</f>
        <v/>
      </c>
      <c r="AD116" t="n">
        <v>1</v>
      </c>
      <c r="AE116">
        <f>INDEX(Bang_xuyen_giap!$C$2:$C$7,MIN(6,MAX(1,IF($O$116,MAX(1,2-(Vu_khi!$L$116-4)),2-(Vu_khi!$L$116-4))+1)))</f>
        <v/>
      </c>
      <c r="AF116" t="n">
        <v>0.5</v>
      </c>
      <c r="AG116">
        <f>INDEX(Bang_xuyen_giap!$C$2:$C$7,MIN(6,MAX(1,MAX(1,2-(Vu_khi!$L$116-0))+1)))</f>
        <v/>
      </c>
      <c r="AH116" t="n">
        <v>1</v>
      </c>
      <c r="AI116">
        <f>IF($Q$116,$M$116*$AA$116*$U$116,0)</f>
        <v/>
      </c>
      <c r="AJ116" t="n">
        <v>69.16382898221717</v>
      </c>
      <c r="AK116">
        <f>IF($Q$116,$M$116*$AC$116*$U$116,0)</f>
        <v/>
      </c>
      <c r="AL116" t="n">
        <v>57.63652415184765</v>
      </c>
      <c r="AM116">
        <f>IF($Q$116,$M$116*$AE$116*$U$116,0)</f>
        <v/>
      </c>
      <c r="AN116" t="n">
        <v>28.81826207592382</v>
      </c>
      <c r="AO116">
        <f>IF($Q$116,$M$116*$AC$116*$Y$116,0)</f>
        <v/>
      </c>
      <c r="AP116" t="n">
        <v>86.45478622777146</v>
      </c>
      <c r="AQ116">
        <f>IF($S$116,$M$116*$AG$116*$W$116,0)</f>
        <v/>
      </c>
      <c r="AR116" t="n">
        <v>0</v>
      </c>
      <c r="AS116">
        <f>IF(OR(Vu_khi!$M$116="Missile",Vu_khi!$M$116="Drone",AND(Vu_khi!$M$116="Rocket",OR(Vu_khi!$AM$116,Vu_khi!$D$116="guided")),Vu_khi!$AL$116,Vu_khi!$AK$116,Vu_khi!$X$116&lt;=0),FALSE,IF($B$116&gt;=0,$B$116&gt;=4,IF(Vu_khi!$M$116="Shell",Vu_khi!$AN$116&gt;=Canh_bao_vong!$D$10,IF(Vu_khi!$M$116="Bomb",Vu_khi!$AN$116&gt;=Canh_bao_vong!$D$3,IF(Vu_khi!$M$116="Rocket",Vu_khi!$AN$116&gt;=Canh_bao_vong!$D$13,FALSE)))))</f>
        <v/>
      </c>
      <c r="AT116" t="b">
        <v>0</v>
      </c>
      <c r="AU116">
        <f>IF(AND($B$116&lt;0,$AS$116),4,$B$116)</f>
        <v/>
      </c>
      <c r="AV116" t="n">
        <v>3</v>
      </c>
      <c r="AW116">
        <f>IF($AU$116&lt;4,0,MIN(MAX(0.5,Canh_bao_vong!$D$4),MAX(IF(Vu_khi!$C$116="cal_406",Canh_bao_vong!$D$7,IF($AU$116&gt;=5,Canh_bao_vong!$D$9,Canh_bao_vong!$D$8)),Canh_bao_vong!$D$2+MAX(0,Vu_khi!$X$116)/MAX(0.1,Canh_bao_vong!$D$5))))</f>
        <v/>
      </c>
      <c r="AX116" t="n">
        <v>0</v>
      </c>
      <c r="BB116" t="inlineStr">
        <is>
          <t>Assets/MachineBrigade/Resources/Data/balance.json: weapons[id=gun_155_twin_coastlr_guided] (lớp B trên 01_chien_dau/Vu_khi)</t>
        </is>
      </c>
      <c r="BC116" t="inlineStr"/>
    </row>
    <row r="117">
      <c r="A117" t="inlineStr">
        <is>
          <t>gun_155_twin_fort</t>
        </is>
      </c>
      <c r="B117" t="n">
        <v>3</v>
      </c>
      <c r="C117">
        <f>IF(Vu_khi!$O$117="SIMULTANEOUS",MAX(1,Vu_khi!$N$117),1)</f>
        <v/>
      </c>
      <c r="D117" t="n">
        <v>2</v>
      </c>
      <c r="E117">
        <f>IF(Vu_khi!$S$117&gt;0,Vu_khi!$S$117,Vu_khi!$P$117*$C$117)</f>
        <v/>
      </c>
      <c r="F117" t="n">
        <v>2</v>
      </c>
      <c r="G117">
        <f>IF(Vu_khi!$S$117&gt;0,(Vu_khi!$S$117-1)*Vu_khi!$R$117+Vu_khi!$T$117,Vu_khi!$R$117+(Vu_khi!$P$117-1)*Vu_khi!$Q$117)</f>
        <v/>
      </c>
      <c r="H117" t="n">
        <v>7.929</v>
      </c>
      <c r="I117">
        <f>Vu_khi!$W$117*MAX(1,$E$117)</f>
        <v/>
      </c>
      <c r="J117" t="n">
        <v>914</v>
      </c>
      <c r="K117">
        <f>IF(Vu_khi!$V$117&gt;0,Vu_khi!$V$117,MIN(28,MAX(10,Vu_khi!$U$117*Vu_khi!$R$117*0.4)))</f>
        <v/>
      </c>
      <c r="L117" t="n">
        <v>10</v>
      </c>
      <c r="M117">
        <f>IF(Vu_khi!$W$117&lt;=0,0,IF(Vu_khi!$U$117&gt;0,$I$117*Vu_khi!$U$117/(MAX(0.05,$G$117)*Vu_khi!$U$117+$K$117),$I$117/MAX(0.05,$G$117)))</f>
        <v/>
      </c>
      <c r="N117" t="n">
        <v>115.2730483036953</v>
      </c>
      <c r="O117">
        <f>OR(Vu_khi!$AG$117,Vu_khi!$AB$117&gt;0,Vu_khi!$AH$117,Vu_khi!$M$117="Bomb",Vu_khi!$M$117="Drone")</f>
        <v/>
      </c>
      <c r="P117" t="b">
        <v>0</v>
      </c>
      <c r="Q117">
        <f>AND(NOT(Vu_khi!$AJ$117),OR(Vu_khi!$AC$117="Ground",Vu_khi!$AC$117="All"))</f>
        <v/>
      </c>
      <c r="R117" t="b">
        <v>1</v>
      </c>
      <c r="S117">
        <f>AND(NOT(Vu_khi!$AJ$117),OR(Vu_khi!$AC$117="Air",Vu_khi!$AC$117="All"))</f>
        <v/>
      </c>
      <c r="T117" t="b">
        <v>0</v>
      </c>
      <c r="U117">
        <f>INDEX(Bang_sat_thuong!$B$2:$B$7,MATCH(Vu_khi!$K$117,Bang_sat_thuong!$A$2:$A$7,0))</f>
        <v/>
      </c>
      <c r="V117" t="n">
        <v>1</v>
      </c>
      <c r="W117">
        <f>INDEX(Bang_sat_thuong!$C$2:$C$7,MATCH(Vu_khi!$K$117,Bang_sat_thuong!$A$2:$A$7,0))</f>
        <v/>
      </c>
      <c r="X117" t="n">
        <v>0</v>
      </c>
      <c r="Y117">
        <f>IF(AND(Vu_khi!$AI$117,Vu_khi!$K$117="HighExplosive"),MAX(He_so_toan_cuc!$D$2,INDEX(Bang_sat_thuong!$D$2:$D$7,MATCH(Vu_khi!$K$117,Bang_sat_thuong!$A$2:$A$7,0))),INDEX(Bang_sat_thuong!$D$2:$D$7,MATCH(Vu_khi!$K$117,Bang_sat_thuong!$A$2:$A$7,0)))</f>
        <v/>
      </c>
      <c r="Z117" t="n">
        <v>1.5</v>
      </c>
      <c r="AA117">
        <f>INDEX(Bang_xuyen_giap!$C$2:$C$7,MIN(6,MAX(1,IF($O$117,MAX(1,2-(Vu_khi!$L$117-0)),2-(Vu_khi!$L$117-0))+1)))</f>
        <v/>
      </c>
      <c r="AB117" t="n">
        <v>1.2</v>
      </c>
      <c r="AC117">
        <f>INDEX(Bang_xuyen_giap!$C$2:$C$7,MIN(6,MAX(1,IF($O$117,MAX(1,2-(Vu_khi!$L$117-2)),2-(Vu_khi!$L$117-2))+1)))</f>
        <v/>
      </c>
      <c r="AD117" t="n">
        <v>1</v>
      </c>
      <c r="AE117">
        <f>INDEX(Bang_xuyen_giap!$C$2:$C$7,MIN(6,MAX(1,IF($O$117,MAX(1,2-(Vu_khi!$L$117-4)),2-(Vu_khi!$L$117-4))+1)))</f>
        <v/>
      </c>
      <c r="AF117" t="n">
        <v>0.5</v>
      </c>
      <c r="AG117">
        <f>INDEX(Bang_xuyen_giap!$C$2:$C$7,MIN(6,MAX(1,MAX(1,2-(Vu_khi!$L$117-0))+1)))</f>
        <v/>
      </c>
      <c r="AH117" t="n">
        <v>1</v>
      </c>
      <c r="AI117">
        <f>IF($Q$117,$M$117*$AA$117*$U$117,0)</f>
        <v/>
      </c>
      <c r="AJ117" t="n">
        <v>138.3276579644343</v>
      </c>
      <c r="AK117">
        <f>IF($Q$117,$M$117*$AC$117*$U$117,0)</f>
        <v/>
      </c>
      <c r="AL117" t="n">
        <v>115.2730483036953</v>
      </c>
      <c r="AM117">
        <f>IF($Q$117,$M$117*$AE$117*$U$117,0)</f>
        <v/>
      </c>
      <c r="AN117" t="n">
        <v>57.63652415184765</v>
      </c>
      <c r="AO117">
        <f>IF($Q$117,$M$117*$AC$117*$Y$117,0)</f>
        <v/>
      </c>
      <c r="AP117" t="n">
        <v>172.9095724555429</v>
      </c>
      <c r="AQ117">
        <f>IF($S$117,$M$117*$AG$117*$W$117,0)</f>
        <v/>
      </c>
      <c r="AR117" t="n">
        <v>0</v>
      </c>
      <c r="AS117">
        <f>IF(OR(Vu_khi!$M$117="Missile",Vu_khi!$M$117="Drone",AND(Vu_khi!$M$117="Rocket",OR(Vu_khi!$AM$117,Vu_khi!$D$117="guided")),Vu_khi!$AL$117,Vu_khi!$AK$117,Vu_khi!$X$117&lt;=0),FALSE,IF($B$117&gt;=0,$B$117&gt;=4,IF(Vu_khi!$M$117="Shell",Vu_khi!$AN$117&gt;=Canh_bao_vong!$D$10,IF(Vu_khi!$M$117="Bomb",Vu_khi!$AN$117&gt;=Canh_bao_vong!$D$3,IF(Vu_khi!$M$117="Rocket",Vu_khi!$AN$117&gt;=Canh_bao_vong!$D$13,FALSE)))))</f>
        <v/>
      </c>
      <c r="AT117" t="b">
        <v>0</v>
      </c>
      <c r="AU117">
        <f>IF(AND($B$117&lt;0,$AS$117),4,$B$117)</f>
        <v/>
      </c>
      <c r="AV117" t="n">
        <v>3</v>
      </c>
      <c r="AW117">
        <f>IF($AU$117&lt;4,0,MIN(MAX(0.5,Canh_bao_vong!$D$4),MAX(IF(Vu_khi!$C$117="cal_406",Canh_bao_vong!$D$7,IF($AU$117&gt;=5,Canh_bao_vong!$D$9,Canh_bao_vong!$D$8)),Canh_bao_vong!$D$2+MAX(0,Vu_khi!$X$117)/MAX(0.1,Canh_bao_vong!$D$5))))</f>
        <v/>
      </c>
      <c r="AX117" t="n">
        <v>0</v>
      </c>
      <c r="AY117" t="n">
        <v>0.37002</v>
      </c>
      <c r="AZ117" t="inlineStr">
        <is>
          <t>NHANH_QUA;LECH_DOT_1</t>
        </is>
      </c>
      <c r="BA117" t="inlineStr"/>
      <c r="BB117" t="inlineStr">
        <is>
          <t>Assets/MachineBrigade/Resources/Data/balance.json: weapons[id=gun_155_twin_fort] (lớp B trên 01_chien_dau/Vu_khi)</t>
        </is>
      </c>
      <c r="BC117" t="inlineStr"/>
    </row>
    <row r="118">
      <c r="A118" t="inlineStr">
        <is>
          <t>gun_155_twin_fort_guided</t>
        </is>
      </c>
      <c r="B118" t="n">
        <v>3</v>
      </c>
      <c r="C118">
        <f>IF(Vu_khi!$O$118="SIMULTANEOUS",MAX(1,Vu_khi!$N$118),1)</f>
        <v/>
      </c>
      <c r="D118" t="n">
        <v>1</v>
      </c>
      <c r="E118">
        <f>IF(Vu_khi!$S$118&gt;0,Vu_khi!$S$118,Vu_khi!$P$118*$C$118)</f>
        <v/>
      </c>
      <c r="F118" t="n">
        <v>1</v>
      </c>
      <c r="G118">
        <f>IF(Vu_khi!$S$118&gt;0,(Vu_khi!$S$118-1)*Vu_khi!$R$118+Vu_khi!$T$118,Vu_khi!$R$118+(Vu_khi!$P$118-1)*Vu_khi!$Q$118)</f>
        <v/>
      </c>
      <c r="H118" t="n">
        <v>7.929</v>
      </c>
      <c r="I118">
        <f>Vu_khi!$W$118*MAX(1,$E$118)</f>
        <v/>
      </c>
      <c r="J118" t="n">
        <v>457</v>
      </c>
      <c r="K118">
        <f>IF(Vu_khi!$V$118&gt;0,Vu_khi!$V$118,MIN(28,MAX(10,Vu_khi!$U$118*Vu_khi!$R$118*0.4)))</f>
        <v/>
      </c>
      <c r="L118" t="n">
        <v>10</v>
      </c>
      <c r="M118">
        <f>IF(Vu_khi!$W$118&lt;=0,0,IF(Vu_khi!$U$118&gt;0,$I$118*Vu_khi!$U$118/(MAX(0.05,$G$118)*Vu_khi!$U$118+$K$118),$I$118/MAX(0.05,$G$118)))</f>
        <v/>
      </c>
      <c r="N118" t="n">
        <v>57.63652415184765</v>
      </c>
      <c r="O118">
        <f>OR(Vu_khi!$AG$118,Vu_khi!$AB$118&gt;0,Vu_khi!$AH$118,Vu_khi!$M$118="Bomb",Vu_khi!$M$118="Drone")</f>
        <v/>
      </c>
      <c r="P118" t="b">
        <v>0</v>
      </c>
      <c r="Q118">
        <f>AND(NOT(Vu_khi!$AJ$118),OR(Vu_khi!$AC$118="Ground",Vu_khi!$AC$118="All"))</f>
        <v/>
      </c>
      <c r="R118" t="b">
        <v>1</v>
      </c>
      <c r="S118">
        <f>AND(NOT(Vu_khi!$AJ$118),OR(Vu_khi!$AC$118="Air",Vu_khi!$AC$118="All"))</f>
        <v/>
      </c>
      <c r="T118" t="b">
        <v>0</v>
      </c>
      <c r="U118">
        <f>INDEX(Bang_sat_thuong!$B$2:$B$7,MATCH(Vu_khi!$K$118,Bang_sat_thuong!$A$2:$A$7,0))</f>
        <v/>
      </c>
      <c r="V118" t="n">
        <v>1</v>
      </c>
      <c r="W118">
        <f>INDEX(Bang_sat_thuong!$C$2:$C$7,MATCH(Vu_khi!$K$118,Bang_sat_thuong!$A$2:$A$7,0))</f>
        <v/>
      </c>
      <c r="X118" t="n">
        <v>0</v>
      </c>
      <c r="Y118">
        <f>IF(AND(Vu_khi!$AI$118,Vu_khi!$K$118="HighExplosive"),MAX(He_so_toan_cuc!$D$2,INDEX(Bang_sat_thuong!$D$2:$D$7,MATCH(Vu_khi!$K$118,Bang_sat_thuong!$A$2:$A$7,0))),INDEX(Bang_sat_thuong!$D$2:$D$7,MATCH(Vu_khi!$K$118,Bang_sat_thuong!$A$2:$A$7,0)))</f>
        <v/>
      </c>
      <c r="Z118" t="n">
        <v>1.5</v>
      </c>
      <c r="AA118">
        <f>INDEX(Bang_xuyen_giap!$C$2:$C$7,MIN(6,MAX(1,IF($O$118,MAX(1,2-(Vu_khi!$L$118-0)),2-(Vu_khi!$L$118-0))+1)))</f>
        <v/>
      </c>
      <c r="AB118" t="n">
        <v>1.2</v>
      </c>
      <c r="AC118">
        <f>INDEX(Bang_xuyen_giap!$C$2:$C$7,MIN(6,MAX(1,IF($O$118,MAX(1,2-(Vu_khi!$L$118-2)),2-(Vu_khi!$L$118-2))+1)))</f>
        <v/>
      </c>
      <c r="AD118" t="n">
        <v>1</v>
      </c>
      <c r="AE118">
        <f>INDEX(Bang_xuyen_giap!$C$2:$C$7,MIN(6,MAX(1,IF($O$118,MAX(1,2-(Vu_khi!$L$118-4)),2-(Vu_khi!$L$118-4))+1)))</f>
        <v/>
      </c>
      <c r="AF118" t="n">
        <v>0.5</v>
      </c>
      <c r="AG118">
        <f>INDEX(Bang_xuyen_giap!$C$2:$C$7,MIN(6,MAX(1,MAX(1,2-(Vu_khi!$L$118-0))+1)))</f>
        <v/>
      </c>
      <c r="AH118" t="n">
        <v>1</v>
      </c>
      <c r="AI118">
        <f>IF($Q$118,$M$118*$AA$118*$U$118,0)</f>
        <v/>
      </c>
      <c r="AJ118" t="n">
        <v>69.16382898221717</v>
      </c>
      <c r="AK118">
        <f>IF($Q$118,$M$118*$AC$118*$U$118,0)</f>
        <v/>
      </c>
      <c r="AL118" t="n">
        <v>57.63652415184765</v>
      </c>
      <c r="AM118">
        <f>IF($Q$118,$M$118*$AE$118*$U$118,0)</f>
        <v/>
      </c>
      <c r="AN118" t="n">
        <v>28.81826207592382</v>
      </c>
      <c r="AO118">
        <f>IF($Q$118,$M$118*$AC$118*$Y$118,0)</f>
        <v/>
      </c>
      <c r="AP118" t="n">
        <v>86.45478622777146</v>
      </c>
      <c r="AQ118">
        <f>IF($S$118,$M$118*$AG$118*$W$118,0)</f>
        <v/>
      </c>
      <c r="AR118" t="n">
        <v>0</v>
      </c>
      <c r="AS118">
        <f>IF(OR(Vu_khi!$M$118="Missile",Vu_khi!$M$118="Drone",AND(Vu_khi!$M$118="Rocket",OR(Vu_khi!$AM$118,Vu_khi!$D$118="guided")),Vu_khi!$AL$118,Vu_khi!$AK$118,Vu_khi!$X$118&lt;=0),FALSE,IF($B$118&gt;=0,$B$118&gt;=4,IF(Vu_khi!$M$118="Shell",Vu_khi!$AN$118&gt;=Canh_bao_vong!$D$10,IF(Vu_khi!$M$118="Bomb",Vu_khi!$AN$118&gt;=Canh_bao_vong!$D$3,IF(Vu_khi!$M$118="Rocket",Vu_khi!$AN$118&gt;=Canh_bao_vong!$D$13,FALSE)))))</f>
        <v/>
      </c>
      <c r="AT118" t="b">
        <v>0</v>
      </c>
      <c r="AU118">
        <f>IF(AND($B$118&lt;0,$AS$118),4,$B$118)</f>
        <v/>
      </c>
      <c r="AV118" t="n">
        <v>3</v>
      </c>
      <c r="AW118">
        <f>IF($AU$118&lt;4,0,MIN(MAX(0.5,Canh_bao_vong!$D$4),MAX(IF(Vu_khi!$C$118="cal_406",Canh_bao_vong!$D$7,IF($AU$118&gt;=5,Canh_bao_vong!$D$9,Canh_bao_vong!$D$8)),Canh_bao_vong!$D$2+MAX(0,Vu_khi!$X$118)/MAX(0.1,Canh_bao_vong!$D$5))))</f>
        <v/>
      </c>
      <c r="AX118" t="n">
        <v>0</v>
      </c>
      <c r="BB118" t="inlineStr">
        <is>
          <t>Assets/MachineBrigade/Resources/Data/balance.json: weapons[id=gun_155_twin_fort_guided] (lớp B trên 01_chien_dau/Vu_khi)</t>
        </is>
      </c>
      <c r="BC118" t="inlineStr"/>
    </row>
    <row r="119">
      <c r="A119" t="inlineStr">
        <is>
          <t>gun_155_twin_long</t>
        </is>
      </c>
      <c r="B119" t="n">
        <v>3</v>
      </c>
      <c r="C119">
        <f>IF(Vu_khi!$O$119="SIMULTANEOUS",MAX(1,Vu_khi!$N$119),1)</f>
        <v/>
      </c>
      <c r="D119" t="n">
        <v>1</v>
      </c>
      <c r="E119">
        <f>IF(Vu_khi!$S$119&gt;0,Vu_khi!$S$119,Vu_khi!$P$119*$C$119)</f>
        <v/>
      </c>
      <c r="F119" t="n">
        <v>2</v>
      </c>
      <c r="G119">
        <f>IF(Vu_khi!$S$119&gt;0,(Vu_khi!$S$119-1)*Vu_khi!$R$119+Vu_khi!$T$119,Vu_khi!$R$119+(Vu_khi!$P$119-1)*Vu_khi!$Q$119)</f>
        <v/>
      </c>
      <c r="H119" t="n">
        <v>8.84</v>
      </c>
      <c r="I119">
        <f>Vu_khi!$W$119*MAX(1,$E$119)</f>
        <v/>
      </c>
      <c r="J119" t="n">
        <v>640</v>
      </c>
      <c r="K119">
        <f>IF(Vu_khi!$V$119&gt;0,Vu_khi!$V$119,MIN(28,MAX(10,Vu_khi!$U$119*Vu_khi!$R$119*0.4)))</f>
        <v/>
      </c>
      <c r="L119" t="n">
        <v>10</v>
      </c>
      <c r="M119">
        <f>IF(Vu_khi!$W$119&lt;=0,0,IF(Vu_khi!$U$119&gt;0,$I$119*Vu_khi!$U$119/(MAX(0.05,$G$119)*Vu_khi!$U$119+$K$119),$I$119/MAX(0.05,$G$119)))</f>
        <v/>
      </c>
      <c r="N119" t="n">
        <v>72.39819004524887</v>
      </c>
      <c r="O119">
        <f>OR(Vu_khi!$AG$119,Vu_khi!$AB$119&gt;0,Vu_khi!$AH$119,Vu_khi!$M$119="Bomb",Vu_khi!$M$119="Drone")</f>
        <v/>
      </c>
      <c r="P119" t="b">
        <v>0</v>
      </c>
      <c r="Q119">
        <f>AND(NOT(Vu_khi!$AJ$119),OR(Vu_khi!$AC$119="Ground",Vu_khi!$AC$119="All"))</f>
        <v/>
      </c>
      <c r="R119" t="b">
        <v>1</v>
      </c>
      <c r="S119">
        <f>AND(NOT(Vu_khi!$AJ$119),OR(Vu_khi!$AC$119="Air",Vu_khi!$AC$119="All"))</f>
        <v/>
      </c>
      <c r="T119" t="b">
        <v>0</v>
      </c>
      <c r="U119">
        <f>INDEX(Bang_sat_thuong!$B$2:$B$7,MATCH(Vu_khi!$K$119,Bang_sat_thuong!$A$2:$A$7,0))</f>
        <v/>
      </c>
      <c r="V119" t="n">
        <v>1</v>
      </c>
      <c r="W119">
        <f>INDEX(Bang_sat_thuong!$C$2:$C$7,MATCH(Vu_khi!$K$119,Bang_sat_thuong!$A$2:$A$7,0))</f>
        <v/>
      </c>
      <c r="X119" t="n">
        <v>0</v>
      </c>
      <c r="Y119">
        <f>IF(AND(Vu_khi!$AI$119,Vu_khi!$K$119="HighExplosive"),MAX(He_so_toan_cuc!$D$2,INDEX(Bang_sat_thuong!$D$2:$D$7,MATCH(Vu_khi!$K$119,Bang_sat_thuong!$A$2:$A$7,0))),INDEX(Bang_sat_thuong!$D$2:$D$7,MATCH(Vu_khi!$K$119,Bang_sat_thuong!$A$2:$A$7,0)))</f>
        <v/>
      </c>
      <c r="Z119" t="n">
        <v>1.5</v>
      </c>
      <c r="AA119">
        <f>INDEX(Bang_xuyen_giap!$C$2:$C$7,MIN(6,MAX(1,IF($O$119,MAX(1,2-(Vu_khi!$L$119-0)),2-(Vu_khi!$L$119-0))+1)))</f>
        <v/>
      </c>
      <c r="AB119" t="n">
        <v>1.2</v>
      </c>
      <c r="AC119">
        <f>INDEX(Bang_xuyen_giap!$C$2:$C$7,MIN(6,MAX(1,IF($O$119,MAX(1,2-(Vu_khi!$L$119-2)),2-(Vu_khi!$L$119-2))+1)))</f>
        <v/>
      </c>
      <c r="AD119" t="n">
        <v>1</v>
      </c>
      <c r="AE119">
        <f>INDEX(Bang_xuyen_giap!$C$2:$C$7,MIN(6,MAX(1,IF($O$119,MAX(1,2-(Vu_khi!$L$119-4)),2-(Vu_khi!$L$119-4))+1)))</f>
        <v/>
      </c>
      <c r="AF119" t="n">
        <v>0.5</v>
      </c>
      <c r="AG119">
        <f>INDEX(Bang_xuyen_giap!$C$2:$C$7,MIN(6,MAX(1,MAX(1,2-(Vu_khi!$L$119-0))+1)))</f>
        <v/>
      </c>
      <c r="AH119" t="n">
        <v>1</v>
      </c>
      <c r="AI119">
        <f>IF($Q$119,$M$119*$AA$119*$U$119,0)</f>
        <v/>
      </c>
      <c r="AJ119" t="n">
        <v>86.87782805429863</v>
      </c>
      <c r="AK119">
        <f>IF($Q$119,$M$119*$AC$119*$U$119,0)</f>
        <v/>
      </c>
      <c r="AL119" t="n">
        <v>72.39819004524887</v>
      </c>
      <c r="AM119">
        <f>IF($Q$119,$M$119*$AE$119*$U$119,0)</f>
        <v/>
      </c>
      <c r="AN119" t="n">
        <v>36.19909502262443</v>
      </c>
      <c r="AO119">
        <f>IF($Q$119,$M$119*$AC$119*$Y$119,0)</f>
        <v/>
      </c>
      <c r="AP119" t="n">
        <v>108.5972850678733</v>
      </c>
      <c r="AQ119">
        <f>IF($S$119,$M$119*$AG$119*$W$119,0)</f>
        <v/>
      </c>
      <c r="AR119" t="n">
        <v>0</v>
      </c>
      <c r="AS119">
        <f>IF(OR(Vu_khi!$M$119="Missile",Vu_khi!$M$119="Drone",AND(Vu_khi!$M$119="Rocket",OR(Vu_khi!$AM$119,Vu_khi!$D$119="guided")),Vu_khi!$AL$119,Vu_khi!$AK$119,Vu_khi!$X$119&lt;=0),FALSE,IF($B$119&gt;=0,$B$119&gt;=4,IF(Vu_khi!$M$119="Shell",Vu_khi!$AN$119&gt;=Canh_bao_vong!$D$10,IF(Vu_khi!$M$119="Bomb",Vu_khi!$AN$119&gt;=Canh_bao_vong!$D$3,IF(Vu_khi!$M$119="Rocket",Vu_khi!$AN$119&gt;=Canh_bao_vong!$D$13,FALSE)))))</f>
        <v/>
      </c>
      <c r="AT119" t="b">
        <v>0</v>
      </c>
      <c r="AU119">
        <f>IF(AND($B$119&lt;0,$AS$119),4,$B$119)</f>
        <v/>
      </c>
      <c r="AV119" t="n">
        <v>3</v>
      </c>
      <c r="AW119">
        <f>IF($AU$119&lt;4,0,MIN(MAX(0.5,Canh_bao_vong!$D$4),MAX(IF(Vu_khi!$C$119="cal_406",Canh_bao_vong!$D$7,IF($AU$119&gt;=5,Canh_bao_vong!$D$9,Canh_bao_vong!$D$8)),Canh_bao_vong!$D$2+MAX(0,Vu_khi!$X$119)/MAX(0.1,Canh_bao_vong!$D$5))))</f>
        <v/>
      </c>
      <c r="AX119" t="n">
        <v>0</v>
      </c>
      <c r="AY119" t="n">
        <v>0.412533</v>
      </c>
      <c r="AZ119" t="inlineStr">
        <is>
          <t>NHANH_QUA</t>
        </is>
      </c>
      <c r="BA119" t="inlineStr"/>
      <c r="BB119" t="inlineStr">
        <is>
          <t>Assets/MachineBrigade/Resources/Data/balance.json: weapons[id=gun_155_twin_long] (lớp B trên 01_chien_dau/Vu_khi)</t>
        </is>
      </c>
      <c r="BC119" t="inlineStr"/>
    </row>
    <row r="120">
      <c r="A120" t="inlineStr">
        <is>
          <t>gun_203_siege</t>
        </is>
      </c>
      <c r="B120" t="n">
        <v>4</v>
      </c>
      <c r="C120">
        <f>IF(Vu_khi!$O$120="SIMULTANEOUS",MAX(1,Vu_khi!$N$120),1)</f>
        <v/>
      </c>
      <c r="D120" t="n">
        <v>1</v>
      </c>
      <c r="E120">
        <f>IF(Vu_khi!$S$120&gt;0,Vu_khi!$S$120,Vu_khi!$P$120*$C$120)</f>
        <v/>
      </c>
      <c r="F120" t="n">
        <v>1</v>
      </c>
      <c r="G120">
        <f>IF(Vu_khi!$S$120&gt;0,(Vu_khi!$S$120-1)*Vu_khi!$R$120+Vu_khi!$T$120,Vu_khi!$R$120+(Vu_khi!$P$120-1)*Vu_khi!$Q$120)</f>
        <v/>
      </c>
      <c r="H120" t="n">
        <v>9.75</v>
      </c>
      <c r="I120">
        <f>Vu_khi!$W$120*MAX(1,$E$120)</f>
        <v/>
      </c>
      <c r="J120" t="n">
        <v>420</v>
      </c>
      <c r="K120">
        <f>IF(Vu_khi!$V$120&gt;0,Vu_khi!$V$120,MIN(28,MAX(10,Vu_khi!$U$120*Vu_khi!$R$120*0.4)))</f>
        <v/>
      </c>
      <c r="L120" t="n">
        <v>29.4</v>
      </c>
      <c r="M120">
        <f>IF(Vu_khi!$W$120&lt;=0,0,IF(Vu_khi!$U$120&gt;0,$I$120*Vu_khi!$U$120/(MAX(0.05,$G$120)*Vu_khi!$U$120+$K$120),$I$120/MAX(0.05,$G$120)))</f>
        <v/>
      </c>
      <c r="N120" t="n">
        <v>34.42622950819672</v>
      </c>
      <c r="O120">
        <f>OR(Vu_khi!$AG$120,Vu_khi!$AB$120&gt;0,Vu_khi!$AH$120,Vu_khi!$M$120="Bomb",Vu_khi!$M$120="Drone")</f>
        <v/>
      </c>
      <c r="P120" t="b">
        <v>1</v>
      </c>
      <c r="Q120">
        <f>AND(NOT(Vu_khi!$AJ$120),OR(Vu_khi!$AC$120="Ground",Vu_khi!$AC$120="All"))</f>
        <v/>
      </c>
      <c r="R120" t="b">
        <v>1</v>
      </c>
      <c r="S120">
        <f>AND(NOT(Vu_khi!$AJ$120),OR(Vu_khi!$AC$120="Air",Vu_khi!$AC$120="All"))</f>
        <v/>
      </c>
      <c r="T120" t="b">
        <v>0</v>
      </c>
      <c r="U120">
        <f>INDEX(Bang_sat_thuong!$B$2:$B$7,MATCH(Vu_khi!$K$120,Bang_sat_thuong!$A$2:$A$7,0))</f>
        <v/>
      </c>
      <c r="V120" t="n">
        <v>1</v>
      </c>
      <c r="W120">
        <f>INDEX(Bang_sat_thuong!$C$2:$C$7,MATCH(Vu_khi!$K$120,Bang_sat_thuong!$A$2:$A$7,0))</f>
        <v/>
      </c>
      <c r="X120" t="n">
        <v>0</v>
      </c>
      <c r="Y120">
        <f>IF(AND(Vu_khi!$AI$120,Vu_khi!$K$120="HighExplosive"),MAX(He_so_toan_cuc!$D$2,INDEX(Bang_sat_thuong!$D$2:$D$7,MATCH(Vu_khi!$K$120,Bang_sat_thuong!$A$2:$A$7,0))),INDEX(Bang_sat_thuong!$D$2:$D$7,MATCH(Vu_khi!$K$120,Bang_sat_thuong!$A$2:$A$7,0)))</f>
        <v/>
      </c>
      <c r="Z120" t="n">
        <v>1.5</v>
      </c>
      <c r="AA120">
        <f>INDEX(Bang_xuyen_giap!$C$2:$C$7,MIN(6,MAX(1,IF($O$120,MAX(1,2-(Vu_khi!$L$120-0)),2-(Vu_khi!$L$120-0))+1)))</f>
        <v/>
      </c>
      <c r="AB120" t="n">
        <v>1</v>
      </c>
      <c r="AC120">
        <f>INDEX(Bang_xuyen_giap!$C$2:$C$7,MIN(6,MAX(1,IF($O$120,MAX(1,2-(Vu_khi!$L$120-2)),2-(Vu_khi!$L$120-2))+1)))</f>
        <v/>
      </c>
      <c r="AD120" t="n">
        <v>1</v>
      </c>
      <c r="AE120">
        <f>INDEX(Bang_xuyen_giap!$C$2:$C$7,MIN(6,MAX(1,IF($O$120,MAX(1,2-(Vu_khi!$L$120-4)),2-(Vu_khi!$L$120-4))+1)))</f>
        <v/>
      </c>
      <c r="AF120" t="n">
        <v>0.85</v>
      </c>
      <c r="AG120">
        <f>INDEX(Bang_xuyen_giap!$C$2:$C$7,MIN(6,MAX(1,MAX(1,2-(Vu_khi!$L$120-0))+1)))</f>
        <v/>
      </c>
      <c r="AH120" t="n">
        <v>1</v>
      </c>
      <c r="AI120">
        <f>IF($Q$120,$M$120*$AA$120*$U$120,0)</f>
        <v/>
      </c>
      <c r="AJ120" t="n">
        <v>34.42622950819672</v>
      </c>
      <c r="AK120">
        <f>IF($Q$120,$M$120*$AC$120*$U$120,0)</f>
        <v/>
      </c>
      <c r="AL120" t="n">
        <v>34.42622950819672</v>
      </c>
      <c r="AM120">
        <f>IF($Q$120,$M$120*$AE$120*$U$120,0)</f>
        <v/>
      </c>
      <c r="AN120" t="n">
        <v>29.26229508196721</v>
      </c>
      <c r="AO120">
        <f>IF($Q$120,$M$120*$AC$120*$Y$120,0)</f>
        <v/>
      </c>
      <c r="AP120" t="n">
        <v>51.63934426229508</v>
      </c>
      <c r="AQ120">
        <f>IF($S$120,$M$120*$AG$120*$W$120,0)</f>
        <v/>
      </c>
      <c r="AR120" t="n">
        <v>0</v>
      </c>
      <c r="AS120">
        <f>IF(OR(Vu_khi!$M$120="Missile",Vu_khi!$M$120="Drone",AND(Vu_khi!$M$120="Rocket",OR(Vu_khi!$AM$120,Vu_khi!$D$120="guided")),Vu_khi!$AL$120,Vu_khi!$AK$120,Vu_khi!$X$120&lt;=0),FALSE,IF($B$120&gt;=0,$B$120&gt;=4,IF(Vu_khi!$M$120="Shell",Vu_khi!$AN$120&gt;=Canh_bao_vong!$D$10,IF(Vu_khi!$M$120="Bomb",Vu_khi!$AN$120&gt;=Canh_bao_vong!$D$3,IF(Vu_khi!$M$120="Rocket",Vu_khi!$AN$120&gt;=Canh_bao_vong!$D$13,FALSE)))))</f>
        <v/>
      </c>
      <c r="AT120" t="b">
        <v>1</v>
      </c>
      <c r="AU120">
        <f>IF(AND($B$120&lt;0,$AS$120),4,$B$120)</f>
        <v/>
      </c>
      <c r="AV120" t="n">
        <v>4</v>
      </c>
      <c r="AW120">
        <f>IF($AU$120&lt;4,0,MIN(MAX(0.5,Canh_bao_vong!$D$4),MAX(IF(Vu_khi!$C$120="cal_406",Canh_bao_vong!$D$7,IF($AU$120&gt;=5,Canh_bao_vong!$D$9,Canh_bao_vong!$D$8)),Canh_bao_vong!$D$2+MAX(0,Vu_khi!$X$120)/MAX(0.1,Canh_bao_vong!$D$5))))</f>
        <v/>
      </c>
      <c r="AX120" t="n">
        <v>2.5</v>
      </c>
      <c r="AY120" t="n">
        <v>0.284667</v>
      </c>
      <c r="AZ120" t="inlineStr">
        <is>
          <t>NHANH_QUA</t>
        </is>
      </c>
      <c r="BA120" t="inlineStr"/>
      <c r="BB120" t="inlineStr">
        <is>
          <t>Assets/MachineBrigade/Resources/Data/balance.json: weapons[id=gun_203_siege] (lớp B trên 01_chien_dau/Vu_khi)</t>
        </is>
      </c>
      <c r="BC120" t="inlineStr"/>
    </row>
    <row r="121">
      <c r="A121" t="inlineStr">
        <is>
          <t>gun_behemoth</t>
        </is>
      </c>
      <c r="B121" t="n">
        <v>3</v>
      </c>
      <c r="C121">
        <f>IF(Vu_khi!$O$121="SIMULTANEOUS",MAX(1,Vu_khi!$N$121),1)</f>
        <v/>
      </c>
      <c r="D121" t="n">
        <v>1</v>
      </c>
      <c r="E121">
        <f>IF(Vu_khi!$S$121&gt;0,Vu_khi!$S$121,Vu_khi!$P$121*$C$121)</f>
        <v/>
      </c>
      <c r="F121" t="n">
        <v>2</v>
      </c>
      <c r="G121">
        <f>IF(Vu_khi!$S$121&gt;0,(Vu_khi!$S$121-1)*Vu_khi!$R$121+Vu_khi!$T$121,Vu_khi!$R$121+(Vu_khi!$P$121-1)*Vu_khi!$Q$121)</f>
        <v/>
      </c>
      <c r="H121" t="n">
        <v>8.98</v>
      </c>
      <c r="I121">
        <f>Vu_khi!$W$121*MAX(1,$E$121)</f>
        <v/>
      </c>
      <c r="J121" t="n">
        <v>640</v>
      </c>
      <c r="K121">
        <f>IF(Vu_khi!$V$121&gt;0,Vu_khi!$V$121,MIN(28,MAX(10,Vu_khi!$U$121*Vu_khi!$R$121*0.4)))</f>
        <v/>
      </c>
      <c r="L121" t="n">
        <v>10</v>
      </c>
      <c r="M121">
        <f>IF(Vu_khi!$W$121&lt;=0,0,IF(Vu_khi!$U$121&gt;0,$I$121*Vu_khi!$U$121/(MAX(0.05,$G$121)*Vu_khi!$U$121+$K$121),$I$121/MAX(0.05,$G$121)))</f>
        <v/>
      </c>
      <c r="N121" t="n">
        <v>71.26948775055679</v>
      </c>
      <c r="O121">
        <f>OR(Vu_khi!$AG$121,Vu_khi!$AB$121&gt;0,Vu_khi!$AH$121,Vu_khi!$M$121="Bomb",Vu_khi!$M$121="Drone")</f>
        <v/>
      </c>
      <c r="P121" t="b">
        <v>0</v>
      </c>
      <c r="Q121">
        <f>AND(NOT(Vu_khi!$AJ$121),OR(Vu_khi!$AC$121="Ground",Vu_khi!$AC$121="All"))</f>
        <v/>
      </c>
      <c r="R121" t="b">
        <v>1</v>
      </c>
      <c r="S121">
        <f>AND(NOT(Vu_khi!$AJ$121),OR(Vu_khi!$AC$121="Air",Vu_khi!$AC$121="All"))</f>
        <v/>
      </c>
      <c r="T121" t="b">
        <v>0</v>
      </c>
      <c r="U121">
        <f>INDEX(Bang_sat_thuong!$B$2:$B$7,MATCH(Vu_khi!$K$121,Bang_sat_thuong!$A$2:$A$7,0))</f>
        <v/>
      </c>
      <c r="V121" t="n">
        <v>1</v>
      </c>
      <c r="W121">
        <f>INDEX(Bang_sat_thuong!$C$2:$C$7,MATCH(Vu_khi!$K$121,Bang_sat_thuong!$A$2:$A$7,0))</f>
        <v/>
      </c>
      <c r="X121" t="n">
        <v>0</v>
      </c>
      <c r="Y121">
        <f>IF(AND(Vu_khi!$AI$121,Vu_khi!$K$121="HighExplosive"),MAX(He_so_toan_cuc!$D$2,INDEX(Bang_sat_thuong!$D$2:$D$7,MATCH(Vu_khi!$K$121,Bang_sat_thuong!$A$2:$A$7,0))),INDEX(Bang_sat_thuong!$D$2:$D$7,MATCH(Vu_khi!$K$121,Bang_sat_thuong!$A$2:$A$7,0)))</f>
        <v/>
      </c>
      <c r="Z121" t="n">
        <v>1.5</v>
      </c>
      <c r="AA121">
        <f>INDEX(Bang_xuyen_giap!$C$2:$C$7,MIN(6,MAX(1,IF($O$121,MAX(1,2-(Vu_khi!$L$121-0)),2-(Vu_khi!$L$121-0))+1)))</f>
        <v/>
      </c>
      <c r="AB121" t="n">
        <v>1.2</v>
      </c>
      <c r="AC121">
        <f>INDEX(Bang_xuyen_giap!$C$2:$C$7,MIN(6,MAX(1,IF($O$121,MAX(1,2-(Vu_khi!$L$121-2)),2-(Vu_khi!$L$121-2))+1)))</f>
        <v/>
      </c>
      <c r="AD121" t="n">
        <v>1</v>
      </c>
      <c r="AE121">
        <f>INDEX(Bang_xuyen_giap!$C$2:$C$7,MIN(6,MAX(1,IF($O$121,MAX(1,2-(Vu_khi!$L$121-4)),2-(Vu_khi!$L$121-4))+1)))</f>
        <v/>
      </c>
      <c r="AF121" t="n">
        <v>0.5</v>
      </c>
      <c r="AG121">
        <f>INDEX(Bang_xuyen_giap!$C$2:$C$7,MIN(6,MAX(1,MAX(1,2-(Vu_khi!$L$121-0))+1)))</f>
        <v/>
      </c>
      <c r="AH121" t="n">
        <v>1</v>
      </c>
      <c r="AI121">
        <f>IF($Q$121,$M$121*$AA$121*$U$121,0)</f>
        <v/>
      </c>
      <c r="AJ121" t="n">
        <v>85.52338530066815</v>
      </c>
      <c r="AK121">
        <f>IF($Q$121,$M$121*$AC$121*$U$121,0)</f>
        <v/>
      </c>
      <c r="AL121" t="n">
        <v>71.26948775055679</v>
      </c>
      <c r="AM121">
        <f>IF($Q$121,$M$121*$AE$121*$U$121,0)</f>
        <v/>
      </c>
      <c r="AN121" t="n">
        <v>35.6347438752784</v>
      </c>
      <c r="AO121">
        <f>IF($Q$121,$M$121*$AC$121*$Y$121,0)</f>
        <v/>
      </c>
      <c r="AP121" t="n">
        <v>106.9042316258352</v>
      </c>
      <c r="AQ121">
        <f>IF($S$121,$M$121*$AG$121*$W$121,0)</f>
        <v/>
      </c>
      <c r="AR121" t="n">
        <v>0</v>
      </c>
      <c r="AS121">
        <f>IF(OR(Vu_khi!$M$121="Missile",Vu_khi!$M$121="Drone",AND(Vu_khi!$M$121="Rocket",OR(Vu_khi!$AM$121,Vu_khi!$D$121="guided")),Vu_khi!$AL$121,Vu_khi!$AK$121,Vu_khi!$X$121&lt;=0),FALSE,IF($B$121&gt;=0,$B$121&gt;=4,IF(Vu_khi!$M$121="Shell",Vu_khi!$AN$121&gt;=Canh_bao_vong!$D$10,IF(Vu_khi!$M$121="Bomb",Vu_khi!$AN$121&gt;=Canh_bao_vong!$D$3,IF(Vu_khi!$M$121="Rocket",Vu_khi!$AN$121&gt;=Canh_bao_vong!$D$13,FALSE)))))</f>
        <v/>
      </c>
      <c r="AT121" t="b">
        <v>0</v>
      </c>
      <c r="AU121">
        <f>IF(AND($B$121&lt;0,$AS$121),4,$B$121)</f>
        <v/>
      </c>
      <c r="AV121" t="n">
        <v>3</v>
      </c>
      <c r="AW121">
        <f>IF($AU$121&lt;4,0,MIN(MAX(0.5,Canh_bao_vong!$D$4),MAX(IF(Vu_khi!$C$121="cal_406",Canh_bao_vong!$D$7,IF($AU$121&gt;=5,Canh_bao_vong!$D$9,Canh_bao_vong!$D$8)),Canh_bao_vong!$D$2+MAX(0,Vu_khi!$X$121)/MAX(0.1,Canh_bao_vong!$D$5))))</f>
        <v/>
      </c>
      <c r="AX121" t="n">
        <v>0</v>
      </c>
      <c r="AY121" t="n">
        <v>0.838133</v>
      </c>
      <c r="AZ121" t="inlineStr">
        <is>
          <t>ok</t>
        </is>
      </c>
      <c r="BA121" t="inlineStr"/>
      <c r="BB121" t="inlineStr">
        <is>
          <t>Assets/MachineBrigade/Resources/Data/balance.json: weapons[id=gun_behemoth] (lớp B trên 01_chien_dau/Vu_khi)</t>
        </is>
      </c>
      <c r="BC121" t="inlineStr"/>
    </row>
    <row r="122">
      <c r="A122" t="inlineStr">
        <is>
          <t>gun_behemoth_guided</t>
        </is>
      </c>
      <c r="B122" t="n">
        <v>3</v>
      </c>
      <c r="C122">
        <f>IF(Vu_khi!$O$122="SIMULTANEOUS",MAX(1,Vu_khi!$N$122),1)</f>
        <v/>
      </c>
      <c r="D122" t="n">
        <v>1</v>
      </c>
      <c r="E122">
        <f>IF(Vu_khi!$S$122&gt;0,Vu_khi!$S$122,Vu_khi!$P$122*$C$122)</f>
        <v/>
      </c>
      <c r="F122" t="n">
        <v>1</v>
      </c>
      <c r="G122">
        <f>IF(Vu_khi!$S$122&gt;0,(Vu_khi!$S$122-1)*Vu_khi!$R$122+Vu_khi!$T$122,Vu_khi!$R$122+(Vu_khi!$P$122-1)*Vu_khi!$Q$122)</f>
        <v/>
      </c>
      <c r="H122" t="n">
        <v>8.93</v>
      </c>
      <c r="I122">
        <f>Vu_khi!$W$122*MAX(1,$E$122)</f>
        <v/>
      </c>
      <c r="J122" t="n">
        <v>320</v>
      </c>
      <c r="K122">
        <f>IF(Vu_khi!$V$122&gt;0,Vu_khi!$V$122,MIN(28,MAX(10,Vu_khi!$U$122*Vu_khi!$R$122*0.4)))</f>
        <v/>
      </c>
      <c r="L122" t="n">
        <v>10</v>
      </c>
      <c r="M122">
        <f>IF(Vu_khi!$W$122&lt;=0,0,IF(Vu_khi!$U$122&gt;0,$I$122*Vu_khi!$U$122/(MAX(0.05,$G$122)*Vu_khi!$U$122+$K$122),$I$122/MAX(0.05,$G$122)))</f>
        <v/>
      </c>
      <c r="N122" t="n">
        <v>35.83426651735722</v>
      </c>
      <c r="O122">
        <f>OR(Vu_khi!$AG$122,Vu_khi!$AB$122&gt;0,Vu_khi!$AH$122,Vu_khi!$M$122="Bomb",Vu_khi!$M$122="Drone")</f>
        <v/>
      </c>
      <c r="P122" t="b">
        <v>0</v>
      </c>
      <c r="Q122">
        <f>AND(NOT(Vu_khi!$AJ$122),OR(Vu_khi!$AC$122="Ground",Vu_khi!$AC$122="All"))</f>
        <v/>
      </c>
      <c r="R122" t="b">
        <v>1</v>
      </c>
      <c r="S122">
        <f>AND(NOT(Vu_khi!$AJ$122),OR(Vu_khi!$AC$122="Air",Vu_khi!$AC$122="All"))</f>
        <v/>
      </c>
      <c r="T122" t="b">
        <v>0</v>
      </c>
      <c r="U122">
        <f>INDEX(Bang_sat_thuong!$B$2:$B$7,MATCH(Vu_khi!$K$122,Bang_sat_thuong!$A$2:$A$7,0))</f>
        <v/>
      </c>
      <c r="V122" t="n">
        <v>1</v>
      </c>
      <c r="W122">
        <f>INDEX(Bang_sat_thuong!$C$2:$C$7,MATCH(Vu_khi!$K$122,Bang_sat_thuong!$A$2:$A$7,0))</f>
        <v/>
      </c>
      <c r="X122" t="n">
        <v>0</v>
      </c>
      <c r="Y122">
        <f>IF(AND(Vu_khi!$AI$122,Vu_khi!$K$122="HighExplosive"),MAX(He_so_toan_cuc!$D$2,INDEX(Bang_sat_thuong!$D$2:$D$7,MATCH(Vu_khi!$K$122,Bang_sat_thuong!$A$2:$A$7,0))),INDEX(Bang_sat_thuong!$D$2:$D$7,MATCH(Vu_khi!$K$122,Bang_sat_thuong!$A$2:$A$7,0)))</f>
        <v/>
      </c>
      <c r="Z122" t="n">
        <v>1.5</v>
      </c>
      <c r="AA122">
        <f>INDEX(Bang_xuyen_giap!$C$2:$C$7,MIN(6,MAX(1,IF($O$122,MAX(1,2-(Vu_khi!$L$122-0)),2-(Vu_khi!$L$122-0))+1)))</f>
        <v/>
      </c>
      <c r="AB122" t="n">
        <v>1.2</v>
      </c>
      <c r="AC122">
        <f>INDEX(Bang_xuyen_giap!$C$2:$C$7,MIN(6,MAX(1,IF($O$122,MAX(1,2-(Vu_khi!$L$122-2)),2-(Vu_khi!$L$122-2))+1)))</f>
        <v/>
      </c>
      <c r="AD122" t="n">
        <v>1</v>
      </c>
      <c r="AE122">
        <f>INDEX(Bang_xuyen_giap!$C$2:$C$7,MIN(6,MAX(1,IF($O$122,MAX(1,2-(Vu_khi!$L$122-4)),2-(Vu_khi!$L$122-4))+1)))</f>
        <v/>
      </c>
      <c r="AF122" t="n">
        <v>0.5</v>
      </c>
      <c r="AG122">
        <f>INDEX(Bang_xuyen_giap!$C$2:$C$7,MIN(6,MAX(1,MAX(1,2-(Vu_khi!$L$122-0))+1)))</f>
        <v/>
      </c>
      <c r="AH122" t="n">
        <v>1</v>
      </c>
      <c r="AI122">
        <f>IF($Q$122,$M$122*$AA$122*$U$122,0)</f>
        <v/>
      </c>
      <c r="AJ122" t="n">
        <v>43.00111982082866</v>
      </c>
      <c r="AK122">
        <f>IF($Q$122,$M$122*$AC$122*$U$122,0)</f>
        <v/>
      </c>
      <c r="AL122" t="n">
        <v>35.83426651735722</v>
      </c>
      <c r="AM122">
        <f>IF($Q$122,$M$122*$AE$122*$U$122,0)</f>
        <v/>
      </c>
      <c r="AN122" t="n">
        <v>17.91713325867861</v>
      </c>
      <c r="AO122">
        <f>IF($Q$122,$M$122*$AC$122*$Y$122,0)</f>
        <v/>
      </c>
      <c r="AP122" t="n">
        <v>53.75139977603583</v>
      </c>
      <c r="AQ122">
        <f>IF($S$122,$M$122*$AG$122*$W$122,0)</f>
        <v/>
      </c>
      <c r="AR122" t="n">
        <v>0</v>
      </c>
      <c r="AS122">
        <f>IF(OR(Vu_khi!$M$122="Missile",Vu_khi!$M$122="Drone",AND(Vu_khi!$M$122="Rocket",OR(Vu_khi!$AM$122,Vu_khi!$D$122="guided")),Vu_khi!$AL$122,Vu_khi!$AK$122,Vu_khi!$X$122&lt;=0),FALSE,IF($B$122&gt;=0,$B$122&gt;=4,IF(Vu_khi!$M$122="Shell",Vu_khi!$AN$122&gt;=Canh_bao_vong!$D$10,IF(Vu_khi!$M$122="Bomb",Vu_khi!$AN$122&gt;=Canh_bao_vong!$D$3,IF(Vu_khi!$M$122="Rocket",Vu_khi!$AN$122&gt;=Canh_bao_vong!$D$13,FALSE)))))</f>
        <v/>
      </c>
      <c r="AT122" t="b">
        <v>0</v>
      </c>
      <c r="AU122">
        <f>IF(AND($B$122&lt;0,$AS$122),4,$B$122)</f>
        <v/>
      </c>
      <c r="AV122" t="n">
        <v>3</v>
      </c>
      <c r="AW122">
        <f>IF($AU$122&lt;4,0,MIN(MAX(0.5,Canh_bao_vong!$D$4),MAX(IF(Vu_khi!$C$122="cal_406",Canh_bao_vong!$D$7,IF($AU$122&gt;=5,Canh_bao_vong!$D$9,Canh_bao_vong!$D$8)),Canh_bao_vong!$D$2+MAX(0,Vu_khi!$X$122)/MAX(0.1,Canh_bao_vong!$D$5))))</f>
        <v/>
      </c>
      <c r="AX122" t="n">
        <v>0</v>
      </c>
      <c r="BB122" t="inlineStr">
        <is>
          <t>Assets/MachineBrigade/Resources/Data/balance.json: weapons[id=gun_behemoth_guided] (lớp B trên 01_chien_dau/Vu_khi)</t>
        </is>
      </c>
      <c r="BC122" t="inlineStr"/>
    </row>
    <row r="123">
      <c r="A123" t="inlineStr">
        <is>
          <t>gun_launched_atgm</t>
        </is>
      </c>
      <c r="B123" t="n">
        <v>2</v>
      </c>
      <c r="C123">
        <f>IF(Vu_khi!$O$123="SIMULTANEOUS",MAX(1,Vu_khi!$N$123),1)</f>
        <v/>
      </c>
      <c r="D123" t="n">
        <v>1</v>
      </c>
      <c r="E123">
        <f>IF(Vu_khi!$S$123&gt;0,Vu_khi!$S$123,Vu_khi!$P$123*$C$123)</f>
        <v/>
      </c>
      <c r="F123" t="n">
        <v>1</v>
      </c>
      <c r="G123">
        <f>IF(Vu_khi!$S$123&gt;0,(Vu_khi!$S$123-1)*Vu_khi!$R$123+Vu_khi!$T$123,Vu_khi!$R$123+(Vu_khi!$P$123-1)*Vu_khi!$Q$123)</f>
        <v/>
      </c>
      <c r="H123" t="n">
        <v>20</v>
      </c>
      <c r="I123">
        <f>Vu_khi!$W$123*MAX(1,$E$123)</f>
        <v/>
      </c>
      <c r="J123" t="n">
        <v>200</v>
      </c>
      <c r="K123">
        <f>IF(Vu_khi!$V$123&gt;0,Vu_khi!$V$123,MIN(28,MAX(10,Vu_khi!$U$123*Vu_khi!$R$123*0.4)))</f>
        <v/>
      </c>
      <c r="L123" t="n">
        <v>10</v>
      </c>
      <c r="M123">
        <f>IF(Vu_khi!$W$123&lt;=0,0,IF(Vu_khi!$U$123&gt;0,$I$123*Vu_khi!$U$123/(MAX(0.05,$G$123)*Vu_khi!$U$123+$K$123),$I$123/MAX(0.05,$G$123)))</f>
        <v/>
      </c>
      <c r="N123" t="n">
        <v>10</v>
      </c>
      <c r="O123">
        <f>OR(Vu_khi!$AG$123,Vu_khi!$AB$123&gt;0,Vu_khi!$AH$123,Vu_khi!$M$123="Bomb",Vu_khi!$M$123="Drone")</f>
        <v/>
      </c>
      <c r="P123" t="b">
        <v>0</v>
      </c>
      <c r="Q123">
        <f>AND(NOT(Vu_khi!$AJ$123),OR(Vu_khi!$AC$123="Ground",Vu_khi!$AC$123="All"))</f>
        <v/>
      </c>
      <c r="R123" t="b">
        <v>1</v>
      </c>
      <c r="S123">
        <f>AND(NOT(Vu_khi!$AJ$123),OR(Vu_khi!$AC$123="Air",Vu_khi!$AC$123="All"))</f>
        <v/>
      </c>
      <c r="T123" t="b">
        <v>0</v>
      </c>
      <c r="U123">
        <f>INDEX(Bang_sat_thuong!$B$2:$B$7,MATCH(Vu_khi!$K$123,Bang_sat_thuong!$A$2:$A$7,0))</f>
        <v/>
      </c>
      <c r="V123" t="n">
        <v>1</v>
      </c>
      <c r="W123">
        <f>INDEX(Bang_sat_thuong!$C$2:$C$7,MATCH(Vu_khi!$K$123,Bang_sat_thuong!$A$2:$A$7,0))</f>
        <v/>
      </c>
      <c r="X123" t="n">
        <v>0.3</v>
      </c>
      <c r="Y123">
        <f>IF(AND(Vu_khi!$AI$123,Vu_khi!$K$123="HighExplosive"),MAX(He_so_toan_cuc!$D$2,INDEX(Bang_sat_thuong!$D$2:$D$7,MATCH(Vu_khi!$K$123,Bang_sat_thuong!$A$2:$A$7,0))),INDEX(Bang_sat_thuong!$D$2:$D$7,MATCH(Vu_khi!$K$123,Bang_sat_thuong!$A$2:$A$7,0)))</f>
        <v/>
      </c>
      <c r="Z123" t="n">
        <v>0.6</v>
      </c>
      <c r="AA123">
        <f>INDEX(Bang_xuyen_giap!$C$2:$C$7,MIN(6,MAX(1,IF($O$123,MAX(1,2-(Vu_khi!$L$123-0)),2-(Vu_khi!$L$123-0))+1)))</f>
        <v/>
      </c>
      <c r="AB123" t="n">
        <v>1.2</v>
      </c>
      <c r="AC123">
        <f>INDEX(Bang_xuyen_giap!$C$2:$C$7,MIN(6,MAX(1,IF($O$123,MAX(1,2-(Vu_khi!$L$123-2)),2-(Vu_khi!$L$123-2))+1)))</f>
        <v/>
      </c>
      <c r="AD123" t="n">
        <v>1</v>
      </c>
      <c r="AE123">
        <f>INDEX(Bang_xuyen_giap!$C$2:$C$7,MIN(6,MAX(1,IF($O$123,MAX(1,2-(Vu_khi!$L$123-4)),2-(Vu_khi!$L$123-4))+1)))</f>
        <v/>
      </c>
      <c r="AF123" t="n">
        <v>0.5</v>
      </c>
      <c r="AG123">
        <f>INDEX(Bang_xuyen_giap!$C$2:$C$7,MIN(6,MAX(1,MAX(1,2-(Vu_khi!$L$123-0))+1)))</f>
        <v/>
      </c>
      <c r="AH123" t="n">
        <v>1</v>
      </c>
      <c r="AI123">
        <f>IF($Q$123,$M$123*$AA$123*$U$123,0)</f>
        <v/>
      </c>
      <c r="AJ123" t="n">
        <v>12</v>
      </c>
      <c r="AK123">
        <f>IF($Q$123,$M$123*$AC$123*$U$123,0)</f>
        <v/>
      </c>
      <c r="AL123" t="n">
        <v>10</v>
      </c>
      <c r="AM123">
        <f>IF($Q$123,$M$123*$AE$123*$U$123,0)</f>
        <v/>
      </c>
      <c r="AN123" t="n">
        <v>5</v>
      </c>
      <c r="AO123">
        <f>IF($Q$123,$M$123*$AC$123*$Y$123,0)</f>
        <v/>
      </c>
      <c r="AP123" t="n">
        <v>6</v>
      </c>
      <c r="AQ123">
        <f>IF($S$123,$M$123*$AG$123*$W$123,0)</f>
        <v/>
      </c>
      <c r="AR123" t="n">
        <v>0</v>
      </c>
      <c r="AS123">
        <f>IF(OR(Vu_khi!$M$123="Missile",Vu_khi!$M$123="Drone",AND(Vu_khi!$M$123="Rocket",OR(Vu_khi!$AM$123,Vu_khi!$D$123="guided")),Vu_khi!$AL$123,Vu_khi!$AK$123,Vu_khi!$X$123&lt;=0),FALSE,IF($B$123&gt;=0,$B$123&gt;=4,IF(Vu_khi!$M$123="Shell",Vu_khi!$AN$123&gt;=Canh_bao_vong!$D$10,IF(Vu_khi!$M$123="Bomb",Vu_khi!$AN$123&gt;=Canh_bao_vong!$D$3,IF(Vu_khi!$M$123="Rocket",Vu_khi!$AN$123&gt;=Canh_bao_vong!$D$13,FALSE)))))</f>
        <v/>
      </c>
      <c r="AT123" t="b">
        <v>0</v>
      </c>
      <c r="AU123">
        <f>IF(AND($B$123&lt;0,$AS$123),4,$B$123)</f>
        <v/>
      </c>
      <c r="AV123" t="n">
        <v>2</v>
      </c>
      <c r="AW123">
        <f>IF($AU$123&lt;4,0,MIN(MAX(0.5,Canh_bao_vong!$D$4),MAX(IF(Vu_khi!$C$123="cal_406",Canh_bao_vong!$D$7,IF($AU$123&gt;=5,Canh_bao_vong!$D$9,Canh_bao_vong!$D$8)),Canh_bao_vong!$D$2+MAX(0,Vu_khi!$X$123)/MAX(0.1,Canh_bao_vong!$D$5))))</f>
        <v/>
      </c>
      <c r="AX123" t="n">
        <v>0</v>
      </c>
      <c r="AY123" t="n">
        <v>1.333333</v>
      </c>
      <c r="AZ123" t="inlineStr">
        <is>
          <t>ok</t>
        </is>
      </c>
      <c r="BA123" t="inlineStr"/>
      <c r="BB123" t="inlineStr">
        <is>
          <t>Assets/MachineBrigade/Resources/Data/balance.json: weapons[id=gun_launched_atgm] (lớp B trên 01_chien_dau/Vu_khi)</t>
        </is>
      </c>
      <c r="BC123" t="inlineStr"/>
    </row>
    <row r="124">
      <c r="A124" t="inlineStr">
        <is>
          <t>gun_pit_105</t>
        </is>
      </c>
      <c r="B124" t="n">
        <v>3</v>
      </c>
      <c r="C124">
        <f>IF(Vu_khi!$O$124="SIMULTANEOUS",MAX(1,Vu_khi!$N$124),1)</f>
        <v/>
      </c>
      <c r="D124" t="n">
        <v>1</v>
      </c>
      <c r="E124">
        <f>IF(Vu_khi!$S$124&gt;0,Vu_khi!$S$124,Vu_khi!$P$124*$C$124)</f>
        <v/>
      </c>
      <c r="F124" t="n">
        <v>1</v>
      </c>
      <c r="G124">
        <f>IF(Vu_khi!$S$124&gt;0,(Vu_khi!$S$124-1)*Vu_khi!$R$124+Vu_khi!$T$124,Vu_khi!$R$124+(Vu_khi!$P$124-1)*Vu_khi!$Q$124)</f>
        <v/>
      </c>
      <c r="H124" t="n">
        <v>4.63</v>
      </c>
      <c r="I124">
        <f>Vu_khi!$W$124*MAX(1,$E$124)</f>
        <v/>
      </c>
      <c r="J124" t="n">
        <v>240</v>
      </c>
      <c r="K124">
        <f>IF(Vu_khi!$V$124&gt;0,Vu_khi!$V$124,MIN(28,MAX(10,Vu_khi!$U$124*Vu_khi!$R$124*0.4)))</f>
        <v/>
      </c>
      <c r="L124" t="n">
        <v>10</v>
      </c>
      <c r="M124">
        <f>IF(Vu_khi!$W$124&lt;=0,0,IF(Vu_khi!$U$124&gt;0,$I$124*Vu_khi!$U$124/(MAX(0.05,$G$124)*Vu_khi!$U$124+$K$124),$I$124/MAX(0.05,$G$124)))</f>
        <v/>
      </c>
      <c r="N124" t="n">
        <v>51.83585313174946</v>
      </c>
      <c r="O124">
        <f>OR(Vu_khi!$AG$124,Vu_khi!$AB$124&gt;0,Vu_khi!$AH$124,Vu_khi!$M$124="Bomb",Vu_khi!$M$124="Drone")</f>
        <v/>
      </c>
      <c r="P124" t="b">
        <v>0</v>
      </c>
      <c r="Q124">
        <f>AND(NOT(Vu_khi!$AJ$124),OR(Vu_khi!$AC$124="Ground",Vu_khi!$AC$124="All"))</f>
        <v/>
      </c>
      <c r="R124" t="b">
        <v>1</v>
      </c>
      <c r="S124">
        <f>AND(NOT(Vu_khi!$AJ$124),OR(Vu_khi!$AC$124="Air",Vu_khi!$AC$124="All"))</f>
        <v/>
      </c>
      <c r="T124" t="b">
        <v>0</v>
      </c>
      <c r="U124">
        <f>INDEX(Bang_sat_thuong!$B$2:$B$7,MATCH(Vu_khi!$K$124,Bang_sat_thuong!$A$2:$A$7,0))</f>
        <v/>
      </c>
      <c r="V124" t="n">
        <v>1</v>
      </c>
      <c r="W124">
        <f>INDEX(Bang_sat_thuong!$C$2:$C$7,MATCH(Vu_khi!$K$124,Bang_sat_thuong!$A$2:$A$7,0))</f>
        <v/>
      </c>
      <c r="X124" t="n">
        <v>0.3</v>
      </c>
      <c r="Y124">
        <f>IF(AND(Vu_khi!$AI$124,Vu_khi!$K$124="HighExplosive"),MAX(He_so_toan_cuc!$D$2,INDEX(Bang_sat_thuong!$D$2:$D$7,MATCH(Vu_khi!$K$124,Bang_sat_thuong!$A$2:$A$7,0))),INDEX(Bang_sat_thuong!$D$2:$D$7,MATCH(Vu_khi!$K$124,Bang_sat_thuong!$A$2:$A$7,0)))</f>
        <v/>
      </c>
      <c r="Z124" t="n">
        <v>0.6</v>
      </c>
      <c r="AA124">
        <f>INDEX(Bang_xuyen_giap!$C$2:$C$7,MIN(6,MAX(1,IF($O$124,MAX(1,2-(Vu_khi!$L$124-0)),2-(Vu_khi!$L$124-0))+1)))</f>
        <v/>
      </c>
      <c r="AB124" t="n">
        <v>1.2</v>
      </c>
      <c r="AC124">
        <f>INDEX(Bang_xuyen_giap!$C$2:$C$7,MIN(6,MAX(1,IF($O$124,MAX(1,2-(Vu_khi!$L$124-2)),2-(Vu_khi!$L$124-2))+1)))</f>
        <v/>
      </c>
      <c r="AD124" t="n">
        <v>1.2</v>
      </c>
      <c r="AE124">
        <f>INDEX(Bang_xuyen_giap!$C$2:$C$7,MIN(6,MAX(1,IF($O$124,MAX(1,2-(Vu_khi!$L$124-4)),2-(Vu_khi!$L$124-4))+1)))</f>
        <v/>
      </c>
      <c r="AF124" t="n">
        <v>0.85</v>
      </c>
      <c r="AG124">
        <f>INDEX(Bang_xuyen_giap!$C$2:$C$7,MIN(6,MAX(1,MAX(1,2-(Vu_khi!$L$124-0))+1)))</f>
        <v/>
      </c>
      <c r="AH124" t="n">
        <v>1</v>
      </c>
      <c r="AI124">
        <f>IF($Q$124,$M$124*$AA$124*$U$124,0)</f>
        <v/>
      </c>
      <c r="AJ124" t="n">
        <v>62.20302375809935</v>
      </c>
      <c r="AK124">
        <f>IF($Q$124,$M$124*$AC$124*$U$124,0)</f>
        <v/>
      </c>
      <c r="AL124" t="n">
        <v>62.20302375809935</v>
      </c>
      <c r="AM124">
        <f>IF($Q$124,$M$124*$AE$124*$U$124,0)</f>
        <v/>
      </c>
      <c r="AN124" t="n">
        <v>44.06047516198704</v>
      </c>
      <c r="AO124">
        <f>IF($Q$124,$M$124*$AC$124*$Y$124,0)</f>
        <v/>
      </c>
      <c r="AP124" t="n">
        <v>37.32181425485961</v>
      </c>
      <c r="AQ124">
        <f>IF($S$124,$M$124*$AG$124*$W$124,0)</f>
        <v/>
      </c>
      <c r="AR124" t="n">
        <v>0</v>
      </c>
      <c r="AS124">
        <f>IF(OR(Vu_khi!$M$124="Missile",Vu_khi!$M$124="Drone",AND(Vu_khi!$M$124="Rocket",OR(Vu_khi!$AM$124,Vu_khi!$D$124="guided")),Vu_khi!$AL$124,Vu_khi!$AK$124,Vu_khi!$X$124&lt;=0),FALSE,IF($B$124&gt;=0,$B$124&gt;=4,IF(Vu_khi!$M$124="Shell",Vu_khi!$AN$124&gt;=Canh_bao_vong!$D$10,IF(Vu_khi!$M$124="Bomb",Vu_khi!$AN$124&gt;=Canh_bao_vong!$D$3,IF(Vu_khi!$M$124="Rocket",Vu_khi!$AN$124&gt;=Canh_bao_vong!$D$13,FALSE)))))</f>
        <v/>
      </c>
      <c r="AT124" t="b">
        <v>0</v>
      </c>
      <c r="AU124">
        <f>IF(AND($B$124&lt;0,$AS$124),4,$B$124)</f>
        <v/>
      </c>
      <c r="AV124" t="n">
        <v>3</v>
      </c>
      <c r="AW124">
        <f>IF($AU$124&lt;4,0,MIN(MAX(0.5,Canh_bao_vong!$D$4),MAX(IF(Vu_khi!$C$124="cal_406",Canh_bao_vong!$D$7,IF($AU$124&gt;=5,Canh_bao_vong!$D$9,Canh_bao_vong!$D$8)),Canh_bao_vong!$D$2+MAX(0,Vu_khi!$X$124)/MAX(0.1,Canh_bao_vong!$D$5))))</f>
        <v/>
      </c>
      <c r="AX124" t="n">
        <v>0</v>
      </c>
      <c r="AY124" t="n">
        <v>0.432133</v>
      </c>
      <c r="AZ124" t="inlineStr">
        <is>
          <t>NHANH_QUA</t>
        </is>
      </c>
      <c r="BA124" t="inlineStr"/>
      <c r="BB124" t="inlineStr">
        <is>
          <t>Assets/MachineBrigade/Resources/Data/balance.json: weapons[id=gun_pit_105] (lớp B trên 01_chien_dau/Vu_khi)</t>
        </is>
      </c>
      <c r="BC124" t="inlineStr"/>
    </row>
    <row r="125">
      <c r="A125" t="inlineStr">
        <is>
          <t>gunship_25mm</t>
        </is>
      </c>
      <c r="B125" t="n">
        <v>1</v>
      </c>
      <c r="C125">
        <f>IF(Vu_khi!$O$125="SIMULTANEOUS",MAX(1,Vu_khi!$N$125),1)</f>
        <v/>
      </c>
      <c r="D125" t="n">
        <v>1</v>
      </c>
      <c r="E125">
        <f>IF(Vu_khi!$S$125&gt;0,Vu_khi!$S$125,Vu_khi!$P$125*$C$125)</f>
        <v/>
      </c>
      <c r="F125" t="n">
        <v>56</v>
      </c>
      <c r="G125">
        <f>IF(Vu_khi!$S$125&gt;0,(Vu_khi!$S$125-1)*Vu_khi!$R$125+Vu_khi!$T$125,Vu_khi!$R$125+(Vu_khi!$P$125-1)*Vu_khi!$Q$125)</f>
        <v/>
      </c>
      <c r="H125" t="n">
        <v>6.0105</v>
      </c>
      <c r="I125">
        <f>Vu_khi!$W$125*MAX(1,$E$125)</f>
        <v/>
      </c>
      <c r="J125" t="n">
        <v>952</v>
      </c>
      <c r="K125">
        <f>IF(Vu_khi!$V$125&gt;0,Vu_khi!$V$125,MIN(28,MAX(10,Vu_khi!$U$125*Vu_khi!$R$125*0.4)))</f>
        <v/>
      </c>
      <c r="L125" t="n">
        <v>10</v>
      </c>
      <c r="M125">
        <f>IF(Vu_khi!$W$125&lt;=0,0,IF(Vu_khi!$U$125&gt;0,$I$125*Vu_khi!$U$125/(MAX(0.05,$G$125)*Vu_khi!$U$125+$K$125),$I$125/MAX(0.05,$G$125)))</f>
        <v/>
      </c>
      <c r="N125" t="n">
        <v>158.389485067798</v>
      </c>
      <c r="O125">
        <f>OR(Vu_khi!$AG$125,Vu_khi!$AB$125&gt;0,Vu_khi!$AH$125,Vu_khi!$M$125="Bomb",Vu_khi!$M$125="Drone")</f>
        <v/>
      </c>
      <c r="P125" t="b">
        <v>0</v>
      </c>
      <c r="Q125">
        <f>AND(NOT(Vu_khi!$AJ$125),OR(Vu_khi!$AC$125="Ground",Vu_khi!$AC$125="All"))</f>
        <v/>
      </c>
      <c r="R125" t="b">
        <v>1</v>
      </c>
      <c r="S125">
        <f>AND(NOT(Vu_khi!$AJ$125),OR(Vu_khi!$AC$125="Air",Vu_khi!$AC$125="All"))</f>
        <v/>
      </c>
      <c r="T125" t="b">
        <v>0</v>
      </c>
      <c r="U125">
        <f>INDEX(Bang_sat_thuong!$B$2:$B$7,MATCH(Vu_khi!$K$125,Bang_sat_thuong!$A$2:$A$7,0))</f>
        <v/>
      </c>
      <c r="V125" t="n">
        <v>1</v>
      </c>
      <c r="W125">
        <f>INDEX(Bang_sat_thuong!$C$2:$C$7,MATCH(Vu_khi!$K$125,Bang_sat_thuong!$A$2:$A$7,0))</f>
        <v/>
      </c>
      <c r="X125" t="n">
        <v>0.3</v>
      </c>
      <c r="Y125">
        <f>IF(AND(Vu_khi!$AI$125,Vu_khi!$K$125="HighExplosive"),MAX(He_so_toan_cuc!$D$2,INDEX(Bang_sat_thuong!$D$2:$D$7,MATCH(Vu_khi!$K$125,Bang_sat_thuong!$A$2:$A$7,0))),INDEX(Bang_sat_thuong!$D$2:$D$7,MATCH(Vu_khi!$K$125,Bang_sat_thuong!$A$2:$A$7,0)))</f>
        <v/>
      </c>
      <c r="Z125" t="n">
        <v>0.6</v>
      </c>
      <c r="AA125">
        <f>INDEX(Bang_xuyen_giap!$C$2:$C$7,MIN(6,MAX(1,IF($O$125,MAX(1,2-(Vu_khi!$L$125-0)),2-(Vu_khi!$L$125-0))+1)))</f>
        <v/>
      </c>
      <c r="AB125" t="n">
        <v>1.2</v>
      </c>
      <c r="AC125">
        <f>INDEX(Bang_xuyen_giap!$C$2:$C$7,MIN(6,MAX(1,IF($O$125,MAX(1,2-(Vu_khi!$L$125-2)),2-(Vu_khi!$L$125-2))+1)))</f>
        <v/>
      </c>
      <c r="AD125" t="n">
        <v>0.85</v>
      </c>
      <c r="AE125">
        <f>INDEX(Bang_xuyen_giap!$C$2:$C$7,MIN(6,MAX(1,IF($O$125,MAX(1,2-(Vu_khi!$L$125-4)),2-(Vu_khi!$L$125-4))+1)))</f>
        <v/>
      </c>
      <c r="AF125" t="n">
        <v>0.25</v>
      </c>
      <c r="AG125">
        <f>INDEX(Bang_xuyen_giap!$C$2:$C$7,MIN(6,MAX(1,MAX(1,2-(Vu_khi!$L$125-0))+1)))</f>
        <v/>
      </c>
      <c r="AH125" t="n">
        <v>1</v>
      </c>
      <c r="AI125">
        <f>IF($Q$125,$M$125*$AA$125*$U$125,0)</f>
        <v/>
      </c>
      <c r="AJ125" t="n">
        <v>190.0673820813576</v>
      </c>
      <c r="AK125">
        <f>IF($Q$125,$M$125*$AC$125*$U$125,0)</f>
        <v/>
      </c>
      <c r="AL125" t="n">
        <v>134.6310623076283</v>
      </c>
      <c r="AM125">
        <f>IF($Q$125,$M$125*$AE$125*$U$125,0)</f>
        <v/>
      </c>
      <c r="AN125" t="n">
        <v>39.5973712669495</v>
      </c>
      <c r="AO125">
        <f>IF($Q$125,$M$125*$AC$125*$Y$125,0)</f>
        <v/>
      </c>
      <c r="AP125" t="n">
        <v>80.77863738457698</v>
      </c>
      <c r="AQ125">
        <f>IF($S$125,$M$125*$AG$125*$W$125,0)</f>
        <v/>
      </c>
      <c r="AR125" t="n">
        <v>0</v>
      </c>
      <c r="AS125">
        <f>IF(OR(Vu_khi!$M$125="Missile",Vu_khi!$M$125="Drone",AND(Vu_khi!$M$125="Rocket",OR(Vu_khi!$AM$125,Vu_khi!$D$125="guided")),Vu_khi!$AL$125,Vu_khi!$AK$125,Vu_khi!$X$125&lt;=0),FALSE,IF($B$125&gt;=0,$B$125&gt;=4,IF(Vu_khi!$M$125="Shell",Vu_khi!$AN$125&gt;=Canh_bao_vong!$D$10,IF(Vu_khi!$M$125="Bomb",Vu_khi!$AN$125&gt;=Canh_bao_vong!$D$3,IF(Vu_khi!$M$125="Rocket",Vu_khi!$AN$125&gt;=Canh_bao_vong!$D$13,FALSE)))))</f>
        <v/>
      </c>
      <c r="AT125" t="b">
        <v>0</v>
      </c>
      <c r="AU125">
        <f>IF(AND($B$125&lt;0,$AS$125),4,$B$125)</f>
        <v/>
      </c>
      <c r="AV125" t="n">
        <v>1</v>
      </c>
      <c r="AW125">
        <f>IF($AU$125&lt;4,0,MIN(MAX(0.5,Canh_bao_vong!$D$4),MAX(IF(Vu_khi!$C$125="cal_406",Canh_bao_vong!$D$7,IF($AU$125&gt;=5,Canh_bao_vong!$D$9,Canh_bao_vong!$D$8)),Canh_bao_vong!$D$2+MAX(0,Vu_khi!$X$125)/MAX(0.1,Canh_bao_vong!$D$5))))</f>
        <v/>
      </c>
      <c r="AX125" t="n">
        <v>0</v>
      </c>
      <c r="AY125" t="n">
        <v>7.513125</v>
      </c>
      <c r="AZ125" t="inlineStr">
        <is>
          <t>ok</t>
        </is>
      </c>
      <c r="BA125" t="inlineStr"/>
      <c r="BB125" t="inlineStr">
        <is>
          <t>Assets/MachineBrigade/Resources/Data/balance.json: weapons[id=gunship_25mm] (lớp B trên 01_chien_dau/Vu_khi)</t>
        </is>
      </c>
      <c r="BC125" t="inlineStr"/>
    </row>
    <row r="126">
      <c r="A126" t="inlineStr">
        <is>
          <t>gunship_25mm_flak</t>
        </is>
      </c>
      <c r="B126" t="n">
        <v>1</v>
      </c>
      <c r="C126">
        <f>IF(Vu_khi!$O$126="SIMULTANEOUS",MAX(1,Vu_khi!$N$126),1)</f>
        <v/>
      </c>
      <c r="D126" t="n">
        <v>1</v>
      </c>
      <c r="E126">
        <f>IF(Vu_khi!$S$126&gt;0,Vu_khi!$S$126,Vu_khi!$P$126*$C$126)</f>
        <v/>
      </c>
      <c r="F126" t="n">
        <v>56</v>
      </c>
      <c r="G126">
        <f>IF(Vu_khi!$S$126&gt;0,(Vu_khi!$S$126-1)*Vu_khi!$R$126+Vu_khi!$T$126,Vu_khi!$R$126+(Vu_khi!$P$126-1)*Vu_khi!$Q$126)</f>
        <v/>
      </c>
      <c r="H126" t="n">
        <v>6.0105</v>
      </c>
      <c r="I126">
        <f>Vu_khi!$W$126*MAX(1,$E$126)</f>
        <v/>
      </c>
      <c r="J126" t="n">
        <v>952</v>
      </c>
      <c r="K126">
        <f>IF(Vu_khi!$V$126&gt;0,Vu_khi!$V$126,MIN(28,MAX(10,Vu_khi!$U$126*Vu_khi!$R$126*0.4)))</f>
        <v/>
      </c>
      <c r="L126" t="n">
        <v>10</v>
      </c>
      <c r="M126">
        <f>IF(Vu_khi!$W$126&lt;=0,0,IF(Vu_khi!$U$126&gt;0,$I$126*Vu_khi!$U$126/(MAX(0.05,$G$126)*Vu_khi!$U$126+$K$126),$I$126/MAX(0.05,$G$126)))</f>
        <v/>
      </c>
      <c r="N126" t="n">
        <v>158.389485067798</v>
      </c>
      <c r="O126">
        <f>OR(Vu_khi!$AG$126,Vu_khi!$AB$126&gt;0,Vu_khi!$AH$126,Vu_khi!$M$126="Bomb",Vu_khi!$M$126="Drone")</f>
        <v/>
      </c>
      <c r="P126" t="b">
        <v>0</v>
      </c>
      <c r="Q126">
        <f>AND(NOT(Vu_khi!$AJ$126),OR(Vu_khi!$AC$126="Ground",Vu_khi!$AC$126="All"))</f>
        <v/>
      </c>
      <c r="R126" t="b">
        <v>0</v>
      </c>
      <c r="S126">
        <f>AND(NOT(Vu_khi!$AJ$126),OR(Vu_khi!$AC$126="Air",Vu_khi!$AC$126="All"))</f>
        <v/>
      </c>
      <c r="T126" t="b">
        <v>1</v>
      </c>
      <c r="U126">
        <f>INDEX(Bang_sat_thuong!$B$2:$B$7,MATCH(Vu_khi!$K$126,Bang_sat_thuong!$A$2:$A$7,0))</f>
        <v/>
      </c>
      <c r="V126" t="n">
        <v>0.5</v>
      </c>
      <c r="W126">
        <f>INDEX(Bang_sat_thuong!$C$2:$C$7,MATCH(Vu_khi!$K$126,Bang_sat_thuong!$A$2:$A$7,0))</f>
        <v/>
      </c>
      <c r="X126" t="n">
        <v>1.3</v>
      </c>
      <c r="Y126">
        <f>IF(AND(Vu_khi!$AI$126,Vu_khi!$K$126="HighExplosive"),MAX(He_so_toan_cuc!$D$2,INDEX(Bang_sat_thuong!$D$2:$D$7,MATCH(Vu_khi!$K$126,Bang_sat_thuong!$A$2:$A$7,0))),INDEX(Bang_sat_thuong!$D$2:$D$7,MATCH(Vu_khi!$K$126,Bang_sat_thuong!$A$2:$A$7,0)))</f>
        <v/>
      </c>
      <c r="Z126" t="n">
        <v>0.1</v>
      </c>
      <c r="AA126">
        <f>INDEX(Bang_xuyen_giap!$C$2:$C$7,MIN(6,MAX(1,IF($O$126,MAX(1,2-(Vu_khi!$L$126-0)),2-(Vu_khi!$L$126-0))+1)))</f>
        <v/>
      </c>
      <c r="AB126" t="n">
        <v>1</v>
      </c>
      <c r="AC126">
        <f>INDEX(Bang_xuyen_giap!$C$2:$C$7,MIN(6,MAX(1,IF($O$126,MAX(1,2-(Vu_khi!$L$126-2)),2-(Vu_khi!$L$126-2))+1)))</f>
        <v/>
      </c>
      <c r="AD126" t="n">
        <v>0.5</v>
      </c>
      <c r="AE126">
        <f>INDEX(Bang_xuyen_giap!$C$2:$C$7,MIN(6,MAX(1,IF($O$126,MAX(1,2-(Vu_khi!$L$126-4)),2-(Vu_khi!$L$126-4))+1)))</f>
        <v/>
      </c>
      <c r="AF126" t="n">
        <v>0.1</v>
      </c>
      <c r="AG126">
        <f>INDEX(Bang_xuyen_giap!$C$2:$C$7,MIN(6,MAX(1,MAX(1,2-(Vu_khi!$L$126-0))+1)))</f>
        <v/>
      </c>
      <c r="AH126" t="n">
        <v>1</v>
      </c>
      <c r="AI126">
        <f>IF($Q$126,$M$126*$AA$126*$U$126,0)</f>
        <v/>
      </c>
      <c r="AJ126" t="n">
        <v>0</v>
      </c>
      <c r="AK126">
        <f>IF($Q$126,$M$126*$AC$126*$U$126,0)</f>
        <v/>
      </c>
      <c r="AL126" t="n">
        <v>0</v>
      </c>
      <c r="AM126">
        <f>IF($Q$126,$M$126*$AE$126*$U$126,0)</f>
        <v/>
      </c>
      <c r="AN126" t="n">
        <v>0</v>
      </c>
      <c r="AO126">
        <f>IF($Q$126,$M$126*$AC$126*$Y$126,0)</f>
        <v/>
      </c>
      <c r="AP126" t="n">
        <v>0</v>
      </c>
      <c r="AQ126">
        <f>IF($S$126,$M$126*$AG$126*$W$126,0)</f>
        <v/>
      </c>
      <c r="AR126" t="n">
        <v>205.9063305881374</v>
      </c>
      <c r="AS126">
        <f>IF(OR(Vu_khi!$M$126="Missile",Vu_khi!$M$126="Drone",AND(Vu_khi!$M$126="Rocket",OR(Vu_khi!$AM$126,Vu_khi!$D$126="guided")),Vu_khi!$AL$126,Vu_khi!$AK$126,Vu_khi!$X$126&lt;=0),FALSE,IF($B$126&gt;=0,$B$126&gt;=4,IF(Vu_khi!$M$126="Shell",Vu_khi!$AN$126&gt;=Canh_bao_vong!$D$10,IF(Vu_khi!$M$126="Bomb",Vu_khi!$AN$126&gt;=Canh_bao_vong!$D$3,IF(Vu_khi!$M$126="Rocket",Vu_khi!$AN$126&gt;=Canh_bao_vong!$D$13,FALSE)))))</f>
        <v/>
      </c>
      <c r="AT126" t="b">
        <v>0</v>
      </c>
      <c r="AU126">
        <f>IF(AND($B$126&lt;0,$AS$126),4,$B$126)</f>
        <v/>
      </c>
      <c r="AV126" t="n">
        <v>1</v>
      </c>
      <c r="AW126">
        <f>IF($AU$126&lt;4,0,MIN(MAX(0.5,Canh_bao_vong!$D$4),MAX(IF(Vu_khi!$C$126="cal_406",Canh_bao_vong!$D$7,IF($AU$126&gt;=5,Canh_bao_vong!$D$9,Canh_bao_vong!$D$8)),Canh_bao_vong!$D$2+MAX(0,Vu_khi!$X$126)/MAX(0.1,Canh_bao_vong!$D$5))))</f>
        <v/>
      </c>
      <c r="AX126" t="n">
        <v>0</v>
      </c>
      <c r="BB126" t="inlineStr">
        <is>
          <t>Assets/MachineBrigade/Resources/Data/balance.json: weapons[id=gunship_25mm_flak] (lớp B trên 01_chien_dau/Vu_khi)</t>
        </is>
      </c>
      <c r="BC126" t="inlineStr"/>
    </row>
    <row r="127">
      <c r="A127" t="inlineStr">
        <is>
          <t>gunship_40mm</t>
        </is>
      </c>
      <c r="B127" t="n">
        <v>1</v>
      </c>
      <c r="C127">
        <f>IF(Vu_khi!$O$127="SIMULTANEOUS",MAX(1,Vu_khi!$N$127),1)</f>
        <v/>
      </c>
      <c r="D127" t="n">
        <v>1</v>
      </c>
      <c r="E127">
        <f>IF(Vu_khi!$S$127&gt;0,Vu_khi!$S$127,Vu_khi!$P$127*$C$127)</f>
        <v/>
      </c>
      <c r="F127" t="n">
        <v>29</v>
      </c>
      <c r="G127">
        <f>IF(Vu_khi!$S$127&gt;0,(Vu_khi!$S$127-1)*Vu_khi!$R$127+Vu_khi!$T$127,Vu_khi!$R$127+(Vu_khi!$P$127-1)*Vu_khi!$Q$127)</f>
        <v/>
      </c>
      <c r="H127" t="n">
        <v>5.9924</v>
      </c>
      <c r="I127">
        <f>Vu_khi!$W$127*MAX(1,$E$127)</f>
        <v/>
      </c>
      <c r="J127" t="n">
        <v>870</v>
      </c>
      <c r="K127">
        <f>IF(Vu_khi!$V$127&gt;0,Vu_khi!$V$127,MIN(28,MAX(10,Vu_khi!$U$127*Vu_khi!$R$127*0.4)))</f>
        <v/>
      </c>
      <c r="L127" t="n">
        <v>10</v>
      </c>
      <c r="M127">
        <f>IF(Vu_khi!$W$127&lt;=0,0,IF(Vu_khi!$U$127&gt;0,$I$127*Vu_khi!$U$127/(MAX(0.05,$G$127)*Vu_khi!$U$127+$K$127),$I$127/MAX(0.05,$G$127)))</f>
        <v/>
      </c>
      <c r="N127" t="n">
        <v>145.1838996061678</v>
      </c>
      <c r="O127">
        <f>OR(Vu_khi!$AG$127,Vu_khi!$AB$127&gt;0,Vu_khi!$AH$127,Vu_khi!$M$127="Bomb",Vu_khi!$M$127="Drone")</f>
        <v/>
      </c>
      <c r="P127" t="b">
        <v>0</v>
      </c>
      <c r="Q127">
        <f>AND(NOT(Vu_khi!$AJ$127),OR(Vu_khi!$AC$127="Ground",Vu_khi!$AC$127="All"))</f>
        <v/>
      </c>
      <c r="R127" t="b">
        <v>1</v>
      </c>
      <c r="S127">
        <f>AND(NOT(Vu_khi!$AJ$127),OR(Vu_khi!$AC$127="Air",Vu_khi!$AC$127="All"))</f>
        <v/>
      </c>
      <c r="T127" t="b">
        <v>0</v>
      </c>
      <c r="U127">
        <f>INDEX(Bang_sat_thuong!$B$2:$B$7,MATCH(Vu_khi!$K$127,Bang_sat_thuong!$A$2:$A$7,0))</f>
        <v/>
      </c>
      <c r="V127" t="n">
        <v>1</v>
      </c>
      <c r="W127">
        <f>INDEX(Bang_sat_thuong!$C$2:$C$7,MATCH(Vu_khi!$K$127,Bang_sat_thuong!$A$2:$A$7,0))</f>
        <v/>
      </c>
      <c r="X127" t="n">
        <v>0</v>
      </c>
      <c r="Y127">
        <f>IF(AND(Vu_khi!$AI$127,Vu_khi!$K$127="HighExplosive"),MAX(He_so_toan_cuc!$D$2,INDEX(Bang_sat_thuong!$D$2:$D$7,MATCH(Vu_khi!$K$127,Bang_sat_thuong!$A$2:$A$7,0))),INDEX(Bang_sat_thuong!$D$2:$D$7,MATCH(Vu_khi!$K$127,Bang_sat_thuong!$A$2:$A$7,0)))</f>
        <v/>
      </c>
      <c r="Z127" t="n">
        <v>1.5</v>
      </c>
      <c r="AA127">
        <f>INDEX(Bang_xuyen_giap!$C$2:$C$7,MIN(6,MAX(1,IF($O$127,MAX(1,2-(Vu_khi!$L$127-0)),2-(Vu_khi!$L$127-0))+1)))</f>
        <v/>
      </c>
      <c r="AB127" t="n">
        <v>1.2</v>
      </c>
      <c r="AC127">
        <f>INDEX(Bang_xuyen_giap!$C$2:$C$7,MIN(6,MAX(1,IF($O$127,MAX(1,2-(Vu_khi!$L$127-2)),2-(Vu_khi!$L$127-2))+1)))</f>
        <v/>
      </c>
      <c r="AD127" t="n">
        <v>0.85</v>
      </c>
      <c r="AE127">
        <f>INDEX(Bang_xuyen_giap!$C$2:$C$7,MIN(6,MAX(1,IF($O$127,MAX(1,2-(Vu_khi!$L$127-4)),2-(Vu_khi!$L$127-4))+1)))</f>
        <v/>
      </c>
      <c r="AF127" t="n">
        <v>0.25</v>
      </c>
      <c r="AG127">
        <f>INDEX(Bang_xuyen_giap!$C$2:$C$7,MIN(6,MAX(1,MAX(1,2-(Vu_khi!$L$127-0))+1)))</f>
        <v/>
      </c>
      <c r="AH127" t="n">
        <v>1</v>
      </c>
      <c r="AI127">
        <f>IF($Q$127,$M$127*$AA$127*$U$127,0)</f>
        <v/>
      </c>
      <c r="AJ127" t="n">
        <v>174.2206795274014</v>
      </c>
      <c r="AK127">
        <f>IF($Q$127,$M$127*$AC$127*$U$127,0)</f>
        <v/>
      </c>
      <c r="AL127" t="n">
        <v>123.4063146652426</v>
      </c>
      <c r="AM127">
        <f>IF($Q$127,$M$127*$AE$127*$U$127,0)</f>
        <v/>
      </c>
      <c r="AN127" t="n">
        <v>36.29597490154195</v>
      </c>
      <c r="AO127">
        <f>IF($Q$127,$M$127*$AC$127*$Y$127,0)</f>
        <v/>
      </c>
      <c r="AP127" t="n">
        <v>185.1094719978639</v>
      </c>
      <c r="AQ127">
        <f>IF($S$127,$M$127*$AG$127*$W$127,0)</f>
        <v/>
      </c>
      <c r="AR127" t="n">
        <v>0</v>
      </c>
      <c r="AS127">
        <f>IF(OR(Vu_khi!$M$127="Missile",Vu_khi!$M$127="Drone",AND(Vu_khi!$M$127="Rocket",OR(Vu_khi!$AM$127,Vu_khi!$D$127="guided")),Vu_khi!$AL$127,Vu_khi!$AK$127,Vu_khi!$X$127&lt;=0),FALSE,IF($B$127&gt;=0,$B$127&gt;=4,IF(Vu_khi!$M$127="Shell",Vu_khi!$AN$127&gt;=Canh_bao_vong!$D$10,IF(Vu_khi!$M$127="Bomb",Vu_khi!$AN$127&gt;=Canh_bao_vong!$D$3,IF(Vu_khi!$M$127="Rocket",Vu_khi!$AN$127&gt;=Canh_bao_vong!$D$13,FALSE)))))</f>
        <v/>
      </c>
      <c r="AT127" t="b">
        <v>0</v>
      </c>
      <c r="AU127">
        <f>IF(AND($B$127&lt;0,$AS$127),4,$B$127)</f>
        <v/>
      </c>
      <c r="AV127" t="n">
        <v>1</v>
      </c>
      <c r="AW127">
        <f>IF($AU$127&lt;4,0,MIN(MAX(0.5,Canh_bao_vong!$D$4),MAX(IF(Vu_khi!$C$127="cal_406",Canh_bao_vong!$D$7,IF($AU$127&gt;=5,Canh_bao_vong!$D$9,Canh_bao_vong!$D$8)),Canh_bao_vong!$D$2+MAX(0,Vu_khi!$X$127)/MAX(0.1,Canh_bao_vong!$D$5))))</f>
        <v/>
      </c>
      <c r="AX127" t="n">
        <v>0</v>
      </c>
      <c r="AY127" t="n">
        <v>0.413269</v>
      </c>
      <c r="AZ127" t="inlineStr">
        <is>
          <t>NHANH_QUA</t>
        </is>
      </c>
      <c r="BA127" t="inlineStr"/>
      <c r="BB127" t="inlineStr">
        <is>
          <t>Assets/MachineBrigade/Resources/Data/balance.json: weapons[id=gunship_40mm] (lớp B trên 01_chien_dau/Vu_khi)</t>
        </is>
      </c>
      <c r="BC127" t="inlineStr"/>
    </row>
    <row r="128">
      <c r="A128" t="inlineStr">
        <is>
          <t>gunship_40mm_ap</t>
        </is>
      </c>
      <c r="B128" t="n">
        <v>1</v>
      </c>
      <c r="C128">
        <f>IF(Vu_khi!$O$128="SIMULTANEOUS",MAX(1,Vu_khi!$N$128),1)</f>
        <v/>
      </c>
      <c r="D128" t="n">
        <v>1</v>
      </c>
      <c r="E128">
        <f>IF(Vu_khi!$S$128&gt;0,Vu_khi!$S$128,Vu_khi!$P$128*$C$128)</f>
        <v/>
      </c>
      <c r="F128" t="n">
        <v>29</v>
      </c>
      <c r="G128">
        <f>IF(Vu_khi!$S$128&gt;0,(Vu_khi!$S$128-1)*Vu_khi!$R$128+Vu_khi!$T$128,Vu_khi!$R$128+(Vu_khi!$P$128-1)*Vu_khi!$Q$128)</f>
        <v/>
      </c>
      <c r="H128" t="n">
        <v>5.9924</v>
      </c>
      <c r="I128">
        <f>Vu_khi!$W$128*MAX(1,$E$128)</f>
        <v/>
      </c>
      <c r="J128" t="n">
        <v>870</v>
      </c>
      <c r="K128">
        <f>IF(Vu_khi!$V$128&gt;0,Vu_khi!$V$128,MIN(28,MAX(10,Vu_khi!$U$128*Vu_khi!$R$128*0.4)))</f>
        <v/>
      </c>
      <c r="L128" t="n">
        <v>10</v>
      </c>
      <c r="M128">
        <f>IF(Vu_khi!$W$128&lt;=0,0,IF(Vu_khi!$U$128&gt;0,$I$128*Vu_khi!$U$128/(MAX(0.05,$G$128)*Vu_khi!$U$128+$K$128),$I$128/MAX(0.05,$G$128)))</f>
        <v/>
      </c>
      <c r="N128" t="n">
        <v>145.1838996061678</v>
      </c>
      <c r="O128">
        <f>OR(Vu_khi!$AG$128,Vu_khi!$AB$128&gt;0,Vu_khi!$AH$128,Vu_khi!$M$128="Bomb",Vu_khi!$M$128="Drone")</f>
        <v/>
      </c>
      <c r="P128" t="b">
        <v>0</v>
      </c>
      <c r="Q128">
        <f>AND(NOT(Vu_khi!$AJ$128),OR(Vu_khi!$AC$128="Ground",Vu_khi!$AC$128="All"))</f>
        <v/>
      </c>
      <c r="R128" t="b">
        <v>1</v>
      </c>
      <c r="S128">
        <f>AND(NOT(Vu_khi!$AJ$128),OR(Vu_khi!$AC$128="Air",Vu_khi!$AC$128="All"))</f>
        <v/>
      </c>
      <c r="T128" t="b">
        <v>0</v>
      </c>
      <c r="U128">
        <f>INDEX(Bang_sat_thuong!$B$2:$B$7,MATCH(Vu_khi!$K$128,Bang_sat_thuong!$A$2:$A$7,0))</f>
        <v/>
      </c>
      <c r="V128" t="n">
        <v>1</v>
      </c>
      <c r="W128">
        <f>INDEX(Bang_sat_thuong!$C$2:$C$7,MATCH(Vu_khi!$K$128,Bang_sat_thuong!$A$2:$A$7,0))</f>
        <v/>
      </c>
      <c r="X128" t="n">
        <v>0.3</v>
      </c>
      <c r="Y128">
        <f>IF(AND(Vu_khi!$AI$128,Vu_khi!$K$128="HighExplosive"),MAX(He_so_toan_cuc!$D$2,INDEX(Bang_sat_thuong!$D$2:$D$7,MATCH(Vu_khi!$K$128,Bang_sat_thuong!$A$2:$A$7,0))),INDEX(Bang_sat_thuong!$D$2:$D$7,MATCH(Vu_khi!$K$128,Bang_sat_thuong!$A$2:$A$7,0)))</f>
        <v/>
      </c>
      <c r="Z128" t="n">
        <v>0.6</v>
      </c>
      <c r="AA128">
        <f>INDEX(Bang_xuyen_giap!$C$2:$C$7,MIN(6,MAX(1,IF($O$128,MAX(1,2-(Vu_khi!$L$128-0)),2-(Vu_khi!$L$128-0))+1)))</f>
        <v/>
      </c>
      <c r="AB128" t="n">
        <v>1.2</v>
      </c>
      <c r="AC128">
        <f>INDEX(Bang_xuyen_giap!$C$2:$C$7,MIN(6,MAX(1,IF($O$128,MAX(1,2-(Vu_khi!$L$128-2)),2-(Vu_khi!$L$128-2))+1)))</f>
        <v/>
      </c>
      <c r="AD128" t="n">
        <v>0.85</v>
      </c>
      <c r="AE128">
        <f>INDEX(Bang_xuyen_giap!$C$2:$C$7,MIN(6,MAX(1,IF($O$128,MAX(1,2-(Vu_khi!$L$128-4)),2-(Vu_khi!$L$128-4))+1)))</f>
        <v/>
      </c>
      <c r="AF128" t="n">
        <v>0.25</v>
      </c>
      <c r="AG128">
        <f>INDEX(Bang_xuyen_giap!$C$2:$C$7,MIN(6,MAX(1,MAX(1,2-(Vu_khi!$L$128-0))+1)))</f>
        <v/>
      </c>
      <c r="AH128" t="n">
        <v>1</v>
      </c>
      <c r="AI128">
        <f>IF($Q$128,$M$128*$AA$128*$U$128,0)</f>
        <v/>
      </c>
      <c r="AJ128" t="n">
        <v>174.2206795274014</v>
      </c>
      <c r="AK128">
        <f>IF($Q$128,$M$128*$AC$128*$U$128,0)</f>
        <v/>
      </c>
      <c r="AL128" t="n">
        <v>123.4063146652426</v>
      </c>
      <c r="AM128">
        <f>IF($Q$128,$M$128*$AE$128*$U$128,0)</f>
        <v/>
      </c>
      <c r="AN128" t="n">
        <v>36.29597490154195</v>
      </c>
      <c r="AO128">
        <f>IF($Q$128,$M$128*$AC$128*$Y$128,0)</f>
        <v/>
      </c>
      <c r="AP128" t="n">
        <v>74.04378879914559</v>
      </c>
      <c r="AQ128">
        <f>IF($S$128,$M$128*$AG$128*$W$128,0)</f>
        <v/>
      </c>
      <c r="AR128" t="n">
        <v>0</v>
      </c>
      <c r="AS128">
        <f>IF(OR(Vu_khi!$M$128="Missile",Vu_khi!$M$128="Drone",AND(Vu_khi!$M$128="Rocket",OR(Vu_khi!$AM$128,Vu_khi!$D$128="guided")),Vu_khi!$AL$128,Vu_khi!$AK$128,Vu_khi!$X$128&lt;=0),FALSE,IF($B$128&gt;=0,$B$128&gt;=4,IF(Vu_khi!$M$128="Shell",Vu_khi!$AN$128&gt;=Canh_bao_vong!$D$10,IF(Vu_khi!$M$128="Bomb",Vu_khi!$AN$128&gt;=Canh_bao_vong!$D$3,IF(Vu_khi!$M$128="Rocket",Vu_khi!$AN$128&gt;=Canh_bao_vong!$D$13,FALSE)))))</f>
        <v/>
      </c>
      <c r="AT128" t="b">
        <v>0</v>
      </c>
      <c r="AU128">
        <f>IF(AND($B$128&lt;0,$AS$128),4,$B$128)</f>
        <v/>
      </c>
      <c r="AV128" t="n">
        <v>1</v>
      </c>
      <c r="AW128">
        <f>IF($AU$128&lt;4,0,MIN(MAX(0.5,Canh_bao_vong!$D$4),MAX(IF(Vu_khi!$C$128="cal_406",Canh_bao_vong!$D$7,IF($AU$128&gt;=5,Canh_bao_vong!$D$9,Canh_bao_vong!$D$8)),Canh_bao_vong!$D$2+MAX(0,Vu_khi!$X$128)/MAX(0.1,Canh_bao_vong!$D$5))))</f>
        <v/>
      </c>
      <c r="AX128" t="n">
        <v>0</v>
      </c>
      <c r="BB128" t="inlineStr">
        <is>
          <t>Assets/MachineBrigade/Resources/Data/balance.json: weapons[id=gunship_40mm_ap] (lớp B trên 01_chien_dau/Vu_khi)</t>
        </is>
      </c>
      <c r="BC128" t="inlineStr"/>
    </row>
    <row r="129">
      <c r="A129" t="inlineStr">
        <is>
          <t>gunship_40mm_flak</t>
        </is>
      </c>
      <c r="B129" t="n">
        <v>1</v>
      </c>
      <c r="C129">
        <f>IF(Vu_khi!$O$129="SIMULTANEOUS",MAX(1,Vu_khi!$N$129),1)</f>
        <v/>
      </c>
      <c r="D129" t="n">
        <v>1</v>
      </c>
      <c r="E129">
        <f>IF(Vu_khi!$S$129&gt;0,Vu_khi!$S$129,Vu_khi!$P$129*$C$129)</f>
        <v/>
      </c>
      <c r="F129" t="n">
        <v>29</v>
      </c>
      <c r="G129">
        <f>IF(Vu_khi!$S$129&gt;0,(Vu_khi!$S$129-1)*Vu_khi!$R$129+Vu_khi!$T$129,Vu_khi!$R$129+(Vu_khi!$P$129-1)*Vu_khi!$Q$129)</f>
        <v/>
      </c>
      <c r="H129" t="n">
        <v>5.9924</v>
      </c>
      <c r="I129">
        <f>Vu_khi!$W$129*MAX(1,$E$129)</f>
        <v/>
      </c>
      <c r="J129" t="n">
        <v>870</v>
      </c>
      <c r="K129">
        <f>IF(Vu_khi!$V$129&gt;0,Vu_khi!$V$129,MIN(28,MAX(10,Vu_khi!$U$129*Vu_khi!$R$129*0.4)))</f>
        <v/>
      </c>
      <c r="L129" t="n">
        <v>10</v>
      </c>
      <c r="M129">
        <f>IF(Vu_khi!$W$129&lt;=0,0,IF(Vu_khi!$U$129&gt;0,$I$129*Vu_khi!$U$129/(MAX(0.05,$G$129)*Vu_khi!$U$129+$K$129),$I$129/MAX(0.05,$G$129)))</f>
        <v/>
      </c>
      <c r="N129" t="n">
        <v>145.1838996061678</v>
      </c>
      <c r="O129">
        <f>OR(Vu_khi!$AG$129,Vu_khi!$AB$129&gt;0,Vu_khi!$AH$129,Vu_khi!$M$129="Bomb",Vu_khi!$M$129="Drone")</f>
        <v/>
      </c>
      <c r="P129" t="b">
        <v>0</v>
      </c>
      <c r="Q129">
        <f>AND(NOT(Vu_khi!$AJ$129),OR(Vu_khi!$AC$129="Ground",Vu_khi!$AC$129="All"))</f>
        <v/>
      </c>
      <c r="R129" t="b">
        <v>0</v>
      </c>
      <c r="S129">
        <f>AND(NOT(Vu_khi!$AJ$129),OR(Vu_khi!$AC$129="Air",Vu_khi!$AC$129="All"))</f>
        <v/>
      </c>
      <c r="T129" t="b">
        <v>1</v>
      </c>
      <c r="U129">
        <f>INDEX(Bang_sat_thuong!$B$2:$B$7,MATCH(Vu_khi!$K$129,Bang_sat_thuong!$A$2:$A$7,0))</f>
        <v/>
      </c>
      <c r="V129" t="n">
        <v>0.5</v>
      </c>
      <c r="W129">
        <f>INDEX(Bang_sat_thuong!$C$2:$C$7,MATCH(Vu_khi!$K$129,Bang_sat_thuong!$A$2:$A$7,0))</f>
        <v/>
      </c>
      <c r="X129" t="n">
        <v>1.3</v>
      </c>
      <c r="Y129">
        <f>IF(AND(Vu_khi!$AI$129,Vu_khi!$K$129="HighExplosive"),MAX(He_so_toan_cuc!$D$2,INDEX(Bang_sat_thuong!$D$2:$D$7,MATCH(Vu_khi!$K$129,Bang_sat_thuong!$A$2:$A$7,0))),INDEX(Bang_sat_thuong!$D$2:$D$7,MATCH(Vu_khi!$K$129,Bang_sat_thuong!$A$2:$A$7,0)))</f>
        <v/>
      </c>
      <c r="Z129" t="n">
        <v>0.1</v>
      </c>
      <c r="AA129">
        <f>INDEX(Bang_xuyen_giap!$C$2:$C$7,MIN(6,MAX(1,IF($O$129,MAX(1,2-(Vu_khi!$L$129-0)),2-(Vu_khi!$L$129-0))+1)))</f>
        <v/>
      </c>
      <c r="AB129" t="n">
        <v>1.2</v>
      </c>
      <c r="AC129">
        <f>INDEX(Bang_xuyen_giap!$C$2:$C$7,MIN(6,MAX(1,IF($O$129,MAX(1,2-(Vu_khi!$L$129-2)),2-(Vu_khi!$L$129-2))+1)))</f>
        <v/>
      </c>
      <c r="AD129" t="n">
        <v>0.85</v>
      </c>
      <c r="AE129">
        <f>INDEX(Bang_xuyen_giap!$C$2:$C$7,MIN(6,MAX(1,IF($O$129,MAX(1,2-(Vu_khi!$L$129-4)),2-(Vu_khi!$L$129-4))+1)))</f>
        <v/>
      </c>
      <c r="AF129" t="n">
        <v>0.25</v>
      </c>
      <c r="AG129">
        <f>INDEX(Bang_xuyen_giap!$C$2:$C$7,MIN(6,MAX(1,MAX(1,2-(Vu_khi!$L$129-0))+1)))</f>
        <v/>
      </c>
      <c r="AH129" t="n">
        <v>1</v>
      </c>
      <c r="AI129">
        <f>IF($Q$129,$M$129*$AA$129*$U$129,0)</f>
        <v/>
      </c>
      <c r="AJ129" t="n">
        <v>0</v>
      </c>
      <c r="AK129">
        <f>IF($Q$129,$M$129*$AC$129*$U$129,0)</f>
        <v/>
      </c>
      <c r="AL129" t="n">
        <v>0</v>
      </c>
      <c r="AM129">
        <f>IF($Q$129,$M$129*$AE$129*$U$129,0)</f>
        <v/>
      </c>
      <c r="AN129" t="n">
        <v>0</v>
      </c>
      <c r="AO129">
        <f>IF($Q$129,$M$129*$AC$129*$Y$129,0)</f>
        <v/>
      </c>
      <c r="AP129" t="n">
        <v>0</v>
      </c>
      <c r="AQ129">
        <f>IF($S$129,$M$129*$AG$129*$W$129,0)</f>
        <v/>
      </c>
      <c r="AR129" t="n">
        <v>188.7390694880182</v>
      </c>
      <c r="AS129">
        <f>IF(OR(Vu_khi!$M$129="Missile",Vu_khi!$M$129="Drone",AND(Vu_khi!$M$129="Rocket",OR(Vu_khi!$AM$129,Vu_khi!$D$129="guided")),Vu_khi!$AL$129,Vu_khi!$AK$129,Vu_khi!$X$129&lt;=0),FALSE,IF($B$129&gt;=0,$B$129&gt;=4,IF(Vu_khi!$M$129="Shell",Vu_khi!$AN$129&gt;=Canh_bao_vong!$D$10,IF(Vu_khi!$M$129="Bomb",Vu_khi!$AN$129&gt;=Canh_bao_vong!$D$3,IF(Vu_khi!$M$129="Rocket",Vu_khi!$AN$129&gt;=Canh_bao_vong!$D$13,FALSE)))))</f>
        <v/>
      </c>
      <c r="AT129" t="b">
        <v>0</v>
      </c>
      <c r="AU129">
        <f>IF(AND($B$129&lt;0,$AS$129),4,$B$129)</f>
        <v/>
      </c>
      <c r="AV129" t="n">
        <v>1</v>
      </c>
      <c r="AW129">
        <f>IF($AU$129&lt;4,0,MIN(MAX(0.5,Canh_bao_vong!$D$4),MAX(IF(Vu_khi!$C$129="cal_406",Canh_bao_vong!$D$7,IF($AU$129&gt;=5,Canh_bao_vong!$D$9,Canh_bao_vong!$D$8)),Canh_bao_vong!$D$2+MAX(0,Vu_khi!$X$129)/MAX(0.1,Canh_bao_vong!$D$5))))</f>
        <v/>
      </c>
      <c r="AX129" t="n">
        <v>0</v>
      </c>
      <c r="BB129" t="inlineStr">
        <is>
          <t>Assets/MachineBrigade/Resources/Data/balance.json: weapons[id=gunship_40mm_flak] (lớp B trên 01_chien_dau/Vu_khi)</t>
        </is>
      </c>
      <c r="BC129" t="inlineStr"/>
    </row>
    <row r="130">
      <c r="A130" t="inlineStr">
        <is>
          <t>gunship_105</t>
        </is>
      </c>
      <c r="B130" t="n">
        <v>2</v>
      </c>
      <c r="C130">
        <f>IF(Vu_khi!$O$130="SIMULTANEOUS",MAX(1,Vu_khi!$N$130),1)</f>
        <v/>
      </c>
      <c r="D130" t="n">
        <v>1</v>
      </c>
      <c r="E130">
        <f>IF(Vu_khi!$S$130&gt;0,Vu_khi!$S$130,Vu_khi!$P$130*$C$130)</f>
        <v/>
      </c>
      <c r="F130" t="n">
        <v>1</v>
      </c>
      <c r="G130">
        <f>IF(Vu_khi!$S$130&gt;0,(Vu_khi!$S$130-1)*Vu_khi!$R$130+Vu_khi!$T$130,Vu_khi!$R$130+(Vu_khi!$P$130-1)*Vu_khi!$Q$130)</f>
        <v/>
      </c>
      <c r="H130" t="n">
        <v>3.919</v>
      </c>
      <c r="I130">
        <f>Vu_khi!$W$130*MAX(1,$E$130)</f>
        <v/>
      </c>
      <c r="J130" t="n">
        <v>286</v>
      </c>
      <c r="K130">
        <f>IF(Vu_khi!$V$130&gt;0,Vu_khi!$V$130,MIN(28,MAX(10,Vu_khi!$U$130*Vu_khi!$R$130*0.4)))</f>
        <v/>
      </c>
      <c r="L130" t="n">
        <v>10</v>
      </c>
      <c r="M130">
        <f>IF(Vu_khi!$W$130&lt;=0,0,IF(Vu_khi!$U$130&gt;0,$I$130*Vu_khi!$U$130/(MAX(0.05,$G$130)*Vu_khi!$U$130+$K$130),$I$130/MAX(0.05,$G$130)))</f>
        <v/>
      </c>
      <c r="N130" t="n">
        <v>72.97780045930084</v>
      </c>
      <c r="O130">
        <f>OR(Vu_khi!$AG$130,Vu_khi!$AB$130&gt;0,Vu_khi!$AH$130,Vu_khi!$M$130="Bomb",Vu_khi!$M$130="Drone")</f>
        <v/>
      </c>
      <c r="P130" t="b">
        <v>0</v>
      </c>
      <c r="Q130">
        <f>AND(NOT(Vu_khi!$AJ$130),OR(Vu_khi!$AC$130="Ground",Vu_khi!$AC$130="All"))</f>
        <v/>
      </c>
      <c r="R130" t="b">
        <v>1</v>
      </c>
      <c r="S130">
        <f>AND(NOT(Vu_khi!$AJ$130),OR(Vu_khi!$AC$130="Air",Vu_khi!$AC$130="All"))</f>
        <v/>
      </c>
      <c r="T130" t="b">
        <v>0</v>
      </c>
      <c r="U130">
        <f>INDEX(Bang_sat_thuong!$B$2:$B$7,MATCH(Vu_khi!$K$130,Bang_sat_thuong!$A$2:$A$7,0))</f>
        <v/>
      </c>
      <c r="V130" t="n">
        <v>1</v>
      </c>
      <c r="W130">
        <f>INDEX(Bang_sat_thuong!$C$2:$C$7,MATCH(Vu_khi!$K$130,Bang_sat_thuong!$A$2:$A$7,0))</f>
        <v/>
      </c>
      <c r="X130" t="n">
        <v>0</v>
      </c>
      <c r="Y130">
        <f>IF(AND(Vu_khi!$AI$130,Vu_khi!$K$130="HighExplosive"),MAX(He_so_toan_cuc!$D$2,INDEX(Bang_sat_thuong!$D$2:$D$7,MATCH(Vu_khi!$K$130,Bang_sat_thuong!$A$2:$A$7,0))),INDEX(Bang_sat_thuong!$D$2:$D$7,MATCH(Vu_khi!$K$130,Bang_sat_thuong!$A$2:$A$7,0)))</f>
        <v/>
      </c>
      <c r="Z130" t="n">
        <v>1.5</v>
      </c>
      <c r="AA130">
        <f>INDEX(Bang_xuyen_giap!$C$2:$C$7,MIN(6,MAX(1,IF($O$130,MAX(1,2-(Vu_khi!$L$130-0)),2-(Vu_khi!$L$130-0))+1)))</f>
        <v/>
      </c>
      <c r="AB130" t="n">
        <v>1.2</v>
      </c>
      <c r="AC130">
        <f>INDEX(Bang_xuyen_giap!$C$2:$C$7,MIN(6,MAX(1,IF($O$130,MAX(1,2-(Vu_khi!$L$130-2)),2-(Vu_khi!$L$130-2))+1)))</f>
        <v/>
      </c>
      <c r="AD130" t="n">
        <v>0.85</v>
      </c>
      <c r="AE130">
        <f>INDEX(Bang_xuyen_giap!$C$2:$C$7,MIN(6,MAX(1,IF($O$130,MAX(1,2-(Vu_khi!$L$130-4)),2-(Vu_khi!$L$130-4))+1)))</f>
        <v/>
      </c>
      <c r="AF130" t="n">
        <v>0.25</v>
      </c>
      <c r="AG130">
        <f>INDEX(Bang_xuyen_giap!$C$2:$C$7,MIN(6,MAX(1,MAX(1,2-(Vu_khi!$L$130-0))+1)))</f>
        <v/>
      </c>
      <c r="AH130" t="n">
        <v>1</v>
      </c>
      <c r="AI130">
        <f>IF($Q$130,$M$130*$AA$130*$U$130,0)</f>
        <v/>
      </c>
      <c r="AJ130" t="n">
        <v>87.573360551161</v>
      </c>
      <c r="AK130">
        <f>IF($Q$130,$M$130*$AC$130*$U$130,0)</f>
        <v/>
      </c>
      <c r="AL130" t="n">
        <v>62.03113039040571</v>
      </c>
      <c r="AM130">
        <f>IF($Q$130,$M$130*$AE$130*$U$130,0)</f>
        <v/>
      </c>
      <c r="AN130" t="n">
        <v>18.24445011482521</v>
      </c>
      <c r="AO130">
        <f>IF($Q$130,$M$130*$AC$130*$Y$130,0)</f>
        <v/>
      </c>
      <c r="AP130" t="n">
        <v>93.04669558560856</v>
      </c>
      <c r="AQ130">
        <f>IF($S$130,$M$130*$AG$130*$W$130,0)</f>
        <v/>
      </c>
      <c r="AR130" t="n">
        <v>0</v>
      </c>
      <c r="AS130">
        <f>IF(OR(Vu_khi!$M$130="Missile",Vu_khi!$M$130="Drone",AND(Vu_khi!$M$130="Rocket",OR(Vu_khi!$AM$130,Vu_khi!$D$130="guided")),Vu_khi!$AL$130,Vu_khi!$AK$130,Vu_khi!$X$130&lt;=0),FALSE,IF($B$130&gt;=0,$B$130&gt;=4,IF(Vu_khi!$M$130="Shell",Vu_khi!$AN$130&gt;=Canh_bao_vong!$D$10,IF(Vu_khi!$M$130="Bomb",Vu_khi!$AN$130&gt;=Canh_bao_vong!$D$3,IF(Vu_khi!$M$130="Rocket",Vu_khi!$AN$130&gt;=Canh_bao_vong!$D$13,FALSE)))))</f>
        <v/>
      </c>
      <c r="AT130" t="b">
        <v>0</v>
      </c>
      <c r="AU130">
        <f>IF(AND($B$130&lt;0,$AS$130),4,$B$130)</f>
        <v/>
      </c>
      <c r="AV130" t="n">
        <v>2</v>
      </c>
      <c r="AW130">
        <f>IF($AU$130&lt;4,0,MIN(MAX(0.5,Canh_bao_vong!$D$4),MAX(IF(Vu_khi!$C$130="cal_406",Canh_bao_vong!$D$7,IF($AU$130&gt;=5,Canh_bao_vong!$D$9,Canh_bao_vong!$D$8)),Canh_bao_vong!$D$2+MAX(0,Vu_khi!$X$130)/MAX(0.1,Canh_bao_vong!$D$5))))</f>
        <v/>
      </c>
      <c r="AX130" t="n">
        <v>0</v>
      </c>
      <c r="AY130" t="n">
        <v>0.457217</v>
      </c>
      <c r="AZ130" t="inlineStr">
        <is>
          <t>NHANH_QUA</t>
        </is>
      </c>
      <c r="BA130" t="inlineStr"/>
      <c r="BB130" t="inlineStr">
        <is>
          <t>Assets/MachineBrigade/Resources/Data/balance.json: weapons[id=gunship_105] (lớp B trên 01_chien_dau/Vu_khi)</t>
        </is>
      </c>
      <c r="BC130" t="inlineStr"/>
    </row>
    <row r="131">
      <c r="A131" t="inlineStr">
        <is>
          <t>gunship_105_guided</t>
        </is>
      </c>
      <c r="B131" t="n">
        <v>2</v>
      </c>
      <c r="C131">
        <f>IF(Vu_khi!$O$131="SIMULTANEOUS",MAX(1,Vu_khi!$N$131),1)</f>
        <v/>
      </c>
      <c r="D131" t="n">
        <v>1</v>
      </c>
      <c r="E131">
        <f>IF(Vu_khi!$S$131&gt;0,Vu_khi!$S$131,Vu_khi!$P$131*$C$131)</f>
        <v/>
      </c>
      <c r="F131" t="n">
        <v>1</v>
      </c>
      <c r="G131">
        <f>IF(Vu_khi!$S$131&gt;0,(Vu_khi!$S$131-1)*Vu_khi!$R$131+Vu_khi!$T$131,Vu_khi!$R$131+(Vu_khi!$P$131-1)*Vu_khi!$Q$131)</f>
        <v/>
      </c>
      <c r="H131" t="n">
        <v>3.919</v>
      </c>
      <c r="I131">
        <f>Vu_khi!$W$131*MAX(1,$E$131)</f>
        <v/>
      </c>
      <c r="J131" t="n">
        <v>286</v>
      </c>
      <c r="K131">
        <f>IF(Vu_khi!$V$131&gt;0,Vu_khi!$V$131,MIN(28,MAX(10,Vu_khi!$U$131*Vu_khi!$R$131*0.4)))</f>
        <v/>
      </c>
      <c r="L131" t="n">
        <v>10</v>
      </c>
      <c r="M131">
        <f>IF(Vu_khi!$W$131&lt;=0,0,IF(Vu_khi!$U$131&gt;0,$I$131*Vu_khi!$U$131/(MAX(0.05,$G$131)*Vu_khi!$U$131+$K$131),$I$131/MAX(0.05,$G$131)))</f>
        <v/>
      </c>
      <c r="N131" t="n">
        <v>72.97780045930084</v>
      </c>
      <c r="O131">
        <f>OR(Vu_khi!$AG$131,Vu_khi!$AB$131&gt;0,Vu_khi!$AH$131,Vu_khi!$M$131="Bomb",Vu_khi!$M$131="Drone")</f>
        <v/>
      </c>
      <c r="P131" t="b">
        <v>0</v>
      </c>
      <c r="Q131">
        <f>AND(NOT(Vu_khi!$AJ$131),OR(Vu_khi!$AC$131="Ground",Vu_khi!$AC$131="All"))</f>
        <v/>
      </c>
      <c r="R131" t="b">
        <v>1</v>
      </c>
      <c r="S131">
        <f>AND(NOT(Vu_khi!$AJ$131),OR(Vu_khi!$AC$131="Air",Vu_khi!$AC$131="All"))</f>
        <v/>
      </c>
      <c r="T131" t="b">
        <v>0</v>
      </c>
      <c r="U131">
        <f>INDEX(Bang_sat_thuong!$B$2:$B$7,MATCH(Vu_khi!$K$131,Bang_sat_thuong!$A$2:$A$7,0))</f>
        <v/>
      </c>
      <c r="V131" t="n">
        <v>1</v>
      </c>
      <c r="W131">
        <f>INDEX(Bang_sat_thuong!$C$2:$C$7,MATCH(Vu_khi!$K$131,Bang_sat_thuong!$A$2:$A$7,0))</f>
        <v/>
      </c>
      <c r="X131" t="n">
        <v>0</v>
      </c>
      <c r="Y131">
        <f>IF(AND(Vu_khi!$AI$131,Vu_khi!$K$131="HighExplosive"),MAX(He_so_toan_cuc!$D$2,INDEX(Bang_sat_thuong!$D$2:$D$7,MATCH(Vu_khi!$K$131,Bang_sat_thuong!$A$2:$A$7,0))),INDEX(Bang_sat_thuong!$D$2:$D$7,MATCH(Vu_khi!$K$131,Bang_sat_thuong!$A$2:$A$7,0)))</f>
        <v/>
      </c>
      <c r="Z131" t="n">
        <v>1.5</v>
      </c>
      <c r="AA131">
        <f>INDEX(Bang_xuyen_giap!$C$2:$C$7,MIN(6,MAX(1,IF($O$131,MAX(1,2-(Vu_khi!$L$131-0)),2-(Vu_khi!$L$131-0))+1)))</f>
        <v/>
      </c>
      <c r="AB131" t="n">
        <v>1.2</v>
      </c>
      <c r="AC131">
        <f>INDEX(Bang_xuyen_giap!$C$2:$C$7,MIN(6,MAX(1,IF($O$131,MAX(1,2-(Vu_khi!$L$131-2)),2-(Vu_khi!$L$131-2))+1)))</f>
        <v/>
      </c>
      <c r="AD131" t="n">
        <v>0.85</v>
      </c>
      <c r="AE131">
        <f>INDEX(Bang_xuyen_giap!$C$2:$C$7,MIN(6,MAX(1,IF($O$131,MAX(1,2-(Vu_khi!$L$131-4)),2-(Vu_khi!$L$131-4))+1)))</f>
        <v/>
      </c>
      <c r="AF131" t="n">
        <v>0.25</v>
      </c>
      <c r="AG131">
        <f>INDEX(Bang_xuyen_giap!$C$2:$C$7,MIN(6,MAX(1,MAX(1,2-(Vu_khi!$L$131-0))+1)))</f>
        <v/>
      </c>
      <c r="AH131" t="n">
        <v>1</v>
      </c>
      <c r="AI131">
        <f>IF($Q$131,$M$131*$AA$131*$U$131,0)</f>
        <v/>
      </c>
      <c r="AJ131" t="n">
        <v>87.573360551161</v>
      </c>
      <c r="AK131">
        <f>IF($Q$131,$M$131*$AC$131*$U$131,0)</f>
        <v/>
      </c>
      <c r="AL131" t="n">
        <v>62.03113039040571</v>
      </c>
      <c r="AM131">
        <f>IF($Q$131,$M$131*$AE$131*$U$131,0)</f>
        <v/>
      </c>
      <c r="AN131" t="n">
        <v>18.24445011482521</v>
      </c>
      <c r="AO131">
        <f>IF($Q$131,$M$131*$AC$131*$Y$131,0)</f>
        <v/>
      </c>
      <c r="AP131" t="n">
        <v>93.04669558560856</v>
      </c>
      <c r="AQ131">
        <f>IF($S$131,$M$131*$AG$131*$W$131,0)</f>
        <v/>
      </c>
      <c r="AR131" t="n">
        <v>0</v>
      </c>
      <c r="AS131">
        <f>IF(OR(Vu_khi!$M$131="Missile",Vu_khi!$M$131="Drone",AND(Vu_khi!$M$131="Rocket",OR(Vu_khi!$AM$131,Vu_khi!$D$131="guided")),Vu_khi!$AL$131,Vu_khi!$AK$131,Vu_khi!$X$131&lt;=0),FALSE,IF($B$131&gt;=0,$B$131&gt;=4,IF(Vu_khi!$M$131="Shell",Vu_khi!$AN$131&gt;=Canh_bao_vong!$D$10,IF(Vu_khi!$M$131="Bomb",Vu_khi!$AN$131&gt;=Canh_bao_vong!$D$3,IF(Vu_khi!$M$131="Rocket",Vu_khi!$AN$131&gt;=Canh_bao_vong!$D$13,FALSE)))))</f>
        <v/>
      </c>
      <c r="AT131" t="b">
        <v>0</v>
      </c>
      <c r="AU131">
        <f>IF(AND($B$131&lt;0,$AS$131),4,$B$131)</f>
        <v/>
      </c>
      <c r="AV131" t="n">
        <v>2</v>
      </c>
      <c r="AW131">
        <f>IF($AU$131&lt;4,0,MIN(MAX(0.5,Canh_bao_vong!$D$4),MAX(IF(Vu_khi!$C$131="cal_406",Canh_bao_vong!$D$7,IF($AU$131&gt;=5,Canh_bao_vong!$D$9,Canh_bao_vong!$D$8)),Canh_bao_vong!$D$2+MAX(0,Vu_khi!$X$131)/MAX(0.1,Canh_bao_vong!$D$5))))</f>
        <v/>
      </c>
      <c r="AX131" t="n">
        <v>0</v>
      </c>
      <c r="BB131" t="inlineStr">
        <is>
          <t>Assets/MachineBrigade/Resources/Data/balance.json: weapons[id=gunship_105_guided] (lớp B trên 01_chien_dau/Vu_khi)</t>
        </is>
      </c>
      <c r="BC131" t="inlineStr"/>
    </row>
    <row r="132">
      <c r="A132" t="inlineStr">
        <is>
          <t>gunship_rockets</t>
        </is>
      </c>
      <c r="B132" t="n">
        <v>2</v>
      </c>
      <c r="C132">
        <f>IF(Vu_khi!$O$132="SIMULTANEOUS",MAX(1,Vu_khi!$N$132),1)</f>
        <v/>
      </c>
      <c r="D132" t="n">
        <v>1</v>
      </c>
      <c r="E132">
        <f>IF(Vu_khi!$S$132&gt;0,Vu_khi!$S$132,Vu_khi!$P$132*$C$132)</f>
        <v/>
      </c>
      <c r="F132" t="n">
        <v>16</v>
      </c>
      <c r="G132">
        <f>IF(Vu_khi!$S$132&gt;0,(Vu_khi!$S$132-1)*Vu_khi!$R$132+Vu_khi!$T$132,Vu_khi!$R$132+(Vu_khi!$P$132-1)*Vu_khi!$Q$132)</f>
        <v/>
      </c>
      <c r="H132" t="n">
        <v>9.771000000000001</v>
      </c>
      <c r="I132">
        <f>Vu_khi!$W$132*MAX(1,$E$132)</f>
        <v/>
      </c>
      <c r="J132" t="n">
        <v>512</v>
      </c>
      <c r="K132">
        <f>IF(Vu_khi!$V$132&gt;0,Vu_khi!$V$132,MIN(28,MAX(10,Vu_khi!$U$132*Vu_khi!$R$132*0.4)))</f>
        <v/>
      </c>
      <c r="L132" t="n">
        <v>10</v>
      </c>
      <c r="M132">
        <f>IF(Vu_khi!$W$132&lt;=0,0,IF(Vu_khi!$U$132&gt;0,$I$132*Vu_khi!$U$132/(MAX(0.05,$G$132)*Vu_khi!$U$132+$K$132),$I$132/MAX(0.05,$G$132)))</f>
        <v/>
      </c>
      <c r="N132" t="n">
        <v>52.39995906253198</v>
      </c>
      <c r="O132">
        <f>OR(Vu_khi!$AG$132,Vu_khi!$AB$132&gt;0,Vu_khi!$AH$132,Vu_khi!$M$132="Bomb",Vu_khi!$M$132="Drone")</f>
        <v/>
      </c>
      <c r="P132" t="b">
        <v>0</v>
      </c>
      <c r="Q132">
        <f>AND(NOT(Vu_khi!$AJ$132),OR(Vu_khi!$AC$132="Ground",Vu_khi!$AC$132="All"))</f>
        <v/>
      </c>
      <c r="R132" t="b">
        <v>1</v>
      </c>
      <c r="S132">
        <f>AND(NOT(Vu_khi!$AJ$132),OR(Vu_khi!$AC$132="Air",Vu_khi!$AC$132="All"))</f>
        <v/>
      </c>
      <c r="T132" t="b">
        <v>0</v>
      </c>
      <c r="U132">
        <f>INDEX(Bang_sat_thuong!$B$2:$B$7,MATCH(Vu_khi!$K$132,Bang_sat_thuong!$A$2:$A$7,0))</f>
        <v/>
      </c>
      <c r="V132" t="n">
        <v>1</v>
      </c>
      <c r="W132">
        <f>INDEX(Bang_sat_thuong!$C$2:$C$7,MATCH(Vu_khi!$K$132,Bang_sat_thuong!$A$2:$A$7,0))</f>
        <v/>
      </c>
      <c r="X132" t="n">
        <v>0</v>
      </c>
      <c r="Y132">
        <f>IF(AND(Vu_khi!$AI$132,Vu_khi!$K$132="HighExplosive"),MAX(He_so_toan_cuc!$D$2,INDEX(Bang_sat_thuong!$D$2:$D$7,MATCH(Vu_khi!$K$132,Bang_sat_thuong!$A$2:$A$7,0))),INDEX(Bang_sat_thuong!$D$2:$D$7,MATCH(Vu_khi!$K$132,Bang_sat_thuong!$A$2:$A$7,0)))</f>
        <v/>
      </c>
      <c r="Z132" t="n">
        <v>1.5</v>
      </c>
      <c r="AA132">
        <f>INDEX(Bang_xuyen_giap!$C$2:$C$7,MIN(6,MAX(1,IF($O$132,MAX(1,2-(Vu_khi!$L$132-0)),2-(Vu_khi!$L$132-0))+1)))</f>
        <v/>
      </c>
      <c r="AB132" t="n">
        <v>1.2</v>
      </c>
      <c r="AC132">
        <f>INDEX(Bang_xuyen_giap!$C$2:$C$7,MIN(6,MAX(1,IF($O$132,MAX(1,2-(Vu_khi!$L$132-2)),2-(Vu_khi!$L$132-2))+1)))</f>
        <v/>
      </c>
      <c r="AD132" t="n">
        <v>0.85</v>
      </c>
      <c r="AE132">
        <f>INDEX(Bang_xuyen_giap!$C$2:$C$7,MIN(6,MAX(1,IF($O$132,MAX(1,2-(Vu_khi!$L$132-4)),2-(Vu_khi!$L$132-4))+1)))</f>
        <v/>
      </c>
      <c r="AF132" t="n">
        <v>0.25</v>
      </c>
      <c r="AG132">
        <f>INDEX(Bang_xuyen_giap!$C$2:$C$7,MIN(6,MAX(1,MAX(1,2-(Vu_khi!$L$132-0))+1)))</f>
        <v/>
      </c>
      <c r="AH132" t="n">
        <v>1</v>
      </c>
      <c r="AI132">
        <f>IF($Q$132,$M$132*$AA$132*$U$132,0)</f>
        <v/>
      </c>
      <c r="AJ132" t="n">
        <v>62.87995087503837</v>
      </c>
      <c r="AK132">
        <f>IF($Q$132,$M$132*$AC$132*$U$132,0)</f>
        <v/>
      </c>
      <c r="AL132" t="n">
        <v>44.53996520315218</v>
      </c>
      <c r="AM132">
        <f>IF($Q$132,$M$132*$AE$132*$U$132,0)</f>
        <v/>
      </c>
      <c r="AN132" t="n">
        <v>13.09998976563299</v>
      </c>
      <c r="AO132">
        <f>IF($Q$132,$M$132*$AC$132*$Y$132,0)</f>
        <v/>
      </c>
      <c r="AP132" t="n">
        <v>66.80994780472827</v>
      </c>
      <c r="AQ132">
        <f>IF($S$132,$M$132*$AG$132*$W$132,0)</f>
        <v/>
      </c>
      <c r="AR132" t="n">
        <v>0</v>
      </c>
      <c r="AS132">
        <f>IF(OR(Vu_khi!$M$132="Missile",Vu_khi!$M$132="Drone",AND(Vu_khi!$M$132="Rocket",OR(Vu_khi!$AM$132,Vu_khi!$D$132="guided")),Vu_khi!$AL$132,Vu_khi!$AK$132,Vu_khi!$X$132&lt;=0),FALSE,IF($B$132&gt;=0,$B$132&gt;=4,IF(Vu_khi!$M$132="Shell",Vu_khi!$AN$132&gt;=Canh_bao_vong!$D$10,IF(Vu_khi!$M$132="Bomb",Vu_khi!$AN$132&gt;=Canh_bao_vong!$D$3,IF(Vu_khi!$M$132="Rocket",Vu_khi!$AN$132&gt;=Canh_bao_vong!$D$13,FALSE)))))</f>
        <v/>
      </c>
      <c r="AT132" t="b">
        <v>0</v>
      </c>
      <c r="AU132">
        <f>IF(AND($B$132&lt;0,$AS$132),4,$B$132)</f>
        <v/>
      </c>
      <c r="AV132" t="n">
        <v>2</v>
      </c>
      <c r="AW132">
        <f>IF($AU$132&lt;4,0,MIN(MAX(0.5,Canh_bao_vong!$D$4),MAX(IF(Vu_khi!$C$132="cal_406",Canh_bao_vong!$D$7,IF($AU$132&gt;=5,Canh_bao_vong!$D$9,Canh_bao_vong!$D$8)),Canh_bao_vong!$D$2+MAX(0,Vu_khi!$X$132)/MAX(0.1,Canh_bao_vong!$D$5))))</f>
        <v/>
      </c>
      <c r="AX132" t="n">
        <v>0</v>
      </c>
      <c r="AY132" t="n">
        <v>1.5</v>
      </c>
      <c r="AZ132" t="inlineStr">
        <is>
          <t>ok</t>
        </is>
      </c>
      <c r="BA132" t="b">
        <v>1</v>
      </c>
      <c r="BB132" t="inlineStr">
        <is>
          <t>Assets/MachineBrigade/Resources/Data/balance.json: weapons[id=gunship_rockets] (lớp B trên 01_chien_dau/Vu_khi)</t>
        </is>
      </c>
      <c r="BC132" t="inlineStr"/>
    </row>
    <row r="133">
      <c r="A133" t="inlineStr">
        <is>
          <t>hel_beam</t>
        </is>
      </c>
      <c r="B133" t="n">
        <v>1</v>
      </c>
      <c r="C133">
        <f>IF(Vu_khi!$O$133="SIMULTANEOUS",MAX(1,Vu_khi!$N$133),1)</f>
        <v/>
      </c>
      <c r="D133" t="n">
        <v>1</v>
      </c>
      <c r="E133">
        <f>IF(Vu_khi!$S$133&gt;0,Vu_khi!$S$133,Vu_khi!$P$133*$C$133)</f>
        <v/>
      </c>
      <c r="F133" t="n">
        <v>1</v>
      </c>
      <c r="G133">
        <f>IF(Vu_khi!$S$133&gt;0,(Vu_khi!$S$133-1)*Vu_khi!$R$133+Vu_khi!$T$133,Vu_khi!$R$133+(Vu_khi!$P$133-1)*Vu_khi!$Q$133)</f>
        <v/>
      </c>
      <c r="H133" t="n">
        <v>0.0525</v>
      </c>
      <c r="I133">
        <f>Vu_khi!$W$133*MAX(1,$E$133)</f>
        <v/>
      </c>
      <c r="J133" t="n">
        <v>10</v>
      </c>
      <c r="K133">
        <f>IF(Vu_khi!$V$133&gt;0,Vu_khi!$V$133,MIN(28,MAX(10,Vu_khi!$U$133*Vu_khi!$R$133*0.4)))</f>
        <v/>
      </c>
      <c r="L133" t="n">
        <v>10</v>
      </c>
      <c r="M133">
        <f>IF(Vu_khi!$W$133&lt;=0,0,IF(Vu_khi!$U$133&gt;0,$I$133*Vu_khi!$U$133/(MAX(0.05,$G$133)*Vu_khi!$U$133+$K$133),$I$133/MAX(0.05,$G$133)))</f>
        <v/>
      </c>
      <c r="N133" t="n">
        <v>190.4761904761905</v>
      </c>
      <c r="O133">
        <f>OR(Vu_khi!$AG$133,Vu_khi!$AB$133&gt;0,Vu_khi!$AH$133,Vu_khi!$M$133="Bomb",Vu_khi!$M$133="Drone")</f>
        <v/>
      </c>
      <c r="P133" t="b">
        <v>0</v>
      </c>
      <c r="Q133">
        <f>AND(NOT(Vu_khi!$AJ$133),OR(Vu_khi!$AC$133="Ground",Vu_khi!$AC$133="All"))</f>
        <v/>
      </c>
      <c r="R133" t="b">
        <v>0</v>
      </c>
      <c r="S133">
        <f>AND(NOT(Vu_khi!$AJ$133),OR(Vu_khi!$AC$133="Air",Vu_khi!$AC$133="All"))</f>
        <v/>
      </c>
      <c r="T133" t="b">
        <v>1</v>
      </c>
      <c r="U133">
        <f>INDEX(Bang_sat_thuong!$B$2:$B$7,MATCH(Vu_khi!$K$133,Bang_sat_thuong!$A$2:$A$7,0))</f>
        <v/>
      </c>
      <c r="V133" t="n">
        <v>1</v>
      </c>
      <c r="W133">
        <f>INDEX(Bang_sat_thuong!$C$2:$C$7,MATCH(Vu_khi!$K$133,Bang_sat_thuong!$A$2:$A$7,0))</f>
        <v/>
      </c>
      <c r="X133" t="n">
        <v>1.5</v>
      </c>
      <c r="Y133">
        <f>IF(AND(Vu_khi!$AI$133,Vu_khi!$K$133="HighExplosive"),MAX(He_so_toan_cuc!$D$2,INDEX(Bang_sat_thuong!$D$2:$D$7,MATCH(Vu_khi!$K$133,Bang_sat_thuong!$A$2:$A$7,0))),INDEX(Bang_sat_thuong!$D$2:$D$7,MATCH(Vu_khi!$K$133,Bang_sat_thuong!$A$2:$A$7,0)))</f>
        <v/>
      </c>
      <c r="Z133" t="n">
        <v>0.5</v>
      </c>
      <c r="AA133">
        <f>INDEX(Bang_xuyen_giap!$C$2:$C$7,MIN(6,MAX(1,IF($O$133,MAX(1,2-(Vu_khi!$L$133-0)),2-(Vu_khi!$L$133-0))+1)))</f>
        <v/>
      </c>
      <c r="AB133" t="n">
        <v>1.2</v>
      </c>
      <c r="AC133">
        <f>INDEX(Bang_xuyen_giap!$C$2:$C$7,MIN(6,MAX(1,IF($O$133,MAX(1,2-(Vu_khi!$L$133-2)),2-(Vu_khi!$L$133-2))+1)))</f>
        <v/>
      </c>
      <c r="AD133" t="n">
        <v>0.85</v>
      </c>
      <c r="AE133">
        <f>INDEX(Bang_xuyen_giap!$C$2:$C$7,MIN(6,MAX(1,IF($O$133,MAX(1,2-(Vu_khi!$L$133-4)),2-(Vu_khi!$L$133-4))+1)))</f>
        <v/>
      </c>
      <c r="AF133" t="n">
        <v>0.25</v>
      </c>
      <c r="AG133">
        <f>INDEX(Bang_xuyen_giap!$C$2:$C$7,MIN(6,MAX(1,MAX(1,2-(Vu_khi!$L$133-0))+1)))</f>
        <v/>
      </c>
      <c r="AH133" t="n">
        <v>1</v>
      </c>
      <c r="AI133">
        <f>IF($Q$133,$M$133*$AA$133*$U$133,0)</f>
        <v/>
      </c>
      <c r="AJ133" t="n">
        <v>0</v>
      </c>
      <c r="AK133">
        <f>IF($Q$133,$M$133*$AC$133*$U$133,0)</f>
        <v/>
      </c>
      <c r="AL133" t="n">
        <v>0</v>
      </c>
      <c r="AM133">
        <f>IF($Q$133,$M$133*$AE$133*$U$133,0)</f>
        <v/>
      </c>
      <c r="AN133" t="n">
        <v>0</v>
      </c>
      <c r="AO133">
        <f>IF($Q$133,$M$133*$AC$133*$Y$133,0)</f>
        <v/>
      </c>
      <c r="AP133" t="n">
        <v>0</v>
      </c>
      <c r="AQ133">
        <f>IF($S$133,$M$133*$AG$133*$W$133,0)</f>
        <v/>
      </c>
      <c r="AR133" t="n">
        <v>285.7142857142857</v>
      </c>
      <c r="AS133">
        <f>IF(OR(Vu_khi!$M$133="Missile",Vu_khi!$M$133="Drone",AND(Vu_khi!$M$133="Rocket",OR(Vu_khi!$AM$133,Vu_khi!$D$133="guided")),Vu_khi!$AL$133,Vu_khi!$AK$133,Vu_khi!$X$133&lt;=0),FALSE,IF($B$133&gt;=0,$B$133&gt;=4,IF(Vu_khi!$M$133="Shell",Vu_khi!$AN$133&gt;=Canh_bao_vong!$D$10,IF(Vu_khi!$M$133="Bomb",Vu_khi!$AN$133&gt;=Canh_bao_vong!$D$3,IF(Vu_khi!$M$133="Rocket",Vu_khi!$AN$133&gt;=Canh_bao_vong!$D$13,FALSE)))))</f>
        <v/>
      </c>
      <c r="AT133" t="b">
        <v>0</v>
      </c>
      <c r="AU133">
        <f>IF(AND($B$133&lt;0,$AS$133),4,$B$133)</f>
        <v/>
      </c>
      <c r="AV133" t="n">
        <v>1</v>
      </c>
      <c r="AW133">
        <f>IF($AU$133&lt;4,0,MIN(MAX(0.5,Canh_bao_vong!$D$4),MAX(IF(Vu_khi!$C$133="cal_406",Canh_bao_vong!$D$7,IF($AU$133&gt;=5,Canh_bao_vong!$D$9,Canh_bao_vong!$D$8)),Canh_bao_vong!$D$2+MAX(0,Vu_khi!$X$133)/MAX(0.1,Canh_bao_vong!$D$5))))</f>
        <v/>
      </c>
      <c r="AX133" t="n">
        <v>0</v>
      </c>
      <c r="AY133" t="inlineStr"/>
      <c r="AZ133" t="inlineStr">
        <is>
          <t>ok</t>
        </is>
      </c>
      <c r="BA133" t="inlineStr"/>
      <c r="BB133" t="inlineStr">
        <is>
          <t>Assets/MachineBrigade/Resources/Data/balance.json: weapons[id=hel_beam] (lớp B trên 01_chien_dau/Vu_khi)</t>
        </is>
      </c>
      <c r="BC133" t="inlineStr"/>
    </row>
    <row r="134">
      <c r="A134" t="inlineStr">
        <is>
          <t>heli_gun</t>
        </is>
      </c>
      <c r="B134" t="n">
        <v>1</v>
      </c>
      <c r="C134">
        <f>IF(Vu_khi!$O$134="SIMULTANEOUS",MAX(1,Vu_khi!$N$134),1)</f>
        <v/>
      </c>
      <c r="D134" t="n">
        <v>1</v>
      </c>
      <c r="E134">
        <f>IF(Vu_khi!$S$134&gt;0,Vu_khi!$S$134,Vu_khi!$P$134*$C$134)</f>
        <v/>
      </c>
      <c r="F134" t="n">
        <v>40</v>
      </c>
      <c r="G134">
        <f>IF(Vu_khi!$S$134&gt;0,(Vu_khi!$S$134-1)*Vu_khi!$R$134+Vu_khi!$T$134,Vu_khi!$R$134+(Vu_khi!$P$134-1)*Vu_khi!$Q$134)</f>
        <v/>
      </c>
      <c r="H134" t="n">
        <v>9.667999999999999</v>
      </c>
      <c r="I134">
        <f>Vu_khi!$W$134*MAX(1,$E$134)</f>
        <v/>
      </c>
      <c r="J134" t="n">
        <v>880</v>
      </c>
      <c r="K134">
        <f>IF(Vu_khi!$V$134&gt;0,Vu_khi!$V$134,MIN(28,MAX(10,Vu_khi!$U$134*Vu_khi!$R$134*0.4)))</f>
        <v/>
      </c>
      <c r="L134" t="n">
        <v>10</v>
      </c>
      <c r="M134">
        <f>IF(Vu_khi!$W$134&lt;=0,0,IF(Vu_khi!$U$134&gt;0,$I$134*Vu_khi!$U$134/(MAX(0.05,$G$134)*Vu_khi!$U$134+$K$134),$I$134/MAX(0.05,$G$134)))</f>
        <v/>
      </c>
      <c r="N134" t="n">
        <v>91.02192800992967</v>
      </c>
      <c r="O134">
        <f>OR(Vu_khi!$AG$134,Vu_khi!$AB$134&gt;0,Vu_khi!$AH$134,Vu_khi!$M$134="Bomb",Vu_khi!$M$134="Drone")</f>
        <v/>
      </c>
      <c r="P134" t="b">
        <v>0</v>
      </c>
      <c r="Q134">
        <f>AND(NOT(Vu_khi!$AJ$134),OR(Vu_khi!$AC$134="Ground",Vu_khi!$AC$134="All"))</f>
        <v/>
      </c>
      <c r="R134" t="b">
        <v>1</v>
      </c>
      <c r="S134">
        <f>AND(NOT(Vu_khi!$AJ$134),OR(Vu_khi!$AC$134="Air",Vu_khi!$AC$134="All"))</f>
        <v/>
      </c>
      <c r="T134" t="b">
        <v>1</v>
      </c>
      <c r="U134">
        <f>INDEX(Bang_sat_thuong!$B$2:$B$7,MATCH(Vu_khi!$K$134,Bang_sat_thuong!$A$2:$A$7,0))</f>
        <v/>
      </c>
      <c r="V134" t="n">
        <v>1</v>
      </c>
      <c r="W134">
        <f>INDEX(Bang_sat_thuong!$C$2:$C$7,MATCH(Vu_khi!$K$134,Bang_sat_thuong!$A$2:$A$7,0))</f>
        <v/>
      </c>
      <c r="X134" t="n">
        <v>0.3</v>
      </c>
      <c r="Y134">
        <f>IF(AND(Vu_khi!$AI$134,Vu_khi!$K$134="HighExplosive"),MAX(He_so_toan_cuc!$D$2,INDEX(Bang_sat_thuong!$D$2:$D$7,MATCH(Vu_khi!$K$134,Bang_sat_thuong!$A$2:$A$7,0))),INDEX(Bang_sat_thuong!$D$2:$D$7,MATCH(Vu_khi!$K$134,Bang_sat_thuong!$A$2:$A$7,0)))</f>
        <v/>
      </c>
      <c r="Z134" t="n">
        <v>0.6</v>
      </c>
      <c r="AA134">
        <f>INDEX(Bang_xuyen_giap!$C$2:$C$7,MIN(6,MAX(1,IF($O$134,MAX(1,2-(Vu_khi!$L$134-0)),2-(Vu_khi!$L$134-0))+1)))</f>
        <v/>
      </c>
      <c r="AB134" t="n">
        <v>1.2</v>
      </c>
      <c r="AC134">
        <f>INDEX(Bang_xuyen_giap!$C$2:$C$7,MIN(6,MAX(1,IF($O$134,MAX(1,2-(Vu_khi!$L$134-2)),2-(Vu_khi!$L$134-2))+1)))</f>
        <v/>
      </c>
      <c r="AD134" t="n">
        <v>0.85</v>
      </c>
      <c r="AE134">
        <f>INDEX(Bang_xuyen_giap!$C$2:$C$7,MIN(6,MAX(1,IF($O$134,MAX(1,2-(Vu_khi!$L$134-4)),2-(Vu_khi!$L$134-4))+1)))</f>
        <v/>
      </c>
      <c r="AF134" t="n">
        <v>0.25</v>
      </c>
      <c r="AG134">
        <f>INDEX(Bang_xuyen_giap!$C$2:$C$7,MIN(6,MAX(1,MAX(1,2-(Vu_khi!$L$134-0))+1)))</f>
        <v/>
      </c>
      <c r="AH134" t="n">
        <v>1</v>
      </c>
      <c r="AI134">
        <f>IF($Q$134,$M$134*$AA$134*$U$134,0)</f>
        <v/>
      </c>
      <c r="AJ134" t="n">
        <v>109.2263136119156</v>
      </c>
      <c r="AK134">
        <f>IF($Q$134,$M$134*$AC$134*$U$134,0)</f>
        <v/>
      </c>
      <c r="AL134" t="n">
        <v>77.36863880844021</v>
      </c>
      <c r="AM134">
        <f>IF($Q$134,$M$134*$AE$134*$U$134,0)</f>
        <v/>
      </c>
      <c r="AN134" t="n">
        <v>22.75548200248242</v>
      </c>
      <c r="AO134">
        <f>IF($Q$134,$M$134*$AC$134*$Y$134,0)</f>
        <v/>
      </c>
      <c r="AP134" t="n">
        <v>46.42118328506413</v>
      </c>
      <c r="AQ134">
        <f>IF($S$134,$M$134*$AG$134*$W$134,0)</f>
        <v/>
      </c>
      <c r="AR134" t="n">
        <v>27.3065784029789</v>
      </c>
      <c r="AS134">
        <f>IF(OR(Vu_khi!$M$134="Missile",Vu_khi!$M$134="Drone",AND(Vu_khi!$M$134="Rocket",OR(Vu_khi!$AM$134,Vu_khi!$D$134="guided")),Vu_khi!$AL$134,Vu_khi!$AK$134,Vu_khi!$X$134&lt;=0),FALSE,IF($B$134&gt;=0,$B$134&gt;=4,IF(Vu_khi!$M$134="Shell",Vu_khi!$AN$134&gt;=Canh_bao_vong!$D$10,IF(Vu_khi!$M$134="Bomb",Vu_khi!$AN$134&gt;=Canh_bao_vong!$D$3,IF(Vu_khi!$M$134="Rocket",Vu_khi!$AN$134&gt;=Canh_bao_vong!$D$13,FALSE)))))</f>
        <v/>
      </c>
      <c r="AT134" t="b">
        <v>0</v>
      </c>
      <c r="AU134">
        <f>IF(AND($B$134&lt;0,$AS$134),4,$B$134)</f>
        <v/>
      </c>
      <c r="AV134" t="n">
        <v>1</v>
      </c>
      <c r="AW134">
        <f>IF($AU$134&lt;4,0,MIN(MAX(0.5,Canh_bao_vong!$D$4),MAX(IF(Vu_khi!$C$134="cal_406",Canh_bao_vong!$D$7,IF($AU$134&gt;=5,Canh_bao_vong!$D$9,Canh_bao_vong!$D$8)),Canh_bao_vong!$D$2+MAX(0,Vu_khi!$X$134)/MAX(0.1,Canh_bao_vong!$D$5))))</f>
        <v/>
      </c>
      <c r="AX134" t="n">
        <v>0</v>
      </c>
      <c r="AY134" t="n">
        <v>2.517708</v>
      </c>
      <c r="AZ134" t="inlineStr">
        <is>
          <t>ok</t>
        </is>
      </c>
      <c r="BA134" t="inlineStr"/>
      <c r="BB134" t="inlineStr">
        <is>
          <t>Assets/MachineBrigade/Resources/Data/balance.json: weapons[id=heli_gun] (lớp B trên 01_chien_dau/Vu_khi)</t>
        </is>
      </c>
      <c r="BC134" t="inlineStr"/>
    </row>
    <row r="135">
      <c r="A135" t="inlineStr">
        <is>
          <t>heli_gun_flak</t>
        </is>
      </c>
      <c r="B135" t="n">
        <v>1</v>
      </c>
      <c r="C135">
        <f>IF(Vu_khi!$O$135="SIMULTANEOUS",MAX(1,Vu_khi!$N$135),1)</f>
        <v/>
      </c>
      <c r="D135" t="n">
        <v>1</v>
      </c>
      <c r="E135">
        <f>IF(Vu_khi!$S$135&gt;0,Vu_khi!$S$135,Vu_khi!$P$135*$C$135)</f>
        <v/>
      </c>
      <c r="F135" t="n">
        <v>40</v>
      </c>
      <c r="G135">
        <f>IF(Vu_khi!$S$135&gt;0,(Vu_khi!$S$135-1)*Vu_khi!$R$135+Vu_khi!$T$135,Vu_khi!$R$135+(Vu_khi!$P$135-1)*Vu_khi!$Q$135)</f>
        <v/>
      </c>
      <c r="H135" t="n">
        <v>9.667999999999999</v>
      </c>
      <c r="I135">
        <f>Vu_khi!$W$135*MAX(1,$E$135)</f>
        <v/>
      </c>
      <c r="J135" t="n">
        <v>880</v>
      </c>
      <c r="K135">
        <f>IF(Vu_khi!$V$135&gt;0,Vu_khi!$V$135,MIN(28,MAX(10,Vu_khi!$U$135*Vu_khi!$R$135*0.4)))</f>
        <v/>
      </c>
      <c r="L135" t="n">
        <v>10</v>
      </c>
      <c r="M135">
        <f>IF(Vu_khi!$W$135&lt;=0,0,IF(Vu_khi!$U$135&gt;0,$I$135*Vu_khi!$U$135/(MAX(0.05,$G$135)*Vu_khi!$U$135+$K$135),$I$135/MAX(0.05,$G$135)))</f>
        <v/>
      </c>
      <c r="N135" t="n">
        <v>91.02192800992967</v>
      </c>
      <c r="O135">
        <f>OR(Vu_khi!$AG$135,Vu_khi!$AB$135&gt;0,Vu_khi!$AH$135,Vu_khi!$M$135="Bomb",Vu_khi!$M$135="Drone")</f>
        <v/>
      </c>
      <c r="P135" t="b">
        <v>0</v>
      </c>
      <c r="Q135">
        <f>AND(NOT(Vu_khi!$AJ$135),OR(Vu_khi!$AC$135="Ground",Vu_khi!$AC$135="All"))</f>
        <v/>
      </c>
      <c r="R135" t="b">
        <v>0</v>
      </c>
      <c r="S135">
        <f>AND(NOT(Vu_khi!$AJ$135),OR(Vu_khi!$AC$135="Air",Vu_khi!$AC$135="All"))</f>
        <v/>
      </c>
      <c r="T135" t="b">
        <v>1</v>
      </c>
      <c r="U135">
        <f>INDEX(Bang_sat_thuong!$B$2:$B$7,MATCH(Vu_khi!$K$135,Bang_sat_thuong!$A$2:$A$7,0))</f>
        <v/>
      </c>
      <c r="V135" t="n">
        <v>0.5</v>
      </c>
      <c r="W135">
        <f>INDEX(Bang_sat_thuong!$C$2:$C$7,MATCH(Vu_khi!$K$135,Bang_sat_thuong!$A$2:$A$7,0))</f>
        <v/>
      </c>
      <c r="X135" t="n">
        <v>1.3</v>
      </c>
      <c r="Y135">
        <f>IF(AND(Vu_khi!$AI$135,Vu_khi!$K$135="HighExplosive"),MAX(He_so_toan_cuc!$D$2,INDEX(Bang_sat_thuong!$D$2:$D$7,MATCH(Vu_khi!$K$135,Bang_sat_thuong!$A$2:$A$7,0))),INDEX(Bang_sat_thuong!$D$2:$D$7,MATCH(Vu_khi!$K$135,Bang_sat_thuong!$A$2:$A$7,0)))</f>
        <v/>
      </c>
      <c r="Z135" t="n">
        <v>0.1</v>
      </c>
      <c r="AA135">
        <f>INDEX(Bang_xuyen_giap!$C$2:$C$7,MIN(6,MAX(1,IF($O$135,MAX(1,2-(Vu_khi!$L$135-0)),2-(Vu_khi!$L$135-0))+1)))</f>
        <v/>
      </c>
      <c r="AB135" t="n">
        <v>1.2</v>
      </c>
      <c r="AC135">
        <f>INDEX(Bang_xuyen_giap!$C$2:$C$7,MIN(6,MAX(1,IF($O$135,MAX(1,2-(Vu_khi!$L$135-2)),2-(Vu_khi!$L$135-2))+1)))</f>
        <v/>
      </c>
      <c r="AD135" t="n">
        <v>0.85</v>
      </c>
      <c r="AE135">
        <f>INDEX(Bang_xuyen_giap!$C$2:$C$7,MIN(6,MAX(1,IF($O$135,MAX(1,2-(Vu_khi!$L$135-4)),2-(Vu_khi!$L$135-4))+1)))</f>
        <v/>
      </c>
      <c r="AF135" t="n">
        <v>0.25</v>
      </c>
      <c r="AG135">
        <f>INDEX(Bang_xuyen_giap!$C$2:$C$7,MIN(6,MAX(1,MAX(1,2-(Vu_khi!$L$135-0))+1)))</f>
        <v/>
      </c>
      <c r="AH135" t="n">
        <v>1</v>
      </c>
      <c r="AI135">
        <f>IF($Q$135,$M$135*$AA$135*$U$135,0)</f>
        <v/>
      </c>
      <c r="AJ135" t="n">
        <v>0</v>
      </c>
      <c r="AK135">
        <f>IF($Q$135,$M$135*$AC$135*$U$135,0)</f>
        <v/>
      </c>
      <c r="AL135" t="n">
        <v>0</v>
      </c>
      <c r="AM135">
        <f>IF($Q$135,$M$135*$AE$135*$U$135,0)</f>
        <v/>
      </c>
      <c r="AN135" t="n">
        <v>0</v>
      </c>
      <c r="AO135">
        <f>IF($Q$135,$M$135*$AC$135*$Y$135,0)</f>
        <v/>
      </c>
      <c r="AP135" t="n">
        <v>0</v>
      </c>
      <c r="AQ135">
        <f>IF($S$135,$M$135*$AG$135*$W$135,0)</f>
        <v/>
      </c>
      <c r="AR135" t="n">
        <v>118.3285064129086</v>
      </c>
      <c r="AS135">
        <f>IF(OR(Vu_khi!$M$135="Missile",Vu_khi!$M$135="Drone",AND(Vu_khi!$M$135="Rocket",OR(Vu_khi!$AM$135,Vu_khi!$D$135="guided")),Vu_khi!$AL$135,Vu_khi!$AK$135,Vu_khi!$X$135&lt;=0),FALSE,IF($B$135&gt;=0,$B$135&gt;=4,IF(Vu_khi!$M$135="Shell",Vu_khi!$AN$135&gt;=Canh_bao_vong!$D$10,IF(Vu_khi!$M$135="Bomb",Vu_khi!$AN$135&gt;=Canh_bao_vong!$D$3,IF(Vu_khi!$M$135="Rocket",Vu_khi!$AN$135&gt;=Canh_bao_vong!$D$13,FALSE)))))</f>
        <v/>
      </c>
      <c r="AT135" t="b">
        <v>0</v>
      </c>
      <c r="AU135">
        <f>IF(AND($B$135&lt;0,$AS$135),4,$B$135)</f>
        <v/>
      </c>
      <c r="AV135" t="n">
        <v>1</v>
      </c>
      <c r="AW135">
        <f>IF($AU$135&lt;4,0,MIN(MAX(0.5,Canh_bao_vong!$D$4),MAX(IF(Vu_khi!$C$135="cal_406",Canh_bao_vong!$D$7,IF($AU$135&gt;=5,Canh_bao_vong!$D$9,Canh_bao_vong!$D$8)),Canh_bao_vong!$D$2+MAX(0,Vu_khi!$X$135)/MAX(0.1,Canh_bao_vong!$D$5))))</f>
        <v/>
      </c>
      <c r="AX135" t="n">
        <v>0</v>
      </c>
      <c r="BB135" t="inlineStr">
        <is>
          <t>Assets/MachineBrigade/Resources/Data/balance.json: weapons[id=heli_gun_flak] (lớp B trên 01_chien_dau/Vu_khi)</t>
        </is>
      </c>
      <c r="BC135" t="inlineStr"/>
    </row>
    <row r="136">
      <c r="A136" t="inlineStr">
        <is>
          <t>heli_rockets</t>
        </is>
      </c>
      <c r="B136" t="n">
        <v>2</v>
      </c>
      <c r="C136">
        <f>IF(Vu_khi!$O$136="SIMULTANEOUS",MAX(1,Vu_khi!$N$136),1)</f>
        <v/>
      </c>
      <c r="D136" t="n">
        <v>1</v>
      </c>
      <c r="E136">
        <f>IF(Vu_khi!$S$136&gt;0,Vu_khi!$S$136,Vu_khi!$P$136*$C$136)</f>
        <v/>
      </c>
      <c r="F136" t="n">
        <v>11</v>
      </c>
      <c r="G136">
        <f>IF(Vu_khi!$S$136&gt;0,(Vu_khi!$S$136-1)*Vu_khi!$R$136+Vu_khi!$T$136,Vu_khi!$R$136+(Vu_khi!$P$136-1)*Vu_khi!$Q$136)</f>
        <v/>
      </c>
      <c r="H136" t="n">
        <v>8.51</v>
      </c>
      <c r="I136">
        <f>Vu_khi!$W$136*MAX(1,$E$136)</f>
        <v/>
      </c>
      <c r="J136" t="n">
        <v>330</v>
      </c>
      <c r="K136">
        <f>IF(Vu_khi!$V$136&gt;0,Vu_khi!$V$136,MIN(28,MAX(10,Vu_khi!$U$136*Vu_khi!$R$136*0.4)))</f>
        <v/>
      </c>
      <c r="L136" t="n">
        <v>10</v>
      </c>
      <c r="M136">
        <f>IF(Vu_khi!$W$136&lt;=0,0,IF(Vu_khi!$U$136&gt;0,$I$136*Vu_khi!$U$136/(MAX(0.05,$G$136)*Vu_khi!$U$136+$K$136),$I$136/MAX(0.05,$G$136)))</f>
        <v/>
      </c>
      <c r="N136" t="n">
        <v>38.77790834312574</v>
      </c>
      <c r="O136">
        <f>OR(Vu_khi!$AG$136,Vu_khi!$AB$136&gt;0,Vu_khi!$AH$136,Vu_khi!$M$136="Bomb",Vu_khi!$M$136="Drone")</f>
        <v/>
      </c>
      <c r="P136" t="b">
        <v>0</v>
      </c>
      <c r="Q136">
        <f>AND(NOT(Vu_khi!$AJ$136),OR(Vu_khi!$AC$136="Ground",Vu_khi!$AC$136="All"))</f>
        <v/>
      </c>
      <c r="R136" t="b">
        <v>1</v>
      </c>
      <c r="S136">
        <f>AND(NOT(Vu_khi!$AJ$136),OR(Vu_khi!$AC$136="Air",Vu_khi!$AC$136="All"))</f>
        <v/>
      </c>
      <c r="T136" t="b">
        <v>0</v>
      </c>
      <c r="U136">
        <f>INDEX(Bang_sat_thuong!$B$2:$B$7,MATCH(Vu_khi!$K$136,Bang_sat_thuong!$A$2:$A$7,0))</f>
        <v/>
      </c>
      <c r="V136" t="n">
        <v>1</v>
      </c>
      <c r="W136">
        <f>INDEX(Bang_sat_thuong!$C$2:$C$7,MATCH(Vu_khi!$K$136,Bang_sat_thuong!$A$2:$A$7,0))</f>
        <v/>
      </c>
      <c r="X136" t="n">
        <v>0</v>
      </c>
      <c r="Y136">
        <f>IF(AND(Vu_khi!$AI$136,Vu_khi!$K$136="HighExplosive"),MAX(He_so_toan_cuc!$D$2,INDEX(Bang_sat_thuong!$D$2:$D$7,MATCH(Vu_khi!$K$136,Bang_sat_thuong!$A$2:$A$7,0))),INDEX(Bang_sat_thuong!$D$2:$D$7,MATCH(Vu_khi!$K$136,Bang_sat_thuong!$A$2:$A$7,0)))</f>
        <v/>
      </c>
      <c r="Z136" t="n">
        <v>1.5</v>
      </c>
      <c r="AA136">
        <f>INDEX(Bang_xuyen_giap!$C$2:$C$7,MIN(6,MAX(1,IF($O$136,MAX(1,2-(Vu_khi!$L$136-0)),2-(Vu_khi!$L$136-0))+1)))</f>
        <v/>
      </c>
      <c r="AB136" t="n">
        <v>1.2</v>
      </c>
      <c r="AC136">
        <f>INDEX(Bang_xuyen_giap!$C$2:$C$7,MIN(6,MAX(1,IF($O$136,MAX(1,2-(Vu_khi!$L$136-2)),2-(Vu_khi!$L$136-2))+1)))</f>
        <v/>
      </c>
      <c r="AD136" t="n">
        <v>0.85</v>
      </c>
      <c r="AE136">
        <f>INDEX(Bang_xuyen_giap!$C$2:$C$7,MIN(6,MAX(1,IF($O$136,MAX(1,2-(Vu_khi!$L$136-4)),2-(Vu_khi!$L$136-4))+1)))</f>
        <v/>
      </c>
      <c r="AF136" t="n">
        <v>0.25</v>
      </c>
      <c r="AG136">
        <f>INDEX(Bang_xuyen_giap!$C$2:$C$7,MIN(6,MAX(1,MAX(1,2-(Vu_khi!$L$136-0))+1)))</f>
        <v/>
      </c>
      <c r="AH136" t="n">
        <v>1</v>
      </c>
      <c r="AI136">
        <f>IF($Q$136,$M$136*$AA$136*$U$136,0)</f>
        <v/>
      </c>
      <c r="AJ136" t="n">
        <v>46.53349001175089</v>
      </c>
      <c r="AK136">
        <f>IF($Q$136,$M$136*$AC$136*$U$136,0)</f>
        <v/>
      </c>
      <c r="AL136" t="n">
        <v>32.96122209165688</v>
      </c>
      <c r="AM136">
        <f>IF($Q$136,$M$136*$AE$136*$U$136,0)</f>
        <v/>
      </c>
      <c r="AN136" t="n">
        <v>9.694477085781434</v>
      </c>
      <c r="AO136">
        <f>IF($Q$136,$M$136*$AC$136*$Y$136,0)</f>
        <v/>
      </c>
      <c r="AP136" t="n">
        <v>49.44183313748531</v>
      </c>
      <c r="AQ136">
        <f>IF($S$136,$M$136*$AG$136*$W$136,0)</f>
        <v/>
      </c>
      <c r="AR136" t="n">
        <v>0</v>
      </c>
      <c r="AS136">
        <f>IF(OR(Vu_khi!$M$136="Missile",Vu_khi!$M$136="Drone",AND(Vu_khi!$M$136="Rocket",OR(Vu_khi!$AM$136,Vu_khi!$D$136="guided")),Vu_khi!$AL$136,Vu_khi!$AK$136,Vu_khi!$X$136&lt;=0),FALSE,IF($B$136&gt;=0,$B$136&gt;=4,IF(Vu_khi!$M$136="Shell",Vu_khi!$AN$136&gt;=Canh_bao_vong!$D$10,IF(Vu_khi!$M$136="Bomb",Vu_khi!$AN$136&gt;=Canh_bao_vong!$D$3,IF(Vu_khi!$M$136="Rocket",Vu_khi!$AN$136&gt;=Canh_bao_vong!$D$13,FALSE)))))</f>
        <v/>
      </c>
      <c r="AT136" t="b">
        <v>0</v>
      </c>
      <c r="AU136">
        <f>IF(AND($B$136&lt;0,$AS$136),4,$B$136)</f>
        <v/>
      </c>
      <c r="AV136" t="n">
        <v>2</v>
      </c>
      <c r="AW136">
        <f>IF($AU$136&lt;4,0,MIN(MAX(0.5,Canh_bao_vong!$D$4),MAX(IF(Vu_khi!$C$136="cal_406",Canh_bao_vong!$D$7,IF($AU$136&gt;=5,Canh_bao_vong!$D$9,Canh_bao_vong!$D$8)),Canh_bao_vong!$D$2+MAX(0,Vu_khi!$X$136)/MAX(0.1,Canh_bao_vong!$D$5))))</f>
        <v/>
      </c>
      <c r="AX136" t="n">
        <v>0</v>
      </c>
      <c r="AY136" t="n">
        <v>1.8</v>
      </c>
      <c r="AZ136" t="inlineStr">
        <is>
          <t>ok</t>
        </is>
      </c>
      <c r="BA136" t="inlineStr"/>
      <c r="BB136" t="inlineStr">
        <is>
          <t>Assets/MachineBrigade/Resources/Data/balance.json: weapons[id=heli_rockets] (lớp B trên 01_chien_dau/Vu_khi)</t>
        </is>
      </c>
      <c r="BC136" t="inlineStr"/>
    </row>
    <row r="137">
      <c r="A137" t="inlineStr">
        <is>
          <t>hellfire_standoff</t>
        </is>
      </c>
      <c r="B137" t="n">
        <v>2</v>
      </c>
      <c r="C137">
        <f>IF(Vu_khi!$O$137="SIMULTANEOUS",MAX(1,Vu_khi!$N$137),1)</f>
        <v/>
      </c>
      <c r="D137" t="n">
        <v>1</v>
      </c>
      <c r="E137">
        <f>IF(Vu_khi!$S$137&gt;0,Vu_khi!$S$137,Vu_khi!$P$137*$C$137)</f>
        <v/>
      </c>
      <c r="F137" t="n">
        <v>2</v>
      </c>
      <c r="G137">
        <f>IF(Vu_khi!$S$137&gt;0,(Vu_khi!$S$137-1)*Vu_khi!$R$137+Vu_khi!$T$137,Vu_khi!$R$137+(Vu_khi!$P$137-1)*Vu_khi!$Q$137)</f>
        <v/>
      </c>
      <c r="H137" t="n">
        <v>8</v>
      </c>
      <c r="I137">
        <f>Vu_khi!$W$137*MAX(1,$E$137)</f>
        <v/>
      </c>
      <c r="J137" t="n">
        <v>520</v>
      </c>
      <c r="K137">
        <f>IF(Vu_khi!$V$137&gt;0,Vu_khi!$V$137,MIN(28,MAX(10,Vu_khi!$U$137*Vu_khi!$R$137*0.4)))</f>
        <v/>
      </c>
      <c r="L137" t="n">
        <v>10</v>
      </c>
      <c r="M137">
        <f>IF(Vu_khi!$W$137&lt;=0,0,IF(Vu_khi!$U$137&gt;0,$I$137*Vu_khi!$U$137/(MAX(0.05,$G$137)*Vu_khi!$U$137+$K$137),$I$137/MAX(0.05,$G$137)))</f>
        <v/>
      </c>
      <c r="N137" t="n">
        <v>65</v>
      </c>
      <c r="O137">
        <f>OR(Vu_khi!$AG$137,Vu_khi!$AB$137&gt;0,Vu_khi!$AH$137,Vu_khi!$M$137="Bomb",Vu_khi!$M$137="Drone")</f>
        <v/>
      </c>
      <c r="P137" t="b">
        <v>0</v>
      </c>
      <c r="Q137">
        <f>AND(NOT(Vu_khi!$AJ$137),OR(Vu_khi!$AC$137="Ground",Vu_khi!$AC$137="All"))</f>
        <v/>
      </c>
      <c r="R137" t="b">
        <v>1</v>
      </c>
      <c r="S137">
        <f>AND(NOT(Vu_khi!$AJ$137),OR(Vu_khi!$AC$137="Air",Vu_khi!$AC$137="All"))</f>
        <v/>
      </c>
      <c r="T137" t="b">
        <v>0</v>
      </c>
      <c r="U137">
        <f>INDEX(Bang_sat_thuong!$B$2:$B$7,MATCH(Vu_khi!$K$137,Bang_sat_thuong!$A$2:$A$7,0))</f>
        <v/>
      </c>
      <c r="V137" t="n">
        <v>1</v>
      </c>
      <c r="W137">
        <f>INDEX(Bang_sat_thuong!$C$2:$C$7,MATCH(Vu_khi!$K$137,Bang_sat_thuong!$A$2:$A$7,0))</f>
        <v/>
      </c>
      <c r="X137" t="n">
        <v>0.3</v>
      </c>
      <c r="Y137">
        <f>IF(AND(Vu_khi!$AI$137,Vu_khi!$K$137="HighExplosive"),MAX(He_so_toan_cuc!$D$2,INDEX(Bang_sat_thuong!$D$2:$D$7,MATCH(Vu_khi!$K$137,Bang_sat_thuong!$A$2:$A$7,0))),INDEX(Bang_sat_thuong!$D$2:$D$7,MATCH(Vu_khi!$K$137,Bang_sat_thuong!$A$2:$A$7,0)))</f>
        <v/>
      </c>
      <c r="Z137" t="n">
        <v>0.6</v>
      </c>
      <c r="AA137">
        <f>INDEX(Bang_xuyen_giap!$C$2:$C$7,MIN(6,MAX(1,IF($O$137,MAX(1,2-(Vu_khi!$L$137-0)),2-(Vu_khi!$L$137-0))+1)))</f>
        <v/>
      </c>
      <c r="AB137" t="n">
        <v>1.2</v>
      </c>
      <c r="AC137">
        <f>INDEX(Bang_xuyen_giap!$C$2:$C$7,MIN(6,MAX(1,IF($O$137,MAX(1,2-(Vu_khi!$L$137-2)),2-(Vu_khi!$L$137-2))+1)))</f>
        <v/>
      </c>
      <c r="AD137" t="n">
        <v>1.2</v>
      </c>
      <c r="AE137">
        <f>INDEX(Bang_xuyen_giap!$C$2:$C$7,MIN(6,MAX(1,IF($O$137,MAX(1,2-(Vu_khi!$L$137-4)),2-(Vu_khi!$L$137-4))+1)))</f>
        <v/>
      </c>
      <c r="AF137" t="n">
        <v>0.85</v>
      </c>
      <c r="AG137">
        <f>INDEX(Bang_xuyen_giap!$C$2:$C$7,MIN(6,MAX(1,MAX(1,2-(Vu_khi!$L$137-0))+1)))</f>
        <v/>
      </c>
      <c r="AH137" t="n">
        <v>1</v>
      </c>
      <c r="AI137">
        <f>IF($Q$137,$M$137*$AA$137*$U$137,0)</f>
        <v/>
      </c>
      <c r="AJ137" t="n">
        <v>78</v>
      </c>
      <c r="AK137">
        <f>IF($Q$137,$M$137*$AC$137*$U$137,0)</f>
        <v/>
      </c>
      <c r="AL137" t="n">
        <v>78</v>
      </c>
      <c r="AM137">
        <f>IF($Q$137,$M$137*$AE$137*$U$137,0)</f>
        <v/>
      </c>
      <c r="AN137" t="n">
        <v>55.25</v>
      </c>
      <c r="AO137">
        <f>IF($Q$137,$M$137*$AC$137*$Y$137,0)</f>
        <v/>
      </c>
      <c r="AP137" t="n">
        <v>46.8</v>
      </c>
      <c r="AQ137">
        <f>IF($S$137,$M$137*$AG$137*$W$137,0)</f>
        <v/>
      </c>
      <c r="AR137" t="n">
        <v>0</v>
      </c>
      <c r="AS137">
        <f>IF(OR(Vu_khi!$M$137="Missile",Vu_khi!$M$137="Drone",AND(Vu_khi!$M$137="Rocket",OR(Vu_khi!$AM$137,Vu_khi!$D$137="guided")),Vu_khi!$AL$137,Vu_khi!$AK$137,Vu_khi!$X$137&lt;=0),FALSE,IF($B$137&gt;=0,$B$137&gt;=4,IF(Vu_khi!$M$137="Shell",Vu_khi!$AN$137&gt;=Canh_bao_vong!$D$10,IF(Vu_khi!$M$137="Bomb",Vu_khi!$AN$137&gt;=Canh_bao_vong!$D$3,IF(Vu_khi!$M$137="Rocket",Vu_khi!$AN$137&gt;=Canh_bao_vong!$D$13,FALSE)))))</f>
        <v/>
      </c>
      <c r="AT137" t="b">
        <v>0</v>
      </c>
      <c r="AU137">
        <f>IF(AND($B$137&lt;0,$AS$137),4,$B$137)</f>
        <v/>
      </c>
      <c r="AV137" t="n">
        <v>2</v>
      </c>
      <c r="AW137">
        <f>IF($AU$137&lt;4,0,MIN(MAX(0.5,Canh_bao_vong!$D$4),MAX(IF(Vu_khi!$C$137="cal_406",Canh_bao_vong!$D$7,IF($AU$137&gt;=5,Canh_bao_vong!$D$9,Canh_bao_vong!$D$8)),Canh_bao_vong!$D$2+MAX(0,Vu_khi!$X$137)/MAX(0.1,Canh_bao_vong!$D$5))))</f>
        <v/>
      </c>
      <c r="AX137" t="n">
        <v>0</v>
      </c>
      <c r="AY137" t="inlineStr"/>
      <c r="AZ137" t="inlineStr">
        <is>
          <t>ok</t>
        </is>
      </c>
      <c r="BA137" t="inlineStr"/>
      <c r="BB137" t="inlineStr">
        <is>
          <t>Assets/MachineBrigade/Resources/Data/balance.json: weapons[id=hellfire_standoff] (lớp B trên 01_chien_dau/Vu_khi)</t>
        </is>
      </c>
      <c r="BC137" t="inlineStr"/>
    </row>
    <row r="138">
      <c r="A138" t="inlineStr">
        <is>
          <t>hellfire_volley</t>
        </is>
      </c>
      <c r="B138" t="n">
        <v>2</v>
      </c>
      <c r="C138">
        <f>IF(Vu_khi!$O$138="SIMULTANEOUS",MAX(1,Vu_khi!$N$138),1)</f>
        <v/>
      </c>
      <c r="D138" t="n">
        <v>1</v>
      </c>
      <c r="E138">
        <f>IF(Vu_khi!$S$138&gt;0,Vu_khi!$S$138,Vu_khi!$P$138*$C$138)</f>
        <v/>
      </c>
      <c r="F138" t="n">
        <v>2</v>
      </c>
      <c r="G138">
        <f>IF(Vu_khi!$S$138&gt;0,(Vu_khi!$S$138-1)*Vu_khi!$R$138+Vu_khi!$T$138,Vu_khi!$R$138+(Vu_khi!$P$138-1)*Vu_khi!$Q$138)</f>
        <v/>
      </c>
      <c r="H138" t="n">
        <v>11.09</v>
      </c>
      <c r="I138">
        <f>Vu_khi!$W$138*MAX(1,$E$138)</f>
        <v/>
      </c>
      <c r="J138" t="n">
        <v>520</v>
      </c>
      <c r="K138">
        <f>IF(Vu_khi!$V$138&gt;0,Vu_khi!$V$138,MIN(28,MAX(10,Vu_khi!$U$138*Vu_khi!$R$138*0.4)))</f>
        <v/>
      </c>
      <c r="L138" t="n">
        <v>10</v>
      </c>
      <c r="M138">
        <f>IF(Vu_khi!$W$138&lt;=0,0,IF(Vu_khi!$U$138&gt;0,$I$138*Vu_khi!$U$138/(MAX(0.05,$G$138)*Vu_khi!$U$138+$K$138),$I$138/MAX(0.05,$G$138)))</f>
        <v/>
      </c>
      <c r="N138" t="n">
        <v>46.88908926961226</v>
      </c>
      <c r="O138">
        <f>OR(Vu_khi!$AG$138,Vu_khi!$AB$138&gt;0,Vu_khi!$AH$138,Vu_khi!$M$138="Bomb",Vu_khi!$M$138="Drone")</f>
        <v/>
      </c>
      <c r="P138" t="b">
        <v>0</v>
      </c>
      <c r="Q138">
        <f>AND(NOT(Vu_khi!$AJ$138),OR(Vu_khi!$AC$138="Ground",Vu_khi!$AC$138="All"))</f>
        <v/>
      </c>
      <c r="R138" t="b">
        <v>1</v>
      </c>
      <c r="S138">
        <f>AND(NOT(Vu_khi!$AJ$138),OR(Vu_khi!$AC$138="Air",Vu_khi!$AC$138="All"))</f>
        <v/>
      </c>
      <c r="T138" t="b">
        <v>0</v>
      </c>
      <c r="U138">
        <f>INDEX(Bang_sat_thuong!$B$2:$B$7,MATCH(Vu_khi!$K$138,Bang_sat_thuong!$A$2:$A$7,0))</f>
        <v/>
      </c>
      <c r="V138" t="n">
        <v>1</v>
      </c>
      <c r="W138">
        <f>INDEX(Bang_sat_thuong!$C$2:$C$7,MATCH(Vu_khi!$K$138,Bang_sat_thuong!$A$2:$A$7,0))</f>
        <v/>
      </c>
      <c r="X138" t="n">
        <v>0.3</v>
      </c>
      <c r="Y138">
        <f>IF(AND(Vu_khi!$AI$138,Vu_khi!$K$138="HighExplosive"),MAX(He_so_toan_cuc!$D$2,INDEX(Bang_sat_thuong!$D$2:$D$7,MATCH(Vu_khi!$K$138,Bang_sat_thuong!$A$2:$A$7,0))),INDEX(Bang_sat_thuong!$D$2:$D$7,MATCH(Vu_khi!$K$138,Bang_sat_thuong!$A$2:$A$7,0)))</f>
        <v/>
      </c>
      <c r="Z138" t="n">
        <v>0.6</v>
      </c>
      <c r="AA138">
        <f>INDEX(Bang_xuyen_giap!$C$2:$C$7,MIN(6,MAX(1,IF($O$138,MAX(1,2-(Vu_khi!$L$138-0)),2-(Vu_khi!$L$138-0))+1)))</f>
        <v/>
      </c>
      <c r="AB138" t="n">
        <v>1.2</v>
      </c>
      <c r="AC138">
        <f>INDEX(Bang_xuyen_giap!$C$2:$C$7,MIN(6,MAX(1,IF($O$138,MAX(1,2-(Vu_khi!$L$138-2)),2-(Vu_khi!$L$138-2))+1)))</f>
        <v/>
      </c>
      <c r="AD138" t="n">
        <v>1.2</v>
      </c>
      <c r="AE138">
        <f>INDEX(Bang_xuyen_giap!$C$2:$C$7,MIN(6,MAX(1,IF($O$138,MAX(1,2-(Vu_khi!$L$138-4)),2-(Vu_khi!$L$138-4))+1)))</f>
        <v/>
      </c>
      <c r="AF138" t="n">
        <v>0.85</v>
      </c>
      <c r="AG138">
        <f>INDEX(Bang_xuyen_giap!$C$2:$C$7,MIN(6,MAX(1,MAX(1,2-(Vu_khi!$L$138-0))+1)))</f>
        <v/>
      </c>
      <c r="AH138" t="n">
        <v>1</v>
      </c>
      <c r="AI138">
        <f>IF($Q$138,$M$138*$AA$138*$U$138,0)</f>
        <v/>
      </c>
      <c r="AJ138" t="n">
        <v>56.26690712353471</v>
      </c>
      <c r="AK138">
        <f>IF($Q$138,$M$138*$AC$138*$U$138,0)</f>
        <v/>
      </c>
      <c r="AL138" t="n">
        <v>56.26690712353471</v>
      </c>
      <c r="AM138">
        <f>IF($Q$138,$M$138*$AE$138*$U$138,0)</f>
        <v/>
      </c>
      <c r="AN138" t="n">
        <v>39.85572587917042</v>
      </c>
      <c r="AO138">
        <f>IF($Q$138,$M$138*$AC$138*$Y$138,0)</f>
        <v/>
      </c>
      <c r="AP138" t="n">
        <v>33.76014427412083</v>
      </c>
      <c r="AQ138">
        <f>IF($S$138,$M$138*$AG$138*$W$138,0)</f>
        <v/>
      </c>
      <c r="AR138" t="n">
        <v>0</v>
      </c>
      <c r="AS138">
        <f>IF(OR(Vu_khi!$M$138="Missile",Vu_khi!$M$138="Drone",AND(Vu_khi!$M$138="Rocket",OR(Vu_khi!$AM$138,Vu_khi!$D$138="guided")),Vu_khi!$AL$138,Vu_khi!$AK$138,Vu_khi!$X$138&lt;=0),FALSE,IF($B$138&gt;=0,$B$138&gt;=4,IF(Vu_khi!$M$138="Shell",Vu_khi!$AN$138&gt;=Canh_bao_vong!$D$10,IF(Vu_khi!$M$138="Bomb",Vu_khi!$AN$138&gt;=Canh_bao_vong!$D$3,IF(Vu_khi!$M$138="Rocket",Vu_khi!$AN$138&gt;=Canh_bao_vong!$D$13,FALSE)))))</f>
        <v/>
      </c>
      <c r="AT138" t="b">
        <v>0</v>
      </c>
      <c r="AU138">
        <f>IF(AND($B$138&lt;0,$AS$138),4,$B$138)</f>
        <v/>
      </c>
      <c r="AV138" t="n">
        <v>2</v>
      </c>
      <c r="AW138">
        <f>IF($AU$138&lt;4,0,MIN(MAX(0.5,Canh_bao_vong!$D$4),MAX(IF(Vu_khi!$C$138="cal_406",Canh_bao_vong!$D$7,IF($AU$138&gt;=5,Canh_bao_vong!$D$9,Canh_bao_vong!$D$8)),Canh_bao_vong!$D$2+MAX(0,Vu_khi!$X$138)/MAX(0.1,Canh_bao_vong!$D$5))))</f>
        <v/>
      </c>
      <c r="AX138" t="n">
        <v>0</v>
      </c>
      <c r="AY138" t="inlineStr"/>
      <c r="AZ138" t="inlineStr">
        <is>
          <t>ok</t>
        </is>
      </c>
      <c r="BA138" t="inlineStr"/>
      <c r="BB138" t="inlineStr">
        <is>
          <t>Assets/MachineBrigade/Resources/Data/balance.json: weapons[id=hellfire_volley] (lớp B trên 01_chien_dau/Vu_khi)</t>
        </is>
      </c>
      <c r="BC138" t="inlineStr"/>
    </row>
    <row r="139">
      <c r="A139" t="inlineStr">
        <is>
          <t>hind_rockets</t>
        </is>
      </c>
      <c r="B139" t="n">
        <v>2</v>
      </c>
      <c r="C139">
        <f>IF(Vu_khi!$O$139="SIMULTANEOUS",MAX(1,Vu_khi!$N$139),1)</f>
        <v/>
      </c>
      <c r="D139" t="n">
        <v>1</v>
      </c>
      <c r="E139">
        <f>IF(Vu_khi!$S$139&gt;0,Vu_khi!$S$139,Vu_khi!$P$139*$C$139)</f>
        <v/>
      </c>
      <c r="F139" t="n">
        <v>38</v>
      </c>
      <c r="G139">
        <f>IF(Vu_khi!$S$139&gt;0,(Vu_khi!$S$139-1)*Vu_khi!$R$139+Vu_khi!$T$139,Vu_khi!$R$139+(Vu_khi!$P$139-1)*Vu_khi!$Q$139)</f>
        <v/>
      </c>
      <c r="H139" t="n">
        <v>9.450000000000001</v>
      </c>
      <c r="I139">
        <f>Vu_khi!$W$139*MAX(1,$E$139)</f>
        <v/>
      </c>
      <c r="J139" t="n">
        <v>1216</v>
      </c>
      <c r="K139">
        <f>IF(Vu_khi!$V$139&gt;0,Vu_khi!$V$139,MIN(28,MAX(10,Vu_khi!$U$139*Vu_khi!$R$139*0.4)))</f>
        <v/>
      </c>
      <c r="L139" t="n">
        <v>10</v>
      </c>
      <c r="M139">
        <f>IF(Vu_khi!$W$139&lt;=0,0,IF(Vu_khi!$U$139&gt;0,$I$139*Vu_khi!$U$139/(MAX(0.05,$G$139)*Vu_khi!$U$139+$K$139),$I$139/MAX(0.05,$G$139)))</f>
        <v/>
      </c>
      <c r="N139" t="n">
        <v>128.6772486772487</v>
      </c>
      <c r="O139">
        <f>OR(Vu_khi!$AG$139,Vu_khi!$AB$139&gt;0,Vu_khi!$AH$139,Vu_khi!$M$139="Bomb",Vu_khi!$M$139="Drone")</f>
        <v/>
      </c>
      <c r="P139" t="b">
        <v>0</v>
      </c>
      <c r="Q139">
        <f>AND(NOT(Vu_khi!$AJ$139),OR(Vu_khi!$AC$139="Ground",Vu_khi!$AC$139="All"))</f>
        <v/>
      </c>
      <c r="R139" t="b">
        <v>1</v>
      </c>
      <c r="S139">
        <f>AND(NOT(Vu_khi!$AJ$139),OR(Vu_khi!$AC$139="Air",Vu_khi!$AC$139="All"))</f>
        <v/>
      </c>
      <c r="T139" t="b">
        <v>0</v>
      </c>
      <c r="U139">
        <f>INDEX(Bang_sat_thuong!$B$2:$B$7,MATCH(Vu_khi!$K$139,Bang_sat_thuong!$A$2:$A$7,0))</f>
        <v/>
      </c>
      <c r="V139" t="n">
        <v>1</v>
      </c>
      <c r="W139">
        <f>INDEX(Bang_sat_thuong!$C$2:$C$7,MATCH(Vu_khi!$K$139,Bang_sat_thuong!$A$2:$A$7,0))</f>
        <v/>
      </c>
      <c r="X139" t="n">
        <v>0</v>
      </c>
      <c r="Y139">
        <f>IF(AND(Vu_khi!$AI$139,Vu_khi!$K$139="HighExplosive"),MAX(He_so_toan_cuc!$D$2,INDEX(Bang_sat_thuong!$D$2:$D$7,MATCH(Vu_khi!$K$139,Bang_sat_thuong!$A$2:$A$7,0))),INDEX(Bang_sat_thuong!$D$2:$D$7,MATCH(Vu_khi!$K$139,Bang_sat_thuong!$A$2:$A$7,0)))</f>
        <v/>
      </c>
      <c r="Z139" t="n">
        <v>1.5</v>
      </c>
      <c r="AA139">
        <f>INDEX(Bang_xuyen_giap!$C$2:$C$7,MIN(6,MAX(1,IF($O$139,MAX(1,2-(Vu_khi!$L$139-0)),2-(Vu_khi!$L$139-0))+1)))</f>
        <v/>
      </c>
      <c r="AB139" t="n">
        <v>1.2</v>
      </c>
      <c r="AC139">
        <f>INDEX(Bang_xuyen_giap!$C$2:$C$7,MIN(6,MAX(1,IF($O$139,MAX(1,2-(Vu_khi!$L$139-2)),2-(Vu_khi!$L$139-2))+1)))</f>
        <v/>
      </c>
      <c r="AD139" t="n">
        <v>0.85</v>
      </c>
      <c r="AE139">
        <f>INDEX(Bang_xuyen_giap!$C$2:$C$7,MIN(6,MAX(1,IF($O$139,MAX(1,2-(Vu_khi!$L$139-4)),2-(Vu_khi!$L$139-4))+1)))</f>
        <v/>
      </c>
      <c r="AF139" t="n">
        <v>0.25</v>
      </c>
      <c r="AG139">
        <f>INDEX(Bang_xuyen_giap!$C$2:$C$7,MIN(6,MAX(1,MAX(1,2-(Vu_khi!$L$139-0))+1)))</f>
        <v/>
      </c>
      <c r="AH139" t="n">
        <v>1</v>
      </c>
      <c r="AI139">
        <f>IF($Q$139,$M$139*$AA$139*$U$139,0)</f>
        <v/>
      </c>
      <c r="AJ139" t="n">
        <v>154.4126984126984</v>
      </c>
      <c r="AK139">
        <f>IF($Q$139,$M$139*$AC$139*$U$139,0)</f>
        <v/>
      </c>
      <c r="AL139" t="n">
        <v>109.3756613756614</v>
      </c>
      <c r="AM139">
        <f>IF($Q$139,$M$139*$AE$139*$U$139,0)</f>
        <v/>
      </c>
      <c r="AN139" t="n">
        <v>32.16931216931216</v>
      </c>
      <c r="AO139">
        <f>IF($Q$139,$M$139*$AC$139*$Y$139,0)</f>
        <v/>
      </c>
      <c r="AP139" t="n">
        <v>164.063492063492</v>
      </c>
      <c r="AQ139">
        <f>IF($S$139,$M$139*$AG$139*$W$139,0)</f>
        <v/>
      </c>
      <c r="AR139" t="n">
        <v>0</v>
      </c>
      <c r="AS139">
        <f>IF(OR(Vu_khi!$M$139="Missile",Vu_khi!$M$139="Drone",AND(Vu_khi!$M$139="Rocket",OR(Vu_khi!$AM$139,Vu_khi!$D$139="guided")),Vu_khi!$AL$139,Vu_khi!$AK$139,Vu_khi!$X$139&lt;=0),FALSE,IF($B$139&gt;=0,$B$139&gt;=4,IF(Vu_khi!$M$139="Shell",Vu_khi!$AN$139&gt;=Canh_bao_vong!$D$10,IF(Vu_khi!$M$139="Bomb",Vu_khi!$AN$139&gt;=Canh_bao_vong!$D$3,IF(Vu_khi!$M$139="Rocket",Vu_khi!$AN$139&gt;=Canh_bao_vong!$D$13,FALSE)))))</f>
        <v/>
      </c>
      <c r="AT139" t="b">
        <v>0</v>
      </c>
      <c r="AU139">
        <f>IF(AND($B$139&lt;0,$AS$139),4,$B$139)</f>
        <v/>
      </c>
      <c r="AV139" t="n">
        <v>2</v>
      </c>
      <c r="AW139">
        <f>IF($AU$139&lt;4,0,MIN(MAX(0.5,Canh_bao_vong!$D$4),MAX(IF(Vu_khi!$C$139="cal_406",Canh_bao_vong!$D$7,IF($AU$139&gt;=5,Canh_bao_vong!$D$9,Canh_bao_vong!$D$8)),Canh_bao_vong!$D$2+MAX(0,Vu_khi!$X$139)/MAX(0.1,Canh_bao_vong!$D$5))))</f>
        <v/>
      </c>
      <c r="AX139" t="n">
        <v>0</v>
      </c>
      <c r="AY139" t="n">
        <v>1.05</v>
      </c>
      <c r="AZ139" t="inlineStr">
        <is>
          <t>ok</t>
        </is>
      </c>
      <c r="BA139" t="inlineStr"/>
      <c r="BB139" t="inlineStr">
        <is>
          <t>Assets/MachineBrigade/Resources/Data/balance.json: weapons[id=hind_rockets] (lớp B trên 01_chien_dau/Vu_khi)</t>
        </is>
      </c>
      <c r="BC139" t="inlineStr"/>
    </row>
    <row r="140">
      <c r="A140" t="inlineStr">
        <is>
          <t>hmg_roof</t>
        </is>
      </c>
      <c r="B140" t="n">
        <v>0</v>
      </c>
      <c r="C140">
        <f>IF(Vu_khi!$O$140="SIMULTANEOUS",MAX(1,Vu_khi!$N$140),1)</f>
        <v/>
      </c>
      <c r="D140" t="n">
        <v>1</v>
      </c>
      <c r="E140">
        <f>IF(Vu_khi!$S$140&gt;0,Vu_khi!$S$140,Vu_khi!$P$140*$C$140)</f>
        <v/>
      </c>
      <c r="F140" t="n">
        <v>100</v>
      </c>
      <c r="G140">
        <f>IF(Vu_khi!$S$140&gt;0,(Vu_khi!$S$140-1)*Vu_khi!$R$140+Vu_khi!$T$140,Vu_khi!$R$140+(Vu_khi!$P$140-1)*Vu_khi!$Q$140)</f>
        <v/>
      </c>
      <c r="H140" t="n">
        <v>16.11</v>
      </c>
      <c r="I140">
        <f>Vu_khi!$W$140*MAX(1,$E$140)</f>
        <v/>
      </c>
      <c r="J140" t="n">
        <v>950</v>
      </c>
      <c r="K140">
        <f>IF(Vu_khi!$V$140&gt;0,Vu_khi!$V$140,MIN(28,MAX(10,Vu_khi!$U$140*Vu_khi!$R$140*0.4)))</f>
        <v/>
      </c>
      <c r="L140" t="n">
        <v>10</v>
      </c>
      <c r="M140">
        <f>IF(Vu_khi!$W$140&lt;=0,0,IF(Vu_khi!$U$140&gt;0,$I$140*Vu_khi!$U$140/(MAX(0.05,$G$140)*Vu_khi!$U$140+$K$140),$I$140/MAX(0.05,$G$140)))</f>
        <v/>
      </c>
      <c r="N140" t="n">
        <v>58.96958410924891</v>
      </c>
      <c r="O140">
        <f>OR(Vu_khi!$AG$140,Vu_khi!$AB$140&gt;0,Vu_khi!$AH$140,Vu_khi!$M$140="Bomb",Vu_khi!$M$140="Drone")</f>
        <v/>
      </c>
      <c r="P140" t="b">
        <v>0</v>
      </c>
      <c r="Q140">
        <f>AND(NOT(Vu_khi!$AJ$140),OR(Vu_khi!$AC$140="Ground",Vu_khi!$AC$140="All"))</f>
        <v/>
      </c>
      <c r="R140" t="b">
        <v>1</v>
      </c>
      <c r="S140">
        <f>AND(NOT(Vu_khi!$AJ$140),OR(Vu_khi!$AC$140="Air",Vu_khi!$AC$140="All"))</f>
        <v/>
      </c>
      <c r="T140" t="b">
        <v>1</v>
      </c>
      <c r="U140">
        <f>INDEX(Bang_sat_thuong!$B$2:$B$7,MATCH(Vu_khi!$K$140,Bang_sat_thuong!$A$2:$A$7,0))</f>
        <v/>
      </c>
      <c r="V140" t="n">
        <v>1</v>
      </c>
      <c r="W140">
        <f>INDEX(Bang_sat_thuong!$C$2:$C$7,MATCH(Vu_khi!$K$140,Bang_sat_thuong!$A$2:$A$7,0))</f>
        <v/>
      </c>
      <c r="X140" t="n">
        <v>0.3</v>
      </c>
      <c r="Y140">
        <f>IF(AND(Vu_khi!$AI$140,Vu_khi!$K$140="HighExplosive"),MAX(He_so_toan_cuc!$D$2,INDEX(Bang_sat_thuong!$D$2:$D$7,MATCH(Vu_khi!$K$140,Bang_sat_thuong!$A$2:$A$7,0))),INDEX(Bang_sat_thuong!$D$2:$D$7,MATCH(Vu_khi!$K$140,Bang_sat_thuong!$A$2:$A$7,0)))</f>
        <v/>
      </c>
      <c r="Z140" t="n">
        <v>0.6</v>
      </c>
      <c r="AA140">
        <f>INDEX(Bang_xuyen_giap!$C$2:$C$7,MIN(6,MAX(1,IF($O$140,MAX(1,2-(Vu_khi!$L$140-0)),2-(Vu_khi!$L$140-0))+1)))</f>
        <v/>
      </c>
      <c r="AB140" t="n">
        <v>1</v>
      </c>
      <c r="AC140">
        <f>INDEX(Bang_xuyen_giap!$C$2:$C$7,MIN(6,MAX(1,IF($O$140,MAX(1,2-(Vu_khi!$L$140-2)),2-(Vu_khi!$L$140-2))+1)))</f>
        <v/>
      </c>
      <c r="AD140" t="n">
        <v>0.5</v>
      </c>
      <c r="AE140">
        <f>INDEX(Bang_xuyen_giap!$C$2:$C$7,MIN(6,MAX(1,IF($O$140,MAX(1,2-(Vu_khi!$L$140-4)),2-(Vu_khi!$L$140-4))+1)))</f>
        <v/>
      </c>
      <c r="AF140" t="n">
        <v>0.1</v>
      </c>
      <c r="AG140">
        <f>INDEX(Bang_xuyen_giap!$C$2:$C$7,MIN(6,MAX(1,MAX(1,2-(Vu_khi!$L$140-0))+1)))</f>
        <v/>
      </c>
      <c r="AH140" t="n">
        <v>1</v>
      </c>
      <c r="AI140">
        <f>IF($Q$140,$M$140*$AA$140*$U$140,0)</f>
        <v/>
      </c>
      <c r="AJ140" t="n">
        <v>58.96958410924891</v>
      </c>
      <c r="AK140">
        <f>IF($Q$140,$M$140*$AC$140*$U$140,0)</f>
        <v/>
      </c>
      <c r="AL140" t="n">
        <v>29.48479205462446</v>
      </c>
      <c r="AM140">
        <f>IF($Q$140,$M$140*$AE$140*$U$140,0)</f>
        <v/>
      </c>
      <c r="AN140" t="n">
        <v>5.896958410924892</v>
      </c>
      <c r="AO140">
        <f>IF($Q$140,$M$140*$AC$140*$Y$140,0)</f>
        <v/>
      </c>
      <c r="AP140" t="n">
        <v>17.69087523277467</v>
      </c>
      <c r="AQ140">
        <f>IF($S$140,$M$140*$AG$140*$W$140,0)</f>
        <v/>
      </c>
      <c r="AR140" t="n">
        <v>17.69087523277467</v>
      </c>
      <c r="AS140">
        <f>IF(OR(Vu_khi!$M$140="Missile",Vu_khi!$M$140="Drone",AND(Vu_khi!$M$140="Rocket",OR(Vu_khi!$AM$140,Vu_khi!$D$140="guided")),Vu_khi!$AL$140,Vu_khi!$AK$140,Vu_khi!$X$140&lt;=0),FALSE,IF($B$140&gt;=0,$B$140&gt;=4,IF(Vu_khi!$M$140="Shell",Vu_khi!$AN$140&gt;=Canh_bao_vong!$D$10,IF(Vu_khi!$M$140="Bomb",Vu_khi!$AN$140&gt;=Canh_bao_vong!$D$3,IF(Vu_khi!$M$140="Rocket",Vu_khi!$AN$140&gt;=Canh_bao_vong!$D$13,FALSE)))))</f>
        <v/>
      </c>
      <c r="AT140" t="b">
        <v>0</v>
      </c>
      <c r="AU140">
        <f>IF(AND($B$140&lt;0,$AS$140),4,$B$140)</f>
        <v/>
      </c>
      <c r="AV140" t="n">
        <v>0</v>
      </c>
      <c r="AW140">
        <f>IF($AU$140&lt;4,0,MIN(MAX(0.5,Canh_bao_vong!$D$4),MAX(IF(Vu_khi!$C$140="cal_406",Canh_bao_vong!$D$7,IF($AU$140&gt;=5,Canh_bao_vong!$D$9,Canh_bao_vong!$D$8)),Canh_bao_vong!$D$2+MAX(0,Vu_khi!$X$140)/MAX(0.1,Canh_bao_vong!$D$5))))</f>
        <v/>
      </c>
      <c r="AX140" t="n">
        <v>0</v>
      </c>
      <c r="AY140" t="n">
        <v>1.611</v>
      </c>
      <c r="AZ140" t="inlineStr">
        <is>
          <t>ok</t>
        </is>
      </c>
      <c r="BA140" t="inlineStr"/>
      <c r="BB140" t="inlineStr">
        <is>
          <t>Assets/MachineBrigade/Resources/Data/balance.json: weapons[id=hmg_roof] (lớp B trên 01_chien_dau/Vu_khi)</t>
        </is>
      </c>
      <c r="BC140" t="inlineStr"/>
    </row>
    <row r="141">
      <c r="A141" t="inlineStr">
        <is>
          <t>hmg_roof_api</t>
        </is>
      </c>
      <c r="B141" t="n">
        <v>0</v>
      </c>
      <c r="C141">
        <f>IF(Vu_khi!$O$141="SIMULTANEOUS",MAX(1,Vu_khi!$N$141),1)</f>
        <v/>
      </c>
      <c r="D141" t="n">
        <v>1</v>
      </c>
      <c r="E141">
        <f>IF(Vu_khi!$S$141&gt;0,Vu_khi!$S$141,Vu_khi!$P$141*$C$141)</f>
        <v/>
      </c>
      <c r="F141" t="n">
        <v>100</v>
      </c>
      <c r="G141">
        <f>IF(Vu_khi!$S$141&gt;0,(Vu_khi!$S$141-1)*Vu_khi!$R$141+Vu_khi!$T$141,Vu_khi!$R$141+(Vu_khi!$P$141-1)*Vu_khi!$Q$141)</f>
        <v/>
      </c>
      <c r="H141" t="n">
        <v>16.11</v>
      </c>
      <c r="I141">
        <f>Vu_khi!$W$141*MAX(1,$E$141)</f>
        <v/>
      </c>
      <c r="J141" t="n">
        <v>950</v>
      </c>
      <c r="K141">
        <f>IF(Vu_khi!$V$141&gt;0,Vu_khi!$V$141,MIN(28,MAX(10,Vu_khi!$U$141*Vu_khi!$R$141*0.4)))</f>
        <v/>
      </c>
      <c r="L141" t="n">
        <v>10</v>
      </c>
      <c r="M141">
        <f>IF(Vu_khi!$W$141&lt;=0,0,IF(Vu_khi!$U$141&gt;0,$I$141*Vu_khi!$U$141/(MAX(0.05,$G$141)*Vu_khi!$U$141+$K$141),$I$141/MAX(0.05,$G$141)))</f>
        <v/>
      </c>
      <c r="N141" t="n">
        <v>58.96958410924891</v>
      </c>
      <c r="O141">
        <f>OR(Vu_khi!$AG$141,Vu_khi!$AB$141&gt;0,Vu_khi!$AH$141,Vu_khi!$M$141="Bomb",Vu_khi!$M$141="Drone")</f>
        <v/>
      </c>
      <c r="P141" t="b">
        <v>0</v>
      </c>
      <c r="Q141">
        <f>AND(NOT(Vu_khi!$AJ$141),OR(Vu_khi!$AC$141="Ground",Vu_khi!$AC$141="All"))</f>
        <v/>
      </c>
      <c r="R141" t="b">
        <v>1</v>
      </c>
      <c r="S141">
        <f>AND(NOT(Vu_khi!$AJ$141),OR(Vu_khi!$AC$141="Air",Vu_khi!$AC$141="All"))</f>
        <v/>
      </c>
      <c r="T141" t="b">
        <v>1</v>
      </c>
      <c r="U141">
        <f>INDEX(Bang_sat_thuong!$B$2:$B$7,MATCH(Vu_khi!$K$141,Bang_sat_thuong!$A$2:$A$7,0))</f>
        <v/>
      </c>
      <c r="V141" t="n">
        <v>1</v>
      </c>
      <c r="W141">
        <f>INDEX(Bang_sat_thuong!$C$2:$C$7,MATCH(Vu_khi!$K$141,Bang_sat_thuong!$A$2:$A$7,0))</f>
        <v/>
      </c>
      <c r="X141" t="n">
        <v>0.3</v>
      </c>
      <c r="Y141">
        <f>IF(AND(Vu_khi!$AI$141,Vu_khi!$K$141="HighExplosive"),MAX(He_so_toan_cuc!$D$2,INDEX(Bang_sat_thuong!$D$2:$D$7,MATCH(Vu_khi!$K$141,Bang_sat_thuong!$A$2:$A$7,0))),INDEX(Bang_sat_thuong!$D$2:$D$7,MATCH(Vu_khi!$K$141,Bang_sat_thuong!$A$2:$A$7,0)))</f>
        <v/>
      </c>
      <c r="Z141" t="n">
        <v>0.6</v>
      </c>
      <c r="AA141">
        <f>INDEX(Bang_xuyen_giap!$C$2:$C$7,MIN(6,MAX(1,IF($O$141,MAX(1,2-(Vu_khi!$L$141-0)),2-(Vu_khi!$L$141-0))+1)))</f>
        <v/>
      </c>
      <c r="AB141" t="n">
        <v>1.2</v>
      </c>
      <c r="AC141">
        <f>INDEX(Bang_xuyen_giap!$C$2:$C$7,MIN(6,MAX(1,IF($O$141,MAX(1,2-(Vu_khi!$L$141-2)),2-(Vu_khi!$L$141-2))+1)))</f>
        <v/>
      </c>
      <c r="AD141" t="n">
        <v>0.85</v>
      </c>
      <c r="AE141">
        <f>INDEX(Bang_xuyen_giap!$C$2:$C$7,MIN(6,MAX(1,IF($O$141,MAX(1,2-(Vu_khi!$L$141-4)),2-(Vu_khi!$L$141-4))+1)))</f>
        <v/>
      </c>
      <c r="AF141" t="n">
        <v>0.25</v>
      </c>
      <c r="AG141">
        <f>INDEX(Bang_xuyen_giap!$C$2:$C$7,MIN(6,MAX(1,MAX(1,2-(Vu_khi!$L$141-0))+1)))</f>
        <v/>
      </c>
      <c r="AH141" t="n">
        <v>1</v>
      </c>
      <c r="AI141">
        <f>IF($Q$141,$M$141*$AA$141*$U$141,0)</f>
        <v/>
      </c>
      <c r="AJ141" t="n">
        <v>70.76350093109869</v>
      </c>
      <c r="AK141">
        <f>IF($Q$141,$M$141*$AC$141*$U$141,0)</f>
        <v/>
      </c>
      <c r="AL141" t="n">
        <v>50.12414649286158</v>
      </c>
      <c r="AM141">
        <f>IF($Q$141,$M$141*$AE$141*$U$141,0)</f>
        <v/>
      </c>
      <c r="AN141" t="n">
        <v>14.74239602731223</v>
      </c>
      <c r="AO141">
        <f>IF($Q$141,$M$141*$AC$141*$Y$141,0)</f>
        <v/>
      </c>
      <c r="AP141" t="n">
        <v>30.07448789571695</v>
      </c>
      <c r="AQ141">
        <f>IF($S$141,$M$141*$AG$141*$W$141,0)</f>
        <v/>
      </c>
      <c r="AR141" t="n">
        <v>17.69087523277467</v>
      </c>
      <c r="AS141">
        <f>IF(OR(Vu_khi!$M$141="Missile",Vu_khi!$M$141="Drone",AND(Vu_khi!$M$141="Rocket",OR(Vu_khi!$AM$141,Vu_khi!$D$141="guided")),Vu_khi!$AL$141,Vu_khi!$AK$141,Vu_khi!$X$141&lt;=0),FALSE,IF($B$141&gt;=0,$B$141&gt;=4,IF(Vu_khi!$M$141="Shell",Vu_khi!$AN$141&gt;=Canh_bao_vong!$D$10,IF(Vu_khi!$M$141="Bomb",Vu_khi!$AN$141&gt;=Canh_bao_vong!$D$3,IF(Vu_khi!$M$141="Rocket",Vu_khi!$AN$141&gt;=Canh_bao_vong!$D$13,FALSE)))))</f>
        <v/>
      </c>
      <c r="AT141" t="b">
        <v>0</v>
      </c>
      <c r="AU141">
        <f>IF(AND($B$141&lt;0,$AS$141),4,$B$141)</f>
        <v/>
      </c>
      <c r="AV141" t="n">
        <v>0</v>
      </c>
      <c r="AW141">
        <f>IF($AU$141&lt;4,0,MIN(MAX(0.5,Canh_bao_vong!$D$4),MAX(IF(Vu_khi!$C$141="cal_406",Canh_bao_vong!$D$7,IF($AU$141&gt;=5,Canh_bao_vong!$D$9,Canh_bao_vong!$D$8)),Canh_bao_vong!$D$2+MAX(0,Vu_khi!$X$141)/MAX(0.1,Canh_bao_vong!$D$5))))</f>
        <v/>
      </c>
      <c r="AX141" t="n">
        <v>0</v>
      </c>
      <c r="BB141" t="inlineStr">
        <is>
          <t>Assets/MachineBrigade/Resources/Data/balance.json: weapons[id=hmg_roof_api] (lớp B trên 01_chien_dau/Vu_khi)</t>
        </is>
      </c>
      <c r="BC141" t="inlineStr"/>
    </row>
    <row r="142">
      <c r="A142" t="inlineStr">
        <is>
          <t>hmg_selfdef_15</t>
        </is>
      </c>
      <c r="B142" t="n">
        <v>0</v>
      </c>
      <c r="C142">
        <f>IF(Vu_khi!$O$142="SIMULTANEOUS",MAX(1,Vu_khi!$N$142),1)</f>
        <v/>
      </c>
      <c r="D142" t="n">
        <v>1</v>
      </c>
      <c r="E142">
        <f>IF(Vu_khi!$S$142&gt;0,Vu_khi!$S$142,Vu_khi!$P$142*$C$142)</f>
        <v/>
      </c>
      <c r="F142" t="n">
        <v>100</v>
      </c>
      <c r="G142">
        <f>IF(Vu_khi!$S$142&gt;0,(Vu_khi!$S$142-1)*Vu_khi!$R$142+Vu_khi!$T$142,Vu_khi!$R$142+(Vu_khi!$P$142-1)*Vu_khi!$Q$142)</f>
        <v/>
      </c>
      <c r="H142" t="n">
        <v>16.11</v>
      </c>
      <c r="I142">
        <f>Vu_khi!$W$142*MAX(1,$E$142)</f>
        <v/>
      </c>
      <c r="J142" t="n">
        <v>950</v>
      </c>
      <c r="K142">
        <f>IF(Vu_khi!$V$142&gt;0,Vu_khi!$V$142,MIN(28,MAX(10,Vu_khi!$U$142*Vu_khi!$R$142*0.4)))</f>
        <v/>
      </c>
      <c r="L142" t="n">
        <v>10</v>
      </c>
      <c r="M142">
        <f>IF(Vu_khi!$W$142&lt;=0,0,IF(Vu_khi!$U$142&gt;0,$I$142*Vu_khi!$U$142/(MAX(0.05,$G$142)*Vu_khi!$U$142+$K$142),$I$142/MAX(0.05,$G$142)))</f>
        <v/>
      </c>
      <c r="N142" t="n">
        <v>58.96958410924891</v>
      </c>
      <c r="O142">
        <f>OR(Vu_khi!$AG$142,Vu_khi!$AB$142&gt;0,Vu_khi!$AH$142,Vu_khi!$M$142="Bomb",Vu_khi!$M$142="Drone")</f>
        <v/>
      </c>
      <c r="P142" t="b">
        <v>0</v>
      </c>
      <c r="Q142">
        <f>AND(NOT(Vu_khi!$AJ$142),OR(Vu_khi!$AC$142="Ground",Vu_khi!$AC$142="All"))</f>
        <v/>
      </c>
      <c r="R142" t="b">
        <v>1</v>
      </c>
      <c r="S142">
        <f>AND(NOT(Vu_khi!$AJ$142),OR(Vu_khi!$AC$142="Air",Vu_khi!$AC$142="All"))</f>
        <v/>
      </c>
      <c r="T142" t="b">
        <v>1</v>
      </c>
      <c r="U142">
        <f>INDEX(Bang_sat_thuong!$B$2:$B$7,MATCH(Vu_khi!$K$142,Bang_sat_thuong!$A$2:$A$7,0))</f>
        <v/>
      </c>
      <c r="V142" t="n">
        <v>1</v>
      </c>
      <c r="W142">
        <f>INDEX(Bang_sat_thuong!$C$2:$C$7,MATCH(Vu_khi!$K$142,Bang_sat_thuong!$A$2:$A$7,0))</f>
        <v/>
      </c>
      <c r="X142" t="n">
        <v>0.3</v>
      </c>
      <c r="Y142">
        <f>IF(AND(Vu_khi!$AI$142,Vu_khi!$K$142="HighExplosive"),MAX(He_so_toan_cuc!$D$2,INDEX(Bang_sat_thuong!$D$2:$D$7,MATCH(Vu_khi!$K$142,Bang_sat_thuong!$A$2:$A$7,0))),INDEX(Bang_sat_thuong!$D$2:$D$7,MATCH(Vu_khi!$K$142,Bang_sat_thuong!$A$2:$A$7,0)))</f>
        <v/>
      </c>
      <c r="Z142" t="n">
        <v>0.6</v>
      </c>
      <c r="AA142">
        <f>INDEX(Bang_xuyen_giap!$C$2:$C$7,MIN(6,MAX(1,IF($O$142,MAX(1,2-(Vu_khi!$L$142-0)),2-(Vu_khi!$L$142-0))+1)))</f>
        <v/>
      </c>
      <c r="AB142" t="n">
        <v>1</v>
      </c>
      <c r="AC142">
        <f>INDEX(Bang_xuyen_giap!$C$2:$C$7,MIN(6,MAX(1,IF($O$142,MAX(1,2-(Vu_khi!$L$142-2)),2-(Vu_khi!$L$142-2))+1)))</f>
        <v/>
      </c>
      <c r="AD142" t="n">
        <v>0.5</v>
      </c>
      <c r="AE142">
        <f>INDEX(Bang_xuyen_giap!$C$2:$C$7,MIN(6,MAX(1,IF($O$142,MAX(1,2-(Vu_khi!$L$142-4)),2-(Vu_khi!$L$142-4))+1)))</f>
        <v/>
      </c>
      <c r="AF142" t="n">
        <v>0.1</v>
      </c>
      <c r="AG142">
        <f>INDEX(Bang_xuyen_giap!$C$2:$C$7,MIN(6,MAX(1,MAX(1,2-(Vu_khi!$L$142-0))+1)))</f>
        <v/>
      </c>
      <c r="AH142" t="n">
        <v>1</v>
      </c>
      <c r="AI142">
        <f>IF($Q$142,$M$142*$AA$142*$U$142,0)</f>
        <v/>
      </c>
      <c r="AJ142" t="n">
        <v>58.96958410924891</v>
      </c>
      <c r="AK142">
        <f>IF($Q$142,$M$142*$AC$142*$U$142,0)</f>
        <v/>
      </c>
      <c r="AL142" t="n">
        <v>29.48479205462446</v>
      </c>
      <c r="AM142">
        <f>IF($Q$142,$M$142*$AE$142*$U$142,0)</f>
        <v/>
      </c>
      <c r="AN142" t="n">
        <v>5.896958410924892</v>
      </c>
      <c r="AO142">
        <f>IF($Q$142,$M$142*$AC$142*$Y$142,0)</f>
        <v/>
      </c>
      <c r="AP142" t="n">
        <v>17.69087523277467</v>
      </c>
      <c r="AQ142">
        <f>IF($S$142,$M$142*$AG$142*$W$142,0)</f>
        <v/>
      </c>
      <c r="AR142" t="n">
        <v>17.69087523277467</v>
      </c>
      <c r="AS142">
        <f>IF(OR(Vu_khi!$M$142="Missile",Vu_khi!$M$142="Drone",AND(Vu_khi!$M$142="Rocket",OR(Vu_khi!$AM$142,Vu_khi!$D$142="guided")),Vu_khi!$AL$142,Vu_khi!$AK$142,Vu_khi!$X$142&lt;=0),FALSE,IF($B$142&gt;=0,$B$142&gt;=4,IF(Vu_khi!$M$142="Shell",Vu_khi!$AN$142&gt;=Canh_bao_vong!$D$10,IF(Vu_khi!$M$142="Bomb",Vu_khi!$AN$142&gt;=Canh_bao_vong!$D$3,IF(Vu_khi!$M$142="Rocket",Vu_khi!$AN$142&gt;=Canh_bao_vong!$D$13,FALSE)))))</f>
        <v/>
      </c>
      <c r="AT142" t="b">
        <v>0</v>
      </c>
      <c r="AU142">
        <f>IF(AND($B$142&lt;0,$AS$142),4,$B$142)</f>
        <v/>
      </c>
      <c r="AV142" t="n">
        <v>0</v>
      </c>
      <c r="AW142">
        <f>IF($AU$142&lt;4,0,MIN(MAX(0.5,Canh_bao_vong!$D$4),MAX(IF(Vu_khi!$C$142="cal_406",Canh_bao_vong!$D$7,IF($AU$142&gt;=5,Canh_bao_vong!$D$9,Canh_bao_vong!$D$8)),Canh_bao_vong!$D$2+MAX(0,Vu_khi!$X$142)/MAX(0.1,Canh_bao_vong!$D$5))))</f>
        <v/>
      </c>
      <c r="AX142" t="n">
        <v>0</v>
      </c>
      <c r="AY142" t="n">
        <v>1.611</v>
      </c>
      <c r="AZ142" t="inlineStr">
        <is>
          <t>ok</t>
        </is>
      </c>
      <c r="BA142" t="inlineStr"/>
      <c r="BB142" t="inlineStr">
        <is>
          <t>Assets/MachineBrigade/Resources/Data/balance.json: weapons[id=hmg_selfdef_15] (lớp B trên 01_chien_dau/Vu_khi)</t>
        </is>
      </c>
      <c r="BC142" t="inlineStr"/>
    </row>
    <row r="143">
      <c r="A143" t="inlineStr">
        <is>
          <t>hmg_selfdef_15_api</t>
        </is>
      </c>
      <c r="B143" t="n">
        <v>0</v>
      </c>
      <c r="C143">
        <f>IF(Vu_khi!$O$143="SIMULTANEOUS",MAX(1,Vu_khi!$N$143),1)</f>
        <v/>
      </c>
      <c r="D143" t="n">
        <v>1</v>
      </c>
      <c r="E143">
        <f>IF(Vu_khi!$S$143&gt;0,Vu_khi!$S$143,Vu_khi!$P$143*$C$143)</f>
        <v/>
      </c>
      <c r="F143" t="n">
        <v>100</v>
      </c>
      <c r="G143">
        <f>IF(Vu_khi!$S$143&gt;0,(Vu_khi!$S$143-1)*Vu_khi!$R$143+Vu_khi!$T$143,Vu_khi!$R$143+(Vu_khi!$P$143-1)*Vu_khi!$Q$143)</f>
        <v/>
      </c>
      <c r="H143" t="n">
        <v>16.11</v>
      </c>
      <c r="I143">
        <f>Vu_khi!$W$143*MAX(1,$E$143)</f>
        <v/>
      </c>
      <c r="J143" t="n">
        <v>950</v>
      </c>
      <c r="K143">
        <f>IF(Vu_khi!$V$143&gt;0,Vu_khi!$V$143,MIN(28,MAX(10,Vu_khi!$U$143*Vu_khi!$R$143*0.4)))</f>
        <v/>
      </c>
      <c r="L143" t="n">
        <v>10</v>
      </c>
      <c r="M143">
        <f>IF(Vu_khi!$W$143&lt;=0,0,IF(Vu_khi!$U$143&gt;0,$I$143*Vu_khi!$U$143/(MAX(0.05,$G$143)*Vu_khi!$U$143+$K$143),$I$143/MAX(0.05,$G$143)))</f>
        <v/>
      </c>
      <c r="N143" t="n">
        <v>58.96958410924891</v>
      </c>
      <c r="O143">
        <f>OR(Vu_khi!$AG$143,Vu_khi!$AB$143&gt;0,Vu_khi!$AH$143,Vu_khi!$M$143="Bomb",Vu_khi!$M$143="Drone")</f>
        <v/>
      </c>
      <c r="P143" t="b">
        <v>0</v>
      </c>
      <c r="Q143">
        <f>AND(NOT(Vu_khi!$AJ$143),OR(Vu_khi!$AC$143="Ground",Vu_khi!$AC$143="All"))</f>
        <v/>
      </c>
      <c r="R143" t="b">
        <v>1</v>
      </c>
      <c r="S143">
        <f>AND(NOT(Vu_khi!$AJ$143),OR(Vu_khi!$AC$143="Air",Vu_khi!$AC$143="All"))</f>
        <v/>
      </c>
      <c r="T143" t="b">
        <v>1</v>
      </c>
      <c r="U143">
        <f>INDEX(Bang_sat_thuong!$B$2:$B$7,MATCH(Vu_khi!$K$143,Bang_sat_thuong!$A$2:$A$7,0))</f>
        <v/>
      </c>
      <c r="V143" t="n">
        <v>1</v>
      </c>
      <c r="W143">
        <f>INDEX(Bang_sat_thuong!$C$2:$C$7,MATCH(Vu_khi!$K$143,Bang_sat_thuong!$A$2:$A$7,0))</f>
        <v/>
      </c>
      <c r="X143" t="n">
        <v>0.3</v>
      </c>
      <c r="Y143">
        <f>IF(AND(Vu_khi!$AI$143,Vu_khi!$K$143="HighExplosive"),MAX(He_so_toan_cuc!$D$2,INDEX(Bang_sat_thuong!$D$2:$D$7,MATCH(Vu_khi!$K$143,Bang_sat_thuong!$A$2:$A$7,0))),INDEX(Bang_sat_thuong!$D$2:$D$7,MATCH(Vu_khi!$K$143,Bang_sat_thuong!$A$2:$A$7,0)))</f>
        <v/>
      </c>
      <c r="Z143" t="n">
        <v>0.6</v>
      </c>
      <c r="AA143">
        <f>INDEX(Bang_xuyen_giap!$C$2:$C$7,MIN(6,MAX(1,IF($O$143,MAX(1,2-(Vu_khi!$L$143-0)),2-(Vu_khi!$L$143-0))+1)))</f>
        <v/>
      </c>
      <c r="AB143" t="n">
        <v>1.2</v>
      </c>
      <c r="AC143">
        <f>INDEX(Bang_xuyen_giap!$C$2:$C$7,MIN(6,MAX(1,IF($O$143,MAX(1,2-(Vu_khi!$L$143-2)),2-(Vu_khi!$L$143-2))+1)))</f>
        <v/>
      </c>
      <c r="AD143" t="n">
        <v>0.85</v>
      </c>
      <c r="AE143">
        <f>INDEX(Bang_xuyen_giap!$C$2:$C$7,MIN(6,MAX(1,IF($O$143,MAX(1,2-(Vu_khi!$L$143-4)),2-(Vu_khi!$L$143-4))+1)))</f>
        <v/>
      </c>
      <c r="AF143" t="n">
        <v>0.25</v>
      </c>
      <c r="AG143">
        <f>INDEX(Bang_xuyen_giap!$C$2:$C$7,MIN(6,MAX(1,MAX(1,2-(Vu_khi!$L$143-0))+1)))</f>
        <v/>
      </c>
      <c r="AH143" t="n">
        <v>1</v>
      </c>
      <c r="AI143">
        <f>IF($Q$143,$M$143*$AA$143*$U$143,0)</f>
        <v/>
      </c>
      <c r="AJ143" t="n">
        <v>70.76350093109869</v>
      </c>
      <c r="AK143">
        <f>IF($Q$143,$M$143*$AC$143*$U$143,0)</f>
        <v/>
      </c>
      <c r="AL143" t="n">
        <v>50.12414649286158</v>
      </c>
      <c r="AM143">
        <f>IF($Q$143,$M$143*$AE$143*$U$143,0)</f>
        <v/>
      </c>
      <c r="AN143" t="n">
        <v>14.74239602731223</v>
      </c>
      <c r="AO143">
        <f>IF($Q$143,$M$143*$AC$143*$Y$143,0)</f>
        <v/>
      </c>
      <c r="AP143" t="n">
        <v>30.07448789571695</v>
      </c>
      <c r="AQ143">
        <f>IF($S$143,$M$143*$AG$143*$W$143,0)</f>
        <v/>
      </c>
      <c r="AR143" t="n">
        <v>17.69087523277467</v>
      </c>
      <c r="AS143">
        <f>IF(OR(Vu_khi!$M$143="Missile",Vu_khi!$M$143="Drone",AND(Vu_khi!$M$143="Rocket",OR(Vu_khi!$AM$143,Vu_khi!$D$143="guided")),Vu_khi!$AL$143,Vu_khi!$AK$143,Vu_khi!$X$143&lt;=0),FALSE,IF($B$143&gt;=0,$B$143&gt;=4,IF(Vu_khi!$M$143="Shell",Vu_khi!$AN$143&gt;=Canh_bao_vong!$D$10,IF(Vu_khi!$M$143="Bomb",Vu_khi!$AN$143&gt;=Canh_bao_vong!$D$3,IF(Vu_khi!$M$143="Rocket",Vu_khi!$AN$143&gt;=Canh_bao_vong!$D$13,FALSE)))))</f>
        <v/>
      </c>
      <c r="AT143" t="b">
        <v>0</v>
      </c>
      <c r="AU143">
        <f>IF(AND($B$143&lt;0,$AS$143),4,$B$143)</f>
        <v/>
      </c>
      <c r="AV143" t="n">
        <v>0</v>
      </c>
      <c r="AW143">
        <f>IF($AU$143&lt;4,0,MIN(MAX(0.5,Canh_bao_vong!$D$4),MAX(IF(Vu_khi!$C$143="cal_406",Canh_bao_vong!$D$7,IF($AU$143&gt;=5,Canh_bao_vong!$D$9,Canh_bao_vong!$D$8)),Canh_bao_vong!$D$2+MAX(0,Vu_khi!$X$143)/MAX(0.1,Canh_bao_vong!$D$5))))</f>
        <v/>
      </c>
      <c r="AX143" t="n">
        <v>0</v>
      </c>
      <c r="BB143" t="inlineStr">
        <is>
          <t>Assets/MachineBrigade/Resources/Data/balance.json: weapons[id=hmg_selfdef_15_api] (lớp B trên 01_chien_dau/Vu_khi)</t>
        </is>
      </c>
      <c r="BC143" t="inlineStr"/>
    </row>
    <row r="144">
      <c r="A144" t="inlineStr">
        <is>
          <t>hmg_selfdef_18</t>
        </is>
      </c>
      <c r="B144" t="n">
        <v>0</v>
      </c>
      <c r="C144">
        <f>IF(Vu_khi!$O$144="SIMULTANEOUS",MAX(1,Vu_khi!$N$144),1)</f>
        <v/>
      </c>
      <c r="D144" t="n">
        <v>1</v>
      </c>
      <c r="E144">
        <f>IF(Vu_khi!$S$144&gt;0,Vu_khi!$S$144,Vu_khi!$P$144*$C$144)</f>
        <v/>
      </c>
      <c r="F144" t="n">
        <v>100</v>
      </c>
      <c r="G144">
        <f>IF(Vu_khi!$S$144&gt;0,(Vu_khi!$S$144-1)*Vu_khi!$R$144+Vu_khi!$T$144,Vu_khi!$R$144+(Vu_khi!$P$144-1)*Vu_khi!$Q$144)</f>
        <v/>
      </c>
      <c r="H144" t="n">
        <v>16.11</v>
      </c>
      <c r="I144">
        <f>Vu_khi!$W$144*MAX(1,$E$144)</f>
        <v/>
      </c>
      <c r="J144" t="n">
        <v>950</v>
      </c>
      <c r="K144">
        <f>IF(Vu_khi!$V$144&gt;0,Vu_khi!$V$144,MIN(28,MAX(10,Vu_khi!$U$144*Vu_khi!$R$144*0.4)))</f>
        <v/>
      </c>
      <c r="L144" t="n">
        <v>10</v>
      </c>
      <c r="M144">
        <f>IF(Vu_khi!$W$144&lt;=0,0,IF(Vu_khi!$U$144&gt;0,$I$144*Vu_khi!$U$144/(MAX(0.05,$G$144)*Vu_khi!$U$144+$K$144),$I$144/MAX(0.05,$G$144)))</f>
        <v/>
      </c>
      <c r="N144" t="n">
        <v>58.96958410924891</v>
      </c>
      <c r="O144">
        <f>OR(Vu_khi!$AG$144,Vu_khi!$AB$144&gt;0,Vu_khi!$AH$144,Vu_khi!$M$144="Bomb",Vu_khi!$M$144="Drone")</f>
        <v/>
      </c>
      <c r="P144" t="b">
        <v>0</v>
      </c>
      <c r="Q144">
        <f>AND(NOT(Vu_khi!$AJ$144),OR(Vu_khi!$AC$144="Ground",Vu_khi!$AC$144="All"))</f>
        <v/>
      </c>
      <c r="R144" t="b">
        <v>1</v>
      </c>
      <c r="S144">
        <f>AND(NOT(Vu_khi!$AJ$144),OR(Vu_khi!$AC$144="Air",Vu_khi!$AC$144="All"))</f>
        <v/>
      </c>
      <c r="T144" t="b">
        <v>1</v>
      </c>
      <c r="U144">
        <f>INDEX(Bang_sat_thuong!$B$2:$B$7,MATCH(Vu_khi!$K$144,Bang_sat_thuong!$A$2:$A$7,0))</f>
        <v/>
      </c>
      <c r="V144" t="n">
        <v>1</v>
      </c>
      <c r="W144">
        <f>INDEX(Bang_sat_thuong!$C$2:$C$7,MATCH(Vu_khi!$K$144,Bang_sat_thuong!$A$2:$A$7,0))</f>
        <v/>
      </c>
      <c r="X144" t="n">
        <v>0.3</v>
      </c>
      <c r="Y144">
        <f>IF(AND(Vu_khi!$AI$144,Vu_khi!$K$144="HighExplosive"),MAX(He_so_toan_cuc!$D$2,INDEX(Bang_sat_thuong!$D$2:$D$7,MATCH(Vu_khi!$K$144,Bang_sat_thuong!$A$2:$A$7,0))),INDEX(Bang_sat_thuong!$D$2:$D$7,MATCH(Vu_khi!$K$144,Bang_sat_thuong!$A$2:$A$7,0)))</f>
        <v/>
      </c>
      <c r="Z144" t="n">
        <v>0.6</v>
      </c>
      <c r="AA144">
        <f>INDEX(Bang_xuyen_giap!$C$2:$C$7,MIN(6,MAX(1,IF($O$144,MAX(1,2-(Vu_khi!$L$144-0)),2-(Vu_khi!$L$144-0))+1)))</f>
        <v/>
      </c>
      <c r="AB144" t="n">
        <v>1</v>
      </c>
      <c r="AC144">
        <f>INDEX(Bang_xuyen_giap!$C$2:$C$7,MIN(6,MAX(1,IF($O$144,MAX(1,2-(Vu_khi!$L$144-2)),2-(Vu_khi!$L$144-2))+1)))</f>
        <v/>
      </c>
      <c r="AD144" t="n">
        <v>0.5</v>
      </c>
      <c r="AE144">
        <f>INDEX(Bang_xuyen_giap!$C$2:$C$7,MIN(6,MAX(1,IF($O$144,MAX(1,2-(Vu_khi!$L$144-4)),2-(Vu_khi!$L$144-4))+1)))</f>
        <v/>
      </c>
      <c r="AF144" t="n">
        <v>0.1</v>
      </c>
      <c r="AG144">
        <f>INDEX(Bang_xuyen_giap!$C$2:$C$7,MIN(6,MAX(1,MAX(1,2-(Vu_khi!$L$144-0))+1)))</f>
        <v/>
      </c>
      <c r="AH144" t="n">
        <v>1</v>
      </c>
      <c r="AI144">
        <f>IF($Q$144,$M$144*$AA$144*$U$144,0)</f>
        <v/>
      </c>
      <c r="AJ144" t="n">
        <v>58.96958410924891</v>
      </c>
      <c r="AK144">
        <f>IF($Q$144,$M$144*$AC$144*$U$144,0)</f>
        <v/>
      </c>
      <c r="AL144" t="n">
        <v>29.48479205462446</v>
      </c>
      <c r="AM144">
        <f>IF($Q$144,$M$144*$AE$144*$U$144,0)</f>
        <v/>
      </c>
      <c r="AN144" t="n">
        <v>5.896958410924892</v>
      </c>
      <c r="AO144">
        <f>IF($Q$144,$M$144*$AC$144*$Y$144,0)</f>
        <v/>
      </c>
      <c r="AP144" t="n">
        <v>17.69087523277467</v>
      </c>
      <c r="AQ144">
        <f>IF($S$144,$M$144*$AG$144*$W$144,0)</f>
        <v/>
      </c>
      <c r="AR144" t="n">
        <v>17.69087523277467</v>
      </c>
      <c r="AS144">
        <f>IF(OR(Vu_khi!$M$144="Missile",Vu_khi!$M$144="Drone",AND(Vu_khi!$M$144="Rocket",OR(Vu_khi!$AM$144,Vu_khi!$D$144="guided")),Vu_khi!$AL$144,Vu_khi!$AK$144,Vu_khi!$X$144&lt;=0),FALSE,IF($B$144&gt;=0,$B$144&gt;=4,IF(Vu_khi!$M$144="Shell",Vu_khi!$AN$144&gt;=Canh_bao_vong!$D$10,IF(Vu_khi!$M$144="Bomb",Vu_khi!$AN$144&gt;=Canh_bao_vong!$D$3,IF(Vu_khi!$M$144="Rocket",Vu_khi!$AN$144&gt;=Canh_bao_vong!$D$13,FALSE)))))</f>
        <v/>
      </c>
      <c r="AT144" t="b">
        <v>0</v>
      </c>
      <c r="AU144">
        <f>IF(AND($B$144&lt;0,$AS$144),4,$B$144)</f>
        <v/>
      </c>
      <c r="AV144" t="n">
        <v>0</v>
      </c>
      <c r="AW144">
        <f>IF($AU$144&lt;4,0,MIN(MAX(0.5,Canh_bao_vong!$D$4),MAX(IF(Vu_khi!$C$144="cal_406",Canh_bao_vong!$D$7,IF($AU$144&gt;=5,Canh_bao_vong!$D$9,Canh_bao_vong!$D$8)),Canh_bao_vong!$D$2+MAX(0,Vu_khi!$X$144)/MAX(0.1,Canh_bao_vong!$D$5))))</f>
        <v/>
      </c>
      <c r="AX144" t="n">
        <v>0</v>
      </c>
      <c r="AY144" t="n">
        <v>1.611</v>
      </c>
      <c r="AZ144" t="inlineStr">
        <is>
          <t>ok</t>
        </is>
      </c>
      <c r="BA144" t="inlineStr"/>
      <c r="BB144" t="inlineStr">
        <is>
          <t>Assets/MachineBrigade/Resources/Data/balance.json: weapons[id=hmg_selfdef_18] (lớp B trên 01_chien_dau/Vu_khi)</t>
        </is>
      </c>
      <c r="BC144" t="inlineStr"/>
    </row>
    <row r="145">
      <c r="A145" t="inlineStr">
        <is>
          <t>hmg_selfdef_18_api</t>
        </is>
      </c>
      <c r="B145" t="n">
        <v>0</v>
      </c>
      <c r="C145">
        <f>IF(Vu_khi!$O$145="SIMULTANEOUS",MAX(1,Vu_khi!$N$145),1)</f>
        <v/>
      </c>
      <c r="D145" t="n">
        <v>1</v>
      </c>
      <c r="E145">
        <f>IF(Vu_khi!$S$145&gt;0,Vu_khi!$S$145,Vu_khi!$P$145*$C$145)</f>
        <v/>
      </c>
      <c r="F145" t="n">
        <v>100</v>
      </c>
      <c r="G145">
        <f>IF(Vu_khi!$S$145&gt;0,(Vu_khi!$S$145-1)*Vu_khi!$R$145+Vu_khi!$T$145,Vu_khi!$R$145+(Vu_khi!$P$145-1)*Vu_khi!$Q$145)</f>
        <v/>
      </c>
      <c r="H145" t="n">
        <v>16.11</v>
      </c>
      <c r="I145">
        <f>Vu_khi!$W$145*MAX(1,$E$145)</f>
        <v/>
      </c>
      <c r="J145" t="n">
        <v>950</v>
      </c>
      <c r="K145">
        <f>IF(Vu_khi!$V$145&gt;0,Vu_khi!$V$145,MIN(28,MAX(10,Vu_khi!$U$145*Vu_khi!$R$145*0.4)))</f>
        <v/>
      </c>
      <c r="L145" t="n">
        <v>10</v>
      </c>
      <c r="M145">
        <f>IF(Vu_khi!$W$145&lt;=0,0,IF(Vu_khi!$U$145&gt;0,$I$145*Vu_khi!$U$145/(MAX(0.05,$G$145)*Vu_khi!$U$145+$K$145),$I$145/MAX(0.05,$G$145)))</f>
        <v/>
      </c>
      <c r="N145" t="n">
        <v>58.96958410924891</v>
      </c>
      <c r="O145">
        <f>OR(Vu_khi!$AG$145,Vu_khi!$AB$145&gt;0,Vu_khi!$AH$145,Vu_khi!$M$145="Bomb",Vu_khi!$M$145="Drone")</f>
        <v/>
      </c>
      <c r="P145" t="b">
        <v>0</v>
      </c>
      <c r="Q145">
        <f>AND(NOT(Vu_khi!$AJ$145),OR(Vu_khi!$AC$145="Ground",Vu_khi!$AC$145="All"))</f>
        <v/>
      </c>
      <c r="R145" t="b">
        <v>1</v>
      </c>
      <c r="S145">
        <f>AND(NOT(Vu_khi!$AJ$145),OR(Vu_khi!$AC$145="Air",Vu_khi!$AC$145="All"))</f>
        <v/>
      </c>
      <c r="T145" t="b">
        <v>1</v>
      </c>
      <c r="U145">
        <f>INDEX(Bang_sat_thuong!$B$2:$B$7,MATCH(Vu_khi!$K$145,Bang_sat_thuong!$A$2:$A$7,0))</f>
        <v/>
      </c>
      <c r="V145" t="n">
        <v>1</v>
      </c>
      <c r="W145">
        <f>INDEX(Bang_sat_thuong!$C$2:$C$7,MATCH(Vu_khi!$K$145,Bang_sat_thuong!$A$2:$A$7,0))</f>
        <v/>
      </c>
      <c r="X145" t="n">
        <v>0.3</v>
      </c>
      <c r="Y145">
        <f>IF(AND(Vu_khi!$AI$145,Vu_khi!$K$145="HighExplosive"),MAX(He_so_toan_cuc!$D$2,INDEX(Bang_sat_thuong!$D$2:$D$7,MATCH(Vu_khi!$K$145,Bang_sat_thuong!$A$2:$A$7,0))),INDEX(Bang_sat_thuong!$D$2:$D$7,MATCH(Vu_khi!$K$145,Bang_sat_thuong!$A$2:$A$7,0)))</f>
        <v/>
      </c>
      <c r="Z145" t="n">
        <v>0.6</v>
      </c>
      <c r="AA145">
        <f>INDEX(Bang_xuyen_giap!$C$2:$C$7,MIN(6,MAX(1,IF($O$145,MAX(1,2-(Vu_khi!$L$145-0)),2-(Vu_khi!$L$145-0))+1)))</f>
        <v/>
      </c>
      <c r="AB145" t="n">
        <v>1.2</v>
      </c>
      <c r="AC145">
        <f>INDEX(Bang_xuyen_giap!$C$2:$C$7,MIN(6,MAX(1,IF($O$145,MAX(1,2-(Vu_khi!$L$145-2)),2-(Vu_khi!$L$145-2))+1)))</f>
        <v/>
      </c>
      <c r="AD145" t="n">
        <v>0.85</v>
      </c>
      <c r="AE145">
        <f>INDEX(Bang_xuyen_giap!$C$2:$C$7,MIN(6,MAX(1,IF($O$145,MAX(1,2-(Vu_khi!$L$145-4)),2-(Vu_khi!$L$145-4))+1)))</f>
        <v/>
      </c>
      <c r="AF145" t="n">
        <v>0.25</v>
      </c>
      <c r="AG145">
        <f>INDEX(Bang_xuyen_giap!$C$2:$C$7,MIN(6,MAX(1,MAX(1,2-(Vu_khi!$L$145-0))+1)))</f>
        <v/>
      </c>
      <c r="AH145" t="n">
        <v>1</v>
      </c>
      <c r="AI145">
        <f>IF($Q$145,$M$145*$AA$145*$U$145,0)</f>
        <v/>
      </c>
      <c r="AJ145" t="n">
        <v>70.76350093109869</v>
      </c>
      <c r="AK145">
        <f>IF($Q$145,$M$145*$AC$145*$U$145,0)</f>
        <v/>
      </c>
      <c r="AL145" t="n">
        <v>50.12414649286158</v>
      </c>
      <c r="AM145">
        <f>IF($Q$145,$M$145*$AE$145*$U$145,0)</f>
        <v/>
      </c>
      <c r="AN145" t="n">
        <v>14.74239602731223</v>
      </c>
      <c r="AO145">
        <f>IF($Q$145,$M$145*$AC$145*$Y$145,0)</f>
        <v/>
      </c>
      <c r="AP145" t="n">
        <v>30.07448789571695</v>
      </c>
      <c r="AQ145">
        <f>IF($S$145,$M$145*$AG$145*$W$145,0)</f>
        <v/>
      </c>
      <c r="AR145" t="n">
        <v>17.69087523277467</v>
      </c>
      <c r="AS145">
        <f>IF(OR(Vu_khi!$M$145="Missile",Vu_khi!$M$145="Drone",AND(Vu_khi!$M$145="Rocket",OR(Vu_khi!$AM$145,Vu_khi!$D$145="guided")),Vu_khi!$AL$145,Vu_khi!$AK$145,Vu_khi!$X$145&lt;=0),FALSE,IF($B$145&gt;=0,$B$145&gt;=4,IF(Vu_khi!$M$145="Shell",Vu_khi!$AN$145&gt;=Canh_bao_vong!$D$10,IF(Vu_khi!$M$145="Bomb",Vu_khi!$AN$145&gt;=Canh_bao_vong!$D$3,IF(Vu_khi!$M$145="Rocket",Vu_khi!$AN$145&gt;=Canh_bao_vong!$D$13,FALSE)))))</f>
        <v/>
      </c>
      <c r="AT145" t="b">
        <v>0</v>
      </c>
      <c r="AU145">
        <f>IF(AND($B$145&lt;0,$AS$145),4,$B$145)</f>
        <v/>
      </c>
      <c r="AV145" t="n">
        <v>0</v>
      </c>
      <c r="AW145">
        <f>IF($AU$145&lt;4,0,MIN(MAX(0.5,Canh_bao_vong!$D$4),MAX(IF(Vu_khi!$C$145="cal_406",Canh_bao_vong!$D$7,IF($AU$145&gt;=5,Canh_bao_vong!$D$9,Canh_bao_vong!$D$8)),Canh_bao_vong!$D$2+MAX(0,Vu_khi!$X$145)/MAX(0.1,Canh_bao_vong!$D$5))))</f>
        <v/>
      </c>
      <c r="AX145" t="n">
        <v>0</v>
      </c>
      <c r="BB145" t="inlineStr">
        <is>
          <t>Assets/MachineBrigade/Resources/Data/balance.json: weapons[id=hmg_selfdef_18_api] (lớp B trên 01_chien_dau/Vu_khi)</t>
        </is>
      </c>
      <c r="BC145" t="inlineStr"/>
    </row>
    <row r="146">
      <c r="A146" t="inlineStr">
        <is>
          <t>hmg_selfdef_21</t>
        </is>
      </c>
      <c r="B146" t="n">
        <v>0</v>
      </c>
      <c r="C146">
        <f>IF(Vu_khi!$O$146="SIMULTANEOUS",MAX(1,Vu_khi!$N$146),1)</f>
        <v/>
      </c>
      <c r="D146" t="n">
        <v>1</v>
      </c>
      <c r="E146">
        <f>IF(Vu_khi!$S$146&gt;0,Vu_khi!$S$146,Vu_khi!$P$146*$C$146)</f>
        <v/>
      </c>
      <c r="F146" t="n">
        <v>100</v>
      </c>
      <c r="G146">
        <f>IF(Vu_khi!$S$146&gt;0,(Vu_khi!$S$146-1)*Vu_khi!$R$146+Vu_khi!$T$146,Vu_khi!$R$146+(Vu_khi!$P$146-1)*Vu_khi!$Q$146)</f>
        <v/>
      </c>
      <c r="H146" t="n">
        <v>16.11</v>
      </c>
      <c r="I146">
        <f>Vu_khi!$W$146*MAX(1,$E$146)</f>
        <v/>
      </c>
      <c r="J146" t="n">
        <v>950</v>
      </c>
      <c r="K146">
        <f>IF(Vu_khi!$V$146&gt;0,Vu_khi!$V$146,MIN(28,MAX(10,Vu_khi!$U$146*Vu_khi!$R$146*0.4)))</f>
        <v/>
      </c>
      <c r="L146" t="n">
        <v>10</v>
      </c>
      <c r="M146">
        <f>IF(Vu_khi!$W$146&lt;=0,0,IF(Vu_khi!$U$146&gt;0,$I$146*Vu_khi!$U$146/(MAX(0.05,$G$146)*Vu_khi!$U$146+$K$146),$I$146/MAX(0.05,$G$146)))</f>
        <v/>
      </c>
      <c r="N146" t="n">
        <v>58.96958410924891</v>
      </c>
      <c r="O146">
        <f>OR(Vu_khi!$AG$146,Vu_khi!$AB$146&gt;0,Vu_khi!$AH$146,Vu_khi!$M$146="Bomb",Vu_khi!$M$146="Drone")</f>
        <v/>
      </c>
      <c r="P146" t="b">
        <v>0</v>
      </c>
      <c r="Q146">
        <f>AND(NOT(Vu_khi!$AJ$146),OR(Vu_khi!$AC$146="Ground",Vu_khi!$AC$146="All"))</f>
        <v/>
      </c>
      <c r="R146" t="b">
        <v>1</v>
      </c>
      <c r="S146">
        <f>AND(NOT(Vu_khi!$AJ$146),OR(Vu_khi!$AC$146="Air",Vu_khi!$AC$146="All"))</f>
        <v/>
      </c>
      <c r="T146" t="b">
        <v>1</v>
      </c>
      <c r="U146">
        <f>INDEX(Bang_sat_thuong!$B$2:$B$7,MATCH(Vu_khi!$K$146,Bang_sat_thuong!$A$2:$A$7,0))</f>
        <v/>
      </c>
      <c r="V146" t="n">
        <v>1</v>
      </c>
      <c r="W146">
        <f>INDEX(Bang_sat_thuong!$C$2:$C$7,MATCH(Vu_khi!$K$146,Bang_sat_thuong!$A$2:$A$7,0))</f>
        <v/>
      </c>
      <c r="X146" t="n">
        <v>0.3</v>
      </c>
      <c r="Y146">
        <f>IF(AND(Vu_khi!$AI$146,Vu_khi!$K$146="HighExplosive"),MAX(He_so_toan_cuc!$D$2,INDEX(Bang_sat_thuong!$D$2:$D$7,MATCH(Vu_khi!$K$146,Bang_sat_thuong!$A$2:$A$7,0))),INDEX(Bang_sat_thuong!$D$2:$D$7,MATCH(Vu_khi!$K$146,Bang_sat_thuong!$A$2:$A$7,0)))</f>
        <v/>
      </c>
      <c r="Z146" t="n">
        <v>0.6</v>
      </c>
      <c r="AA146">
        <f>INDEX(Bang_xuyen_giap!$C$2:$C$7,MIN(6,MAX(1,IF($O$146,MAX(1,2-(Vu_khi!$L$146-0)),2-(Vu_khi!$L$146-0))+1)))</f>
        <v/>
      </c>
      <c r="AB146" t="n">
        <v>1</v>
      </c>
      <c r="AC146">
        <f>INDEX(Bang_xuyen_giap!$C$2:$C$7,MIN(6,MAX(1,IF($O$146,MAX(1,2-(Vu_khi!$L$146-2)),2-(Vu_khi!$L$146-2))+1)))</f>
        <v/>
      </c>
      <c r="AD146" t="n">
        <v>0.5</v>
      </c>
      <c r="AE146">
        <f>INDEX(Bang_xuyen_giap!$C$2:$C$7,MIN(6,MAX(1,IF($O$146,MAX(1,2-(Vu_khi!$L$146-4)),2-(Vu_khi!$L$146-4))+1)))</f>
        <v/>
      </c>
      <c r="AF146" t="n">
        <v>0.1</v>
      </c>
      <c r="AG146">
        <f>INDEX(Bang_xuyen_giap!$C$2:$C$7,MIN(6,MAX(1,MAX(1,2-(Vu_khi!$L$146-0))+1)))</f>
        <v/>
      </c>
      <c r="AH146" t="n">
        <v>1</v>
      </c>
      <c r="AI146">
        <f>IF($Q$146,$M$146*$AA$146*$U$146,0)</f>
        <v/>
      </c>
      <c r="AJ146" t="n">
        <v>58.96958410924891</v>
      </c>
      <c r="AK146">
        <f>IF($Q$146,$M$146*$AC$146*$U$146,0)</f>
        <v/>
      </c>
      <c r="AL146" t="n">
        <v>29.48479205462446</v>
      </c>
      <c r="AM146">
        <f>IF($Q$146,$M$146*$AE$146*$U$146,0)</f>
        <v/>
      </c>
      <c r="AN146" t="n">
        <v>5.896958410924892</v>
      </c>
      <c r="AO146">
        <f>IF($Q$146,$M$146*$AC$146*$Y$146,0)</f>
        <v/>
      </c>
      <c r="AP146" t="n">
        <v>17.69087523277467</v>
      </c>
      <c r="AQ146">
        <f>IF($S$146,$M$146*$AG$146*$W$146,0)</f>
        <v/>
      </c>
      <c r="AR146" t="n">
        <v>17.69087523277467</v>
      </c>
      <c r="AS146">
        <f>IF(OR(Vu_khi!$M$146="Missile",Vu_khi!$M$146="Drone",AND(Vu_khi!$M$146="Rocket",OR(Vu_khi!$AM$146,Vu_khi!$D$146="guided")),Vu_khi!$AL$146,Vu_khi!$AK$146,Vu_khi!$X$146&lt;=0),FALSE,IF($B$146&gt;=0,$B$146&gt;=4,IF(Vu_khi!$M$146="Shell",Vu_khi!$AN$146&gt;=Canh_bao_vong!$D$10,IF(Vu_khi!$M$146="Bomb",Vu_khi!$AN$146&gt;=Canh_bao_vong!$D$3,IF(Vu_khi!$M$146="Rocket",Vu_khi!$AN$146&gt;=Canh_bao_vong!$D$13,FALSE)))))</f>
        <v/>
      </c>
      <c r="AT146" t="b">
        <v>0</v>
      </c>
      <c r="AU146">
        <f>IF(AND($B$146&lt;0,$AS$146),4,$B$146)</f>
        <v/>
      </c>
      <c r="AV146" t="n">
        <v>0</v>
      </c>
      <c r="AW146">
        <f>IF($AU$146&lt;4,0,MIN(MAX(0.5,Canh_bao_vong!$D$4),MAX(IF(Vu_khi!$C$146="cal_406",Canh_bao_vong!$D$7,IF($AU$146&gt;=5,Canh_bao_vong!$D$9,Canh_bao_vong!$D$8)),Canh_bao_vong!$D$2+MAX(0,Vu_khi!$X$146)/MAX(0.1,Canh_bao_vong!$D$5))))</f>
        <v/>
      </c>
      <c r="AX146" t="n">
        <v>0</v>
      </c>
      <c r="AY146" t="n">
        <v>1.611</v>
      </c>
      <c r="AZ146" t="inlineStr">
        <is>
          <t>ok</t>
        </is>
      </c>
      <c r="BA146" t="inlineStr"/>
      <c r="BB146" t="inlineStr">
        <is>
          <t>Assets/MachineBrigade/Resources/Data/balance.json: weapons[id=hmg_selfdef_21] (lớp B trên 01_chien_dau/Vu_khi)</t>
        </is>
      </c>
      <c r="BC146" t="inlineStr"/>
    </row>
    <row r="147">
      <c r="A147" t="inlineStr">
        <is>
          <t>hmg_selfdef_21_api</t>
        </is>
      </c>
      <c r="B147" t="n">
        <v>0</v>
      </c>
      <c r="C147">
        <f>IF(Vu_khi!$O$147="SIMULTANEOUS",MAX(1,Vu_khi!$N$147),1)</f>
        <v/>
      </c>
      <c r="D147" t="n">
        <v>1</v>
      </c>
      <c r="E147">
        <f>IF(Vu_khi!$S$147&gt;0,Vu_khi!$S$147,Vu_khi!$P$147*$C$147)</f>
        <v/>
      </c>
      <c r="F147" t="n">
        <v>100</v>
      </c>
      <c r="G147">
        <f>IF(Vu_khi!$S$147&gt;0,(Vu_khi!$S$147-1)*Vu_khi!$R$147+Vu_khi!$T$147,Vu_khi!$R$147+(Vu_khi!$P$147-1)*Vu_khi!$Q$147)</f>
        <v/>
      </c>
      <c r="H147" t="n">
        <v>16.11</v>
      </c>
      <c r="I147">
        <f>Vu_khi!$W$147*MAX(1,$E$147)</f>
        <v/>
      </c>
      <c r="J147" t="n">
        <v>950</v>
      </c>
      <c r="K147">
        <f>IF(Vu_khi!$V$147&gt;0,Vu_khi!$V$147,MIN(28,MAX(10,Vu_khi!$U$147*Vu_khi!$R$147*0.4)))</f>
        <v/>
      </c>
      <c r="L147" t="n">
        <v>10</v>
      </c>
      <c r="M147">
        <f>IF(Vu_khi!$W$147&lt;=0,0,IF(Vu_khi!$U$147&gt;0,$I$147*Vu_khi!$U$147/(MAX(0.05,$G$147)*Vu_khi!$U$147+$K$147),$I$147/MAX(0.05,$G$147)))</f>
        <v/>
      </c>
      <c r="N147" t="n">
        <v>58.96958410924891</v>
      </c>
      <c r="O147">
        <f>OR(Vu_khi!$AG$147,Vu_khi!$AB$147&gt;0,Vu_khi!$AH$147,Vu_khi!$M$147="Bomb",Vu_khi!$M$147="Drone")</f>
        <v/>
      </c>
      <c r="P147" t="b">
        <v>0</v>
      </c>
      <c r="Q147">
        <f>AND(NOT(Vu_khi!$AJ$147),OR(Vu_khi!$AC$147="Ground",Vu_khi!$AC$147="All"))</f>
        <v/>
      </c>
      <c r="R147" t="b">
        <v>1</v>
      </c>
      <c r="S147">
        <f>AND(NOT(Vu_khi!$AJ$147),OR(Vu_khi!$AC$147="Air",Vu_khi!$AC$147="All"))</f>
        <v/>
      </c>
      <c r="T147" t="b">
        <v>1</v>
      </c>
      <c r="U147">
        <f>INDEX(Bang_sat_thuong!$B$2:$B$7,MATCH(Vu_khi!$K$147,Bang_sat_thuong!$A$2:$A$7,0))</f>
        <v/>
      </c>
      <c r="V147" t="n">
        <v>1</v>
      </c>
      <c r="W147">
        <f>INDEX(Bang_sat_thuong!$C$2:$C$7,MATCH(Vu_khi!$K$147,Bang_sat_thuong!$A$2:$A$7,0))</f>
        <v/>
      </c>
      <c r="X147" t="n">
        <v>0.3</v>
      </c>
      <c r="Y147">
        <f>IF(AND(Vu_khi!$AI$147,Vu_khi!$K$147="HighExplosive"),MAX(He_so_toan_cuc!$D$2,INDEX(Bang_sat_thuong!$D$2:$D$7,MATCH(Vu_khi!$K$147,Bang_sat_thuong!$A$2:$A$7,0))),INDEX(Bang_sat_thuong!$D$2:$D$7,MATCH(Vu_khi!$K$147,Bang_sat_thuong!$A$2:$A$7,0)))</f>
        <v/>
      </c>
      <c r="Z147" t="n">
        <v>0.6</v>
      </c>
      <c r="AA147">
        <f>INDEX(Bang_xuyen_giap!$C$2:$C$7,MIN(6,MAX(1,IF($O$147,MAX(1,2-(Vu_khi!$L$147-0)),2-(Vu_khi!$L$147-0))+1)))</f>
        <v/>
      </c>
      <c r="AB147" t="n">
        <v>1.2</v>
      </c>
      <c r="AC147">
        <f>INDEX(Bang_xuyen_giap!$C$2:$C$7,MIN(6,MAX(1,IF($O$147,MAX(1,2-(Vu_khi!$L$147-2)),2-(Vu_khi!$L$147-2))+1)))</f>
        <v/>
      </c>
      <c r="AD147" t="n">
        <v>0.85</v>
      </c>
      <c r="AE147">
        <f>INDEX(Bang_xuyen_giap!$C$2:$C$7,MIN(6,MAX(1,IF($O$147,MAX(1,2-(Vu_khi!$L$147-4)),2-(Vu_khi!$L$147-4))+1)))</f>
        <v/>
      </c>
      <c r="AF147" t="n">
        <v>0.25</v>
      </c>
      <c r="AG147">
        <f>INDEX(Bang_xuyen_giap!$C$2:$C$7,MIN(6,MAX(1,MAX(1,2-(Vu_khi!$L$147-0))+1)))</f>
        <v/>
      </c>
      <c r="AH147" t="n">
        <v>1</v>
      </c>
      <c r="AI147">
        <f>IF($Q$147,$M$147*$AA$147*$U$147,0)</f>
        <v/>
      </c>
      <c r="AJ147" t="n">
        <v>70.76350093109869</v>
      </c>
      <c r="AK147">
        <f>IF($Q$147,$M$147*$AC$147*$U$147,0)</f>
        <v/>
      </c>
      <c r="AL147" t="n">
        <v>50.12414649286158</v>
      </c>
      <c r="AM147">
        <f>IF($Q$147,$M$147*$AE$147*$U$147,0)</f>
        <v/>
      </c>
      <c r="AN147" t="n">
        <v>14.74239602731223</v>
      </c>
      <c r="AO147">
        <f>IF($Q$147,$M$147*$AC$147*$Y$147,0)</f>
        <v/>
      </c>
      <c r="AP147" t="n">
        <v>30.07448789571695</v>
      </c>
      <c r="AQ147">
        <f>IF($S$147,$M$147*$AG$147*$W$147,0)</f>
        <v/>
      </c>
      <c r="AR147" t="n">
        <v>17.69087523277467</v>
      </c>
      <c r="AS147">
        <f>IF(OR(Vu_khi!$M$147="Missile",Vu_khi!$M$147="Drone",AND(Vu_khi!$M$147="Rocket",OR(Vu_khi!$AM$147,Vu_khi!$D$147="guided")),Vu_khi!$AL$147,Vu_khi!$AK$147,Vu_khi!$X$147&lt;=0),FALSE,IF($B$147&gt;=0,$B$147&gt;=4,IF(Vu_khi!$M$147="Shell",Vu_khi!$AN$147&gt;=Canh_bao_vong!$D$10,IF(Vu_khi!$M$147="Bomb",Vu_khi!$AN$147&gt;=Canh_bao_vong!$D$3,IF(Vu_khi!$M$147="Rocket",Vu_khi!$AN$147&gt;=Canh_bao_vong!$D$13,FALSE)))))</f>
        <v/>
      </c>
      <c r="AT147" t="b">
        <v>0</v>
      </c>
      <c r="AU147">
        <f>IF(AND($B$147&lt;0,$AS$147),4,$B$147)</f>
        <v/>
      </c>
      <c r="AV147" t="n">
        <v>0</v>
      </c>
      <c r="AW147">
        <f>IF($AU$147&lt;4,0,MIN(MAX(0.5,Canh_bao_vong!$D$4),MAX(IF(Vu_khi!$C$147="cal_406",Canh_bao_vong!$D$7,IF($AU$147&gt;=5,Canh_bao_vong!$D$9,Canh_bao_vong!$D$8)),Canh_bao_vong!$D$2+MAX(0,Vu_khi!$X$147)/MAX(0.1,Canh_bao_vong!$D$5))))</f>
        <v/>
      </c>
      <c r="AX147" t="n">
        <v>0</v>
      </c>
      <c r="BB147" t="inlineStr">
        <is>
          <t>Assets/MachineBrigade/Resources/Data/balance.json: weapons[id=hmg_selfdef_21_api] (lớp B trên 01_chien_dau/Vu_khi)</t>
        </is>
      </c>
      <c r="BC147" t="inlineStr"/>
    </row>
    <row r="148">
      <c r="A148" t="inlineStr">
        <is>
          <t>hover_ciws</t>
        </is>
      </c>
      <c r="B148" t="n">
        <v>1</v>
      </c>
      <c r="C148">
        <f>IF(Vu_khi!$O$148="SIMULTANEOUS",MAX(1,Vu_khi!$N$148),1)</f>
        <v/>
      </c>
      <c r="D148" t="n">
        <v>1</v>
      </c>
      <c r="E148">
        <f>IF(Vu_khi!$S$148&gt;0,Vu_khi!$S$148,Vu_khi!$P$148*$C$148)</f>
        <v/>
      </c>
      <c r="F148" t="n">
        <v>60</v>
      </c>
      <c r="G148">
        <f>IF(Vu_khi!$S$148&gt;0,(Vu_khi!$S$148-1)*Vu_khi!$R$148+Vu_khi!$T$148,Vu_khi!$R$148+(Vu_khi!$P$148-1)*Vu_khi!$Q$148)</f>
        <v/>
      </c>
      <c r="H148" t="n">
        <v>6.002</v>
      </c>
      <c r="I148">
        <f>Vu_khi!$W$148*MAX(1,$E$148)</f>
        <v/>
      </c>
      <c r="J148" t="n">
        <v>720</v>
      </c>
      <c r="K148">
        <f>IF(Vu_khi!$V$148&gt;0,Vu_khi!$V$148,MIN(28,MAX(10,Vu_khi!$U$148*Vu_khi!$R$148*0.4)))</f>
        <v/>
      </c>
      <c r="L148" t="n">
        <v>10</v>
      </c>
      <c r="M148">
        <f>IF(Vu_khi!$W$148&lt;=0,0,IF(Vu_khi!$U$148&gt;0,$I$148*Vu_khi!$U$148/(MAX(0.05,$G$148)*Vu_khi!$U$148+$K$148),$I$148/MAX(0.05,$G$148)))</f>
        <v/>
      </c>
      <c r="N148" t="n">
        <v>119.9600133288904</v>
      </c>
      <c r="O148">
        <f>OR(Vu_khi!$AG$148,Vu_khi!$AB$148&gt;0,Vu_khi!$AH$148,Vu_khi!$M$148="Bomb",Vu_khi!$M$148="Drone")</f>
        <v/>
      </c>
      <c r="P148" t="b">
        <v>0</v>
      </c>
      <c r="Q148">
        <f>AND(NOT(Vu_khi!$AJ$148),OR(Vu_khi!$AC$148="Ground",Vu_khi!$AC$148="All"))</f>
        <v/>
      </c>
      <c r="R148" t="b">
        <v>1</v>
      </c>
      <c r="S148">
        <f>AND(NOT(Vu_khi!$AJ$148),OR(Vu_khi!$AC$148="Air",Vu_khi!$AC$148="All"))</f>
        <v/>
      </c>
      <c r="T148" t="b">
        <v>1</v>
      </c>
      <c r="U148">
        <f>INDEX(Bang_sat_thuong!$B$2:$B$7,MATCH(Vu_khi!$K$148,Bang_sat_thuong!$A$2:$A$7,0))</f>
        <v/>
      </c>
      <c r="V148" t="n">
        <v>1</v>
      </c>
      <c r="W148">
        <f>INDEX(Bang_sat_thuong!$C$2:$C$7,MATCH(Vu_khi!$K$148,Bang_sat_thuong!$A$2:$A$7,0))</f>
        <v/>
      </c>
      <c r="X148" t="n">
        <v>0.3</v>
      </c>
      <c r="Y148">
        <f>IF(AND(Vu_khi!$AI$148,Vu_khi!$K$148="HighExplosive"),MAX(He_so_toan_cuc!$D$2,INDEX(Bang_sat_thuong!$D$2:$D$7,MATCH(Vu_khi!$K$148,Bang_sat_thuong!$A$2:$A$7,0))),INDEX(Bang_sat_thuong!$D$2:$D$7,MATCH(Vu_khi!$K$148,Bang_sat_thuong!$A$2:$A$7,0)))</f>
        <v/>
      </c>
      <c r="Z148" t="n">
        <v>0.6</v>
      </c>
      <c r="AA148">
        <f>INDEX(Bang_xuyen_giap!$C$2:$C$7,MIN(6,MAX(1,IF($O$148,MAX(1,2-(Vu_khi!$L$148-0)),2-(Vu_khi!$L$148-0))+1)))</f>
        <v/>
      </c>
      <c r="AB148" t="n">
        <v>1.2</v>
      </c>
      <c r="AC148">
        <f>INDEX(Bang_xuyen_giap!$C$2:$C$7,MIN(6,MAX(1,IF($O$148,MAX(1,2-(Vu_khi!$L$148-2)),2-(Vu_khi!$L$148-2))+1)))</f>
        <v/>
      </c>
      <c r="AD148" t="n">
        <v>0.85</v>
      </c>
      <c r="AE148">
        <f>INDEX(Bang_xuyen_giap!$C$2:$C$7,MIN(6,MAX(1,IF($O$148,MAX(1,2-(Vu_khi!$L$148-4)),2-(Vu_khi!$L$148-4))+1)))</f>
        <v/>
      </c>
      <c r="AF148" t="n">
        <v>0.25</v>
      </c>
      <c r="AG148">
        <f>INDEX(Bang_xuyen_giap!$C$2:$C$7,MIN(6,MAX(1,MAX(1,2-(Vu_khi!$L$148-0))+1)))</f>
        <v/>
      </c>
      <c r="AH148" t="n">
        <v>1</v>
      </c>
      <c r="AI148">
        <f>IF($Q$148,$M$148*$AA$148*$U$148,0)</f>
        <v/>
      </c>
      <c r="AJ148" t="n">
        <v>143.9520159946684</v>
      </c>
      <c r="AK148">
        <f>IF($Q$148,$M$148*$AC$148*$U$148,0)</f>
        <v/>
      </c>
      <c r="AL148" t="n">
        <v>101.9660113295568</v>
      </c>
      <c r="AM148">
        <f>IF($Q$148,$M$148*$AE$148*$U$148,0)</f>
        <v/>
      </c>
      <c r="AN148" t="n">
        <v>29.99000333222259</v>
      </c>
      <c r="AO148">
        <f>IF($Q$148,$M$148*$AC$148*$Y$148,0)</f>
        <v/>
      </c>
      <c r="AP148" t="n">
        <v>61.17960679773409</v>
      </c>
      <c r="AQ148">
        <f>IF($S$148,$M$148*$AG$148*$W$148,0)</f>
        <v/>
      </c>
      <c r="AR148" t="n">
        <v>35.98800399866711</v>
      </c>
      <c r="AS148">
        <f>IF(OR(Vu_khi!$M$148="Missile",Vu_khi!$M$148="Drone",AND(Vu_khi!$M$148="Rocket",OR(Vu_khi!$AM$148,Vu_khi!$D$148="guided")),Vu_khi!$AL$148,Vu_khi!$AK$148,Vu_khi!$X$148&lt;=0),FALSE,IF($B$148&gt;=0,$B$148&gt;=4,IF(Vu_khi!$M$148="Shell",Vu_khi!$AN$148&gt;=Canh_bao_vong!$D$10,IF(Vu_khi!$M$148="Bomb",Vu_khi!$AN$148&gt;=Canh_bao_vong!$D$3,IF(Vu_khi!$M$148="Rocket",Vu_khi!$AN$148&gt;=Canh_bao_vong!$D$13,FALSE)))))</f>
        <v/>
      </c>
      <c r="AT148" t="b">
        <v>0</v>
      </c>
      <c r="AU148">
        <f>IF(AND($B$148&lt;0,$AS$148),4,$B$148)</f>
        <v/>
      </c>
      <c r="AV148" t="n">
        <v>1</v>
      </c>
      <c r="AW148">
        <f>IF($AU$148&lt;4,0,MIN(MAX(0.5,Canh_bao_vong!$D$4),MAX(IF(Vu_khi!$C$148="cal_406",Canh_bao_vong!$D$7,IF($AU$148&gt;=5,Canh_bao_vong!$D$9,Canh_bao_vong!$D$8)),Canh_bao_vong!$D$2+MAX(0,Vu_khi!$X$148)/MAX(0.1,Canh_bao_vong!$D$5))))</f>
        <v/>
      </c>
      <c r="AX148" t="n">
        <v>0</v>
      </c>
      <c r="AY148" t="n">
        <v>8.336111000000001</v>
      </c>
      <c r="AZ148" t="inlineStr">
        <is>
          <t>ok</t>
        </is>
      </c>
      <c r="BA148" t="b">
        <v>1</v>
      </c>
      <c r="BB148" t="inlineStr">
        <is>
          <t>Assets/MachineBrigade/Resources/Data/balance.json: weapons[id=hover_ciws] (lớp B trên 01_chien_dau/Vu_khi)</t>
        </is>
      </c>
      <c r="BC148" t="inlineStr"/>
    </row>
    <row r="149">
      <c r="A149" t="inlineStr">
        <is>
          <t>hover_ciws_flak</t>
        </is>
      </c>
      <c r="B149" t="n">
        <v>1</v>
      </c>
      <c r="C149">
        <f>IF(Vu_khi!$O$149="SIMULTANEOUS",MAX(1,Vu_khi!$N$149),1)</f>
        <v/>
      </c>
      <c r="D149" t="n">
        <v>1</v>
      </c>
      <c r="E149">
        <f>IF(Vu_khi!$S$149&gt;0,Vu_khi!$S$149,Vu_khi!$P$149*$C$149)</f>
        <v/>
      </c>
      <c r="F149" t="n">
        <v>60</v>
      </c>
      <c r="G149">
        <f>IF(Vu_khi!$S$149&gt;0,(Vu_khi!$S$149-1)*Vu_khi!$R$149+Vu_khi!$T$149,Vu_khi!$R$149+(Vu_khi!$P$149-1)*Vu_khi!$Q$149)</f>
        <v/>
      </c>
      <c r="H149" t="n">
        <v>6.002</v>
      </c>
      <c r="I149">
        <f>Vu_khi!$W$149*MAX(1,$E$149)</f>
        <v/>
      </c>
      <c r="J149" t="n">
        <v>720</v>
      </c>
      <c r="K149">
        <f>IF(Vu_khi!$V$149&gt;0,Vu_khi!$V$149,MIN(28,MAX(10,Vu_khi!$U$149*Vu_khi!$R$149*0.4)))</f>
        <v/>
      </c>
      <c r="L149" t="n">
        <v>10</v>
      </c>
      <c r="M149">
        <f>IF(Vu_khi!$W$149&lt;=0,0,IF(Vu_khi!$U$149&gt;0,$I$149*Vu_khi!$U$149/(MAX(0.05,$G$149)*Vu_khi!$U$149+$K$149),$I$149/MAX(0.05,$G$149)))</f>
        <v/>
      </c>
      <c r="N149" t="n">
        <v>119.9600133288904</v>
      </c>
      <c r="O149">
        <f>OR(Vu_khi!$AG$149,Vu_khi!$AB$149&gt;0,Vu_khi!$AH$149,Vu_khi!$M$149="Bomb",Vu_khi!$M$149="Drone")</f>
        <v/>
      </c>
      <c r="P149" t="b">
        <v>0</v>
      </c>
      <c r="Q149">
        <f>AND(NOT(Vu_khi!$AJ$149),OR(Vu_khi!$AC$149="Ground",Vu_khi!$AC$149="All"))</f>
        <v/>
      </c>
      <c r="R149" t="b">
        <v>0</v>
      </c>
      <c r="S149">
        <f>AND(NOT(Vu_khi!$AJ$149),OR(Vu_khi!$AC$149="Air",Vu_khi!$AC$149="All"))</f>
        <v/>
      </c>
      <c r="T149" t="b">
        <v>1</v>
      </c>
      <c r="U149">
        <f>INDEX(Bang_sat_thuong!$B$2:$B$7,MATCH(Vu_khi!$K$149,Bang_sat_thuong!$A$2:$A$7,0))</f>
        <v/>
      </c>
      <c r="V149" t="n">
        <v>0.5</v>
      </c>
      <c r="W149">
        <f>INDEX(Bang_sat_thuong!$C$2:$C$7,MATCH(Vu_khi!$K$149,Bang_sat_thuong!$A$2:$A$7,0))</f>
        <v/>
      </c>
      <c r="X149" t="n">
        <v>1.3</v>
      </c>
      <c r="Y149">
        <f>IF(AND(Vu_khi!$AI$149,Vu_khi!$K$149="HighExplosive"),MAX(He_so_toan_cuc!$D$2,INDEX(Bang_sat_thuong!$D$2:$D$7,MATCH(Vu_khi!$K$149,Bang_sat_thuong!$A$2:$A$7,0))),INDEX(Bang_sat_thuong!$D$2:$D$7,MATCH(Vu_khi!$K$149,Bang_sat_thuong!$A$2:$A$7,0)))</f>
        <v/>
      </c>
      <c r="Z149" t="n">
        <v>0.1</v>
      </c>
      <c r="AA149">
        <f>INDEX(Bang_xuyen_giap!$C$2:$C$7,MIN(6,MAX(1,IF($O$149,MAX(1,2-(Vu_khi!$L$149-0)),2-(Vu_khi!$L$149-0))+1)))</f>
        <v/>
      </c>
      <c r="AB149" t="n">
        <v>1.2</v>
      </c>
      <c r="AC149">
        <f>INDEX(Bang_xuyen_giap!$C$2:$C$7,MIN(6,MAX(1,IF($O$149,MAX(1,2-(Vu_khi!$L$149-2)),2-(Vu_khi!$L$149-2))+1)))</f>
        <v/>
      </c>
      <c r="AD149" t="n">
        <v>0.85</v>
      </c>
      <c r="AE149">
        <f>INDEX(Bang_xuyen_giap!$C$2:$C$7,MIN(6,MAX(1,IF($O$149,MAX(1,2-(Vu_khi!$L$149-4)),2-(Vu_khi!$L$149-4))+1)))</f>
        <v/>
      </c>
      <c r="AF149" t="n">
        <v>0.25</v>
      </c>
      <c r="AG149">
        <f>INDEX(Bang_xuyen_giap!$C$2:$C$7,MIN(6,MAX(1,MAX(1,2-(Vu_khi!$L$149-0))+1)))</f>
        <v/>
      </c>
      <c r="AH149" t="n">
        <v>1</v>
      </c>
      <c r="AI149">
        <f>IF($Q$149,$M$149*$AA$149*$U$149,0)</f>
        <v/>
      </c>
      <c r="AJ149" t="n">
        <v>0</v>
      </c>
      <c r="AK149">
        <f>IF($Q$149,$M$149*$AC$149*$U$149,0)</f>
        <v/>
      </c>
      <c r="AL149" t="n">
        <v>0</v>
      </c>
      <c r="AM149">
        <f>IF($Q$149,$M$149*$AE$149*$U$149,0)</f>
        <v/>
      </c>
      <c r="AN149" t="n">
        <v>0</v>
      </c>
      <c r="AO149">
        <f>IF($Q$149,$M$149*$AC$149*$Y$149,0)</f>
        <v/>
      </c>
      <c r="AP149" t="n">
        <v>0</v>
      </c>
      <c r="AQ149">
        <f>IF($S$149,$M$149*$AG$149*$W$149,0)</f>
        <v/>
      </c>
      <c r="AR149" t="n">
        <v>155.9480173275575</v>
      </c>
      <c r="AS149">
        <f>IF(OR(Vu_khi!$M$149="Missile",Vu_khi!$M$149="Drone",AND(Vu_khi!$M$149="Rocket",OR(Vu_khi!$AM$149,Vu_khi!$D$149="guided")),Vu_khi!$AL$149,Vu_khi!$AK$149,Vu_khi!$X$149&lt;=0),FALSE,IF($B$149&gt;=0,$B$149&gt;=4,IF(Vu_khi!$M$149="Shell",Vu_khi!$AN$149&gt;=Canh_bao_vong!$D$10,IF(Vu_khi!$M$149="Bomb",Vu_khi!$AN$149&gt;=Canh_bao_vong!$D$3,IF(Vu_khi!$M$149="Rocket",Vu_khi!$AN$149&gt;=Canh_bao_vong!$D$13,FALSE)))))</f>
        <v/>
      </c>
      <c r="AT149" t="b">
        <v>0</v>
      </c>
      <c r="AU149">
        <f>IF(AND($B$149&lt;0,$AS$149),4,$B$149)</f>
        <v/>
      </c>
      <c r="AV149" t="n">
        <v>1</v>
      </c>
      <c r="AW149">
        <f>IF($AU$149&lt;4,0,MIN(MAX(0.5,Canh_bao_vong!$D$4),MAX(IF(Vu_khi!$C$149="cal_406",Canh_bao_vong!$D$7,IF($AU$149&gt;=5,Canh_bao_vong!$D$9,Canh_bao_vong!$D$8)),Canh_bao_vong!$D$2+MAX(0,Vu_khi!$X$149)/MAX(0.1,Canh_bao_vong!$D$5))))</f>
        <v/>
      </c>
      <c r="AX149" t="n">
        <v>0</v>
      </c>
      <c r="BB149" t="inlineStr">
        <is>
          <t>Assets/MachineBrigade/Resources/Data/balance.json: weapons[id=hover_ciws_flak] (lớp B trên 01_chien_dau/Vu_khi)</t>
        </is>
      </c>
      <c r="BC149" t="inlineStr"/>
    </row>
    <row r="150">
      <c r="A150" t="inlineStr">
        <is>
          <t>hover_rockets</t>
        </is>
      </c>
      <c r="B150" t="n">
        <v>3</v>
      </c>
      <c r="C150">
        <f>IF(Vu_khi!$O$150="SIMULTANEOUS",MAX(1,Vu_khi!$N$150),1)</f>
        <v/>
      </c>
      <c r="D150" t="n">
        <v>1</v>
      </c>
      <c r="E150">
        <f>IF(Vu_khi!$S$150&gt;0,Vu_khi!$S$150,Vu_khi!$P$150*$C$150)</f>
        <v/>
      </c>
      <c r="F150" t="n">
        <v>11</v>
      </c>
      <c r="G150">
        <f>IF(Vu_khi!$S$150&gt;0,(Vu_khi!$S$150-1)*Vu_khi!$R$150+Vu_khi!$T$150,Vu_khi!$R$150+(Vu_khi!$P$150-1)*Vu_khi!$Q$150)</f>
        <v/>
      </c>
      <c r="H150" t="n">
        <v>27</v>
      </c>
      <c r="I150">
        <f>Vu_khi!$W$150*MAX(1,$E$150)</f>
        <v/>
      </c>
      <c r="J150" t="n">
        <v>715</v>
      </c>
      <c r="K150">
        <f>IF(Vu_khi!$V$150&gt;0,Vu_khi!$V$150,MIN(28,MAX(10,Vu_khi!$U$150*Vu_khi!$R$150*0.4)))</f>
        <v/>
      </c>
      <c r="L150" t="n">
        <v>10</v>
      </c>
      <c r="M150">
        <f>IF(Vu_khi!$W$150&lt;=0,0,IF(Vu_khi!$U$150&gt;0,$I$150*Vu_khi!$U$150/(MAX(0.05,$G$150)*Vu_khi!$U$150+$K$150),$I$150/MAX(0.05,$G$150)))</f>
        <v/>
      </c>
      <c r="N150" t="n">
        <v>26.48148148148148</v>
      </c>
      <c r="O150">
        <f>OR(Vu_khi!$AG$150,Vu_khi!$AB$150&gt;0,Vu_khi!$AH$150,Vu_khi!$M$150="Bomb",Vu_khi!$M$150="Drone")</f>
        <v/>
      </c>
      <c r="P150" t="b">
        <v>1</v>
      </c>
      <c r="Q150">
        <f>AND(NOT(Vu_khi!$AJ$150),OR(Vu_khi!$AC$150="Ground",Vu_khi!$AC$150="All"))</f>
        <v/>
      </c>
      <c r="R150" t="b">
        <v>1</v>
      </c>
      <c r="S150">
        <f>AND(NOT(Vu_khi!$AJ$150),OR(Vu_khi!$AC$150="Air",Vu_khi!$AC$150="All"))</f>
        <v/>
      </c>
      <c r="T150" t="b">
        <v>0</v>
      </c>
      <c r="U150">
        <f>INDEX(Bang_sat_thuong!$B$2:$B$7,MATCH(Vu_khi!$K$150,Bang_sat_thuong!$A$2:$A$7,0))</f>
        <v/>
      </c>
      <c r="V150" t="n">
        <v>1</v>
      </c>
      <c r="W150">
        <f>INDEX(Bang_sat_thuong!$C$2:$C$7,MATCH(Vu_khi!$K$150,Bang_sat_thuong!$A$2:$A$7,0))</f>
        <v/>
      </c>
      <c r="X150" t="n">
        <v>0</v>
      </c>
      <c r="Y150">
        <f>IF(AND(Vu_khi!$AI$150,Vu_khi!$K$150="HighExplosive"),MAX(He_so_toan_cuc!$D$2,INDEX(Bang_sat_thuong!$D$2:$D$7,MATCH(Vu_khi!$K$150,Bang_sat_thuong!$A$2:$A$7,0))),INDEX(Bang_sat_thuong!$D$2:$D$7,MATCH(Vu_khi!$K$150,Bang_sat_thuong!$A$2:$A$7,0)))</f>
        <v/>
      </c>
      <c r="Z150" t="n">
        <v>1.5</v>
      </c>
      <c r="AA150">
        <f>INDEX(Bang_xuyen_giap!$C$2:$C$7,MIN(6,MAX(1,IF($O$150,MAX(1,2-(Vu_khi!$L$150-0)),2-(Vu_khi!$L$150-0))+1)))</f>
        <v/>
      </c>
      <c r="AB150" t="n">
        <v>1</v>
      </c>
      <c r="AC150">
        <f>INDEX(Bang_xuyen_giap!$C$2:$C$7,MIN(6,MAX(1,IF($O$150,MAX(1,2-(Vu_khi!$L$150-2)),2-(Vu_khi!$L$150-2))+1)))</f>
        <v/>
      </c>
      <c r="AD150" t="n">
        <v>0.85</v>
      </c>
      <c r="AE150">
        <f>INDEX(Bang_xuyen_giap!$C$2:$C$7,MIN(6,MAX(1,IF($O$150,MAX(1,2-(Vu_khi!$L$150-4)),2-(Vu_khi!$L$150-4))+1)))</f>
        <v/>
      </c>
      <c r="AF150" t="n">
        <v>0.25</v>
      </c>
      <c r="AG150">
        <f>INDEX(Bang_xuyen_giap!$C$2:$C$7,MIN(6,MAX(1,MAX(1,2-(Vu_khi!$L$150-0))+1)))</f>
        <v/>
      </c>
      <c r="AH150" t="n">
        <v>1</v>
      </c>
      <c r="AI150">
        <f>IF($Q$150,$M$150*$AA$150*$U$150,0)</f>
        <v/>
      </c>
      <c r="AJ150" t="n">
        <v>26.48148148148148</v>
      </c>
      <c r="AK150">
        <f>IF($Q$150,$M$150*$AC$150*$U$150,0)</f>
        <v/>
      </c>
      <c r="AL150" t="n">
        <v>22.50925925925926</v>
      </c>
      <c r="AM150">
        <f>IF($Q$150,$M$150*$AE$150*$U$150,0)</f>
        <v/>
      </c>
      <c r="AN150" t="n">
        <v>6.62037037037037</v>
      </c>
      <c r="AO150">
        <f>IF($Q$150,$M$150*$AC$150*$Y$150,0)</f>
        <v/>
      </c>
      <c r="AP150" t="n">
        <v>33.76388888888889</v>
      </c>
      <c r="AQ150">
        <f>IF($S$150,$M$150*$AG$150*$W$150,0)</f>
        <v/>
      </c>
      <c r="AR150" t="n">
        <v>0</v>
      </c>
      <c r="AS150">
        <f>IF(OR(Vu_khi!$M$150="Missile",Vu_khi!$M$150="Drone",AND(Vu_khi!$M$150="Rocket",OR(Vu_khi!$AM$150,Vu_khi!$D$150="guided")),Vu_khi!$AL$150,Vu_khi!$AK$150,Vu_khi!$X$150&lt;=0),FALSE,IF($B$150&gt;=0,$B$150&gt;=4,IF(Vu_khi!$M$150="Shell",Vu_khi!$AN$150&gt;=Canh_bao_vong!$D$10,IF(Vu_khi!$M$150="Bomb",Vu_khi!$AN$150&gt;=Canh_bao_vong!$D$3,IF(Vu_khi!$M$150="Rocket",Vu_khi!$AN$150&gt;=Canh_bao_vong!$D$13,FALSE)))))</f>
        <v/>
      </c>
      <c r="AT150" t="b">
        <v>0</v>
      </c>
      <c r="AU150">
        <f>IF(AND($B$150&lt;0,$AS$150),4,$B$150)</f>
        <v/>
      </c>
      <c r="AV150" t="n">
        <v>3</v>
      </c>
      <c r="AW150">
        <f>IF($AU$150&lt;4,0,MIN(MAX(0.5,Canh_bao_vong!$D$4),MAX(IF(Vu_khi!$C$150="cal_406",Canh_bao_vong!$D$7,IF($AU$150&gt;=5,Canh_bao_vong!$D$9,Canh_bao_vong!$D$8)),Canh_bao_vong!$D$2+MAX(0,Vu_khi!$X$150)/MAX(0.1,Canh_bao_vong!$D$5))))</f>
        <v/>
      </c>
      <c r="AX150" t="n">
        <v>0</v>
      </c>
      <c r="AY150" t="n">
        <v>1</v>
      </c>
      <c r="AZ150" t="inlineStr">
        <is>
          <t>ok</t>
        </is>
      </c>
      <c r="BA150" t="b">
        <v>1</v>
      </c>
      <c r="BB150" t="inlineStr">
        <is>
          <t>Assets/MachineBrigade/Resources/Data/balance.json: weapons[id=hover_rockets] (lớp B trên 01_chien_dau/Vu_khi)</t>
        </is>
      </c>
      <c r="BC150" t="inlineStr"/>
    </row>
    <row r="151">
      <c r="A151" t="inlineStr">
        <is>
          <t>howitzer</t>
        </is>
      </c>
      <c r="B151" t="n">
        <v>3</v>
      </c>
      <c r="C151">
        <f>IF(Vu_khi!$O$151="SIMULTANEOUS",MAX(1,Vu_khi!$N$151),1)</f>
        <v/>
      </c>
      <c r="D151" t="n">
        <v>1</v>
      </c>
      <c r="E151">
        <f>IF(Vu_khi!$S$151&gt;0,Vu_khi!$S$151,Vu_khi!$P$151*$C$151)</f>
        <v/>
      </c>
      <c r="F151" t="n">
        <v>1</v>
      </c>
      <c r="G151">
        <f>IF(Vu_khi!$S$151&gt;0,(Vu_khi!$S$151-1)*Vu_khi!$R$151+Vu_khi!$T$151,Vu_khi!$R$151+(Vu_khi!$P$151-1)*Vu_khi!$Q$151)</f>
        <v/>
      </c>
      <c r="H151" t="n">
        <v>10.204</v>
      </c>
      <c r="I151">
        <f>Vu_khi!$W$151*MAX(1,$E$151)</f>
        <v/>
      </c>
      <c r="J151" t="n">
        <v>457</v>
      </c>
      <c r="K151">
        <f>IF(Vu_khi!$V$151&gt;0,Vu_khi!$V$151,MIN(28,MAX(10,Vu_khi!$U$151*Vu_khi!$R$151*0.4)))</f>
        <v/>
      </c>
      <c r="L151" t="n">
        <v>33.49</v>
      </c>
      <c r="M151">
        <f>IF(Vu_khi!$W$151&lt;=0,0,IF(Vu_khi!$U$151&gt;0,$I$151*Vu_khi!$U$151/(MAX(0.05,$G$151)*Vu_khi!$U$151+$K$151),$I$151/MAX(0.05,$G$151)))</f>
        <v/>
      </c>
      <c r="N151" t="n">
        <v>38.4728711537652</v>
      </c>
      <c r="O151">
        <f>OR(Vu_khi!$AG$151,Vu_khi!$AB$151&gt;0,Vu_khi!$AH$151,Vu_khi!$M$151="Bomb",Vu_khi!$M$151="Drone")</f>
        <v/>
      </c>
      <c r="P151" t="b">
        <v>1</v>
      </c>
      <c r="Q151">
        <f>AND(NOT(Vu_khi!$AJ$151),OR(Vu_khi!$AC$151="Ground",Vu_khi!$AC$151="All"))</f>
        <v/>
      </c>
      <c r="R151" t="b">
        <v>1</v>
      </c>
      <c r="S151">
        <f>AND(NOT(Vu_khi!$AJ$151),OR(Vu_khi!$AC$151="Air",Vu_khi!$AC$151="All"))</f>
        <v/>
      </c>
      <c r="T151" t="b">
        <v>0</v>
      </c>
      <c r="U151">
        <f>INDEX(Bang_sat_thuong!$B$2:$B$7,MATCH(Vu_khi!$K$151,Bang_sat_thuong!$A$2:$A$7,0))</f>
        <v/>
      </c>
      <c r="V151" t="n">
        <v>1</v>
      </c>
      <c r="W151">
        <f>INDEX(Bang_sat_thuong!$C$2:$C$7,MATCH(Vu_khi!$K$151,Bang_sat_thuong!$A$2:$A$7,0))</f>
        <v/>
      </c>
      <c r="X151" t="n">
        <v>0</v>
      </c>
      <c r="Y151">
        <f>IF(AND(Vu_khi!$AI$151,Vu_khi!$K$151="HighExplosive"),MAX(He_so_toan_cuc!$D$2,INDEX(Bang_sat_thuong!$D$2:$D$7,MATCH(Vu_khi!$K$151,Bang_sat_thuong!$A$2:$A$7,0))),INDEX(Bang_sat_thuong!$D$2:$D$7,MATCH(Vu_khi!$K$151,Bang_sat_thuong!$A$2:$A$7,0)))</f>
        <v/>
      </c>
      <c r="Z151" t="n">
        <v>1.5</v>
      </c>
      <c r="AA151">
        <f>INDEX(Bang_xuyen_giap!$C$2:$C$7,MIN(6,MAX(1,IF($O$151,MAX(1,2-(Vu_khi!$L$151-0)),2-(Vu_khi!$L$151-0))+1)))</f>
        <v/>
      </c>
      <c r="AB151" t="n">
        <v>1</v>
      </c>
      <c r="AC151">
        <f>INDEX(Bang_xuyen_giap!$C$2:$C$7,MIN(6,MAX(1,IF($O$151,MAX(1,2-(Vu_khi!$L$151-2)),2-(Vu_khi!$L$151-2))+1)))</f>
        <v/>
      </c>
      <c r="AD151" t="n">
        <v>1</v>
      </c>
      <c r="AE151">
        <f>INDEX(Bang_xuyen_giap!$C$2:$C$7,MIN(6,MAX(1,IF($O$151,MAX(1,2-(Vu_khi!$L$151-4)),2-(Vu_khi!$L$151-4))+1)))</f>
        <v/>
      </c>
      <c r="AF151" t="n">
        <v>0.5</v>
      </c>
      <c r="AG151">
        <f>INDEX(Bang_xuyen_giap!$C$2:$C$7,MIN(6,MAX(1,MAX(1,2-(Vu_khi!$L$151-0))+1)))</f>
        <v/>
      </c>
      <c r="AH151" t="n">
        <v>1</v>
      </c>
      <c r="AI151">
        <f>IF($Q$151,$M$151*$AA$151*$U$151,0)</f>
        <v/>
      </c>
      <c r="AJ151" t="n">
        <v>38.4728711537652</v>
      </c>
      <c r="AK151">
        <f>IF($Q$151,$M$151*$AC$151*$U$151,0)</f>
        <v/>
      </c>
      <c r="AL151" t="n">
        <v>38.4728711537652</v>
      </c>
      <c r="AM151">
        <f>IF($Q$151,$M$151*$AE$151*$U$151,0)</f>
        <v/>
      </c>
      <c r="AN151" t="n">
        <v>19.2364355768826</v>
      </c>
      <c r="AO151">
        <f>IF($Q$151,$M$151*$AC$151*$Y$151,0)</f>
        <v/>
      </c>
      <c r="AP151" t="n">
        <v>57.70930673064781</v>
      </c>
      <c r="AQ151">
        <f>IF($S$151,$M$151*$AG$151*$W$151,0)</f>
        <v/>
      </c>
      <c r="AR151" t="n">
        <v>0</v>
      </c>
      <c r="AS151">
        <f>IF(OR(Vu_khi!$M$151="Missile",Vu_khi!$M$151="Drone",AND(Vu_khi!$M$151="Rocket",OR(Vu_khi!$AM$151,Vu_khi!$D$151="guided")),Vu_khi!$AL$151,Vu_khi!$AK$151,Vu_khi!$X$151&lt;=0),FALSE,IF($B$151&gt;=0,$B$151&gt;=4,IF(Vu_khi!$M$151="Shell",Vu_khi!$AN$151&gt;=Canh_bao_vong!$D$10,IF(Vu_khi!$M$151="Bomb",Vu_khi!$AN$151&gt;=Canh_bao_vong!$D$3,IF(Vu_khi!$M$151="Rocket",Vu_khi!$AN$151&gt;=Canh_bao_vong!$D$13,FALSE)))))</f>
        <v/>
      </c>
      <c r="AT151" t="b">
        <v>0</v>
      </c>
      <c r="AU151">
        <f>IF(AND($B$151&lt;0,$AS$151),4,$B$151)</f>
        <v/>
      </c>
      <c r="AV151" t="n">
        <v>3</v>
      </c>
      <c r="AW151">
        <f>IF($AU$151&lt;4,0,MIN(MAX(0.5,Canh_bao_vong!$D$4),MAX(IF(Vu_khi!$C$151="cal_406",Canh_bao_vong!$D$7,IF($AU$151&gt;=5,Canh_bao_vong!$D$9,Canh_bao_vong!$D$8)),Canh_bao_vong!$D$2+MAX(0,Vu_khi!$X$151)/MAX(0.1,Canh_bao_vong!$D$5))))</f>
        <v/>
      </c>
      <c r="AX151" t="n">
        <v>0</v>
      </c>
      <c r="AY151" t="n">
        <v>0.55433</v>
      </c>
      <c r="AZ151" t="inlineStr">
        <is>
          <t>NHANH_QUA</t>
        </is>
      </c>
      <c r="BA151" t="inlineStr"/>
      <c r="BB151" t="inlineStr">
        <is>
          <t>Assets/MachineBrigade/Resources/Data/balance.json: weapons[id=howitzer] (lớp B trên 01_chien_dau/Vu_khi)</t>
        </is>
      </c>
      <c r="BC151" t="inlineStr"/>
    </row>
    <row r="152">
      <c r="A152" t="inlineStr">
        <is>
          <t>howitzer_ext</t>
        </is>
      </c>
      <c r="B152" t="n">
        <v>3</v>
      </c>
      <c r="C152">
        <f>IF(Vu_khi!$O$152="SIMULTANEOUS",MAX(1,Vu_khi!$N$152),1)</f>
        <v/>
      </c>
      <c r="D152" t="n">
        <v>1</v>
      </c>
      <c r="E152">
        <f>IF(Vu_khi!$S$152&gt;0,Vu_khi!$S$152,Vu_khi!$P$152*$C$152)</f>
        <v/>
      </c>
      <c r="F152" t="n">
        <v>1</v>
      </c>
      <c r="G152">
        <f>IF(Vu_khi!$S$152&gt;0,(Vu_khi!$S$152-1)*Vu_khi!$R$152+Vu_khi!$T$152,Vu_khi!$R$152+(Vu_khi!$P$152-1)*Vu_khi!$Q$152)</f>
        <v/>
      </c>
      <c r="H152" t="n">
        <v>7.571</v>
      </c>
      <c r="I152">
        <f>Vu_khi!$W$152*MAX(1,$E$152)</f>
        <v/>
      </c>
      <c r="J152" t="n">
        <v>457</v>
      </c>
      <c r="K152">
        <f>IF(Vu_khi!$V$152&gt;0,Vu_khi!$V$152,MIN(28,MAX(10,Vu_khi!$U$152*Vu_khi!$R$152*0.4)))</f>
        <v/>
      </c>
      <c r="L152" t="n">
        <v>21</v>
      </c>
      <c r="M152">
        <f>IF(Vu_khi!$W$152&lt;=0,0,IF(Vu_khi!$U$152&gt;0,$I$152*Vu_khi!$U$152/(MAX(0.05,$G$152)*Vu_khi!$U$152+$K$152),$I$152/MAX(0.05,$G$152)))</f>
        <v/>
      </c>
      <c r="N152" t="n">
        <v>53.01009163670108</v>
      </c>
      <c r="O152">
        <f>OR(Vu_khi!$AG$152,Vu_khi!$AB$152&gt;0,Vu_khi!$AH$152,Vu_khi!$M$152="Bomb",Vu_khi!$M$152="Drone")</f>
        <v/>
      </c>
      <c r="P152" t="b">
        <v>1</v>
      </c>
      <c r="Q152">
        <f>AND(NOT(Vu_khi!$AJ$152),OR(Vu_khi!$AC$152="Ground",Vu_khi!$AC$152="All"))</f>
        <v/>
      </c>
      <c r="R152" t="b">
        <v>1</v>
      </c>
      <c r="S152">
        <f>AND(NOT(Vu_khi!$AJ$152),OR(Vu_khi!$AC$152="Air",Vu_khi!$AC$152="All"))</f>
        <v/>
      </c>
      <c r="T152" t="b">
        <v>0</v>
      </c>
      <c r="U152">
        <f>INDEX(Bang_sat_thuong!$B$2:$B$7,MATCH(Vu_khi!$K$152,Bang_sat_thuong!$A$2:$A$7,0))</f>
        <v/>
      </c>
      <c r="V152" t="n">
        <v>1</v>
      </c>
      <c r="W152">
        <f>INDEX(Bang_sat_thuong!$C$2:$C$7,MATCH(Vu_khi!$K$152,Bang_sat_thuong!$A$2:$A$7,0))</f>
        <v/>
      </c>
      <c r="X152" t="n">
        <v>0</v>
      </c>
      <c r="Y152">
        <f>IF(AND(Vu_khi!$AI$152,Vu_khi!$K$152="HighExplosive"),MAX(He_so_toan_cuc!$D$2,INDEX(Bang_sat_thuong!$D$2:$D$7,MATCH(Vu_khi!$K$152,Bang_sat_thuong!$A$2:$A$7,0))),INDEX(Bang_sat_thuong!$D$2:$D$7,MATCH(Vu_khi!$K$152,Bang_sat_thuong!$A$2:$A$7,0)))</f>
        <v/>
      </c>
      <c r="Z152" t="n">
        <v>1.5</v>
      </c>
      <c r="AA152">
        <f>INDEX(Bang_xuyen_giap!$C$2:$C$7,MIN(6,MAX(1,IF($O$152,MAX(1,2-(Vu_khi!$L$152-0)),2-(Vu_khi!$L$152-0))+1)))</f>
        <v/>
      </c>
      <c r="AB152" t="n">
        <v>1</v>
      </c>
      <c r="AC152">
        <f>INDEX(Bang_xuyen_giap!$C$2:$C$7,MIN(6,MAX(1,IF($O$152,MAX(1,2-(Vu_khi!$L$152-2)),2-(Vu_khi!$L$152-2))+1)))</f>
        <v/>
      </c>
      <c r="AD152" t="n">
        <v>1</v>
      </c>
      <c r="AE152">
        <f>INDEX(Bang_xuyen_giap!$C$2:$C$7,MIN(6,MAX(1,IF($O$152,MAX(1,2-(Vu_khi!$L$152-4)),2-(Vu_khi!$L$152-4))+1)))</f>
        <v/>
      </c>
      <c r="AF152" t="n">
        <v>0.5</v>
      </c>
      <c r="AG152">
        <f>INDEX(Bang_xuyen_giap!$C$2:$C$7,MIN(6,MAX(1,MAX(1,2-(Vu_khi!$L$152-0))+1)))</f>
        <v/>
      </c>
      <c r="AH152" t="n">
        <v>1</v>
      </c>
      <c r="AI152">
        <f>IF($Q$152,$M$152*$AA$152*$U$152,0)</f>
        <v/>
      </c>
      <c r="AJ152" t="n">
        <v>53.01009163670108</v>
      </c>
      <c r="AK152">
        <f>IF($Q$152,$M$152*$AC$152*$U$152,0)</f>
        <v/>
      </c>
      <c r="AL152" t="n">
        <v>53.01009163670108</v>
      </c>
      <c r="AM152">
        <f>IF($Q$152,$M$152*$AE$152*$U$152,0)</f>
        <v/>
      </c>
      <c r="AN152" t="n">
        <v>26.50504581835054</v>
      </c>
      <c r="AO152">
        <f>IF($Q$152,$M$152*$AC$152*$Y$152,0)</f>
        <v/>
      </c>
      <c r="AP152" t="n">
        <v>79.51513745505163</v>
      </c>
      <c r="AQ152">
        <f>IF($S$152,$M$152*$AG$152*$W$152,0)</f>
        <v/>
      </c>
      <c r="AR152" t="n">
        <v>0</v>
      </c>
      <c r="AS152">
        <f>IF(OR(Vu_khi!$M$152="Missile",Vu_khi!$M$152="Drone",AND(Vu_khi!$M$152="Rocket",OR(Vu_khi!$AM$152,Vu_khi!$D$152="guided")),Vu_khi!$AL$152,Vu_khi!$AK$152,Vu_khi!$X$152&lt;=0),FALSE,IF($B$152&gt;=0,$B$152&gt;=4,IF(Vu_khi!$M$152="Shell",Vu_khi!$AN$152&gt;=Canh_bao_vong!$D$10,IF(Vu_khi!$M$152="Bomb",Vu_khi!$AN$152&gt;=Canh_bao_vong!$D$3,IF(Vu_khi!$M$152="Rocket",Vu_khi!$AN$152&gt;=Canh_bao_vong!$D$13,FALSE)))))</f>
        <v/>
      </c>
      <c r="AT152" t="b">
        <v>0</v>
      </c>
      <c r="AU152">
        <f>IF(AND($B$152&lt;0,$AS$152),4,$B$152)</f>
        <v/>
      </c>
      <c r="AV152" t="n">
        <v>3</v>
      </c>
      <c r="AW152">
        <f>IF($AU$152&lt;4,0,MIN(MAX(0.5,Canh_bao_vong!$D$4),MAX(IF(Vu_khi!$C$152="cal_406",Canh_bao_vong!$D$7,IF($AU$152&gt;=5,Canh_bao_vong!$D$9,Canh_bao_vong!$D$8)),Canh_bao_vong!$D$2+MAX(0,Vu_khi!$X$152)/MAX(0.1,Canh_bao_vong!$D$5))))</f>
        <v/>
      </c>
      <c r="AX152" t="n">
        <v>0</v>
      </c>
      <c r="AY152" t="n">
        <v>0.402313</v>
      </c>
      <c r="AZ152" t="inlineStr">
        <is>
          <t>NHANH_QUA;LECH_DOT_1</t>
        </is>
      </c>
      <c r="BA152" t="inlineStr"/>
      <c r="BB152" t="inlineStr">
        <is>
          <t>Assets/MachineBrigade/Resources/Data/balance.json: weapons[id=howitzer_ext] (lớp B trên 01_chien_dau/Vu_khi)</t>
        </is>
      </c>
      <c r="BC152" t="inlineStr"/>
    </row>
    <row r="153">
      <c r="A153" t="inlineStr">
        <is>
          <t>howitzer_fixed</t>
        </is>
      </c>
      <c r="B153" t="n">
        <v>3</v>
      </c>
      <c r="C153">
        <f>IF(Vu_khi!$O$153="SIMULTANEOUS",MAX(1,Vu_khi!$N$153),1)</f>
        <v/>
      </c>
      <c r="D153" t="n">
        <v>1</v>
      </c>
      <c r="E153">
        <f>IF(Vu_khi!$S$153&gt;0,Vu_khi!$S$153,Vu_khi!$P$153*$C$153)</f>
        <v/>
      </c>
      <c r="F153" t="n">
        <v>1</v>
      </c>
      <c r="G153">
        <f>IF(Vu_khi!$S$153&gt;0,(Vu_khi!$S$153-1)*Vu_khi!$R$153+Vu_khi!$T$153,Vu_khi!$R$153+(Vu_khi!$P$153-1)*Vu_khi!$Q$153)</f>
        <v/>
      </c>
      <c r="H153" t="n">
        <v>10</v>
      </c>
      <c r="I153">
        <f>Vu_khi!$W$153*MAX(1,$E$153)</f>
        <v/>
      </c>
      <c r="J153" t="n">
        <v>520</v>
      </c>
      <c r="K153">
        <f>IF(Vu_khi!$V$153&gt;0,Vu_khi!$V$153,MIN(28,MAX(10,Vu_khi!$U$153*Vu_khi!$R$153*0.4)))</f>
        <v/>
      </c>
      <c r="L153" t="n">
        <v>13</v>
      </c>
      <c r="M153">
        <f>IF(Vu_khi!$W$153&lt;=0,0,IF(Vu_khi!$U$153&gt;0,$I$153*Vu_khi!$U$153/(MAX(0.05,$G$153)*Vu_khi!$U$153+$K$153),$I$153/MAX(0.05,$G$153)))</f>
        <v/>
      </c>
      <c r="N153" t="n">
        <v>48.82629107981221</v>
      </c>
      <c r="O153">
        <f>OR(Vu_khi!$AG$153,Vu_khi!$AB$153&gt;0,Vu_khi!$AH$153,Vu_khi!$M$153="Bomb",Vu_khi!$M$153="Drone")</f>
        <v/>
      </c>
      <c r="P153" t="b">
        <v>1</v>
      </c>
      <c r="Q153">
        <f>AND(NOT(Vu_khi!$AJ$153),OR(Vu_khi!$AC$153="Ground",Vu_khi!$AC$153="All"))</f>
        <v/>
      </c>
      <c r="R153" t="b">
        <v>1</v>
      </c>
      <c r="S153">
        <f>AND(NOT(Vu_khi!$AJ$153),OR(Vu_khi!$AC$153="Air",Vu_khi!$AC$153="All"))</f>
        <v/>
      </c>
      <c r="T153" t="b">
        <v>0</v>
      </c>
      <c r="U153">
        <f>INDEX(Bang_sat_thuong!$B$2:$B$7,MATCH(Vu_khi!$K$153,Bang_sat_thuong!$A$2:$A$7,0))</f>
        <v/>
      </c>
      <c r="V153" t="n">
        <v>1</v>
      </c>
      <c r="W153">
        <f>INDEX(Bang_sat_thuong!$C$2:$C$7,MATCH(Vu_khi!$K$153,Bang_sat_thuong!$A$2:$A$7,0))</f>
        <v/>
      </c>
      <c r="X153" t="n">
        <v>0</v>
      </c>
      <c r="Y153">
        <f>IF(AND(Vu_khi!$AI$153,Vu_khi!$K$153="HighExplosive"),MAX(He_so_toan_cuc!$D$2,INDEX(Bang_sat_thuong!$D$2:$D$7,MATCH(Vu_khi!$K$153,Bang_sat_thuong!$A$2:$A$7,0))),INDEX(Bang_sat_thuong!$D$2:$D$7,MATCH(Vu_khi!$K$153,Bang_sat_thuong!$A$2:$A$7,0)))</f>
        <v/>
      </c>
      <c r="Z153" t="n">
        <v>1.5</v>
      </c>
      <c r="AA153">
        <f>INDEX(Bang_xuyen_giap!$C$2:$C$7,MIN(6,MAX(1,IF($O$153,MAX(1,2-(Vu_khi!$L$153-0)),2-(Vu_khi!$L$153-0))+1)))</f>
        <v/>
      </c>
      <c r="AB153" t="n">
        <v>1</v>
      </c>
      <c r="AC153">
        <f>INDEX(Bang_xuyen_giap!$C$2:$C$7,MIN(6,MAX(1,IF($O$153,MAX(1,2-(Vu_khi!$L$153-2)),2-(Vu_khi!$L$153-2))+1)))</f>
        <v/>
      </c>
      <c r="AD153" t="n">
        <v>1</v>
      </c>
      <c r="AE153">
        <f>INDEX(Bang_xuyen_giap!$C$2:$C$7,MIN(6,MAX(1,IF($O$153,MAX(1,2-(Vu_khi!$L$153-4)),2-(Vu_khi!$L$153-4))+1)))</f>
        <v/>
      </c>
      <c r="AF153" t="n">
        <v>0.5</v>
      </c>
      <c r="AG153">
        <f>INDEX(Bang_xuyen_giap!$C$2:$C$7,MIN(6,MAX(1,MAX(1,2-(Vu_khi!$L$153-0))+1)))</f>
        <v/>
      </c>
      <c r="AH153" t="n">
        <v>1</v>
      </c>
      <c r="AI153">
        <f>IF($Q$153,$M$153*$AA$153*$U$153,0)</f>
        <v/>
      </c>
      <c r="AJ153" t="n">
        <v>48.82629107981221</v>
      </c>
      <c r="AK153">
        <f>IF($Q$153,$M$153*$AC$153*$U$153,0)</f>
        <v/>
      </c>
      <c r="AL153" t="n">
        <v>48.82629107981221</v>
      </c>
      <c r="AM153">
        <f>IF($Q$153,$M$153*$AE$153*$U$153,0)</f>
        <v/>
      </c>
      <c r="AN153" t="n">
        <v>24.4131455399061</v>
      </c>
      <c r="AO153">
        <f>IF($Q$153,$M$153*$AC$153*$Y$153,0)</f>
        <v/>
      </c>
      <c r="AP153" t="n">
        <v>73.2394366197183</v>
      </c>
      <c r="AQ153">
        <f>IF($S$153,$M$153*$AG$153*$W$153,0)</f>
        <v/>
      </c>
      <c r="AR153" t="n">
        <v>0</v>
      </c>
      <c r="AS153">
        <f>IF(OR(Vu_khi!$M$153="Missile",Vu_khi!$M$153="Drone",AND(Vu_khi!$M$153="Rocket",OR(Vu_khi!$AM$153,Vu_khi!$D$153="guided")),Vu_khi!$AL$153,Vu_khi!$AK$153,Vu_khi!$X$153&lt;=0),FALSE,IF($B$153&gt;=0,$B$153&gt;=4,IF(Vu_khi!$M$153="Shell",Vu_khi!$AN$153&gt;=Canh_bao_vong!$D$10,IF(Vu_khi!$M$153="Bomb",Vu_khi!$AN$153&gt;=Canh_bao_vong!$D$3,IF(Vu_khi!$M$153="Rocket",Vu_khi!$AN$153&gt;=Canh_bao_vong!$D$13,FALSE)))))</f>
        <v/>
      </c>
      <c r="AT153" t="b">
        <v>0</v>
      </c>
      <c r="AU153">
        <f>IF(AND($B$153&lt;0,$AS$153),4,$B$153)</f>
        <v/>
      </c>
      <c r="AV153" t="n">
        <v>3</v>
      </c>
      <c r="AW153">
        <f>IF($AU$153&lt;4,0,MIN(MAX(0.5,Canh_bao_vong!$D$4),MAX(IF(Vu_khi!$C$153="cal_406",Canh_bao_vong!$D$7,IF($AU$153&gt;=5,Canh_bao_vong!$D$9,Canh_bao_vong!$D$8)),Canh_bao_vong!$D$2+MAX(0,Vu_khi!$X$153)/MAX(0.1,Canh_bao_vong!$D$5))))</f>
        <v/>
      </c>
      <c r="AX153" t="n">
        <v>0</v>
      </c>
      <c r="AY153" t="n">
        <v>0.497</v>
      </c>
      <c r="AZ153" t="inlineStr">
        <is>
          <t>NHANH_QUA;LECH_DOT_1</t>
        </is>
      </c>
      <c r="BA153" t="inlineStr"/>
      <c r="BB153" t="inlineStr">
        <is>
          <t>Assets/MachineBrigade/Resources/Data/balance.json: weapons[id=howitzer_fixed] (lớp B trên 01_chien_dau/Vu_khi)</t>
        </is>
      </c>
      <c r="BC153" t="inlineStr"/>
    </row>
    <row r="154">
      <c r="A154" t="inlineStr">
        <is>
          <t>howitzer_fixed_guided</t>
        </is>
      </c>
      <c r="B154" t="n">
        <v>3</v>
      </c>
      <c r="C154">
        <f>IF(Vu_khi!$O$154="SIMULTANEOUS",MAX(1,Vu_khi!$N$154),1)</f>
        <v/>
      </c>
      <c r="D154" t="n">
        <v>1</v>
      </c>
      <c r="E154">
        <f>IF(Vu_khi!$S$154&gt;0,Vu_khi!$S$154,Vu_khi!$P$154*$C$154)</f>
        <v/>
      </c>
      <c r="F154" t="n">
        <v>1</v>
      </c>
      <c r="G154">
        <f>IF(Vu_khi!$S$154&gt;0,(Vu_khi!$S$154-1)*Vu_khi!$R$154+Vu_khi!$T$154,Vu_khi!$R$154+(Vu_khi!$P$154-1)*Vu_khi!$Q$154)</f>
        <v/>
      </c>
      <c r="H154" t="n">
        <v>10</v>
      </c>
      <c r="I154">
        <f>Vu_khi!$W$154*MAX(1,$E$154)</f>
        <v/>
      </c>
      <c r="J154" t="n">
        <v>520</v>
      </c>
      <c r="K154">
        <f>IF(Vu_khi!$V$154&gt;0,Vu_khi!$V$154,MIN(28,MAX(10,Vu_khi!$U$154*Vu_khi!$R$154*0.4)))</f>
        <v/>
      </c>
      <c r="L154" t="n">
        <v>13</v>
      </c>
      <c r="M154">
        <f>IF(Vu_khi!$W$154&lt;=0,0,IF(Vu_khi!$U$154&gt;0,$I$154*Vu_khi!$U$154/(MAX(0.05,$G$154)*Vu_khi!$U$154+$K$154),$I$154/MAX(0.05,$G$154)))</f>
        <v/>
      </c>
      <c r="N154" t="n">
        <v>48.82629107981221</v>
      </c>
      <c r="O154">
        <f>OR(Vu_khi!$AG$154,Vu_khi!$AB$154&gt;0,Vu_khi!$AH$154,Vu_khi!$M$154="Bomb",Vu_khi!$M$154="Drone")</f>
        <v/>
      </c>
      <c r="P154" t="b">
        <v>1</v>
      </c>
      <c r="Q154">
        <f>AND(NOT(Vu_khi!$AJ$154),OR(Vu_khi!$AC$154="Ground",Vu_khi!$AC$154="All"))</f>
        <v/>
      </c>
      <c r="R154" t="b">
        <v>1</v>
      </c>
      <c r="S154">
        <f>AND(NOT(Vu_khi!$AJ$154),OR(Vu_khi!$AC$154="Air",Vu_khi!$AC$154="All"))</f>
        <v/>
      </c>
      <c r="T154" t="b">
        <v>0</v>
      </c>
      <c r="U154">
        <f>INDEX(Bang_sat_thuong!$B$2:$B$7,MATCH(Vu_khi!$K$154,Bang_sat_thuong!$A$2:$A$7,0))</f>
        <v/>
      </c>
      <c r="V154" t="n">
        <v>1</v>
      </c>
      <c r="W154">
        <f>INDEX(Bang_sat_thuong!$C$2:$C$7,MATCH(Vu_khi!$K$154,Bang_sat_thuong!$A$2:$A$7,0))</f>
        <v/>
      </c>
      <c r="X154" t="n">
        <v>0</v>
      </c>
      <c r="Y154">
        <f>IF(AND(Vu_khi!$AI$154,Vu_khi!$K$154="HighExplosive"),MAX(He_so_toan_cuc!$D$2,INDEX(Bang_sat_thuong!$D$2:$D$7,MATCH(Vu_khi!$K$154,Bang_sat_thuong!$A$2:$A$7,0))),INDEX(Bang_sat_thuong!$D$2:$D$7,MATCH(Vu_khi!$K$154,Bang_sat_thuong!$A$2:$A$7,0)))</f>
        <v/>
      </c>
      <c r="Z154" t="n">
        <v>1.5</v>
      </c>
      <c r="AA154">
        <f>INDEX(Bang_xuyen_giap!$C$2:$C$7,MIN(6,MAX(1,IF($O$154,MAX(1,2-(Vu_khi!$L$154-0)),2-(Vu_khi!$L$154-0))+1)))</f>
        <v/>
      </c>
      <c r="AB154" t="n">
        <v>1</v>
      </c>
      <c r="AC154">
        <f>INDEX(Bang_xuyen_giap!$C$2:$C$7,MIN(6,MAX(1,IF($O$154,MAX(1,2-(Vu_khi!$L$154-2)),2-(Vu_khi!$L$154-2))+1)))</f>
        <v/>
      </c>
      <c r="AD154" t="n">
        <v>1</v>
      </c>
      <c r="AE154">
        <f>INDEX(Bang_xuyen_giap!$C$2:$C$7,MIN(6,MAX(1,IF($O$154,MAX(1,2-(Vu_khi!$L$154-4)),2-(Vu_khi!$L$154-4))+1)))</f>
        <v/>
      </c>
      <c r="AF154" t="n">
        <v>0.5</v>
      </c>
      <c r="AG154">
        <f>INDEX(Bang_xuyen_giap!$C$2:$C$7,MIN(6,MAX(1,MAX(1,2-(Vu_khi!$L$154-0))+1)))</f>
        <v/>
      </c>
      <c r="AH154" t="n">
        <v>1</v>
      </c>
      <c r="AI154">
        <f>IF($Q$154,$M$154*$AA$154*$U$154,0)</f>
        <v/>
      </c>
      <c r="AJ154" t="n">
        <v>48.82629107981221</v>
      </c>
      <c r="AK154">
        <f>IF($Q$154,$M$154*$AC$154*$U$154,0)</f>
        <v/>
      </c>
      <c r="AL154" t="n">
        <v>48.82629107981221</v>
      </c>
      <c r="AM154">
        <f>IF($Q$154,$M$154*$AE$154*$U$154,0)</f>
        <v/>
      </c>
      <c r="AN154" t="n">
        <v>24.4131455399061</v>
      </c>
      <c r="AO154">
        <f>IF($Q$154,$M$154*$AC$154*$Y$154,0)</f>
        <v/>
      </c>
      <c r="AP154" t="n">
        <v>73.2394366197183</v>
      </c>
      <c r="AQ154">
        <f>IF($S$154,$M$154*$AG$154*$W$154,0)</f>
        <v/>
      </c>
      <c r="AR154" t="n">
        <v>0</v>
      </c>
      <c r="AS154">
        <f>IF(OR(Vu_khi!$M$154="Missile",Vu_khi!$M$154="Drone",AND(Vu_khi!$M$154="Rocket",OR(Vu_khi!$AM$154,Vu_khi!$D$154="guided")),Vu_khi!$AL$154,Vu_khi!$AK$154,Vu_khi!$X$154&lt;=0),FALSE,IF($B$154&gt;=0,$B$154&gt;=4,IF(Vu_khi!$M$154="Shell",Vu_khi!$AN$154&gt;=Canh_bao_vong!$D$10,IF(Vu_khi!$M$154="Bomb",Vu_khi!$AN$154&gt;=Canh_bao_vong!$D$3,IF(Vu_khi!$M$154="Rocket",Vu_khi!$AN$154&gt;=Canh_bao_vong!$D$13,FALSE)))))</f>
        <v/>
      </c>
      <c r="AT154" t="b">
        <v>0</v>
      </c>
      <c r="AU154">
        <f>IF(AND($B$154&lt;0,$AS$154),4,$B$154)</f>
        <v/>
      </c>
      <c r="AV154" t="n">
        <v>3</v>
      </c>
      <c r="AW154">
        <f>IF($AU$154&lt;4,0,MIN(MAX(0.5,Canh_bao_vong!$D$4),MAX(IF(Vu_khi!$C$154="cal_406",Canh_bao_vong!$D$7,IF($AU$154&gt;=5,Canh_bao_vong!$D$9,Canh_bao_vong!$D$8)),Canh_bao_vong!$D$2+MAX(0,Vu_khi!$X$154)/MAX(0.1,Canh_bao_vong!$D$5))))</f>
        <v/>
      </c>
      <c r="AX154" t="n">
        <v>0</v>
      </c>
      <c r="BB154" t="inlineStr">
        <is>
          <t>Assets/MachineBrigade/Resources/Data/balance.json: weapons[id=howitzer_fixed_guided] (lớp B trên 01_chien_dau/Vu_khi)</t>
        </is>
      </c>
      <c r="BC154" t="inlineStr"/>
    </row>
    <row r="155">
      <c r="A155" t="inlineStr">
        <is>
          <t>howitzer_guided</t>
        </is>
      </c>
      <c r="B155" t="n">
        <v>3</v>
      </c>
      <c r="C155">
        <f>IF(Vu_khi!$O$155="SIMULTANEOUS",MAX(1,Vu_khi!$N$155),1)</f>
        <v/>
      </c>
      <c r="D155" t="n">
        <v>1</v>
      </c>
      <c r="E155">
        <f>IF(Vu_khi!$S$155&gt;0,Vu_khi!$S$155,Vu_khi!$P$155*$C$155)</f>
        <v/>
      </c>
      <c r="F155" t="n">
        <v>1</v>
      </c>
      <c r="G155">
        <f>IF(Vu_khi!$S$155&gt;0,(Vu_khi!$S$155-1)*Vu_khi!$R$155+Vu_khi!$T$155,Vu_khi!$R$155+(Vu_khi!$P$155-1)*Vu_khi!$Q$155)</f>
        <v/>
      </c>
      <c r="H155" t="n">
        <v>10.204</v>
      </c>
      <c r="I155">
        <f>Vu_khi!$W$155*MAX(1,$E$155)</f>
        <v/>
      </c>
      <c r="J155" t="n">
        <v>457</v>
      </c>
      <c r="K155">
        <f>IF(Vu_khi!$V$155&gt;0,Vu_khi!$V$155,MIN(28,MAX(10,Vu_khi!$U$155*Vu_khi!$R$155*0.4)))</f>
        <v/>
      </c>
      <c r="L155" t="n">
        <v>33.49</v>
      </c>
      <c r="M155">
        <f>IF(Vu_khi!$W$155&lt;=0,0,IF(Vu_khi!$U$155&gt;0,$I$155*Vu_khi!$U$155/(MAX(0.05,$G$155)*Vu_khi!$U$155+$K$155),$I$155/MAX(0.05,$G$155)))</f>
        <v/>
      </c>
      <c r="N155" t="n">
        <v>38.4728711537652</v>
      </c>
      <c r="O155">
        <f>OR(Vu_khi!$AG$155,Vu_khi!$AB$155&gt;0,Vu_khi!$AH$155,Vu_khi!$M$155="Bomb",Vu_khi!$M$155="Drone")</f>
        <v/>
      </c>
      <c r="P155" t="b">
        <v>1</v>
      </c>
      <c r="Q155">
        <f>AND(NOT(Vu_khi!$AJ$155),OR(Vu_khi!$AC$155="Ground",Vu_khi!$AC$155="All"))</f>
        <v/>
      </c>
      <c r="R155" t="b">
        <v>1</v>
      </c>
      <c r="S155">
        <f>AND(NOT(Vu_khi!$AJ$155),OR(Vu_khi!$AC$155="Air",Vu_khi!$AC$155="All"))</f>
        <v/>
      </c>
      <c r="T155" t="b">
        <v>0</v>
      </c>
      <c r="U155">
        <f>INDEX(Bang_sat_thuong!$B$2:$B$7,MATCH(Vu_khi!$K$155,Bang_sat_thuong!$A$2:$A$7,0))</f>
        <v/>
      </c>
      <c r="V155" t="n">
        <v>1</v>
      </c>
      <c r="W155">
        <f>INDEX(Bang_sat_thuong!$C$2:$C$7,MATCH(Vu_khi!$K$155,Bang_sat_thuong!$A$2:$A$7,0))</f>
        <v/>
      </c>
      <c r="X155" t="n">
        <v>0</v>
      </c>
      <c r="Y155">
        <f>IF(AND(Vu_khi!$AI$155,Vu_khi!$K$155="HighExplosive"),MAX(He_so_toan_cuc!$D$2,INDEX(Bang_sat_thuong!$D$2:$D$7,MATCH(Vu_khi!$K$155,Bang_sat_thuong!$A$2:$A$7,0))),INDEX(Bang_sat_thuong!$D$2:$D$7,MATCH(Vu_khi!$K$155,Bang_sat_thuong!$A$2:$A$7,0)))</f>
        <v/>
      </c>
      <c r="Z155" t="n">
        <v>1.5</v>
      </c>
      <c r="AA155">
        <f>INDEX(Bang_xuyen_giap!$C$2:$C$7,MIN(6,MAX(1,IF($O$155,MAX(1,2-(Vu_khi!$L$155-0)),2-(Vu_khi!$L$155-0))+1)))</f>
        <v/>
      </c>
      <c r="AB155" t="n">
        <v>1</v>
      </c>
      <c r="AC155">
        <f>INDEX(Bang_xuyen_giap!$C$2:$C$7,MIN(6,MAX(1,IF($O$155,MAX(1,2-(Vu_khi!$L$155-2)),2-(Vu_khi!$L$155-2))+1)))</f>
        <v/>
      </c>
      <c r="AD155" t="n">
        <v>1</v>
      </c>
      <c r="AE155">
        <f>INDEX(Bang_xuyen_giap!$C$2:$C$7,MIN(6,MAX(1,IF($O$155,MAX(1,2-(Vu_khi!$L$155-4)),2-(Vu_khi!$L$155-4))+1)))</f>
        <v/>
      </c>
      <c r="AF155" t="n">
        <v>0.5</v>
      </c>
      <c r="AG155">
        <f>INDEX(Bang_xuyen_giap!$C$2:$C$7,MIN(6,MAX(1,MAX(1,2-(Vu_khi!$L$155-0))+1)))</f>
        <v/>
      </c>
      <c r="AH155" t="n">
        <v>1</v>
      </c>
      <c r="AI155">
        <f>IF($Q$155,$M$155*$AA$155*$U$155,0)</f>
        <v/>
      </c>
      <c r="AJ155" t="n">
        <v>38.4728711537652</v>
      </c>
      <c r="AK155">
        <f>IF($Q$155,$M$155*$AC$155*$U$155,0)</f>
        <v/>
      </c>
      <c r="AL155" t="n">
        <v>38.4728711537652</v>
      </c>
      <c r="AM155">
        <f>IF($Q$155,$M$155*$AE$155*$U$155,0)</f>
        <v/>
      </c>
      <c r="AN155" t="n">
        <v>19.2364355768826</v>
      </c>
      <c r="AO155">
        <f>IF($Q$155,$M$155*$AC$155*$Y$155,0)</f>
        <v/>
      </c>
      <c r="AP155" t="n">
        <v>57.70930673064781</v>
      </c>
      <c r="AQ155">
        <f>IF($S$155,$M$155*$AG$155*$W$155,0)</f>
        <v/>
      </c>
      <c r="AR155" t="n">
        <v>0</v>
      </c>
      <c r="AS155">
        <f>IF(OR(Vu_khi!$M$155="Missile",Vu_khi!$M$155="Drone",AND(Vu_khi!$M$155="Rocket",OR(Vu_khi!$AM$155,Vu_khi!$D$155="guided")),Vu_khi!$AL$155,Vu_khi!$AK$155,Vu_khi!$X$155&lt;=0),FALSE,IF($B$155&gt;=0,$B$155&gt;=4,IF(Vu_khi!$M$155="Shell",Vu_khi!$AN$155&gt;=Canh_bao_vong!$D$10,IF(Vu_khi!$M$155="Bomb",Vu_khi!$AN$155&gt;=Canh_bao_vong!$D$3,IF(Vu_khi!$M$155="Rocket",Vu_khi!$AN$155&gt;=Canh_bao_vong!$D$13,FALSE)))))</f>
        <v/>
      </c>
      <c r="AT155" t="b">
        <v>0</v>
      </c>
      <c r="AU155">
        <f>IF(AND($B$155&lt;0,$AS$155),4,$B$155)</f>
        <v/>
      </c>
      <c r="AV155" t="n">
        <v>3</v>
      </c>
      <c r="AW155">
        <f>IF($AU$155&lt;4,0,MIN(MAX(0.5,Canh_bao_vong!$D$4),MAX(IF(Vu_khi!$C$155="cal_406",Canh_bao_vong!$D$7,IF($AU$155&gt;=5,Canh_bao_vong!$D$9,Canh_bao_vong!$D$8)),Canh_bao_vong!$D$2+MAX(0,Vu_khi!$X$155)/MAX(0.1,Canh_bao_vong!$D$5))))</f>
        <v/>
      </c>
      <c r="AX155" t="n">
        <v>0</v>
      </c>
      <c r="BB155" t="inlineStr">
        <is>
          <t>Assets/MachineBrigade/Resources/Data/balance.json: weapons[id=howitzer_guided] (lớp B trên 01_chien_dau/Vu_khi)</t>
        </is>
      </c>
      <c r="BC155" t="inlineStr"/>
    </row>
    <row r="156">
      <c r="A156" t="inlineStr">
        <is>
          <t>hq_flak</t>
        </is>
      </c>
      <c r="B156" t="n">
        <v>1</v>
      </c>
      <c r="C156">
        <f>IF(Vu_khi!$O$156="SIMULTANEOUS",MAX(1,Vu_khi!$N$156),1)</f>
        <v/>
      </c>
      <c r="D156" t="n">
        <v>1</v>
      </c>
      <c r="E156">
        <f>IF(Vu_khi!$S$156&gt;0,Vu_khi!$S$156,Vu_khi!$P$156*$C$156)</f>
        <v/>
      </c>
      <c r="F156" t="n">
        <v>120</v>
      </c>
      <c r="G156">
        <f>IF(Vu_khi!$S$156&gt;0,(Vu_khi!$S$156-1)*Vu_khi!$R$156+Vu_khi!$T$156,Vu_khi!$R$156+(Vu_khi!$P$156-1)*Vu_khi!$Q$156)</f>
        <v/>
      </c>
      <c r="H156" t="n">
        <v>6.432</v>
      </c>
      <c r="I156">
        <f>Vu_khi!$W$156*MAX(1,$E$156)</f>
        <v/>
      </c>
      <c r="J156" t="n">
        <v>900</v>
      </c>
      <c r="K156">
        <f>IF(Vu_khi!$V$156&gt;0,Vu_khi!$V$156,MIN(28,MAX(10,Vu_khi!$U$156*Vu_khi!$R$156*0.4)))</f>
        <v/>
      </c>
      <c r="L156" t="n">
        <v>10</v>
      </c>
      <c r="M156">
        <f>IF(Vu_khi!$W$156&lt;=0,0,IF(Vu_khi!$U$156&gt;0,$I$156*Vu_khi!$U$156/(MAX(0.05,$G$156)*Vu_khi!$U$156+$K$156),$I$156/MAX(0.05,$G$156)))</f>
        <v/>
      </c>
      <c r="N156" t="n">
        <v>139.9253731343283</v>
      </c>
      <c r="O156">
        <f>OR(Vu_khi!$AG$156,Vu_khi!$AB$156&gt;0,Vu_khi!$AH$156,Vu_khi!$M$156="Bomb",Vu_khi!$M$156="Drone")</f>
        <v/>
      </c>
      <c r="P156" t="b">
        <v>0</v>
      </c>
      <c r="Q156">
        <f>AND(NOT(Vu_khi!$AJ$156),OR(Vu_khi!$AC$156="Ground",Vu_khi!$AC$156="All"))</f>
        <v/>
      </c>
      <c r="R156" t="b">
        <v>1</v>
      </c>
      <c r="S156">
        <f>AND(NOT(Vu_khi!$AJ$156),OR(Vu_khi!$AC$156="Air",Vu_khi!$AC$156="All"))</f>
        <v/>
      </c>
      <c r="T156" t="b">
        <v>1</v>
      </c>
      <c r="U156">
        <f>INDEX(Bang_sat_thuong!$B$2:$B$7,MATCH(Vu_khi!$K$156,Bang_sat_thuong!$A$2:$A$7,0))</f>
        <v/>
      </c>
      <c r="V156" t="n">
        <v>0.5</v>
      </c>
      <c r="W156">
        <f>INDEX(Bang_sat_thuong!$C$2:$C$7,MATCH(Vu_khi!$K$156,Bang_sat_thuong!$A$2:$A$7,0))</f>
        <v/>
      </c>
      <c r="X156" t="n">
        <v>1.3</v>
      </c>
      <c r="Y156">
        <f>IF(AND(Vu_khi!$AI$156,Vu_khi!$K$156="HighExplosive"),MAX(He_so_toan_cuc!$D$2,INDEX(Bang_sat_thuong!$D$2:$D$7,MATCH(Vu_khi!$K$156,Bang_sat_thuong!$A$2:$A$7,0))),INDEX(Bang_sat_thuong!$D$2:$D$7,MATCH(Vu_khi!$K$156,Bang_sat_thuong!$A$2:$A$7,0)))</f>
        <v/>
      </c>
      <c r="Z156" t="n">
        <v>0.1</v>
      </c>
      <c r="AA156">
        <f>INDEX(Bang_xuyen_giap!$C$2:$C$7,MIN(6,MAX(1,IF($O$156,MAX(1,2-(Vu_khi!$L$156-0)),2-(Vu_khi!$L$156-0))+1)))</f>
        <v/>
      </c>
      <c r="AB156" t="n">
        <v>1.2</v>
      </c>
      <c r="AC156">
        <f>INDEX(Bang_xuyen_giap!$C$2:$C$7,MIN(6,MAX(1,IF($O$156,MAX(1,2-(Vu_khi!$L$156-2)),2-(Vu_khi!$L$156-2))+1)))</f>
        <v/>
      </c>
      <c r="AD156" t="n">
        <v>0.85</v>
      </c>
      <c r="AE156">
        <f>INDEX(Bang_xuyen_giap!$C$2:$C$7,MIN(6,MAX(1,IF($O$156,MAX(1,2-(Vu_khi!$L$156-4)),2-(Vu_khi!$L$156-4))+1)))</f>
        <v/>
      </c>
      <c r="AF156" t="n">
        <v>0.25</v>
      </c>
      <c r="AG156">
        <f>INDEX(Bang_xuyen_giap!$C$2:$C$7,MIN(6,MAX(1,MAX(1,2-(Vu_khi!$L$156-0))+1)))</f>
        <v/>
      </c>
      <c r="AH156" t="n">
        <v>1</v>
      </c>
      <c r="AI156">
        <f>IF($Q$156,$M$156*$AA$156*$U$156,0)</f>
        <v/>
      </c>
      <c r="AJ156" t="n">
        <v>83.955223880597</v>
      </c>
      <c r="AK156">
        <f>IF($Q$156,$M$156*$AC$156*$U$156,0)</f>
        <v/>
      </c>
      <c r="AL156" t="n">
        <v>59.46828358208954</v>
      </c>
      <c r="AM156">
        <f>IF($Q$156,$M$156*$AE$156*$U$156,0)</f>
        <v/>
      </c>
      <c r="AN156" t="n">
        <v>17.49067164179104</v>
      </c>
      <c r="AO156">
        <f>IF($Q$156,$M$156*$AC$156*$Y$156,0)</f>
        <v/>
      </c>
      <c r="AP156" t="n">
        <v>11.89365671641791</v>
      </c>
      <c r="AQ156">
        <f>IF($S$156,$M$156*$AG$156*$W$156,0)</f>
        <v/>
      </c>
      <c r="AR156" t="n">
        <v>181.9029850746269</v>
      </c>
      <c r="AS156">
        <f>IF(OR(Vu_khi!$M$156="Missile",Vu_khi!$M$156="Drone",AND(Vu_khi!$M$156="Rocket",OR(Vu_khi!$AM$156,Vu_khi!$D$156="guided")),Vu_khi!$AL$156,Vu_khi!$AK$156,Vu_khi!$X$156&lt;=0),FALSE,IF($B$156&gt;=0,$B$156&gt;=4,IF(Vu_khi!$M$156="Shell",Vu_khi!$AN$156&gt;=Canh_bao_vong!$D$10,IF(Vu_khi!$M$156="Bomb",Vu_khi!$AN$156&gt;=Canh_bao_vong!$D$3,IF(Vu_khi!$M$156="Rocket",Vu_khi!$AN$156&gt;=Canh_bao_vong!$D$13,FALSE)))))</f>
        <v/>
      </c>
      <c r="AT156" t="b">
        <v>0</v>
      </c>
      <c r="AU156">
        <f>IF(AND($B$156&lt;0,$AS$156),4,$B$156)</f>
        <v/>
      </c>
      <c r="AV156" t="n">
        <v>1</v>
      </c>
      <c r="AW156">
        <f>IF($AU$156&lt;4,0,MIN(MAX(0.5,Canh_bao_vong!$D$4),MAX(IF(Vu_khi!$C$156="cal_406",Canh_bao_vong!$D$7,IF($AU$156&gt;=5,Canh_bao_vong!$D$9,Canh_bao_vong!$D$8)),Canh_bao_vong!$D$2+MAX(0,Vu_khi!$X$156)/MAX(0.1,Canh_bao_vong!$D$5))))</f>
        <v/>
      </c>
      <c r="AX156" t="n">
        <v>0</v>
      </c>
      <c r="AY156" t="n">
        <v>4.466667</v>
      </c>
      <c r="AZ156" t="inlineStr">
        <is>
          <t>ok</t>
        </is>
      </c>
      <c r="BA156" t="inlineStr"/>
      <c r="BB156" t="inlineStr">
        <is>
          <t>Assets/MachineBrigade/Resources/Data/balance.json: weapons[id=hq_flak] (lớp B trên 01_chien_dau/Vu_khi)</t>
        </is>
      </c>
      <c r="BC156" t="inlineStr"/>
    </row>
    <row r="157">
      <c r="A157" t="inlineStr">
        <is>
          <t>hq_flak_ap</t>
        </is>
      </c>
      <c r="B157" t="n">
        <v>1</v>
      </c>
      <c r="C157">
        <f>IF(Vu_khi!$O$157="SIMULTANEOUS",MAX(1,Vu_khi!$N$157),1)</f>
        <v/>
      </c>
      <c r="D157" t="n">
        <v>1</v>
      </c>
      <c r="E157">
        <f>IF(Vu_khi!$S$157&gt;0,Vu_khi!$S$157,Vu_khi!$P$157*$C$157)</f>
        <v/>
      </c>
      <c r="F157" t="n">
        <v>120</v>
      </c>
      <c r="G157">
        <f>IF(Vu_khi!$S$157&gt;0,(Vu_khi!$S$157-1)*Vu_khi!$R$157+Vu_khi!$T$157,Vu_khi!$R$157+(Vu_khi!$P$157-1)*Vu_khi!$Q$157)</f>
        <v/>
      </c>
      <c r="H157" t="n">
        <v>6.432</v>
      </c>
      <c r="I157">
        <f>Vu_khi!$W$157*MAX(1,$E$157)</f>
        <v/>
      </c>
      <c r="J157" t="n">
        <v>900</v>
      </c>
      <c r="K157">
        <f>IF(Vu_khi!$V$157&gt;0,Vu_khi!$V$157,MIN(28,MAX(10,Vu_khi!$U$157*Vu_khi!$R$157*0.4)))</f>
        <v/>
      </c>
      <c r="L157" t="n">
        <v>10</v>
      </c>
      <c r="M157">
        <f>IF(Vu_khi!$W$157&lt;=0,0,IF(Vu_khi!$U$157&gt;0,$I$157*Vu_khi!$U$157/(MAX(0.05,$G$157)*Vu_khi!$U$157+$K$157),$I$157/MAX(0.05,$G$157)))</f>
        <v/>
      </c>
      <c r="N157" t="n">
        <v>139.9253731343283</v>
      </c>
      <c r="O157">
        <f>OR(Vu_khi!$AG$157,Vu_khi!$AB$157&gt;0,Vu_khi!$AH$157,Vu_khi!$M$157="Bomb",Vu_khi!$M$157="Drone")</f>
        <v/>
      </c>
      <c r="P157" t="b">
        <v>0</v>
      </c>
      <c r="Q157">
        <f>AND(NOT(Vu_khi!$AJ$157),OR(Vu_khi!$AC$157="Ground",Vu_khi!$AC$157="All"))</f>
        <v/>
      </c>
      <c r="R157" t="b">
        <v>1</v>
      </c>
      <c r="S157">
        <f>AND(NOT(Vu_khi!$AJ$157),OR(Vu_khi!$AC$157="Air",Vu_khi!$AC$157="All"))</f>
        <v/>
      </c>
      <c r="T157" t="b">
        <v>0</v>
      </c>
      <c r="U157">
        <f>INDEX(Bang_sat_thuong!$B$2:$B$7,MATCH(Vu_khi!$K$157,Bang_sat_thuong!$A$2:$A$7,0))</f>
        <v/>
      </c>
      <c r="V157" t="n">
        <v>1</v>
      </c>
      <c r="W157">
        <f>INDEX(Bang_sat_thuong!$C$2:$C$7,MATCH(Vu_khi!$K$157,Bang_sat_thuong!$A$2:$A$7,0))</f>
        <v/>
      </c>
      <c r="X157" t="n">
        <v>0.3</v>
      </c>
      <c r="Y157">
        <f>IF(AND(Vu_khi!$AI$157,Vu_khi!$K$157="HighExplosive"),MAX(He_so_toan_cuc!$D$2,INDEX(Bang_sat_thuong!$D$2:$D$7,MATCH(Vu_khi!$K$157,Bang_sat_thuong!$A$2:$A$7,0))),INDEX(Bang_sat_thuong!$D$2:$D$7,MATCH(Vu_khi!$K$157,Bang_sat_thuong!$A$2:$A$7,0)))</f>
        <v/>
      </c>
      <c r="Z157" t="n">
        <v>0.6</v>
      </c>
      <c r="AA157">
        <f>INDEX(Bang_xuyen_giap!$C$2:$C$7,MIN(6,MAX(1,IF($O$157,MAX(1,2-(Vu_khi!$L$157-0)),2-(Vu_khi!$L$157-0))+1)))</f>
        <v/>
      </c>
      <c r="AB157" t="n">
        <v>1.2</v>
      </c>
      <c r="AC157">
        <f>INDEX(Bang_xuyen_giap!$C$2:$C$7,MIN(6,MAX(1,IF($O$157,MAX(1,2-(Vu_khi!$L$157-2)),2-(Vu_khi!$L$157-2))+1)))</f>
        <v/>
      </c>
      <c r="AD157" t="n">
        <v>0.85</v>
      </c>
      <c r="AE157">
        <f>INDEX(Bang_xuyen_giap!$C$2:$C$7,MIN(6,MAX(1,IF($O$157,MAX(1,2-(Vu_khi!$L$157-4)),2-(Vu_khi!$L$157-4))+1)))</f>
        <v/>
      </c>
      <c r="AF157" t="n">
        <v>0.25</v>
      </c>
      <c r="AG157">
        <f>INDEX(Bang_xuyen_giap!$C$2:$C$7,MIN(6,MAX(1,MAX(1,2-(Vu_khi!$L$157-0))+1)))</f>
        <v/>
      </c>
      <c r="AH157" t="n">
        <v>1</v>
      </c>
      <c r="AI157">
        <f>IF($Q$157,$M$157*$AA$157*$U$157,0)</f>
        <v/>
      </c>
      <c r="AJ157" t="n">
        <v>167.910447761194</v>
      </c>
      <c r="AK157">
        <f>IF($Q$157,$M$157*$AC$157*$U$157,0)</f>
        <v/>
      </c>
      <c r="AL157" t="n">
        <v>118.9365671641791</v>
      </c>
      <c r="AM157">
        <f>IF($Q$157,$M$157*$AE$157*$U$157,0)</f>
        <v/>
      </c>
      <c r="AN157" t="n">
        <v>34.98134328358208</v>
      </c>
      <c r="AO157">
        <f>IF($Q$157,$M$157*$AC$157*$Y$157,0)</f>
        <v/>
      </c>
      <c r="AP157" t="n">
        <v>71.36194029850745</v>
      </c>
      <c r="AQ157">
        <f>IF($S$157,$M$157*$AG$157*$W$157,0)</f>
        <v/>
      </c>
      <c r="AR157" t="n">
        <v>0</v>
      </c>
      <c r="AS157">
        <f>IF(OR(Vu_khi!$M$157="Missile",Vu_khi!$M$157="Drone",AND(Vu_khi!$M$157="Rocket",OR(Vu_khi!$AM$157,Vu_khi!$D$157="guided")),Vu_khi!$AL$157,Vu_khi!$AK$157,Vu_khi!$X$157&lt;=0),FALSE,IF($B$157&gt;=0,$B$157&gt;=4,IF(Vu_khi!$M$157="Shell",Vu_khi!$AN$157&gt;=Canh_bao_vong!$D$10,IF(Vu_khi!$M$157="Bomb",Vu_khi!$AN$157&gt;=Canh_bao_vong!$D$3,IF(Vu_khi!$M$157="Rocket",Vu_khi!$AN$157&gt;=Canh_bao_vong!$D$13,FALSE)))))</f>
        <v/>
      </c>
      <c r="AT157" t="b">
        <v>0</v>
      </c>
      <c r="AU157">
        <f>IF(AND($B$157&lt;0,$AS$157),4,$B$157)</f>
        <v/>
      </c>
      <c r="AV157" t="n">
        <v>1</v>
      </c>
      <c r="AW157">
        <f>IF($AU$157&lt;4,0,MIN(MAX(0.5,Canh_bao_vong!$D$4),MAX(IF(Vu_khi!$C$157="cal_406",Canh_bao_vong!$D$7,IF($AU$157&gt;=5,Canh_bao_vong!$D$9,Canh_bao_vong!$D$8)),Canh_bao_vong!$D$2+MAX(0,Vu_khi!$X$157)/MAX(0.1,Canh_bao_vong!$D$5))))</f>
        <v/>
      </c>
      <c r="AX157" t="n">
        <v>0</v>
      </c>
      <c r="BB157" t="inlineStr">
        <is>
          <t>Assets/MachineBrigade/Resources/Data/balance.json: weapons[id=hq_flak_ap] (lớp B trên 01_chien_dau/Vu_khi)</t>
        </is>
      </c>
      <c r="BC157" t="inlineStr"/>
    </row>
    <row r="158">
      <c r="A158" t="inlineStr">
        <is>
          <t>hydra_club_s</t>
        </is>
      </c>
      <c r="B158" t="n">
        <v>4</v>
      </c>
      <c r="C158">
        <f>IF(Vu_khi!$O$158="SIMULTANEOUS",MAX(1,Vu_khi!$N$158),1)</f>
        <v/>
      </c>
      <c r="D158" t="n">
        <v>1</v>
      </c>
      <c r="E158">
        <f>IF(Vu_khi!$S$158&gt;0,Vu_khi!$S$158,Vu_khi!$P$158*$C$158)</f>
        <v/>
      </c>
      <c r="F158" t="n">
        <v>1</v>
      </c>
      <c r="G158">
        <f>IF(Vu_khi!$S$158&gt;0,(Vu_khi!$S$158-1)*Vu_khi!$R$158+Vu_khi!$T$158,Vu_khi!$R$158+(Vu_khi!$P$158-1)*Vu_khi!$Q$158)</f>
        <v/>
      </c>
      <c r="H158" t="n">
        <v>50</v>
      </c>
      <c r="I158">
        <f>Vu_khi!$W$158*MAX(1,$E$158)</f>
        <v/>
      </c>
      <c r="J158" t="n">
        <v>520</v>
      </c>
      <c r="K158">
        <f>IF(Vu_khi!$V$158&gt;0,Vu_khi!$V$158,MIN(28,MAX(10,Vu_khi!$U$158*Vu_khi!$R$158*0.4)))</f>
        <v/>
      </c>
      <c r="L158" t="n">
        <v>10</v>
      </c>
      <c r="M158">
        <f>IF(Vu_khi!$W$158&lt;=0,0,IF(Vu_khi!$U$158&gt;0,$I$158*Vu_khi!$U$158/(MAX(0.05,$G$158)*Vu_khi!$U$158+$K$158),$I$158/MAX(0.05,$G$158)))</f>
        <v/>
      </c>
      <c r="N158" t="n">
        <v>10.4</v>
      </c>
      <c r="O158">
        <f>OR(Vu_khi!$AG$158,Vu_khi!$AB$158&gt;0,Vu_khi!$AH$158,Vu_khi!$M$158="Bomb",Vu_khi!$M$158="Drone")</f>
        <v/>
      </c>
      <c r="P158" t="b">
        <v>0</v>
      </c>
      <c r="Q158">
        <f>AND(NOT(Vu_khi!$AJ$158),OR(Vu_khi!$AC$158="Ground",Vu_khi!$AC$158="All"))</f>
        <v/>
      </c>
      <c r="R158" t="b">
        <v>1</v>
      </c>
      <c r="S158">
        <f>AND(NOT(Vu_khi!$AJ$158),OR(Vu_khi!$AC$158="Air",Vu_khi!$AC$158="All"))</f>
        <v/>
      </c>
      <c r="T158" t="b">
        <v>0</v>
      </c>
      <c r="U158">
        <f>INDEX(Bang_sat_thuong!$B$2:$B$7,MATCH(Vu_khi!$K$158,Bang_sat_thuong!$A$2:$A$7,0))</f>
        <v/>
      </c>
      <c r="V158" t="n">
        <v>1</v>
      </c>
      <c r="W158">
        <f>INDEX(Bang_sat_thuong!$C$2:$C$7,MATCH(Vu_khi!$K$158,Bang_sat_thuong!$A$2:$A$7,0))</f>
        <v/>
      </c>
      <c r="X158" t="n">
        <v>0</v>
      </c>
      <c r="Y158">
        <f>IF(AND(Vu_khi!$AI$158,Vu_khi!$K$158="HighExplosive"),MAX(He_so_toan_cuc!$D$2,INDEX(Bang_sat_thuong!$D$2:$D$7,MATCH(Vu_khi!$K$158,Bang_sat_thuong!$A$2:$A$7,0))),INDEX(Bang_sat_thuong!$D$2:$D$7,MATCH(Vu_khi!$K$158,Bang_sat_thuong!$A$2:$A$7,0)))</f>
        <v/>
      </c>
      <c r="Z158" t="n">
        <v>1.5</v>
      </c>
      <c r="AA158">
        <f>INDEX(Bang_xuyen_giap!$C$2:$C$7,MIN(6,MAX(1,IF($O$158,MAX(1,2-(Vu_khi!$L$158-0)),2-(Vu_khi!$L$158-0))+1)))</f>
        <v/>
      </c>
      <c r="AB158" t="n">
        <v>1.2</v>
      </c>
      <c r="AC158">
        <f>INDEX(Bang_xuyen_giap!$C$2:$C$7,MIN(6,MAX(1,IF($O$158,MAX(1,2-(Vu_khi!$L$158-2)),2-(Vu_khi!$L$158-2))+1)))</f>
        <v/>
      </c>
      <c r="AD158" t="n">
        <v>1</v>
      </c>
      <c r="AE158">
        <f>INDEX(Bang_xuyen_giap!$C$2:$C$7,MIN(6,MAX(1,IF($O$158,MAX(1,2-(Vu_khi!$L$158-4)),2-(Vu_khi!$L$158-4))+1)))</f>
        <v/>
      </c>
      <c r="AF158" t="n">
        <v>0.5</v>
      </c>
      <c r="AG158">
        <f>INDEX(Bang_xuyen_giap!$C$2:$C$7,MIN(6,MAX(1,MAX(1,2-(Vu_khi!$L$158-0))+1)))</f>
        <v/>
      </c>
      <c r="AH158" t="n">
        <v>1</v>
      </c>
      <c r="AI158">
        <f>IF($Q$158,$M$158*$AA$158*$U$158,0)</f>
        <v/>
      </c>
      <c r="AJ158" t="n">
        <v>12.48</v>
      </c>
      <c r="AK158">
        <f>IF($Q$158,$M$158*$AC$158*$U$158,0)</f>
        <v/>
      </c>
      <c r="AL158" t="n">
        <v>10.4</v>
      </c>
      <c r="AM158">
        <f>IF($Q$158,$M$158*$AE$158*$U$158,0)</f>
        <v/>
      </c>
      <c r="AN158" t="n">
        <v>5.2</v>
      </c>
      <c r="AO158">
        <f>IF($Q$158,$M$158*$AC$158*$Y$158,0)</f>
        <v/>
      </c>
      <c r="AP158" t="n">
        <v>15.6</v>
      </c>
      <c r="AQ158">
        <f>IF($S$158,$M$158*$AG$158*$W$158,0)</f>
        <v/>
      </c>
      <c r="AR158" t="n">
        <v>0</v>
      </c>
      <c r="AS158">
        <f>IF(OR(Vu_khi!$M$158="Missile",Vu_khi!$M$158="Drone",AND(Vu_khi!$M$158="Rocket",OR(Vu_khi!$AM$158,Vu_khi!$D$158="guided")),Vu_khi!$AL$158,Vu_khi!$AK$158,Vu_khi!$X$158&lt;=0),FALSE,IF($B$158&gt;=0,$B$158&gt;=4,IF(Vu_khi!$M$158="Shell",Vu_khi!$AN$158&gt;=Canh_bao_vong!$D$10,IF(Vu_khi!$M$158="Bomb",Vu_khi!$AN$158&gt;=Canh_bao_vong!$D$3,IF(Vu_khi!$M$158="Rocket",Vu_khi!$AN$158&gt;=Canh_bao_vong!$D$13,FALSE)))))</f>
        <v/>
      </c>
      <c r="AT158" t="b">
        <v>0</v>
      </c>
      <c r="AU158">
        <f>IF(AND($B$158&lt;0,$AS$158),4,$B$158)</f>
        <v/>
      </c>
      <c r="AV158" t="n">
        <v>4</v>
      </c>
      <c r="AW158">
        <f>IF($AU$158&lt;4,0,MIN(MAX(0.5,Canh_bao_vong!$D$4),MAX(IF(Vu_khi!$C$158="cal_406",Canh_bao_vong!$D$7,IF($AU$158&gt;=5,Canh_bao_vong!$D$9,Canh_bao_vong!$D$8)),Canh_bao_vong!$D$2+MAX(0,Vu_khi!$X$158)/MAX(0.1,Canh_bao_vong!$D$5))))</f>
        <v/>
      </c>
      <c r="AX158" t="n">
        <v>2.722222222222222</v>
      </c>
      <c r="AY158" t="inlineStr"/>
      <c r="AZ158" t="inlineStr">
        <is>
          <t>ok</t>
        </is>
      </c>
      <c r="BA158" t="b">
        <v>1</v>
      </c>
      <c r="BB158" t="inlineStr">
        <is>
          <t>Assets/MachineBrigade/Resources/Data/balance.json: weapons[id=hydra_club_s] (lớp B trên 01_chien_dau/Vu_khi)</t>
        </is>
      </c>
      <c r="BC158" t="inlineStr"/>
    </row>
    <row r="159">
      <c r="A159" t="inlineStr">
        <is>
          <t>ifv_30</t>
        </is>
      </c>
      <c r="B159" t="n">
        <v>1</v>
      </c>
      <c r="C159">
        <f>IF(Vu_khi!$O$159="SIMULTANEOUS",MAX(1,Vu_khi!$N$159),1)</f>
        <v/>
      </c>
      <c r="D159" t="n">
        <v>1</v>
      </c>
      <c r="E159">
        <f>IF(Vu_khi!$S$159&gt;0,Vu_khi!$S$159,Vu_khi!$P$159*$C$159)</f>
        <v/>
      </c>
      <c r="F159" t="n">
        <v>10</v>
      </c>
      <c r="G159">
        <f>IF(Vu_khi!$S$159&gt;0,(Vu_khi!$S$159-1)*Vu_khi!$R$159+Vu_khi!$T$159,Vu_khi!$R$159+(Vu_khi!$P$159-1)*Vu_khi!$Q$159)</f>
        <v/>
      </c>
      <c r="H159" t="n">
        <v>2.611</v>
      </c>
      <c r="I159">
        <f>Vu_khi!$W$159*MAX(1,$E$159)</f>
        <v/>
      </c>
      <c r="J159" t="n">
        <v>220</v>
      </c>
      <c r="K159">
        <f>IF(Vu_khi!$V$159&gt;0,Vu_khi!$V$159,MIN(28,MAX(10,Vu_khi!$U$159*Vu_khi!$R$159*0.4)))</f>
        <v/>
      </c>
      <c r="L159" t="n">
        <v>10</v>
      </c>
      <c r="M159">
        <f>IF(Vu_khi!$W$159&lt;=0,0,IF(Vu_khi!$U$159&gt;0,$I$159*Vu_khi!$U$159/(MAX(0.05,$G$159)*Vu_khi!$U$159+$K$159),$I$159/MAX(0.05,$G$159)))</f>
        <v/>
      </c>
      <c r="N159" t="n">
        <v>84.25890463423977</v>
      </c>
      <c r="O159">
        <f>OR(Vu_khi!$AG$159,Vu_khi!$AB$159&gt;0,Vu_khi!$AH$159,Vu_khi!$M$159="Bomb",Vu_khi!$M$159="Drone")</f>
        <v/>
      </c>
      <c r="P159" t="b">
        <v>0</v>
      </c>
      <c r="Q159">
        <f>AND(NOT(Vu_khi!$AJ$159),OR(Vu_khi!$AC$159="Ground",Vu_khi!$AC$159="All"))</f>
        <v/>
      </c>
      <c r="R159" t="b">
        <v>1</v>
      </c>
      <c r="S159">
        <f>AND(NOT(Vu_khi!$AJ$159),OR(Vu_khi!$AC$159="Air",Vu_khi!$AC$159="All"))</f>
        <v/>
      </c>
      <c r="T159" t="b">
        <v>0</v>
      </c>
      <c r="U159">
        <f>INDEX(Bang_sat_thuong!$B$2:$B$7,MATCH(Vu_khi!$K$159,Bang_sat_thuong!$A$2:$A$7,0))</f>
        <v/>
      </c>
      <c r="V159" t="n">
        <v>1</v>
      </c>
      <c r="W159">
        <f>INDEX(Bang_sat_thuong!$C$2:$C$7,MATCH(Vu_khi!$K$159,Bang_sat_thuong!$A$2:$A$7,0))</f>
        <v/>
      </c>
      <c r="X159" t="n">
        <v>0.3</v>
      </c>
      <c r="Y159">
        <f>IF(AND(Vu_khi!$AI$159,Vu_khi!$K$159="HighExplosive"),MAX(He_so_toan_cuc!$D$2,INDEX(Bang_sat_thuong!$D$2:$D$7,MATCH(Vu_khi!$K$159,Bang_sat_thuong!$A$2:$A$7,0))),INDEX(Bang_sat_thuong!$D$2:$D$7,MATCH(Vu_khi!$K$159,Bang_sat_thuong!$A$2:$A$7,0)))</f>
        <v/>
      </c>
      <c r="Z159" t="n">
        <v>0.6</v>
      </c>
      <c r="AA159">
        <f>INDEX(Bang_xuyen_giap!$C$2:$C$7,MIN(6,MAX(1,IF($O$159,MAX(1,2-(Vu_khi!$L$159-0)),2-(Vu_khi!$L$159-0))+1)))</f>
        <v/>
      </c>
      <c r="AB159" t="n">
        <v>1.2</v>
      </c>
      <c r="AC159">
        <f>INDEX(Bang_xuyen_giap!$C$2:$C$7,MIN(6,MAX(1,IF($O$159,MAX(1,2-(Vu_khi!$L$159-2)),2-(Vu_khi!$L$159-2))+1)))</f>
        <v/>
      </c>
      <c r="AD159" t="n">
        <v>0.85</v>
      </c>
      <c r="AE159">
        <f>INDEX(Bang_xuyen_giap!$C$2:$C$7,MIN(6,MAX(1,IF($O$159,MAX(1,2-(Vu_khi!$L$159-4)),2-(Vu_khi!$L$159-4))+1)))</f>
        <v/>
      </c>
      <c r="AF159" t="n">
        <v>0.25</v>
      </c>
      <c r="AG159">
        <f>INDEX(Bang_xuyen_giap!$C$2:$C$7,MIN(6,MAX(1,MAX(1,2-(Vu_khi!$L$159-0))+1)))</f>
        <v/>
      </c>
      <c r="AH159" t="n">
        <v>1</v>
      </c>
      <c r="AI159">
        <f>IF($Q$159,$M$159*$AA$159*$U$159,0)</f>
        <v/>
      </c>
      <c r="AJ159" t="n">
        <v>101.1106855610877</v>
      </c>
      <c r="AK159">
        <f>IF($Q$159,$M$159*$AC$159*$U$159,0)</f>
        <v/>
      </c>
      <c r="AL159" t="n">
        <v>71.6200689391038</v>
      </c>
      <c r="AM159">
        <f>IF($Q$159,$M$159*$AE$159*$U$159,0)</f>
        <v/>
      </c>
      <c r="AN159" t="n">
        <v>21.06472615855994</v>
      </c>
      <c r="AO159">
        <f>IF($Q$159,$M$159*$AC$159*$Y$159,0)</f>
        <v/>
      </c>
      <c r="AP159" t="n">
        <v>42.97204136346228</v>
      </c>
      <c r="AQ159">
        <f>IF($S$159,$M$159*$AG$159*$W$159,0)</f>
        <v/>
      </c>
      <c r="AR159" t="n">
        <v>0</v>
      </c>
      <c r="AS159">
        <f>IF(OR(Vu_khi!$M$159="Missile",Vu_khi!$M$159="Drone",AND(Vu_khi!$M$159="Rocket",OR(Vu_khi!$AM$159,Vu_khi!$D$159="guided")),Vu_khi!$AL$159,Vu_khi!$AK$159,Vu_khi!$X$159&lt;=0),FALSE,IF($B$159&gt;=0,$B$159&gt;=4,IF(Vu_khi!$M$159="Shell",Vu_khi!$AN$159&gt;=Canh_bao_vong!$D$10,IF(Vu_khi!$M$159="Bomb",Vu_khi!$AN$159&gt;=Canh_bao_vong!$D$3,IF(Vu_khi!$M$159="Rocket",Vu_khi!$AN$159&gt;=Canh_bao_vong!$D$13,FALSE)))))</f>
        <v/>
      </c>
      <c r="AT159" t="b">
        <v>0</v>
      </c>
      <c r="AU159">
        <f>IF(AND($B$159&lt;0,$AS$159),4,$B$159)</f>
        <v/>
      </c>
      <c r="AV159" t="n">
        <v>1</v>
      </c>
      <c r="AW159">
        <f>IF($AU$159&lt;4,0,MIN(MAX(0.5,Canh_bao_vong!$D$4),MAX(IF(Vu_khi!$C$159="cal_406",Canh_bao_vong!$D$7,IF($AU$159&gt;=5,Canh_bao_vong!$D$9,Canh_bao_vong!$D$8)),Canh_bao_vong!$D$2+MAX(0,Vu_khi!$X$159)/MAX(0.1,Canh_bao_vong!$D$5))))</f>
        <v/>
      </c>
      <c r="AX159" t="n">
        <v>0</v>
      </c>
      <c r="AY159" t="n">
        <v>3.481333</v>
      </c>
      <c r="AZ159" t="inlineStr">
        <is>
          <t>ok</t>
        </is>
      </c>
      <c r="BA159" t="inlineStr"/>
      <c r="BB159" t="inlineStr">
        <is>
          <t>Assets/MachineBrigade/Resources/Data/balance.json: weapons[id=ifv_30] (lớp B trên 01_chien_dau/Vu_khi)</t>
        </is>
      </c>
      <c r="BC159" t="inlineStr"/>
    </row>
    <row r="160">
      <c r="A160" t="inlineStr">
        <is>
          <t>ifv_30_flak</t>
        </is>
      </c>
      <c r="B160" t="n">
        <v>1</v>
      </c>
      <c r="C160">
        <f>IF(Vu_khi!$O$160="SIMULTANEOUS",MAX(1,Vu_khi!$N$160),1)</f>
        <v/>
      </c>
      <c r="D160" t="n">
        <v>1</v>
      </c>
      <c r="E160">
        <f>IF(Vu_khi!$S$160&gt;0,Vu_khi!$S$160,Vu_khi!$P$160*$C$160)</f>
        <v/>
      </c>
      <c r="F160" t="n">
        <v>10</v>
      </c>
      <c r="G160">
        <f>IF(Vu_khi!$S$160&gt;0,(Vu_khi!$S$160-1)*Vu_khi!$R$160+Vu_khi!$T$160,Vu_khi!$R$160+(Vu_khi!$P$160-1)*Vu_khi!$Q$160)</f>
        <v/>
      </c>
      <c r="H160" t="n">
        <v>2.611</v>
      </c>
      <c r="I160">
        <f>Vu_khi!$W$160*MAX(1,$E$160)</f>
        <v/>
      </c>
      <c r="J160" t="n">
        <v>220</v>
      </c>
      <c r="K160">
        <f>IF(Vu_khi!$V$160&gt;0,Vu_khi!$V$160,MIN(28,MAX(10,Vu_khi!$U$160*Vu_khi!$R$160*0.4)))</f>
        <v/>
      </c>
      <c r="L160" t="n">
        <v>10</v>
      </c>
      <c r="M160">
        <f>IF(Vu_khi!$W$160&lt;=0,0,IF(Vu_khi!$U$160&gt;0,$I$160*Vu_khi!$U$160/(MAX(0.05,$G$160)*Vu_khi!$U$160+$K$160),$I$160/MAX(0.05,$G$160)))</f>
        <v/>
      </c>
      <c r="N160" t="n">
        <v>84.25890463423977</v>
      </c>
      <c r="O160">
        <f>OR(Vu_khi!$AG$160,Vu_khi!$AB$160&gt;0,Vu_khi!$AH$160,Vu_khi!$M$160="Bomb",Vu_khi!$M$160="Drone")</f>
        <v/>
      </c>
      <c r="P160" t="b">
        <v>0</v>
      </c>
      <c r="Q160">
        <f>AND(NOT(Vu_khi!$AJ$160),OR(Vu_khi!$AC$160="Ground",Vu_khi!$AC$160="All"))</f>
        <v/>
      </c>
      <c r="R160" t="b">
        <v>0</v>
      </c>
      <c r="S160">
        <f>AND(NOT(Vu_khi!$AJ$160),OR(Vu_khi!$AC$160="Air",Vu_khi!$AC$160="All"))</f>
        <v/>
      </c>
      <c r="T160" t="b">
        <v>1</v>
      </c>
      <c r="U160">
        <f>INDEX(Bang_sat_thuong!$B$2:$B$7,MATCH(Vu_khi!$K$160,Bang_sat_thuong!$A$2:$A$7,0))</f>
        <v/>
      </c>
      <c r="V160" t="n">
        <v>0.5</v>
      </c>
      <c r="W160">
        <f>INDEX(Bang_sat_thuong!$C$2:$C$7,MATCH(Vu_khi!$K$160,Bang_sat_thuong!$A$2:$A$7,0))</f>
        <v/>
      </c>
      <c r="X160" t="n">
        <v>1.3</v>
      </c>
      <c r="Y160">
        <f>IF(AND(Vu_khi!$AI$160,Vu_khi!$K$160="HighExplosive"),MAX(He_so_toan_cuc!$D$2,INDEX(Bang_sat_thuong!$D$2:$D$7,MATCH(Vu_khi!$K$160,Bang_sat_thuong!$A$2:$A$7,0))),INDEX(Bang_sat_thuong!$D$2:$D$7,MATCH(Vu_khi!$K$160,Bang_sat_thuong!$A$2:$A$7,0)))</f>
        <v/>
      </c>
      <c r="Z160" t="n">
        <v>0.1</v>
      </c>
      <c r="AA160">
        <f>INDEX(Bang_xuyen_giap!$C$2:$C$7,MIN(6,MAX(1,IF($O$160,MAX(1,2-(Vu_khi!$L$160-0)),2-(Vu_khi!$L$160-0))+1)))</f>
        <v/>
      </c>
      <c r="AB160" t="n">
        <v>1.2</v>
      </c>
      <c r="AC160">
        <f>INDEX(Bang_xuyen_giap!$C$2:$C$7,MIN(6,MAX(1,IF($O$160,MAX(1,2-(Vu_khi!$L$160-2)),2-(Vu_khi!$L$160-2))+1)))</f>
        <v/>
      </c>
      <c r="AD160" t="n">
        <v>0.85</v>
      </c>
      <c r="AE160">
        <f>INDEX(Bang_xuyen_giap!$C$2:$C$7,MIN(6,MAX(1,IF($O$160,MAX(1,2-(Vu_khi!$L$160-4)),2-(Vu_khi!$L$160-4))+1)))</f>
        <v/>
      </c>
      <c r="AF160" t="n">
        <v>0.25</v>
      </c>
      <c r="AG160">
        <f>INDEX(Bang_xuyen_giap!$C$2:$C$7,MIN(6,MAX(1,MAX(1,2-(Vu_khi!$L$160-0))+1)))</f>
        <v/>
      </c>
      <c r="AH160" t="n">
        <v>1</v>
      </c>
      <c r="AI160">
        <f>IF($Q$160,$M$160*$AA$160*$U$160,0)</f>
        <v/>
      </c>
      <c r="AJ160" t="n">
        <v>0</v>
      </c>
      <c r="AK160">
        <f>IF($Q$160,$M$160*$AC$160*$U$160,0)</f>
        <v/>
      </c>
      <c r="AL160" t="n">
        <v>0</v>
      </c>
      <c r="AM160">
        <f>IF($Q$160,$M$160*$AE$160*$U$160,0)</f>
        <v/>
      </c>
      <c r="AN160" t="n">
        <v>0</v>
      </c>
      <c r="AO160">
        <f>IF($Q$160,$M$160*$AC$160*$Y$160,0)</f>
        <v/>
      </c>
      <c r="AP160" t="n">
        <v>0</v>
      </c>
      <c r="AQ160">
        <f>IF($S$160,$M$160*$AG$160*$W$160,0)</f>
        <v/>
      </c>
      <c r="AR160" t="n">
        <v>109.5365760245117</v>
      </c>
      <c r="AS160">
        <f>IF(OR(Vu_khi!$M$160="Missile",Vu_khi!$M$160="Drone",AND(Vu_khi!$M$160="Rocket",OR(Vu_khi!$AM$160,Vu_khi!$D$160="guided")),Vu_khi!$AL$160,Vu_khi!$AK$160,Vu_khi!$X$160&lt;=0),FALSE,IF($B$160&gt;=0,$B$160&gt;=4,IF(Vu_khi!$M$160="Shell",Vu_khi!$AN$160&gt;=Canh_bao_vong!$D$10,IF(Vu_khi!$M$160="Bomb",Vu_khi!$AN$160&gt;=Canh_bao_vong!$D$3,IF(Vu_khi!$M$160="Rocket",Vu_khi!$AN$160&gt;=Canh_bao_vong!$D$13,FALSE)))))</f>
        <v/>
      </c>
      <c r="AT160" t="b">
        <v>0</v>
      </c>
      <c r="AU160">
        <f>IF(AND($B$160&lt;0,$AS$160),4,$B$160)</f>
        <v/>
      </c>
      <c r="AV160" t="n">
        <v>1</v>
      </c>
      <c r="AW160">
        <f>IF($AU$160&lt;4,0,MIN(MAX(0.5,Canh_bao_vong!$D$4),MAX(IF(Vu_khi!$C$160="cal_406",Canh_bao_vong!$D$7,IF($AU$160&gt;=5,Canh_bao_vong!$D$9,Canh_bao_vong!$D$8)),Canh_bao_vong!$D$2+MAX(0,Vu_khi!$X$160)/MAX(0.1,Canh_bao_vong!$D$5))))</f>
        <v/>
      </c>
      <c r="AX160" t="n">
        <v>0</v>
      </c>
      <c r="BB160" t="inlineStr">
        <is>
          <t>Assets/MachineBrigade/Resources/Data/balance.json: weapons[id=ifv_30_flak] (lớp B trên 01_chien_dau/Vu_khi)</t>
        </is>
      </c>
      <c r="BC160" t="inlineStr"/>
    </row>
    <row r="161">
      <c r="A161" t="inlineStr">
        <is>
          <t>igla_v</t>
        </is>
      </c>
      <c r="B161" t="n">
        <v>2</v>
      </c>
      <c r="C161">
        <f>IF(Vu_khi!$O$161="SIMULTANEOUS",MAX(1,Vu_khi!$N$161),1)</f>
        <v/>
      </c>
      <c r="D161" t="n">
        <v>1</v>
      </c>
      <c r="E161">
        <f>IF(Vu_khi!$S$161&gt;0,Vu_khi!$S$161,Vu_khi!$P$161*$C$161)</f>
        <v/>
      </c>
      <c r="F161" t="n">
        <v>1</v>
      </c>
      <c r="G161">
        <f>IF(Vu_khi!$S$161&gt;0,(Vu_khi!$S$161-1)*Vu_khi!$R$161+Vu_khi!$T$161,Vu_khi!$R$161+(Vu_khi!$P$161-1)*Vu_khi!$Q$161)</f>
        <v/>
      </c>
      <c r="H161" t="n">
        <v>8.33</v>
      </c>
      <c r="I161">
        <f>Vu_khi!$W$161*MAX(1,$E$161)</f>
        <v/>
      </c>
      <c r="J161" t="n">
        <v>150</v>
      </c>
      <c r="K161">
        <f>IF(Vu_khi!$V$161&gt;0,Vu_khi!$V$161,MIN(28,MAX(10,Vu_khi!$U$161*Vu_khi!$R$161*0.4)))</f>
        <v/>
      </c>
      <c r="L161" t="n">
        <v>10</v>
      </c>
      <c r="M161">
        <f>IF(Vu_khi!$W$161&lt;=0,0,IF(Vu_khi!$U$161&gt;0,$I$161*Vu_khi!$U$161/(MAX(0.05,$G$161)*Vu_khi!$U$161+$K$161),$I$161/MAX(0.05,$G$161)))</f>
        <v/>
      </c>
      <c r="N161" t="n">
        <v>18.00720288115246</v>
      </c>
      <c r="O161">
        <f>OR(Vu_khi!$AG$161,Vu_khi!$AB$161&gt;0,Vu_khi!$AH$161,Vu_khi!$M$161="Bomb",Vu_khi!$M$161="Drone")</f>
        <v/>
      </c>
      <c r="P161" t="b">
        <v>0</v>
      </c>
      <c r="Q161">
        <f>AND(NOT(Vu_khi!$AJ$161),OR(Vu_khi!$AC$161="Ground",Vu_khi!$AC$161="All"))</f>
        <v/>
      </c>
      <c r="R161" t="b">
        <v>0</v>
      </c>
      <c r="S161">
        <f>AND(NOT(Vu_khi!$AJ$161),OR(Vu_khi!$AC$161="Air",Vu_khi!$AC$161="All"))</f>
        <v/>
      </c>
      <c r="T161" t="b">
        <v>1</v>
      </c>
      <c r="U161">
        <f>INDEX(Bang_sat_thuong!$B$2:$B$7,MATCH(Vu_khi!$K$161,Bang_sat_thuong!$A$2:$A$7,0))</f>
        <v/>
      </c>
      <c r="V161" t="n">
        <v>0.5</v>
      </c>
      <c r="W161">
        <f>INDEX(Bang_sat_thuong!$C$2:$C$7,MATCH(Vu_khi!$K$161,Bang_sat_thuong!$A$2:$A$7,0))</f>
        <v/>
      </c>
      <c r="X161" t="n">
        <v>1.3</v>
      </c>
      <c r="Y161">
        <f>IF(AND(Vu_khi!$AI$161,Vu_khi!$K$161="HighExplosive"),MAX(He_so_toan_cuc!$D$2,INDEX(Bang_sat_thuong!$D$2:$D$7,MATCH(Vu_khi!$K$161,Bang_sat_thuong!$A$2:$A$7,0))),INDEX(Bang_sat_thuong!$D$2:$D$7,MATCH(Vu_khi!$K$161,Bang_sat_thuong!$A$2:$A$7,0)))</f>
        <v/>
      </c>
      <c r="Z161" t="n">
        <v>0.1</v>
      </c>
      <c r="AA161">
        <f>INDEX(Bang_xuyen_giap!$C$2:$C$7,MIN(6,MAX(1,IF($O$161,MAX(1,2-(Vu_khi!$L$161-0)),2-(Vu_khi!$L$161-0))+1)))</f>
        <v/>
      </c>
      <c r="AB161" t="n">
        <v>1.2</v>
      </c>
      <c r="AC161">
        <f>INDEX(Bang_xuyen_giap!$C$2:$C$7,MIN(6,MAX(1,IF($O$161,MAX(1,2-(Vu_khi!$L$161-2)),2-(Vu_khi!$L$161-2))+1)))</f>
        <v/>
      </c>
      <c r="AD161" t="n">
        <v>0.85</v>
      </c>
      <c r="AE161">
        <f>INDEX(Bang_xuyen_giap!$C$2:$C$7,MIN(6,MAX(1,IF($O$161,MAX(1,2-(Vu_khi!$L$161-4)),2-(Vu_khi!$L$161-4))+1)))</f>
        <v/>
      </c>
      <c r="AF161" t="n">
        <v>0.25</v>
      </c>
      <c r="AG161">
        <f>INDEX(Bang_xuyen_giap!$C$2:$C$7,MIN(6,MAX(1,MAX(1,2-(Vu_khi!$L$161-0))+1)))</f>
        <v/>
      </c>
      <c r="AH161" t="n">
        <v>1</v>
      </c>
      <c r="AI161">
        <f>IF($Q$161,$M$161*$AA$161*$U$161,0)</f>
        <v/>
      </c>
      <c r="AJ161" t="n">
        <v>0</v>
      </c>
      <c r="AK161">
        <f>IF($Q$161,$M$161*$AC$161*$U$161,0)</f>
        <v/>
      </c>
      <c r="AL161" t="n">
        <v>0</v>
      </c>
      <c r="AM161">
        <f>IF($Q$161,$M$161*$AE$161*$U$161,0)</f>
        <v/>
      </c>
      <c r="AN161" t="n">
        <v>0</v>
      </c>
      <c r="AO161">
        <f>IF($Q$161,$M$161*$AC$161*$Y$161,0)</f>
        <v/>
      </c>
      <c r="AP161" t="n">
        <v>0</v>
      </c>
      <c r="AQ161">
        <f>IF($S$161,$M$161*$AG$161*$W$161,0)</f>
        <v/>
      </c>
      <c r="AR161" t="n">
        <v>23.4093637454982</v>
      </c>
      <c r="AS161">
        <f>IF(OR(Vu_khi!$M$161="Missile",Vu_khi!$M$161="Drone",AND(Vu_khi!$M$161="Rocket",OR(Vu_khi!$AM$161,Vu_khi!$D$161="guided")),Vu_khi!$AL$161,Vu_khi!$AK$161,Vu_khi!$X$161&lt;=0),FALSE,IF($B$161&gt;=0,$B$161&gt;=4,IF(Vu_khi!$M$161="Shell",Vu_khi!$AN$161&gt;=Canh_bao_vong!$D$10,IF(Vu_khi!$M$161="Bomb",Vu_khi!$AN$161&gt;=Canh_bao_vong!$D$3,IF(Vu_khi!$M$161="Rocket",Vu_khi!$AN$161&gt;=Canh_bao_vong!$D$13,FALSE)))))</f>
        <v/>
      </c>
      <c r="AT161" t="b">
        <v>0</v>
      </c>
      <c r="AU161">
        <f>IF(AND($B$161&lt;0,$AS$161),4,$B$161)</f>
        <v/>
      </c>
      <c r="AV161" t="n">
        <v>2</v>
      </c>
      <c r="AW161">
        <f>IF($AU$161&lt;4,0,MIN(MAX(0.5,Canh_bao_vong!$D$4),MAX(IF(Vu_khi!$C$161="cal_406",Canh_bao_vong!$D$7,IF($AU$161&gt;=5,Canh_bao_vong!$D$9,Canh_bao_vong!$D$8)),Canh_bao_vong!$D$2+MAX(0,Vu_khi!$X$161)/MAX(0.1,Canh_bao_vong!$D$5))))</f>
        <v/>
      </c>
      <c r="AX161" t="n">
        <v>0</v>
      </c>
      <c r="AY161" t="inlineStr"/>
      <c r="AZ161" t="inlineStr">
        <is>
          <t>ok</t>
        </is>
      </c>
      <c r="BA161" t="inlineStr"/>
      <c r="BB161" t="inlineStr">
        <is>
          <t>Assets/MachineBrigade/Resources/Data/balance.json: weapons[id=igla_v] (lớp B trên 01_chien_dau/Vu_khi)</t>
        </is>
      </c>
      <c r="BC161" t="inlineStr"/>
    </row>
    <row r="162">
      <c r="A162" t="inlineStr">
        <is>
          <t>illum_flare</t>
        </is>
      </c>
      <c r="B162" t="n">
        <v>0</v>
      </c>
      <c r="C162">
        <f>IF(Vu_khi!$O$162="SIMULTANEOUS",MAX(1,Vu_khi!$N$162),1)</f>
        <v/>
      </c>
      <c r="D162" t="n">
        <v>1</v>
      </c>
      <c r="E162">
        <f>IF(Vu_khi!$S$162&gt;0,Vu_khi!$S$162,Vu_khi!$P$162*$C$162)</f>
        <v/>
      </c>
      <c r="F162" t="n">
        <v>1</v>
      </c>
      <c r="G162">
        <f>IF(Vu_khi!$S$162&gt;0,(Vu_khi!$S$162-1)*Vu_khi!$R$162+Vu_khi!$T$162,Vu_khi!$R$162+(Vu_khi!$P$162-1)*Vu_khi!$Q$162)</f>
        <v/>
      </c>
      <c r="H162" t="n">
        <v>15</v>
      </c>
      <c r="I162">
        <f>Vu_khi!$W$162*MAX(1,$E$162)</f>
        <v/>
      </c>
      <c r="J162" t="n">
        <v>0</v>
      </c>
      <c r="K162">
        <f>IF(Vu_khi!$V$162&gt;0,Vu_khi!$V$162,MIN(28,MAX(10,Vu_khi!$U$162*Vu_khi!$R$162*0.4)))</f>
        <v/>
      </c>
      <c r="L162" t="n">
        <v>10</v>
      </c>
      <c r="M162">
        <f>IF(Vu_khi!$W$162&lt;=0,0,IF(Vu_khi!$U$162&gt;0,$I$162*Vu_khi!$U$162/(MAX(0.05,$G$162)*Vu_khi!$U$162+$K$162),$I$162/MAX(0.05,$G$162)))</f>
        <v/>
      </c>
      <c r="N162" t="n">
        <v>0</v>
      </c>
      <c r="O162">
        <f>OR(Vu_khi!$AG$162,Vu_khi!$AB$162&gt;0,Vu_khi!$AH$162,Vu_khi!$M$162="Bomb",Vu_khi!$M$162="Drone")</f>
        <v/>
      </c>
      <c r="P162" t="b">
        <v>0</v>
      </c>
      <c r="Q162">
        <f>AND(NOT(Vu_khi!$AJ$162),OR(Vu_khi!$AC$162="Ground",Vu_khi!$AC$162="All"))</f>
        <v/>
      </c>
      <c r="R162" t="b">
        <v>1</v>
      </c>
      <c r="S162">
        <f>AND(NOT(Vu_khi!$AJ$162),OR(Vu_khi!$AC$162="Air",Vu_khi!$AC$162="All"))</f>
        <v/>
      </c>
      <c r="T162" t="b">
        <v>0</v>
      </c>
      <c r="U162">
        <f>INDEX(Bang_sat_thuong!$B$2:$B$7,MATCH(Vu_khi!$K$162,Bang_sat_thuong!$A$2:$A$7,0))</f>
        <v/>
      </c>
      <c r="V162" t="n">
        <v>1</v>
      </c>
      <c r="W162">
        <f>INDEX(Bang_sat_thuong!$C$2:$C$7,MATCH(Vu_khi!$K$162,Bang_sat_thuong!$A$2:$A$7,0))</f>
        <v/>
      </c>
      <c r="X162" t="n">
        <v>0</v>
      </c>
      <c r="Y162">
        <f>IF(AND(Vu_khi!$AI$162,Vu_khi!$K$162="HighExplosive"),MAX(He_so_toan_cuc!$D$2,INDEX(Bang_sat_thuong!$D$2:$D$7,MATCH(Vu_khi!$K$162,Bang_sat_thuong!$A$2:$A$7,0))),INDEX(Bang_sat_thuong!$D$2:$D$7,MATCH(Vu_khi!$K$162,Bang_sat_thuong!$A$2:$A$7,0)))</f>
        <v/>
      </c>
      <c r="Z162" t="n">
        <v>1.5</v>
      </c>
      <c r="AA162">
        <f>INDEX(Bang_xuyen_giap!$C$2:$C$7,MIN(6,MAX(1,IF($O$162,MAX(1,2-(Vu_khi!$L$162-0)),2-(Vu_khi!$L$162-0))+1)))</f>
        <v/>
      </c>
      <c r="AB162" t="n">
        <v>0.85</v>
      </c>
      <c r="AC162">
        <f>INDEX(Bang_xuyen_giap!$C$2:$C$7,MIN(6,MAX(1,IF($O$162,MAX(1,2-(Vu_khi!$L$162-2)),2-(Vu_khi!$L$162-2))+1)))</f>
        <v/>
      </c>
      <c r="AD162" t="n">
        <v>0.25</v>
      </c>
      <c r="AE162">
        <f>INDEX(Bang_xuyen_giap!$C$2:$C$7,MIN(6,MAX(1,IF($O$162,MAX(1,2-(Vu_khi!$L$162-4)),2-(Vu_khi!$L$162-4))+1)))</f>
        <v/>
      </c>
      <c r="AF162" t="n">
        <v>0.1</v>
      </c>
      <c r="AG162">
        <f>INDEX(Bang_xuyen_giap!$C$2:$C$7,MIN(6,MAX(1,MAX(1,2-(Vu_khi!$L$162-0))+1)))</f>
        <v/>
      </c>
      <c r="AH162" t="n">
        <v>0.85</v>
      </c>
      <c r="AI162">
        <f>IF($Q$162,$M$162*$AA$162*$U$162,0)</f>
        <v/>
      </c>
      <c r="AJ162" t="n">
        <v>0</v>
      </c>
      <c r="AK162">
        <f>IF($Q$162,$M$162*$AC$162*$U$162,0)</f>
        <v/>
      </c>
      <c r="AL162" t="n">
        <v>0</v>
      </c>
      <c r="AM162">
        <f>IF($Q$162,$M$162*$AE$162*$U$162,0)</f>
        <v/>
      </c>
      <c r="AN162" t="n">
        <v>0</v>
      </c>
      <c r="AO162">
        <f>IF($Q$162,$M$162*$AC$162*$Y$162,0)</f>
        <v/>
      </c>
      <c r="AP162" t="n">
        <v>0</v>
      </c>
      <c r="AQ162">
        <f>IF($S$162,$M$162*$AG$162*$W$162,0)</f>
        <v/>
      </c>
      <c r="AR162" t="n">
        <v>0</v>
      </c>
      <c r="AS162">
        <f>IF(OR(Vu_khi!$M$162="Missile",Vu_khi!$M$162="Drone",AND(Vu_khi!$M$162="Rocket",OR(Vu_khi!$AM$162,Vu_khi!$D$162="guided")),Vu_khi!$AL$162,Vu_khi!$AK$162,Vu_khi!$X$162&lt;=0),FALSE,IF($B$162&gt;=0,$B$162&gt;=4,IF(Vu_khi!$M$162="Shell",Vu_khi!$AN$162&gt;=Canh_bao_vong!$D$10,IF(Vu_khi!$M$162="Bomb",Vu_khi!$AN$162&gt;=Canh_bao_vong!$D$3,IF(Vu_khi!$M$162="Rocket",Vu_khi!$AN$162&gt;=Canh_bao_vong!$D$13,FALSE)))))</f>
        <v/>
      </c>
      <c r="AT162" t="b">
        <v>0</v>
      </c>
      <c r="AU162">
        <f>IF(AND($B$162&lt;0,$AS$162),4,$B$162)</f>
        <v/>
      </c>
      <c r="AV162" t="n">
        <v>0</v>
      </c>
      <c r="AW162">
        <f>IF($AU$162&lt;4,0,MIN(MAX(0.5,Canh_bao_vong!$D$4),MAX(IF(Vu_khi!$C$162="cal_406",Canh_bao_vong!$D$7,IF($AU$162&gt;=5,Canh_bao_vong!$D$9,Canh_bao_vong!$D$8)),Canh_bao_vong!$D$2+MAX(0,Vu_khi!$X$162)/MAX(0.1,Canh_bao_vong!$D$5))))</f>
        <v/>
      </c>
      <c r="AX162" t="n">
        <v>0</v>
      </c>
      <c r="AY162" t="inlineStr"/>
      <c r="AZ162" t="inlineStr">
        <is>
          <t>ok</t>
        </is>
      </c>
      <c r="BA162" t="inlineStr"/>
      <c r="BB162" t="inlineStr">
        <is>
          <t>Assets/MachineBrigade/Resources/Data/balance.json: weapons[id=illum_flare] (lớp B trên 01_chien_dau/Vu_khi)</t>
        </is>
      </c>
      <c r="BC162" t="inlineStr"/>
    </row>
    <row r="163">
      <c r="A163" t="inlineStr">
        <is>
          <t>jassm</t>
        </is>
      </c>
      <c r="B163" t="n">
        <v>4</v>
      </c>
      <c r="C163">
        <f>IF(Vu_khi!$O$163="SIMULTANEOUS",MAX(1,Vu_khi!$N$163),1)</f>
        <v/>
      </c>
      <c r="D163" t="n">
        <v>1</v>
      </c>
      <c r="E163">
        <f>IF(Vu_khi!$S$163&gt;0,Vu_khi!$S$163,Vu_khi!$P$163*$C$163)</f>
        <v/>
      </c>
      <c r="F163" t="n">
        <v>2</v>
      </c>
      <c r="G163">
        <f>IF(Vu_khi!$S$163&gt;0,(Vu_khi!$S$163-1)*Vu_khi!$R$163+Vu_khi!$T$163,Vu_khi!$R$163+(Vu_khi!$P$163-1)*Vu_khi!$Q$163)</f>
        <v/>
      </c>
      <c r="H163" t="n">
        <v>10.44</v>
      </c>
      <c r="I163">
        <f>Vu_khi!$W$163*MAX(1,$E$163)</f>
        <v/>
      </c>
      <c r="J163" t="n">
        <v>820</v>
      </c>
      <c r="K163">
        <f>IF(Vu_khi!$V$163&gt;0,Vu_khi!$V$163,MIN(28,MAX(10,Vu_khi!$U$163*Vu_khi!$R$163*0.4)))</f>
        <v/>
      </c>
      <c r="L163" t="n">
        <v>10</v>
      </c>
      <c r="M163">
        <f>IF(Vu_khi!$W$163&lt;=0,0,IF(Vu_khi!$U$163&gt;0,$I$163*Vu_khi!$U$163/(MAX(0.05,$G$163)*Vu_khi!$U$163+$K$163),$I$163/MAX(0.05,$G$163)))</f>
        <v/>
      </c>
      <c r="N163" t="n">
        <v>78.544061302682</v>
      </c>
      <c r="O163">
        <f>OR(Vu_khi!$AG$163,Vu_khi!$AB$163&gt;0,Vu_khi!$AH$163,Vu_khi!$M$163="Bomb",Vu_khi!$M$163="Drone")</f>
        <v/>
      </c>
      <c r="P163" t="b">
        <v>0</v>
      </c>
      <c r="Q163">
        <f>AND(NOT(Vu_khi!$AJ$163),OR(Vu_khi!$AC$163="Ground",Vu_khi!$AC$163="All"))</f>
        <v/>
      </c>
      <c r="R163" t="b">
        <v>1</v>
      </c>
      <c r="S163">
        <f>AND(NOT(Vu_khi!$AJ$163),OR(Vu_khi!$AC$163="Air",Vu_khi!$AC$163="All"))</f>
        <v/>
      </c>
      <c r="T163" t="b">
        <v>0</v>
      </c>
      <c r="U163">
        <f>INDEX(Bang_sat_thuong!$B$2:$B$7,MATCH(Vu_khi!$K$163,Bang_sat_thuong!$A$2:$A$7,0))</f>
        <v/>
      </c>
      <c r="V163" t="n">
        <v>1</v>
      </c>
      <c r="W163">
        <f>INDEX(Bang_sat_thuong!$C$2:$C$7,MATCH(Vu_khi!$K$163,Bang_sat_thuong!$A$2:$A$7,0))</f>
        <v/>
      </c>
      <c r="X163" t="n">
        <v>0</v>
      </c>
      <c r="Y163">
        <f>IF(AND(Vu_khi!$AI$163,Vu_khi!$K$163="HighExplosive"),MAX(He_so_toan_cuc!$D$2,INDEX(Bang_sat_thuong!$D$2:$D$7,MATCH(Vu_khi!$K$163,Bang_sat_thuong!$A$2:$A$7,0))),INDEX(Bang_sat_thuong!$D$2:$D$7,MATCH(Vu_khi!$K$163,Bang_sat_thuong!$A$2:$A$7,0)))</f>
        <v/>
      </c>
      <c r="Z163" t="n">
        <v>1.5</v>
      </c>
      <c r="AA163">
        <f>INDEX(Bang_xuyen_giap!$C$2:$C$7,MIN(6,MAX(1,IF($O$163,MAX(1,2-(Vu_khi!$L$163-0)),2-(Vu_khi!$L$163-0))+1)))</f>
        <v/>
      </c>
      <c r="AB163" t="n">
        <v>1.2</v>
      </c>
      <c r="AC163">
        <f>INDEX(Bang_xuyen_giap!$C$2:$C$7,MIN(6,MAX(1,IF($O$163,MAX(1,2-(Vu_khi!$L$163-2)),2-(Vu_khi!$L$163-2))+1)))</f>
        <v/>
      </c>
      <c r="AD163" t="n">
        <v>1</v>
      </c>
      <c r="AE163">
        <f>INDEX(Bang_xuyen_giap!$C$2:$C$7,MIN(6,MAX(1,IF($O$163,MAX(1,2-(Vu_khi!$L$163-4)),2-(Vu_khi!$L$163-4))+1)))</f>
        <v/>
      </c>
      <c r="AF163" t="n">
        <v>0.5</v>
      </c>
      <c r="AG163">
        <f>INDEX(Bang_xuyen_giap!$C$2:$C$7,MIN(6,MAX(1,MAX(1,2-(Vu_khi!$L$163-0))+1)))</f>
        <v/>
      </c>
      <c r="AH163" t="n">
        <v>1</v>
      </c>
      <c r="AI163">
        <f>IF($Q$163,$M$163*$AA$163*$U$163,0)</f>
        <v/>
      </c>
      <c r="AJ163" t="n">
        <v>94.25287356321839</v>
      </c>
      <c r="AK163">
        <f>IF($Q$163,$M$163*$AC$163*$U$163,0)</f>
        <v/>
      </c>
      <c r="AL163" t="n">
        <v>78.544061302682</v>
      </c>
      <c r="AM163">
        <f>IF($Q$163,$M$163*$AE$163*$U$163,0)</f>
        <v/>
      </c>
      <c r="AN163" t="n">
        <v>39.272030651341</v>
      </c>
      <c r="AO163">
        <f>IF($Q$163,$M$163*$AC$163*$Y$163,0)</f>
        <v/>
      </c>
      <c r="AP163" t="n">
        <v>117.816091954023</v>
      </c>
      <c r="AQ163">
        <f>IF($S$163,$M$163*$AG$163*$W$163,0)</f>
        <v/>
      </c>
      <c r="AR163" t="n">
        <v>0</v>
      </c>
      <c r="AS163">
        <f>IF(OR(Vu_khi!$M$163="Missile",Vu_khi!$M$163="Drone",AND(Vu_khi!$M$163="Rocket",OR(Vu_khi!$AM$163,Vu_khi!$D$163="guided")),Vu_khi!$AL$163,Vu_khi!$AK$163,Vu_khi!$X$163&lt;=0),FALSE,IF($B$163&gt;=0,$B$163&gt;=4,IF(Vu_khi!$M$163="Shell",Vu_khi!$AN$163&gt;=Canh_bao_vong!$D$10,IF(Vu_khi!$M$163="Bomb",Vu_khi!$AN$163&gt;=Canh_bao_vong!$D$3,IF(Vu_khi!$M$163="Rocket",Vu_khi!$AN$163&gt;=Canh_bao_vong!$D$13,FALSE)))))</f>
        <v/>
      </c>
      <c r="AT163" t="b">
        <v>0</v>
      </c>
      <c r="AU163">
        <f>IF(AND($B$163&lt;0,$AS$163),4,$B$163)</f>
        <v/>
      </c>
      <c r="AV163" t="n">
        <v>4</v>
      </c>
      <c r="AW163">
        <f>IF($AU$163&lt;4,0,MIN(MAX(0.5,Canh_bao_vong!$D$4),MAX(IF(Vu_khi!$C$163="cal_406",Canh_bao_vong!$D$7,IF($AU$163&gt;=5,Canh_bao_vong!$D$9,Canh_bao_vong!$D$8)),Canh_bao_vong!$D$2+MAX(0,Vu_khi!$X$163)/MAX(0.1,Canh_bao_vong!$D$5))))</f>
        <v/>
      </c>
      <c r="AX163" t="n">
        <v>2.5</v>
      </c>
      <c r="AY163" t="n">
        <v>0.2</v>
      </c>
      <c r="AZ163" t="inlineStr">
        <is>
          <t>NHANH_QUA</t>
        </is>
      </c>
      <c r="BA163" t="inlineStr"/>
      <c r="BB163" t="inlineStr">
        <is>
          <t>Assets/MachineBrigade/Resources/Data/balance.json: weapons[id=jassm] (lớp B trên 01_chien_dau/Vu_khi)</t>
        </is>
      </c>
      <c r="BC163" t="inlineStr"/>
    </row>
    <row r="164">
      <c r="A164" t="inlineStr">
        <is>
          <t>jet_bombs</t>
        </is>
      </c>
      <c r="B164" t="n">
        <v>3</v>
      </c>
      <c r="C164">
        <f>IF(Vu_khi!$O$164="SIMULTANEOUS",MAX(1,Vu_khi!$N$164),1)</f>
        <v/>
      </c>
      <c r="D164" t="n">
        <v>1</v>
      </c>
      <c r="E164">
        <f>IF(Vu_khi!$S$164&gt;0,Vu_khi!$S$164,Vu_khi!$P$164*$C$164)</f>
        <v/>
      </c>
      <c r="F164" t="n">
        <v>2</v>
      </c>
      <c r="G164">
        <f>IF(Vu_khi!$S$164&gt;0,(Vu_khi!$S$164-1)*Vu_khi!$R$164+Vu_khi!$T$164,Vu_khi!$R$164+(Vu_khi!$P$164-1)*Vu_khi!$Q$164)</f>
        <v/>
      </c>
      <c r="H164" t="n">
        <v>10.3</v>
      </c>
      <c r="I164">
        <f>Vu_khi!$W$164*MAX(1,$E$164)</f>
        <v/>
      </c>
      <c r="J164" t="n">
        <v>620</v>
      </c>
      <c r="K164">
        <f>IF(Vu_khi!$V$164&gt;0,Vu_khi!$V$164,MIN(28,MAX(10,Vu_khi!$U$164*Vu_khi!$R$164*0.4)))</f>
        <v/>
      </c>
      <c r="L164" t="n">
        <v>10</v>
      </c>
      <c r="M164">
        <f>IF(Vu_khi!$W$164&lt;=0,0,IF(Vu_khi!$U$164&gt;0,$I$164*Vu_khi!$U$164/(MAX(0.05,$G$164)*Vu_khi!$U$164+$K$164),$I$164/MAX(0.05,$G$164)))</f>
        <v/>
      </c>
      <c r="N164" t="n">
        <v>60.19417475728155</v>
      </c>
      <c r="O164">
        <f>OR(Vu_khi!$AG$164,Vu_khi!$AB$164&gt;0,Vu_khi!$AH$164,Vu_khi!$M$164="Bomb",Vu_khi!$M$164="Drone")</f>
        <v/>
      </c>
      <c r="P164" t="b">
        <v>1</v>
      </c>
      <c r="Q164">
        <f>AND(NOT(Vu_khi!$AJ$164),OR(Vu_khi!$AC$164="Ground",Vu_khi!$AC$164="All"))</f>
        <v/>
      </c>
      <c r="R164" t="b">
        <v>1</v>
      </c>
      <c r="S164">
        <f>AND(NOT(Vu_khi!$AJ$164),OR(Vu_khi!$AC$164="Air",Vu_khi!$AC$164="All"))</f>
        <v/>
      </c>
      <c r="T164" t="b">
        <v>0</v>
      </c>
      <c r="U164">
        <f>INDEX(Bang_sat_thuong!$B$2:$B$7,MATCH(Vu_khi!$K$164,Bang_sat_thuong!$A$2:$A$7,0))</f>
        <v/>
      </c>
      <c r="V164" t="n">
        <v>1</v>
      </c>
      <c r="W164">
        <f>INDEX(Bang_sat_thuong!$C$2:$C$7,MATCH(Vu_khi!$K$164,Bang_sat_thuong!$A$2:$A$7,0))</f>
        <v/>
      </c>
      <c r="X164" t="n">
        <v>0</v>
      </c>
      <c r="Y164">
        <f>IF(AND(Vu_khi!$AI$164,Vu_khi!$K$164="HighExplosive"),MAX(He_so_toan_cuc!$D$2,INDEX(Bang_sat_thuong!$D$2:$D$7,MATCH(Vu_khi!$K$164,Bang_sat_thuong!$A$2:$A$7,0))),INDEX(Bang_sat_thuong!$D$2:$D$7,MATCH(Vu_khi!$K$164,Bang_sat_thuong!$A$2:$A$7,0)))</f>
        <v/>
      </c>
      <c r="Z164" t="n">
        <v>1.5</v>
      </c>
      <c r="AA164">
        <f>INDEX(Bang_xuyen_giap!$C$2:$C$7,MIN(6,MAX(1,IF($O$164,MAX(1,2-(Vu_khi!$L$164-0)),2-(Vu_khi!$L$164-0))+1)))</f>
        <v/>
      </c>
      <c r="AB164" t="n">
        <v>1</v>
      </c>
      <c r="AC164">
        <f>INDEX(Bang_xuyen_giap!$C$2:$C$7,MIN(6,MAX(1,IF($O$164,MAX(1,2-(Vu_khi!$L$164-2)),2-(Vu_khi!$L$164-2))+1)))</f>
        <v/>
      </c>
      <c r="AD164" t="n">
        <v>0.85</v>
      </c>
      <c r="AE164">
        <f>INDEX(Bang_xuyen_giap!$C$2:$C$7,MIN(6,MAX(1,IF($O$164,MAX(1,2-(Vu_khi!$L$164-4)),2-(Vu_khi!$L$164-4))+1)))</f>
        <v/>
      </c>
      <c r="AF164" t="n">
        <v>0.25</v>
      </c>
      <c r="AG164">
        <f>INDEX(Bang_xuyen_giap!$C$2:$C$7,MIN(6,MAX(1,MAX(1,2-(Vu_khi!$L$164-0))+1)))</f>
        <v/>
      </c>
      <c r="AH164" t="n">
        <v>1</v>
      </c>
      <c r="AI164">
        <f>IF($Q$164,$M$164*$AA$164*$U$164,0)</f>
        <v/>
      </c>
      <c r="AJ164" t="n">
        <v>60.19417475728155</v>
      </c>
      <c r="AK164">
        <f>IF($Q$164,$M$164*$AC$164*$U$164,0)</f>
        <v/>
      </c>
      <c r="AL164" t="n">
        <v>51.16504854368932</v>
      </c>
      <c r="AM164">
        <f>IF($Q$164,$M$164*$AE$164*$U$164,0)</f>
        <v/>
      </c>
      <c r="AN164" t="n">
        <v>15.04854368932039</v>
      </c>
      <c r="AO164">
        <f>IF($Q$164,$M$164*$AC$164*$Y$164,0)</f>
        <v/>
      </c>
      <c r="AP164" t="n">
        <v>76.74757281553397</v>
      </c>
      <c r="AQ164">
        <f>IF($S$164,$M$164*$AG$164*$W$164,0)</f>
        <v/>
      </c>
      <c r="AR164" t="n">
        <v>0</v>
      </c>
      <c r="AS164">
        <f>IF(OR(Vu_khi!$M$164="Missile",Vu_khi!$M$164="Drone",AND(Vu_khi!$M$164="Rocket",OR(Vu_khi!$AM$164,Vu_khi!$D$164="guided")),Vu_khi!$AL$164,Vu_khi!$AK$164,Vu_khi!$X$164&lt;=0),FALSE,IF($B$164&gt;=0,$B$164&gt;=4,IF(Vu_khi!$M$164="Shell",Vu_khi!$AN$164&gt;=Canh_bao_vong!$D$10,IF(Vu_khi!$M$164="Bomb",Vu_khi!$AN$164&gt;=Canh_bao_vong!$D$3,IF(Vu_khi!$M$164="Rocket",Vu_khi!$AN$164&gt;=Canh_bao_vong!$D$13,FALSE)))))</f>
        <v/>
      </c>
      <c r="AT164" t="b">
        <v>0</v>
      </c>
      <c r="AU164">
        <f>IF(AND($B$164&lt;0,$AS$164),4,$B$164)</f>
        <v/>
      </c>
      <c r="AV164" t="n">
        <v>3</v>
      </c>
      <c r="AW164">
        <f>IF($AU$164&lt;4,0,MIN(MAX(0.5,Canh_bao_vong!$D$4),MAX(IF(Vu_khi!$C$164="cal_406",Canh_bao_vong!$D$7,IF($AU$164&gt;=5,Canh_bao_vong!$D$9,Canh_bao_vong!$D$8)),Canh_bao_vong!$D$2+MAX(0,Vu_khi!$X$164)/MAX(0.1,Canh_bao_vong!$D$5))))</f>
        <v/>
      </c>
      <c r="AX164" t="n">
        <v>0</v>
      </c>
      <c r="AY164" t="n">
        <v>2.5</v>
      </c>
      <c r="AZ164" t="inlineStr">
        <is>
          <t>ok</t>
        </is>
      </c>
      <c r="BA164" t="inlineStr"/>
      <c r="BB164" t="inlineStr">
        <is>
          <t>Assets/MachineBrigade/Resources/Data/balance.json: weapons[id=jet_bombs] (lớp B trên 01_chien_dau/Vu_khi)</t>
        </is>
      </c>
      <c r="BC164" t="inlineStr"/>
    </row>
    <row r="165">
      <c r="A165" t="inlineStr">
        <is>
          <t>jet_cannon</t>
        </is>
      </c>
      <c r="B165" t="n">
        <v>1</v>
      </c>
      <c r="C165">
        <f>IF(Vu_khi!$O$165="SIMULTANEOUS",MAX(1,Vu_khi!$N$165),1)</f>
        <v/>
      </c>
      <c r="D165" t="n">
        <v>1</v>
      </c>
      <c r="E165">
        <f>IF(Vu_khi!$S$165&gt;0,Vu_khi!$S$165,Vu_khi!$P$165*$C$165)</f>
        <v/>
      </c>
      <c r="F165" t="n">
        <v>70</v>
      </c>
      <c r="G165">
        <f>IF(Vu_khi!$S$165&gt;0,(Vu_khi!$S$165-1)*Vu_khi!$R$165+Vu_khi!$T$165,Vu_khi!$R$165+(Vu_khi!$P$165-1)*Vu_khi!$Q$165)</f>
        <v/>
      </c>
      <c r="H165" t="n">
        <v>5.182</v>
      </c>
      <c r="I165">
        <f>Vu_khi!$W$165*MAX(1,$E$165)</f>
        <v/>
      </c>
      <c r="J165" t="n">
        <v>1610</v>
      </c>
      <c r="K165">
        <f>IF(Vu_khi!$V$165&gt;0,Vu_khi!$V$165,MIN(28,MAX(10,Vu_khi!$U$165*Vu_khi!$R$165*0.4)))</f>
        <v/>
      </c>
      <c r="L165" t="n">
        <v>10</v>
      </c>
      <c r="M165">
        <f>IF(Vu_khi!$W$165&lt;=0,0,IF(Vu_khi!$U$165&gt;0,$I$165*Vu_khi!$U$165/(MAX(0.05,$G$165)*Vu_khi!$U$165+$K$165),$I$165/MAX(0.05,$G$165)))</f>
        <v/>
      </c>
      <c r="N165" t="n">
        <v>310.690852952528</v>
      </c>
      <c r="O165">
        <f>OR(Vu_khi!$AG$165,Vu_khi!$AB$165&gt;0,Vu_khi!$AH$165,Vu_khi!$M$165="Bomb",Vu_khi!$M$165="Drone")</f>
        <v/>
      </c>
      <c r="P165" t="b">
        <v>0</v>
      </c>
      <c r="Q165">
        <f>AND(NOT(Vu_khi!$AJ$165),OR(Vu_khi!$AC$165="Ground",Vu_khi!$AC$165="All"))</f>
        <v/>
      </c>
      <c r="R165" t="b">
        <v>1</v>
      </c>
      <c r="S165">
        <f>AND(NOT(Vu_khi!$AJ$165),OR(Vu_khi!$AC$165="Air",Vu_khi!$AC$165="All"))</f>
        <v/>
      </c>
      <c r="T165" t="b">
        <v>0</v>
      </c>
      <c r="U165">
        <f>INDEX(Bang_sat_thuong!$B$2:$B$7,MATCH(Vu_khi!$K$165,Bang_sat_thuong!$A$2:$A$7,0))</f>
        <v/>
      </c>
      <c r="V165" t="n">
        <v>1</v>
      </c>
      <c r="W165">
        <f>INDEX(Bang_sat_thuong!$C$2:$C$7,MATCH(Vu_khi!$K$165,Bang_sat_thuong!$A$2:$A$7,0))</f>
        <v/>
      </c>
      <c r="X165" t="n">
        <v>0.3</v>
      </c>
      <c r="Y165">
        <f>IF(AND(Vu_khi!$AI$165,Vu_khi!$K$165="HighExplosive"),MAX(He_so_toan_cuc!$D$2,INDEX(Bang_sat_thuong!$D$2:$D$7,MATCH(Vu_khi!$K$165,Bang_sat_thuong!$A$2:$A$7,0))),INDEX(Bang_sat_thuong!$D$2:$D$7,MATCH(Vu_khi!$K$165,Bang_sat_thuong!$A$2:$A$7,0)))</f>
        <v/>
      </c>
      <c r="Z165" t="n">
        <v>0.6</v>
      </c>
      <c r="AA165">
        <f>INDEX(Bang_xuyen_giap!$C$2:$C$7,MIN(6,MAX(1,IF($O$165,MAX(1,2-(Vu_khi!$L$165-0)),2-(Vu_khi!$L$165-0))+1)))</f>
        <v/>
      </c>
      <c r="AB165" t="n">
        <v>1.2</v>
      </c>
      <c r="AC165">
        <f>INDEX(Bang_xuyen_giap!$C$2:$C$7,MIN(6,MAX(1,IF($O$165,MAX(1,2-(Vu_khi!$L$165-2)),2-(Vu_khi!$L$165-2))+1)))</f>
        <v/>
      </c>
      <c r="AD165" t="n">
        <v>0.85</v>
      </c>
      <c r="AE165">
        <f>INDEX(Bang_xuyen_giap!$C$2:$C$7,MIN(6,MAX(1,IF($O$165,MAX(1,2-(Vu_khi!$L$165-4)),2-(Vu_khi!$L$165-4))+1)))</f>
        <v/>
      </c>
      <c r="AF165" t="n">
        <v>0.25</v>
      </c>
      <c r="AG165">
        <f>INDEX(Bang_xuyen_giap!$C$2:$C$7,MIN(6,MAX(1,MAX(1,2-(Vu_khi!$L$165-0))+1)))</f>
        <v/>
      </c>
      <c r="AH165" t="n">
        <v>1</v>
      </c>
      <c r="AI165">
        <f>IF($Q$165,$M$165*$AA$165*$U$165,0)</f>
        <v/>
      </c>
      <c r="AJ165" t="n">
        <v>372.8290235430335</v>
      </c>
      <c r="AK165">
        <f>IF($Q$165,$M$165*$AC$165*$U$165,0)</f>
        <v/>
      </c>
      <c r="AL165" t="n">
        <v>264.0872250096488</v>
      </c>
      <c r="AM165">
        <f>IF($Q$165,$M$165*$AE$165*$U$165,0)</f>
        <v/>
      </c>
      <c r="AN165" t="n">
        <v>77.67271323813199</v>
      </c>
      <c r="AO165">
        <f>IF($Q$165,$M$165*$AC$165*$Y$165,0)</f>
        <v/>
      </c>
      <c r="AP165" t="n">
        <v>158.4523350057893</v>
      </c>
      <c r="AQ165">
        <f>IF($S$165,$M$165*$AG$165*$W$165,0)</f>
        <v/>
      </c>
      <c r="AR165" t="n">
        <v>0</v>
      </c>
      <c r="AS165">
        <f>IF(OR(Vu_khi!$M$165="Missile",Vu_khi!$M$165="Drone",AND(Vu_khi!$M$165="Rocket",OR(Vu_khi!$AM$165,Vu_khi!$D$165="guided")),Vu_khi!$AL$165,Vu_khi!$AK$165,Vu_khi!$X$165&lt;=0),FALSE,IF($B$165&gt;=0,$B$165&gt;=4,IF(Vu_khi!$M$165="Shell",Vu_khi!$AN$165&gt;=Canh_bao_vong!$D$10,IF(Vu_khi!$M$165="Bomb",Vu_khi!$AN$165&gt;=Canh_bao_vong!$D$3,IF(Vu_khi!$M$165="Rocket",Vu_khi!$AN$165&gt;=Canh_bao_vong!$D$13,FALSE)))))</f>
        <v/>
      </c>
      <c r="AT165" t="b">
        <v>0</v>
      </c>
      <c r="AU165">
        <f>IF(AND($B$165&lt;0,$AS$165),4,$B$165)</f>
        <v/>
      </c>
      <c r="AV165" t="n">
        <v>1</v>
      </c>
      <c r="AW165">
        <f>IF($AU$165&lt;4,0,MIN(MAX(0.5,Canh_bao_vong!$D$4),MAX(IF(Vu_khi!$C$165="cal_406",Canh_bao_vong!$D$7,IF($AU$165&gt;=5,Canh_bao_vong!$D$9,Canh_bao_vong!$D$8)),Canh_bao_vong!$D$2+MAX(0,Vu_khi!$X$165)/MAX(0.1,Canh_bao_vong!$D$5))))</f>
        <v/>
      </c>
      <c r="AX165" t="n">
        <v>0</v>
      </c>
      <c r="AY165" t="n">
        <v>3.701429</v>
      </c>
      <c r="AZ165" t="inlineStr">
        <is>
          <t>ok</t>
        </is>
      </c>
      <c r="BA165" t="inlineStr"/>
      <c r="BB165" t="inlineStr">
        <is>
          <t>Assets/MachineBrigade/Resources/Data/balance.json: weapons[id=jet_cannon] (lớp B trên 01_chien_dau/Vu_khi)</t>
        </is>
      </c>
      <c r="BC165" t="inlineStr"/>
    </row>
    <row r="166">
      <c r="A166" t="inlineStr">
        <is>
          <t>jet_cannon_flak</t>
        </is>
      </c>
      <c r="B166" t="n">
        <v>1</v>
      </c>
      <c r="C166">
        <f>IF(Vu_khi!$O$166="SIMULTANEOUS",MAX(1,Vu_khi!$N$166),1)</f>
        <v/>
      </c>
      <c r="D166" t="n">
        <v>1</v>
      </c>
      <c r="E166">
        <f>IF(Vu_khi!$S$166&gt;0,Vu_khi!$S$166,Vu_khi!$P$166*$C$166)</f>
        <v/>
      </c>
      <c r="F166" t="n">
        <v>70</v>
      </c>
      <c r="G166">
        <f>IF(Vu_khi!$S$166&gt;0,(Vu_khi!$S$166-1)*Vu_khi!$R$166+Vu_khi!$T$166,Vu_khi!$R$166+(Vu_khi!$P$166-1)*Vu_khi!$Q$166)</f>
        <v/>
      </c>
      <c r="H166" t="n">
        <v>5.182</v>
      </c>
      <c r="I166">
        <f>Vu_khi!$W$166*MAX(1,$E$166)</f>
        <v/>
      </c>
      <c r="J166" t="n">
        <v>1610</v>
      </c>
      <c r="K166">
        <f>IF(Vu_khi!$V$166&gt;0,Vu_khi!$V$166,MIN(28,MAX(10,Vu_khi!$U$166*Vu_khi!$R$166*0.4)))</f>
        <v/>
      </c>
      <c r="L166" t="n">
        <v>10</v>
      </c>
      <c r="M166">
        <f>IF(Vu_khi!$W$166&lt;=0,0,IF(Vu_khi!$U$166&gt;0,$I$166*Vu_khi!$U$166/(MAX(0.05,$G$166)*Vu_khi!$U$166+$K$166),$I$166/MAX(0.05,$G$166)))</f>
        <v/>
      </c>
      <c r="N166" t="n">
        <v>310.690852952528</v>
      </c>
      <c r="O166">
        <f>OR(Vu_khi!$AG$166,Vu_khi!$AB$166&gt;0,Vu_khi!$AH$166,Vu_khi!$M$166="Bomb",Vu_khi!$M$166="Drone")</f>
        <v/>
      </c>
      <c r="P166" t="b">
        <v>0</v>
      </c>
      <c r="Q166">
        <f>AND(NOT(Vu_khi!$AJ$166),OR(Vu_khi!$AC$166="Ground",Vu_khi!$AC$166="All"))</f>
        <v/>
      </c>
      <c r="R166" t="b">
        <v>0</v>
      </c>
      <c r="S166">
        <f>AND(NOT(Vu_khi!$AJ$166),OR(Vu_khi!$AC$166="Air",Vu_khi!$AC$166="All"))</f>
        <v/>
      </c>
      <c r="T166" t="b">
        <v>1</v>
      </c>
      <c r="U166">
        <f>INDEX(Bang_sat_thuong!$B$2:$B$7,MATCH(Vu_khi!$K$166,Bang_sat_thuong!$A$2:$A$7,0))</f>
        <v/>
      </c>
      <c r="V166" t="n">
        <v>0.5</v>
      </c>
      <c r="W166">
        <f>INDEX(Bang_sat_thuong!$C$2:$C$7,MATCH(Vu_khi!$K$166,Bang_sat_thuong!$A$2:$A$7,0))</f>
        <v/>
      </c>
      <c r="X166" t="n">
        <v>1.3</v>
      </c>
      <c r="Y166">
        <f>IF(AND(Vu_khi!$AI$166,Vu_khi!$K$166="HighExplosive"),MAX(He_so_toan_cuc!$D$2,INDEX(Bang_sat_thuong!$D$2:$D$7,MATCH(Vu_khi!$K$166,Bang_sat_thuong!$A$2:$A$7,0))),INDEX(Bang_sat_thuong!$D$2:$D$7,MATCH(Vu_khi!$K$166,Bang_sat_thuong!$A$2:$A$7,0)))</f>
        <v/>
      </c>
      <c r="Z166" t="n">
        <v>0.1</v>
      </c>
      <c r="AA166">
        <f>INDEX(Bang_xuyen_giap!$C$2:$C$7,MIN(6,MAX(1,IF($O$166,MAX(1,2-(Vu_khi!$L$166-0)),2-(Vu_khi!$L$166-0))+1)))</f>
        <v/>
      </c>
      <c r="AB166" t="n">
        <v>1.2</v>
      </c>
      <c r="AC166">
        <f>INDEX(Bang_xuyen_giap!$C$2:$C$7,MIN(6,MAX(1,IF($O$166,MAX(1,2-(Vu_khi!$L$166-2)),2-(Vu_khi!$L$166-2))+1)))</f>
        <v/>
      </c>
      <c r="AD166" t="n">
        <v>0.85</v>
      </c>
      <c r="AE166">
        <f>INDEX(Bang_xuyen_giap!$C$2:$C$7,MIN(6,MAX(1,IF($O$166,MAX(1,2-(Vu_khi!$L$166-4)),2-(Vu_khi!$L$166-4))+1)))</f>
        <v/>
      </c>
      <c r="AF166" t="n">
        <v>0.25</v>
      </c>
      <c r="AG166">
        <f>INDEX(Bang_xuyen_giap!$C$2:$C$7,MIN(6,MAX(1,MAX(1,2-(Vu_khi!$L$166-0))+1)))</f>
        <v/>
      </c>
      <c r="AH166" t="n">
        <v>1</v>
      </c>
      <c r="AI166">
        <f>IF($Q$166,$M$166*$AA$166*$U$166,0)</f>
        <v/>
      </c>
      <c r="AJ166" t="n">
        <v>0</v>
      </c>
      <c r="AK166">
        <f>IF($Q$166,$M$166*$AC$166*$U$166,0)</f>
        <v/>
      </c>
      <c r="AL166" t="n">
        <v>0</v>
      </c>
      <c r="AM166">
        <f>IF($Q$166,$M$166*$AE$166*$U$166,0)</f>
        <v/>
      </c>
      <c r="AN166" t="n">
        <v>0</v>
      </c>
      <c r="AO166">
        <f>IF($Q$166,$M$166*$AC$166*$Y$166,0)</f>
        <v/>
      </c>
      <c r="AP166" t="n">
        <v>0</v>
      </c>
      <c r="AQ166">
        <f>IF($S$166,$M$166*$AG$166*$W$166,0)</f>
        <v/>
      </c>
      <c r="AR166" t="n">
        <v>403.8981088382864</v>
      </c>
      <c r="AS166">
        <f>IF(OR(Vu_khi!$M$166="Missile",Vu_khi!$M$166="Drone",AND(Vu_khi!$M$166="Rocket",OR(Vu_khi!$AM$166,Vu_khi!$D$166="guided")),Vu_khi!$AL$166,Vu_khi!$AK$166,Vu_khi!$X$166&lt;=0),FALSE,IF($B$166&gt;=0,$B$166&gt;=4,IF(Vu_khi!$M$166="Shell",Vu_khi!$AN$166&gt;=Canh_bao_vong!$D$10,IF(Vu_khi!$M$166="Bomb",Vu_khi!$AN$166&gt;=Canh_bao_vong!$D$3,IF(Vu_khi!$M$166="Rocket",Vu_khi!$AN$166&gt;=Canh_bao_vong!$D$13,FALSE)))))</f>
        <v/>
      </c>
      <c r="AT166" t="b">
        <v>0</v>
      </c>
      <c r="AU166">
        <f>IF(AND($B$166&lt;0,$AS$166),4,$B$166)</f>
        <v/>
      </c>
      <c r="AV166" t="n">
        <v>1</v>
      </c>
      <c r="AW166">
        <f>IF($AU$166&lt;4,0,MIN(MAX(0.5,Canh_bao_vong!$D$4),MAX(IF(Vu_khi!$C$166="cal_406",Canh_bao_vong!$D$7,IF($AU$166&gt;=5,Canh_bao_vong!$D$9,Canh_bao_vong!$D$8)),Canh_bao_vong!$D$2+MAX(0,Vu_khi!$X$166)/MAX(0.1,Canh_bao_vong!$D$5))))</f>
        <v/>
      </c>
      <c r="AX166" t="n">
        <v>0</v>
      </c>
      <c r="BB166" t="inlineStr">
        <is>
          <t>Assets/MachineBrigade/Resources/Data/balance.json: weapons[id=jet_cannon_flak] (lớp B trên 01_chien_dau/Vu_khi)</t>
        </is>
      </c>
      <c r="BC166" t="inlineStr"/>
    </row>
    <row r="167">
      <c r="A167" t="inlineStr">
        <is>
          <t>jet_rockets</t>
        </is>
      </c>
      <c r="B167" t="n">
        <v>2</v>
      </c>
      <c r="C167">
        <f>IF(Vu_khi!$O$167="SIMULTANEOUS",MAX(1,Vu_khi!$N$167),1)</f>
        <v/>
      </c>
      <c r="D167" t="n">
        <v>1</v>
      </c>
      <c r="E167">
        <f>IF(Vu_khi!$S$167&gt;0,Vu_khi!$S$167,Vu_khi!$P$167*$C$167)</f>
        <v/>
      </c>
      <c r="F167" t="n">
        <v>7</v>
      </c>
      <c r="G167">
        <f>IF(Vu_khi!$S$167&gt;0,(Vu_khi!$S$167-1)*Vu_khi!$R$167+Vu_khi!$T$167,Vu_khi!$R$167+(Vu_khi!$P$167-1)*Vu_khi!$Q$167)</f>
        <v/>
      </c>
      <c r="H167" t="n">
        <v>3.03</v>
      </c>
      <c r="I167">
        <f>Vu_khi!$W$167*MAX(1,$E$167)</f>
        <v/>
      </c>
      <c r="J167" t="n">
        <v>210</v>
      </c>
      <c r="K167">
        <f>IF(Vu_khi!$V$167&gt;0,Vu_khi!$V$167,MIN(28,MAX(10,Vu_khi!$U$167*Vu_khi!$R$167*0.4)))</f>
        <v/>
      </c>
      <c r="L167" t="n">
        <v>10</v>
      </c>
      <c r="M167">
        <f>IF(Vu_khi!$W$167&lt;=0,0,IF(Vu_khi!$U$167&gt;0,$I$167*Vu_khi!$U$167/(MAX(0.05,$G$167)*Vu_khi!$U$167+$K$167),$I$167/MAX(0.05,$G$167)))</f>
        <v/>
      </c>
      <c r="N167" t="n">
        <v>69.3069306930693</v>
      </c>
      <c r="O167">
        <f>OR(Vu_khi!$AG$167,Vu_khi!$AB$167&gt;0,Vu_khi!$AH$167,Vu_khi!$M$167="Bomb",Vu_khi!$M$167="Drone")</f>
        <v/>
      </c>
      <c r="P167" t="b">
        <v>0</v>
      </c>
      <c r="Q167">
        <f>AND(NOT(Vu_khi!$AJ$167),OR(Vu_khi!$AC$167="Ground",Vu_khi!$AC$167="All"))</f>
        <v/>
      </c>
      <c r="R167" t="b">
        <v>1</v>
      </c>
      <c r="S167">
        <f>AND(NOT(Vu_khi!$AJ$167),OR(Vu_khi!$AC$167="Air",Vu_khi!$AC$167="All"))</f>
        <v/>
      </c>
      <c r="T167" t="b">
        <v>0</v>
      </c>
      <c r="U167">
        <f>INDEX(Bang_sat_thuong!$B$2:$B$7,MATCH(Vu_khi!$K$167,Bang_sat_thuong!$A$2:$A$7,0))</f>
        <v/>
      </c>
      <c r="V167" t="n">
        <v>1</v>
      </c>
      <c r="W167">
        <f>INDEX(Bang_sat_thuong!$C$2:$C$7,MATCH(Vu_khi!$K$167,Bang_sat_thuong!$A$2:$A$7,0))</f>
        <v/>
      </c>
      <c r="X167" t="n">
        <v>0</v>
      </c>
      <c r="Y167">
        <f>IF(AND(Vu_khi!$AI$167,Vu_khi!$K$167="HighExplosive"),MAX(He_so_toan_cuc!$D$2,INDEX(Bang_sat_thuong!$D$2:$D$7,MATCH(Vu_khi!$K$167,Bang_sat_thuong!$A$2:$A$7,0))),INDEX(Bang_sat_thuong!$D$2:$D$7,MATCH(Vu_khi!$K$167,Bang_sat_thuong!$A$2:$A$7,0)))</f>
        <v/>
      </c>
      <c r="Z167" t="n">
        <v>1.5</v>
      </c>
      <c r="AA167">
        <f>INDEX(Bang_xuyen_giap!$C$2:$C$7,MIN(6,MAX(1,IF($O$167,MAX(1,2-(Vu_khi!$L$167-0)),2-(Vu_khi!$L$167-0))+1)))</f>
        <v/>
      </c>
      <c r="AB167" t="n">
        <v>1.2</v>
      </c>
      <c r="AC167">
        <f>INDEX(Bang_xuyen_giap!$C$2:$C$7,MIN(6,MAX(1,IF($O$167,MAX(1,2-(Vu_khi!$L$167-2)),2-(Vu_khi!$L$167-2))+1)))</f>
        <v/>
      </c>
      <c r="AD167" t="n">
        <v>0.85</v>
      </c>
      <c r="AE167">
        <f>INDEX(Bang_xuyen_giap!$C$2:$C$7,MIN(6,MAX(1,IF($O$167,MAX(1,2-(Vu_khi!$L$167-4)),2-(Vu_khi!$L$167-4))+1)))</f>
        <v/>
      </c>
      <c r="AF167" t="n">
        <v>0.25</v>
      </c>
      <c r="AG167">
        <f>INDEX(Bang_xuyen_giap!$C$2:$C$7,MIN(6,MAX(1,MAX(1,2-(Vu_khi!$L$167-0))+1)))</f>
        <v/>
      </c>
      <c r="AH167" t="n">
        <v>1</v>
      </c>
      <c r="AI167">
        <f>IF($Q$167,$M$167*$AA$167*$U$167,0)</f>
        <v/>
      </c>
      <c r="AJ167" t="n">
        <v>83.16831683168316</v>
      </c>
      <c r="AK167">
        <f>IF($Q$167,$M$167*$AC$167*$U$167,0)</f>
        <v/>
      </c>
      <c r="AL167" t="n">
        <v>58.91089108910891</v>
      </c>
      <c r="AM167">
        <f>IF($Q$167,$M$167*$AE$167*$U$167,0)</f>
        <v/>
      </c>
      <c r="AN167" t="n">
        <v>17.32673267326733</v>
      </c>
      <c r="AO167">
        <f>IF($Q$167,$M$167*$AC$167*$Y$167,0)</f>
        <v/>
      </c>
      <c r="AP167" t="n">
        <v>88.36633663366335</v>
      </c>
      <c r="AQ167">
        <f>IF($S$167,$M$167*$AG$167*$W$167,0)</f>
        <v/>
      </c>
      <c r="AR167" t="n">
        <v>0</v>
      </c>
      <c r="AS167">
        <f>IF(OR(Vu_khi!$M$167="Missile",Vu_khi!$M$167="Drone",AND(Vu_khi!$M$167="Rocket",OR(Vu_khi!$AM$167,Vu_khi!$D$167="guided")),Vu_khi!$AL$167,Vu_khi!$AK$167,Vu_khi!$X$167&lt;=0),FALSE,IF($B$167&gt;=0,$B$167&gt;=4,IF(Vu_khi!$M$167="Shell",Vu_khi!$AN$167&gt;=Canh_bao_vong!$D$10,IF(Vu_khi!$M$167="Bomb",Vu_khi!$AN$167&gt;=Canh_bao_vong!$D$3,IF(Vu_khi!$M$167="Rocket",Vu_khi!$AN$167&gt;=Canh_bao_vong!$D$13,FALSE)))))</f>
        <v/>
      </c>
      <c r="AT167" t="b">
        <v>0</v>
      </c>
      <c r="AU167">
        <f>IF(AND($B$167&lt;0,$AS$167),4,$B$167)</f>
        <v/>
      </c>
      <c r="AV167" t="n">
        <v>2</v>
      </c>
      <c r="AW167">
        <f>IF($AU$167&lt;4,0,MIN(MAX(0.5,Canh_bao_vong!$D$4),MAX(IF(Vu_khi!$C$167="cal_406",Canh_bao_vong!$D$7,IF($AU$167&gt;=5,Canh_bao_vong!$D$9,Canh_bao_vong!$D$8)),Canh_bao_vong!$D$2+MAX(0,Vu_khi!$X$167)/MAX(0.1,Canh_bao_vong!$D$5))))</f>
        <v/>
      </c>
      <c r="AX167" t="n">
        <v>0</v>
      </c>
      <c r="AY167" t="n">
        <v>1.2</v>
      </c>
      <c r="AZ167" t="inlineStr">
        <is>
          <t>ok</t>
        </is>
      </c>
      <c r="BA167" t="inlineStr"/>
      <c r="BB167" t="inlineStr">
        <is>
          <t>Assets/MachineBrigade/Resources/Data/balance.json: weapons[id=jet_rockets] (lớp B trên 01_chien_dau/Vu_khi)</t>
        </is>
      </c>
      <c r="BC167" t="inlineStr"/>
    </row>
    <row r="168">
      <c r="A168" t="inlineStr">
        <is>
          <t>kh29</t>
        </is>
      </c>
      <c r="B168" t="n">
        <v>4</v>
      </c>
      <c r="C168">
        <f>IF(Vu_khi!$O$168="SIMULTANEOUS",MAX(1,Vu_khi!$N$168),1)</f>
        <v/>
      </c>
      <c r="D168" t="n">
        <v>1</v>
      </c>
      <c r="E168">
        <f>IF(Vu_khi!$S$168&gt;0,Vu_khi!$S$168,Vu_khi!$P$168*$C$168)</f>
        <v/>
      </c>
      <c r="F168" t="n">
        <v>1</v>
      </c>
      <c r="G168">
        <f>IF(Vu_khi!$S$168&gt;0,(Vu_khi!$S$168-1)*Vu_khi!$R$168+Vu_khi!$T$168,Vu_khi!$R$168+(Vu_khi!$P$168-1)*Vu_khi!$Q$168)</f>
        <v/>
      </c>
      <c r="H168" t="n">
        <v>7.86</v>
      </c>
      <c r="I168">
        <f>Vu_khi!$W$168*MAX(1,$E$168)</f>
        <v/>
      </c>
      <c r="J168" t="n">
        <v>378</v>
      </c>
      <c r="K168">
        <f>IF(Vu_khi!$V$168&gt;0,Vu_khi!$V$168,MIN(28,MAX(10,Vu_khi!$U$168*Vu_khi!$R$168*0.4)))</f>
        <v/>
      </c>
      <c r="L168" t="n">
        <v>10</v>
      </c>
      <c r="M168">
        <f>IF(Vu_khi!$W$168&lt;=0,0,IF(Vu_khi!$U$168&gt;0,$I$168*Vu_khi!$U$168/(MAX(0.05,$G$168)*Vu_khi!$U$168+$K$168),$I$168/MAX(0.05,$G$168)))</f>
        <v/>
      </c>
      <c r="N168" t="n">
        <v>48.09160305343512</v>
      </c>
      <c r="O168">
        <f>OR(Vu_khi!$AG$168,Vu_khi!$AB$168&gt;0,Vu_khi!$AH$168,Vu_khi!$M$168="Bomb",Vu_khi!$M$168="Drone")</f>
        <v/>
      </c>
      <c r="P168" t="b">
        <v>0</v>
      </c>
      <c r="Q168">
        <f>AND(NOT(Vu_khi!$AJ$168),OR(Vu_khi!$AC$168="Ground",Vu_khi!$AC$168="All"))</f>
        <v/>
      </c>
      <c r="R168" t="b">
        <v>1</v>
      </c>
      <c r="S168">
        <f>AND(NOT(Vu_khi!$AJ$168),OR(Vu_khi!$AC$168="Air",Vu_khi!$AC$168="All"))</f>
        <v/>
      </c>
      <c r="T168" t="b">
        <v>0</v>
      </c>
      <c r="U168">
        <f>INDEX(Bang_sat_thuong!$B$2:$B$7,MATCH(Vu_khi!$K$168,Bang_sat_thuong!$A$2:$A$7,0))</f>
        <v/>
      </c>
      <c r="V168" t="n">
        <v>1</v>
      </c>
      <c r="W168">
        <f>INDEX(Bang_sat_thuong!$C$2:$C$7,MATCH(Vu_khi!$K$168,Bang_sat_thuong!$A$2:$A$7,0))</f>
        <v/>
      </c>
      <c r="X168" t="n">
        <v>0.3</v>
      </c>
      <c r="Y168">
        <f>IF(AND(Vu_khi!$AI$168,Vu_khi!$K$168="HighExplosive"),MAX(He_so_toan_cuc!$D$2,INDEX(Bang_sat_thuong!$D$2:$D$7,MATCH(Vu_khi!$K$168,Bang_sat_thuong!$A$2:$A$7,0))),INDEX(Bang_sat_thuong!$D$2:$D$7,MATCH(Vu_khi!$K$168,Bang_sat_thuong!$A$2:$A$7,0)))</f>
        <v/>
      </c>
      <c r="Z168" t="n">
        <v>0.6</v>
      </c>
      <c r="AA168">
        <f>INDEX(Bang_xuyen_giap!$C$2:$C$7,MIN(6,MAX(1,IF($O$168,MAX(1,2-(Vu_khi!$L$168-0)),2-(Vu_khi!$L$168-0))+1)))</f>
        <v/>
      </c>
      <c r="AB168" t="n">
        <v>1.2</v>
      </c>
      <c r="AC168">
        <f>INDEX(Bang_xuyen_giap!$C$2:$C$7,MIN(6,MAX(1,IF($O$168,MAX(1,2-(Vu_khi!$L$168-2)),2-(Vu_khi!$L$168-2))+1)))</f>
        <v/>
      </c>
      <c r="AD168" t="n">
        <v>1.2</v>
      </c>
      <c r="AE168">
        <f>INDEX(Bang_xuyen_giap!$C$2:$C$7,MIN(6,MAX(1,IF($O$168,MAX(1,2-(Vu_khi!$L$168-4)),2-(Vu_khi!$L$168-4))+1)))</f>
        <v/>
      </c>
      <c r="AF168" t="n">
        <v>0.85</v>
      </c>
      <c r="AG168">
        <f>INDEX(Bang_xuyen_giap!$C$2:$C$7,MIN(6,MAX(1,MAX(1,2-(Vu_khi!$L$168-0))+1)))</f>
        <v/>
      </c>
      <c r="AH168" t="n">
        <v>1</v>
      </c>
      <c r="AI168">
        <f>IF($Q$168,$M$168*$AA$168*$U$168,0)</f>
        <v/>
      </c>
      <c r="AJ168" t="n">
        <v>57.70992366412214</v>
      </c>
      <c r="AK168">
        <f>IF($Q$168,$M$168*$AC$168*$U$168,0)</f>
        <v/>
      </c>
      <c r="AL168" t="n">
        <v>57.70992366412214</v>
      </c>
      <c r="AM168">
        <f>IF($Q$168,$M$168*$AE$168*$U$168,0)</f>
        <v/>
      </c>
      <c r="AN168" t="n">
        <v>40.87786259541985</v>
      </c>
      <c r="AO168">
        <f>IF($Q$168,$M$168*$AC$168*$Y$168,0)</f>
        <v/>
      </c>
      <c r="AP168" t="n">
        <v>34.62595419847328</v>
      </c>
      <c r="AQ168">
        <f>IF($S$168,$M$168*$AG$168*$W$168,0)</f>
        <v/>
      </c>
      <c r="AR168" t="n">
        <v>0</v>
      </c>
      <c r="AS168">
        <f>IF(OR(Vu_khi!$M$168="Missile",Vu_khi!$M$168="Drone",AND(Vu_khi!$M$168="Rocket",OR(Vu_khi!$AM$168,Vu_khi!$D$168="guided")),Vu_khi!$AL$168,Vu_khi!$AK$168,Vu_khi!$X$168&lt;=0),FALSE,IF($B$168&gt;=0,$B$168&gt;=4,IF(Vu_khi!$M$168="Shell",Vu_khi!$AN$168&gt;=Canh_bao_vong!$D$10,IF(Vu_khi!$M$168="Bomb",Vu_khi!$AN$168&gt;=Canh_bao_vong!$D$3,IF(Vu_khi!$M$168="Rocket",Vu_khi!$AN$168&gt;=Canh_bao_vong!$D$13,FALSE)))))</f>
        <v/>
      </c>
      <c r="AT168" t="b">
        <v>0</v>
      </c>
      <c r="AU168">
        <f>IF(AND($B$168&lt;0,$AS$168),4,$B$168)</f>
        <v/>
      </c>
      <c r="AV168" t="n">
        <v>4</v>
      </c>
      <c r="AW168">
        <f>IF($AU$168&lt;4,0,MIN(MAX(0.5,Canh_bao_vong!$D$4),MAX(IF(Vu_khi!$C$168="cal_406",Canh_bao_vong!$D$7,IF($AU$168&gt;=5,Canh_bao_vong!$D$9,Canh_bao_vong!$D$8)),Canh_bao_vong!$D$2+MAX(0,Vu_khi!$X$168)/MAX(0.1,Canh_bao_vong!$D$5))))</f>
        <v/>
      </c>
      <c r="AX168" t="n">
        <v>2.5</v>
      </c>
      <c r="AY168" t="inlineStr"/>
      <c r="AZ168" t="inlineStr">
        <is>
          <t>ok</t>
        </is>
      </c>
      <c r="BA168" t="inlineStr"/>
      <c r="BB168" t="inlineStr">
        <is>
          <t>Assets/MachineBrigade/Resources/Data/balance.json: weapons[id=kh29] (lớp B trên 01_chien_dau/Vu_khi)</t>
        </is>
      </c>
      <c r="BC168" t="inlineStr"/>
    </row>
    <row r="169">
      <c r="A169" t="inlineStr">
        <is>
          <t>kornet_multi</t>
        </is>
      </c>
      <c r="B169" t="n">
        <v>2</v>
      </c>
      <c r="C169">
        <f>IF(Vu_khi!$O$169="SIMULTANEOUS",MAX(1,Vu_khi!$N$169),1)</f>
        <v/>
      </c>
      <c r="D169" t="n">
        <v>1</v>
      </c>
      <c r="E169">
        <f>IF(Vu_khi!$S$169&gt;0,Vu_khi!$S$169,Vu_khi!$P$169*$C$169)</f>
        <v/>
      </c>
      <c r="F169" t="n">
        <v>2</v>
      </c>
      <c r="G169">
        <f>IF(Vu_khi!$S$169&gt;0,(Vu_khi!$S$169-1)*Vu_khi!$R$169+Vu_khi!$T$169,Vu_khi!$R$169+(Vu_khi!$P$169-1)*Vu_khi!$Q$169)</f>
        <v/>
      </c>
      <c r="H169" t="n">
        <v>5.55</v>
      </c>
      <c r="I169">
        <f>Vu_khi!$W$169*MAX(1,$E$169)</f>
        <v/>
      </c>
      <c r="J169" t="n">
        <v>460</v>
      </c>
      <c r="K169">
        <f>IF(Vu_khi!$V$169&gt;0,Vu_khi!$V$169,MIN(28,MAX(10,Vu_khi!$U$169*Vu_khi!$R$169*0.4)))</f>
        <v/>
      </c>
      <c r="L169" t="n">
        <v>10</v>
      </c>
      <c r="M169">
        <f>IF(Vu_khi!$W$169&lt;=0,0,IF(Vu_khi!$U$169&gt;0,$I$169*Vu_khi!$U$169/(MAX(0.05,$G$169)*Vu_khi!$U$169+$K$169),$I$169/MAX(0.05,$G$169)))</f>
        <v/>
      </c>
      <c r="N169" t="n">
        <v>82.88288288288288</v>
      </c>
      <c r="O169">
        <f>OR(Vu_khi!$AG$169,Vu_khi!$AB$169&gt;0,Vu_khi!$AH$169,Vu_khi!$M$169="Bomb",Vu_khi!$M$169="Drone")</f>
        <v/>
      </c>
      <c r="P169" t="b">
        <v>0</v>
      </c>
      <c r="Q169">
        <f>AND(NOT(Vu_khi!$AJ$169),OR(Vu_khi!$AC$169="Ground",Vu_khi!$AC$169="All"))</f>
        <v/>
      </c>
      <c r="R169" t="b">
        <v>1</v>
      </c>
      <c r="S169">
        <f>AND(NOT(Vu_khi!$AJ$169),OR(Vu_khi!$AC$169="Air",Vu_khi!$AC$169="All"))</f>
        <v/>
      </c>
      <c r="T169" t="b">
        <v>1</v>
      </c>
      <c r="U169">
        <f>INDEX(Bang_sat_thuong!$B$2:$B$7,MATCH(Vu_khi!$K$169,Bang_sat_thuong!$A$2:$A$7,0))</f>
        <v/>
      </c>
      <c r="V169" t="n">
        <v>1</v>
      </c>
      <c r="W169">
        <f>INDEX(Bang_sat_thuong!$C$2:$C$7,MATCH(Vu_khi!$K$169,Bang_sat_thuong!$A$2:$A$7,0))</f>
        <v/>
      </c>
      <c r="X169" t="n">
        <v>0.3</v>
      </c>
      <c r="Y169">
        <f>IF(AND(Vu_khi!$AI$169,Vu_khi!$K$169="HighExplosive"),MAX(He_so_toan_cuc!$D$2,INDEX(Bang_sat_thuong!$D$2:$D$7,MATCH(Vu_khi!$K$169,Bang_sat_thuong!$A$2:$A$7,0))),INDEX(Bang_sat_thuong!$D$2:$D$7,MATCH(Vu_khi!$K$169,Bang_sat_thuong!$A$2:$A$7,0)))</f>
        <v/>
      </c>
      <c r="Z169" t="n">
        <v>0.6</v>
      </c>
      <c r="AA169">
        <f>INDEX(Bang_xuyen_giap!$C$2:$C$7,MIN(6,MAX(1,IF($O$169,MAX(1,2-(Vu_khi!$L$169-0)),2-(Vu_khi!$L$169-0))+1)))</f>
        <v/>
      </c>
      <c r="AB169" t="n">
        <v>1.2</v>
      </c>
      <c r="AC169">
        <f>INDEX(Bang_xuyen_giap!$C$2:$C$7,MIN(6,MAX(1,IF($O$169,MAX(1,2-(Vu_khi!$L$169-2)),2-(Vu_khi!$L$169-2))+1)))</f>
        <v/>
      </c>
      <c r="AD169" t="n">
        <v>1.2</v>
      </c>
      <c r="AE169">
        <f>INDEX(Bang_xuyen_giap!$C$2:$C$7,MIN(6,MAX(1,IF($O$169,MAX(1,2-(Vu_khi!$L$169-4)),2-(Vu_khi!$L$169-4))+1)))</f>
        <v/>
      </c>
      <c r="AF169" t="n">
        <v>0.85</v>
      </c>
      <c r="AG169">
        <f>INDEX(Bang_xuyen_giap!$C$2:$C$7,MIN(6,MAX(1,MAX(1,2-(Vu_khi!$L$169-0))+1)))</f>
        <v/>
      </c>
      <c r="AH169" t="n">
        <v>1</v>
      </c>
      <c r="AI169">
        <f>IF($Q$169,$M$169*$AA$169*$U$169,0)</f>
        <v/>
      </c>
      <c r="AJ169" t="n">
        <v>99.45945945945945</v>
      </c>
      <c r="AK169">
        <f>IF($Q$169,$M$169*$AC$169*$U$169,0)</f>
        <v/>
      </c>
      <c r="AL169" t="n">
        <v>99.45945945945945</v>
      </c>
      <c r="AM169">
        <f>IF($Q$169,$M$169*$AE$169*$U$169,0)</f>
        <v/>
      </c>
      <c r="AN169" t="n">
        <v>70.45045045045045</v>
      </c>
      <c r="AO169">
        <f>IF($Q$169,$M$169*$AC$169*$Y$169,0)</f>
        <v/>
      </c>
      <c r="AP169" t="n">
        <v>59.67567567567567</v>
      </c>
      <c r="AQ169">
        <f>IF($S$169,$M$169*$AG$169*$W$169,0)</f>
        <v/>
      </c>
      <c r="AR169" t="n">
        <v>24.86486486486486</v>
      </c>
      <c r="AS169">
        <f>IF(OR(Vu_khi!$M$169="Missile",Vu_khi!$M$169="Drone",AND(Vu_khi!$M$169="Rocket",OR(Vu_khi!$AM$169,Vu_khi!$D$169="guided")),Vu_khi!$AL$169,Vu_khi!$AK$169,Vu_khi!$X$169&lt;=0),FALSE,IF($B$169&gt;=0,$B$169&gt;=4,IF(Vu_khi!$M$169="Shell",Vu_khi!$AN$169&gt;=Canh_bao_vong!$D$10,IF(Vu_khi!$M$169="Bomb",Vu_khi!$AN$169&gt;=Canh_bao_vong!$D$3,IF(Vu_khi!$M$169="Rocket",Vu_khi!$AN$169&gt;=Canh_bao_vong!$D$13,FALSE)))))</f>
        <v/>
      </c>
      <c r="AT169" t="b">
        <v>0</v>
      </c>
      <c r="AU169">
        <f>IF(AND($B$169&lt;0,$AS$169),4,$B$169)</f>
        <v/>
      </c>
      <c r="AV169" t="n">
        <v>2</v>
      </c>
      <c r="AW169">
        <f>IF($AU$169&lt;4,0,MIN(MAX(0.5,Canh_bao_vong!$D$4),MAX(IF(Vu_khi!$C$169="cal_406",Canh_bao_vong!$D$7,IF($AU$169&gt;=5,Canh_bao_vong!$D$9,Canh_bao_vong!$D$8)),Canh_bao_vong!$D$2+MAX(0,Vu_khi!$X$169)/MAX(0.1,Canh_bao_vong!$D$5))))</f>
        <v/>
      </c>
      <c r="AX169" t="n">
        <v>0</v>
      </c>
      <c r="AY169" t="n">
        <v>0.2775</v>
      </c>
      <c r="AZ169" t="inlineStr">
        <is>
          <t>NHANH_QUA</t>
        </is>
      </c>
      <c r="BA169" t="inlineStr"/>
      <c r="BB169" t="inlineStr">
        <is>
          <t>Assets/MachineBrigade/Resources/Data/balance.json: weapons[id=kornet_multi] (lớp B trên 01_chien_dau/Vu_khi)</t>
        </is>
      </c>
      <c r="BC169" t="inlineStr"/>
    </row>
    <row r="170">
      <c r="A170" t="inlineStr">
        <is>
          <t>kornet_top</t>
        </is>
      </c>
      <c r="B170" t="n">
        <v>2</v>
      </c>
      <c r="C170">
        <f>IF(Vu_khi!$O$170="SIMULTANEOUS",MAX(1,Vu_khi!$N$170),1)</f>
        <v/>
      </c>
      <c r="D170" t="n">
        <v>1</v>
      </c>
      <c r="E170">
        <f>IF(Vu_khi!$S$170&gt;0,Vu_khi!$S$170,Vu_khi!$P$170*$C$170)</f>
        <v/>
      </c>
      <c r="F170" t="n">
        <v>2</v>
      </c>
      <c r="G170">
        <f>IF(Vu_khi!$S$170&gt;0,(Vu_khi!$S$170-1)*Vu_khi!$R$170+Vu_khi!$T$170,Vu_khi!$R$170+(Vu_khi!$P$170-1)*Vu_khi!$Q$170)</f>
        <v/>
      </c>
      <c r="H170" t="n">
        <v>5.199999999999999</v>
      </c>
      <c r="I170">
        <f>Vu_khi!$W$170*MAX(1,$E$170)</f>
        <v/>
      </c>
      <c r="J170" t="n">
        <v>460</v>
      </c>
      <c r="K170">
        <f>IF(Vu_khi!$V$170&gt;0,Vu_khi!$V$170,MIN(28,MAX(10,Vu_khi!$U$170*Vu_khi!$R$170*0.4)))</f>
        <v/>
      </c>
      <c r="L170" t="n">
        <v>10</v>
      </c>
      <c r="M170">
        <f>IF(Vu_khi!$W$170&lt;=0,0,IF(Vu_khi!$U$170&gt;0,$I$170*Vu_khi!$U$170/(MAX(0.05,$G$170)*Vu_khi!$U$170+$K$170),$I$170/MAX(0.05,$G$170)))</f>
        <v/>
      </c>
      <c r="N170" t="n">
        <v>88.46153846153847</v>
      </c>
      <c r="O170">
        <f>OR(Vu_khi!$AG$170,Vu_khi!$AB$170&gt;0,Vu_khi!$AH$170,Vu_khi!$M$170="Bomb",Vu_khi!$M$170="Drone")</f>
        <v/>
      </c>
      <c r="P170" t="b">
        <v>1</v>
      </c>
      <c r="Q170">
        <f>AND(NOT(Vu_khi!$AJ$170),OR(Vu_khi!$AC$170="Ground",Vu_khi!$AC$170="All"))</f>
        <v/>
      </c>
      <c r="R170" t="b">
        <v>1</v>
      </c>
      <c r="S170">
        <f>AND(NOT(Vu_khi!$AJ$170),OR(Vu_khi!$AC$170="Air",Vu_khi!$AC$170="All"))</f>
        <v/>
      </c>
      <c r="T170" t="b">
        <v>0</v>
      </c>
      <c r="U170">
        <f>INDEX(Bang_sat_thuong!$B$2:$B$7,MATCH(Vu_khi!$K$170,Bang_sat_thuong!$A$2:$A$7,0))</f>
        <v/>
      </c>
      <c r="V170" t="n">
        <v>1</v>
      </c>
      <c r="W170">
        <f>INDEX(Bang_sat_thuong!$C$2:$C$7,MATCH(Vu_khi!$K$170,Bang_sat_thuong!$A$2:$A$7,0))</f>
        <v/>
      </c>
      <c r="X170" t="n">
        <v>0.3</v>
      </c>
      <c r="Y170">
        <f>IF(AND(Vu_khi!$AI$170,Vu_khi!$K$170="HighExplosive"),MAX(He_so_toan_cuc!$D$2,INDEX(Bang_sat_thuong!$D$2:$D$7,MATCH(Vu_khi!$K$170,Bang_sat_thuong!$A$2:$A$7,0))),INDEX(Bang_sat_thuong!$D$2:$D$7,MATCH(Vu_khi!$K$170,Bang_sat_thuong!$A$2:$A$7,0)))</f>
        <v/>
      </c>
      <c r="Z170" t="n">
        <v>0.6</v>
      </c>
      <c r="AA170">
        <f>INDEX(Bang_xuyen_giap!$C$2:$C$7,MIN(6,MAX(1,IF($O$170,MAX(1,2-(Vu_khi!$L$170-0)),2-(Vu_khi!$L$170-0))+1)))</f>
        <v/>
      </c>
      <c r="AB170" t="n">
        <v>1</v>
      </c>
      <c r="AC170">
        <f>INDEX(Bang_xuyen_giap!$C$2:$C$7,MIN(6,MAX(1,IF($O$170,MAX(1,2-(Vu_khi!$L$170-2)),2-(Vu_khi!$L$170-2))+1)))</f>
        <v/>
      </c>
      <c r="AD170" t="n">
        <v>1</v>
      </c>
      <c r="AE170">
        <f>INDEX(Bang_xuyen_giap!$C$2:$C$7,MIN(6,MAX(1,IF($O$170,MAX(1,2-(Vu_khi!$L$170-4)),2-(Vu_khi!$L$170-4))+1)))</f>
        <v/>
      </c>
      <c r="AF170" t="n">
        <v>0.85</v>
      </c>
      <c r="AG170">
        <f>INDEX(Bang_xuyen_giap!$C$2:$C$7,MIN(6,MAX(1,MAX(1,2-(Vu_khi!$L$170-0))+1)))</f>
        <v/>
      </c>
      <c r="AH170" t="n">
        <v>1</v>
      </c>
      <c r="AI170">
        <f>IF($Q$170,$M$170*$AA$170*$U$170,0)</f>
        <v/>
      </c>
      <c r="AJ170" t="n">
        <v>88.46153846153847</v>
      </c>
      <c r="AK170">
        <f>IF($Q$170,$M$170*$AC$170*$U$170,0)</f>
        <v/>
      </c>
      <c r="AL170" t="n">
        <v>88.46153846153847</v>
      </c>
      <c r="AM170">
        <f>IF($Q$170,$M$170*$AE$170*$U$170,0)</f>
        <v/>
      </c>
      <c r="AN170" t="n">
        <v>75.19230769230769</v>
      </c>
      <c r="AO170">
        <f>IF($Q$170,$M$170*$AC$170*$Y$170,0)</f>
        <v/>
      </c>
      <c r="AP170" t="n">
        <v>53.07692307692308</v>
      </c>
      <c r="AQ170">
        <f>IF($S$170,$M$170*$AG$170*$W$170,0)</f>
        <v/>
      </c>
      <c r="AR170" t="n">
        <v>0</v>
      </c>
      <c r="AS170">
        <f>IF(OR(Vu_khi!$M$170="Missile",Vu_khi!$M$170="Drone",AND(Vu_khi!$M$170="Rocket",OR(Vu_khi!$AM$170,Vu_khi!$D$170="guided")),Vu_khi!$AL$170,Vu_khi!$AK$170,Vu_khi!$X$170&lt;=0),FALSE,IF($B$170&gt;=0,$B$170&gt;=4,IF(Vu_khi!$M$170="Shell",Vu_khi!$AN$170&gt;=Canh_bao_vong!$D$10,IF(Vu_khi!$M$170="Bomb",Vu_khi!$AN$170&gt;=Canh_bao_vong!$D$3,IF(Vu_khi!$M$170="Rocket",Vu_khi!$AN$170&gt;=Canh_bao_vong!$D$13,FALSE)))))</f>
        <v/>
      </c>
      <c r="AT170" t="b">
        <v>0</v>
      </c>
      <c r="AU170">
        <f>IF(AND($B$170&lt;0,$AS$170),4,$B$170)</f>
        <v/>
      </c>
      <c r="AV170" t="n">
        <v>2</v>
      </c>
      <c r="AW170">
        <f>IF($AU$170&lt;4,0,MIN(MAX(0.5,Canh_bao_vong!$D$4),MAX(IF(Vu_khi!$C$170="cal_406",Canh_bao_vong!$D$7,IF($AU$170&gt;=5,Canh_bao_vong!$D$9,Canh_bao_vong!$D$8)),Canh_bao_vong!$D$2+MAX(0,Vu_khi!$X$170)/MAX(0.1,Canh_bao_vong!$D$5))))</f>
        <v/>
      </c>
      <c r="AX170" t="n">
        <v>0</v>
      </c>
      <c r="AY170" t="n">
        <v>0.26</v>
      </c>
      <c r="AZ170" t="inlineStr">
        <is>
          <t>NHANH_QUA</t>
        </is>
      </c>
      <c r="BA170" t="inlineStr"/>
      <c r="BB170" t="inlineStr">
        <is>
          <t>Assets/MachineBrigade/Resources/Data/balance.json: weapons[id=kornet_top] (lớp B trên 01_chien_dau/Vu_khi)</t>
        </is>
      </c>
      <c r="BC170" t="inlineStr"/>
    </row>
    <row r="171">
      <c r="A171" t="inlineStr">
        <is>
          <t>kornet_twin</t>
        </is>
      </c>
      <c r="B171" t="n">
        <v>2</v>
      </c>
      <c r="C171">
        <f>IF(Vu_khi!$O$171="SIMULTANEOUS",MAX(1,Vu_khi!$N$171),1)</f>
        <v/>
      </c>
      <c r="D171" t="n">
        <v>1</v>
      </c>
      <c r="E171">
        <f>IF(Vu_khi!$S$171&gt;0,Vu_khi!$S$171,Vu_khi!$P$171*$C$171)</f>
        <v/>
      </c>
      <c r="F171" t="n">
        <v>2</v>
      </c>
      <c r="G171">
        <f>IF(Vu_khi!$S$171&gt;0,(Vu_khi!$S$171-1)*Vu_khi!$R$171+Vu_khi!$T$171,Vu_khi!$R$171+(Vu_khi!$P$171-1)*Vu_khi!$Q$171)</f>
        <v/>
      </c>
      <c r="H171" t="n">
        <v>11.11</v>
      </c>
      <c r="I171">
        <f>Vu_khi!$W$171*MAX(1,$E$171)</f>
        <v/>
      </c>
      <c r="J171" t="n">
        <v>460</v>
      </c>
      <c r="K171">
        <f>IF(Vu_khi!$V$171&gt;0,Vu_khi!$V$171,MIN(28,MAX(10,Vu_khi!$U$171*Vu_khi!$R$171*0.4)))</f>
        <v/>
      </c>
      <c r="L171" t="n">
        <v>10</v>
      </c>
      <c r="M171">
        <f>IF(Vu_khi!$W$171&lt;=0,0,IF(Vu_khi!$U$171&gt;0,$I$171*Vu_khi!$U$171/(MAX(0.05,$G$171)*Vu_khi!$U$171+$K$171),$I$171/MAX(0.05,$G$171)))</f>
        <v/>
      </c>
      <c r="N171" t="n">
        <v>41.40414041404141</v>
      </c>
      <c r="O171">
        <f>OR(Vu_khi!$AG$171,Vu_khi!$AB$171&gt;0,Vu_khi!$AH$171,Vu_khi!$M$171="Bomb",Vu_khi!$M$171="Drone")</f>
        <v/>
      </c>
      <c r="P171" t="b">
        <v>0</v>
      </c>
      <c r="Q171">
        <f>AND(NOT(Vu_khi!$AJ$171),OR(Vu_khi!$AC$171="Ground",Vu_khi!$AC$171="All"))</f>
        <v/>
      </c>
      <c r="R171" t="b">
        <v>1</v>
      </c>
      <c r="S171">
        <f>AND(NOT(Vu_khi!$AJ$171),OR(Vu_khi!$AC$171="Air",Vu_khi!$AC$171="All"))</f>
        <v/>
      </c>
      <c r="T171" t="b">
        <v>0</v>
      </c>
      <c r="U171">
        <f>INDEX(Bang_sat_thuong!$B$2:$B$7,MATCH(Vu_khi!$K$171,Bang_sat_thuong!$A$2:$A$7,0))</f>
        <v/>
      </c>
      <c r="V171" t="n">
        <v>1</v>
      </c>
      <c r="W171">
        <f>INDEX(Bang_sat_thuong!$C$2:$C$7,MATCH(Vu_khi!$K$171,Bang_sat_thuong!$A$2:$A$7,0))</f>
        <v/>
      </c>
      <c r="X171" t="n">
        <v>0.3</v>
      </c>
      <c r="Y171">
        <f>IF(AND(Vu_khi!$AI$171,Vu_khi!$K$171="HighExplosive"),MAX(He_so_toan_cuc!$D$2,INDEX(Bang_sat_thuong!$D$2:$D$7,MATCH(Vu_khi!$K$171,Bang_sat_thuong!$A$2:$A$7,0))),INDEX(Bang_sat_thuong!$D$2:$D$7,MATCH(Vu_khi!$K$171,Bang_sat_thuong!$A$2:$A$7,0)))</f>
        <v/>
      </c>
      <c r="Z171" t="n">
        <v>0.6</v>
      </c>
      <c r="AA171">
        <f>INDEX(Bang_xuyen_giap!$C$2:$C$7,MIN(6,MAX(1,IF($O$171,MAX(1,2-(Vu_khi!$L$171-0)),2-(Vu_khi!$L$171-0))+1)))</f>
        <v/>
      </c>
      <c r="AB171" t="n">
        <v>1.2</v>
      </c>
      <c r="AC171">
        <f>INDEX(Bang_xuyen_giap!$C$2:$C$7,MIN(6,MAX(1,IF($O$171,MAX(1,2-(Vu_khi!$L$171-2)),2-(Vu_khi!$L$171-2))+1)))</f>
        <v/>
      </c>
      <c r="AD171" t="n">
        <v>1.2</v>
      </c>
      <c r="AE171">
        <f>INDEX(Bang_xuyen_giap!$C$2:$C$7,MIN(6,MAX(1,IF($O$171,MAX(1,2-(Vu_khi!$L$171-4)),2-(Vu_khi!$L$171-4))+1)))</f>
        <v/>
      </c>
      <c r="AF171" t="n">
        <v>0.85</v>
      </c>
      <c r="AG171">
        <f>INDEX(Bang_xuyen_giap!$C$2:$C$7,MIN(6,MAX(1,MAX(1,2-(Vu_khi!$L$171-0))+1)))</f>
        <v/>
      </c>
      <c r="AH171" t="n">
        <v>1</v>
      </c>
      <c r="AI171">
        <f>IF($Q$171,$M$171*$AA$171*$U$171,0)</f>
        <v/>
      </c>
      <c r="AJ171" t="n">
        <v>49.68496849684968</v>
      </c>
      <c r="AK171">
        <f>IF($Q$171,$M$171*$AC$171*$U$171,0)</f>
        <v/>
      </c>
      <c r="AL171" t="n">
        <v>49.68496849684968</v>
      </c>
      <c r="AM171">
        <f>IF($Q$171,$M$171*$AE$171*$U$171,0)</f>
        <v/>
      </c>
      <c r="AN171" t="n">
        <v>35.19351935193519</v>
      </c>
      <c r="AO171">
        <f>IF($Q$171,$M$171*$AC$171*$Y$171,0)</f>
        <v/>
      </c>
      <c r="AP171" t="n">
        <v>29.81098109810981</v>
      </c>
      <c r="AQ171">
        <f>IF($S$171,$M$171*$AG$171*$W$171,0)</f>
        <v/>
      </c>
      <c r="AR171" t="n">
        <v>0</v>
      </c>
      <c r="AS171">
        <f>IF(OR(Vu_khi!$M$171="Missile",Vu_khi!$M$171="Drone",AND(Vu_khi!$M$171="Rocket",OR(Vu_khi!$AM$171,Vu_khi!$D$171="guided")),Vu_khi!$AL$171,Vu_khi!$AK$171,Vu_khi!$X$171&lt;=0),FALSE,IF($B$171&gt;=0,$B$171&gt;=4,IF(Vu_khi!$M$171="Shell",Vu_khi!$AN$171&gt;=Canh_bao_vong!$D$10,IF(Vu_khi!$M$171="Bomb",Vu_khi!$AN$171&gt;=Canh_bao_vong!$D$3,IF(Vu_khi!$M$171="Rocket",Vu_khi!$AN$171&gt;=Canh_bao_vong!$D$13,FALSE)))))</f>
        <v/>
      </c>
      <c r="AT171" t="b">
        <v>0</v>
      </c>
      <c r="AU171">
        <f>IF(AND($B$171&lt;0,$AS$171),4,$B$171)</f>
        <v/>
      </c>
      <c r="AV171" t="n">
        <v>2</v>
      </c>
      <c r="AW171">
        <f>IF($AU$171&lt;4,0,MIN(MAX(0.5,Canh_bao_vong!$D$4),MAX(IF(Vu_khi!$C$171="cal_406",Canh_bao_vong!$D$7,IF($AU$171&gt;=5,Canh_bao_vong!$D$9,Canh_bao_vong!$D$8)),Canh_bao_vong!$D$2+MAX(0,Vu_khi!$X$171)/MAX(0.1,Canh_bao_vong!$D$5))))</f>
        <v/>
      </c>
      <c r="AX171" t="n">
        <v>0</v>
      </c>
      <c r="AY171" t="n">
        <v>0.5555</v>
      </c>
      <c r="AZ171" t="inlineStr">
        <is>
          <t>NHANH_QUA</t>
        </is>
      </c>
      <c r="BA171" t="inlineStr"/>
      <c r="BB171" t="inlineStr">
        <is>
          <t>Assets/MachineBrigade/Resources/Data/balance.json: weapons[id=kornet_twin] (lớp B trên 01_chien_dau/Vu_khi)</t>
        </is>
      </c>
      <c r="BC171" t="inlineStr"/>
    </row>
    <row r="172">
      <c r="A172" t="inlineStr">
        <is>
          <t>lancet</t>
        </is>
      </c>
      <c r="B172" t="n">
        <v>2</v>
      </c>
      <c r="C172">
        <f>IF(Vu_khi!$O$172="SIMULTANEOUS",MAX(1,Vu_khi!$N$172),1)</f>
        <v/>
      </c>
      <c r="D172" t="n">
        <v>1</v>
      </c>
      <c r="E172">
        <f>IF(Vu_khi!$S$172&gt;0,Vu_khi!$S$172,Vu_khi!$P$172*$C$172)</f>
        <v/>
      </c>
      <c r="F172" t="n">
        <v>1</v>
      </c>
      <c r="G172">
        <f>IF(Vu_khi!$S$172&gt;0,(Vu_khi!$S$172-1)*Vu_khi!$R$172+Vu_khi!$T$172,Vu_khi!$R$172+(Vu_khi!$P$172-1)*Vu_khi!$Q$172)</f>
        <v/>
      </c>
      <c r="H172" t="n">
        <v>8.372</v>
      </c>
      <c r="I172">
        <f>Vu_khi!$W$172*MAX(1,$E$172)</f>
        <v/>
      </c>
      <c r="J172" t="n">
        <v>240</v>
      </c>
      <c r="K172">
        <f>IF(Vu_khi!$V$172&gt;0,Vu_khi!$V$172,MIN(28,MAX(10,Vu_khi!$U$172*Vu_khi!$R$172*0.4)))</f>
        <v/>
      </c>
      <c r="L172" t="n">
        <v>26.7904</v>
      </c>
      <c r="M172">
        <f>IF(Vu_khi!$W$172&lt;=0,0,IF(Vu_khi!$U$172&gt;0,$I$172*Vu_khi!$U$172/(MAX(0.05,$G$172)*Vu_khi!$U$172+$K$172),$I$172/MAX(0.05,$G$172)))</f>
        <v/>
      </c>
      <c r="N172" t="n">
        <v>20.47641799194594</v>
      </c>
      <c r="O172">
        <f>OR(Vu_khi!$AG$172,Vu_khi!$AB$172&gt;0,Vu_khi!$AH$172,Vu_khi!$M$172="Bomb",Vu_khi!$M$172="Drone")</f>
        <v/>
      </c>
      <c r="P172" t="b">
        <v>1</v>
      </c>
      <c r="Q172">
        <f>AND(NOT(Vu_khi!$AJ$172),OR(Vu_khi!$AC$172="Ground",Vu_khi!$AC$172="All"))</f>
        <v/>
      </c>
      <c r="R172" t="b">
        <v>1</v>
      </c>
      <c r="S172">
        <f>AND(NOT(Vu_khi!$AJ$172),OR(Vu_khi!$AC$172="Air",Vu_khi!$AC$172="All"))</f>
        <v/>
      </c>
      <c r="T172" t="b">
        <v>0</v>
      </c>
      <c r="U172">
        <f>INDEX(Bang_sat_thuong!$B$2:$B$7,MATCH(Vu_khi!$K$172,Bang_sat_thuong!$A$2:$A$7,0))</f>
        <v/>
      </c>
      <c r="V172" t="n">
        <v>1</v>
      </c>
      <c r="W172">
        <f>INDEX(Bang_sat_thuong!$C$2:$C$7,MATCH(Vu_khi!$K$172,Bang_sat_thuong!$A$2:$A$7,0))</f>
        <v/>
      </c>
      <c r="X172" t="n">
        <v>0.3</v>
      </c>
      <c r="Y172">
        <f>IF(AND(Vu_khi!$AI$172,Vu_khi!$K$172="HighExplosive"),MAX(He_so_toan_cuc!$D$2,INDEX(Bang_sat_thuong!$D$2:$D$7,MATCH(Vu_khi!$K$172,Bang_sat_thuong!$A$2:$A$7,0))),INDEX(Bang_sat_thuong!$D$2:$D$7,MATCH(Vu_khi!$K$172,Bang_sat_thuong!$A$2:$A$7,0)))</f>
        <v/>
      </c>
      <c r="Z172" t="n">
        <v>0.6</v>
      </c>
      <c r="AA172">
        <f>INDEX(Bang_xuyen_giap!$C$2:$C$7,MIN(6,MAX(1,IF($O$172,MAX(1,2-(Vu_khi!$L$172-0)),2-(Vu_khi!$L$172-0))+1)))</f>
        <v/>
      </c>
      <c r="AB172" t="n">
        <v>1</v>
      </c>
      <c r="AC172">
        <f>INDEX(Bang_xuyen_giap!$C$2:$C$7,MIN(6,MAX(1,IF($O$172,MAX(1,2-(Vu_khi!$L$172-2)),2-(Vu_khi!$L$172-2))+1)))</f>
        <v/>
      </c>
      <c r="AD172" t="n">
        <v>1</v>
      </c>
      <c r="AE172">
        <f>INDEX(Bang_xuyen_giap!$C$2:$C$7,MIN(6,MAX(1,IF($O$172,MAX(1,2-(Vu_khi!$L$172-4)),2-(Vu_khi!$L$172-4))+1)))</f>
        <v/>
      </c>
      <c r="AF172" t="n">
        <v>0.85</v>
      </c>
      <c r="AG172">
        <f>INDEX(Bang_xuyen_giap!$C$2:$C$7,MIN(6,MAX(1,MAX(1,2-(Vu_khi!$L$172-0))+1)))</f>
        <v/>
      </c>
      <c r="AH172" t="n">
        <v>1</v>
      </c>
      <c r="AI172">
        <f>IF($Q$172,$M$172*$AA$172*$U$172,0)</f>
        <v/>
      </c>
      <c r="AJ172" t="n">
        <v>20.47641799194594</v>
      </c>
      <c r="AK172">
        <f>IF($Q$172,$M$172*$AC$172*$U$172,0)</f>
        <v/>
      </c>
      <c r="AL172" t="n">
        <v>20.47641799194594</v>
      </c>
      <c r="AM172">
        <f>IF($Q$172,$M$172*$AE$172*$U$172,0)</f>
        <v/>
      </c>
      <c r="AN172" t="n">
        <v>17.40495529315405</v>
      </c>
      <c r="AO172">
        <f>IF($Q$172,$M$172*$AC$172*$Y$172,0)</f>
        <v/>
      </c>
      <c r="AP172" t="n">
        <v>12.28585079516756</v>
      </c>
      <c r="AQ172">
        <f>IF($S$172,$M$172*$AG$172*$W$172,0)</f>
        <v/>
      </c>
      <c r="AR172" t="n">
        <v>0</v>
      </c>
      <c r="AS172">
        <f>IF(OR(Vu_khi!$M$172="Missile",Vu_khi!$M$172="Drone",AND(Vu_khi!$M$172="Rocket",OR(Vu_khi!$AM$172,Vu_khi!$D$172="guided")),Vu_khi!$AL$172,Vu_khi!$AK$172,Vu_khi!$X$172&lt;=0),FALSE,IF($B$172&gt;=0,$B$172&gt;=4,IF(Vu_khi!$M$172="Shell",Vu_khi!$AN$172&gt;=Canh_bao_vong!$D$10,IF(Vu_khi!$M$172="Bomb",Vu_khi!$AN$172&gt;=Canh_bao_vong!$D$3,IF(Vu_khi!$M$172="Rocket",Vu_khi!$AN$172&gt;=Canh_bao_vong!$D$13,FALSE)))))</f>
        <v/>
      </c>
      <c r="AT172" t="b">
        <v>0</v>
      </c>
      <c r="AU172">
        <f>IF(AND($B$172&lt;0,$AS$172),4,$B$172)</f>
        <v/>
      </c>
      <c r="AV172" t="n">
        <v>2</v>
      </c>
      <c r="AW172">
        <f>IF($AU$172&lt;4,0,MIN(MAX(0.5,Canh_bao_vong!$D$4),MAX(IF(Vu_khi!$C$172="cal_406",Canh_bao_vong!$D$7,IF($AU$172&gt;=5,Canh_bao_vong!$D$9,Canh_bao_vong!$D$8)),Canh_bao_vong!$D$2+MAX(0,Vu_khi!$X$172)/MAX(0.1,Canh_bao_vong!$D$5))))</f>
        <v/>
      </c>
      <c r="AX172" t="n">
        <v>0</v>
      </c>
      <c r="AY172" t="inlineStr"/>
      <c r="AZ172" t="inlineStr">
        <is>
          <t>ok</t>
        </is>
      </c>
      <c r="BA172" t="inlineStr"/>
      <c r="BB172" t="inlineStr">
        <is>
          <t>Assets/MachineBrigade/Resources/Data/balance.json: weapons[id=lancet] (lớp B trên 01_chien_dau/Vu_khi)</t>
        </is>
      </c>
      <c r="BC172" t="inlineStr"/>
    </row>
    <row r="173">
      <c r="A173" t="inlineStr">
        <is>
          <t>lancet_hangar</t>
        </is>
      </c>
      <c r="B173" t="n">
        <v>2</v>
      </c>
      <c r="C173">
        <f>IF(Vu_khi!$O$173="SIMULTANEOUS",MAX(1,Vu_khi!$N$173),1)</f>
        <v/>
      </c>
      <c r="D173" t="n">
        <v>1</v>
      </c>
      <c r="E173">
        <f>IF(Vu_khi!$S$173&gt;0,Vu_khi!$S$173,Vu_khi!$P$173*$C$173)</f>
        <v/>
      </c>
      <c r="F173" t="n">
        <v>1</v>
      </c>
      <c r="G173">
        <f>IF(Vu_khi!$S$173&gt;0,(Vu_khi!$S$173-1)*Vu_khi!$R$173+Vu_khi!$T$173,Vu_khi!$R$173+(Vu_khi!$P$173-1)*Vu_khi!$Q$173)</f>
        <v/>
      </c>
      <c r="H173" t="n">
        <v>3.6</v>
      </c>
      <c r="I173">
        <f>Vu_khi!$W$173*MAX(1,$E$173)</f>
        <v/>
      </c>
      <c r="J173" t="n">
        <v>240</v>
      </c>
      <c r="K173">
        <f>IF(Vu_khi!$V$173&gt;0,Vu_khi!$V$173,MIN(28,MAX(10,Vu_khi!$U$173*Vu_khi!$R$173*0.4)))</f>
        <v/>
      </c>
      <c r="L173" t="n">
        <v>10</v>
      </c>
      <c r="M173">
        <f>IF(Vu_khi!$W$173&lt;=0,0,IF(Vu_khi!$U$173&gt;0,$I$173*Vu_khi!$U$173/(MAX(0.05,$G$173)*Vu_khi!$U$173+$K$173),$I$173/MAX(0.05,$G$173)))</f>
        <v/>
      </c>
      <c r="N173" t="n">
        <v>66.66666666666667</v>
      </c>
      <c r="O173">
        <f>OR(Vu_khi!$AG$173,Vu_khi!$AB$173&gt;0,Vu_khi!$AH$173,Vu_khi!$M$173="Bomb",Vu_khi!$M$173="Drone")</f>
        <v/>
      </c>
      <c r="P173" t="b">
        <v>1</v>
      </c>
      <c r="Q173">
        <f>AND(NOT(Vu_khi!$AJ$173),OR(Vu_khi!$AC$173="Ground",Vu_khi!$AC$173="All"))</f>
        <v/>
      </c>
      <c r="R173" t="b">
        <v>1</v>
      </c>
      <c r="S173">
        <f>AND(NOT(Vu_khi!$AJ$173),OR(Vu_khi!$AC$173="Air",Vu_khi!$AC$173="All"))</f>
        <v/>
      </c>
      <c r="T173" t="b">
        <v>0</v>
      </c>
      <c r="U173">
        <f>INDEX(Bang_sat_thuong!$B$2:$B$7,MATCH(Vu_khi!$K$173,Bang_sat_thuong!$A$2:$A$7,0))</f>
        <v/>
      </c>
      <c r="V173" t="n">
        <v>1</v>
      </c>
      <c r="W173">
        <f>INDEX(Bang_sat_thuong!$C$2:$C$7,MATCH(Vu_khi!$K$173,Bang_sat_thuong!$A$2:$A$7,0))</f>
        <v/>
      </c>
      <c r="X173" t="n">
        <v>0.3</v>
      </c>
      <c r="Y173">
        <f>IF(AND(Vu_khi!$AI$173,Vu_khi!$K$173="HighExplosive"),MAX(He_so_toan_cuc!$D$2,INDEX(Bang_sat_thuong!$D$2:$D$7,MATCH(Vu_khi!$K$173,Bang_sat_thuong!$A$2:$A$7,0))),INDEX(Bang_sat_thuong!$D$2:$D$7,MATCH(Vu_khi!$K$173,Bang_sat_thuong!$A$2:$A$7,0)))</f>
        <v/>
      </c>
      <c r="Z173" t="n">
        <v>0.6</v>
      </c>
      <c r="AA173">
        <f>INDEX(Bang_xuyen_giap!$C$2:$C$7,MIN(6,MAX(1,IF($O$173,MAX(1,2-(Vu_khi!$L$173-0)),2-(Vu_khi!$L$173-0))+1)))</f>
        <v/>
      </c>
      <c r="AB173" t="n">
        <v>1</v>
      </c>
      <c r="AC173">
        <f>INDEX(Bang_xuyen_giap!$C$2:$C$7,MIN(6,MAX(1,IF($O$173,MAX(1,2-(Vu_khi!$L$173-2)),2-(Vu_khi!$L$173-2))+1)))</f>
        <v/>
      </c>
      <c r="AD173" t="n">
        <v>1</v>
      </c>
      <c r="AE173">
        <f>INDEX(Bang_xuyen_giap!$C$2:$C$7,MIN(6,MAX(1,IF($O$173,MAX(1,2-(Vu_khi!$L$173-4)),2-(Vu_khi!$L$173-4))+1)))</f>
        <v/>
      </c>
      <c r="AF173" t="n">
        <v>0.85</v>
      </c>
      <c r="AG173">
        <f>INDEX(Bang_xuyen_giap!$C$2:$C$7,MIN(6,MAX(1,MAX(1,2-(Vu_khi!$L$173-0))+1)))</f>
        <v/>
      </c>
      <c r="AH173" t="n">
        <v>1</v>
      </c>
      <c r="AI173">
        <f>IF($Q$173,$M$173*$AA$173*$U$173,0)</f>
        <v/>
      </c>
      <c r="AJ173" t="n">
        <v>66.66666666666667</v>
      </c>
      <c r="AK173">
        <f>IF($Q$173,$M$173*$AC$173*$U$173,0)</f>
        <v/>
      </c>
      <c r="AL173" t="n">
        <v>66.66666666666667</v>
      </c>
      <c r="AM173">
        <f>IF($Q$173,$M$173*$AE$173*$U$173,0)</f>
        <v/>
      </c>
      <c r="AN173" t="n">
        <v>56.66666666666667</v>
      </c>
      <c r="AO173">
        <f>IF($Q$173,$M$173*$AC$173*$Y$173,0)</f>
        <v/>
      </c>
      <c r="AP173" t="n">
        <v>40</v>
      </c>
      <c r="AQ173">
        <f>IF($S$173,$M$173*$AG$173*$W$173,0)</f>
        <v/>
      </c>
      <c r="AR173" t="n">
        <v>0</v>
      </c>
      <c r="AS173">
        <f>IF(OR(Vu_khi!$M$173="Missile",Vu_khi!$M$173="Drone",AND(Vu_khi!$M$173="Rocket",OR(Vu_khi!$AM$173,Vu_khi!$D$173="guided")),Vu_khi!$AL$173,Vu_khi!$AK$173,Vu_khi!$X$173&lt;=0),FALSE,IF($B$173&gt;=0,$B$173&gt;=4,IF(Vu_khi!$M$173="Shell",Vu_khi!$AN$173&gt;=Canh_bao_vong!$D$10,IF(Vu_khi!$M$173="Bomb",Vu_khi!$AN$173&gt;=Canh_bao_vong!$D$3,IF(Vu_khi!$M$173="Rocket",Vu_khi!$AN$173&gt;=Canh_bao_vong!$D$13,FALSE)))))</f>
        <v/>
      </c>
      <c r="AT173" t="b">
        <v>0</v>
      </c>
      <c r="AU173">
        <f>IF(AND($B$173&lt;0,$AS$173),4,$B$173)</f>
        <v/>
      </c>
      <c r="AV173" t="n">
        <v>2</v>
      </c>
      <c r="AW173">
        <f>IF($AU$173&lt;4,0,MIN(MAX(0.5,Canh_bao_vong!$D$4),MAX(IF(Vu_khi!$C$173="cal_406",Canh_bao_vong!$D$7,IF($AU$173&gt;=5,Canh_bao_vong!$D$9,Canh_bao_vong!$D$8)),Canh_bao_vong!$D$2+MAX(0,Vu_khi!$X$173)/MAX(0.1,Canh_bao_vong!$D$5))))</f>
        <v/>
      </c>
      <c r="AX173" t="n">
        <v>0</v>
      </c>
      <c r="AY173" t="inlineStr"/>
      <c r="AZ173" t="inlineStr">
        <is>
          <t>ok</t>
        </is>
      </c>
      <c r="BA173" t="inlineStr"/>
      <c r="BB173" t="inlineStr">
        <is>
          <t>Assets/MachineBrigade/Resources/Data/balance.json: weapons[id=lancet_hangar] (lớp B trên 01_chien_dau/Vu_khi)</t>
        </is>
      </c>
      <c r="BC173" t="inlineStr"/>
    </row>
    <row r="174">
      <c r="A174" t="inlineStr">
        <is>
          <t>laser_50kw</t>
        </is>
      </c>
      <c r="B174" t="n">
        <v>1</v>
      </c>
      <c r="C174">
        <f>IF(Vu_khi!$O$174="SIMULTANEOUS",MAX(1,Vu_khi!$N$174),1)</f>
        <v/>
      </c>
      <c r="D174" t="n">
        <v>1</v>
      </c>
      <c r="E174">
        <f>IF(Vu_khi!$S$174&gt;0,Vu_khi!$S$174,Vu_khi!$P$174*$C$174)</f>
        <v/>
      </c>
      <c r="F174" t="n">
        <v>1</v>
      </c>
      <c r="G174">
        <f>IF(Vu_khi!$S$174&gt;0,(Vu_khi!$S$174-1)*Vu_khi!$R$174+Vu_khi!$T$174,Vu_khi!$R$174+(Vu_khi!$P$174-1)*Vu_khi!$Q$174)</f>
        <v/>
      </c>
      <c r="H174" t="n">
        <v>0.0667</v>
      </c>
      <c r="I174">
        <f>Vu_khi!$W$174*MAX(1,$E$174)</f>
        <v/>
      </c>
      <c r="J174" t="n">
        <v>6</v>
      </c>
      <c r="K174">
        <f>IF(Vu_khi!$V$174&gt;0,Vu_khi!$V$174,MIN(28,MAX(10,Vu_khi!$U$174*Vu_khi!$R$174*0.4)))</f>
        <v/>
      </c>
      <c r="L174" t="n">
        <v>10</v>
      </c>
      <c r="M174">
        <f>IF(Vu_khi!$W$174&lt;=0,0,IF(Vu_khi!$U$174&gt;0,$I$174*Vu_khi!$U$174/(MAX(0.05,$G$174)*Vu_khi!$U$174+$K$174),$I$174/MAX(0.05,$G$174)))</f>
        <v/>
      </c>
      <c r="N174" t="n">
        <v>89.95502248875563</v>
      </c>
      <c r="O174">
        <f>OR(Vu_khi!$AG$174,Vu_khi!$AB$174&gt;0,Vu_khi!$AH$174,Vu_khi!$M$174="Bomb",Vu_khi!$M$174="Drone")</f>
        <v/>
      </c>
      <c r="P174" t="b">
        <v>0</v>
      </c>
      <c r="Q174">
        <f>AND(NOT(Vu_khi!$AJ$174),OR(Vu_khi!$AC$174="Ground",Vu_khi!$AC$174="All"))</f>
        <v/>
      </c>
      <c r="R174" t="b">
        <v>0</v>
      </c>
      <c r="S174">
        <f>AND(NOT(Vu_khi!$AJ$174),OR(Vu_khi!$AC$174="Air",Vu_khi!$AC$174="All"))</f>
        <v/>
      </c>
      <c r="T174" t="b">
        <v>1</v>
      </c>
      <c r="U174">
        <f>INDEX(Bang_sat_thuong!$B$2:$B$7,MATCH(Vu_khi!$K$174,Bang_sat_thuong!$A$2:$A$7,0))</f>
        <v/>
      </c>
      <c r="V174" t="n">
        <v>1</v>
      </c>
      <c r="W174">
        <f>INDEX(Bang_sat_thuong!$C$2:$C$7,MATCH(Vu_khi!$K$174,Bang_sat_thuong!$A$2:$A$7,0))</f>
        <v/>
      </c>
      <c r="X174" t="n">
        <v>1.5</v>
      </c>
      <c r="Y174">
        <f>IF(AND(Vu_khi!$AI$174,Vu_khi!$K$174="HighExplosive"),MAX(He_so_toan_cuc!$D$2,INDEX(Bang_sat_thuong!$D$2:$D$7,MATCH(Vu_khi!$K$174,Bang_sat_thuong!$A$2:$A$7,0))),INDEX(Bang_sat_thuong!$D$2:$D$7,MATCH(Vu_khi!$K$174,Bang_sat_thuong!$A$2:$A$7,0)))</f>
        <v/>
      </c>
      <c r="Z174" t="n">
        <v>0.5</v>
      </c>
      <c r="AA174">
        <f>INDEX(Bang_xuyen_giap!$C$2:$C$7,MIN(6,MAX(1,IF($O$174,MAX(1,2-(Vu_khi!$L$174-0)),2-(Vu_khi!$L$174-0))+1)))</f>
        <v/>
      </c>
      <c r="AB174" t="n">
        <v>1.2</v>
      </c>
      <c r="AC174">
        <f>INDEX(Bang_xuyen_giap!$C$2:$C$7,MIN(6,MAX(1,IF($O$174,MAX(1,2-(Vu_khi!$L$174-2)),2-(Vu_khi!$L$174-2))+1)))</f>
        <v/>
      </c>
      <c r="AD174" t="n">
        <v>0.85</v>
      </c>
      <c r="AE174">
        <f>INDEX(Bang_xuyen_giap!$C$2:$C$7,MIN(6,MAX(1,IF($O$174,MAX(1,2-(Vu_khi!$L$174-4)),2-(Vu_khi!$L$174-4))+1)))</f>
        <v/>
      </c>
      <c r="AF174" t="n">
        <v>0.25</v>
      </c>
      <c r="AG174">
        <f>INDEX(Bang_xuyen_giap!$C$2:$C$7,MIN(6,MAX(1,MAX(1,2-(Vu_khi!$L$174-0))+1)))</f>
        <v/>
      </c>
      <c r="AH174" t="n">
        <v>1</v>
      </c>
      <c r="AI174">
        <f>IF($Q$174,$M$174*$AA$174*$U$174,0)</f>
        <v/>
      </c>
      <c r="AJ174" t="n">
        <v>0</v>
      </c>
      <c r="AK174">
        <f>IF($Q$174,$M$174*$AC$174*$U$174,0)</f>
        <v/>
      </c>
      <c r="AL174" t="n">
        <v>0</v>
      </c>
      <c r="AM174">
        <f>IF($Q$174,$M$174*$AE$174*$U$174,0)</f>
        <v/>
      </c>
      <c r="AN174" t="n">
        <v>0</v>
      </c>
      <c r="AO174">
        <f>IF($Q$174,$M$174*$AC$174*$Y$174,0)</f>
        <v/>
      </c>
      <c r="AP174" t="n">
        <v>0</v>
      </c>
      <c r="AQ174">
        <f>IF($S$174,$M$174*$AG$174*$W$174,0)</f>
        <v/>
      </c>
      <c r="AR174" t="n">
        <v>134.9325337331335</v>
      </c>
      <c r="AS174">
        <f>IF(OR(Vu_khi!$M$174="Missile",Vu_khi!$M$174="Drone",AND(Vu_khi!$M$174="Rocket",OR(Vu_khi!$AM$174,Vu_khi!$D$174="guided")),Vu_khi!$AL$174,Vu_khi!$AK$174,Vu_khi!$X$174&lt;=0),FALSE,IF($B$174&gt;=0,$B$174&gt;=4,IF(Vu_khi!$M$174="Shell",Vu_khi!$AN$174&gt;=Canh_bao_vong!$D$10,IF(Vu_khi!$M$174="Bomb",Vu_khi!$AN$174&gt;=Canh_bao_vong!$D$3,IF(Vu_khi!$M$174="Rocket",Vu_khi!$AN$174&gt;=Canh_bao_vong!$D$13,FALSE)))))</f>
        <v/>
      </c>
      <c r="AT174" t="b">
        <v>0</v>
      </c>
      <c r="AU174">
        <f>IF(AND($B$174&lt;0,$AS$174),4,$B$174)</f>
        <v/>
      </c>
      <c r="AV174" t="n">
        <v>1</v>
      </c>
      <c r="AW174">
        <f>IF($AU$174&lt;4,0,MIN(MAX(0.5,Canh_bao_vong!$D$4),MAX(IF(Vu_khi!$C$174="cal_406",Canh_bao_vong!$D$7,IF($AU$174&gt;=5,Canh_bao_vong!$D$9,Canh_bao_vong!$D$8)),Canh_bao_vong!$D$2+MAX(0,Vu_khi!$X$174)/MAX(0.1,Canh_bao_vong!$D$5))))</f>
        <v/>
      </c>
      <c r="AX174" t="n">
        <v>0</v>
      </c>
      <c r="AY174" t="inlineStr"/>
      <c r="AZ174" t="inlineStr">
        <is>
          <t>ok</t>
        </is>
      </c>
      <c r="BA174" t="inlineStr"/>
      <c r="BB174" t="inlineStr">
        <is>
          <t>Assets/MachineBrigade/Resources/Data/balance.json: weapons[id=laser_50kw] (lớp B trên 01_chien_dau/Vu_khi)</t>
        </is>
      </c>
      <c r="BC174" t="inlineStr"/>
    </row>
    <row r="175">
      <c r="A175" t="inlineStr">
        <is>
          <t>leviathan_460</t>
        </is>
      </c>
      <c r="B175" t="n">
        <v>5</v>
      </c>
      <c r="C175">
        <f>IF(Vu_khi!$O$175="SIMULTANEOUS",MAX(1,Vu_khi!$N$175),1)</f>
        <v/>
      </c>
      <c r="D175" t="n">
        <v>1</v>
      </c>
      <c r="E175">
        <f>IF(Vu_khi!$S$175&gt;0,Vu_khi!$S$175,Vu_khi!$P$175*$C$175)</f>
        <v/>
      </c>
      <c r="F175" t="n">
        <v>1</v>
      </c>
      <c r="G175">
        <f>IF(Vu_khi!$S$175&gt;0,(Vu_khi!$S$175-1)*Vu_khi!$R$175+Vu_khi!$T$175,Vu_khi!$R$175+(Vu_khi!$P$175-1)*Vu_khi!$Q$175)</f>
        <v/>
      </c>
      <c r="H175" t="n">
        <v>14</v>
      </c>
      <c r="I175">
        <f>Vu_khi!$W$175*MAX(1,$E$175)</f>
        <v/>
      </c>
      <c r="J175" t="n">
        <v>950</v>
      </c>
      <c r="K175">
        <f>IF(Vu_khi!$V$175&gt;0,Vu_khi!$V$175,MIN(28,MAX(10,Vu_khi!$U$175*Vu_khi!$R$175*0.4)))</f>
        <v/>
      </c>
      <c r="L175" t="n">
        <v>10</v>
      </c>
      <c r="M175">
        <f>IF(Vu_khi!$W$175&lt;=0,0,IF(Vu_khi!$U$175&gt;0,$I$175*Vu_khi!$U$175/(MAX(0.05,$G$175)*Vu_khi!$U$175+$K$175),$I$175/MAX(0.05,$G$175)))</f>
        <v/>
      </c>
      <c r="N175" t="n">
        <v>67.85714285714286</v>
      </c>
      <c r="O175">
        <f>OR(Vu_khi!$AG$175,Vu_khi!$AB$175&gt;0,Vu_khi!$AH$175,Vu_khi!$M$175="Bomb",Vu_khi!$M$175="Drone")</f>
        <v/>
      </c>
      <c r="P175" t="b">
        <v>0</v>
      </c>
      <c r="Q175">
        <f>AND(NOT(Vu_khi!$AJ$175),OR(Vu_khi!$AC$175="Ground",Vu_khi!$AC$175="All"))</f>
        <v/>
      </c>
      <c r="R175" t="b">
        <v>1</v>
      </c>
      <c r="S175">
        <f>AND(NOT(Vu_khi!$AJ$175),OR(Vu_khi!$AC$175="Air",Vu_khi!$AC$175="All"))</f>
        <v/>
      </c>
      <c r="T175" t="b">
        <v>0</v>
      </c>
      <c r="U175">
        <f>INDEX(Bang_sat_thuong!$B$2:$B$7,MATCH(Vu_khi!$K$175,Bang_sat_thuong!$A$2:$A$7,0))</f>
        <v/>
      </c>
      <c r="V175" t="n">
        <v>1</v>
      </c>
      <c r="W175">
        <f>INDEX(Bang_sat_thuong!$C$2:$C$7,MATCH(Vu_khi!$K$175,Bang_sat_thuong!$A$2:$A$7,0))</f>
        <v/>
      </c>
      <c r="X175" t="n">
        <v>0</v>
      </c>
      <c r="Y175">
        <f>IF(AND(Vu_khi!$AI$175,Vu_khi!$K$175="HighExplosive"),MAX(He_so_toan_cuc!$D$2,INDEX(Bang_sat_thuong!$D$2:$D$7,MATCH(Vu_khi!$K$175,Bang_sat_thuong!$A$2:$A$7,0))),INDEX(Bang_sat_thuong!$D$2:$D$7,MATCH(Vu_khi!$K$175,Bang_sat_thuong!$A$2:$A$7,0)))</f>
        <v/>
      </c>
      <c r="Z175" t="n">
        <v>1.5</v>
      </c>
      <c r="AA175">
        <f>INDEX(Bang_xuyen_giap!$C$2:$C$7,MIN(6,MAX(1,IF($O$175,MAX(1,2-(Vu_khi!$L$175-0)),2-(Vu_khi!$L$175-0))+1)))</f>
        <v/>
      </c>
      <c r="AB175" t="n">
        <v>1.2</v>
      </c>
      <c r="AC175">
        <f>INDEX(Bang_xuyen_giap!$C$2:$C$7,MIN(6,MAX(1,IF($O$175,MAX(1,2-(Vu_khi!$L$175-2)),2-(Vu_khi!$L$175-2))+1)))</f>
        <v/>
      </c>
      <c r="AD175" t="n">
        <v>1.2</v>
      </c>
      <c r="AE175">
        <f>INDEX(Bang_xuyen_giap!$C$2:$C$7,MIN(6,MAX(1,IF($O$175,MAX(1,2-(Vu_khi!$L$175-4)),2-(Vu_khi!$L$175-4))+1)))</f>
        <v/>
      </c>
      <c r="AF175" t="n">
        <v>0.85</v>
      </c>
      <c r="AG175">
        <f>INDEX(Bang_xuyen_giap!$C$2:$C$7,MIN(6,MAX(1,MAX(1,2-(Vu_khi!$L$175-0))+1)))</f>
        <v/>
      </c>
      <c r="AH175" t="n">
        <v>1</v>
      </c>
      <c r="AI175">
        <f>IF($Q$175,$M$175*$AA$175*$U$175,0)</f>
        <v/>
      </c>
      <c r="AJ175" t="n">
        <v>81.42857142857143</v>
      </c>
      <c r="AK175">
        <f>IF($Q$175,$M$175*$AC$175*$U$175,0)</f>
        <v/>
      </c>
      <c r="AL175" t="n">
        <v>81.42857142857143</v>
      </c>
      <c r="AM175">
        <f>IF($Q$175,$M$175*$AE$175*$U$175,0)</f>
        <v/>
      </c>
      <c r="AN175" t="n">
        <v>57.67857142857143</v>
      </c>
      <c r="AO175">
        <f>IF($Q$175,$M$175*$AC$175*$Y$175,0)</f>
        <v/>
      </c>
      <c r="AP175" t="n">
        <v>122.1428571428571</v>
      </c>
      <c r="AQ175">
        <f>IF($S$175,$M$175*$AG$175*$W$175,0)</f>
        <v/>
      </c>
      <c r="AR175" t="n">
        <v>0</v>
      </c>
      <c r="AS175">
        <f>IF(OR(Vu_khi!$M$175="Missile",Vu_khi!$M$175="Drone",AND(Vu_khi!$M$175="Rocket",OR(Vu_khi!$AM$175,Vu_khi!$D$175="guided")),Vu_khi!$AL$175,Vu_khi!$AK$175,Vu_khi!$X$175&lt;=0),FALSE,IF($B$175&gt;=0,$B$175&gt;=4,IF(Vu_khi!$M$175="Shell",Vu_khi!$AN$175&gt;=Canh_bao_vong!$D$10,IF(Vu_khi!$M$175="Bomb",Vu_khi!$AN$175&gt;=Canh_bao_vong!$D$3,IF(Vu_khi!$M$175="Rocket",Vu_khi!$AN$175&gt;=Canh_bao_vong!$D$13,FALSE)))))</f>
        <v/>
      </c>
      <c r="AT175" t="b">
        <v>0</v>
      </c>
      <c r="AU175">
        <f>IF(AND($B$175&lt;0,$AS$175),4,$B$175)</f>
        <v/>
      </c>
      <c r="AV175" t="n">
        <v>5</v>
      </c>
      <c r="AW175">
        <f>IF($AU$175&lt;4,0,MIN(MAX(0.5,Canh_bao_vong!$D$4),MAX(IF(Vu_khi!$C$175="cal_406",Canh_bao_vong!$D$7,IF($AU$175&gt;=5,Canh_bao_vong!$D$9,Canh_bao_vong!$D$8)),Canh_bao_vong!$D$2+MAX(0,Vu_khi!$X$175)/MAX(0.1,Canh_bao_vong!$D$5))))</f>
        <v/>
      </c>
      <c r="AX175" t="n">
        <v>3.5</v>
      </c>
      <c r="AY175" t="n">
        <v>0.98</v>
      </c>
      <c r="AZ175" t="inlineStr">
        <is>
          <t>LOI_DON_VI</t>
        </is>
      </c>
      <c r="BA175" t="inlineStr"/>
      <c r="BB175" t="inlineStr">
        <is>
          <t>Assets/MachineBrigade/Resources/Data/balance.json: weapons[id=leviathan_460] (lớp B trên 01_chien_dau/Vu_khi)</t>
        </is>
      </c>
      <c r="BC175" t="inlineStr"/>
    </row>
    <row r="176">
      <c r="A176" t="inlineStr">
        <is>
          <t>leviathan_460_guided</t>
        </is>
      </c>
      <c r="B176" t="n">
        <v>5</v>
      </c>
      <c r="C176">
        <f>IF(Vu_khi!$O$176="SIMULTANEOUS",MAX(1,Vu_khi!$N$176),1)</f>
        <v/>
      </c>
      <c r="D176" t="n">
        <v>1</v>
      </c>
      <c r="E176">
        <f>IF(Vu_khi!$S$176&gt;0,Vu_khi!$S$176,Vu_khi!$P$176*$C$176)</f>
        <v/>
      </c>
      <c r="F176" t="n">
        <v>1</v>
      </c>
      <c r="G176">
        <f>IF(Vu_khi!$S$176&gt;0,(Vu_khi!$S$176-1)*Vu_khi!$R$176+Vu_khi!$T$176,Vu_khi!$R$176+(Vu_khi!$P$176-1)*Vu_khi!$Q$176)</f>
        <v/>
      </c>
      <c r="H176" t="n">
        <v>14</v>
      </c>
      <c r="I176">
        <f>Vu_khi!$W$176*MAX(1,$E$176)</f>
        <v/>
      </c>
      <c r="J176" t="n">
        <v>950</v>
      </c>
      <c r="K176">
        <f>IF(Vu_khi!$V$176&gt;0,Vu_khi!$V$176,MIN(28,MAX(10,Vu_khi!$U$176*Vu_khi!$R$176*0.4)))</f>
        <v/>
      </c>
      <c r="L176" t="n">
        <v>10</v>
      </c>
      <c r="M176">
        <f>IF(Vu_khi!$W$176&lt;=0,0,IF(Vu_khi!$U$176&gt;0,$I$176*Vu_khi!$U$176/(MAX(0.05,$G$176)*Vu_khi!$U$176+$K$176),$I$176/MAX(0.05,$G$176)))</f>
        <v/>
      </c>
      <c r="N176" t="n">
        <v>67.85714285714286</v>
      </c>
      <c r="O176">
        <f>OR(Vu_khi!$AG$176,Vu_khi!$AB$176&gt;0,Vu_khi!$AH$176,Vu_khi!$M$176="Bomb",Vu_khi!$M$176="Drone")</f>
        <v/>
      </c>
      <c r="P176" t="b">
        <v>0</v>
      </c>
      <c r="Q176">
        <f>AND(NOT(Vu_khi!$AJ$176),OR(Vu_khi!$AC$176="Ground",Vu_khi!$AC$176="All"))</f>
        <v/>
      </c>
      <c r="R176" t="b">
        <v>1</v>
      </c>
      <c r="S176">
        <f>AND(NOT(Vu_khi!$AJ$176),OR(Vu_khi!$AC$176="Air",Vu_khi!$AC$176="All"))</f>
        <v/>
      </c>
      <c r="T176" t="b">
        <v>0</v>
      </c>
      <c r="U176">
        <f>INDEX(Bang_sat_thuong!$B$2:$B$7,MATCH(Vu_khi!$K$176,Bang_sat_thuong!$A$2:$A$7,0))</f>
        <v/>
      </c>
      <c r="V176" t="n">
        <v>1</v>
      </c>
      <c r="W176">
        <f>INDEX(Bang_sat_thuong!$C$2:$C$7,MATCH(Vu_khi!$K$176,Bang_sat_thuong!$A$2:$A$7,0))</f>
        <v/>
      </c>
      <c r="X176" t="n">
        <v>0</v>
      </c>
      <c r="Y176">
        <f>IF(AND(Vu_khi!$AI$176,Vu_khi!$K$176="HighExplosive"),MAX(He_so_toan_cuc!$D$2,INDEX(Bang_sat_thuong!$D$2:$D$7,MATCH(Vu_khi!$K$176,Bang_sat_thuong!$A$2:$A$7,0))),INDEX(Bang_sat_thuong!$D$2:$D$7,MATCH(Vu_khi!$K$176,Bang_sat_thuong!$A$2:$A$7,0)))</f>
        <v/>
      </c>
      <c r="Z176" t="n">
        <v>1.5</v>
      </c>
      <c r="AA176">
        <f>INDEX(Bang_xuyen_giap!$C$2:$C$7,MIN(6,MAX(1,IF($O$176,MAX(1,2-(Vu_khi!$L$176-0)),2-(Vu_khi!$L$176-0))+1)))</f>
        <v/>
      </c>
      <c r="AB176" t="n">
        <v>1.2</v>
      </c>
      <c r="AC176">
        <f>INDEX(Bang_xuyen_giap!$C$2:$C$7,MIN(6,MAX(1,IF($O$176,MAX(1,2-(Vu_khi!$L$176-2)),2-(Vu_khi!$L$176-2))+1)))</f>
        <v/>
      </c>
      <c r="AD176" t="n">
        <v>1.2</v>
      </c>
      <c r="AE176">
        <f>INDEX(Bang_xuyen_giap!$C$2:$C$7,MIN(6,MAX(1,IF($O$176,MAX(1,2-(Vu_khi!$L$176-4)),2-(Vu_khi!$L$176-4))+1)))</f>
        <v/>
      </c>
      <c r="AF176" t="n">
        <v>0.85</v>
      </c>
      <c r="AG176">
        <f>INDEX(Bang_xuyen_giap!$C$2:$C$7,MIN(6,MAX(1,MAX(1,2-(Vu_khi!$L$176-0))+1)))</f>
        <v/>
      </c>
      <c r="AH176" t="n">
        <v>1</v>
      </c>
      <c r="AI176">
        <f>IF($Q$176,$M$176*$AA$176*$U$176,0)</f>
        <v/>
      </c>
      <c r="AJ176" t="n">
        <v>81.42857142857143</v>
      </c>
      <c r="AK176">
        <f>IF($Q$176,$M$176*$AC$176*$U$176,0)</f>
        <v/>
      </c>
      <c r="AL176" t="n">
        <v>81.42857142857143</v>
      </c>
      <c r="AM176">
        <f>IF($Q$176,$M$176*$AE$176*$U$176,0)</f>
        <v/>
      </c>
      <c r="AN176" t="n">
        <v>57.67857142857143</v>
      </c>
      <c r="AO176">
        <f>IF($Q$176,$M$176*$AC$176*$Y$176,0)</f>
        <v/>
      </c>
      <c r="AP176" t="n">
        <v>122.1428571428571</v>
      </c>
      <c r="AQ176">
        <f>IF($S$176,$M$176*$AG$176*$W$176,0)</f>
        <v/>
      </c>
      <c r="AR176" t="n">
        <v>0</v>
      </c>
      <c r="AS176">
        <f>IF(OR(Vu_khi!$M$176="Missile",Vu_khi!$M$176="Drone",AND(Vu_khi!$M$176="Rocket",OR(Vu_khi!$AM$176,Vu_khi!$D$176="guided")),Vu_khi!$AL$176,Vu_khi!$AK$176,Vu_khi!$X$176&lt;=0),FALSE,IF($B$176&gt;=0,$B$176&gt;=4,IF(Vu_khi!$M$176="Shell",Vu_khi!$AN$176&gt;=Canh_bao_vong!$D$10,IF(Vu_khi!$M$176="Bomb",Vu_khi!$AN$176&gt;=Canh_bao_vong!$D$3,IF(Vu_khi!$M$176="Rocket",Vu_khi!$AN$176&gt;=Canh_bao_vong!$D$13,FALSE)))))</f>
        <v/>
      </c>
      <c r="AT176" t="b">
        <v>0</v>
      </c>
      <c r="AU176">
        <f>IF(AND($B$176&lt;0,$AS$176),4,$B$176)</f>
        <v/>
      </c>
      <c r="AV176" t="n">
        <v>5</v>
      </c>
      <c r="AW176">
        <f>IF($AU$176&lt;4,0,MIN(MAX(0.5,Canh_bao_vong!$D$4),MAX(IF(Vu_khi!$C$176="cal_406",Canh_bao_vong!$D$7,IF($AU$176&gt;=5,Canh_bao_vong!$D$9,Canh_bao_vong!$D$8)),Canh_bao_vong!$D$2+MAX(0,Vu_khi!$X$176)/MAX(0.1,Canh_bao_vong!$D$5))))</f>
        <v/>
      </c>
      <c r="AX176" t="n">
        <v>3.5</v>
      </c>
      <c r="BB176" t="inlineStr">
        <is>
          <t>Assets/MachineBrigade/Resources/Data/balance.json: weapons[id=leviathan_460_guided] (lớp B trên 01_chien_dau/Vu_khi)</t>
        </is>
      </c>
      <c r="BC176" t="inlineStr"/>
    </row>
    <row r="177">
      <c r="A177" t="inlineStr">
        <is>
          <t>leviathan_cruise</t>
        </is>
      </c>
      <c r="B177" t="n">
        <v>4</v>
      </c>
      <c r="C177">
        <f>IF(Vu_khi!$O$177="SIMULTANEOUS",MAX(1,Vu_khi!$N$177),1)</f>
        <v/>
      </c>
      <c r="D177" t="n">
        <v>1</v>
      </c>
      <c r="E177">
        <f>IF(Vu_khi!$S$177&gt;0,Vu_khi!$S$177,Vu_khi!$P$177*$C$177)</f>
        <v/>
      </c>
      <c r="F177" t="n">
        <v>1</v>
      </c>
      <c r="G177">
        <f>IF(Vu_khi!$S$177&gt;0,(Vu_khi!$S$177-1)*Vu_khi!$R$177+Vu_khi!$T$177,Vu_khi!$R$177+(Vu_khi!$P$177-1)*Vu_khi!$Q$177)</f>
        <v/>
      </c>
      <c r="H177" t="n">
        <v>50</v>
      </c>
      <c r="I177">
        <f>Vu_khi!$W$177*MAX(1,$E$177)</f>
        <v/>
      </c>
      <c r="J177" t="n">
        <v>520</v>
      </c>
      <c r="K177">
        <f>IF(Vu_khi!$V$177&gt;0,Vu_khi!$V$177,MIN(28,MAX(10,Vu_khi!$U$177*Vu_khi!$R$177*0.4)))</f>
        <v/>
      </c>
      <c r="L177" t="n">
        <v>10</v>
      </c>
      <c r="M177">
        <f>IF(Vu_khi!$W$177&lt;=0,0,IF(Vu_khi!$U$177&gt;0,$I$177*Vu_khi!$U$177/(MAX(0.05,$G$177)*Vu_khi!$U$177+$K$177),$I$177/MAX(0.05,$G$177)))</f>
        <v/>
      </c>
      <c r="N177" t="n">
        <v>10.4</v>
      </c>
      <c r="O177">
        <f>OR(Vu_khi!$AG$177,Vu_khi!$AB$177&gt;0,Vu_khi!$AH$177,Vu_khi!$M$177="Bomb",Vu_khi!$M$177="Drone")</f>
        <v/>
      </c>
      <c r="P177" t="b">
        <v>0</v>
      </c>
      <c r="Q177">
        <f>AND(NOT(Vu_khi!$AJ$177),OR(Vu_khi!$AC$177="Ground",Vu_khi!$AC$177="All"))</f>
        <v/>
      </c>
      <c r="R177" t="b">
        <v>1</v>
      </c>
      <c r="S177">
        <f>AND(NOT(Vu_khi!$AJ$177),OR(Vu_khi!$AC$177="Air",Vu_khi!$AC$177="All"))</f>
        <v/>
      </c>
      <c r="T177" t="b">
        <v>0</v>
      </c>
      <c r="U177">
        <f>INDEX(Bang_sat_thuong!$B$2:$B$7,MATCH(Vu_khi!$K$177,Bang_sat_thuong!$A$2:$A$7,0))</f>
        <v/>
      </c>
      <c r="V177" t="n">
        <v>1</v>
      </c>
      <c r="W177">
        <f>INDEX(Bang_sat_thuong!$C$2:$C$7,MATCH(Vu_khi!$K$177,Bang_sat_thuong!$A$2:$A$7,0))</f>
        <v/>
      </c>
      <c r="X177" t="n">
        <v>0</v>
      </c>
      <c r="Y177">
        <f>IF(AND(Vu_khi!$AI$177,Vu_khi!$K$177="HighExplosive"),MAX(He_so_toan_cuc!$D$2,INDEX(Bang_sat_thuong!$D$2:$D$7,MATCH(Vu_khi!$K$177,Bang_sat_thuong!$A$2:$A$7,0))),INDEX(Bang_sat_thuong!$D$2:$D$7,MATCH(Vu_khi!$K$177,Bang_sat_thuong!$A$2:$A$7,0)))</f>
        <v/>
      </c>
      <c r="Z177" t="n">
        <v>1.5</v>
      </c>
      <c r="AA177">
        <f>INDEX(Bang_xuyen_giap!$C$2:$C$7,MIN(6,MAX(1,IF($O$177,MAX(1,2-(Vu_khi!$L$177-0)),2-(Vu_khi!$L$177-0))+1)))</f>
        <v/>
      </c>
      <c r="AB177" t="n">
        <v>1.2</v>
      </c>
      <c r="AC177">
        <f>INDEX(Bang_xuyen_giap!$C$2:$C$7,MIN(6,MAX(1,IF($O$177,MAX(1,2-(Vu_khi!$L$177-2)),2-(Vu_khi!$L$177-2))+1)))</f>
        <v/>
      </c>
      <c r="AD177" t="n">
        <v>1</v>
      </c>
      <c r="AE177">
        <f>INDEX(Bang_xuyen_giap!$C$2:$C$7,MIN(6,MAX(1,IF($O$177,MAX(1,2-(Vu_khi!$L$177-4)),2-(Vu_khi!$L$177-4))+1)))</f>
        <v/>
      </c>
      <c r="AF177" t="n">
        <v>0.5</v>
      </c>
      <c r="AG177">
        <f>INDEX(Bang_xuyen_giap!$C$2:$C$7,MIN(6,MAX(1,MAX(1,2-(Vu_khi!$L$177-0))+1)))</f>
        <v/>
      </c>
      <c r="AH177" t="n">
        <v>1</v>
      </c>
      <c r="AI177">
        <f>IF($Q$177,$M$177*$AA$177*$U$177,0)</f>
        <v/>
      </c>
      <c r="AJ177" t="n">
        <v>12.48</v>
      </c>
      <c r="AK177">
        <f>IF($Q$177,$M$177*$AC$177*$U$177,0)</f>
        <v/>
      </c>
      <c r="AL177" t="n">
        <v>10.4</v>
      </c>
      <c r="AM177">
        <f>IF($Q$177,$M$177*$AE$177*$U$177,0)</f>
        <v/>
      </c>
      <c r="AN177" t="n">
        <v>5.2</v>
      </c>
      <c r="AO177">
        <f>IF($Q$177,$M$177*$AC$177*$Y$177,0)</f>
        <v/>
      </c>
      <c r="AP177" t="n">
        <v>15.6</v>
      </c>
      <c r="AQ177">
        <f>IF($S$177,$M$177*$AG$177*$W$177,0)</f>
        <v/>
      </c>
      <c r="AR177" t="n">
        <v>0</v>
      </c>
      <c r="AS177">
        <f>IF(OR(Vu_khi!$M$177="Missile",Vu_khi!$M$177="Drone",AND(Vu_khi!$M$177="Rocket",OR(Vu_khi!$AM$177,Vu_khi!$D$177="guided")),Vu_khi!$AL$177,Vu_khi!$AK$177,Vu_khi!$X$177&lt;=0),FALSE,IF($B$177&gt;=0,$B$177&gt;=4,IF(Vu_khi!$M$177="Shell",Vu_khi!$AN$177&gt;=Canh_bao_vong!$D$10,IF(Vu_khi!$M$177="Bomb",Vu_khi!$AN$177&gt;=Canh_bao_vong!$D$3,IF(Vu_khi!$M$177="Rocket",Vu_khi!$AN$177&gt;=Canh_bao_vong!$D$13,FALSE)))))</f>
        <v/>
      </c>
      <c r="AT177" t="b">
        <v>0</v>
      </c>
      <c r="AU177">
        <f>IF(AND($B$177&lt;0,$AS$177),4,$B$177)</f>
        <v/>
      </c>
      <c r="AV177" t="n">
        <v>4</v>
      </c>
      <c r="AW177">
        <f>IF($AU$177&lt;4,0,MIN(MAX(0.5,Canh_bao_vong!$D$4),MAX(IF(Vu_khi!$C$177="cal_406",Canh_bao_vong!$D$7,IF($AU$177&gt;=5,Canh_bao_vong!$D$9,Canh_bao_vong!$D$8)),Canh_bao_vong!$D$2+MAX(0,Vu_khi!$X$177)/MAX(0.1,Canh_bao_vong!$D$5))))</f>
        <v/>
      </c>
      <c r="AX177" t="n">
        <v>2.722222222222222</v>
      </c>
      <c r="AY177" t="inlineStr"/>
      <c r="AZ177" t="inlineStr">
        <is>
          <t>ok</t>
        </is>
      </c>
      <c r="BA177" t="b">
        <v>1</v>
      </c>
      <c r="BB177" t="inlineStr">
        <is>
          <t>Assets/MachineBrigade/Resources/Data/balance.json: weapons[id=leviathan_cruise] (lớp B trên 01_chien_dau/Vu_khi)</t>
        </is>
      </c>
      <c r="BC177" t="inlineStr"/>
    </row>
    <row r="178">
      <c r="A178" t="inlineStr">
        <is>
          <t>locust_drones</t>
        </is>
      </c>
      <c r="B178" t="n">
        <v>2</v>
      </c>
      <c r="C178">
        <f>IF(Vu_khi!$O$178="SIMULTANEOUS",MAX(1,Vu_khi!$N$178),1)</f>
        <v/>
      </c>
      <c r="D178" t="n">
        <v>1</v>
      </c>
      <c r="E178">
        <f>IF(Vu_khi!$S$178&gt;0,Vu_khi!$S$178,Vu_khi!$P$178*$C$178)</f>
        <v/>
      </c>
      <c r="F178" t="n">
        <v>1</v>
      </c>
      <c r="G178">
        <f>IF(Vu_khi!$S$178&gt;0,(Vu_khi!$S$178-1)*Vu_khi!$R$178+Vu_khi!$T$178,Vu_khi!$R$178+(Vu_khi!$P$178-1)*Vu_khi!$Q$178)</f>
        <v/>
      </c>
      <c r="H178" t="n">
        <v>2</v>
      </c>
      <c r="I178">
        <f>Vu_khi!$W$178*MAX(1,$E$178)</f>
        <v/>
      </c>
      <c r="J178" t="n">
        <v>320</v>
      </c>
      <c r="K178">
        <f>IF(Vu_khi!$V$178&gt;0,Vu_khi!$V$178,MIN(28,MAX(10,Vu_khi!$U$178*Vu_khi!$R$178*0.4)))</f>
        <v/>
      </c>
      <c r="L178" t="n">
        <v>10</v>
      </c>
      <c r="M178">
        <f>IF(Vu_khi!$W$178&lt;=0,0,IF(Vu_khi!$U$178&gt;0,$I$178*Vu_khi!$U$178/(MAX(0.05,$G$178)*Vu_khi!$U$178+$K$178),$I$178/MAX(0.05,$G$178)))</f>
        <v/>
      </c>
      <c r="N178" t="n">
        <v>160</v>
      </c>
      <c r="O178">
        <f>OR(Vu_khi!$AG$178,Vu_khi!$AB$178&gt;0,Vu_khi!$AH$178,Vu_khi!$M$178="Bomb",Vu_khi!$M$178="Drone")</f>
        <v/>
      </c>
      <c r="P178" t="b">
        <v>1</v>
      </c>
      <c r="Q178">
        <f>AND(NOT(Vu_khi!$AJ$178),OR(Vu_khi!$AC$178="Ground",Vu_khi!$AC$178="All"))</f>
        <v/>
      </c>
      <c r="R178" t="b">
        <v>1</v>
      </c>
      <c r="S178">
        <f>AND(NOT(Vu_khi!$AJ$178),OR(Vu_khi!$AC$178="Air",Vu_khi!$AC$178="All"))</f>
        <v/>
      </c>
      <c r="T178" t="b">
        <v>0</v>
      </c>
      <c r="U178">
        <f>INDEX(Bang_sat_thuong!$B$2:$B$7,MATCH(Vu_khi!$K$178,Bang_sat_thuong!$A$2:$A$7,0))</f>
        <v/>
      </c>
      <c r="V178" t="n">
        <v>1</v>
      </c>
      <c r="W178">
        <f>INDEX(Bang_sat_thuong!$C$2:$C$7,MATCH(Vu_khi!$K$178,Bang_sat_thuong!$A$2:$A$7,0))</f>
        <v/>
      </c>
      <c r="X178" t="n">
        <v>0.3</v>
      </c>
      <c r="Y178">
        <f>IF(AND(Vu_khi!$AI$178,Vu_khi!$K$178="HighExplosive"),MAX(He_so_toan_cuc!$D$2,INDEX(Bang_sat_thuong!$D$2:$D$7,MATCH(Vu_khi!$K$178,Bang_sat_thuong!$A$2:$A$7,0))),INDEX(Bang_sat_thuong!$D$2:$D$7,MATCH(Vu_khi!$K$178,Bang_sat_thuong!$A$2:$A$7,0)))</f>
        <v/>
      </c>
      <c r="Z178" t="n">
        <v>0.6</v>
      </c>
      <c r="AA178">
        <f>INDEX(Bang_xuyen_giap!$C$2:$C$7,MIN(6,MAX(1,IF($O$178,MAX(1,2-(Vu_khi!$L$178-0)),2-(Vu_khi!$L$178-0))+1)))</f>
        <v/>
      </c>
      <c r="AB178" t="n">
        <v>1</v>
      </c>
      <c r="AC178">
        <f>INDEX(Bang_xuyen_giap!$C$2:$C$7,MIN(6,MAX(1,IF($O$178,MAX(1,2-(Vu_khi!$L$178-2)),2-(Vu_khi!$L$178-2))+1)))</f>
        <v/>
      </c>
      <c r="AD178" t="n">
        <v>1</v>
      </c>
      <c r="AE178">
        <f>INDEX(Bang_xuyen_giap!$C$2:$C$7,MIN(6,MAX(1,IF($O$178,MAX(1,2-(Vu_khi!$L$178-4)),2-(Vu_khi!$L$178-4))+1)))</f>
        <v/>
      </c>
      <c r="AF178" t="n">
        <v>0.85</v>
      </c>
      <c r="AG178">
        <f>INDEX(Bang_xuyen_giap!$C$2:$C$7,MIN(6,MAX(1,MAX(1,2-(Vu_khi!$L$178-0))+1)))</f>
        <v/>
      </c>
      <c r="AH178" t="n">
        <v>1</v>
      </c>
      <c r="AI178">
        <f>IF($Q$178,$M$178*$AA$178*$U$178,0)</f>
        <v/>
      </c>
      <c r="AJ178" t="n">
        <v>160</v>
      </c>
      <c r="AK178">
        <f>IF($Q$178,$M$178*$AC$178*$U$178,0)</f>
        <v/>
      </c>
      <c r="AL178" t="n">
        <v>160</v>
      </c>
      <c r="AM178">
        <f>IF($Q$178,$M$178*$AE$178*$U$178,0)</f>
        <v/>
      </c>
      <c r="AN178" t="n">
        <v>136</v>
      </c>
      <c r="AO178">
        <f>IF($Q$178,$M$178*$AC$178*$Y$178,0)</f>
        <v/>
      </c>
      <c r="AP178" t="n">
        <v>96</v>
      </c>
      <c r="AQ178">
        <f>IF($S$178,$M$178*$AG$178*$W$178,0)</f>
        <v/>
      </c>
      <c r="AR178" t="n">
        <v>0</v>
      </c>
      <c r="AS178">
        <f>IF(OR(Vu_khi!$M$178="Missile",Vu_khi!$M$178="Drone",AND(Vu_khi!$M$178="Rocket",OR(Vu_khi!$AM$178,Vu_khi!$D$178="guided")),Vu_khi!$AL$178,Vu_khi!$AK$178,Vu_khi!$X$178&lt;=0),FALSE,IF($B$178&gt;=0,$B$178&gt;=4,IF(Vu_khi!$M$178="Shell",Vu_khi!$AN$178&gt;=Canh_bao_vong!$D$10,IF(Vu_khi!$M$178="Bomb",Vu_khi!$AN$178&gt;=Canh_bao_vong!$D$3,IF(Vu_khi!$M$178="Rocket",Vu_khi!$AN$178&gt;=Canh_bao_vong!$D$13,FALSE)))))</f>
        <v/>
      </c>
      <c r="AT178" t="b">
        <v>0</v>
      </c>
      <c r="AU178">
        <f>IF(AND($B$178&lt;0,$AS$178),4,$B$178)</f>
        <v/>
      </c>
      <c r="AV178" t="n">
        <v>2</v>
      </c>
      <c r="AW178">
        <f>IF($AU$178&lt;4,0,MIN(MAX(0.5,Canh_bao_vong!$D$4),MAX(IF(Vu_khi!$C$178="cal_406",Canh_bao_vong!$D$7,IF($AU$178&gt;=5,Canh_bao_vong!$D$9,Canh_bao_vong!$D$8)),Canh_bao_vong!$D$2+MAX(0,Vu_khi!$X$178)/MAX(0.1,Canh_bao_vong!$D$5))))</f>
        <v/>
      </c>
      <c r="AX178" t="n">
        <v>0</v>
      </c>
      <c r="AY178" t="inlineStr"/>
      <c r="AZ178" t="inlineStr">
        <is>
          <t>LECH_DOT_1</t>
        </is>
      </c>
      <c r="BA178" t="b">
        <v>1</v>
      </c>
      <c r="BB178" t="inlineStr">
        <is>
          <t>Assets/MachineBrigade/Resources/Data/balance.json: weapons[id=locust_drones] (lớp B trên 01_chien_dau/Vu_khi)</t>
        </is>
      </c>
      <c r="BC178" t="inlineStr"/>
    </row>
    <row r="179">
      <c r="A179" t="inlineStr">
        <is>
          <t>maverick</t>
        </is>
      </c>
      <c r="B179" t="n">
        <v>3</v>
      </c>
      <c r="C179">
        <f>IF(Vu_khi!$O$179="SIMULTANEOUS",MAX(1,Vu_khi!$N$179),1)</f>
        <v/>
      </c>
      <c r="D179" t="n">
        <v>1</v>
      </c>
      <c r="E179">
        <f>IF(Vu_khi!$S$179&gt;0,Vu_khi!$S$179,Vu_khi!$P$179*$C$179)</f>
        <v/>
      </c>
      <c r="F179" t="n">
        <v>1</v>
      </c>
      <c r="G179">
        <f>IF(Vu_khi!$S$179&gt;0,(Vu_khi!$S$179-1)*Vu_khi!$R$179+Vu_khi!$T$179,Vu_khi!$R$179+(Vu_khi!$P$179-1)*Vu_khi!$Q$179)</f>
        <v/>
      </c>
      <c r="H179" t="n">
        <v>7.86</v>
      </c>
      <c r="I179">
        <f>Vu_khi!$W$179*MAX(1,$E$179)</f>
        <v/>
      </c>
      <c r="J179" t="n">
        <v>345</v>
      </c>
      <c r="K179">
        <f>IF(Vu_khi!$V$179&gt;0,Vu_khi!$V$179,MIN(28,MAX(10,Vu_khi!$U$179*Vu_khi!$R$179*0.4)))</f>
        <v/>
      </c>
      <c r="L179" t="n">
        <v>10</v>
      </c>
      <c r="M179">
        <f>IF(Vu_khi!$W$179&lt;=0,0,IF(Vu_khi!$U$179&gt;0,$I$179*Vu_khi!$U$179/(MAX(0.05,$G$179)*Vu_khi!$U$179+$K$179),$I$179/MAX(0.05,$G$179)))</f>
        <v/>
      </c>
      <c r="N179" t="n">
        <v>43.89312977099237</v>
      </c>
      <c r="O179">
        <f>OR(Vu_khi!$AG$179,Vu_khi!$AB$179&gt;0,Vu_khi!$AH$179,Vu_khi!$M$179="Bomb",Vu_khi!$M$179="Drone")</f>
        <v/>
      </c>
      <c r="P179" t="b">
        <v>0</v>
      </c>
      <c r="Q179">
        <f>AND(NOT(Vu_khi!$AJ$179),OR(Vu_khi!$AC$179="Ground",Vu_khi!$AC$179="All"))</f>
        <v/>
      </c>
      <c r="R179" t="b">
        <v>1</v>
      </c>
      <c r="S179">
        <f>AND(NOT(Vu_khi!$AJ$179),OR(Vu_khi!$AC$179="Air",Vu_khi!$AC$179="All"))</f>
        <v/>
      </c>
      <c r="T179" t="b">
        <v>0</v>
      </c>
      <c r="U179">
        <f>INDEX(Bang_sat_thuong!$B$2:$B$7,MATCH(Vu_khi!$K$179,Bang_sat_thuong!$A$2:$A$7,0))</f>
        <v/>
      </c>
      <c r="V179" t="n">
        <v>1</v>
      </c>
      <c r="W179">
        <f>INDEX(Bang_sat_thuong!$C$2:$C$7,MATCH(Vu_khi!$K$179,Bang_sat_thuong!$A$2:$A$7,0))</f>
        <v/>
      </c>
      <c r="X179" t="n">
        <v>0.3</v>
      </c>
      <c r="Y179">
        <f>IF(AND(Vu_khi!$AI$179,Vu_khi!$K$179="HighExplosive"),MAX(He_so_toan_cuc!$D$2,INDEX(Bang_sat_thuong!$D$2:$D$7,MATCH(Vu_khi!$K$179,Bang_sat_thuong!$A$2:$A$7,0))),INDEX(Bang_sat_thuong!$D$2:$D$7,MATCH(Vu_khi!$K$179,Bang_sat_thuong!$A$2:$A$7,0)))</f>
        <v/>
      </c>
      <c r="Z179" t="n">
        <v>0.6</v>
      </c>
      <c r="AA179">
        <f>INDEX(Bang_xuyen_giap!$C$2:$C$7,MIN(6,MAX(1,IF($O$179,MAX(1,2-(Vu_khi!$L$179-0)),2-(Vu_khi!$L$179-0))+1)))</f>
        <v/>
      </c>
      <c r="AB179" t="n">
        <v>1.2</v>
      </c>
      <c r="AC179">
        <f>INDEX(Bang_xuyen_giap!$C$2:$C$7,MIN(6,MAX(1,IF($O$179,MAX(1,2-(Vu_khi!$L$179-2)),2-(Vu_khi!$L$179-2))+1)))</f>
        <v/>
      </c>
      <c r="AD179" t="n">
        <v>1.2</v>
      </c>
      <c r="AE179">
        <f>INDEX(Bang_xuyen_giap!$C$2:$C$7,MIN(6,MAX(1,IF($O$179,MAX(1,2-(Vu_khi!$L$179-4)),2-(Vu_khi!$L$179-4))+1)))</f>
        <v/>
      </c>
      <c r="AF179" t="n">
        <v>0.85</v>
      </c>
      <c r="AG179">
        <f>INDEX(Bang_xuyen_giap!$C$2:$C$7,MIN(6,MAX(1,MAX(1,2-(Vu_khi!$L$179-0))+1)))</f>
        <v/>
      </c>
      <c r="AH179" t="n">
        <v>1</v>
      </c>
      <c r="AI179">
        <f>IF($Q$179,$M$179*$AA$179*$U$179,0)</f>
        <v/>
      </c>
      <c r="AJ179" t="n">
        <v>52.67175572519084</v>
      </c>
      <c r="AK179">
        <f>IF($Q$179,$M$179*$AC$179*$U$179,0)</f>
        <v/>
      </c>
      <c r="AL179" t="n">
        <v>52.67175572519084</v>
      </c>
      <c r="AM179">
        <f>IF($Q$179,$M$179*$AE$179*$U$179,0)</f>
        <v/>
      </c>
      <c r="AN179" t="n">
        <v>37.30916030534351</v>
      </c>
      <c r="AO179">
        <f>IF($Q$179,$M$179*$AC$179*$Y$179,0)</f>
        <v/>
      </c>
      <c r="AP179" t="n">
        <v>31.6030534351145</v>
      </c>
      <c r="AQ179">
        <f>IF($S$179,$M$179*$AG$179*$W$179,0)</f>
        <v/>
      </c>
      <c r="AR179" t="n">
        <v>0</v>
      </c>
      <c r="AS179">
        <f>IF(OR(Vu_khi!$M$179="Missile",Vu_khi!$M$179="Drone",AND(Vu_khi!$M$179="Rocket",OR(Vu_khi!$AM$179,Vu_khi!$D$179="guided")),Vu_khi!$AL$179,Vu_khi!$AK$179,Vu_khi!$X$179&lt;=0),FALSE,IF($B$179&gt;=0,$B$179&gt;=4,IF(Vu_khi!$M$179="Shell",Vu_khi!$AN$179&gt;=Canh_bao_vong!$D$10,IF(Vu_khi!$M$179="Bomb",Vu_khi!$AN$179&gt;=Canh_bao_vong!$D$3,IF(Vu_khi!$M$179="Rocket",Vu_khi!$AN$179&gt;=Canh_bao_vong!$D$13,FALSE)))))</f>
        <v/>
      </c>
      <c r="AT179" t="b">
        <v>0</v>
      </c>
      <c r="AU179">
        <f>IF(AND($B$179&lt;0,$AS$179),4,$B$179)</f>
        <v/>
      </c>
      <c r="AV179" t="n">
        <v>3</v>
      </c>
      <c r="AW179">
        <f>IF($AU$179&lt;4,0,MIN(MAX(0.5,Canh_bao_vong!$D$4),MAX(IF(Vu_khi!$C$179="cal_406",Canh_bao_vong!$D$7,IF($AU$179&gt;=5,Canh_bao_vong!$D$9,Canh_bao_vong!$D$8)),Canh_bao_vong!$D$2+MAX(0,Vu_khi!$X$179)/MAX(0.1,Canh_bao_vong!$D$5))))</f>
        <v/>
      </c>
      <c r="AX179" t="n">
        <v>0</v>
      </c>
      <c r="AY179" t="inlineStr"/>
      <c r="AZ179" t="inlineStr">
        <is>
          <t>ok</t>
        </is>
      </c>
      <c r="BA179" t="inlineStr"/>
      <c r="BB179" t="inlineStr">
        <is>
          <t>Assets/MachineBrigade/Resources/Data/balance.json: weapons[id=maverick] (lớp B trên 01_chien_dau/Vu_khi)</t>
        </is>
      </c>
      <c r="BC179" t="inlineStr"/>
    </row>
    <row r="180">
      <c r="A180" t="inlineStr">
        <is>
          <t>mg_coax</t>
        </is>
      </c>
      <c r="B180" t="n">
        <v>0</v>
      </c>
      <c r="C180">
        <f>IF(Vu_khi!$O$180="SIMULTANEOUS",MAX(1,Vu_khi!$N$180),1)</f>
        <v/>
      </c>
      <c r="D180" t="n">
        <v>1</v>
      </c>
      <c r="E180">
        <f>IF(Vu_khi!$S$180&gt;0,Vu_khi!$S$180,Vu_khi!$P$180*$C$180)</f>
        <v/>
      </c>
      <c r="F180" t="n">
        <v>100</v>
      </c>
      <c r="G180">
        <f>IF(Vu_khi!$S$180&gt;0,(Vu_khi!$S$180-1)*Vu_khi!$R$180+Vu_khi!$T$180,Vu_khi!$R$180+(Vu_khi!$P$180-1)*Vu_khi!$Q$180)</f>
        <v/>
      </c>
      <c r="H180" t="n">
        <v>12.33</v>
      </c>
      <c r="I180">
        <f>Vu_khi!$W$180*MAX(1,$E$180)</f>
        <v/>
      </c>
      <c r="J180" t="n">
        <v>550</v>
      </c>
      <c r="K180">
        <f>IF(Vu_khi!$V$180&gt;0,Vu_khi!$V$180,MIN(28,MAX(10,Vu_khi!$U$180*Vu_khi!$R$180*0.4)))</f>
        <v/>
      </c>
      <c r="L180" t="n">
        <v>10</v>
      </c>
      <c r="M180">
        <f>IF(Vu_khi!$W$180&lt;=0,0,IF(Vu_khi!$U$180&gt;0,$I$180*Vu_khi!$U$180/(MAX(0.05,$G$180)*Vu_khi!$U$180+$K$180),$I$180/MAX(0.05,$G$180)))</f>
        <v/>
      </c>
      <c r="N180" t="n">
        <v>44.6066504460665</v>
      </c>
      <c r="O180">
        <f>OR(Vu_khi!$AG$180,Vu_khi!$AB$180&gt;0,Vu_khi!$AH$180,Vu_khi!$M$180="Bomb",Vu_khi!$M$180="Drone")</f>
        <v/>
      </c>
      <c r="P180" t="b">
        <v>0</v>
      </c>
      <c r="Q180">
        <f>AND(NOT(Vu_khi!$AJ$180),OR(Vu_khi!$AC$180="Ground",Vu_khi!$AC$180="All"))</f>
        <v/>
      </c>
      <c r="R180" t="b">
        <v>1</v>
      </c>
      <c r="S180">
        <f>AND(NOT(Vu_khi!$AJ$180),OR(Vu_khi!$AC$180="Air",Vu_khi!$AC$180="All"))</f>
        <v/>
      </c>
      <c r="T180" t="b">
        <v>1</v>
      </c>
      <c r="U180">
        <f>INDEX(Bang_sat_thuong!$B$2:$B$7,MATCH(Vu_khi!$K$180,Bang_sat_thuong!$A$2:$A$7,0))</f>
        <v/>
      </c>
      <c r="V180" t="n">
        <v>1</v>
      </c>
      <c r="W180">
        <f>INDEX(Bang_sat_thuong!$C$2:$C$7,MATCH(Vu_khi!$K$180,Bang_sat_thuong!$A$2:$A$7,0))</f>
        <v/>
      </c>
      <c r="X180" t="n">
        <v>0.3</v>
      </c>
      <c r="Y180">
        <f>IF(AND(Vu_khi!$AI$180,Vu_khi!$K$180="HighExplosive"),MAX(He_so_toan_cuc!$D$2,INDEX(Bang_sat_thuong!$D$2:$D$7,MATCH(Vu_khi!$K$180,Bang_sat_thuong!$A$2:$A$7,0))),INDEX(Bang_sat_thuong!$D$2:$D$7,MATCH(Vu_khi!$K$180,Bang_sat_thuong!$A$2:$A$7,0)))</f>
        <v/>
      </c>
      <c r="Z180" t="n">
        <v>0.6</v>
      </c>
      <c r="AA180">
        <f>INDEX(Bang_xuyen_giap!$C$2:$C$7,MIN(6,MAX(1,IF($O$180,MAX(1,2-(Vu_khi!$L$180-0)),2-(Vu_khi!$L$180-0))+1)))</f>
        <v/>
      </c>
      <c r="AB180" t="n">
        <v>0.85</v>
      </c>
      <c r="AC180">
        <f>INDEX(Bang_xuyen_giap!$C$2:$C$7,MIN(6,MAX(1,IF($O$180,MAX(1,2-(Vu_khi!$L$180-2)),2-(Vu_khi!$L$180-2))+1)))</f>
        <v/>
      </c>
      <c r="AD180" t="n">
        <v>0.25</v>
      </c>
      <c r="AE180">
        <f>INDEX(Bang_xuyen_giap!$C$2:$C$7,MIN(6,MAX(1,IF($O$180,MAX(1,2-(Vu_khi!$L$180-4)),2-(Vu_khi!$L$180-4))+1)))</f>
        <v/>
      </c>
      <c r="AF180" t="n">
        <v>0.1</v>
      </c>
      <c r="AG180">
        <f>INDEX(Bang_xuyen_giap!$C$2:$C$7,MIN(6,MAX(1,MAX(1,2-(Vu_khi!$L$180-0))+1)))</f>
        <v/>
      </c>
      <c r="AH180" t="n">
        <v>0.85</v>
      </c>
      <c r="AI180">
        <f>IF($Q$180,$M$180*$AA$180*$U$180,0)</f>
        <v/>
      </c>
      <c r="AJ180" t="n">
        <v>37.91565287915652</v>
      </c>
      <c r="AK180">
        <f>IF($Q$180,$M$180*$AC$180*$U$180,0)</f>
        <v/>
      </c>
      <c r="AL180" t="n">
        <v>11.15166261151662</v>
      </c>
      <c r="AM180">
        <f>IF($Q$180,$M$180*$AE$180*$U$180,0)</f>
        <v/>
      </c>
      <c r="AN180" t="n">
        <v>4.46066504460665</v>
      </c>
      <c r="AO180">
        <f>IF($Q$180,$M$180*$AC$180*$Y$180,0)</f>
        <v/>
      </c>
      <c r="AP180" t="n">
        <v>6.690997566909974</v>
      </c>
      <c r="AQ180">
        <f>IF($S$180,$M$180*$AG$180*$W$180,0)</f>
        <v/>
      </c>
      <c r="AR180" t="n">
        <v>11.37469586374696</v>
      </c>
      <c r="AS180">
        <f>IF(OR(Vu_khi!$M$180="Missile",Vu_khi!$M$180="Drone",AND(Vu_khi!$M$180="Rocket",OR(Vu_khi!$AM$180,Vu_khi!$D$180="guided")),Vu_khi!$AL$180,Vu_khi!$AK$180,Vu_khi!$X$180&lt;=0),FALSE,IF($B$180&gt;=0,$B$180&gt;=4,IF(Vu_khi!$M$180="Shell",Vu_khi!$AN$180&gt;=Canh_bao_vong!$D$10,IF(Vu_khi!$M$180="Bomb",Vu_khi!$AN$180&gt;=Canh_bao_vong!$D$3,IF(Vu_khi!$M$180="Rocket",Vu_khi!$AN$180&gt;=Canh_bao_vong!$D$13,FALSE)))))</f>
        <v/>
      </c>
      <c r="AT180" t="b">
        <v>0</v>
      </c>
      <c r="AU180">
        <f>IF(AND($B$180&lt;0,$AS$180),4,$B$180)</f>
        <v/>
      </c>
      <c r="AV180" t="n">
        <v>0</v>
      </c>
      <c r="AW180">
        <f>IF($AU$180&lt;4,0,MIN(MAX(0.5,Canh_bao_vong!$D$4),MAX(IF(Vu_khi!$C$180="cal_406",Canh_bao_vong!$D$7,IF($AU$180&gt;=5,Canh_bao_vong!$D$9,Canh_bao_vong!$D$8)),Canh_bao_vong!$D$2+MAX(0,Vu_khi!$X$180)/MAX(0.1,Canh_bao_vong!$D$5))))</f>
        <v/>
      </c>
      <c r="AX180" t="n">
        <v>0</v>
      </c>
      <c r="AY180" t="n">
        <v>1.644</v>
      </c>
      <c r="AZ180" t="inlineStr">
        <is>
          <t>ok</t>
        </is>
      </c>
      <c r="BA180" t="inlineStr"/>
      <c r="BB180" t="inlineStr">
        <is>
          <t>Assets/MachineBrigade/Resources/Data/balance.json: weapons[id=mg_coax] (lớp B trên 01_chien_dau/Vu_khi)</t>
        </is>
      </c>
      <c r="BC180" t="inlineStr"/>
    </row>
    <row r="181">
      <c r="A181" t="inlineStr">
        <is>
          <t>mg_coax_long</t>
        </is>
      </c>
      <c r="B181" t="n">
        <v>0</v>
      </c>
      <c r="C181">
        <f>IF(Vu_khi!$O$181="SIMULTANEOUS",MAX(1,Vu_khi!$N$181),1)</f>
        <v/>
      </c>
      <c r="D181" t="n">
        <v>1</v>
      </c>
      <c r="E181">
        <f>IF(Vu_khi!$S$181&gt;0,Vu_khi!$S$181,Vu_khi!$P$181*$C$181)</f>
        <v/>
      </c>
      <c r="F181" t="n">
        <v>100</v>
      </c>
      <c r="G181">
        <f>IF(Vu_khi!$S$181&gt;0,(Vu_khi!$S$181-1)*Vu_khi!$R$181+Vu_khi!$T$181,Vu_khi!$R$181+(Vu_khi!$P$181-1)*Vu_khi!$Q$181)</f>
        <v/>
      </c>
      <c r="H181" t="n">
        <v>12.33</v>
      </c>
      <c r="I181">
        <f>Vu_khi!$W$181*MAX(1,$E$181)</f>
        <v/>
      </c>
      <c r="J181" t="n">
        <v>550</v>
      </c>
      <c r="K181">
        <f>IF(Vu_khi!$V$181&gt;0,Vu_khi!$V$181,MIN(28,MAX(10,Vu_khi!$U$181*Vu_khi!$R$181*0.4)))</f>
        <v/>
      </c>
      <c r="L181" t="n">
        <v>10</v>
      </c>
      <c r="M181">
        <f>IF(Vu_khi!$W$181&lt;=0,0,IF(Vu_khi!$U$181&gt;0,$I$181*Vu_khi!$U$181/(MAX(0.05,$G$181)*Vu_khi!$U$181+$K$181),$I$181/MAX(0.05,$G$181)))</f>
        <v/>
      </c>
      <c r="N181" t="n">
        <v>44.6066504460665</v>
      </c>
      <c r="O181">
        <f>OR(Vu_khi!$AG$181,Vu_khi!$AB$181&gt;0,Vu_khi!$AH$181,Vu_khi!$M$181="Bomb",Vu_khi!$M$181="Drone")</f>
        <v/>
      </c>
      <c r="P181" t="b">
        <v>0</v>
      </c>
      <c r="Q181">
        <f>AND(NOT(Vu_khi!$AJ$181),OR(Vu_khi!$AC$181="Ground",Vu_khi!$AC$181="All"))</f>
        <v/>
      </c>
      <c r="R181" t="b">
        <v>1</v>
      </c>
      <c r="S181">
        <f>AND(NOT(Vu_khi!$AJ$181),OR(Vu_khi!$AC$181="Air",Vu_khi!$AC$181="All"))</f>
        <v/>
      </c>
      <c r="T181" t="b">
        <v>1</v>
      </c>
      <c r="U181">
        <f>INDEX(Bang_sat_thuong!$B$2:$B$7,MATCH(Vu_khi!$K$181,Bang_sat_thuong!$A$2:$A$7,0))</f>
        <v/>
      </c>
      <c r="V181" t="n">
        <v>1</v>
      </c>
      <c r="W181">
        <f>INDEX(Bang_sat_thuong!$C$2:$C$7,MATCH(Vu_khi!$K$181,Bang_sat_thuong!$A$2:$A$7,0))</f>
        <v/>
      </c>
      <c r="X181" t="n">
        <v>0.3</v>
      </c>
      <c r="Y181">
        <f>IF(AND(Vu_khi!$AI$181,Vu_khi!$K$181="HighExplosive"),MAX(He_so_toan_cuc!$D$2,INDEX(Bang_sat_thuong!$D$2:$D$7,MATCH(Vu_khi!$K$181,Bang_sat_thuong!$A$2:$A$7,0))),INDEX(Bang_sat_thuong!$D$2:$D$7,MATCH(Vu_khi!$K$181,Bang_sat_thuong!$A$2:$A$7,0)))</f>
        <v/>
      </c>
      <c r="Z181" t="n">
        <v>0.6</v>
      </c>
      <c r="AA181">
        <f>INDEX(Bang_xuyen_giap!$C$2:$C$7,MIN(6,MAX(1,IF($O$181,MAX(1,2-(Vu_khi!$L$181-0)),2-(Vu_khi!$L$181-0))+1)))</f>
        <v/>
      </c>
      <c r="AB181" t="n">
        <v>0.85</v>
      </c>
      <c r="AC181">
        <f>INDEX(Bang_xuyen_giap!$C$2:$C$7,MIN(6,MAX(1,IF($O$181,MAX(1,2-(Vu_khi!$L$181-2)),2-(Vu_khi!$L$181-2))+1)))</f>
        <v/>
      </c>
      <c r="AD181" t="n">
        <v>0.25</v>
      </c>
      <c r="AE181">
        <f>INDEX(Bang_xuyen_giap!$C$2:$C$7,MIN(6,MAX(1,IF($O$181,MAX(1,2-(Vu_khi!$L$181-4)),2-(Vu_khi!$L$181-4))+1)))</f>
        <v/>
      </c>
      <c r="AF181" t="n">
        <v>0.1</v>
      </c>
      <c r="AG181">
        <f>INDEX(Bang_xuyen_giap!$C$2:$C$7,MIN(6,MAX(1,MAX(1,2-(Vu_khi!$L$181-0))+1)))</f>
        <v/>
      </c>
      <c r="AH181" t="n">
        <v>0.85</v>
      </c>
      <c r="AI181">
        <f>IF($Q$181,$M$181*$AA$181*$U$181,0)</f>
        <v/>
      </c>
      <c r="AJ181" t="n">
        <v>37.91565287915652</v>
      </c>
      <c r="AK181">
        <f>IF($Q$181,$M$181*$AC$181*$U$181,0)</f>
        <v/>
      </c>
      <c r="AL181" t="n">
        <v>11.15166261151662</v>
      </c>
      <c r="AM181">
        <f>IF($Q$181,$M$181*$AE$181*$U$181,0)</f>
        <v/>
      </c>
      <c r="AN181" t="n">
        <v>4.46066504460665</v>
      </c>
      <c r="AO181">
        <f>IF($Q$181,$M$181*$AC$181*$Y$181,0)</f>
        <v/>
      </c>
      <c r="AP181" t="n">
        <v>6.690997566909974</v>
      </c>
      <c r="AQ181">
        <f>IF($S$181,$M$181*$AG$181*$W$181,0)</f>
        <v/>
      </c>
      <c r="AR181" t="n">
        <v>11.37469586374696</v>
      </c>
      <c r="AS181">
        <f>IF(OR(Vu_khi!$M$181="Missile",Vu_khi!$M$181="Drone",AND(Vu_khi!$M$181="Rocket",OR(Vu_khi!$AM$181,Vu_khi!$D$181="guided")),Vu_khi!$AL$181,Vu_khi!$AK$181,Vu_khi!$X$181&lt;=0),FALSE,IF($B$181&gt;=0,$B$181&gt;=4,IF(Vu_khi!$M$181="Shell",Vu_khi!$AN$181&gt;=Canh_bao_vong!$D$10,IF(Vu_khi!$M$181="Bomb",Vu_khi!$AN$181&gt;=Canh_bao_vong!$D$3,IF(Vu_khi!$M$181="Rocket",Vu_khi!$AN$181&gt;=Canh_bao_vong!$D$13,FALSE)))))</f>
        <v/>
      </c>
      <c r="AT181" t="b">
        <v>0</v>
      </c>
      <c r="AU181">
        <f>IF(AND($B$181&lt;0,$AS$181),4,$B$181)</f>
        <v/>
      </c>
      <c r="AV181" t="n">
        <v>0</v>
      </c>
      <c r="AW181">
        <f>IF($AU$181&lt;4,0,MIN(MAX(0.5,Canh_bao_vong!$D$4),MAX(IF(Vu_khi!$C$181="cal_406",Canh_bao_vong!$D$7,IF($AU$181&gt;=5,Canh_bao_vong!$D$9,Canh_bao_vong!$D$8)),Canh_bao_vong!$D$2+MAX(0,Vu_khi!$X$181)/MAX(0.1,Canh_bao_vong!$D$5))))</f>
        <v/>
      </c>
      <c r="AX181" t="n">
        <v>0</v>
      </c>
      <c r="AY181" t="n">
        <v>1.644</v>
      </c>
      <c r="AZ181" t="inlineStr">
        <is>
          <t>ok</t>
        </is>
      </c>
      <c r="BA181" t="inlineStr"/>
      <c r="BB181" t="inlineStr">
        <is>
          <t>Assets/MachineBrigade/Resources/Data/balance.json: weapons[id=mg_coax_long] (lớp B trên 01_chien_dau/Vu_khi)</t>
        </is>
      </c>
      <c r="BC181" t="inlineStr"/>
    </row>
    <row r="182">
      <c r="A182" t="inlineStr">
        <is>
          <t>mg_jeep</t>
        </is>
      </c>
      <c r="B182" t="n">
        <v>0</v>
      </c>
      <c r="C182">
        <f>IF(Vu_khi!$O$182="SIMULTANEOUS",MAX(1,Vu_khi!$N$182),1)</f>
        <v/>
      </c>
      <c r="D182" t="n">
        <v>1</v>
      </c>
      <c r="E182">
        <f>IF(Vu_khi!$S$182&gt;0,Vu_khi!$S$182,Vu_khi!$P$182*$C$182)</f>
        <v/>
      </c>
      <c r="F182" t="n">
        <v>100</v>
      </c>
      <c r="G182">
        <f>IF(Vu_khi!$S$182&gt;0,(Vu_khi!$S$182-1)*Vu_khi!$R$182+Vu_khi!$T$182,Vu_khi!$R$182+(Vu_khi!$P$182-1)*Vu_khi!$Q$182)</f>
        <v/>
      </c>
      <c r="H182" t="n">
        <v>16.11</v>
      </c>
      <c r="I182">
        <f>Vu_khi!$W$182*MAX(1,$E$182)</f>
        <v/>
      </c>
      <c r="J182" t="n">
        <v>950</v>
      </c>
      <c r="K182">
        <f>IF(Vu_khi!$V$182&gt;0,Vu_khi!$V$182,MIN(28,MAX(10,Vu_khi!$U$182*Vu_khi!$R$182*0.4)))</f>
        <v/>
      </c>
      <c r="L182" t="n">
        <v>10</v>
      </c>
      <c r="M182">
        <f>IF(Vu_khi!$W$182&lt;=0,0,IF(Vu_khi!$U$182&gt;0,$I$182*Vu_khi!$U$182/(MAX(0.05,$G$182)*Vu_khi!$U$182+$K$182),$I$182/MAX(0.05,$G$182)))</f>
        <v/>
      </c>
      <c r="N182" t="n">
        <v>58.96958410924891</v>
      </c>
      <c r="O182">
        <f>OR(Vu_khi!$AG$182,Vu_khi!$AB$182&gt;0,Vu_khi!$AH$182,Vu_khi!$M$182="Bomb",Vu_khi!$M$182="Drone")</f>
        <v/>
      </c>
      <c r="P182" t="b">
        <v>0</v>
      </c>
      <c r="Q182">
        <f>AND(NOT(Vu_khi!$AJ$182),OR(Vu_khi!$AC$182="Ground",Vu_khi!$AC$182="All"))</f>
        <v/>
      </c>
      <c r="R182" t="b">
        <v>1</v>
      </c>
      <c r="S182">
        <f>AND(NOT(Vu_khi!$AJ$182),OR(Vu_khi!$AC$182="Air",Vu_khi!$AC$182="All"))</f>
        <v/>
      </c>
      <c r="T182" t="b">
        <v>1</v>
      </c>
      <c r="U182">
        <f>INDEX(Bang_sat_thuong!$B$2:$B$7,MATCH(Vu_khi!$K$182,Bang_sat_thuong!$A$2:$A$7,0))</f>
        <v/>
      </c>
      <c r="V182" t="n">
        <v>1</v>
      </c>
      <c r="W182">
        <f>INDEX(Bang_sat_thuong!$C$2:$C$7,MATCH(Vu_khi!$K$182,Bang_sat_thuong!$A$2:$A$7,0))</f>
        <v/>
      </c>
      <c r="X182" t="n">
        <v>0.3</v>
      </c>
      <c r="Y182">
        <f>IF(AND(Vu_khi!$AI$182,Vu_khi!$K$182="HighExplosive"),MAX(He_so_toan_cuc!$D$2,INDEX(Bang_sat_thuong!$D$2:$D$7,MATCH(Vu_khi!$K$182,Bang_sat_thuong!$A$2:$A$7,0))),INDEX(Bang_sat_thuong!$D$2:$D$7,MATCH(Vu_khi!$K$182,Bang_sat_thuong!$A$2:$A$7,0)))</f>
        <v/>
      </c>
      <c r="Z182" t="n">
        <v>0.6</v>
      </c>
      <c r="AA182">
        <f>INDEX(Bang_xuyen_giap!$C$2:$C$7,MIN(6,MAX(1,IF($O$182,MAX(1,2-(Vu_khi!$L$182-0)),2-(Vu_khi!$L$182-0))+1)))</f>
        <v/>
      </c>
      <c r="AB182" t="n">
        <v>1</v>
      </c>
      <c r="AC182">
        <f>INDEX(Bang_xuyen_giap!$C$2:$C$7,MIN(6,MAX(1,IF($O$182,MAX(1,2-(Vu_khi!$L$182-2)),2-(Vu_khi!$L$182-2))+1)))</f>
        <v/>
      </c>
      <c r="AD182" t="n">
        <v>0.5</v>
      </c>
      <c r="AE182">
        <f>INDEX(Bang_xuyen_giap!$C$2:$C$7,MIN(6,MAX(1,IF($O$182,MAX(1,2-(Vu_khi!$L$182-4)),2-(Vu_khi!$L$182-4))+1)))</f>
        <v/>
      </c>
      <c r="AF182" t="n">
        <v>0.1</v>
      </c>
      <c r="AG182">
        <f>INDEX(Bang_xuyen_giap!$C$2:$C$7,MIN(6,MAX(1,MAX(1,2-(Vu_khi!$L$182-0))+1)))</f>
        <v/>
      </c>
      <c r="AH182" t="n">
        <v>1</v>
      </c>
      <c r="AI182">
        <f>IF($Q$182,$M$182*$AA$182*$U$182,0)</f>
        <v/>
      </c>
      <c r="AJ182" t="n">
        <v>58.96958410924891</v>
      </c>
      <c r="AK182">
        <f>IF($Q$182,$M$182*$AC$182*$U$182,0)</f>
        <v/>
      </c>
      <c r="AL182" t="n">
        <v>29.48479205462446</v>
      </c>
      <c r="AM182">
        <f>IF($Q$182,$M$182*$AE$182*$U$182,0)</f>
        <v/>
      </c>
      <c r="AN182" t="n">
        <v>5.896958410924892</v>
      </c>
      <c r="AO182">
        <f>IF($Q$182,$M$182*$AC$182*$Y$182,0)</f>
        <v/>
      </c>
      <c r="AP182" t="n">
        <v>17.69087523277467</v>
      </c>
      <c r="AQ182">
        <f>IF($S$182,$M$182*$AG$182*$W$182,0)</f>
        <v/>
      </c>
      <c r="AR182" t="n">
        <v>17.69087523277467</v>
      </c>
      <c r="AS182">
        <f>IF(OR(Vu_khi!$M$182="Missile",Vu_khi!$M$182="Drone",AND(Vu_khi!$M$182="Rocket",OR(Vu_khi!$AM$182,Vu_khi!$D$182="guided")),Vu_khi!$AL$182,Vu_khi!$AK$182,Vu_khi!$X$182&lt;=0),FALSE,IF($B$182&gt;=0,$B$182&gt;=4,IF(Vu_khi!$M$182="Shell",Vu_khi!$AN$182&gt;=Canh_bao_vong!$D$10,IF(Vu_khi!$M$182="Bomb",Vu_khi!$AN$182&gt;=Canh_bao_vong!$D$3,IF(Vu_khi!$M$182="Rocket",Vu_khi!$AN$182&gt;=Canh_bao_vong!$D$13,FALSE)))))</f>
        <v/>
      </c>
      <c r="AT182" t="b">
        <v>0</v>
      </c>
      <c r="AU182">
        <f>IF(AND($B$182&lt;0,$AS$182),4,$B$182)</f>
        <v/>
      </c>
      <c r="AV182" t="n">
        <v>0</v>
      </c>
      <c r="AW182">
        <f>IF($AU$182&lt;4,0,MIN(MAX(0.5,Canh_bao_vong!$D$4),MAX(IF(Vu_khi!$C$182="cal_406",Canh_bao_vong!$D$7,IF($AU$182&gt;=5,Canh_bao_vong!$D$9,Canh_bao_vong!$D$8)),Canh_bao_vong!$D$2+MAX(0,Vu_khi!$X$182)/MAX(0.1,Canh_bao_vong!$D$5))))</f>
        <v/>
      </c>
      <c r="AX182" t="n">
        <v>0</v>
      </c>
      <c r="AY182" t="n">
        <v>1.611</v>
      </c>
      <c r="AZ182" t="inlineStr">
        <is>
          <t>ok</t>
        </is>
      </c>
      <c r="BA182" t="inlineStr"/>
      <c r="BB182" t="inlineStr">
        <is>
          <t>Assets/MachineBrigade/Resources/Data/balance.json: weapons[id=mg_jeep] (lớp B trên 01_chien_dau/Vu_khi)</t>
        </is>
      </c>
      <c r="BC182" t="inlineStr"/>
    </row>
    <row r="183">
      <c r="A183" t="inlineStr">
        <is>
          <t>mg_jeep_api</t>
        </is>
      </c>
      <c r="B183" t="n">
        <v>0</v>
      </c>
      <c r="C183">
        <f>IF(Vu_khi!$O$183="SIMULTANEOUS",MAX(1,Vu_khi!$N$183),1)</f>
        <v/>
      </c>
      <c r="D183" t="n">
        <v>1</v>
      </c>
      <c r="E183">
        <f>IF(Vu_khi!$S$183&gt;0,Vu_khi!$S$183,Vu_khi!$P$183*$C$183)</f>
        <v/>
      </c>
      <c r="F183" t="n">
        <v>100</v>
      </c>
      <c r="G183">
        <f>IF(Vu_khi!$S$183&gt;0,(Vu_khi!$S$183-1)*Vu_khi!$R$183+Vu_khi!$T$183,Vu_khi!$R$183+(Vu_khi!$P$183-1)*Vu_khi!$Q$183)</f>
        <v/>
      </c>
      <c r="H183" t="n">
        <v>16.11</v>
      </c>
      <c r="I183">
        <f>Vu_khi!$W$183*MAX(1,$E$183)</f>
        <v/>
      </c>
      <c r="J183" t="n">
        <v>950</v>
      </c>
      <c r="K183">
        <f>IF(Vu_khi!$V$183&gt;0,Vu_khi!$V$183,MIN(28,MAX(10,Vu_khi!$U$183*Vu_khi!$R$183*0.4)))</f>
        <v/>
      </c>
      <c r="L183" t="n">
        <v>10</v>
      </c>
      <c r="M183">
        <f>IF(Vu_khi!$W$183&lt;=0,0,IF(Vu_khi!$U$183&gt;0,$I$183*Vu_khi!$U$183/(MAX(0.05,$G$183)*Vu_khi!$U$183+$K$183),$I$183/MAX(0.05,$G$183)))</f>
        <v/>
      </c>
      <c r="N183" t="n">
        <v>58.96958410924891</v>
      </c>
      <c r="O183">
        <f>OR(Vu_khi!$AG$183,Vu_khi!$AB$183&gt;0,Vu_khi!$AH$183,Vu_khi!$M$183="Bomb",Vu_khi!$M$183="Drone")</f>
        <v/>
      </c>
      <c r="P183" t="b">
        <v>0</v>
      </c>
      <c r="Q183">
        <f>AND(NOT(Vu_khi!$AJ$183),OR(Vu_khi!$AC$183="Ground",Vu_khi!$AC$183="All"))</f>
        <v/>
      </c>
      <c r="R183" t="b">
        <v>1</v>
      </c>
      <c r="S183">
        <f>AND(NOT(Vu_khi!$AJ$183),OR(Vu_khi!$AC$183="Air",Vu_khi!$AC$183="All"))</f>
        <v/>
      </c>
      <c r="T183" t="b">
        <v>1</v>
      </c>
      <c r="U183">
        <f>INDEX(Bang_sat_thuong!$B$2:$B$7,MATCH(Vu_khi!$K$183,Bang_sat_thuong!$A$2:$A$7,0))</f>
        <v/>
      </c>
      <c r="V183" t="n">
        <v>1</v>
      </c>
      <c r="W183">
        <f>INDEX(Bang_sat_thuong!$C$2:$C$7,MATCH(Vu_khi!$K$183,Bang_sat_thuong!$A$2:$A$7,0))</f>
        <v/>
      </c>
      <c r="X183" t="n">
        <v>0.3</v>
      </c>
      <c r="Y183">
        <f>IF(AND(Vu_khi!$AI$183,Vu_khi!$K$183="HighExplosive"),MAX(He_so_toan_cuc!$D$2,INDEX(Bang_sat_thuong!$D$2:$D$7,MATCH(Vu_khi!$K$183,Bang_sat_thuong!$A$2:$A$7,0))),INDEX(Bang_sat_thuong!$D$2:$D$7,MATCH(Vu_khi!$K$183,Bang_sat_thuong!$A$2:$A$7,0)))</f>
        <v/>
      </c>
      <c r="Z183" t="n">
        <v>0.6</v>
      </c>
      <c r="AA183">
        <f>INDEX(Bang_xuyen_giap!$C$2:$C$7,MIN(6,MAX(1,IF($O$183,MAX(1,2-(Vu_khi!$L$183-0)),2-(Vu_khi!$L$183-0))+1)))</f>
        <v/>
      </c>
      <c r="AB183" t="n">
        <v>1.2</v>
      </c>
      <c r="AC183">
        <f>INDEX(Bang_xuyen_giap!$C$2:$C$7,MIN(6,MAX(1,IF($O$183,MAX(1,2-(Vu_khi!$L$183-2)),2-(Vu_khi!$L$183-2))+1)))</f>
        <v/>
      </c>
      <c r="AD183" t="n">
        <v>0.85</v>
      </c>
      <c r="AE183">
        <f>INDEX(Bang_xuyen_giap!$C$2:$C$7,MIN(6,MAX(1,IF($O$183,MAX(1,2-(Vu_khi!$L$183-4)),2-(Vu_khi!$L$183-4))+1)))</f>
        <v/>
      </c>
      <c r="AF183" t="n">
        <v>0.25</v>
      </c>
      <c r="AG183">
        <f>INDEX(Bang_xuyen_giap!$C$2:$C$7,MIN(6,MAX(1,MAX(1,2-(Vu_khi!$L$183-0))+1)))</f>
        <v/>
      </c>
      <c r="AH183" t="n">
        <v>1</v>
      </c>
      <c r="AI183">
        <f>IF($Q$183,$M$183*$AA$183*$U$183,0)</f>
        <v/>
      </c>
      <c r="AJ183" t="n">
        <v>70.76350093109869</v>
      </c>
      <c r="AK183">
        <f>IF($Q$183,$M$183*$AC$183*$U$183,0)</f>
        <v/>
      </c>
      <c r="AL183" t="n">
        <v>50.12414649286158</v>
      </c>
      <c r="AM183">
        <f>IF($Q$183,$M$183*$AE$183*$U$183,0)</f>
        <v/>
      </c>
      <c r="AN183" t="n">
        <v>14.74239602731223</v>
      </c>
      <c r="AO183">
        <f>IF($Q$183,$M$183*$AC$183*$Y$183,0)</f>
        <v/>
      </c>
      <c r="AP183" t="n">
        <v>30.07448789571695</v>
      </c>
      <c r="AQ183">
        <f>IF($S$183,$M$183*$AG$183*$W$183,0)</f>
        <v/>
      </c>
      <c r="AR183" t="n">
        <v>17.69087523277467</v>
      </c>
      <c r="AS183">
        <f>IF(OR(Vu_khi!$M$183="Missile",Vu_khi!$M$183="Drone",AND(Vu_khi!$M$183="Rocket",OR(Vu_khi!$AM$183,Vu_khi!$D$183="guided")),Vu_khi!$AL$183,Vu_khi!$AK$183,Vu_khi!$X$183&lt;=0),FALSE,IF($B$183&gt;=0,$B$183&gt;=4,IF(Vu_khi!$M$183="Shell",Vu_khi!$AN$183&gt;=Canh_bao_vong!$D$10,IF(Vu_khi!$M$183="Bomb",Vu_khi!$AN$183&gt;=Canh_bao_vong!$D$3,IF(Vu_khi!$M$183="Rocket",Vu_khi!$AN$183&gt;=Canh_bao_vong!$D$13,FALSE)))))</f>
        <v/>
      </c>
      <c r="AT183" t="b">
        <v>0</v>
      </c>
      <c r="AU183">
        <f>IF(AND($B$183&lt;0,$AS$183),4,$B$183)</f>
        <v/>
      </c>
      <c r="AV183" t="n">
        <v>0</v>
      </c>
      <c r="AW183">
        <f>IF($AU$183&lt;4,0,MIN(MAX(0.5,Canh_bao_vong!$D$4),MAX(IF(Vu_khi!$C$183="cal_406",Canh_bao_vong!$D$7,IF($AU$183&gt;=5,Canh_bao_vong!$D$9,Canh_bao_vong!$D$8)),Canh_bao_vong!$D$2+MAX(0,Vu_khi!$X$183)/MAX(0.1,Canh_bao_vong!$D$5))))</f>
        <v/>
      </c>
      <c r="AX183" t="n">
        <v>0</v>
      </c>
      <c r="BB183" t="inlineStr">
        <is>
          <t>Assets/MachineBrigade/Resources/Data/balance.json: weapons[id=mg_jeep_api] (lớp B trên 01_chien_dau/Vu_khi)</t>
        </is>
      </c>
      <c r="BC183" t="inlineStr"/>
    </row>
    <row r="184">
      <c r="A184" t="inlineStr">
        <is>
          <t>mg_jeep_selfdef</t>
        </is>
      </c>
      <c r="B184" t="n">
        <v>0</v>
      </c>
      <c r="C184">
        <f>IF(Vu_khi!$O$184="SIMULTANEOUS",MAX(1,Vu_khi!$N$184),1)</f>
        <v/>
      </c>
      <c r="D184" t="n">
        <v>1</v>
      </c>
      <c r="E184">
        <f>IF(Vu_khi!$S$184&gt;0,Vu_khi!$S$184,Vu_khi!$P$184*$C$184)</f>
        <v/>
      </c>
      <c r="F184" t="n">
        <v>100</v>
      </c>
      <c r="G184">
        <f>IF(Vu_khi!$S$184&gt;0,(Vu_khi!$S$184-1)*Vu_khi!$R$184+Vu_khi!$T$184,Vu_khi!$R$184+(Vu_khi!$P$184-1)*Vu_khi!$Q$184)</f>
        <v/>
      </c>
      <c r="H184" t="n">
        <v>16.11</v>
      </c>
      <c r="I184">
        <f>Vu_khi!$W$184*MAX(1,$E$184)</f>
        <v/>
      </c>
      <c r="J184" t="n">
        <v>950</v>
      </c>
      <c r="K184">
        <f>IF(Vu_khi!$V$184&gt;0,Vu_khi!$V$184,MIN(28,MAX(10,Vu_khi!$U$184*Vu_khi!$R$184*0.4)))</f>
        <v/>
      </c>
      <c r="L184" t="n">
        <v>10</v>
      </c>
      <c r="M184">
        <f>IF(Vu_khi!$W$184&lt;=0,0,IF(Vu_khi!$U$184&gt;0,$I$184*Vu_khi!$U$184/(MAX(0.05,$G$184)*Vu_khi!$U$184+$K$184),$I$184/MAX(0.05,$G$184)))</f>
        <v/>
      </c>
      <c r="N184" t="n">
        <v>58.96958410924891</v>
      </c>
      <c r="O184">
        <f>OR(Vu_khi!$AG$184,Vu_khi!$AB$184&gt;0,Vu_khi!$AH$184,Vu_khi!$M$184="Bomb",Vu_khi!$M$184="Drone")</f>
        <v/>
      </c>
      <c r="P184" t="b">
        <v>0</v>
      </c>
      <c r="Q184">
        <f>AND(NOT(Vu_khi!$AJ$184),OR(Vu_khi!$AC$184="Ground",Vu_khi!$AC$184="All"))</f>
        <v/>
      </c>
      <c r="R184" t="b">
        <v>1</v>
      </c>
      <c r="S184">
        <f>AND(NOT(Vu_khi!$AJ$184),OR(Vu_khi!$AC$184="Air",Vu_khi!$AC$184="All"))</f>
        <v/>
      </c>
      <c r="T184" t="b">
        <v>1</v>
      </c>
      <c r="U184">
        <f>INDEX(Bang_sat_thuong!$B$2:$B$7,MATCH(Vu_khi!$K$184,Bang_sat_thuong!$A$2:$A$7,0))</f>
        <v/>
      </c>
      <c r="V184" t="n">
        <v>1</v>
      </c>
      <c r="W184">
        <f>INDEX(Bang_sat_thuong!$C$2:$C$7,MATCH(Vu_khi!$K$184,Bang_sat_thuong!$A$2:$A$7,0))</f>
        <v/>
      </c>
      <c r="X184" t="n">
        <v>0.3</v>
      </c>
      <c r="Y184">
        <f>IF(AND(Vu_khi!$AI$184,Vu_khi!$K$184="HighExplosive"),MAX(He_so_toan_cuc!$D$2,INDEX(Bang_sat_thuong!$D$2:$D$7,MATCH(Vu_khi!$K$184,Bang_sat_thuong!$A$2:$A$7,0))),INDEX(Bang_sat_thuong!$D$2:$D$7,MATCH(Vu_khi!$K$184,Bang_sat_thuong!$A$2:$A$7,0)))</f>
        <v/>
      </c>
      <c r="Z184" t="n">
        <v>0.6</v>
      </c>
      <c r="AA184">
        <f>INDEX(Bang_xuyen_giap!$C$2:$C$7,MIN(6,MAX(1,IF($O$184,MAX(1,2-(Vu_khi!$L$184-0)),2-(Vu_khi!$L$184-0))+1)))</f>
        <v/>
      </c>
      <c r="AB184" t="n">
        <v>1</v>
      </c>
      <c r="AC184">
        <f>INDEX(Bang_xuyen_giap!$C$2:$C$7,MIN(6,MAX(1,IF($O$184,MAX(1,2-(Vu_khi!$L$184-2)),2-(Vu_khi!$L$184-2))+1)))</f>
        <v/>
      </c>
      <c r="AD184" t="n">
        <v>0.5</v>
      </c>
      <c r="AE184">
        <f>INDEX(Bang_xuyen_giap!$C$2:$C$7,MIN(6,MAX(1,IF($O$184,MAX(1,2-(Vu_khi!$L$184-4)),2-(Vu_khi!$L$184-4))+1)))</f>
        <v/>
      </c>
      <c r="AF184" t="n">
        <v>0.1</v>
      </c>
      <c r="AG184">
        <f>INDEX(Bang_xuyen_giap!$C$2:$C$7,MIN(6,MAX(1,MAX(1,2-(Vu_khi!$L$184-0))+1)))</f>
        <v/>
      </c>
      <c r="AH184" t="n">
        <v>1</v>
      </c>
      <c r="AI184">
        <f>IF($Q$184,$M$184*$AA$184*$U$184,0)</f>
        <v/>
      </c>
      <c r="AJ184" t="n">
        <v>58.96958410924891</v>
      </c>
      <c r="AK184">
        <f>IF($Q$184,$M$184*$AC$184*$U$184,0)</f>
        <v/>
      </c>
      <c r="AL184" t="n">
        <v>29.48479205462446</v>
      </c>
      <c r="AM184">
        <f>IF($Q$184,$M$184*$AE$184*$U$184,0)</f>
        <v/>
      </c>
      <c r="AN184" t="n">
        <v>5.896958410924892</v>
      </c>
      <c r="AO184">
        <f>IF($Q$184,$M$184*$AC$184*$Y$184,0)</f>
        <v/>
      </c>
      <c r="AP184" t="n">
        <v>17.69087523277467</v>
      </c>
      <c r="AQ184">
        <f>IF($S$184,$M$184*$AG$184*$W$184,0)</f>
        <v/>
      </c>
      <c r="AR184" t="n">
        <v>17.69087523277467</v>
      </c>
      <c r="AS184">
        <f>IF(OR(Vu_khi!$M$184="Missile",Vu_khi!$M$184="Drone",AND(Vu_khi!$M$184="Rocket",OR(Vu_khi!$AM$184,Vu_khi!$D$184="guided")),Vu_khi!$AL$184,Vu_khi!$AK$184,Vu_khi!$X$184&lt;=0),FALSE,IF($B$184&gt;=0,$B$184&gt;=4,IF(Vu_khi!$M$184="Shell",Vu_khi!$AN$184&gt;=Canh_bao_vong!$D$10,IF(Vu_khi!$M$184="Bomb",Vu_khi!$AN$184&gt;=Canh_bao_vong!$D$3,IF(Vu_khi!$M$184="Rocket",Vu_khi!$AN$184&gt;=Canh_bao_vong!$D$13,FALSE)))))</f>
        <v/>
      </c>
      <c r="AT184" t="b">
        <v>0</v>
      </c>
      <c r="AU184">
        <f>IF(AND($B$184&lt;0,$AS$184),4,$B$184)</f>
        <v/>
      </c>
      <c r="AV184" t="n">
        <v>0</v>
      </c>
      <c r="AW184">
        <f>IF($AU$184&lt;4,0,MIN(MAX(0.5,Canh_bao_vong!$D$4),MAX(IF(Vu_khi!$C$184="cal_406",Canh_bao_vong!$D$7,IF($AU$184&gt;=5,Canh_bao_vong!$D$9,Canh_bao_vong!$D$8)),Canh_bao_vong!$D$2+MAX(0,Vu_khi!$X$184)/MAX(0.1,Canh_bao_vong!$D$5))))</f>
        <v/>
      </c>
      <c r="AX184" t="n">
        <v>0</v>
      </c>
      <c r="AY184" t="n">
        <v>1.611</v>
      </c>
      <c r="AZ184" t="inlineStr">
        <is>
          <t>ok</t>
        </is>
      </c>
      <c r="BA184" t="inlineStr"/>
      <c r="BB184" t="inlineStr">
        <is>
          <t>Assets/MachineBrigade/Resources/Data/balance.json: weapons[id=mg_jeep_selfdef] (lớp B trên 01_chien_dau/Vu_khi)</t>
        </is>
      </c>
      <c r="BC184" t="inlineStr"/>
    </row>
    <row r="185">
      <c r="A185" t="inlineStr">
        <is>
          <t>mg_jeep_selfdef_api</t>
        </is>
      </c>
      <c r="B185" t="n">
        <v>0</v>
      </c>
      <c r="C185">
        <f>IF(Vu_khi!$O$185="SIMULTANEOUS",MAX(1,Vu_khi!$N$185),1)</f>
        <v/>
      </c>
      <c r="D185" t="n">
        <v>1</v>
      </c>
      <c r="E185">
        <f>IF(Vu_khi!$S$185&gt;0,Vu_khi!$S$185,Vu_khi!$P$185*$C$185)</f>
        <v/>
      </c>
      <c r="F185" t="n">
        <v>100</v>
      </c>
      <c r="G185">
        <f>IF(Vu_khi!$S$185&gt;0,(Vu_khi!$S$185-1)*Vu_khi!$R$185+Vu_khi!$T$185,Vu_khi!$R$185+(Vu_khi!$P$185-1)*Vu_khi!$Q$185)</f>
        <v/>
      </c>
      <c r="H185" t="n">
        <v>16.11</v>
      </c>
      <c r="I185">
        <f>Vu_khi!$W$185*MAX(1,$E$185)</f>
        <v/>
      </c>
      <c r="J185" t="n">
        <v>950</v>
      </c>
      <c r="K185">
        <f>IF(Vu_khi!$V$185&gt;0,Vu_khi!$V$185,MIN(28,MAX(10,Vu_khi!$U$185*Vu_khi!$R$185*0.4)))</f>
        <v/>
      </c>
      <c r="L185" t="n">
        <v>10</v>
      </c>
      <c r="M185">
        <f>IF(Vu_khi!$W$185&lt;=0,0,IF(Vu_khi!$U$185&gt;0,$I$185*Vu_khi!$U$185/(MAX(0.05,$G$185)*Vu_khi!$U$185+$K$185),$I$185/MAX(0.05,$G$185)))</f>
        <v/>
      </c>
      <c r="N185" t="n">
        <v>58.96958410924891</v>
      </c>
      <c r="O185">
        <f>OR(Vu_khi!$AG$185,Vu_khi!$AB$185&gt;0,Vu_khi!$AH$185,Vu_khi!$M$185="Bomb",Vu_khi!$M$185="Drone")</f>
        <v/>
      </c>
      <c r="P185" t="b">
        <v>0</v>
      </c>
      <c r="Q185">
        <f>AND(NOT(Vu_khi!$AJ$185),OR(Vu_khi!$AC$185="Ground",Vu_khi!$AC$185="All"))</f>
        <v/>
      </c>
      <c r="R185" t="b">
        <v>1</v>
      </c>
      <c r="S185">
        <f>AND(NOT(Vu_khi!$AJ$185),OR(Vu_khi!$AC$185="Air",Vu_khi!$AC$185="All"))</f>
        <v/>
      </c>
      <c r="T185" t="b">
        <v>1</v>
      </c>
      <c r="U185">
        <f>INDEX(Bang_sat_thuong!$B$2:$B$7,MATCH(Vu_khi!$K$185,Bang_sat_thuong!$A$2:$A$7,0))</f>
        <v/>
      </c>
      <c r="V185" t="n">
        <v>1</v>
      </c>
      <c r="W185">
        <f>INDEX(Bang_sat_thuong!$C$2:$C$7,MATCH(Vu_khi!$K$185,Bang_sat_thuong!$A$2:$A$7,0))</f>
        <v/>
      </c>
      <c r="X185" t="n">
        <v>0.3</v>
      </c>
      <c r="Y185">
        <f>IF(AND(Vu_khi!$AI$185,Vu_khi!$K$185="HighExplosive"),MAX(He_so_toan_cuc!$D$2,INDEX(Bang_sat_thuong!$D$2:$D$7,MATCH(Vu_khi!$K$185,Bang_sat_thuong!$A$2:$A$7,0))),INDEX(Bang_sat_thuong!$D$2:$D$7,MATCH(Vu_khi!$K$185,Bang_sat_thuong!$A$2:$A$7,0)))</f>
        <v/>
      </c>
      <c r="Z185" t="n">
        <v>0.6</v>
      </c>
      <c r="AA185">
        <f>INDEX(Bang_xuyen_giap!$C$2:$C$7,MIN(6,MAX(1,IF($O$185,MAX(1,2-(Vu_khi!$L$185-0)),2-(Vu_khi!$L$185-0))+1)))</f>
        <v/>
      </c>
      <c r="AB185" t="n">
        <v>1.2</v>
      </c>
      <c r="AC185">
        <f>INDEX(Bang_xuyen_giap!$C$2:$C$7,MIN(6,MAX(1,IF($O$185,MAX(1,2-(Vu_khi!$L$185-2)),2-(Vu_khi!$L$185-2))+1)))</f>
        <v/>
      </c>
      <c r="AD185" t="n">
        <v>0.85</v>
      </c>
      <c r="AE185">
        <f>INDEX(Bang_xuyen_giap!$C$2:$C$7,MIN(6,MAX(1,IF($O$185,MAX(1,2-(Vu_khi!$L$185-4)),2-(Vu_khi!$L$185-4))+1)))</f>
        <v/>
      </c>
      <c r="AF185" t="n">
        <v>0.25</v>
      </c>
      <c r="AG185">
        <f>INDEX(Bang_xuyen_giap!$C$2:$C$7,MIN(6,MAX(1,MAX(1,2-(Vu_khi!$L$185-0))+1)))</f>
        <v/>
      </c>
      <c r="AH185" t="n">
        <v>1</v>
      </c>
      <c r="AI185">
        <f>IF($Q$185,$M$185*$AA$185*$U$185,0)</f>
        <v/>
      </c>
      <c r="AJ185" t="n">
        <v>70.76350093109869</v>
      </c>
      <c r="AK185">
        <f>IF($Q$185,$M$185*$AC$185*$U$185,0)</f>
        <v/>
      </c>
      <c r="AL185" t="n">
        <v>50.12414649286158</v>
      </c>
      <c r="AM185">
        <f>IF($Q$185,$M$185*$AE$185*$U$185,0)</f>
        <v/>
      </c>
      <c r="AN185" t="n">
        <v>14.74239602731223</v>
      </c>
      <c r="AO185">
        <f>IF($Q$185,$M$185*$AC$185*$Y$185,0)</f>
        <v/>
      </c>
      <c r="AP185" t="n">
        <v>30.07448789571695</v>
      </c>
      <c r="AQ185">
        <f>IF($S$185,$M$185*$AG$185*$W$185,0)</f>
        <v/>
      </c>
      <c r="AR185" t="n">
        <v>17.69087523277467</v>
      </c>
      <c r="AS185">
        <f>IF(OR(Vu_khi!$M$185="Missile",Vu_khi!$M$185="Drone",AND(Vu_khi!$M$185="Rocket",OR(Vu_khi!$AM$185,Vu_khi!$D$185="guided")),Vu_khi!$AL$185,Vu_khi!$AK$185,Vu_khi!$X$185&lt;=0),FALSE,IF($B$185&gt;=0,$B$185&gt;=4,IF(Vu_khi!$M$185="Shell",Vu_khi!$AN$185&gt;=Canh_bao_vong!$D$10,IF(Vu_khi!$M$185="Bomb",Vu_khi!$AN$185&gt;=Canh_bao_vong!$D$3,IF(Vu_khi!$M$185="Rocket",Vu_khi!$AN$185&gt;=Canh_bao_vong!$D$13,FALSE)))))</f>
        <v/>
      </c>
      <c r="AT185" t="b">
        <v>0</v>
      </c>
      <c r="AU185">
        <f>IF(AND($B$185&lt;0,$AS$185),4,$B$185)</f>
        <v/>
      </c>
      <c r="AV185" t="n">
        <v>0</v>
      </c>
      <c r="AW185">
        <f>IF($AU$185&lt;4,0,MIN(MAX(0.5,Canh_bao_vong!$D$4),MAX(IF(Vu_khi!$C$185="cal_406",Canh_bao_vong!$D$7,IF($AU$185&gt;=5,Canh_bao_vong!$D$9,Canh_bao_vong!$D$8)),Canh_bao_vong!$D$2+MAX(0,Vu_khi!$X$185)/MAX(0.1,Canh_bao_vong!$D$5))))</f>
        <v/>
      </c>
      <c r="AX185" t="n">
        <v>0</v>
      </c>
      <c r="BB185" t="inlineStr">
        <is>
          <t>Assets/MachineBrigade/Resources/Data/balance.json: weapons[id=mg_jeep_selfdef_api] (lớp B trên 01_chien_dau/Vu_khi)</t>
        </is>
      </c>
      <c r="BC185" t="inlineStr"/>
    </row>
    <row r="186">
      <c r="A186" t="inlineStr">
        <is>
          <t>minigun</t>
        </is>
      </c>
      <c r="B186" t="n">
        <v>0</v>
      </c>
      <c r="C186">
        <f>IF(Vu_khi!$O$186="SIMULTANEOUS",MAX(1,Vu_khi!$N$186),1)</f>
        <v/>
      </c>
      <c r="D186" t="n">
        <v>1</v>
      </c>
      <c r="E186">
        <f>IF(Vu_khi!$S$186&gt;0,Vu_khi!$S$186,Vu_khi!$P$186*$C$186)</f>
        <v/>
      </c>
      <c r="F186" t="n">
        <v>200</v>
      </c>
      <c r="G186">
        <f>IF(Vu_khi!$S$186&gt;0,(Vu_khi!$S$186-1)*Vu_khi!$R$186+Vu_khi!$T$186,Vu_khi!$R$186+(Vu_khi!$P$186-1)*Vu_khi!$Q$186)</f>
        <v/>
      </c>
      <c r="H186" t="n">
        <v>8</v>
      </c>
      <c r="I186">
        <f>Vu_khi!$W$186*MAX(1,$E$186)</f>
        <v/>
      </c>
      <c r="J186" t="n">
        <v>1100</v>
      </c>
      <c r="K186">
        <f>IF(Vu_khi!$V$186&gt;0,Vu_khi!$V$186,MIN(28,MAX(10,Vu_khi!$U$186*Vu_khi!$R$186*0.4)))</f>
        <v/>
      </c>
      <c r="L186" t="n">
        <v>10</v>
      </c>
      <c r="M186">
        <f>IF(Vu_khi!$W$186&lt;=0,0,IF(Vu_khi!$U$186&gt;0,$I$186*Vu_khi!$U$186/(MAX(0.05,$G$186)*Vu_khi!$U$186+$K$186),$I$186/MAX(0.05,$G$186)))</f>
        <v/>
      </c>
      <c r="N186" t="n">
        <v>137.5</v>
      </c>
      <c r="O186">
        <f>OR(Vu_khi!$AG$186,Vu_khi!$AB$186&gt;0,Vu_khi!$AH$186,Vu_khi!$M$186="Bomb",Vu_khi!$M$186="Drone")</f>
        <v/>
      </c>
      <c r="P186" t="b">
        <v>0</v>
      </c>
      <c r="Q186">
        <f>AND(NOT(Vu_khi!$AJ$186),OR(Vu_khi!$AC$186="Ground",Vu_khi!$AC$186="All"))</f>
        <v/>
      </c>
      <c r="R186" t="b">
        <v>1</v>
      </c>
      <c r="S186">
        <f>AND(NOT(Vu_khi!$AJ$186),OR(Vu_khi!$AC$186="Air",Vu_khi!$AC$186="All"))</f>
        <v/>
      </c>
      <c r="T186" t="b">
        <v>1</v>
      </c>
      <c r="U186">
        <f>INDEX(Bang_sat_thuong!$B$2:$B$7,MATCH(Vu_khi!$K$186,Bang_sat_thuong!$A$2:$A$7,0))</f>
        <v/>
      </c>
      <c r="V186" t="n">
        <v>1</v>
      </c>
      <c r="W186">
        <f>INDEX(Bang_sat_thuong!$C$2:$C$7,MATCH(Vu_khi!$K$186,Bang_sat_thuong!$A$2:$A$7,0))</f>
        <v/>
      </c>
      <c r="X186" t="n">
        <v>0.3</v>
      </c>
      <c r="Y186">
        <f>IF(AND(Vu_khi!$AI$186,Vu_khi!$K$186="HighExplosive"),MAX(He_so_toan_cuc!$D$2,INDEX(Bang_sat_thuong!$D$2:$D$7,MATCH(Vu_khi!$K$186,Bang_sat_thuong!$A$2:$A$7,0))),INDEX(Bang_sat_thuong!$D$2:$D$7,MATCH(Vu_khi!$K$186,Bang_sat_thuong!$A$2:$A$7,0)))</f>
        <v/>
      </c>
      <c r="Z186" t="n">
        <v>0.6</v>
      </c>
      <c r="AA186">
        <f>INDEX(Bang_xuyen_giap!$C$2:$C$7,MIN(6,MAX(1,IF($O$186,MAX(1,2-(Vu_khi!$L$186-0)),2-(Vu_khi!$L$186-0))+1)))</f>
        <v/>
      </c>
      <c r="AB186" t="n">
        <v>0.85</v>
      </c>
      <c r="AC186">
        <f>INDEX(Bang_xuyen_giap!$C$2:$C$7,MIN(6,MAX(1,IF($O$186,MAX(1,2-(Vu_khi!$L$186-2)),2-(Vu_khi!$L$186-2))+1)))</f>
        <v/>
      </c>
      <c r="AD186" t="n">
        <v>0.25</v>
      </c>
      <c r="AE186">
        <f>INDEX(Bang_xuyen_giap!$C$2:$C$7,MIN(6,MAX(1,IF($O$186,MAX(1,2-(Vu_khi!$L$186-4)),2-(Vu_khi!$L$186-4))+1)))</f>
        <v/>
      </c>
      <c r="AF186" t="n">
        <v>0.1</v>
      </c>
      <c r="AG186">
        <f>INDEX(Bang_xuyen_giap!$C$2:$C$7,MIN(6,MAX(1,MAX(1,2-(Vu_khi!$L$186-0))+1)))</f>
        <v/>
      </c>
      <c r="AH186" t="n">
        <v>0.85</v>
      </c>
      <c r="AI186">
        <f>IF($Q$186,$M$186*$AA$186*$U$186,0)</f>
        <v/>
      </c>
      <c r="AJ186" t="n">
        <v>116.875</v>
      </c>
      <c r="AK186">
        <f>IF($Q$186,$M$186*$AC$186*$U$186,0)</f>
        <v/>
      </c>
      <c r="AL186" t="n">
        <v>34.375</v>
      </c>
      <c r="AM186">
        <f>IF($Q$186,$M$186*$AE$186*$U$186,0)</f>
        <v/>
      </c>
      <c r="AN186" t="n">
        <v>13.75</v>
      </c>
      <c r="AO186">
        <f>IF($Q$186,$M$186*$AC$186*$Y$186,0)</f>
        <v/>
      </c>
      <c r="AP186" t="n">
        <v>20.625</v>
      </c>
      <c r="AQ186">
        <f>IF($S$186,$M$186*$AG$186*$W$186,0)</f>
        <v/>
      </c>
      <c r="AR186" t="n">
        <v>35.0625</v>
      </c>
      <c r="AS186">
        <f>IF(OR(Vu_khi!$M$186="Missile",Vu_khi!$M$186="Drone",AND(Vu_khi!$M$186="Rocket",OR(Vu_khi!$AM$186,Vu_khi!$D$186="guided")),Vu_khi!$AL$186,Vu_khi!$AK$186,Vu_khi!$X$186&lt;=0),FALSE,IF($B$186&gt;=0,$B$186&gt;=4,IF(Vu_khi!$M$186="Shell",Vu_khi!$AN$186&gt;=Canh_bao_vong!$D$10,IF(Vu_khi!$M$186="Bomb",Vu_khi!$AN$186&gt;=Canh_bao_vong!$D$3,IF(Vu_khi!$M$186="Rocket",Vu_khi!$AN$186&gt;=Canh_bao_vong!$D$13,FALSE)))))</f>
        <v/>
      </c>
      <c r="AT186" t="b">
        <v>0</v>
      </c>
      <c r="AU186">
        <f>IF(AND($B$186&lt;0,$AS$186),4,$B$186)</f>
        <v/>
      </c>
      <c r="AV186" t="n">
        <v>0</v>
      </c>
      <c r="AW186">
        <f>IF($AU$186&lt;4,0,MIN(MAX(0.5,Canh_bao_vong!$D$4),MAX(IF(Vu_khi!$C$186="cal_406",Canh_bao_vong!$D$7,IF($AU$186&gt;=5,Canh_bao_vong!$D$9,Canh_bao_vong!$D$8)),Canh_bao_vong!$D$2+MAX(0,Vu_khi!$X$186)/MAX(0.1,Canh_bao_vong!$D$5))))</f>
        <v/>
      </c>
      <c r="AX186" t="n">
        <v>0</v>
      </c>
      <c r="AY186" t="n">
        <v>4</v>
      </c>
      <c r="AZ186" t="inlineStr">
        <is>
          <t>ok</t>
        </is>
      </c>
      <c r="BA186" t="inlineStr"/>
      <c r="BB186" t="inlineStr">
        <is>
          <t>Assets/MachineBrigade/Resources/Data/balance.json: weapons[id=minigun] (lớp B trên 01_chien_dau/Vu_khi)</t>
        </is>
      </c>
      <c r="BC186" t="inlineStr"/>
    </row>
    <row r="187">
      <c r="A187" t="inlineStr">
        <is>
          <t>missile_57e6</t>
        </is>
      </c>
      <c r="B187" t="n">
        <v>2</v>
      </c>
      <c r="C187">
        <f>IF(Vu_khi!$O$187="SIMULTANEOUS",MAX(1,Vu_khi!$N$187),1)</f>
        <v/>
      </c>
      <c r="D187" t="n">
        <v>1</v>
      </c>
      <c r="E187">
        <f>IF(Vu_khi!$S$187&gt;0,Vu_khi!$S$187,Vu_khi!$P$187*$C$187)</f>
        <v/>
      </c>
      <c r="F187" t="n">
        <v>1</v>
      </c>
      <c r="G187">
        <f>IF(Vu_khi!$S$187&gt;0,(Vu_khi!$S$187-1)*Vu_khi!$R$187+Vu_khi!$T$187,Vu_khi!$R$187+(Vu_khi!$P$187-1)*Vu_khi!$Q$187)</f>
        <v/>
      </c>
      <c r="H187" t="n">
        <v>4.452</v>
      </c>
      <c r="I187">
        <f>Vu_khi!$W$187*MAX(1,$E$187)</f>
        <v/>
      </c>
      <c r="J187" t="n">
        <v>220</v>
      </c>
      <c r="K187">
        <f>IF(Vu_khi!$V$187&gt;0,Vu_khi!$V$187,MIN(28,MAX(10,Vu_khi!$U$187*Vu_khi!$R$187*0.4)))</f>
        <v/>
      </c>
      <c r="L187" t="n">
        <v>10</v>
      </c>
      <c r="M187">
        <f>IF(Vu_khi!$W$187&lt;=0,0,IF(Vu_khi!$U$187&gt;0,$I$187*Vu_khi!$U$187/(MAX(0.05,$G$187)*Vu_khi!$U$187+$K$187),$I$187/MAX(0.05,$G$187)))</f>
        <v/>
      </c>
      <c r="N187" t="n">
        <v>49.41599281221923</v>
      </c>
      <c r="O187">
        <f>OR(Vu_khi!$AG$187,Vu_khi!$AB$187&gt;0,Vu_khi!$AH$187,Vu_khi!$M$187="Bomb",Vu_khi!$M$187="Drone")</f>
        <v/>
      </c>
      <c r="P187" t="b">
        <v>0</v>
      </c>
      <c r="Q187">
        <f>AND(NOT(Vu_khi!$AJ$187),OR(Vu_khi!$AC$187="Ground",Vu_khi!$AC$187="All"))</f>
        <v/>
      </c>
      <c r="R187" t="b">
        <v>0</v>
      </c>
      <c r="S187">
        <f>AND(NOT(Vu_khi!$AJ$187),OR(Vu_khi!$AC$187="Air",Vu_khi!$AC$187="All"))</f>
        <v/>
      </c>
      <c r="T187" t="b">
        <v>1</v>
      </c>
      <c r="U187">
        <f>INDEX(Bang_sat_thuong!$B$2:$B$7,MATCH(Vu_khi!$K$187,Bang_sat_thuong!$A$2:$A$7,0))</f>
        <v/>
      </c>
      <c r="V187" t="n">
        <v>0.5</v>
      </c>
      <c r="W187">
        <f>INDEX(Bang_sat_thuong!$C$2:$C$7,MATCH(Vu_khi!$K$187,Bang_sat_thuong!$A$2:$A$7,0))</f>
        <v/>
      </c>
      <c r="X187" t="n">
        <v>1.3</v>
      </c>
      <c r="Y187">
        <f>IF(AND(Vu_khi!$AI$187,Vu_khi!$K$187="HighExplosive"),MAX(He_so_toan_cuc!$D$2,INDEX(Bang_sat_thuong!$D$2:$D$7,MATCH(Vu_khi!$K$187,Bang_sat_thuong!$A$2:$A$7,0))),INDEX(Bang_sat_thuong!$D$2:$D$7,MATCH(Vu_khi!$K$187,Bang_sat_thuong!$A$2:$A$7,0)))</f>
        <v/>
      </c>
      <c r="Z187" t="n">
        <v>0.1</v>
      </c>
      <c r="AA187">
        <f>INDEX(Bang_xuyen_giap!$C$2:$C$7,MIN(6,MAX(1,IF($O$187,MAX(1,2-(Vu_khi!$L$187-0)),2-(Vu_khi!$L$187-0))+1)))</f>
        <v/>
      </c>
      <c r="AB187" t="n">
        <v>1.2</v>
      </c>
      <c r="AC187">
        <f>INDEX(Bang_xuyen_giap!$C$2:$C$7,MIN(6,MAX(1,IF($O$187,MAX(1,2-(Vu_khi!$L$187-2)),2-(Vu_khi!$L$187-2))+1)))</f>
        <v/>
      </c>
      <c r="AD187" t="n">
        <v>1</v>
      </c>
      <c r="AE187">
        <f>INDEX(Bang_xuyen_giap!$C$2:$C$7,MIN(6,MAX(1,IF($O$187,MAX(1,2-(Vu_khi!$L$187-4)),2-(Vu_khi!$L$187-4))+1)))</f>
        <v/>
      </c>
      <c r="AF187" t="n">
        <v>0.5</v>
      </c>
      <c r="AG187">
        <f>INDEX(Bang_xuyen_giap!$C$2:$C$7,MIN(6,MAX(1,MAX(1,2-(Vu_khi!$L$187-0))+1)))</f>
        <v/>
      </c>
      <c r="AH187" t="n">
        <v>1</v>
      </c>
      <c r="AI187">
        <f>IF($Q$187,$M$187*$AA$187*$U$187,0)</f>
        <v/>
      </c>
      <c r="AJ187" t="n">
        <v>0</v>
      </c>
      <c r="AK187">
        <f>IF($Q$187,$M$187*$AC$187*$U$187,0)</f>
        <v/>
      </c>
      <c r="AL187" t="n">
        <v>0</v>
      </c>
      <c r="AM187">
        <f>IF($Q$187,$M$187*$AE$187*$U$187,0)</f>
        <v/>
      </c>
      <c r="AN187" t="n">
        <v>0</v>
      </c>
      <c r="AO187">
        <f>IF($Q$187,$M$187*$AC$187*$Y$187,0)</f>
        <v/>
      </c>
      <c r="AP187" t="n">
        <v>0</v>
      </c>
      <c r="AQ187">
        <f>IF($S$187,$M$187*$AG$187*$W$187,0)</f>
        <v/>
      </c>
      <c r="AR187" t="n">
        <v>64.24079065588501</v>
      </c>
      <c r="AS187">
        <f>IF(OR(Vu_khi!$M$187="Missile",Vu_khi!$M$187="Drone",AND(Vu_khi!$M$187="Rocket",OR(Vu_khi!$AM$187,Vu_khi!$D$187="guided")),Vu_khi!$AL$187,Vu_khi!$AK$187,Vu_khi!$X$187&lt;=0),FALSE,IF($B$187&gt;=0,$B$187&gt;=4,IF(Vu_khi!$M$187="Shell",Vu_khi!$AN$187&gt;=Canh_bao_vong!$D$10,IF(Vu_khi!$M$187="Bomb",Vu_khi!$AN$187&gt;=Canh_bao_vong!$D$3,IF(Vu_khi!$M$187="Rocket",Vu_khi!$AN$187&gt;=Canh_bao_vong!$D$13,FALSE)))))</f>
        <v/>
      </c>
      <c r="AT187" t="b">
        <v>0</v>
      </c>
      <c r="AU187">
        <f>IF(AND($B$187&lt;0,$AS$187),4,$B$187)</f>
        <v/>
      </c>
      <c r="AV187" t="n">
        <v>2</v>
      </c>
      <c r="AW187">
        <f>IF($AU$187&lt;4,0,MIN(MAX(0.5,Canh_bao_vong!$D$4),MAX(IF(Vu_khi!$C$187="cal_406",Canh_bao_vong!$D$7,IF($AU$187&gt;=5,Canh_bao_vong!$D$9,Canh_bao_vong!$D$8)),Canh_bao_vong!$D$2+MAX(0,Vu_khi!$X$187)/MAX(0.1,Canh_bao_vong!$D$5))))</f>
        <v/>
      </c>
      <c r="AX187" t="n">
        <v>0</v>
      </c>
      <c r="AY187" t="n">
        <v>2.968</v>
      </c>
      <c r="AZ187" t="inlineStr">
        <is>
          <t>ok</t>
        </is>
      </c>
      <c r="BA187" t="inlineStr"/>
      <c r="BB187" t="inlineStr">
        <is>
          <t>Assets/MachineBrigade/Resources/Data/balance.json: weapons[id=missile_57e6] (lớp B trên 01_chien_dau/Vu_khi)</t>
        </is>
      </c>
      <c r="BC187" t="inlineStr"/>
    </row>
    <row r="188">
      <c r="A188" t="inlineStr">
        <is>
          <t>mlrs_elite</t>
        </is>
      </c>
      <c r="B188" t="n">
        <v>4</v>
      </c>
      <c r="C188">
        <f>IF(Vu_khi!$O$188="SIMULTANEOUS",MAX(1,Vu_khi!$N$188),1)</f>
        <v/>
      </c>
      <c r="D188" t="n">
        <v>1</v>
      </c>
      <c r="E188">
        <f>IF(Vu_khi!$S$188&gt;0,Vu_khi!$S$188,Vu_khi!$P$188*$C$188)</f>
        <v/>
      </c>
      <c r="F188" t="n">
        <v>5</v>
      </c>
      <c r="G188">
        <f>IF(Vu_khi!$S$188&gt;0,(Vu_khi!$S$188-1)*Vu_khi!$R$188+Vu_khi!$T$188,Vu_khi!$R$188+(Vu_khi!$P$188-1)*Vu_khi!$Q$188)</f>
        <v/>
      </c>
      <c r="H188" t="n">
        <v>10.246</v>
      </c>
      <c r="I188">
        <f>Vu_khi!$W$188*MAX(1,$E$188)</f>
        <v/>
      </c>
      <c r="J188" t="n">
        <v>525</v>
      </c>
      <c r="K188">
        <f>IF(Vu_khi!$V$188&gt;0,Vu_khi!$V$188,MIN(28,MAX(10,Vu_khi!$U$188*Vu_khi!$R$188*0.4)))</f>
        <v/>
      </c>
      <c r="L188" t="n">
        <v>19.93</v>
      </c>
      <c r="M188">
        <f>IF(Vu_khi!$W$188&lt;=0,0,IF(Vu_khi!$U$188&gt;0,$I$188*Vu_khi!$U$188/(MAX(0.05,$G$188)*Vu_khi!$U$188+$K$188),$I$188/MAX(0.05,$G$188)))</f>
        <v/>
      </c>
      <c r="N188" t="n">
        <v>38.69493649116772</v>
      </c>
      <c r="O188">
        <f>OR(Vu_khi!$AG$188,Vu_khi!$AB$188&gt;0,Vu_khi!$AH$188,Vu_khi!$M$188="Bomb",Vu_khi!$M$188="Drone")</f>
        <v/>
      </c>
      <c r="P188" t="b">
        <v>1</v>
      </c>
      <c r="Q188">
        <f>AND(NOT(Vu_khi!$AJ$188),OR(Vu_khi!$AC$188="Ground",Vu_khi!$AC$188="All"))</f>
        <v/>
      </c>
      <c r="R188" t="b">
        <v>1</v>
      </c>
      <c r="S188">
        <f>AND(NOT(Vu_khi!$AJ$188),OR(Vu_khi!$AC$188="Air",Vu_khi!$AC$188="All"))</f>
        <v/>
      </c>
      <c r="T188" t="b">
        <v>0</v>
      </c>
      <c r="U188">
        <f>INDEX(Bang_sat_thuong!$B$2:$B$7,MATCH(Vu_khi!$K$188,Bang_sat_thuong!$A$2:$A$7,0))</f>
        <v/>
      </c>
      <c r="V188" t="n">
        <v>1</v>
      </c>
      <c r="W188">
        <f>INDEX(Bang_sat_thuong!$C$2:$C$7,MATCH(Vu_khi!$K$188,Bang_sat_thuong!$A$2:$A$7,0))</f>
        <v/>
      </c>
      <c r="X188" t="n">
        <v>0</v>
      </c>
      <c r="Y188">
        <f>IF(AND(Vu_khi!$AI$188,Vu_khi!$K$188="HighExplosive"),MAX(He_so_toan_cuc!$D$2,INDEX(Bang_sat_thuong!$D$2:$D$7,MATCH(Vu_khi!$K$188,Bang_sat_thuong!$A$2:$A$7,0))),INDEX(Bang_sat_thuong!$D$2:$D$7,MATCH(Vu_khi!$K$188,Bang_sat_thuong!$A$2:$A$7,0)))</f>
        <v/>
      </c>
      <c r="Z188" t="n">
        <v>1.5</v>
      </c>
      <c r="AA188">
        <f>INDEX(Bang_xuyen_giap!$C$2:$C$7,MIN(6,MAX(1,IF($O$188,MAX(1,2-(Vu_khi!$L$188-0)),2-(Vu_khi!$L$188-0))+1)))</f>
        <v/>
      </c>
      <c r="AB188" t="n">
        <v>1</v>
      </c>
      <c r="AC188">
        <f>INDEX(Bang_xuyen_giap!$C$2:$C$7,MIN(6,MAX(1,IF($O$188,MAX(1,2-(Vu_khi!$L$188-2)),2-(Vu_khi!$L$188-2))+1)))</f>
        <v/>
      </c>
      <c r="AD188" t="n">
        <v>1</v>
      </c>
      <c r="AE188">
        <f>INDEX(Bang_xuyen_giap!$C$2:$C$7,MIN(6,MAX(1,IF($O$188,MAX(1,2-(Vu_khi!$L$188-4)),2-(Vu_khi!$L$188-4))+1)))</f>
        <v/>
      </c>
      <c r="AF188" t="n">
        <v>0.5</v>
      </c>
      <c r="AG188">
        <f>INDEX(Bang_xuyen_giap!$C$2:$C$7,MIN(6,MAX(1,MAX(1,2-(Vu_khi!$L$188-0))+1)))</f>
        <v/>
      </c>
      <c r="AH188" t="n">
        <v>1</v>
      </c>
      <c r="AI188">
        <f>IF($Q$188,$M$188*$AA$188*$U$188,0)</f>
        <v/>
      </c>
      <c r="AJ188" t="n">
        <v>38.69493649116772</v>
      </c>
      <c r="AK188">
        <f>IF($Q$188,$M$188*$AC$188*$U$188,0)</f>
        <v/>
      </c>
      <c r="AL188" t="n">
        <v>38.69493649116772</v>
      </c>
      <c r="AM188">
        <f>IF($Q$188,$M$188*$AE$188*$U$188,0)</f>
        <v/>
      </c>
      <c r="AN188" t="n">
        <v>19.34746824558386</v>
      </c>
      <c r="AO188">
        <f>IF($Q$188,$M$188*$AC$188*$Y$188,0)</f>
        <v/>
      </c>
      <c r="AP188" t="n">
        <v>58.04240473675159</v>
      </c>
      <c r="AQ188">
        <f>IF($S$188,$M$188*$AG$188*$W$188,0)</f>
        <v/>
      </c>
      <c r="AR188" t="n">
        <v>0</v>
      </c>
      <c r="AS188">
        <f>IF(OR(Vu_khi!$M$188="Missile",Vu_khi!$M$188="Drone",AND(Vu_khi!$M$188="Rocket",OR(Vu_khi!$AM$188,Vu_khi!$D$188="guided")),Vu_khi!$AL$188,Vu_khi!$AK$188,Vu_khi!$X$188&lt;=0),FALSE,IF($B$188&gt;=0,$B$188&gt;=4,IF(Vu_khi!$M$188="Shell",Vu_khi!$AN$188&gt;=Canh_bao_vong!$D$10,IF(Vu_khi!$M$188="Bomb",Vu_khi!$AN$188&gt;=Canh_bao_vong!$D$3,IF(Vu_khi!$M$188="Rocket",Vu_khi!$AN$188&gt;=Canh_bao_vong!$D$13,FALSE)))))</f>
        <v/>
      </c>
      <c r="AT188" t="b">
        <v>1</v>
      </c>
      <c r="AU188">
        <f>IF(AND($B$188&lt;0,$AS$188),4,$B$188)</f>
        <v/>
      </c>
      <c r="AV188" t="n">
        <v>4</v>
      </c>
      <c r="AW188">
        <f>IF($AU$188&lt;4,0,MIN(MAX(0.5,Canh_bao_vong!$D$4),MAX(IF(Vu_khi!$C$188="cal_406",Canh_bao_vong!$D$7,IF($AU$188&gt;=5,Canh_bao_vong!$D$9,Canh_bao_vong!$D$8)),Canh_bao_vong!$D$2+MAX(0,Vu_khi!$X$188)/MAX(0.1,Canh_bao_vong!$D$5))))</f>
        <v/>
      </c>
      <c r="AX188" t="n">
        <v>2.5</v>
      </c>
      <c r="AY188" t="n">
        <v>0.028</v>
      </c>
      <c r="AZ188" t="inlineStr">
        <is>
          <t>NHANH_QUA</t>
        </is>
      </c>
      <c r="BA188" t="inlineStr"/>
      <c r="BB188" t="inlineStr">
        <is>
          <t>Assets/MachineBrigade/Resources/Data/balance.json: weapons[id=mlrs_elite] (lớp B trên 01_chien_dau/Vu_khi)</t>
        </is>
      </c>
      <c r="BC188" t="inlineStr"/>
    </row>
    <row r="189">
      <c r="A189" t="inlineStr">
        <is>
          <t>mlrs_rockets</t>
        </is>
      </c>
      <c r="B189" t="n">
        <v>4</v>
      </c>
      <c r="C189">
        <f>IF(Vu_khi!$O$189="SIMULTANEOUS",MAX(1,Vu_khi!$N$189),1)</f>
        <v/>
      </c>
      <c r="D189" t="n">
        <v>1</v>
      </c>
      <c r="E189">
        <f>IF(Vu_khi!$S$189&gt;0,Vu_khi!$S$189,Vu_khi!$P$189*$C$189)</f>
        <v/>
      </c>
      <c r="F189" t="n">
        <v>5</v>
      </c>
      <c r="G189">
        <f>IF(Vu_khi!$S$189&gt;0,(Vu_khi!$S$189-1)*Vu_khi!$R$189+Vu_khi!$T$189,Vu_khi!$R$189+(Vu_khi!$P$189-1)*Vu_khi!$Q$189)</f>
        <v/>
      </c>
      <c r="H189" t="n">
        <v>11.144</v>
      </c>
      <c r="I189">
        <f>Vu_khi!$W$189*MAX(1,$E$189)</f>
        <v/>
      </c>
      <c r="J189" t="n">
        <v>500</v>
      </c>
      <c r="K189">
        <f>IF(Vu_khi!$V$189&gt;0,Vu_khi!$V$189,MIN(28,MAX(10,Vu_khi!$U$189*Vu_khi!$R$189*0.4)))</f>
        <v/>
      </c>
      <c r="L189" t="n">
        <v>15.53</v>
      </c>
      <c r="M189">
        <f>IF(Vu_khi!$W$189&lt;=0,0,IF(Vu_khi!$U$189&gt;0,$I$189*Vu_khi!$U$189/(MAX(0.05,$G$189)*Vu_khi!$U$189+$K$189),$I$189/MAX(0.05,$G$189)))</f>
        <v/>
      </c>
      <c r="N189" t="n">
        <v>33.27454829800686</v>
      </c>
      <c r="O189">
        <f>OR(Vu_khi!$AG$189,Vu_khi!$AB$189&gt;0,Vu_khi!$AH$189,Vu_khi!$M$189="Bomb",Vu_khi!$M$189="Drone")</f>
        <v/>
      </c>
      <c r="P189" t="b">
        <v>1</v>
      </c>
      <c r="Q189">
        <f>AND(NOT(Vu_khi!$AJ$189),OR(Vu_khi!$AC$189="Ground",Vu_khi!$AC$189="All"))</f>
        <v/>
      </c>
      <c r="R189" t="b">
        <v>1</v>
      </c>
      <c r="S189">
        <f>AND(NOT(Vu_khi!$AJ$189),OR(Vu_khi!$AC$189="Air",Vu_khi!$AC$189="All"))</f>
        <v/>
      </c>
      <c r="T189" t="b">
        <v>0</v>
      </c>
      <c r="U189">
        <f>INDEX(Bang_sat_thuong!$B$2:$B$7,MATCH(Vu_khi!$K$189,Bang_sat_thuong!$A$2:$A$7,0))</f>
        <v/>
      </c>
      <c r="V189" t="n">
        <v>1</v>
      </c>
      <c r="W189">
        <f>INDEX(Bang_sat_thuong!$C$2:$C$7,MATCH(Vu_khi!$K$189,Bang_sat_thuong!$A$2:$A$7,0))</f>
        <v/>
      </c>
      <c r="X189" t="n">
        <v>0</v>
      </c>
      <c r="Y189">
        <f>IF(AND(Vu_khi!$AI$189,Vu_khi!$K$189="HighExplosive"),MAX(He_so_toan_cuc!$D$2,INDEX(Bang_sat_thuong!$D$2:$D$7,MATCH(Vu_khi!$K$189,Bang_sat_thuong!$A$2:$A$7,0))),INDEX(Bang_sat_thuong!$D$2:$D$7,MATCH(Vu_khi!$K$189,Bang_sat_thuong!$A$2:$A$7,0)))</f>
        <v/>
      </c>
      <c r="Z189" t="n">
        <v>1.5</v>
      </c>
      <c r="AA189">
        <f>INDEX(Bang_xuyen_giap!$C$2:$C$7,MIN(6,MAX(1,IF($O$189,MAX(1,2-(Vu_khi!$L$189-0)),2-(Vu_khi!$L$189-0))+1)))</f>
        <v/>
      </c>
      <c r="AB189" t="n">
        <v>1</v>
      </c>
      <c r="AC189">
        <f>INDEX(Bang_xuyen_giap!$C$2:$C$7,MIN(6,MAX(1,IF($O$189,MAX(1,2-(Vu_khi!$L$189-2)),2-(Vu_khi!$L$189-2))+1)))</f>
        <v/>
      </c>
      <c r="AD189" t="n">
        <v>1</v>
      </c>
      <c r="AE189">
        <f>INDEX(Bang_xuyen_giap!$C$2:$C$7,MIN(6,MAX(1,IF($O$189,MAX(1,2-(Vu_khi!$L$189-4)),2-(Vu_khi!$L$189-4))+1)))</f>
        <v/>
      </c>
      <c r="AF189" t="n">
        <v>0.5</v>
      </c>
      <c r="AG189">
        <f>INDEX(Bang_xuyen_giap!$C$2:$C$7,MIN(6,MAX(1,MAX(1,2-(Vu_khi!$L$189-0))+1)))</f>
        <v/>
      </c>
      <c r="AH189" t="n">
        <v>1</v>
      </c>
      <c r="AI189">
        <f>IF($Q$189,$M$189*$AA$189*$U$189,0)</f>
        <v/>
      </c>
      <c r="AJ189" t="n">
        <v>33.27454829800686</v>
      </c>
      <c r="AK189">
        <f>IF($Q$189,$M$189*$AC$189*$U$189,0)</f>
        <v/>
      </c>
      <c r="AL189" t="n">
        <v>33.27454829800686</v>
      </c>
      <c r="AM189">
        <f>IF($Q$189,$M$189*$AE$189*$U$189,0)</f>
        <v/>
      </c>
      <c r="AN189" t="n">
        <v>16.63727414900343</v>
      </c>
      <c r="AO189">
        <f>IF($Q$189,$M$189*$AC$189*$Y$189,0)</f>
        <v/>
      </c>
      <c r="AP189" t="n">
        <v>49.91182244701028</v>
      </c>
      <c r="AQ189">
        <f>IF($S$189,$M$189*$AG$189*$W$189,0)</f>
        <v/>
      </c>
      <c r="AR189" t="n">
        <v>0</v>
      </c>
      <c r="AS189">
        <f>IF(OR(Vu_khi!$M$189="Missile",Vu_khi!$M$189="Drone",AND(Vu_khi!$M$189="Rocket",OR(Vu_khi!$AM$189,Vu_khi!$D$189="guided")),Vu_khi!$AL$189,Vu_khi!$AK$189,Vu_khi!$X$189&lt;=0),FALSE,IF($B$189&gt;=0,$B$189&gt;=4,IF(Vu_khi!$M$189="Shell",Vu_khi!$AN$189&gt;=Canh_bao_vong!$D$10,IF(Vu_khi!$M$189="Bomb",Vu_khi!$AN$189&gt;=Canh_bao_vong!$D$3,IF(Vu_khi!$M$189="Rocket",Vu_khi!$AN$189&gt;=Canh_bao_vong!$D$13,FALSE)))))</f>
        <v/>
      </c>
      <c r="AT189" t="b">
        <v>1</v>
      </c>
      <c r="AU189">
        <f>IF(AND($B$189&lt;0,$AS$189),4,$B$189)</f>
        <v/>
      </c>
      <c r="AV189" t="n">
        <v>4</v>
      </c>
      <c r="AW189">
        <f>IF($AU$189&lt;4,0,MIN(MAX(0.5,Canh_bao_vong!$D$4),MAX(IF(Vu_khi!$C$189="cal_406",Canh_bao_vong!$D$7,IF($AU$189&gt;=5,Canh_bao_vong!$D$9,Canh_bao_vong!$D$8)),Canh_bao_vong!$D$2+MAX(0,Vu_khi!$X$189)/MAX(0.1,Canh_bao_vong!$D$5))))</f>
        <v/>
      </c>
      <c r="AX189" t="n">
        <v>2.5</v>
      </c>
      <c r="AY189" t="n">
        <v>0.06</v>
      </c>
      <c r="AZ189" t="inlineStr">
        <is>
          <t>NHANH_QUA</t>
        </is>
      </c>
      <c r="BA189" t="inlineStr"/>
      <c r="BB189" t="inlineStr">
        <is>
          <t>Assets/MachineBrigade/Resources/Data/balance.json: weapons[id=mlrs_rockets] (lớp B trên 01_chien_dau/Vu_khi)</t>
        </is>
      </c>
      <c r="BC189" t="inlineStr"/>
    </row>
    <row r="190">
      <c r="A190" t="inlineStr">
        <is>
          <t>mortar_120</t>
        </is>
      </c>
      <c r="B190" t="n">
        <v>3</v>
      </c>
      <c r="C190">
        <f>IF(Vu_khi!$O$190="SIMULTANEOUS",MAX(1,Vu_khi!$N$190),1)</f>
        <v/>
      </c>
      <c r="D190" t="n">
        <v>1</v>
      </c>
      <c r="E190">
        <f>IF(Vu_khi!$S$190&gt;0,Vu_khi!$S$190,Vu_khi!$P$190*$C$190)</f>
        <v/>
      </c>
      <c r="F190" t="n">
        <v>1</v>
      </c>
      <c r="G190">
        <f>IF(Vu_khi!$S$190&gt;0,(Vu_khi!$S$190-1)*Vu_khi!$R$190+Vu_khi!$T$190,Vu_khi!$R$190+(Vu_khi!$P$190-1)*Vu_khi!$Q$190)</f>
        <v/>
      </c>
      <c r="H190" t="n">
        <v>7.143</v>
      </c>
      <c r="I190">
        <f>Vu_khi!$W$190*MAX(1,$E$190)</f>
        <v/>
      </c>
      <c r="J190" t="n">
        <v>214</v>
      </c>
      <c r="K190">
        <f>IF(Vu_khi!$V$190&gt;0,Vu_khi!$V$190,MIN(28,MAX(10,Vu_khi!$U$190*Vu_khi!$R$190*0.4)))</f>
        <v/>
      </c>
      <c r="L190" t="n">
        <v>35.73</v>
      </c>
      <c r="M190">
        <f>IF(Vu_khi!$W$190&lt;=0,0,IF(Vu_khi!$U$190&gt;0,$I$190*Vu_khi!$U$190/(MAX(0.05,$G$190)*Vu_khi!$U$190+$K$190),$I$190/MAX(0.05,$G$190)))</f>
        <v/>
      </c>
      <c r="N190" t="n">
        <v>23.44434706397897</v>
      </c>
      <c r="O190">
        <f>OR(Vu_khi!$AG$190,Vu_khi!$AB$190&gt;0,Vu_khi!$AH$190,Vu_khi!$M$190="Bomb",Vu_khi!$M$190="Drone")</f>
        <v/>
      </c>
      <c r="P190" t="b">
        <v>1</v>
      </c>
      <c r="Q190">
        <f>AND(NOT(Vu_khi!$AJ$190),OR(Vu_khi!$AC$190="Ground",Vu_khi!$AC$190="All"))</f>
        <v/>
      </c>
      <c r="R190" t="b">
        <v>1</v>
      </c>
      <c r="S190">
        <f>AND(NOT(Vu_khi!$AJ$190),OR(Vu_khi!$AC$190="Air",Vu_khi!$AC$190="All"))</f>
        <v/>
      </c>
      <c r="T190" t="b">
        <v>0</v>
      </c>
      <c r="U190">
        <f>INDEX(Bang_sat_thuong!$B$2:$B$7,MATCH(Vu_khi!$K$190,Bang_sat_thuong!$A$2:$A$7,0))</f>
        <v/>
      </c>
      <c r="V190" t="n">
        <v>1</v>
      </c>
      <c r="W190">
        <f>INDEX(Bang_sat_thuong!$C$2:$C$7,MATCH(Vu_khi!$K$190,Bang_sat_thuong!$A$2:$A$7,0))</f>
        <v/>
      </c>
      <c r="X190" t="n">
        <v>0</v>
      </c>
      <c r="Y190">
        <f>IF(AND(Vu_khi!$AI$190,Vu_khi!$K$190="HighExplosive"),MAX(He_so_toan_cuc!$D$2,INDEX(Bang_sat_thuong!$D$2:$D$7,MATCH(Vu_khi!$K$190,Bang_sat_thuong!$A$2:$A$7,0))),INDEX(Bang_sat_thuong!$D$2:$D$7,MATCH(Vu_khi!$K$190,Bang_sat_thuong!$A$2:$A$7,0)))</f>
        <v/>
      </c>
      <c r="Z190" t="n">
        <v>1.5</v>
      </c>
      <c r="AA190">
        <f>INDEX(Bang_xuyen_giap!$C$2:$C$7,MIN(6,MAX(1,IF($O$190,MAX(1,2-(Vu_khi!$L$190-0)),2-(Vu_khi!$L$190-0))+1)))</f>
        <v/>
      </c>
      <c r="AB190" t="n">
        <v>1</v>
      </c>
      <c r="AC190">
        <f>INDEX(Bang_xuyen_giap!$C$2:$C$7,MIN(6,MAX(1,IF($O$190,MAX(1,2-(Vu_khi!$L$190-2)),2-(Vu_khi!$L$190-2))+1)))</f>
        <v/>
      </c>
      <c r="AD190" t="n">
        <v>0.85</v>
      </c>
      <c r="AE190">
        <f>INDEX(Bang_xuyen_giap!$C$2:$C$7,MIN(6,MAX(1,IF($O$190,MAX(1,2-(Vu_khi!$L$190-4)),2-(Vu_khi!$L$190-4))+1)))</f>
        <v/>
      </c>
      <c r="AF190" t="n">
        <v>0.25</v>
      </c>
      <c r="AG190">
        <f>INDEX(Bang_xuyen_giap!$C$2:$C$7,MIN(6,MAX(1,MAX(1,2-(Vu_khi!$L$190-0))+1)))</f>
        <v/>
      </c>
      <c r="AH190" t="n">
        <v>1</v>
      </c>
      <c r="AI190">
        <f>IF($Q$190,$M$190*$AA$190*$U$190,0)</f>
        <v/>
      </c>
      <c r="AJ190" t="n">
        <v>23.44434706397897</v>
      </c>
      <c r="AK190">
        <f>IF($Q$190,$M$190*$AC$190*$U$190,0)</f>
        <v/>
      </c>
      <c r="AL190" t="n">
        <v>19.92769500438212</v>
      </c>
      <c r="AM190">
        <f>IF($Q$190,$M$190*$AE$190*$U$190,0)</f>
        <v/>
      </c>
      <c r="AN190" t="n">
        <v>5.861086765994743</v>
      </c>
      <c r="AO190">
        <f>IF($Q$190,$M$190*$AC$190*$Y$190,0)</f>
        <v/>
      </c>
      <c r="AP190" t="n">
        <v>29.89154250657318</v>
      </c>
      <c r="AQ190">
        <f>IF($S$190,$M$190*$AG$190*$W$190,0)</f>
        <v/>
      </c>
      <c r="AR190" t="n">
        <v>0</v>
      </c>
      <c r="AS190">
        <f>IF(OR(Vu_khi!$M$190="Missile",Vu_khi!$M$190="Drone",AND(Vu_khi!$M$190="Rocket",OR(Vu_khi!$AM$190,Vu_khi!$D$190="guided")),Vu_khi!$AL$190,Vu_khi!$AK$190,Vu_khi!$X$190&lt;=0),FALSE,IF($B$190&gt;=0,$B$190&gt;=4,IF(Vu_khi!$M$190="Shell",Vu_khi!$AN$190&gt;=Canh_bao_vong!$D$10,IF(Vu_khi!$M$190="Bomb",Vu_khi!$AN$190&gt;=Canh_bao_vong!$D$3,IF(Vu_khi!$M$190="Rocket",Vu_khi!$AN$190&gt;=Canh_bao_vong!$D$13,FALSE)))))</f>
        <v/>
      </c>
      <c r="AT190" t="b">
        <v>0</v>
      </c>
      <c r="AU190">
        <f>IF(AND($B$190&lt;0,$AS$190),4,$B$190)</f>
        <v/>
      </c>
      <c r="AV190" t="n">
        <v>3</v>
      </c>
      <c r="AW190">
        <f>IF($AU$190&lt;4,0,MIN(MAX(0.5,Canh_bao_vong!$D$4),MAX(IF(Vu_khi!$C$190="cal_406",Canh_bao_vong!$D$7,IF($AU$190&gt;=5,Canh_bao_vong!$D$9,Canh_bao_vong!$D$8)),Canh_bao_vong!$D$2+MAX(0,Vu_khi!$X$190)/MAX(0.1,Canh_bao_vong!$D$5))))</f>
        <v/>
      </c>
      <c r="AX190" t="n">
        <v>0</v>
      </c>
      <c r="AY190" t="n">
        <v>1.5974</v>
      </c>
      <c r="AZ190" t="inlineStr">
        <is>
          <t>LECH_DOT_1</t>
        </is>
      </c>
      <c r="BA190" t="inlineStr"/>
      <c r="BB190" t="inlineStr">
        <is>
          <t>Assets/MachineBrigade/Resources/Data/balance.json: weapons[id=mortar_120] (lớp B trên 01_chien_dau/Vu_khi)</t>
        </is>
      </c>
      <c r="BC190" t="inlineStr"/>
    </row>
    <row r="191">
      <c r="A191" t="inlineStr">
        <is>
          <t>mortar_240</t>
        </is>
      </c>
      <c r="B191" t="n">
        <v>4</v>
      </c>
      <c r="C191">
        <f>IF(Vu_khi!$O$191="SIMULTANEOUS",MAX(1,Vu_khi!$N$191),1)</f>
        <v/>
      </c>
      <c r="D191" t="n">
        <v>1</v>
      </c>
      <c r="E191">
        <f>IF(Vu_khi!$S$191&gt;0,Vu_khi!$S$191,Vu_khi!$P$191*$C$191)</f>
        <v/>
      </c>
      <c r="F191" t="n">
        <v>1</v>
      </c>
      <c r="G191">
        <f>IF(Vu_khi!$S$191&gt;0,(Vu_khi!$S$191-1)*Vu_khi!$R$191+Vu_khi!$T$191,Vu_khi!$R$191+(Vu_khi!$P$191-1)*Vu_khi!$Q$191)</f>
        <v/>
      </c>
      <c r="H191" t="n">
        <v>14.2</v>
      </c>
      <c r="I191">
        <f>Vu_khi!$W$191*MAX(1,$E$191)</f>
        <v/>
      </c>
      <c r="J191" t="n">
        <v>450</v>
      </c>
      <c r="K191">
        <f>IF(Vu_khi!$V$191&gt;0,Vu_khi!$V$191,MIN(28,MAX(10,Vu_khi!$U$191*Vu_khi!$R$191*0.4)))</f>
        <v/>
      </c>
      <c r="L191" t="n">
        <v>23.2</v>
      </c>
      <c r="M191">
        <f>IF(Vu_khi!$W$191&lt;=0,0,IF(Vu_khi!$U$191&gt;0,$I$191*Vu_khi!$U$191/(MAX(0.05,$G$191)*Vu_khi!$U$191+$K$191),$I$191/MAX(0.05,$G$191)))</f>
        <v/>
      </c>
      <c r="N191" t="n">
        <v>26.31578947368421</v>
      </c>
      <c r="O191">
        <f>OR(Vu_khi!$AG$191,Vu_khi!$AB$191&gt;0,Vu_khi!$AH$191,Vu_khi!$M$191="Bomb",Vu_khi!$M$191="Drone")</f>
        <v/>
      </c>
      <c r="P191" t="b">
        <v>1</v>
      </c>
      <c r="Q191">
        <f>AND(NOT(Vu_khi!$AJ$191),OR(Vu_khi!$AC$191="Ground",Vu_khi!$AC$191="All"))</f>
        <v/>
      </c>
      <c r="R191" t="b">
        <v>1</v>
      </c>
      <c r="S191">
        <f>AND(NOT(Vu_khi!$AJ$191),OR(Vu_khi!$AC$191="Air",Vu_khi!$AC$191="All"))</f>
        <v/>
      </c>
      <c r="T191" t="b">
        <v>0</v>
      </c>
      <c r="U191">
        <f>INDEX(Bang_sat_thuong!$B$2:$B$7,MATCH(Vu_khi!$K$191,Bang_sat_thuong!$A$2:$A$7,0))</f>
        <v/>
      </c>
      <c r="V191" t="n">
        <v>1</v>
      </c>
      <c r="W191">
        <f>INDEX(Bang_sat_thuong!$C$2:$C$7,MATCH(Vu_khi!$K$191,Bang_sat_thuong!$A$2:$A$7,0))</f>
        <v/>
      </c>
      <c r="X191" t="n">
        <v>0</v>
      </c>
      <c r="Y191">
        <f>IF(AND(Vu_khi!$AI$191,Vu_khi!$K$191="HighExplosive"),MAX(He_so_toan_cuc!$D$2,INDEX(Bang_sat_thuong!$D$2:$D$7,MATCH(Vu_khi!$K$191,Bang_sat_thuong!$A$2:$A$7,0))),INDEX(Bang_sat_thuong!$D$2:$D$7,MATCH(Vu_khi!$K$191,Bang_sat_thuong!$A$2:$A$7,0)))</f>
        <v/>
      </c>
      <c r="Z191" t="n">
        <v>1.5</v>
      </c>
      <c r="AA191">
        <f>INDEX(Bang_xuyen_giap!$C$2:$C$7,MIN(6,MAX(1,IF($O$191,MAX(1,2-(Vu_khi!$L$191-0)),2-(Vu_khi!$L$191-0))+1)))</f>
        <v/>
      </c>
      <c r="AB191" t="n">
        <v>1</v>
      </c>
      <c r="AC191">
        <f>INDEX(Bang_xuyen_giap!$C$2:$C$7,MIN(6,MAX(1,IF($O$191,MAX(1,2-(Vu_khi!$L$191-2)),2-(Vu_khi!$L$191-2))+1)))</f>
        <v/>
      </c>
      <c r="AD191" t="n">
        <v>1</v>
      </c>
      <c r="AE191">
        <f>INDEX(Bang_xuyen_giap!$C$2:$C$7,MIN(6,MAX(1,IF($O$191,MAX(1,2-(Vu_khi!$L$191-4)),2-(Vu_khi!$L$191-4))+1)))</f>
        <v/>
      </c>
      <c r="AF191" t="n">
        <v>0.85</v>
      </c>
      <c r="AG191">
        <f>INDEX(Bang_xuyen_giap!$C$2:$C$7,MIN(6,MAX(1,MAX(1,2-(Vu_khi!$L$191-0))+1)))</f>
        <v/>
      </c>
      <c r="AH191" t="n">
        <v>1</v>
      </c>
      <c r="AI191">
        <f>IF($Q$191,$M$191*$AA$191*$U$191,0)</f>
        <v/>
      </c>
      <c r="AJ191" t="n">
        <v>26.31578947368421</v>
      </c>
      <c r="AK191">
        <f>IF($Q$191,$M$191*$AC$191*$U$191,0)</f>
        <v/>
      </c>
      <c r="AL191" t="n">
        <v>26.31578947368421</v>
      </c>
      <c r="AM191">
        <f>IF($Q$191,$M$191*$AE$191*$U$191,0)</f>
        <v/>
      </c>
      <c r="AN191" t="n">
        <v>22.36842105263158</v>
      </c>
      <c r="AO191">
        <f>IF($Q$191,$M$191*$AC$191*$Y$191,0)</f>
        <v/>
      </c>
      <c r="AP191" t="n">
        <v>39.47368421052632</v>
      </c>
      <c r="AQ191">
        <f>IF($S$191,$M$191*$AG$191*$W$191,0)</f>
        <v/>
      </c>
      <c r="AR191" t="n">
        <v>0</v>
      </c>
      <c r="AS191">
        <f>IF(OR(Vu_khi!$M$191="Missile",Vu_khi!$M$191="Drone",AND(Vu_khi!$M$191="Rocket",OR(Vu_khi!$AM$191,Vu_khi!$D$191="guided")),Vu_khi!$AL$191,Vu_khi!$AK$191,Vu_khi!$X$191&lt;=0),FALSE,IF($B$191&gt;=0,$B$191&gt;=4,IF(Vu_khi!$M$191="Shell",Vu_khi!$AN$191&gt;=Canh_bao_vong!$D$10,IF(Vu_khi!$M$191="Bomb",Vu_khi!$AN$191&gt;=Canh_bao_vong!$D$3,IF(Vu_khi!$M$191="Rocket",Vu_khi!$AN$191&gt;=Canh_bao_vong!$D$13,FALSE)))))</f>
        <v/>
      </c>
      <c r="AT191" t="b">
        <v>1</v>
      </c>
      <c r="AU191">
        <f>IF(AND($B$191&lt;0,$AS$191),4,$B$191)</f>
        <v/>
      </c>
      <c r="AV191" t="n">
        <v>4</v>
      </c>
      <c r="AW191">
        <f>IF($AU$191&lt;4,0,MIN(MAX(0.5,Canh_bao_vong!$D$4),MAX(IF(Vu_khi!$C$191="cal_406",Canh_bao_vong!$D$7,IF($AU$191&gt;=5,Canh_bao_vong!$D$9,Canh_bao_vong!$D$8)),Canh_bao_vong!$D$2+MAX(0,Vu_khi!$X$191)/MAX(0.1,Canh_bao_vong!$D$5))))</f>
        <v/>
      </c>
      <c r="AX191" t="n">
        <v>2.5</v>
      </c>
      <c r="AY191" t="n">
        <v>0.1995</v>
      </c>
      <c r="AZ191" t="inlineStr">
        <is>
          <t>NHANH_QUA</t>
        </is>
      </c>
      <c r="BA191" t="inlineStr"/>
      <c r="BB191" t="inlineStr">
        <is>
          <t>Assets/MachineBrigade/Resources/Data/balance.json: weapons[id=mortar_240] (lớp B trên 01_chien_dau/Vu_khi)</t>
        </is>
      </c>
      <c r="BC191" t="inlineStr"/>
    </row>
    <row r="192">
      <c r="A192" t="inlineStr">
        <is>
          <t>mothership_cannon</t>
        </is>
      </c>
      <c r="B192" t="n">
        <v>2</v>
      </c>
      <c r="C192">
        <f>IF(Vu_khi!$O$192="SIMULTANEOUS",MAX(1,Vu_khi!$N$192),1)</f>
        <v/>
      </c>
      <c r="D192" t="n">
        <v>1</v>
      </c>
      <c r="E192">
        <f>IF(Vu_khi!$S$192&gt;0,Vu_khi!$S$192,Vu_khi!$P$192*$C$192)</f>
        <v/>
      </c>
      <c r="F192" t="n">
        <v>4</v>
      </c>
      <c r="G192">
        <f>IF(Vu_khi!$S$192&gt;0,(Vu_khi!$S$192-1)*Vu_khi!$R$192+Vu_khi!$T$192,Vu_khi!$R$192+(Vu_khi!$P$192-1)*Vu_khi!$Q$192)</f>
        <v/>
      </c>
      <c r="H192" t="n">
        <v>4.79</v>
      </c>
      <c r="I192">
        <f>Vu_khi!$W$192*MAX(1,$E$192)</f>
        <v/>
      </c>
      <c r="J192" t="n">
        <v>280</v>
      </c>
      <c r="K192">
        <f>IF(Vu_khi!$V$192&gt;0,Vu_khi!$V$192,MIN(28,MAX(10,Vu_khi!$U$192*Vu_khi!$R$192*0.4)))</f>
        <v/>
      </c>
      <c r="L192" t="n">
        <v>10</v>
      </c>
      <c r="M192">
        <f>IF(Vu_khi!$W$192&lt;=0,0,IF(Vu_khi!$U$192&gt;0,$I$192*Vu_khi!$U$192/(MAX(0.05,$G$192)*Vu_khi!$U$192+$K$192),$I$192/MAX(0.05,$G$192)))</f>
        <v/>
      </c>
      <c r="N192" t="n">
        <v>58.45511482254697</v>
      </c>
      <c r="O192">
        <f>OR(Vu_khi!$AG$192,Vu_khi!$AB$192&gt;0,Vu_khi!$AH$192,Vu_khi!$M$192="Bomb",Vu_khi!$M$192="Drone")</f>
        <v/>
      </c>
      <c r="P192" t="b">
        <v>0</v>
      </c>
      <c r="Q192">
        <f>AND(NOT(Vu_khi!$AJ$192),OR(Vu_khi!$AC$192="Ground",Vu_khi!$AC$192="All"))</f>
        <v/>
      </c>
      <c r="R192" t="b">
        <v>1</v>
      </c>
      <c r="S192">
        <f>AND(NOT(Vu_khi!$AJ$192),OR(Vu_khi!$AC$192="Air",Vu_khi!$AC$192="All"))</f>
        <v/>
      </c>
      <c r="T192" t="b">
        <v>0</v>
      </c>
      <c r="U192">
        <f>INDEX(Bang_sat_thuong!$B$2:$B$7,MATCH(Vu_khi!$K$192,Bang_sat_thuong!$A$2:$A$7,0))</f>
        <v/>
      </c>
      <c r="V192" t="n">
        <v>1</v>
      </c>
      <c r="W192">
        <f>INDEX(Bang_sat_thuong!$C$2:$C$7,MATCH(Vu_khi!$K$192,Bang_sat_thuong!$A$2:$A$7,0))</f>
        <v/>
      </c>
      <c r="X192" t="n">
        <v>0</v>
      </c>
      <c r="Y192">
        <f>IF(AND(Vu_khi!$AI$192,Vu_khi!$K$192="HighExplosive"),MAX(He_so_toan_cuc!$D$2,INDEX(Bang_sat_thuong!$D$2:$D$7,MATCH(Vu_khi!$K$192,Bang_sat_thuong!$A$2:$A$7,0))),INDEX(Bang_sat_thuong!$D$2:$D$7,MATCH(Vu_khi!$K$192,Bang_sat_thuong!$A$2:$A$7,0)))</f>
        <v/>
      </c>
      <c r="Z192" t="n">
        <v>1.5</v>
      </c>
      <c r="AA192">
        <f>INDEX(Bang_xuyen_giap!$C$2:$C$7,MIN(6,MAX(1,IF($O$192,MAX(1,2-(Vu_khi!$L$192-0)),2-(Vu_khi!$L$192-0))+1)))</f>
        <v/>
      </c>
      <c r="AB192" t="n">
        <v>1.2</v>
      </c>
      <c r="AC192">
        <f>INDEX(Bang_xuyen_giap!$C$2:$C$7,MIN(6,MAX(1,IF($O$192,MAX(1,2-(Vu_khi!$L$192-2)),2-(Vu_khi!$L$192-2))+1)))</f>
        <v/>
      </c>
      <c r="AD192" t="n">
        <v>0.85</v>
      </c>
      <c r="AE192">
        <f>INDEX(Bang_xuyen_giap!$C$2:$C$7,MIN(6,MAX(1,IF($O$192,MAX(1,2-(Vu_khi!$L$192-4)),2-(Vu_khi!$L$192-4))+1)))</f>
        <v/>
      </c>
      <c r="AF192" t="n">
        <v>0.25</v>
      </c>
      <c r="AG192">
        <f>INDEX(Bang_xuyen_giap!$C$2:$C$7,MIN(6,MAX(1,MAX(1,2-(Vu_khi!$L$192-0))+1)))</f>
        <v/>
      </c>
      <c r="AH192" t="n">
        <v>1</v>
      </c>
      <c r="AI192">
        <f>IF($Q$192,$M$192*$AA$192*$U$192,0)</f>
        <v/>
      </c>
      <c r="AJ192" t="n">
        <v>70.14613778705636</v>
      </c>
      <c r="AK192">
        <f>IF($Q$192,$M$192*$AC$192*$U$192,0)</f>
        <v/>
      </c>
      <c r="AL192" t="n">
        <v>49.68684759916493</v>
      </c>
      <c r="AM192">
        <f>IF($Q$192,$M$192*$AE$192*$U$192,0)</f>
        <v/>
      </c>
      <c r="AN192" t="n">
        <v>14.61377870563674</v>
      </c>
      <c r="AO192">
        <f>IF($Q$192,$M$192*$AC$192*$Y$192,0)</f>
        <v/>
      </c>
      <c r="AP192" t="n">
        <v>74.53027139874739</v>
      </c>
      <c r="AQ192">
        <f>IF($S$192,$M$192*$AG$192*$W$192,0)</f>
        <v/>
      </c>
      <c r="AR192" t="n">
        <v>0</v>
      </c>
      <c r="AS192">
        <f>IF(OR(Vu_khi!$M$192="Missile",Vu_khi!$M$192="Drone",AND(Vu_khi!$M$192="Rocket",OR(Vu_khi!$AM$192,Vu_khi!$D$192="guided")),Vu_khi!$AL$192,Vu_khi!$AK$192,Vu_khi!$X$192&lt;=0),FALSE,IF($B$192&gt;=0,$B$192&gt;=4,IF(Vu_khi!$M$192="Shell",Vu_khi!$AN$192&gt;=Canh_bao_vong!$D$10,IF(Vu_khi!$M$192="Bomb",Vu_khi!$AN$192&gt;=Canh_bao_vong!$D$3,IF(Vu_khi!$M$192="Rocket",Vu_khi!$AN$192&gt;=Canh_bao_vong!$D$13,FALSE)))))</f>
        <v/>
      </c>
      <c r="AT192" t="b">
        <v>0</v>
      </c>
      <c r="AU192">
        <f>IF(AND($B$192&lt;0,$AS$192),4,$B$192)</f>
        <v/>
      </c>
      <c r="AV192" t="n">
        <v>2</v>
      </c>
      <c r="AW192">
        <f>IF($AU$192&lt;4,0,MIN(MAX(0.5,Canh_bao_vong!$D$4),MAX(IF(Vu_khi!$C$192="cal_406",Canh_bao_vong!$D$7,IF($AU$192&gt;=5,Canh_bao_vong!$D$9,Canh_bao_vong!$D$8)),Canh_bao_vong!$D$2+MAX(0,Vu_khi!$X$192)/MAX(0.1,Canh_bao_vong!$D$5))))</f>
        <v/>
      </c>
      <c r="AX192" t="n">
        <v>0</v>
      </c>
      <c r="AY192" t="n">
        <v>2.395</v>
      </c>
      <c r="AZ192" t="inlineStr">
        <is>
          <t>ok</t>
        </is>
      </c>
      <c r="BA192" t="inlineStr"/>
      <c r="BB192" t="inlineStr">
        <is>
          <t>Assets/MachineBrigade/Resources/Data/balance.json: weapons[id=mothership_cannon] (lớp B trên 01_chien_dau/Vu_khi)</t>
        </is>
      </c>
      <c r="BC192" t="inlineStr"/>
    </row>
    <row r="193">
      <c r="A193" t="inlineStr">
        <is>
          <t>mothership_drones</t>
        </is>
      </c>
      <c r="B193" t="n">
        <v>2</v>
      </c>
      <c r="C193">
        <f>IF(Vu_khi!$O$193="SIMULTANEOUS",MAX(1,Vu_khi!$N$193),1)</f>
        <v/>
      </c>
      <c r="D193" t="n">
        <v>1</v>
      </c>
      <c r="E193">
        <f>IF(Vu_khi!$S$193&gt;0,Vu_khi!$S$193,Vu_khi!$P$193*$C$193)</f>
        <v/>
      </c>
      <c r="F193" t="n">
        <v>4</v>
      </c>
      <c r="G193">
        <f>IF(Vu_khi!$S$193&gt;0,(Vu_khi!$S$193-1)*Vu_khi!$R$193+Vu_khi!$T$193,Vu_khi!$R$193+(Vu_khi!$P$193-1)*Vu_khi!$Q$193)</f>
        <v/>
      </c>
      <c r="H193" t="n">
        <v>9.370000000000001</v>
      </c>
      <c r="I193">
        <f>Vu_khi!$W$193*MAX(1,$E$193)</f>
        <v/>
      </c>
      <c r="J193" t="n">
        <v>960</v>
      </c>
      <c r="K193">
        <f>IF(Vu_khi!$V$193&gt;0,Vu_khi!$V$193,MIN(28,MAX(10,Vu_khi!$U$193*Vu_khi!$R$193*0.4)))</f>
        <v/>
      </c>
      <c r="L193" t="n">
        <v>10</v>
      </c>
      <c r="M193">
        <f>IF(Vu_khi!$W$193&lt;=0,0,IF(Vu_khi!$U$193&gt;0,$I$193*Vu_khi!$U$193/(MAX(0.05,$G$193)*Vu_khi!$U$193+$K$193),$I$193/MAX(0.05,$G$193)))</f>
        <v/>
      </c>
      <c r="N193" t="n">
        <v>102.4546424759872</v>
      </c>
      <c r="O193">
        <f>OR(Vu_khi!$AG$193,Vu_khi!$AB$193&gt;0,Vu_khi!$AH$193,Vu_khi!$M$193="Bomb",Vu_khi!$M$193="Drone")</f>
        <v/>
      </c>
      <c r="P193" t="b">
        <v>1</v>
      </c>
      <c r="Q193">
        <f>AND(NOT(Vu_khi!$AJ$193),OR(Vu_khi!$AC$193="Ground",Vu_khi!$AC$193="All"))</f>
        <v/>
      </c>
      <c r="R193" t="b">
        <v>1</v>
      </c>
      <c r="S193">
        <f>AND(NOT(Vu_khi!$AJ$193),OR(Vu_khi!$AC$193="Air",Vu_khi!$AC$193="All"))</f>
        <v/>
      </c>
      <c r="T193" t="b">
        <v>0</v>
      </c>
      <c r="U193">
        <f>INDEX(Bang_sat_thuong!$B$2:$B$7,MATCH(Vu_khi!$K$193,Bang_sat_thuong!$A$2:$A$7,0))</f>
        <v/>
      </c>
      <c r="V193" t="n">
        <v>1</v>
      </c>
      <c r="W193">
        <f>INDEX(Bang_sat_thuong!$C$2:$C$7,MATCH(Vu_khi!$K$193,Bang_sat_thuong!$A$2:$A$7,0))</f>
        <v/>
      </c>
      <c r="X193" t="n">
        <v>0.3</v>
      </c>
      <c r="Y193">
        <f>IF(AND(Vu_khi!$AI$193,Vu_khi!$K$193="HighExplosive"),MAX(He_so_toan_cuc!$D$2,INDEX(Bang_sat_thuong!$D$2:$D$7,MATCH(Vu_khi!$K$193,Bang_sat_thuong!$A$2:$A$7,0))),INDEX(Bang_sat_thuong!$D$2:$D$7,MATCH(Vu_khi!$K$193,Bang_sat_thuong!$A$2:$A$7,0)))</f>
        <v/>
      </c>
      <c r="Z193" t="n">
        <v>0.6</v>
      </c>
      <c r="AA193">
        <f>INDEX(Bang_xuyen_giap!$C$2:$C$7,MIN(6,MAX(1,IF($O$193,MAX(1,2-(Vu_khi!$L$193-0)),2-(Vu_khi!$L$193-0))+1)))</f>
        <v/>
      </c>
      <c r="AB193" t="n">
        <v>1</v>
      </c>
      <c r="AC193">
        <f>INDEX(Bang_xuyen_giap!$C$2:$C$7,MIN(6,MAX(1,IF($O$193,MAX(1,2-(Vu_khi!$L$193-2)),2-(Vu_khi!$L$193-2))+1)))</f>
        <v/>
      </c>
      <c r="AD193" t="n">
        <v>1</v>
      </c>
      <c r="AE193">
        <f>INDEX(Bang_xuyen_giap!$C$2:$C$7,MIN(6,MAX(1,IF($O$193,MAX(1,2-(Vu_khi!$L$193-4)),2-(Vu_khi!$L$193-4))+1)))</f>
        <v/>
      </c>
      <c r="AF193" t="n">
        <v>0.85</v>
      </c>
      <c r="AG193">
        <f>INDEX(Bang_xuyen_giap!$C$2:$C$7,MIN(6,MAX(1,MAX(1,2-(Vu_khi!$L$193-0))+1)))</f>
        <v/>
      </c>
      <c r="AH193" t="n">
        <v>1</v>
      </c>
      <c r="AI193">
        <f>IF($Q$193,$M$193*$AA$193*$U$193,0)</f>
        <v/>
      </c>
      <c r="AJ193" t="n">
        <v>102.4546424759872</v>
      </c>
      <c r="AK193">
        <f>IF($Q$193,$M$193*$AC$193*$U$193,0)</f>
        <v/>
      </c>
      <c r="AL193" t="n">
        <v>102.4546424759872</v>
      </c>
      <c r="AM193">
        <f>IF($Q$193,$M$193*$AE$193*$U$193,0)</f>
        <v/>
      </c>
      <c r="AN193" t="n">
        <v>87.0864461045891</v>
      </c>
      <c r="AO193">
        <f>IF($Q$193,$M$193*$AC$193*$Y$193,0)</f>
        <v/>
      </c>
      <c r="AP193" t="n">
        <v>61.47278548559231</v>
      </c>
      <c r="AQ193">
        <f>IF($S$193,$M$193*$AG$193*$W$193,0)</f>
        <v/>
      </c>
      <c r="AR193" t="n">
        <v>0</v>
      </c>
      <c r="AS193">
        <f>IF(OR(Vu_khi!$M$193="Missile",Vu_khi!$M$193="Drone",AND(Vu_khi!$M$193="Rocket",OR(Vu_khi!$AM$193,Vu_khi!$D$193="guided")),Vu_khi!$AL$193,Vu_khi!$AK$193,Vu_khi!$X$193&lt;=0),FALSE,IF($B$193&gt;=0,$B$193&gt;=4,IF(Vu_khi!$M$193="Shell",Vu_khi!$AN$193&gt;=Canh_bao_vong!$D$10,IF(Vu_khi!$M$193="Bomb",Vu_khi!$AN$193&gt;=Canh_bao_vong!$D$3,IF(Vu_khi!$M$193="Rocket",Vu_khi!$AN$193&gt;=Canh_bao_vong!$D$13,FALSE)))))</f>
        <v/>
      </c>
      <c r="AT193" t="b">
        <v>0</v>
      </c>
      <c r="AU193">
        <f>IF(AND($B$193&lt;0,$AS$193),4,$B$193)</f>
        <v/>
      </c>
      <c r="AV193" t="n">
        <v>2</v>
      </c>
      <c r="AW193">
        <f>IF($AU$193&lt;4,0,MIN(MAX(0.5,Canh_bao_vong!$D$4),MAX(IF(Vu_khi!$C$193="cal_406",Canh_bao_vong!$D$7,IF($AU$193&gt;=5,Canh_bao_vong!$D$9,Canh_bao_vong!$D$8)),Canh_bao_vong!$D$2+MAX(0,Vu_khi!$X$193)/MAX(0.1,Canh_bao_vong!$D$5))))</f>
        <v/>
      </c>
      <c r="AX193" t="n">
        <v>0</v>
      </c>
      <c r="AY193" t="inlineStr"/>
      <c r="AZ193" t="inlineStr">
        <is>
          <t>ok</t>
        </is>
      </c>
      <c r="BA193" t="inlineStr"/>
      <c r="BB193" t="inlineStr">
        <is>
          <t>Assets/MachineBrigade/Resources/Data/balance.json: weapons[id=mothership_drones] (lớp B trên 01_chien_dau/Vu_khi)</t>
        </is>
      </c>
      <c r="BC193" t="inlineStr"/>
    </row>
    <row r="194">
      <c r="A194" t="inlineStr">
        <is>
          <t>naval_76</t>
        </is>
      </c>
      <c r="B194" t="n">
        <v>2</v>
      </c>
      <c r="C194">
        <f>IF(Vu_khi!$O$194="SIMULTANEOUS",MAX(1,Vu_khi!$N$194),1)</f>
        <v/>
      </c>
      <c r="D194" t="n">
        <v>1</v>
      </c>
      <c r="E194">
        <f>IF(Vu_khi!$S$194&gt;0,Vu_khi!$S$194,Vu_khi!$P$194*$C$194)</f>
        <v/>
      </c>
      <c r="F194" t="n">
        <v>2</v>
      </c>
      <c r="G194">
        <f>IF(Vu_khi!$S$194&gt;0,(Vu_khi!$S$194-1)*Vu_khi!$R$194+Vu_khi!$T$194,Vu_khi!$R$194+(Vu_khi!$P$194-1)*Vu_khi!$Q$194)</f>
        <v/>
      </c>
      <c r="H194" t="n">
        <v>5.143</v>
      </c>
      <c r="I194">
        <f>Vu_khi!$W$194*MAX(1,$E$194)</f>
        <v/>
      </c>
      <c r="J194" t="n">
        <v>342</v>
      </c>
      <c r="K194">
        <f>IF(Vu_khi!$V$194&gt;0,Vu_khi!$V$194,MIN(28,MAX(10,Vu_khi!$U$194*Vu_khi!$R$194*0.4)))</f>
        <v/>
      </c>
      <c r="L194" t="n">
        <v>10</v>
      </c>
      <c r="M194">
        <f>IF(Vu_khi!$W$194&lt;=0,0,IF(Vu_khi!$U$194&gt;0,$I$194*Vu_khi!$U$194/(MAX(0.05,$G$194)*Vu_khi!$U$194+$K$194),$I$194/MAX(0.05,$G$194)))</f>
        <v/>
      </c>
      <c r="N194" t="n">
        <v>66.49815282908808</v>
      </c>
      <c r="O194">
        <f>OR(Vu_khi!$AG$194,Vu_khi!$AB$194&gt;0,Vu_khi!$AH$194,Vu_khi!$M$194="Bomb",Vu_khi!$M$194="Drone")</f>
        <v/>
      </c>
      <c r="P194" t="b">
        <v>0</v>
      </c>
      <c r="Q194">
        <f>AND(NOT(Vu_khi!$AJ$194),OR(Vu_khi!$AC$194="Ground",Vu_khi!$AC$194="All"))</f>
        <v/>
      </c>
      <c r="R194" t="b">
        <v>1</v>
      </c>
      <c r="S194">
        <f>AND(NOT(Vu_khi!$AJ$194),OR(Vu_khi!$AC$194="Air",Vu_khi!$AC$194="All"))</f>
        <v/>
      </c>
      <c r="T194" t="b">
        <v>0</v>
      </c>
      <c r="U194">
        <f>INDEX(Bang_sat_thuong!$B$2:$B$7,MATCH(Vu_khi!$K$194,Bang_sat_thuong!$A$2:$A$7,0))</f>
        <v/>
      </c>
      <c r="V194" t="n">
        <v>1</v>
      </c>
      <c r="W194">
        <f>INDEX(Bang_sat_thuong!$C$2:$C$7,MATCH(Vu_khi!$K$194,Bang_sat_thuong!$A$2:$A$7,0))</f>
        <v/>
      </c>
      <c r="X194" t="n">
        <v>0</v>
      </c>
      <c r="Y194">
        <f>IF(AND(Vu_khi!$AI$194,Vu_khi!$K$194="HighExplosive"),MAX(He_so_toan_cuc!$D$2,INDEX(Bang_sat_thuong!$D$2:$D$7,MATCH(Vu_khi!$K$194,Bang_sat_thuong!$A$2:$A$7,0))),INDEX(Bang_sat_thuong!$D$2:$D$7,MATCH(Vu_khi!$K$194,Bang_sat_thuong!$A$2:$A$7,0)))</f>
        <v/>
      </c>
      <c r="Z194" t="n">
        <v>1.5</v>
      </c>
      <c r="AA194">
        <f>INDEX(Bang_xuyen_giap!$C$2:$C$7,MIN(6,MAX(1,IF($O$194,MAX(1,2-(Vu_khi!$L$194-0)),2-(Vu_khi!$L$194-0))+1)))</f>
        <v/>
      </c>
      <c r="AB194" t="n">
        <v>1.2</v>
      </c>
      <c r="AC194">
        <f>INDEX(Bang_xuyen_giap!$C$2:$C$7,MIN(6,MAX(1,IF($O$194,MAX(1,2-(Vu_khi!$L$194-2)),2-(Vu_khi!$L$194-2))+1)))</f>
        <v/>
      </c>
      <c r="AD194" t="n">
        <v>1</v>
      </c>
      <c r="AE194">
        <f>INDEX(Bang_xuyen_giap!$C$2:$C$7,MIN(6,MAX(1,IF($O$194,MAX(1,2-(Vu_khi!$L$194-4)),2-(Vu_khi!$L$194-4))+1)))</f>
        <v/>
      </c>
      <c r="AF194" t="n">
        <v>0.5</v>
      </c>
      <c r="AG194">
        <f>INDEX(Bang_xuyen_giap!$C$2:$C$7,MIN(6,MAX(1,MAX(1,2-(Vu_khi!$L$194-0))+1)))</f>
        <v/>
      </c>
      <c r="AH194" t="n">
        <v>1</v>
      </c>
      <c r="AI194">
        <f>IF($Q$194,$M$194*$AA$194*$U$194,0)</f>
        <v/>
      </c>
      <c r="AJ194" t="n">
        <v>79.79778339490569</v>
      </c>
      <c r="AK194">
        <f>IF($Q$194,$M$194*$AC$194*$U$194,0)</f>
        <v/>
      </c>
      <c r="AL194" t="n">
        <v>66.49815282908808</v>
      </c>
      <c r="AM194">
        <f>IF($Q$194,$M$194*$AE$194*$U$194,0)</f>
        <v/>
      </c>
      <c r="AN194" t="n">
        <v>33.24907641454404</v>
      </c>
      <c r="AO194">
        <f>IF($Q$194,$M$194*$AC$194*$Y$194,0)</f>
        <v/>
      </c>
      <c r="AP194" t="n">
        <v>99.74722924363212</v>
      </c>
      <c r="AQ194">
        <f>IF($S$194,$M$194*$AG$194*$W$194,0)</f>
        <v/>
      </c>
      <c r="AR194" t="n">
        <v>0</v>
      </c>
      <c r="AS194">
        <f>IF(OR(Vu_khi!$M$194="Missile",Vu_khi!$M$194="Drone",AND(Vu_khi!$M$194="Rocket",OR(Vu_khi!$AM$194,Vu_khi!$D$194="guided")),Vu_khi!$AL$194,Vu_khi!$AK$194,Vu_khi!$X$194&lt;=0),FALSE,IF($B$194&gt;=0,$B$194&gt;=4,IF(Vu_khi!$M$194="Shell",Vu_khi!$AN$194&gt;=Canh_bao_vong!$D$10,IF(Vu_khi!$M$194="Bomb",Vu_khi!$AN$194&gt;=Canh_bao_vong!$D$3,IF(Vu_khi!$M$194="Rocket",Vu_khi!$AN$194&gt;=Canh_bao_vong!$D$13,FALSE)))))</f>
        <v/>
      </c>
      <c r="AT194" t="b">
        <v>0</v>
      </c>
      <c r="AU194">
        <f>IF(AND($B$194&lt;0,$AS$194),4,$B$194)</f>
        <v/>
      </c>
      <c r="AV194" t="n">
        <v>2</v>
      </c>
      <c r="AW194">
        <f>IF($AU$194&lt;4,0,MIN(MAX(0.5,Canh_bao_vong!$D$4),MAX(IF(Vu_khi!$C$194="cal_406",Canh_bao_vong!$D$7,IF($AU$194&gt;=5,Canh_bao_vong!$D$9,Canh_bao_vong!$D$8)),Canh_bao_vong!$D$2+MAX(0,Vu_khi!$X$194)/MAX(0.1,Canh_bao_vong!$D$5))))</f>
        <v/>
      </c>
      <c r="AX194" t="n">
        <v>0</v>
      </c>
      <c r="AY194" t="n">
        <v>3.6001</v>
      </c>
      <c r="AZ194" t="inlineStr">
        <is>
          <t>CHAM_QUA;LECH_DOT_1</t>
        </is>
      </c>
      <c r="BA194" t="inlineStr"/>
      <c r="BB194" t="inlineStr">
        <is>
          <t>Assets/MachineBrigade/Resources/Data/balance.json: weapons[id=naval_76] (lớp B trên 01_chien_dau/Vu_khi)</t>
        </is>
      </c>
      <c r="BC194" t="inlineStr"/>
    </row>
    <row r="195">
      <c r="A195" t="inlineStr">
        <is>
          <t>naval_76_guided</t>
        </is>
      </c>
      <c r="B195" t="n">
        <v>2</v>
      </c>
      <c r="C195">
        <f>IF(Vu_khi!$O$195="SIMULTANEOUS",MAX(1,Vu_khi!$N$195),1)</f>
        <v/>
      </c>
      <c r="D195" t="n">
        <v>1</v>
      </c>
      <c r="E195">
        <f>IF(Vu_khi!$S$195&gt;0,Vu_khi!$S$195,Vu_khi!$P$195*$C$195)</f>
        <v/>
      </c>
      <c r="F195" t="n">
        <v>1</v>
      </c>
      <c r="G195">
        <f>IF(Vu_khi!$S$195&gt;0,(Vu_khi!$S$195-1)*Vu_khi!$R$195+Vu_khi!$T$195,Vu_khi!$R$195+(Vu_khi!$P$195-1)*Vu_khi!$Q$195)</f>
        <v/>
      </c>
      <c r="H195" t="n">
        <v>4.643</v>
      </c>
      <c r="I195">
        <f>Vu_khi!$W$195*MAX(1,$E$195)</f>
        <v/>
      </c>
      <c r="J195" t="n">
        <v>171</v>
      </c>
      <c r="K195">
        <f>IF(Vu_khi!$V$195&gt;0,Vu_khi!$V$195,MIN(28,MAX(10,Vu_khi!$U$195*Vu_khi!$R$195*0.4)))</f>
        <v/>
      </c>
      <c r="L195" t="n">
        <v>10</v>
      </c>
      <c r="M195">
        <f>IF(Vu_khi!$W$195&lt;=0,0,IF(Vu_khi!$U$195&gt;0,$I$195*Vu_khi!$U$195/(MAX(0.05,$G$195)*Vu_khi!$U$195+$K$195),$I$195/MAX(0.05,$G$195)))</f>
        <v/>
      </c>
      <c r="N195" t="n">
        <v>36.82963601119966</v>
      </c>
      <c r="O195">
        <f>OR(Vu_khi!$AG$195,Vu_khi!$AB$195&gt;0,Vu_khi!$AH$195,Vu_khi!$M$195="Bomb",Vu_khi!$M$195="Drone")</f>
        <v/>
      </c>
      <c r="P195" t="b">
        <v>0</v>
      </c>
      <c r="Q195">
        <f>AND(NOT(Vu_khi!$AJ$195),OR(Vu_khi!$AC$195="Ground",Vu_khi!$AC$195="All"))</f>
        <v/>
      </c>
      <c r="R195" t="b">
        <v>1</v>
      </c>
      <c r="S195">
        <f>AND(NOT(Vu_khi!$AJ$195),OR(Vu_khi!$AC$195="Air",Vu_khi!$AC$195="All"))</f>
        <v/>
      </c>
      <c r="T195" t="b">
        <v>0</v>
      </c>
      <c r="U195">
        <f>INDEX(Bang_sat_thuong!$B$2:$B$7,MATCH(Vu_khi!$K$195,Bang_sat_thuong!$A$2:$A$7,0))</f>
        <v/>
      </c>
      <c r="V195" t="n">
        <v>1</v>
      </c>
      <c r="W195">
        <f>INDEX(Bang_sat_thuong!$C$2:$C$7,MATCH(Vu_khi!$K$195,Bang_sat_thuong!$A$2:$A$7,0))</f>
        <v/>
      </c>
      <c r="X195" t="n">
        <v>0</v>
      </c>
      <c r="Y195">
        <f>IF(AND(Vu_khi!$AI$195,Vu_khi!$K$195="HighExplosive"),MAX(He_so_toan_cuc!$D$2,INDEX(Bang_sat_thuong!$D$2:$D$7,MATCH(Vu_khi!$K$195,Bang_sat_thuong!$A$2:$A$7,0))),INDEX(Bang_sat_thuong!$D$2:$D$7,MATCH(Vu_khi!$K$195,Bang_sat_thuong!$A$2:$A$7,0)))</f>
        <v/>
      </c>
      <c r="Z195" t="n">
        <v>1.5</v>
      </c>
      <c r="AA195">
        <f>INDEX(Bang_xuyen_giap!$C$2:$C$7,MIN(6,MAX(1,IF($O$195,MAX(1,2-(Vu_khi!$L$195-0)),2-(Vu_khi!$L$195-0))+1)))</f>
        <v/>
      </c>
      <c r="AB195" t="n">
        <v>1.2</v>
      </c>
      <c r="AC195">
        <f>INDEX(Bang_xuyen_giap!$C$2:$C$7,MIN(6,MAX(1,IF($O$195,MAX(1,2-(Vu_khi!$L$195-2)),2-(Vu_khi!$L$195-2))+1)))</f>
        <v/>
      </c>
      <c r="AD195" t="n">
        <v>1</v>
      </c>
      <c r="AE195">
        <f>INDEX(Bang_xuyen_giap!$C$2:$C$7,MIN(6,MAX(1,IF($O$195,MAX(1,2-(Vu_khi!$L$195-4)),2-(Vu_khi!$L$195-4))+1)))</f>
        <v/>
      </c>
      <c r="AF195" t="n">
        <v>0.5</v>
      </c>
      <c r="AG195">
        <f>INDEX(Bang_xuyen_giap!$C$2:$C$7,MIN(6,MAX(1,MAX(1,2-(Vu_khi!$L$195-0))+1)))</f>
        <v/>
      </c>
      <c r="AH195" t="n">
        <v>1</v>
      </c>
      <c r="AI195">
        <f>IF($Q$195,$M$195*$AA$195*$U$195,0)</f>
        <v/>
      </c>
      <c r="AJ195" t="n">
        <v>44.19556321343959</v>
      </c>
      <c r="AK195">
        <f>IF($Q$195,$M$195*$AC$195*$U$195,0)</f>
        <v/>
      </c>
      <c r="AL195" t="n">
        <v>36.82963601119966</v>
      </c>
      <c r="AM195">
        <f>IF($Q$195,$M$195*$AE$195*$U$195,0)</f>
        <v/>
      </c>
      <c r="AN195" t="n">
        <v>18.41481800559983</v>
      </c>
      <c r="AO195">
        <f>IF($Q$195,$M$195*$AC$195*$Y$195,0)</f>
        <v/>
      </c>
      <c r="AP195" t="n">
        <v>55.24445401679949</v>
      </c>
      <c r="AQ195">
        <f>IF($S$195,$M$195*$AG$195*$W$195,0)</f>
        <v/>
      </c>
      <c r="AR195" t="n">
        <v>0</v>
      </c>
      <c r="AS195">
        <f>IF(OR(Vu_khi!$M$195="Missile",Vu_khi!$M$195="Drone",AND(Vu_khi!$M$195="Rocket",OR(Vu_khi!$AM$195,Vu_khi!$D$195="guided")),Vu_khi!$AL$195,Vu_khi!$AK$195,Vu_khi!$X$195&lt;=0),FALSE,IF($B$195&gt;=0,$B$195&gt;=4,IF(Vu_khi!$M$195="Shell",Vu_khi!$AN$195&gt;=Canh_bao_vong!$D$10,IF(Vu_khi!$M$195="Bomb",Vu_khi!$AN$195&gt;=Canh_bao_vong!$D$3,IF(Vu_khi!$M$195="Rocket",Vu_khi!$AN$195&gt;=Canh_bao_vong!$D$13,FALSE)))))</f>
        <v/>
      </c>
      <c r="AT195" t="b">
        <v>0</v>
      </c>
      <c r="AU195">
        <f>IF(AND($B$195&lt;0,$AS$195),4,$B$195)</f>
        <v/>
      </c>
      <c r="AV195" t="n">
        <v>2</v>
      </c>
      <c r="AW195">
        <f>IF($AU$195&lt;4,0,MIN(MAX(0.5,Canh_bao_vong!$D$4),MAX(IF(Vu_khi!$C$195="cal_406",Canh_bao_vong!$D$7,IF($AU$195&gt;=5,Canh_bao_vong!$D$9,Canh_bao_vong!$D$8)),Canh_bao_vong!$D$2+MAX(0,Vu_khi!$X$195)/MAX(0.1,Canh_bao_vong!$D$5))))</f>
        <v/>
      </c>
      <c r="AX195" t="n">
        <v>0</v>
      </c>
      <c r="BB195" t="inlineStr">
        <is>
          <t>Assets/MachineBrigade/Resources/Data/balance.json: weapons[id=naval_76_guided] (lớp B trên 01_chien_dau/Vu_khi)</t>
        </is>
      </c>
      <c r="BC195" t="inlineStr"/>
    </row>
    <row r="196">
      <c r="A196" t="inlineStr">
        <is>
          <t>naval_100</t>
        </is>
      </c>
      <c r="B196" t="n">
        <v>2</v>
      </c>
      <c r="C196">
        <f>IF(Vu_khi!$O$196="SIMULTANEOUS",MAX(1,Vu_khi!$N$196),1)</f>
        <v/>
      </c>
      <c r="D196" t="n">
        <v>1</v>
      </c>
      <c r="E196">
        <f>IF(Vu_khi!$S$196&gt;0,Vu_khi!$S$196,Vu_khi!$P$196*$C$196)</f>
        <v/>
      </c>
      <c r="F196" t="n">
        <v>2</v>
      </c>
      <c r="G196">
        <f>IF(Vu_khi!$S$196&gt;0,(Vu_khi!$S$196-1)*Vu_khi!$R$196+Vu_khi!$T$196,Vu_khi!$R$196+(Vu_khi!$P$196-1)*Vu_khi!$Q$196)</f>
        <v/>
      </c>
      <c r="H196" t="n">
        <v>5.5</v>
      </c>
      <c r="I196">
        <f>Vu_khi!$W$196*MAX(1,$E$196)</f>
        <v/>
      </c>
      <c r="J196" t="n">
        <v>458</v>
      </c>
      <c r="K196">
        <f>IF(Vu_khi!$V$196&gt;0,Vu_khi!$V$196,MIN(28,MAX(10,Vu_khi!$U$196*Vu_khi!$R$196*0.4)))</f>
        <v/>
      </c>
      <c r="L196" t="n">
        <v>10</v>
      </c>
      <c r="M196">
        <f>IF(Vu_khi!$W$196&lt;=0,0,IF(Vu_khi!$U$196&gt;0,$I$196*Vu_khi!$U$196/(MAX(0.05,$G$196)*Vu_khi!$U$196+$K$196),$I$196/MAX(0.05,$G$196)))</f>
        <v/>
      </c>
      <c r="N196" t="n">
        <v>83.27272727272727</v>
      </c>
      <c r="O196">
        <f>OR(Vu_khi!$AG$196,Vu_khi!$AB$196&gt;0,Vu_khi!$AH$196,Vu_khi!$M$196="Bomb",Vu_khi!$M$196="Drone")</f>
        <v/>
      </c>
      <c r="P196" t="b">
        <v>0</v>
      </c>
      <c r="Q196">
        <f>AND(NOT(Vu_khi!$AJ$196),OR(Vu_khi!$AC$196="Ground",Vu_khi!$AC$196="All"))</f>
        <v/>
      </c>
      <c r="R196" t="b">
        <v>1</v>
      </c>
      <c r="S196">
        <f>AND(NOT(Vu_khi!$AJ$196),OR(Vu_khi!$AC$196="Air",Vu_khi!$AC$196="All"))</f>
        <v/>
      </c>
      <c r="T196" t="b">
        <v>0</v>
      </c>
      <c r="U196">
        <f>INDEX(Bang_sat_thuong!$B$2:$B$7,MATCH(Vu_khi!$K$196,Bang_sat_thuong!$A$2:$A$7,0))</f>
        <v/>
      </c>
      <c r="V196" t="n">
        <v>1</v>
      </c>
      <c r="W196">
        <f>INDEX(Bang_sat_thuong!$C$2:$C$7,MATCH(Vu_khi!$K$196,Bang_sat_thuong!$A$2:$A$7,0))</f>
        <v/>
      </c>
      <c r="X196" t="n">
        <v>0</v>
      </c>
      <c r="Y196">
        <f>IF(AND(Vu_khi!$AI$196,Vu_khi!$K$196="HighExplosive"),MAX(He_so_toan_cuc!$D$2,INDEX(Bang_sat_thuong!$D$2:$D$7,MATCH(Vu_khi!$K$196,Bang_sat_thuong!$A$2:$A$7,0))),INDEX(Bang_sat_thuong!$D$2:$D$7,MATCH(Vu_khi!$K$196,Bang_sat_thuong!$A$2:$A$7,0)))</f>
        <v/>
      </c>
      <c r="Z196" t="n">
        <v>1.5</v>
      </c>
      <c r="AA196">
        <f>INDEX(Bang_xuyen_giap!$C$2:$C$7,MIN(6,MAX(1,IF($O$196,MAX(1,2-(Vu_khi!$L$196-0)),2-(Vu_khi!$L$196-0))+1)))</f>
        <v/>
      </c>
      <c r="AB196" t="n">
        <v>1.2</v>
      </c>
      <c r="AC196">
        <f>INDEX(Bang_xuyen_giap!$C$2:$C$7,MIN(6,MAX(1,IF($O$196,MAX(1,2-(Vu_khi!$L$196-2)),2-(Vu_khi!$L$196-2))+1)))</f>
        <v/>
      </c>
      <c r="AD196" t="n">
        <v>1</v>
      </c>
      <c r="AE196">
        <f>INDEX(Bang_xuyen_giap!$C$2:$C$7,MIN(6,MAX(1,IF($O$196,MAX(1,2-(Vu_khi!$L$196-4)),2-(Vu_khi!$L$196-4))+1)))</f>
        <v/>
      </c>
      <c r="AF196" t="n">
        <v>0.5</v>
      </c>
      <c r="AG196">
        <f>INDEX(Bang_xuyen_giap!$C$2:$C$7,MIN(6,MAX(1,MAX(1,2-(Vu_khi!$L$196-0))+1)))</f>
        <v/>
      </c>
      <c r="AH196" t="n">
        <v>1</v>
      </c>
      <c r="AI196">
        <f>IF($Q$196,$M$196*$AA$196*$U$196,0)</f>
        <v/>
      </c>
      <c r="AJ196" t="n">
        <v>99.92727272727272</v>
      </c>
      <c r="AK196">
        <f>IF($Q$196,$M$196*$AC$196*$U$196,0)</f>
        <v/>
      </c>
      <c r="AL196" t="n">
        <v>83.27272727272727</v>
      </c>
      <c r="AM196">
        <f>IF($Q$196,$M$196*$AE$196*$U$196,0)</f>
        <v/>
      </c>
      <c r="AN196" t="n">
        <v>41.63636363636363</v>
      </c>
      <c r="AO196">
        <f>IF($Q$196,$M$196*$AC$196*$Y$196,0)</f>
        <v/>
      </c>
      <c r="AP196" t="n">
        <v>124.9090909090909</v>
      </c>
      <c r="AQ196">
        <f>IF($S$196,$M$196*$AG$196*$W$196,0)</f>
        <v/>
      </c>
      <c r="AR196" t="n">
        <v>0</v>
      </c>
      <c r="AS196">
        <f>IF(OR(Vu_khi!$M$196="Missile",Vu_khi!$M$196="Drone",AND(Vu_khi!$M$196="Rocket",OR(Vu_khi!$AM$196,Vu_khi!$D$196="guided")),Vu_khi!$AL$196,Vu_khi!$AK$196,Vu_khi!$X$196&lt;=0),FALSE,IF($B$196&gt;=0,$B$196&gt;=4,IF(Vu_khi!$M$196="Shell",Vu_khi!$AN$196&gt;=Canh_bao_vong!$D$10,IF(Vu_khi!$M$196="Bomb",Vu_khi!$AN$196&gt;=Canh_bao_vong!$D$3,IF(Vu_khi!$M$196="Rocket",Vu_khi!$AN$196&gt;=Canh_bao_vong!$D$13,FALSE)))))</f>
        <v/>
      </c>
      <c r="AT196" t="b">
        <v>0</v>
      </c>
      <c r="AU196">
        <f>IF(AND($B$196&lt;0,$AS$196),4,$B$196)</f>
        <v/>
      </c>
      <c r="AV196" t="n">
        <v>2</v>
      </c>
      <c r="AW196">
        <f>IF($AU$196&lt;4,0,MIN(MAX(0.5,Canh_bao_vong!$D$4),MAX(IF(Vu_khi!$C$196="cal_406",Canh_bao_vong!$D$7,IF($AU$196&gt;=5,Canh_bao_vong!$D$9,Canh_bao_vong!$D$8)),Canh_bao_vong!$D$2+MAX(0,Vu_khi!$X$196)/MAX(0.1,Canh_bao_vong!$D$5))))</f>
        <v/>
      </c>
      <c r="AX196" t="n">
        <v>0</v>
      </c>
      <c r="AY196" t="n">
        <v>1.925</v>
      </c>
      <c r="AZ196" t="inlineStr">
        <is>
          <t>NHANH_QUA;LECH_DOT_1</t>
        </is>
      </c>
      <c r="BA196" t="inlineStr"/>
      <c r="BB196" t="inlineStr">
        <is>
          <t>Assets/MachineBrigade/Resources/Data/balance.json: weapons[id=naval_100] (lớp B trên 01_chien_dau/Vu_khi)</t>
        </is>
      </c>
      <c r="BC196" t="inlineStr"/>
    </row>
    <row r="197">
      <c r="A197" t="inlineStr">
        <is>
          <t>naval_100_guided</t>
        </is>
      </c>
      <c r="B197" t="n">
        <v>2</v>
      </c>
      <c r="C197">
        <f>IF(Vu_khi!$O$197="SIMULTANEOUS",MAX(1,Vu_khi!$N$197),1)</f>
        <v/>
      </c>
      <c r="D197" t="n">
        <v>1</v>
      </c>
      <c r="E197">
        <f>IF(Vu_khi!$S$197&gt;0,Vu_khi!$S$197,Vu_khi!$P$197*$C$197)</f>
        <v/>
      </c>
      <c r="F197" t="n">
        <v>1</v>
      </c>
      <c r="G197">
        <f>IF(Vu_khi!$S$197&gt;0,(Vu_khi!$S$197-1)*Vu_khi!$R$197+Vu_khi!$T$197,Vu_khi!$R$197+(Vu_khi!$P$197-1)*Vu_khi!$Q$197)</f>
        <v/>
      </c>
      <c r="H197" t="n">
        <v>5</v>
      </c>
      <c r="I197">
        <f>Vu_khi!$W$197*MAX(1,$E$197)</f>
        <v/>
      </c>
      <c r="J197" t="n">
        <v>229</v>
      </c>
      <c r="K197">
        <f>IF(Vu_khi!$V$197&gt;0,Vu_khi!$V$197,MIN(28,MAX(10,Vu_khi!$U$197*Vu_khi!$R$197*0.4)))</f>
        <v/>
      </c>
      <c r="L197" t="n">
        <v>10</v>
      </c>
      <c r="M197">
        <f>IF(Vu_khi!$W$197&lt;=0,0,IF(Vu_khi!$U$197&gt;0,$I$197*Vu_khi!$U$197/(MAX(0.05,$G$197)*Vu_khi!$U$197+$K$197),$I$197/MAX(0.05,$G$197)))</f>
        <v/>
      </c>
      <c r="N197" t="n">
        <v>45.8</v>
      </c>
      <c r="O197">
        <f>OR(Vu_khi!$AG$197,Vu_khi!$AB$197&gt;0,Vu_khi!$AH$197,Vu_khi!$M$197="Bomb",Vu_khi!$M$197="Drone")</f>
        <v/>
      </c>
      <c r="P197" t="b">
        <v>0</v>
      </c>
      <c r="Q197">
        <f>AND(NOT(Vu_khi!$AJ$197),OR(Vu_khi!$AC$197="Ground",Vu_khi!$AC$197="All"))</f>
        <v/>
      </c>
      <c r="R197" t="b">
        <v>1</v>
      </c>
      <c r="S197">
        <f>AND(NOT(Vu_khi!$AJ$197),OR(Vu_khi!$AC$197="Air",Vu_khi!$AC$197="All"))</f>
        <v/>
      </c>
      <c r="T197" t="b">
        <v>0</v>
      </c>
      <c r="U197">
        <f>INDEX(Bang_sat_thuong!$B$2:$B$7,MATCH(Vu_khi!$K$197,Bang_sat_thuong!$A$2:$A$7,0))</f>
        <v/>
      </c>
      <c r="V197" t="n">
        <v>1</v>
      </c>
      <c r="W197">
        <f>INDEX(Bang_sat_thuong!$C$2:$C$7,MATCH(Vu_khi!$K$197,Bang_sat_thuong!$A$2:$A$7,0))</f>
        <v/>
      </c>
      <c r="X197" t="n">
        <v>0</v>
      </c>
      <c r="Y197">
        <f>IF(AND(Vu_khi!$AI$197,Vu_khi!$K$197="HighExplosive"),MAX(He_so_toan_cuc!$D$2,INDEX(Bang_sat_thuong!$D$2:$D$7,MATCH(Vu_khi!$K$197,Bang_sat_thuong!$A$2:$A$7,0))),INDEX(Bang_sat_thuong!$D$2:$D$7,MATCH(Vu_khi!$K$197,Bang_sat_thuong!$A$2:$A$7,0)))</f>
        <v/>
      </c>
      <c r="Z197" t="n">
        <v>1.5</v>
      </c>
      <c r="AA197">
        <f>INDEX(Bang_xuyen_giap!$C$2:$C$7,MIN(6,MAX(1,IF($O$197,MAX(1,2-(Vu_khi!$L$197-0)),2-(Vu_khi!$L$197-0))+1)))</f>
        <v/>
      </c>
      <c r="AB197" t="n">
        <v>1.2</v>
      </c>
      <c r="AC197">
        <f>INDEX(Bang_xuyen_giap!$C$2:$C$7,MIN(6,MAX(1,IF($O$197,MAX(1,2-(Vu_khi!$L$197-2)),2-(Vu_khi!$L$197-2))+1)))</f>
        <v/>
      </c>
      <c r="AD197" t="n">
        <v>1</v>
      </c>
      <c r="AE197">
        <f>INDEX(Bang_xuyen_giap!$C$2:$C$7,MIN(6,MAX(1,IF($O$197,MAX(1,2-(Vu_khi!$L$197-4)),2-(Vu_khi!$L$197-4))+1)))</f>
        <v/>
      </c>
      <c r="AF197" t="n">
        <v>0.5</v>
      </c>
      <c r="AG197">
        <f>INDEX(Bang_xuyen_giap!$C$2:$C$7,MIN(6,MAX(1,MAX(1,2-(Vu_khi!$L$197-0))+1)))</f>
        <v/>
      </c>
      <c r="AH197" t="n">
        <v>1</v>
      </c>
      <c r="AI197">
        <f>IF($Q$197,$M$197*$AA$197*$U$197,0)</f>
        <v/>
      </c>
      <c r="AJ197" t="n">
        <v>54.95999999999999</v>
      </c>
      <c r="AK197">
        <f>IF($Q$197,$M$197*$AC$197*$U$197,0)</f>
        <v/>
      </c>
      <c r="AL197" t="n">
        <v>45.8</v>
      </c>
      <c r="AM197">
        <f>IF($Q$197,$M$197*$AE$197*$U$197,0)</f>
        <v/>
      </c>
      <c r="AN197" t="n">
        <v>22.9</v>
      </c>
      <c r="AO197">
        <f>IF($Q$197,$M$197*$AC$197*$Y$197,0)</f>
        <v/>
      </c>
      <c r="AP197" t="n">
        <v>68.69999999999999</v>
      </c>
      <c r="AQ197">
        <f>IF($S$197,$M$197*$AG$197*$W$197,0)</f>
        <v/>
      </c>
      <c r="AR197" t="n">
        <v>0</v>
      </c>
      <c r="AS197">
        <f>IF(OR(Vu_khi!$M$197="Missile",Vu_khi!$M$197="Drone",AND(Vu_khi!$M$197="Rocket",OR(Vu_khi!$AM$197,Vu_khi!$D$197="guided")),Vu_khi!$AL$197,Vu_khi!$AK$197,Vu_khi!$X$197&lt;=0),FALSE,IF($B$197&gt;=0,$B$197&gt;=4,IF(Vu_khi!$M$197="Shell",Vu_khi!$AN$197&gt;=Canh_bao_vong!$D$10,IF(Vu_khi!$M$197="Bomb",Vu_khi!$AN$197&gt;=Canh_bao_vong!$D$3,IF(Vu_khi!$M$197="Rocket",Vu_khi!$AN$197&gt;=Canh_bao_vong!$D$13,FALSE)))))</f>
        <v/>
      </c>
      <c r="AT197" t="b">
        <v>0</v>
      </c>
      <c r="AU197">
        <f>IF(AND($B$197&lt;0,$AS$197),4,$B$197)</f>
        <v/>
      </c>
      <c r="AV197" t="n">
        <v>2</v>
      </c>
      <c r="AW197">
        <f>IF($AU$197&lt;4,0,MIN(MAX(0.5,Canh_bao_vong!$D$4),MAX(IF(Vu_khi!$C$197="cal_406",Canh_bao_vong!$D$7,IF($AU$197&gt;=5,Canh_bao_vong!$D$9,Canh_bao_vong!$D$8)),Canh_bao_vong!$D$2+MAX(0,Vu_khi!$X$197)/MAX(0.1,Canh_bao_vong!$D$5))))</f>
        <v/>
      </c>
      <c r="AX197" t="n">
        <v>0</v>
      </c>
      <c r="BB197" t="inlineStr">
        <is>
          <t>Assets/MachineBrigade/Resources/Data/balance.json: weapons[id=naval_100_guided] (lớp B trên 01_chien_dau/Vu_khi)</t>
        </is>
      </c>
      <c r="BC197" t="inlineStr"/>
    </row>
    <row r="198">
      <c r="A198" t="inlineStr">
        <is>
          <t>naval_127</t>
        </is>
      </c>
      <c r="B198" t="n">
        <v>3</v>
      </c>
      <c r="C198">
        <f>IF(Vu_khi!$O$198="SIMULTANEOUS",MAX(1,Vu_khi!$N$198),1)</f>
        <v/>
      </c>
      <c r="D198" t="n">
        <v>1</v>
      </c>
      <c r="E198">
        <f>IF(Vu_khi!$S$198&gt;0,Vu_khi!$S$198,Vu_khi!$P$198*$C$198)</f>
        <v/>
      </c>
      <c r="F198" t="n">
        <v>2</v>
      </c>
      <c r="G198">
        <f>IF(Vu_khi!$S$198&gt;0,(Vu_khi!$S$198-1)*Vu_khi!$R$198+Vu_khi!$T$198,Vu_khi!$R$198+(Vu_khi!$P$198-1)*Vu_khi!$Q$198)</f>
        <v/>
      </c>
      <c r="H198" t="n">
        <v>5.643</v>
      </c>
      <c r="I198">
        <f>Vu_khi!$W$198*MAX(1,$E$198)</f>
        <v/>
      </c>
      <c r="J198" t="n">
        <v>572</v>
      </c>
      <c r="K198">
        <f>IF(Vu_khi!$V$198&gt;0,Vu_khi!$V$198,MIN(28,MAX(10,Vu_khi!$U$198*Vu_khi!$R$198*0.4)))</f>
        <v/>
      </c>
      <c r="L198" t="n">
        <v>10</v>
      </c>
      <c r="M198">
        <f>IF(Vu_khi!$W$198&lt;=0,0,IF(Vu_khi!$U$198&gt;0,$I$198*Vu_khi!$U$198/(MAX(0.05,$G$198)*Vu_khi!$U$198+$K$198),$I$198/MAX(0.05,$G$198)))</f>
        <v/>
      </c>
      <c r="N198" t="n">
        <v>101.364522417154</v>
      </c>
      <c r="O198">
        <f>OR(Vu_khi!$AG$198,Vu_khi!$AB$198&gt;0,Vu_khi!$AH$198,Vu_khi!$M$198="Bomb",Vu_khi!$M$198="Drone")</f>
        <v/>
      </c>
      <c r="P198" t="b">
        <v>0</v>
      </c>
      <c r="Q198">
        <f>AND(NOT(Vu_khi!$AJ$198),OR(Vu_khi!$AC$198="Ground",Vu_khi!$AC$198="All"))</f>
        <v/>
      </c>
      <c r="R198" t="b">
        <v>1</v>
      </c>
      <c r="S198">
        <f>AND(NOT(Vu_khi!$AJ$198),OR(Vu_khi!$AC$198="Air",Vu_khi!$AC$198="All"))</f>
        <v/>
      </c>
      <c r="T198" t="b">
        <v>0</v>
      </c>
      <c r="U198">
        <f>INDEX(Bang_sat_thuong!$B$2:$B$7,MATCH(Vu_khi!$K$198,Bang_sat_thuong!$A$2:$A$7,0))</f>
        <v/>
      </c>
      <c r="V198" t="n">
        <v>1</v>
      </c>
      <c r="W198">
        <f>INDEX(Bang_sat_thuong!$C$2:$C$7,MATCH(Vu_khi!$K$198,Bang_sat_thuong!$A$2:$A$7,0))</f>
        <v/>
      </c>
      <c r="X198" t="n">
        <v>0</v>
      </c>
      <c r="Y198">
        <f>IF(AND(Vu_khi!$AI$198,Vu_khi!$K$198="HighExplosive"),MAX(He_so_toan_cuc!$D$2,INDEX(Bang_sat_thuong!$D$2:$D$7,MATCH(Vu_khi!$K$198,Bang_sat_thuong!$A$2:$A$7,0))),INDEX(Bang_sat_thuong!$D$2:$D$7,MATCH(Vu_khi!$K$198,Bang_sat_thuong!$A$2:$A$7,0)))</f>
        <v/>
      </c>
      <c r="Z198" t="n">
        <v>1.5</v>
      </c>
      <c r="AA198">
        <f>INDEX(Bang_xuyen_giap!$C$2:$C$7,MIN(6,MAX(1,IF($O$198,MAX(1,2-(Vu_khi!$L$198-0)),2-(Vu_khi!$L$198-0))+1)))</f>
        <v/>
      </c>
      <c r="AB198" t="n">
        <v>1.2</v>
      </c>
      <c r="AC198">
        <f>INDEX(Bang_xuyen_giap!$C$2:$C$7,MIN(6,MAX(1,IF($O$198,MAX(1,2-(Vu_khi!$L$198-2)),2-(Vu_khi!$L$198-2))+1)))</f>
        <v/>
      </c>
      <c r="AD198" t="n">
        <v>1</v>
      </c>
      <c r="AE198">
        <f>INDEX(Bang_xuyen_giap!$C$2:$C$7,MIN(6,MAX(1,IF($O$198,MAX(1,2-(Vu_khi!$L$198-4)),2-(Vu_khi!$L$198-4))+1)))</f>
        <v/>
      </c>
      <c r="AF198" t="n">
        <v>0.5</v>
      </c>
      <c r="AG198">
        <f>INDEX(Bang_xuyen_giap!$C$2:$C$7,MIN(6,MAX(1,MAX(1,2-(Vu_khi!$L$198-0))+1)))</f>
        <v/>
      </c>
      <c r="AH198" t="n">
        <v>1</v>
      </c>
      <c r="AI198">
        <f>IF($Q$198,$M$198*$AA$198*$U$198,0)</f>
        <v/>
      </c>
      <c r="AJ198" t="n">
        <v>121.6374269005848</v>
      </c>
      <c r="AK198">
        <f>IF($Q$198,$M$198*$AC$198*$U$198,0)</f>
        <v/>
      </c>
      <c r="AL198" t="n">
        <v>101.364522417154</v>
      </c>
      <c r="AM198">
        <f>IF($Q$198,$M$198*$AE$198*$U$198,0)</f>
        <v/>
      </c>
      <c r="AN198" t="n">
        <v>50.682261208577</v>
      </c>
      <c r="AO198">
        <f>IF($Q$198,$M$198*$AC$198*$Y$198,0)</f>
        <v/>
      </c>
      <c r="AP198" t="n">
        <v>152.046783625731</v>
      </c>
      <c r="AQ198">
        <f>IF($S$198,$M$198*$AG$198*$W$198,0)</f>
        <v/>
      </c>
      <c r="AR198" t="n">
        <v>0</v>
      </c>
      <c r="AS198">
        <f>IF(OR(Vu_khi!$M$198="Missile",Vu_khi!$M$198="Drone",AND(Vu_khi!$M$198="Rocket",OR(Vu_khi!$AM$198,Vu_khi!$D$198="guided")),Vu_khi!$AL$198,Vu_khi!$AK$198,Vu_khi!$X$198&lt;=0),FALSE,IF($B$198&gt;=0,$B$198&gt;=4,IF(Vu_khi!$M$198="Shell",Vu_khi!$AN$198&gt;=Canh_bao_vong!$D$10,IF(Vu_khi!$M$198="Bomb",Vu_khi!$AN$198&gt;=Canh_bao_vong!$D$3,IF(Vu_khi!$M$198="Rocket",Vu_khi!$AN$198&gt;=Canh_bao_vong!$D$13,FALSE)))))</f>
        <v/>
      </c>
      <c r="AT198" t="b">
        <v>0</v>
      </c>
      <c r="AU198">
        <f>IF(AND($B$198&lt;0,$AS$198),4,$B$198)</f>
        <v/>
      </c>
      <c r="AV198" t="n">
        <v>3</v>
      </c>
      <c r="AW198">
        <f>IF($AU$198&lt;4,0,MIN(MAX(0.5,Canh_bao_vong!$D$4),MAX(IF(Vu_khi!$C$198="cal_406",Canh_bao_vong!$D$7,IF($AU$198&gt;=5,Canh_bao_vong!$D$9,Canh_bao_vong!$D$8)),Canh_bao_vong!$D$2+MAX(0,Vu_khi!$X$198)/MAX(0.1,Canh_bao_vong!$D$5))))</f>
        <v/>
      </c>
      <c r="AX198" t="n">
        <v>0</v>
      </c>
      <c r="AY198" t="n">
        <v>0.65835</v>
      </c>
      <c r="AZ198" t="inlineStr">
        <is>
          <t>NHANH_QUA;LECH_DOT_1</t>
        </is>
      </c>
      <c r="BA198" t="inlineStr"/>
      <c r="BB198" t="inlineStr">
        <is>
          <t>Assets/MachineBrigade/Resources/Data/balance.json: weapons[id=naval_127] (lớp B trên 01_chien_dau/Vu_khi)</t>
        </is>
      </c>
      <c r="BC198" t="inlineStr"/>
    </row>
    <row r="199">
      <c r="A199" t="inlineStr">
        <is>
          <t>naval_130_twin</t>
        </is>
      </c>
      <c r="B199" t="n">
        <v>3</v>
      </c>
      <c r="C199">
        <f>IF(Vu_khi!$O$199="SIMULTANEOUS",MAX(1,Vu_khi!$N$199),1)</f>
        <v/>
      </c>
      <c r="D199" t="n">
        <v>2</v>
      </c>
      <c r="E199">
        <f>IF(Vu_khi!$S$199&gt;0,Vu_khi!$S$199,Vu_khi!$P$199*$C$199)</f>
        <v/>
      </c>
      <c r="F199" t="n">
        <v>2</v>
      </c>
      <c r="G199">
        <f>IF(Vu_khi!$S$199&gt;0,(Vu_khi!$S$199-1)*Vu_khi!$R$199+Vu_khi!$T$199,Vu_khi!$R$199+(Vu_khi!$P$199-1)*Vu_khi!$Q$199)</f>
        <v/>
      </c>
      <c r="H199" t="n">
        <v>4.286</v>
      </c>
      <c r="I199">
        <f>Vu_khi!$W$199*MAX(1,$E$199)</f>
        <v/>
      </c>
      <c r="J199" t="n">
        <v>1086</v>
      </c>
      <c r="K199">
        <f>IF(Vu_khi!$V$199&gt;0,Vu_khi!$V$199,MIN(28,MAX(10,Vu_khi!$U$199*Vu_khi!$R$199*0.4)))</f>
        <v/>
      </c>
      <c r="L199" t="n">
        <v>10</v>
      </c>
      <c r="M199">
        <f>IF(Vu_khi!$W$199&lt;=0,0,IF(Vu_khi!$U$199&gt;0,$I$199*Vu_khi!$U$199/(MAX(0.05,$G$199)*Vu_khi!$U$199+$K$199),$I$199/MAX(0.05,$G$199)))</f>
        <v/>
      </c>
      <c r="N199" t="n">
        <v>253.3831077928138</v>
      </c>
      <c r="O199">
        <f>OR(Vu_khi!$AG$199,Vu_khi!$AB$199&gt;0,Vu_khi!$AH$199,Vu_khi!$M$199="Bomb",Vu_khi!$M$199="Drone")</f>
        <v/>
      </c>
      <c r="P199" t="b">
        <v>0</v>
      </c>
      <c r="Q199">
        <f>AND(NOT(Vu_khi!$AJ$199),OR(Vu_khi!$AC$199="Ground",Vu_khi!$AC$199="All"))</f>
        <v/>
      </c>
      <c r="R199" t="b">
        <v>1</v>
      </c>
      <c r="S199">
        <f>AND(NOT(Vu_khi!$AJ$199),OR(Vu_khi!$AC$199="Air",Vu_khi!$AC$199="All"))</f>
        <v/>
      </c>
      <c r="T199" t="b">
        <v>0</v>
      </c>
      <c r="U199">
        <f>INDEX(Bang_sat_thuong!$B$2:$B$7,MATCH(Vu_khi!$K$199,Bang_sat_thuong!$A$2:$A$7,0))</f>
        <v/>
      </c>
      <c r="V199" t="n">
        <v>1</v>
      </c>
      <c r="W199">
        <f>INDEX(Bang_sat_thuong!$C$2:$C$7,MATCH(Vu_khi!$K$199,Bang_sat_thuong!$A$2:$A$7,0))</f>
        <v/>
      </c>
      <c r="X199" t="n">
        <v>0</v>
      </c>
      <c r="Y199">
        <f>IF(AND(Vu_khi!$AI$199,Vu_khi!$K$199="HighExplosive"),MAX(He_so_toan_cuc!$D$2,INDEX(Bang_sat_thuong!$D$2:$D$7,MATCH(Vu_khi!$K$199,Bang_sat_thuong!$A$2:$A$7,0))),INDEX(Bang_sat_thuong!$D$2:$D$7,MATCH(Vu_khi!$K$199,Bang_sat_thuong!$A$2:$A$7,0)))</f>
        <v/>
      </c>
      <c r="Z199" t="n">
        <v>1.5</v>
      </c>
      <c r="AA199">
        <f>INDEX(Bang_xuyen_giap!$C$2:$C$7,MIN(6,MAX(1,IF($O$199,MAX(1,2-(Vu_khi!$L$199-0)),2-(Vu_khi!$L$199-0))+1)))</f>
        <v/>
      </c>
      <c r="AB199" t="n">
        <v>1.2</v>
      </c>
      <c r="AC199">
        <f>INDEX(Bang_xuyen_giap!$C$2:$C$7,MIN(6,MAX(1,IF($O$199,MAX(1,2-(Vu_khi!$L$199-2)),2-(Vu_khi!$L$199-2))+1)))</f>
        <v/>
      </c>
      <c r="AD199" t="n">
        <v>1</v>
      </c>
      <c r="AE199">
        <f>INDEX(Bang_xuyen_giap!$C$2:$C$7,MIN(6,MAX(1,IF($O$199,MAX(1,2-(Vu_khi!$L$199-4)),2-(Vu_khi!$L$199-4))+1)))</f>
        <v/>
      </c>
      <c r="AF199" t="n">
        <v>0.5</v>
      </c>
      <c r="AG199">
        <f>INDEX(Bang_xuyen_giap!$C$2:$C$7,MIN(6,MAX(1,MAX(1,2-(Vu_khi!$L$199-0))+1)))</f>
        <v/>
      </c>
      <c r="AH199" t="n">
        <v>1</v>
      </c>
      <c r="AI199">
        <f>IF($Q$199,$M$199*$AA$199*$U$199,0)</f>
        <v/>
      </c>
      <c r="AJ199" t="n">
        <v>304.0597293513766</v>
      </c>
      <c r="AK199">
        <f>IF($Q$199,$M$199*$AC$199*$U$199,0)</f>
        <v/>
      </c>
      <c r="AL199" t="n">
        <v>253.3831077928138</v>
      </c>
      <c r="AM199">
        <f>IF($Q$199,$M$199*$AE$199*$U$199,0)</f>
        <v/>
      </c>
      <c r="AN199" t="n">
        <v>126.6915538964069</v>
      </c>
      <c r="AO199">
        <f>IF($Q$199,$M$199*$AC$199*$Y$199,0)</f>
        <v/>
      </c>
      <c r="AP199" t="n">
        <v>380.0746616892208</v>
      </c>
      <c r="AQ199">
        <f>IF($S$199,$M$199*$AG$199*$W$199,0)</f>
        <v/>
      </c>
      <c r="AR199" t="n">
        <v>0</v>
      </c>
      <c r="AS199">
        <f>IF(OR(Vu_khi!$M$199="Missile",Vu_khi!$M$199="Drone",AND(Vu_khi!$M$199="Rocket",OR(Vu_khi!$AM$199,Vu_khi!$D$199="guided")),Vu_khi!$AL$199,Vu_khi!$AK$199,Vu_khi!$X$199&lt;=0),FALSE,IF($B$199&gt;=0,$B$199&gt;=4,IF(Vu_khi!$M$199="Shell",Vu_khi!$AN$199&gt;=Canh_bao_vong!$D$10,IF(Vu_khi!$M$199="Bomb",Vu_khi!$AN$199&gt;=Canh_bao_vong!$D$3,IF(Vu_khi!$M$199="Rocket",Vu_khi!$AN$199&gt;=Canh_bao_vong!$D$13,FALSE)))))</f>
        <v/>
      </c>
      <c r="AT199" t="b">
        <v>0</v>
      </c>
      <c r="AU199">
        <f>IF(AND($B$199&lt;0,$AS$199),4,$B$199)</f>
        <v/>
      </c>
      <c r="AV199" t="n">
        <v>3</v>
      </c>
      <c r="AW199">
        <f>IF($AU$199&lt;4,0,MIN(MAX(0.5,Canh_bao_vong!$D$4),MAX(IF(Vu_khi!$C$199="cal_406",Canh_bao_vong!$D$7,IF($AU$199&gt;=5,Canh_bao_vong!$D$9,Canh_bao_vong!$D$8)),Canh_bao_vong!$D$2+MAX(0,Vu_khi!$X$199)/MAX(0.1,Canh_bao_vong!$D$5))))</f>
        <v/>
      </c>
      <c r="AX199" t="n">
        <v>0</v>
      </c>
      <c r="AY199" t="n">
        <v>2.000133</v>
      </c>
      <c r="AZ199" t="inlineStr">
        <is>
          <t>CHAM_QUA</t>
        </is>
      </c>
      <c r="BA199" t="b">
        <v>1</v>
      </c>
      <c r="BB199" t="inlineStr">
        <is>
          <t>Assets/MachineBrigade/Resources/Data/balance.json: weapons[id=naval_130_twin] (lớp B trên 01_chien_dau/Vu_khi)</t>
        </is>
      </c>
      <c r="BC199" t="inlineStr"/>
    </row>
    <row r="200">
      <c r="A200" t="inlineStr">
        <is>
          <t>naval_155_triple</t>
        </is>
      </c>
      <c r="B200" t="n">
        <v>3</v>
      </c>
      <c r="C200">
        <f>IF(Vu_khi!$O$200="SIMULTANEOUS",MAX(1,Vu_khi!$N$200),1)</f>
        <v/>
      </c>
      <c r="D200" t="n">
        <v>1</v>
      </c>
      <c r="E200">
        <f>IF(Vu_khi!$S$200&gt;0,Vu_khi!$S$200,Vu_khi!$P$200*$C$200)</f>
        <v/>
      </c>
      <c r="F200" t="n">
        <v>3</v>
      </c>
      <c r="G200">
        <f>IF(Vu_khi!$S$200&gt;0,(Vu_khi!$S$200-1)*Vu_khi!$R$200+Vu_khi!$T$200,Vu_khi!$R$200+(Vu_khi!$P$200-1)*Vu_khi!$Q$200)</f>
        <v/>
      </c>
      <c r="H200" t="n">
        <v>10.5</v>
      </c>
      <c r="I200">
        <f>Vu_khi!$W$200*MAX(1,$E$200)</f>
        <v/>
      </c>
      <c r="J200" t="n">
        <v>960</v>
      </c>
      <c r="K200">
        <f>IF(Vu_khi!$V$200&gt;0,Vu_khi!$V$200,MIN(28,MAX(10,Vu_khi!$U$200*Vu_khi!$R$200*0.4)))</f>
        <v/>
      </c>
      <c r="L200" t="n">
        <v>10</v>
      </c>
      <c r="M200">
        <f>IF(Vu_khi!$W$200&lt;=0,0,IF(Vu_khi!$U$200&gt;0,$I$200*Vu_khi!$U$200/(MAX(0.05,$G$200)*Vu_khi!$U$200+$K$200),$I$200/MAX(0.05,$G$200)))</f>
        <v/>
      </c>
      <c r="N200" t="n">
        <v>91.42857142857143</v>
      </c>
      <c r="O200">
        <f>OR(Vu_khi!$AG$200,Vu_khi!$AB$200&gt;0,Vu_khi!$AH$200,Vu_khi!$M$200="Bomb",Vu_khi!$M$200="Drone")</f>
        <v/>
      </c>
      <c r="P200" t="b">
        <v>0</v>
      </c>
      <c r="Q200">
        <f>AND(NOT(Vu_khi!$AJ$200),OR(Vu_khi!$AC$200="Ground",Vu_khi!$AC$200="All"))</f>
        <v/>
      </c>
      <c r="R200" t="b">
        <v>1</v>
      </c>
      <c r="S200">
        <f>AND(NOT(Vu_khi!$AJ$200),OR(Vu_khi!$AC$200="Air",Vu_khi!$AC$200="All"))</f>
        <v/>
      </c>
      <c r="T200" t="b">
        <v>0</v>
      </c>
      <c r="U200">
        <f>INDEX(Bang_sat_thuong!$B$2:$B$7,MATCH(Vu_khi!$K$200,Bang_sat_thuong!$A$2:$A$7,0))</f>
        <v/>
      </c>
      <c r="V200" t="n">
        <v>1</v>
      </c>
      <c r="W200">
        <f>INDEX(Bang_sat_thuong!$C$2:$C$7,MATCH(Vu_khi!$K$200,Bang_sat_thuong!$A$2:$A$7,0))</f>
        <v/>
      </c>
      <c r="X200" t="n">
        <v>0</v>
      </c>
      <c r="Y200">
        <f>IF(AND(Vu_khi!$AI$200,Vu_khi!$K$200="HighExplosive"),MAX(He_so_toan_cuc!$D$2,INDEX(Bang_sat_thuong!$D$2:$D$7,MATCH(Vu_khi!$K$200,Bang_sat_thuong!$A$2:$A$7,0))),INDEX(Bang_sat_thuong!$D$2:$D$7,MATCH(Vu_khi!$K$200,Bang_sat_thuong!$A$2:$A$7,0)))</f>
        <v/>
      </c>
      <c r="Z200" t="n">
        <v>1.5</v>
      </c>
      <c r="AA200">
        <f>INDEX(Bang_xuyen_giap!$C$2:$C$7,MIN(6,MAX(1,IF($O$200,MAX(1,2-(Vu_khi!$L$200-0)),2-(Vu_khi!$L$200-0))+1)))</f>
        <v/>
      </c>
      <c r="AB200" t="n">
        <v>1.2</v>
      </c>
      <c r="AC200">
        <f>INDEX(Bang_xuyen_giap!$C$2:$C$7,MIN(6,MAX(1,IF($O$200,MAX(1,2-(Vu_khi!$L$200-2)),2-(Vu_khi!$L$200-2))+1)))</f>
        <v/>
      </c>
      <c r="AD200" t="n">
        <v>1</v>
      </c>
      <c r="AE200">
        <f>INDEX(Bang_xuyen_giap!$C$2:$C$7,MIN(6,MAX(1,IF($O$200,MAX(1,2-(Vu_khi!$L$200-4)),2-(Vu_khi!$L$200-4))+1)))</f>
        <v/>
      </c>
      <c r="AF200" t="n">
        <v>0.5</v>
      </c>
      <c r="AG200">
        <f>INDEX(Bang_xuyen_giap!$C$2:$C$7,MIN(6,MAX(1,MAX(1,2-(Vu_khi!$L$200-0))+1)))</f>
        <v/>
      </c>
      <c r="AH200" t="n">
        <v>1</v>
      </c>
      <c r="AI200">
        <f>IF($Q$200,$M$200*$AA$200*$U$200,0)</f>
        <v/>
      </c>
      <c r="AJ200" t="n">
        <v>109.7142857142857</v>
      </c>
      <c r="AK200">
        <f>IF($Q$200,$M$200*$AC$200*$U$200,0)</f>
        <v/>
      </c>
      <c r="AL200" t="n">
        <v>91.42857142857143</v>
      </c>
      <c r="AM200">
        <f>IF($Q$200,$M$200*$AE$200*$U$200,0)</f>
        <v/>
      </c>
      <c r="AN200" t="n">
        <v>45.71428571428572</v>
      </c>
      <c r="AO200">
        <f>IF($Q$200,$M$200*$AC$200*$Y$200,0)</f>
        <v/>
      </c>
      <c r="AP200" t="n">
        <v>137.1428571428571</v>
      </c>
      <c r="AQ200">
        <f>IF($S$200,$M$200*$AG$200*$W$200,0)</f>
        <v/>
      </c>
      <c r="AR200" t="n">
        <v>0</v>
      </c>
      <c r="AS200">
        <f>IF(OR(Vu_khi!$M$200="Missile",Vu_khi!$M$200="Drone",AND(Vu_khi!$M$200="Rocket",OR(Vu_khi!$AM$200,Vu_khi!$D$200="guided")),Vu_khi!$AL$200,Vu_khi!$AK$200,Vu_khi!$X$200&lt;=0),FALSE,IF($B$200&gt;=0,$B$200&gt;=4,IF(Vu_khi!$M$200="Shell",Vu_khi!$AN$200&gt;=Canh_bao_vong!$D$10,IF(Vu_khi!$M$200="Bomb",Vu_khi!$AN$200&gt;=Canh_bao_vong!$D$3,IF(Vu_khi!$M$200="Rocket",Vu_khi!$AN$200&gt;=Canh_bao_vong!$D$13,FALSE)))))</f>
        <v/>
      </c>
      <c r="AT200" t="b">
        <v>0</v>
      </c>
      <c r="AU200">
        <f>IF(AND($B$200&lt;0,$AS$200),4,$B$200)</f>
        <v/>
      </c>
      <c r="AV200" t="n">
        <v>3</v>
      </c>
      <c r="AW200">
        <f>IF($AU$200&lt;4,0,MIN(MAX(0.5,Canh_bao_vong!$D$4),MAX(IF(Vu_khi!$C$200="cal_406",Canh_bao_vong!$D$7,IF($AU$200&gt;=5,Canh_bao_vong!$D$9,Canh_bao_vong!$D$8)),Canh_bao_vong!$D$2+MAX(0,Vu_khi!$X$200)/MAX(0.1,Canh_bao_vong!$D$5))))</f>
        <v/>
      </c>
      <c r="AX200" t="n">
        <v>0</v>
      </c>
      <c r="AY200" t="n">
        <v>0.6125</v>
      </c>
      <c r="AZ200" t="inlineStr">
        <is>
          <t>ok</t>
        </is>
      </c>
      <c r="BA200" t="inlineStr"/>
      <c r="BB200" t="inlineStr">
        <is>
          <t>Assets/MachineBrigade/Resources/Data/balance.json: weapons[id=naval_155_triple] (lớp B trên 01_chien_dau/Vu_khi)</t>
        </is>
      </c>
      <c r="BC200" t="inlineStr"/>
    </row>
    <row r="201">
      <c r="A201" t="inlineStr">
        <is>
          <t>naval_155_triple_guided</t>
        </is>
      </c>
      <c r="B201" t="n">
        <v>3</v>
      </c>
      <c r="C201">
        <f>IF(Vu_khi!$O$201="SIMULTANEOUS",MAX(1,Vu_khi!$N$201),1)</f>
        <v/>
      </c>
      <c r="D201" t="n">
        <v>1</v>
      </c>
      <c r="E201">
        <f>IF(Vu_khi!$S$201&gt;0,Vu_khi!$S$201,Vu_khi!$P$201*$C$201)</f>
        <v/>
      </c>
      <c r="F201" t="n">
        <v>1</v>
      </c>
      <c r="G201">
        <f>IF(Vu_khi!$S$201&gt;0,(Vu_khi!$S$201-1)*Vu_khi!$R$201+Vu_khi!$T$201,Vu_khi!$R$201+(Vu_khi!$P$201-1)*Vu_khi!$Q$201)</f>
        <v/>
      </c>
      <c r="H201" t="n">
        <v>10</v>
      </c>
      <c r="I201">
        <f>Vu_khi!$W$201*MAX(1,$E$201)</f>
        <v/>
      </c>
      <c r="J201" t="n">
        <v>320</v>
      </c>
      <c r="K201">
        <f>IF(Vu_khi!$V$201&gt;0,Vu_khi!$V$201,MIN(28,MAX(10,Vu_khi!$U$201*Vu_khi!$R$201*0.4)))</f>
        <v/>
      </c>
      <c r="L201" t="n">
        <v>10</v>
      </c>
      <c r="M201">
        <f>IF(Vu_khi!$W$201&lt;=0,0,IF(Vu_khi!$U$201&gt;0,$I$201*Vu_khi!$U$201/(MAX(0.05,$G$201)*Vu_khi!$U$201+$K$201),$I$201/MAX(0.05,$G$201)))</f>
        <v/>
      </c>
      <c r="N201" t="n">
        <v>32</v>
      </c>
      <c r="O201">
        <f>OR(Vu_khi!$AG$201,Vu_khi!$AB$201&gt;0,Vu_khi!$AH$201,Vu_khi!$M$201="Bomb",Vu_khi!$M$201="Drone")</f>
        <v/>
      </c>
      <c r="P201" t="b">
        <v>0</v>
      </c>
      <c r="Q201">
        <f>AND(NOT(Vu_khi!$AJ$201),OR(Vu_khi!$AC$201="Ground",Vu_khi!$AC$201="All"))</f>
        <v/>
      </c>
      <c r="R201" t="b">
        <v>1</v>
      </c>
      <c r="S201">
        <f>AND(NOT(Vu_khi!$AJ$201),OR(Vu_khi!$AC$201="Air",Vu_khi!$AC$201="All"))</f>
        <v/>
      </c>
      <c r="T201" t="b">
        <v>0</v>
      </c>
      <c r="U201">
        <f>INDEX(Bang_sat_thuong!$B$2:$B$7,MATCH(Vu_khi!$K$201,Bang_sat_thuong!$A$2:$A$7,0))</f>
        <v/>
      </c>
      <c r="V201" t="n">
        <v>1</v>
      </c>
      <c r="W201">
        <f>INDEX(Bang_sat_thuong!$C$2:$C$7,MATCH(Vu_khi!$K$201,Bang_sat_thuong!$A$2:$A$7,0))</f>
        <v/>
      </c>
      <c r="X201" t="n">
        <v>0</v>
      </c>
      <c r="Y201">
        <f>IF(AND(Vu_khi!$AI$201,Vu_khi!$K$201="HighExplosive"),MAX(He_so_toan_cuc!$D$2,INDEX(Bang_sat_thuong!$D$2:$D$7,MATCH(Vu_khi!$K$201,Bang_sat_thuong!$A$2:$A$7,0))),INDEX(Bang_sat_thuong!$D$2:$D$7,MATCH(Vu_khi!$K$201,Bang_sat_thuong!$A$2:$A$7,0)))</f>
        <v/>
      </c>
      <c r="Z201" t="n">
        <v>1.5</v>
      </c>
      <c r="AA201">
        <f>INDEX(Bang_xuyen_giap!$C$2:$C$7,MIN(6,MAX(1,IF($O$201,MAX(1,2-(Vu_khi!$L$201-0)),2-(Vu_khi!$L$201-0))+1)))</f>
        <v/>
      </c>
      <c r="AB201" t="n">
        <v>1.2</v>
      </c>
      <c r="AC201">
        <f>INDEX(Bang_xuyen_giap!$C$2:$C$7,MIN(6,MAX(1,IF($O$201,MAX(1,2-(Vu_khi!$L$201-2)),2-(Vu_khi!$L$201-2))+1)))</f>
        <v/>
      </c>
      <c r="AD201" t="n">
        <v>1</v>
      </c>
      <c r="AE201">
        <f>INDEX(Bang_xuyen_giap!$C$2:$C$7,MIN(6,MAX(1,IF($O$201,MAX(1,2-(Vu_khi!$L$201-4)),2-(Vu_khi!$L$201-4))+1)))</f>
        <v/>
      </c>
      <c r="AF201" t="n">
        <v>0.5</v>
      </c>
      <c r="AG201">
        <f>INDEX(Bang_xuyen_giap!$C$2:$C$7,MIN(6,MAX(1,MAX(1,2-(Vu_khi!$L$201-0))+1)))</f>
        <v/>
      </c>
      <c r="AH201" t="n">
        <v>1</v>
      </c>
      <c r="AI201">
        <f>IF($Q$201,$M$201*$AA$201*$U$201,0)</f>
        <v/>
      </c>
      <c r="AJ201" t="n">
        <v>38.4</v>
      </c>
      <c r="AK201">
        <f>IF($Q$201,$M$201*$AC$201*$U$201,0)</f>
        <v/>
      </c>
      <c r="AL201" t="n">
        <v>32</v>
      </c>
      <c r="AM201">
        <f>IF($Q$201,$M$201*$AE$201*$U$201,0)</f>
        <v/>
      </c>
      <c r="AN201" t="n">
        <v>16</v>
      </c>
      <c r="AO201">
        <f>IF($Q$201,$M$201*$AC$201*$Y$201,0)</f>
        <v/>
      </c>
      <c r="AP201" t="n">
        <v>48</v>
      </c>
      <c r="AQ201">
        <f>IF($S$201,$M$201*$AG$201*$W$201,0)</f>
        <v/>
      </c>
      <c r="AR201" t="n">
        <v>0</v>
      </c>
      <c r="AS201">
        <f>IF(OR(Vu_khi!$M$201="Missile",Vu_khi!$M$201="Drone",AND(Vu_khi!$M$201="Rocket",OR(Vu_khi!$AM$201,Vu_khi!$D$201="guided")),Vu_khi!$AL$201,Vu_khi!$AK$201,Vu_khi!$X$201&lt;=0),FALSE,IF($B$201&gt;=0,$B$201&gt;=4,IF(Vu_khi!$M$201="Shell",Vu_khi!$AN$201&gt;=Canh_bao_vong!$D$10,IF(Vu_khi!$M$201="Bomb",Vu_khi!$AN$201&gt;=Canh_bao_vong!$D$3,IF(Vu_khi!$M$201="Rocket",Vu_khi!$AN$201&gt;=Canh_bao_vong!$D$13,FALSE)))))</f>
        <v/>
      </c>
      <c r="AT201" t="b">
        <v>0</v>
      </c>
      <c r="AU201">
        <f>IF(AND($B$201&lt;0,$AS$201),4,$B$201)</f>
        <v/>
      </c>
      <c r="AV201" t="n">
        <v>3</v>
      </c>
      <c r="AW201">
        <f>IF($AU$201&lt;4,0,MIN(MAX(0.5,Canh_bao_vong!$D$4),MAX(IF(Vu_khi!$C$201="cal_406",Canh_bao_vong!$D$7,IF($AU$201&gt;=5,Canh_bao_vong!$D$9,Canh_bao_vong!$D$8)),Canh_bao_vong!$D$2+MAX(0,Vu_khi!$X$201)/MAX(0.1,Canh_bao_vong!$D$5))))</f>
        <v/>
      </c>
      <c r="AX201" t="n">
        <v>0</v>
      </c>
      <c r="BB201" t="inlineStr">
        <is>
          <t>Assets/MachineBrigade/Resources/Data/balance.json: weapons[id=naval_155_triple_guided] (lớp B trên 01_chien_dau/Vu_khi)</t>
        </is>
      </c>
      <c r="BC201" t="inlineStr"/>
    </row>
    <row r="202">
      <c r="A202" t="inlineStr">
        <is>
          <t>net_zap</t>
        </is>
      </c>
      <c r="B202" t="n">
        <v>0</v>
      </c>
      <c r="C202">
        <f>IF(Vu_khi!$O$202="SIMULTANEOUS",MAX(1,Vu_khi!$N$202),1)</f>
        <v/>
      </c>
      <c r="D202" t="n">
        <v>1</v>
      </c>
      <c r="E202">
        <f>IF(Vu_khi!$S$202&gt;0,Vu_khi!$S$202,Vu_khi!$P$202*$C$202)</f>
        <v/>
      </c>
      <c r="F202" t="n">
        <v>1</v>
      </c>
      <c r="G202">
        <f>IF(Vu_khi!$S$202&gt;0,(Vu_khi!$S$202-1)*Vu_khi!$R$202+Vu_khi!$T$202,Vu_khi!$R$202+(Vu_khi!$P$202-1)*Vu_khi!$Q$202)</f>
        <v/>
      </c>
      <c r="H202" t="n">
        <v>0.5</v>
      </c>
      <c r="I202">
        <f>Vu_khi!$W$202*MAX(1,$E$202)</f>
        <v/>
      </c>
      <c r="J202" t="n">
        <v>999</v>
      </c>
      <c r="K202">
        <f>IF(Vu_khi!$V$202&gt;0,Vu_khi!$V$202,MIN(28,MAX(10,Vu_khi!$U$202*Vu_khi!$R$202*0.4)))</f>
        <v/>
      </c>
      <c r="L202" t="n">
        <v>10</v>
      </c>
      <c r="M202">
        <f>IF(Vu_khi!$W$202&lt;=0,0,IF(Vu_khi!$U$202&gt;0,$I$202*Vu_khi!$U$202/(MAX(0.05,$G$202)*Vu_khi!$U$202+$K$202),$I$202/MAX(0.05,$G$202)))</f>
        <v/>
      </c>
      <c r="N202" t="n">
        <v>1998</v>
      </c>
      <c r="O202">
        <f>OR(Vu_khi!$AG$202,Vu_khi!$AB$202&gt;0,Vu_khi!$AH$202,Vu_khi!$M$202="Bomb",Vu_khi!$M$202="Drone")</f>
        <v/>
      </c>
      <c r="P202" t="b">
        <v>0</v>
      </c>
      <c r="Q202">
        <f>AND(NOT(Vu_khi!$AJ$202),OR(Vu_khi!$AC$202="Ground",Vu_khi!$AC$202="All"))</f>
        <v/>
      </c>
      <c r="R202" t="b">
        <v>0</v>
      </c>
      <c r="S202">
        <f>AND(NOT(Vu_khi!$AJ$202),OR(Vu_khi!$AC$202="Air",Vu_khi!$AC$202="All"))</f>
        <v/>
      </c>
      <c r="T202" t="b">
        <v>1</v>
      </c>
      <c r="U202">
        <f>INDEX(Bang_sat_thuong!$B$2:$B$7,MATCH(Vu_khi!$K$202,Bang_sat_thuong!$A$2:$A$7,0))</f>
        <v/>
      </c>
      <c r="V202" t="n">
        <v>1</v>
      </c>
      <c r="W202">
        <f>INDEX(Bang_sat_thuong!$C$2:$C$7,MATCH(Vu_khi!$K$202,Bang_sat_thuong!$A$2:$A$7,0))</f>
        <v/>
      </c>
      <c r="X202" t="n">
        <v>1.5</v>
      </c>
      <c r="Y202">
        <f>IF(AND(Vu_khi!$AI$202,Vu_khi!$K$202="HighExplosive"),MAX(He_so_toan_cuc!$D$2,INDEX(Bang_sat_thuong!$D$2:$D$7,MATCH(Vu_khi!$K$202,Bang_sat_thuong!$A$2:$A$7,0))),INDEX(Bang_sat_thuong!$D$2:$D$7,MATCH(Vu_khi!$K$202,Bang_sat_thuong!$A$2:$A$7,0)))</f>
        <v/>
      </c>
      <c r="Z202" t="n">
        <v>0.5</v>
      </c>
      <c r="AA202">
        <f>INDEX(Bang_xuyen_giap!$C$2:$C$7,MIN(6,MAX(1,IF($O$202,MAX(1,2-(Vu_khi!$L$202-0)),2-(Vu_khi!$L$202-0))+1)))</f>
        <v/>
      </c>
      <c r="AB202" t="n">
        <v>1</v>
      </c>
      <c r="AC202">
        <f>INDEX(Bang_xuyen_giap!$C$2:$C$7,MIN(6,MAX(1,IF($O$202,MAX(1,2-(Vu_khi!$L$202-2)),2-(Vu_khi!$L$202-2))+1)))</f>
        <v/>
      </c>
      <c r="AD202" t="n">
        <v>0.5</v>
      </c>
      <c r="AE202">
        <f>INDEX(Bang_xuyen_giap!$C$2:$C$7,MIN(6,MAX(1,IF($O$202,MAX(1,2-(Vu_khi!$L$202-4)),2-(Vu_khi!$L$202-4))+1)))</f>
        <v/>
      </c>
      <c r="AF202" t="n">
        <v>0.1</v>
      </c>
      <c r="AG202">
        <f>INDEX(Bang_xuyen_giap!$C$2:$C$7,MIN(6,MAX(1,MAX(1,2-(Vu_khi!$L$202-0))+1)))</f>
        <v/>
      </c>
      <c r="AH202" t="n">
        <v>1</v>
      </c>
      <c r="AI202">
        <f>IF($Q$202,$M$202*$AA$202*$U$202,0)</f>
        <v/>
      </c>
      <c r="AJ202" t="n">
        <v>0</v>
      </c>
      <c r="AK202">
        <f>IF($Q$202,$M$202*$AC$202*$U$202,0)</f>
        <v/>
      </c>
      <c r="AL202" t="n">
        <v>0</v>
      </c>
      <c r="AM202">
        <f>IF($Q$202,$M$202*$AE$202*$U$202,0)</f>
        <v/>
      </c>
      <c r="AN202" t="n">
        <v>0</v>
      </c>
      <c r="AO202">
        <f>IF($Q$202,$M$202*$AC$202*$Y$202,0)</f>
        <v/>
      </c>
      <c r="AP202" t="n">
        <v>0</v>
      </c>
      <c r="AQ202">
        <f>IF($S$202,$M$202*$AG$202*$W$202,0)</f>
        <v/>
      </c>
      <c r="AR202" t="n">
        <v>2997</v>
      </c>
      <c r="AS202">
        <f>IF(OR(Vu_khi!$M$202="Missile",Vu_khi!$M$202="Drone",AND(Vu_khi!$M$202="Rocket",OR(Vu_khi!$AM$202,Vu_khi!$D$202="guided")),Vu_khi!$AL$202,Vu_khi!$AK$202,Vu_khi!$X$202&lt;=0),FALSE,IF($B$202&gt;=0,$B$202&gt;=4,IF(Vu_khi!$M$202="Shell",Vu_khi!$AN$202&gt;=Canh_bao_vong!$D$10,IF(Vu_khi!$M$202="Bomb",Vu_khi!$AN$202&gt;=Canh_bao_vong!$D$3,IF(Vu_khi!$M$202="Rocket",Vu_khi!$AN$202&gt;=Canh_bao_vong!$D$13,FALSE)))))</f>
        <v/>
      </c>
      <c r="AT202" t="b">
        <v>0</v>
      </c>
      <c r="AU202">
        <f>IF(AND($B$202&lt;0,$AS$202),4,$B$202)</f>
        <v/>
      </c>
      <c r="AV202" t="n">
        <v>0</v>
      </c>
      <c r="AW202">
        <f>IF($AU$202&lt;4,0,MIN(MAX(0.5,Canh_bao_vong!$D$4),MAX(IF(Vu_khi!$C$202="cal_406",Canh_bao_vong!$D$7,IF($AU$202&gt;=5,Canh_bao_vong!$D$9,Canh_bao_vong!$D$8)),Canh_bao_vong!$D$2+MAX(0,Vu_khi!$X$202)/MAX(0.1,Canh_bao_vong!$D$5))))</f>
        <v/>
      </c>
      <c r="AX202" t="n">
        <v>0</v>
      </c>
      <c r="AY202" t="inlineStr"/>
      <c r="AZ202" t="inlineStr">
        <is>
          <t>ok</t>
        </is>
      </c>
      <c r="BA202" t="inlineStr"/>
      <c r="BB202" t="inlineStr">
        <is>
          <t>Assets/MachineBrigade/Resources/Data/balance.json: weapons[id=net_zap] (lớp B trên 01_chien_dau/Vu_khi)</t>
        </is>
      </c>
      <c r="BC202" t="inlineStr"/>
    </row>
    <row r="203">
      <c r="A203" t="inlineStr">
        <is>
          <t>none</t>
        </is>
      </c>
      <c r="B203" t="n">
        <v>0</v>
      </c>
      <c r="C203">
        <f>IF(Vu_khi!$O$203="SIMULTANEOUS",MAX(1,Vu_khi!$N$203),1)</f>
        <v/>
      </c>
      <c r="D203" t="n">
        <v>1</v>
      </c>
      <c r="E203">
        <f>IF(Vu_khi!$S$203&gt;0,Vu_khi!$S$203,Vu_khi!$P$203*$C$203)</f>
        <v/>
      </c>
      <c r="F203" t="n">
        <v>1</v>
      </c>
      <c r="G203">
        <f>IF(Vu_khi!$S$203&gt;0,(Vu_khi!$S$203-1)*Vu_khi!$R$203+Vu_khi!$T$203,Vu_khi!$R$203+(Vu_khi!$P$203-1)*Vu_khi!$Q$203)</f>
        <v/>
      </c>
      <c r="H203" t="n">
        <v>1</v>
      </c>
      <c r="I203">
        <f>Vu_khi!$W$203*MAX(1,$E$203)</f>
        <v/>
      </c>
      <c r="J203" t="n">
        <v>0</v>
      </c>
      <c r="K203">
        <f>IF(Vu_khi!$V$203&gt;0,Vu_khi!$V$203,MIN(28,MAX(10,Vu_khi!$U$203*Vu_khi!$R$203*0.4)))</f>
        <v/>
      </c>
      <c r="L203" t="n">
        <v>10</v>
      </c>
      <c r="M203">
        <f>IF(Vu_khi!$W$203&lt;=0,0,IF(Vu_khi!$U$203&gt;0,$I$203*Vu_khi!$U$203/(MAX(0.05,$G$203)*Vu_khi!$U$203+$K$203),$I$203/MAX(0.05,$G$203)))</f>
        <v/>
      </c>
      <c r="N203" t="n">
        <v>0</v>
      </c>
      <c r="O203">
        <f>OR(Vu_khi!$AG$203,Vu_khi!$AB$203&gt;0,Vu_khi!$AH$203,Vu_khi!$M$203="Bomb",Vu_khi!$M$203="Drone")</f>
        <v/>
      </c>
      <c r="P203" t="b">
        <v>0</v>
      </c>
      <c r="Q203">
        <f>AND(NOT(Vu_khi!$AJ$203),OR(Vu_khi!$AC$203="Ground",Vu_khi!$AC$203="All"))</f>
        <v/>
      </c>
      <c r="R203" t="b">
        <v>1</v>
      </c>
      <c r="S203">
        <f>AND(NOT(Vu_khi!$AJ$203),OR(Vu_khi!$AC$203="Air",Vu_khi!$AC$203="All"))</f>
        <v/>
      </c>
      <c r="T203" t="b">
        <v>0</v>
      </c>
      <c r="U203">
        <f>INDEX(Bang_sat_thuong!$B$2:$B$7,MATCH(Vu_khi!$K$203,Bang_sat_thuong!$A$2:$A$7,0))</f>
        <v/>
      </c>
      <c r="V203" t="n">
        <v>1</v>
      </c>
      <c r="W203">
        <f>INDEX(Bang_sat_thuong!$C$2:$C$7,MATCH(Vu_khi!$K$203,Bang_sat_thuong!$A$2:$A$7,0))</f>
        <v/>
      </c>
      <c r="X203" t="n">
        <v>0.3</v>
      </c>
      <c r="Y203">
        <f>IF(AND(Vu_khi!$AI$203,Vu_khi!$K$203="HighExplosive"),MAX(He_so_toan_cuc!$D$2,INDEX(Bang_sat_thuong!$D$2:$D$7,MATCH(Vu_khi!$K$203,Bang_sat_thuong!$A$2:$A$7,0))),INDEX(Bang_sat_thuong!$D$2:$D$7,MATCH(Vu_khi!$K$203,Bang_sat_thuong!$A$2:$A$7,0)))</f>
        <v/>
      </c>
      <c r="Z203" t="n">
        <v>0.6</v>
      </c>
      <c r="AA203">
        <f>INDEX(Bang_xuyen_giap!$C$2:$C$7,MIN(6,MAX(1,IF($O$203,MAX(1,2-(Vu_khi!$L$203-0)),2-(Vu_khi!$L$203-0))+1)))</f>
        <v/>
      </c>
      <c r="AB203" t="n">
        <v>0.85</v>
      </c>
      <c r="AC203">
        <f>INDEX(Bang_xuyen_giap!$C$2:$C$7,MIN(6,MAX(1,IF($O$203,MAX(1,2-(Vu_khi!$L$203-2)),2-(Vu_khi!$L$203-2))+1)))</f>
        <v/>
      </c>
      <c r="AD203" t="n">
        <v>0.25</v>
      </c>
      <c r="AE203">
        <f>INDEX(Bang_xuyen_giap!$C$2:$C$7,MIN(6,MAX(1,IF($O$203,MAX(1,2-(Vu_khi!$L$203-4)),2-(Vu_khi!$L$203-4))+1)))</f>
        <v/>
      </c>
      <c r="AF203" t="n">
        <v>0.1</v>
      </c>
      <c r="AG203">
        <f>INDEX(Bang_xuyen_giap!$C$2:$C$7,MIN(6,MAX(1,MAX(1,2-(Vu_khi!$L$203-0))+1)))</f>
        <v/>
      </c>
      <c r="AH203" t="n">
        <v>0.85</v>
      </c>
      <c r="AI203">
        <f>IF($Q$203,$M$203*$AA$203*$U$203,0)</f>
        <v/>
      </c>
      <c r="AJ203" t="n">
        <v>0</v>
      </c>
      <c r="AK203">
        <f>IF($Q$203,$M$203*$AC$203*$U$203,0)</f>
        <v/>
      </c>
      <c r="AL203" t="n">
        <v>0</v>
      </c>
      <c r="AM203">
        <f>IF($Q$203,$M$203*$AE$203*$U$203,0)</f>
        <v/>
      </c>
      <c r="AN203" t="n">
        <v>0</v>
      </c>
      <c r="AO203">
        <f>IF($Q$203,$M$203*$AC$203*$Y$203,0)</f>
        <v/>
      </c>
      <c r="AP203" t="n">
        <v>0</v>
      </c>
      <c r="AQ203">
        <f>IF($S$203,$M$203*$AG$203*$W$203,0)</f>
        <v/>
      </c>
      <c r="AR203" t="n">
        <v>0</v>
      </c>
      <c r="AS203">
        <f>IF(OR(Vu_khi!$M$203="Missile",Vu_khi!$M$203="Drone",AND(Vu_khi!$M$203="Rocket",OR(Vu_khi!$AM$203,Vu_khi!$D$203="guided")),Vu_khi!$AL$203,Vu_khi!$AK$203,Vu_khi!$X$203&lt;=0),FALSE,IF($B$203&gt;=0,$B$203&gt;=4,IF(Vu_khi!$M$203="Shell",Vu_khi!$AN$203&gt;=Canh_bao_vong!$D$10,IF(Vu_khi!$M$203="Bomb",Vu_khi!$AN$203&gt;=Canh_bao_vong!$D$3,IF(Vu_khi!$M$203="Rocket",Vu_khi!$AN$203&gt;=Canh_bao_vong!$D$13,FALSE)))))</f>
        <v/>
      </c>
      <c r="AT203" t="b">
        <v>0</v>
      </c>
      <c r="AU203">
        <f>IF(AND($B$203&lt;0,$AS$203),4,$B$203)</f>
        <v/>
      </c>
      <c r="AV203" t="n">
        <v>0</v>
      </c>
      <c r="AW203">
        <f>IF($AU$203&lt;4,0,MIN(MAX(0.5,Canh_bao_vong!$D$4),MAX(IF(Vu_khi!$C$203="cal_406",Canh_bao_vong!$D$7,IF($AU$203&gt;=5,Canh_bao_vong!$D$9,Canh_bao_vong!$D$8)),Canh_bao_vong!$D$2+MAX(0,Vu_khi!$X$203)/MAX(0.1,Canh_bao_vong!$D$5))))</f>
        <v/>
      </c>
      <c r="AX203" t="n">
        <v>0</v>
      </c>
      <c r="AY203" t="inlineStr"/>
      <c r="AZ203" t="inlineStr">
        <is>
          <t>ok</t>
        </is>
      </c>
      <c r="BA203" t="inlineStr"/>
      <c r="BB203" t="inlineStr">
        <is>
          <t>Assets/MachineBrigade/Resources/Data/balance.json: weapons[id=none] (lớp B trên 01_chien_dau/Vu_khi)</t>
        </is>
      </c>
      <c r="BC203" t="inlineStr"/>
    </row>
    <row r="204">
      <c r="A204" t="inlineStr">
        <is>
          <t>nyx_ags_155</t>
        </is>
      </c>
      <c r="B204" t="n">
        <v>3</v>
      </c>
      <c r="C204">
        <f>IF(Vu_khi!$O$204="SIMULTANEOUS",MAX(1,Vu_khi!$N$204),1)</f>
        <v/>
      </c>
      <c r="D204" t="n">
        <v>1</v>
      </c>
      <c r="E204">
        <f>IF(Vu_khi!$S$204&gt;0,Vu_khi!$S$204,Vu_khi!$P$204*$C$204)</f>
        <v/>
      </c>
      <c r="F204" t="n">
        <v>2</v>
      </c>
      <c r="G204">
        <f>IF(Vu_khi!$S$204&gt;0,(Vu_khi!$S$204-1)*Vu_khi!$R$204+Vu_khi!$T$204,Vu_khi!$R$204+(Vu_khi!$P$204-1)*Vu_khi!$Q$204)</f>
        <v/>
      </c>
      <c r="H204" t="n">
        <v>8.6</v>
      </c>
      <c r="I204">
        <f>Vu_khi!$W$204*MAX(1,$E$204)</f>
        <v/>
      </c>
      <c r="J204" t="n">
        <v>720</v>
      </c>
      <c r="K204">
        <f>IF(Vu_khi!$V$204&gt;0,Vu_khi!$V$204,MIN(28,MAX(10,Vu_khi!$U$204*Vu_khi!$R$204*0.4)))</f>
        <v/>
      </c>
      <c r="L204" t="n">
        <v>10</v>
      </c>
      <c r="M204">
        <f>IF(Vu_khi!$W$204&lt;=0,0,IF(Vu_khi!$U$204&gt;0,$I$204*Vu_khi!$U$204/(MAX(0.05,$G$204)*Vu_khi!$U$204+$K$204),$I$204/MAX(0.05,$G$204)))</f>
        <v/>
      </c>
      <c r="N204" t="n">
        <v>83.72093023255815</v>
      </c>
      <c r="O204">
        <f>OR(Vu_khi!$AG$204,Vu_khi!$AB$204&gt;0,Vu_khi!$AH$204,Vu_khi!$M$204="Bomb",Vu_khi!$M$204="Drone")</f>
        <v/>
      </c>
      <c r="P204" t="b">
        <v>0</v>
      </c>
      <c r="Q204">
        <f>AND(NOT(Vu_khi!$AJ$204),OR(Vu_khi!$AC$204="Ground",Vu_khi!$AC$204="All"))</f>
        <v/>
      </c>
      <c r="R204" t="b">
        <v>1</v>
      </c>
      <c r="S204">
        <f>AND(NOT(Vu_khi!$AJ$204),OR(Vu_khi!$AC$204="Air",Vu_khi!$AC$204="All"))</f>
        <v/>
      </c>
      <c r="T204" t="b">
        <v>0</v>
      </c>
      <c r="U204">
        <f>INDEX(Bang_sat_thuong!$B$2:$B$7,MATCH(Vu_khi!$K$204,Bang_sat_thuong!$A$2:$A$7,0))</f>
        <v/>
      </c>
      <c r="V204" t="n">
        <v>1</v>
      </c>
      <c r="W204">
        <f>INDEX(Bang_sat_thuong!$C$2:$C$7,MATCH(Vu_khi!$K$204,Bang_sat_thuong!$A$2:$A$7,0))</f>
        <v/>
      </c>
      <c r="X204" t="n">
        <v>0</v>
      </c>
      <c r="Y204">
        <f>IF(AND(Vu_khi!$AI$204,Vu_khi!$K$204="HighExplosive"),MAX(He_so_toan_cuc!$D$2,INDEX(Bang_sat_thuong!$D$2:$D$7,MATCH(Vu_khi!$K$204,Bang_sat_thuong!$A$2:$A$7,0))),INDEX(Bang_sat_thuong!$D$2:$D$7,MATCH(Vu_khi!$K$204,Bang_sat_thuong!$A$2:$A$7,0)))</f>
        <v/>
      </c>
      <c r="Z204" t="n">
        <v>1.5</v>
      </c>
      <c r="AA204">
        <f>INDEX(Bang_xuyen_giap!$C$2:$C$7,MIN(6,MAX(1,IF($O$204,MAX(1,2-(Vu_khi!$L$204-0)),2-(Vu_khi!$L$204-0))+1)))</f>
        <v/>
      </c>
      <c r="AB204" t="n">
        <v>1.2</v>
      </c>
      <c r="AC204">
        <f>INDEX(Bang_xuyen_giap!$C$2:$C$7,MIN(6,MAX(1,IF($O$204,MAX(1,2-(Vu_khi!$L$204-2)),2-(Vu_khi!$L$204-2))+1)))</f>
        <v/>
      </c>
      <c r="AD204" t="n">
        <v>1</v>
      </c>
      <c r="AE204">
        <f>INDEX(Bang_xuyen_giap!$C$2:$C$7,MIN(6,MAX(1,IF($O$204,MAX(1,2-(Vu_khi!$L$204-4)),2-(Vu_khi!$L$204-4))+1)))</f>
        <v/>
      </c>
      <c r="AF204" t="n">
        <v>0.5</v>
      </c>
      <c r="AG204">
        <f>INDEX(Bang_xuyen_giap!$C$2:$C$7,MIN(6,MAX(1,MAX(1,2-(Vu_khi!$L$204-0))+1)))</f>
        <v/>
      </c>
      <c r="AH204" t="n">
        <v>1</v>
      </c>
      <c r="AI204">
        <f>IF($Q$204,$M$204*$AA$204*$U$204,0)</f>
        <v/>
      </c>
      <c r="AJ204" t="n">
        <v>100.4651162790698</v>
      </c>
      <c r="AK204">
        <f>IF($Q$204,$M$204*$AC$204*$U$204,0)</f>
        <v/>
      </c>
      <c r="AL204" t="n">
        <v>83.72093023255815</v>
      </c>
      <c r="AM204">
        <f>IF($Q$204,$M$204*$AE$204*$U$204,0)</f>
        <v/>
      </c>
      <c r="AN204" t="n">
        <v>41.86046511627907</v>
      </c>
      <c r="AO204">
        <f>IF($Q$204,$M$204*$AC$204*$Y$204,0)</f>
        <v/>
      </c>
      <c r="AP204" t="n">
        <v>125.5813953488372</v>
      </c>
      <c r="AQ204">
        <f>IF($S$204,$M$204*$AG$204*$W$204,0)</f>
        <v/>
      </c>
      <c r="AR204" t="n">
        <v>0</v>
      </c>
      <c r="AS204">
        <f>IF(OR(Vu_khi!$M$204="Missile",Vu_khi!$M$204="Drone",AND(Vu_khi!$M$204="Rocket",OR(Vu_khi!$AM$204,Vu_khi!$D$204="guided")),Vu_khi!$AL$204,Vu_khi!$AK$204,Vu_khi!$X$204&lt;=0),FALSE,IF($B$204&gt;=0,$B$204&gt;=4,IF(Vu_khi!$M$204="Shell",Vu_khi!$AN$204&gt;=Canh_bao_vong!$D$10,IF(Vu_khi!$M$204="Bomb",Vu_khi!$AN$204&gt;=Canh_bao_vong!$D$3,IF(Vu_khi!$M$204="Rocket",Vu_khi!$AN$204&gt;=Canh_bao_vong!$D$13,FALSE)))))</f>
        <v/>
      </c>
      <c r="AT204" t="b">
        <v>0</v>
      </c>
      <c r="AU204">
        <f>IF(AND($B$204&lt;0,$AS$204),4,$B$204)</f>
        <v/>
      </c>
      <c r="AV204" t="n">
        <v>3</v>
      </c>
      <c r="AW204">
        <f>IF($AU$204&lt;4,0,MIN(MAX(0.5,Canh_bao_vong!$D$4),MAX(IF(Vu_khi!$C$204="cal_406",Canh_bao_vong!$D$7,IF($AU$204&gt;=5,Canh_bao_vong!$D$9,Canh_bao_vong!$D$8)),Canh_bao_vong!$D$2+MAX(0,Vu_khi!$X$204)/MAX(0.1,Canh_bao_vong!$D$5))))</f>
        <v/>
      </c>
      <c r="AX204" t="n">
        <v>0</v>
      </c>
      <c r="AY204" t="inlineStr"/>
      <c r="AZ204" t="inlineStr">
        <is>
          <t>LECH_DOT_1</t>
        </is>
      </c>
      <c r="BA204" t="b">
        <v>1</v>
      </c>
      <c r="BB204" t="inlineStr">
        <is>
          <t>Assets/MachineBrigade/Resources/Data/balance.json: weapons[id=nyx_ags_155] (lớp B trên 01_chien_dau/Vu_khi)</t>
        </is>
      </c>
      <c r="BC204" t="inlineStr"/>
    </row>
    <row r="205">
      <c r="A205" t="inlineStr">
        <is>
          <t>nyx_millennium</t>
        </is>
      </c>
      <c r="B205" t="n">
        <v>1</v>
      </c>
      <c r="C205">
        <f>IF(Vu_khi!$O$205="SIMULTANEOUS",MAX(1,Vu_khi!$N$205),1)</f>
        <v/>
      </c>
      <c r="D205" t="n">
        <v>1</v>
      </c>
      <c r="E205">
        <f>IF(Vu_khi!$S$205&gt;0,Vu_khi!$S$205,Vu_khi!$P$205*$C$205)</f>
        <v/>
      </c>
      <c r="F205" t="n">
        <v>24</v>
      </c>
      <c r="G205">
        <f>IF(Vu_khi!$S$205&gt;0,(Vu_khi!$S$205-1)*Vu_khi!$R$205+Vu_khi!$T$205,Vu_khi!$R$205+(Vu_khi!$P$205-1)*Vu_khi!$Q$205)</f>
        <v/>
      </c>
      <c r="H205" t="n">
        <v>4.18</v>
      </c>
      <c r="I205">
        <f>Vu_khi!$W$205*MAX(1,$E$205)</f>
        <v/>
      </c>
      <c r="J205" t="n">
        <v>576</v>
      </c>
      <c r="K205">
        <f>IF(Vu_khi!$V$205&gt;0,Vu_khi!$V$205,MIN(28,MAX(10,Vu_khi!$U$205*Vu_khi!$R$205*0.4)))</f>
        <v/>
      </c>
      <c r="L205" t="n">
        <v>10</v>
      </c>
      <c r="M205">
        <f>IF(Vu_khi!$W$205&lt;=0,0,IF(Vu_khi!$U$205&gt;0,$I$205*Vu_khi!$U$205/(MAX(0.05,$G$205)*Vu_khi!$U$205+$K$205),$I$205/MAX(0.05,$G$205)))</f>
        <v/>
      </c>
      <c r="N205" t="n">
        <v>137.799043062201</v>
      </c>
      <c r="O205">
        <f>OR(Vu_khi!$AG$205,Vu_khi!$AB$205&gt;0,Vu_khi!$AH$205,Vu_khi!$M$205="Bomb",Vu_khi!$M$205="Drone")</f>
        <v/>
      </c>
      <c r="P205" t="b">
        <v>0</v>
      </c>
      <c r="Q205">
        <f>AND(NOT(Vu_khi!$AJ$205),OR(Vu_khi!$AC$205="Ground",Vu_khi!$AC$205="All"))</f>
        <v/>
      </c>
      <c r="R205" t="b">
        <v>0</v>
      </c>
      <c r="S205">
        <f>AND(NOT(Vu_khi!$AJ$205),OR(Vu_khi!$AC$205="Air",Vu_khi!$AC$205="All"))</f>
        <v/>
      </c>
      <c r="T205" t="b">
        <v>1</v>
      </c>
      <c r="U205">
        <f>INDEX(Bang_sat_thuong!$B$2:$B$7,MATCH(Vu_khi!$K$205,Bang_sat_thuong!$A$2:$A$7,0))</f>
        <v/>
      </c>
      <c r="V205" t="n">
        <v>0.5</v>
      </c>
      <c r="W205">
        <f>INDEX(Bang_sat_thuong!$C$2:$C$7,MATCH(Vu_khi!$K$205,Bang_sat_thuong!$A$2:$A$7,0))</f>
        <v/>
      </c>
      <c r="X205" t="n">
        <v>1.3</v>
      </c>
      <c r="Y205">
        <f>IF(AND(Vu_khi!$AI$205,Vu_khi!$K$205="HighExplosive"),MAX(He_so_toan_cuc!$D$2,INDEX(Bang_sat_thuong!$D$2:$D$7,MATCH(Vu_khi!$K$205,Bang_sat_thuong!$A$2:$A$7,0))),INDEX(Bang_sat_thuong!$D$2:$D$7,MATCH(Vu_khi!$K$205,Bang_sat_thuong!$A$2:$A$7,0)))</f>
        <v/>
      </c>
      <c r="Z205" t="n">
        <v>0.1</v>
      </c>
      <c r="AA205">
        <f>INDEX(Bang_xuyen_giap!$C$2:$C$7,MIN(6,MAX(1,IF($O$205,MAX(1,2-(Vu_khi!$L$205-0)),2-(Vu_khi!$L$205-0))+1)))</f>
        <v/>
      </c>
      <c r="AB205" t="n">
        <v>1.2</v>
      </c>
      <c r="AC205">
        <f>INDEX(Bang_xuyen_giap!$C$2:$C$7,MIN(6,MAX(1,IF($O$205,MAX(1,2-(Vu_khi!$L$205-2)),2-(Vu_khi!$L$205-2))+1)))</f>
        <v/>
      </c>
      <c r="AD205" t="n">
        <v>0.85</v>
      </c>
      <c r="AE205">
        <f>INDEX(Bang_xuyen_giap!$C$2:$C$7,MIN(6,MAX(1,IF($O$205,MAX(1,2-(Vu_khi!$L$205-4)),2-(Vu_khi!$L$205-4))+1)))</f>
        <v/>
      </c>
      <c r="AF205" t="n">
        <v>0.25</v>
      </c>
      <c r="AG205">
        <f>INDEX(Bang_xuyen_giap!$C$2:$C$7,MIN(6,MAX(1,MAX(1,2-(Vu_khi!$L$205-0))+1)))</f>
        <v/>
      </c>
      <c r="AH205" t="n">
        <v>1</v>
      </c>
      <c r="AI205">
        <f>IF($Q$205,$M$205*$AA$205*$U$205,0)</f>
        <v/>
      </c>
      <c r="AJ205" t="n">
        <v>0</v>
      </c>
      <c r="AK205">
        <f>IF($Q$205,$M$205*$AC$205*$U$205,0)</f>
        <v/>
      </c>
      <c r="AL205" t="n">
        <v>0</v>
      </c>
      <c r="AM205">
        <f>IF($Q$205,$M$205*$AE$205*$U$205,0)</f>
        <v/>
      </c>
      <c r="AN205" t="n">
        <v>0</v>
      </c>
      <c r="AO205">
        <f>IF($Q$205,$M$205*$AC$205*$Y$205,0)</f>
        <v/>
      </c>
      <c r="AP205" t="n">
        <v>0</v>
      </c>
      <c r="AQ205">
        <f>IF($S$205,$M$205*$AG$205*$W$205,0)</f>
        <v/>
      </c>
      <c r="AR205" t="n">
        <v>179.1387559808613</v>
      </c>
      <c r="AS205">
        <f>IF(OR(Vu_khi!$M$205="Missile",Vu_khi!$M$205="Drone",AND(Vu_khi!$M$205="Rocket",OR(Vu_khi!$AM$205,Vu_khi!$D$205="guided")),Vu_khi!$AL$205,Vu_khi!$AK$205,Vu_khi!$X$205&lt;=0),FALSE,IF($B$205&gt;=0,$B$205&gt;=4,IF(Vu_khi!$M$205="Shell",Vu_khi!$AN$205&gt;=Canh_bao_vong!$D$10,IF(Vu_khi!$M$205="Bomb",Vu_khi!$AN$205&gt;=Canh_bao_vong!$D$3,IF(Vu_khi!$M$205="Rocket",Vu_khi!$AN$205&gt;=Canh_bao_vong!$D$13,FALSE)))))</f>
        <v/>
      </c>
      <c r="AT205" t="b">
        <v>0</v>
      </c>
      <c r="AU205">
        <f>IF(AND($B$205&lt;0,$AS$205),4,$B$205)</f>
        <v/>
      </c>
      <c r="AV205" t="n">
        <v>1</v>
      </c>
      <c r="AW205">
        <f>IF($AU$205&lt;4,0,MIN(MAX(0.5,Canh_bao_vong!$D$4),MAX(IF(Vu_khi!$C$205="cal_406",Canh_bao_vong!$D$7,IF($AU$205&gt;=5,Canh_bao_vong!$D$9,Canh_bao_vong!$D$8)),Canh_bao_vong!$D$2+MAX(0,Vu_khi!$X$205)/MAX(0.1,Canh_bao_vong!$D$5))))</f>
        <v/>
      </c>
      <c r="AX205" t="n">
        <v>0</v>
      </c>
      <c r="AY205" t="inlineStr"/>
      <c r="AZ205" t="inlineStr">
        <is>
          <t>LECH_DOT_1</t>
        </is>
      </c>
      <c r="BA205" t="b">
        <v>1</v>
      </c>
      <c r="BB205" t="inlineStr">
        <is>
          <t>Assets/MachineBrigade/Resources/Data/balance.json: weapons[id=nyx_millennium] (lớp B trên 01_chien_dau/Vu_khi)</t>
        </is>
      </c>
      <c r="BC205" t="inlineStr"/>
    </row>
    <row r="206">
      <c r="A206" t="inlineStr">
        <is>
          <t>nyx_tomahawk</t>
        </is>
      </c>
      <c r="B206" t="n">
        <v>4</v>
      </c>
      <c r="C206">
        <f>IF(Vu_khi!$O$206="SIMULTANEOUS",MAX(1,Vu_khi!$N$206),1)</f>
        <v/>
      </c>
      <c r="D206" t="n">
        <v>1</v>
      </c>
      <c r="E206">
        <f>IF(Vu_khi!$S$206&gt;0,Vu_khi!$S$206,Vu_khi!$P$206*$C$206)</f>
        <v/>
      </c>
      <c r="F206" t="n">
        <v>2</v>
      </c>
      <c r="G206">
        <f>IF(Vu_khi!$S$206&gt;0,(Vu_khi!$S$206-1)*Vu_khi!$R$206+Vu_khi!$T$206,Vu_khi!$R$206+(Vu_khi!$P$206-1)*Vu_khi!$Q$206)</f>
        <v/>
      </c>
      <c r="H206" t="n">
        <v>54</v>
      </c>
      <c r="I206">
        <f>Vu_khi!$W$206*MAX(1,$E$206)</f>
        <v/>
      </c>
      <c r="J206" t="n">
        <v>680</v>
      </c>
      <c r="K206">
        <f>IF(Vu_khi!$V$206&gt;0,Vu_khi!$V$206,MIN(28,MAX(10,Vu_khi!$U$206*Vu_khi!$R$206*0.4)))</f>
        <v/>
      </c>
      <c r="L206" t="n">
        <v>10</v>
      </c>
      <c r="M206">
        <f>IF(Vu_khi!$W$206&lt;=0,0,IF(Vu_khi!$U$206&gt;0,$I$206*Vu_khi!$U$206/(MAX(0.05,$G$206)*Vu_khi!$U$206+$K$206),$I$206/MAX(0.05,$G$206)))</f>
        <v/>
      </c>
      <c r="N206" t="n">
        <v>12.59259259259259</v>
      </c>
      <c r="O206">
        <f>OR(Vu_khi!$AG$206,Vu_khi!$AB$206&gt;0,Vu_khi!$AH$206,Vu_khi!$M$206="Bomb",Vu_khi!$M$206="Drone")</f>
        <v/>
      </c>
      <c r="P206" t="b">
        <v>0</v>
      </c>
      <c r="Q206">
        <f>AND(NOT(Vu_khi!$AJ$206),OR(Vu_khi!$AC$206="Ground",Vu_khi!$AC$206="All"))</f>
        <v/>
      </c>
      <c r="R206" t="b">
        <v>1</v>
      </c>
      <c r="S206">
        <f>AND(NOT(Vu_khi!$AJ$206),OR(Vu_khi!$AC$206="Air",Vu_khi!$AC$206="All"))</f>
        <v/>
      </c>
      <c r="T206" t="b">
        <v>1</v>
      </c>
      <c r="U206">
        <f>INDEX(Bang_sat_thuong!$B$2:$B$7,MATCH(Vu_khi!$K$206,Bang_sat_thuong!$A$2:$A$7,0))</f>
        <v/>
      </c>
      <c r="V206" t="n">
        <v>1</v>
      </c>
      <c r="W206">
        <f>INDEX(Bang_sat_thuong!$C$2:$C$7,MATCH(Vu_khi!$K$206,Bang_sat_thuong!$A$2:$A$7,0))</f>
        <v/>
      </c>
      <c r="X206" t="n">
        <v>0</v>
      </c>
      <c r="Y206">
        <f>IF(AND(Vu_khi!$AI$206,Vu_khi!$K$206="HighExplosive"),MAX(He_so_toan_cuc!$D$2,INDEX(Bang_sat_thuong!$D$2:$D$7,MATCH(Vu_khi!$K$206,Bang_sat_thuong!$A$2:$A$7,0))),INDEX(Bang_sat_thuong!$D$2:$D$7,MATCH(Vu_khi!$K$206,Bang_sat_thuong!$A$2:$A$7,0)))</f>
        <v/>
      </c>
      <c r="Z206" t="n">
        <v>1.5</v>
      </c>
      <c r="AA206">
        <f>INDEX(Bang_xuyen_giap!$C$2:$C$7,MIN(6,MAX(1,IF($O$206,MAX(1,2-(Vu_khi!$L$206-0)),2-(Vu_khi!$L$206-0))+1)))</f>
        <v/>
      </c>
      <c r="AB206" t="n">
        <v>1.2</v>
      </c>
      <c r="AC206">
        <f>INDEX(Bang_xuyen_giap!$C$2:$C$7,MIN(6,MAX(1,IF($O$206,MAX(1,2-(Vu_khi!$L$206-2)),2-(Vu_khi!$L$206-2))+1)))</f>
        <v/>
      </c>
      <c r="AD206" t="n">
        <v>1</v>
      </c>
      <c r="AE206">
        <f>INDEX(Bang_xuyen_giap!$C$2:$C$7,MIN(6,MAX(1,IF($O$206,MAX(1,2-(Vu_khi!$L$206-4)),2-(Vu_khi!$L$206-4))+1)))</f>
        <v/>
      </c>
      <c r="AF206" t="n">
        <v>0.5</v>
      </c>
      <c r="AG206">
        <f>INDEX(Bang_xuyen_giap!$C$2:$C$7,MIN(6,MAX(1,MAX(1,2-(Vu_khi!$L$206-0))+1)))</f>
        <v/>
      </c>
      <c r="AH206" t="n">
        <v>1</v>
      </c>
      <c r="AI206">
        <f>IF($Q$206,$M$206*$AA$206*$U$206,0)</f>
        <v/>
      </c>
      <c r="AJ206" t="n">
        <v>15.11111111111111</v>
      </c>
      <c r="AK206">
        <f>IF($Q$206,$M$206*$AC$206*$U$206,0)</f>
        <v/>
      </c>
      <c r="AL206" t="n">
        <v>12.59259259259259</v>
      </c>
      <c r="AM206">
        <f>IF($Q$206,$M$206*$AE$206*$U$206,0)</f>
        <v/>
      </c>
      <c r="AN206" t="n">
        <v>6.296296296296297</v>
      </c>
      <c r="AO206">
        <f>IF($Q$206,$M$206*$AC$206*$Y$206,0)</f>
        <v/>
      </c>
      <c r="AP206" t="n">
        <v>18.88888888888889</v>
      </c>
      <c r="AQ206">
        <f>IF($S$206,$M$206*$AG$206*$W$206,0)</f>
        <v/>
      </c>
      <c r="AR206" t="n">
        <v>0</v>
      </c>
      <c r="AS206">
        <f>IF(OR(Vu_khi!$M$206="Missile",Vu_khi!$M$206="Drone",AND(Vu_khi!$M$206="Rocket",OR(Vu_khi!$AM$206,Vu_khi!$D$206="guided")),Vu_khi!$AL$206,Vu_khi!$AK$206,Vu_khi!$X$206&lt;=0),FALSE,IF($B$206&gt;=0,$B$206&gt;=4,IF(Vu_khi!$M$206="Shell",Vu_khi!$AN$206&gt;=Canh_bao_vong!$D$10,IF(Vu_khi!$M$206="Bomb",Vu_khi!$AN$206&gt;=Canh_bao_vong!$D$3,IF(Vu_khi!$M$206="Rocket",Vu_khi!$AN$206&gt;=Canh_bao_vong!$D$13,FALSE)))))</f>
        <v/>
      </c>
      <c r="AT206" t="b">
        <v>0</v>
      </c>
      <c r="AU206">
        <f>IF(AND($B$206&lt;0,$AS$206),4,$B$206)</f>
        <v/>
      </c>
      <c r="AV206" t="n">
        <v>4</v>
      </c>
      <c r="AW206">
        <f>IF($AU$206&lt;4,0,MIN(MAX(0.5,Canh_bao_vong!$D$4),MAX(IF(Vu_khi!$C$206="cal_406",Canh_bao_vong!$D$7,IF($AU$206&gt;=5,Canh_bao_vong!$D$9,Canh_bao_vong!$D$8)),Canh_bao_vong!$D$2+MAX(0,Vu_khi!$X$206)/MAX(0.1,Canh_bao_vong!$D$5))))</f>
        <v/>
      </c>
      <c r="AX206" t="n">
        <v>2.5</v>
      </c>
      <c r="AY206" t="n">
        <v>9</v>
      </c>
      <c r="AZ206" t="inlineStr">
        <is>
          <t>CHAM_QUA</t>
        </is>
      </c>
      <c r="BA206" t="b">
        <v>1</v>
      </c>
      <c r="BB206" t="inlineStr">
        <is>
          <t>Assets/MachineBrigade/Resources/Data/balance.json: weapons[id=nyx_tomahawk] (lớp B trên 01_chien_dau/Vu_khi)</t>
        </is>
      </c>
      <c r="BC206" t="inlineStr"/>
    </row>
    <row r="207">
      <c r="A207" t="inlineStr">
        <is>
          <t>one_shot_kornet</t>
        </is>
      </c>
      <c r="B207" t="n">
        <v>2</v>
      </c>
      <c r="C207">
        <f>IF(Vu_khi!$O$207="SIMULTANEOUS",MAX(1,Vu_khi!$N$207),1)</f>
        <v/>
      </c>
      <c r="D207" t="n">
        <v>1</v>
      </c>
      <c r="E207">
        <f>IF(Vu_khi!$S$207&gt;0,Vu_khi!$S$207,Vu_khi!$P$207*$C$207)</f>
        <v/>
      </c>
      <c r="F207" t="n">
        <v>8</v>
      </c>
      <c r="G207">
        <f>IF(Vu_khi!$S$207&gt;0,(Vu_khi!$S$207-1)*Vu_khi!$R$207+Vu_khi!$T$207,Vu_khi!$R$207+(Vu_khi!$P$207-1)*Vu_khi!$Q$207)</f>
        <v/>
      </c>
      <c r="H207" t="n">
        <v>1000007.4</v>
      </c>
      <c r="I207">
        <f>Vu_khi!$W$207*MAX(1,$E$207)</f>
        <v/>
      </c>
      <c r="J207" t="n">
        <v>1840</v>
      </c>
      <c r="K207">
        <f>IF(Vu_khi!$V$207&gt;0,Vu_khi!$V$207,MIN(28,MAX(10,Vu_khi!$U$207*Vu_khi!$R$207*0.4)))</f>
        <v/>
      </c>
      <c r="L207" t="n">
        <v>10</v>
      </c>
      <c r="M207">
        <f>IF(Vu_khi!$W$207&lt;=0,0,IF(Vu_khi!$U$207&gt;0,$I$207*Vu_khi!$U$207/(MAX(0.05,$G$207)*Vu_khi!$U$207+$K$207),$I$207/MAX(0.05,$G$207)))</f>
        <v/>
      </c>
      <c r="N207" t="n">
        <v>0.001839986384100758</v>
      </c>
      <c r="O207">
        <f>OR(Vu_khi!$AG$207,Vu_khi!$AB$207&gt;0,Vu_khi!$AH$207,Vu_khi!$M$207="Bomb",Vu_khi!$M$207="Drone")</f>
        <v/>
      </c>
      <c r="P207" t="b">
        <v>0</v>
      </c>
      <c r="Q207">
        <f>AND(NOT(Vu_khi!$AJ$207),OR(Vu_khi!$AC$207="Ground",Vu_khi!$AC$207="All"))</f>
        <v/>
      </c>
      <c r="R207" t="b">
        <v>1</v>
      </c>
      <c r="S207">
        <f>AND(NOT(Vu_khi!$AJ$207),OR(Vu_khi!$AC$207="Air",Vu_khi!$AC$207="All"))</f>
        <v/>
      </c>
      <c r="T207" t="b">
        <v>0</v>
      </c>
      <c r="U207">
        <f>INDEX(Bang_sat_thuong!$B$2:$B$7,MATCH(Vu_khi!$K$207,Bang_sat_thuong!$A$2:$A$7,0))</f>
        <v/>
      </c>
      <c r="V207" t="n">
        <v>1</v>
      </c>
      <c r="W207">
        <f>INDEX(Bang_sat_thuong!$C$2:$C$7,MATCH(Vu_khi!$K$207,Bang_sat_thuong!$A$2:$A$7,0))</f>
        <v/>
      </c>
      <c r="X207" t="n">
        <v>0.3</v>
      </c>
      <c r="Y207">
        <f>IF(AND(Vu_khi!$AI$207,Vu_khi!$K$207="HighExplosive"),MAX(He_so_toan_cuc!$D$2,INDEX(Bang_sat_thuong!$D$2:$D$7,MATCH(Vu_khi!$K$207,Bang_sat_thuong!$A$2:$A$7,0))),INDEX(Bang_sat_thuong!$D$2:$D$7,MATCH(Vu_khi!$K$207,Bang_sat_thuong!$A$2:$A$7,0)))</f>
        <v/>
      </c>
      <c r="Z207" t="n">
        <v>0.6</v>
      </c>
      <c r="AA207">
        <f>INDEX(Bang_xuyen_giap!$C$2:$C$7,MIN(6,MAX(1,IF($O$207,MAX(1,2-(Vu_khi!$L$207-0)),2-(Vu_khi!$L$207-0))+1)))</f>
        <v/>
      </c>
      <c r="AB207" t="n">
        <v>1.2</v>
      </c>
      <c r="AC207">
        <f>INDEX(Bang_xuyen_giap!$C$2:$C$7,MIN(6,MAX(1,IF($O$207,MAX(1,2-(Vu_khi!$L$207-2)),2-(Vu_khi!$L$207-2))+1)))</f>
        <v/>
      </c>
      <c r="AD207" t="n">
        <v>1.2</v>
      </c>
      <c r="AE207">
        <f>INDEX(Bang_xuyen_giap!$C$2:$C$7,MIN(6,MAX(1,IF($O$207,MAX(1,2-(Vu_khi!$L$207-4)),2-(Vu_khi!$L$207-4))+1)))</f>
        <v/>
      </c>
      <c r="AF207" t="n">
        <v>0.85</v>
      </c>
      <c r="AG207">
        <f>INDEX(Bang_xuyen_giap!$C$2:$C$7,MIN(6,MAX(1,MAX(1,2-(Vu_khi!$L$207-0))+1)))</f>
        <v/>
      </c>
      <c r="AH207" t="n">
        <v>1</v>
      </c>
      <c r="AI207">
        <f>IF($Q$207,$M$207*$AA$207*$U$207,0)</f>
        <v/>
      </c>
      <c r="AJ207" t="n">
        <v>0.002207983660920909</v>
      </c>
      <c r="AK207">
        <f>IF($Q$207,$M$207*$AC$207*$U$207,0)</f>
        <v/>
      </c>
      <c r="AL207" t="n">
        <v>0.002207983660920909</v>
      </c>
      <c r="AM207">
        <f>IF($Q$207,$M$207*$AE$207*$U$207,0)</f>
        <v/>
      </c>
      <c r="AN207" t="n">
        <v>0.001563988426485644</v>
      </c>
      <c r="AO207">
        <f>IF($Q$207,$M$207*$AC$207*$Y$207,0)</f>
        <v/>
      </c>
      <c r="AP207" t="n">
        <v>0.001324790196552545</v>
      </c>
      <c r="AQ207">
        <f>IF($S$207,$M$207*$AG$207*$W$207,0)</f>
        <v/>
      </c>
      <c r="AR207" t="n">
        <v>0</v>
      </c>
      <c r="AS207">
        <f>IF(OR(Vu_khi!$M$207="Missile",Vu_khi!$M$207="Drone",AND(Vu_khi!$M$207="Rocket",OR(Vu_khi!$AM$207,Vu_khi!$D$207="guided")),Vu_khi!$AL$207,Vu_khi!$AK$207,Vu_khi!$X$207&lt;=0),FALSE,IF($B$207&gt;=0,$B$207&gt;=4,IF(Vu_khi!$M$207="Shell",Vu_khi!$AN$207&gt;=Canh_bao_vong!$D$10,IF(Vu_khi!$M$207="Bomb",Vu_khi!$AN$207&gt;=Canh_bao_vong!$D$3,IF(Vu_khi!$M$207="Rocket",Vu_khi!$AN$207&gt;=Canh_bao_vong!$D$13,FALSE)))))</f>
        <v/>
      </c>
      <c r="AT207" t="b">
        <v>0</v>
      </c>
      <c r="AU207">
        <f>IF(AND($B$207&lt;0,$AS$207),4,$B$207)</f>
        <v/>
      </c>
      <c r="AV207" t="n">
        <v>2</v>
      </c>
      <c r="AW207">
        <f>IF($AU$207&lt;4,0,MIN(MAX(0.5,Canh_bao_vong!$D$4),MAX(IF(Vu_khi!$C$207="cal_406",Canh_bao_vong!$D$7,IF($AU$207&gt;=5,Canh_bao_vong!$D$9,Canh_bao_vong!$D$8)),Canh_bao_vong!$D$2+MAX(0,Vu_khi!$X$207)/MAX(0.1,Canh_bao_vong!$D$5))))</f>
        <v/>
      </c>
      <c r="AX207" t="n">
        <v>0</v>
      </c>
      <c r="AY207" t="n">
        <v>0.06</v>
      </c>
      <c r="AZ207" t="inlineStr">
        <is>
          <t>NHANH_QUA;LECH_DOT_1</t>
        </is>
      </c>
      <c r="BA207" t="inlineStr"/>
      <c r="BB207" t="inlineStr">
        <is>
          <t>Assets/MachineBrigade/Resources/Data/balance.json: weapons[id=one_shot_kornet] (lớp B trên 01_chien_dau/Vu_khi)</t>
        </is>
      </c>
      <c r="BC207" t="inlineStr"/>
    </row>
    <row r="208">
      <c r="A208" t="inlineStr">
        <is>
          <t>orbital_laser</t>
        </is>
      </c>
      <c r="B208" t="n">
        <v>1</v>
      </c>
      <c r="C208">
        <f>IF(Vu_khi!$O$208="SIMULTANEOUS",MAX(1,Vu_khi!$N$208),1)</f>
        <v/>
      </c>
      <c r="D208" t="n">
        <v>1</v>
      </c>
      <c r="E208">
        <f>IF(Vu_khi!$S$208&gt;0,Vu_khi!$S$208,Vu_khi!$P$208*$C$208)</f>
        <v/>
      </c>
      <c r="F208" t="n">
        <v>1</v>
      </c>
      <c r="G208">
        <f>IF(Vu_khi!$S$208&gt;0,(Vu_khi!$S$208-1)*Vu_khi!$R$208+Vu_khi!$T$208,Vu_khi!$R$208+(Vu_khi!$P$208-1)*Vu_khi!$Q$208)</f>
        <v/>
      </c>
      <c r="H208" t="n">
        <v>0.1</v>
      </c>
      <c r="I208">
        <f>Vu_khi!$W$208*MAX(1,$E$208)</f>
        <v/>
      </c>
      <c r="J208" t="n">
        <v>9</v>
      </c>
      <c r="K208">
        <f>IF(Vu_khi!$V$208&gt;0,Vu_khi!$V$208,MIN(28,MAX(10,Vu_khi!$U$208*Vu_khi!$R$208*0.4)))</f>
        <v/>
      </c>
      <c r="L208" t="n">
        <v>10</v>
      </c>
      <c r="M208">
        <f>IF(Vu_khi!$W$208&lt;=0,0,IF(Vu_khi!$U$208&gt;0,$I$208*Vu_khi!$U$208/(MAX(0.05,$G$208)*Vu_khi!$U$208+$K$208),$I$208/MAX(0.05,$G$208)))</f>
        <v/>
      </c>
      <c r="N208" t="n">
        <v>90</v>
      </c>
      <c r="O208">
        <f>OR(Vu_khi!$AG$208,Vu_khi!$AB$208&gt;0,Vu_khi!$AH$208,Vu_khi!$M$208="Bomb",Vu_khi!$M$208="Drone")</f>
        <v/>
      </c>
      <c r="P208" t="b">
        <v>0</v>
      </c>
      <c r="Q208">
        <f>AND(NOT(Vu_khi!$AJ$208),OR(Vu_khi!$AC$208="Ground",Vu_khi!$AC$208="All"))</f>
        <v/>
      </c>
      <c r="R208" t="b">
        <v>1</v>
      </c>
      <c r="S208">
        <f>AND(NOT(Vu_khi!$AJ$208),OR(Vu_khi!$AC$208="Air",Vu_khi!$AC$208="All"))</f>
        <v/>
      </c>
      <c r="T208" t="b">
        <v>0</v>
      </c>
      <c r="U208">
        <f>INDEX(Bang_sat_thuong!$B$2:$B$7,MATCH(Vu_khi!$K$208,Bang_sat_thuong!$A$2:$A$7,0))</f>
        <v/>
      </c>
      <c r="V208" t="n">
        <v>1</v>
      </c>
      <c r="W208">
        <f>INDEX(Bang_sat_thuong!$C$2:$C$7,MATCH(Vu_khi!$K$208,Bang_sat_thuong!$A$2:$A$7,0))</f>
        <v/>
      </c>
      <c r="X208" t="n">
        <v>1.5</v>
      </c>
      <c r="Y208">
        <f>IF(AND(Vu_khi!$AI$208,Vu_khi!$K$208="HighExplosive"),MAX(He_so_toan_cuc!$D$2,INDEX(Bang_sat_thuong!$D$2:$D$7,MATCH(Vu_khi!$K$208,Bang_sat_thuong!$A$2:$A$7,0))),INDEX(Bang_sat_thuong!$D$2:$D$7,MATCH(Vu_khi!$K$208,Bang_sat_thuong!$A$2:$A$7,0)))</f>
        <v/>
      </c>
      <c r="Z208" t="n">
        <v>0.5</v>
      </c>
      <c r="AA208">
        <f>INDEX(Bang_xuyen_giap!$C$2:$C$7,MIN(6,MAX(1,IF($O$208,MAX(1,2-(Vu_khi!$L$208-0)),2-(Vu_khi!$L$208-0))+1)))</f>
        <v/>
      </c>
      <c r="AB208" t="n">
        <v>1.2</v>
      </c>
      <c r="AC208">
        <f>INDEX(Bang_xuyen_giap!$C$2:$C$7,MIN(6,MAX(1,IF($O$208,MAX(1,2-(Vu_khi!$L$208-2)),2-(Vu_khi!$L$208-2))+1)))</f>
        <v/>
      </c>
      <c r="AD208" t="n">
        <v>1.2</v>
      </c>
      <c r="AE208">
        <f>INDEX(Bang_xuyen_giap!$C$2:$C$7,MIN(6,MAX(1,IF($O$208,MAX(1,2-(Vu_khi!$L$208-4)),2-(Vu_khi!$L$208-4))+1)))</f>
        <v/>
      </c>
      <c r="AF208" t="n">
        <v>0.85</v>
      </c>
      <c r="AG208">
        <f>INDEX(Bang_xuyen_giap!$C$2:$C$7,MIN(6,MAX(1,MAX(1,2-(Vu_khi!$L$208-0))+1)))</f>
        <v/>
      </c>
      <c r="AH208" t="n">
        <v>1</v>
      </c>
      <c r="AI208">
        <f>IF($Q$208,$M$208*$AA$208*$U$208,0)</f>
        <v/>
      </c>
      <c r="AJ208" t="n">
        <v>108</v>
      </c>
      <c r="AK208">
        <f>IF($Q$208,$M$208*$AC$208*$U$208,0)</f>
        <v/>
      </c>
      <c r="AL208" t="n">
        <v>108</v>
      </c>
      <c r="AM208">
        <f>IF($Q$208,$M$208*$AE$208*$U$208,0)</f>
        <v/>
      </c>
      <c r="AN208" t="n">
        <v>76.5</v>
      </c>
      <c r="AO208">
        <f>IF($Q$208,$M$208*$AC$208*$Y$208,0)</f>
        <v/>
      </c>
      <c r="AP208" t="n">
        <v>54</v>
      </c>
      <c r="AQ208">
        <f>IF($S$208,$M$208*$AG$208*$W$208,0)</f>
        <v/>
      </c>
      <c r="AR208" t="n">
        <v>0</v>
      </c>
      <c r="AS208">
        <f>IF(OR(Vu_khi!$M$208="Missile",Vu_khi!$M$208="Drone",AND(Vu_khi!$M$208="Rocket",OR(Vu_khi!$AM$208,Vu_khi!$D$208="guided")),Vu_khi!$AL$208,Vu_khi!$AK$208,Vu_khi!$X$208&lt;=0),FALSE,IF($B$208&gt;=0,$B$208&gt;=4,IF(Vu_khi!$M$208="Shell",Vu_khi!$AN$208&gt;=Canh_bao_vong!$D$10,IF(Vu_khi!$M$208="Bomb",Vu_khi!$AN$208&gt;=Canh_bao_vong!$D$3,IF(Vu_khi!$M$208="Rocket",Vu_khi!$AN$208&gt;=Canh_bao_vong!$D$13,FALSE)))))</f>
        <v/>
      </c>
      <c r="AT208" t="b">
        <v>0</v>
      </c>
      <c r="AU208">
        <f>IF(AND($B$208&lt;0,$AS$208),4,$B$208)</f>
        <v/>
      </c>
      <c r="AV208" t="n">
        <v>1</v>
      </c>
      <c r="AW208">
        <f>IF($AU$208&lt;4,0,MIN(MAX(0.5,Canh_bao_vong!$D$4),MAX(IF(Vu_khi!$C$208="cal_406",Canh_bao_vong!$D$7,IF($AU$208&gt;=5,Canh_bao_vong!$D$9,Canh_bao_vong!$D$8)),Canh_bao_vong!$D$2+MAX(0,Vu_khi!$X$208)/MAX(0.1,Canh_bao_vong!$D$5))))</f>
        <v/>
      </c>
      <c r="AX208" t="n">
        <v>0</v>
      </c>
      <c r="AY208" t="inlineStr"/>
      <c r="AZ208" t="inlineStr">
        <is>
          <t>ok</t>
        </is>
      </c>
      <c r="BA208" t="inlineStr"/>
      <c r="BB208" t="inlineStr">
        <is>
          <t>Assets/MachineBrigade/Resources/Data/balance.json: weapons[id=orbital_laser] (lớp B trên 01_chien_dau/Vu_khi)</t>
        </is>
      </c>
      <c r="BC208" t="inlineStr"/>
    </row>
    <row r="209">
      <c r="A209" t="inlineStr">
        <is>
          <t>p26_bastion_b100</t>
        </is>
      </c>
      <c r="B209" t="n">
        <v>2</v>
      </c>
      <c r="C209">
        <f>IF(Vu_khi!$O$209="SIMULTANEOUS",MAX(1,Vu_khi!$N$209),1)</f>
        <v/>
      </c>
      <c r="D209" t="n">
        <v>1</v>
      </c>
      <c r="E209">
        <f>IF(Vu_khi!$S$209&gt;0,Vu_khi!$S$209,Vu_khi!$P$209*$C$209)</f>
        <v/>
      </c>
      <c r="F209" t="n">
        <v>1</v>
      </c>
      <c r="G209">
        <f>IF(Vu_khi!$S$209&gt;0,(Vu_khi!$S$209-1)*Vu_khi!$R$209+Vu_khi!$T$209,Vu_khi!$R$209+(Vu_khi!$P$209-1)*Vu_khi!$Q$209)</f>
        <v/>
      </c>
      <c r="H209" t="n">
        <v>4</v>
      </c>
      <c r="I209">
        <f>Vu_khi!$W$209*MAX(1,$E$209)</f>
        <v/>
      </c>
      <c r="J209" t="n">
        <v>240</v>
      </c>
      <c r="K209">
        <f>IF(Vu_khi!$V$209&gt;0,Vu_khi!$V$209,MIN(28,MAX(10,Vu_khi!$U$209*Vu_khi!$R$209*0.4)))</f>
        <v/>
      </c>
      <c r="L209" t="n">
        <v>10</v>
      </c>
      <c r="M209">
        <f>IF(Vu_khi!$W$209&lt;=0,0,IF(Vu_khi!$U$209&gt;0,$I$209*Vu_khi!$U$209/(MAX(0.05,$G$209)*Vu_khi!$U$209+$K$209),$I$209/MAX(0.05,$G$209)))</f>
        <v/>
      </c>
      <c r="N209" t="n">
        <v>60</v>
      </c>
      <c r="O209">
        <f>OR(Vu_khi!$AG$209,Vu_khi!$AB$209&gt;0,Vu_khi!$AH$209,Vu_khi!$M$209="Bomb",Vu_khi!$M$209="Drone")</f>
        <v/>
      </c>
      <c r="P209" t="b">
        <v>0</v>
      </c>
      <c r="Q209">
        <f>AND(NOT(Vu_khi!$AJ$209),OR(Vu_khi!$AC$209="Ground",Vu_khi!$AC$209="All"))</f>
        <v/>
      </c>
      <c r="R209" t="b">
        <v>1</v>
      </c>
      <c r="S209">
        <f>AND(NOT(Vu_khi!$AJ$209),OR(Vu_khi!$AC$209="Air",Vu_khi!$AC$209="All"))</f>
        <v/>
      </c>
      <c r="T209" t="b">
        <v>0</v>
      </c>
      <c r="U209">
        <f>INDEX(Bang_sat_thuong!$B$2:$B$7,MATCH(Vu_khi!$K$209,Bang_sat_thuong!$A$2:$A$7,0))</f>
        <v/>
      </c>
      <c r="V209" t="n">
        <v>1</v>
      </c>
      <c r="W209">
        <f>INDEX(Bang_sat_thuong!$C$2:$C$7,MATCH(Vu_khi!$K$209,Bang_sat_thuong!$A$2:$A$7,0))</f>
        <v/>
      </c>
      <c r="X209" t="n">
        <v>0.3</v>
      </c>
      <c r="Y209">
        <f>IF(AND(Vu_khi!$AI$209,Vu_khi!$K$209="HighExplosive"),MAX(He_so_toan_cuc!$D$2,INDEX(Bang_sat_thuong!$D$2:$D$7,MATCH(Vu_khi!$K$209,Bang_sat_thuong!$A$2:$A$7,0))),INDEX(Bang_sat_thuong!$D$2:$D$7,MATCH(Vu_khi!$K$209,Bang_sat_thuong!$A$2:$A$7,0)))</f>
        <v/>
      </c>
      <c r="Z209" t="n">
        <v>0.6</v>
      </c>
      <c r="AA209">
        <f>INDEX(Bang_xuyen_giap!$C$2:$C$7,MIN(6,MAX(1,IF($O$209,MAX(1,2-(Vu_khi!$L$209-0)),2-(Vu_khi!$L$209-0))+1)))</f>
        <v/>
      </c>
      <c r="AB209" t="n">
        <v>1.2</v>
      </c>
      <c r="AC209">
        <f>INDEX(Bang_xuyen_giap!$C$2:$C$7,MIN(6,MAX(1,IF($O$209,MAX(1,2-(Vu_khi!$L$209-2)),2-(Vu_khi!$L$209-2))+1)))</f>
        <v/>
      </c>
      <c r="AD209" t="n">
        <v>1.2</v>
      </c>
      <c r="AE209">
        <f>INDEX(Bang_xuyen_giap!$C$2:$C$7,MIN(6,MAX(1,IF($O$209,MAX(1,2-(Vu_khi!$L$209-4)),2-(Vu_khi!$L$209-4))+1)))</f>
        <v/>
      </c>
      <c r="AF209" t="n">
        <v>1</v>
      </c>
      <c r="AG209">
        <f>INDEX(Bang_xuyen_giap!$C$2:$C$7,MIN(6,MAX(1,MAX(1,2-(Vu_khi!$L$209-0))+1)))</f>
        <v/>
      </c>
      <c r="AH209" t="n">
        <v>1</v>
      </c>
      <c r="AI209">
        <f>IF($Q$209,$M$209*$AA$209*$U$209,0)</f>
        <v/>
      </c>
      <c r="AJ209" t="n">
        <v>72</v>
      </c>
      <c r="AK209">
        <f>IF($Q$209,$M$209*$AC$209*$U$209,0)</f>
        <v/>
      </c>
      <c r="AL209" t="n">
        <v>72</v>
      </c>
      <c r="AM209">
        <f>IF($Q$209,$M$209*$AE$209*$U$209,0)</f>
        <v/>
      </c>
      <c r="AN209" t="n">
        <v>60</v>
      </c>
      <c r="AO209">
        <f>IF($Q$209,$M$209*$AC$209*$Y$209,0)</f>
        <v/>
      </c>
      <c r="AP209" t="n">
        <v>43.2</v>
      </c>
      <c r="AQ209">
        <f>IF($S$209,$M$209*$AG$209*$W$209,0)</f>
        <v/>
      </c>
      <c r="AR209" t="n">
        <v>0</v>
      </c>
      <c r="AS209">
        <f>IF(OR(Vu_khi!$M$209="Missile",Vu_khi!$M$209="Drone",AND(Vu_khi!$M$209="Rocket",OR(Vu_khi!$AM$209,Vu_khi!$D$209="guided")),Vu_khi!$AL$209,Vu_khi!$AK$209,Vu_khi!$X$209&lt;=0),FALSE,IF($B$209&gt;=0,$B$209&gt;=4,IF(Vu_khi!$M$209="Shell",Vu_khi!$AN$209&gt;=Canh_bao_vong!$D$10,IF(Vu_khi!$M$209="Bomb",Vu_khi!$AN$209&gt;=Canh_bao_vong!$D$3,IF(Vu_khi!$M$209="Rocket",Vu_khi!$AN$209&gt;=Canh_bao_vong!$D$13,FALSE)))))</f>
        <v/>
      </c>
      <c r="AT209" t="b">
        <v>0</v>
      </c>
      <c r="AU209">
        <f>IF(AND($B$209&lt;0,$AS$209),4,$B$209)</f>
        <v/>
      </c>
      <c r="AV209" t="n">
        <v>2</v>
      </c>
      <c r="AW209">
        <f>IF($AU$209&lt;4,0,MIN(MAX(0.5,Canh_bao_vong!$D$4),MAX(IF(Vu_khi!$C$209="cal_406",Canh_bao_vong!$D$7,IF($AU$209&gt;=5,Canh_bao_vong!$D$9,Canh_bao_vong!$D$8)),Canh_bao_vong!$D$2+MAX(0,Vu_khi!$X$209)/MAX(0.1,Canh_bao_vong!$D$5))))</f>
        <v/>
      </c>
      <c r="AX209" t="n">
        <v>0</v>
      </c>
      <c r="AY209" t="n">
        <v>0.326667</v>
      </c>
      <c r="AZ209" t="inlineStr">
        <is>
          <t>NHANH_QUA;LECH_DOT_1</t>
        </is>
      </c>
      <c r="BA209" t="inlineStr"/>
      <c r="BB209" t="inlineStr">
        <is>
          <t>Assets/MachineBrigade/Resources/Data/balance.json: weapons[id=p26_bastion_b100] (lớp B trên 01_chien_dau/Vu_khi)</t>
        </is>
      </c>
      <c r="BC209" t="inlineStr"/>
    </row>
    <row r="210">
      <c r="A210" t="inlineStr">
        <is>
          <t>p26_bastion_b155</t>
        </is>
      </c>
      <c r="B210" t="n">
        <v>3</v>
      </c>
      <c r="C210">
        <f>IF(Vu_khi!$O$210="SIMULTANEOUS",MAX(1,Vu_khi!$N$210),1)</f>
        <v/>
      </c>
      <c r="D210" t="n">
        <v>1</v>
      </c>
      <c r="E210">
        <f>IF(Vu_khi!$S$210&gt;0,Vu_khi!$S$210,Vu_khi!$P$210*$C$210)</f>
        <v/>
      </c>
      <c r="F210" t="n">
        <v>1</v>
      </c>
      <c r="G210">
        <f>IF(Vu_khi!$S$210&gt;0,(Vu_khi!$S$210-1)*Vu_khi!$R$210+Vu_khi!$T$210,Vu_khi!$R$210+(Vu_khi!$P$210-1)*Vu_khi!$Q$210)</f>
        <v/>
      </c>
      <c r="H210" t="n">
        <v>15</v>
      </c>
      <c r="I210">
        <f>Vu_khi!$W$210*MAX(1,$E$210)</f>
        <v/>
      </c>
      <c r="J210" t="n">
        <v>1600</v>
      </c>
      <c r="K210">
        <f>IF(Vu_khi!$V$210&gt;0,Vu_khi!$V$210,MIN(28,MAX(10,Vu_khi!$U$210*Vu_khi!$R$210*0.4)))</f>
        <v/>
      </c>
      <c r="L210" t="n">
        <v>10</v>
      </c>
      <c r="M210">
        <f>IF(Vu_khi!$W$210&lt;=0,0,IF(Vu_khi!$U$210&gt;0,$I$210*Vu_khi!$U$210/(MAX(0.05,$G$210)*Vu_khi!$U$210+$K$210),$I$210/MAX(0.05,$G$210)))</f>
        <v/>
      </c>
      <c r="N210" t="n">
        <v>106.6666666666667</v>
      </c>
      <c r="O210">
        <f>OR(Vu_khi!$AG$210,Vu_khi!$AB$210&gt;0,Vu_khi!$AH$210,Vu_khi!$M$210="Bomb",Vu_khi!$M$210="Drone")</f>
        <v/>
      </c>
      <c r="P210" t="b">
        <v>1</v>
      </c>
      <c r="Q210">
        <f>AND(NOT(Vu_khi!$AJ$210),OR(Vu_khi!$AC$210="Ground",Vu_khi!$AC$210="All"))</f>
        <v/>
      </c>
      <c r="R210" t="b">
        <v>1</v>
      </c>
      <c r="S210">
        <f>AND(NOT(Vu_khi!$AJ$210),OR(Vu_khi!$AC$210="Air",Vu_khi!$AC$210="All"))</f>
        <v/>
      </c>
      <c r="T210" t="b">
        <v>0</v>
      </c>
      <c r="U210">
        <f>INDEX(Bang_sat_thuong!$B$2:$B$7,MATCH(Vu_khi!$K$210,Bang_sat_thuong!$A$2:$A$7,0))</f>
        <v/>
      </c>
      <c r="V210" t="n">
        <v>1</v>
      </c>
      <c r="W210">
        <f>INDEX(Bang_sat_thuong!$C$2:$C$7,MATCH(Vu_khi!$K$210,Bang_sat_thuong!$A$2:$A$7,0))</f>
        <v/>
      </c>
      <c r="X210" t="n">
        <v>0</v>
      </c>
      <c r="Y210">
        <f>IF(AND(Vu_khi!$AI$210,Vu_khi!$K$210="HighExplosive"),MAX(He_so_toan_cuc!$D$2,INDEX(Bang_sat_thuong!$D$2:$D$7,MATCH(Vu_khi!$K$210,Bang_sat_thuong!$A$2:$A$7,0))),INDEX(Bang_sat_thuong!$D$2:$D$7,MATCH(Vu_khi!$K$210,Bang_sat_thuong!$A$2:$A$7,0)))</f>
        <v/>
      </c>
      <c r="Z210" t="n">
        <v>1.5</v>
      </c>
      <c r="AA210">
        <f>INDEX(Bang_xuyen_giap!$C$2:$C$7,MIN(6,MAX(1,IF($O$210,MAX(1,2-(Vu_khi!$L$210-0)),2-(Vu_khi!$L$210-0))+1)))</f>
        <v/>
      </c>
      <c r="AB210" t="n">
        <v>1</v>
      </c>
      <c r="AC210">
        <f>INDEX(Bang_xuyen_giap!$C$2:$C$7,MIN(6,MAX(1,IF($O$210,MAX(1,2-(Vu_khi!$L$210-2)),2-(Vu_khi!$L$210-2))+1)))</f>
        <v/>
      </c>
      <c r="AD210" t="n">
        <v>1</v>
      </c>
      <c r="AE210">
        <f>INDEX(Bang_xuyen_giap!$C$2:$C$7,MIN(6,MAX(1,IF($O$210,MAX(1,2-(Vu_khi!$L$210-4)),2-(Vu_khi!$L$210-4))+1)))</f>
        <v/>
      </c>
      <c r="AF210" t="n">
        <v>0.85</v>
      </c>
      <c r="AG210">
        <f>INDEX(Bang_xuyen_giap!$C$2:$C$7,MIN(6,MAX(1,MAX(1,2-(Vu_khi!$L$210-0))+1)))</f>
        <v/>
      </c>
      <c r="AH210" t="n">
        <v>1</v>
      </c>
      <c r="AI210">
        <f>IF($Q$210,$M$210*$AA$210*$U$210,0)</f>
        <v/>
      </c>
      <c r="AJ210" t="n">
        <v>106.6666666666667</v>
      </c>
      <c r="AK210">
        <f>IF($Q$210,$M$210*$AC$210*$U$210,0)</f>
        <v/>
      </c>
      <c r="AL210" t="n">
        <v>106.6666666666667</v>
      </c>
      <c r="AM210">
        <f>IF($Q$210,$M$210*$AE$210*$U$210,0)</f>
        <v/>
      </c>
      <c r="AN210" t="n">
        <v>90.66666666666667</v>
      </c>
      <c r="AO210">
        <f>IF($Q$210,$M$210*$AC$210*$Y$210,0)</f>
        <v/>
      </c>
      <c r="AP210" t="n">
        <v>160</v>
      </c>
      <c r="AQ210">
        <f>IF($S$210,$M$210*$AG$210*$W$210,0)</f>
        <v/>
      </c>
      <c r="AR210" t="n">
        <v>0</v>
      </c>
      <c r="AS210">
        <f>IF(OR(Vu_khi!$M$210="Missile",Vu_khi!$M$210="Drone",AND(Vu_khi!$M$210="Rocket",OR(Vu_khi!$AM$210,Vu_khi!$D$210="guided")),Vu_khi!$AL$210,Vu_khi!$AK$210,Vu_khi!$X$210&lt;=0),FALSE,IF($B$210&gt;=0,$B$210&gt;=4,IF(Vu_khi!$M$210="Shell",Vu_khi!$AN$210&gt;=Canh_bao_vong!$D$10,IF(Vu_khi!$M$210="Bomb",Vu_khi!$AN$210&gt;=Canh_bao_vong!$D$3,IF(Vu_khi!$M$210="Rocket",Vu_khi!$AN$210&gt;=Canh_bao_vong!$D$13,FALSE)))))</f>
        <v/>
      </c>
      <c r="AT210" t="b">
        <v>0</v>
      </c>
      <c r="AU210">
        <f>IF(AND($B$210&lt;0,$AS$210),4,$B$210)</f>
        <v/>
      </c>
      <c r="AV210" t="n">
        <v>3</v>
      </c>
      <c r="AW210">
        <f>IF($AU$210&lt;4,0,MIN(MAX(0.5,Canh_bao_vong!$D$4),MAX(IF(Vu_khi!$C$210="cal_406",Canh_bao_vong!$D$7,IF($AU$210&gt;=5,Canh_bao_vong!$D$9,Canh_bao_vong!$D$8)),Canh_bao_vong!$D$2+MAX(0,Vu_khi!$X$210)/MAX(0.1,Canh_bao_vong!$D$5))))</f>
        <v/>
      </c>
      <c r="AX210" t="n">
        <v>0</v>
      </c>
      <c r="AY210" t="n">
        <v>0.7</v>
      </c>
      <c r="AZ210" t="inlineStr">
        <is>
          <t>ok</t>
        </is>
      </c>
      <c r="BA210" t="inlineStr"/>
      <c r="BB210" t="inlineStr">
        <is>
          <t>Assets/MachineBrigade/Resources/Data/balance.json: weapons[id=p26_bastion_b155] (lớp B trên 01_chien_dau/Vu_khi)</t>
        </is>
      </c>
      <c r="BC210" t="inlineStr"/>
    </row>
    <row r="211">
      <c r="A211" t="inlineStr">
        <is>
          <t>p26_bastion_b240</t>
        </is>
      </c>
      <c r="B211" t="n">
        <v>4</v>
      </c>
      <c r="C211">
        <f>IF(Vu_khi!$O$211="SIMULTANEOUS",MAX(1,Vu_khi!$N$211),1)</f>
        <v/>
      </c>
      <c r="D211" t="n">
        <v>1</v>
      </c>
      <c r="E211">
        <f>IF(Vu_khi!$S$211&gt;0,Vu_khi!$S$211,Vu_khi!$P$211*$C$211)</f>
        <v/>
      </c>
      <c r="F211" t="n">
        <v>1</v>
      </c>
      <c r="G211">
        <f>IF(Vu_khi!$S$211&gt;0,(Vu_khi!$S$211-1)*Vu_khi!$R$211+Vu_khi!$T$211,Vu_khi!$R$211+(Vu_khi!$P$211-1)*Vu_khi!$Q$211)</f>
        <v/>
      </c>
      <c r="H211" t="n">
        <v>30</v>
      </c>
      <c r="I211">
        <f>Vu_khi!$W$211*MAX(1,$E$211)</f>
        <v/>
      </c>
      <c r="J211" t="n">
        <v>2400</v>
      </c>
      <c r="K211">
        <f>IF(Vu_khi!$V$211&gt;0,Vu_khi!$V$211,MIN(28,MAX(10,Vu_khi!$U$211*Vu_khi!$R$211*0.4)))</f>
        <v/>
      </c>
      <c r="L211" t="n">
        <v>10</v>
      </c>
      <c r="M211">
        <f>IF(Vu_khi!$W$211&lt;=0,0,IF(Vu_khi!$U$211&gt;0,$I$211*Vu_khi!$U$211/(MAX(0.05,$G$211)*Vu_khi!$U$211+$K$211),$I$211/MAX(0.05,$G$211)))</f>
        <v/>
      </c>
      <c r="N211" t="n">
        <v>80</v>
      </c>
      <c r="O211">
        <f>OR(Vu_khi!$AG$211,Vu_khi!$AB$211&gt;0,Vu_khi!$AH$211,Vu_khi!$M$211="Bomb",Vu_khi!$M$211="Drone")</f>
        <v/>
      </c>
      <c r="P211" t="b">
        <v>1</v>
      </c>
      <c r="Q211">
        <f>AND(NOT(Vu_khi!$AJ$211),OR(Vu_khi!$AC$211="Ground",Vu_khi!$AC$211="All"))</f>
        <v/>
      </c>
      <c r="R211" t="b">
        <v>1</v>
      </c>
      <c r="S211">
        <f>AND(NOT(Vu_khi!$AJ$211),OR(Vu_khi!$AC$211="Air",Vu_khi!$AC$211="All"))</f>
        <v/>
      </c>
      <c r="T211" t="b">
        <v>0</v>
      </c>
      <c r="U211">
        <f>INDEX(Bang_sat_thuong!$B$2:$B$7,MATCH(Vu_khi!$K$211,Bang_sat_thuong!$A$2:$A$7,0))</f>
        <v/>
      </c>
      <c r="V211" t="n">
        <v>1</v>
      </c>
      <c r="W211">
        <f>INDEX(Bang_sat_thuong!$C$2:$C$7,MATCH(Vu_khi!$K$211,Bang_sat_thuong!$A$2:$A$7,0))</f>
        <v/>
      </c>
      <c r="X211" t="n">
        <v>0</v>
      </c>
      <c r="Y211">
        <f>IF(AND(Vu_khi!$AI$211,Vu_khi!$K$211="HighExplosive"),MAX(He_so_toan_cuc!$D$2,INDEX(Bang_sat_thuong!$D$2:$D$7,MATCH(Vu_khi!$K$211,Bang_sat_thuong!$A$2:$A$7,0))),INDEX(Bang_sat_thuong!$D$2:$D$7,MATCH(Vu_khi!$K$211,Bang_sat_thuong!$A$2:$A$7,0)))</f>
        <v/>
      </c>
      <c r="Z211" t="n">
        <v>1.5</v>
      </c>
      <c r="AA211">
        <f>INDEX(Bang_xuyen_giap!$C$2:$C$7,MIN(6,MAX(1,IF($O$211,MAX(1,2-(Vu_khi!$L$211-0)),2-(Vu_khi!$L$211-0))+1)))</f>
        <v/>
      </c>
      <c r="AB211" t="n">
        <v>1</v>
      </c>
      <c r="AC211">
        <f>INDEX(Bang_xuyen_giap!$C$2:$C$7,MIN(6,MAX(1,IF($O$211,MAX(1,2-(Vu_khi!$L$211-2)),2-(Vu_khi!$L$211-2))+1)))</f>
        <v/>
      </c>
      <c r="AD211" t="n">
        <v>1</v>
      </c>
      <c r="AE211">
        <f>INDEX(Bang_xuyen_giap!$C$2:$C$7,MIN(6,MAX(1,IF($O$211,MAX(1,2-(Vu_khi!$L$211-4)),2-(Vu_khi!$L$211-4))+1)))</f>
        <v/>
      </c>
      <c r="AF211" t="n">
        <v>0.85</v>
      </c>
      <c r="AG211">
        <f>INDEX(Bang_xuyen_giap!$C$2:$C$7,MIN(6,MAX(1,MAX(1,2-(Vu_khi!$L$211-0))+1)))</f>
        <v/>
      </c>
      <c r="AH211" t="n">
        <v>1</v>
      </c>
      <c r="AI211">
        <f>IF($Q$211,$M$211*$AA$211*$U$211,0)</f>
        <v/>
      </c>
      <c r="AJ211" t="n">
        <v>80</v>
      </c>
      <c r="AK211">
        <f>IF($Q$211,$M$211*$AC$211*$U$211,0)</f>
        <v/>
      </c>
      <c r="AL211" t="n">
        <v>80</v>
      </c>
      <c r="AM211">
        <f>IF($Q$211,$M$211*$AE$211*$U$211,0)</f>
        <v/>
      </c>
      <c r="AN211" t="n">
        <v>68</v>
      </c>
      <c r="AO211">
        <f>IF($Q$211,$M$211*$AC$211*$Y$211,0)</f>
        <v/>
      </c>
      <c r="AP211" t="n">
        <v>120</v>
      </c>
      <c r="AQ211">
        <f>IF($S$211,$M$211*$AG$211*$W$211,0)</f>
        <v/>
      </c>
      <c r="AR211" t="n">
        <v>0</v>
      </c>
      <c r="AS211">
        <f>IF(OR(Vu_khi!$M$211="Missile",Vu_khi!$M$211="Drone",AND(Vu_khi!$M$211="Rocket",OR(Vu_khi!$AM$211,Vu_khi!$D$211="guided")),Vu_khi!$AL$211,Vu_khi!$AK$211,Vu_khi!$X$211&lt;=0),FALSE,IF($B$211&gt;=0,$B$211&gt;=4,IF(Vu_khi!$M$211="Shell",Vu_khi!$AN$211&gt;=Canh_bao_vong!$D$10,IF(Vu_khi!$M$211="Bomb",Vu_khi!$AN$211&gt;=Canh_bao_vong!$D$3,IF(Vu_khi!$M$211="Rocket",Vu_khi!$AN$211&gt;=Canh_bao_vong!$D$13,FALSE)))))</f>
        <v/>
      </c>
      <c r="AT211" t="b">
        <v>1</v>
      </c>
      <c r="AU211">
        <f>IF(AND($B$211&lt;0,$AS$211),4,$B$211)</f>
        <v/>
      </c>
      <c r="AV211" t="n">
        <v>4</v>
      </c>
      <c r="AW211">
        <f>IF($AU$211&lt;4,0,MIN(MAX(0.5,Canh_bao_vong!$D$4),MAX(IF(Vu_khi!$C$211="cal_406",Canh_bao_vong!$D$7,IF($AU$211&gt;=5,Canh_bao_vong!$D$9,Canh_bao_vong!$D$8)),Canh_bao_vong!$D$2+MAX(0,Vu_khi!$X$211)/MAX(0.1,Canh_bao_vong!$D$5))))</f>
        <v/>
      </c>
      <c r="AX211" t="n">
        <v>2.722222222222222</v>
      </c>
      <c r="AY211" t="n">
        <v>0.35</v>
      </c>
      <c r="AZ211" t="inlineStr">
        <is>
          <t>NHANH_QUA;LECH_DOT_1</t>
        </is>
      </c>
      <c r="BA211" t="inlineStr"/>
      <c r="BB211" t="inlineStr">
        <is>
          <t>Assets/MachineBrigade/Resources/Data/balance.json: weapons[id=p26_bastion_b240] (lớp B trên 01_chien_dau/Vu_khi)</t>
        </is>
      </c>
      <c r="BC211" t="inlineStr"/>
    </row>
    <row r="212">
      <c r="A212" t="inlineStr">
        <is>
          <t>p26_bastion_close_boss_hmg</t>
        </is>
      </c>
      <c r="B212" t="n">
        <v>0</v>
      </c>
      <c r="C212">
        <f>IF(Vu_khi!$O$212="SIMULTANEOUS",MAX(1,Vu_khi!$N$212),1)</f>
        <v/>
      </c>
      <c r="D212" t="n">
        <v>1</v>
      </c>
      <c r="E212">
        <f>IF(Vu_khi!$S$212&gt;0,Vu_khi!$S$212,Vu_khi!$P$212*$C$212)</f>
        <v/>
      </c>
      <c r="F212" t="n">
        <v>100</v>
      </c>
      <c r="G212">
        <f>IF(Vu_khi!$S$212&gt;0,(Vu_khi!$S$212-1)*Vu_khi!$R$212+Vu_khi!$T$212,Vu_khi!$R$212+(Vu_khi!$P$212-1)*Vu_khi!$Q$212)</f>
        <v/>
      </c>
      <c r="H212" t="n">
        <v>13.2467</v>
      </c>
      <c r="I212">
        <f>Vu_khi!$W$212*MAX(1,$E$212)</f>
        <v/>
      </c>
      <c r="J212" t="n">
        <v>1500</v>
      </c>
      <c r="K212">
        <f>IF(Vu_khi!$V$212&gt;0,Vu_khi!$V$212,MIN(28,MAX(10,Vu_khi!$U$212*Vu_khi!$R$212*0.4)))</f>
        <v/>
      </c>
      <c r="L212" t="n">
        <v>10</v>
      </c>
      <c r="M212">
        <f>IF(Vu_khi!$W$212&lt;=0,0,IF(Vu_khi!$U$212&gt;0,$I$212*Vu_khi!$U$212/(MAX(0.05,$G$212)*Vu_khi!$U$212+$K$212),$I$212/MAX(0.05,$G$212)))</f>
        <v/>
      </c>
      <c r="N212" t="n">
        <v>113.235749280953</v>
      </c>
      <c r="O212">
        <f>OR(Vu_khi!$AG$212,Vu_khi!$AB$212&gt;0,Vu_khi!$AH$212,Vu_khi!$M$212="Bomb",Vu_khi!$M$212="Drone")</f>
        <v/>
      </c>
      <c r="P212" t="b">
        <v>0</v>
      </c>
      <c r="Q212">
        <f>AND(NOT(Vu_khi!$AJ$212),OR(Vu_khi!$AC$212="Ground",Vu_khi!$AC$212="All"))</f>
        <v/>
      </c>
      <c r="R212" t="b">
        <v>1</v>
      </c>
      <c r="S212">
        <f>AND(NOT(Vu_khi!$AJ$212),OR(Vu_khi!$AC$212="Air",Vu_khi!$AC$212="All"))</f>
        <v/>
      </c>
      <c r="T212" t="b">
        <v>1</v>
      </c>
      <c r="U212">
        <f>INDEX(Bang_sat_thuong!$B$2:$B$7,MATCH(Vu_khi!$K$212,Bang_sat_thuong!$A$2:$A$7,0))</f>
        <v/>
      </c>
      <c r="V212" t="n">
        <v>1</v>
      </c>
      <c r="W212">
        <f>INDEX(Bang_sat_thuong!$C$2:$C$7,MATCH(Vu_khi!$K$212,Bang_sat_thuong!$A$2:$A$7,0))</f>
        <v/>
      </c>
      <c r="X212" t="n">
        <v>0.3</v>
      </c>
      <c r="Y212">
        <f>IF(AND(Vu_khi!$AI$212,Vu_khi!$K$212="HighExplosive"),MAX(He_so_toan_cuc!$D$2,INDEX(Bang_sat_thuong!$D$2:$D$7,MATCH(Vu_khi!$K$212,Bang_sat_thuong!$A$2:$A$7,0))),INDEX(Bang_sat_thuong!$D$2:$D$7,MATCH(Vu_khi!$K$212,Bang_sat_thuong!$A$2:$A$7,0)))</f>
        <v/>
      </c>
      <c r="Z212" t="n">
        <v>0.6</v>
      </c>
      <c r="AA212">
        <f>INDEX(Bang_xuyen_giap!$C$2:$C$7,MIN(6,MAX(1,IF($O$212,MAX(1,2-(Vu_khi!$L$212-0)),2-(Vu_khi!$L$212-0))+1)))</f>
        <v/>
      </c>
      <c r="AB212" t="n">
        <v>1</v>
      </c>
      <c r="AC212">
        <f>INDEX(Bang_xuyen_giap!$C$2:$C$7,MIN(6,MAX(1,IF($O$212,MAX(1,2-(Vu_khi!$L$212-2)),2-(Vu_khi!$L$212-2))+1)))</f>
        <v/>
      </c>
      <c r="AD212" t="n">
        <v>0.5</v>
      </c>
      <c r="AE212">
        <f>INDEX(Bang_xuyen_giap!$C$2:$C$7,MIN(6,MAX(1,IF($O$212,MAX(1,2-(Vu_khi!$L$212-4)),2-(Vu_khi!$L$212-4))+1)))</f>
        <v/>
      </c>
      <c r="AF212" t="n">
        <v>0.1</v>
      </c>
      <c r="AG212">
        <f>INDEX(Bang_xuyen_giap!$C$2:$C$7,MIN(6,MAX(1,MAX(1,2-(Vu_khi!$L$212-0))+1)))</f>
        <v/>
      </c>
      <c r="AH212" t="n">
        <v>1</v>
      </c>
      <c r="AI212">
        <f>IF($Q$212,$M$212*$AA$212*$U$212,0)</f>
        <v/>
      </c>
      <c r="AJ212" t="n">
        <v>113.235749280953</v>
      </c>
      <c r="AK212">
        <f>IF($Q$212,$M$212*$AC$212*$U$212,0)</f>
        <v/>
      </c>
      <c r="AL212" t="n">
        <v>56.61787464047649</v>
      </c>
      <c r="AM212">
        <f>IF($Q$212,$M$212*$AE$212*$U$212,0)</f>
        <v/>
      </c>
      <c r="AN212" t="n">
        <v>11.3235749280953</v>
      </c>
      <c r="AO212">
        <f>IF($Q$212,$M$212*$AC$212*$Y$212,0)</f>
        <v/>
      </c>
      <c r="AP212" t="n">
        <v>33.97072478428589</v>
      </c>
      <c r="AQ212">
        <f>IF($S$212,$M$212*$AG$212*$W$212,0)</f>
        <v/>
      </c>
      <c r="AR212" t="n">
        <v>33.97072478428589</v>
      </c>
      <c r="AS212">
        <f>IF(OR(Vu_khi!$M$212="Missile",Vu_khi!$M$212="Drone",AND(Vu_khi!$M$212="Rocket",OR(Vu_khi!$AM$212,Vu_khi!$D$212="guided")),Vu_khi!$AL$212,Vu_khi!$AK$212,Vu_khi!$X$212&lt;=0),FALSE,IF($B$212&gt;=0,$B$212&gt;=4,IF(Vu_khi!$M$212="Shell",Vu_khi!$AN$212&gt;=Canh_bao_vong!$D$10,IF(Vu_khi!$M$212="Bomb",Vu_khi!$AN$212&gt;=Canh_bao_vong!$D$3,IF(Vu_khi!$M$212="Rocket",Vu_khi!$AN$212&gt;=Canh_bao_vong!$D$13,FALSE)))))</f>
        <v/>
      </c>
      <c r="AT212" t="b">
        <v>0</v>
      </c>
      <c r="AU212">
        <f>IF(AND($B$212&lt;0,$AS$212),4,$B$212)</f>
        <v/>
      </c>
      <c r="AV212" t="n">
        <v>0</v>
      </c>
      <c r="AW212">
        <f>IF($AU$212&lt;4,0,MIN(MAX(0.5,Canh_bao_vong!$D$4),MAX(IF(Vu_khi!$C$212="cal_406",Canh_bao_vong!$D$7,IF($AU$212&gt;=5,Canh_bao_vong!$D$9,Canh_bao_vong!$D$8)),Canh_bao_vong!$D$2+MAX(0,Vu_khi!$X$212)/MAX(0.1,Canh_bao_vong!$D$5))))</f>
        <v/>
      </c>
      <c r="AX212" t="n">
        <v>0</v>
      </c>
      <c r="AY212" t="n">
        <v>1.766227</v>
      </c>
      <c r="AZ212" t="inlineStr">
        <is>
          <t>ok</t>
        </is>
      </c>
      <c r="BA212" t="b">
        <v>1</v>
      </c>
      <c r="BB212" t="inlineStr">
        <is>
          <t>Assets/MachineBrigade/Resources/Data/balance.json: weapons[id=p26_bastion_close_boss_hmg] (lớp B trên 01_chien_dau/Vu_khi)</t>
        </is>
      </c>
      <c r="BC212" t="inlineStr"/>
    </row>
    <row r="213">
      <c r="A213" t="inlineStr">
        <is>
          <t>p26_bastion_direct_b100</t>
        </is>
      </c>
      <c r="B213" t="n">
        <v>2</v>
      </c>
      <c r="C213">
        <f>IF(Vu_khi!$O$213="SIMULTANEOUS",MAX(1,Vu_khi!$N$213),1)</f>
        <v/>
      </c>
      <c r="D213" t="n">
        <v>2</v>
      </c>
      <c r="E213">
        <f>IF(Vu_khi!$S$213&gt;0,Vu_khi!$S$213,Vu_khi!$P$213*$C$213)</f>
        <v/>
      </c>
      <c r="F213" t="n">
        <v>2</v>
      </c>
      <c r="G213">
        <f>IF(Vu_khi!$S$213&gt;0,(Vu_khi!$S$213-1)*Vu_khi!$R$213+Vu_khi!$T$213,Vu_khi!$R$213+(Vu_khi!$P$213-1)*Vu_khi!$Q$213)</f>
        <v/>
      </c>
      <c r="H213" t="n">
        <v>8.6</v>
      </c>
      <c r="I213">
        <f>Vu_khi!$W$213*MAX(1,$E$213)</f>
        <v/>
      </c>
      <c r="J213" t="n">
        <v>480</v>
      </c>
      <c r="K213">
        <f>IF(Vu_khi!$V$213&gt;0,Vu_khi!$V$213,MIN(28,MAX(10,Vu_khi!$U$213*Vu_khi!$R$213*0.4)))</f>
        <v/>
      </c>
      <c r="L213" t="n">
        <v>10</v>
      </c>
      <c r="M213">
        <f>IF(Vu_khi!$W$213&lt;=0,0,IF(Vu_khi!$U$213&gt;0,$I$213*Vu_khi!$U$213/(MAX(0.05,$G$213)*Vu_khi!$U$213+$K$213),$I$213/MAX(0.05,$G$213)))</f>
        <v/>
      </c>
      <c r="N213" t="n">
        <v>55.81395348837209</v>
      </c>
      <c r="O213">
        <f>OR(Vu_khi!$AG$213,Vu_khi!$AB$213&gt;0,Vu_khi!$AH$213,Vu_khi!$M$213="Bomb",Vu_khi!$M$213="Drone")</f>
        <v/>
      </c>
      <c r="P213" t="b">
        <v>0</v>
      </c>
      <c r="Q213">
        <f>AND(NOT(Vu_khi!$AJ$213),OR(Vu_khi!$AC$213="Ground",Vu_khi!$AC$213="All"))</f>
        <v/>
      </c>
      <c r="R213" t="b">
        <v>1</v>
      </c>
      <c r="S213">
        <f>AND(NOT(Vu_khi!$AJ$213),OR(Vu_khi!$AC$213="Air",Vu_khi!$AC$213="All"))</f>
        <v/>
      </c>
      <c r="T213" t="b">
        <v>0</v>
      </c>
      <c r="U213">
        <f>INDEX(Bang_sat_thuong!$B$2:$B$7,MATCH(Vu_khi!$K$213,Bang_sat_thuong!$A$2:$A$7,0))</f>
        <v/>
      </c>
      <c r="V213" t="n">
        <v>1</v>
      </c>
      <c r="W213">
        <f>INDEX(Bang_sat_thuong!$C$2:$C$7,MATCH(Vu_khi!$K$213,Bang_sat_thuong!$A$2:$A$7,0))</f>
        <v/>
      </c>
      <c r="X213" t="n">
        <v>0.3</v>
      </c>
      <c r="Y213">
        <f>IF(AND(Vu_khi!$AI$213,Vu_khi!$K$213="HighExplosive"),MAX(He_so_toan_cuc!$D$2,INDEX(Bang_sat_thuong!$D$2:$D$7,MATCH(Vu_khi!$K$213,Bang_sat_thuong!$A$2:$A$7,0))),INDEX(Bang_sat_thuong!$D$2:$D$7,MATCH(Vu_khi!$K$213,Bang_sat_thuong!$A$2:$A$7,0)))</f>
        <v/>
      </c>
      <c r="Z213" t="n">
        <v>0.6</v>
      </c>
      <c r="AA213">
        <f>INDEX(Bang_xuyen_giap!$C$2:$C$7,MIN(6,MAX(1,IF($O$213,MAX(1,2-(Vu_khi!$L$213-0)),2-(Vu_khi!$L$213-0))+1)))</f>
        <v/>
      </c>
      <c r="AB213" t="n">
        <v>1.2</v>
      </c>
      <c r="AC213">
        <f>INDEX(Bang_xuyen_giap!$C$2:$C$7,MIN(6,MAX(1,IF($O$213,MAX(1,2-(Vu_khi!$L$213-2)),2-(Vu_khi!$L$213-2))+1)))</f>
        <v/>
      </c>
      <c r="AD213" t="n">
        <v>1.2</v>
      </c>
      <c r="AE213">
        <f>INDEX(Bang_xuyen_giap!$C$2:$C$7,MIN(6,MAX(1,IF($O$213,MAX(1,2-(Vu_khi!$L$213-4)),2-(Vu_khi!$L$213-4))+1)))</f>
        <v/>
      </c>
      <c r="AF213" t="n">
        <v>1</v>
      </c>
      <c r="AG213">
        <f>INDEX(Bang_xuyen_giap!$C$2:$C$7,MIN(6,MAX(1,MAX(1,2-(Vu_khi!$L$213-0))+1)))</f>
        <v/>
      </c>
      <c r="AH213" t="n">
        <v>1</v>
      </c>
      <c r="AI213">
        <f>IF($Q$213,$M$213*$AA$213*$U$213,0)</f>
        <v/>
      </c>
      <c r="AJ213" t="n">
        <v>66.9767441860465</v>
      </c>
      <c r="AK213">
        <f>IF($Q$213,$M$213*$AC$213*$U$213,0)</f>
        <v/>
      </c>
      <c r="AL213" t="n">
        <v>66.9767441860465</v>
      </c>
      <c r="AM213">
        <f>IF($Q$213,$M$213*$AE$213*$U$213,0)</f>
        <v/>
      </c>
      <c r="AN213" t="n">
        <v>55.81395348837209</v>
      </c>
      <c r="AO213">
        <f>IF($Q$213,$M$213*$AC$213*$Y$213,0)</f>
        <v/>
      </c>
      <c r="AP213" t="n">
        <v>40.18604651162791</v>
      </c>
      <c r="AQ213">
        <f>IF($S$213,$M$213*$AG$213*$W$213,0)</f>
        <v/>
      </c>
      <c r="AR213" t="n">
        <v>0</v>
      </c>
      <c r="AS213">
        <f>IF(OR(Vu_khi!$M$213="Missile",Vu_khi!$M$213="Drone",AND(Vu_khi!$M$213="Rocket",OR(Vu_khi!$AM$213,Vu_khi!$D$213="guided")),Vu_khi!$AL$213,Vu_khi!$AK$213,Vu_khi!$X$213&lt;=0),FALSE,IF($B$213&gt;=0,$B$213&gt;=4,IF(Vu_khi!$M$213="Shell",Vu_khi!$AN$213&gt;=Canh_bao_vong!$D$10,IF(Vu_khi!$M$213="Bomb",Vu_khi!$AN$213&gt;=Canh_bao_vong!$D$3,IF(Vu_khi!$M$213="Rocket",Vu_khi!$AN$213&gt;=Canh_bao_vong!$D$13,FALSE)))))</f>
        <v/>
      </c>
      <c r="AT213" t="b">
        <v>0</v>
      </c>
      <c r="AU213">
        <f>IF(AND($B$213&lt;0,$AS$213),4,$B$213)</f>
        <v/>
      </c>
      <c r="AV213" t="n">
        <v>2</v>
      </c>
      <c r="AW213">
        <f>IF($AU$213&lt;4,0,MIN(MAX(0.5,Canh_bao_vong!$D$4),MAX(IF(Vu_khi!$C$213="cal_406",Canh_bao_vong!$D$7,IF($AU$213&gt;=5,Canh_bao_vong!$D$9,Canh_bao_vong!$D$8)),Canh_bao_vong!$D$2+MAX(0,Vu_khi!$X$213)/MAX(0.1,Canh_bao_vong!$D$5))))</f>
        <v/>
      </c>
      <c r="AX213" t="n">
        <v>0</v>
      </c>
      <c r="AY213" t="n">
        <v>0.702333</v>
      </c>
      <c r="AZ213" t="inlineStr">
        <is>
          <t>ok</t>
        </is>
      </c>
      <c r="BA213" t="b">
        <v>1</v>
      </c>
      <c r="BB213" t="inlineStr">
        <is>
          <t>Assets/MachineBrigade/Resources/Data/balance.json: weapons[id=p26_bastion_direct_b100] (lớp B trên 01_chien_dau/Vu_khi)</t>
        </is>
      </c>
      <c r="BC213" t="inlineStr"/>
    </row>
    <row r="214">
      <c r="A214" t="inlineStr">
        <is>
          <t>p26_bastion_main_b155</t>
        </is>
      </c>
      <c r="B214" t="n">
        <v>3</v>
      </c>
      <c r="C214">
        <f>IF(Vu_khi!$O$214="SIMULTANEOUS",MAX(1,Vu_khi!$N$214),1)</f>
        <v/>
      </c>
      <c r="D214" t="n">
        <v>1</v>
      </c>
      <c r="E214">
        <f>IF(Vu_khi!$S$214&gt;0,Vu_khi!$S$214,Vu_khi!$P$214*$C$214)</f>
        <v/>
      </c>
      <c r="F214" t="n">
        <v>1</v>
      </c>
      <c r="G214">
        <f>IF(Vu_khi!$S$214&gt;0,(Vu_khi!$S$214-1)*Vu_khi!$R$214+Vu_khi!$T$214,Vu_khi!$R$214+(Vu_khi!$P$214-1)*Vu_khi!$Q$214)</f>
        <v/>
      </c>
      <c r="H214" t="n">
        <v>15</v>
      </c>
      <c r="I214">
        <f>Vu_khi!$W$214*MAX(1,$E$214)</f>
        <v/>
      </c>
      <c r="J214" t="n">
        <v>600</v>
      </c>
      <c r="K214">
        <f>IF(Vu_khi!$V$214&gt;0,Vu_khi!$V$214,MIN(28,MAX(10,Vu_khi!$U$214*Vu_khi!$R$214*0.4)))</f>
        <v/>
      </c>
      <c r="L214" t="n">
        <v>10</v>
      </c>
      <c r="M214">
        <f>IF(Vu_khi!$W$214&lt;=0,0,IF(Vu_khi!$U$214&gt;0,$I$214*Vu_khi!$U$214/(MAX(0.05,$G$214)*Vu_khi!$U$214+$K$214),$I$214/MAX(0.05,$G$214)))</f>
        <v/>
      </c>
      <c r="N214" t="n">
        <v>40</v>
      </c>
      <c r="O214">
        <f>OR(Vu_khi!$AG$214,Vu_khi!$AB$214&gt;0,Vu_khi!$AH$214,Vu_khi!$M$214="Bomb",Vu_khi!$M$214="Drone")</f>
        <v/>
      </c>
      <c r="P214" t="b">
        <v>1</v>
      </c>
      <c r="Q214">
        <f>AND(NOT(Vu_khi!$AJ$214),OR(Vu_khi!$AC$214="Ground",Vu_khi!$AC$214="All"))</f>
        <v/>
      </c>
      <c r="R214" t="b">
        <v>1</v>
      </c>
      <c r="S214">
        <f>AND(NOT(Vu_khi!$AJ$214),OR(Vu_khi!$AC$214="Air",Vu_khi!$AC$214="All"))</f>
        <v/>
      </c>
      <c r="T214" t="b">
        <v>0</v>
      </c>
      <c r="U214">
        <f>INDEX(Bang_sat_thuong!$B$2:$B$7,MATCH(Vu_khi!$K$214,Bang_sat_thuong!$A$2:$A$7,0))</f>
        <v/>
      </c>
      <c r="V214" t="n">
        <v>1</v>
      </c>
      <c r="W214">
        <f>INDEX(Bang_sat_thuong!$C$2:$C$7,MATCH(Vu_khi!$K$214,Bang_sat_thuong!$A$2:$A$7,0))</f>
        <v/>
      </c>
      <c r="X214" t="n">
        <v>0</v>
      </c>
      <c r="Y214">
        <f>IF(AND(Vu_khi!$AI$214,Vu_khi!$K$214="HighExplosive"),MAX(He_so_toan_cuc!$D$2,INDEX(Bang_sat_thuong!$D$2:$D$7,MATCH(Vu_khi!$K$214,Bang_sat_thuong!$A$2:$A$7,0))),INDEX(Bang_sat_thuong!$D$2:$D$7,MATCH(Vu_khi!$K$214,Bang_sat_thuong!$A$2:$A$7,0)))</f>
        <v/>
      </c>
      <c r="Z214" t="n">
        <v>1.5</v>
      </c>
      <c r="AA214">
        <f>INDEX(Bang_xuyen_giap!$C$2:$C$7,MIN(6,MAX(1,IF($O$214,MAX(1,2-(Vu_khi!$L$214-0)),2-(Vu_khi!$L$214-0))+1)))</f>
        <v/>
      </c>
      <c r="AB214" t="n">
        <v>1</v>
      </c>
      <c r="AC214">
        <f>INDEX(Bang_xuyen_giap!$C$2:$C$7,MIN(6,MAX(1,IF($O$214,MAX(1,2-(Vu_khi!$L$214-2)),2-(Vu_khi!$L$214-2))+1)))</f>
        <v/>
      </c>
      <c r="AD214" t="n">
        <v>1</v>
      </c>
      <c r="AE214">
        <f>INDEX(Bang_xuyen_giap!$C$2:$C$7,MIN(6,MAX(1,IF($O$214,MAX(1,2-(Vu_khi!$L$214-4)),2-(Vu_khi!$L$214-4))+1)))</f>
        <v/>
      </c>
      <c r="AF214" t="n">
        <v>0.85</v>
      </c>
      <c r="AG214">
        <f>INDEX(Bang_xuyen_giap!$C$2:$C$7,MIN(6,MAX(1,MAX(1,2-(Vu_khi!$L$214-0))+1)))</f>
        <v/>
      </c>
      <c r="AH214" t="n">
        <v>1</v>
      </c>
      <c r="AI214">
        <f>IF($Q$214,$M$214*$AA$214*$U$214,0)</f>
        <v/>
      </c>
      <c r="AJ214" t="n">
        <v>40</v>
      </c>
      <c r="AK214">
        <f>IF($Q$214,$M$214*$AC$214*$U$214,0)</f>
        <v/>
      </c>
      <c r="AL214" t="n">
        <v>40</v>
      </c>
      <c r="AM214">
        <f>IF($Q$214,$M$214*$AE$214*$U$214,0)</f>
        <v/>
      </c>
      <c r="AN214" t="n">
        <v>34</v>
      </c>
      <c r="AO214">
        <f>IF($Q$214,$M$214*$AC$214*$Y$214,0)</f>
        <v/>
      </c>
      <c r="AP214" t="n">
        <v>60</v>
      </c>
      <c r="AQ214">
        <f>IF($S$214,$M$214*$AG$214*$W$214,0)</f>
        <v/>
      </c>
      <c r="AR214" t="n">
        <v>0</v>
      </c>
      <c r="AS214">
        <f>IF(OR(Vu_khi!$M$214="Missile",Vu_khi!$M$214="Drone",AND(Vu_khi!$M$214="Rocket",OR(Vu_khi!$AM$214,Vu_khi!$D$214="guided")),Vu_khi!$AL$214,Vu_khi!$AK$214,Vu_khi!$X$214&lt;=0),FALSE,IF($B$214&gt;=0,$B$214&gt;=4,IF(Vu_khi!$M$214="Shell",Vu_khi!$AN$214&gt;=Canh_bao_vong!$D$10,IF(Vu_khi!$M$214="Bomb",Vu_khi!$AN$214&gt;=Canh_bao_vong!$D$3,IF(Vu_khi!$M$214="Rocket",Vu_khi!$AN$214&gt;=Canh_bao_vong!$D$13,FALSE)))))</f>
        <v/>
      </c>
      <c r="AT214" t="b">
        <v>0</v>
      </c>
      <c r="AU214">
        <f>IF(AND($B$214&lt;0,$AS$214),4,$B$214)</f>
        <v/>
      </c>
      <c r="AV214" t="n">
        <v>3</v>
      </c>
      <c r="AW214">
        <f>IF($AU$214&lt;4,0,MIN(MAX(0.5,Canh_bao_vong!$D$4),MAX(IF(Vu_khi!$C$214="cal_406",Canh_bao_vong!$D$7,IF($AU$214&gt;=5,Canh_bao_vong!$D$9,Canh_bao_vong!$D$8)),Canh_bao_vong!$D$2+MAX(0,Vu_khi!$X$214)/MAX(0.1,Canh_bao_vong!$D$5))))</f>
        <v/>
      </c>
      <c r="AX214" t="n">
        <v>0</v>
      </c>
      <c r="AY214" t="n">
        <v>0.7</v>
      </c>
      <c r="AZ214" t="inlineStr">
        <is>
          <t>ok</t>
        </is>
      </c>
      <c r="BA214" t="b">
        <v>1</v>
      </c>
      <c r="BB214" t="inlineStr">
        <is>
          <t>Assets/MachineBrigade/Resources/Data/balance.json: weapons[id=p26_bastion_main_b155] (lớp B trên 01_chien_dau/Vu_khi)</t>
        </is>
      </c>
      <c r="BC214" t="inlineStr"/>
    </row>
    <row r="215">
      <c r="A215" t="inlineStr">
        <is>
          <t>p26_bastion_sec_b240</t>
        </is>
      </c>
      <c r="B215" t="n">
        <v>4</v>
      </c>
      <c r="C215">
        <f>IF(Vu_khi!$O$215="SIMULTANEOUS",MAX(1,Vu_khi!$N$215),1)</f>
        <v/>
      </c>
      <c r="D215" t="n">
        <v>1</v>
      </c>
      <c r="E215">
        <f>IF(Vu_khi!$S$215&gt;0,Vu_khi!$S$215,Vu_khi!$P$215*$C$215)</f>
        <v/>
      </c>
      <c r="F215" t="n">
        <v>1</v>
      </c>
      <c r="G215">
        <f>IF(Vu_khi!$S$215&gt;0,(Vu_khi!$S$215-1)*Vu_khi!$R$215+Vu_khi!$T$215,Vu_khi!$R$215+(Vu_khi!$P$215-1)*Vu_khi!$Q$215)</f>
        <v/>
      </c>
      <c r="H215" t="n">
        <v>60</v>
      </c>
      <c r="I215">
        <f>Vu_khi!$W$215*MAX(1,$E$215)</f>
        <v/>
      </c>
      <c r="J215" t="n">
        <v>1100</v>
      </c>
      <c r="K215">
        <f>IF(Vu_khi!$V$215&gt;0,Vu_khi!$V$215,MIN(28,MAX(10,Vu_khi!$U$215*Vu_khi!$R$215*0.4)))</f>
        <v/>
      </c>
      <c r="L215" t="n">
        <v>10</v>
      </c>
      <c r="M215">
        <f>IF(Vu_khi!$W$215&lt;=0,0,IF(Vu_khi!$U$215&gt;0,$I$215*Vu_khi!$U$215/(MAX(0.05,$G$215)*Vu_khi!$U$215+$K$215),$I$215/MAX(0.05,$G$215)))</f>
        <v/>
      </c>
      <c r="N215" t="n">
        <v>18.33333333333333</v>
      </c>
      <c r="O215">
        <f>OR(Vu_khi!$AG$215,Vu_khi!$AB$215&gt;0,Vu_khi!$AH$215,Vu_khi!$M$215="Bomb",Vu_khi!$M$215="Drone")</f>
        <v/>
      </c>
      <c r="P215" t="b">
        <v>1</v>
      </c>
      <c r="Q215">
        <f>AND(NOT(Vu_khi!$AJ$215),OR(Vu_khi!$AC$215="Ground",Vu_khi!$AC$215="All"))</f>
        <v/>
      </c>
      <c r="R215" t="b">
        <v>1</v>
      </c>
      <c r="S215">
        <f>AND(NOT(Vu_khi!$AJ$215),OR(Vu_khi!$AC$215="Air",Vu_khi!$AC$215="All"))</f>
        <v/>
      </c>
      <c r="T215" t="b">
        <v>0</v>
      </c>
      <c r="U215">
        <f>INDEX(Bang_sat_thuong!$B$2:$B$7,MATCH(Vu_khi!$K$215,Bang_sat_thuong!$A$2:$A$7,0))</f>
        <v/>
      </c>
      <c r="V215" t="n">
        <v>1</v>
      </c>
      <c r="W215">
        <f>INDEX(Bang_sat_thuong!$C$2:$C$7,MATCH(Vu_khi!$K$215,Bang_sat_thuong!$A$2:$A$7,0))</f>
        <v/>
      </c>
      <c r="X215" t="n">
        <v>0</v>
      </c>
      <c r="Y215">
        <f>IF(AND(Vu_khi!$AI$215,Vu_khi!$K$215="HighExplosive"),MAX(He_so_toan_cuc!$D$2,INDEX(Bang_sat_thuong!$D$2:$D$7,MATCH(Vu_khi!$K$215,Bang_sat_thuong!$A$2:$A$7,0))),INDEX(Bang_sat_thuong!$D$2:$D$7,MATCH(Vu_khi!$K$215,Bang_sat_thuong!$A$2:$A$7,0)))</f>
        <v/>
      </c>
      <c r="Z215" t="n">
        <v>1.5</v>
      </c>
      <c r="AA215">
        <f>INDEX(Bang_xuyen_giap!$C$2:$C$7,MIN(6,MAX(1,IF($O$215,MAX(1,2-(Vu_khi!$L$215-0)),2-(Vu_khi!$L$215-0))+1)))</f>
        <v/>
      </c>
      <c r="AB215" t="n">
        <v>1</v>
      </c>
      <c r="AC215">
        <f>INDEX(Bang_xuyen_giap!$C$2:$C$7,MIN(6,MAX(1,IF($O$215,MAX(1,2-(Vu_khi!$L$215-2)),2-(Vu_khi!$L$215-2))+1)))</f>
        <v/>
      </c>
      <c r="AD215" t="n">
        <v>1</v>
      </c>
      <c r="AE215">
        <f>INDEX(Bang_xuyen_giap!$C$2:$C$7,MIN(6,MAX(1,IF($O$215,MAX(1,2-(Vu_khi!$L$215-4)),2-(Vu_khi!$L$215-4))+1)))</f>
        <v/>
      </c>
      <c r="AF215" t="n">
        <v>0.85</v>
      </c>
      <c r="AG215">
        <f>INDEX(Bang_xuyen_giap!$C$2:$C$7,MIN(6,MAX(1,MAX(1,2-(Vu_khi!$L$215-0))+1)))</f>
        <v/>
      </c>
      <c r="AH215" t="n">
        <v>1</v>
      </c>
      <c r="AI215">
        <f>IF($Q$215,$M$215*$AA$215*$U$215,0)</f>
        <v/>
      </c>
      <c r="AJ215" t="n">
        <v>18.33333333333333</v>
      </c>
      <c r="AK215">
        <f>IF($Q$215,$M$215*$AC$215*$U$215,0)</f>
        <v/>
      </c>
      <c r="AL215" t="n">
        <v>18.33333333333333</v>
      </c>
      <c r="AM215">
        <f>IF($Q$215,$M$215*$AE$215*$U$215,0)</f>
        <v/>
      </c>
      <c r="AN215" t="n">
        <v>15.58333333333333</v>
      </c>
      <c r="AO215">
        <f>IF($Q$215,$M$215*$AC$215*$Y$215,0)</f>
        <v/>
      </c>
      <c r="AP215" t="n">
        <v>27.5</v>
      </c>
      <c r="AQ215">
        <f>IF($S$215,$M$215*$AG$215*$W$215,0)</f>
        <v/>
      </c>
      <c r="AR215" t="n">
        <v>0</v>
      </c>
      <c r="AS215">
        <f>IF(OR(Vu_khi!$M$215="Missile",Vu_khi!$M$215="Drone",AND(Vu_khi!$M$215="Rocket",OR(Vu_khi!$AM$215,Vu_khi!$D$215="guided")),Vu_khi!$AL$215,Vu_khi!$AK$215,Vu_khi!$X$215&lt;=0),FALSE,IF($B$215&gt;=0,$B$215&gt;=4,IF(Vu_khi!$M$215="Shell",Vu_khi!$AN$215&gt;=Canh_bao_vong!$D$10,IF(Vu_khi!$M$215="Bomb",Vu_khi!$AN$215&gt;=Canh_bao_vong!$D$3,IF(Vu_khi!$M$215="Rocket",Vu_khi!$AN$215&gt;=Canh_bao_vong!$D$13,FALSE)))))</f>
        <v/>
      </c>
      <c r="AT215" t="b">
        <v>1</v>
      </c>
      <c r="AU215">
        <f>IF(AND($B$215&lt;0,$AS$215),4,$B$215)</f>
        <v/>
      </c>
      <c r="AV215" t="n">
        <v>4</v>
      </c>
      <c r="AW215">
        <f>IF($AU$215&lt;4,0,MIN(MAX(0.5,Canh_bao_vong!$D$4),MAX(IF(Vu_khi!$C$215="cal_406",Canh_bao_vong!$D$7,IF($AU$215&gt;=5,Canh_bao_vong!$D$9,Canh_bao_vong!$D$8)),Canh_bao_vong!$D$2+MAX(0,Vu_khi!$X$215)/MAX(0.1,Canh_bao_vong!$D$5))))</f>
        <v/>
      </c>
      <c r="AX215" t="n">
        <v>2.722222222222222</v>
      </c>
      <c r="AY215" t="n">
        <v>0.7</v>
      </c>
      <c r="AZ215" t="inlineStr">
        <is>
          <t>ok</t>
        </is>
      </c>
      <c r="BA215" t="b">
        <v>1</v>
      </c>
      <c r="BB215" t="inlineStr">
        <is>
          <t>Assets/MachineBrigade/Resources/Data/balance.json: weapons[id=p26_bastion_sec_b240] (lớp B trên 01_chien_dau/Vu_khi)</t>
        </is>
      </c>
      <c r="BC215" t="inlineStr"/>
    </row>
    <row r="216">
      <c r="A216" t="inlineStr">
        <is>
          <t>p26_bastion_tiny_autocannon_40</t>
        </is>
      </c>
      <c r="B216" t="n">
        <v>1</v>
      </c>
      <c r="C216">
        <f>IF(Vu_khi!$O$216="SIMULTANEOUS",MAX(1,Vu_khi!$N$216),1)</f>
        <v/>
      </c>
      <c r="D216" t="n">
        <v>1</v>
      </c>
      <c r="E216">
        <f>IF(Vu_khi!$S$216&gt;0,Vu_khi!$S$216,Vu_khi!$P$216*$C$216)</f>
        <v/>
      </c>
      <c r="F216" t="n">
        <v>10</v>
      </c>
      <c r="G216">
        <f>IF(Vu_khi!$S$216&gt;0,(Vu_khi!$S$216-1)*Vu_khi!$R$216+Vu_khi!$T$216,Vu_khi!$R$216+(Vu_khi!$P$216-1)*Vu_khi!$Q$216)</f>
        <v/>
      </c>
      <c r="H216" t="n">
        <v>3.32</v>
      </c>
      <c r="I216">
        <f>Vu_khi!$W$216*MAX(1,$E$216)</f>
        <v/>
      </c>
      <c r="J216" t="n">
        <v>300</v>
      </c>
      <c r="K216">
        <f>IF(Vu_khi!$V$216&gt;0,Vu_khi!$V$216,MIN(28,MAX(10,Vu_khi!$U$216*Vu_khi!$R$216*0.4)))</f>
        <v/>
      </c>
      <c r="L216" t="n">
        <v>10</v>
      </c>
      <c r="M216">
        <f>IF(Vu_khi!$W$216&lt;=0,0,IF(Vu_khi!$U$216&gt;0,$I$216*Vu_khi!$U$216/(MAX(0.05,$G$216)*Vu_khi!$U$216+$K$216),$I$216/MAX(0.05,$G$216)))</f>
        <v/>
      </c>
      <c r="N216" t="n">
        <v>90.36144578313252</v>
      </c>
      <c r="O216">
        <f>OR(Vu_khi!$AG$216,Vu_khi!$AB$216&gt;0,Vu_khi!$AH$216,Vu_khi!$M$216="Bomb",Vu_khi!$M$216="Drone")</f>
        <v/>
      </c>
      <c r="P216" t="b">
        <v>0</v>
      </c>
      <c r="Q216">
        <f>AND(NOT(Vu_khi!$AJ$216),OR(Vu_khi!$AC$216="Ground",Vu_khi!$AC$216="All"))</f>
        <v/>
      </c>
      <c r="R216" t="b">
        <v>1</v>
      </c>
      <c r="S216">
        <f>AND(NOT(Vu_khi!$AJ$216),OR(Vu_khi!$AC$216="Air",Vu_khi!$AC$216="All"))</f>
        <v/>
      </c>
      <c r="T216" t="b">
        <v>1</v>
      </c>
      <c r="U216">
        <f>INDEX(Bang_sat_thuong!$B$2:$B$7,MATCH(Vu_khi!$K$216,Bang_sat_thuong!$A$2:$A$7,0))</f>
        <v/>
      </c>
      <c r="V216" t="n">
        <v>1</v>
      </c>
      <c r="W216">
        <f>INDEX(Bang_sat_thuong!$C$2:$C$7,MATCH(Vu_khi!$K$216,Bang_sat_thuong!$A$2:$A$7,0))</f>
        <v/>
      </c>
      <c r="X216" t="n">
        <v>0.3</v>
      </c>
      <c r="Y216">
        <f>IF(AND(Vu_khi!$AI$216,Vu_khi!$K$216="HighExplosive"),MAX(He_so_toan_cuc!$D$2,INDEX(Bang_sat_thuong!$D$2:$D$7,MATCH(Vu_khi!$K$216,Bang_sat_thuong!$A$2:$A$7,0))),INDEX(Bang_sat_thuong!$D$2:$D$7,MATCH(Vu_khi!$K$216,Bang_sat_thuong!$A$2:$A$7,0)))</f>
        <v/>
      </c>
      <c r="Z216" t="n">
        <v>0.6</v>
      </c>
      <c r="AA216">
        <f>INDEX(Bang_xuyen_giap!$C$2:$C$7,MIN(6,MAX(1,IF($O$216,MAX(1,2-(Vu_khi!$L$216-0)),2-(Vu_khi!$L$216-0))+1)))</f>
        <v/>
      </c>
      <c r="AB216" t="n">
        <v>1.2</v>
      </c>
      <c r="AC216">
        <f>INDEX(Bang_xuyen_giap!$C$2:$C$7,MIN(6,MAX(1,IF($O$216,MAX(1,2-(Vu_khi!$L$216-2)),2-(Vu_khi!$L$216-2))+1)))</f>
        <v/>
      </c>
      <c r="AD216" t="n">
        <v>0.85</v>
      </c>
      <c r="AE216">
        <f>INDEX(Bang_xuyen_giap!$C$2:$C$7,MIN(6,MAX(1,IF($O$216,MAX(1,2-(Vu_khi!$L$216-4)),2-(Vu_khi!$L$216-4))+1)))</f>
        <v/>
      </c>
      <c r="AF216" t="n">
        <v>0.25</v>
      </c>
      <c r="AG216">
        <f>INDEX(Bang_xuyen_giap!$C$2:$C$7,MIN(6,MAX(1,MAX(1,2-(Vu_khi!$L$216-0))+1)))</f>
        <v/>
      </c>
      <c r="AH216" t="n">
        <v>1</v>
      </c>
      <c r="AI216">
        <f>IF($Q$216,$M$216*$AA$216*$U$216,0)</f>
        <v/>
      </c>
      <c r="AJ216" t="n">
        <v>108.433734939759</v>
      </c>
      <c r="AK216">
        <f>IF($Q$216,$M$216*$AC$216*$U$216,0)</f>
        <v/>
      </c>
      <c r="AL216" t="n">
        <v>76.80722891566265</v>
      </c>
      <c r="AM216">
        <f>IF($Q$216,$M$216*$AE$216*$U$216,0)</f>
        <v/>
      </c>
      <c r="AN216" t="n">
        <v>22.59036144578313</v>
      </c>
      <c r="AO216">
        <f>IF($Q$216,$M$216*$AC$216*$Y$216,0)</f>
        <v/>
      </c>
      <c r="AP216" t="n">
        <v>46.08433734939759</v>
      </c>
      <c r="AQ216">
        <f>IF($S$216,$M$216*$AG$216*$W$216,0)</f>
        <v/>
      </c>
      <c r="AR216" t="n">
        <v>27.10843373493976</v>
      </c>
      <c r="AS216">
        <f>IF(OR(Vu_khi!$M$216="Missile",Vu_khi!$M$216="Drone",AND(Vu_khi!$M$216="Rocket",OR(Vu_khi!$AM$216,Vu_khi!$D$216="guided")),Vu_khi!$AL$216,Vu_khi!$AK$216,Vu_khi!$X$216&lt;=0),FALSE,IF($B$216&gt;=0,$B$216&gt;=4,IF(Vu_khi!$M$216="Shell",Vu_khi!$AN$216&gt;=Canh_bao_vong!$D$10,IF(Vu_khi!$M$216="Bomb",Vu_khi!$AN$216&gt;=Canh_bao_vong!$D$3,IF(Vu_khi!$M$216="Rocket",Vu_khi!$AN$216&gt;=Canh_bao_vong!$D$13,FALSE)))))</f>
        <v/>
      </c>
      <c r="AT216" t="b">
        <v>0</v>
      </c>
      <c r="AU216">
        <f>IF(AND($B$216&lt;0,$AS$216),4,$B$216)</f>
        <v/>
      </c>
      <c r="AV216" t="n">
        <v>1</v>
      </c>
      <c r="AW216">
        <f>IF($AU$216&lt;4,0,MIN(MAX(0.5,Canh_bao_vong!$D$4),MAX(IF(Vu_khi!$C$216="cal_406",Canh_bao_vong!$D$7,IF($AU$216&gt;=5,Canh_bao_vong!$D$9,Canh_bao_vong!$D$8)),Canh_bao_vong!$D$2+MAX(0,Vu_khi!$X$216)/MAX(0.1,Canh_bao_vong!$D$5))))</f>
        <v/>
      </c>
      <c r="AX216" t="n">
        <v>0</v>
      </c>
      <c r="AY216" t="n">
        <v>1.826</v>
      </c>
      <c r="AZ216" t="inlineStr">
        <is>
          <t>ok</t>
        </is>
      </c>
      <c r="BA216" t="b">
        <v>1</v>
      </c>
      <c r="BB216" t="inlineStr">
        <is>
          <t>Assets/MachineBrigade/Resources/Data/balance.json: weapons[id=p26_bastion_tiny_autocannon_40] (lớp B trên 01_chien_dau/Vu_khi)</t>
        </is>
      </c>
      <c r="BC216" t="inlineStr"/>
    </row>
    <row r="217">
      <c r="A217" t="inlineStr">
        <is>
          <t>p26_bastion_tiny_kornet_twin</t>
        </is>
      </c>
      <c r="B217" t="n">
        <v>2</v>
      </c>
      <c r="C217">
        <f>IF(Vu_khi!$O$217="SIMULTANEOUS",MAX(1,Vu_khi!$N$217),1)</f>
        <v/>
      </c>
      <c r="D217" t="n">
        <v>1</v>
      </c>
      <c r="E217">
        <f>IF(Vu_khi!$S$217&gt;0,Vu_khi!$S$217,Vu_khi!$P$217*$C$217)</f>
        <v/>
      </c>
      <c r="F217" t="n">
        <v>2</v>
      </c>
      <c r="G217">
        <f>IF(Vu_khi!$S$217&gt;0,(Vu_khi!$S$217-1)*Vu_khi!$R$217+Vu_khi!$T$217,Vu_khi!$R$217+(Vu_khi!$P$217-1)*Vu_khi!$Q$217)</f>
        <v/>
      </c>
      <c r="H217" t="n">
        <v>20</v>
      </c>
      <c r="I217">
        <f>Vu_khi!$W$217*MAX(1,$E$217)</f>
        <v/>
      </c>
      <c r="J217" t="n">
        <v>460</v>
      </c>
      <c r="K217">
        <f>IF(Vu_khi!$V$217&gt;0,Vu_khi!$V$217,MIN(28,MAX(10,Vu_khi!$U$217*Vu_khi!$R$217*0.4)))</f>
        <v/>
      </c>
      <c r="L217" t="n">
        <v>10</v>
      </c>
      <c r="M217">
        <f>IF(Vu_khi!$W$217&lt;=0,0,IF(Vu_khi!$U$217&gt;0,$I$217*Vu_khi!$U$217/(MAX(0.05,$G$217)*Vu_khi!$U$217+$K$217),$I$217/MAX(0.05,$G$217)))</f>
        <v/>
      </c>
      <c r="N217" t="n">
        <v>23</v>
      </c>
      <c r="O217">
        <f>OR(Vu_khi!$AG$217,Vu_khi!$AB$217&gt;0,Vu_khi!$AH$217,Vu_khi!$M$217="Bomb",Vu_khi!$M$217="Drone")</f>
        <v/>
      </c>
      <c r="P217" t="b">
        <v>0</v>
      </c>
      <c r="Q217">
        <f>AND(NOT(Vu_khi!$AJ$217),OR(Vu_khi!$AC$217="Ground",Vu_khi!$AC$217="All"))</f>
        <v/>
      </c>
      <c r="R217" t="b">
        <v>1</v>
      </c>
      <c r="S217">
        <f>AND(NOT(Vu_khi!$AJ$217),OR(Vu_khi!$AC$217="Air",Vu_khi!$AC$217="All"))</f>
        <v/>
      </c>
      <c r="T217" t="b">
        <v>0</v>
      </c>
      <c r="U217">
        <f>INDEX(Bang_sat_thuong!$B$2:$B$7,MATCH(Vu_khi!$K$217,Bang_sat_thuong!$A$2:$A$7,0))</f>
        <v/>
      </c>
      <c r="V217" t="n">
        <v>1</v>
      </c>
      <c r="W217">
        <f>INDEX(Bang_sat_thuong!$C$2:$C$7,MATCH(Vu_khi!$K$217,Bang_sat_thuong!$A$2:$A$7,0))</f>
        <v/>
      </c>
      <c r="X217" t="n">
        <v>0.3</v>
      </c>
      <c r="Y217">
        <f>IF(AND(Vu_khi!$AI$217,Vu_khi!$K$217="HighExplosive"),MAX(He_so_toan_cuc!$D$2,INDEX(Bang_sat_thuong!$D$2:$D$7,MATCH(Vu_khi!$K$217,Bang_sat_thuong!$A$2:$A$7,0))),INDEX(Bang_sat_thuong!$D$2:$D$7,MATCH(Vu_khi!$K$217,Bang_sat_thuong!$A$2:$A$7,0)))</f>
        <v/>
      </c>
      <c r="Z217" t="n">
        <v>0.6</v>
      </c>
      <c r="AA217">
        <f>INDEX(Bang_xuyen_giap!$C$2:$C$7,MIN(6,MAX(1,IF($O$217,MAX(1,2-(Vu_khi!$L$217-0)),2-(Vu_khi!$L$217-0))+1)))</f>
        <v/>
      </c>
      <c r="AB217" t="n">
        <v>1.2</v>
      </c>
      <c r="AC217">
        <f>INDEX(Bang_xuyen_giap!$C$2:$C$7,MIN(6,MAX(1,IF($O$217,MAX(1,2-(Vu_khi!$L$217-2)),2-(Vu_khi!$L$217-2))+1)))</f>
        <v/>
      </c>
      <c r="AD217" t="n">
        <v>1.2</v>
      </c>
      <c r="AE217">
        <f>INDEX(Bang_xuyen_giap!$C$2:$C$7,MIN(6,MAX(1,IF($O$217,MAX(1,2-(Vu_khi!$L$217-4)),2-(Vu_khi!$L$217-4))+1)))</f>
        <v/>
      </c>
      <c r="AF217" t="n">
        <v>0.85</v>
      </c>
      <c r="AG217">
        <f>INDEX(Bang_xuyen_giap!$C$2:$C$7,MIN(6,MAX(1,MAX(1,2-(Vu_khi!$L$217-0))+1)))</f>
        <v/>
      </c>
      <c r="AH217" t="n">
        <v>1</v>
      </c>
      <c r="AI217">
        <f>IF($Q$217,$M$217*$AA$217*$U$217,0)</f>
        <v/>
      </c>
      <c r="AJ217" t="n">
        <v>27.6</v>
      </c>
      <c r="AK217">
        <f>IF($Q$217,$M$217*$AC$217*$U$217,0)</f>
        <v/>
      </c>
      <c r="AL217" t="n">
        <v>27.6</v>
      </c>
      <c r="AM217">
        <f>IF($Q$217,$M$217*$AE$217*$U$217,0)</f>
        <v/>
      </c>
      <c r="AN217" t="n">
        <v>19.55</v>
      </c>
      <c r="AO217">
        <f>IF($Q$217,$M$217*$AC$217*$Y$217,0)</f>
        <v/>
      </c>
      <c r="AP217" t="n">
        <v>16.56</v>
      </c>
      <c r="AQ217">
        <f>IF($S$217,$M$217*$AG$217*$W$217,0)</f>
        <v/>
      </c>
      <c r="AR217" t="n">
        <v>0</v>
      </c>
      <c r="AS217">
        <f>IF(OR(Vu_khi!$M$217="Missile",Vu_khi!$M$217="Drone",AND(Vu_khi!$M$217="Rocket",OR(Vu_khi!$AM$217,Vu_khi!$D$217="guided")),Vu_khi!$AL$217,Vu_khi!$AK$217,Vu_khi!$X$217&lt;=0),FALSE,IF($B$217&gt;=0,$B$217&gt;=4,IF(Vu_khi!$M$217="Shell",Vu_khi!$AN$217&gt;=Canh_bao_vong!$D$10,IF(Vu_khi!$M$217="Bomb",Vu_khi!$AN$217&gt;=Canh_bao_vong!$D$3,IF(Vu_khi!$M$217="Rocket",Vu_khi!$AN$217&gt;=Canh_bao_vong!$D$13,FALSE)))))</f>
        <v/>
      </c>
      <c r="AT217" t="b">
        <v>0</v>
      </c>
      <c r="AU217">
        <f>IF(AND($B$217&lt;0,$AS$217),4,$B$217)</f>
        <v/>
      </c>
      <c r="AV217" t="n">
        <v>2</v>
      </c>
      <c r="AW217">
        <f>IF($AU$217&lt;4,0,MIN(MAX(0.5,Canh_bao_vong!$D$4),MAX(IF(Vu_khi!$C$217="cal_406",Canh_bao_vong!$D$7,IF($AU$217&gt;=5,Canh_bao_vong!$D$9,Canh_bao_vong!$D$8)),Canh_bao_vong!$D$2+MAX(0,Vu_khi!$X$217)/MAX(0.1,Canh_bao_vong!$D$5))))</f>
        <v/>
      </c>
      <c r="AX217" t="n">
        <v>0</v>
      </c>
      <c r="AY217" t="n">
        <v>1</v>
      </c>
      <c r="AZ217" t="inlineStr">
        <is>
          <t>ok</t>
        </is>
      </c>
      <c r="BA217" t="b">
        <v>1</v>
      </c>
      <c r="BB217" t="inlineStr">
        <is>
          <t>Assets/MachineBrigade/Resources/Data/balance.json: weapons[id=p26_bastion_tiny_kornet_twin] (lớp B trên 01_chien_dau/Vu_khi)</t>
        </is>
      </c>
      <c r="BC217" t="inlineStr"/>
    </row>
    <row r="218">
      <c r="A218" t="inlineStr">
        <is>
          <t>p26_bastion_tiny_zu23</t>
        </is>
      </c>
      <c r="B218" t="n">
        <v>1</v>
      </c>
      <c r="C218">
        <f>IF(Vu_khi!$O$218="SIMULTANEOUS",MAX(1,Vu_khi!$N$218),1)</f>
        <v/>
      </c>
      <c r="D218" t="n">
        <v>1</v>
      </c>
      <c r="E218">
        <f>IF(Vu_khi!$S$218&gt;0,Vu_khi!$S$218,Vu_khi!$P$218*$C$218)</f>
        <v/>
      </c>
      <c r="F218" t="n">
        <v>100</v>
      </c>
      <c r="G218">
        <f>IF(Vu_khi!$S$218&gt;0,(Vu_khi!$S$218-1)*Vu_khi!$R$218+Vu_khi!$T$218,Vu_khi!$R$218+(Vu_khi!$P$218-1)*Vu_khi!$Q$218)</f>
        <v/>
      </c>
      <c r="H218" t="n">
        <v>4.96</v>
      </c>
      <c r="I218">
        <f>Vu_khi!$W$218*MAX(1,$E$218)</f>
        <v/>
      </c>
      <c r="J218" t="n">
        <v>350</v>
      </c>
      <c r="K218">
        <f>IF(Vu_khi!$V$218&gt;0,Vu_khi!$V$218,MIN(28,MAX(10,Vu_khi!$U$218*Vu_khi!$R$218*0.4)))</f>
        <v/>
      </c>
      <c r="L218" t="n">
        <v>10</v>
      </c>
      <c r="M218">
        <f>IF(Vu_khi!$W$218&lt;=0,0,IF(Vu_khi!$U$218&gt;0,$I$218*Vu_khi!$U$218/(MAX(0.05,$G$218)*Vu_khi!$U$218+$K$218),$I$218/MAX(0.05,$G$218)))</f>
        <v/>
      </c>
      <c r="N218" t="n">
        <v>70.56451612903226</v>
      </c>
      <c r="O218">
        <f>OR(Vu_khi!$AG$218,Vu_khi!$AB$218&gt;0,Vu_khi!$AH$218,Vu_khi!$M$218="Bomb",Vu_khi!$M$218="Drone")</f>
        <v/>
      </c>
      <c r="P218" t="b">
        <v>0</v>
      </c>
      <c r="Q218">
        <f>AND(NOT(Vu_khi!$AJ$218),OR(Vu_khi!$AC$218="Ground",Vu_khi!$AC$218="All"))</f>
        <v/>
      </c>
      <c r="R218" t="b">
        <v>1</v>
      </c>
      <c r="S218">
        <f>AND(NOT(Vu_khi!$AJ$218),OR(Vu_khi!$AC$218="Air",Vu_khi!$AC$218="All"))</f>
        <v/>
      </c>
      <c r="T218" t="b">
        <v>1</v>
      </c>
      <c r="U218">
        <f>INDEX(Bang_sat_thuong!$B$2:$B$7,MATCH(Vu_khi!$K$218,Bang_sat_thuong!$A$2:$A$7,0))</f>
        <v/>
      </c>
      <c r="V218" t="n">
        <v>0.5</v>
      </c>
      <c r="W218">
        <f>INDEX(Bang_sat_thuong!$C$2:$C$7,MATCH(Vu_khi!$K$218,Bang_sat_thuong!$A$2:$A$7,0))</f>
        <v/>
      </c>
      <c r="X218" t="n">
        <v>1.3</v>
      </c>
      <c r="Y218">
        <f>IF(AND(Vu_khi!$AI$218,Vu_khi!$K$218="HighExplosive"),MAX(He_so_toan_cuc!$D$2,INDEX(Bang_sat_thuong!$D$2:$D$7,MATCH(Vu_khi!$K$218,Bang_sat_thuong!$A$2:$A$7,0))),INDEX(Bang_sat_thuong!$D$2:$D$7,MATCH(Vu_khi!$K$218,Bang_sat_thuong!$A$2:$A$7,0)))</f>
        <v/>
      </c>
      <c r="Z218" t="n">
        <v>0.1</v>
      </c>
      <c r="AA218">
        <f>INDEX(Bang_xuyen_giap!$C$2:$C$7,MIN(6,MAX(1,IF($O$218,MAX(1,2-(Vu_khi!$L$218-0)),2-(Vu_khi!$L$218-0))+1)))</f>
        <v/>
      </c>
      <c r="AB218" t="n">
        <v>1</v>
      </c>
      <c r="AC218">
        <f>INDEX(Bang_xuyen_giap!$C$2:$C$7,MIN(6,MAX(1,IF($O$218,MAX(1,2-(Vu_khi!$L$218-2)),2-(Vu_khi!$L$218-2))+1)))</f>
        <v/>
      </c>
      <c r="AD218" t="n">
        <v>0.5</v>
      </c>
      <c r="AE218">
        <f>INDEX(Bang_xuyen_giap!$C$2:$C$7,MIN(6,MAX(1,IF($O$218,MAX(1,2-(Vu_khi!$L$218-4)),2-(Vu_khi!$L$218-4))+1)))</f>
        <v/>
      </c>
      <c r="AF218" t="n">
        <v>0.1</v>
      </c>
      <c r="AG218">
        <f>INDEX(Bang_xuyen_giap!$C$2:$C$7,MIN(6,MAX(1,MAX(1,2-(Vu_khi!$L$218-0))+1)))</f>
        <v/>
      </c>
      <c r="AH218" t="n">
        <v>1</v>
      </c>
      <c r="AI218">
        <f>IF($Q$218,$M$218*$AA$218*$U$218,0)</f>
        <v/>
      </c>
      <c r="AJ218" t="n">
        <v>35.28225806451613</v>
      </c>
      <c r="AK218">
        <f>IF($Q$218,$M$218*$AC$218*$U$218,0)</f>
        <v/>
      </c>
      <c r="AL218" t="n">
        <v>17.64112903225806</v>
      </c>
      <c r="AM218">
        <f>IF($Q$218,$M$218*$AE$218*$U$218,0)</f>
        <v/>
      </c>
      <c r="AN218" t="n">
        <v>3.528225806451613</v>
      </c>
      <c r="AO218">
        <f>IF($Q$218,$M$218*$AC$218*$Y$218,0)</f>
        <v/>
      </c>
      <c r="AP218" t="n">
        <v>3.528225806451613</v>
      </c>
      <c r="AQ218">
        <f>IF($S$218,$M$218*$AG$218*$W$218,0)</f>
        <v/>
      </c>
      <c r="AR218" t="n">
        <v>91.73387096774194</v>
      </c>
      <c r="AS218">
        <f>IF(OR(Vu_khi!$M$218="Missile",Vu_khi!$M$218="Drone",AND(Vu_khi!$M$218="Rocket",OR(Vu_khi!$AM$218,Vu_khi!$D$218="guided")),Vu_khi!$AL$218,Vu_khi!$AK$218,Vu_khi!$X$218&lt;=0),FALSE,IF($B$218&gt;=0,$B$218&gt;=4,IF(Vu_khi!$M$218="Shell",Vu_khi!$AN$218&gt;=Canh_bao_vong!$D$10,IF(Vu_khi!$M$218="Bomb",Vu_khi!$AN$218&gt;=Canh_bao_vong!$D$3,IF(Vu_khi!$M$218="Rocket",Vu_khi!$AN$218&gt;=Canh_bao_vong!$D$13,FALSE)))))</f>
        <v/>
      </c>
      <c r="AT218" t="b">
        <v>0</v>
      </c>
      <c r="AU218">
        <f>IF(AND($B$218&lt;0,$AS$218),4,$B$218)</f>
        <v/>
      </c>
      <c r="AV218" t="n">
        <v>1</v>
      </c>
      <c r="AW218">
        <f>IF($AU$218&lt;4,0,MIN(MAX(0.5,Canh_bao_vong!$D$4),MAX(IF(Vu_khi!$C$218="cal_406",Canh_bao_vong!$D$7,IF($AU$218&gt;=5,Canh_bao_vong!$D$9,Canh_bao_vong!$D$8)),Canh_bao_vong!$D$2+MAX(0,Vu_khi!$X$218)/MAX(0.1,Canh_bao_vong!$D$5))))</f>
        <v/>
      </c>
      <c r="AX218" t="n">
        <v>0</v>
      </c>
      <c r="AY218" t="n">
        <v>1.653333</v>
      </c>
      <c r="AZ218" t="inlineStr">
        <is>
          <t>ok</t>
        </is>
      </c>
      <c r="BA218" t="b">
        <v>1</v>
      </c>
      <c r="BB218" t="inlineStr">
        <is>
          <t>Assets/MachineBrigade/Resources/Data/balance.json: weapons[id=p26_bastion_tiny_zu23] (lớp B trên 01_chien_dau/Vu_khi)</t>
        </is>
      </c>
      <c r="BC218" t="inlineStr"/>
    </row>
    <row r="219">
      <c r="A219" t="inlineStr">
        <is>
          <t>p26_behemoth_be120</t>
        </is>
      </c>
      <c r="B219" t="n">
        <v>3</v>
      </c>
      <c r="C219">
        <f>IF(Vu_khi!$O$219="SIMULTANEOUS",MAX(1,Vu_khi!$N$219),1)</f>
        <v/>
      </c>
      <c r="D219" t="n">
        <v>1</v>
      </c>
      <c r="E219">
        <f>IF(Vu_khi!$S$219&gt;0,Vu_khi!$S$219,Vu_khi!$P$219*$C$219)</f>
        <v/>
      </c>
      <c r="F219" t="n">
        <v>1</v>
      </c>
      <c r="G219">
        <f>IF(Vu_khi!$S$219&gt;0,(Vu_khi!$S$219-1)*Vu_khi!$R$219+Vu_khi!$T$219,Vu_khi!$R$219+(Vu_khi!$P$219-1)*Vu_khi!$Q$219)</f>
        <v/>
      </c>
      <c r="H219" t="n">
        <v>4</v>
      </c>
      <c r="I219">
        <f>Vu_khi!$W$219*MAX(1,$E$219)</f>
        <v/>
      </c>
      <c r="J219" t="n">
        <v>260</v>
      </c>
      <c r="K219">
        <f>IF(Vu_khi!$V$219&gt;0,Vu_khi!$V$219,MIN(28,MAX(10,Vu_khi!$U$219*Vu_khi!$R$219*0.4)))</f>
        <v/>
      </c>
      <c r="L219" t="n">
        <v>10</v>
      </c>
      <c r="M219">
        <f>IF(Vu_khi!$W$219&lt;=0,0,IF(Vu_khi!$U$219&gt;0,$I$219*Vu_khi!$U$219/(MAX(0.05,$G$219)*Vu_khi!$U$219+$K$219),$I$219/MAX(0.05,$G$219)))</f>
        <v/>
      </c>
      <c r="N219" t="n">
        <v>65</v>
      </c>
      <c r="O219">
        <f>OR(Vu_khi!$AG$219,Vu_khi!$AB$219&gt;0,Vu_khi!$AH$219,Vu_khi!$M$219="Bomb",Vu_khi!$M$219="Drone")</f>
        <v/>
      </c>
      <c r="P219" t="b">
        <v>0</v>
      </c>
      <c r="Q219">
        <f>AND(NOT(Vu_khi!$AJ$219),OR(Vu_khi!$AC$219="Ground",Vu_khi!$AC$219="All"))</f>
        <v/>
      </c>
      <c r="R219" t="b">
        <v>1</v>
      </c>
      <c r="S219">
        <f>AND(NOT(Vu_khi!$AJ$219),OR(Vu_khi!$AC$219="Air",Vu_khi!$AC$219="All"))</f>
        <v/>
      </c>
      <c r="T219" t="b">
        <v>0</v>
      </c>
      <c r="U219">
        <f>INDEX(Bang_sat_thuong!$B$2:$B$7,MATCH(Vu_khi!$K$219,Bang_sat_thuong!$A$2:$A$7,0))</f>
        <v/>
      </c>
      <c r="V219" t="n">
        <v>1</v>
      </c>
      <c r="W219">
        <f>INDEX(Bang_sat_thuong!$C$2:$C$7,MATCH(Vu_khi!$K$219,Bang_sat_thuong!$A$2:$A$7,0))</f>
        <v/>
      </c>
      <c r="X219" t="n">
        <v>0.3</v>
      </c>
      <c r="Y219">
        <f>IF(AND(Vu_khi!$AI$219,Vu_khi!$K$219="HighExplosive"),MAX(He_so_toan_cuc!$D$2,INDEX(Bang_sat_thuong!$D$2:$D$7,MATCH(Vu_khi!$K$219,Bang_sat_thuong!$A$2:$A$7,0))),INDEX(Bang_sat_thuong!$D$2:$D$7,MATCH(Vu_khi!$K$219,Bang_sat_thuong!$A$2:$A$7,0)))</f>
        <v/>
      </c>
      <c r="Z219" t="n">
        <v>0.6</v>
      </c>
      <c r="AA219">
        <f>INDEX(Bang_xuyen_giap!$C$2:$C$7,MIN(6,MAX(1,IF($O$219,MAX(1,2-(Vu_khi!$L$219-0)),2-(Vu_khi!$L$219-0))+1)))</f>
        <v/>
      </c>
      <c r="AB219" t="n">
        <v>1.2</v>
      </c>
      <c r="AC219">
        <f>INDEX(Bang_xuyen_giap!$C$2:$C$7,MIN(6,MAX(1,IF($O$219,MAX(1,2-(Vu_khi!$L$219-2)),2-(Vu_khi!$L$219-2))+1)))</f>
        <v/>
      </c>
      <c r="AD219" t="n">
        <v>1.2</v>
      </c>
      <c r="AE219">
        <f>INDEX(Bang_xuyen_giap!$C$2:$C$7,MIN(6,MAX(1,IF($O$219,MAX(1,2-(Vu_khi!$L$219-4)),2-(Vu_khi!$L$219-4))+1)))</f>
        <v/>
      </c>
      <c r="AF219" t="n">
        <v>1</v>
      </c>
      <c r="AG219">
        <f>INDEX(Bang_xuyen_giap!$C$2:$C$7,MIN(6,MAX(1,MAX(1,2-(Vu_khi!$L$219-0))+1)))</f>
        <v/>
      </c>
      <c r="AH219" t="n">
        <v>1</v>
      </c>
      <c r="AI219">
        <f>IF($Q$219,$M$219*$AA$219*$U$219,0)</f>
        <v/>
      </c>
      <c r="AJ219" t="n">
        <v>78</v>
      </c>
      <c r="AK219">
        <f>IF($Q$219,$M$219*$AC$219*$U$219,0)</f>
        <v/>
      </c>
      <c r="AL219" t="n">
        <v>78</v>
      </c>
      <c r="AM219">
        <f>IF($Q$219,$M$219*$AE$219*$U$219,0)</f>
        <v/>
      </c>
      <c r="AN219" t="n">
        <v>65</v>
      </c>
      <c r="AO219">
        <f>IF($Q$219,$M$219*$AC$219*$Y$219,0)</f>
        <v/>
      </c>
      <c r="AP219" t="n">
        <v>46.8</v>
      </c>
      <c r="AQ219">
        <f>IF($S$219,$M$219*$AG$219*$W$219,0)</f>
        <v/>
      </c>
      <c r="AR219" t="n">
        <v>0</v>
      </c>
      <c r="AS219">
        <f>IF(OR(Vu_khi!$M$219="Missile",Vu_khi!$M$219="Drone",AND(Vu_khi!$M$219="Rocket",OR(Vu_khi!$AM$219,Vu_khi!$D$219="guided")),Vu_khi!$AL$219,Vu_khi!$AK$219,Vu_khi!$X$219&lt;=0),FALSE,IF($B$219&gt;=0,$B$219&gt;=4,IF(Vu_khi!$M$219="Shell",Vu_khi!$AN$219&gt;=Canh_bao_vong!$D$10,IF(Vu_khi!$M$219="Bomb",Vu_khi!$AN$219&gt;=Canh_bao_vong!$D$3,IF(Vu_khi!$M$219="Rocket",Vu_khi!$AN$219&gt;=Canh_bao_vong!$D$13,FALSE)))))</f>
        <v/>
      </c>
      <c r="AT219" t="b">
        <v>0</v>
      </c>
      <c r="AU219">
        <f>IF(AND($B$219&lt;0,$AS$219),4,$B$219)</f>
        <v/>
      </c>
      <c r="AV219" t="n">
        <v>3</v>
      </c>
      <c r="AW219">
        <f>IF($AU$219&lt;4,0,MIN(MAX(0.5,Canh_bao_vong!$D$4),MAX(IF(Vu_khi!$C$219="cal_406",Canh_bao_vong!$D$7,IF($AU$219&gt;=5,Canh_bao_vong!$D$9,Canh_bao_vong!$D$8)),Canh_bao_vong!$D$2+MAX(0,Vu_khi!$X$219)/MAX(0.1,Canh_bao_vong!$D$5))))</f>
        <v/>
      </c>
      <c r="AX219" t="n">
        <v>0</v>
      </c>
      <c r="AY219" t="n">
        <v>0.373333</v>
      </c>
      <c r="AZ219" t="inlineStr">
        <is>
          <t>NHANH_QUA;LECH_DOT_1</t>
        </is>
      </c>
      <c r="BA219" t="inlineStr"/>
      <c r="BB219" t="inlineStr">
        <is>
          <t>Assets/MachineBrigade/Resources/Data/balance.json: weapons[id=p26_behemoth_be120] (lớp B trên 01_chien_dau/Vu_khi)</t>
        </is>
      </c>
      <c r="BC219" t="inlineStr"/>
    </row>
    <row r="220">
      <c r="A220" t="inlineStr">
        <is>
          <t>p26_behemoth_be152</t>
        </is>
      </c>
      <c r="B220" t="n">
        <v>3</v>
      </c>
      <c r="C220">
        <f>IF(Vu_khi!$O$220="SIMULTANEOUS",MAX(1,Vu_khi!$N$220),1)</f>
        <v/>
      </c>
      <c r="D220" t="n">
        <v>1</v>
      </c>
      <c r="E220">
        <f>IF(Vu_khi!$S$220&gt;0,Vu_khi!$S$220,Vu_khi!$P$220*$C$220)</f>
        <v/>
      </c>
      <c r="F220" t="n">
        <v>1</v>
      </c>
      <c r="G220">
        <f>IF(Vu_khi!$S$220&gt;0,(Vu_khi!$S$220-1)*Vu_khi!$R$220+Vu_khi!$T$220,Vu_khi!$R$220+(Vu_khi!$P$220-1)*Vu_khi!$Q$220)</f>
        <v/>
      </c>
      <c r="H220" t="n">
        <v>2</v>
      </c>
      <c r="I220">
        <f>Vu_khi!$W$220*MAX(1,$E$220)</f>
        <v/>
      </c>
      <c r="J220" t="n">
        <v>590</v>
      </c>
      <c r="K220">
        <f>IF(Vu_khi!$V$220&gt;0,Vu_khi!$V$220,MIN(28,MAX(10,Vu_khi!$U$220*Vu_khi!$R$220*0.4)))</f>
        <v/>
      </c>
      <c r="L220" t="n">
        <v>10</v>
      </c>
      <c r="M220">
        <f>IF(Vu_khi!$W$220&lt;=0,0,IF(Vu_khi!$U$220&gt;0,$I$220*Vu_khi!$U$220/(MAX(0.05,$G$220)*Vu_khi!$U$220+$K$220),$I$220/MAX(0.05,$G$220)))</f>
        <v/>
      </c>
      <c r="N220" t="n">
        <v>295</v>
      </c>
      <c r="O220">
        <f>OR(Vu_khi!$AG$220,Vu_khi!$AB$220&gt;0,Vu_khi!$AH$220,Vu_khi!$M$220="Bomb",Vu_khi!$M$220="Drone")</f>
        <v/>
      </c>
      <c r="P220" t="b">
        <v>0</v>
      </c>
      <c r="Q220">
        <f>AND(NOT(Vu_khi!$AJ$220),OR(Vu_khi!$AC$220="Ground",Vu_khi!$AC$220="All"))</f>
        <v/>
      </c>
      <c r="R220" t="b">
        <v>1</v>
      </c>
      <c r="S220">
        <f>AND(NOT(Vu_khi!$AJ$220),OR(Vu_khi!$AC$220="Air",Vu_khi!$AC$220="All"))</f>
        <v/>
      </c>
      <c r="T220" t="b">
        <v>0</v>
      </c>
      <c r="U220">
        <f>INDEX(Bang_sat_thuong!$B$2:$B$7,MATCH(Vu_khi!$K$220,Bang_sat_thuong!$A$2:$A$7,0))</f>
        <v/>
      </c>
      <c r="V220" t="n">
        <v>1</v>
      </c>
      <c r="W220">
        <f>INDEX(Bang_sat_thuong!$C$2:$C$7,MATCH(Vu_khi!$K$220,Bang_sat_thuong!$A$2:$A$7,0))</f>
        <v/>
      </c>
      <c r="X220" t="n">
        <v>0</v>
      </c>
      <c r="Y220">
        <f>IF(AND(Vu_khi!$AI$220,Vu_khi!$K$220="HighExplosive"),MAX(He_so_toan_cuc!$D$2,INDEX(Bang_sat_thuong!$D$2:$D$7,MATCH(Vu_khi!$K$220,Bang_sat_thuong!$A$2:$A$7,0))),INDEX(Bang_sat_thuong!$D$2:$D$7,MATCH(Vu_khi!$K$220,Bang_sat_thuong!$A$2:$A$7,0)))</f>
        <v/>
      </c>
      <c r="Z220" t="n">
        <v>1.5</v>
      </c>
      <c r="AA220">
        <f>INDEX(Bang_xuyen_giap!$C$2:$C$7,MIN(6,MAX(1,IF($O$220,MAX(1,2-(Vu_khi!$L$220-0)),2-(Vu_khi!$L$220-0))+1)))</f>
        <v/>
      </c>
      <c r="AB220" t="n">
        <v>1.2</v>
      </c>
      <c r="AC220">
        <f>INDEX(Bang_xuyen_giap!$C$2:$C$7,MIN(6,MAX(1,IF($O$220,MAX(1,2-(Vu_khi!$L$220-2)),2-(Vu_khi!$L$220-2))+1)))</f>
        <v/>
      </c>
      <c r="AD220" t="n">
        <v>1</v>
      </c>
      <c r="AE220">
        <f>INDEX(Bang_xuyen_giap!$C$2:$C$7,MIN(6,MAX(1,IF($O$220,MAX(1,2-(Vu_khi!$L$220-4)),2-(Vu_khi!$L$220-4))+1)))</f>
        <v/>
      </c>
      <c r="AF220" t="n">
        <v>0.5</v>
      </c>
      <c r="AG220">
        <f>INDEX(Bang_xuyen_giap!$C$2:$C$7,MIN(6,MAX(1,MAX(1,2-(Vu_khi!$L$220-0))+1)))</f>
        <v/>
      </c>
      <c r="AH220" t="n">
        <v>1</v>
      </c>
      <c r="AI220">
        <f>IF($Q$220,$M$220*$AA$220*$U$220,0)</f>
        <v/>
      </c>
      <c r="AJ220" t="n">
        <v>354</v>
      </c>
      <c r="AK220">
        <f>IF($Q$220,$M$220*$AC$220*$U$220,0)</f>
        <v/>
      </c>
      <c r="AL220" t="n">
        <v>295</v>
      </c>
      <c r="AM220">
        <f>IF($Q$220,$M$220*$AE$220*$U$220,0)</f>
        <v/>
      </c>
      <c r="AN220" t="n">
        <v>147.5</v>
      </c>
      <c r="AO220">
        <f>IF($Q$220,$M$220*$AC$220*$Y$220,0)</f>
        <v/>
      </c>
      <c r="AP220" t="n">
        <v>442.5</v>
      </c>
      <c r="AQ220">
        <f>IF($S$220,$M$220*$AG$220*$W$220,0)</f>
        <v/>
      </c>
      <c r="AR220" t="n">
        <v>0</v>
      </c>
      <c r="AS220">
        <f>IF(OR(Vu_khi!$M$220="Missile",Vu_khi!$M$220="Drone",AND(Vu_khi!$M$220="Rocket",OR(Vu_khi!$AM$220,Vu_khi!$D$220="guided")),Vu_khi!$AL$220,Vu_khi!$AK$220,Vu_khi!$X$220&lt;=0),FALSE,IF($B$220&gt;=0,$B$220&gt;=4,IF(Vu_khi!$M$220="Shell",Vu_khi!$AN$220&gt;=Canh_bao_vong!$D$10,IF(Vu_khi!$M$220="Bomb",Vu_khi!$AN$220&gt;=Canh_bao_vong!$D$3,IF(Vu_khi!$M$220="Rocket",Vu_khi!$AN$220&gt;=Canh_bao_vong!$D$13,FALSE)))))</f>
        <v/>
      </c>
      <c r="AT220" t="b">
        <v>0</v>
      </c>
      <c r="AU220">
        <f>IF(AND($B$220&lt;0,$AS$220),4,$B$220)</f>
        <v/>
      </c>
      <c r="AV220" t="n">
        <v>3</v>
      </c>
      <c r="AW220">
        <f>IF($AU$220&lt;4,0,MIN(MAX(0.5,Canh_bao_vong!$D$4),MAX(IF(Vu_khi!$C$220="cal_406",Canh_bao_vong!$D$7,IF($AU$220&gt;=5,Canh_bao_vong!$D$9,Canh_bao_vong!$D$8)),Canh_bao_vong!$D$2+MAX(0,Vu_khi!$X$220)/MAX(0.1,Canh_bao_vong!$D$5))))</f>
        <v/>
      </c>
      <c r="AX220" t="n">
        <v>0</v>
      </c>
      <c r="AY220" t="n">
        <v>0.186667</v>
      </c>
      <c r="AZ220" t="inlineStr">
        <is>
          <t>NHANH_QUA;LECH_DOT_1</t>
        </is>
      </c>
      <c r="BA220" t="inlineStr"/>
      <c r="BB220" t="inlineStr">
        <is>
          <t>Assets/MachineBrigade/Resources/Data/balance.json: weapons[id=p26_behemoth_be152] (lớp B trên 01_chien_dau/Vu_khi)</t>
        </is>
      </c>
      <c r="BC220" t="inlineStr"/>
    </row>
    <row r="221">
      <c r="A221" t="inlineStr">
        <is>
          <t>p26_behemoth_be_rockets</t>
        </is>
      </c>
      <c r="B221" t="n">
        <v>3</v>
      </c>
      <c r="C221">
        <f>IF(Vu_khi!$O$221="SIMULTANEOUS",MAX(1,Vu_khi!$N$221),1)</f>
        <v/>
      </c>
      <c r="D221" t="n">
        <v>1</v>
      </c>
      <c r="E221">
        <f>IF(Vu_khi!$S$221&gt;0,Vu_khi!$S$221,Vu_khi!$P$221*$C$221)</f>
        <v/>
      </c>
      <c r="F221" t="n">
        <v>8</v>
      </c>
      <c r="G221">
        <f>IF(Vu_khi!$S$221&gt;0,(Vu_khi!$S$221-1)*Vu_khi!$R$221+Vu_khi!$T$221,Vu_khi!$R$221+(Vu_khi!$P$221-1)*Vu_khi!$Q$221)</f>
        <v/>
      </c>
      <c r="H221" t="n">
        <v>8</v>
      </c>
      <c r="I221">
        <f>Vu_khi!$W$221*MAX(1,$E$221)</f>
        <v/>
      </c>
      <c r="J221" t="n">
        <v>1280</v>
      </c>
      <c r="K221">
        <f>IF(Vu_khi!$V$221&gt;0,Vu_khi!$V$221,MIN(28,MAX(10,Vu_khi!$U$221*Vu_khi!$R$221*0.4)))</f>
        <v/>
      </c>
      <c r="L221" t="n">
        <v>10</v>
      </c>
      <c r="M221">
        <f>IF(Vu_khi!$W$221&lt;=0,0,IF(Vu_khi!$U$221&gt;0,$I$221*Vu_khi!$U$221/(MAX(0.05,$G$221)*Vu_khi!$U$221+$K$221),$I$221/MAX(0.05,$G$221)))</f>
        <v/>
      </c>
      <c r="N221" t="n">
        <v>160</v>
      </c>
      <c r="O221">
        <f>OR(Vu_khi!$AG$221,Vu_khi!$AB$221&gt;0,Vu_khi!$AH$221,Vu_khi!$M$221="Bomb",Vu_khi!$M$221="Drone")</f>
        <v/>
      </c>
      <c r="P221" t="b">
        <v>0</v>
      </c>
      <c r="Q221">
        <f>AND(NOT(Vu_khi!$AJ$221),OR(Vu_khi!$AC$221="Ground",Vu_khi!$AC$221="All"))</f>
        <v/>
      </c>
      <c r="R221" t="b">
        <v>1</v>
      </c>
      <c r="S221">
        <f>AND(NOT(Vu_khi!$AJ$221),OR(Vu_khi!$AC$221="Air",Vu_khi!$AC$221="All"))</f>
        <v/>
      </c>
      <c r="T221" t="b">
        <v>0</v>
      </c>
      <c r="U221">
        <f>INDEX(Bang_sat_thuong!$B$2:$B$7,MATCH(Vu_khi!$K$221,Bang_sat_thuong!$A$2:$A$7,0))</f>
        <v/>
      </c>
      <c r="V221" t="n">
        <v>1</v>
      </c>
      <c r="W221">
        <f>INDEX(Bang_sat_thuong!$C$2:$C$7,MATCH(Vu_khi!$K$221,Bang_sat_thuong!$A$2:$A$7,0))</f>
        <v/>
      </c>
      <c r="X221" t="n">
        <v>0</v>
      </c>
      <c r="Y221">
        <f>IF(AND(Vu_khi!$AI$221,Vu_khi!$K$221="HighExplosive"),MAX(He_so_toan_cuc!$D$2,INDEX(Bang_sat_thuong!$D$2:$D$7,MATCH(Vu_khi!$K$221,Bang_sat_thuong!$A$2:$A$7,0))),INDEX(Bang_sat_thuong!$D$2:$D$7,MATCH(Vu_khi!$K$221,Bang_sat_thuong!$A$2:$A$7,0)))</f>
        <v/>
      </c>
      <c r="Z221" t="n">
        <v>1.5</v>
      </c>
      <c r="AA221">
        <f>INDEX(Bang_xuyen_giap!$C$2:$C$7,MIN(6,MAX(1,IF($O$221,MAX(1,2-(Vu_khi!$L$221-0)),2-(Vu_khi!$L$221-0))+1)))</f>
        <v/>
      </c>
      <c r="AB221" t="n">
        <v>1.2</v>
      </c>
      <c r="AC221">
        <f>INDEX(Bang_xuyen_giap!$C$2:$C$7,MIN(6,MAX(1,IF($O$221,MAX(1,2-(Vu_khi!$L$221-2)),2-(Vu_khi!$L$221-2))+1)))</f>
        <v/>
      </c>
      <c r="AD221" t="n">
        <v>0.85</v>
      </c>
      <c r="AE221">
        <f>INDEX(Bang_xuyen_giap!$C$2:$C$7,MIN(6,MAX(1,IF($O$221,MAX(1,2-(Vu_khi!$L$221-4)),2-(Vu_khi!$L$221-4))+1)))</f>
        <v/>
      </c>
      <c r="AF221" t="n">
        <v>0.25</v>
      </c>
      <c r="AG221">
        <f>INDEX(Bang_xuyen_giap!$C$2:$C$7,MIN(6,MAX(1,MAX(1,2-(Vu_khi!$L$221-0))+1)))</f>
        <v/>
      </c>
      <c r="AH221" t="n">
        <v>1</v>
      </c>
      <c r="AI221">
        <f>IF($Q$221,$M$221*$AA$221*$U$221,0)</f>
        <v/>
      </c>
      <c r="AJ221" t="n">
        <v>192</v>
      </c>
      <c r="AK221">
        <f>IF($Q$221,$M$221*$AC$221*$U$221,0)</f>
        <v/>
      </c>
      <c r="AL221" t="n">
        <v>136</v>
      </c>
      <c r="AM221">
        <f>IF($Q$221,$M$221*$AE$221*$U$221,0)</f>
        <v/>
      </c>
      <c r="AN221" t="n">
        <v>40</v>
      </c>
      <c r="AO221">
        <f>IF($Q$221,$M$221*$AC$221*$Y$221,0)</f>
        <v/>
      </c>
      <c r="AP221" t="n">
        <v>204</v>
      </c>
      <c r="AQ221">
        <f>IF($S$221,$M$221*$AG$221*$W$221,0)</f>
        <v/>
      </c>
      <c r="AR221" t="n">
        <v>0</v>
      </c>
      <c r="AS221">
        <f>IF(OR(Vu_khi!$M$221="Missile",Vu_khi!$M$221="Drone",AND(Vu_khi!$M$221="Rocket",OR(Vu_khi!$AM$221,Vu_khi!$D$221="guided")),Vu_khi!$AL$221,Vu_khi!$AK$221,Vu_khi!$X$221&lt;=0),FALSE,IF($B$221&gt;=0,$B$221&gt;=4,IF(Vu_khi!$M$221="Shell",Vu_khi!$AN$221&gt;=Canh_bao_vong!$D$10,IF(Vu_khi!$M$221="Bomb",Vu_khi!$AN$221&gt;=Canh_bao_vong!$D$3,IF(Vu_khi!$M$221="Rocket",Vu_khi!$AN$221&gt;=Canh_bao_vong!$D$13,FALSE)))))</f>
        <v/>
      </c>
      <c r="AT221" t="b">
        <v>0</v>
      </c>
      <c r="AU221">
        <f>IF(AND($B$221&lt;0,$AS$221),4,$B$221)</f>
        <v/>
      </c>
      <c r="AV221" t="n">
        <v>3</v>
      </c>
      <c r="AW221">
        <f>IF($AU$221&lt;4,0,MIN(MAX(0.5,Canh_bao_vong!$D$4),MAX(IF(Vu_khi!$C$221="cal_406",Canh_bao_vong!$D$7,IF($AU$221&gt;=5,Canh_bao_vong!$D$9,Canh_bao_vong!$D$8)),Canh_bao_vong!$D$2+MAX(0,Vu_khi!$X$221)/MAX(0.1,Canh_bao_vong!$D$5))))</f>
        <v/>
      </c>
      <c r="AX221" t="n">
        <v>0</v>
      </c>
      <c r="AY221" t="n">
        <v>0.6</v>
      </c>
      <c r="AZ221" t="inlineStr">
        <is>
          <t>LECH_DOT_1</t>
        </is>
      </c>
      <c r="BA221" t="inlineStr"/>
      <c r="BB221" t="inlineStr">
        <is>
          <t>Assets/MachineBrigade/Resources/Data/balance.json: weapons[id=p26_behemoth_be_rockets] (lớp B trên 01_chien_dau/Vu_khi)</t>
        </is>
      </c>
      <c r="BC221" t="inlineStr"/>
    </row>
    <row r="222">
      <c r="A222" t="inlineStr">
        <is>
          <t>p26_behemoth_close_boss_flak</t>
        </is>
      </c>
      <c r="B222" t="n">
        <v>1</v>
      </c>
      <c r="C222">
        <f>IF(Vu_khi!$O$222="SIMULTANEOUS",MAX(1,Vu_khi!$N$222),1)</f>
        <v/>
      </c>
      <c r="D222" t="n">
        <v>1</v>
      </c>
      <c r="E222">
        <f>IF(Vu_khi!$S$222&gt;0,Vu_khi!$S$222,Vu_khi!$P$222*$C$222)</f>
        <v/>
      </c>
      <c r="F222" t="n">
        <v>41</v>
      </c>
      <c r="G222">
        <f>IF(Vu_khi!$S$222&gt;0,(Vu_khi!$S$222-1)*Vu_khi!$R$222+Vu_khi!$T$222,Vu_khi!$R$222+(Vu_khi!$P$222-1)*Vu_khi!$Q$222)</f>
        <v/>
      </c>
      <c r="H222" t="n">
        <v>5.38</v>
      </c>
      <c r="I222">
        <f>Vu_khi!$W$222*MAX(1,$E$222)</f>
        <v/>
      </c>
      <c r="J222" t="n">
        <v>1025</v>
      </c>
      <c r="K222">
        <f>IF(Vu_khi!$V$222&gt;0,Vu_khi!$V$222,MIN(28,MAX(10,Vu_khi!$U$222*Vu_khi!$R$222*0.4)))</f>
        <v/>
      </c>
      <c r="L222" t="n">
        <v>10</v>
      </c>
      <c r="M222">
        <f>IF(Vu_khi!$W$222&lt;=0,0,IF(Vu_khi!$U$222&gt;0,$I$222*Vu_khi!$U$222/(MAX(0.05,$G$222)*Vu_khi!$U$222+$K$222),$I$222/MAX(0.05,$G$222)))</f>
        <v/>
      </c>
      <c r="N222" t="n">
        <v>190.5204460966543</v>
      </c>
      <c r="O222">
        <f>OR(Vu_khi!$AG$222,Vu_khi!$AB$222&gt;0,Vu_khi!$AH$222,Vu_khi!$M$222="Bomb",Vu_khi!$M$222="Drone")</f>
        <v/>
      </c>
      <c r="P222" t="b">
        <v>0</v>
      </c>
      <c r="Q222">
        <f>AND(NOT(Vu_khi!$AJ$222),OR(Vu_khi!$AC$222="Ground",Vu_khi!$AC$222="All"))</f>
        <v/>
      </c>
      <c r="R222" t="b">
        <v>1</v>
      </c>
      <c r="S222">
        <f>AND(NOT(Vu_khi!$AJ$222),OR(Vu_khi!$AC$222="Air",Vu_khi!$AC$222="All"))</f>
        <v/>
      </c>
      <c r="T222" t="b">
        <v>1</v>
      </c>
      <c r="U222">
        <f>INDEX(Bang_sat_thuong!$B$2:$B$7,MATCH(Vu_khi!$K$222,Bang_sat_thuong!$A$2:$A$7,0))</f>
        <v/>
      </c>
      <c r="V222" t="n">
        <v>0.5</v>
      </c>
      <c r="W222">
        <f>INDEX(Bang_sat_thuong!$C$2:$C$7,MATCH(Vu_khi!$K$222,Bang_sat_thuong!$A$2:$A$7,0))</f>
        <v/>
      </c>
      <c r="X222" t="n">
        <v>1.3</v>
      </c>
      <c r="Y222">
        <f>IF(AND(Vu_khi!$AI$222,Vu_khi!$K$222="HighExplosive"),MAX(He_so_toan_cuc!$D$2,INDEX(Bang_sat_thuong!$D$2:$D$7,MATCH(Vu_khi!$K$222,Bang_sat_thuong!$A$2:$A$7,0))),INDEX(Bang_sat_thuong!$D$2:$D$7,MATCH(Vu_khi!$K$222,Bang_sat_thuong!$A$2:$A$7,0)))</f>
        <v/>
      </c>
      <c r="Z222" t="n">
        <v>0.1</v>
      </c>
      <c r="AA222">
        <f>INDEX(Bang_xuyen_giap!$C$2:$C$7,MIN(6,MAX(1,IF($O$222,MAX(1,2-(Vu_khi!$L$222-0)),2-(Vu_khi!$L$222-0))+1)))</f>
        <v/>
      </c>
      <c r="AB222" t="n">
        <v>1.2</v>
      </c>
      <c r="AC222">
        <f>INDEX(Bang_xuyen_giap!$C$2:$C$7,MIN(6,MAX(1,IF($O$222,MAX(1,2-(Vu_khi!$L$222-2)),2-(Vu_khi!$L$222-2))+1)))</f>
        <v/>
      </c>
      <c r="AD222" t="n">
        <v>0.85</v>
      </c>
      <c r="AE222">
        <f>INDEX(Bang_xuyen_giap!$C$2:$C$7,MIN(6,MAX(1,IF($O$222,MAX(1,2-(Vu_khi!$L$222-4)),2-(Vu_khi!$L$222-4))+1)))</f>
        <v/>
      </c>
      <c r="AF222" t="n">
        <v>0.25</v>
      </c>
      <c r="AG222">
        <f>INDEX(Bang_xuyen_giap!$C$2:$C$7,MIN(6,MAX(1,MAX(1,2-(Vu_khi!$L$222-0))+1)))</f>
        <v/>
      </c>
      <c r="AH222" t="n">
        <v>1</v>
      </c>
      <c r="AI222">
        <f>IF($Q$222,$M$222*$AA$222*$U$222,0)</f>
        <v/>
      </c>
      <c r="AJ222" t="n">
        <v>114.3122676579926</v>
      </c>
      <c r="AK222">
        <f>IF($Q$222,$M$222*$AC$222*$U$222,0)</f>
        <v/>
      </c>
      <c r="AL222" t="n">
        <v>80.97118959107806</v>
      </c>
      <c r="AM222">
        <f>IF($Q$222,$M$222*$AE$222*$U$222,0)</f>
        <v/>
      </c>
      <c r="AN222" t="n">
        <v>23.81505576208178</v>
      </c>
      <c r="AO222">
        <f>IF($Q$222,$M$222*$AC$222*$Y$222,0)</f>
        <v/>
      </c>
      <c r="AP222" t="n">
        <v>16.19423791821561</v>
      </c>
      <c r="AQ222">
        <f>IF($S$222,$M$222*$AG$222*$W$222,0)</f>
        <v/>
      </c>
      <c r="AR222" t="n">
        <v>247.6765799256505</v>
      </c>
      <c r="AS222">
        <f>IF(OR(Vu_khi!$M$222="Missile",Vu_khi!$M$222="Drone",AND(Vu_khi!$M$222="Rocket",OR(Vu_khi!$AM$222,Vu_khi!$D$222="guided")),Vu_khi!$AL$222,Vu_khi!$AK$222,Vu_khi!$X$222&lt;=0),FALSE,IF($B$222&gt;=0,$B$222&gt;=4,IF(Vu_khi!$M$222="Shell",Vu_khi!$AN$222&gt;=Canh_bao_vong!$D$10,IF(Vu_khi!$M$222="Bomb",Vu_khi!$AN$222&gt;=Canh_bao_vong!$D$3,IF(Vu_khi!$M$222="Rocket",Vu_khi!$AN$222&gt;=Canh_bao_vong!$D$13,FALSE)))))</f>
        <v/>
      </c>
      <c r="AT222" t="b">
        <v>0</v>
      </c>
      <c r="AU222">
        <f>IF(AND($B$222&lt;0,$AS$222),4,$B$222)</f>
        <v/>
      </c>
      <c r="AV222" t="n">
        <v>1</v>
      </c>
      <c r="AW222">
        <f>IF($AU$222&lt;4,0,MIN(MAX(0.5,Canh_bao_vong!$D$4),MAX(IF(Vu_khi!$C$222="cal_406",Canh_bao_vong!$D$7,IF($AU$222&gt;=5,Canh_bao_vong!$D$9,Canh_bao_vong!$D$8)),Canh_bao_vong!$D$2+MAX(0,Vu_khi!$X$222)/MAX(0.1,Canh_bao_vong!$D$5))))</f>
        <v/>
      </c>
      <c r="AX222" t="n">
        <v>0</v>
      </c>
      <c r="AY222" t="n">
        <v>2.405691</v>
      </c>
      <c r="AZ222" t="inlineStr">
        <is>
          <t>ok</t>
        </is>
      </c>
      <c r="BA222" t="b">
        <v>1</v>
      </c>
      <c r="BB222" t="inlineStr">
        <is>
          <t>Assets/MachineBrigade/Resources/Data/balance.json: weapons[id=p26_behemoth_close_boss_flak] (lớp B trên 01_chien_dau/Vu_khi)</t>
        </is>
      </c>
      <c r="BC222" t="inlineStr"/>
    </row>
    <row r="223">
      <c r="A223" t="inlineStr">
        <is>
          <t>p26_behemoth_direct_be120</t>
        </is>
      </c>
      <c r="B223" t="n">
        <v>3</v>
      </c>
      <c r="C223">
        <f>IF(Vu_khi!$O$223="SIMULTANEOUS",MAX(1,Vu_khi!$N$223),1)</f>
        <v/>
      </c>
      <c r="D223" t="n">
        <v>2</v>
      </c>
      <c r="E223">
        <f>IF(Vu_khi!$S$223&gt;0,Vu_khi!$S$223,Vu_khi!$P$223*$C$223)</f>
        <v/>
      </c>
      <c r="F223" t="n">
        <v>2</v>
      </c>
      <c r="G223">
        <f>IF(Vu_khi!$S$223&gt;0,(Vu_khi!$S$223-1)*Vu_khi!$R$223+Vu_khi!$T$223,Vu_khi!$R$223+(Vu_khi!$P$223-1)*Vu_khi!$Q$223)</f>
        <v/>
      </c>
      <c r="H223" t="n">
        <v>7.5</v>
      </c>
      <c r="I223">
        <f>Vu_khi!$W$223*MAX(1,$E$223)</f>
        <v/>
      </c>
      <c r="J223" t="n">
        <v>520</v>
      </c>
      <c r="K223">
        <f>IF(Vu_khi!$V$223&gt;0,Vu_khi!$V$223,MIN(28,MAX(10,Vu_khi!$U$223*Vu_khi!$R$223*0.4)))</f>
        <v/>
      </c>
      <c r="L223" t="n">
        <v>10</v>
      </c>
      <c r="M223">
        <f>IF(Vu_khi!$W$223&lt;=0,0,IF(Vu_khi!$U$223&gt;0,$I$223*Vu_khi!$U$223/(MAX(0.05,$G$223)*Vu_khi!$U$223+$K$223),$I$223/MAX(0.05,$G$223)))</f>
        <v/>
      </c>
      <c r="N223" t="n">
        <v>69.33333333333333</v>
      </c>
      <c r="O223">
        <f>OR(Vu_khi!$AG$223,Vu_khi!$AB$223&gt;0,Vu_khi!$AH$223,Vu_khi!$M$223="Bomb",Vu_khi!$M$223="Drone")</f>
        <v/>
      </c>
      <c r="P223" t="b">
        <v>0</v>
      </c>
      <c r="Q223">
        <f>AND(NOT(Vu_khi!$AJ$223),OR(Vu_khi!$AC$223="Ground",Vu_khi!$AC$223="All"))</f>
        <v/>
      </c>
      <c r="R223" t="b">
        <v>1</v>
      </c>
      <c r="S223">
        <f>AND(NOT(Vu_khi!$AJ$223),OR(Vu_khi!$AC$223="Air",Vu_khi!$AC$223="All"))</f>
        <v/>
      </c>
      <c r="T223" t="b">
        <v>0</v>
      </c>
      <c r="U223">
        <f>INDEX(Bang_sat_thuong!$B$2:$B$7,MATCH(Vu_khi!$K$223,Bang_sat_thuong!$A$2:$A$7,0))</f>
        <v/>
      </c>
      <c r="V223" t="n">
        <v>1</v>
      </c>
      <c r="W223">
        <f>INDEX(Bang_sat_thuong!$C$2:$C$7,MATCH(Vu_khi!$K$223,Bang_sat_thuong!$A$2:$A$7,0))</f>
        <v/>
      </c>
      <c r="X223" t="n">
        <v>0.3</v>
      </c>
      <c r="Y223">
        <f>IF(AND(Vu_khi!$AI$223,Vu_khi!$K$223="HighExplosive"),MAX(He_so_toan_cuc!$D$2,INDEX(Bang_sat_thuong!$D$2:$D$7,MATCH(Vu_khi!$K$223,Bang_sat_thuong!$A$2:$A$7,0))),INDEX(Bang_sat_thuong!$D$2:$D$7,MATCH(Vu_khi!$K$223,Bang_sat_thuong!$A$2:$A$7,0)))</f>
        <v/>
      </c>
      <c r="Z223" t="n">
        <v>0.6</v>
      </c>
      <c r="AA223">
        <f>INDEX(Bang_xuyen_giap!$C$2:$C$7,MIN(6,MAX(1,IF($O$223,MAX(1,2-(Vu_khi!$L$223-0)),2-(Vu_khi!$L$223-0))+1)))</f>
        <v/>
      </c>
      <c r="AB223" t="n">
        <v>1.2</v>
      </c>
      <c r="AC223">
        <f>INDEX(Bang_xuyen_giap!$C$2:$C$7,MIN(6,MAX(1,IF($O$223,MAX(1,2-(Vu_khi!$L$223-2)),2-(Vu_khi!$L$223-2))+1)))</f>
        <v/>
      </c>
      <c r="AD223" t="n">
        <v>1.2</v>
      </c>
      <c r="AE223">
        <f>INDEX(Bang_xuyen_giap!$C$2:$C$7,MIN(6,MAX(1,IF($O$223,MAX(1,2-(Vu_khi!$L$223-4)),2-(Vu_khi!$L$223-4))+1)))</f>
        <v/>
      </c>
      <c r="AF223" t="n">
        <v>1</v>
      </c>
      <c r="AG223">
        <f>INDEX(Bang_xuyen_giap!$C$2:$C$7,MIN(6,MAX(1,MAX(1,2-(Vu_khi!$L$223-0))+1)))</f>
        <v/>
      </c>
      <c r="AH223" t="n">
        <v>1</v>
      </c>
      <c r="AI223">
        <f>IF($Q$223,$M$223*$AA$223*$U$223,0)</f>
        <v/>
      </c>
      <c r="AJ223" t="n">
        <v>83.19999999999999</v>
      </c>
      <c r="AK223">
        <f>IF($Q$223,$M$223*$AC$223*$U$223,0)</f>
        <v/>
      </c>
      <c r="AL223" t="n">
        <v>83.19999999999999</v>
      </c>
      <c r="AM223">
        <f>IF($Q$223,$M$223*$AE$223*$U$223,0)</f>
        <v/>
      </c>
      <c r="AN223" t="n">
        <v>69.33333333333333</v>
      </c>
      <c r="AO223">
        <f>IF($Q$223,$M$223*$AC$223*$Y$223,0)</f>
        <v/>
      </c>
      <c r="AP223" t="n">
        <v>49.91999999999999</v>
      </c>
      <c r="AQ223">
        <f>IF($S$223,$M$223*$AG$223*$W$223,0)</f>
        <v/>
      </c>
      <c r="AR223" t="n">
        <v>0</v>
      </c>
      <c r="AS223">
        <f>IF(OR(Vu_khi!$M$223="Missile",Vu_khi!$M$223="Drone",AND(Vu_khi!$M$223="Rocket",OR(Vu_khi!$AM$223,Vu_khi!$D$223="guided")),Vu_khi!$AL$223,Vu_khi!$AK$223,Vu_khi!$X$223&lt;=0),FALSE,IF($B$223&gt;=0,$B$223&gt;=4,IF(Vu_khi!$M$223="Shell",Vu_khi!$AN$223&gt;=Canh_bao_vong!$D$10,IF(Vu_khi!$M$223="Bomb",Vu_khi!$AN$223&gt;=Canh_bao_vong!$D$3,IF(Vu_khi!$M$223="Rocket",Vu_khi!$AN$223&gt;=Canh_bao_vong!$D$13,FALSE)))))</f>
        <v/>
      </c>
      <c r="AT223" t="b">
        <v>0</v>
      </c>
      <c r="AU223">
        <f>IF(AND($B$223&lt;0,$AS$223),4,$B$223)</f>
        <v/>
      </c>
      <c r="AV223" t="n">
        <v>3</v>
      </c>
      <c r="AW223">
        <f>IF($AU$223&lt;4,0,MIN(MAX(0.5,Canh_bao_vong!$D$4),MAX(IF(Vu_khi!$C$223="cal_406",Canh_bao_vong!$D$7,IF($AU$223&gt;=5,Canh_bao_vong!$D$9,Canh_bao_vong!$D$8)),Canh_bao_vong!$D$2+MAX(0,Vu_khi!$X$223)/MAX(0.1,Canh_bao_vong!$D$5))))</f>
        <v/>
      </c>
      <c r="AX223" t="n">
        <v>0</v>
      </c>
      <c r="AY223" t="n">
        <v>0.7</v>
      </c>
      <c r="AZ223" t="inlineStr">
        <is>
          <t>LECH_HO</t>
        </is>
      </c>
      <c r="BA223" t="b">
        <v>0</v>
      </c>
      <c r="BB223" t="inlineStr">
        <is>
          <t>Assets/MachineBrigade/Resources/Data/balance.json: weapons[id=p26_behemoth_direct_be120] (lớp B trên 01_chien_dau/Vu_khi)</t>
        </is>
      </c>
      <c r="BC223" t="inlineStr"/>
    </row>
    <row r="224">
      <c r="A224" t="inlineStr">
        <is>
          <t>p26_behemoth_main_be152</t>
        </is>
      </c>
      <c r="B224" t="n">
        <v>3</v>
      </c>
      <c r="C224">
        <f>IF(Vu_khi!$O$224="SIMULTANEOUS",MAX(1,Vu_khi!$N$224),1)</f>
        <v/>
      </c>
      <c r="D224" t="n">
        <v>2</v>
      </c>
      <c r="E224">
        <f>IF(Vu_khi!$S$224&gt;0,Vu_khi!$S$224,Vu_khi!$P$224*$C$224)</f>
        <v/>
      </c>
      <c r="F224" t="n">
        <v>2</v>
      </c>
      <c r="G224">
        <f>IF(Vu_khi!$S$224&gt;0,(Vu_khi!$S$224-1)*Vu_khi!$R$224+Vu_khi!$T$224,Vu_khi!$R$224+(Vu_khi!$P$224-1)*Vu_khi!$Q$224)</f>
        <v/>
      </c>
      <c r="H224" t="n">
        <v>8.98</v>
      </c>
      <c r="I224">
        <f>Vu_khi!$W$224*MAX(1,$E$224)</f>
        <v/>
      </c>
      <c r="J224" t="n">
        <v>1200</v>
      </c>
      <c r="K224">
        <f>IF(Vu_khi!$V$224&gt;0,Vu_khi!$V$224,MIN(28,MAX(10,Vu_khi!$U$224*Vu_khi!$R$224*0.4)))</f>
        <v/>
      </c>
      <c r="L224" t="n">
        <v>10</v>
      </c>
      <c r="M224">
        <f>IF(Vu_khi!$W$224&lt;=0,0,IF(Vu_khi!$U$224&gt;0,$I$224*Vu_khi!$U$224/(MAX(0.05,$G$224)*Vu_khi!$U$224+$K$224),$I$224/MAX(0.05,$G$224)))</f>
        <v/>
      </c>
      <c r="N224" t="n">
        <v>133.630289532294</v>
      </c>
      <c r="O224">
        <f>OR(Vu_khi!$AG$224,Vu_khi!$AB$224&gt;0,Vu_khi!$AH$224,Vu_khi!$M$224="Bomb",Vu_khi!$M$224="Drone")</f>
        <v/>
      </c>
      <c r="P224" t="b">
        <v>0</v>
      </c>
      <c r="Q224">
        <f>AND(NOT(Vu_khi!$AJ$224),OR(Vu_khi!$AC$224="Ground",Vu_khi!$AC$224="All"))</f>
        <v/>
      </c>
      <c r="R224" t="b">
        <v>1</v>
      </c>
      <c r="S224">
        <f>AND(NOT(Vu_khi!$AJ$224),OR(Vu_khi!$AC$224="Air",Vu_khi!$AC$224="All"))</f>
        <v/>
      </c>
      <c r="T224" t="b">
        <v>0</v>
      </c>
      <c r="U224">
        <f>INDEX(Bang_sat_thuong!$B$2:$B$7,MATCH(Vu_khi!$K$224,Bang_sat_thuong!$A$2:$A$7,0))</f>
        <v/>
      </c>
      <c r="V224" t="n">
        <v>1</v>
      </c>
      <c r="W224">
        <f>INDEX(Bang_sat_thuong!$C$2:$C$7,MATCH(Vu_khi!$K$224,Bang_sat_thuong!$A$2:$A$7,0))</f>
        <v/>
      </c>
      <c r="X224" t="n">
        <v>0</v>
      </c>
      <c r="Y224">
        <f>IF(AND(Vu_khi!$AI$224,Vu_khi!$K$224="HighExplosive"),MAX(He_so_toan_cuc!$D$2,INDEX(Bang_sat_thuong!$D$2:$D$7,MATCH(Vu_khi!$K$224,Bang_sat_thuong!$A$2:$A$7,0))),INDEX(Bang_sat_thuong!$D$2:$D$7,MATCH(Vu_khi!$K$224,Bang_sat_thuong!$A$2:$A$7,0)))</f>
        <v/>
      </c>
      <c r="Z224" t="n">
        <v>1.5</v>
      </c>
      <c r="AA224">
        <f>INDEX(Bang_xuyen_giap!$C$2:$C$7,MIN(6,MAX(1,IF($O$224,MAX(1,2-(Vu_khi!$L$224-0)),2-(Vu_khi!$L$224-0))+1)))</f>
        <v/>
      </c>
      <c r="AB224" t="n">
        <v>1.2</v>
      </c>
      <c r="AC224">
        <f>INDEX(Bang_xuyen_giap!$C$2:$C$7,MIN(6,MAX(1,IF($O$224,MAX(1,2-(Vu_khi!$L$224-2)),2-(Vu_khi!$L$224-2))+1)))</f>
        <v/>
      </c>
      <c r="AD224" t="n">
        <v>1</v>
      </c>
      <c r="AE224">
        <f>INDEX(Bang_xuyen_giap!$C$2:$C$7,MIN(6,MAX(1,IF($O$224,MAX(1,2-(Vu_khi!$L$224-4)),2-(Vu_khi!$L$224-4))+1)))</f>
        <v/>
      </c>
      <c r="AF224" t="n">
        <v>0.5</v>
      </c>
      <c r="AG224">
        <f>INDEX(Bang_xuyen_giap!$C$2:$C$7,MIN(6,MAX(1,MAX(1,2-(Vu_khi!$L$224-0))+1)))</f>
        <v/>
      </c>
      <c r="AH224" t="n">
        <v>1</v>
      </c>
      <c r="AI224">
        <f>IF($Q$224,$M$224*$AA$224*$U$224,0)</f>
        <v/>
      </c>
      <c r="AJ224" t="n">
        <v>160.3563474387527</v>
      </c>
      <c r="AK224">
        <f>IF($Q$224,$M$224*$AC$224*$U$224,0)</f>
        <v/>
      </c>
      <c r="AL224" t="n">
        <v>133.630289532294</v>
      </c>
      <c r="AM224">
        <f>IF($Q$224,$M$224*$AE$224*$U$224,0)</f>
        <v/>
      </c>
      <c r="AN224" t="n">
        <v>66.81514476614699</v>
      </c>
      <c r="AO224">
        <f>IF($Q$224,$M$224*$AC$224*$Y$224,0)</f>
        <v/>
      </c>
      <c r="AP224" t="n">
        <v>200.4454342984409</v>
      </c>
      <c r="AQ224">
        <f>IF($S$224,$M$224*$AG$224*$W$224,0)</f>
        <v/>
      </c>
      <c r="AR224" t="n">
        <v>0</v>
      </c>
      <c r="AS224">
        <f>IF(OR(Vu_khi!$M$224="Missile",Vu_khi!$M$224="Drone",AND(Vu_khi!$M$224="Rocket",OR(Vu_khi!$AM$224,Vu_khi!$D$224="guided")),Vu_khi!$AL$224,Vu_khi!$AK$224,Vu_khi!$X$224&lt;=0),FALSE,IF($B$224&gt;=0,$B$224&gt;=4,IF(Vu_khi!$M$224="Shell",Vu_khi!$AN$224&gt;=Canh_bao_vong!$D$10,IF(Vu_khi!$M$224="Bomb",Vu_khi!$AN$224&gt;=Canh_bao_vong!$D$3,IF(Vu_khi!$M$224="Rocket",Vu_khi!$AN$224&gt;=Canh_bao_vong!$D$13,FALSE)))))</f>
        <v/>
      </c>
      <c r="AT224" t="b">
        <v>0</v>
      </c>
      <c r="AU224">
        <f>IF(AND($B$224&lt;0,$AS$224),4,$B$224)</f>
        <v/>
      </c>
      <c r="AV224" t="n">
        <v>3</v>
      </c>
      <c r="AW224">
        <f>IF($AU$224&lt;4,0,MIN(MAX(0.5,Canh_bao_vong!$D$4),MAX(IF(Vu_khi!$C$224="cal_406",Canh_bao_vong!$D$7,IF($AU$224&gt;=5,Canh_bao_vong!$D$9,Canh_bao_vong!$D$8)),Canh_bao_vong!$D$2+MAX(0,Vu_khi!$X$224)/MAX(0.1,Canh_bao_vong!$D$5))))</f>
        <v/>
      </c>
      <c r="AX224" t="n">
        <v>0</v>
      </c>
      <c r="AY224" t="n">
        <v>0.838133</v>
      </c>
      <c r="AZ224" t="inlineStr">
        <is>
          <t>ok</t>
        </is>
      </c>
      <c r="BA224" t="b">
        <v>1</v>
      </c>
      <c r="BB224" t="inlineStr">
        <is>
          <t>Assets/MachineBrigade/Resources/Data/balance.json: weapons[id=p26_behemoth_main_be152] (lớp B trên 01_chien_dau/Vu_khi)</t>
        </is>
      </c>
      <c r="BC224" t="inlineStr"/>
    </row>
    <row r="225">
      <c r="A225" t="inlineStr">
        <is>
          <t>p26_behemoth_sec_be_rockets</t>
        </is>
      </c>
      <c r="B225" t="n">
        <v>3</v>
      </c>
      <c r="C225">
        <f>IF(Vu_khi!$O$225="SIMULTANEOUS",MAX(1,Vu_khi!$N$225),1)</f>
        <v/>
      </c>
      <c r="D225" t="n">
        <v>1</v>
      </c>
      <c r="E225">
        <f>IF(Vu_khi!$S$225&gt;0,Vu_khi!$S$225,Vu_khi!$P$225*$C$225)</f>
        <v/>
      </c>
      <c r="F225" t="n">
        <v>40</v>
      </c>
      <c r="G225">
        <f>IF(Vu_khi!$S$225&gt;0,(Vu_khi!$S$225-1)*Vu_khi!$R$225+Vu_khi!$T$225,Vu_khi!$R$225+(Vu_khi!$P$225-1)*Vu_khi!$Q$225)</f>
        <v/>
      </c>
      <c r="H225" t="n">
        <v>21.94</v>
      </c>
      <c r="I225">
        <f>Vu_khi!$W$225*MAX(1,$E$225)</f>
        <v/>
      </c>
      <c r="J225" t="n">
        <v>8000</v>
      </c>
      <c r="K225">
        <f>IF(Vu_khi!$V$225&gt;0,Vu_khi!$V$225,MIN(28,MAX(10,Vu_khi!$U$225*Vu_khi!$R$225*0.4)))</f>
        <v/>
      </c>
      <c r="L225" t="n">
        <v>10</v>
      </c>
      <c r="M225">
        <f>IF(Vu_khi!$W$225&lt;=0,0,IF(Vu_khi!$U$225&gt;0,$I$225*Vu_khi!$U$225/(MAX(0.05,$G$225)*Vu_khi!$U$225+$K$225),$I$225/MAX(0.05,$G$225)))</f>
        <v/>
      </c>
      <c r="N225" t="n">
        <v>364.6308113035551</v>
      </c>
      <c r="O225">
        <f>OR(Vu_khi!$AG$225,Vu_khi!$AB$225&gt;0,Vu_khi!$AH$225,Vu_khi!$M$225="Bomb",Vu_khi!$M$225="Drone")</f>
        <v/>
      </c>
      <c r="P225" t="b">
        <v>0</v>
      </c>
      <c r="Q225">
        <f>AND(NOT(Vu_khi!$AJ$225),OR(Vu_khi!$AC$225="Ground",Vu_khi!$AC$225="All"))</f>
        <v/>
      </c>
      <c r="R225" t="b">
        <v>1</v>
      </c>
      <c r="S225">
        <f>AND(NOT(Vu_khi!$AJ$225),OR(Vu_khi!$AC$225="Air",Vu_khi!$AC$225="All"))</f>
        <v/>
      </c>
      <c r="T225" t="b">
        <v>0</v>
      </c>
      <c r="U225">
        <f>INDEX(Bang_sat_thuong!$B$2:$B$7,MATCH(Vu_khi!$K$225,Bang_sat_thuong!$A$2:$A$7,0))</f>
        <v/>
      </c>
      <c r="V225" t="n">
        <v>1</v>
      </c>
      <c r="W225">
        <f>INDEX(Bang_sat_thuong!$C$2:$C$7,MATCH(Vu_khi!$K$225,Bang_sat_thuong!$A$2:$A$7,0))</f>
        <v/>
      </c>
      <c r="X225" t="n">
        <v>0</v>
      </c>
      <c r="Y225">
        <f>IF(AND(Vu_khi!$AI$225,Vu_khi!$K$225="HighExplosive"),MAX(He_so_toan_cuc!$D$2,INDEX(Bang_sat_thuong!$D$2:$D$7,MATCH(Vu_khi!$K$225,Bang_sat_thuong!$A$2:$A$7,0))),INDEX(Bang_sat_thuong!$D$2:$D$7,MATCH(Vu_khi!$K$225,Bang_sat_thuong!$A$2:$A$7,0)))</f>
        <v/>
      </c>
      <c r="Z225" t="n">
        <v>1.5</v>
      </c>
      <c r="AA225">
        <f>INDEX(Bang_xuyen_giap!$C$2:$C$7,MIN(6,MAX(1,IF($O$225,MAX(1,2-(Vu_khi!$L$225-0)),2-(Vu_khi!$L$225-0))+1)))</f>
        <v/>
      </c>
      <c r="AB225" t="n">
        <v>1.2</v>
      </c>
      <c r="AC225">
        <f>INDEX(Bang_xuyen_giap!$C$2:$C$7,MIN(6,MAX(1,IF($O$225,MAX(1,2-(Vu_khi!$L$225-2)),2-(Vu_khi!$L$225-2))+1)))</f>
        <v/>
      </c>
      <c r="AD225" t="n">
        <v>0.85</v>
      </c>
      <c r="AE225">
        <f>INDEX(Bang_xuyen_giap!$C$2:$C$7,MIN(6,MAX(1,IF($O$225,MAX(1,2-(Vu_khi!$L$225-4)),2-(Vu_khi!$L$225-4))+1)))</f>
        <v/>
      </c>
      <c r="AF225" t="n">
        <v>0.25</v>
      </c>
      <c r="AG225">
        <f>INDEX(Bang_xuyen_giap!$C$2:$C$7,MIN(6,MAX(1,MAX(1,2-(Vu_khi!$L$225-0))+1)))</f>
        <v/>
      </c>
      <c r="AH225" t="n">
        <v>1</v>
      </c>
      <c r="AI225">
        <f>IF($Q$225,$M$225*$AA$225*$U$225,0)</f>
        <v/>
      </c>
      <c r="AJ225" t="n">
        <v>437.5569735642661</v>
      </c>
      <c r="AK225">
        <f>IF($Q$225,$M$225*$AC$225*$U$225,0)</f>
        <v/>
      </c>
      <c r="AL225" t="n">
        <v>309.9361896080218</v>
      </c>
      <c r="AM225">
        <f>IF($Q$225,$M$225*$AE$225*$U$225,0)</f>
        <v/>
      </c>
      <c r="AN225" t="n">
        <v>91.15770282588878</v>
      </c>
      <c r="AO225">
        <f>IF($Q$225,$M$225*$AC$225*$Y$225,0)</f>
        <v/>
      </c>
      <c r="AP225" t="n">
        <v>464.9042844120327</v>
      </c>
      <c r="AQ225">
        <f>IF($S$225,$M$225*$AG$225*$W$225,0)</f>
        <v/>
      </c>
      <c r="AR225" t="n">
        <v>0</v>
      </c>
      <c r="AS225">
        <f>IF(OR(Vu_khi!$M$225="Missile",Vu_khi!$M$225="Drone",AND(Vu_khi!$M$225="Rocket",OR(Vu_khi!$AM$225,Vu_khi!$D$225="guided")),Vu_khi!$AL$225,Vu_khi!$AK$225,Vu_khi!$X$225&lt;=0),FALSE,IF($B$225&gt;=0,$B$225&gt;=4,IF(Vu_khi!$M$225="Shell",Vu_khi!$AN$225&gt;=Canh_bao_vong!$D$10,IF(Vu_khi!$M$225="Bomb",Vu_khi!$AN$225&gt;=Canh_bao_vong!$D$3,IF(Vu_khi!$M$225="Rocket",Vu_khi!$AN$225&gt;=Canh_bao_vong!$D$13,FALSE)))))</f>
        <v/>
      </c>
      <c r="AT225" t="b">
        <v>0</v>
      </c>
      <c r="AU225">
        <f>IF(AND($B$225&lt;0,$AS$225),4,$B$225)</f>
        <v/>
      </c>
      <c r="AV225" t="n">
        <v>3</v>
      </c>
      <c r="AW225">
        <f>IF($AU$225&lt;4,0,MIN(MAX(0.5,Canh_bao_vong!$D$4),MAX(IF(Vu_khi!$C$225="cal_406",Canh_bao_vong!$D$7,IF($AU$225&gt;=5,Canh_bao_vong!$D$9,Canh_bao_vong!$D$8)),Canh_bao_vong!$D$2+MAX(0,Vu_khi!$X$225)/MAX(0.1,Canh_bao_vong!$D$5))))</f>
        <v/>
      </c>
      <c r="AX225" t="n">
        <v>0</v>
      </c>
      <c r="AY225" t="n">
        <v>1</v>
      </c>
      <c r="AZ225" t="inlineStr">
        <is>
          <t>LECH_HO</t>
        </is>
      </c>
      <c r="BA225" t="b">
        <v>0</v>
      </c>
      <c r="BB225" t="inlineStr">
        <is>
          <t>Assets/MachineBrigade/Resources/Data/balance.json: weapons[id=p26_behemoth_sec_be_rockets] (lớp B trên 01_chien_dau/Vu_khi)</t>
        </is>
      </c>
      <c r="BC225" t="inlineStr"/>
    </row>
    <row r="226">
      <c r="A226" t="inlineStr">
        <is>
          <t>p26_behemoth_tiny_be120</t>
        </is>
      </c>
      <c r="B226" t="n">
        <v>3</v>
      </c>
      <c r="C226">
        <f>IF(Vu_khi!$O$226="SIMULTANEOUS",MAX(1,Vu_khi!$N$226),1)</f>
        <v/>
      </c>
      <c r="D226" t="n">
        <v>1</v>
      </c>
      <c r="E226">
        <f>IF(Vu_khi!$S$226&gt;0,Vu_khi!$S$226,Vu_khi!$P$226*$C$226)</f>
        <v/>
      </c>
      <c r="F226" t="n">
        <v>1</v>
      </c>
      <c r="G226">
        <f>IF(Vu_khi!$S$226&gt;0,(Vu_khi!$S$226-1)*Vu_khi!$R$226+Vu_khi!$T$226,Vu_khi!$R$226+(Vu_khi!$P$226-1)*Vu_khi!$Q$226)</f>
        <v/>
      </c>
      <c r="H226" t="n">
        <v>7.5</v>
      </c>
      <c r="I226">
        <f>Vu_khi!$W$226*MAX(1,$E$226)</f>
        <v/>
      </c>
      <c r="J226" t="n">
        <v>260</v>
      </c>
      <c r="K226">
        <f>IF(Vu_khi!$V$226&gt;0,Vu_khi!$V$226,MIN(28,MAX(10,Vu_khi!$U$226*Vu_khi!$R$226*0.4)))</f>
        <v/>
      </c>
      <c r="L226" t="n">
        <v>10</v>
      </c>
      <c r="M226">
        <f>IF(Vu_khi!$W$226&lt;=0,0,IF(Vu_khi!$U$226&gt;0,$I$226*Vu_khi!$U$226/(MAX(0.05,$G$226)*Vu_khi!$U$226+$K$226),$I$226/MAX(0.05,$G$226)))</f>
        <v/>
      </c>
      <c r="N226" t="n">
        <v>34.66666666666666</v>
      </c>
      <c r="O226">
        <f>OR(Vu_khi!$AG$226,Vu_khi!$AB$226&gt;0,Vu_khi!$AH$226,Vu_khi!$M$226="Bomb",Vu_khi!$M$226="Drone")</f>
        <v/>
      </c>
      <c r="P226" t="b">
        <v>0</v>
      </c>
      <c r="Q226">
        <f>AND(NOT(Vu_khi!$AJ$226),OR(Vu_khi!$AC$226="Ground",Vu_khi!$AC$226="All"))</f>
        <v/>
      </c>
      <c r="R226" t="b">
        <v>1</v>
      </c>
      <c r="S226">
        <f>AND(NOT(Vu_khi!$AJ$226),OR(Vu_khi!$AC$226="Air",Vu_khi!$AC$226="All"))</f>
        <v/>
      </c>
      <c r="T226" t="b">
        <v>0</v>
      </c>
      <c r="U226">
        <f>INDEX(Bang_sat_thuong!$B$2:$B$7,MATCH(Vu_khi!$K$226,Bang_sat_thuong!$A$2:$A$7,0))</f>
        <v/>
      </c>
      <c r="V226" t="n">
        <v>1</v>
      </c>
      <c r="W226">
        <f>INDEX(Bang_sat_thuong!$C$2:$C$7,MATCH(Vu_khi!$K$226,Bang_sat_thuong!$A$2:$A$7,0))</f>
        <v/>
      </c>
      <c r="X226" t="n">
        <v>0.3</v>
      </c>
      <c r="Y226">
        <f>IF(AND(Vu_khi!$AI$226,Vu_khi!$K$226="HighExplosive"),MAX(He_so_toan_cuc!$D$2,INDEX(Bang_sat_thuong!$D$2:$D$7,MATCH(Vu_khi!$K$226,Bang_sat_thuong!$A$2:$A$7,0))),INDEX(Bang_sat_thuong!$D$2:$D$7,MATCH(Vu_khi!$K$226,Bang_sat_thuong!$A$2:$A$7,0)))</f>
        <v/>
      </c>
      <c r="Z226" t="n">
        <v>0.6</v>
      </c>
      <c r="AA226">
        <f>INDEX(Bang_xuyen_giap!$C$2:$C$7,MIN(6,MAX(1,IF($O$226,MAX(1,2-(Vu_khi!$L$226-0)),2-(Vu_khi!$L$226-0))+1)))</f>
        <v/>
      </c>
      <c r="AB226" t="n">
        <v>1.2</v>
      </c>
      <c r="AC226">
        <f>INDEX(Bang_xuyen_giap!$C$2:$C$7,MIN(6,MAX(1,IF($O$226,MAX(1,2-(Vu_khi!$L$226-2)),2-(Vu_khi!$L$226-2))+1)))</f>
        <v/>
      </c>
      <c r="AD226" t="n">
        <v>1.2</v>
      </c>
      <c r="AE226">
        <f>INDEX(Bang_xuyen_giap!$C$2:$C$7,MIN(6,MAX(1,IF($O$226,MAX(1,2-(Vu_khi!$L$226-4)),2-(Vu_khi!$L$226-4))+1)))</f>
        <v/>
      </c>
      <c r="AF226" t="n">
        <v>1</v>
      </c>
      <c r="AG226">
        <f>INDEX(Bang_xuyen_giap!$C$2:$C$7,MIN(6,MAX(1,MAX(1,2-(Vu_khi!$L$226-0))+1)))</f>
        <v/>
      </c>
      <c r="AH226" t="n">
        <v>1</v>
      </c>
      <c r="AI226">
        <f>IF($Q$226,$M$226*$AA$226*$U$226,0)</f>
        <v/>
      </c>
      <c r="AJ226" t="n">
        <v>41.59999999999999</v>
      </c>
      <c r="AK226">
        <f>IF($Q$226,$M$226*$AC$226*$U$226,0)</f>
        <v/>
      </c>
      <c r="AL226" t="n">
        <v>41.59999999999999</v>
      </c>
      <c r="AM226">
        <f>IF($Q$226,$M$226*$AE$226*$U$226,0)</f>
        <v/>
      </c>
      <c r="AN226" t="n">
        <v>34.66666666666666</v>
      </c>
      <c r="AO226">
        <f>IF($Q$226,$M$226*$AC$226*$Y$226,0)</f>
        <v/>
      </c>
      <c r="AP226" t="n">
        <v>24.96</v>
      </c>
      <c r="AQ226">
        <f>IF($S$226,$M$226*$AG$226*$W$226,0)</f>
        <v/>
      </c>
      <c r="AR226" t="n">
        <v>0</v>
      </c>
      <c r="AS226">
        <f>IF(OR(Vu_khi!$M$226="Missile",Vu_khi!$M$226="Drone",AND(Vu_khi!$M$226="Rocket",OR(Vu_khi!$AM$226,Vu_khi!$D$226="guided")),Vu_khi!$AL$226,Vu_khi!$AK$226,Vu_khi!$X$226&lt;=0),FALSE,IF($B$226&gt;=0,$B$226&gt;=4,IF(Vu_khi!$M$226="Shell",Vu_khi!$AN$226&gt;=Canh_bao_vong!$D$10,IF(Vu_khi!$M$226="Bomb",Vu_khi!$AN$226&gt;=Canh_bao_vong!$D$3,IF(Vu_khi!$M$226="Rocket",Vu_khi!$AN$226&gt;=Canh_bao_vong!$D$13,FALSE)))))</f>
        <v/>
      </c>
      <c r="AT226" t="b">
        <v>0</v>
      </c>
      <c r="AU226">
        <f>IF(AND($B$226&lt;0,$AS$226),4,$B$226)</f>
        <v/>
      </c>
      <c r="AV226" t="n">
        <v>3</v>
      </c>
      <c r="AW226">
        <f>IF($AU$226&lt;4,0,MIN(MAX(0.5,Canh_bao_vong!$D$4),MAX(IF(Vu_khi!$C$226="cal_406",Canh_bao_vong!$D$7,IF($AU$226&gt;=5,Canh_bao_vong!$D$9,Canh_bao_vong!$D$8)),Canh_bao_vong!$D$2+MAX(0,Vu_khi!$X$226)/MAX(0.1,Canh_bao_vong!$D$5))))</f>
        <v/>
      </c>
      <c r="AX226" t="n">
        <v>0</v>
      </c>
      <c r="AY226" t="n">
        <v>0.7</v>
      </c>
      <c r="AZ226" t="inlineStr">
        <is>
          <t>LECH_HO</t>
        </is>
      </c>
      <c r="BA226" t="b">
        <v>0</v>
      </c>
      <c r="BB226" t="inlineStr">
        <is>
          <t>Assets/MachineBrigade/Resources/Data/balance.json: weapons[id=p26_behemoth_tiny_be120] (lớp B trên 01_chien_dau/Vu_khi)</t>
        </is>
      </c>
      <c r="BC226" t="inlineStr"/>
    </row>
    <row r="227">
      <c r="A227" t="inlineStr">
        <is>
          <t>p26_behemoth_tiny_boss_missiles</t>
        </is>
      </c>
      <c r="B227" t="n">
        <v>2</v>
      </c>
      <c r="C227">
        <f>IF(Vu_khi!$O$227="SIMULTANEOUS",MAX(1,Vu_khi!$N$227),1)</f>
        <v/>
      </c>
      <c r="D227" t="n">
        <v>1</v>
      </c>
      <c r="E227">
        <f>IF(Vu_khi!$S$227&gt;0,Vu_khi!$S$227,Vu_khi!$P$227*$C$227)</f>
        <v/>
      </c>
      <c r="F227" t="n">
        <v>1</v>
      </c>
      <c r="G227">
        <f>IF(Vu_khi!$S$227&gt;0,(Vu_khi!$S$227-1)*Vu_khi!$R$227+Vu_khi!$T$227,Vu_khi!$R$227+(Vu_khi!$P$227-1)*Vu_khi!$Q$227)</f>
        <v/>
      </c>
      <c r="H227" t="n">
        <v>20</v>
      </c>
      <c r="I227">
        <f>Vu_khi!$W$227*MAX(1,$E$227)</f>
        <v/>
      </c>
      <c r="J227" t="n">
        <v>230</v>
      </c>
      <c r="K227">
        <f>IF(Vu_khi!$V$227&gt;0,Vu_khi!$V$227,MIN(28,MAX(10,Vu_khi!$U$227*Vu_khi!$R$227*0.4)))</f>
        <v/>
      </c>
      <c r="L227" t="n">
        <v>10</v>
      </c>
      <c r="M227">
        <f>IF(Vu_khi!$W$227&lt;=0,0,IF(Vu_khi!$U$227&gt;0,$I$227*Vu_khi!$U$227/(MAX(0.05,$G$227)*Vu_khi!$U$227+$K$227),$I$227/MAX(0.05,$G$227)))</f>
        <v/>
      </c>
      <c r="N227" t="n">
        <v>11.5</v>
      </c>
      <c r="O227">
        <f>OR(Vu_khi!$AG$227,Vu_khi!$AB$227&gt;0,Vu_khi!$AH$227,Vu_khi!$M$227="Bomb",Vu_khi!$M$227="Drone")</f>
        <v/>
      </c>
      <c r="P227" t="b">
        <v>0</v>
      </c>
      <c r="Q227">
        <f>AND(NOT(Vu_khi!$AJ$227),OR(Vu_khi!$AC$227="Ground",Vu_khi!$AC$227="All"))</f>
        <v/>
      </c>
      <c r="R227" t="b">
        <v>1</v>
      </c>
      <c r="S227">
        <f>AND(NOT(Vu_khi!$AJ$227),OR(Vu_khi!$AC$227="Air",Vu_khi!$AC$227="All"))</f>
        <v/>
      </c>
      <c r="T227" t="b">
        <v>0</v>
      </c>
      <c r="U227">
        <f>INDEX(Bang_sat_thuong!$B$2:$B$7,MATCH(Vu_khi!$K$227,Bang_sat_thuong!$A$2:$A$7,0))</f>
        <v/>
      </c>
      <c r="V227" t="n">
        <v>1</v>
      </c>
      <c r="W227">
        <f>INDEX(Bang_sat_thuong!$C$2:$C$7,MATCH(Vu_khi!$K$227,Bang_sat_thuong!$A$2:$A$7,0))</f>
        <v/>
      </c>
      <c r="X227" t="n">
        <v>0.3</v>
      </c>
      <c r="Y227">
        <f>IF(AND(Vu_khi!$AI$227,Vu_khi!$K$227="HighExplosive"),MAX(He_so_toan_cuc!$D$2,INDEX(Bang_sat_thuong!$D$2:$D$7,MATCH(Vu_khi!$K$227,Bang_sat_thuong!$A$2:$A$7,0))),INDEX(Bang_sat_thuong!$D$2:$D$7,MATCH(Vu_khi!$K$227,Bang_sat_thuong!$A$2:$A$7,0)))</f>
        <v/>
      </c>
      <c r="Z227" t="n">
        <v>0.6</v>
      </c>
      <c r="AA227">
        <f>INDEX(Bang_xuyen_giap!$C$2:$C$7,MIN(6,MAX(1,IF($O$227,MAX(1,2-(Vu_khi!$L$227-0)),2-(Vu_khi!$L$227-0))+1)))</f>
        <v/>
      </c>
      <c r="AB227" t="n">
        <v>1.2</v>
      </c>
      <c r="AC227">
        <f>INDEX(Bang_xuyen_giap!$C$2:$C$7,MIN(6,MAX(1,IF($O$227,MAX(1,2-(Vu_khi!$L$227-2)),2-(Vu_khi!$L$227-2))+1)))</f>
        <v/>
      </c>
      <c r="AD227" t="n">
        <v>1.2</v>
      </c>
      <c r="AE227">
        <f>INDEX(Bang_xuyen_giap!$C$2:$C$7,MIN(6,MAX(1,IF($O$227,MAX(1,2-(Vu_khi!$L$227-4)),2-(Vu_khi!$L$227-4))+1)))</f>
        <v/>
      </c>
      <c r="AF227" t="n">
        <v>0.85</v>
      </c>
      <c r="AG227">
        <f>INDEX(Bang_xuyen_giap!$C$2:$C$7,MIN(6,MAX(1,MAX(1,2-(Vu_khi!$L$227-0))+1)))</f>
        <v/>
      </c>
      <c r="AH227" t="n">
        <v>1</v>
      </c>
      <c r="AI227">
        <f>IF($Q$227,$M$227*$AA$227*$U$227,0)</f>
        <v/>
      </c>
      <c r="AJ227" t="n">
        <v>13.8</v>
      </c>
      <c r="AK227">
        <f>IF($Q$227,$M$227*$AC$227*$U$227,0)</f>
        <v/>
      </c>
      <c r="AL227" t="n">
        <v>13.8</v>
      </c>
      <c r="AM227">
        <f>IF($Q$227,$M$227*$AE$227*$U$227,0)</f>
        <v/>
      </c>
      <c r="AN227" t="n">
        <v>9.775</v>
      </c>
      <c r="AO227">
        <f>IF($Q$227,$M$227*$AC$227*$Y$227,0)</f>
        <v/>
      </c>
      <c r="AP227" t="n">
        <v>8.279999999999999</v>
      </c>
      <c r="AQ227">
        <f>IF($S$227,$M$227*$AG$227*$W$227,0)</f>
        <v/>
      </c>
      <c r="AR227" t="n">
        <v>0</v>
      </c>
      <c r="AS227">
        <f>IF(OR(Vu_khi!$M$227="Missile",Vu_khi!$M$227="Drone",AND(Vu_khi!$M$227="Rocket",OR(Vu_khi!$AM$227,Vu_khi!$D$227="guided")),Vu_khi!$AL$227,Vu_khi!$AK$227,Vu_khi!$X$227&lt;=0),FALSE,IF($B$227&gt;=0,$B$227&gt;=4,IF(Vu_khi!$M$227="Shell",Vu_khi!$AN$227&gt;=Canh_bao_vong!$D$10,IF(Vu_khi!$M$227="Bomb",Vu_khi!$AN$227&gt;=Canh_bao_vong!$D$3,IF(Vu_khi!$M$227="Rocket",Vu_khi!$AN$227&gt;=Canh_bao_vong!$D$13,FALSE)))))</f>
        <v/>
      </c>
      <c r="AT227" t="b">
        <v>0</v>
      </c>
      <c r="AU227">
        <f>IF(AND($B$227&lt;0,$AS$227),4,$B$227)</f>
        <v/>
      </c>
      <c r="AV227" t="n">
        <v>2</v>
      </c>
      <c r="AW227">
        <f>IF($AU$227&lt;4,0,MIN(MAX(0.5,Canh_bao_vong!$D$4),MAX(IF(Vu_khi!$C$227="cal_406",Canh_bao_vong!$D$7,IF($AU$227&gt;=5,Canh_bao_vong!$D$9,Canh_bao_vong!$D$8)),Canh_bao_vong!$D$2+MAX(0,Vu_khi!$X$227)/MAX(0.1,Canh_bao_vong!$D$5))))</f>
        <v/>
      </c>
      <c r="AX227" t="n">
        <v>0</v>
      </c>
      <c r="AY227" t="n">
        <v>1</v>
      </c>
      <c r="AZ227" t="inlineStr">
        <is>
          <t>ok</t>
        </is>
      </c>
      <c r="BA227" t="b">
        <v>1</v>
      </c>
      <c r="BB227" t="inlineStr">
        <is>
          <t>Assets/MachineBrigade/Resources/Data/balance.json: weapons[id=p26_behemoth_tiny_boss_missiles] (lớp B trên 01_chien_dau/Vu_khi)</t>
        </is>
      </c>
      <c r="BC227" t="inlineStr"/>
    </row>
    <row r="228">
      <c r="A228" t="inlineStr">
        <is>
          <t>p26_behemoth_tiny_kornet_twin</t>
        </is>
      </c>
      <c r="B228" t="n">
        <v>3</v>
      </c>
      <c r="C228">
        <f>IF(Vu_khi!$O$228="SIMULTANEOUS",MAX(1,Vu_khi!$N$228),1)</f>
        <v/>
      </c>
      <c r="D228" t="n">
        <v>1</v>
      </c>
      <c r="E228">
        <f>IF(Vu_khi!$S$228&gt;0,Vu_khi!$S$228,Vu_khi!$P$228*$C$228)</f>
        <v/>
      </c>
      <c r="F228" t="n">
        <v>1</v>
      </c>
      <c r="G228">
        <f>IF(Vu_khi!$S$228&gt;0,(Vu_khi!$S$228-1)*Vu_khi!$R$228+Vu_khi!$T$228,Vu_khi!$R$228+(Vu_khi!$P$228-1)*Vu_khi!$Q$228)</f>
        <v/>
      </c>
      <c r="H228" t="n">
        <v>9.699999999999999</v>
      </c>
      <c r="I228">
        <f>Vu_khi!$W$228*MAX(1,$E$228)</f>
        <v/>
      </c>
      <c r="J228" t="n">
        <v>230</v>
      </c>
      <c r="K228">
        <f>IF(Vu_khi!$V$228&gt;0,Vu_khi!$V$228,MIN(28,MAX(10,Vu_khi!$U$228*Vu_khi!$R$228*0.4)))</f>
        <v/>
      </c>
      <c r="L228" t="n">
        <v>10</v>
      </c>
      <c r="M228">
        <f>IF(Vu_khi!$W$228&lt;=0,0,IF(Vu_khi!$U$228&gt;0,$I$228*Vu_khi!$U$228/(MAX(0.05,$G$228)*Vu_khi!$U$228+$K$228),$I$228/MAX(0.05,$G$228)))</f>
        <v/>
      </c>
      <c r="N228" t="n">
        <v>23.71134020618557</v>
      </c>
      <c r="O228">
        <f>OR(Vu_khi!$AG$228,Vu_khi!$AB$228&gt;0,Vu_khi!$AH$228,Vu_khi!$M$228="Bomb",Vu_khi!$M$228="Drone")</f>
        <v/>
      </c>
      <c r="P228" t="b">
        <v>0</v>
      </c>
      <c r="Q228">
        <f>AND(NOT(Vu_khi!$AJ$228),OR(Vu_khi!$AC$228="Ground",Vu_khi!$AC$228="All"))</f>
        <v/>
      </c>
      <c r="R228" t="b">
        <v>1</v>
      </c>
      <c r="S228">
        <f>AND(NOT(Vu_khi!$AJ$228),OR(Vu_khi!$AC$228="Air",Vu_khi!$AC$228="All"))</f>
        <v/>
      </c>
      <c r="T228" t="b">
        <v>0</v>
      </c>
      <c r="U228">
        <f>INDEX(Bang_sat_thuong!$B$2:$B$7,MATCH(Vu_khi!$K$228,Bang_sat_thuong!$A$2:$A$7,0))</f>
        <v/>
      </c>
      <c r="V228" t="n">
        <v>1</v>
      </c>
      <c r="W228">
        <f>INDEX(Bang_sat_thuong!$C$2:$C$7,MATCH(Vu_khi!$K$228,Bang_sat_thuong!$A$2:$A$7,0))</f>
        <v/>
      </c>
      <c r="X228" t="n">
        <v>0.3</v>
      </c>
      <c r="Y228">
        <f>IF(AND(Vu_khi!$AI$228,Vu_khi!$K$228="HighExplosive"),MAX(He_so_toan_cuc!$D$2,INDEX(Bang_sat_thuong!$D$2:$D$7,MATCH(Vu_khi!$K$228,Bang_sat_thuong!$A$2:$A$7,0))),INDEX(Bang_sat_thuong!$D$2:$D$7,MATCH(Vu_khi!$K$228,Bang_sat_thuong!$A$2:$A$7,0)))</f>
        <v/>
      </c>
      <c r="Z228" t="n">
        <v>0.6</v>
      </c>
      <c r="AA228">
        <f>INDEX(Bang_xuyen_giap!$C$2:$C$7,MIN(6,MAX(1,IF($O$228,MAX(1,2-(Vu_khi!$L$228-0)),2-(Vu_khi!$L$228-0))+1)))</f>
        <v/>
      </c>
      <c r="AB228" t="n">
        <v>1.2</v>
      </c>
      <c r="AC228">
        <f>INDEX(Bang_xuyen_giap!$C$2:$C$7,MIN(6,MAX(1,IF($O$228,MAX(1,2-(Vu_khi!$L$228-2)),2-(Vu_khi!$L$228-2))+1)))</f>
        <v/>
      </c>
      <c r="AD228" t="n">
        <v>1.2</v>
      </c>
      <c r="AE228">
        <f>INDEX(Bang_xuyen_giap!$C$2:$C$7,MIN(6,MAX(1,IF($O$228,MAX(1,2-(Vu_khi!$L$228-4)),2-(Vu_khi!$L$228-4))+1)))</f>
        <v/>
      </c>
      <c r="AF228" t="n">
        <v>1</v>
      </c>
      <c r="AG228">
        <f>INDEX(Bang_xuyen_giap!$C$2:$C$7,MIN(6,MAX(1,MAX(1,2-(Vu_khi!$L$228-0))+1)))</f>
        <v/>
      </c>
      <c r="AH228" t="n">
        <v>1</v>
      </c>
      <c r="AI228">
        <f>IF($Q$228,$M$228*$AA$228*$U$228,0)</f>
        <v/>
      </c>
      <c r="AJ228" t="n">
        <v>28.45360824742268</v>
      </c>
      <c r="AK228">
        <f>IF($Q$228,$M$228*$AC$228*$U$228,0)</f>
        <v/>
      </c>
      <c r="AL228" t="n">
        <v>28.45360824742268</v>
      </c>
      <c r="AM228">
        <f>IF($Q$228,$M$228*$AE$228*$U$228,0)</f>
        <v/>
      </c>
      <c r="AN228" t="n">
        <v>23.71134020618557</v>
      </c>
      <c r="AO228">
        <f>IF($Q$228,$M$228*$AC$228*$Y$228,0)</f>
        <v/>
      </c>
      <c r="AP228" t="n">
        <v>17.07216494845361</v>
      </c>
      <c r="AQ228">
        <f>IF($S$228,$M$228*$AG$228*$W$228,0)</f>
        <v/>
      </c>
      <c r="AR228" t="n">
        <v>0</v>
      </c>
      <c r="AS228">
        <f>IF(OR(Vu_khi!$M$228="Missile",Vu_khi!$M$228="Drone",AND(Vu_khi!$M$228="Rocket",OR(Vu_khi!$AM$228,Vu_khi!$D$228="guided")),Vu_khi!$AL$228,Vu_khi!$AK$228,Vu_khi!$X$228&lt;=0),FALSE,IF($B$228&gt;=0,$B$228&gt;=4,IF(Vu_khi!$M$228="Shell",Vu_khi!$AN$228&gt;=Canh_bao_vong!$D$10,IF(Vu_khi!$M$228="Bomb",Vu_khi!$AN$228&gt;=Canh_bao_vong!$D$3,IF(Vu_khi!$M$228="Rocket",Vu_khi!$AN$228&gt;=Canh_bao_vong!$D$13,FALSE)))))</f>
        <v/>
      </c>
      <c r="AT228" t="b">
        <v>0</v>
      </c>
      <c r="AU228">
        <f>IF(AND($B$228&lt;0,$AS$228),4,$B$228)</f>
        <v/>
      </c>
      <c r="AV228" t="n">
        <v>3</v>
      </c>
      <c r="AW228">
        <f>IF($AU$228&lt;4,0,MIN(MAX(0.5,Canh_bao_vong!$D$4),MAX(IF(Vu_khi!$C$228="cal_406",Canh_bao_vong!$D$7,IF($AU$228&gt;=5,Canh_bao_vong!$D$9,Canh_bao_vong!$D$8)),Canh_bao_vong!$D$2+MAX(0,Vu_khi!$X$228)/MAX(0.1,Canh_bao_vong!$D$5))))</f>
        <v/>
      </c>
      <c r="AX228" t="n">
        <v>0</v>
      </c>
      <c r="AY228" t="n">
        <v>0.9053330000000001</v>
      </c>
      <c r="AZ228" t="inlineStr">
        <is>
          <t>LECH_HO</t>
        </is>
      </c>
      <c r="BA228" t="b">
        <v>0</v>
      </c>
      <c r="BB228" t="inlineStr">
        <is>
          <t>Assets/MachineBrigade/Resources/Data/balance.json: weapons[id=p26_behemoth_tiny_kornet_twin] (lớp B trên 01_chien_dau/Vu_khi)</t>
        </is>
      </c>
      <c r="BC228" t="inlineStr"/>
    </row>
    <row r="229">
      <c r="A229" t="inlineStr">
        <is>
          <t>p26_daedalus_dae57</t>
        </is>
      </c>
      <c r="B229" t="n">
        <v>2</v>
      </c>
      <c r="C229">
        <f>IF(Vu_khi!$O$229="SIMULTANEOUS",MAX(1,Vu_khi!$N$229),1)</f>
        <v/>
      </c>
      <c r="D229" t="n">
        <v>1</v>
      </c>
      <c r="E229">
        <f>IF(Vu_khi!$S$229&gt;0,Vu_khi!$S$229,Vu_khi!$P$229*$C$229)</f>
        <v/>
      </c>
      <c r="F229" t="n">
        <v>2</v>
      </c>
      <c r="G229">
        <f>IF(Vu_khi!$S$229&gt;0,(Vu_khi!$S$229-1)*Vu_khi!$R$229+Vu_khi!$T$229,Vu_khi!$R$229+(Vu_khi!$P$229-1)*Vu_khi!$Q$229)</f>
        <v/>
      </c>
      <c r="H229" t="n">
        <v>2.5</v>
      </c>
      <c r="I229">
        <f>Vu_khi!$W$229*MAX(1,$E$229)</f>
        <v/>
      </c>
      <c r="J229" t="n">
        <v>240</v>
      </c>
      <c r="K229">
        <f>IF(Vu_khi!$V$229&gt;0,Vu_khi!$V$229,MIN(28,MAX(10,Vu_khi!$U$229*Vu_khi!$R$229*0.4)))</f>
        <v/>
      </c>
      <c r="L229" t="n">
        <v>10</v>
      </c>
      <c r="M229">
        <f>IF(Vu_khi!$W$229&lt;=0,0,IF(Vu_khi!$U$229&gt;0,$I$229*Vu_khi!$U$229/(MAX(0.05,$G$229)*Vu_khi!$U$229+$K$229),$I$229/MAX(0.05,$G$229)))</f>
        <v/>
      </c>
      <c r="N229" t="n">
        <v>96</v>
      </c>
      <c r="O229">
        <f>OR(Vu_khi!$AG$229,Vu_khi!$AB$229&gt;0,Vu_khi!$AH$229,Vu_khi!$M$229="Bomb",Vu_khi!$M$229="Drone")</f>
        <v/>
      </c>
      <c r="P229" t="b">
        <v>0</v>
      </c>
      <c r="Q229">
        <f>AND(NOT(Vu_khi!$AJ$229),OR(Vu_khi!$AC$229="Ground",Vu_khi!$AC$229="All"))</f>
        <v/>
      </c>
      <c r="R229" t="b">
        <v>1</v>
      </c>
      <c r="S229">
        <f>AND(NOT(Vu_khi!$AJ$229),OR(Vu_khi!$AC$229="Air",Vu_khi!$AC$229="All"))</f>
        <v/>
      </c>
      <c r="T229" t="b">
        <v>0</v>
      </c>
      <c r="U229">
        <f>INDEX(Bang_sat_thuong!$B$2:$B$7,MATCH(Vu_khi!$K$229,Bang_sat_thuong!$A$2:$A$7,0))</f>
        <v/>
      </c>
      <c r="V229" t="n">
        <v>1</v>
      </c>
      <c r="W229">
        <f>INDEX(Bang_sat_thuong!$C$2:$C$7,MATCH(Vu_khi!$K$229,Bang_sat_thuong!$A$2:$A$7,0))</f>
        <v/>
      </c>
      <c r="X229" t="n">
        <v>0</v>
      </c>
      <c r="Y229">
        <f>IF(AND(Vu_khi!$AI$229,Vu_khi!$K$229="HighExplosive"),MAX(He_so_toan_cuc!$D$2,INDEX(Bang_sat_thuong!$D$2:$D$7,MATCH(Vu_khi!$K$229,Bang_sat_thuong!$A$2:$A$7,0))),INDEX(Bang_sat_thuong!$D$2:$D$7,MATCH(Vu_khi!$K$229,Bang_sat_thuong!$A$2:$A$7,0)))</f>
        <v/>
      </c>
      <c r="Z229" t="n">
        <v>1.5</v>
      </c>
      <c r="AA229">
        <f>INDEX(Bang_xuyen_giap!$C$2:$C$7,MIN(6,MAX(1,IF($O$229,MAX(1,2-(Vu_khi!$L$229-0)),2-(Vu_khi!$L$229-0))+1)))</f>
        <v/>
      </c>
      <c r="AB229" t="n">
        <v>1.2</v>
      </c>
      <c r="AC229">
        <f>INDEX(Bang_xuyen_giap!$C$2:$C$7,MIN(6,MAX(1,IF($O$229,MAX(1,2-(Vu_khi!$L$229-2)),2-(Vu_khi!$L$229-2))+1)))</f>
        <v/>
      </c>
      <c r="AD229" t="n">
        <v>1.2</v>
      </c>
      <c r="AE229">
        <f>INDEX(Bang_xuyen_giap!$C$2:$C$7,MIN(6,MAX(1,IF($O$229,MAX(1,2-(Vu_khi!$L$229-4)),2-(Vu_khi!$L$229-4))+1)))</f>
        <v/>
      </c>
      <c r="AF229" t="n">
        <v>0.85</v>
      </c>
      <c r="AG229">
        <f>INDEX(Bang_xuyen_giap!$C$2:$C$7,MIN(6,MAX(1,MAX(1,2-(Vu_khi!$L$229-0))+1)))</f>
        <v/>
      </c>
      <c r="AH229" t="n">
        <v>1</v>
      </c>
      <c r="AI229">
        <f>IF($Q$229,$M$229*$AA$229*$U$229,0)</f>
        <v/>
      </c>
      <c r="AJ229" t="n">
        <v>115.2</v>
      </c>
      <c r="AK229">
        <f>IF($Q$229,$M$229*$AC$229*$U$229,0)</f>
        <v/>
      </c>
      <c r="AL229" t="n">
        <v>115.2</v>
      </c>
      <c r="AM229">
        <f>IF($Q$229,$M$229*$AE$229*$U$229,0)</f>
        <v/>
      </c>
      <c r="AN229" t="n">
        <v>81.59999999999999</v>
      </c>
      <c r="AO229">
        <f>IF($Q$229,$M$229*$AC$229*$Y$229,0)</f>
        <v/>
      </c>
      <c r="AP229" t="n">
        <v>172.8</v>
      </c>
      <c r="AQ229">
        <f>IF($S$229,$M$229*$AG$229*$W$229,0)</f>
        <v/>
      </c>
      <c r="AR229" t="n">
        <v>0</v>
      </c>
      <c r="AS229">
        <f>IF(OR(Vu_khi!$M$229="Missile",Vu_khi!$M$229="Drone",AND(Vu_khi!$M$229="Rocket",OR(Vu_khi!$AM$229,Vu_khi!$D$229="guided")),Vu_khi!$AL$229,Vu_khi!$AK$229,Vu_khi!$X$229&lt;=0),FALSE,IF($B$229&gt;=0,$B$229&gt;=4,IF(Vu_khi!$M$229="Shell",Vu_khi!$AN$229&gt;=Canh_bao_vong!$D$10,IF(Vu_khi!$M$229="Bomb",Vu_khi!$AN$229&gt;=Canh_bao_vong!$D$3,IF(Vu_khi!$M$229="Rocket",Vu_khi!$AN$229&gt;=Canh_bao_vong!$D$13,FALSE)))))</f>
        <v/>
      </c>
      <c r="AT229" t="b">
        <v>0</v>
      </c>
      <c r="AU229">
        <f>IF(AND($B$229&lt;0,$AS$229),4,$B$229)</f>
        <v/>
      </c>
      <c r="AV229" t="n">
        <v>2</v>
      </c>
      <c r="AW229">
        <f>IF($AU$229&lt;4,0,MIN(MAX(0.5,Canh_bao_vong!$D$4),MAX(IF(Vu_khi!$C$229="cal_406",Canh_bao_vong!$D$7,IF($AU$229&gt;=5,Canh_bao_vong!$D$9,Canh_bao_vong!$D$8)),Canh_bao_vong!$D$2+MAX(0,Vu_khi!$X$229)/MAX(0.1,Canh_bao_vong!$D$5))))</f>
        <v/>
      </c>
      <c r="AX229" t="n">
        <v>0</v>
      </c>
      <c r="AY229" t="n">
        <v>2.5</v>
      </c>
      <c r="AZ229" t="inlineStr">
        <is>
          <t>NHANH_QUA;LECH_DOT_1</t>
        </is>
      </c>
      <c r="BA229" t="inlineStr"/>
      <c r="BB229" t="inlineStr">
        <is>
          <t>Assets/MachineBrigade/Resources/Data/balance.json: weapons[id=p26_daedalus_dae57] (lớp B trên 01_chien_dau/Vu_khi)</t>
        </is>
      </c>
      <c r="BC229" t="inlineStr"/>
    </row>
    <row r="230">
      <c r="A230" t="inlineStr">
        <is>
          <t>p26_daedalus_dae_laser</t>
        </is>
      </c>
      <c r="B230" t="n">
        <v>1</v>
      </c>
      <c r="C230">
        <f>IF(Vu_khi!$O$230="SIMULTANEOUS",MAX(1,Vu_khi!$N$230),1)</f>
        <v/>
      </c>
      <c r="D230" t="n">
        <v>1</v>
      </c>
      <c r="E230">
        <f>IF(Vu_khi!$S$230&gt;0,Vu_khi!$S$230,Vu_khi!$P$230*$C$230)</f>
        <v/>
      </c>
      <c r="F230" t="n">
        <v>1</v>
      </c>
      <c r="G230">
        <f>IF(Vu_khi!$S$230&gt;0,(Vu_khi!$S$230-1)*Vu_khi!$R$230+Vu_khi!$T$230,Vu_khi!$R$230+(Vu_khi!$P$230-1)*Vu_khi!$Q$230)</f>
        <v/>
      </c>
      <c r="H230" t="n">
        <v>0.1</v>
      </c>
      <c r="I230">
        <f>Vu_khi!$W$230*MAX(1,$E$230)</f>
        <v/>
      </c>
      <c r="J230" t="n">
        <v>40</v>
      </c>
      <c r="K230">
        <f>IF(Vu_khi!$V$230&gt;0,Vu_khi!$V$230,MIN(28,MAX(10,Vu_khi!$U$230*Vu_khi!$R$230*0.4)))</f>
        <v/>
      </c>
      <c r="L230" t="n">
        <v>10</v>
      </c>
      <c r="M230">
        <f>IF(Vu_khi!$W$230&lt;=0,0,IF(Vu_khi!$U$230&gt;0,$I$230*Vu_khi!$U$230/(MAX(0.05,$G$230)*Vu_khi!$U$230+$K$230),$I$230/MAX(0.05,$G$230)))</f>
        <v/>
      </c>
      <c r="N230" t="n">
        <v>400</v>
      </c>
      <c r="O230">
        <f>OR(Vu_khi!$AG$230,Vu_khi!$AB$230&gt;0,Vu_khi!$AH$230,Vu_khi!$M$230="Bomb",Vu_khi!$M$230="Drone")</f>
        <v/>
      </c>
      <c r="P230" t="b">
        <v>0</v>
      </c>
      <c r="Q230">
        <f>AND(NOT(Vu_khi!$AJ$230),OR(Vu_khi!$AC$230="Ground",Vu_khi!$AC$230="All"))</f>
        <v/>
      </c>
      <c r="R230" t="b">
        <v>1</v>
      </c>
      <c r="S230">
        <f>AND(NOT(Vu_khi!$AJ$230),OR(Vu_khi!$AC$230="Air",Vu_khi!$AC$230="All"))</f>
        <v/>
      </c>
      <c r="T230" t="b">
        <v>0</v>
      </c>
      <c r="U230">
        <f>INDEX(Bang_sat_thuong!$B$2:$B$7,MATCH(Vu_khi!$K$230,Bang_sat_thuong!$A$2:$A$7,0))</f>
        <v/>
      </c>
      <c r="V230" t="n">
        <v>1</v>
      </c>
      <c r="W230">
        <f>INDEX(Bang_sat_thuong!$C$2:$C$7,MATCH(Vu_khi!$K$230,Bang_sat_thuong!$A$2:$A$7,0))</f>
        <v/>
      </c>
      <c r="X230" t="n">
        <v>1.5</v>
      </c>
      <c r="Y230">
        <f>IF(AND(Vu_khi!$AI$230,Vu_khi!$K$230="HighExplosive"),MAX(He_so_toan_cuc!$D$2,INDEX(Bang_sat_thuong!$D$2:$D$7,MATCH(Vu_khi!$K$230,Bang_sat_thuong!$A$2:$A$7,0))),INDEX(Bang_sat_thuong!$D$2:$D$7,MATCH(Vu_khi!$K$230,Bang_sat_thuong!$A$2:$A$7,0)))</f>
        <v/>
      </c>
      <c r="Z230" t="n">
        <v>0.5</v>
      </c>
      <c r="AA230">
        <f>INDEX(Bang_xuyen_giap!$C$2:$C$7,MIN(6,MAX(1,IF($O$230,MAX(1,2-(Vu_khi!$L$230-0)),2-(Vu_khi!$L$230-0))+1)))</f>
        <v/>
      </c>
      <c r="AB230" t="n">
        <v>1.2</v>
      </c>
      <c r="AC230">
        <f>INDEX(Bang_xuyen_giap!$C$2:$C$7,MIN(6,MAX(1,IF($O$230,MAX(1,2-(Vu_khi!$L$230-2)),2-(Vu_khi!$L$230-2))+1)))</f>
        <v/>
      </c>
      <c r="AD230" t="n">
        <v>1.2</v>
      </c>
      <c r="AE230">
        <f>INDEX(Bang_xuyen_giap!$C$2:$C$7,MIN(6,MAX(1,IF($O$230,MAX(1,2-(Vu_khi!$L$230-4)),2-(Vu_khi!$L$230-4))+1)))</f>
        <v/>
      </c>
      <c r="AF230" t="n">
        <v>0.85</v>
      </c>
      <c r="AG230">
        <f>INDEX(Bang_xuyen_giap!$C$2:$C$7,MIN(6,MAX(1,MAX(1,2-(Vu_khi!$L$230-0))+1)))</f>
        <v/>
      </c>
      <c r="AH230" t="n">
        <v>1</v>
      </c>
      <c r="AI230">
        <f>IF($Q$230,$M$230*$AA$230*$U$230,0)</f>
        <v/>
      </c>
      <c r="AJ230" t="n">
        <v>480</v>
      </c>
      <c r="AK230">
        <f>IF($Q$230,$M$230*$AC$230*$U$230,0)</f>
        <v/>
      </c>
      <c r="AL230" t="n">
        <v>480</v>
      </c>
      <c r="AM230">
        <f>IF($Q$230,$M$230*$AE$230*$U$230,0)</f>
        <v/>
      </c>
      <c r="AN230" t="n">
        <v>340</v>
      </c>
      <c r="AO230">
        <f>IF($Q$230,$M$230*$AC$230*$Y$230,0)</f>
        <v/>
      </c>
      <c r="AP230" t="n">
        <v>240</v>
      </c>
      <c r="AQ230">
        <f>IF($S$230,$M$230*$AG$230*$W$230,0)</f>
        <v/>
      </c>
      <c r="AR230" t="n">
        <v>0</v>
      </c>
      <c r="AS230">
        <f>IF(OR(Vu_khi!$M$230="Missile",Vu_khi!$M$230="Drone",AND(Vu_khi!$M$230="Rocket",OR(Vu_khi!$AM$230,Vu_khi!$D$230="guided")),Vu_khi!$AL$230,Vu_khi!$AK$230,Vu_khi!$X$230&lt;=0),FALSE,IF($B$230&gt;=0,$B$230&gt;=4,IF(Vu_khi!$M$230="Shell",Vu_khi!$AN$230&gt;=Canh_bao_vong!$D$10,IF(Vu_khi!$M$230="Bomb",Vu_khi!$AN$230&gt;=Canh_bao_vong!$D$3,IF(Vu_khi!$M$230="Rocket",Vu_khi!$AN$230&gt;=Canh_bao_vong!$D$13,FALSE)))))</f>
        <v/>
      </c>
      <c r="AT230" t="b">
        <v>0</v>
      </c>
      <c r="AU230">
        <f>IF(AND($B$230&lt;0,$AS$230),4,$B$230)</f>
        <v/>
      </c>
      <c r="AV230" t="n">
        <v>1</v>
      </c>
      <c r="AW230">
        <f>IF($AU$230&lt;4,0,MIN(MAX(0.5,Canh_bao_vong!$D$4),MAX(IF(Vu_khi!$C$230="cal_406",Canh_bao_vong!$D$7,IF($AU$230&gt;=5,Canh_bao_vong!$D$9,Canh_bao_vong!$D$8)),Canh_bao_vong!$D$2+MAX(0,Vu_khi!$X$230)/MAX(0.1,Canh_bao_vong!$D$5))))</f>
        <v/>
      </c>
      <c r="AX230" t="n">
        <v>0</v>
      </c>
      <c r="AY230" t="inlineStr"/>
      <c r="AZ230" t="inlineStr">
        <is>
          <t>ok</t>
        </is>
      </c>
      <c r="BA230" t="inlineStr"/>
      <c r="BB230" t="inlineStr">
        <is>
          <t>Assets/MachineBrigade/Resources/Data/balance.json: weapons[id=p26_daedalus_dae_laser] (lớp B trên 01_chien_dau/Vu_khi)</t>
        </is>
      </c>
      <c r="BC230" t="inlineStr"/>
    </row>
    <row r="231">
      <c r="A231" t="inlineStr">
        <is>
          <t>p26_daedalus_direct_dae_laser</t>
        </is>
      </c>
      <c r="B231" t="n">
        <v>1</v>
      </c>
      <c r="C231">
        <f>IF(Vu_khi!$O$231="SIMULTANEOUS",MAX(1,Vu_khi!$N$231),1)</f>
        <v/>
      </c>
      <c r="D231" t="n">
        <v>1</v>
      </c>
      <c r="E231">
        <f>IF(Vu_khi!$S$231&gt;0,Vu_khi!$S$231,Vu_khi!$P$231*$C$231)</f>
        <v/>
      </c>
      <c r="F231" t="n">
        <v>1</v>
      </c>
      <c r="G231">
        <f>IF(Vu_khi!$S$231&gt;0,(Vu_khi!$S$231-1)*Vu_khi!$R$231+Vu_khi!$T$231,Vu_khi!$R$231+(Vu_khi!$P$231-1)*Vu_khi!$Q$231)</f>
        <v/>
      </c>
      <c r="H231" t="n">
        <v>0.1</v>
      </c>
      <c r="I231">
        <f>Vu_khi!$W$231*MAX(1,$E$231)</f>
        <v/>
      </c>
      <c r="J231" t="n">
        <v>16.5</v>
      </c>
      <c r="K231">
        <f>IF(Vu_khi!$V$231&gt;0,Vu_khi!$V$231,MIN(28,MAX(10,Vu_khi!$U$231*Vu_khi!$R$231*0.4)))</f>
        <v/>
      </c>
      <c r="L231" t="n">
        <v>10</v>
      </c>
      <c r="M231">
        <f>IF(Vu_khi!$W$231&lt;=0,0,IF(Vu_khi!$U$231&gt;0,$I$231*Vu_khi!$U$231/(MAX(0.05,$G$231)*Vu_khi!$U$231+$K$231),$I$231/MAX(0.05,$G$231)))</f>
        <v/>
      </c>
      <c r="N231" t="n">
        <v>165</v>
      </c>
      <c r="O231">
        <f>OR(Vu_khi!$AG$231,Vu_khi!$AB$231&gt;0,Vu_khi!$AH$231,Vu_khi!$M$231="Bomb",Vu_khi!$M$231="Drone")</f>
        <v/>
      </c>
      <c r="P231" t="b">
        <v>0</v>
      </c>
      <c r="Q231">
        <f>AND(NOT(Vu_khi!$AJ$231),OR(Vu_khi!$AC$231="Ground",Vu_khi!$AC$231="All"))</f>
        <v/>
      </c>
      <c r="R231" t="b">
        <v>1</v>
      </c>
      <c r="S231">
        <f>AND(NOT(Vu_khi!$AJ$231),OR(Vu_khi!$AC$231="Air",Vu_khi!$AC$231="All"))</f>
        <v/>
      </c>
      <c r="T231" t="b">
        <v>0</v>
      </c>
      <c r="U231">
        <f>INDEX(Bang_sat_thuong!$B$2:$B$7,MATCH(Vu_khi!$K$231,Bang_sat_thuong!$A$2:$A$7,0))</f>
        <v/>
      </c>
      <c r="V231" t="n">
        <v>1</v>
      </c>
      <c r="W231">
        <f>INDEX(Bang_sat_thuong!$C$2:$C$7,MATCH(Vu_khi!$K$231,Bang_sat_thuong!$A$2:$A$7,0))</f>
        <v/>
      </c>
      <c r="X231" t="n">
        <v>1.5</v>
      </c>
      <c r="Y231">
        <f>IF(AND(Vu_khi!$AI$231,Vu_khi!$K$231="HighExplosive"),MAX(He_so_toan_cuc!$D$2,INDEX(Bang_sat_thuong!$D$2:$D$7,MATCH(Vu_khi!$K$231,Bang_sat_thuong!$A$2:$A$7,0))),INDEX(Bang_sat_thuong!$D$2:$D$7,MATCH(Vu_khi!$K$231,Bang_sat_thuong!$A$2:$A$7,0)))</f>
        <v/>
      </c>
      <c r="Z231" t="n">
        <v>0.5</v>
      </c>
      <c r="AA231">
        <f>INDEX(Bang_xuyen_giap!$C$2:$C$7,MIN(6,MAX(1,IF($O$231,MAX(1,2-(Vu_khi!$L$231-0)),2-(Vu_khi!$L$231-0))+1)))</f>
        <v/>
      </c>
      <c r="AB231" t="n">
        <v>1.2</v>
      </c>
      <c r="AC231">
        <f>INDEX(Bang_xuyen_giap!$C$2:$C$7,MIN(6,MAX(1,IF($O$231,MAX(1,2-(Vu_khi!$L$231-2)),2-(Vu_khi!$L$231-2))+1)))</f>
        <v/>
      </c>
      <c r="AD231" t="n">
        <v>1.2</v>
      </c>
      <c r="AE231">
        <f>INDEX(Bang_xuyen_giap!$C$2:$C$7,MIN(6,MAX(1,IF($O$231,MAX(1,2-(Vu_khi!$L$231-4)),2-(Vu_khi!$L$231-4))+1)))</f>
        <v/>
      </c>
      <c r="AF231" t="n">
        <v>0.85</v>
      </c>
      <c r="AG231">
        <f>INDEX(Bang_xuyen_giap!$C$2:$C$7,MIN(6,MAX(1,MAX(1,2-(Vu_khi!$L$231-0))+1)))</f>
        <v/>
      </c>
      <c r="AH231" t="n">
        <v>1</v>
      </c>
      <c r="AI231">
        <f>IF($Q$231,$M$231*$AA$231*$U$231,0)</f>
        <v/>
      </c>
      <c r="AJ231" t="n">
        <v>198</v>
      </c>
      <c r="AK231">
        <f>IF($Q$231,$M$231*$AC$231*$U$231,0)</f>
        <v/>
      </c>
      <c r="AL231" t="n">
        <v>198</v>
      </c>
      <c r="AM231">
        <f>IF($Q$231,$M$231*$AE$231*$U$231,0)</f>
        <v/>
      </c>
      <c r="AN231" t="n">
        <v>140.25</v>
      </c>
      <c r="AO231">
        <f>IF($Q$231,$M$231*$AC$231*$Y$231,0)</f>
        <v/>
      </c>
      <c r="AP231" t="n">
        <v>99</v>
      </c>
      <c r="AQ231">
        <f>IF($S$231,$M$231*$AG$231*$W$231,0)</f>
        <v/>
      </c>
      <c r="AR231" t="n">
        <v>0</v>
      </c>
      <c r="AS231">
        <f>IF(OR(Vu_khi!$M$231="Missile",Vu_khi!$M$231="Drone",AND(Vu_khi!$M$231="Rocket",OR(Vu_khi!$AM$231,Vu_khi!$D$231="guided")),Vu_khi!$AL$231,Vu_khi!$AK$231,Vu_khi!$X$231&lt;=0),FALSE,IF($B$231&gt;=0,$B$231&gt;=4,IF(Vu_khi!$M$231="Shell",Vu_khi!$AN$231&gt;=Canh_bao_vong!$D$10,IF(Vu_khi!$M$231="Bomb",Vu_khi!$AN$231&gt;=Canh_bao_vong!$D$3,IF(Vu_khi!$M$231="Rocket",Vu_khi!$AN$231&gt;=Canh_bao_vong!$D$13,FALSE)))))</f>
        <v/>
      </c>
      <c r="AT231" t="b">
        <v>0</v>
      </c>
      <c r="AU231">
        <f>IF(AND($B$231&lt;0,$AS$231),4,$B$231)</f>
        <v/>
      </c>
      <c r="AV231" t="n">
        <v>1</v>
      </c>
      <c r="AW231">
        <f>IF($AU$231&lt;4,0,MIN(MAX(0.5,Canh_bao_vong!$D$4),MAX(IF(Vu_khi!$C$231="cal_406",Canh_bao_vong!$D$7,IF($AU$231&gt;=5,Canh_bao_vong!$D$9,Canh_bao_vong!$D$8)),Canh_bao_vong!$D$2+MAX(0,Vu_khi!$X$231)/MAX(0.1,Canh_bao_vong!$D$5))))</f>
        <v/>
      </c>
      <c r="AX231" t="n">
        <v>0</v>
      </c>
      <c r="AY231" t="inlineStr"/>
      <c r="AZ231" t="inlineStr">
        <is>
          <t>ok</t>
        </is>
      </c>
      <c r="BA231" t="b">
        <v>1</v>
      </c>
      <c r="BB231" t="inlineStr">
        <is>
          <t>Assets/MachineBrigade/Resources/Data/balance.json: weapons[id=p26_daedalus_direct_dae_laser] (lớp B trên 01_chien_dau/Vu_khi)</t>
        </is>
      </c>
      <c r="BC231" t="inlineStr"/>
    </row>
    <row r="232">
      <c r="A232" t="inlineStr">
        <is>
          <t>p26_daedalus_sec_dae57</t>
        </is>
      </c>
      <c r="B232" t="n">
        <v>2</v>
      </c>
      <c r="C232">
        <f>IF(Vu_khi!$O$232="SIMULTANEOUS",MAX(1,Vu_khi!$N$232),1)</f>
        <v/>
      </c>
      <c r="D232" t="n">
        <v>2</v>
      </c>
      <c r="E232">
        <f>IF(Vu_khi!$S$232&gt;0,Vu_khi!$S$232,Vu_khi!$P$232*$C$232)</f>
        <v/>
      </c>
      <c r="F232" t="n">
        <v>8</v>
      </c>
      <c r="G232">
        <f>IF(Vu_khi!$S$232&gt;0,(Vu_khi!$S$232-1)*Vu_khi!$R$232+Vu_khi!$T$232,Vu_khi!$R$232+(Vu_khi!$P$232-1)*Vu_khi!$Q$232)</f>
        <v/>
      </c>
      <c r="H232" t="n">
        <v>4.29</v>
      </c>
      <c r="I232">
        <f>Vu_khi!$W$232*MAX(1,$E$232)</f>
        <v/>
      </c>
      <c r="J232" t="n">
        <v>960</v>
      </c>
      <c r="K232">
        <f>IF(Vu_khi!$V$232&gt;0,Vu_khi!$V$232,MIN(28,MAX(10,Vu_khi!$U$232*Vu_khi!$R$232*0.4)))</f>
        <v/>
      </c>
      <c r="L232" t="n">
        <v>10</v>
      </c>
      <c r="M232">
        <f>IF(Vu_khi!$W$232&lt;=0,0,IF(Vu_khi!$U$232&gt;0,$I$232*Vu_khi!$U$232/(MAX(0.05,$G$232)*Vu_khi!$U$232+$K$232),$I$232/MAX(0.05,$G$232)))</f>
        <v/>
      </c>
      <c r="N232" t="n">
        <v>223.7762237762238</v>
      </c>
      <c r="O232">
        <f>OR(Vu_khi!$AG$232,Vu_khi!$AB$232&gt;0,Vu_khi!$AH$232,Vu_khi!$M$232="Bomb",Vu_khi!$M$232="Drone")</f>
        <v/>
      </c>
      <c r="P232" t="b">
        <v>0</v>
      </c>
      <c r="Q232">
        <f>AND(NOT(Vu_khi!$AJ$232),OR(Vu_khi!$AC$232="Ground",Vu_khi!$AC$232="All"))</f>
        <v/>
      </c>
      <c r="R232" t="b">
        <v>1</v>
      </c>
      <c r="S232">
        <f>AND(NOT(Vu_khi!$AJ$232),OR(Vu_khi!$AC$232="Air",Vu_khi!$AC$232="All"))</f>
        <v/>
      </c>
      <c r="T232" t="b">
        <v>0</v>
      </c>
      <c r="U232">
        <f>INDEX(Bang_sat_thuong!$B$2:$B$7,MATCH(Vu_khi!$K$232,Bang_sat_thuong!$A$2:$A$7,0))</f>
        <v/>
      </c>
      <c r="V232" t="n">
        <v>1</v>
      </c>
      <c r="W232">
        <f>INDEX(Bang_sat_thuong!$C$2:$C$7,MATCH(Vu_khi!$K$232,Bang_sat_thuong!$A$2:$A$7,0))</f>
        <v/>
      </c>
      <c r="X232" t="n">
        <v>0</v>
      </c>
      <c r="Y232">
        <f>IF(AND(Vu_khi!$AI$232,Vu_khi!$K$232="HighExplosive"),MAX(He_so_toan_cuc!$D$2,INDEX(Bang_sat_thuong!$D$2:$D$7,MATCH(Vu_khi!$K$232,Bang_sat_thuong!$A$2:$A$7,0))),INDEX(Bang_sat_thuong!$D$2:$D$7,MATCH(Vu_khi!$K$232,Bang_sat_thuong!$A$2:$A$7,0)))</f>
        <v/>
      </c>
      <c r="Z232" t="n">
        <v>1.5</v>
      </c>
      <c r="AA232">
        <f>INDEX(Bang_xuyen_giap!$C$2:$C$7,MIN(6,MAX(1,IF($O$232,MAX(1,2-(Vu_khi!$L$232-0)),2-(Vu_khi!$L$232-0))+1)))</f>
        <v/>
      </c>
      <c r="AB232" t="n">
        <v>1.2</v>
      </c>
      <c r="AC232">
        <f>INDEX(Bang_xuyen_giap!$C$2:$C$7,MIN(6,MAX(1,IF($O$232,MAX(1,2-(Vu_khi!$L$232-2)),2-(Vu_khi!$L$232-2))+1)))</f>
        <v/>
      </c>
      <c r="AD232" t="n">
        <v>1.2</v>
      </c>
      <c r="AE232">
        <f>INDEX(Bang_xuyen_giap!$C$2:$C$7,MIN(6,MAX(1,IF($O$232,MAX(1,2-(Vu_khi!$L$232-4)),2-(Vu_khi!$L$232-4))+1)))</f>
        <v/>
      </c>
      <c r="AF232" t="n">
        <v>0.85</v>
      </c>
      <c r="AG232">
        <f>INDEX(Bang_xuyen_giap!$C$2:$C$7,MIN(6,MAX(1,MAX(1,2-(Vu_khi!$L$232-0))+1)))</f>
        <v/>
      </c>
      <c r="AH232" t="n">
        <v>1</v>
      </c>
      <c r="AI232">
        <f>IF($Q$232,$M$232*$AA$232*$U$232,0)</f>
        <v/>
      </c>
      <c r="AJ232" t="n">
        <v>268.5314685314685</v>
      </c>
      <c r="AK232">
        <f>IF($Q$232,$M$232*$AC$232*$U$232,0)</f>
        <v/>
      </c>
      <c r="AL232" t="n">
        <v>268.5314685314685</v>
      </c>
      <c r="AM232">
        <f>IF($Q$232,$M$232*$AE$232*$U$232,0)</f>
        <v/>
      </c>
      <c r="AN232" t="n">
        <v>190.2097902097902</v>
      </c>
      <c r="AO232">
        <f>IF($Q$232,$M$232*$AC$232*$Y$232,0)</f>
        <v/>
      </c>
      <c r="AP232" t="n">
        <v>402.7972027972028</v>
      </c>
      <c r="AQ232">
        <f>IF($S$232,$M$232*$AG$232*$W$232,0)</f>
        <v/>
      </c>
      <c r="AR232" t="n">
        <v>0</v>
      </c>
      <c r="AS232">
        <f>IF(OR(Vu_khi!$M$232="Missile",Vu_khi!$M$232="Drone",AND(Vu_khi!$M$232="Rocket",OR(Vu_khi!$AM$232,Vu_khi!$D$232="guided")),Vu_khi!$AL$232,Vu_khi!$AK$232,Vu_khi!$X$232&lt;=0),FALSE,IF($B$232&gt;=0,$B$232&gt;=4,IF(Vu_khi!$M$232="Shell",Vu_khi!$AN$232&gt;=Canh_bao_vong!$D$10,IF(Vu_khi!$M$232="Bomb",Vu_khi!$AN$232&gt;=Canh_bao_vong!$D$3,IF(Vu_khi!$M$232="Rocket",Vu_khi!$AN$232&gt;=Canh_bao_vong!$D$13,FALSE)))))</f>
        <v/>
      </c>
      <c r="AT232" t="b">
        <v>0</v>
      </c>
      <c r="AU232">
        <f>IF(AND($B$232&lt;0,$AS$232),4,$B$232)</f>
        <v/>
      </c>
      <c r="AV232" t="n">
        <v>2</v>
      </c>
      <c r="AW232">
        <f>IF($AU$232&lt;4,0,MIN(MAX(0.5,Canh_bao_vong!$D$4),MAX(IF(Vu_khi!$C$232="cal_406",Canh_bao_vong!$D$7,IF($AU$232&gt;=5,Canh_bao_vong!$D$9,Canh_bao_vong!$D$8)),Canh_bao_vong!$D$2+MAX(0,Vu_khi!$X$232)/MAX(0.1,Canh_bao_vong!$D$5))))</f>
        <v/>
      </c>
      <c r="AX232" t="n">
        <v>0</v>
      </c>
      <c r="AY232" t="n">
        <v>2.145</v>
      </c>
      <c r="AZ232" t="inlineStr">
        <is>
          <t>ok</t>
        </is>
      </c>
      <c r="BA232" t="inlineStr"/>
      <c r="BB232" t="inlineStr">
        <is>
          <t>Assets/MachineBrigade/Resources/Data/balance.json: weapons[id=p26_daedalus_sec_dae57] (lớp B trên 01_chien_dau/Vu_khi)</t>
        </is>
      </c>
      <c r="BC232" t="inlineStr"/>
    </row>
    <row r="233">
      <c r="A233" t="inlineStr">
        <is>
          <t>p26_icarus_close_autocannon_40</t>
        </is>
      </c>
      <c r="B233" t="n">
        <v>1</v>
      </c>
      <c r="C233">
        <f>IF(Vu_khi!$O$233="SIMULTANEOUS",MAX(1,Vu_khi!$N$233),1)</f>
        <v/>
      </c>
      <c r="D233" t="n">
        <v>1</v>
      </c>
      <c r="E233">
        <f>IF(Vu_khi!$S$233&gt;0,Vu_khi!$S$233,Vu_khi!$P$233*$C$233)</f>
        <v/>
      </c>
      <c r="F233" t="n">
        <v>10</v>
      </c>
      <c r="G233">
        <f>IF(Vu_khi!$S$233&gt;0,(Vu_khi!$S$233-1)*Vu_khi!$R$233+Vu_khi!$T$233,Vu_khi!$R$233+(Vu_khi!$P$233-1)*Vu_khi!$Q$233)</f>
        <v/>
      </c>
      <c r="H233" t="n">
        <v>3.32</v>
      </c>
      <c r="I233">
        <f>Vu_khi!$W$233*MAX(1,$E$233)</f>
        <v/>
      </c>
      <c r="J233" t="n">
        <v>300</v>
      </c>
      <c r="K233">
        <f>IF(Vu_khi!$V$233&gt;0,Vu_khi!$V$233,MIN(28,MAX(10,Vu_khi!$U$233*Vu_khi!$R$233*0.4)))</f>
        <v/>
      </c>
      <c r="L233" t="n">
        <v>10</v>
      </c>
      <c r="M233">
        <f>IF(Vu_khi!$W$233&lt;=0,0,IF(Vu_khi!$U$233&gt;0,$I$233*Vu_khi!$U$233/(MAX(0.05,$G$233)*Vu_khi!$U$233+$K$233),$I$233/MAX(0.05,$G$233)))</f>
        <v/>
      </c>
      <c r="N233" t="n">
        <v>90.36144578313252</v>
      </c>
      <c r="O233">
        <f>OR(Vu_khi!$AG$233,Vu_khi!$AB$233&gt;0,Vu_khi!$AH$233,Vu_khi!$M$233="Bomb",Vu_khi!$M$233="Drone")</f>
        <v/>
      </c>
      <c r="P233" t="b">
        <v>0</v>
      </c>
      <c r="Q233">
        <f>AND(NOT(Vu_khi!$AJ$233),OR(Vu_khi!$AC$233="Ground",Vu_khi!$AC$233="All"))</f>
        <v/>
      </c>
      <c r="R233" t="b">
        <v>1</v>
      </c>
      <c r="S233">
        <f>AND(NOT(Vu_khi!$AJ$233),OR(Vu_khi!$AC$233="Air",Vu_khi!$AC$233="All"))</f>
        <v/>
      </c>
      <c r="T233" t="b">
        <v>1</v>
      </c>
      <c r="U233">
        <f>INDEX(Bang_sat_thuong!$B$2:$B$7,MATCH(Vu_khi!$K$233,Bang_sat_thuong!$A$2:$A$7,0))</f>
        <v/>
      </c>
      <c r="V233" t="n">
        <v>1</v>
      </c>
      <c r="W233">
        <f>INDEX(Bang_sat_thuong!$C$2:$C$7,MATCH(Vu_khi!$K$233,Bang_sat_thuong!$A$2:$A$7,0))</f>
        <v/>
      </c>
      <c r="X233" t="n">
        <v>0.3</v>
      </c>
      <c r="Y233">
        <f>IF(AND(Vu_khi!$AI$233,Vu_khi!$K$233="HighExplosive"),MAX(He_so_toan_cuc!$D$2,INDEX(Bang_sat_thuong!$D$2:$D$7,MATCH(Vu_khi!$K$233,Bang_sat_thuong!$A$2:$A$7,0))),INDEX(Bang_sat_thuong!$D$2:$D$7,MATCH(Vu_khi!$K$233,Bang_sat_thuong!$A$2:$A$7,0)))</f>
        <v/>
      </c>
      <c r="Z233" t="n">
        <v>0.6</v>
      </c>
      <c r="AA233">
        <f>INDEX(Bang_xuyen_giap!$C$2:$C$7,MIN(6,MAX(1,IF($O$233,MAX(1,2-(Vu_khi!$L$233-0)),2-(Vu_khi!$L$233-0))+1)))</f>
        <v/>
      </c>
      <c r="AB233" t="n">
        <v>1.2</v>
      </c>
      <c r="AC233">
        <f>INDEX(Bang_xuyen_giap!$C$2:$C$7,MIN(6,MAX(1,IF($O$233,MAX(1,2-(Vu_khi!$L$233-2)),2-(Vu_khi!$L$233-2))+1)))</f>
        <v/>
      </c>
      <c r="AD233" t="n">
        <v>0.85</v>
      </c>
      <c r="AE233">
        <f>INDEX(Bang_xuyen_giap!$C$2:$C$7,MIN(6,MAX(1,IF($O$233,MAX(1,2-(Vu_khi!$L$233-4)),2-(Vu_khi!$L$233-4))+1)))</f>
        <v/>
      </c>
      <c r="AF233" t="n">
        <v>0.25</v>
      </c>
      <c r="AG233">
        <f>INDEX(Bang_xuyen_giap!$C$2:$C$7,MIN(6,MAX(1,MAX(1,2-(Vu_khi!$L$233-0))+1)))</f>
        <v/>
      </c>
      <c r="AH233" t="n">
        <v>1</v>
      </c>
      <c r="AI233">
        <f>IF($Q$233,$M$233*$AA$233*$U$233,0)</f>
        <v/>
      </c>
      <c r="AJ233" t="n">
        <v>108.433734939759</v>
      </c>
      <c r="AK233">
        <f>IF($Q$233,$M$233*$AC$233*$U$233,0)</f>
        <v/>
      </c>
      <c r="AL233" t="n">
        <v>76.80722891566265</v>
      </c>
      <c r="AM233">
        <f>IF($Q$233,$M$233*$AE$233*$U$233,0)</f>
        <v/>
      </c>
      <c r="AN233" t="n">
        <v>22.59036144578313</v>
      </c>
      <c r="AO233">
        <f>IF($Q$233,$M$233*$AC$233*$Y$233,0)</f>
        <v/>
      </c>
      <c r="AP233" t="n">
        <v>46.08433734939759</v>
      </c>
      <c r="AQ233">
        <f>IF($S$233,$M$233*$AG$233*$W$233,0)</f>
        <v/>
      </c>
      <c r="AR233" t="n">
        <v>27.10843373493976</v>
      </c>
      <c r="AS233">
        <f>IF(OR(Vu_khi!$M$233="Missile",Vu_khi!$M$233="Drone",AND(Vu_khi!$M$233="Rocket",OR(Vu_khi!$AM$233,Vu_khi!$D$233="guided")),Vu_khi!$AL$233,Vu_khi!$AK$233,Vu_khi!$X$233&lt;=0),FALSE,IF($B$233&gt;=0,$B$233&gt;=4,IF(Vu_khi!$M$233="Shell",Vu_khi!$AN$233&gt;=Canh_bao_vong!$D$10,IF(Vu_khi!$M$233="Bomb",Vu_khi!$AN$233&gt;=Canh_bao_vong!$D$3,IF(Vu_khi!$M$233="Rocket",Vu_khi!$AN$233&gt;=Canh_bao_vong!$D$13,FALSE)))))</f>
        <v/>
      </c>
      <c r="AT233" t="b">
        <v>0</v>
      </c>
      <c r="AU233">
        <f>IF(AND($B$233&lt;0,$AS$233),4,$B$233)</f>
        <v/>
      </c>
      <c r="AV233" t="n">
        <v>1</v>
      </c>
      <c r="AW233">
        <f>IF($AU$233&lt;4,0,MIN(MAX(0.5,Canh_bao_vong!$D$4),MAX(IF(Vu_khi!$C$233="cal_406",Canh_bao_vong!$D$7,IF($AU$233&gt;=5,Canh_bao_vong!$D$9,Canh_bao_vong!$D$8)),Canh_bao_vong!$D$2+MAX(0,Vu_khi!$X$233)/MAX(0.1,Canh_bao_vong!$D$5))))</f>
        <v/>
      </c>
      <c r="AX233" t="n">
        <v>0</v>
      </c>
      <c r="AY233" t="n">
        <v>1.826</v>
      </c>
      <c r="AZ233" t="inlineStr">
        <is>
          <t>ok</t>
        </is>
      </c>
      <c r="BA233" t="b">
        <v>1</v>
      </c>
      <c r="BB233" t="inlineStr">
        <is>
          <t>Assets/MachineBrigade/Resources/Data/balance.json: weapons[id=p26_icarus_close_autocannon_40] (lớp B trên 01_chien_dau/Vu_khi)</t>
        </is>
      </c>
      <c r="BC233" t="inlineStr"/>
    </row>
    <row r="234">
      <c r="A234" t="inlineStr">
        <is>
          <t>p26_icarus_direct_ic_laser</t>
        </is>
      </c>
      <c r="B234" t="n">
        <v>1</v>
      </c>
      <c r="C234">
        <f>IF(Vu_khi!$O$234="SIMULTANEOUS",MAX(1,Vu_khi!$N$234),1)</f>
        <v/>
      </c>
      <c r="D234" t="n">
        <v>1</v>
      </c>
      <c r="E234">
        <f>IF(Vu_khi!$S$234&gt;0,Vu_khi!$S$234,Vu_khi!$P$234*$C$234)</f>
        <v/>
      </c>
      <c r="F234" t="n">
        <v>1</v>
      </c>
      <c r="G234">
        <f>IF(Vu_khi!$S$234&gt;0,(Vu_khi!$S$234-1)*Vu_khi!$R$234+Vu_khi!$T$234,Vu_khi!$R$234+(Vu_khi!$P$234-1)*Vu_khi!$Q$234)</f>
        <v/>
      </c>
      <c r="H234" t="n">
        <v>0.1</v>
      </c>
      <c r="I234">
        <f>Vu_khi!$W$234*MAX(1,$E$234)</f>
        <v/>
      </c>
      <c r="J234" t="n">
        <v>16</v>
      </c>
      <c r="K234">
        <f>IF(Vu_khi!$V$234&gt;0,Vu_khi!$V$234,MIN(28,MAX(10,Vu_khi!$U$234*Vu_khi!$R$234*0.4)))</f>
        <v/>
      </c>
      <c r="L234" t="n">
        <v>10</v>
      </c>
      <c r="M234">
        <f>IF(Vu_khi!$W$234&lt;=0,0,IF(Vu_khi!$U$234&gt;0,$I$234*Vu_khi!$U$234/(MAX(0.05,$G$234)*Vu_khi!$U$234+$K$234),$I$234/MAX(0.05,$G$234)))</f>
        <v/>
      </c>
      <c r="N234" t="n">
        <v>160</v>
      </c>
      <c r="O234">
        <f>OR(Vu_khi!$AG$234,Vu_khi!$AB$234&gt;0,Vu_khi!$AH$234,Vu_khi!$M$234="Bomb",Vu_khi!$M$234="Drone")</f>
        <v/>
      </c>
      <c r="P234" t="b">
        <v>0</v>
      </c>
      <c r="Q234">
        <f>AND(NOT(Vu_khi!$AJ$234),OR(Vu_khi!$AC$234="Ground",Vu_khi!$AC$234="All"))</f>
        <v/>
      </c>
      <c r="R234" t="b">
        <v>1</v>
      </c>
      <c r="S234">
        <f>AND(NOT(Vu_khi!$AJ$234),OR(Vu_khi!$AC$234="Air",Vu_khi!$AC$234="All"))</f>
        <v/>
      </c>
      <c r="T234" t="b">
        <v>0</v>
      </c>
      <c r="U234">
        <f>INDEX(Bang_sat_thuong!$B$2:$B$7,MATCH(Vu_khi!$K$234,Bang_sat_thuong!$A$2:$A$7,0))</f>
        <v/>
      </c>
      <c r="V234" t="n">
        <v>1</v>
      </c>
      <c r="W234">
        <f>INDEX(Bang_sat_thuong!$C$2:$C$7,MATCH(Vu_khi!$K$234,Bang_sat_thuong!$A$2:$A$7,0))</f>
        <v/>
      </c>
      <c r="X234" t="n">
        <v>1.5</v>
      </c>
      <c r="Y234">
        <f>IF(AND(Vu_khi!$AI$234,Vu_khi!$K$234="HighExplosive"),MAX(He_so_toan_cuc!$D$2,INDEX(Bang_sat_thuong!$D$2:$D$7,MATCH(Vu_khi!$K$234,Bang_sat_thuong!$A$2:$A$7,0))),INDEX(Bang_sat_thuong!$D$2:$D$7,MATCH(Vu_khi!$K$234,Bang_sat_thuong!$A$2:$A$7,0)))</f>
        <v/>
      </c>
      <c r="Z234" t="n">
        <v>0.5</v>
      </c>
      <c r="AA234">
        <f>INDEX(Bang_xuyen_giap!$C$2:$C$7,MIN(6,MAX(1,IF($O$234,MAX(1,2-(Vu_khi!$L$234-0)),2-(Vu_khi!$L$234-0))+1)))</f>
        <v/>
      </c>
      <c r="AB234" t="n">
        <v>1.2</v>
      </c>
      <c r="AC234">
        <f>INDEX(Bang_xuyen_giap!$C$2:$C$7,MIN(6,MAX(1,IF($O$234,MAX(1,2-(Vu_khi!$L$234-2)),2-(Vu_khi!$L$234-2))+1)))</f>
        <v/>
      </c>
      <c r="AD234" t="n">
        <v>1.2</v>
      </c>
      <c r="AE234">
        <f>INDEX(Bang_xuyen_giap!$C$2:$C$7,MIN(6,MAX(1,IF($O$234,MAX(1,2-(Vu_khi!$L$234-4)),2-(Vu_khi!$L$234-4))+1)))</f>
        <v/>
      </c>
      <c r="AF234" t="n">
        <v>0.85</v>
      </c>
      <c r="AG234">
        <f>INDEX(Bang_xuyen_giap!$C$2:$C$7,MIN(6,MAX(1,MAX(1,2-(Vu_khi!$L$234-0))+1)))</f>
        <v/>
      </c>
      <c r="AH234" t="n">
        <v>1</v>
      </c>
      <c r="AI234">
        <f>IF($Q$234,$M$234*$AA$234*$U$234,0)</f>
        <v/>
      </c>
      <c r="AJ234" t="n">
        <v>192</v>
      </c>
      <c r="AK234">
        <f>IF($Q$234,$M$234*$AC$234*$U$234,0)</f>
        <v/>
      </c>
      <c r="AL234" t="n">
        <v>192</v>
      </c>
      <c r="AM234">
        <f>IF($Q$234,$M$234*$AE$234*$U$234,0)</f>
        <v/>
      </c>
      <c r="AN234" t="n">
        <v>136</v>
      </c>
      <c r="AO234">
        <f>IF($Q$234,$M$234*$AC$234*$Y$234,0)</f>
        <v/>
      </c>
      <c r="AP234" t="n">
        <v>96</v>
      </c>
      <c r="AQ234">
        <f>IF($S$234,$M$234*$AG$234*$W$234,0)</f>
        <v/>
      </c>
      <c r="AR234" t="n">
        <v>0</v>
      </c>
      <c r="AS234">
        <f>IF(OR(Vu_khi!$M$234="Missile",Vu_khi!$M$234="Drone",AND(Vu_khi!$M$234="Rocket",OR(Vu_khi!$AM$234,Vu_khi!$D$234="guided")),Vu_khi!$AL$234,Vu_khi!$AK$234,Vu_khi!$X$234&lt;=0),FALSE,IF($B$234&gt;=0,$B$234&gt;=4,IF(Vu_khi!$M$234="Shell",Vu_khi!$AN$234&gt;=Canh_bao_vong!$D$10,IF(Vu_khi!$M$234="Bomb",Vu_khi!$AN$234&gt;=Canh_bao_vong!$D$3,IF(Vu_khi!$M$234="Rocket",Vu_khi!$AN$234&gt;=Canh_bao_vong!$D$13,FALSE)))))</f>
        <v/>
      </c>
      <c r="AT234" t="b">
        <v>0</v>
      </c>
      <c r="AU234">
        <f>IF(AND($B$234&lt;0,$AS$234),4,$B$234)</f>
        <v/>
      </c>
      <c r="AV234" t="n">
        <v>1</v>
      </c>
      <c r="AW234">
        <f>IF($AU$234&lt;4,0,MIN(MAX(0.5,Canh_bao_vong!$D$4),MAX(IF(Vu_khi!$C$234="cal_406",Canh_bao_vong!$D$7,IF($AU$234&gt;=5,Canh_bao_vong!$D$9,Canh_bao_vong!$D$8)),Canh_bao_vong!$D$2+MAX(0,Vu_khi!$X$234)/MAX(0.1,Canh_bao_vong!$D$5))))</f>
        <v/>
      </c>
      <c r="AX234" t="n">
        <v>0</v>
      </c>
      <c r="AY234" t="inlineStr"/>
      <c r="AZ234" t="inlineStr">
        <is>
          <t>ok</t>
        </is>
      </c>
      <c r="BA234" t="b">
        <v>1</v>
      </c>
      <c r="BB234" t="inlineStr">
        <is>
          <t>Assets/MachineBrigade/Resources/Data/balance.json: weapons[id=p26_icarus_direct_ic_laser] (lớp B trên 01_chien_dau/Vu_khi)</t>
        </is>
      </c>
      <c r="BC234" t="inlineStr"/>
    </row>
    <row r="235">
      <c r="A235" t="inlineStr">
        <is>
          <t>p26_icarus_ic_coil</t>
        </is>
      </c>
      <c r="B235" t="n">
        <v>3</v>
      </c>
      <c r="C235">
        <f>IF(Vu_khi!$O$235="SIMULTANEOUS",MAX(1,Vu_khi!$N$235),1)</f>
        <v/>
      </c>
      <c r="D235" t="n">
        <v>1</v>
      </c>
      <c r="E235">
        <f>IF(Vu_khi!$S$235&gt;0,Vu_khi!$S$235,Vu_khi!$P$235*$C$235)</f>
        <v/>
      </c>
      <c r="F235" t="n">
        <v>1</v>
      </c>
      <c r="G235">
        <f>IF(Vu_khi!$S$235&gt;0,(Vu_khi!$S$235-1)*Vu_khi!$R$235+Vu_khi!$T$235,Vu_khi!$R$235+(Vu_khi!$P$235-1)*Vu_khi!$Q$235)</f>
        <v/>
      </c>
      <c r="H235" t="n">
        <v>2</v>
      </c>
      <c r="I235">
        <f>Vu_khi!$W$235*MAX(1,$E$235)</f>
        <v/>
      </c>
      <c r="J235" t="n">
        <v>1440</v>
      </c>
      <c r="K235">
        <f>IF(Vu_khi!$V$235&gt;0,Vu_khi!$V$235,MIN(28,MAX(10,Vu_khi!$U$235*Vu_khi!$R$235*0.4)))</f>
        <v/>
      </c>
      <c r="L235" t="n">
        <v>10</v>
      </c>
      <c r="M235">
        <f>IF(Vu_khi!$W$235&lt;=0,0,IF(Vu_khi!$U$235&gt;0,$I$235*Vu_khi!$U$235/(MAX(0.05,$G$235)*Vu_khi!$U$235+$K$235),$I$235/MAX(0.05,$G$235)))</f>
        <v/>
      </c>
      <c r="N235" t="n">
        <v>720</v>
      </c>
      <c r="O235">
        <f>OR(Vu_khi!$AG$235,Vu_khi!$AB$235&gt;0,Vu_khi!$AH$235,Vu_khi!$M$235="Bomb",Vu_khi!$M$235="Drone")</f>
        <v/>
      </c>
      <c r="P235" t="b">
        <v>0</v>
      </c>
      <c r="Q235">
        <f>AND(NOT(Vu_khi!$AJ$235),OR(Vu_khi!$AC$235="Ground",Vu_khi!$AC$235="All"))</f>
        <v/>
      </c>
      <c r="R235" t="b">
        <v>1</v>
      </c>
      <c r="S235">
        <f>AND(NOT(Vu_khi!$AJ$235),OR(Vu_khi!$AC$235="Air",Vu_khi!$AC$235="All"))</f>
        <v/>
      </c>
      <c r="T235" t="b">
        <v>1</v>
      </c>
      <c r="U235">
        <f>INDEX(Bang_sat_thuong!$B$2:$B$7,MATCH(Vu_khi!$K$235,Bang_sat_thuong!$A$2:$A$7,0))</f>
        <v/>
      </c>
      <c r="V235" t="n">
        <v>1</v>
      </c>
      <c r="W235">
        <f>INDEX(Bang_sat_thuong!$C$2:$C$7,MATCH(Vu_khi!$K$235,Bang_sat_thuong!$A$2:$A$7,0))</f>
        <v/>
      </c>
      <c r="X235" t="n">
        <v>0.3</v>
      </c>
      <c r="Y235">
        <f>IF(AND(Vu_khi!$AI$235,Vu_khi!$K$235="HighExplosive"),MAX(He_so_toan_cuc!$D$2,INDEX(Bang_sat_thuong!$D$2:$D$7,MATCH(Vu_khi!$K$235,Bang_sat_thuong!$A$2:$A$7,0))),INDEX(Bang_sat_thuong!$D$2:$D$7,MATCH(Vu_khi!$K$235,Bang_sat_thuong!$A$2:$A$7,0)))</f>
        <v/>
      </c>
      <c r="Z235" t="n">
        <v>0.6</v>
      </c>
      <c r="AA235">
        <f>INDEX(Bang_xuyen_giap!$C$2:$C$7,MIN(6,MAX(1,IF($O$235,MAX(1,2-(Vu_khi!$L$235-0)),2-(Vu_khi!$L$235-0))+1)))</f>
        <v/>
      </c>
      <c r="AB235" t="n">
        <v>1.2</v>
      </c>
      <c r="AC235">
        <f>INDEX(Bang_xuyen_giap!$C$2:$C$7,MIN(6,MAX(1,IF($O$235,MAX(1,2-(Vu_khi!$L$235-2)),2-(Vu_khi!$L$235-2))+1)))</f>
        <v/>
      </c>
      <c r="AD235" t="n">
        <v>1.2</v>
      </c>
      <c r="AE235">
        <f>INDEX(Bang_xuyen_giap!$C$2:$C$7,MIN(6,MAX(1,IF($O$235,MAX(1,2-(Vu_khi!$L$235-4)),2-(Vu_khi!$L$235-4))+1)))</f>
        <v/>
      </c>
      <c r="AF235" t="n">
        <v>1</v>
      </c>
      <c r="AG235">
        <f>INDEX(Bang_xuyen_giap!$C$2:$C$7,MIN(6,MAX(1,MAX(1,2-(Vu_khi!$L$235-0))+1)))</f>
        <v/>
      </c>
      <c r="AH235" t="n">
        <v>1</v>
      </c>
      <c r="AI235">
        <f>IF($Q$235,$M$235*$AA$235*$U$235,0)</f>
        <v/>
      </c>
      <c r="AJ235" t="n">
        <v>864</v>
      </c>
      <c r="AK235">
        <f>IF($Q$235,$M$235*$AC$235*$U$235,0)</f>
        <v/>
      </c>
      <c r="AL235" t="n">
        <v>864</v>
      </c>
      <c r="AM235">
        <f>IF($Q$235,$M$235*$AE$235*$U$235,0)</f>
        <v/>
      </c>
      <c r="AN235" t="n">
        <v>720</v>
      </c>
      <c r="AO235">
        <f>IF($Q$235,$M$235*$AC$235*$Y$235,0)</f>
        <v/>
      </c>
      <c r="AP235" t="n">
        <v>518.4</v>
      </c>
      <c r="AQ235">
        <f>IF($S$235,$M$235*$AG$235*$W$235,0)</f>
        <v/>
      </c>
      <c r="AR235" t="n">
        <v>216</v>
      </c>
      <c r="AS235">
        <f>IF(OR(Vu_khi!$M$235="Missile",Vu_khi!$M$235="Drone",AND(Vu_khi!$M$235="Rocket",OR(Vu_khi!$AM$235,Vu_khi!$D$235="guided")),Vu_khi!$AL$235,Vu_khi!$AK$235,Vu_khi!$X$235&lt;=0),FALSE,IF($B$235&gt;=0,$B$235&gt;=4,IF(Vu_khi!$M$235="Shell",Vu_khi!$AN$235&gt;=Canh_bao_vong!$D$10,IF(Vu_khi!$M$235="Bomb",Vu_khi!$AN$235&gt;=Canh_bao_vong!$D$3,IF(Vu_khi!$M$235="Rocket",Vu_khi!$AN$235&gt;=Canh_bao_vong!$D$13,FALSE)))))</f>
        <v/>
      </c>
      <c r="AT235" t="b">
        <v>0</v>
      </c>
      <c r="AU235">
        <f>IF(AND($B$235&lt;0,$AS$235),4,$B$235)</f>
        <v/>
      </c>
      <c r="AV235" t="n">
        <v>3</v>
      </c>
      <c r="AW235">
        <f>IF($AU$235&lt;4,0,MIN(MAX(0.5,Canh_bao_vong!$D$4),MAX(IF(Vu_khi!$C$235="cal_406",Canh_bao_vong!$D$7,IF($AU$235&gt;=5,Canh_bao_vong!$D$9,Canh_bao_vong!$D$8)),Canh_bao_vong!$D$2+MAX(0,Vu_khi!$X$235)/MAX(0.1,Canh_bao_vong!$D$5))))</f>
        <v/>
      </c>
      <c r="AX235" t="n">
        <v>0</v>
      </c>
      <c r="AY235" t="inlineStr"/>
      <c r="AZ235" t="inlineStr">
        <is>
          <t>LECH_DOT_1</t>
        </is>
      </c>
      <c r="BA235" t="inlineStr"/>
      <c r="BB235" t="inlineStr">
        <is>
          <t>Assets/MachineBrigade/Resources/Data/balance.json: weapons[id=p26_icarus_ic_coil] (lớp B trên 01_chien_dau/Vu_khi)</t>
        </is>
      </c>
      <c r="BC235" t="inlineStr"/>
    </row>
    <row r="236">
      <c r="A236" t="inlineStr">
        <is>
          <t>p26_icarus_ic_laser</t>
        </is>
      </c>
      <c r="B236" t="n">
        <v>1</v>
      </c>
      <c r="C236">
        <f>IF(Vu_khi!$O$236="SIMULTANEOUS",MAX(1,Vu_khi!$N$236),1)</f>
        <v/>
      </c>
      <c r="D236" t="n">
        <v>1</v>
      </c>
      <c r="E236">
        <f>IF(Vu_khi!$S$236&gt;0,Vu_khi!$S$236,Vu_khi!$P$236*$C$236)</f>
        <v/>
      </c>
      <c r="F236" t="n">
        <v>1</v>
      </c>
      <c r="G236">
        <f>IF(Vu_khi!$S$236&gt;0,(Vu_khi!$S$236-1)*Vu_khi!$R$236+Vu_khi!$T$236,Vu_khi!$R$236+(Vu_khi!$P$236-1)*Vu_khi!$Q$236)</f>
        <v/>
      </c>
      <c r="H236" t="n">
        <v>0.1</v>
      </c>
      <c r="I236">
        <f>Vu_khi!$W$236*MAX(1,$E$236)</f>
        <v/>
      </c>
      <c r="J236" t="n">
        <v>40</v>
      </c>
      <c r="K236">
        <f>IF(Vu_khi!$V$236&gt;0,Vu_khi!$V$236,MIN(28,MAX(10,Vu_khi!$U$236*Vu_khi!$R$236*0.4)))</f>
        <v/>
      </c>
      <c r="L236" t="n">
        <v>10</v>
      </c>
      <c r="M236">
        <f>IF(Vu_khi!$W$236&lt;=0,0,IF(Vu_khi!$U$236&gt;0,$I$236*Vu_khi!$U$236/(MAX(0.05,$G$236)*Vu_khi!$U$236+$K$236),$I$236/MAX(0.05,$G$236)))</f>
        <v/>
      </c>
      <c r="N236" t="n">
        <v>400</v>
      </c>
      <c r="O236">
        <f>OR(Vu_khi!$AG$236,Vu_khi!$AB$236&gt;0,Vu_khi!$AH$236,Vu_khi!$M$236="Bomb",Vu_khi!$M$236="Drone")</f>
        <v/>
      </c>
      <c r="P236" t="b">
        <v>0</v>
      </c>
      <c r="Q236">
        <f>AND(NOT(Vu_khi!$AJ$236),OR(Vu_khi!$AC$236="Ground",Vu_khi!$AC$236="All"))</f>
        <v/>
      </c>
      <c r="R236" t="b">
        <v>1</v>
      </c>
      <c r="S236">
        <f>AND(NOT(Vu_khi!$AJ$236),OR(Vu_khi!$AC$236="Air",Vu_khi!$AC$236="All"))</f>
        <v/>
      </c>
      <c r="T236" t="b">
        <v>0</v>
      </c>
      <c r="U236">
        <f>INDEX(Bang_sat_thuong!$B$2:$B$7,MATCH(Vu_khi!$K$236,Bang_sat_thuong!$A$2:$A$7,0))</f>
        <v/>
      </c>
      <c r="V236" t="n">
        <v>1</v>
      </c>
      <c r="W236">
        <f>INDEX(Bang_sat_thuong!$C$2:$C$7,MATCH(Vu_khi!$K$236,Bang_sat_thuong!$A$2:$A$7,0))</f>
        <v/>
      </c>
      <c r="X236" t="n">
        <v>1.5</v>
      </c>
      <c r="Y236">
        <f>IF(AND(Vu_khi!$AI$236,Vu_khi!$K$236="HighExplosive"),MAX(He_so_toan_cuc!$D$2,INDEX(Bang_sat_thuong!$D$2:$D$7,MATCH(Vu_khi!$K$236,Bang_sat_thuong!$A$2:$A$7,0))),INDEX(Bang_sat_thuong!$D$2:$D$7,MATCH(Vu_khi!$K$236,Bang_sat_thuong!$A$2:$A$7,0)))</f>
        <v/>
      </c>
      <c r="Z236" t="n">
        <v>0.5</v>
      </c>
      <c r="AA236">
        <f>INDEX(Bang_xuyen_giap!$C$2:$C$7,MIN(6,MAX(1,IF($O$236,MAX(1,2-(Vu_khi!$L$236-0)),2-(Vu_khi!$L$236-0))+1)))</f>
        <v/>
      </c>
      <c r="AB236" t="n">
        <v>1.2</v>
      </c>
      <c r="AC236">
        <f>INDEX(Bang_xuyen_giap!$C$2:$C$7,MIN(6,MAX(1,IF($O$236,MAX(1,2-(Vu_khi!$L$236-2)),2-(Vu_khi!$L$236-2))+1)))</f>
        <v/>
      </c>
      <c r="AD236" t="n">
        <v>1.2</v>
      </c>
      <c r="AE236">
        <f>INDEX(Bang_xuyen_giap!$C$2:$C$7,MIN(6,MAX(1,IF($O$236,MAX(1,2-(Vu_khi!$L$236-4)),2-(Vu_khi!$L$236-4))+1)))</f>
        <v/>
      </c>
      <c r="AF236" t="n">
        <v>0.85</v>
      </c>
      <c r="AG236">
        <f>INDEX(Bang_xuyen_giap!$C$2:$C$7,MIN(6,MAX(1,MAX(1,2-(Vu_khi!$L$236-0))+1)))</f>
        <v/>
      </c>
      <c r="AH236" t="n">
        <v>1</v>
      </c>
      <c r="AI236">
        <f>IF($Q$236,$M$236*$AA$236*$U$236,0)</f>
        <v/>
      </c>
      <c r="AJ236" t="n">
        <v>480</v>
      </c>
      <c r="AK236">
        <f>IF($Q$236,$M$236*$AC$236*$U$236,0)</f>
        <v/>
      </c>
      <c r="AL236" t="n">
        <v>480</v>
      </c>
      <c r="AM236">
        <f>IF($Q$236,$M$236*$AE$236*$U$236,0)</f>
        <v/>
      </c>
      <c r="AN236" t="n">
        <v>340</v>
      </c>
      <c r="AO236">
        <f>IF($Q$236,$M$236*$AC$236*$Y$236,0)</f>
        <v/>
      </c>
      <c r="AP236" t="n">
        <v>240</v>
      </c>
      <c r="AQ236">
        <f>IF($S$236,$M$236*$AG$236*$W$236,0)</f>
        <v/>
      </c>
      <c r="AR236" t="n">
        <v>0</v>
      </c>
      <c r="AS236">
        <f>IF(OR(Vu_khi!$M$236="Missile",Vu_khi!$M$236="Drone",AND(Vu_khi!$M$236="Rocket",OR(Vu_khi!$AM$236,Vu_khi!$D$236="guided")),Vu_khi!$AL$236,Vu_khi!$AK$236,Vu_khi!$X$236&lt;=0),FALSE,IF($B$236&gt;=0,$B$236&gt;=4,IF(Vu_khi!$M$236="Shell",Vu_khi!$AN$236&gt;=Canh_bao_vong!$D$10,IF(Vu_khi!$M$236="Bomb",Vu_khi!$AN$236&gt;=Canh_bao_vong!$D$3,IF(Vu_khi!$M$236="Rocket",Vu_khi!$AN$236&gt;=Canh_bao_vong!$D$13,FALSE)))))</f>
        <v/>
      </c>
      <c r="AT236" t="b">
        <v>0</v>
      </c>
      <c r="AU236">
        <f>IF(AND($B$236&lt;0,$AS$236),4,$B$236)</f>
        <v/>
      </c>
      <c r="AV236" t="n">
        <v>1</v>
      </c>
      <c r="AW236">
        <f>IF($AU$236&lt;4,0,MIN(MAX(0.5,Canh_bao_vong!$D$4),MAX(IF(Vu_khi!$C$236="cal_406",Canh_bao_vong!$D$7,IF($AU$236&gt;=5,Canh_bao_vong!$D$9,Canh_bao_vong!$D$8)),Canh_bao_vong!$D$2+MAX(0,Vu_khi!$X$236)/MAX(0.1,Canh_bao_vong!$D$5))))</f>
        <v/>
      </c>
      <c r="AX236" t="n">
        <v>0</v>
      </c>
      <c r="AY236" t="inlineStr"/>
      <c r="AZ236" t="inlineStr">
        <is>
          <t>ok</t>
        </is>
      </c>
      <c r="BA236" t="inlineStr"/>
      <c r="BB236" t="inlineStr">
        <is>
          <t>Assets/MachineBrigade/Resources/Data/balance.json: weapons[id=p26_icarus_ic_laser] (lớp B trên 01_chien_dau/Vu_khi)</t>
        </is>
      </c>
      <c r="BC236" t="inlineStr"/>
    </row>
    <row r="237">
      <c r="A237" t="inlineStr">
        <is>
          <t>p26_icarus_main_ic_coil</t>
        </is>
      </c>
      <c r="B237" t="n">
        <v>3</v>
      </c>
      <c r="C237">
        <f>IF(Vu_khi!$O$237="SIMULTANEOUS",MAX(1,Vu_khi!$N$237),1)</f>
        <v/>
      </c>
      <c r="D237" t="n">
        <v>1</v>
      </c>
      <c r="E237">
        <f>IF(Vu_khi!$S$237&gt;0,Vu_khi!$S$237,Vu_khi!$P$237*$C$237)</f>
        <v/>
      </c>
      <c r="F237" t="n">
        <v>1</v>
      </c>
      <c r="G237">
        <f>IF(Vu_khi!$S$237&gt;0,(Vu_khi!$S$237-1)*Vu_khi!$R$237+Vu_khi!$T$237,Vu_khi!$R$237+(Vu_khi!$P$237-1)*Vu_khi!$Q$237)</f>
        <v/>
      </c>
      <c r="H237" t="n">
        <v>5</v>
      </c>
      <c r="I237">
        <f>Vu_khi!$W$237*MAX(1,$E$237)</f>
        <v/>
      </c>
      <c r="J237" t="n">
        <v>1500</v>
      </c>
      <c r="K237">
        <f>IF(Vu_khi!$V$237&gt;0,Vu_khi!$V$237,MIN(28,MAX(10,Vu_khi!$U$237*Vu_khi!$R$237*0.4)))</f>
        <v/>
      </c>
      <c r="L237" t="n">
        <v>10</v>
      </c>
      <c r="M237">
        <f>IF(Vu_khi!$W$237&lt;=0,0,IF(Vu_khi!$U$237&gt;0,$I$237*Vu_khi!$U$237/(MAX(0.05,$G$237)*Vu_khi!$U$237+$K$237),$I$237/MAX(0.05,$G$237)))</f>
        <v/>
      </c>
      <c r="N237" t="n">
        <v>300</v>
      </c>
      <c r="O237">
        <f>OR(Vu_khi!$AG$237,Vu_khi!$AB$237&gt;0,Vu_khi!$AH$237,Vu_khi!$M$237="Bomb",Vu_khi!$M$237="Drone")</f>
        <v/>
      </c>
      <c r="P237" t="b">
        <v>0</v>
      </c>
      <c r="Q237">
        <f>AND(NOT(Vu_khi!$AJ$237),OR(Vu_khi!$AC$237="Ground",Vu_khi!$AC$237="All"))</f>
        <v/>
      </c>
      <c r="R237" t="b">
        <v>1</v>
      </c>
      <c r="S237">
        <f>AND(NOT(Vu_khi!$AJ$237),OR(Vu_khi!$AC$237="Air",Vu_khi!$AC$237="All"))</f>
        <v/>
      </c>
      <c r="T237" t="b">
        <v>1</v>
      </c>
      <c r="U237">
        <f>INDEX(Bang_sat_thuong!$B$2:$B$7,MATCH(Vu_khi!$K$237,Bang_sat_thuong!$A$2:$A$7,0))</f>
        <v/>
      </c>
      <c r="V237" t="n">
        <v>1</v>
      </c>
      <c r="W237">
        <f>INDEX(Bang_sat_thuong!$C$2:$C$7,MATCH(Vu_khi!$K$237,Bang_sat_thuong!$A$2:$A$7,0))</f>
        <v/>
      </c>
      <c r="X237" t="n">
        <v>0.3</v>
      </c>
      <c r="Y237">
        <f>IF(AND(Vu_khi!$AI$237,Vu_khi!$K$237="HighExplosive"),MAX(He_so_toan_cuc!$D$2,INDEX(Bang_sat_thuong!$D$2:$D$7,MATCH(Vu_khi!$K$237,Bang_sat_thuong!$A$2:$A$7,0))),INDEX(Bang_sat_thuong!$D$2:$D$7,MATCH(Vu_khi!$K$237,Bang_sat_thuong!$A$2:$A$7,0)))</f>
        <v/>
      </c>
      <c r="Z237" t="n">
        <v>0.6</v>
      </c>
      <c r="AA237">
        <f>INDEX(Bang_xuyen_giap!$C$2:$C$7,MIN(6,MAX(1,IF($O$237,MAX(1,2-(Vu_khi!$L$237-0)),2-(Vu_khi!$L$237-0))+1)))</f>
        <v/>
      </c>
      <c r="AB237" t="n">
        <v>1.2</v>
      </c>
      <c r="AC237">
        <f>INDEX(Bang_xuyen_giap!$C$2:$C$7,MIN(6,MAX(1,IF($O$237,MAX(1,2-(Vu_khi!$L$237-2)),2-(Vu_khi!$L$237-2))+1)))</f>
        <v/>
      </c>
      <c r="AD237" t="n">
        <v>1.2</v>
      </c>
      <c r="AE237">
        <f>INDEX(Bang_xuyen_giap!$C$2:$C$7,MIN(6,MAX(1,IF($O$237,MAX(1,2-(Vu_khi!$L$237-4)),2-(Vu_khi!$L$237-4))+1)))</f>
        <v/>
      </c>
      <c r="AF237" t="n">
        <v>1</v>
      </c>
      <c r="AG237">
        <f>INDEX(Bang_xuyen_giap!$C$2:$C$7,MIN(6,MAX(1,MAX(1,2-(Vu_khi!$L$237-0))+1)))</f>
        <v/>
      </c>
      <c r="AH237" t="n">
        <v>1</v>
      </c>
      <c r="AI237">
        <f>IF($Q$237,$M$237*$AA$237*$U$237,0)</f>
        <v/>
      </c>
      <c r="AJ237" t="n">
        <v>360</v>
      </c>
      <c r="AK237">
        <f>IF($Q$237,$M$237*$AC$237*$U$237,0)</f>
        <v/>
      </c>
      <c r="AL237" t="n">
        <v>360</v>
      </c>
      <c r="AM237">
        <f>IF($Q$237,$M$237*$AE$237*$U$237,0)</f>
        <v/>
      </c>
      <c r="AN237" t="n">
        <v>300</v>
      </c>
      <c r="AO237">
        <f>IF($Q$237,$M$237*$AC$237*$Y$237,0)</f>
        <v/>
      </c>
      <c r="AP237" t="n">
        <v>216</v>
      </c>
      <c r="AQ237">
        <f>IF($S$237,$M$237*$AG$237*$W$237,0)</f>
        <v/>
      </c>
      <c r="AR237" t="n">
        <v>90</v>
      </c>
      <c r="AS237">
        <f>IF(OR(Vu_khi!$M$237="Missile",Vu_khi!$M$237="Drone",AND(Vu_khi!$M$237="Rocket",OR(Vu_khi!$AM$237,Vu_khi!$D$237="guided")),Vu_khi!$AL$237,Vu_khi!$AK$237,Vu_khi!$X$237&lt;=0),FALSE,IF($B$237&gt;=0,$B$237&gt;=4,IF(Vu_khi!$M$237="Shell",Vu_khi!$AN$237&gt;=Canh_bao_vong!$D$10,IF(Vu_khi!$M$237="Bomb",Vu_khi!$AN$237&gt;=Canh_bao_vong!$D$3,IF(Vu_khi!$M$237="Rocket",Vu_khi!$AN$237&gt;=Canh_bao_vong!$D$13,FALSE)))))</f>
        <v/>
      </c>
      <c r="AT237" t="b">
        <v>0</v>
      </c>
      <c r="AU237">
        <f>IF(AND($B$237&lt;0,$AS$237),4,$B$237)</f>
        <v/>
      </c>
      <c r="AV237" t="n">
        <v>3</v>
      </c>
      <c r="AW237">
        <f>IF($AU$237&lt;4,0,MIN(MAX(0.5,Canh_bao_vong!$D$4),MAX(IF(Vu_khi!$C$237="cal_406",Canh_bao_vong!$D$7,IF($AU$237&gt;=5,Canh_bao_vong!$D$9,Canh_bao_vong!$D$8)),Canh_bao_vong!$D$2+MAX(0,Vu_khi!$X$237)/MAX(0.1,Canh_bao_vong!$D$5))))</f>
        <v/>
      </c>
      <c r="AX237" t="n">
        <v>0</v>
      </c>
      <c r="AY237" t="inlineStr"/>
      <c r="AZ237" t="inlineStr">
        <is>
          <t>ok</t>
        </is>
      </c>
      <c r="BA237" t="b">
        <v>1</v>
      </c>
      <c r="BB237" t="inlineStr">
        <is>
          <t>Assets/MachineBrigade/Resources/Data/balance.json: weapons[id=p26_icarus_main_ic_coil] (lớp B trên 01_chien_dau/Vu_khi)</t>
        </is>
      </c>
      <c r="BC237" t="inlineStr"/>
    </row>
    <row r="238">
      <c r="A238" t="inlineStr">
        <is>
          <t>p26_icarus_sec_orbital_laser</t>
        </is>
      </c>
      <c r="B238" t="n">
        <v>1</v>
      </c>
      <c r="C238">
        <f>IF(Vu_khi!$O$238="SIMULTANEOUS",MAX(1,Vu_khi!$N$238),1)</f>
        <v/>
      </c>
      <c r="D238" t="n">
        <v>1</v>
      </c>
      <c r="E238">
        <f>IF(Vu_khi!$S$238&gt;0,Vu_khi!$S$238,Vu_khi!$P$238*$C$238)</f>
        <v/>
      </c>
      <c r="F238" t="n">
        <v>1</v>
      </c>
      <c r="G238">
        <f>IF(Vu_khi!$S$238&gt;0,(Vu_khi!$S$238-1)*Vu_khi!$R$238+Vu_khi!$T$238,Vu_khi!$R$238+(Vu_khi!$P$238-1)*Vu_khi!$Q$238)</f>
        <v/>
      </c>
      <c r="H238" t="n">
        <v>0.1</v>
      </c>
      <c r="I238">
        <f>Vu_khi!$W$238*MAX(1,$E$238)</f>
        <v/>
      </c>
      <c r="J238" t="n">
        <v>40</v>
      </c>
      <c r="K238">
        <f>IF(Vu_khi!$V$238&gt;0,Vu_khi!$V$238,MIN(28,MAX(10,Vu_khi!$U$238*Vu_khi!$R$238*0.4)))</f>
        <v/>
      </c>
      <c r="L238" t="n">
        <v>10</v>
      </c>
      <c r="M238">
        <f>IF(Vu_khi!$W$238&lt;=0,0,IF(Vu_khi!$U$238&gt;0,$I$238*Vu_khi!$U$238/(MAX(0.05,$G$238)*Vu_khi!$U$238+$K$238),$I$238/MAX(0.05,$G$238)))</f>
        <v/>
      </c>
      <c r="N238" t="n">
        <v>400</v>
      </c>
      <c r="O238">
        <f>OR(Vu_khi!$AG$238,Vu_khi!$AB$238&gt;0,Vu_khi!$AH$238,Vu_khi!$M$238="Bomb",Vu_khi!$M$238="Drone")</f>
        <v/>
      </c>
      <c r="P238" t="b">
        <v>0</v>
      </c>
      <c r="Q238">
        <f>AND(NOT(Vu_khi!$AJ$238),OR(Vu_khi!$AC$238="Ground",Vu_khi!$AC$238="All"))</f>
        <v/>
      </c>
      <c r="R238" t="b">
        <v>1</v>
      </c>
      <c r="S238">
        <f>AND(NOT(Vu_khi!$AJ$238),OR(Vu_khi!$AC$238="Air",Vu_khi!$AC$238="All"))</f>
        <v/>
      </c>
      <c r="T238" t="b">
        <v>0</v>
      </c>
      <c r="U238">
        <f>INDEX(Bang_sat_thuong!$B$2:$B$7,MATCH(Vu_khi!$K$238,Bang_sat_thuong!$A$2:$A$7,0))</f>
        <v/>
      </c>
      <c r="V238" t="n">
        <v>1</v>
      </c>
      <c r="W238">
        <f>INDEX(Bang_sat_thuong!$C$2:$C$7,MATCH(Vu_khi!$K$238,Bang_sat_thuong!$A$2:$A$7,0))</f>
        <v/>
      </c>
      <c r="X238" t="n">
        <v>1.5</v>
      </c>
      <c r="Y238">
        <f>IF(AND(Vu_khi!$AI$238,Vu_khi!$K$238="HighExplosive"),MAX(He_so_toan_cuc!$D$2,INDEX(Bang_sat_thuong!$D$2:$D$7,MATCH(Vu_khi!$K$238,Bang_sat_thuong!$A$2:$A$7,0))),INDEX(Bang_sat_thuong!$D$2:$D$7,MATCH(Vu_khi!$K$238,Bang_sat_thuong!$A$2:$A$7,0)))</f>
        <v/>
      </c>
      <c r="Z238" t="n">
        <v>0.5</v>
      </c>
      <c r="AA238">
        <f>INDEX(Bang_xuyen_giap!$C$2:$C$7,MIN(6,MAX(1,IF($O$238,MAX(1,2-(Vu_khi!$L$238-0)),2-(Vu_khi!$L$238-0))+1)))</f>
        <v/>
      </c>
      <c r="AB238" t="n">
        <v>1.2</v>
      </c>
      <c r="AC238">
        <f>INDEX(Bang_xuyen_giap!$C$2:$C$7,MIN(6,MAX(1,IF($O$238,MAX(1,2-(Vu_khi!$L$238-2)),2-(Vu_khi!$L$238-2))+1)))</f>
        <v/>
      </c>
      <c r="AD238" t="n">
        <v>1.2</v>
      </c>
      <c r="AE238">
        <f>INDEX(Bang_xuyen_giap!$C$2:$C$7,MIN(6,MAX(1,IF($O$238,MAX(1,2-(Vu_khi!$L$238-4)),2-(Vu_khi!$L$238-4))+1)))</f>
        <v/>
      </c>
      <c r="AF238" t="n">
        <v>0.85</v>
      </c>
      <c r="AG238">
        <f>INDEX(Bang_xuyen_giap!$C$2:$C$7,MIN(6,MAX(1,MAX(1,2-(Vu_khi!$L$238-0))+1)))</f>
        <v/>
      </c>
      <c r="AH238" t="n">
        <v>1</v>
      </c>
      <c r="AI238">
        <f>IF($Q$238,$M$238*$AA$238*$U$238,0)</f>
        <v/>
      </c>
      <c r="AJ238" t="n">
        <v>480</v>
      </c>
      <c r="AK238">
        <f>IF($Q$238,$M$238*$AC$238*$U$238,0)</f>
        <v/>
      </c>
      <c r="AL238" t="n">
        <v>480</v>
      </c>
      <c r="AM238">
        <f>IF($Q$238,$M$238*$AE$238*$U$238,0)</f>
        <v/>
      </c>
      <c r="AN238" t="n">
        <v>340</v>
      </c>
      <c r="AO238">
        <f>IF($Q$238,$M$238*$AC$238*$Y$238,0)</f>
        <v/>
      </c>
      <c r="AP238" t="n">
        <v>240</v>
      </c>
      <c r="AQ238">
        <f>IF($S$238,$M$238*$AG$238*$W$238,0)</f>
        <v/>
      </c>
      <c r="AR238" t="n">
        <v>0</v>
      </c>
      <c r="AS238">
        <f>IF(OR(Vu_khi!$M$238="Missile",Vu_khi!$M$238="Drone",AND(Vu_khi!$M$238="Rocket",OR(Vu_khi!$AM$238,Vu_khi!$D$238="guided")),Vu_khi!$AL$238,Vu_khi!$AK$238,Vu_khi!$X$238&lt;=0),FALSE,IF($B$238&gt;=0,$B$238&gt;=4,IF(Vu_khi!$M$238="Shell",Vu_khi!$AN$238&gt;=Canh_bao_vong!$D$10,IF(Vu_khi!$M$238="Bomb",Vu_khi!$AN$238&gt;=Canh_bao_vong!$D$3,IF(Vu_khi!$M$238="Rocket",Vu_khi!$AN$238&gt;=Canh_bao_vong!$D$13,FALSE)))))</f>
        <v/>
      </c>
      <c r="AT238" t="b">
        <v>0</v>
      </c>
      <c r="AU238">
        <f>IF(AND($B$238&lt;0,$AS$238),4,$B$238)</f>
        <v/>
      </c>
      <c r="AV238" t="n">
        <v>1</v>
      </c>
      <c r="AW238">
        <f>IF($AU$238&lt;4,0,MIN(MAX(0.5,Canh_bao_vong!$D$4),MAX(IF(Vu_khi!$C$238="cal_406",Canh_bao_vong!$D$7,IF($AU$238&gt;=5,Canh_bao_vong!$D$9,Canh_bao_vong!$D$8)),Canh_bao_vong!$D$2+MAX(0,Vu_khi!$X$238)/MAX(0.1,Canh_bao_vong!$D$5))))</f>
        <v/>
      </c>
      <c r="AX238" t="n">
        <v>0</v>
      </c>
      <c r="AY238" t="inlineStr"/>
      <c r="AZ238" t="inlineStr">
        <is>
          <t>ok</t>
        </is>
      </c>
      <c r="BA238" t="b">
        <v>1</v>
      </c>
      <c r="BB238" t="inlineStr">
        <is>
          <t>Assets/MachineBrigade/Resources/Data/balance.json: weapons[id=p26_icarus_sec_orbital_laser] (lớp B trên 01_chien_dau/Vu_khi)</t>
        </is>
      </c>
      <c r="BC238" t="inlineStr"/>
    </row>
    <row r="239">
      <c r="A239" t="inlineStr">
        <is>
          <t>p26_ixion_125</t>
        </is>
      </c>
      <c r="B239" t="n">
        <v>3</v>
      </c>
      <c r="C239">
        <f>IF(Vu_khi!$O$239="SIMULTANEOUS",MAX(1,Vu_khi!$N$239),1)</f>
        <v/>
      </c>
      <c r="D239" t="n">
        <v>1</v>
      </c>
      <c r="E239">
        <f>IF(Vu_khi!$S$239&gt;0,Vu_khi!$S$239,Vu_khi!$P$239*$C$239)</f>
        <v/>
      </c>
      <c r="F239" t="n">
        <v>1</v>
      </c>
      <c r="G239">
        <f>IF(Vu_khi!$S$239&gt;0,(Vu_khi!$S$239-1)*Vu_khi!$R$239+Vu_khi!$T$239,Vu_khi!$R$239+(Vu_khi!$P$239-1)*Vu_khi!$Q$239)</f>
        <v/>
      </c>
      <c r="H239" t="n">
        <v>7.5</v>
      </c>
      <c r="I239">
        <f>Vu_khi!$W$239*MAX(1,$E$239)</f>
        <v/>
      </c>
      <c r="J239" t="n">
        <v>400</v>
      </c>
      <c r="K239">
        <f>IF(Vu_khi!$V$239&gt;0,Vu_khi!$V$239,MIN(28,MAX(10,Vu_khi!$U$239*Vu_khi!$R$239*0.4)))</f>
        <v/>
      </c>
      <c r="L239" t="n">
        <v>10</v>
      </c>
      <c r="M239">
        <f>IF(Vu_khi!$W$239&lt;=0,0,IF(Vu_khi!$U$239&gt;0,$I$239*Vu_khi!$U$239/(MAX(0.05,$G$239)*Vu_khi!$U$239+$K$239),$I$239/MAX(0.05,$G$239)))</f>
        <v/>
      </c>
      <c r="N239" t="n">
        <v>53.33333333333334</v>
      </c>
      <c r="O239">
        <f>OR(Vu_khi!$AG$239,Vu_khi!$AB$239&gt;0,Vu_khi!$AH$239,Vu_khi!$M$239="Bomb",Vu_khi!$M$239="Drone")</f>
        <v/>
      </c>
      <c r="P239" t="b">
        <v>0</v>
      </c>
      <c r="Q239">
        <f>AND(NOT(Vu_khi!$AJ$239),OR(Vu_khi!$AC$239="Ground",Vu_khi!$AC$239="All"))</f>
        <v/>
      </c>
      <c r="R239" t="b">
        <v>1</v>
      </c>
      <c r="S239">
        <f>AND(NOT(Vu_khi!$AJ$239),OR(Vu_khi!$AC$239="Air",Vu_khi!$AC$239="All"))</f>
        <v/>
      </c>
      <c r="T239" t="b">
        <v>0</v>
      </c>
      <c r="U239">
        <f>INDEX(Bang_sat_thuong!$B$2:$B$7,MATCH(Vu_khi!$K$239,Bang_sat_thuong!$A$2:$A$7,0))</f>
        <v/>
      </c>
      <c r="V239" t="n">
        <v>1</v>
      </c>
      <c r="W239">
        <f>INDEX(Bang_sat_thuong!$C$2:$C$7,MATCH(Vu_khi!$K$239,Bang_sat_thuong!$A$2:$A$7,0))</f>
        <v/>
      </c>
      <c r="X239" t="n">
        <v>0.3</v>
      </c>
      <c r="Y239">
        <f>IF(AND(Vu_khi!$AI$239,Vu_khi!$K$239="HighExplosive"),MAX(He_so_toan_cuc!$D$2,INDEX(Bang_sat_thuong!$D$2:$D$7,MATCH(Vu_khi!$K$239,Bang_sat_thuong!$A$2:$A$7,0))),INDEX(Bang_sat_thuong!$D$2:$D$7,MATCH(Vu_khi!$K$239,Bang_sat_thuong!$A$2:$A$7,0)))</f>
        <v/>
      </c>
      <c r="Z239" t="n">
        <v>0.6</v>
      </c>
      <c r="AA239">
        <f>INDEX(Bang_xuyen_giap!$C$2:$C$7,MIN(6,MAX(1,IF($O$239,MAX(1,2-(Vu_khi!$L$239-0)),2-(Vu_khi!$L$239-0))+1)))</f>
        <v/>
      </c>
      <c r="AB239" t="n">
        <v>1.2</v>
      </c>
      <c r="AC239">
        <f>INDEX(Bang_xuyen_giap!$C$2:$C$7,MIN(6,MAX(1,IF($O$239,MAX(1,2-(Vu_khi!$L$239-2)),2-(Vu_khi!$L$239-2))+1)))</f>
        <v/>
      </c>
      <c r="AD239" t="n">
        <v>1.2</v>
      </c>
      <c r="AE239">
        <f>INDEX(Bang_xuyen_giap!$C$2:$C$7,MIN(6,MAX(1,IF($O$239,MAX(1,2-(Vu_khi!$L$239-4)),2-(Vu_khi!$L$239-4))+1)))</f>
        <v/>
      </c>
      <c r="AF239" t="n">
        <v>0.85</v>
      </c>
      <c r="AG239">
        <f>INDEX(Bang_xuyen_giap!$C$2:$C$7,MIN(6,MAX(1,MAX(1,2-(Vu_khi!$L$239-0))+1)))</f>
        <v/>
      </c>
      <c r="AH239" t="n">
        <v>1</v>
      </c>
      <c r="AI239">
        <f>IF($Q$239,$M$239*$AA$239*$U$239,0)</f>
        <v/>
      </c>
      <c r="AJ239" t="n">
        <v>64</v>
      </c>
      <c r="AK239">
        <f>IF($Q$239,$M$239*$AC$239*$U$239,0)</f>
        <v/>
      </c>
      <c r="AL239" t="n">
        <v>64</v>
      </c>
      <c r="AM239">
        <f>IF($Q$239,$M$239*$AE$239*$U$239,0)</f>
        <v/>
      </c>
      <c r="AN239" t="n">
        <v>45.33333333333334</v>
      </c>
      <c r="AO239">
        <f>IF($Q$239,$M$239*$AC$239*$Y$239,0)</f>
        <v/>
      </c>
      <c r="AP239" t="n">
        <v>38.4</v>
      </c>
      <c r="AQ239">
        <f>IF($S$239,$M$239*$AG$239*$W$239,0)</f>
        <v/>
      </c>
      <c r="AR239" t="n">
        <v>0</v>
      </c>
      <c r="AS239">
        <f>IF(OR(Vu_khi!$M$239="Missile",Vu_khi!$M$239="Drone",AND(Vu_khi!$M$239="Rocket",OR(Vu_khi!$AM$239,Vu_khi!$D$239="guided")),Vu_khi!$AL$239,Vu_khi!$AK$239,Vu_khi!$X$239&lt;=0),FALSE,IF($B$239&gt;=0,$B$239&gt;=4,IF(Vu_khi!$M$239="Shell",Vu_khi!$AN$239&gt;=Canh_bao_vong!$D$10,IF(Vu_khi!$M$239="Bomb",Vu_khi!$AN$239&gt;=Canh_bao_vong!$D$3,IF(Vu_khi!$M$239="Rocket",Vu_khi!$AN$239&gt;=Canh_bao_vong!$D$13,FALSE)))))</f>
        <v/>
      </c>
      <c r="AT239" t="b">
        <v>0</v>
      </c>
      <c r="AU239">
        <f>IF(AND($B$239&lt;0,$AS$239),4,$B$239)</f>
        <v/>
      </c>
      <c r="AV239" t="n">
        <v>3</v>
      </c>
      <c r="AW239">
        <f>IF($AU$239&lt;4,0,MIN(MAX(0.5,Canh_bao_vong!$D$4),MAX(IF(Vu_khi!$C$239="cal_406",Canh_bao_vong!$D$7,IF($AU$239&gt;=5,Canh_bao_vong!$D$9,Canh_bao_vong!$D$8)),Canh_bao_vong!$D$2+MAX(0,Vu_khi!$X$239)/MAX(0.1,Canh_bao_vong!$D$5))))</f>
        <v/>
      </c>
      <c r="AX239" t="n">
        <v>0</v>
      </c>
      <c r="AY239" t="n">
        <v>0.7</v>
      </c>
      <c r="AZ239" t="inlineStr">
        <is>
          <t>ok</t>
        </is>
      </c>
      <c r="BA239" t="b">
        <v>1</v>
      </c>
      <c r="BB239" t="inlineStr">
        <is>
          <t>Assets/MachineBrigade/Resources/Data/balance.json: weapons[id=p26_ixion_125] (lớp B trên 01_chien_dau/Vu_khi)</t>
        </is>
      </c>
      <c r="BC239" t="inlineStr"/>
    </row>
    <row r="240">
      <c r="A240" t="inlineStr">
        <is>
          <t>p26_ixion_125_he</t>
        </is>
      </c>
      <c r="B240" t="n">
        <v>3</v>
      </c>
      <c r="C240">
        <f>IF(Vu_khi!$O$240="SIMULTANEOUS",MAX(1,Vu_khi!$N$240),1)</f>
        <v/>
      </c>
      <c r="D240" t="n">
        <v>1</v>
      </c>
      <c r="E240">
        <f>IF(Vu_khi!$S$240&gt;0,Vu_khi!$S$240,Vu_khi!$P$240*$C$240)</f>
        <v/>
      </c>
      <c r="F240" t="n">
        <v>1</v>
      </c>
      <c r="G240">
        <f>IF(Vu_khi!$S$240&gt;0,(Vu_khi!$S$240-1)*Vu_khi!$R$240+Vu_khi!$T$240,Vu_khi!$R$240+(Vu_khi!$P$240-1)*Vu_khi!$Q$240)</f>
        <v/>
      </c>
      <c r="H240" t="n">
        <v>7.5</v>
      </c>
      <c r="I240">
        <f>Vu_khi!$W$240*MAX(1,$E$240)</f>
        <v/>
      </c>
      <c r="J240" t="n">
        <v>400.1</v>
      </c>
      <c r="K240">
        <f>IF(Vu_khi!$V$240&gt;0,Vu_khi!$V$240,MIN(28,MAX(10,Vu_khi!$U$240*Vu_khi!$R$240*0.4)))</f>
        <v/>
      </c>
      <c r="L240" t="n">
        <v>10</v>
      </c>
      <c r="M240">
        <f>IF(Vu_khi!$W$240&lt;=0,0,IF(Vu_khi!$U$240&gt;0,$I$240*Vu_khi!$U$240/(MAX(0.05,$G$240)*Vu_khi!$U$240+$K$240),$I$240/MAX(0.05,$G$240)))</f>
        <v/>
      </c>
      <c r="N240" t="n">
        <v>53.34666666666667</v>
      </c>
      <c r="O240">
        <f>OR(Vu_khi!$AG$240,Vu_khi!$AB$240&gt;0,Vu_khi!$AH$240,Vu_khi!$M$240="Bomb",Vu_khi!$M$240="Drone")</f>
        <v/>
      </c>
      <c r="P240" t="b">
        <v>0</v>
      </c>
      <c r="Q240">
        <f>AND(NOT(Vu_khi!$AJ$240),OR(Vu_khi!$AC$240="Ground",Vu_khi!$AC$240="All"))</f>
        <v/>
      </c>
      <c r="R240" t="b">
        <v>1</v>
      </c>
      <c r="S240">
        <f>AND(NOT(Vu_khi!$AJ$240),OR(Vu_khi!$AC$240="Air",Vu_khi!$AC$240="All"))</f>
        <v/>
      </c>
      <c r="T240" t="b">
        <v>0</v>
      </c>
      <c r="U240">
        <f>INDEX(Bang_sat_thuong!$B$2:$B$7,MATCH(Vu_khi!$K$240,Bang_sat_thuong!$A$2:$A$7,0))</f>
        <v/>
      </c>
      <c r="V240" t="n">
        <v>1</v>
      </c>
      <c r="W240">
        <f>INDEX(Bang_sat_thuong!$C$2:$C$7,MATCH(Vu_khi!$K$240,Bang_sat_thuong!$A$2:$A$7,0))</f>
        <v/>
      </c>
      <c r="X240" t="n">
        <v>0</v>
      </c>
      <c r="Y240">
        <f>IF(AND(Vu_khi!$AI$240,Vu_khi!$K$240="HighExplosive"),MAX(He_so_toan_cuc!$D$2,INDEX(Bang_sat_thuong!$D$2:$D$7,MATCH(Vu_khi!$K$240,Bang_sat_thuong!$A$2:$A$7,0))),INDEX(Bang_sat_thuong!$D$2:$D$7,MATCH(Vu_khi!$K$240,Bang_sat_thuong!$A$2:$A$7,0)))</f>
        <v/>
      </c>
      <c r="Z240" t="n">
        <v>1.5</v>
      </c>
      <c r="AA240">
        <f>INDEX(Bang_xuyen_giap!$C$2:$C$7,MIN(6,MAX(1,IF($O$240,MAX(1,2-(Vu_khi!$L$240-0)),2-(Vu_khi!$L$240-0))+1)))</f>
        <v/>
      </c>
      <c r="AB240" t="n">
        <v>1.2</v>
      </c>
      <c r="AC240">
        <f>INDEX(Bang_xuyen_giap!$C$2:$C$7,MIN(6,MAX(1,IF($O$240,MAX(1,2-(Vu_khi!$L$240-2)),2-(Vu_khi!$L$240-2))+1)))</f>
        <v/>
      </c>
      <c r="AD240" t="n">
        <v>1</v>
      </c>
      <c r="AE240">
        <f>INDEX(Bang_xuyen_giap!$C$2:$C$7,MIN(6,MAX(1,IF($O$240,MAX(1,2-(Vu_khi!$L$240-4)),2-(Vu_khi!$L$240-4))+1)))</f>
        <v/>
      </c>
      <c r="AF240" t="n">
        <v>0.5</v>
      </c>
      <c r="AG240">
        <f>INDEX(Bang_xuyen_giap!$C$2:$C$7,MIN(6,MAX(1,MAX(1,2-(Vu_khi!$L$240-0))+1)))</f>
        <v/>
      </c>
      <c r="AH240" t="n">
        <v>1</v>
      </c>
      <c r="AI240">
        <f>IF($Q$240,$M$240*$AA$240*$U$240,0)</f>
        <v/>
      </c>
      <c r="AJ240" t="n">
        <v>64.01600000000001</v>
      </c>
      <c r="AK240">
        <f>IF($Q$240,$M$240*$AC$240*$U$240,0)</f>
        <v/>
      </c>
      <c r="AL240" t="n">
        <v>53.34666666666667</v>
      </c>
      <c r="AM240">
        <f>IF($Q$240,$M$240*$AE$240*$U$240,0)</f>
        <v/>
      </c>
      <c r="AN240" t="n">
        <v>26.67333333333334</v>
      </c>
      <c r="AO240">
        <f>IF($Q$240,$M$240*$AC$240*$Y$240,0)</f>
        <v/>
      </c>
      <c r="AP240" t="n">
        <v>80.02000000000001</v>
      </c>
      <c r="AQ240">
        <f>IF($S$240,$M$240*$AG$240*$W$240,0)</f>
        <v/>
      </c>
      <c r="AR240" t="n">
        <v>0</v>
      </c>
      <c r="AS240">
        <f>IF(OR(Vu_khi!$M$240="Missile",Vu_khi!$M$240="Drone",AND(Vu_khi!$M$240="Rocket",OR(Vu_khi!$AM$240,Vu_khi!$D$240="guided")),Vu_khi!$AL$240,Vu_khi!$AK$240,Vu_khi!$X$240&lt;=0),FALSE,IF($B$240&gt;=0,$B$240&gt;=4,IF(Vu_khi!$M$240="Shell",Vu_khi!$AN$240&gt;=Canh_bao_vong!$D$10,IF(Vu_khi!$M$240="Bomb",Vu_khi!$AN$240&gt;=Canh_bao_vong!$D$3,IF(Vu_khi!$M$240="Rocket",Vu_khi!$AN$240&gt;=Canh_bao_vong!$D$13,FALSE)))))</f>
        <v/>
      </c>
      <c r="AT240" t="b">
        <v>0</v>
      </c>
      <c r="AU240">
        <f>IF(AND($B$240&lt;0,$AS$240),4,$B$240)</f>
        <v/>
      </c>
      <c r="AV240" t="n">
        <v>3</v>
      </c>
      <c r="AW240">
        <f>IF($AU$240&lt;4,0,MIN(MAX(0.5,Canh_bao_vong!$D$4),MAX(IF(Vu_khi!$C$240="cal_406",Canh_bao_vong!$D$7,IF($AU$240&gt;=5,Canh_bao_vong!$D$9,Canh_bao_vong!$D$8)),Canh_bao_vong!$D$2+MAX(0,Vu_khi!$X$240)/MAX(0.1,Canh_bao_vong!$D$5))))</f>
        <v/>
      </c>
      <c r="AX240" t="n">
        <v>0</v>
      </c>
      <c r="BB240" t="inlineStr">
        <is>
          <t>Assets/MachineBrigade/Resources/Data/balance.json: weapons[id=p26_ixion_125_he] (lớp B trên 01_chien_dau/Vu_khi)</t>
        </is>
      </c>
      <c r="BC240" t="inlineStr"/>
    </row>
    <row r="241">
      <c r="A241" t="inlineStr">
        <is>
          <t>p26_ixion_mg</t>
        </is>
      </c>
      <c r="B241" t="n">
        <v>0</v>
      </c>
      <c r="C241">
        <f>IF(Vu_khi!$O$241="SIMULTANEOUS",MAX(1,Vu_khi!$N$241),1)</f>
        <v/>
      </c>
      <c r="D241" t="n">
        <v>1</v>
      </c>
      <c r="E241">
        <f>IF(Vu_khi!$S$241&gt;0,Vu_khi!$S$241,Vu_khi!$P$241*$C$241)</f>
        <v/>
      </c>
      <c r="F241" t="n">
        <v>100</v>
      </c>
      <c r="G241">
        <f>IF(Vu_khi!$S$241&gt;0,(Vu_khi!$S$241-1)*Vu_khi!$R$241+Vu_khi!$T$241,Vu_khi!$R$241+(Vu_khi!$P$241-1)*Vu_khi!$Q$241)</f>
        <v/>
      </c>
      <c r="H241" t="n">
        <v>13.2467</v>
      </c>
      <c r="I241">
        <f>Vu_khi!$W$241*MAX(1,$E$241)</f>
        <v/>
      </c>
      <c r="J241" t="n">
        <v>1500</v>
      </c>
      <c r="K241">
        <f>IF(Vu_khi!$V$241&gt;0,Vu_khi!$V$241,MIN(28,MAX(10,Vu_khi!$U$241*Vu_khi!$R$241*0.4)))</f>
        <v/>
      </c>
      <c r="L241" t="n">
        <v>10</v>
      </c>
      <c r="M241">
        <f>IF(Vu_khi!$W$241&lt;=0,0,IF(Vu_khi!$U$241&gt;0,$I$241*Vu_khi!$U$241/(MAX(0.05,$G$241)*Vu_khi!$U$241+$K$241),$I$241/MAX(0.05,$G$241)))</f>
        <v/>
      </c>
      <c r="N241" t="n">
        <v>113.235749280953</v>
      </c>
      <c r="O241">
        <f>OR(Vu_khi!$AG$241,Vu_khi!$AB$241&gt;0,Vu_khi!$AH$241,Vu_khi!$M$241="Bomb",Vu_khi!$M$241="Drone")</f>
        <v/>
      </c>
      <c r="P241" t="b">
        <v>0</v>
      </c>
      <c r="Q241">
        <f>AND(NOT(Vu_khi!$AJ$241),OR(Vu_khi!$AC$241="Ground",Vu_khi!$AC$241="All"))</f>
        <v/>
      </c>
      <c r="R241" t="b">
        <v>1</v>
      </c>
      <c r="S241">
        <f>AND(NOT(Vu_khi!$AJ$241),OR(Vu_khi!$AC$241="Air",Vu_khi!$AC$241="All"))</f>
        <v/>
      </c>
      <c r="T241" t="b">
        <v>1</v>
      </c>
      <c r="U241">
        <f>INDEX(Bang_sat_thuong!$B$2:$B$7,MATCH(Vu_khi!$K$241,Bang_sat_thuong!$A$2:$A$7,0))</f>
        <v/>
      </c>
      <c r="V241" t="n">
        <v>1</v>
      </c>
      <c r="W241">
        <f>INDEX(Bang_sat_thuong!$C$2:$C$7,MATCH(Vu_khi!$K$241,Bang_sat_thuong!$A$2:$A$7,0))</f>
        <v/>
      </c>
      <c r="X241" t="n">
        <v>0.3</v>
      </c>
      <c r="Y241">
        <f>IF(AND(Vu_khi!$AI$241,Vu_khi!$K$241="HighExplosive"),MAX(He_so_toan_cuc!$D$2,INDEX(Bang_sat_thuong!$D$2:$D$7,MATCH(Vu_khi!$K$241,Bang_sat_thuong!$A$2:$A$7,0))),INDEX(Bang_sat_thuong!$D$2:$D$7,MATCH(Vu_khi!$K$241,Bang_sat_thuong!$A$2:$A$7,0)))</f>
        <v/>
      </c>
      <c r="Z241" t="n">
        <v>0.6</v>
      </c>
      <c r="AA241">
        <f>INDEX(Bang_xuyen_giap!$C$2:$C$7,MIN(6,MAX(1,IF($O$241,MAX(1,2-(Vu_khi!$L$241-0)),2-(Vu_khi!$L$241-0))+1)))</f>
        <v/>
      </c>
      <c r="AB241" t="n">
        <v>1</v>
      </c>
      <c r="AC241">
        <f>INDEX(Bang_xuyen_giap!$C$2:$C$7,MIN(6,MAX(1,IF($O$241,MAX(1,2-(Vu_khi!$L$241-2)),2-(Vu_khi!$L$241-2))+1)))</f>
        <v/>
      </c>
      <c r="AD241" t="n">
        <v>0.5</v>
      </c>
      <c r="AE241">
        <f>INDEX(Bang_xuyen_giap!$C$2:$C$7,MIN(6,MAX(1,IF($O$241,MAX(1,2-(Vu_khi!$L$241-4)),2-(Vu_khi!$L$241-4))+1)))</f>
        <v/>
      </c>
      <c r="AF241" t="n">
        <v>0.1</v>
      </c>
      <c r="AG241">
        <f>INDEX(Bang_xuyen_giap!$C$2:$C$7,MIN(6,MAX(1,MAX(1,2-(Vu_khi!$L$241-0))+1)))</f>
        <v/>
      </c>
      <c r="AH241" t="n">
        <v>1</v>
      </c>
      <c r="AI241">
        <f>IF($Q$241,$M$241*$AA$241*$U$241,0)</f>
        <v/>
      </c>
      <c r="AJ241" t="n">
        <v>113.235749280953</v>
      </c>
      <c r="AK241">
        <f>IF($Q$241,$M$241*$AC$241*$U$241,0)</f>
        <v/>
      </c>
      <c r="AL241" t="n">
        <v>56.61787464047649</v>
      </c>
      <c r="AM241">
        <f>IF($Q$241,$M$241*$AE$241*$U$241,0)</f>
        <v/>
      </c>
      <c r="AN241" t="n">
        <v>11.3235749280953</v>
      </c>
      <c r="AO241">
        <f>IF($Q$241,$M$241*$AC$241*$Y$241,0)</f>
        <v/>
      </c>
      <c r="AP241" t="n">
        <v>33.97072478428589</v>
      </c>
      <c r="AQ241">
        <f>IF($S$241,$M$241*$AG$241*$W$241,0)</f>
        <v/>
      </c>
      <c r="AR241" t="n">
        <v>33.97072478428589</v>
      </c>
      <c r="AS241">
        <f>IF(OR(Vu_khi!$M$241="Missile",Vu_khi!$M$241="Drone",AND(Vu_khi!$M$241="Rocket",OR(Vu_khi!$AM$241,Vu_khi!$D$241="guided")),Vu_khi!$AL$241,Vu_khi!$AK$241,Vu_khi!$X$241&lt;=0),FALSE,IF($B$241&gt;=0,$B$241&gt;=4,IF(Vu_khi!$M$241="Shell",Vu_khi!$AN$241&gt;=Canh_bao_vong!$D$10,IF(Vu_khi!$M$241="Bomb",Vu_khi!$AN$241&gt;=Canh_bao_vong!$D$3,IF(Vu_khi!$M$241="Rocket",Vu_khi!$AN$241&gt;=Canh_bao_vong!$D$13,FALSE)))))</f>
        <v/>
      </c>
      <c r="AT241" t="b">
        <v>0</v>
      </c>
      <c r="AU241">
        <f>IF(AND($B$241&lt;0,$AS$241),4,$B$241)</f>
        <v/>
      </c>
      <c r="AV241" t="n">
        <v>0</v>
      </c>
      <c r="AW241">
        <f>IF($AU$241&lt;4,0,MIN(MAX(0.5,Canh_bao_vong!$D$4),MAX(IF(Vu_khi!$C$241="cal_406",Canh_bao_vong!$D$7,IF($AU$241&gt;=5,Canh_bao_vong!$D$9,Canh_bao_vong!$D$8)),Canh_bao_vong!$D$2+MAX(0,Vu_khi!$X$241)/MAX(0.1,Canh_bao_vong!$D$5))))</f>
        <v/>
      </c>
      <c r="AX241" t="n">
        <v>0</v>
      </c>
      <c r="AY241" t="n">
        <v>1.766227</v>
      </c>
      <c r="AZ241" t="inlineStr">
        <is>
          <t>ok</t>
        </is>
      </c>
      <c r="BA241" t="b">
        <v>1</v>
      </c>
      <c r="BB241" t="inlineStr">
        <is>
          <t>Assets/MachineBrigade/Resources/Data/balance.json: weapons[id=p26_ixion_mg] (lớp B trên 01_chien_dau/Vu_khi)</t>
        </is>
      </c>
      <c r="BC241" t="inlineStr"/>
    </row>
    <row r="242">
      <c r="A242" t="inlineStr">
        <is>
          <t>p26_jotunn_close_boss_flak</t>
        </is>
      </c>
      <c r="B242" t="n">
        <v>1</v>
      </c>
      <c r="C242">
        <f>IF(Vu_khi!$O$242="SIMULTANEOUS",MAX(1,Vu_khi!$N$242),1)</f>
        <v/>
      </c>
      <c r="D242" t="n">
        <v>1</v>
      </c>
      <c r="E242">
        <f>IF(Vu_khi!$S$242&gt;0,Vu_khi!$S$242,Vu_khi!$P$242*$C$242)</f>
        <v/>
      </c>
      <c r="F242" t="n">
        <v>41</v>
      </c>
      <c r="G242">
        <f>IF(Vu_khi!$S$242&gt;0,(Vu_khi!$S$242-1)*Vu_khi!$R$242+Vu_khi!$T$242,Vu_khi!$R$242+(Vu_khi!$P$242-1)*Vu_khi!$Q$242)</f>
        <v/>
      </c>
      <c r="H242" t="n">
        <v>5.38</v>
      </c>
      <c r="I242">
        <f>Vu_khi!$W$242*MAX(1,$E$242)</f>
        <v/>
      </c>
      <c r="J242" t="n">
        <v>1025</v>
      </c>
      <c r="K242">
        <f>IF(Vu_khi!$V$242&gt;0,Vu_khi!$V$242,MIN(28,MAX(10,Vu_khi!$U$242*Vu_khi!$R$242*0.4)))</f>
        <v/>
      </c>
      <c r="L242" t="n">
        <v>10</v>
      </c>
      <c r="M242">
        <f>IF(Vu_khi!$W$242&lt;=0,0,IF(Vu_khi!$U$242&gt;0,$I$242*Vu_khi!$U$242/(MAX(0.05,$G$242)*Vu_khi!$U$242+$K$242),$I$242/MAX(0.05,$G$242)))</f>
        <v/>
      </c>
      <c r="N242" t="n">
        <v>190.5204460966543</v>
      </c>
      <c r="O242">
        <f>OR(Vu_khi!$AG$242,Vu_khi!$AB$242&gt;0,Vu_khi!$AH$242,Vu_khi!$M$242="Bomb",Vu_khi!$M$242="Drone")</f>
        <v/>
      </c>
      <c r="P242" t="b">
        <v>0</v>
      </c>
      <c r="Q242">
        <f>AND(NOT(Vu_khi!$AJ$242),OR(Vu_khi!$AC$242="Ground",Vu_khi!$AC$242="All"))</f>
        <v/>
      </c>
      <c r="R242" t="b">
        <v>1</v>
      </c>
      <c r="S242">
        <f>AND(NOT(Vu_khi!$AJ$242),OR(Vu_khi!$AC$242="Air",Vu_khi!$AC$242="All"))</f>
        <v/>
      </c>
      <c r="T242" t="b">
        <v>1</v>
      </c>
      <c r="U242">
        <f>INDEX(Bang_sat_thuong!$B$2:$B$7,MATCH(Vu_khi!$K$242,Bang_sat_thuong!$A$2:$A$7,0))</f>
        <v/>
      </c>
      <c r="V242" t="n">
        <v>0.5</v>
      </c>
      <c r="W242">
        <f>INDEX(Bang_sat_thuong!$C$2:$C$7,MATCH(Vu_khi!$K$242,Bang_sat_thuong!$A$2:$A$7,0))</f>
        <v/>
      </c>
      <c r="X242" t="n">
        <v>1.3</v>
      </c>
      <c r="Y242">
        <f>IF(AND(Vu_khi!$AI$242,Vu_khi!$K$242="HighExplosive"),MAX(He_so_toan_cuc!$D$2,INDEX(Bang_sat_thuong!$D$2:$D$7,MATCH(Vu_khi!$K$242,Bang_sat_thuong!$A$2:$A$7,0))),INDEX(Bang_sat_thuong!$D$2:$D$7,MATCH(Vu_khi!$K$242,Bang_sat_thuong!$A$2:$A$7,0)))</f>
        <v/>
      </c>
      <c r="Z242" t="n">
        <v>0.1</v>
      </c>
      <c r="AA242">
        <f>INDEX(Bang_xuyen_giap!$C$2:$C$7,MIN(6,MAX(1,IF($O$242,MAX(1,2-(Vu_khi!$L$242-0)),2-(Vu_khi!$L$242-0))+1)))</f>
        <v/>
      </c>
      <c r="AB242" t="n">
        <v>1.2</v>
      </c>
      <c r="AC242">
        <f>INDEX(Bang_xuyen_giap!$C$2:$C$7,MIN(6,MAX(1,IF($O$242,MAX(1,2-(Vu_khi!$L$242-2)),2-(Vu_khi!$L$242-2))+1)))</f>
        <v/>
      </c>
      <c r="AD242" t="n">
        <v>0.85</v>
      </c>
      <c r="AE242">
        <f>INDEX(Bang_xuyen_giap!$C$2:$C$7,MIN(6,MAX(1,IF($O$242,MAX(1,2-(Vu_khi!$L$242-4)),2-(Vu_khi!$L$242-4))+1)))</f>
        <v/>
      </c>
      <c r="AF242" t="n">
        <v>0.25</v>
      </c>
      <c r="AG242">
        <f>INDEX(Bang_xuyen_giap!$C$2:$C$7,MIN(6,MAX(1,MAX(1,2-(Vu_khi!$L$242-0))+1)))</f>
        <v/>
      </c>
      <c r="AH242" t="n">
        <v>1</v>
      </c>
      <c r="AI242">
        <f>IF($Q$242,$M$242*$AA$242*$U$242,0)</f>
        <v/>
      </c>
      <c r="AJ242" t="n">
        <v>114.3122676579926</v>
      </c>
      <c r="AK242">
        <f>IF($Q$242,$M$242*$AC$242*$U$242,0)</f>
        <v/>
      </c>
      <c r="AL242" t="n">
        <v>80.97118959107806</v>
      </c>
      <c r="AM242">
        <f>IF($Q$242,$M$242*$AE$242*$U$242,0)</f>
        <v/>
      </c>
      <c r="AN242" t="n">
        <v>23.81505576208178</v>
      </c>
      <c r="AO242">
        <f>IF($Q$242,$M$242*$AC$242*$Y$242,0)</f>
        <v/>
      </c>
      <c r="AP242" t="n">
        <v>16.19423791821561</v>
      </c>
      <c r="AQ242">
        <f>IF($S$242,$M$242*$AG$242*$W$242,0)</f>
        <v/>
      </c>
      <c r="AR242" t="n">
        <v>247.6765799256505</v>
      </c>
      <c r="AS242">
        <f>IF(OR(Vu_khi!$M$242="Missile",Vu_khi!$M$242="Drone",AND(Vu_khi!$M$242="Rocket",OR(Vu_khi!$AM$242,Vu_khi!$D$242="guided")),Vu_khi!$AL$242,Vu_khi!$AK$242,Vu_khi!$X$242&lt;=0),FALSE,IF($B$242&gt;=0,$B$242&gt;=4,IF(Vu_khi!$M$242="Shell",Vu_khi!$AN$242&gt;=Canh_bao_vong!$D$10,IF(Vu_khi!$M$242="Bomb",Vu_khi!$AN$242&gt;=Canh_bao_vong!$D$3,IF(Vu_khi!$M$242="Rocket",Vu_khi!$AN$242&gt;=Canh_bao_vong!$D$13,FALSE)))))</f>
        <v/>
      </c>
      <c r="AT242" t="b">
        <v>0</v>
      </c>
      <c r="AU242">
        <f>IF(AND($B$242&lt;0,$AS$242),4,$B$242)</f>
        <v/>
      </c>
      <c r="AV242" t="n">
        <v>1</v>
      </c>
      <c r="AW242">
        <f>IF($AU$242&lt;4,0,MIN(MAX(0.5,Canh_bao_vong!$D$4),MAX(IF(Vu_khi!$C$242="cal_406",Canh_bao_vong!$D$7,IF($AU$242&gt;=5,Canh_bao_vong!$D$9,Canh_bao_vong!$D$8)),Canh_bao_vong!$D$2+MAX(0,Vu_khi!$X$242)/MAX(0.1,Canh_bao_vong!$D$5))))</f>
        <v/>
      </c>
      <c r="AX242" t="n">
        <v>0</v>
      </c>
      <c r="AY242" t="n">
        <v>2.405691</v>
      </c>
      <c r="AZ242" t="inlineStr">
        <is>
          <t>ok</t>
        </is>
      </c>
      <c r="BA242" t="b">
        <v>1</v>
      </c>
      <c r="BB242" t="inlineStr">
        <is>
          <t>Assets/MachineBrigade/Resources/Data/balance.json: weapons[id=p26_jotunn_close_boss_flak] (lớp B trên 01_chien_dau/Vu_khi)</t>
        </is>
      </c>
      <c r="BC242" t="inlineStr"/>
    </row>
    <row r="243">
      <c r="A243" t="inlineStr">
        <is>
          <t>p26_jotunn_direct_jo125</t>
        </is>
      </c>
      <c r="B243" t="n">
        <v>3</v>
      </c>
      <c r="C243">
        <f>IF(Vu_khi!$O$243="SIMULTANEOUS",MAX(1,Vu_khi!$N$243),1)</f>
        <v/>
      </c>
      <c r="D243" t="n">
        <v>1</v>
      </c>
      <c r="E243">
        <f>IF(Vu_khi!$S$243&gt;0,Vu_khi!$S$243,Vu_khi!$P$243*$C$243)</f>
        <v/>
      </c>
      <c r="F243" t="n">
        <v>1</v>
      </c>
      <c r="G243">
        <f>IF(Vu_khi!$S$243&gt;0,(Vu_khi!$S$243-1)*Vu_khi!$R$243+Vu_khi!$T$243,Vu_khi!$R$243+(Vu_khi!$P$243-1)*Vu_khi!$Q$243)</f>
        <v/>
      </c>
      <c r="H243" t="n">
        <v>7.5</v>
      </c>
      <c r="I243">
        <f>Vu_khi!$W$243*MAX(1,$E$243)</f>
        <v/>
      </c>
      <c r="J243" t="n">
        <v>400</v>
      </c>
      <c r="K243">
        <f>IF(Vu_khi!$V$243&gt;0,Vu_khi!$V$243,MIN(28,MAX(10,Vu_khi!$U$243*Vu_khi!$R$243*0.4)))</f>
        <v/>
      </c>
      <c r="L243" t="n">
        <v>10</v>
      </c>
      <c r="M243">
        <f>IF(Vu_khi!$W$243&lt;=0,0,IF(Vu_khi!$U$243&gt;0,$I$243*Vu_khi!$U$243/(MAX(0.05,$G$243)*Vu_khi!$U$243+$K$243),$I$243/MAX(0.05,$G$243)))</f>
        <v/>
      </c>
      <c r="N243" t="n">
        <v>53.33333333333334</v>
      </c>
      <c r="O243">
        <f>OR(Vu_khi!$AG$243,Vu_khi!$AB$243&gt;0,Vu_khi!$AH$243,Vu_khi!$M$243="Bomb",Vu_khi!$M$243="Drone")</f>
        <v/>
      </c>
      <c r="P243" t="b">
        <v>0</v>
      </c>
      <c r="Q243">
        <f>AND(NOT(Vu_khi!$AJ$243),OR(Vu_khi!$AC$243="Ground",Vu_khi!$AC$243="All"))</f>
        <v/>
      </c>
      <c r="R243" t="b">
        <v>1</v>
      </c>
      <c r="S243">
        <f>AND(NOT(Vu_khi!$AJ$243),OR(Vu_khi!$AC$243="Air",Vu_khi!$AC$243="All"))</f>
        <v/>
      </c>
      <c r="T243" t="b">
        <v>0</v>
      </c>
      <c r="U243">
        <f>INDEX(Bang_sat_thuong!$B$2:$B$7,MATCH(Vu_khi!$K$243,Bang_sat_thuong!$A$2:$A$7,0))</f>
        <v/>
      </c>
      <c r="V243" t="n">
        <v>1</v>
      </c>
      <c r="W243">
        <f>INDEX(Bang_sat_thuong!$C$2:$C$7,MATCH(Vu_khi!$K$243,Bang_sat_thuong!$A$2:$A$7,0))</f>
        <v/>
      </c>
      <c r="X243" t="n">
        <v>0.3</v>
      </c>
      <c r="Y243">
        <f>IF(AND(Vu_khi!$AI$243,Vu_khi!$K$243="HighExplosive"),MAX(He_so_toan_cuc!$D$2,INDEX(Bang_sat_thuong!$D$2:$D$7,MATCH(Vu_khi!$K$243,Bang_sat_thuong!$A$2:$A$7,0))),INDEX(Bang_sat_thuong!$D$2:$D$7,MATCH(Vu_khi!$K$243,Bang_sat_thuong!$A$2:$A$7,0)))</f>
        <v/>
      </c>
      <c r="Z243" t="n">
        <v>0.6</v>
      </c>
      <c r="AA243">
        <f>INDEX(Bang_xuyen_giap!$C$2:$C$7,MIN(6,MAX(1,IF($O$243,MAX(1,2-(Vu_khi!$L$243-0)),2-(Vu_khi!$L$243-0))+1)))</f>
        <v/>
      </c>
      <c r="AB243" t="n">
        <v>1.2</v>
      </c>
      <c r="AC243">
        <f>INDEX(Bang_xuyen_giap!$C$2:$C$7,MIN(6,MAX(1,IF($O$243,MAX(1,2-(Vu_khi!$L$243-2)),2-(Vu_khi!$L$243-2))+1)))</f>
        <v/>
      </c>
      <c r="AD243" t="n">
        <v>1.2</v>
      </c>
      <c r="AE243">
        <f>INDEX(Bang_xuyen_giap!$C$2:$C$7,MIN(6,MAX(1,IF($O$243,MAX(1,2-(Vu_khi!$L$243-4)),2-(Vu_khi!$L$243-4))+1)))</f>
        <v/>
      </c>
      <c r="AF243" t="n">
        <v>1</v>
      </c>
      <c r="AG243">
        <f>INDEX(Bang_xuyen_giap!$C$2:$C$7,MIN(6,MAX(1,MAX(1,2-(Vu_khi!$L$243-0))+1)))</f>
        <v/>
      </c>
      <c r="AH243" t="n">
        <v>1</v>
      </c>
      <c r="AI243">
        <f>IF($Q$243,$M$243*$AA$243*$U$243,0)</f>
        <v/>
      </c>
      <c r="AJ243" t="n">
        <v>64</v>
      </c>
      <c r="AK243">
        <f>IF($Q$243,$M$243*$AC$243*$U$243,0)</f>
        <v/>
      </c>
      <c r="AL243" t="n">
        <v>64</v>
      </c>
      <c r="AM243">
        <f>IF($Q$243,$M$243*$AE$243*$U$243,0)</f>
        <v/>
      </c>
      <c r="AN243" t="n">
        <v>53.33333333333334</v>
      </c>
      <c r="AO243">
        <f>IF($Q$243,$M$243*$AC$243*$Y$243,0)</f>
        <v/>
      </c>
      <c r="AP243" t="n">
        <v>38.4</v>
      </c>
      <c r="AQ243">
        <f>IF($S$243,$M$243*$AG$243*$W$243,0)</f>
        <v/>
      </c>
      <c r="AR243" t="n">
        <v>0</v>
      </c>
      <c r="AS243">
        <f>IF(OR(Vu_khi!$M$243="Missile",Vu_khi!$M$243="Drone",AND(Vu_khi!$M$243="Rocket",OR(Vu_khi!$AM$243,Vu_khi!$D$243="guided")),Vu_khi!$AL$243,Vu_khi!$AK$243,Vu_khi!$X$243&lt;=0),FALSE,IF($B$243&gt;=0,$B$243&gt;=4,IF(Vu_khi!$M$243="Shell",Vu_khi!$AN$243&gt;=Canh_bao_vong!$D$10,IF(Vu_khi!$M$243="Bomb",Vu_khi!$AN$243&gt;=Canh_bao_vong!$D$3,IF(Vu_khi!$M$243="Rocket",Vu_khi!$AN$243&gt;=Canh_bao_vong!$D$13,FALSE)))))</f>
        <v/>
      </c>
      <c r="AT243" t="b">
        <v>0</v>
      </c>
      <c r="AU243">
        <f>IF(AND($B$243&lt;0,$AS$243),4,$B$243)</f>
        <v/>
      </c>
      <c r="AV243" t="n">
        <v>3</v>
      </c>
      <c r="AW243">
        <f>IF($AU$243&lt;4,0,MIN(MAX(0.5,Canh_bao_vong!$D$4),MAX(IF(Vu_khi!$C$243="cal_406",Canh_bao_vong!$D$7,IF($AU$243&gt;=5,Canh_bao_vong!$D$9,Canh_bao_vong!$D$8)),Canh_bao_vong!$D$2+MAX(0,Vu_khi!$X$243)/MAX(0.1,Canh_bao_vong!$D$5))))</f>
        <v/>
      </c>
      <c r="AX243" t="n">
        <v>0</v>
      </c>
      <c r="AY243" t="n">
        <v>0.7</v>
      </c>
      <c r="AZ243" t="inlineStr">
        <is>
          <t>ok</t>
        </is>
      </c>
      <c r="BA243" t="b">
        <v>1</v>
      </c>
      <c r="BB243" t="inlineStr">
        <is>
          <t>Assets/MachineBrigade/Resources/Data/balance.json: weapons[id=p26_jotunn_direct_jo125] (lớp B trên 01_chien_dau/Vu_khi)</t>
        </is>
      </c>
      <c r="BC243" t="inlineStr"/>
    </row>
    <row r="244">
      <c r="A244" t="inlineStr">
        <is>
          <t>p26_jotunn_jo125</t>
        </is>
      </c>
      <c r="B244" t="n">
        <v>3</v>
      </c>
      <c r="C244">
        <f>IF(Vu_khi!$O$244="SIMULTANEOUS",MAX(1,Vu_khi!$N$244),1)</f>
        <v/>
      </c>
      <c r="D244" t="n">
        <v>1</v>
      </c>
      <c r="E244">
        <f>IF(Vu_khi!$S$244&gt;0,Vu_khi!$S$244,Vu_khi!$P$244*$C$244)</f>
        <v/>
      </c>
      <c r="F244" t="n">
        <v>1</v>
      </c>
      <c r="G244">
        <f>IF(Vu_khi!$S$244&gt;0,(Vu_khi!$S$244-1)*Vu_khi!$R$244+Vu_khi!$T$244,Vu_khi!$R$244+(Vu_khi!$P$244-1)*Vu_khi!$Q$244)</f>
        <v/>
      </c>
      <c r="H244" t="n">
        <v>2</v>
      </c>
      <c r="I244">
        <f>Vu_khi!$W$244*MAX(1,$E$244)</f>
        <v/>
      </c>
      <c r="J244" t="n">
        <v>280</v>
      </c>
      <c r="K244">
        <f>IF(Vu_khi!$V$244&gt;0,Vu_khi!$V$244,MIN(28,MAX(10,Vu_khi!$U$244*Vu_khi!$R$244*0.4)))</f>
        <v/>
      </c>
      <c r="L244" t="n">
        <v>10</v>
      </c>
      <c r="M244">
        <f>IF(Vu_khi!$W$244&lt;=0,0,IF(Vu_khi!$U$244&gt;0,$I$244*Vu_khi!$U$244/(MAX(0.05,$G$244)*Vu_khi!$U$244+$K$244),$I$244/MAX(0.05,$G$244)))</f>
        <v/>
      </c>
      <c r="N244" t="n">
        <v>140</v>
      </c>
      <c r="O244">
        <f>OR(Vu_khi!$AG$244,Vu_khi!$AB$244&gt;0,Vu_khi!$AH$244,Vu_khi!$M$244="Bomb",Vu_khi!$M$244="Drone")</f>
        <v/>
      </c>
      <c r="P244" t="b">
        <v>0</v>
      </c>
      <c r="Q244">
        <f>AND(NOT(Vu_khi!$AJ$244),OR(Vu_khi!$AC$244="Ground",Vu_khi!$AC$244="All"))</f>
        <v/>
      </c>
      <c r="R244" t="b">
        <v>1</v>
      </c>
      <c r="S244">
        <f>AND(NOT(Vu_khi!$AJ$244),OR(Vu_khi!$AC$244="Air",Vu_khi!$AC$244="All"))</f>
        <v/>
      </c>
      <c r="T244" t="b">
        <v>0</v>
      </c>
      <c r="U244">
        <f>INDEX(Bang_sat_thuong!$B$2:$B$7,MATCH(Vu_khi!$K$244,Bang_sat_thuong!$A$2:$A$7,0))</f>
        <v/>
      </c>
      <c r="V244" t="n">
        <v>1</v>
      </c>
      <c r="W244">
        <f>INDEX(Bang_sat_thuong!$C$2:$C$7,MATCH(Vu_khi!$K$244,Bang_sat_thuong!$A$2:$A$7,0))</f>
        <v/>
      </c>
      <c r="X244" t="n">
        <v>0.3</v>
      </c>
      <c r="Y244">
        <f>IF(AND(Vu_khi!$AI$244,Vu_khi!$K$244="HighExplosive"),MAX(He_so_toan_cuc!$D$2,INDEX(Bang_sat_thuong!$D$2:$D$7,MATCH(Vu_khi!$K$244,Bang_sat_thuong!$A$2:$A$7,0))),INDEX(Bang_sat_thuong!$D$2:$D$7,MATCH(Vu_khi!$K$244,Bang_sat_thuong!$A$2:$A$7,0)))</f>
        <v/>
      </c>
      <c r="Z244" t="n">
        <v>0.6</v>
      </c>
      <c r="AA244">
        <f>INDEX(Bang_xuyen_giap!$C$2:$C$7,MIN(6,MAX(1,IF($O$244,MAX(1,2-(Vu_khi!$L$244-0)),2-(Vu_khi!$L$244-0))+1)))</f>
        <v/>
      </c>
      <c r="AB244" t="n">
        <v>1.2</v>
      </c>
      <c r="AC244">
        <f>INDEX(Bang_xuyen_giap!$C$2:$C$7,MIN(6,MAX(1,IF($O$244,MAX(1,2-(Vu_khi!$L$244-2)),2-(Vu_khi!$L$244-2))+1)))</f>
        <v/>
      </c>
      <c r="AD244" t="n">
        <v>1.2</v>
      </c>
      <c r="AE244">
        <f>INDEX(Bang_xuyen_giap!$C$2:$C$7,MIN(6,MAX(1,IF($O$244,MAX(1,2-(Vu_khi!$L$244-4)),2-(Vu_khi!$L$244-4))+1)))</f>
        <v/>
      </c>
      <c r="AF244" t="n">
        <v>1</v>
      </c>
      <c r="AG244">
        <f>INDEX(Bang_xuyen_giap!$C$2:$C$7,MIN(6,MAX(1,MAX(1,2-(Vu_khi!$L$244-0))+1)))</f>
        <v/>
      </c>
      <c r="AH244" t="n">
        <v>1</v>
      </c>
      <c r="AI244">
        <f>IF($Q$244,$M$244*$AA$244*$U$244,0)</f>
        <v/>
      </c>
      <c r="AJ244" t="n">
        <v>168</v>
      </c>
      <c r="AK244">
        <f>IF($Q$244,$M$244*$AC$244*$U$244,0)</f>
        <v/>
      </c>
      <c r="AL244" t="n">
        <v>168</v>
      </c>
      <c r="AM244">
        <f>IF($Q$244,$M$244*$AE$244*$U$244,0)</f>
        <v/>
      </c>
      <c r="AN244" t="n">
        <v>140</v>
      </c>
      <c r="AO244">
        <f>IF($Q$244,$M$244*$AC$244*$Y$244,0)</f>
        <v/>
      </c>
      <c r="AP244" t="n">
        <v>100.8</v>
      </c>
      <c r="AQ244">
        <f>IF($S$244,$M$244*$AG$244*$W$244,0)</f>
        <v/>
      </c>
      <c r="AR244" t="n">
        <v>0</v>
      </c>
      <c r="AS244">
        <f>IF(OR(Vu_khi!$M$244="Missile",Vu_khi!$M$244="Drone",AND(Vu_khi!$M$244="Rocket",OR(Vu_khi!$AM$244,Vu_khi!$D$244="guided")),Vu_khi!$AL$244,Vu_khi!$AK$244,Vu_khi!$X$244&lt;=0),FALSE,IF($B$244&gt;=0,$B$244&gt;=4,IF(Vu_khi!$M$244="Shell",Vu_khi!$AN$244&gt;=Canh_bao_vong!$D$10,IF(Vu_khi!$M$244="Bomb",Vu_khi!$AN$244&gt;=Canh_bao_vong!$D$3,IF(Vu_khi!$M$244="Rocket",Vu_khi!$AN$244&gt;=Canh_bao_vong!$D$13,FALSE)))))</f>
        <v/>
      </c>
      <c r="AT244" t="b">
        <v>0</v>
      </c>
      <c r="AU244">
        <f>IF(AND($B$244&lt;0,$AS$244),4,$B$244)</f>
        <v/>
      </c>
      <c r="AV244" t="n">
        <v>3</v>
      </c>
      <c r="AW244">
        <f>IF($AU$244&lt;4,0,MIN(MAX(0.5,Canh_bao_vong!$D$4),MAX(IF(Vu_khi!$C$244="cal_406",Canh_bao_vong!$D$7,IF($AU$244&gt;=5,Canh_bao_vong!$D$9,Canh_bao_vong!$D$8)),Canh_bao_vong!$D$2+MAX(0,Vu_khi!$X$244)/MAX(0.1,Canh_bao_vong!$D$5))))</f>
        <v/>
      </c>
      <c r="AX244" t="n">
        <v>0</v>
      </c>
      <c r="AY244" t="n">
        <v>0.186667</v>
      </c>
      <c r="AZ244" t="inlineStr">
        <is>
          <t>NHANH_QUA;LECH_DOT_1</t>
        </is>
      </c>
      <c r="BA244" t="inlineStr"/>
      <c r="BB244" t="inlineStr">
        <is>
          <t>Assets/MachineBrigade/Resources/Data/balance.json: weapons[id=p26_jotunn_jo125] (lớp B trên 01_chien_dau/Vu_khi)</t>
        </is>
      </c>
      <c r="BC244" t="inlineStr"/>
    </row>
    <row r="245">
      <c r="A245" t="inlineStr">
        <is>
          <t>p26_jotunn_jo203</t>
        </is>
      </c>
      <c r="B245" t="n">
        <v>4</v>
      </c>
      <c r="C245">
        <f>IF(Vu_khi!$O$245="SIMULTANEOUS",MAX(1,Vu_khi!$N$245),1)</f>
        <v/>
      </c>
      <c r="D245" t="n">
        <v>1</v>
      </c>
      <c r="E245">
        <f>IF(Vu_khi!$S$245&gt;0,Vu_khi!$S$245,Vu_khi!$P$245*$C$245)</f>
        <v/>
      </c>
      <c r="F245" t="n">
        <v>1</v>
      </c>
      <c r="G245">
        <f>IF(Vu_khi!$S$245&gt;0,(Vu_khi!$S$245-1)*Vu_khi!$R$245+Vu_khi!$T$245,Vu_khi!$R$245+(Vu_khi!$P$245-1)*Vu_khi!$Q$245)</f>
        <v/>
      </c>
      <c r="H245" t="n">
        <v>24</v>
      </c>
      <c r="I245">
        <f>Vu_khi!$W$245*MAX(1,$E$245)</f>
        <v/>
      </c>
      <c r="J245" t="n">
        <v>900</v>
      </c>
      <c r="K245">
        <f>IF(Vu_khi!$V$245&gt;0,Vu_khi!$V$245,MIN(28,MAX(10,Vu_khi!$U$245*Vu_khi!$R$245*0.4)))</f>
        <v/>
      </c>
      <c r="L245" t="n">
        <v>10</v>
      </c>
      <c r="M245">
        <f>IF(Vu_khi!$W$245&lt;=0,0,IF(Vu_khi!$U$245&gt;0,$I$245*Vu_khi!$U$245/(MAX(0.05,$G$245)*Vu_khi!$U$245+$K$245),$I$245/MAX(0.05,$G$245)))</f>
        <v/>
      </c>
      <c r="N245" t="n">
        <v>37.5</v>
      </c>
      <c r="O245">
        <f>OR(Vu_khi!$AG$245,Vu_khi!$AB$245&gt;0,Vu_khi!$AH$245,Vu_khi!$M$245="Bomb",Vu_khi!$M$245="Drone")</f>
        <v/>
      </c>
      <c r="P245" t="b">
        <v>0</v>
      </c>
      <c r="Q245">
        <f>AND(NOT(Vu_khi!$AJ$245),OR(Vu_khi!$AC$245="Ground",Vu_khi!$AC$245="All"))</f>
        <v/>
      </c>
      <c r="R245" t="b">
        <v>1</v>
      </c>
      <c r="S245">
        <f>AND(NOT(Vu_khi!$AJ$245),OR(Vu_khi!$AC$245="Air",Vu_khi!$AC$245="All"))</f>
        <v/>
      </c>
      <c r="T245" t="b">
        <v>0</v>
      </c>
      <c r="U245">
        <f>INDEX(Bang_sat_thuong!$B$2:$B$7,MATCH(Vu_khi!$K$245,Bang_sat_thuong!$A$2:$A$7,0))</f>
        <v/>
      </c>
      <c r="V245" t="n">
        <v>1</v>
      </c>
      <c r="W245">
        <f>INDEX(Bang_sat_thuong!$C$2:$C$7,MATCH(Vu_khi!$K$245,Bang_sat_thuong!$A$2:$A$7,0))</f>
        <v/>
      </c>
      <c r="X245" t="n">
        <v>0</v>
      </c>
      <c r="Y245">
        <f>IF(AND(Vu_khi!$AI$245,Vu_khi!$K$245="HighExplosive"),MAX(He_so_toan_cuc!$D$2,INDEX(Bang_sat_thuong!$D$2:$D$7,MATCH(Vu_khi!$K$245,Bang_sat_thuong!$A$2:$A$7,0))),INDEX(Bang_sat_thuong!$D$2:$D$7,MATCH(Vu_khi!$K$245,Bang_sat_thuong!$A$2:$A$7,0)))</f>
        <v/>
      </c>
      <c r="Z245" t="n">
        <v>1.5</v>
      </c>
      <c r="AA245">
        <f>INDEX(Bang_xuyen_giap!$C$2:$C$7,MIN(6,MAX(1,IF($O$245,MAX(1,2-(Vu_khi!$L$245-0)),2-(Vu_khi!$L$245-0))+1)))</f>
        <v/>
      </c>
      <c r="AB245" t="n">
        <v>1.2</v>
      </c>
      <c r="AC245">
        <f>INDEX(Bang_xuyen_giap!$C$2:$C$7,MIN(6,MAX(1,IF($O$245,MAX(1,2-(Vu_khi!$L$245-2)),2-(Vu_khi!$L$245-2))+1)))</f>
        <v/>
      </c>
      <c r="AD245" t="n">
        <v>1.2</v>
      </c>
      <c r="AE245">
        <f>INDEX(Bang_xuyen_giap!$C$2:$C$7,MIN(6,MAX(1,IF($O$245,MAX(1,2-(Vu_khi!$L$245-4)),2-(Vu_khi!$L$245-4))+1)))</f>
        <v/>
      </c>
      <c r="AF245" t="n">
        <v>0.85</v>
      </c>
      <c r="AG245">
        <f>INDEX(Bang_xuyen_giap!$C$2:$C$7,MIN(6,MAX(1,MAX(1,2-(Vu_khi!$L$245-0))+1)))</f>
        <v/>
      </c>
      <c r="AH245" t="n">
        <v>1</v>
      </c>
      <c r="AI245">
        <f>IF($Q$245,$M$245*$AA$245*$U$245,0)</f>
        <v/>
      </c>
      <c r="AJ245" t="n">
        <v>45</v>
      </c>
      <c r="AK245">
        <f>IF($Q$245,$M$245*$AC$245*$U$245,0)</f>
        <v/>
      </c>
      <c r="AL245" t="n">
        <v>45</v>
      </c>
      <c r="AM245">
        <f>IF($Q$245,$M$245*$AE$245*$U$245,0)</f>
        <v/>
      </c>
      <c r="AN245" t="n">
        <v>31.875</v>
      </c>
      <c r="AO245">
        <f>IF($Q$245,$M$245*$AC$245*$Y$245,0)</f>
        <v/>
      </c>
      <c r="AP245" t="n">
        <v>67.5</v>
      </c>
      <c r="AQ245">
        <f>IF($S$245,$M$245*$AG$245*$W$245,0)</f>
        <v/>
      </c>
      <c r="AR245" t="n">
        <v>0</v>
      </c>
      <c r="AS245">
        <f>IF(OR(Vu_khi!$M$245="Missile",Vu_khi!$M$245="Drone",AND(Vu_khi!$M$245="Rocket",OR(Vu_khi!$AM$245,Vu_khi!$D$245="guided")),Vu_khi!$AL$245,Vu_khi!$AK$245,Vu_khi!$X$245&lt;=0),FALSE,IF($B$245&gt;=0,$B$245&gt;=4,IF(Vu_khi!$M$245="Shell",Vu_khi!$AN$245&gt;=Canh_bao_vong!$D$10,IF(Vu_khi!$M$245="Bomb",Vu_khi!$AN$245&gt;=Canh_bao_vong!$D$3,IF(Vu_khi!$M$245="Rocket",Vu_khi!$AN$245&gt;=Canh_bao_vong!$D$13,FALSE)))))</f>
        <v/>
      </c>
      <c r="AT245" t="b">
        <v>1</v>
      </c>
      <c r="AU245">
        <f>IF(AND($B$245&lt;0,$AS$245),4,$B$245)</f>
        <v/>
      </c>
      <c r="AV245" t="n">
        <v>4</v>
      </c>
      <c r="AW245">
        <f>IF($AU$245&lt;4,0,MIN(MAX(0.5,Canh_bao_vong!$D$4),MAX(IF(Vu_khi!$C$245="cal_406",Canh_bao_vong!$D$7,IF($AU$245&gt;=5,Canh_bao_vong!$D$9,Canh_bao_vong!$D$8)),Canh_bao_vong!$D$2+MAX(0,Vu_khi!$X$245)/MAX(0.1,Canh_bao_vong!$D$5))))</f>
        <v/>
      </c>
      <c r="AX245" t="n">
        <v>2.5</v>
      </c>
      <c r="AY245" t="n">
        <v>0.7</v>
      </c>
      <c r="AZ245" t="inlineStr">
        <is>
          <t>ok</t>
        </is>
      </c>
      <c r="BA245" t="b">
        <v>1</v>
      </c>
      <c r="BB245" t="inlineStr">
        <is>
          <t>Assets/MachineBrigade/Resources/Data/balance.json: weapons[id=p26_jotunn_jo203] (lớp B trên 01_chien_dau/Vu_khi)</t>
        </is>
      </c>
      <c r="BC245" t="inlineStr"/>
    </row>
    <row r="246">
      <c r="A246" t="inlineStr">
        <is>
          <t>p26_jotunn_jo_rockets</t>
        </is>
      </c>
      <c r="B246" t="n">
        <v>4</v>
      </c>
      <c r="C246">
        <f>IF(Vu_khi!$O$246="SIMULTANEOUS",MAX(1,Vu_khi!$N$246),1)</f>
        <v/>
      </c>
      <c r="D246" t="n">
        <v>1</v>
      </c>
      <c r="E246">
        <f>IF(Vu_khi!$S$246&gt;0,Vu_khi!$S$246,Vu_khi!$P$246*$C$246)</f>
        <v/>
      </c>
      <c r="F246" t="n">
        <v>8</v>
      </c>
      <c r="G246">
        <f>IF(Vu_khi!$S$246&gt;0,(Vu_khi!$S$246-1)*Vu_khi!$R$246+Vu_khi!$T$246,Vu_khi!$R$246+(Vu_khi!$P$246-1)*Vu_khi!$Q$246)</f>
        <v/>
      </c>
      <c r="H246" t="n">
        <v>10</v>
      </c>
      <c r="I246">
        <f>Vu_khi!$W$246*MAX(1,$E$246)</f>
        <v/>
      </c>
      <c r="J246" t="n">
        <v>880</v>
      </c>
      <c r="K246">
        <f>IF(Vu_khi!$V$246&gt;0,Vu_khi!$V$246,MIN(28,MAX(10,Vu_khi!$U$246*Vu_khi!$R$246*0.4)))</f>
        <v/>
      </c>
      <c r="L246" t="n">
        <v>10</v>
      </c>
      <c r="M246">
        <f>IF(Vu_khi!$W$246&lt;=0,0,IF(Vu_khi!$U$246&gt;0,$I$246*Vu_khi!$U$246/(MAX(0.05,$G$246)*Vu_khi!$U$246+$K$246),$I$246/MAX(0.05,$G$246)))</f>
        <v/>
      </c>
      <c r="N246" t="n">
        <v>88</v>
      </c>
      <c r="O246">
        <f>OR(Vu_khi!$AG$246,Vu_khi!$AB$246&gt;0,Vu_khi!$AH$246,Vu_khi!$M$246="Bomb",Vu_khi!$M$246="Drone")</f>
        <v/>
      </c>
      <c r="P246" t="b">
        <v>0</v>
      </c>
      <c r="Q246">
        <f>AND(NOT(Vu_khi!$AJ$246),OR(Vu_khi!$AC$246="Ground",Vu_khi!$AC$246="All"))</f>
        <v/>
      </c>
      <c r="R246" t="b">
        <v>1</v>
      </c>
      <c r="S246">
        <f>AND(NOT(Vu_khi!$AJ$246),OR(Vu_khi!$AC$246="Air",Vu_khi!$AC$246="All"))</f>
        <v/>
      </c>
      <c r="T246" t="b">
        <v>0</v>
      </c>
      <c r="U246">
        <f>INDEX(Bang_sat_thuong!$B$2:$B$7,MATCH(Vu_khi!$K$246,Bang_sat_thuong!$A$2:$A$7,0))</f>
        <v/>
      </c>
      <c r="V246" t="n">
        <v>1</v>
      </c>
      <c r="W246">
        <f>INDEX(Bang_sat_thuong!$C$2:$C$7,MATCH(Vu_khi!$K$246,Bang_sat_thuong!$A$2:$A$7,0))</f>
        <v/>
      </c>
      <c r="X246" t="n">
        <v>0</v>
      </c>
      <c r="Y246">
        <f>IF(AND(Vu_khi!$AI$246,Vu_khi!$K$246="HighExplosive"),MAX(He_so_toan_cuc!$D$2,INDEX(Bang_sat_thuong!$D$2:$D$7,MATCH(Vu_khi!$K$246,Bang_sat_thuong!$A$2:$A$7,0))),INDEX(Bang_sat_thuong!$D$2:$D$7,MATCH(Vu_khi!$K$246,Bang_sat_thuong!$A$2:$A$7,0)))</f>
        <v/>
      </c>
      <c r="Z246" t="n">
        <v>1.5</v>
      </c>
      <c r="AA246">
        <f>INDEX(Bang_xuyen_giap!$C$2:$C$7,MIN(6,MAX(1,IF($O$246,MAX(1,2-(Vu_khi!$L$246-0)),2-(Vu_khi!$L$246-0))+1)))</f>
        <v/>
      </c>
      <c r="AB246" t="n">
        <v>1.2</v>
      </c>
      <c r="AC246">
        <f>INDEX(Bang_xuyen_giap!$C$2:$C$7,MIN(6,MAX(1,IF($O$246,MAX(1,2-(Vu_khi!$L$246-2)),2-(Vu_khi!$L$246-2))+1)))</f>
        <v/>
      </c>
      <c r="AD246" t="n">
        <v>0.85</v>
      </c>
      <c r="AE246">
        <f>INDEX(Bang_xuyen_giap!$C$2:$C$7,MIN(6,MAX(1,IF($O$246,MAX(1,2-(Vu_khi!$L$246-4)),2-(Vu_khi!$L$246-4))+1)))</f>
        <v/>
      </c>
      <c r="AF246" t="n">
        <v>0.25</v>
      </c>
      <c r="AG246">
        <f>INDEX(Bang_xuyen_giap!$C$2:$C$7,MIN(6,MAX(1,MAX(1,2-(Vu_khi!$L$246-0))+1)))</f>
        <v/>
      </c>
      <c r="AH246" t="n">
        <v>1</v>
      </c>
      <c r="AI246">
        <f>IF($Q$246,$M$246*$AA$246*$U$246,0)</f>
        <v/>
      </c>
      <c r="AJ246" t="n">
        <v>105.6</v>
      </c>
      <c r="AK246">
        <f>IF($Q$246,$M$246*$AC$246*$U$246,0)</f>
        <v/>
      </c>
      <c r="AL246" t="n">
        <v>74.8</v>
      </c>
      <c r="AM246">
        <f>IF($Q$246,$M$246*$AE$246*$U$246,0)</f>
        <v/>
      </c>
      <c r="AN246" t="n">
        <v>22</v>
      </c>
      <c r="AO246">
        <f>IF($Q$246,$M$246*$AC$246*$Y$246,0)</f>
        <v/>
      </c>
      <c r="AP246" t="n">
        <v>112.2</v>
      </c>
      <c r="AQ246">
        <f>IF($S$246,$M$246*$AG$246*$W$246,0)</f>
        <v/>
      </c>
      <c r="AR246" t="n">
        <v>0</v>
      </c>
      <c r="AS246">
        <f>IF(OR(Vu_khi!$M$246="Missile",Vu_khi!$M$246="Drone",AND(Vu_khi!$M$246="Rocket",OR(Vu_khi!$AM$246,Vu_khi!$D$246="guided")),Vu_khi!$AL$246,Vu_khi!$AK$246,Vu_khi!$X$246&lt;=0),FALSE,IF($B$246&gt;=0,$B$246&gt;=4,IF(Vu_khi!$M$246="Shell",Vu_khi!$AN$246&gt;=Canh_bao_vong!$D$10,IF(Vu_khi!$M$246="Bomb",Vu_khi!$AN$246&gt;=Canh_bao_vong!$D$3,IF(Vu_khi!$M$246="Rocket",Vu_khi!$AN$246&gt;=Canh_bao_vong!$D$13,FALSE)))))</f>
        <v/>
      </c>
      <c r="AT246" t="b">
        <v>1</v>
      </c>
      <c r="AU246">
        <f>IF(AND($B$246&lt;0,$AS$246),4,$B$246)</f>
        <v/>
      </c>
      <c r="AV246" t="n">
        <v>4</v>
      </c>
      <c r="AW246">
        <f>IF($AU$246&lt;4,0,MIN(MAX(0.5,Canh_bao_vong!$D$4),MAX(IF(Vu_khi!$C$246="cal_406",Canh_bao_vong!$D$7,IF($AU$246&gt;=5,Canh_bao_vong!$D$9,Canh_bao_vong!$D$8)),Canh_bao_vong!$D$2+MAX(0,Vu_khi!$X$246)/MAX(0.1,Canh_bao_vong!$D$5))))</f>
        <v/>
      </c>
      <c r="AX246" t="n">
        <v>2.5</v>
      </c>
      <c r="AY246" t="n">
        <v>0.095</v>
      </c>
      <c r="AZ246" t="inlineStr">
        <is>
          <t>NHANH_QUA;LECH_DOT_1</t>
        </is>
      </c>
      <c r="BA246" t="inlineStr"/>
      <c r="BB246" t="inlineStr">
        <is>
          <t>Assets/MachineBrigade/Resources/Data/balance.json: weapons[id=p26_jotunn_jo_rockets] (lớp B trên 01_chien_dau/Vu_khi)</t>
        </is>
      </c>
      <c r="BC246" t="inlineStr"/>
    </row>
    <row r="247">
      <c r="A247" t="inlineStr">
        <is>
          <t>p26_jotunn_sec_jo_rockets</t>
        </is>
      </c>
      <c r="B247" t="n">
        <v>4</v>
      </c>
      <c r="C247">
        <f>IF(Vu_khi!$O$247="SIMULTANEOUS",MAX(1,Vu_khi!$N$247),1)</f>
        <v/>
      </c>
      <c r="D247" t="n">
        <v>1</v>
      </c>
      <c r="E247">
        <f>IF(Vu_khi!$S$247&gt;0,Vu_khi!$S$247,Vu_khi!$P$247*$C$247)</f>
        <v/>
      </c>
      <c r="F247" t="n">
        <v>8</v>
      </c>
      <c r="G247">
        <f>IF(Vu_khi!$S$247&gt;0,(Vu_khi!$S$247-1)*Vu_khi!$R$247+Vu_khi!$T$247,Vu_khi!$R$247+(Vu_khi!$P$247-1)*Vu_khi!$Q$247)</f>
        <v/>
      </c>
      <c r="H247" t="n">
        <v>37.95</v>
      </c>
      <c r="I247">
        <f>Vu_khi!$W$247*MAX(1,$E$247)</f>
        <v/>
      </c>
      <c r="J247" t="n">
        <v>3600</v>
      </c>
      <c r="K247">
        <f>IF(Vu_khi!$V$247&gt;0,Vu_khi!$V$247,MIN(28,MAX(10,Vu_khi!$U$247*Vu_khi!$R$247*0.4)))</f>
        <v/>
      </c>
      <c r="L247" t="n">
        <v>10</v>
      </c>
      <c r="M247">
        <f>IF(Vu_khi!$W$247&lt;=0,0,IF(Vu_khi!$U$247&gt;0,$I$247*Vu_khi!$U$247/(MAX(0.05,$G$247)*Vu_khi!$U$247+$K$247),$I$247/MAX(0.05,$G$247)))</f>
        <v/>
      </c>
      <c r="N247" t="n">
        <v>94.86166007905139</v>
      </c>
      <c r="O247">
        <f>OR(Vu_khi!$AG$247,Vu_khi!$AB$247&gt;0,Vu_khi!$AH$247,Vu_khi!$M$247="Bomb",Vu_khi!$M$247="Drone")</f>
        <v/>
      </c>
      <c r="P247" t="b">
        <v>0</v>
      </c>
      <c r="Q247">
        <f>AND(NOT(Vu_khi!$AJ$247),OR(Vu_khi!$AC$247="Ground",Vu_khi!$AC$247="All"))</f>
        <v/>
      </c>
      <c r="R247" t="b">
        <v>1</v>
      </c>
      <c r="S247">
        <f>AND(NOT(Vu_khi!$AJ$247),OR(Vu_khi!$AC$247="Air",Vu_khi!$AC$247="All"))</f>
        <v/>
      </c>
      <c r="T247" t="b">
        <v>0</v>
      </c>
      <c r="U247">
        <f>INDEX(Bang_sat_thuong!$B$2:$B$7,MATCH(Vu_khi!$K$247,Bang_sat_thuong!$A$2:$A$7,0))</f>
        <v/>
      </c>
      <c r="V247" t="n">
        <v>1</v>
      </c>
      <c r="W247">
        <f>INDEX(Bang_sat_thuong!$C$2:$C$7,MATCH(Vu_khi!$K$247,Bang_sat_thuong!$A$2:$A$7,0))</f>
        <v/>
      </c>
      <c r="X247" t="n">
        <v>0</v>
      </c>
      <c r="Y247">
        <f>IF(AND(Vu_khi!$AI$247,Vu_khi!$K$247="HighExplosive"),MAX(He_so_toan_cuc!$D$2,INDEX(Bang_sat_thuong!$D$2:$D$7,MATCH(Vu_khi!$K$247,Bang_sat_thuong!$A$2:$A$7,0))),INDEX(Bang_sat_thuong!$D$2:$D$7,MATCH(Vu_khi!$K$247,Bang_sat_thuong!$A$2:$A$7,0)))</f>
        <v/>
      </c>
      <c r="Z247" t="n">
        <v>1.5</v>
      </c>
      <c r="AA247">
        <f>INDEX(Bang_xuyen_giap!$C$2:$C$7,MIN(6,MAX(1,IF($O$247,MAX(1,2-(Vu_khi!$L$247-0)),2-(Vu_khi!$L$247-0))+1)))</f>
        <v/>
      </c>
      <c r="AB247" t="n">
        <v>1.2</v>
      </c>
      <c r="AC247">
        <f>INDEX(Bang_xuyen_giap!$C$2:$C$7,MIN(6,MAX(1,IF($O$247,MAX(1,2-(Vu_khi!$L$247-2)),2-(Vu_khi!$L$247-2))+1)))</f>
        <v/>
      </c>
      <c r="AD247" t="n">
        <v>0.85</v>
      </c>
      <c r="AE247">
        <f>INDEX(Bang_xuyen_giap!$C$2:$C$7,MIN(6,MAX(1,IF($O$247,MAX(1,2-(Vu_khi!$L$247-4)),2-(Vu_khi!$L$247-4))+1)))</f>
        <v/>
      </c>
      <c r="AF247" t="n">
        <v>0.25</v>
      </c>
      <c r="AG247">
        <f>INDEX(Bang_xuyen_giap!$C$2:$C$7,MIN(6,MAX(1,MAX(1,2-(Vu_khi!$L$247-0))+1)))</f>
        <v/>
      </c>
      <c r="AH247" t="n">
        <v>1</v>
      </c>
      <c r="AI247">
        <f>IF($Q$247,$M$247*$AA$247*$U$247,0)</f>
        <v/>
      </c>
      <c r="AJ247" t="n">
        <v>113.8339920948617</v>
      </c>
      <c r="AK247">
        <f>IF($Q$247,$M$247*$AC$247*$U$247,0)</f>
        <v/>
      </c>
      <c r="AL247" t="n">
        <v>80.63241106719369</v>
      </c>
      <c r="AM247">
        <f>IF($Q$247,$M$247*$AE$247*$U$247,0)</f>
        <v/>
      </c>
      <c r="AN247" t="n">
        <v>23.71541501976285</v>
      </c>
      <c r="AO247">
        <f>IF($Q$247,$M$247*$AC$247*$Y$247,0)</f>
        <v/>
      </c>
      <c r="AP247" t="n">
        <v>120.9486166007905</v>
      </c>
      <c r="AQ247">
        <f>IF($S$247,$M$247*$AG$247*$W$247,0)</f>
        <v/>
      </c>
      <c r="AR247" t="n">
        <v>0</v>
      </c>
      <c r="AS247">
        <f>IF(OR(Vu_khi!$M$247="Missile",Vu_khi!$M$247="Drone",AND(Vu_khi!$M$247="Rocket",OR(Vu_khi!$AM$247,Vu_khi!$D$247="guided")),Vu_khi!$AL$247,Vu_khi!$AK$247,Vu_khi!$X$247&lt;=0),FALSE,IF($B$247&gt;=0,$B$247&gt;=4,IF(Vu_khi!$M$247="Shell",Vu_khi!$AN$247&gt;=Canh_bao_vong!$D$10,IF(Vu_khi!$M$247="Bomb",Vu_khi!$AN$247&gt;=Canh_bao_vong!$D$3,IF(Vu_khi!$M$247="Rocket",Vu_khi!$AN$247&gt;=Canh_bao_vong!$D$13,FALSE)))))</f>
        <v/>
      </c>
      <c r="AT247" t="b">
        <v>1</v>
      </c>
      <c r="AU247">
        <f>IF(AND($B$247&lt;0,$AS$247),4,$B$247)</f>
        <v/>
      </c>
      <c r="AV247" t="n">
        <v>4</v>
      </c>
      <c r="AW247">
        <f>IF($AU$247&lt;4,0,MIN(MAX(0.5,Canh_bao_vong!$D$4),MAX(IF(Vu_khi!$C$247="cal_406",Canh_bao_vong!$D$7,IF($AU$247&gt;=5,Canh_bao_vong!$D$9,Canh_bao_vong!$D$8)),Canh_bao_vong!$D$2+MAX(0,Vu_khi!$X$247)/MAX(0.1,Canh_bao_vong!$D$5))))</f>
        <v/>
      </c>
      <c r="AX247" t="n">
        <v>2.5</v>
      </c>
      <c r="AY247" t="n">
        <v>1.003833</v>
      </c>
      <c r="AZ247" t="inlineStr">
        <is>
          <t>ok</t>
        </is>
      </c>
      <c r="BA247" t="b">
        <v>1</v>
      </c>
      <c r="BB247" t="inlineStr">
        <is>
          <t>Assets/MachineBrigade/Resources/Data/balance.json: weapons[id=p26_jotunn_sec_jo_rockets] (lớp B trên 01_chien_dau/Vu_khi)</t>
        </is>
      </c>
      <c r="BC247" t="inlineStr"/>
    </row>
    <row r="248">
      <c r="A248" t="inlineStr">
        <is>
          <t>p26_jotunn_tiny_twin_30_flak</t>
        </is>
      </c>
      <c r="B248" t="n">
        <v>1</v>
      </c>
      <c r="C248">
        <f>IF(Vu_khi!$O$248="SIMULTANEOUS",MAX(1,Vu_khi!$N$248),1)</f>
        <v/>
      </c>
      <c r="D248" t="n">
        <v>1</v>
      </c>
      <c r="E248">
        <f>IF(Vu_khi!$S$248&gt;0,Vu_khi!$S$248,Vu_khi!$P$248*$C$248)</f>
        <v/>
      </c>
      <c r="F248" t="n">
        <v>160</v>
      </c>
      <c r="G248">
        <f>IF(Vu_khi!$S$248&gt;0,(Vu_khi!$S$248-1)*Vu_khi!$R$248+Vu_khi!$T$248,Vu_khi!$R$248+(Vu_khi!$P$248-1)*Vu_khi!$Q$248)</f>
        <v/>
      </c>
      <c r="H248" t="n">
        <v>6.975</v>
      </c>
      <c r="I248">
        <f>Vu_khi!$W$248*MAX(1,$E$248)</f>
        <v/>
      </c>
      <c r="J248" t="n">
        <v>3520</v>
      </c>
      <c r="K248">
        <f>IF(Vu_khi!$V$248&gt;0,Vu_khi!$V$248,MIN(28,MAX(10,Vu_khi!$U$248*Vu_khi!$R$248*0.4)))</f>
        <v/>
      </c>
      <c r="L248" t="n">
        <v>10</v>
      </c>
      <c r="M248">
        <f>IF(Vu_khi!$W$248&lt;=0,0,IF(Vu_khi!$U$248&gt;0,$I$248*Vu_khi!$U$248/(MAX(0.05,$G$248)*Vu_khi!$U$248+$K$248),$I$248/MAX(0.05,$G$248)))</f>
        <v/>
      </c>
      <c r="N248" t="n">
        <v>504.6594982078853</v>
      </c>
      <c r="O248">
        <f>OR(Vu_khi!$AG$248,Vu_khi!$AB$248&gt;0,Vu_khi!$AH$248,Vu_khi!$M$248="Bomb",Vu_khi!$M$248="Drone")</f>
        <v/>
      </c>
      <c r="P248" t="b">
        <v>0</v>
      </c>
      <c r="Q248">
        <f>AND(NOT(Vu_khi!$AJ$248),OR(Vu_khi!$AC$248="Ground",Vu_khi!$AC$248="All"))</f>
        <v/>
      </c>
      <c r="R248" t="b">
        <v>1</v>
      </c>
      <c r="S248">
        <f>AND(NOT(Vu_khi!$AJ$248),OR(Vu_khi!$AC$248="Air",Vu_khi!$AC$248="All"))</f>
        <v/>
      </c>
      <c r="T248" t="b">
        <v>1</v>
      </c>
      <c r="U248">
        <f>INDEX(Bang_sat_thuong!$B$2:$B$7,MATCH(Vu_khi!$K$248,Bang_sat_thuong!$A$2:$A$7,0))</f>
        <v/>
      </c>
      <c r="V248" t="n">
        <v>0.5</v>
      </c>
      <c r="W248">
        <f>INDEX(Bang_sat_thuong!$C$2:$C$7,MATCH(Vu_khi!$K$248,Bang_sat_thuong!$A$2:$A$7,0))</f>
        <v/>
      </c>
      <c r="X248" t="n">
        <v>1.3</v>
      </c>
      <c r="Y248">
        <f>IF(AND(Vu_khi!$AI$248,Vu_khi!$K$248="HighExplosive"),MAX(He_so_toan_cuc!$D$2,INDEX(Bang_sat_thuong!$D$2:$D$7,MATCH(Vu_khi!$K$248,Bang_sat_thuong!$A$2:$A$7,0))),INDEX(Bang_sat_thuong!$D$2:$D$7,MATCH(Vu_khi!$K$248,Bang_sat_thuong!$A$2:$A$7,0)))</f>
        <v/>
      </c>
      <c r="Z248" t="n">
        <v>0.1</v>
      </c>
      <c r="AA248">
        <f>INDEX(Bang_xuyen_giap!$C$2:$C$7,MIN(6,MAX(1,IF($O$248,MAX(1,2-(Vu_khi!$L$248-0)),2-(Vu_khi!$L$248-0))+1)))</f>
        <v/>
      </c>
      <c r="AB248" t="n">
        <v>1.2</v>
      </c>
      <c r="AC248">
        <f>INDEX(Bang_xuyen_giap!$C$2:$C$7,MIN(6,MAX(1,IF($O$248,MAX(1,2-(Vu_khi!$L$248-2)),2-(Vu_khi!$L$248-2))+1)))</f>
        <v/>
      </c>
      <c r="AD248" t="n">
        <v>0.85</v>
      </c>
      <c r="AE248">
        <f>INDEX(Bang_xuyen_giap!$C$2:$C$7,MIN(6,MAX(1,IF($O$248,MAX(1,2-(Vu_khi!$L$248-4)),2-(Vu_khi!$L$248-4))+1)))</f>
        <v/>
      </c>
      <c r="AF248" t="n">
        <v>0.25</v>
      </c>
      <c r="AG248">
        <f>INDEX(Bang_xuyen_giap!$C$2:$C$7,MIN(6,MAX(1,MAX(1,2-(Vu_khi!$L$248-0))+1)))</f>
        <v/>
      </c>
      <c r="AH248" t="n">
        <v>1</v>
      </c>
      <c r="AI248">
        <f>IF($Q$248,$M$248*$AA$248*$U$248,0)</f>
        <v/>
      </c>
      <c r="AJ248" t="n">
        <v>302.7956989247312</v>
      </c>
      <c r="AK248">
        <f>IF($Q$248,$M$248*$AC$248*$U$248,0)</f>
        <v/>
      </c>
      <c r="AL248" t="n">
        <v>214.4802867383513</v>
      </c>
      <c r="AM248">
        <f>IF($Q$248,$M$248*$AE$248*$U$248,0)</f>
        <v/>
      </c>
      <c r="AN248" t="n">
        <v>63.08243727598567</v>
      </c>
      <c r="AO248">
        <f>IF($Q$248,$M$248*$AC$248*$Y$248,0)</f>
        <v/>
      </c>
      <c r="AP248" t="n">
        <v>42.89605734767026</v>
      </c>
      <c r="AQ248">
        <f>IF($S$248,$M$248*$AG$248*$W$248,0)</f>
        <v/>
      </c>
      <c r="AR248" t="n">
        <v>656.0573476702509</v>
      </c>
      <c r="AS248">
        <f>IF(OR(Vu_khi!$M$248="Missile",Vu_khi!$M$248="Drone",AND(Vu_khi!$M$248="Rocket",OR(Vu_khi!$AM$248,Vu_khi!$D$248="guided")),Vu_khi!$AL$248,Vu_khi!$AK$248,Vu_khi!$X$248&lt;=0),FALSE,IF($B$248&gt;=0,$B$248&gt;=4,IF(Vu_khi!$M$248="Shell",Vu_khi!$AN$248&gt;=Canh_bao_vong!$D$10,IF(Vu_khi!$M$248="Bomb",Vu_khi!$AN$248&gt;=Canh_bao_vong!$D$3,IF(Vu_khi!$M$248="Rocket",Vu_khi!$AN$248&gt;=Canh_bao_vong!$D$13,FALSE)))))</f>
        <v/>
      </c>
      <c r="AT248" t="b">
        <v>0</v>
      </c>
      <c r="AU248">
        <f>IF(AND($B$248&lt;0,$AS$248),4,$B$248)</f>
        <v/>
      </c>
      <c r="AV248" t="n">
        <v>1</v>
      </c>
      <c r="AW248">
        <f>IF($AU$248&lt;4,0,MIN(MAX(0.5,Canh_bao_vong!$D$4),MAX(IF(Vu_khi!$C$248="cal_406",Canh_bao_vong!$D$7,IF($AU$248&gt;=5,Canh_bao_vong!$D$9,Canh_bao_vong!$D$8)),Canh_bao_vong!$D$2+MAX(0,Vu_khi!$X$248)/MAX(0.1,Canh_bao_vong!$D$5))))</f>
        <v/>
      </c>
      <c r="AX248" t="n">
        <v>0</v>
      </c>
      <c r="AY248" t="n">
        <v>3.632812</v>
      </c>
      <c r="AZ248" t="inlineStr">
        <is>
          <t>ok</t>
        </is>
      </c>
      <c r="BA248" t="b">
        <v>1</v>
      </c>
      <c r="BB248" t="inlineStr">
        <is>
          <t>Assets/MachineBrigade/Resources/Data/balance.json: weapons[id=p26_jotunn_tiny_twin_30_flak] (lớp B trên 01_chien_dau/Vu_khi)</t>
        </is>
      </c>
      <c r="BC248" t="inlineStr"/>
    </row>
    <row r="249">
      <c r="A249" t="inlineStr">
        <is>
          <t>p26_leviathan_direct_lev127</t>
        </is>
      </c>
      <c r="B249" t="n">
        <v>3</v>
      </c>
      <c r="C249">
        <f>IF(Vu_khi!$O$249="SIMULTANEOUS",MAX(1,Vu_khi!$N$249),1)</f>
        <v/>
      </c>
      <c r="D249" t="n">
        <v>1</v>
      </c>
      <c r="E249">
        <f>IF(Vu_khi!$S$249&gt;0,Vu_khi!$S$249,Vu_khi!$P$249*$C$249)</f>
        <v/>
      </c>
      <c r="F249" t="n">
        <v>1</v>
      </c>
      <c r="G249">
        <f>IF(Vu_khi!$S$249&gt;0,(Vu_khi!$S$249-1)*Vu_khi!$R$249+Vu_khi!$T$249,Vu_khi!$R$249+(Vu_khi!$P$249-1)*Vu_khi!$Q$249)</f>
        <v/>
      </c>
      <c r="H249" t="n">
        <v>3</v>
      </c>
      <c r="I249">
        <f>Vu_khi!$W$249*MAX(1,$E$249)</f>
        <v/>
      </c>
      <c r="J249" t="n">
        <v>380</v>
      </c>
      <c r="K249">
        <f>IF(Vu_khi!$V$249&gt;0,Vu_khi!$V$249,MIN(28,MAX(10,Vu_khi!$U$249*Vu_khi!$R$249*0.4)))</f>
        <v/>
      </c>
      <c r="L249" t="n">
        <v>10</v>
      </c>
      <c r="M249">
        <f>IF(Vu_khi!$W$249&lt;=0,0,IF(Vu_khi!$U$249&gt;0,$I$249*Vu_khi!$U$249/(MAX(0.05,$G$249)*Vu_khi!$U$249+$K$249),$I$249/MAX(0.05,$G$249)))</f>
        <v/>
      </c>
      <c r="N249" t="n">
        <v>126.6666666666667</v>
      </c>
      <c r="O249">
        <f>OR(Vu_khi!$AG$249,Vu_khi!$AB$249&gt;0,Vu_khi!$AH$249,Vu_khi!$M$249="Bomb",Vu_khi!$M$249="Drone")</f>
        <v/>
      </c>
      <c r="P249" t="b">
        <v>0</v>
      </c>
      <c r="Q249">
        <f>AND(NOT(Vu_khi!$AJ$249),OR(Vu_khi!$AC$249="Ground",Vu_khi!$AC$249="All"))</f>
        <v/>
      </c>
      <c r="R249" t="b">
        <v>1</v>
      </c>
      <c r="S249">
        <f>AND(NOT(Vu_khi!$AJ$249),OR(Vu_khi!$AC$249="Air",Vu_khi!$AC$249="All"))</f>
        <v/>
      </c>
      <c r="T249" t="b">
        <v>0</v>
      </c>
      <c r="U249">
        <f>INDEX(Bang_sat_thuong!$B$2:$B$7,MATCH(Vu_khi!$K$249,Bang_sat_thuong!$A$2:$A$7,0))</f>
        <v/>
      </c>
      <c r="V249" t="n">
        <v>1</v>
      </c>
      <c r="W249">
        <f>INDEX(Bang_sat_thuong!$C$2:$C$7,MATCH(Vu_khi!$K$249,Bang_sat_thuong!$A$2:$A$7,0))</f>
        <v/>
      </c>
      <c r="X249" t="n">
        <v>0.3</v>
      </c>
      <c r="Y249">
        <f>IF(AND(Vu_khi!$AI$249,Vu_khi!$K$249="HighExplosive"),MAX(He_so_toan_cuc!$D$2,INDEX(Bang_sat_thuong!$D$2:$D$7,MATCH(Vu_khi!$K$249,Bang_sat_thuong!$A$2:$A$7,0))),INDEX(Bang_sat_thuong!$D$2:$D$7,MATCH(Vu_khi!$K$249,Bang_sat_thuong!$A$2:$A$7,0)))</f>
        <v/>
      </c>
      <c r="Z249" t="n">
        <v>0.6</v>
      </c>
      <c r="AA249">
        <f>INDEX(Bang_xuyen_giap!$C$2:$C$7,MIN(6,MAX(1,IF($O$249,MAX(1,2-(Vu_khi!$L$249-0)),2-(Vu_khi!$L$249-0))+1)))</f>
        <v/>
      </c>
      <c r="AB249" t="n">
        <v>1.2</v>
      </c>
      <c r="AC249">
        <f>INDEX(Bang_xuyen_giap!$C$2:$C$7,MIN(6,MAX(1,IF($O$249,MAX(1,2-(Vu_khi!$L$249-2)),2-(Vu_khi!$L$249-2))+1)))</f>
        <v/>
      </c>
      <c r="AD249" t="n">
        <v>1.2</v>
      </c>
      <c r="AE249">
        <f>INDEX(Bang_xuyen_giap!$C$2:$C$7,MIN(6,MAX(1,IF($O$249,MAX(1,2-(Vu_khi!$L$249-4)),2-(Vu_khi!$L$249-4))+1)))</f>
        <v/>
      </c>
      <c r="AF249" t="n">
        <v>1</v>
      </c>
      <c r="AG249">
        <f>INDEX(Bang_xuyen_giap!$C$2:$C$7,MIN(6,MAX(1,MAX(1,2-(Vu_khi!$L$249-0))+1)))</f>
        <v/>
      </c>
      <c r="AH249" t="n">
        <v>1</v>
      </c>
      <c r="AI249">
        <f>IF($Q$249,$M$249*$AA$249*$U$249,0)</f>
        <v/>
      </c>
      <c r="AJ249" t="n">
        <v>152</v>
      </c>
      <c r="AK249">
        <f>IF($Q$249,$M$249*$AC$249*$U$249,0)</f>
        <v/>
      </c>
      <c r="AL249" t="n">
        <v>152</v>
      </c>
      <c r="AM249">
        <f>IF($Q$249,$M$249*$AE$249*$U$249,0)</f>
        <v/>
      </c>
      <c r="AN249" t="n">
        <v>126.6666666666667</v>
      </c>
      <c r="AO249">
        <f>IF($Q$249,$M$249*$AC$249*$Y$249,0)</f>
        <v/>
      </c>
      <c r="AP249" t="n">
        <v>91.2</v>
      </c>
      <c r="AQ249">
        <f>IF($S$249,$M$249*$AG$249*$W$249,0)</f>
        <v/>
      </c>
      <c r="AR249" t="n">
        <v>0</v>
      </c>
      <c r="AS249">
        <f>IF(OR(Vu_khi!$M$249="Missile",Vu_khi!$M$249="Drone",AND(Vu_khi!$M$249="Rocket",OR(Vu_khi!$AM$249,Vu_khi!$D$249="guided")),Vu_khi!$AL$249,Vu_khi!$AK$249,Vu_khi!$X$249&lt;=0),FALSE,IF($B$249&gt;=0,$B$249&gt;=4,IF(Vu_khi!$M$249="Shell",Vu_khi!$AN$249&gt;=Canh_bao_vong!$D$10,IF(Vu_khi!$M$249="Bomb",Vu_khi!$AN$249&gt;=Canh_bao_vong!$D$3,IF(Vu_khi!$M$249="Rocket",Vu_khi!$AN$249&gt;=Canh_bao_vong!$D$13,FALSE)))))</f>
        <v/>
      </c>
      <c r="AT249" t="b">
        <v>0</v>
      </c>
      <c r="AU249">
        <f>IF(AND($B$249&lt;0,$AS$249),4,$B$249)</f>
        <v/>
      </c>
      <c r="AV249" t="n">
        <v>3</v>
      </c>
      <c r="AW249">
        <f>IF($AU$249&lt;4,0,MIN(MAX(0.5,Canh_bao_vong!$D$4),MAX(IF(Vu_khi!$C$249="cal_406",Canh_bao_vong!$D$7,IF($AU$249&gt;=5,Canh_bao_vong!$D$9,Canh_bao_vong!$D$8)),Canh_bao_vong!$D$2+MAX(0,Vu_khi!$X$249)/MAX(0.1,Canh_bao_vong!$D$5))))</f>
        <v/>
      </c>
      <c r="AX249" t="n">
        <v>0</v>
      </c>
      <c r="AY249" t="n">
        <v>1.05</v>
      </c>
      <c r="AZ249" t="inlineStr">
        <is>
          <t>ok</t>
        </is>
      </c>
      <c r="BA249" t="b">
        <v>1</v>
      </c>
      <c r="BB249" t="inlineStr">
        <is>
          <t>Assets/MachineBrigade/Resources/Data/balance.json: weapons[id=p26_leviathan_direct_lev127] (lớp B trên 01_chien_dau/Vu_khi)</t>
        </is>
      </c>
      <c r="BC249" t="inlineStr"/>
    </row>
    <row r="250">
      <c r="A250" t="inlineStr">
        <is>
          <t>p26_leviathan_lev127</t>
        </is>
      </c>
      <c r="B250" t="n">
        <v>3</v>
      </c>
      <c r="C250">
        <f>IF(Vu_khi!$O$250="SIMULTANEOUS",MAX(1,Vu_khi!$N$250),1)</f>
        <v/>
      </c>
      <c r="D250" t="n">
        <v>1</v>
      </c>
      <c r="E250">
        <f>IF(Vu_khi!$S$250&gt;0,Vu_khi!$S$250,Vu_khi!$P$250*$C$250)</f>
        <v/>
      </c>
      <c r="F250" t="n">
        <v>1</v>
      </c>
      <c r="G250">
        <f>IF(Vu_khi!$S$250&gt;0,(Vu_khi!$S$250-1)*Vu_khi!$R$250+Vu_khi!$T$250,Vu_khi!$R$250+(Vu_khi!$P$250-1)*Vu_khi!$Q$250)</f>
        <v/>
      </c>
      <c r="H250" t="n">
        <v>2</v>
      </c>
      <c r="I250">
        <f>Vu_khi!$W$250*MAX(1,$E$250)</f>
        <v/>
      </c>
      <c r="J250" t="n">
        <v>320</v>
      </c>
      <c r="K250">
        <f>IF(Vu_khi!$V$250&gt;0,Vu_khi!$V$250,MIN(28,MAX(10,Vu_khi!$U$250*Vu_khi!$R$250*0.4)))</f>
        <v/>
      </c>
      <c r="L250" t="n">
        <v>10</v>
      </c>
      <c r="M250">
        <f>IF(Vu_khi!$W$250&lt;=0,0,IF(Vu_khi!$U$250&gt;0,$I$250*Vu_khi!$U$250/(MAX(0.05,$G$250)*Vu_khi!$U$250+$K$250),$I$250/MAX(0.05,$G$250)))</f>
        <v/>
      </c>
      <c r="N250" t="n">
        <v>160</v>
      </c>
      <c r="O250">
        <f>OR(Vu_khi!$AG$250,Vu_khi!$AB$250&gt;0,Vu_khi!$AH$250,Vu_khi!$M$250="Bomb",Vu_khi!$M$250="Drone")</f>
        <v/>
      </c>
      <c r="P250" t="b">
        <v>0</v>
      </c>
      <c r="Q250">
        <f>AND(NOT(Vu_khi!$AJ$250),OR(Vu_khi!$AC$250="Ground",Vu_khi!$AC$250="All"))</f>
        <v/>
      </c>
      <c r="R250" t="b">
        <v>1</v>
      </c>
      <c r="S250">
        <f>AND(NOT(Vu_khi!$AJ$250),OR(Vu_khi!$AC$250="Air",Vu_khi!$AC$250="All"))</f>
        <v/>
      </c>
      <c r="T250" t="b">
        <v>0</v>
      </c>
      <c r="U250">
        <f>INDEX(Bang_sat_thuong!$B$2:$B$7,MATCH(Vu_khi!$K$250,Bang_sat_thuong!$A$2:$A$7,0))</f>
        <v/>
      </c>
      <c r="V250" t="n">
        <v>1</v>
      </c>
      <c r="W250">
        <f>INDEX(Bang_sat_thuong!$C$2:$C$7,MATCH(Vu_khi!$K$250,Bang_sat_thuong!$A$2:$A$7,0))</f>
        <v/>
      </c>
      <c r="X250" t="n">
        <v>0.3</v>
      </c>
      <c r="Y250">
        <f>IF(AND(Vu_khi!$AI$250,Vu_khi!$K$250="HighExplosive"),MAX(He_so_toan_cuc!$D$2,INDEX(Bang_sat_thuong!$D$2:$D$7,MATCH(Vu_khi!$K$250,Bang_sat_thuong!$A$2:$A$7,0))),INDEX(Bang_sat_thuong!$D$2:$D$7,MATCH(Vu_khi!$K$250,Bang_sat_thuong!$A$2:$A$7,0)))</f>
        <v/>
      </c>
      <c r="Z250" t="n">
        <v>0.6</v>
      </c>
      <c r="AA250">
        <f>INDEX(Bang_xuyen_giap!$C$2:$C$7,MIN(6,MAX(1,IF($O$250,MAX(1,2-(Vu_khi!$L$250-0)),2-(Vu_khi!$L$250-0))+1)))</f>
        <v/>
      </c>
      <c r="AB250" t="n">
        <v>1.2</v>
      </c>
      <c r="AC250">
        <f>INDEX(Bang_xuyen_giap!$C$2:$C$7,MIN(6,MAX(1,IF($O$250,MAX(1,2-(Vu_khi!$L$250-2)),2-(Vu_khi!$L$250-2))+1)))</f>
        <v/>
      </c>
      <c r="AD250" t="n">
        <v>1.2</v>
      </c>
      <c r="AE250">
        <f>INDEX(Bang_xuyen_giap!$C$2:$C$7,MIN(6,MAX(1,IF($O$250,MAX(1,2-(Vu_khi!$L$250-4)),2-(Vu_khi!$L$250-4))+1)))</f>
        <v/>
      </c>
      <c r="AF250" t="n">
        <v>1</v>
      </c>
      <c r="AG250">
        <f>INDEX(Bang_xuyen_giap!$C$2:$C$7,MIN(6,MAX(1,MAX(1,2-(Vu_khi!$L$250-0))+1)))</f>
        <v/>
      </c>
      <c r="AH250" t="n">
        <v>1</v>
      </c>
      <c r="AI250">
        <f>IF($Q$250,$M$250*$AA$250*$U$250,0)</f>
        <v/>
      </c>
      <c r="AJ250" t="n">
        <v>192</v>
      </c>
      <c r="AK250">
        <f>IF($Q$250,$M$250*$AC$250*$U$250,0)</f>
        <v/>
      </c>
      <c r="AL250" t="n">
        <v>192</v>
      </c>
      <c r="AM250">
        <f>IF($Q$250,$M$250*$AE$250*$U$250,0)</f>
        <v/>
      </c>
      <c r="AN250" t="n">
        <v>160</v>
      </c>
      <c r="AO250">
        <f>IF($Q$250,$M$250*$AC$250*$Y$250,0)</f>
        <v/>
      </c>
      <c r="AP250" t="n">
        <v>115.2</v>
      </c>
      <c r="AQ250">
        <f>IF($S$250,$M$250*$AG$250*$W$250,0)</f>
        <v/>
      </c>
      <c r="AR250" t="n">
        <v>0</v>
      </c>
      <c r="AS250">
        <f>IF(OR(Vu_khi!$M$250="Missile",Vu_khi!$M$250="Drone",AND(Vu_khi!$M$250="Rocket",OR(Vu_khi!$AM$250,Vu_khi!$D$250="guided")),Vu_khi!$AL$250,Vu_khi!$AK$250,Vu_khi!$X$250&lt;=0),FALSE,IF($B$250&gt;=0,$B$250&gt;=4,IF(Vu_khi!$M$250="Shell",Vu_khi!$AN$250&gt;=Canh_bao_vong!$D$10,IF(Vu_khi!$M$250="Bomb",Vu_khi!$AN$250&gt;=Canh_bao_vong!$D$3,IF(Vu_khi!$M$250="Rocket",Vu_khi!$AN$250&gt;=Canh_bao_vong!$D$13,FALSE)))))</f>
        <v/>
      </c>
      <c r="AT250" t="b">
        <v>0</v>
      </c>
      <c r="AU250">
        <f>IF(AND($B$250&lt;0,$AS$250),4,$B$250)</f>
        <v/>
      </c>
      <c r="AV250" t="n">
        <v>3</v>
      </c>
      <c r="AW250">
        <f>IF($AU$250&lt;4,0,MIN(MAX(0.5,Canh_bao_vong!$D$4),MAX(IF(Vu_khi!$C$250="cal_406",Canh_bao_vong!$D$7,IF($AU$250&gt;=5,Canh_bao_vong!$D$9,Canh_bao_vong!$D$8)),Canh_bao_vong!$D$2+MAX(0,Vu_khi!$X$250)/MAX(0.1,Canh_bao_vong!$D$5))))</f>
        <v/>
      </c>
      <c r="AX250" t="n">
        <v>0</v>
      </c>
      <c r="AY250" t="n">
        <v>0.7</v>
      </c>
      <c r="AZ250" t="inlineStr">
        <is>
          <t>LECH_DOT_1</t>
        </is>
      </c>
      <c r="BA250" t="inlineStr"/>
      <c r="BB250" t="inlineStr">
        <is>
          <t>Assets/MachineBrigade/Resources/Data/balance.json: weapons[id=p26_leviathan_lev127] (lớp B trên 01_chien_dau/Vu_khi)</t>
        </is>
      </c>
      <c r="BC250" t="inlineStr"/>
    </row>
    <row r="251">
      <c r="A251" t="inlineStr">
        <is>
          <t>p26_leviathan_lev155</t>
        </is>
      </c>
      <c r="B251" t="n">
        <v>3</v>
      </c>
      <c r="C251">
        <f>IF(Vu_khi!$O$251="SIMULTANEOUS",MAX(1,Vu_khi!$N$251),1)</f>
        <v/>
      </c>
      <c r="D251" t="n">
        <v>1</v>
      </c>
      <c r="E251">
        <f>IF(Vu_khi!$S$251&gt;0,Vu_khi!$S$251,Vu_khi!$P$251*$C$251)</f>
        <v/>
      </c>
      <c r="F251" t="n">
        <v>3</v>
      </c>
      <c r="G251">
        <f>IF(Vu_khi!$S$251&gt;0,(Vu_khi!$S$251-1)*Vu_khi!$R$251+Vu_khi!$T$251,Vu_khi!$R$251+(Vu_khi!$P$251-1)*Vu_khi!$Q$251)</f>
        <v/>
      </c>
      <c r="H251" t="n">
        <v>5</v>
      </c>
      <c r="I251">
        <f>Vu_khi!$W$251*MAX(1,$E$251)</f>
        <v/>
      </c>
      <c r="J251" t="n">
        <v>510</v>
      </c>
      <c r="K251">
        <f>IF(Vu_khi!$V$251&gt;0,Vu_khi!$V$251,MIN(28,MAX(10,Vu_khi!$U$251*Vu_khi!$R$251*0.4)))</f>
        <v/>
      </c>
      <c r="L251" t="n">
        <v>10</v>
      </c>
      <c r="M251">
        <f>IF(Vu_khi!$W$251&lt;=0,0,IF(Vu_khi!$U$251&gt;0,$I$251*Vu_khi!$U$251/(MAX(0.05,$G$251)*Vu_khi!$U$251+$K$251),$I$251/MAX(0.05,$G$251)))</f>
        <v/>
      </c>
      <c r="N251" t="n">
        <v>102</v>
      </c>
      <c r="O251">
        <f>OR(Vu_khi!$AG$251,Vu_khi!$AB$251&gt;0,Vu_khi!$AH$251,Vu_khi!$M$251="Bomb",Vu_khi!$M$251="Drone")</f>
        <v/>
      </c>
      <c r="P251" t="b">
        <v>0</v>
      </c>
      <c r="Q251">
        <f>AND(NOT(Vu_khi!$AJ$251),OR(Vu_khi!$AC$251="Ground",Vu_khi!$AC$251="All"))</f>
        <v/>
      </c>
      <c r="R251" t="b">
        <v>1</v>
      </c>
      <c r="S251">
        <f>AND(NOT(Vu_khi!$AJ$251),OR(Vu_khi!$AC$251="Air",Vu_khi!$AC$251="All"))</f>
        <v/>
      </c>
      <c r="T251" t="b">
        <v>0</v>
      </c>
      <c r="U251">
        <f>INDEX(Bang_sat_thuong!$B$2:$B$7,MATCH(Vu_khi!$K$251,Bang_sat_thuong!$A$2:$A$7,0))</f>
        <v/>
      </c>
      <c r="V251" t="n">
        <v>1</v>
      </c>
      <c r="W251">
        <f>INDEX(Bang_sat_thuong!$C$2:$C$7,MATCH(Vu_khi!$K$251,Bang_sat_thuong!$A$2:$A$7,0))</f>
        <v/>
      </c>
      <c r="X251" t="n">
        <v>0</v>
      </c>
      <c r="Y251">
        <f>IF(AND(Vu_khi!$AI$251,Vu_khi!$K$251="HighExplosive"),MAX(He_so_toan_cuc!$D$2,INDEX(Bang_sat_thuong!$D$2:$D$7,MATCH(Vu_khi!$K$251,Bang_sat_thuong!$A$2:$A$7,0))),INDEX(Bang_sat_thuong!$D$2:$D$7,MATCH(Vu_khi!$K$251,Bang_sat_thuong!$A$2:$A$7,0)))</f>
        <v/>
      </c>
      <c r="Z251" t="n">
        <v>1.5</v>
      </c>
      <c r="AA251">
        <f>INDEX(Bang_xuyen_giap!$C$2:$C$7,MIN(6,MAX(1,IF($O$251,MAX(1,2-(Vu_khi!$L$251-0)),2-(Vu_khi!$L$251-0))+1)))</f>
        <v/>
      </c>
      <c r="AB251" t="n">
        <v>1.2</v>
      </c>
      <c r="AC251">
        <f>INDEX(Bang_xuyen_giap!$C$2:$C$7,MIN(6,MAX(1,IF($O$251,MAX(1,2-(Vu_khi!$L$251-2)),2-(Vu_khi!$L$251-2))+1)))</f>
        <v/>
      </c>
      <c r="AD251" t="n">
        <v>1</v>
      </c>
      <c r="AE251">
        <f>INDEX(Bang_xuyen_giap!$C$2:$C$7,MIN(6,MAX(1,IF($O$251,MAX(1,2-(Vu_khi!$L$251-4)),2-(Vu_khi!$L$251-4))+1)))</f>
        <v/>
      </c>
      <c r="AF251" t="n">
        <v>0.5</v>
      </c>
      <c r="AG251">
        <f>INDEX(Bang_xuyen_giap!$C$2:$C$7,MIN(6,MAX(1,MAX(1,2-(Vu_khi!$L$251-0))+1)))</f>
        <v/>
      </c>
      <c r="AH251" t="n">
        <v>1</v>
      </c>
      <c r="AI251">
        <f>IF($Q$251,$M$251*$AA$251*$U$251,0)</f>
        <v/>
      </c>
      <c r="AJ251" t="n">
        <v>122.4</v>
      </c>
      <c r="AK251">
        <f>IF($Q$251,$M$251*$AC$251*$U$251,0)</f>
        <v/>
      </c>
      <c r="AL251" t="n">
        <v>102</v>
      </c>
      <c r="AM251">
        <f>IF($Q$251,$M$251*$AE$251*$U$251,0)</f>
        <v/>
      </c>
      <c r="AN251" t="n">
        <v>51</v>
      </c>
      <c r="AO251">
        <f>IF($Q$251,$M$251*$AC$251*$Y$251,0)</f>
        <v/>
      </c>
      <c r="AP251" t="n">
        <v>153</v>
      </c>
      <c r="AQ251">
        <f>IF($S$251,$M$251*$AG$251*$W$251,0)</f>
        <v/>
      </c>
      <c r="AR251" t="n">
        <v>0</v>
      </c>
      <c r="AS251">
        <f>IF(OR(Vu_khi!$M$251="Missile",Vu_khi!$M$251="Drone",AND(Vu_khi!$M$251="Rocket",OR(Vu_khi!$AM$251,Vu_khi!$D$251="guided")),Vu_khi!$AL$251,Vu_khi!$AK$251,Vu_khi!$X$251&lt;=0),FALSE,IF($B$251&gt;=0,$B$251&gt;=4,IF(Vu_khi!$M$251="Shell",Vu_khi!$AN$251&gt;=Canh_bao_vong!$D$10,IF(Vu_khi!$M$251="Bomb",Vu_khi!$AN$251&gt;=Canh_bao_vong!$D$3,IF(Vu_khi!$M$251="Rocket",Vu_khi!$AN$251&gt;=Canh_bao_vong!$D$13,FALSE)))))</f>
        <v/>
      </c>
      <c r="AT251" t="b">
        <v>0</v>
      </c>
      <c r="AU251">
        <f>IF(AND($B$251&lt;0,$AS$251),4,$B$251)</f>
        <v/>
      </c>
      <c r="AV251" t="n">
        <v>3</v>
      </c>
      <c r="AW251">
        <f>IF($AU$251&lt;4,0,MIN(MAX(0.5,Canh_bao_vong!$D$4),MAX(IF(Vu_khi!$C$251="cal_406",Canh_bao_vong!$D$7,IF($AU$251&gt;=5,Canh_bao_vong!$D$9,Canh_bao_vong!$D$8)),Canh_bao_vong!$D$2+MAX(0,Vu_khi!$X$251)/MAX(0.1,Canh_bao_vong!$D$5))))</f>
        <v/>
      </c>
      <c r="AX251" t="n">
        <v>0</v>
      </c>
      <c r="AY251" t="n">
        <v>0.291667</v>
      </c>
      <c r="AZ251" t="inlineStr">
        <is>
          <t>NHANH_QUA;LECH_DOT_1</t>
        </is>
      </c>
      <c r="BA251" t="inlineStr"/>
      <c r="BB251" t="inlineStr">
        <is>
          <t>Assets/MachineBrigade/Resources/Data/balance.json: weapons[id=p26_leviathan_lev155] (lớp B trên 01_chien_dau/Vu_khi)</t>
        </is>
      </c>
      <c r="BC251" t="inlineStr"/>
    </row>
    <row r="252">
      <c r="A252" t="inlineStr">
        <is>
          <t>p26_leviathan_lev406</t>
        </is>
      </c>
      <c r="B252" t="n">
        <v>5</v>
      </c>
      <c r="C252">
        <f>IF(Vu_khi!$O$252="SIMULTANEOUS",MAX(1,Vu_khi!$N$252),1)</f>
        <v/>
      </c>
      <c r="D252" t="n">
        <v>3</v>
      </c>
      <c r="E252">
        <f>IF(Vu_khi!$S$252&gt;0,Vu_khi!$S$252,Vu_khi!$P$252*$C$252)</f>
        <v/>
      </c>
      <c r="F252" t="n">
        <v>3</v>
      </c>
      <c r="G252">
        <f>IF(Vu_khi!$S$252&gt;0,(Vu_khi!$S$252-1)*Vu_khi!$R$252+Vu_khi!$T$252,Vu_khi!$R$252+(Vu_khi!$P$252-1)*Vu_khi!$Q$252)</f>
        <v/>
      </c>
      <c r="H252" t="n">
        <v>60</v>
      </c>
      <c r="I252">
        <f>Vu_khi!$W$252*MAX(1,$E$252)</f>
        <v/>
      </c>
      <c r="J252" t="n">
        <v>7200</v>
      </c>
      <c r="K252">
        <f>IF(Vu_khi!$V$252&gt;0,Vu_khi!$V$252,MIN(28,MAX(10,Vu_khi!$U$252*Vu_khi!$R$252*0.4)))</f>
        <v/>
      </c>
      <c r="L252" t="n">
        <v>10</v>
      </c>
      <c r="M252">
        <f>IF(Vu_khi!$W$252&lt;=0,0,IF(Vu_khi!$U$252&gt;0,$I$252*Vu_khi!$U$252/(MAX(0.05,$G$252)*Vu_khi!$U$252+$K$252),$I$252/MAX(0.05,$G$252)))</f>
        <v/>
      </c>
      <c r="N252" t="n">
        <v>120</v>
      </c>
      <c r="O252">
        <f>OR(Vu_khi!$AG$252,Vu_khi!$AB$252&gt;0,Vu_khi!$AH$252,Vu_khi!$M$252="Bomb",Vu_khi!$M$252="Drone")</f>
        <v/>
      </c>
      <c r="P252" t="b">
        <v>0</v>
      </c>
      <c r="Q252">
        <f>AND(NOT(Vu_khi!$AJ$252),OR(Vu_khi!$AC$252="Ground",Vu_khi!$AC$252="All"))</f>
        <v/>
      </c>
      <c r="R252" t="b">
        <v>1</v>
      </c>
      <c r="S252">
        <f>AND(NOT(Vu_khi!$AJ$252),OR(Vu_khi!$AC$252="Air",Vu_khi!$AC$252="All"))</f>
        <v/>
      </c>
      <c r="T252" t="b">
        <v>0</v>
      </c>
      <c r="U252">
        <f>INDEX(Bang_sat_thuong!$B$2:$B$7,MATCH(Vu_khi!$K$252,Bang_sat_thuong!$A$2:$A$7,0))</f>
        <v/>
      </c>
      <c r="V252" t="n">
        <v>1</v>
      </c>
      <c r="W252">
        <f>INDEX(Bang_sat_thuong!$C$2:$C$7,MATCH(Vu_khi!$K$252,Bang_sat_thuong!$A$2:$A$7,0))</f>
        <v/>
      </c>
      <c r="X252" t="n">
        <v>0</v>
      </c>
      <c r="Y252">
        <f>IF(AND(Vu_khi!$AI$252,Vu_khi!$K$252="HighExplosive"),MAX(He_so_toan_cuc!$D$2,INDEX(Bang_sat_thuong!$D$2:$D$7,MATCH(Vu_khi!$K$252,Bang_sat_thuong!$A$2:$A$7,0))),INDEX(Bang_sat_thuong!$D$2:$D$7,MATCH(Vu_khi!$K$252,Bang_sat_thuong!$A$2:$A$7,0)))</f>
        <v/>
      </c>
      <c r="Z252" t="n">
        <v>1.5</v>
      </c>
      <c r="AA252">
        <f>INDEX(Bang_xuyen_giap!$C$2:$C$7,MIN(6,MAX(1,IF($O$252,MAX(1,2-(Vu_khi!$L$252-0)),2-(Vu_khi!$L$252-0))+1)))</f>
        <v/>
      </c>
      <c r="AB252" t="n">
        <v>1.2</v>
      </c>
      <c r="AC252">
        <f>INDEX(Bang_xuyen_giap!$C$2:$C$7,MIN(6,MAX(1,IF($O$252,MAX(1,2-(Vu_khi!$L$252-2)),2-(Vu_khi!$L$252-2))+1)))</f>
        <v/>
      </c>
      <c r="AD252" t="n">
        <v>1.2</v>
      </c>
      <c r="AE252">
        <f>INDEX(Bang_xuyen_giap!$C$2:$C$7,MIN(6,MAX(1,IF($O$252,MAX(1,2-(Vu_khi!$L$252-4)),2-(Vu_khi!$L$252-4))+1)))</f>
        <v/>
      </c>
      <c r="AF252" t="n">
        <v>0.85</v>
      </c>
      <c r="AG252">
        <f>INDEX(Bang_xuyen_giap!$C$2:$C$7,MIN(6,MAX(1,MAX(1,2-(Vu_khi!$L$252-0))+1)))</f>
        <v/>
      </c>
      <c r="AH252" t="n">
        <v>1</v>
      </c>
      <c r="AI252">
        <f>IF($Q$252,$M$252*$AA$252*$U$252,0)</f>
        <v/>
      </c>
      <c r="AJ252" t="n">
        <v>144</v>
      </c>
      <c r="AK252">
        <f>IF($Q$252,$M$252*$AC$252*$U$252,0)</f>
        <v/>
      </c>
      <c r="AL252" t="n">
        <v>144</v>
      </c>
      <c r="AM252">
        <f>IF($Q$252,$M$252*$AE$252*$U$252,0)</f>
        <v/>
      </c>
      <c r="AN252" t="n">
        <v>102</v>
      </c>
      <c r="AO252">
        <f>IF($Q$252,$M$252*$AC$252*$Y$252,0)</f>
        <v/>
      </c>
      <c r="AP252" t="n">
        <v>216</v>
      </c>
      <c r="AQ252">
        <f>IF($S$252,$M$252*$AG$252*$W$252,0)</f>
        <v/>
      </c>
      <c r="AR252" t="n">
        <v>0</v>
      </c>
      <c r="AS252">
        <f>IF(OR(Vu_khi!$M$252="Missile",Vu_khi!$M$252="Drone",AND(Vu_khi!$M$252="Rocket",OR(Vu_khi!$AM$252,Vu_khi!$D$252="guided")),Vu_khi!$AL$252,Vu_khi!$AK$252,Vu_khi!$X$252&lt;=0),FALSE,IF($B$252&gt;=0,$B$252&gt;=4,IF(Vu_khi!$M$252="Shell",Vu_khi!$AN$252&gt;=Canh_bao_vong!$D$10,IF(Vu_khi!$M$252="Bomb",Vu_khi!$AN$252&gt;=Canh_bao_vong!$D$3,IF(Vu_khi!$M$252="Rocket",Vu_khi!$AN$252&gt;=Canh_bao_vong!$D$13,FALSE)))))</f>
        <v/>
      </c>
      <c r="AT252" t="b">
        <v>0</v>
      </c>
      <c r="AU252">
        <f>IF(AND($B$252&lt;0,$AS$252),4,$B$252)</f>
        <v/>
      </c>
      <c r="AV252" t="n">
        <v>5</v>
      </c>
      <c r="AW252">
        <f>IF($AU$252&lt;4,0,MIN(MAX(0.5,Canh_bao_vong!$D$4),MAX(IF(Vu_khi!$C$252="cal_406",Canh_bao_vong!$D$7,IF($AU$252&gt;=5,Canh_bao_vong!$D$9,Canh_bao_vong!$D$8)),Canh_bao_vong!$D$2+MAX(0,Vu_khi!$X$252)/MAX(0.1,Canh_bao_vong!$D$5))))</f>
        <v/>
      </c>
      <c r="AX252" t="n">
        <v>3.611111111111111</v>
      </c>
      <c r="AY252" t="n">
        <v>1.4</v>
      </c>
      <c r="AZ252" t="inlineStr">
        <is>
          <t>ok</t>
        </is>
      </c>
      <c r="BA252" t="b">
        <v>1</v>
      </c>
      <c r="BB252" t="inlineStr">
        <is>
          <t>Assets/MachineBrigade/Resources/Data/balance.json: weapons[id=p26_leviathan_lev406] (lớp B trên 01_chien_dau/Vu_khi)</t>
        </is>
      </c>
      <c r="BC252" t="inlineStr"/>
    </row>
    <row r="253">
      <c r="A253" t="inlineStr">
        <is>
          <t>p26_leviathan_sec_lev155</t>
        </is>
      </c>
      <c r="B253" t="n">
        <v>3</v>
      </c>
      <c r="C253">
        <f>IF(Vu_khi!$O$253="SIMULTANEOUS",MAX(1,Vu_khi!$N$253),1)</f>
        <v/>
      </c>
      <c r="D253" t="n">
        <v>3</v>
      </c>
      <c r="E253">
        <f>IF(Vu_khi!$S$253&gt;0,Vu_khi!$S$253,Vu_khi!$P$253*$C$253)</f>
        <v/>
      </c>
      <c r="F253" t="n">
        <v>3</v>
      </c>
      <c r="G253">
        <f>IF(Vu_khi!$S$253&gt;0,(Vu_khi!$S$253-1)*Vu_khi!$R$253+Vu_khi!$T$253,Vu_khi!$R$253+(Vu_khi!$P$253-1)*Vu_khi!$Q$253)</f>
        <v/>
      </c>
      <c r="H253" t="n">
        <v>10.5</v>
      </c>
      <c r="I253">
        <f>Vu_khi!$W$253*MAX(1,$E$253)</f>
        <v/>
      </c>
      <c r="J253" t="n">
        <v>1800</v>
      </c>
      <c r="K253">
        <f>IF(Vu_khi!$V$253&gt;0,Vu_khi!$V$253,MIN(28,MAX(10,Vu_khi!$U$253*Vu_khi!$R$253*0.4)))</f>
        <v/>
      </c>
      <c r="L253" t="n">
        <v>10</v>
      </c>
      <c r="M253">
        <f>IF(Vu_khi!$W$253&lt;=0,0,IF(Vu_khi!$U$253&gt;0,$I$253*Vu_khi!$U$253/(MAX(0.05,$G$253)*Vu_khi!$U$253+$K$253),$I$253/MAX(0.05,$G$253)))</f>
        <v/>
      </c>
      <c r="N253" t="n">
        <v>171.4285714285714</v>
      </c>
      <c r="O253">
        <f>OR(Vu_khi!$AG$253,Vu_khi!$AB$253&gt;0,Vu_khi!$AH$253,Vu_khi!$M$253="Bomb",Vu_khi!$M$253="Drone")</f>
        <v/>
      </c>
      <c r="P253" t="b">
        <v>0</v>
      </c>
      <c r="Q253">
        <f>AND(NOT(Vu_khi!$AJ$253),OR(Vu_khi!$AC$253="Ground",Vu_khi!$AC$253="All"))</f>
        <v/>
      </c>
      <c r="R253" t="b">
        <v>1</v>
      </c>
      <c r="S253">
        <f>AND(NOT(Vu_khi!$AJ$253),OR(Vu_khi!$AC$253="Air",Vu_khi!$AC$253="All"))</f>
        <v/>
      </c>
      <c r="T253" t="b">
        <v>0</v>
      </c>
      <c r="U253">
        <f>INDEX(Bang_sat_thuong!$B$2:$B$7,MATCH(Vu_khi!$K$253,Bang_sat_thuong!$A$2:$A$7,0))</f>
        <v/>
      </c>
      <c r="V253" t="n">
        <v>1</v>
      </c>
      <c r="W253">
        <f>INDEX(Bang_sat_thuong!$C$2:$C$7,MATCH(Vu_khi!$K$253,Bang_sat_thuong!$A$2:$A$7,0))</f>
        <v/>
      </c>
      <c r="X253" t="n">
        <v>0</v>
      </c>
      <c r="Y253">
        <f>IF(AND(Vu_khi!$AI$253,Vu_khi!$K$253="HighExplosive"),MAX(He_so_toan_cuc!$D$2,INDEX(Bang_sat_thuong!$D$2:$D$7,MATCH(Vu_khi!$K$253,Bang_sat_thuong!$A$2:$A$7,0))),INDEX(Bang_sat_thuong!$D$2:$D$7,MATCH(Vu_khi!$K$253,Bang_sat_thuong!$A$2:$A$7,0)))</f>
        <v/>
      </c>
      <c r="Z253" t="n">
        <v>1.5</v>
      </c>
      <c r="AA253">
        <f>INDEX(Bang_xuyen_giap!$C$2:$C$7,MIN(6,MAX(1,IF($O$253,MAX(1,2-(Vu_khi!$L$253-0)),2-(Vu_khi!$L$253-0))+1)))</f>
        <v/>
      </c>
      <c r="AB253" t="n">
        <v>1.2</v>
      </c>
      <c r="AC253">
        <f>INDEX(Bang_xuyen_giap!$C$2:$C$7,MIN(6,MAX(1,IF($O$253,MAX(1,2-(Vu_khi!$L$253-2)),2-(Vu_khi!$L$253-2))+1)))</f>
        <v/>
      </c>
      <c r="AD253" t="n">
        <v>1</v>
      </c>
      <c r="AE253">
        <f>INDEX(Bang_xuyen_giap!$C$2:$C$7,MIN(6,MAX(1,IF($O$253,MAX(1,2-(Vu_khi!$L$253-4)),2-(Vu_khi!$L$253-4))+1)))</f>
        <v/>
      </c>
      <c r="AF253" t="n">
        <v>0.5</v>
      </c>
      <c r="AG253">
        <f>INDEX(Bang_xuyen_giap!$C$2:$C$7,MIN(6,MAX(1,MAX(1,2-(Vu_khi!$L$253-0))+1)))</f>
        <v/>
      </c>
      <c r="AH253" t="n">
        <v>1</v>
      </c>
      <c r="AI253">
        <f>IF($Q$253,$M$253*$AA$253*$U$253,0)</f>
        <v/>
      </c>
      <c r="AJ253" t="n">
        <v>205.7142857142857</v>
      </c>
      <c r="AK253">
        <f>IF($Q$253,$M$253*$AC$253*$U$253,0)</f>
        <v/>
      </c>
      <c r="AL253" t="n">
        <v>171.4285714285714</v>
      </c>
      <c r="AM253">
        <f>IF($Q$253,$M$253*$AE$253*$U$253,0)</f>
        <v/>
      </c>
      <c r="AN253" t="n">
        <v>85.71428571428571</v>
      </c>
      <c r="AO253">
        <f>IF($Q$253,$M$253*$AC$253*$Y$253,0)</f>
        <v/>
      </c>
      <c r="AP253" t="n">
        <v>257.1428571428571</v>
      </c>
      <c r="AQ253">
        <f>IF($S$253,$M$253*$AG$253*$W$253,0)</f>
        <v/>
      </c>
      <c r="AR253" t="n">
        <v>0</v>
      </c>
      <c r="AS253">
        <f>IF(OR(Vu_khi!$M$253="Missile",Vu_khi!$M$253="Drone",AND(Vu_khi!$M$253="Rocket",OR(Vu_khi!$AM$253,Vu_khi!$D$253="guided")),Vu_khi!$AL$253,Vu_khi!$AK$253,Vu_khi!$X$253&lt;=0),FALSE,IF($B$253&gt;=0,$B$253&gt;=4,IF(Vu_khi!$M$253="Shell",Vu_khi!$AN$253&gt;=Canh_bao_vong!$D$10,IF(Vu_khi!$M$253="Bomb",Vu_khi!$AN$253&gt;=Canh_bao_vong!$D$3,IF(Vu_khi!$M$253="Rocket",Vu_khi!$AN$253&gt;=Canh_bao_vong!$D$13,FALSE)))))</f>
        <v/>
      </c>
      <c r="AT253" t="b">
        <v>0</v>
      </c>
      <c r="AU253">
        <f>IF(AND($B$253&lt;0,$AS$253),4,$B$253)</f>
        <v/>
      </c>
      <c r="AV253" t="n">
        <v>3</v>
      </c>
      <c r="AW253">
        <f>IF($AU$253&lt;4,0,MIN(MAX(0.5,Canh_bao_vong!$D$4),MAX(IF(Vu_khi!$C$253="cal_406",Canh_bao_vong!$D$7,IF($AU$253&gt;=5,Canh_bao_vong!$D$9,Canh_bao_vong!$D$8)),Canh_bao_vong!$D$2+MAX(0,Vu_khi!$X$253)/MAX(0.1,Canh_bao_vong!$D$5))))</f>
        <v/>
      </c>
      <c r="AX253" t="n">
        <v>0</v>
      </c>
      <c r="AY253" t="n">
        <v>0.6125</v>
      </c>
      <c r="AZ253" t="inlineStr">
        <is>
          <t>LECH_HO</t>
        </is>
      </c>
      <c r="BA253" t="b">
        <v>0</v>
      </c>
      <c r="BB253" t="inlineStr">
        <is>
          <t>Assets/MachineBrigade/Resources/Data/balance.json: weapons[id=p26_leviathan_sec_lev155] (lớp B trên 01_chien_dau/Vu_khi)</t>
        </is>
      </c>
      <c r="BC253" t="inlineStr"/>
    </row>
    <row r="254">
      <c r="A254" t="inlineStr">
        <is>
          <t>p26_matriarch_close_boss_flak</t>
        </is>
      </c>
      <c r="B254" t="n">
        <v>1</v>
      </c>
      <c r="C254">
        <f>IF(Vu_khi!$O$254="SIMULTANEOUS",MAX(1,Vu_khi!$N$254),1)</f>
        <v/>
      </c>
      <c r="D254" t="n">
        <v>1</v>
      </c>
      <c r="E254">
        <f>IF(Vu_khi!$S$254&gt;0,Vu_khi!$S$254,Vu_khi!$P$254*$C$254)</f>
        <v/>
      </c>
      <c r="F254" t="n">
        <v>41</v>
      </c>
      <c r="G254">
        <f>IF(Vu_khi!$S$254&gt;0,(Vu_khi!$S$254-1)*Vu_khi!$R$254+Vu_khi!$T$254,Vu_khi!$R$254+(Vu_khi!$P$254-1)*Vu_khi!$Q$254)</f>
        <v/>
      </c>
      <c r="H254" t="n">
        <v>5.38</v>
      </c>
      <c r="I254">
        <f>Vu_khi!$W$254*MAX(1,$E$254)</f>
        <v/>
      </c>
      <c r="J254" t="n">
        <v>1025</v>
      </c>
      <c r="K254">
        <f>IF(Vu_khi!$V$254&gt;0,Vu_khi!$V$254,MIN(28,MAX(10,Vu_khi!$U$254*Vu_khi!$R$254*0.4)))</f>
        <v/>
      </c>
      <c r="L254" t="n">
        <v>10</v>
      </c>
      <c r="M254">
        <f>IF(Vu_khi!$W$254&lt;=0,0,IF(Vu_khi!$U$254&gt;0,$I$254*Vu_khi!$U$254/(MAX(0.05,$G$254)*Vu_khi!$U$254+$K$254),$I$254/MAX(0.05,$G$254)))</f>
        <v/>
      </c>
      <c r="N254" t="n">
        <v>190.5204460966543</v>
      </c>
      <c r="O254">
        <f>OR(Vu_khi!$AG$254,Vu_khi!$AB$254&gt;0,Vu_khi!$AH$254,Vu_khi!$M$254="Bomb",Vu_khi!$M$254="Drone")</f>
        <v/>
      </c>
      <c r="P254" t="b">
        <v>0</v>
      </c>
      <c r="Q254">
        <f>AND(NOT(Vu_khi!$AJ$254),OR(Vu_khi!$AC$254="Ground",Vu_khi!$AC$254="All"))</f>
        <v/>
      </c>
      <c r="R254" t="b">
        <v>1</v>
      </c>
      <c r="S254">
        <f>AND(NOT(Vu_khi!$AJ$254),OR(Vu_khi!$AC$254="Air",Vu_khi!$AC$254="All"))</f>
        <v/>
      </c>
      <c r="T254" t="b">
        <v>1</v>
      </c>
      <c r="U254">
        <f>INDEX(Bang_sat_thuong!$B$2:$B$7,MATCH(Vu_khi!$K$254,Bang_sat_thuong!$A$2:$A$7,0))</f>
        <v/>
      </c>
      <c r="V254" t="n">
        <v>0.5</v>
      </c>
      <c r="W254">
        <f>INDEX(Bang_sat_thuong!$C$2:$C$7,MATCH(Vu_khi!$K$254,Bang_sat_thuong!$A$2:$A$7,0))</f>
        <v/>
      </c>
      <c r="X254" t="n">
        <v>1.3</v>
      </c>
      <c r="Y254">
        <f>IF(AND(Vu_khi!$AI$254,Vu_khi!$K$254="HighExplosive"),MAX(He_so_toan_cuc!$D$2,INDEX(Bang_sat_thuong!$D$2:$D$7,MATCH(Vu_khi!$K$254,Bang_sat_thuong!$A$2:$A$7,0))),INDEX(Bang_sat_thuong!$D$2:$D$7,MATCH(Vu_khi!$K$254,Bang_sat_thuong!$A$2:$A$7,0)))</f>
        <v/>
      </c>
      <c r="Z254" t="n">
        <v>0.1</v>
      </c>
      <c r="AA254">
        <f>INDEX(Bang_xuyen_giap!$C$2:$C$7,MIN(6,MAX(1,IF($O$254,MAX(1,2-(Vu_khi!$L$254-0)),2-(Vu_khi!$L$254-0))+1)))</f>
        <v/>
      </c>
      <c r="AB254" t="n">
        <v>1.2</v>
      </c>
      <c r="AC254">
        <f>INDEX(Bang_xuyen_giap!$C$2:$C$7,MIN(6,MAX(1,IF($O$254,MAX(1,2-(Vu_khi!$L$254-2)),2-(Vu_khi!$L$254-2))+1)))</f>
        <v/>
      </c>
      <c r="AD254" t="n">
        <v>0.85</v>
      </c>
      <c r="AE254">
        <f>INDEX(Bang_xuyen_giap!$C$2:$C$7,MIN(6,MAX(1,IF($O$254,MAX(1,2-(Vu_khi!$L$254-4)),2-(Vu_khi!$L$254-4))+1)))</f>
        <v/>
      </c>
      <c r="AF254" t="n">
        <v>0.25</v>
      </c>
      <c r="AG254">
        <f>INDEX(Bang_xuyen_giap!$C$2:$C$7,MIN(6,MAX(1,MAX(1,2-(Vu_khi!$L$254-0))+1)))</f>
        <v/>
      </c>
      <c r="AH254" t="n">
        <v>1</v>
      </c>
      <c r="AI254">
        <f>IF($Q$254,$M$254*$AA$254*$U$254,0)</f>
        <v/>
      </c>
      <c r="AJ254" t="n">
        <v>114.3122676579926</v>
      </c>
      <c r="AK254">
        <f>IF($Q$254,$M$254*$AC$254*$U$254,0)</f>
        <v/>
      </c>
      <c r="AL254" t="n">
        <v>80.97118959107806</v>
      </c>
      <c r="AM254">
        <f>IF($Q$254,$M$254*$AE$254*$U$254,0)</f>
        <v/>
      </c>
      <c r="AN254" t="n">
        <v>23.81505576208178</v>
      </c>
      <c r="AO254">
        <f>IF($Q$254,$M$254*$AC$254*$Y$254,0)</f>
        <v/>
      </c>
      <c r="AP254" t="n">
        <v>16.19423791821561</v>
      </c>
      <c r="AQ254">
        <f>IF($S$254,$M$254*$AG$254*$W$254,0)</f>
        <v/>
      </c>
      <c r="AR254" t="n">
        <v>247.6765799256505</v>
      </c>
      <c r="AS254">
        <f>IF(OR(Vu_khi!$M$254="Missile",Vu_khi!$M$254="Drone",AND(Vu_khi!$M$254="Rocket",OR(Vu_khi!$AM$254,Vu_khi!$D$254="guided")),Vu_khi!$AL$254,Vu_khi!$AK$254,Vu_khi!$X$254&lt;=0),FALSE,IF($B$254&gt;=0,$B$254&gt;=4,IF(Vu_khi!$M$254="Shell",Vu_khi!$AN$254&gt;=Canh_bao_vong!$D$10,IF(Vu_khi!$M$254="Bomb",Vu_khi!$AN$254&gt;=Canh_bao_vong!$D$3,IF(Vu_khi!$M$254="Rocket",Vu_khi!$AN$254&gt;=Canh_bao_vong!$D$13,FALSE)))))</f>
        <v/>
      </c>
      <c r="AT254" t="b">
        <v>0</v>
      </c>
      <c r="AU254">
        <f>IF(AND($B$254&lt;0,$AS$254),4,$B$254)</f>
        <v/>
      </c>
      <c r="AV254" t="n">
        <v>1</v>
      </c>
      <c r="AW254">
        <f>IF($AU$254&lt;4,0,MIN(MAX(0.5,Canh_bao_vong!$D$4),MAX(IF(Vu_khi!$C$254="cal_406",Canh_bao_vong!$D$7,IF($AU$254&gt;=5,Canh_bao_vong!$D$9,Canh_bao_vong!$D$8)),Canh_bao_vong!$D$2+MAX(0,Vu_khi!$X$254)/MAX(0.1,Canh_bao_vong!$D$5))))</f>
        <v/>
      </c>
      <c r="AX254" t="n">
        <v>0</v>
      </c>
      <c r="AY254" t="n">
        <v>2.405691</v>
      </c>
      <c r="AZ254" t="inlineStr">
        <is>
          <t>ok</t>
        </is>
      </c>
      <c r="BA254" t="b">
        <v>1</v>
      </c>
      <c r="BB254" t="inlineStr">
        <is>
          <t>Assets/MachineBrigade/Resources/Data/balance.json: weapons[id=p26_matriarch_close_boss_flak] (lớp B trên 01_chien_dau/Vu_khi)</t>
        </is>
      </c>
      <c r="BC254" t="inlineStr"/>
    </row>
    <row r="255">
      <c r="A255" t="inlineStr">
        <is>
          <t>p26_matriarch_direct_ma_atgm</t>
        </is>
      </c>
      <c r="B255" t="n">
        <v>2</v>
      </c>
      <c r="C255">
        <f>IF(Vu_khi!$O$255="SIMULTANEOUS",MAX(1,Vu_khi!$N$255),1)</f>
        <v/>
      </c>
      <c r="D255" t="n">
        <v>1</v>
      </c>
      <c r="E255">
        <f>IF(Vu_khi!$S$255&gt;0,Vu_khi!$S$255,Vu_khi!$P$255*$C$255)</f>
        <v/>
      </c>
      <c r="F255" t="n">
        <v>1</v>
      </c>
      <c r="G255">
        <f>IF(Vu_khi!$S$255&gt;0,(Vu_khi!$S$255-1)*Vu_khi!$R$255+Vu_khi!$T$255,Vu_khi!$R$255+(Vu_khi!$P$255-1)*Vu_khi!$Q$255)</f>
        <v/>
      </c>
      <c r="H255" t="n">
        <v>20</v>
      </c>
      <c r="I255">
        <f>Vu_khi!$W$255*MAX(1,$E$255)</f>
        <v/>
      </c>
      <c r="J255" t="n">
        <v>230</v>
      </c>
      <c r="K255">
        <f>IF(Vu_khi!$V$255&gt;0,Vu_khi!$V$255,MIN(28,MAX(10,Vu_khi!$U$255*Vu_khi!$R$255*0.4)))</f>
        <v/>
      </c>
      <c r="L255" t="n">
        <v>10</v>
      </c>
      <c r="M255">
        <f>IF(Vu_khi!$W$255&lt;=0,0,IF(Vu_khi!$U$255&gt;0,$I$255*Vu_khi!$U$255/(MAX(0.05,$G$255)*Vu_khi!$U$255+$K$255),$I$255/MAX(0.05,$G$255)))</f>
        <v/>
      </c>
      <c r="N255" t="n">
        <v>11.5</v>
      </c>
      <c r="O255">
        <f>OR(Vu_khi!$AG$255,Vu_khi!$AB$255&gt;0,Vu_khi!$AH$255,Vu_khi!$M$255="Bomb",Vu_khi!$M$255="Drone")</f>
        <v/>
      </c>
      <c r="P255" t="b">
        <v>0</v>
      </c>
      <c r="Q255">
        <f>AND(NOT(Vu_khi!$AJ$255),OR(Vu_khi!$AC$255="Ground",Vu_khi!$AC$255="All"))</f>
        <v/>
      </c>
      <c r="R255" t="b">
        <v>1</v>
      </c>
      <c r="S255">
        <f>AND(NOT(Vu_khi!$AJ$255),OR(Vu_khi!$AC$255="Air",Vu_khi!$AC$255="All"))</f>
        <v/>
      </c>
      <c r="T255" t="b">
        <v>0</v>
      </c>
      <c r="U255">
        <f>INDEX(Bang_sat_thuong!$B$2:$B$7,MATCH(Vu_khi!$K$255,Bang_sat_thuong!$A$2:$A$7,0))</f>
        <v/>
      </c>
      <c r="V255" t="n">
        <v>1</v>
      </c>
      <c r="W255">
        <f>INDEX(Bang_sat_thuong!$C$2:$C$7,MATCH(Vu_khi!$K$255,Bang_sat_thuong!$A$2:$A$7,0))</f>
        <v/>
      </c>
      <c r="X255" t="n">
        <v>0.3</v>
      </c>
      <c r="Y255">
        <f>IF(AND(Vu_khi!$AI$255,Vu_khi!$K$255="HighExplosive"),MAX(He_so_toan_cuc!$D$2,INDEX(Bang_sat_thuong!$D$2:$D$7,MATCH(Vu_khi!$K$255,Bang_sat_thuong!$A$2:$A$7,0))),INDEX(Bang_sat_thuong!$D$2:$D$7,MATCH(Vu_khi!$K$255,Bang_sat_thuong!$A$2:$A$7,0)))</f>
        <v/>
      </c>
      <c r="Z255" t="n">
        <v>0.6</v>
      </c>
      <c r="AA255">
        <f>INDEX(Bang_xuyen_giap!$C$2:$C$7,MIN(6,MAX(1,IF($O$255,MAX(1,2-(Vu_khi!$L$255-0)),2-(Vu_khi!$L$255-0))+1)))</f>
        <v/>
      </c>
      <c r="AB255" t="n">
        <v>1.2</v>
      </c>
      <c r="AC255">
        <f>INDEX(Bang_xuyen_giap!$C$2:$C$7,MIN(6,MAX(1,IF($O$255,MAX(1,2-(Vu_khi!$L$255-2)),2-(Vu_khi!$L$255-2))+1)))</f>
        <v/>
      </c>
      <c r="AD255" t="n">
        <v>1.2</v>
      </c>
      <c r="AE255">
        <f>INDEX(Bang_xuyen_giap!$C$2:$C$7,MIN(6,MAX(1,IF($O$255,MAX(1,2-(Vu_khi!$L$255-4)),2-(Vu_khi!$L$255-4))+1)))</f>
        <v/>
      </c>
      <c r="AF255" t="n">
        <v>1</v>
      </c>
      <c r="AG255">
        <f>INDEX(Bang_xuyen_giap!$C$2:$C$7,MIN(6,MAX(1,MAX(1,2-(Vu_khi!$L$255-0))+1)))</f>
        <v/>
      </c>
      <c r="AH255" t="n">
        <v>1</v>
      </c>
      <c r="AI255">
        <f>IF($Q$255,$M$255*$AA$255*$U$255,0)</f>
        <v/>
      </c>
      <c r="AJ255" t="n">
        <v>13.8</v>
      </c>
      <c r="AK255">
        <f>IF($Q$255,$M$255*$AC$255*$U$255,0)</f>
        <v/>
      </c>
      <c r="AL255" t="n">
        <v>13.8</v>
      </c>
      <c r="AM255">
        <f>IF($Q$255,$M$255*$AE$255*$U$255,0)</f>
        <v/>
      </c>
      <c r="AN255" t="n">
        <v>11.5</v>
      </c>
      <c r="AO255">
        <f>IF($Q$255,$M$255*$AC$255*$Y$255,0)</f>
        <v/>
      </c>
      <c r="AP255" t="n">
        <v>8.279999999999999</v>
      </c>
      <c r="AQ255">
        <f>IF($S$255,$M$255*$AG$255*$W$255,0)</f>
        <v/>
      </c>
      <c r="AR255" t="n">
        <v>0</v>
      </c>
      <c r="AS255">
        <f>IF(OR(Vu_khi!$M$255="Missile",Vu_khi!$M$255="Drone",AND(Vu_khi!$M$255="Rocket",OR(Vu_khi!$AM$255,Vu_khi!$D$255="guided")),Vu_khi!$AL$255,Vu_khi!$AK$255,Vu_khi!$X$255&lt;=0),FALSE,IF($B$255&gt;=0,$B$255&gt;=4,IF(Vu_khi!$M$255="Shell",Vu_khi!$AN$255&gt;=Canh_bao_vong!$D$10,IF(Vu_khi!$M$255="Bomb",Vu_khi!$AN$255&gt;=Canh_bao_vong!$D$3,IF(Vu_khi!$M$255="Rocket",Vu_khi!$AN$255&gt;=Canh_bao_vong!$D$13,FALSE)))))</f>
        <v/>
      </c>
      <c r="AT255" t="b">
        <v>0</v>
      </c>
      <c r="AU255">
        <f>IF(AND($B$255&lt;0,$AS$255),4,$B$255)</f>
        <v/>
      </c>
      <c r="AV255" t="n">
        <v>2</v>
      </c>
      <c r="AW255">
        <f>IF($AU$255&lt;4,0,MIN(MAX(0.5,Canh_bao_vong!$D$4),MAX(IF(Vu_khi!$C$255="cal_406",Canh_bao_vong!$D$7,IF($AU$255&gt;=5,Canh_bao_vong!$D$9,Canh_bao_vong!$D$8)),Canh_bao_vong!$D$2+MAX(0,Vu_khi!$X$255)/MAX(0.1,Canh_bao_vong!$D$5))))</f>
        <v/>
      </c>
      <c r="AX255" t="n">
        <v>0</v>
      </c>
      <c r="AY255" t="n">
        <v>1</v>
      </c>
      <c r="AZ255" t="inlineStr">
        <is>
          <t>ok</t>
        </is>
      </c>
      <c r="BA255" t="b">
        <v>1</v>
      </c>
      <c r="BB255" t="inlineStr">
        <is>
          <t>Assets/MachineBrigade/Resources/Data/balance.json: weapons[id=p26_matriarch_direct_ma_atgm] (lớp B trên 01_chien_dau/Vu_khi)</t>
        </is>
      </c>
      <c r="BC255" t="inlineStr"/>
    </row>
    <row r="256">
      <c r="A256" t="inlineStr">
        <is>
          <t>p26_matriarch_ma_atgm</t>
        </is>
      </c>
      <c r="B256" t="n">
        <v>2</v>
      </c>
      <c r="C256">
        <f>IF(Vu_khi!$O$256="SIMULTANEOUS",MAX(1,Vu_khi!$N$256),1)</f>
        <v/>
      </c>
      <c r="D256" t="n">
        <v>1</v>
      </c>
      <c r="E256">
        <f>IF(Vu_khi!$S$256&gt;0,Vu_khi!$S$256,Vu_khi!$P$256*$C$256)</f>
        <v/>
      </c>
      <c r="F256" t="n">
        <v>1</v>
      </c>
      <c r="G256">
        <f>IF(Vu_khi!$S$256&gt;0,(Vu_khi!$S$256-1)*Vu_khi!$R$256+Vu_khi!$T$256,Vu_khi!$R$256+(Vu_khi!$P$256-1)*Vu_khi!$Q$256)</f>
        <v/>
      </c>
      <c r="H256" t="n">
        <v>2</v>
      </c>
      <c r="I256">
        <f>Vu_khi!$W$256*MAX(1,$E$256)</f>
        <v/>
      </c>
      <c r="J256" t="n">
        <v>340</v>
      </c>
      <c r="K256">
        <f>IF(Vu_khi!$V$256&gt;0,Vu_khi!$V$256,MIN(28,MAX(10,Vu_khi!$U$256*Vu_khi!$R$256*0.4)))</f>
        <v/>
      </c>
      <c r="L256" t="n">
        <v>10</v>
      </c>
      <c r="M256">
        <f>IF(Vu_khi!$W$256&lt;=0,0,IF(Vu_khi!$U$256&gt;0,$I$256*Vu_khi!$U$256/(MAX(0.05,$G$256)*Vu_khi!$U$256+$K$256),$I$256/MAX(0.05,$G$256)))</f>
        <v/>
      </c>
      <c r="N256" t="n">
        <v>170</v>
      </c>
      <c r="O256">
        <f>OR(Vu_khi!$AG$256,Vu_khi!$AB$256&gt;0,Vu_khi!$AH$256,Vu_khi!$M$256="Bomb",Vu_khi!$M$256="Drone")</f>
        <v/>
      </c>
      <c r="P256" t="b">
        <v>0</v>
      </c>
      <c r="Q256">
        <f>AND(NOT(Vu_khi!$AJ$256),OR(Vu_khi!$AC$256="Ground",Vu_khi!$AC$256="All"))</f>
        <v/>
      </c>
      <c r="R256" t="b">
        <v>1</v>
      </c>
      <c r="S256">
        <f>AND(NOT(Vu_khi!$AJ$256),OR(Vu_khi!$AC$256="Air",Vu_khi!$AC$256="All"))</f>
        <v/>
      </c>
      <c r="T256" t="b">
        <v>0</v>
      </c>
      <c r="U256">
        <f>INDEX(Bang_sat_thuong!$B$2:$B$7,MATCH(Vu_khi!$K$256,Bang_sat_thuong!$A$2:$A$7,0))</f>
        <v/>
      </c>
      <c r="V256" t="n">
        <v>1</v>
      </c>
      <c r="W256">
        <f>INDEX(Bang_sat_thuong!$C$2:$C$7,MATCH(Vu_khi!$K$256,Bang_sat_thuong!$A$2:$A$7,0))</f>
        <v/>
      </c>
      <c r="X256" t="n">
        <v>0.3</v>
      </c>
      <c r="Y256">
        <f>IF(AND(Vu_khi!$AI$256,Vu_khi!$K$256="HighExplosive"),MAX(He_so_toan_cuc!$D$2,INDEX(Bang_sat_thuong!$D$2:$D$7,MATCH(Vu_khi!$K$256,Bang_sat_thuong!$A$2:$A$7,0))),INDEX(Bang_sat_thuong!$D$2:$D$7,MATCH(Vu_khi!$K$256,Bang_sat_thuong!$A$2:$A$7,0)))</f>
        <v/>
      </c>
      <c r="Z256" t="n">
        <v>0.6</v>
      </c>
      <c r="AA256">
        <f>INDEX(Bang_xuyen_giap!$C$2:$C$7,MIN(6,MAX(1,IF($O$256,MAX(1,2-(Vu_khi!$L$256-0)),2-(Vu_khi!$L$256-0))+1)))</f>
        <v/>
      </c>
      <c r="AB256" t="n">
        <v>1.2</v>
      </c>
      <c r="AC256">
        <f>INDEX(Bang_xuyen_giap!$C$2:$C$7,MIN(6,MAX(1,IF($O$256,MAX(1,2-(Vu_khi!$L$256-2)),2-(Vu_khi!$L$256-2))+1)))</f>
        <v/>
      </c>
      <c r="AD256" t="n">
        <v>1.2</v>
      </c>
      <c r="AE256">
        <f>INDEX(Bang_xuyen_giap!$C$2:$C$7,MIN(6,MAX(1,IF($O$256,MAX(1,2-(Vu_khi!$L$256-4)),2-(Vu_khi!$L$256-4))+1)))</f>
        <v/>
      </c>
      <c r="AF256" t="n">
        <v>1</v>
      </c>
      <c r="AG256">
        <f>INDEX(Bang_xuyen_giap!$C$2:$C$7,MIN(6,MAX(1,MAX(1,2-(Vu_khi!$L$256-0))+1)))</f>
        <v/>
      </c>
      <c r="AH256" t="n">
        <v>1</v>
      </c>
      <c r="AI256">
        <f>IF($Q$256,$M$256*$AA$256*$U$256,0)</f>
        <v/>
      </c>
      <c r="AJ256" t="n">
        <v>204</v>
      </c>
      <c r="AK256">
        <f>IF($Q$256,$M$256*$AC$256*$U$256,0)</f>
        <v/>
      </c>
      <c r="AL256" t="n">
        <v>204</v>
      </c>
      <c r="AM256">
        <f>IF($Q$256,$M$256*$AE$256*$U$256,0)</f>
        <v/>
      </c>
      <c r="AN256" t="n">
        <v>170</v>
      </c>
      <c r="AO256">
        <f>IF($Q$256,$M$256*$AC$256*$Y$256,0)</f>
        <v/>
      </c>
      <c r="AP256" t="n">
        <v>122.4</v>
      </c>
      <c r="AQ256">
        <f>IF($S$256,$M$256*$AG$256*$W$256,0)</f>
        <v/>
      </c>
      <c r="AR256" t="n">
        <v>0</v>
      </c>
      <c r="AS256">
        <f>IF(OR(Vu_khi!$M$256="Missile",Vu_khi!$M$256="Drone",AND(Vu_khi!$M$256="Rocket",OR(Vu_khi!$AM$256,Vu_khi!$D$256="guided")),Vu_khi!$AL$256,Vu_khi!$AK$256,Vu_khi!$X$256&lt;=0),FALSE,IF($B$256&gt;=0,$B$256&gt;=4,IF(Vu_khi!$M$256="Shell",Vu_khi!$AN$256&gt;=Canh_bao_vong!$D$10,IF(Vu_khi!$M$256="Bomb",Vu_khi!$AN$256&gt;=Canh_bao_vong!$D$3,IF(Vu_khi!$M$256="Rocket",Vu_khi!$AN$256&gt;=Canh_bao_vong!$D$13,FALSE)))))</f>
        <v/>
      </c>
      <c r="AT256" t="b">
        <v>0</v>
      </c>
      <c r="AU256">
        <f>IF(AND($B$256&lt;0,$AS$256),4,$B$256)</f>
        <v/>
      </c>
      <c r="AV256" t="n">
        <v>2</v>
      </c>
      <c r="AW256">
        <f>IF($AU$256&lt;4,0,MIN(MAX(0.5,Canh_bao_vong!$D$4),MAX(IF(Vu_khi!$C$256="cal_406",Canh_bao_vong!$D$7,IF($AU$256&gt;=5,Canh_bao_vong!$D$9,Canh_bao_vong!$D$8)),Canh_bao_vong!$D$2+MAX(0,Vu_khi!$X$256)/MAX(0.1,Canh_bao_vong!$D$5))))</f>
        <v/>
      </c>
      <c r="AX256" t="n">
        <v>0</v>
      </c>
      <c r="AY256" t="n">
        <v>0.1</v>
      </c>
      <c r="AZ256" t="inlineStr">
        <is>
          <t>NHANH_QUA;LECH_DOT_1</t>
        </is>
      </c>
      <c r="BA256" t="inlineStr"/>
      <c r="BB256" t="inlineStr">
        <is>
          <t>Assets/MachineBrigade/Resources/Data/balance.json: weapons[id=p26_matriarch_ma_atgm] (lớp B trên 01_chien_dau/Vu_khi)</t>
        </is>
      </c>
      <c r="BC256" t="inlineStr"/>
    </row>
    <row r="257">
      <c r="A257" t="inlineStr">
        <is>
          <t>p26_matriarch_ma_drones</t>
        </is>
      </c>
      <c r="B257" t="n">
        <v>2</v>
      </c>
      <c r="C257">
        <f>IF(Vu_khi!$O$257="SIMULTANEOUS",MAX(1,Vu_khi!$N$257),1)</f>
        <v/>
      </c>
      <c r="D257" t="n">
        <v>1</v>
      </c>
      <c r="E257">
        <f>IF(Vu_khi!$S$257&gt;0,Vu_khi!$S$257,Vu_khi!$P$257*$C$257)</f>
        <v/>
      </c>
      <c r="F257" t="n">
        <v>6</v>
      </c>
      <c r="G257">
        <f>IF(Vu_khi!$S$257&gt;0,(Vu_khi!$S$257-1)*Vu_khi!$R$257+Vu_khi!$T$257,Vu_khi!$R$257+(Vu_khi!$P$257-1)*Vu_khi!$Q$257)</f>
        <v/>
      </c>
      <c r="H257" t="n">
        <v>5</v>
      </c>
      <c r="I257">
        <f>Vu_khi!$W$257*MAX(1,$E$257)</f>
        <v/>
      </c>
      <c r="J257" t="n">
        <v>1920</v>
      </c>
      <c r="K257">
        <f>IF(Vu_khi!$V$257&gt;0,Vu_khi!$V$257,MIN(28,MAX(10,Vu_khi!$U$257*Vu_khi!$R$257*0.4)))</f>
        <v/>
      </c>
      <c r="L257" t="n">
        <v>10</v>
      </c>
      <c r="M257">
        <f>IF(Vu_khi!$W$257&lt;=0,0,IF(Vu_khi!$U$257&gt;0,$I$257*Vu_khi!$U$257/(MAX(0.05,$G$257)*Vu_khi!$U$257+$K$257),$I$257/MAX(0.05,$G$257)))</f>
        <v/>
      </c>
      <c r="N257" t="n">
        <v>384</v>
      </c>
      <c r="O257">
        <f>OR(Vu_khi!$AG$257,Vu_khi!$AB$257&gt;0,Vu_khi!$AH$257,Vu_khi!$M$257="Bomb",Vu_khi!$M$257="Drone")</f>
        <v/>
      </c>
      <c r="P257" t="b">
        <v>1</v>
      </c>
      <c r="Q257">
        <f>AND(NOT(Vu_khi!$AJ$257),OR(Vu_khi!$AC$257="Ground",Vu_khi!$AC$257="All"))</f>
        <v/>
      </c>
      <c r="R257" t="b">
        <v>1</v>
      </c>
      <c r="S257">
        <f>AND(NOT(Vu_khi!$AJ$257),OR(Vu_khi!$AC$257="Air",Vu_khi!$AC$257="All"))</f>
        <v/>
      </c>
      <c r="T257" t="b">
        <v>0</v>
      </c>
      <c r="U257">
        <f>INDEX(Bang_sat_thuong!$B$2:$B$7,MATCH(Vu_khi!$K$257,Bang_sat_thuong!$A$2:$A$7,0))</f>
        <v/>
      </c>
      <c r="V257" t="n">
        <v>1</v>
      </c>
      <c r="W257">
        <f>INDEX(Bang_sat_thuong!$C$2:$C$7,MATCH(Vu_khi!$K$257,Bang_sat_thuong!$A$2:$A$7,0))</f>
        <v/>
      </c>
      <c r="X257" t="n">
        <v>0.3</v>
      </c>
      <c r="Y257">
        <f>IF(AND(Vu_khi!$AI$257,Vu_khi!$K$257="HighExplosive"),MAX(He_so_toan_cuc!$D$2,INDEX(Bang_sat_thuong!$D$2:$D$7,MATCH(Vu_khi!$K$257,Bang_sat_thuong!$A$2:$A$7,0))),INDEX(Bang_sat_thuong!$D$2:$D$7,MATCH(Vu_khi!$K$257,Bang_sat_thuong!$A$2:$A$7,0)))</f>
        <v/>
      </c>
      <c r="Z257" t="n">
        <v>0.6</v>
      </c>
      <c r="AA257">
        <f>INDEX(Bang_xuyen_giap!$C$2:$C$7,MIN(6,MAX(1,IF($O$257,MAX(1,2-(Vu_khi!$L$257-0)),2-(Vu_khi!$L$257-0))+1)))</f>
        <v/>
      </c>
      <c r="AB257" t="n">
        <v>1</v>
      </c>
      <c r="AC257">
        <f>INDEX(Bang_xuyen_giap!$C$2:$C$7,MIN(6,MAX(1,IF($O$257,MAX(1,2-(Vu_khi!$L$257-2)),2-(Vu_khi!$L$257-2))+1)))</f>
        <v/>
      </c>
      <c r="AD257" t="n">
        <v>1</v>
      </c>
      <c r="AE257">
        <f>INDEX(Bang_xuyen_giap!$C$2:$C$7,MIN(6,MAX(1,IF($O$257,MAX(1,2-(Vu_khi!$L$257-4)),2-(Vu_khi!$L$257-4))+1)))</f>
        <v/>
      </c>
      <c r="AF257" t="n">
        <v>0.85</v>
      </c>
      <c r="AG257">
        <f>INDEX(Bang_xuyen_giap!$C$2:$C$7,MIN(6,MAX(1,MAX(1,2-(Vu_khi!$L$257-0))+1)))</f>
        <v/>
      </c>
      <c r="AH257" t="n">
        <v>1</v>
      </c>
      <c r="AI257">
        <f>IF($Q$257,$M$257*$AA$257*$U$257,0)</f>
        <v/>
      </c>
      <c r="AJ257" t="n">
        <v>384</v>
      </c>
      <c r="AK257">
        <f>IF($Q$257,$M$257*$AC$257*$U$257,0)</f>
        <v/>
      </c>
      <c r="AL257" t="n">
        <v>384</v>
      </c>
      <c r="AM257">
        <f>IF($Q$257,$M$257*$AE$257*$U$257,0)</f>
        <v/>
      </c>
      <c r="AN257" t="n">
        <v>326.4</v>
      </c>
      <c r="AO257">
        <f>IF($Q$257,$M$257*$AC$257*$Y$257,0)</f>
        <v/>
      </c>
      <c r="AP257" t="n">
        <v>230.4</v>
      </c>
      <c r="AQ257">
        <f>IF($S$257,$M$257*$AG$257*$W$257,0)</f>
        <v/>
      </c>
      <c r="AR257" t="n">
        <v>0</v>
      </c>
      <c r="AS257">
        <f>IF(OR(Vu_khi!$M$257="Missile",Vu_khi!$M$257="Drone",AND(Vu_khi!$M$257="Rocket",OR(Vu_khi!$AM$257,Vu_khi!$D$257="guided")),Vu_khi!$AL$257,Vu_khi!$AK$257,Vu_khi!$X$257&lt;=0),FALSE,IF($B$257&gt;=0,$B$257&gt;=4,IF(Vu_khi!$M$257="Shell",Vu_khi!$AN$257&gt;=Canh_bao_vong!$D$10,IF(Vu_khi!$M$257="Bomb",Vu_khi!$AN$257&gt;=Canh_bao_vong!$D$3,IF(Vu_khi!$M$257="Rocket",Vu_khi!$AN$257&gt;=Canh_bao_vong!$D$13,FALSE)))))</f>
        <v/>
      </c>
      <c r="AT257" t="b">
        <v>0</v>
      </c>
      <c r="AU257">
        <f>IF(AND($B$257&lt;0,$AS$257),4,$B$257)</f>
        <v/>
      </c>
      <c r="AV257" t="n">
        <v>2</v>
      </c>
      <c r="AW257">
        <f>IF($AU$257&lt;4,0,MIN(MAX(0.5,Canh_bao_vong!$D$4),MAX(IF(Vu_khi!$C$257="cal_406",Canh_bao_vong!$D$7,IF($AU$257&gt;=5,Canh_bao_vong!$D$9,Canh_bao_vong!$D$8)),Canh_bao_vong!$D$2+MAX(0,Vu_khi!$X$257)/MAX(0.1,Canh_bao_vong!$D$5))))</f>
        <v/>
      </c>
      <c r="AX257" t="n">
        <v>0</v>
      </c>
      <c r="AY257" t="inlineStr"/>
      <c r="AZ257" t="inlineStr">
        <is>
          <t>ok</t>
        </is>
      </c>
      <c r="BA257" t="b">
        <v>1</v>
      </c>
      <c r="BB257" t="inlineStr">
        <is>
          <t>Assets/MachineBrigade/Resources/Data/balance.json: weapons[id=p26_matriarch_ma_drones] (lớp B trên 01_chien_dau/Vu_khi)</t>
        </is>
      </c>
      <c r="BC257" t="inlineStr"/>
    </row>
    <row r="258">
      <c r="A258" t="inlineStr">
        <is>
          <t>p26_matriarch_sec_autocannon_30</t>
        </is>
      </c>
      <c r="B258" t="n">
        <v>1</v>
      </c>
      <c r="C258">
        <f>IF(Vu_khi!$O$258="SIMULTANEOUS",MAX(1,Vu_khi!$N$258),1)</f>
        <v/>
      </c>
      <c r="D258" t="n">
        <v>1</v>
      </c>
      <c r="E258">
        <f>IF(Vu_khi!$S$258&gt;0,Vu_khi!$S$258,Vu_khi!$P$258*$C$258)</f>
        <v/>
      </c>
      <c r="F258" t="n">
        <v>10</v>
      </c>
      <c r="G258">
        <f>IF(Vu_khi!$S$258&gt;0,(Vu_khi!$S$258-1)*Vu_khi!$R$258+Vu_khi!$T$258,Vu_khi!$R$258+(Vu_khi!$P$258-1)*Vu_khi!$Q$258)</f>
        <v/>
      </c>
      <c r="H258" t="n">
        <v>2.4999</v>
      </c>
      <c r="I258">
        <f>Vu_khi!$W$258*MAX(1,$E$258)</f>
        <v/>
      </c>
      <c r="J258" t="n">
        <v>220</v>
      </c>
      <c r="K258">
        <f>IF(Vu_khi!$V$258&gt;0,Vu_khi!$V$258,MIN(28,MAX(10,Vu_khi!$U$258*Vu_khi!$R$258*0.4)))</f>
        <v/>
      </c>
      <c r="L258" t="n">
        <v>10</v>
      </c>
      <c r="M258">
        <f>IF(Vu_khi!$W$258&lt;=0,0,IF(Vu_khi!$U$258&gt;0,$I$258*Vu_khi!$U$258/(MAX(0.05,$G$258)*Vu_khi!$U$258+$K$258),$I$258/MAX(0.05,$G$258)))</f>
        <v/>
      </c>
      <c r="N258" t="n">
        <v>88.00352014080562</v>
      </c>
      <c r="O258">
        <f>OR(Vu_khi!$AG$258,Vu_khi!$AB$258&gt;0,Vu_khi!$AH$258,Vu_khi!$M$258="Bomb",Vu_khi!$M$258="Drone")</f>
        <v/>
      </c>
      <c r="P258" t="b">
        <v>0</v>
      </c>
      <c r="Q258">
        <f>AND(NOT(Vu_khi!$AJ$258),OR(Vu_khi!$AC$258="Ground",Vu_khi!$AC$258="All"))</f>
        <v/>
      </c>
      <c r="R258" t="b">
        <v>1</v>
      </c>
      <c r="S258">
        <f>AND(NOT(Vu_khi!$AJ$258),OR(Vu_khi!$AC$258="Air",Vu_khi!$AC$258="All"))</f>
        <v/>
      </c>
      <c r="T258" t="b">
        <v>0</v>
      </c>
      <c r="U258">
        <f>INDEX(Bang_sat_thuong!$B$2:$B$7,MATCH(Vu_khi!$K$258,Bang_sat_thuong!$A$2:$A$7,0))</f>
        <v/>
      </c>
      <c r="V258" t="n">
        <v>1</v>
      </c>
      <c r="W258">
        <f>INDEX(Bang_sat_thuong!$C$2:$C$7,MATCH(Vu_khi!$K$258,Bang_sat_thuong!$A$2:$A$7,0))</f>
        <v/>
      </c>
      <c r="X258" t="n">
        <v>0.3</v>
      </c>
      <c r="Y258">
        <f>IF(AND(Vu_khi!$AI$258,Vu_khi!$K$258="HighExplosive"),MAX(He_so_toan_cuc!$D$2,INDEX(Bang_sat_thuong!$D$2:$D$7,MATCH(Vu_khi!$K$258,Bang_sat_thuong!$A$2:$A$7,0))),INDEX(Bang_sat_thuong!$D$2:$D$7,MATCH(Vu_khi!$K$258,Bang_sat_thuong!$A$2:$A$7,0)))</f>
        <v/>
      </c>
      <c r="Z258" t="n">
        <v>0.6</v>
      </c>
      <c r="AA258">
        <f>INDEX(Bang_xuyen_giap!$C$2:$C$7,MIN(6,MAX(1,IF($O$258,MAX(1,2-(Vu_khi!$L$258-0)),2-(Vu_khi!$L$258-0))+1)))</f>
        <v/>
      </c>
      <c r="AB258" t="n">
        <v>1.2</v>
      </c>
      <c r="AC258">
        <f>INDEX(Bang_xuyen_giap!$C$2:$C$7,MIN(6,MAX(1,IF($O$258,MAX(1,2-(Vu_khi!$L$258-2)),2-(Vu_khi!$L$258-2))+1)))</f>
        <v/>
      </c>
      <c r="AD258" t="n">
        <v>0.85</v>
      </c>
      <c r="AE258">
        <f>INDEX(Bang_xuyen_giap!$C$2:$C$7,MIN(6,MAX(1,IF($O$258,MAX(1,2-(Vu_khi!$L$258-4)),2-(Vu_khi!$L$258-4))+1)))</f>
        <v/>
      </c>
      <c r="AF258" t="n">
        <v>0.25</v>
      </c>
      <c r="AG258">
        <f>INDEX(Bang_xuyen_giap!$C$2:$C$7,MIN(6,MAX(1,MAX(1,2-(Vu_khi!$L$258-0))+1)))</f>
        <v/>
      </c>
      <c r="AH258" t="n">
        <v>1</v>
      </c>
      <c r="AI258">
        <f>IF($Q$258,$M$258*$AA$258*$U$258,0)</f>
        <v/>
      </c>
      <c r="AJ258" t="n">
        <v>105.6042241689667</v>
      </c>
      <c r="AK258">
        <f>IF($Q$258,$M$258*$AC$258*$U$258,0)</f>
        <v/>
      </c>
      <c r="AL258" t="n">
        <v>74.80299211968477</v>
      </c>
      <c r="AM258">
        <f>IF($Q$258,$M$258*$AE$258*$U$258,0)</f>
        <v/>
      </c>
      <c r="AN258" t="n">
        <v>22.0008800352014</v>
      </c>
      <c r="AO258">
        <f>IF($Q$258,$M$258*$AC$258*$Y$258,0)</f>
        <v/>
      </c>
      <c r="AP258" t="n">
        <v>44.88179527181087</v>
      </c>
      <c r="AQ258">
        <f>IF($S$258,$M$258*$AG$258*$W$258,0)</f>
        <v/>
      </c>
      <c r="AR258" t="n">
        <v>0</v>
      </c>
      <c r="AS258">
        <f>IF(OR(Vu_khi!$M$258="Missile",Vu_khi!$M$258="Drone",AND(Vu_khi!$M$258="Rocket",OR(Vu_khi!$AM$258,Vu_khi!$D$258="guided")),Vu_khi!$AL$258,Vu_khi!$AK$258,Vu_khi!$X$258&lt;=0),FALSE,IF($B$258&gt;=0,$B$258&gt;=4,IF(Vu_khi!$M$258="Shell",Vu_khi!$AN$258&gt;=Canh_bao_vong!$D$10,IF(Vu_khi!$M$258="Bomb",Vu_khi!$AN$258&gt;=Canh_bao_vong!$D$3,IF(Vu_khi!$M$258="Rocket",Vu_khi!$AN$258&gt;=Canh_bao_vong!$D$13,FALSE)))))</f>
        <v/>
      </c>
      <c r="AT258" t="b">
        <v>0</v>
      </c>
      <c r="AU258">
        <f>IF(AND($B$258&lt;0,$AS$258),4,$B$258)</f>
        <v/>
      </c>
      <c r="AV258" t="n">
        <v>1</v>
      </c>
      <c r="AW258">
        <f>IF($AU$258&lt;4,0,MIN(MAX(0.5,Canh_bao_vong!$D$4),MAX(IF(Vu_khi!$C$258="cal_406",Canh_bao_vong!$D$7,IF($AU$258&gt;=5,Canh_bao_vong!$D$9,Canh_bao_vong!$D$8)),Canh_bao_vong!$D$2+MAX(0,Vu_khi!$X$258)/MAX(0.1,Canh_bao_vong!$D$5))))</f>
        <v/>
      </c>
      <c r="AX258" t="n">
        <v>0</v>
      </c>
      <c r="AY258" t="n">
        <v>3.3332</v>
      </c>
      <c r="AZ258" t="inlineStr">
        <is>
          <t>ok</t>
        </is>
      </c>
      <c r="BA258" t="b">
        <v>1</v>
      </c>
      <c r="BB258" t="inlineStr">
        <is>
          <t>Assets/MachineBrigade/Resources/Data/balance.json: weapons[id=p26_matriarch_sec_autocannon_30] (lớp B trên 01_chien_dau/Vu_khi)</t>
        </is>
      </c>
      <c r="BC258" t="inlineStr"/>
    </row>
    <row r="259">
      <c r="A259" t="inlineStr">
        <is>
          <t>p26_matriarch_tiny_mothership_cannon</t>
        </is>
      </c>
      <c r="B259" t="n">
        <v>2</v>
      </c>
      <c r="C259">
        <f>IF(Vu_khi!$O$259="SIMULTANEOUS",MAX(1,Vu_khi!$N$259),1)</f>
        <v/>
      </c>
      <c r="D259" t="n">
        <v>1</v>
      </c>
      <c r="E259">
        <f>IF(Vu_khi!$S$259&gt;0,Vu_khi!$S$259,Vu_khi!$P$259*$C$259)</f>
        <v/>
      </c>
      <c r="F259" t="n">
        <v>4</v>
      </c>
      <c r="G259">
        <f>IF(Vu_khi!$S$259&gt;0,(Vu_khi!$S$259-1)*Vu_khi!$R$259+Vu_khi!$T$259,Vu_khi!$R$259+(Vu_khi!$P$259-1)*Vu_khi!$Q$259)</f>
        <v/>
      </c>
      <c r="H259" t="n">
        <v>4.29</v>
      </c>
      <c r="I259">
        <f>Vu_khi!$W$259*MAX(1,$E$259)</f>
        <v/>
      </c>
      <c r="J259" t="n">
        <v>480</v>
      </c>
      <c r="K259">
        <f>IF(Vu_khi!$V$259&gt;0,Vu_khi!$V$259,MIN(28,MAX(10,Vu_khi!$U$259*Vu_khi!$R$259*0.4)))</f>
        <v/>
      </c>
      <c r="L259" t="n">
        <v>10</v>
      </c>
      <c r="M259">
        <f>IF(Vu_khi!$W$259&lt;=0,0,IF(Vu_khi!$U$259&gt;0,$I$259*Vu_khi!$U$259/(MAX(0.05,$G$259)*Vu_khi!$U$259+$K$259),$I$259/MAX(0.05,$G$259)))</f>
        <v/>
      </c>
      <c r="N259" t="n">
        <v>111.8881118881119</v>
      </c>
      <c r="O259">
        <f>OR(Vu_khi!$AG$259,Vu_khi!$AB$259&gt;0,Vu_khi!$AH$259,Vu_khi!$M$259="Bomb",Vu_khi!$M$259="Drone")</f>
        <v/>
      </c>
      <c r="P259" t="b">
        <v>0</v>
      </c>
      <c r="Q259">
        <f>AND(NOT(Vu_khi!$AJ$259),OR(Vu_khi!$AC$259="Ground",Vu_khi!$AC$259="All"))</f>
        <v/>
      </c>
      <c r="R259" t="b">
        <v>1</v>
      </c>
      <c r="S259">
        <f>AND(NOT(Vu_khi!$AJ$259),OR(Vu_khi!$AC$259="Air",Vu_khi!$AC$259="All"))</f>
        <v/>
      </c>
      <c r="T259" t="b">
        <v>0</v>
      </c>
      <c r="U259">
        <f>INDEX(Bang_sat_thuong!$B$2:$B$7,MATCH(Vu_khi!$K$259,Bang_sat_thuong!$A$2:$A$7,0))</f>
        <v/>
      </c>
      <c r="V259" t="n">
        <v>1</v>
      </c>
      <c r="W259">
        <f>INDEX(Bang_sat_thuong!$C$2:$C$7,MATCH(Vu_khi!$K$259,Bang_sat_thuong!$A$2:$A$7,0))</f>
        <v/>
      </c>
      <c r="X259" t="n">
        <v>0</v>
      </c>
      <c r="Y259">
        <f>IF(AND(Vu_khi!$AI$259,Vu_khi!$K$259="HighExplosive"),MAX(He_so_toan_cuc!$D$2,INDEX(Bang_sat_thuong!$D$2:$D$7,MATCH(Vu_khi!$K$259,Bang_sat_thuong!$A$2:$A$7,0))),INDEX(Bang_sat_thuong!$D$2:$D$7,MATCH(Vu_khi!$K$259,Bang_sat_thuong!$A$2:$A$7,0)))</f>
        <v/>
      </c>
      <c r="Z259" t="n">
        <v>1.5</v>
      </c>
      <c r="AA259">
        <f>INDEX(Bang_xuyen_giap!$C$2:$C$7,MIN(6,MAX(1,IF($O$259,MAX(1,2-(Vu_khi!$L$259-0)),2-(Vu_khi!$L$259-0))+1)))</f>
        <v/>
      </c>
      <c r="AB259" t="n">
        <v>1.2</v>
      </c>
      <c r="AC259">
        <f>INDEX(Bang_xuyen_giap!$C$2:$C$7,MIN(6,MAX(1,IF($O$259,MAX(1,2-(Vu_khi!$L$259-2)),2-(Vu_khi!$L$259-2))+1)))</f>
        <v/>
      </c>
      <c r="AD259" t="n">
        <v>0.85</v>
      </c>
      <c r="AE259">
        <f>INDEX(Bang_xuyen_giap!$C$2:$C$7,MIN(6,MAX(1,IF($O$259,MAX(1,2-(Vu_khi!$L$259-4)),2-(Vu_khi!$L$259-4))+1)))</f>
        <v/>
      </c>
      <c r="AF259" t="n">
        <v>0.25</v>
      </c>
      <c r="AG259">
        <f>INDEX(Bang_xuyen_giap!$C$2:$C$7,MIN(6,MAX(1,MAX(1,2-(Vu_khi!$L$259-0))+1)))</f>
        <v/>
      </c>
      <c r="AH259" t="n">
        <v>1</v>
      </c>
      <c r="AI259">
        <f>IF($Q$259,$M$259*$AA$259*$U$259,0)</f>
        <v/>
      </c>
      <c r="AJ259" t="n">
        <v>134.2657342657343</v>
      </c>
      <c r="AK259">
        <f>IF($Q$259,$M$259*$AC$259*$U$259,0)</f>
        <v/>
      </c>
      <c r="AL259" t="n">
        <v>95.10489510489511</v>
      </c>
      <c r="AM259">
        <f>IF($Q$259,$M$259*$AE$259*$U$259,0)</f>
        <v/>
      </c>
      <c r="AN259" t="n">
        <v>27.97202797202797</v>
      </c>
      <c r="AO259">
        <f>IF($Q$259,$M$259*$AC$259*$Y$259,0)</f>
        <v/>
      </c>
      <c r="AP259" t="n">
        <v>142.6573426573427</v>
      </c>
      <c r="AQ259">
        <f>IF($S$259,$M$259*$AG$259*$W$259,0)</f>
        <v/>
      </c>
      <c r="AR259" t="n">
        <v>0</v>
      </c>
      <c r="AS259">
        <f>IF(OR(Vu_khi!$M$259="Missile",Vu_khi!$M$259="Drone",AND(Vu_khi!$M$259="Rocket",OR(Vu_khi!$AM$259,Vu_khi!$D$259="guided")),Vu_khi!$AL$259,Vu_khi!$AK$259,Vu_khi!$X$259&lt;=0),FALSE,IF($B$259&gt;=0,$B$259&gt;=4,IF(Vu_khi!$M$259="Shell",Vu_khi!$AN$259&gt;=Canh_bao_vong!$D$10,IF(Vu_khi!$M$259="Bomb",Vu_khi!$AN$259&gt;=Canh_bao_vong!$D$3,IF(Vu_khi!$M$259="Rocket",Vu_khi!$AN$259&gt;=Canh_bao_vong!$D$13,FALSE)))))</f>
        <v/>
      </c>
      <c r="AT259" t="b">
        <v>0</v>
      </c>
      <c r="AU259">
        <f>IF(AND($B$259&lt;0,$AS$259),4,$B$259)</f>
        <v/>
      </c>
      <c r="AV259" t="n">
        <v>2</v>
      </c>
      <c r="AW259">
        <f>IF($AU$259&lt;4,0,MIN(MAX(0.5,Canh_bao_vong!$D$4),MAX(IF(Vu_khi!$C$259="cal_406",Canh_bao_vong!$D$7,IF($AU$259&gt;=5,Canh_bao_vong!$D$9,Canh_bao_vong!$D$8)),Canh_bao_vong!$D$2+MAX(0,Vu_khi!$X$259)/MAX(0.1,Canh_bao_vong!$D$5))))</f>
        <v/>
      </c>
      <c r="AX259" t="n">
        <v>0</v>
      </c>
      <c r="AY259" t="n">
        <v>2.145</v>
      </c>
      <c r="AZ259" t="inlineStr">
        <is>
          <t>ok</t>
        </is>
      </c>
      <c r="BA259" t="b">
        <v>1</v>
      </c>
      <c r="BB259" t="inlineStr">
        <is>
          <t>Assets/MachineBrigade/Resources/Data/balance.json: weapons[id=p26_matriarch_tiny_mothership_cannon] (lớp B trên 01_chien_dau/Vu_khi)</t>
        </is>
      </c>
      <c r="BC259" t="inlineStr"/>
    </row>
    <row r="260">
      <c r="A260" t="inlineStr">
        <is>
          <t>p26_moloch_close_boss_flak</t>
        </is>
      </c>
      <c r="B260" t="n">
        <v>1</v>
      </c>
      <c r="C260">
        <f>IF(Vu_khi!$O$260="SIMULTANEOUS",MAX(1,Vu_khi!$N$260),1)</f>
        <v/>
      </c>
      <c r="D260" t="n">
        <v>1</v>
      </c>
      <c r="E260">
        <f>IF(Vu_khi!$S$260&gt;0,Vu_khi!$S$260,Vu_khi!$P$260*$C$260)</f>
        <v/>
      </c>
      <c r="F260" t="n">
        <v>41</v>
      </c>
      <c r="G260">
        <f>IF(Vu_khi!$S$260&gt;0,(Vu_khi!$S$260-1)*Vu_khi!$R$260+Vu_khi!$T$260,Vu_khi!$R$260+(Vu_khi!$P$260-1)*Vu_khi!$Q$260)</f>
        <v/>
      </c>
      <c r="H260" t="n">
        <v>5.38</v>
      </c>
      <c r="I260">
        <f>Vu_khi!$W$260*MAX(1,$E$260)</f>
        <v/>
      </c>
      <c r="J260" t="n">
        <v>1025</v>
      </c>
      <c r="K260">
        <f>IF(Vu_khi!$V$260&gt;0,Vu_khi!$V$260,MIN(28,MAX(10,Vu_khi!$U$260*Vu_khi!$R$260*0.4)))</f>
        <v/>
      </c>
      <c r="L260" t="n">
        <v>10</v>
      </c>
      <c r="M260">
        <f>IF(Vu_khi!$W$260&lt;=0,0,IF(Vu_khi!$U$260&gt;0,$I$260*Vu_khi!$U$260/(MAX(0.05,$G$260)*Vu_khi!$U$260+$K$260),$I$260/MAX(0.05,$G$260)))</f>
        <v/>
      </c>
      <c r="N260" t="n">
        <v>190.5204460966543</v>
      </c>
      <c r="O260">
        <f>OR(Vu_khi!$AG$260,Vu_khi!$AB$260&gt;0,Vu_khi!$AH$260,Vu_khi!$M$260="Bomb",Vu_khi!$M$260="Drone")</f>
        <v/>
      </c>
      <c r="P260" t="b">
        <v>0</v>
      </c>
      <c r="Q260">
        <f>AND(NOT(Vu_khi!$AJ$260),OR(Vu_khi!$AC$260="Ground",Vu_khi!$AC$260="All"))</f>
        <v/>
      </c>
      <c r="R260" t="b">
        <v>1</v>
      </c>
      <c r="S260">
        <f>AND(NOT(Vu_khi!$AJ$260),OR(Vu_khi!$AC$260="Air",Vu_khi!$AC$260="All"))</f>
        <v/>
      </c>
      <c r="T260" t="b">
        <v>1</v>
      </c>
      <c r="U260">
        <f>INDEX(Bang_sat_thuong!$B$2:$B$7,MATCH(Vu_khi!$K$260,Bang_sat_thuong!$A$2:$A$7,0))</f>
        <v/>
      </c>
      <c r="V260" t="n">
        <v>0.5</v>
      </c>
      <c r="W260">
        <f>INDEX(Bang_sat_thuong!$C$2:$C$7,MATCH(Vu_khi!$K$260,Bang_sat_thuong!$A$2:$A$7,0))</f>
        <v/>
      </c>
      <c r="X260" t="n">
        <v>1.3</v>
      </c>
      <c r="Y260">
        <f>IF(AND(Vu_khi!$AI$260,Vu_khi!$K$260="HighExplosive"),MAX(He_so_toan_cuc!$D$2,INDEX(Bang_sat_thuong!$D$2:$D$7,MATCH(Vu_khi!$K$260,Bang_sat_thuong!$A$2:$A$7,0))),INDEX(Bang_sat_thuong!$D$2:$D$7,MATCH(Vu_khi!$K$260,Bang_sat_thuong!$A$2:$A$7,0)))</f>
        <v/>
      </c>
      <c r="Z260" t="n">
        <v>0.1</v>
      </c>
      <c r="AA260">
        <f>INDEX(Bang_xuyen_giap!$C$2:$C$7,MIN(6,MAX(1,IF($O$260,MAX(1,2-(Vu_khi!$L$260-0)),2-(Vu_khi!$L$260-0))+1)))</f>
        <v/>
      </c>
      <c r="AB260" t="n">
        <v>1.2</v>
      </c>
      <c r="AC260">
        <f>INDEX(Bang_xuyen_giap!$C$2:$C$7,MIN(6,MAX(1,IF($O$260,MAX(1,2-(Vu_khi!$L$260-2)),2-(Vu_khi!$L$260-2))+1)))</f>
        <v/>
      </c>
      <c r="AD260" t="n">
        <v>0.85</v>
      </c>
      <c r="AE260">
        <f>INDEX(Bang_xuyen_giap!$C$2:$C$7,MIN(6,MAX(1,IF($O$260,MAX(1,2-(Vu_khi!$L$260-4)),2-(Vu_khi!$L$260-4))+1)))</f>
        <v/>
      </c>
      <c r="AF260" t="n">
        <v>0.25</v>
      </c>
      <c r="AG260">
        <f>INDEX(Bang_xuyen_giap!$C$2:$C$7,MIN(6,MAX(1,MAX(1,2-(Vu_khi!$L$260-0))+1)))</f>
        <v/>
      </c>
      <c r="AH260" t="n">
        <v>1</v>
      </c>
      <c r="AI260">
        <f>IF($Q$260,$M$260*$AA$260*$U$260,0)</f>
        <v/>
      </c>
      <c r="AJ260" t="n">
        <v>114.3122676579926</v>
      </c>
      <c r="AK260">
        <f>IF($Q$260,$M$260*$AC$260*$U$260,0)</f>
        <v/>
      </c>
      <c r="AL260" t="n">
        <v>80.97118959107806</v>
      </c>
      <c r="AM260">
        <f>IF($Q$260,$M$260*$AE$260*$U$260,0)</f>
        <v/>
      </c>
      <c r="AN260" t="n">
        <v>23.81505576208178</v>
      </c>
      <c r="AO260">
        <f>IF($Q$260,$M$260*$AC$260*$Y$260,0)</f>
        <v/>
      </c>
      <c r="AP260" t="n">
        <v>16.19423791821561</v>
      </c>
      <c r="AQ260">
        <f>IF($S$260,$M$260*$AG$260*$W$260,0)</f>
        <v/>
      </c>
      <c r="AR260" t="n">
        <v>247.6765799256505</v>
      </c>
      <c r="AS260">
        <f>IF(OR(Vu_khi!$M$260="Missile",Vu_khi!$M$260="Drone",AND(Vu_khi!$M$260="Rocket",OR(Vu_khi!$AM$260,Vu_khi!$D$260="guided")),Vu_khi!$AL$260,Vu_khi!$AK$260,Vu_khi!$X$260&lt;=0),FALSE,IF($B$260&gt;=0,$B$260&gt;=4,IF(Vu_khi!$M$260="Shell",Vu_khi!$AN$260&gt;=Canh_bao_vong!$D$10,IF(Vu_khi!$M$260="Bomb",Vu_khi!$AN$260&gt;=Canh_bao_vong!$D$3,IF(Vu_khi!$M$260="Rocket",Vu_khi!$AN$260&gt;=Canh_bao_vong!$D$13,FALSE)))))</f>
        <v/>
      </c>
      <c r="AT260" t="b">
        <v>0</v>
      </c>
      <c r="AU260">
        <f>IF(AND($B$260&lt;0,$AS$260),4,$B$260)</f>
        <v/>
      </c>
      <c r="AV260" t="n">
        <v>1</v>
      </c>
      <c r="AW260">
        <f>IF($AU$260&lt;4,0,MIN(MAX(0.5,Canh_bao_vong!$D$4),MAX(IF(Vu_khi!$C$260="cal_406",Canh_bao_vong!$D$7,IF($AU$260&gt;=5,Canh_bao_vong!$D$9,Canh_bao_vong!$D$8)),Canh_bao_vong!$D$2+MAX(0,Vu_khi!$X$260)/MAX(0.1,Canh_bao_vong!$D$5))))</f>
        <v/>
      </c>
      <c r="AX260" t="n">
        <v>0</v>
      </c>
      <c r="AY260" t="n">
        <v>2.405691</v>
      </c>
      <c r="AZ260" t="inlineStr">
        <is>
          <t>ok</t>
        </is>
      </c>
      <c r="BA260" t="b">
        <v>1</v>
      </c>
      <c r="BB260" t="inlineStr">
        <is>
          <t>Assets/MachineBrigade/Resources/Data/balance.json: weapons[id=p26_moloch_close_boss_flak] (lớp B trên 01_chien_dau/Vu_khi)</t>
        </is>
      </c>
      <c r="BC260" t="inlineStr"/>
    </row>
    <row r="261">
      <c r="A261" t="inlineStr">
        <is>
          <t>p26_moloch_direct_mo120ap</t>
        </is>
      </c>
      <c r="B261" t="n">
        <v>3</v>
      </c>
      <c r="C261">
        <f>IF(Vu_khi!$O$261="SIMULTANEOUS",MAX(1,Vu_khi!$N$261),1)</f>
        <v/>
      </c>
      <c r="D261" t="n">
        <v>2</v>
      </c>
      <c r="E261">
        <f>IF(Vu_khi!$S$261&gt;0,Vu_khi!$S$261,Vu_khi!$P$261*$C$261)</f>
        <v/>
      </c>
      <c r="F261" t="n">
        <v>2</v>
      </c>
      <c r="G261">
        <f>IF(Vu_khi!$S$261&gt;0,(Vu_khi!$S$261-1)*Vu_khi!$R$261+Vu_khi!$T$261,Vu_khi!$R$261+(Vu_khi!$P$261-1)*Vu_khi!$Q$261)</f>
        <v/>
      </c>
      <c r="H261" t="n">
        <v>7.5</v>
      </c>
      <c r="I261">
        <f>Vu_khi!$W$261*MAX(1,$E$261)</f>
        <v/>
      </c>
      <c r="J261" t="n">
        <v>520</v>
      </c>
      <c r="K261">
        <f>IF(Vu_khi!$V$261&gt;0,Vu_khi!$V$261,MIN(28,MAX(10,Vu_khi!$U$261*Vu_khi!$R$261*0.4)))</f>
        <v/>
      </c>
      <c r="L261" t="n">
        <v>10</v>
      </c>
      <c r="M261">
        <f>IF(Vu_khi!$W$261&lt;=0,0,IF(Vu_khi!$U$261&gt;0,$I$261*Vu_khi!$U$261/(MAX(0.05,$G$261)*Vu_khi!$U$261+$K$261),$I$261/MAX(0.05,$G$261)))</f>
        <v/>
      </c>
      <c r="N261" t="n">
        <v>69.33333333333333</v>
      </c>
      <c r="O261">
        <f>OR(Vu_khi!$AG$261,Vu_khi!$AB$261&gt;0,Vu_khi!$AH$261,Vu_khi!$M$261="Bomb",Vu_khi!$M$261="Drone")</f>
        <v/>
      </c>
      <c r="P261" t="b">
        <v>0</v>
      </c>
      <c r="Q261">
        <f>AND(NOT(Vu_khi!$AJ$261),OR(Vu_khi!$AC$261="Ground",Vu_khi!$AC$261="All"))</f>
        <v/>
      </c>
      <c r="R261" t="b">
        <v>1</v>
      </c>
      <c r="S261">
        <f>AND(NOT(Vu_khi!$AJ$261),OR(Vu_khi!$AC$261="Air",Vu_khi!$AC$261="All"))</f>
        <v/>
      </c>
      <c r="T261" t="b">
        <v>0</v>
      </c>
      <c r="U261">
        <f>INDEX(Bang_sat_thuong!$B$2:$B$7,MATCH(Vu_khi!$K$261,Bang_sat_thuong!$A$2:$A$7,0))</f>
        <v/>
      </c>
      <c r="V261" t="n">
        <v>1</v>
      </c>
      <c r="W261">
        <f>INDEX(Bang_sat_thuong!$C$2:$C$7,MATCH(Vu_khi!$K$261,Bang_sat_thuong!$A$2:$A$7,0))</f>
        <v/>
      </c>
      <c r="X261" t="n">
        <v>0.3</v>
      </c>
      <c r="Y261">
        <f>IF(AND(Vu_khi!$AI$261,Vu_khi!$K$261="HighExplosive"),MAX(He_so_toan_cuc!$D$2,INDEX(Bang_sat_thuong!$D$2:$D$7,MATCH(Vu_khi!$K$261,Bang_sat_thuong!$A$2:$A$7,0))),INDEX(Bang_sat_thuong!$D$2:$D$7,MATCH(Vu_khi!$K$261,Bang_sat_thuong!$A$2:$A$7,0)))</f>
        <v/>
      </c>
      <c r="Z261" t="n">
        <v>0.6</v>
      </c>
      <c r="AA261">
        <f>INDEX(Bang_xuyen_giap!$C$2:$C$7,MIN(6,MAX(1,IF($O$261,MAX(1,2-(Vu_khi!$L$261-0)),2-(Vu_khi!$L$261-0))+1)))</f>
        <v/>
      </c>
      <c r="AB261" t="n">
        <v>1.2</v>
      </c>
      <c r="AC261">
        <f>INDEX(Bang_xuyen_giap!$C$2:$C$7,MIN(6,MAX(1,IF($O$261,MAX(1,2-(Vu_khi!$L$261-2)),2-(Vu_khi!$L$261-2))+1)))</f>
        <v/>
      </c>
      <c r="AD261" t="n">
        <v>1.2</v>
      </c>
      <c r="AE261">
        <f>INDEX(Bang_xuyen_giap!$C$2:$C$7,MIN(6,MAX(1,IF($O$261,MAX(1,2-(Vu_khi!$L$261-4)),2-(Vu_khi!$L$261-4))+1)))</f>
        <v/>
      </c>
      <c r="AF261" t="n">
        <v>1</v>
      </c>
      <c r="AG261">
        <f>INDEX(Bang_xuyen_giap!$C$2:$C$7,MIN(6,MAX(1,MAX(1,2-(Vu_khi!$L$261-0))+1)))</f>
        <v/>
      </c>
      <c r="AH261" t="n">
        <v>1</v>
      </c>
      <c r="AI261">
        <f>IF($Q$261,$M$261*$AA$261*$U$261,0)</f>
        <v/>
      </c>
      <c r="AJ261" t="n">
        <v>83.19999999999999</v>
      </c>
      <c r="AK261">
        <f>IF($Q$261,$M$261*$AC$261*$U$261,0)</f>
        <v/>
      </c>
      <c r="AL261" t="n">
        <v>83.19999999999999</v>
      </c>
      <c r="AM261">
        <f>IF($Q$261,$M$261*$AE$261*$U$261,0)</f>
        <v/>
      </c>
      <c r="AN261" t="n">
        <v>69.33333333333333</v>
      </c>
      <c r="AO261">
        <f>IF($Q$261,$M$261*$AC$261*$Y$261,0)</f>
        <v/>
      </c>
      <c r="AP261" t="n">
        <v>49.91999999999999</v>
      </c>
      <c r="AQ261">
        <f>IF($S$261,$M$261*$AG$261*$W$261,0)</f>
        <v/>
      </c>
      <c r="AR261" t="n">
        <v>0</v>
      </c>
      <c r="AS261">
        <f>IF(OR(Vu_khi!$M$261="Missile",Vu_khi!$M$261="Drone",AND(Vu_khi!$M$261="Rocket",OR(Vu_khi!$AM$261,Vu_khi!$D$261="guided")),Vu_khi!$AL$261,Vu_khi!$AK$261,Vu_khi!$X$261&lt;=0),FALSE,IF($B$261&gt;=0,$B$261&gt;=4,IF(Vu_khi!$M$261="Shell",Vu_khi!$AN$261&gt;=Canh_bao_vong!$D$10,IF(Vu_khi!$M$261="Bomb",Vu_khi!$AN$261&gt;=Canh_bao_vong!$D$3,IF(Vu_khi!$M$261="Rocket",Vu_khi!$AN$261&gt;=Canh_bao_vong!$D$13,FALSE)))))</f>
        <v/>
      </c>
      <c r="AT261" t="b">
        <v>0</v>
      </c>
      <c r="AU261">
        <f>IF(AND($B$261&lt;0,$AS$261),4,$B$261)</f>
        <v/>
      </c>
      <c r="AV261" t="n">
        <v>3</v>
      </c>
      <c r="AW261">
        <f>IF($AU$261&lt;4,0,MIN(MAX(0.5,Canh_bao_vong!$D$4),MAX(IF(Vu_khi!$C$261="cal_406",Canh_bao_vong!$D$7,IF($AU$261&gt;=5,Canh_bao_vong!$D$9,Canh_bao_vong!$D$8)),Canh_bao_vong!$D$2+MAX(0,Vu_khi!$X$261)/MAX(0.1,Canh_bao_vong!$D$5))))</f>
        <v/>
      </c>
      <c r="AX261" t="n">
        <v>0</v>
      </c>
      <c r="AY261" t="n">
        <v>0.7</v>
      </c>
      <c r="AZ261" t="inlineStr">
        <is>
          <t>ok</t>
        </is>
      </c>
      <c r="BA261" t="b">
        <v>1</v>
      </c>
      <c r="BB261" t="inlineStr">
        <is>
          <t>Assets/MachineBrigade/Resources/Data/balance.json: weapons[id=p26_moloch_direct_mo120ap] (lớp B trên 01_chien_dau/Vu_khi)</t>
        </is>
      </c>
      <c r="BC261" t="inlineStr"/>
    </row>
    <row r="262">
      <c r="A262" t="inlineStr">
        <is>
          <t>p26_moloch_main_mo120</t>
        </is>
      </c>
      <c r="B262" t="n">
        <v>3</v>
      </c>
      <c r="C262">
        <f>IF(Vu_khi!$O$262="SIMULTANEOUS",MAX(1,Vu_khi!$N$262),1)</f>
        <v/>
      </c>
      <c r="D262" t="n">
        <v>2</v>
      </c>
      <c r="E262">
        <f>IF(Vu_khi!$S$262&gt;0,Vu_khi!$S$262,Vu_khi!$P$262*$C$262)</f>
        <v/>
      </c>
      <c r="F262" t="n">
        <v>2</v>
      </c>
      <c r="G262">
        <f>IF(Vu_khi!$S$262&gt;0,(Vu_khi!$S$262-1)*Vu_khi!$R$262+Vu_khi!$T$262,Vu_khi!$R$262+(Vu_khi!$P$262-1)*Vu_khi!$Q$262)</f>
        <v/>
      </c>
      <c r="H262" t="n">
        <v>7.5</v>
      </c>
      <c r="I262">
        <f>Vu_khi!$W$262*MAX(1,$E$262)</f>
        <v/>
      </c>
      <c r="J262" t="n">
        <v>680</v>
      </c>
      <c r="K262">
        <f>IF(Vu_khi!$V$262&gt;0,Vu_khi!$V$262,MIN(28,MAX(10,Vu_khi!$U$262*Vu_khi!$R$262*0.4)))</f>
        <v/>
      </c>
      <c r="L262" t="n">
        <v>10</v>
      </c>
      <c r="M262">
        <f>IF(Vu_khi!$W$262&lt;=0,0,IF(Vu_khi!$U$262&gt;0,$I$262*Vu_khi!$U$262/(MAX(0.05,$G$262)*Vu_khi!$U$262+$K$262),$I$262/MAX(0.05,$G$262)))</f>
        <v/>
      </c>
      <c r="N262" t="n">
        <v>90.66666666666667</v>
      </c>
      <c r="O262">
        <f>OR(Vu_khi!$AG$262,Vu_khi!$AB$262&gt;0,Vu_khi!$AH$262,Vu_khi!$M$262="Bomb",Vu_khi!$M$262="Drone")</f>
        <v/>
      </c>
      <c r="P262" t="b">
        <v>0</v>
      </c>
      <c r="Q262">
        <f>AND(NOT(Vu_khi!$AJ$262),OR(Vu_khi!$AC$262="Ground",Vu_khi!$AC$262="All"))</f>
        <v/>
      </c>
      <c r="R262" t="b">
        <v>1</v>
      </c>
      <c r="S262">
        <f>AND(NOT(Vu_khi!$AJ$262),OR(Vu_khi!$AC$262="Air",Vu_khi!$AC$262="All"))</f>
        <v/>
      </c>
      <c r="T262" t="b">
        <v>0</v>
      </c>
      <c r="U262">
        <f>INDEX(Bang_sat_thuong!$B$2:$B$7,MATCH(Vu_khi!$K$262,Bang_sat_thuong!$A$2:$A$7,0))</f>
        <v/>
      </c>
      <c r="V262" t="n">
        <v>1</v>
      </c>
      <c r="W262">
        <f>INDEX(Bang_sat_thuong!$C$2:$C$7,MATCH(Vu_khi!$K$262,Bang_sat_thuong!$A$2:$A$7,0))</f>
        <v/>
      </c>
      <c r="X262" t="n">
        <v>0</v>
      </c>
      <c r="Y262">
        <f>IF(AND(Vu_khi!$AI$262,Vu_khi!$K$262="HighExplosive"),MAX(He_so_toan_cuc!$D$2,INDEX(Bang_sat_thuong!$D$2:$D$7,MATCH(Vu_khi!$K$262,Bang_sat_thuong!$A$2:$A$7,0))),INDEX(Bang_sat_thuong!$D$2:$D$7,MATCH(Vu_khi!$K$262,Bang_sat_thuong!$A$2:$A$7,0)))</f>
        <v/>
      </c>
      <c r="Z262" t="n">
        <v>1.5</v>
      </c>
      <c r="AA262">
        <f>INDEX(Bang_xuyen_giap!$C$2:$C$7,MIN(6,MAX(1,IF($O$262,MAX(1,2-(Vu_khi!$L$262-0)),2-(Vu_khi!$L$262-0))+1)))</f>
        <v/>
      </c>
      <c r="AB262" t="n">
        <v>1.2</v>
      </c>
      <c r="AC262">
        <f>INDEX(Bang_xuyen_giap!$C$2:$C$7,MIN(6,MAX(1,IF($O$262,MAX(1,2-(Vu_khi!$L$262-2)),2-(Vu_khi!$L$262-2))+1)))</f>
        <v/>
      </c>
      <c r="AD262" t="n">
        <v>1.2</v>
      </c>
      <c r="AE262">
        <f>INDEX(Bang_xuyen_giap!$C$2:$C$7,MIN(6,MAX(1,IF($O$262,MAX(1,2-(Vu_khi!$L$262-4)),2-(Vu_khi!$L$262-4))+1)))</f>
        <v/>
      </c>
      <c r="AF262" t="n">
        <v>0.85</v>
      </c>
      <c r="AG262">
        <f>INDEX(Bang_xuyen_giap!$C$2:$C$7,MIN(6,MAX(1,MAX(1,2-(Vu_khi!$L$262-0))+1)))</f>
        <v/>
      </c>
      <c r="AH262" t="n">
        <v>1</v>
      </c>
      <c r="AI262">
        <f>IF($Q$262,$M$262*$AA$262*$U$262,0)</f>
        <v/>
      </c>
      <c r="AJ262" t="n">
        <v>108.8</v>
      </c>
      <c r="AK262">
        <f>IF($Q$262,$M$262*$AC$262*$U$262,0)</f>
        <v/>
      </c>
      <c r="AL262" t="n">
        <v>108.8</v>
      </c>
      <c r="AM262">
        <f>IF($Q$262,$M$262*$AE$262*$U$262,0)</f>
        <v/>
      </c>
      <c r="AN262" t="n">
        <v>77.06666666666666</v>
      </c>
      <c r="AO262">
        <f>IF($Q$262,$M$262*$AC$262*$Y$262,0)</f>
        <v/>
      </c>
      <c r="AP262" t="n">
        <v>163.2</v>
      </c>
      <c r="AQ262">
        <f>IF($S$262,$M$262*$AG$262*$W$262,0)</f>
        <v/>
      </c>
      <c r="AR262" t="n">
        <v>0</v>
      </c>
      <c r="AS262">
        <f>IF(OR(Vu_khi!$M$262="Missile",Vu_khi!$M$262="Drone",AND(Vu_khi!$M$262="Rocket",OR(Vu_khi!$AM$262,Vu_khi!$D$262="guided")),Vu_khi!$AL$262,Vu_khi!$AK$262,Vu_khi!$X$262&lt;=0),FALSE,IF($B$262&gt;=0,$B$262&gt;=4,IF(Vu_khi!$M$262="Shell",Vu_khi!$AN$262&gt;=Canh_bao_vong!$D$10,IF(Vu_khi!$M$262="Bomb",Vu_khi!$AN$262&gt;=Canh_bao_vong!$D$3,IF(Vu_khi!$M$262="Rocket",Vu_khi!$AN$262&gt;=Canh_bao_vong!$D$13,FALSE)))))</f>
        <v/>
      </c>
      <c r="AT262" t="b">
        <v>0</v>
      </c>
      <c r="AU262">
        <f>IF(AND($B$262&lt;0,$AS$262),4,$B$262)</f>
        <v/>
      </c>
      <c r="AV262" t="n">
        <v>3</v>
      </c>
      <c r="AW262">
        <f>IF($AU$262&lt;4,0,MIN(MAX(0.5,Canh_bao_vong!$D$4),MAX(IF(Vu_khi!$C$262="cal_406",Canh_bao_vong!$D$7,IF($AU$262&gt;=5,Canh_bao_vong!$D$9,Canh_bao_vong!$D$8)),Canh_bao_vong!$D$2+MAX(0,Vu_khi!$X$262)/MAX(0.1,Canh_bao_vong!$D$5))))</f>
        <v/>
      </c>
      <c r="AX262" t="n">
        <v>0</v>
      </c>
      <c r="AY262" t="n">
        <v>0.7</v>
      </c>
      <c r="AZ262" t="inlineStr">
        <is>
          <t>ok</t>
        </is>
      </c>
      <c r="BA262" t="b">
        <v>1</v>
      </c>
      <c r="BB262" t="inlineStr">
        <is>
          <t>Assets/MachineBrigade/Resources/Data/balance.json: weapons[id=p26_moloch_main_mo120] (lớp B trên 01_chien_dau/Vu_khi)</t>
        </is>
      </c>
      <c r="BC262" t="inlineStr"/>
    </row>
    <row r="263">
      <c r="A263" t="inlineStr">
        <is>
          <t>p26_moloch_mo120</t>
        </is>
      </c>
      <c r="B263" t="n">
        <v>3</v>
      </c>
      <c r="C263">
        <f>IF(Vu_khi!$O$263="SIMULTANEOUS",MAX(1,Vu_khi!$N$263),1)</f>
        <v/>
      </c>
      <c r="D263" t="n">
        <v>1</v>
      </c>
      <c r="E263">
        <f>IF(Vu_khi!$S$263&gt;0,Vu_khi!$S$263,Vu_khi!$P$263*$C$263)</f>
        <v/>
      </c>
      <c r="F263" t="n">
        <v>1</v>
      </c>
      <c r="G263">
        <f>IF(Vu_khi!$S$263&gt;0,(Vu_khi!$S$263-1)*Vu_khi!$R$263+Vu_khi!$T$263,Vu_khi!$R$263+(Vu_khi!$P$263-1)*Vu_khi!$Q$263)</f>
        <v/>
      </c>
      <c r="H263" t="n">
        <v>2</v>
      </c>
      <c r="I263">
        <f>Vu_khi!$W$263*MAX(1,$E$263)</f>
        <v/>
      </c>
      <c r="J263" t="n">
        <v>225</v>
      </c>
      <c r="K263">
        <f>IF(Vu_khi!$V$263&gt;0,Vu_khi!$V$263,MIN(28,MAX(10,Vu_khi!$U$263*Vu_khi!$R$263*0.4)))</f>
        <v/>
      </c>
      <c r="L263" t="n">
        <v>10</v>
      </c>
      <c r="M263">
        <f>IF(Vu_khi!$W$263&lt;=0,0,IF(Vu_khi!$U$263&gt;0,$I$263*Vu_khi!$U$263/(MAX(0.05,$G$263)*Vu_khi!$U$263+$K$263),$I$263/MAX(0.05,$G$263)))</f>
        <v/>
      </c>
      <c r="N263" t="n">
        <v>112.5</v>
      </c>
      <c r="O263">
        <f>OR(Vu_khi!$AG$263,Vu_khi!$AB$263&gt;0,Vu_khi!$AH$263,Vu_khi!$M$263="Bomb",Vu_khi!$M$263="Drone")</f>
        <v/>
      </c>
      <c r="P263" t="b">
        <v>0</v>
      </c>
      <c r="Q263">
        <f>AND(NOT(Vu_khi!$AJ$263),OR(Vu_khi!$AC$263="Ground",Vu_khi!$AC$263="All"))</f>
        <v/>
      </c>
      <c r="R263" t="b">
        <v>1</v>
      </c>
      <c r="S263">
        <f>AND(NOT(Vu_khi!$AJ$263),OR(Vu_khi!$AC$263="Air",Vu_khi!$AC$263="All"))</f>
        <v/>
      </c>
      <c r="T263" t="b">
        <v>0</v>
      </c>
      <c r="U263">
        <f>INDEX(Bang_sat_thuong!$B$2:$B$7,MATCH(Vu_khi!$K$263,Bang_sat_thuong!$A$2:$A$7,0))</f>
        <v/>
      </c>
      <c r="V263" t="n">
        <v>1</v>
      </c>
      <c r="W263">
        <f>INDEX(Bang_sat_thuong!$C$2:$C$7,MATCH(Vu_khi!$K$263,Bang_sat_thuong!$A$2:$A$7,0))</f>
        <v/>
      </c>
      <c r="X263" t="n">
        <v>0</v>
      </c>
      <c r="Y263">
        <f>IF(AND(Vu_khi!$AI$263,Vu_khi!$K$263="HighExplosive"),MAX(He_so_toan_cuc!$D$2,INDEX(Bang_sat_thuong!$D$2:$D$7,MATCH(Vu_khi!$K$263,Bang_sat_thuong!$A$2:$A$7,0))),INDEX(Bang_sat_thuong!$D$2:$D$7,MATCH(Vu_khi!$K$263,Bang_sat_thuong!$A$2:$A$7,0)))</f>
        <v/>
      </c>
      <c r="Z263" t="n">
        <v>1.5</v>
      </c>
      <c r="AA263">
        <f>INDEX(Bang_xuyen_giap!$C$2:$C$7,MIN(6,MAX(1,IF($O$263,MAX(1,2-(Vu_khi!$L$263-0)),2-(Vu_khi!$L$263-0))+1)))</f>
        <v/>
      </c>
      <c r="AB263" t="n">
        <v>1.2</v>
      </c>
      <c r="AC263">
        <f>INDEX(Bang_xuyen_giap!$C$2:$C$7,MIN(6,MAX(1,IF($O$263,MAX(1,2-(Vu_khi!$L$263-2)),2-(Vu_khi!$L$263-2))+1)))</f>
        <v/>
      </c>
      <c r="AD263" t="n">
        <v>1.2</v>
      </c>
      <c r="AE263">
        <f>INDEX(Bang_xuyen_giap!$C$2:$C$7,MIN(6,MAX(1,IF($O$263,MAX(1,2-(Vu_khi!$L$263-4)),2-(Vu_khi!$L$263-4))+1)))</f>
        <v/>
      </c>
      <c r="AF263" t="n">
        <v>0.85</v>
      </c>
      <c r="AG263">
        <f>INDEX(Bang_xuyen_giap!$C$2:$C$7,MIN(6,MAX(1,MAX(1,2-(Vu_khi!$L$263-0))+1)))</f>
        <v/>
      </c>
      <c r="AH263" t="n">
        <v>1</v>
      </c>
      <c r="AI263">
        <f>IF($Q$263,$M$263*$AA$263*$U$263,0)</f>
        <v/>
      </c>
      <c r="AJ263" t="n">
        <v>135</v>
      </c>
      <c r="AK263">
        <f>IF($Q$263,$M$263*$AC$263*$U$263,0)</f>
        <v/>
      </c>
      <c r="AL263" t="n">
        <v>135</v>
      </c>
      <c r="AM263">
        <f>IF($Q$263,$M$263*$AE$263*$U$263,0)</f>
        <v/>
      </c>
      <c r="AN263" t="n">
        <v>95.625</v>
      </c>
      <c r="AO263">
        <f>IF($Q$263,$M$263*$AC$263*$Y$263,0)</f>
        <v/>
      </c>
      <c r="AP263" t="n">
        <v>202.5</v>
      </c>
      <c r="AQ263">
        <f>IF($S$263,$M$263*$AG$263*$W$263,0)</f>
        <v/>
      </c>
      <c r="AR263" t="n">
        <v>0</v>
      </c>
      <c r="AS263">
        <f>IF(OR(Vu_khi!$M$263="Missile",Vu_khi!$M$263="Drone",AND(Vu_khi!$M$263="Rocket",OR(Vu_khi!$AM$263,Vu_khi!$D$263="guided")),Vu_khi!$AL$263,Vu_khi!$AK$263,Vu_khi!$X$263&lt;=0),FALSE,IF($B$263&gt;=0,$B$263&gt;=4,IF(Vu_khi!$M$263="Shell",Vu_khi!$AN$263&gt;=Canh_bao_vong!$D$10,IF(Vu_khi!$M$263="Bomb",Vu_khi!$AN$263&gt;=Canh_bao_vong!$D$3,IF(Vu_khi!$M$263="Rocket",Vu_khi!$AN$263&gt;=Canh_bao_vong!$D$13,FALSE)))))</f>
        <v/>
      </c>
      <c r="AT263" t="b">
        <v>0</v>
      </c>
      <c r="AU263">
        <f>IF(AND($B$263&lt;0,$AS$263),4,$B$263)</f>
        <v/>
      </c>
      <c r="AV263" t="n">
        <v>3</v>
      </c>
      <c r="AW263">
        <f>IF($AU$263&lt;4,0,MIN(MAX(0.5,Canh_bao_vong!$D$4),MAX(IF(Vu_khi!$C$263="cal_406",Canh_bao_vong!$D$7,IF($AU$263&gt;=5,Canh_bao_vong!$D$9,Canh_bao_vong!$D$8)),Canh_bao_vong!$D$2+MAX(0,Vu_khi!$X$263)/MAX(0.1,Canh_bao_vong!$D$5))))</f>
        <v/>
      </c>
      <c r="AX263" t="n">
        <v>0</v>
      </c>
      <c r="AY263" t="n">
        <v>0.186667</v>
      </c>
      <c r="AZ263" t="inlineStr">
        <is>
          <t>NHANH_QUA;LECH_DOT_1</t>
        </is>
      </c>
      <c r="BA263" t="inlineStr"/>
      <c r="BB263" t="inlineStr">
        <is>
          <t>Assets/MachineBrigade/Resources/Data/balance.json: weapons[id=p26_moloch_mo120] (lớp B trên 01_chien_dau/Vu_khi)</t>
        </is>
      </c>
      <c r="BC263" t="inlineStr"/>
    </row>
    <row r="264">
      <c r="A264" t="inlineStr">
        <is>
          <t>p26_moloch_mo120ap</t>
        </is>
      </c>
      <c r="B264" t="n">
        <v>3</v>
      </c>
      <c r="C264">
        <f>IF(Vu_khi!$O$264="SIMULTANEOUS",MAX(1,Vu_khi!$N$264),1)</f>
        <v/>
      </c>
      <c r="D264" t="n">
        <v>1</v>
      </c>
      <c r="E264">
        <f>IF(Vu_khi!$S$264&gt;0,Vu_khi!$S$264,Vu_khi!$P$264*$C$264)</f>
        <v/>
      </c>
      <c r="F264" t="n">
        <v>1</v>
      </c>
      <c r="G264">
        <f>IF(Vu_khi!$S$264&gt;0,(Vu_khi!$S$264-1)*Vu_khi!$R$264+Vu_khi!$T$264,Vu_khi!$R$264+(Vu_khi!$P$264-1)*Vu_khi!$Q$264)</f>
        <v/>
      </c>
      <c r="H264" t="n">
        <v>2</v>
      </c>
      <c r="I264">
        <f>Vu_khi!$W$264*MAX(1,$E$264)</f>
        <v/>
      </c>
      <c r="J264" t="n">
        <v>240</v>
      </c>
      <c r="K264">
        <f>IF(Vu_khi!$V$264&gt;0,Vu_khi!$V$264,MIN(28,MAX(10,Vu_khi!$U$264*Vu_khi!$R$264*0.4)))</f>
        <v/>
      </c>
      <c r="L264" t="n">
        <v>10</v>
      </c>
      <c r="M264">
        <f>IF(Vu_khi!$W$264&lt;=0,0,IF(Vu_khi!$U$264&gt;0,$I$264*Vu_khi!$U$264/(MAX(0.05,$G$264)*Vu_khi!$U$264+$K$264),$I$264/MAX(0.05,$G$264)))</f>
        <v/>
      </c>
      <c r="N264" t="n">
        <v>120</v>
      </c>
      <c r="O264">
        <f>OR(Vu_khi!$AG$264,Vu_khi!$AB$264&gt;0,Vu_khi!$AH$264,Vu_khi!$M$264="Bomb",Vu_khi!$M$264="Drone")</f>
        <v/>
      </c>
      <c r="P264" t="b">
        <v>0</v>
      </c>
      <c r="Q264">
        <f>AND(NOT(Vu_khi!$AJ$264),OR(Vu_khi!$AC$264="Ground",Vu_khi!$AC$264="All"))</f>
        <v/>
      </c>
      <c r="R264" t="b">
        <v>1</v>
      </c>
      <c r="S264">
        <f>AND(NOT(Vu_khi!$AJ$264),OR(Vu_khi!$AC$264="Air",Vu_khi!$AC$264="All"))</f>
        <v/>
      </c>
      <c r="T264" t="b">
        <v>0</v>
      </c>
      <c r="U264">
        <f>INDEX(Bang_sat_thuong!$B$2:$B$7,MATCH(Vu_khi!$K$264,Bang_sat_thuong!$A$2:$A$7,0))</f>
        <v/>
      </c>
      <c r="V264" t="n">
        <v>1</v>
      </c>
      <c r="W264">
        <f>INDEX(Bang_sat_thuong!$C$2:$C$7,MATCH(Vu_khi!$K$264,Bang_sat_thuong!$A$2:$A$7,0))</f>
        <v/>
      </c>
      <c r="X264" t="n">
        <v>0.3</v>
      </c>
      <c r="Y264">
        <f>IF(AND(Vu_khi!$AI$264,Vu_khi!$K$264="HighExplosive"),MAX(He_so_toan_cuc!$D$2,INDEX(Bang_sat_thuong!$D$2:$D$7,MATCH(Vu_khi!$K$264,Bang_sat_thuong!$A$2:$A$7,0))),INDEX(Bang_sat_thuong!$D$2:$D$7,MATCH(Vu_khi!$K$264,Bang_sat_thuong!$A$2:$A$7,0)))</f>
        <v/>
      </c>
      <c r="Z264" t="n">
        <v>0.6</v>
      </c>
      <c r="AA264">
        <f>INDEX(Bang_xuyen_giap!$C$2:$C$7,MIN(6,MAX(1,IF($O$264,MAX(1,2-(Vu_khi!$L$264-0)),2-(Vu_khi!$L$264-0))+1)))</f>
        <v/>
      </c>
      <c r="AB264" t="n">
        <v>1.2</v>
      </c>
      <c r="AC264">
        <f>INDEX(Bang_xuyen_giap!$C$2:$C$7,MIN(6,MAX(1,IF($O$264,MAX(1,2-(Vu_khi!$L$264-2)),2-(Vu_khi!$L$264-2))+1)))</f>
        <v/>
      </c>
      <c r="AD264" t="n">
        <v>1.2</v>
      </c>
      <c r="AE264">
        <f>INDEX(Bang_xuyen_giap!$C$2:$C$7,MIN(6,MAX(1,IF($O$264,MAX(1,2-(Vu_khi!$L$264-4)),2-(Vu_khi!$L$264-4))+1)))</f>
        <v/>
      </c>
      <c r="AF264" t="n">
        <v>1</v>
      </c>
      <c r="AG264">
        <f>INDEX(Bang_xuyen_giap!$C$2:$C$7,MIN(6,MAX(1,MAX(1,2-(Vu_khi!$L$264-0))+1)))</f>
        <v/>
      </c>
      <c r="AH264" t="n">
        <v>1</v>
      </c>
      <c r="AI264">
        <f>IF($Q$264,$M$264*$AA$264*$U$264,0)</f>
        <v/>
      </c>
      <c r="AJ264" t="n">
        <v>144</v>
      </c>
      <c r="AK264">
        <f>IF($Q$264,$M$264*$AC$264*$U$264,0)</f>
        <v/>
      </c>
      <c r="AL264" t="n">
        <v>144</v>
      </c>
      <c r="AM264">
        <f>IF($Q$264,$M$264*$AE$264*$U$264,0)</f>
        <v/>
      </c>
      <c r="AN264" t="n">
        <v>120</v>
      </c>
      <c r="AO264">
        <f>IF($Q$264,$M$264*$AC$264*$Y$264,0)</f>
        <v/>
      </c>
      <c r="AP264" t="n">
        <v>86.39999999999999</v>
      </c>
      <c r="AQ264">
        <f>IF($S$264,$M$264*$AG$264*$W$264,0)</f>
        <v/>
      </c>
      <c r="AR264" t="n">
        <v>0</v>
      </c>
      <c r="AS264">
        <f>IF(OR(Vu_khi!$M$264="Missile",Vu_khi!$M$264="Drone",AND(Vu_khi!$M$264="Rocket",OR(Vu_khi!$AM$264,Vu_khi!$D$264="guided")),Vu_khi!$AL$264,Vu_khi!$AK$264,Vu_khi!$X$264&lt;=0),FALSE,IF($B$264&gt;=0,$B$264&gt;=4,IF(Vu_khi!$M$264="Shell",Vu_khi!$AN$264&gt;=Canh_bao_vong!$D$10,IF(Vu_khi!$M$264="Bomb",Vu_khi!$AN$264&gt;=Canh_bao_vong!$D$3,IF(Vu_khi!$M$264="Rocket",Vu_khi!$AN$264&gt;=Canh_bao_vong!$D$13,FALSE)))))</f>
        <v/>
      </c>
      <c r="AT264" t="b">
        <v>0</v>
      </c>
      <c r="AU264">
        <f>IF(AND($B$264&lt;0,$AS$264),4,$B$264)</f>
        <v/>
      </c>
      <c r="AV264" t="n">
        <v>3</v>
      </c>
      <c r="AW264">
        <f>IF($AU$264&lt;4,0,MIN(MAX(0.5,Canh_bao_vong!$D$4),MAX(IF(Vu_khi!$C$264="cal_406",Canh_bao_vong!$D$7,IF($AU$264&gt;=5,Canh_bao_vong!$D$9,Canh_bao_vong!$D$8)),Canh_bao_vong!$D$2+MAX(0,Vu_khi!$X$264)/MAX(0.1,Canh_bao_vong!$D$5))))</f>
        <v/>
      </c>
      <c r="AX264" t="n">
        <v>0</v>
      </c>
      <c r="AY264" t="n">
        <v>0.186667</v>
      </c>
      <c r="AZ264" t="inlineStr">
        <is>
          <t>NHANH_QUA;LECH_DOT_1</t>
        </is>
      </c>
      <c r="BA264" t="inlineStr"/>
      <c r="BB264" t="inlineStr">
        <is>
          <t>Assets/MachineBrigade/Resources/Data/balance.json: weapons[id=p26_moloch_mo120ap] (lớp B trên 01_chien_dau/Vu_khi)</t>
        </is>
      </c>
      <c r="BC264" t="inlineStr"/>
    </row>
    <row r="265">
      <c r="A265" t="inlineStr">
        <is>
          <t>p26_moloch_tiny_zu23</t>
        </is>
      </c>
      <c r="B265" t="n">
        <v>1</v>
      </c>
      <c r="C265">
        <f>IF(Vu_khi!$O$265="SIMULTANEOUS",MAX(1,Vu_khi!$N$265),1)</f>
        <v/>
      </c>
      <c r="D265" t="n">
        <v>1</v>
      </c>
      <c r="E265">
        <f>IF(Vu_khi!$S$265&gt;0,Vu_khi!$S$265,Vu_khi!$P$265*$C$265)</f>
        <v/>
      </c>
      <c r="F265" t="n">
        <v>100</v>
      </c>
      <c r="G265">
        <f>IF(Vu_khi!$S$265&gt;0,(Vu_khi!$S$265-1)*Vu_khi!$R$265+Vu_khi!$T$265,Vu_khi!$R$265+(Vu_khi!$P$265-1)*Vu_khi!$Q$265)</f>
        <v/>
      </c>
      <c r="H265" t="n">
        <v>4.96</v>
      </c>
      <c r="I265">
        <f>Vu_khi!$W$265*MAX(1,$E$265)</f>
        <v/>
      </c>
      <c r="J265" t="n">
        <v>350</v>
      </c>
      <c r="K265">
        <f>IF(Vu_khi!$V$265&gt;0,Vu_khi!$V$265,MIN(28,MAX(10,Vu_khi!$U$265*Vu_khi!$R$265*0.4)))</f>
        <v/>
      </c>
      <c r="L265" t="n">
        <v>10</v>
      </c>
      <c r="M265">
        <f>IF(Vu_khi!$W$265&lt;=0,0,IF(Vu_khi!$U$265&gt;0,$I$265*Vu_khi!$U$265/(MAX(0.05,$G$265)*Vu_khi!$U$265+$K$265),$I$265/MAX(0.05,$G$265)))</f>
        <v/>
      </c>
      <c r="N265" t="n">
        <v>70.56451612903226</v>
      </c>
      <c r="O265">
        <f>OR(Vu_khi!$AG$265,Vu_khi!$AB$265&gt;0,Vu_khi!$AH$265,Vu_khi!$M$265="Bomb",Vu_khi!$M$265="Drone")</f>
        <v/>
      </c>
      <c r="P265" t="b">
        <v>0</v>
      </c>
      <c r="Q265">
        <f>AND(NOT(Vu_khi!$AJ$265),OR(Vu_khi!$AC$265="Ground",Vu_khi!$AC$265="All"))</f>
        <v/>
      </c>
      <c r="R265" t="b">
        <v>1</v>
      </c>
      <c r="S265">
        <f>AND(NOT(Vu_khi!$AJ$265),OR(Vu_khi!$AC$265="Air",Vu_khi!$AC$265="All"))</f>
        <v/>
      </c>
      <c r="T265" t="b">
        <v>1</v>
      </c>
      <c r="U265">
        <f>INDEX(Bang_sat_thuong!$B$2:$B$7,MATCH(Vu_khi!$K$265,Bang_sat_thuong!$A$2:$A$7,0))</f>
        <v/>
      </c>
      <c r="V265" t="n">
        <v>0.5</v>
      </c>
      <c r="W265">
        <f>INDEX(Bang_sat_thuong!$C$2:$C$7,MATCH(Vu_khi!$K$265,Bang_sat_thuong!$A$2:$A$7,0))</f>
        <v/>
      </c>
      <c r="X265" t="n">
        <v>1.3</v>
      </c>
      <c r="Y265">
        <f>IF(AND(Vu_khi!$AI$265,Vu_khi!$K$265="HighExplosive"),MAX(He_so_toan_cuc!$D$2,INDEX(Bang_sat_thuong!$D$2:$D$7,MATCH(Vu_khi!$K$265,Bang_sat_thuong!$A$2:$A$7,0))),INDEX(Bang_sat_thuong!$D$2:$D$7,MATCH(Vu_khi!$K$265,Bang_sat_thuong!$A$2:$A$7,0)))</f>
        <v/>
      </c>
      <c r="Z265" t="n">
        <v>0.1</v>
      </c>
      <c r="AA265">
        <f>INDEX(Bang_xuyen_giap!$C$2:$C$7,MIN(6,MAX(1,IF($O$265,MAX(1,2-(Vu_khi!$L$265-0)),2-(Vu_khi!$L$265-0))+1)))</f>
        <v/>
      </c>
      <c r="AB265" t="n">
        <v>1</v>
      </c>
      <c r="AC265">
        <f>INDEX(Bang_xuyen_giap!$C$2:$C$7,MIN(6,MAX(1,IF($O$265,MAX(1,2-(Vu_khi!$L$265-2)),2-(Vu_khi!$L$265-2))+1)))</f>
        <v/>
      </c>
      <c r="AD265" t="n">
        <v>0.5</v>
      </c>
      <c r="AE265">
        <f>INDEX(Bang_xuyen_giap!$C$2:$C$7,MIN(6,MAX(1,IF($O$265,MAX(1,2-(Vu_khi!$L$265-4)),2-(Vu_khi!$L$265-4))+1)))</f>
        <v/>
      </c>
      <c r="AF265" t="n">
        <v>0.1</v>
      </c>
      <c r="AG265">
        <f>INDEX(Bang_xuyen_giap!$C$2:$C$7,MIN(6,MAX(1,MAX(1,2-(Vu_khi!$L$265-0))+1)))</f>
        <v/>
      </c>
      <c r="AH265" t="n">
        <v>1</v>
      </c>
      <c r="AI265">
        <f>IF($Q$265,$M$265*$AA$265*$U$265,0)</f>
        <v/>
      </c>
      <c r="AJ265" t="n">
        <v>35.28225806451613</v>
      </c>
      <c r="AK265">
        <f>IF($Q$265,$M$265*$AC$265*$U$265,0)</f>
        <v/>
      </c>
      <c r="AL265" t="n">
        <v>17.64112903225806</v>
      </c>
      <c r="AM265">
        <f>IF($Q$265,$M$265*$AE$265*$U$265,0)</f>
        <v/>
      </c>
      <c r="AN265" t="n">
        <v>3.528225806451613</v>
      </c>
      <c r="AO265">
        <f>IF($Q$265,$M$265*$AC$265*$Y$265,0)</f>
        <v/>
      </c>
      <c r="AP265" t="n">
        <v>3.528225806451613</v>
      </c>
      <c r="AQ265">
        <f>IF($S$265,$M$265*$AG$265*$W$265,0)</f>
        <v/>
      </c>
      <c r="AR265" t="n">
        <v>91.73387096774194</v>
      </c>
      <c r="AS265">
        <f>IF(OR(Vu_khi!$M$265="Missile",Vu_khi!$M$265="Drone",AND(Vu_khi!$M$265="Rocket",OR(Vu_khi!$AM$265,Vu_khi!$D$265="guided")),Vu_khi!$AL$265,Vu_khi!$AK$265,Vu_khi!$X$265&lt;=0),FALSE,IF($B$265&gt;=0,$B$265&gt;=4,IF(Vu_khi!$M$265="Shell",Vu_khi!$AN$265&gt;=Canh_bao_vong!$D$10,IF(Vu_khi!$M$265="Bomb",Vu_khi!$AN$265&gt;=Canh_bao_vong!$D$3,IF(Vu_khi!$M$265="Rocket",Vu_khi!$AN$265&gt;=Canh_bao_vong!$D$13,FALSE)))))</f>
        <v/>
      </c>
      <c r="AT265" t="b">
        <v>0</v>
      </c>
      <c r="AU265">
        <f>IF(AND($B$265&lt;0,$AS$265),4,$B$265)</f>
        <v/>
      </c>
      <c r="AV265" t="n">
        <v>1</v>
      </c>
      <c r="AW265">
        <f>IF($AU$265&lt;4,0,MIN(MAX(0.5,Canh_bao_vong!$D$4),MAX(IF(Vu_khi!$C$265="cal_406",Canh_bao_vong!$D$7,IF($AU$265&gt;=5,Canh_bao_vong!$D$9,Canh_bao_vong!$D$8)),Canh_bao_vong!$D$2+MAX(0,Vu_khi!$X$265)/MAX(0.1,Canh_bao_vong!$D$5))))</f>
        <v/>
      </c>
      <c r="AX265" t="n">
        <v>0</v>
      </c>
      <c r="AY265" t="n">
        <v>1.653333</v>
      </c>
      <c r="AZ265" t="inlineStr">
        <is>
          <t>ok</t>
        </is>
      </c>
      <c r="BA265" t="b">
        <v>1</v>
      </c>
      <c r="BB265" t="inlineStr">
        <is>
          <t>Assets/MachineBrigade/Resources/Data/balance.json: weapons[id=p26_moloch_tiny_zu23] (lớp B trên 01_chien_dau/Vu_khi)</t>
        </is>
      </c>
      <c r="BC265" t="inlineStr"/>
    </row>
    <row r="266">
      <c r="A266" t="inlineStr">
        <is>
          <t>p26_nemesis_close_boss_flak</t>
        </is>
      </c>
      <c r="B266" t="n">
        <v>1</v>
      </c>
      <c r="C266">
        <f>IF(Vu_khi!$O$266="SIMULTANEOUS",MAX(1,Vu_khi!$N$266),1)</f>
        <v/>
      </c>
      <c r="D266" t="n">
        <v>1</v>
      </c>
      <c r="E266">
        <f>IF(Vu_khi!$S$266&gt;0,Vu_khi!$S$266,Vu_khi!$P$266*$C$266)</f>
        <v/>
      </c>
      <c r="F266" t="n">
        <v>41</v>
      </c>
      <c r="G266">
        <f>IF(Vu_khi!$S$266&gt;0,(Vu_khi!$S$266-1)*Vu_khi!$R$266+Vu_khi!$T$266,Vu_khi!$R$266+(Vu_khi!$P$266-1)*Vu_khi!$Q$266)</f>
        <v/>
      </c>
      <c r="H266" t="n">
        <v>5.38</v>
      </c>
      <c r="I266">
        <f>Vu_khi!$W$266*MAX(1,$E$266)</f>
        <v/>
      </c>
      <c r="J266" t="n">
        <v>1025</v>
      </c>
      <c r="K266">
        <f>IF(Vu_khi!$V$266&gt;0,Vu_khi!$V$266,MIN(28,MAX(10,Vu_khi!$U$266*Vu_khi!$R$266*0.4)))</f>
        <v/>
      </c>
      <c r="L266" t="n">
        <v>10</v>
      </c>
      <c r="M266">
        <f>IF(Vu_khi!$W$266&lt;=0,0,IF(Vu_khi!$U$266&gt;0,$I$266*Vu_khi!$U$266/(MAX(0.05,$G$266)*Vu_khi!$U$266+$K$266),$I$266/MAX(0.05,$G$266)))</f>
        <v/>
      </c>
      <c r="N266" t="n">
        <v>190.5204460966543</v>
      </c>
      <c r="O266">
        <f>OR(Vu_khi!$AG$266,Vu_khi!$AB$266&gt;0,Vu_khi!$AH$266,Vu_khi!$M$266="Bomb",Vu_khi!$M$266="Drone")</f>
        <v/>
      </c>
      <c r="P266" t="b">
        <v>0</v>
      </c>
      <c r="Q266">
        <f>AND(NOT(Vu_khi!$AJ$266),OR(Vu_khi!$AC$266="Ground",Vu_khi!$AC$266="All"))</f>
        <v/>
      </c>
      <c r="R266" t="b">
        <v>1</v>
      </c>
      <c r="S266">
        <f>AND(NOT(Vu_khi!$AJ$266),OR(Vu_khi!$AC$266="Air",Vu_khi!$AC$266="All"))</f>
        <v/>
      </c>
      <c r="T266" t="b">
        <v>1</v>
      </c>
      <c r="U266">
        <f>INDEX(Bang_sat_thuong!$B$2:$B$7,MATCH(Vu_khi!$K$266,Bang_sat_thuong!$A$2:$A$7,0))</f>
        <v/>
      </c>
      <c r="V266" t="n">
        <v>0.5</v>
      </c>
      <c r="W266">
        <f>INDEX(Bang_sat_thuong!$C$2:$C$7,MATCH(Vu_khi!$K$266,Bang_sat_thuong!$A$2:$A$7,0))</f>
        <v/>
      </c>
      <c r="X266" t="n">
        <v>1.3</v>
      </c>
      <c r="Y266">
        <f>IF(AND(Vu_khi!$AI$266,Vu_khi!$K$266="HighExplosive"),MAX(He_so_toan_cuc!$D$2,INDEX(Bang_sat_thuong!$D$2:$D$7,MATCH(Vu_khi!$K$266,Bang_sat_thuong!$A$2:$A$7,0))),INDEX(Bang_sat_thuong!$D$2:$D$7,MATCH(Vu_khi!$K$266,Bang_sat_thuong!$A$2:$A$7,0)))</f>
        <v/>
      </c>
      <c r="Z266" t="n">
        <v>0.1</v>
      </c>
      <c r="AA266">
        <f>INDEX(Bang_xuyen_giap!$C$2:$C$7,MIN(6,MAX(1,IF($O$266,MAX(1,2-(Vu_khi!$L$266-0)),2-(Vu_khi!$L$266-0))+1)))</f>
        <v/>
      </c>
      <c r="AB266" t="n">
        <v>1.2</v>
      </c>
      <c r="AC266">
        <f>INDEX(Bang_xuyen_giap!$C$2:$C$7,MIN(6,MAX(1,IF($O$266,MAX(1,2-(Vu_khi!$L$266-2)),2-(Vu_khi!$L$266-2))+1)))</f>
        <v/>
      </c>
      <c r="AD266" t="n">
        <v>0.85</v>
      </c>
      <c r="AE266">
        <f>INDEX(Bang_xuyen_giap!$C$2:$C$7,MIN(6,MAX(1,IF($O$266,MAX(1,2-(Vu_khi!$L$266-4)),2-(Vu_khi!$L$266-4))+1)))</f>
        <v/>
      </c>
      <c r="AF266" t="n">
        <v>0.25</v>
      </c>
      <c r="AG266">
        <f>INDEX(Bang_xuyen_giap!$C$2:$C$7,MIN(6,MAX(1,MAX(1,2-(Vu_khi!$L$266-0))+1)))</f>
        <v/>
      </c>
      <c r="AH266" t="n">
        <v>1</v>
      </c>
      <c r="AI266">
        <f>IF($Q$266,$M$266*$AA$266*$U$266,0)</f>
        <v/>
      </c>
      <c r="AJ266" t="n">
        <v>114.3122676579926</v>
      </c>
      <c r="AK266">
        <f>IF($Q$266,$M$266*$AC$266*$U$266,0)</f>
        <v/>
      </c>
      <c r="AL266" t="n">
        <v>80.97118959107806</v>
      </c>
      <c r="AM266">
        <f>IF($Q$266,$M$266*$AE$266*$U$266,0)</f>
        <v/>
      </c>
      <c r="AN266" t="n">
        <v>23.81505576208178</v>
      </c>
      <c r="AO266">
        <f>IF($Q$266,$M$266*$AC$266*$Y$266,0)</f>
        <v/>
      </c>
      <c r="AP266" t="n">
        <v>16.19423791821561</v>
      </c>
      <c r="AQ266">
        <f>IF($S$266,$M$266*$AG$266*$W$266,0)</f>
        <v/>
      </c>
      <c r="AR266" t="n">
        <v>247.6765799256505</v>
      </c>
      <c r="AS266">
        <f>IF(OR(Vu_khi!$M$266="Missile",Vu_khi!$M$266="Drone",AND(Vu_khi!$M$266="Rocket",OR(Vu_khi!$AM$266,Vu_khi!$D$266="guided")),Vu_khi!$AL$266,Vu_khi!$AK$266,Vu_khi!$X$266&lt;=0),FALSE,IF($B$266&gt;=0,$B$266&gt;=4,IF(Vu_khi!$M$266="Shell",Vu_khi!$AN$266&gt;=Canh_bao_vong!$D$10,IF(Vu_khi!$M$266="Bomb",Vu_khi!$AN$266&gt;=Canh_bao_vong!$D$3,IF(Vu_khi!$M$266="Rocket",Vu_khi!$AN$266&gt;=Canh_bao_vong!$D$13,FALSE)))))</f>
        <v/>
      </c>
      <c r="AT266" t="b">
        <v>0</v>
      </c>
      <c r="AU266">
        <f>IF(AND($B$266&lt;0,$AS$266),4,$B$266)</f>
        <v/>
      </c>
      <c r="AV266" t="n">
        <v>1</v>
      </c>
      <c r="AW266">
        <f>IF($AU$266&lt;4,0,MIN(MAX(0.5,Canh_bao_vong!$D$4),MAX(IF(Vu_khi!$C$266="cal_406",Canh_bao_vong!$D$7,IF($AU$266&gt;=5,Canh_bao_vong!$D$9,Canh_bao_vong!$D$8)),Canh_bao_vong!$D$2+MAX(0,Vu_khi!$X$266)/MAX(0.1,Canh_bao_vong!$D$5))))</f>
        <v/>
      </c>
      <c r="AX266" t="n">
        <v>0</v>
      </c>
      <c r="AY266" t="n">
        <v>2.405691</v>
      </c>
      <c r="AZ266" t="inlineStr">
        <is>
          <t>ok</t>
        </is>
      </c>
      <c r="BA266" t="b">
        <v>1</v>
      </c>
      <c r="BB266" t="inlineStr">
        <is>
          <t>Assets/MachineBrigade/Resources/Data/balance.json: weapons[id=p26_nemesis_close_boss_flak] (lớp B trên 01_chien_dau/Vu_khi)</t>
        </is>
      </c>
      <c r="BC266" t="inlineStr"/>
    </row>
    <row r="267">
      <c r="A267" t="inlineStr">
        <is>
          <t>p26_nemesis_direct_ne125</t>
        </is>
      </c>
      <c r="B267" t="n">
        <v>3</v>
      </c>
      <c r="C267">
        <f>IF(Vu_khi!$O$267="SIMULTANEOUS",MAX(1,Vu_khi!$N$267),1)</f>
        <v/>
      </c>
      <c r="D267" t="n">
        <v>1</v>
      </c>
      <c r="E267">
        <f>IF(Vu_khi!$S$267&gt;0,Vu_khi!$S$267,Vu_khi!$P$267*$C$267)</f>
        <v/>
      </c>
      <c r="F267" t="n">
        <v>1</v>
      </c>
      <c r="G267">
        <f>IF(Vu_khi!$S$267&gt;0,(Vu_khi!$S$267-1)*Vu_khi!$R$267+Vu_khi!$T$267,Vu_khi!$R$267+(Vu_khi!$P$267-1)*Vu_khi!$Q$267)</f>
        <v/>
      </c>
      <c r="H267" t="n">
        <v>7.5</v>
      </c>
      <c r="I267">
        <f>Vu_khi!$W$267*MAX(1,$E$267)</f>
        <v/>
      </c>
      <c r="J267" t="n">
        <v>400</v>
      </c>
      <c r="K267">
        <f>IF(Vu_khi!$V$267&gt;0,Vu_khi!$V$267,MIN(28,MAX(10,Vu_khi!$U$267*Vu_khi!$R$267*0.4)))</f>
        <v/>
      </c>
      <c r="L267" t="n">
        <v>10</v>
      </c>
      <c r="M267">
        <f>IF(Vu_khi!$W$267&lt;=0,0,IF(Vu_khi!$U$267&gt;0,$I$267*Vu_khi!$U$267/(MAX(0.05,$G$267)*Vu_khi!$U$267+$K$267),$I$267/MAX(0.05,$G$267)))</f>
        <v/>
      </c>
      <c r="N267" t="n">
        <v>53.33333333333334</v>
      </c>
      <c r="O267">
        <f>OR(Vu_khi!$AG$267,Vu_khi!$AB$267&gt;0,Vu_khi!$AH$267,Vu_khi!$M$267="Bomb",Vu_khi!$M$267="Drone")</f>
        <v/>
      </c>
      <c r="P267" t="b">
        <v>0</v>
      </c>
      <c r="Q267">
        <f>AND(NOT(Vu_khi!$AJ$267),OR(Vu_khi!$AC$267="Ground",Vu_khi!$AC$267="All"))</f>
        <v/>
      </c>
      <c r="R267" t="b">
        <v>1</v>
      </c>
      <c r="S267">
        <f>AND(NOT(Vu_khi!$AJ$267),OR(Vu_khi!$AC$267="Air",Vu_khi!$AC$267="All"))</f>
        <v/>
      </c>
      <c r="T267" t="b">
        <v>0</v>
      </c>
      <c r="U267">
        <f>INDEX(Bang_sat_thuong!$B$2:$B$7,MATCH(Vu_khi!$K$267,Bang_sat_thuong!$A$2:$A$7,0))</f>
        <v/>
      </c>
      <c r="V267" t="n">
        <v>1</v>
      </c>
      <c r="W267">
        <f>INDEX(Bang_sat_thuong!$C$2:$C$7,MATCH(Vu_khi!$K$267,Bang_sat_thuong!$A$2:$A$7,0))</f>
        <v/>
      </c>
      <c r="X267" t="n">
        <v>0.3</v>
      </c>
      <c r="Y267">
        <f>IF(AND(Vu_khi!$AI$267,Vu_khi!$K$267="HighExplosive"),MAX(He_so_toan_cuc!$D$2,INDEX(Bang_sat_thuong!$D$2:$D$7,MATCH(Vu_khi!$K$267,Bang_sat_thuong!$A$2:$A$7,0))),INDEX(Bang_sat_thuong!$D$2:$D$7,MATCH(Vu_khi!$K$267,Bang_sat_thuong!$A$2:$A$7,0)))</f>
        <v/>
      </c>
      <c r="Z267" t="n">
        <v>0.6</v>
      </c>
      <c r="AA267">
        <f>INDEX(Bang_xuyen_giap!$C$2:$C$7,MIN(6,MAX(1,IF($O$267,MAX(1,2-(Vu_khi!$L$267-0)),2-(Vu_khi!$L$267-0))+1)))</f>
        <v/>
      </c>
      <c r="AB267" t="n">
        <v>1.2</v>
      </c>
      <c r="AC267">
        <f>INDEX(Bang_xuyen_giap!$C$2:$C$7,MIN(6,MAX(1,IF($O$267,MAX(1,2-(Vu_khi!$L$267-2)),2-(Vu_khi!$L$267-2))+1)))</f>
        <v/>
      </c>
      <c r="AD267" t="n">
        <v>1.2</v>
      </c>
      <c r="AE267">
        <f>INDEX(Bang_xuyen_giap!$C$2:$C$7,MIN(6,MAX(1,IF($O$267,MAX(1,2-(Vu_khi!$L$267-4)),2-(Vu_khi!$L$267-4))+1)))</f>
        <v/>
      </c>
      <c r="AF267" t="n">
        <v>1</v>
      </c>
      <c r="AG267">
        <f>INDEX(Bang_xuyen_giap!$C$2:$C$7,MIN(6,MAX(1,MAX(1,2-(Vu_khi!$L$267-0))+1)))</f>
        <v/>
      </c>
      <c r="AH267" t="n">
        <v>1</v>
      </c>
      <c r="AI267">
        <f>IF($Q$267,$M$267*$AA$267*$U$267,0)</f>
        <v/>
      </c>
      <c r="AJ267" t="n">
        <v>64</v>
      </c>
      <c r="AK267">
        <f>IF($Q$267,$M$267*$AC$267*$U$267,0)</f>
        <v/>
      </c>
      <c r="AL267" t="n">
        <v>64</v>
      </c>
      <c r="AM267">
        <f>IF($Q$267,$M$267*$AE$267*$U$267,0)</f>
        <v/>
      </c>
      <c r="AN267" t="n">
        <v>53.33333333333334</v>
      </c>
      <c r="AO267">
        <f>IF($Q$267,$M$267*$AC$267*$Y$267,0)</f>
        <v/>
      </c>
      <c r="AP267" t="n">
        <v>38.4</v>
      </c>
      <c r="AQ267">
        <f>IF($S$267,$M$267*$AG$267*$W$267,0)</f>
        <v/>
      </c>
      <c r="AR267" t="n">
        <v>0</v>
      </c>
      <c r="AS267">
        <f>IF(OR(Vu_khi!$M$267="Missile",Vu_khi!$M$267="Drone",AND(Vu_khi!$M$267="Rocket",OR(Vu_khi!$AM$267,Vu_khi!$D$267="guided")),Vu_khi!$AL$267,Vu_khi!$AK$267,Vu_khi!$X$267&lt;=0),FALSE,IF($B$267&gt;=0,$B$267&gt;=4,IF(Vu_khi!$M$267="Shell",Vu_khi!$AN$267&gt;=Canh_bao_vong!$D$10,IF(Vu_khi!$M$267="Bomb",Vu_khi!$AN$267&gt;=Canh_bao_vong!$D$3,IF(Vu_khi!$M$267="Rocket",Vu_khi!$AN$267&gt;=Canh_bao_vong!$D$13,FALSE)))))</f>
        <v/>
      </c>
      <c r="AT267" t="b">
        <v>0</v>
      </c>
      <c r="AU267">
        <f>IF(AND($B$267&lt;0,$AS$267),4,$B$267)</f>
        <v/>
      </c>
      <c r="AV267" t="n">
        <v>3</v>
      </c>
      <c r="AW267">
        <f>IF($AU$267&lt;4,0,MIN(MAX(0.5,Canh_bao_vong!$D$4),MAX(IF(Vu_khi!$C$267="cal_406",Canh_bao_vong!$D$7,IF($AU$267&gt;=5,Canh_bao_vong!$D$9,Canh_bao_vong!$D$8)),Canh_bao_vong!$D$2+MAX(0,Vu_khi!$X$267)/MAX(0.1,Canh_bao_vong!$D$5))))</f>
        <v/>
      </c>
      <c r="AX267" t="n">
        <v>0</v>
      </c>
      <c r="AY267" t="n">
        <v>0.7</v>
      </c>
      <c r="AZ267" t="inlineStr">
        <is>
          <t>ok</t>
        </is>
      </c>
      <c r="BA267" t="b">
        <v>1</v>
      </c>
      <c r="BB267" t="inlineStr">
        <is>
          <t>Assets/MachineBrigade/Resources/Data/balance.json: weapons[id=p26_nemesis_direct_ne125] (lớp B trên 01_chien_dau/Vu_khi)</t>
        </is>
      </c>
      <c r="BC267" t="inlineStr"/>
    </row>
    <row r="268">
      <c r="A268" t="inlineStr">
        <is>
          <t>p26_nemesis_main_ne152</t>
        </is>
      </c>
      <c r="B268" t="n">
        <v>3</v>
      </c>
      <c r="C268">
        <f>IF(Vu_khi!$O$268="SIMULTANEOUS",MAX(1,Vu_khi!$N$268),1)</f>
        <v/>
      </c>
      <c r="D268" t="n">
        <v>1</v>
      </c>
      <c r="E268">
        <f>IF(Vu_khi!$S$268&gt;0,Vu_khi!$S$268,Vu_khi!$P$268*$C$268)</f>
        <v/>
      </c>
      <c r="F268" t="n">
        <v>1</v>
      </c>
      <c r="G268">
        <f>IF(Vu_khi!$S$268&gt;0,(Vu_khi!$S$268-1)*Vu_khi!$R$268+Vu_khi!$T$268,Vu_khi!$R$268+(Vu_khi!$P$268-1)*Vu_khi!$Q$268)</f>
        <v/>
      </c>
      <c r="H268" t="n">
        <v>7.5</v>
      </c>
      <c r="I268">
        <f>Vu_khi!$W$268*MAX(1,$E$268)</f>
        <v/>
      </c>
      <c r="J268" t="n">
        <v>600</v>
      </c>
      <c r="K268">
        <f>IF(Vu_khi!$V$268&gt;0,Vu_khi!$V$268,MIN(28,MAX(10,Vu_khi!$U$268*Vu_khi!$R$268*0.4)))</f>
        <v/>
      </c>
      <c r="L268" t="n">
        <v>10</v>
      </c>
      <c r="M268">
        <f>IF(Vu_khi!$W$268&lt;=0,0,IF(Vu_khi!$U$268&gt;0,$I$268*Vu_khi!$U$268/(MAX(0.05,$G$268)*Vu_khi!$U$268+$K$268),$I$268/MAX(0.05,$G$268)))</f>
        <v/>
      </c>
      <c r="N268" t="n">
        <v>80</v>
      </c>
      <c r="O268">
        <f>OR(Vu_khi!$AG$268,Vu_khi!$AB$268&gt;0,Vu_khi!$AH$268,Vu_khi!$M$268="Bomb",Vu_khi!$M$268="Drone")</f>
        <v/>
      </c>
      <c r="P268" t="b">
        <v>0</v>
      </c>
      <c r="Q268">
        <f>AND(NOT(Vu_khi!$AJ$268),OR(Vu_khi!$AC$268="Ground",Vu_khi!$AC$268="All"))</f>
        <v/>
      </c>
      <c r="R268" t="b">
        <v>1</v>
      </c>
      <c r="S268">
        <f>AND(NOT(Vu_khi!$AJ$268),OR(Vu_khi!$AC$268="Air",Vu_khi!$AC$268="All"))</f>
        <v/>
      </c>
      <c r="T268" t="b">
        <v>0</v>
      </c>
      <c r="U268">
        <f>INDEX(Bang_sat_thuong!$B$2:$B$7,MATCH(Vu_khi!$K$268,Bang_sat_thuong!$A$2:$A$7,0))</f>
        <v/>
      </c>
      <c r="V268" t="n">
        <v>1</v>
      </c>
      <c r="W268">
        <f>INDEX(Bang_sat_thuong!$C$2:$C$7,MATCH(Vu_khi!$K$268,Bang_sat_thuong!$A$2:$A$7,0))</f>
        <v/>
      </c>
      <c r="X268" t="n">
        <v>0</v>
      </c>
      <c r="Y268">
        <f>IF(AND(Vu_khi!$AI$268,Vu_khi!$K$268="HighExplosive"),MAX(He_so_toan_cuc!$D$2,INDEX(Bang_sat_thuong!$D$2:$D$7,MATCH(Vu_khi!$K$268,Bang_sat_thuong!$A$2:$A$7,0))),INDEX(Bang_sat_thuong!$D$2:$D$7,MATCH(Vu_khi!$K$268,Bang_sat_thuong!$A$2:$A$7,0)))</f>
        <v/>
      </c>
      <c r="Z268" t="n">
        <v>1.5</v>
      </c>
      <c r="AA268">
        <f>INDEX(Bang_xuyen_giap!$C$2:$C$7,MIN(6,MAX(1,IF($O$268,MAX(1,2-(Vu_khi!$L$268-0)),2-(Vu_khi!$L$268-0))+1)))</f>
        <v/>
      </c>
      <c r="AB268" t="n">
        <v>1.2</v>
      </c>
      <c r="AC268">
        <f>INDEX(Bang_xuyen_giap!$C$2:$C$7,MIN(6,MAX(1,IF($O$268,MAX(1,2-(Vu_khi!$L$268-2)),2-(Vu_khi!$L$268-2))+1)))</f>
        <v/>
      </c>
      <c r="AD268" t="n">
        <v>1</v>
      </c>
      <c r="AE268">
        <f>INDEX(Bang_xuyen_giap!$C$2:$C$7,MIN(6,MAX(1,IF($O$268,MAX(1,2-(Vu_khi!$L$268-4)),2-(Vu_khi!$L$268-4))+1)))</f>
        <v/>
      </c>
      <c r="AF268" t="n">
        <v>0.5</v>
      </c>
      <c r="AG268">
        <f>INDEX(Bang_xuyen_giap!$C$2:$C$7,MIN(6,MAX(1,MAX(1,2-(Vu_khi!$L$268-0))+1)))</f>
        <v/>
      </c>
      <c r="AH268" t="n">
        <v>1</v>
      </c>
      <c r="AI268">
        <f>IF($Q$268,$M$268*$AA$268*$U$268,0)</f>
        <v/>
      </c>
      <c r="AJ268" t="n">
        <v>96</v>
      </c>
      <c r="AK268">
        <f>IF($Q$268,$M$268*$AC$268*$U$268,0)</f>
        <v/>
      </c>
      <c r="AL268" t="n">
        <v>80</v>
      </c>
      <c r="AM268">
        <f>IF($Q$268,$M$268*$AE$268*$U$268,0)</f>
        <v/>
      </c>
      <c r="AN268" t="n">
        <v>40</v>
      </c>
      <c r="AO268">
        <f>IF($Q$268,$M$268*$AC$268*$Y$268,0)</f>
        <v/>
      </c>
      <c r="AP268" t="n">
        <v>120</v>
      </c>
      <c r="AQ268">
        <f>IF($S$268,$M$268*$AG$268*$W$268,0)</f>
        <v/>
      </c>
      <c r="AR268" t="n">
        <v>0</v>
      </c>
      <c r="AS268">
        <f>IF(OR(Vu_khi!$M$268="Missile",Vu_khi!$M$268="Drone",AND(Vu_khi!$M$268="Rocket",OR(Vu_khi!$AM$268,Vu_khi!$D$268="guided")),Vu_khi!$AL$268,Vu_khi!$AK$268,Vu_khi!$X$268&lt;=0),FALSE,IF($B$268&gt;=0,$B$268&gt;=4,IF(Vu_khi!$M$268="Shell",Vu_khi!$AN$268&gt;=Canh_bao_vong!$D$10,IF(Vu_khi!$M$268="Bomb",Vu_khi!$AN$268&gt;=Canh_bao_vong!$D$3,IF(Vu_khi!$M$268="Rocket",Vu_khi!$AN$268&gt;=Canh_bao_vong!$D$13,FALSE)))))</f>
        <v/>
      </c>
      <c r="AT268" t="b">
        <v>0</v>
      </c>
      <c r="AU268">
        <f>IF(AND($B$268&lt;0,$AS$268),4,$B$268)</f>
        <v/>
      </c>
      <c r="AV268" t="n">
        <v>3</v>
      </c>
      <c r="AW268">
        <f>IF($AU$268&lt;4,0,MIN(MAX(0.5,Canh_bao_vong!$D$4),MAX(IF(Vu_khi!$C$268="cal_406",Canh_bao_vong!$D$7,IF($AU$268&gt;=5,Canh_bao_vong!$D$9,Canh_bao_vong!$D$8)),Canh_bao_vong!$D$2+MAX(0,Vu_khi!$X$268)/MAX(0.1,Canh_bao_vong!$D$5))))</f>
        <v/>
      </c>
      <c r="AX268" t="n">
        <v>0</v>
      </c>
      <c r="AY268" t="n">
        <v>0.7</v>
      </c>
      <c r="AZ268" t="inlineStr">
        <is>
          <t>ok</t>
        </is>
      </c>
      <c r="BA268" t="b">
        <v>1</v>
      </c>
      <c r="BB268" t="inlineStr">
        <is>
          <t>Assets/MachineBrigade/Resources/Data/balance.json: weapons[id=p26_nemesis_main_ne152] (lớp B trên 01_chien_dau/Vu_khi)</t>
        </is>
      </c>
      <c r="BC268" t="inlineStr"/>
    </row>
    <row r="269">
      <c r="A269" t="inlineStr">
        <is>
          <t>p26_nemesis_ne125</t>
        </is>
      </c>
      <c r="B269" t="n">
        <v>3</v>
      </c>
      <c r="C269">
        <f>IF(Vu_khi!$O$269="SIMULTANEOUS",MAX(1,Vu_khi!$N$269),1)</f>
        <v/>
      </c>
      <c r="D269" t="n">
        <v>1</v>
      </c>
      <c r="E269">
        <f>IF(Vu_khi!$S$269&gt;0,Vu_khi!$S$269,Vu_khi!$P$269*$C$269)</f>
        <v/>
      </c>
      <c r="F269" t="n">
        <v>1</v>
      </c>
      <c r="G269">
        <f>IF(Vu_khi!$S$269&gt;0,(Vu_khi!$S$269-1)*Vu_khi!$R$269+Vu_khi!$T$269,Vu_khi!$R$269+(Vu_khi!$P$269-1)*Vu_khi!$Q$269)</f>
        <v/>
      </c>
      <c r="H269" t="n">
        <v>2</v>
      </c>
      <c r="I269">
        <f>Vu_khi!$W$269*MAX(1,$E$269)</f>
        <v/>
      </c>
      <c r="J269" t="n">
        <v>280</v>
      </c>
      <c r="K269">
        <f>IF(Vu_khi!$V$269&gt;0,Vu_khi!$V$269,MIN(28,MAX(10,Vu_khi!$U$269*Vu_khi!$R$269*0.4)))</f>
        <v/>
      </c>
      <c r="L269" t="n">
        <v>10</v>
      </c>
      <c r="M269">
        <f>IF(Vu_khi!$W$269&lt;=0,0,IF(Vu_khi!$U$269&gt;0,$I$269*Vu_khi!$U$269/(MAX(0.05,$G$269)*Vu_khi!$U$269+$K$269),$I$269/MAX(0.05,$G$269)))</f>
        <v/>
      </c>
      <c r="N269" t="n">
        <v>140</v>
      </c>
      <c r="O269">
        <f>OR(Vu_khi!$AG$269,Vu_khi!$AB$269&gt;0,Vu_khi!$AH$269,Vu_khi!$M$269="Bomb",Vu_khi!$M$269="Drone")</f>
        <v/>
      </c>
      <c r="P269" t="b">
        <v>0</v>
      </c>
      <c r="Q269">
        <f>AND(NOT(Vu_khi!$AJ$269),OR(Vu_khi!$AC$269="Ground",Vu_khi!$AC$269="All"))</f>
        <v/>
      </c>
      <c r="R269" t="b">
        <v>1</v>
      </c>
      <c r="S269">
        <f>AND(NOT(Vu_khi!$AJ$269),OR(Vu_khi!$AC$269="Air",Vu_khi!$AC$269="All"))</f>
        <v/>
      </c>
      <c r="T269" t="b">
        <v>0</v>
      </c>
      <c r="U269">
        <f>INDEX(Bang_sat_thuong!$B$2:$B$7,MATCH(Vu_khi!$K$269,Bang_sat_thuong!$A$2:$A$7,0))</f>
        <v/>
      </c>
      <c r="V269" t="n">
        <v>1</v>
      </c>
      <c r="W269">
        <f>INDEX(Bang_sat_thuong!$C$2:$C$7,MATCH(Vu_khi!$K$269,Bang_sat_thuong!$A$2:$A$7,0))</f>
        <v/>
      </c>
      <c r="X269" t="n">
        <v>0.3</v>
      </c>
      <c r="Y269">
        <f>IF(AND(Vu_khi!$AI$269,Vu_khi!$K$269="HighExplosive"),MAX(He_so_toan_cuc!$D$2,INDEX(Bang_sat_thuong!$D$2:$D$7,MATCH(Vu_khi!$K$269,Bang_sat_thuong!$A$2:$A$7,0))),INDEX(Bang_sat_thuong!$D$2:$D$7,MATCH(Vu_khi!$K$269,Bang_sat_thuong!$A$2:$A$7,0)))</f>
        <v/>
      </c>
      <c r="Z269" t="n">
        <v>0.6</v>
      </c>
      <c r="AA269">
        <f>INDEX(Bang_xuyen_giap!$C$2:$C$7,MIN(6,MAX(1,IF($O$269,MAX(1,2-(Vu_khi!$L$269-0)),2-(Vu_khi!$L$269-0))+1)))</f>
        <v/>
      </c>
      <c r="AB269" t="n">
        <v>1.2</v>
      </c>
      <c r="AC269">
        <f>INDEX(Bang_xuyen_giap!$C$2:$C$7,MIN(6,MAX(1,IF($O$269,MAX(1,2-(Vu_khi!$L$269-2)),2-(Vu_khi!$L$269-2))+1)))</f>
        <v/>
      </c>
      <c r="AD269" t="n">
        <v>1.2</v>
      </c>
      <c r="AE269">
        <f>INDEX(Bang_xuyen_giap!$C$2:$C$7,MIN(6,MAX(1,IF($O$269,MAX(1,2-(Vu_khi!$L$269-4)),2-(Vu_khi!$L$269-4))+1)))</f>
        <v/>
      </c>
      <c r="AF269" t="n">
        <v>1</v>
      </c>
      <c r="AG269">
        <f>INDEX(Bang_xuyen_giap!$C$2:$C$7,MIN(6,MAX(1,MAX(1,2-(Vu_khi!$L$269-0))+1)))</f>
        <v/>
      </c>
      <c r="AH269" t="n">
        <v>1</v>
      </c>
      <c r="AI269">
        <f>IF($Q$269,$M$269*$AA$269*$U$269,0)</f>
        <v/>
      </c>
      <c r="AJ269" t="n">
        <v>168</v>
      </c>
      <c r="AK269">
        <f>IF($Q$269,$M$269*$AC$269*$U$269,0)</f>
        <v/>
      </c>
      <c r="AL269" t="n">
        <v>168</v>
      </c>
      <c r="AM269">
        <f>IF($Q$269,$M$269*$AE$269*$U$269,0)</f>
        <v/>
      </c>
      <c r="AN269" t="n">
        <v>140</v>
      </c>
      <c r="AO269">
        <f>IF($Q$269,$M$269*$AC$269*$Y$269,0)</f>
        <v/>
      </c>
      <c r="AP269" t="n">
        <v>100.8</v>
      </c>
      <c r="AQ269">
        <f>IF($S$269,$M$269*$AG$269*$W$269,0)</f>
        <v/>
      </c>
      <c r="AR269" t="n">
        <v>0</v>
      </c>
      <c r="AS269">
        <f>IF(OR(Vu_khi!$M$269="Missile",Vu_khi!$M$269="Drone",AND(Vu_khi!$M$269="Rocket",OR(Vu_khi!$AM$269,Vu_khi!$D$269="guided")),Vu_khi!$AL$269,Vu_khi!$AK$269,Vu_khi!$X$269&lt;=0),FALSE,IF($B$269&gt;=0,$B$269&gt;=4,IF(Vu_khi!$M$269="Shell",Vu_khi!$AN$269&gt;=Canh_bao_vong!$D$10,IF(Vu_khi!$M$269="Bomb",Vu_khi!$AN$269&gt;=Canh_bao_vong!$D$3,IF(Vu_khi!$M$269="Rocket",Vu_khi!$AN$269&gt;=Canh_bao_vong!$D$13,FALSE)))))</f>
        <v/>
      </c>
      <c r="AT269" t="b">
        <v>0</v>
      </c>
      <c r="AU269">
        <f>IF(AND($B$269&lt;0,$AS$269),4,$B$269)</f>
        <v/>
      </c>
      <c r="AV269" t="n">
        <v>3</v>
      </c>
      <c r="AW269">
        <f>IF($AU$269&lt;4,0,MIN(MAX(0.5,Canh_bao_vong!$D$4),MAX(IF(Vu_khi!$C$269="cal_406",Canh_bao_vong!$D$7,IF($AU$269&gt;=5,Canh_bao_vong!$D$9,Canh_bao_vong!$D$8)),Canh_bao_vong!$D$2+MAX(0,Vu_khi!$X$269)/MAX(0.1,Canh_bao_vong!$D$5))))</f>
        <v/>
      </c>
      <c r="AX269" t="n">
        <v>0</v>
      </c>
      <c r="AY269" t="n">
        <v>0.186667</v>
      </c>
      <c r="AZ269" t="inlineStr">
        <is>
          <t>NHANH_QUA;LECH_DOT_1</t>
        </is>
      </c>
      <c r="BA269" t="inlineStr"/>
      <c r="BB269" t="inlineStr">
        <is>
          <t>Assets/MachineBrigade/Resources/Data/balance.json: weapons[id=p26_nemesis_ne125] (lớp B trên 01_chien_dau/Vu_khi)</t>
        </is>
      </c>
      <c r="BC269" t="inlineStr"/>
    </row>
    <row r="270">
      <c r="A270" t="inlineStr">
        <is>
          <t>p26_nemesis_ne152</t>
        </is>
      </c>
      <c r="B270" t="n">
        <v>3</v>
      </c>
      <c r="C270">
        <f>IF(Vu_khi!$O$270="SIMULTANEOUS",MAX(1,Vu_khi!$N$270),1)</f>
        <v/>
      </c>
      <c r="D270" t="n">
        <v>1</v>
      </c>
      <c r="E270">
        <f>IF(Vu_khi!$S$270&gt;0,Vu_khi!$S$270,Vu_khi!$P$270*$C$270)</f>
        <v/>
      </c>
      <c r="F270" t="n">
        <v>4</v>
      </c>
      <c r="G270">
        <f>IF(Vu_khi!$S$270&gt;0,(Vu_khi!$S$270-1)*Vu_khi!$R$270+Vu_khi!$T$270,Vu_khi!$R$270+(Vu_khi!$P$270-1)*Vu_khi!$Q$270)</f>
        <v/>
      </c>
      <c r="H270" t="n">
        <v>5</v>
      </c>
      <c r="I270">
        <f>Vu_khi!$W$270*MAX(1,$E$270)</f>
        <v/>
      </c>
      <c r="J270" t="n">
        <v>2480</v>
      </c>
      <c r="K270">
        <f>IF(Vu_khi!$V$270&gt;0,Vu_khi!$V$270,MIN(28,MAX(10,Vu_khi!$U$270*Vu_khi!$R$270*0.4)))</f>
        <v/>
      </c>
      <c r="L270" t="n">
        <v>10</v>
      </c>
      <c r="M270">
        <f>IF(Vu_khi!$W$270&lt;=0,0,IF(Vu_khi!$U$270&gt;0,$I$270*Vu_khi!$U$270/(MAX(0.05,$G$270)*Vu_khi!$U$270+$K$270),$I$270/MAX(0.05,$G$270)))</f>
        <v/>
      </c>
      <c r="N270" t="n">
        <v>496</v>
      </c>
      <c r="O270">
        <f>OR(Vu_khi!$AG$270,Vu_khi!$AB$270&gt;0,Vu_khi!$AH$270,Vu_khi!$M$270="Bomb",Vu_khi!$M$270="Drone")</f>
        <v/>
      </c>
      <c r="P270" t="b">
        <v>0</v>
      </c>
      <c r="Q270">
        <f>AND(NOT(Vu_khi!$AJ$270),OR(Vu_khi!$AC$270="Ground",Vu_khi!$AC$270="All"))</f>
        <v/>
      </c>
      <c r="R270" t="b">
        <v>1</v>
      </c>
      <c r="S270">
        <f>AND(NOT(Vu_khi!$AJ$270),OR(Vu_khi!$AC$270="Air",Vu_khi!$AC$270="All"))</f>
        <v/>
      </c>
      <c r="T270" t="b">
        <v>0</v>
      </c>
      <c r="U270">
        <f>INDEX(Bang_sat_thuong!$B$2:$B$7,MATCH(Vu_khi!$K$270,Bang_sat_thuong!$A$2:$A$7,0))</f>
        <v/>
      </c>
      <c r="V270" t="n">
        <v>1</v>
      </c>
      <c r="W270">
        <f>INDEX(Bang_sat_thuong!$C$2:$C$7,MATCH(Vu_khi!$K$270,Bang_sat_thuong!$A$2:$A$7,0))</f>
        <v/>
      </c>
      <c r="X270" t="n">
        <v>0</v>
      </c>
      <c r="Y270">
        <f>IF(AND(Vu_khi!$AI$270,Vu_khi!$K$270="HighExplosive"),MAX(He_so_toan_cuc!$D$2,INDEX(Bang_sat_thuong!$D$2:$D$7,MATCH(Vu_khi!$K$270,Bang_sat_thuong!$A$2:$A$7,0))),INDEX(Bang_sat_thuong!$D$2:$D$7,MATCH(Vu_khi!$K$270,Bang_sat_thuong!$A$2:$A$7,0)))</f>
        <v/>
      </c>
      <c r="Z270" t="n">
        <v>1.5</v>
      </c>
      <c r="AA270">
        <f>INDEX(Bang_xuyen_giap!$C$2:$C$7,MIN(6,MAX(1,IF($O$270,MAX(1,2-(Vu_khi!$L$270-0)),2-(Vu_khi!$L$270-0))+1)))</f>
        <v/>
      </c>
      <c r="AB270" t="n">
        <v>1.2</v>
      </c>
      <c r="AC270">
        <f>INDEX(Bang_xuyen_giap!$C$2:$C$7,MIN(6,MAX(1,IF($O$270,MAX(1,2-(Vu_khi!$L$270-2)),2-(Vu_khi!$L$270-2))+1)))</f>
        <v/>
      </c>
      <c r="AD270" t="n">
        <v>1</v>
      </c>
      <c r="AE270">
        <f>INDEX(Bang_xuyen_giap!$C$2:$C$7,MIN(6,MAX(1,IF($O$270,MAX(1,2-(Vu_khi!$L$270-4)),2-(Vu_khi!$L$270-4))+1)))</f>
        <v/>
      </c>
      <c r="AF270" t="n">
        <v>0.5</v>
      </c>
      <c r="AG270">
        <f>INDEX(Bang_xuyen_giap!$C$2:$C$7,MIN(6,MAX(1,MAX(1,2-(Vu_khi!$L$270-0))+1)))</f>
        <v/>
      </c>
      <c r="AH270" t="n">
        <v>1</v>
      </c>
      <c r="AI270">
        <f>IF($Q$270,$M$270*$AA$270*$U$270,0)</f>
        <v/>
      </c>
      <c r="AJ270" t="n">
        <v>595.1999999999999</v>
      </c>
      <c r="AK270">
        <f>IF($Q$270,$M$270*$AC$270*$U$270,0)</f>
        <v/>
      </c>
      <c r="AL270" t="n">
        <v>496</v>
      </c>
      <c r="AM270">
        <f>IF($Q$270,$M$270*$AE$270*$U$270,0)</f>
        <v/>
      </c>
      <c r="AN270" t="n">
        <v>248</v>
      </c>
      <c r="AO270">
        <f>IF($Q$270,$M$270*$AC$270*$Y$270,0)</f>
        <v/>
      </c>
      <c r="AP270" t="n">
        <v>744</v>
      </c>
      <c r="AQ270">
        <f>IF($S$270,$M$270*$AG$270*$W$270,0)</f>
        <v/>
      </c>
      <c r="AR270" t="n">
        <v>0</v>
      </c>
      <c r="AS270">
        <f>IF(OR(Vu_khi!$M$270="Missile",Vu_khi!$M$270="Drone",AND(Vu_khi!$M$270="Rocket",OR(Vu_khi!$AM$270,Vu_khi!$D$270="guided")),Vu_khi!$AL$270,Vu_khi!$AK$270,Vu_khi!$X$270&lt;=0),FALSE,IF($B$270&gt;=0,$B$270&gt;=4,IF(Vu_khi!$M$270="Shell",Vu_khi!$AN$270&gt;=Canh_bao_vong!$D$10,IF(Vu_khi!$M$270="Bomb",Vu_khi!$AN$270&gt;=Canh_bao_vong!$D$3,IF(Vu_khi!$M$270="Rocket",Vu_khi!$AN$270&gt;=Canh_bao_vong!$D$13,FALSE)))))</f>
        <v/>
      </c>
      <c r="AT270" t="b">
        <v>0</v>
      </c>
      <c r="AU270">
        <f>IF(AND($B$270&lt;0,$AS$270),4,$B$270)</f>
        <v/>
      </c>
      <c r="AV270" t="n">
        <v>3</v>
      </c>
      <c r="AW270">
        <f>IF($AU$270&lt;4,0,MIN(MAX(0.5,Canh_bao_vong!$D$4),MAX(IF(Vu_khi!$C$270="cal_406",Canh_bao_vong!$D$7,IF($AU$270&gt;=5,Canh_bao_vong!$D$9,Canh_bao_vong!$D$8)),Canh_bao_vong!$D$2+MAX(0,Vu_khi!$X$270)/MAX(0.1,Canh_bao_vong!$D$5))))</f>
        <v/>
      </c>
      <c r="AX270" t="n">
        <v>0</v>
      </c>
      <c r="AY270" t="n">
        <v>0.116667</v>
      </c>
      <c r="AZ270" t="inlineStr">
        <is>
          <t>NHANH_QUA;LECH_DOT_1</t>
        </is>
      </c>
      <c r="BA270" t="inlineStr"/>
      <c r="BB270" t="inlineStr">
        <is>
          <t>Assets/MachineBrigade/Resources/Data/balance.json: weapons[id=p26_nemesis_ne152] (lớp B trên 01_chien_dau/Vu_khi)</t>
        </is>
      </c>
      <c r="BC270" t="inlineStr"/>
    </row>
    <row r="271">
      <c r="A271" t="inlineStr">
        <is>
          <t>p26_nemesis_sec_boss_rockets</t>
        </is>
      </c>
      <c r="B271" t="n">
        <v>3</v>
      </c>
      <c r="C271">
        <f>IF(Vu_khi!$O$271="SIMULTANEOUS",MAX(1,Vu_khi!$N$271),1)</f>
        <v/>
      </c>
      <c r="D271" t="n">
        <v>1</v>
      </c>
      <c r="E271">
        <f>IF(Vu_khi!$S$271&gt;0,Vu_khi!$S$271,Vu_khi!$P$271*$C$271)</f>
        <v/>
      </c>
      <c r="F271" t="n">
        <v>40</v>
      </c>
      <c r="G271">
        <f>IF(Vu_khi!$S$271&gt;0,(Vu_khi!$S$271-1)*Vu_khi!$R$271+Vu_khi!$T$271,Vu_khi!$R$271+(Vu_khi!$P$271-1)*Vu_khi!$Q$271)</f>
        <v/>
      </c>
      <c r="H271" t="n">
        <v>21.94</v>
      </c>
      <c r="I271">
        <f>Vu_khi!$W$271*MAX(1,$E$271)</f>
        <v/>
      </c>
      <c r="J271" t="n">
        <v>8000</v>
      </c>
      <c r="K271">
        <f>IF(Vu_khi!$V$271&gt;0,Vu_khi!$V$271,MIN(28,MAX(10,Vu_khi!$U$271*Vu_khi!$R$271*0.4)))</f>
        <v/>
      </c>
      <c r="L271" t="n">
        <v>10</v>
      </c>
      <c r="M271">
        <f>IF(Vu_khi!$W$271&lt;=0,0,IF(Vu_khi!$U$271&gt;0,$I$271*Vu_khi!$U$271/(MAX(0.05,$G$271)*Vu_khi!$U$271+$K$271),$I$271/MAX(0.05,$G$271)))</f>
        <v/>
      </c>
      <c r="N271" t="n">
        <v>364.6308113035551</v>
      </c>
      <c r="O271">
        <f>OR(Vu_khi!$AG$271,Vu_khi!$AB$271&gt;0,Vu_khi!$AH$271,Vu_khi!$M$271="Bomb",Vu_khi!$M$271="Drone")</f>
        <v/>
      </c>
      <c r="P271" t="b">
        <v>0</v>
      </c>
      <c r="Q271">
        <f>AND(NOT(Vu_khi!$AJ$271),OR(Vu_khi!$AC$271="Ground",Vu_khi!$AC$271="All"))</f>
        <v/>
      </c>
      <c r="R271" t="b">
        <v>1</v>
      </c>
      <c r="S271">
        <f>AND(NOT(Vu_khi!$AJ$271),OR(Vu_khi!$AC$271="Air",Vu_khi!$AC$271="All"))</f>
        <v/>
      </c>
      <c r="T271" t="b">
        <v>0</v>
      </c>
      <c r="U271">
        <f>INDEX(Bang_sat_thuong!$B$2:$B$7,MATCH(Vu_khi!$K$271,Bang_sat_thuong!$A$2:$A$7,0))</f>
        <v/>
      </c>
      <c r="V271" t="n">
        <v>1</v>
      </c>
      <c r="W271">
        <f>INDEX(Bang_sat_thuong!$C$2:$C$7,MATCH(Vu_khi!$K$271,Bang_sat_thuong!$A$2:$A$7,0))</f>
        <v/>
      </c>
      <c r="X271" t="n">
        <v>0</v>
      </c>
      <c r="Y271">
        <f>IF(AND(Vu_khi!$AI$271,Vu_khi!$K$271="HighExplosive"),MAX(He_so_toan_cuc!$D$2,INDEX(Bang_sat_thuong!$D$2:$D$7,MATCH(Vu_khi!$K$271,Bang_sat_thuong!$A$2:$A$7,0))),INDEX(Bang_sat_thuong!$D$2:$D$7,MATCH(Vu_khi!$K$271,Bang_sat_thuong!$A$2:$A$7,0)))</f>
        <v/>
      </c>
      <c r="Z271" t="n">
        <v>1.5</v>
      </c>
      <c r="AA271">
        <f>INDEX(Bang_xuyen_giap!$C$2:$C$7,MIN(6,MAX(1,IF($O$271,MAX(1,2-(Vu_khi!$L$271-0)),2-(Vu_khi!$L$271-0))+1)))</f>
        <v/>
      </c>
      <c r="AB271" t="n">
        <v>1.2</v>
      </c>
      <c r="AC271">
        <f>INDEX(Bang_xuyen_giap!$C$2:$C$7,MIN(6,MAX(1,IF($O$271,MAX(1,2-(Vu_khi!$L$271-2)),2-(Vu_khi!$L$271-2))+1)))</f>
        <v/>
      </c>
      <c r="AD271" t="n">
        <v>0.85</v>
      </c>
      <c r="AE271">
        <f>INDEX(Bang_xuyen_giap!$C$2:$C$7,MIN(6,MAX(1,IF($O$271,MAX(1,2-(Vu_khi!$L$271-4)),2-(Vu_khi!$L$271-4))+1)))</f>
        <v/>
      </c>
      <c r="AF271" t="n">
        <v>0.25</v>
      </c>
      <c r="AG271">
        <f>INDEX(Bang_xuyen_giap!$C$2:$C$7,MIN(6,MAX(1,MAX(1,2-(Vu_khi!$L$271-0))+1)))</f>
        <v/>
      </c>
      <c r="AH271" t="n">
        <v>1</v>
      </c>
      <c r="AI271">
        <f>IF($Q$271,$M$271*$AA$271*$U$271,0)</f>
        <v/>
      </c>
      <c r="AJ271" t="n">
        <v>437.5569735642661</v>
      </c>
      <c r="AK271">
        <f>IF($Q$271,$M$271*$AC$271*$U$271,0)</f>
        <v/>
      </c>
      <c r="AL271" t="n">
        <v>309.9361896080218</v>
      </c>
      <c r="AM271">
        <f>IF($Q$271,$M$271*$AE$271*$U$271,0)</f>
        <v/>
      </c>
      <c r="AN271" t="n">
        <v>91.15770282588878</v>
      </c>
      <c r="AO271">
        <f>IF($Q$271,$M$271*$AC$271*$Y$271,0)</f>
        <v/>
      </c>
      <c r="AP271" t="n">
        <v>464.9042844120327</v>
      </c>
      <c r="AQ271">
        <f>IF($S$271,$M$271*$AG$271*$W$271,0)</f>
        <v/>
      </c>
      <c r="AR271" t="n">
        <v>0</v>
      </c>
      <c r="AS271">
        <f>IF(OR(Vu_khi!$M$271="Missile",Vu_khi!$M$271="Drone",AND(Vu_khi!$M$271="Rocket",OR(Vu_khi!$AM$271,Vu_khi!$D$271="guided")),Vu_khi!$AL$271,Vu_khi!$AK$271,Vu_khi!$X$271&lt;=0),FALSE,IF($B$271&gt;=0,$B$271&gt;=4,IF(Vu_khi!$M$271="Shell",Vu_khi!$AN$271&gt;=Canh_bao_vong!$D$10,IF(Vu_khi!$M$271="Bomb",Vu_khi!$AN$271&gt;=Canh_bao_vong!$D$3,IF(Vu_khi!$M$271="Rocket",Vu_khi!$AN$271&gt;=Canh_bao_vong!$D$13,FALSE)))))</f>
        <v/>
      </c>
      <c r="AT271" t="b">
        <v>0</v>
      </c>
      <c r="AU271">
        <f>IF(AND($B$271&lt;0,$AS$271),4,$B$271)</f>
        <v/>
      </c>
      <c r="AV271" t="n">
        <v>3</v>
      </c>
      <c r="AW271">
        <f>IF($AU$271&lt;4,0,MIN(MAX(0.5,Canh_bao_vong!$D$4),MAX(IF(Vu_khi!$C$271="cal_406",Canh_bao_vong!$D$7,IF($AU$271&gt;=5,Canh_bao_vong!$D$9,Canh_bao_vong!$D$8)),Canh_bao_vong!$D$2+MAX(0,Vu_khi!$X$271)/MAX(0.1,Canh_bao_vong!$D$5))))</f>
        <v/>
      </c>
      <c r="AX271" t="n">
        <v>0</v>
      </c>
      <c r="AY271" t="n">
        <v>1</v>
      </c>
      <c r="AZ271" t="inlineStr">
        <is>
          <t>LECH_HO</t>
        </is>
      </c>
      <c r="BA271" t="b">
        <v>0</v>
      </c>
      <c r="BB271" t="inlineStr">
        <is>
          <t>Assets/MachineBrigade/Resources/Data/balance.json: weapons[id=p26_nemesis_sec_boss_rockets] (lớp B trên 01_chien_dau/Vu_khi)</t>
        </is>
      </c>
      <c r="BC271" t="inlineStr"/>
    </row>
    <row r="272">
      <c r="A272" t="inlineStr">
        <is>
          <t>p26_roc_close_twin_30_bmpt</t>
        </is>
      </c>
      <c r="B272" t="n">
        <v>1</v>
      </c>
      <c r="C272">
        <f>IF(Vu_khi!$O$272="SIMULTANEOUS",MAX(1,Vu_khi!$N$272),1)</f>
        <v/>
      </c>
      <c r="D272" t="n">
        <v>1</v>
      </c>
      <c r="E272">
        <f>IF(Vu_khi!$S$272&gt;0,Vu_khi!$S$272,Vu_khi!$P$272*$C$272)</f>
        <v/>
      </c>
      <c r="F272" t="n">
        <v>12</v>
      </c>
      <c r="G272">
        <f>IF(Vu_khi!$S$272&gt;0,(Vu_khi!$S$272-1)*Vu_khi!$R$272+Vu_khi!$T$272,Vu_khi!$R$272+(Vu_khi!$P$272-1)*Vu_khi!$Q$272)</f>
        <v/>
      </c>
      <c r="H272" t="n">
        <v>2.3663</v>
      </c>
      <c r="I272">
        <f>Vu_khi!$W$272*MAX(1,$E$272)</f>
        <v/>
      </c>
      <c r="J272" t="n">
        <v>264</v>
      </c>
      <c r="K272">
        <f>IF(Vu_khi!$V$272&gt;0,Vu_khi!$V$272,MIN(28,MAX(10,Vu_khi!$U$272*Vu_khi!$R$272*0.4)))</f>
        <v/>
      </c>
      <c r="L272" t="n">
        <v>10</v>
      </c>
      <c r="M272">
        <f>IF(Vu_khi!$W$272&lt;=0,0,IF(Vu_khi!$U$272&gt;0,$I$272*Vu_khi!$U$272/(MAX(0.05,$G$272)*Vu_khi!$U$272+$K$272),$I$272/MAX(0.05,$G$272)))</f>
        <v/>
      </c>
      <c r="N272" t="n">
        <v>111.5665807378608</v>
      </c>
      <c r="O272">
        <f>OR(Vu_khi!$AG$272,Vu_khi!$AB$272&gt;0,Vu_khi!$AH$272,Vu_khi!$M$272="Bomb",Vu_khi!$M$272="Drone")</f>
        <v/>
      </c>
      <c r="P272" t="b">
        <v>0</v>
      </c>
      <c r="Q272">
        <f>AND(NOT(Vu_khi!$AJ$272),OR(Vu_khi!$AC$272="Ground",Vu_khi!$AC$272="All"))</f>
        <v/>
      </c>
      <c r="R272" t="b">
        <v>1</v>
      </c>
      <c r="S272">
        <f>AND(NOT(Vu_khi!$AJ$272),OR(Vu_khi!$AC$272="Air",Vu_khi!$AC$272="All"))</f>
        <v/>
      </c>
      <c r="T272" t="b">
        <v>0</v>
      </c>
      <c r="U272">
        <f>INDEX(Bang_sat_thuong!$B$2:$B$7,MATCH(Vu_khi!$K$272,Bang_sat_thuong!$A$2:$A$7,0))</f>
        <v/>
      </c>
      <c r="V272" t="n">
        <v>1</v>
      </c>
      <c r="W272">
        <f>INDEX(Bang_sat_thuong!$C$2:$C$7,MATCH(Vu_khi!$K$272,Bang_sat_thuong!$A$2:$A$7,0))</f>
        <v/>
      </c>
      <c r="X272" t="n">
        <v>0.3</v>
      </c>
      <c r="Y272">
        <f>IF(AND(Vu_khi!$AI$272,Vu_khi!$K$272="HighExplosive"),MAX(He_so_toan_cuc!$D$2,INDEX(Bang_sat_thuong!$D$2:$D$7,MATCH(Vu_khi!$K$272,Bang_sat_thuong!$A$2:$A$7,0))),INDEX(Bang_sat_thuong!$D$2:$D$7,MATCH(Vu_khi!$K$272,Bang_sat_thuong!$A$2:$A$7,0)))</f>
        <v/>
      </c>
      <c r="Z272" t="n">
        <v>0.6</v>
      </c>
      <c r="AA272">
        <f>INDEX(Bang_xuyen_giap!$C$2:$C$7,MIN(6,MAX(1,IF($O$272,MAX(1,2-(Vu_khi!$L$272-0)),2-(Vu_khi!$L$272-0))+1)))</f>
        <v/>
      </c>
      <c r="AB272" t="n">
        <v>1.2</v>
      </c>
      <c r="AC272">
        <f>INDEX(Bang_xuyen_giap!$C$2:$C$7,MIN(6,MAX(1,IF($O$272,MAX(1,2-(Vu_khi!$L$272-2)),2-(Vu_khi!$L$272-2))+1)))</f>
        <v/>
      </c>
      <c r="AD272" t="n">
        <v>0.85</v>
      </c>
      <c r="AE272">
        <f>INDEX(Bang_xuyen_giap!$C$2:$C$7,MIN(6,MAX(1,IF($O$272,MAX(1,2-(Vu_khi!$L$272-4)),2-(Vu_khi!$L$272-4))+1)))</f>
        <v/>
      </c>
      <c r="AF272" t="n">
        <v>0.25</v>
      </c>
      <c r="AG272">
        <f>INDEX(Bang_xuyen_giap!$C$2:$C$7,MIN(6,MAX(1,MAX(1,2-(Vu_khi!$L$272-0))+1)))</f>
        <v/>
      </c>
      <c r="AH272" t="n">
        <v>1</v>
      </c>
      <c r="AI272">
        <f>IF($Q$272,$M$272*$AA$272*$U$272,0)</f>
        <v/>
      </c>
      <c r="AJ272" t="n">
        <v>133.879896885433</v>
      </c>
      <c r="AK272">
        <f>IF($Q$272,$M$272*$AC$272*$U$272,0)</f>
        <v/>
      </c>
      <c r="AL272" t="n">
        <v>94.83159362718168</v>
      </c>
      <c r="AM272">
        <f>IF($Q$272,$M$272*$AE$272*$U$272,0)</f>
        <v/>
      </c>
      <c r="AN272" t="n">
        <v>27.8916451844652</v>
      </c>
      <c r="AO272">
        <f>IF($Q$272,$M$272*$AC$272*$Y$272,0)</f>
        <v/>
      </c>
      <c r="AP272" t="n">
        <v>56.89895617630901</v>
      </c>
      <c r="AQ272">
        <f>IF($S$272,$M$272*$AG$272*$W$272,0)</f>
        <v/>
      </c>
      <c r="AR272" t="n">
        <v>0</v>
      </c>
      <c r="AS272">
        <f>IF(OR(Vu_khi!$M$272="Missile",Vu_khi!$M$272="Drone",AND(Vu_khi!$M$272="Rocket",OR(Vu_khi!$AM$272,Vu_khi!$D$272="guided")),Vu_khi!$AL$272,Vu_khi!$AK$272,Vu_khi!$X$272&lt;=0),FALSE,IF($B$272&gt;=0,$B$272&gt;=4,IF(Vu_khi!$M$272="Shell",Vu_khi!$AN$272&gt;=Canh_bao_vong!$D$10,IF(Vu_khi!$M$272="Bomb",Vu_khi!$AN$272&gt;=Canh_bao_vong!$D$3,IF(Vu_khi!$M$272="Rocket",Vu_khi!$AN$272&gt;=Canh_bao_vong!$D$13,FALSE)))))</f>
        <v/>
      </c>
      <c r="AT272" t="b">
        <v>0</v>
      </c>
      <c r="AU272">
        <f>IF(AND($B$272&lt;0,$AS$272),4,$B$272)</f>
        <v/>
      </c>
      <c r="AV272" t="n">
        <v>1</v>
      </c>
      <c r="AW272">
        <f>IF($AU$272&lt;4,0,MIN(MAX(0.5,Canh_bao_vong!$D$4),MAX(IF(Vu_khi!$C$272="cal_406",Canh_bao_vong!$D$7,IF($AU$272&gt;=5,Canh_bao_vong!$D$9,Canh_bao_vong!$D$8)),Canh_bao_vong!$D$2+MAX(0,Vu_khi!$X$272)/MAX(0.1,Canh_bao_vong!$D$5))))</f>
        <v/>
      </c>
      <c r="AX272" t="n">
        <v>0</v>
      </c>
      <c r="AY272" t="n">
        <v>5.258444</v>
      </c>
      <c r="AZ272" t="inlineStr">
        <is>
          <t>ok</t>
        </is>
      </c>
      <c r="BA272" t="b">
        <v>1</v>
      </c>
      <c r="BB272" t="inlineStr">
        <is>
          <t>Assets/MachineBrigade/Resources/Data/balance.json: weapons[id=p26_roc_close_twin_30_bmpt] (lớp B trên 01_chien_dau/Vu_khi)</t>
        </is>
      </c>
      <c r="BC272" t="inlineStr"/>
    </row>
    <row r="273">
      <c r="A273" t="inlineStr">
        <is>
          <t>p26_roc_direct_roc_atgm</t>
        </is>
      </c>
      <c r="B273" t="n">
        <v>2</v>
      </c>
      <c r="C273">
        <f>IF(Vu_khi!$O$273="SIMULTANEOUS",MAX(1,Vu_khi!$N$273),1)</f>
        <v/>
      </c>
      <c r="D273" t="n">
        <v>1</v>
      </c>
      <c r="E273">
        <f>IF(Vu_khi!$S$273&gt;0,Vu_khi!$S$273,Vu_khi!$P$273*$C$273)</f>
        <v/>
      </c>
      <c r="F273" t="n">
        <v>2</v>
      </c>
      <c r="G273">
        <f>IF(Vu_khi!$S$273&gt;0,(Vu_khi!$S$273-1)*Vu_khi!$R$273+Vu_khi!$T$273,Vu_khi!$R$273+(Vu_khi!$P$273-1)*Vu_khi!$Q$273)</f>
        <v/>
      </c>
      <c r="H273" t="n">
        <v>20</v>
      </c>
      <c r="I273">
        <f>Vu_khi!$W$273*MAX(1,$E$273)</f>
        <v/>
      </c>
      <c r="J273" t="n">
        <v>460</v>
      </c>
      <c r="K273">
        <f>IF(Vu_khi!$V$273&gt;0,Vu_khi!$V$273,MIN(28,MAX(10,Vu_khi!$U$273*Vu_khi!$R$273*0.4)))</f>
        <v/>
      </c>
      <c r="L273" t="n">
        <v>10</v>
      </c>
      <c r="M273">
        <f>IF(Vu_khi!$W$273&lt;=0,0,IF(Vu_khi!$U$273&gt;0,$I$273*Vu_khi!$U$273/(MAX(0.05,$G$273)*Vu_khi!$U$273+$K$273),$I$273/MAX(0.05,$G$273)))</f>
        <v/>
      </c>
      <c r="N273" t="n">
        <v>23</v>
      </c>
      <c r="O273">
        <f>OR(Vu_khi!$AG$273,Vu_khi!$AB$273&gt;0,Vu_khi!$AH$273,Vu_khi!$M$273="Bomb",Vu_khi!$M$273="Drone")</f>
        <v/>
      </c>
      <c r="P273" t="b">
        <v>0</v>
      </c>
      <c r="Q273">
        <f>AND(NOT(Vu_khi!$AJ$273),OR(Vu_khi!$AC$273="Ground",Vu_khi!$AC$273="All"))</f>
        <v/>
      </c>
      <c r="R273" t="b">
        <v>1</v>
      </c>
      <c r="S273">
        <f>AND(NOT(Vu_khi!$AJ$273),OR(Vu_khi!$AC$273="Air",Vu_khi!$AC$273="All"))</f>
        <v/>
      </c>
      <c r="T273" t="b">
        <v>0</v>
      </c>
      <c r="U273">
        <f>INDEX(Bang_sat_thuong!$B$2:$B$7,MATCH(Vu_khi!$K$273,Bang_sat_thuong!$A$2:$A$7,0))</f>
        <v/>
      </c>
      <c r="V273" t="n">
        <v>1</v>
      </c>
      <c r="W273">
        <f>INDEX(Bang_sat_thuong!$C$2:$C$7,MATCH(Vu_khi!$K$273,Bang_sat_thuong!$A$2:$A$7,0))</f>
        <v/>
      </c>
      <c r="X273" t="n">
        <v>0.3</v>
      </c>
      <c r="Y273">
        <f>IF(AND(Vu_khi!$AI$273,Vu_khi!$K$273="HighExplosive"),MAX(He_so_toan_cuc!$D$2,INDEX(Bang_sat_thuong!$D$2:$D$7,MATCH(Vu_khi!$K$273,Bang_sat_thuong!$A$2:$A$7,0))),INDEX(Bang_sat_thuong!$D$2:$D$7,MATCH(Vu_khi!$K$273,Bang_sat_thuong!$A$2:$A$7,0)))</f>
        <v/>
      </c>
      <c r="Z273" t="n">
        <v>0.6</v>
      </c>
      <c r="AA273">
        <f>INDEX(Bang_xuyen_giap!$C$2:$C$7,MIN(6,MAX(1,IF($O$273,MAX(1,2-(Vu_khi!$L$273-0)),2-(Vu_khi!$L$273-0))+1)))</f>
        <v/>
      </c>
      <c r="AB273" t="n">
        <v>1.2</v>
      </c>
      <c r="AC273">
        <f>INDEX(Bang_xuyen_giap!$C$2:$C$7,MIN(6,MAX(1,IF($O$273,MAX(1,2-(Vu_khi!$L$273-2)),2-(Vu_khi!$L$273-2))+1)))</f>
        <v/>
      </c>
      <c r="AD273" t="n">
        <v>1.2</v>
      </c>
      <c r="AE273">
        <f>INDEX(Bang_xuyen_giap!$C$2:$C$7,MIN(6,MAX(1,IF($O$273,MAX(1,2-(Vu_khi!$L$273-4)),2-(Vu_khi!$L$273-4))+1)))</f>
        <v/>
      </c>
      <c r="AF273" t="n">
        <v>1</v>
      </c>
      <c r="AG273">
        <f>INDEX(Bang_xuyen_giap!$C$2:$C$7,MIN(6,MAX(1,MAX(1,2-(Vu_khi!$L$273-0))+1)))</f>
        <v/>
      </c>
      <c r="AH273" t="n">
        <v>1</v>
      </c>
      <c r="AI273">
        <f>IF($Q$273,$M$273*$AA$273*$U$273,0)</f>
        <v/>
      </c>
      <c r="AJ273" t="n">
        <v>27.6</v>
      </c>
      <c r="AK273">
        <f>IF($Q$273,$M$273*$AC$273*$U$273,0)</f>
        <v/>
      </c>
      <c r="AL273" t="n">
        <v>27.6</v>
      </c>
      <c r="AM273">
        <f>IF($Q$273,$M$273*$AE$273*$U$273,0)</f>
        <v/>
      </c>
      <c r="AN273" t="n">
        <v>23</v>
      </c>
      <c r="AO273">
        <f>IF($Q$273,$M$273*$AC$273*$Y$273,0)</f>
        <v/>
      </c>
      <c r="AP273" t="n">
        <v>16.56</v>
      </c>
      <c r="AQ273">
        <f>IF($S$273,$M$273*$AG$273*$W$273,0)</f>
        <v/>
      </c>
      <c r="AR273" t="n">
        <v>0</v>
      </c>
      <c r="AS273">
        <f>IF(OR(Vu_khi!$M$273="Missile",Vu_khi!$M$273="Drone",AND(Vu_khi!$M$273="Rocket",OR(Vu_khi!$AM$273,Vu_khi!$D$273="guided")),Vu_khi!$AL$273,Vu_khi!$AK$273,Vu_khi!$X$273&lt;=0),FALSE,IF($B$273&gt;=0,$B$273&gt;=4,IF(Vu_khi!$M$273="Shell",Vu_khi!$AN$273&gt;=Canh_bao_vong!$D$10,IF(Vu_khi!$M$273="Bomb",Vu_khi!$AN$273&gt;=Canh_bao_vong!$D$3,IF(Vu_khi!$M$273="Rocket",Vu_khi!$AN$273&gt;=Canh_bao_vong!$D$13,FALSE)))))</f>
        <v/>
      </c>
      <c r="AT273" t="b">
        <v>0</v>
      </c>
      <c r="AU273">
        <f>IF(AND($B$273&lt;0,$AS$273),4,$B$273)</f>
        <v/>
      </c>
      <c r="AV273" t="n">
        <v>2</v>
      </c>
      <c r="AW273">
        <f>IF($AU$273&lt;4,0,MIN(MAX(0.5,Canh_bao_vong!$D$4),MAX(IF(Vu_khi!$C$273="cal_406",Canh_bao_vong!$D$7,IF($AU$273&gt;=5,Canh_bao_vong!$D$9,Canh_bao_vong!$D$8)),Canh_bao_vong!$D$2+MAX(0,Vu_khi!$X$273)/MAX(0.1,Canh_bao_vong!$D$5))))</f>
        <v/>
      </c>
      <c r="AX273" t="n">
        <v>0</v>
      </c>
      <c r="AY273" t="n">
        <v>1</v>
      </c>
      <c r="AZ273" t="inlineStr">
        <is>
          <t>ok</t>
        </is>
      </c>
      <c r="BA273" t="b">
        <v>1</v>
      </c>
      <c r="BB273" t="inlineStr">
        <is>
          <t>Assets/MachineBrigade/Resources/Data/balance.json: weapons[id=p26_roc_direct_roc_atgm] (lớp B trên 01_chien_dau/Vu_khi)</t>
        </is>
      </c>
      <c r="BC273" t="inlineStr"/>
    </row>
    <row r="274">
      <c r="A274" t="inlineStr">
        <is>
          <t>p26_roc_main_roc_bombs</t>
        </is>
      </c>
      <c r="B274" t="n">
        <v>4</v>
      </c>
      <c r="C274">
        <f>IF(Vu_khi!$O$274="SIMULTANEOUS",MAX(1,Vu_khi!$N$274),1)</f>
        <v/>
      </c>
      <c r="D274" t="n">
        <v>1</v>
      </c>
      <c r="E274">
        <f>IF(Vu_khi!$S$274&gt;0,Vu_khi!$S$274,Vu_khi!$P$274*$C$274)</f>
        <v/>
      </c>
      <c r="F274" t="n">
        <v>8</v>
      </c>
      <c r="G274">
        <f>IF(Vu_khi!$S$274&gt;0,(Vu_khi!$S$274-1)*Vu_khi!$R$274+Vu_khi!$T$274,Vu_khi!$R$274+(Vu_khi!$P$274-1)*Vu_khi!$Q$274)</f>
        <v/>
      </c>
      <c r="H274" t="n">
        <v>35.44</v>
      </c>
      <c r="I274">
        <f>Vu_khi!$W$274*MAX(1,$E$274)</f>
        <v/>
      </c>
      <c r="J274" t="n">
        <v>5600</v>
      </c>
      <c r="K274">
        <f>IF(Vu_khi!$V$274&gt;0,Vu_khi!$V$274,MIN(28,MAX(10,Vu_khi!$U$274*Vu_khi!$R$274*0.4)))</f>
        <v/>
      </c>
      <c r="L274" t="n">
        <v>10</v>
      </c>
      <c r="M274">
        <f>IF(Vu_khi!$W$274&lt;=0,0,IF(Vu_khi!$U$274&gt;0,$I$274*Vu_khi!$U$274/(MAX(0.05,$G$274)*Vu_khi!$U$274+$K$274),$I$274/MAX(0.05,$G$274)))</f>
        <v/>
      </c>
      <c r="N274" t="n">
        <v>158.0135440180587</v>
      </c>
      <c r="O274">
        <f>OR(Vu_khi!$AG$274,Vu_khi!$AB$274&gt;0,Vu_khi!$AH$274,Vu_khi!$M$274="Bomb",Vu_khi!$M$274="Drone")</f>
        <v/>
      </c>
      <c r="P274" t="b">
        <v>1</v>
      </c>
      <c r="Q274">
        <f>AND(NOT(Vu_khi!$AJ$274),OR(Vu_khi!$AC$274="Ground",Vu_khi!$AC$274="All"))</f>
        <v/>
      </c>
      <c r="R274" t="b">
        <v>1</v>
      </c>
      <c r="S274">
        <f>AND(NOT(Vu_khi!$AJ$274),OR(Vu_khi!$AC$274="Air",Vu_khi!$AC$274="All"))</f>
        <v/>
      </c>
      <c r="T274" t="b">
        <v>0</v>
      </c>
      <c r="U274">
        <f>INDEX(Bang_sat_thuong!$B$2:$B$7,MATCH(Vu_khi!$K$274,Bang_sat_thuong!$A$2:$A$7,0))</f>
        <v/>
      </c>
      <c r="V274" t="n">
        <v>1</v>
      </c>
      <c r="W274">
        <f>INDEX(Bang_sat_thuong!$C$2:$C$7,MATCH(Vu_khi!$K$274,Bang_sat_thuong!$A$2:$A$7,0))</f>
        <v/>
      </c>
      <c r="X274" t="n">
        <v>0</v>
      </c>
      <c r="Y274">
        <f>IF(AND(Vu_khi!$AI$274,Vu_khi!$K$274="HighExplosive"),MAX(He_so_toan_cuc!$D$2,INDEX(Bang_sat_thuong!$D$2:$D$7,MATCH(Vu_khi!$K$274,Bang_sat_thuong!$A$2:$A$7,0))),INDEX(Bang_sat_thuong!$D$2:$D$7,MATCH(Vu_khi!$K$274,Bang_sat_thuong!$A$2:$A$7,0)))</f>
        <v/>
      </c>
      <c r="Z274" t="n">
        <v>1.5</v>
      </c>
      <c r="AA274">
        <f>INDEX(Bang_xuyen_giap!$C$2:$C$7,MIN(6,MAX(1,IF($O$274,MAX(1,2-(Vu_khi!$L$274-0)),2-(Vu_khi!$L$274-0))+1)))</f>
        <v/>
      </c>
      <c r="AB274" t="n">
        <v>1</v>
      </c>
      <c r="AC274">
        <f>INDEX(Bang_xuyen_giap!$C$2:$C$7,MIN(6,MAX(1,IF($O$274,MAX(1,2-(Vu_khi!$L$274-2)),2-(Vu_khi!$L$274-2))+1)))</f>
        <v/>
      </c>
      <c r="AD274" t="n">
        <v>1</v>
      </c>
      <c r="AE274">
        <f>INDEX(Bang_xuyen_giap!$C$2:$C$7,MIN(6,MAX(1,IF($O$274,MAX(1,2-(Vu_khi!$L$274-4)),2-(Vu_khi!$L$274-4))+1)))</f>
        <v/>
      </c>
      <c r="AF274" t="n">
        <v>0.85</v>
      </c>
      <c r="AG274">
        <f>INDEX(Bang_xuyen_giap!$C$2:$C$7,MIN(6,MAX(1,MAX(1,2-(Vu_khi!$L$274-0))+1)))</f>
        <v/>
      </c>
      <c r="AH274" t="n">
        <v>1</v>
      </c>
      <c r="AI274">
        <f>IF($Q$274,$M$274*$AA$274*$U$274,0)</f>
        <v/>
      </c>
      <c r="AJ274" t="n">
        <v>158.0135440180587</v>
      </c>
      <c r="AK274">
        <f>IF($Q$274,$M$274*$AC$274*$U$274,0)</f>
        <v/>
      </c>
      <c r="AL274" t="n">
        <v>158.0135440180587</v>
      </c>
      <c r="AM274">
        <f>IF($Q$274,$M$274*$AE$274*$U$274,0)</f>
        <v/>
      </c>
      <c r="AN274" t="n">
        <v>134.3115124153499</v>
      </c>
      <c r="AO274">
        <f>IF($Q$274,$M$274*$AC$274*$Y$274,0)</f>
        <v/>
      </c>
      <c r="AP274" t="n">
        <v>237.020316027088</v>
      </c>
      <c r="AQ274">
        <f>IF($S$274,$M$274*$AG$274*$W$274,0)</f>
        <v/>
      </c>
      <c r="AR274" t="n">
        <v>0</v>
      </c>
      <c r="AS274">
        <f>IF(OR(Vu_khi!$M$274="Missile",Vu_khi!$M$274="Drone",AND(Vu_khi!$M$274="Rocket",OR(Vu_khi!$AM$274,Vu_khi!$D$274="guided")),Vu_khi!$AL$274,Vu_khi!$AK$274,Vu_khi!$X$274&lt;=0),FALSE,IF($B$274&gt;=0,$B$274&gt;=4,IF(Vu_khi!$M$274="Shell",Vu_khi!$AN$274&gt;=Canh_bao_vong!$D$10,IF(Vu_khi!$M$274="Bomb",Vu_khi!$AN$274&gt;=Canh_bao_vong!$D$3,IF(Vu_khi!$M$274="Rocket",Vu_khi!$AN$274&gt;=Canh_bao_vong!$D$13,FALSE)))))</f>
        <v/>
      </c>
      <c r="AT274" t="b">
        <v>1</v>
      </c>
      <c r="AU274">
        <f>IF(AND($B$274&lt;0,$AS$274),4,$B$274)</f>
        <v/>
      </c>
      <c r="AV274" t="n">
        <v>4</v>
      </c>
      <c r="AW274">
        <f>IF($AU$274&lt;4,0,MIN(MAX(0.5,Canh_bao_vong!$D$4),MAX(IF(Vu_khi!$C$274="cal_406",Canh_bao_vong!$D$7,IF($AU$274&gt;=5,Canh_bao_vong!$D$9,Canh_bao_vong!$D$8)),Canh_bao_vong!$D$2+MAX(0,Vu_khi!$X$274)/MAX(0.1,Canh_bao_vong!$D$5))))</f>
        <v/>
      </c>
      <c r="AX274" t="n">
        <v>2.722222222222222</v>
      </c>
      <c r="AY274" t="n">
        <v>3</v>
      </c>
      <c r="AZ274" t="inlineStr">
        <is>
          <t>ok</t>
        </is>
      </c>
      <c r="BA274" t="b">
        <v>1</v>
      </c>
      <c r="BB274" t="inlineStr">
        <is>
          <t>Assets/MachineBrigade/Resources/Data/balance.json: weapons[id=p26_roc_main_roc_bombs] (lớp B trên 01_chien_dau/Vu_khi)</t>
        </is>
      </c>
      <c r="BC274" t="inlineStr"/>
    </row>
    <row r="275">
      <c r="A275" t="inlineStr">
        <is>
          <t>p26_roc_roc105</t>
        </is>
      </c>
      <c r="B275" t="n">
        <v>2</v>
      </c>
      <c r="C275">
        <f>IF(Vu_khi!$O$275="SIMULTANEOUS",MAX(1,Vu_khi!$N$275),1)</f>
        <v/>
      </c>
      <c r="D275" t="n">
        <v>1</v>
      </c>
      <c r="E275">
        <f>IF(Vu_khi!$S$275&gt;0,Vu_khi!$S$275,Vu_khi!$P$275*$C$275)</f>
        <v/>
      </c>
      <c r="F275" t="n">
        <v>1</v>
      </c>
      <c r="G275">
        <f>IF(Vu_khi!$S$275&gt;0,(Vu_khi!$S$275-1)*Vu_khi!$R$275+Vu_khi!$T$275,Vu_khi!$R$275+(Vu_khi!$P$275-1)*Vu_khi!$Q$275)</f>
        <v/>
      </c>
      <c r="H275" t="n">
        <v>6</v>
      </c>
      <c r="I275">
        <f>Vu_khi!$W$275*MAX(1,$E$275)</f>
        <v/>
      </c>
      <c r="J275" t="n">
        <v>300</v>
      </c>
      <c r="K275">
        <f>IF(Vu_khi!$V$275&gt;0,Vu_khi!$V$275,MIN(28,MAX(10,Vu_khi!$U$275*Vu_khi!$R$275*0.4)))</f>
        <v/>
      </c>
      <c r="L275" t="n">
        <v>10</v>
      </c>
      <c r="M275">
        <f>IF(Vu_khi!$W$275&lt;=0,0,IF(Vu_khi!$U$275&gt;0,$I$275*Vu_khi!$U$275/(MAX(0.05,$G$275)*Vu_khi!$U$275+$K$275),$I$275/MAX(0.05,$G$275)))</f>
        <v/>
      </c>
      <c r="N275" t="n">
        <v>50</v>
      </c>
      <c r="O275">
        <f>OR(Vu_khi!$AG$275,Vu_khi!$AB$275&gt;0,Vu_khi!$AH$275,Vu_khi!$M$275="Bomb",Vu_khi!$M$275="Drone")</f>
        <v/>
      </c>
      <c r="P275" t="b">
        <v>0</v>
      </c>
      <c r="Q275">
        <f>AND(NOT(Vu_khi!$AJ$275),OR(Vu_khi!$AC$275="Ground",Vu_khi!$AC$275="All"))</f>
        <v/>
      </c>
      <c r="R275" t="b">
        <v>1</v>
      </c>
      <c r="S275">
        <f>AND(NOT(Vu_khi!$AJ$275),OR(Vu_khi!$AC$275="Air",Vu_khi!$AC$275="All"))</f>
        <v/>
      </c>
      <c r="T275" t="b">
        <v>0</v>
      </c>
      <c r="U275">
        <f>INDEX(Bang_sat_thuong!$B$2:$B$7,MATCH(Vu_khi!$K$275,Bang_sat_thuong!$A$2:$A$7,0))</f>
        <v/>
      </c>
      <c r="V275" t="n">
        <v>1</v>
      </c>
      <c r="W275">
        <f>INDEX(Bang_sat_thuong!$C$2:$C$7,MATCH(Vu_khi!$K$275,Bang_sat_thuong!$A$2:$A$7,0))</f>
        <v/>
      </c>
      <c r="X275" t="n">
        <v>0</v>
      </c>
      <c r="Y275">
        <f>IF(AND(Vu_khi!$AI$275,Vu_khi!$K$275="HighExplosive"),MAX(He_so_toan_cuc!$D$2,INDEX(Bang_sat_thuong!$D$2:$D$7,MATCH(Vu_khi!$K$275,Bang_sat_thuong!$A$2:$A$7,0))),INDEX(Bang_sat_thuong!$D$2:$D$7,MATCH(Vu_khi!$K$275,Bang_sat_thuong!$A$2:$A$7,0)))</f>
        <v/>
      </c>
      <c r="Z275" t="n">
        <v>1.5</v>
      </c>
      <c r="AA275">
        <f>INDEX(Bang_xuyen_giap!$C$2:$C$7,MIN(6,MAX(1,IF($O$275,MAX(1,2-(Vu_khi!$L$275-0)),2-(Vu_khi!$L$275-0))+1)))</f>
        <v/>
      </c>
      <c r="AB275" t="n">
        <v>1.2</v>
      </c>
      <c r="AC275">
        <f>INDEX(Bang_xuyen_giap!$C$2:$C$7,MIN(6,MAX(1,IF($O$275,MAX(1,2-(Vu_khi!$L$275-2)),2-(Vu_khi!$L$275-2))+1)))</f>
        <v/>
      </c>
      <c r="AD275" t="n">
        <v>0.85</v>
      </c>
      <c r="AE275">
        <f>INDEX(Bang_xuyen_giap!$C$2:$C$7,MIN(6,MAX(1,IF($O$275,MAX(1,2-(Vu_khi!$L$275-4)),2-(Vu_khi!$L$275-4))+1)))</f>
        <v/>
      </c>
      <c r="AF275" t="n">
        <v>0.25</v>
      </c>
      <c r="AG275">
        <f>INDEX(Bang_xuyen_giap!$C$2:$C$7,MIN(6,MAX(1,MAX(1,2-(Vu_khi!$L$275-0))+1)))</f>
        <v/>
      </c>
      <c r="AH275" t="n">
        <v>1</v>
      </c>
      <c r="AI275">
        <f>IF($Q$275,$M$275*$AA$275*$U$275,0)</f>
        <v/>
      </c>
      <c r="AJ275" t="n">
        <v>60</v>
      </c>
      <c r="AK275">
        <f>IF($Q$275,$M$275*$AC$275*$U$275,0)</f>
        <v/>
      </c>
      <c r="AL275" t="n">
        <v>42.5</v>
      </c>
      <c r="AM275">
        <f>IF($Q$275,$M$275*$AE$275*$U$275,0)</f>
        <v/>
      </c>
      <c r="AN275" t="n">
        <v>12.5</v>
      </c>
      <c r="AO275">
        <f>IF($Q$275,$M$275*$AC$275*$Y$275,0)</f>
        <v/>
      </c>
      <c r="AP275" t="n">
        <v>63.74999999999999</v>
      </c>
      <c r="AQ275">
        <f>IF($S$275,$M$275*$AG$275*$W$275,0)</f>
        <v/>
      </c>
      <c r="AR275" t="n">
        <v>0</v>
      </c>
      <c r="AS275">
        <f>IF(OR(Vu_khi!$M$275="Missile",Vu_khi!$M$275="Drone",AND(Vu_khi!$M$275="Rocket",OR(Vu_khi!$AM$275,Vu_khi!$D$275="guided")),Vu_khi!$AL$275,Vu_khi!$AK$275,Vu_khi!$X$275&lt;=0),FALSE,IF($B$275&gt;=0,$B$275&gt;=4,IF(Vu_khi!$M$275="Shell",Vu_khi!$AN$275&gt;=Canh_bao_vong!$D$10,IF(Vu_khi!$M$275="Bomb",Vu_khi!$AN$275&gt;=Canh_bao_vong!$D$3,IF(Vu_khi!$M$275="Rocket",Vu_khi!$AN$275&gt;=Canh_bao_vong!$D$13,FALSE)))))</f>
        <v/>
      </c>
      <c r="AT275" t="b">
        <v>0</v>
      </c>
      <c r="AU275">
        <f>IF(AND($B$275&lt;0,$AS$275),4,$B$275)</f>
        <v/>
      </c>
      <c r="AV275" t="n">
        <v>2</v>
      </c>
      <c r="AW275">
        <f>IF($AU$275&lt;4,0,MIN(MAX(0.5,Canh_bao_vong!$D$4),MAX(IF(Vu_khi!$C$275="cal_406",Canh_bao_vong!$D$7,IF($AU$275&gt;=5,Canh_bao_vong!$D$9,Canh_bao_vong!$D$8)),Canh_bao_vong!$D$2+MAX(0,Vu_khi!$X$275)/MAX(0.1,Canh_bao_vong!$D$5))))</f>
        <v/>
      </c>
      <c r="AX275" t="n">
        <v>0</v>
      </c>
      <c r="AY275" t="n">
        <v>0.7</v>
      </c>
      <c r="AZ275" t="inlineStr">
        <is>
          <t>LECH_HO</t>
        </is>
      </c>
      <c r="BA275" t="b">
        <v>0</v>
      </c>
      <c r="BB275" t="inlineStr">
        <is>
          <t>Assets/MachineBrigade/Resources/Data/balance.json: weapons[id=p26_roc_roc105] (lớp B trên 01_chien_dau/Vu_khi)</t>
        </is>
      </c>
      <c r="BC275" t="inlineStr"/>
    </row>
    <row r="276">
      <c r="A276" t="inlineStr">
        <is>
          <t>p26_roc_roc_atgm</t>
        </is>
      </c>
      <c r="B276" t="n">
        <v>2</v>
      </c>
      <c r="C276">
        <f>IF(Vu_khi!$O$276="SIMULTANEOUS",MAX(1,Vu_khi!$N$276),1)</f>
        <v/>
      </c>
      <c r="D276" t="n">
        <v>1</v>
      </c>
      <c r="E276">
        <f>IF(Vu_khi!$S$276&gt;0,Vu_khi!$S$276,Vu_khi!$P$276*$C$276)</f>
        <v/>
      </c>
      <c r="F276" t="n">
        <v>1</v>
      </c>
      <c r="G276">
        <f>IF(Vu_khi!$S$276&gt;0,(Vu_khi!$S$276-1)*Vu_khi!$R$276+Vu_khi!$T$276,Vu_khi!$R$276+(Vu_khi!$P$276-1)*Vu_khi!$Q$276)</f>
        <v/>
      </c>
      <c r="H276" t="n">
        <v>2</v>
      </c>
      <c r="I276">
        <f>Vu_khi!$W$276*MAX(1,$E$276)</f>
        <v/>
      </c>
      <c r="J276" t="n">
        <v>300</v>
      </c>
      <c r="K276">
        <f>IF(Vu_khi!$V$276&gt;0,Vu_khi!$V$276,MIN(28,MAX(10,Vu_khi!$U$276*Vu_khi!$R$276*0.4)))</f>
        <v/>
      </c>
      <c r="L276" t="n">
        <v>10</v>
      </c>
      <c r="M276">
        <f>IF(Vu_khi!$W$276&lt;=0,0,IF(Vu_khi!$U$276&gt;0,$I$276*Vu_khi!$U$276/(MAX(0.05,$G$276)*Vu_khi!$U$276+$K$276),$I$276/MAX(0.05,$G$276)))</f>
        <v/>
      </c>
      <c r="N276" t="n">
        <v>150</v>
      </c>
      <c r="O276">
        <f>OR(Vu_khi!$AG$276,Vu_khi!$AB$276&gt;0,Vu_khi!$AH$276,Vu_khi!$M$276="Bomb",Vu_khi!$M$276="Drone")</f>
        <v/>
      </c>
      <c r="P276" t="b">
        <v>0</v>
      </c>
      <c r="Q276">
        <f>AND(NOT(Vu_khi!$AJ$276),OR(Vu_khi!$AC$276="Ground",Vu_khi!$AC$276="All"))</f>
        <v/>
      </c>
      <c r="R276" t="b">
        <v>1</v>
      </c>
      <c r="S276">
        <f>AND(NOT(Vu_khi!$AJ$276),OR(Vu_khi!$AC$276="Air",Vu_khi!$AC$276="All"))</f>
        <v/>
      </c>
      <c r="T276" t="b">
        <v>0</v>
      </c>
      <c r="U276">
        <f>INDEX(Bang_sat_thuong!$B$2:$B$7,MATCH(Vu_khi!$K$276,Bang_sat_thuong!$A$2:$A$7,0))</f>
        <v/>
      </c>
      <c r="V276" t="n">
        <v>1</v>
      </c>
      <c r="W276">
        <f>INDEX(Bang_sat_thuong!$C$2:$C$7,MATCH(Vu_khi!$K$276,Bang_sat_thuong!$A$2:$A$7,0))</f>
        <v/>
      </c>
      <c r="X276" t="n">
        <v>0.3</v>
      </c>
      <c r="Y276">
        <f>IF(AND(Vu_khi!$AI$276,Vu_khi!$K$276="HighExplosive"),MAX(He_so_toan_cuc!$D$2,INDEX(Bang_sat_thuong!$D$2:$D$7,MATCH(Vu_khi!$K$276,Bang_sat_thuong!$A$2:$A$7,0))),INDEX(Bang_sat_thuong!$D$2:$D$7,MATCH(Vu_khi!$K$276,Bang_sat_thuong!$A$2:$A$7,0)))</f>
        <v/>
      </c>
      <c r="Z276" t="n">
        <v>0.6</v>
      </c>
      <c r="AA276">
        <f>INDEX(Bang_xuyen_giap!$C$2:$C$7,MIN(6,MAX(1,IF($O$276,MAX(1,2-(Vu_khi!$L$276-0)),2-(Vu_khi!$L$276-0))+1)))</f>
        <v/>
      </c>
      <c r="AB276" t="n">
        <v>1.2</v>
      </c>
      <c r="AC276">
        <f>INDEX(Bang_xuyen_giap!$C$2:$C$7,MIN(6,MAX(1,IF($O$276,MAX(1,2-(Vu_khi!$L$276-2)),2-(Vu_khi!$L$276-2))+1)))</f>
        <v/>
      </c>
      <c r="AD276" t="n">
        <v>1.2</v>
      </c>
      <c r="AE276">
        <f>INDEX(Bang_xuyen_giap!$C$2:$C$7,MIN(6,MAX(1,IF($O$276,MAX(1,2-(Vu_khi!$L$276-4)),2-(Vu_khi!$L$276-4))+1)))</f>
        <v/>
      </c>
      <c r="AF276" t="n">
        <v>1</v>
      </c>
      <c r="AG276">
        <f>INDEX(Bang_xuyen_giap!$C$2:$C$7,MIN(6,MAX(1,MAX(1,2-(Vu_khi!$L$276-0))+1)))</f>
        <v/>
      </c>
      <c r="AH276" t="n">
        <v>1</v>
      </c>
      <c r="AI276">
        <f>IF($Q$276,$M$276*$AA$276*$U$276,0)</f>
        <v/>
      </c>
      <c r="AJ276" t="n">
        <v>180</v>
      </c>
      <c r="AK276">
        <f>IF($Q$276,$M$276*$AC$276*$U$276,0)</f>
        <v/>
      </c>
      <c r="AL276" t="n">
        <v>180</v>
      </c>
      <c r="AM276">
        <f>IF($Q$276,$M$276*$AE$276*$U$276,0)</f>
        <v/>
      </c>
      <c r="AN276" t="n">
        <v>150</v>
      </c>
      <c r="AO276">
        <f>IF($Q$276,$M$276*$AC$276*$Y$276,0)</f>
        <v/>
      </c>
      <c r="AP276" t="n">
        <v>108</v>
      </c>
      <c r="AQ276">
        <f>IF($S$276,$M$276*$AG$276*$W$276,0)</f>
        <v/>
      </c>
      <c r="AR276" t="n">
        <v>0</v>
      </c>
      <c r="AS276">
        <f>IF(OR(Vu_khi!$M$276="Missile",Vu_khi!$M$276="Drone",AND(Vu_khi!$M$276="Rocket",OR(Vu_khi!$AM$276,Vu_khi!$D$276="guided")),Vu_khi!$AL$276,Vu_khi!$AK$276,Vu_khi!$X$276&lt;=0),FALSE,IF($B$276&gt;=0,$B$276&gt;=4,IF(Vu_khi!$M$276="Shell",Vu_khi!$AN$276&gt;=Canh_bao_vong!$D$10,IF(Vu_khi!$M$276="Bomb",Vu_khi!$AN$276&gt;=Canh_bao_vong!$D$3,IF(Vu_khi!$M$276="Rocket",Vu_khi!$AN$276&gt;=Canh_bao_vong!$D$13,FALSE)))))</f>
        <v/>
      </c>
      <c r="AT276" t="b">
        <v>0</v>
      </c>
      <c r="AU276">
        <f>IF(AND($B$276&lt;0,$AS$276),4,$B$276)</f>
        <v/>
      </c>
      <c r="AV276" t="n">
        <v>2</v>
      </c>
      <c r="AW276">
        <f>IF($AU$276&lt;4,0,MIN(MAX(0.5,Canh_bao_vong!$D$4),MAX(IF(Vu_khi!$C$276="cal_406",Canh_bao_vong!$D$7,IF($AU$276&gt;=5,Canh_bao_vong!$D$9,Canh_bao_vong!$D$8)),Canh_bao_vong!$D$2+MAX(0,Vu_khi!$X$276)/MAX(0.1,Canh_bao_vong!$D$5))))</f>
        <v/>
      </c>
      <c r="AX276" t="n">
        <v>0</v>
      </c>
      <c r="AY276" t="n">
        <v>0.1</v>
      </c>
      <c r="AZ276" t="inlineStr">
        <is>
          <t>NHANH_QUA;LECH_DOT_1</t>
        </is>
      </c>
      <c r="BA276" t="inlineStr"/>
      <c r="BB276" t="inlineStr">
        <is>
          <t>Assets/MachineBrigade/Resources/Data/balance.json: weapons[id=p26_roc_roc_atgm] (lớp B trên 01_chien_dau/Vu_khi)</t>
        </is>
      </c>
      <c r="BC276" t="inlineStr"/>
    </row>
    <row r="277">
      <c r="A277" t="inlineStr">
        <is>
          <t>p26_roc_roc_bombs</t>
        </is>
      </c>
      <c r="B277" t="n">
        <v>4</v>
      </c>
      <c r="C277">
        <f>IF(Vu_khi!$O$277="SIMULTANEOUS",MAX(1,Vu_khi!$N$277),1)</f>
        <v/>
      </c>
      <c r="D277" t="n">
        <v>1</v>
      </c>
      <c r="E277">
        <f>IF(Vu_khi!$S$277&gt;0,Vu_khi!$S$277,Vu_khi!$P$277*$C$277)</f>
        <v/>
      </c>
      <c r="F277" t="n">
        <v>8</v>
      </c>
      <c r="G277">
        <f>IF(Vu_khi!$S$277&gt;0,(Vu_khi!$S$277-1)*Vu_khi!$R$277+Vu_khi!$T$277,Vu_khi!$R$277+(Vu_khi!$P$277-1)*Vu_khi!$Q$277)</f>
        <v/>
      </c>
      <c r="H277" t="n">
        <v>5</v>
      </c>
      <c r="I277">
        <f>Vu_khi!$W$277*MAX(1,$E$277)</f>
        <v/>
      </c>
      <c r="J277" t="n">
        <v>3200</v>
      </c>
      <c r="K277">
        <f>IF(Vu_khi!$V$277&gt;0,Vu_khi!$V$277,MIN(28,MAX(10,Vu_khi!$U$277*Vu_khi!$R$277*0.4)))</f>
        <v/>
      </c>
      <c r="L277" t="n">
        <v>10</v>
      </c>
      <c r="M277">
        <f>IF(Vu_khi!$W$277&lt;=0,0,IF(Vu_khi!$U$277&gt;0,$I$277*Vu_khi!$U$277/(MAX(0.05,$G$277)*Vu_khi!$U$277+$K$277),$I$277/MAX(0.05,$G$277)))</f>
        <v/>
      </c>
      <c r="N277" t="n">
        <v>640</v>
      </c>
      <c r="O277">
        <f>OR(Vu_khi!$AG$277,Vu_khi!$AB$277&gt;0,Vu_khi!$AH$277,Vu_khi!$M$277="Bomb",Vu_khi!$M$277="Drone")</f>
        <v/>
      </c>
      <c r="P277" t="b">
        <v>1</v>
      </c>
      <c r="Q277">
        <f>AND(NOT(Vu_khi!$AJ$277),OR(Vu_khi!$AC$277="Ground",Vu_khi!$AC$277="All"))</f>
        <v/>
      </c>
      <c r="R277" t="b">
        <v>1</v>
      </c>
      <c r="S277">
        <f>AND(NOT(Vu_khi!$AJ$277),OR(Vu_khi!$AC$277="Air",Vu_khi!$AC$277="All"))</f>
        <v/>
      </c>
      <c r="T277" t="b">
        <v>0</v>
      </c>
      <c r="U277">
        <f>INDEX(Bang_sat_thuong!$B$2:$B$7,MATCH(Vu_khi!$K$277,Bang_sat_thuong!$A$2:$A$7,0))</f>
        <v/>
      </c>
      <c r="V277" t="n">
        <v>1</v>
      </c>
      <c r="W277">
        <f>INDEX(Bang_sat_thuong!$C$2:$C$7,MATCH(Vu_khi!$K$277,Bang_sat_thuong!$A$2:$A$7,0))</f>
        <v/>
      </c>
      <c r="X277" t="n">
        <v>0</v>
      </c>
      <c r="Y277">
        <f>IF(AND(Vu_khi!$AI$277,Vu_khi!$K$277="HighExplosive"),MAX(He_so_toan_cuc!$D$2,INDEX(Bang_sat_thuong!$D$2:$D$7,MATCH(Vu_khi!$K$277,Bang_sat_thuong!$A$2:$A$7,0))),INDEX(Bang_sat_thuong!$D$2:$D$7,MATCH(Vu_khi!$K$277,Bang_sat_thuong!$A$2:$A$7,0)))</f>
        <v/>
      </c>
      <c r="Z277" t="n">
        <v>1.5</v>
      </c>
      <c r="AA277">
        <f>INDEX(Bang_xuyen_giap!$C$2:$C$7,MIN(6,MAX(1,IF($O$277,MAX(1,2-(Vu_khi!$L$277-0)),2-(Vu_khi!$L$277-0))+1)))</f>
        <v/>
      </c>
      <c r="AB277" t="n">
        <v>1</v>
      </c>
      <c r="AC277">
        <f>INDEX(Bang_xuyen_giap!$C$2:$C$7,MIN(6,MAX(1,IF($O$277,MAX(1,2-(Vu_khi!$L$277-2)),2-(Vu_khi!$L$277-2))+1)))</f>
        <v/>
      </c>
      <c r="AD277" t="n">
        <v>1</v>
      </c>
      <c r="AE277">
        <f>INDEX(Bang_xuyen_giap!$C$2:$C$7,MIN(6,MAX(1,IF($O$277,MAX(1,2-(Vu_khi!$L$277-4)),2-(Vu_khi!$L$277-4))+1)))</f>
        <v/>
      </c>
      <c r="AF277" t="n">
        <v>0.85</v>
      </c>
      <c r="AG277">
        <f>INDEX(Bang_xuyen_giap!$C$2:$C$7,MIN(6,MAX(1,MAX(1,2-(Vu_khi!$L$277-0))+1)))</f>
        <v/>
      </c>
      <c r="AH277" t="n">
        <v>1</v>
      </c>
      <c r="AI277">
        <f>IF($Q$277,$M$277*$AA$277*$U$277,0)</f>
        <v/>
      </c>
      <c r="AJ277" t="n">
        <v>640</v>
      </c>
      <c r="AK277">
        <f>IF($Q$277,$M$277*$AC$277*$U$277,0)</f>
        <v/>
      </c>
      <c r="AL277" t="n">
        <v>640</v>
      </c>
      <c r="AM277">
        <f>IF($Q$277,$M$277*$AE$277*$U$277,0)</f>
        <v/>
      </c>
      <c r="AN277" t="n">
        <v>544</v>
      </c>
      <c r="AO277">
        <f>IF($Q$277,$M$277*$AC$277*$Y$277,0)</f>
        <v/>
      </c>
      <c r="AP277" t="n">
        <v>960</v>
      </c>
      <c r="AQ277">
        <f>IF($S$277,$M$277*$AG$277*$W$277,0)</f>
        <v/>
      </c>
      <c r="AR277" t="n">
        <v>0</v>
      </c>
      <c r="AS277">
        <f>IF(OR(Vu_khi!$M$277="Missile",Vu_khi!$M$277="Drone",AND(Vu_khi!$M$277="Rocket",OR(Vu_khi!$AM$277,Vu_khi!$D$277="guided")),Vu_khi!$AL$277,Vu_khi!$AK$277,Vu_khi!$X$277&lt;=0),FALSE,IF($B$277&gt;=0,$B$277&gt;=4,IF(Vu_khi!$M$277="Shell",Vu_khi!$AN$277&gt;=Canh_bao_vong!$D$10,IF(Vu_khi!$M$277="Bomb",Vu_khi!$AN$277&gt;=Canh_bao_vong!$D$3,IF(Vu_khi!$M$277="Rocket",Vu_khi!$AN$277&gt;=Canh_bao_vong!$D$13,FALSE)))))</f>
        <v/>
      </c>
      <c r="AT277" t="b">
        <v>1</v>
      </c>
      <c r="AU277">
        <f>IF(AND($B$277&lt;0,$AS$277),4,$B$277)</f>
        <v/>
      </c>
      <c r="AV277" t="n">
        <v>4</v>
      </c>
      <c r="AW277">
        <f>IF($AU$277&lt;4,0,MIN(MAX(0.5,Canh_bao_vong!$D$4),MAX(IF(Vu_khi!$C$277="cal_406",Canh_bao_vong!$D$7,IF($AU$277&gt;=5,Canh_bao_vong!$D$9,Canh_bao_vong!$D$8)),Canh_bao_vong!$D$2+MAX(0,Vu_khi!$X$277)/MAX(0.1,Canh_bao_vong!$D$5))))</f>
        <v/>
      </c>
      <c r="AX277" t="n">
        <v>2.722222222222222</v>
      </c>
      <c r="AY277" t="n">
        <v>3</v>
      </c>
      <c r="AZ277" t="inlineStr">
        <is>
          <t>LECH_DOT_1</t>
        </is>
      </c>
      <c r="BA277" t="inlineStr"/>
      <c r="BB277" t="inlineStr">
        <is>
          <t>Assets/MachineBrigade/Resources/Data/balance.json: weapons[id=p26_roc_roc_bombs] (lớp B trên 01_chien_dau/Vu_khi)</t>
        </is>
      </c>
      <c r="BC277" t="inlineStr"/>
    </row>
    <row r="278">
      <c r="A278" t="inlineStr">
        <is>
          <t>p26_typhon_direct_ty100</t>
        </is>
      </c>
      <c r="B278" t="n">
        <v>2</v>
      </c>
      <c r="C278">
        <f>IF(Vu_khi!$O$278="SIMULTANEOUS",MAX(1,Vu_khi!$N$278),1)</f>
        <v/>
      </c>
      <c r="D278" t="n">
        <v>1</v>
      </c>
      <c r="E278">
        <f>IF(Vu_khi!$S$278&gt;0,Vu_khi!$S$278,Vu_khi!$P$278*$C$278)</f>
        <v/>
      </c>
      <c r="F278" t="n">
        <v>2</v>
      </c>
      <c r="G278">
        <f>IF(Vu_khi!$S$278&gt;0,(Vu_khi!$S$278-1)*Vu_khi!$R$278+Vu_khi!$T$278,Vu_khi!$R$278+(Vu_khi!$P$278-1)*Vu_khi!$Q$278)</f>
        <v/>
      </c>
      <c r="H278" t="n">
        <v>3.5</v>
      </c>
      <c r="I278">
        <f>Vu_khi!$W$278*MAX(1,$E$278)</f>
        <v/>
      </c>
      <c r="J278" t="n">
        <v>600</v>
      </c>
      <c r="K278">
        <f>IF(Vu_khi!$V$278&gt;0,Vu_khi!$V$278,MIN(28,MAX(10,Vu_khi!$U$278*Vu_khi!$R$278*0.4)))</f>
        <v/>
      </c>
      <c r="L278" t="n">
        <v>10</v>
      </c>
      <c r="M278">
        <f>IF(Vu_khi!$W$278&lt;=0,0,IF(Vu_khi!$U$278&gt;0,$I$278*Vu_khi!$U$278/(MAX(0.05,$G$278)*Vu_khi!$U$278+$K$278),$I$278/MAX(0.05,$G$278)))</f>
        <v/>
      </c>
      <c r="N278" t="n">
        <v>171.4285714285714</v>
      </c>
      <c r="O278">
        <f>OR(Vu_khi!$AG$278,Vu_khi!$AB$278&gt;0,Vu_khi!$AH$278,Vu_khi!$M$278="Bomb",Vu_khi!$M$278="Drone")</f>
        <v/>
      </c>
      <c r="P278" t="b">
        <v>0</v>
      </c>
      <c r="Q278">
        <f>AND(NOT(Vu_khi!$AJ$278),OR(Vu_khi!$AC$278="Ground",Vu_khi!$AC$278="All"))</f>
        <v/>
      </c>
      <c r="R278" t="b">
        <v>1</v>
      </c>
      <c r="S278">
        <f>AND(NOT(Vu_khi!$AJ$278),OR(Vu_khi!$AC$278="Air",Vu_khi!$AC$278="All"))</f>
        <v/>
      </c>
      <c r="T278" t="b">
        <v>0</v>
      </c>
      <c r="U278">
        <f>INDEX(Bang_sat_thuong!$B$2:$B$7,MATCH(Vu_khi!$K$278,Bang_sat_thuong!$A$2:$A$7,0))</f>
        <v/>
      </c>
      <c r="V278" t="n">
        <v>1</v>
      </c>
      <c r="W278">
        <f>INDEX(Bang_sat_thuong!$C$2:$C$7,MATCH(Vu_khi!$K$278,Bang_sat_thuong!$A$2:$A$7,0))</f>
        <v/>
      </c>
      <c r="X278" t="n">
        <v>0</v>
      </c>
      <c r="Y278">
        <f>IF(AND(Vu_khi!$AI$278,Vu_khi!$K$278="HighExplosive"),MAX(He_so_toan_cuc!$D$2,INDEX(Bang_sat_thuong!$D$2:$D$7,MATCH(Vu_khi!$K$278,Bang_sat_thuong!$A$2:$A$7,0))),INDEX(Bang_sat_thuong!$D$2:$D$7,MATCH(Vu_khi!$K$278,Bang_sat_thuong!$A$2:$A$7,0)))</f>
        <v/>
      </c>
      <c r="Z278" t="n">
        <v>1.5</v>
      </c>
      <c r="AA278">
        <f>INDEX(Bang_xuyen_giap!$C$2:$C$7,MIN(6,MAX(1,IF($O$278,MAX(1,2-(Vu_khi!$L$278-0)),2-(Vu_khi!$L$278-0))+1)))</f>
        <v/>
      </c>
      <c r="AB278" t="n">
        <v>1.2</v>
      </c>
      <c r="AC278">
        <f>INDEX(Bang_xuyen_giap!$C$2:$C$7,MIN(6,MAX(1,IF($O$278,MAX(1,2-(Vu_khi!$L$278-2)),2-(Vu_khi!$L$278-2))+1)))</f>
        <v/>
      </c>
      <c r="AD278" t="n">
        <v>1.2</v>
      </c>
      <c r="AE278">
        <f>INDEX(Bang_xuyen_giap!$C$2:$C$7,MIN(6,MAX(1,IF($O$278,MAX(1,2-(Vu_khi!$L$278-4)),2-(Vu_khi!$L$278-4))+1)))</f>
        <v/>
      </c>
      <c r="AF278" t="n">
        <v>0.85</v>
      </c>
      <c r="AG278">
        <f>INDEX(Bang_xuyen_giap!$C$2:$C$7,MIN(6,MAX(1,MAX(1,2-(Vu_khi!$L$278-0))+1)))</f>
        <v/>
      </c>
      <c r="AH278" t="n">
        <v>1</v>
      </c>
      <c r="AI278">
        <f>IF($Q$278,$M$278*$AA$278*$U$278,0)</f>
        <v/>
      </c>
      <c r="AJ278" t="n">
        <v>205.7142857142857</v>
      </c>
      <c r="AK278">
        <f>IF($Q$278,$M$278*$AC$278*$U$278,0)</f>
        <v/>
      </c>
      <c r="AL278" t="n">
        <v>205.7142857142857</v>
      </c>
      <c r="AM278">
        <f>IF($Q$278,$M$278*$AE$278*$U$278,0)</f>
        <v/>
      </c>
      <c r="AN278" t="n">
        <v>145.7142857142857</v>
      </c>
      <c r="AO278">
        <f>IF($Q$278,$M$278*$AC$278*$Y$278,0)</f>
        <v/>
      </c>
      <c r="AP278" t="n">
        <v>308.5714285714285</v>
      </c>
      <c r="AQ278">
        <f>IF($S$278,$M$278*$AG$278*$W$278,0)</f>
        <v/>
      </c>
      <c r="AR278" t="n">
        <v>0</v>
      </c>
      <c r="AS278">
        <f>IF(OR(Vu_khi!$M$278="Missile",Vu_khi!$M$278="Drone",AND(Vu_khi!$M$278="Rocket",OR(Vu_khi!$AM$278,Vu_khi!$D$278="guided")),Vu_khi!$AL$278,Vu_khi!$AK$278,Vu_khi!$X$278&lt;=0),FALSE,IF($B$278&gt;=0,$B$278&gt;=4,IF(Vu_khi!$M$278="Shell",Vu_khi!$AN$278&gt;=Canh_bao_vong!$D$10,IF(Vu_khi!$M$278="Bomb",Vu_khi!$AN$278&gt;=Canh_bao_vong!$D$3,IF(Vu_khi!$M$278="Rocket",Vu_khi!$AN$278&gt;=Canh_bao_vong!$D$13,FALSE)))))</f>
        <v/>
      </c>
      <c r="AT278" t="b">
        <v>0</v>
      </c>
      <c r="AU278">
        <f>IF(AND($B$278&lt;0,$AS$278),4,$B$278)</f>
        <v/>
      </c>
      <c r="AV278" t="n">
        <v>2</v>
      </c>
      <c r="AW278">
        <f>IF($AU$278&lt;4,0,MIN(MAX(0.5,Canh_bao_vong!$D$4),MAX(IF(Vu_khi!$C$278="cal_406",Canh_bao_vong!$D$7,IF($AU$278&gt;=5,Canh_bao_vong!$D$9,Canh_bao_vong!$D$8)),Canh_bao_vong!$D$2+MAX(0,Vu_khi!$X$278)/MAX(0.1,Canh_bao_vong!$D$5))))</f>
        <v/>
      </c>
      <c r="AX278" t="n">
        <v>0</v>
      </c>
      <c r="AY278" t="n">
        <v>1.225</v>
      </c>
      <c r="AZ278" t="inlineStr">
        <is>
          <t>ok</t>
        </is>
      </c>
      <c r="BA278" t="b">
        <v>1</v>
      </c>
      <c r="BB278" t="inlineStr">
        <is>
          <t>Assets/MachineBrigade/Resources/Data/balance.json: weapons[id=p26_typhon_direct_ty100] (lớp B trên 01_chien_dau/Vu_khi)</t>
        </is>
      </c>
      <c r="BC278" t="inlineStr"/>
    </row>
    <row r="279">
      <c r="A279" t="inlineStr">
        <is>
          <t>p26_typhon_sec_ty57</t>
        </is>
      </c>
      <c r="B279" t="n">
        <v>2</v>
      </c>
      <c r="C279">
        <f>IF(Vu_khi!$O$279="SIMULTANEOUS",MAX(1,Vu_khi!$N$279),1)</f>
        <v/>
      </c>
      <c r="D279" t="n">
        <v>2</v>
      </c>
      <c r="E279">
        <f>IF(Vu_khi!$S$279&gt;0,Vu_khi!$S$279,Vu_khi!$P$279*$C$279)</f>
        <v/>
      </c>
      <c r="F279" t="n">
        <v>8</v>
      </c>
      <c r="G279">
        <f>IF(Vu_khi!$S$279&gt;0,(Vu_khi!$S$279-1)*Vu_khi!$R$279+Vu_khi!$T$279,Vu_khi!$R$279+(Vu_khi!$P$279-1)*Vu_khi!$Q$279)</f>
        <v/>
      </c>
      <c r="H279" t="n">
        <v>4.29</v>
      </c>
      <c r="I279">
        <f>Vu_khi!$W$279*MAX(1,$E$279)</f>
        <v/>
      </c>
      <c r="J279" t="n">
        <v>960</v>
      </c>
      <c r="K279">
        <f>IF(Vu_khi!$V$279&gt;0,Vu_khi!$V$279,MIN(28,MAX(10,Vu_khi!$U$279*Vu_khi!$R$279*0.4)))</f>
        <v/>
      </c>
      <c r="L279" t="n">
        <v>10</v>
      </c>
      <c r="M279">
        <f>IF(Vu_khi!$W$279&lt;=0,0,IF(Vu_khi!$U$279&gt;0,$I$279*Vu_khi!$U$279/(MAX(0.05,$G$279)*Vu_khi!$U$279+$K$279),$I$279/MAX(0.05,$G$279)))</f>
        <v/>
      </c>
      <c r="N279" t="n">
        <v>223.7762237762238</v>
      </c>
      <c r="O279">
        <f>OR(Vu_khi!$AG$279,Vu_khi!$AB$279&gt;0,Vu_khi!$AH$279,Vu_khi!$M$279="Bomb",Vu_khi!$M$279="Drone")</f>
        <v/>
      </c>
      <c r="P279" t="b">
        <v>0</v>
      </c>
      <c r="Q279">
        <f>AND(NOT(Vu_khi!$AJ$279),OR(Vu_khi!$AC$279="Ground",Vu_khi!$AC$279="All"))</f>
        <v/>
      </c>
      <c r="R279" t="b">
        <v>1</v>
      </c>
      <c r="S279">
        <f>AND(NOT(Vu_khi!$AJ$279),OR(Vu_khi!$AC$279="Air",Vu_khi!$AC$279="All"))</f>
        <v/>
      </c>
      <c r="T279" t="b">
        <v>0</v>
      </c>
      <c r="U279">
        <f>INDEX(Bang_sat_thuong!$B$2:$B$7,MATCH(Vu_khi!$K$279,Bang_sat_thuong!$A$2:$A$7,0))</f>
        <v/>
      </c>
      <c r="V279" t="n">
        <v>1</v>
      </c>
      <c r="W279">
        <f>INDEX(Bang_sat_thuong!$C$2:$C$7,MATCH(Vu_khi!$K$279,Bang_sat_thuong!$A$2:$A$7,0))</f>
        <v/>
      </c>
      <c r="X279" t="n">
        <v>0</v>
      </c>
      <c r="Y279">
        <f>IF(AND(Vu_khi!$AI$279,Vu_khi!$K$279="HighExplosive"),MAX(He_so_toan_cuc!$D$2,INDEX(Bang_sat_thuong!$D$2:$D$7,MATCH(Vu_khi!$K$279,Bang_sat_thuong!$A$2:$A$7,0))),INDEX(Bang_sat_thuong!$D$2:$D$7,MATCH(Vu_khi!$K$279,Bang_sat_thuong!$A$2:$A$7,0)))</f>
        <v/>
      </c>
      <c r="Z279" t="n">
        <v>1.5</v>
      </c>
      <c r="AA279">
        <f>INDEX(Bang_xuyen_giap!$C$2:$C$7,MIN(6,MAX(1,IF($O$279,MAX(1,2-(Vu_khi!$L$279-0)),2-(Vu_khi!$L$279-0))+1)))</f>
        <v/>
      </c>
      <c r="AB279" t="n">
        <v>1.2</v>
      </c>
      <c r="AC279">
        <f>INDEX(Bang_xuyen_giap!$C$2:$C$7,MIN(6,MAX(1,IF($O$279,MAX(1,2-(Vu_khi!$L$279-2)),2-(Vu_khi!$L$279-2))+1)))</f>
        <v/>
      </c>
      <c r="AD279" t="n">
        <v>1</v>
      </c>
      <c r="AE279">
        <f>INDEX(Bang_xuyen_giap!$C$2:$C$7,MIN(6,MAX(1,IF($O$279,MAX(1,2-(Vu_khi!$L$279-4)),2-(Vu_khi!$L$279-4))+1)))</f>
        <v/>
      </c>
      <c r="AF279" t="n">
        <v>0.5</v>
      </c>
      <c r="AG279">
        <f>INDEX(Bang_xuyen_giap!$C$2:$C$7,MIN(6,MAX(1,MAX(1,2-(Vu_khi!$L$279-0))+1)))</f>
        <v/>
      </c>
      <c r="AH279" t="n">
        <v>1</v>
      </c>
      <c r="AI279">
        <f>IF($Q$279,$M$279*$AA$279*$U$279,0)</f>
        <v/>
      </c>
      <c r="AJ279" t="n">
        <v>268.5314685314685</v>
      </c>
      <c r="AK279">
        <f>IF($Q$279,$M$279*$AC$279*$U$279,0)</f>
        <v/>
      </c>
      <c r="AL279" t="n">
        <v>223.7762237762238</v>
      </c>
      <c r="AM279">
        <f>IF($Q$279,$M$279*$AE$279*$U$279,0)</f>
        <v/>
      </c>
      <c r="AN279" t="n">
        <v>111.8881118881119</v>
      </c>
      <c r="AO279">
        <f>IF($Q$279,$M$279*$AC$279*$Y$279,0)</f>
        <v/>
      </c>
      <c r="AP279" t="n">
        <v>335.6643356643357</v>
      </c>
      <c r="AQ279">
        <f>IF($S$279,$M$279*$AG$279*$W$279,0)</f>
        <v/>
      </c>
      <c r="AR279" t="n">
        <v>0</v>
      </c>
      <c r="AS279">
        <f>IF(OR(Vu_khi!$M$279="Missile",Vu_khi!$M$279="Drone",AND(Vu_khi!$M$279="Rocket",OR(Vu_khi!$AM$279,Vu_khi!$D$279="guided")),Vu_khi!$AL$279,Vu_khi!$AK$279,Vu_khi!$X$279&lt;=0),FALSE,IF($B$279&gt;=0,$B$279&gt;=4,IF(Vu_khi!$M$279="Shell",Vu_khi!$AN$279&gt;=Canh_bao_vong!$D$10,IF(Vu_khi!$M$279="Bomb",Vu_khi!$AN$279&gt;=Canh_bao_vong!$D$3,IF(Vu_khi!$M$279="Rocket",Vu_khi!$AN$279&gt;=Canh_bao_vong!$D$13,FALSE)))))</f>
        <v/>
      </c>
      <c r="AT279" t="b">
        <v>0</v>
      </c>
      <c r="AU279">
        <f>IF(AND($B$279&lt;0,$AS$279),4,$B$279)</f>
        <v/>
      </c>
      <c r="AV279" t="n">
        <v>2</v>
      </c>
      <c r="AW279">
        <f>IF($AU$279&lt;4,0,MIN(MAX(0.5,Canh_bao_vong!$D$4),MAX(IF(Vu_khi!$C$279="cal_406",Canh_bao_vong!$D$7,IF($AU$279&gt;=5,Canh_bao_vong!$D$9,Canh_bao_vong!$D$8)),Canh_bao_vong!$D$2+MAX(0,Vu_khi!$X$279)/MAX(0.1,Canh_bao_vong!$D$5))))</f>
        <v/>
      </c>
      <c r="AX279" t="n">
        <v>0</v>
      </c>
      <c r="AY279" t="n">
        <v>2.145</v>
      </c>
      <c r="AZ279" t="inlineStr">
        <is>
          <t>ok</t>
        </is>
      </c>
      <c r="BA279" t="b">
        <v>1</v>
      </c>
      <c r="BB279" t="inlineStr">
        <is>
          <t>Assets/MachineBrigade/Resources/Data/balance.json: weapons[id=p26_typhon_sec_ty57] (lớp B trên 01_chien_dau/Vu_khi)</t>
        </is>
      </c>
      <c r="BC279" t="inlineStr"/>
    </row>
    <row r="280">
      <c r="A280" t="inlineStr">
        <is>
          <t>p26_typhon_ty57</t>
        </is>
      </c>
      <c r="B280" t="n">
        <v>2</v>
      </c>
      <c r="C280">
        <f>IF(Vu_khi!$O$280="SIMULTANEOUS",MAX(1,Vu_khi!$N$280),1)</f>
        <v/>
      </c>
      <c r="D280" t="n">
        <v>1</v>
      </c>
      <c r="E280">
        <f>IF(Vu_khi!$S$280&gt;0,Vu_khi!$S$280,Vu_khi!$P$280*$C$280)</f>
        <v/>
      </c>
      <c r="F280" t="n">
        <v>2</v>
      </c>
      <c r="G280">
        <f>IF(Vu_khi!$S$280&gt;0,(Vu_khi!$S$280-1)*Vu_khi!$R$280+Vu_khi!$T$280,Vu_khi!$R$280+(Vu_khi!$P$280-1)*Vu_khi!$Q$280)</f>
        <v/>
      </c>
      <c r="H280" t="n">
        <v>1.5</v>
      </c>
      <c r="I280">
        <f>Vu_khi!$W$280*MAX(1,$E$280)</f>
        <v/>
      </c>
      <c r="J280" t="n">
        <v>260</v>
      </c>
      <c r="K280">
        <f>IF(Vu_khi!$V$280&gt;0,Vu_khi!$V$280,MIN(28,MAX(10,Vu_khi!$U$280*Vu_khi!$R$280*0.4)))</f>
        <v/>
      </c>
      <c r="L280" t="n">
        <v>10</v>
      </c>
      <c r="M280">
        <f>IF(Vu_khi!$W$280&lt;=0,0,IF(Vu_khi!$U$280&gt;0,$I$280*Vu_khi!$U$280/(MAX(0.05,$G$280)*Vu_khi!$U$280+$K$280),$I$280/MAX(0.05,$G$280)))</f>
        <v/>
      </c>
      <c r="N280" t="n">
        <v>173.3333333333333</v>
      </c>
      <c r="O280">
        <f>OR(Vu_khi!$AG$280,Vu_khi!$AB$280&gt;0,Vu_khi!$AH$280,Vu_khi!$M$280="Bomb",Vu_khi!$M$280="Drone")</f>
        <v/>
      </c>
      <c r="P280" t="b">
        <v>0</v>
      </c>
      <c r="Q280">
        <f>AND(NOT(Vu_khi!$AJ$280),OR(Vu_khi!$AC$280="Ground",Vu_khi!$AC$280="All"))</f>
        <v/>
      </c>
      <c r="R280" t="b">
        <v>1</v>
      </c>
      <c r="S280">
        <f>AND(NOT(Vu_khi!$AJ$280),OR(Vu_khi!$AC$280="Air",Vu_khi!$AC$280="All"))</f>
        <v/>
      </c>
      <c r="T280" t="b">
        <v>0</v>
      </c>
      <c r="U280">
        <f>INDEX(Bang_sat_thuong!$B$2:$B$7,MATCH(Vu_khi!$K$280,Bang_sat_thuong!$A$2:$A$7,0))</f>
        <v/>
      </c>
      <c r="V280" t="n">
        <v>1</v>
      </c>
      <c r="W280">
        <f>INDEX(Bang_sat_thuong!$C$2:$C$7,MATCH(Vu_khi!$K$280,Bang_sat_thuong!$A$2:$A$7,0))</f>
        <v/>
      </c>
      <c r="X280" t="n">
        <v>0</v>
      </c>
      <c r="Y280">
        <f>IF(AND(Vu_khi!$AI$280,Vu_khi!$K$280="HighExplosive"),MAX(He_so_toan_cuc!$D$2,INDEX(Bang_sat_thuong!$D$2:$D$7,MATCH(Vu_khi!$K$280,Bang_sat_thuong!$A$2:$A$7,0))),INDEX(Bang_sat_thuong!$D$2:$D$7,MATCH(Vu_khi!$K$280,Bang_sat_thuong!$A$2:$A$7,0)))</f>
        <v/>
      </c>
      <c r="Z280" t="n">
        <v>1.5</v>
      </c>
      <c r="AA280">
        <f>INDEX(Bang_xuyen_giap!$C$2:$C$7,MIN(6,MAX(1,IF($O$280,MAX(1,2-(Vu_khi!$L$280-0)),2-(Vu_khi!$L$280-0))+1)))</f>
        <v/>
      </c>
      <c r="AB280" t="n">
        <v>1.2</v>
      </c>
      <c r="AC280">
        <f>INDEX(Bang_xuyen_giap!$C$2:$C$7,MIN(6,MAX(1,IF($O$280,MAX(1,2-(Vu_khi!$L$280-2)),2-(Vu_khi!$L$280-2))+1)))</f>
        <v/>
      </c>
      <c r="AD280" t="n">
        <v>1</v>
      </c>
      <c r="AE280">
        <f>INDEX(Bang_xuyen_giap!$C$2:$C$7,MIN(6,MAX(1,IF($O$280,MAX(1,2-(Vu_khi!$L$280-4)),2-(Vu_khi!$L$280-4))+1)))</f>
        <v/>
      </c>
      <c r="AF280" t="n">
        <v>0.5</v>
      </c>
      <c r="AG280">
        <f>INDEX(Bang_xuyen_giap!$C$2:$C$7,MIN(6,MAX(1,MAX(1,2-(Vu_khi!$L$280-0))+1)))</f>
        <v/>
      </c>
      <c r="AH280" t="n">
        <v>1</v>
      </c>
      <c r="AI280">
        <f>IF($Q$280,$M$280*$AA$280*$U$280,0)</f>
        <v/>
      </c>
      <c r="AJ280" t="n">
        <v>208</v>
      </c>
      <c r="AK280">
        <f>IF($Q$280,$M$280*$AC$280*$U$280,0)</f>
        <v/>
      </c>
      <c r="AL280" t="n">
        <v>173.3333333333333</v>
      </c>
      <c r="AM280">
        <f>IF($Q$280,$M$280*$AE$280*$U$280,0)</f>
        <v/>
      </c>
      <c r="AN280" t="n">
        <v>86.66666666666667</v>
      </c>
      <c r="AO280">
        <f>IF($Q$280,$M$280*$AC$280*$Y$280,0)</f>
        <v/>
      </c>
      <c r="AP280" t="n">
        <v>260</v>
      </c>
      <c r="AQ280">
        <f>IF($S$280,$M$280*$AG$280*$W$280,0)</f>
        <v/>
      </c>
      <c r="AR280" t="n">
        <v>0</v>
      </c>
      <c r="AS280">
        <f>IF(OR(Vu_khi!$M$280="Missile",Vu_khi!$M$280="Drone",AND(Vu_khi!$M$280="Rocket",OR(Vu_khi!$AM$280,Vu_khi!$D$280="guided")),Vu_khi!$AL$280,Vu_khi!$AK$280,Vu_khi!$X$280&lt;=0),FALSE,IF($B$280&gt;=0,$B$280&gt;=4,IF(Vu_khi!$M$280="Shell",Vu_khi!$AN$280&gt;=Canh_bao_vong!$D$10,IF(Vu_khi!$M$280="Bomb",Vu_khi!$AN$280&gt;=Canh_bao_vong!$D$3,IF(Vu_khi!$M$280="Rocket",Vu_khi!$AN$280&gt;=Canh_bao_vong!$D$13,FALSE)))))</f>
        <v/>
      </c>
      <c r="AT280" t="b">
        <v>0</v>
      </c>
      <c r="AU280">
        <f>IF(AND($B$280&lt;0,$AS$280),4,$B$280)</f>
        <v/>
      </c>
      <c r="AV280" t="n">
        <v>2</v>
      </c>
      <c r="AW280">
        <f>IF($AU$280&lt;4,0,MIN(MAX(0.5,Canh_bao_vong!$D$4),MAX(IF(Vu_khi!$C$280="cal_406",Canh_bao_vong!$D$7,IF($AU$280&gt;=5,Canh_bao_vong!$D$9,Canh_bao_vong!$D$8)),Canh_bao_vong!$D$2+MAX(0,Vu_khi!$X$280)/MAX(0.1,Canh_bao_vong!$D$5))))</f>
        <v/>
      </c>
      <c r="AX280" t="n">
        <v>0</v>
      </c>
      <c r="AY280" t="n">
        <v>1.5</v>
      </c>
      <c r="AZ280" t="inlineStr">
        <is>
          <t>NHANH_QUA;LECH_DOT_1</t>
        </is>
      </c>
      <c r="BA280" t="inlineStr"/>
      <c r="BB280" t="inlineStr">
        <is>
          <t>Assets/MachineBrigade/Resources/Data/balance.json: weapons[id=p26_typhon_ty57] (lớp B trên 01_chien_dau/Vu_khi)</t>
        </is>
      </c>
      <c r="BC280" t="inlineStr"/>
    </row>
    <row r="281">
      <c r="A281" t="inlineStr">
        <is>
          <t>p26_typhon_ty100</t>
        </is>
      </c>
      <c r="B281" t="n">
        <v>2</v>
      </c>
      <c r="C281">
        <f>IF(Vu_khi!$O$281="SIMULTANEOUS",MAX(1,Vu_khi!$N$281),1)</f>
        <v/>
      </c>
      <c r="D281" t="n">
        <v>1</v>
      </c>
      <c r="E281">
        <f>IF(Vu_khi!$S$281&gt;0,Vu_khi!$S$281,Vu_khi!$P$281*$C$281)</f>
        <v/>
      </c>
      <c r="F281" t="n">
        <v>1</v>
      </c>
      <c r="G281">
        <f>IF(Vu_khi!$S$281&gt;0,(Vu_khi!$S$281-1)*Vu_khi!$R$281+Vu_khi!$T$281,Vu_khi!$R$281+(Vu_khi!$P$281-1)*Vu_khi!$Q$281)</f>
        <v/>
      </c>
      <c r="H281" t="n">
        <v>2.5</v>
      </c>
      <c r="I281">
        <f>Vu_khi!$W$281*MAX(1,$E$281)</f>
        <v/>
      </c>
      <c r="J281" t="n">
        <v>600</v>
      </c>
      <c r="K281">
        <f>IF(Vu_khi!$V$281&gt;0,Vu_khi!$V$281,MIN(28,MAX(10,Vu_khi!$U$281*Vu_khi!$R$281*0.4)))</f>
        <v/>
      </c>
      <c r="L281" t="n">
        <v>10</v>
      </c>
      <c r="M281">
        <f>IF(Vu_khi!$W$281&lt;=0,0,IF(Vu_khi!$U$281&gt;0,$I$281*Vu_khi!$U$281/(MAX(0.05,$G$281)*Vu_khi!$U$281+$K$281),$I$281/MAX(0.05,$G$281)))</f>
        <v/>
      </c>
      <c r="N281" t="n">
        <v>240</v>
      </c>
      <c r="O281">
        <f>OR(Vu_khi!$AG$281,Vu_khi!$AB$281&gt;0,Vu_khi!$AH$281,Vu_khi!$M$281="Bomb",Vu_khi!$M$281="Drone")</f>
        <v/>
      </c>
      <c r="P281" t="b">
        <v>0</v>
      </c>
      <c r="Q281">
        <f>AND(NOT(Vu_khi!$AJ$281),OR(Vu_khi!$AC$281="Ground",Vu_khi!$AC$281="All"))</f>
        <v/>
      </c>
      <c r="R281" t="b">
        <v>1</v>
      </c>
      <c r="S281">
        <f>AND(NOT(Vu_khi!$AJ$281),OR(Vu_khi!$AC$281="Air",Vu_khi!$AC$281="All"))</f>
        <v/>
      </c>
      <c r="T281" t="b">
        <v>0</v>
      </c>
      <c r="U281">
        <f>INDEX(Bang_sat_thuong!$B$2:$B$7,MATCH(Vu_khi!$K$281,Bang_sat_thuong!$A$2:$A$7,0))</f>
        <v/>
      </c>
      <c r="V281" t="n">
        <v>1</v>
      </c>
      <c r="W281">
        <f>INDEX(Bang_sat_thuong!$C$2:$C$7,MATCH(Vu_khi!$K$281,Bang_sat_thuong!$A$2:$A$7,0))</f>
        <v/>
      </c>
      <c r="X281" t="n">
        <v>0</v>
      </c>
      <c r="Y281">
        <f>IF(AND(Vu_khi!$AI$281,Vu_khi!$K$281="HighExplosive"),MAX(He_so_toan_cuc!$D$2,INDEX(Bang_sat_thuong!$D$2:$D$7,MATCH(Vu_khi!$K$281,Bang_sat_thuong!$A$2:$A$7,0))),INDEX(Bang_sat_thuong!$D$2:$D$7,MATCH(Vu_khi!$K$281,Bang_sat_thuong!$A$2:$A$7,0)))</f>
        <v/>
      </c>
      <c r="Z281" t="n">
        <v>1.5</v>
      </c>
      <c r="AA281">
        <f>INDEX(Bang_xuyen_giap!$C$2:$C$7,MIN(6,MAX(1,IF($O$281,MAX(1,2-(Vu_khi!$L$281-0)),2-(Vu_khi!$L$281-0))+1)))</f>
        <v/>
      </c>
      <c r="AB281" t="n">
        <v>1.2</v>
      </c>
      <c r="AC281">
        <f>INDEX(Bang_xuyen_giap!$C$2:$C$7,MIN(6,MAX(1,IF($O$281,MAX(1,2-(Vu_khi!$L$281-2)),2-(Vu_khi!$L$281-2))+1)))</f>
        <v/>
      </c>
      <c r="AD281" t="n">
        <v>1.2</v>
      </c>
      <c r="AE281">
        <f>INDEX(Bang_xuyen_giap!$C$2:$C$7,MIN(6,MAX(1,IF($O$281,MAX(1,2-(Vu_khi!$L$281-4)),2-(Vu_khi!$L$281-4))+1)))</f>
        <v/>
      </c>
      <c r="AF281" t="n">
        <v>0.85</v>
      </c>
      <c r="AG281">
        <f>INDEX(Bang_xuyen_giap!$C$2:$C$7,MIN(6,MAX(1,MAX(1,2-(Vu_khi!$L$281-0))+1)))</f>
        <v/>
      </c>
      <c r="AH281" t="n">
        <v>1</v>
      </c>
      <c r="AI281">
        <f>IF($Q$281,$M$281*$AA$281*$U$281,0)</f>
        <v/>
      </c>
      <c r="AJ281" t="n">
        <v>288</v>
      </c>
      <c r="AK281">
        <f>IF($Q$281,$M$281*$AC$281*$U$281,0)</f>
        <v/>
      </c>
      <c r="AL281" t="n">
        <v>288</v>
      </c>
      <c r="AM281">
        <f>IF($Q$281,$M$281*$AE$281*$U$281,0)</f>
        <v/>
      </c>
      <c r="AN281" t="n">
        <v>204</v>
      </c>
      <c r="AO281">
        <f>IF($Q$281,$M$281*$AC$281*$Y$281,0)</f>
        <v/>
      </c>
      <c r="AP281" t="n">
        <v>431.9999999999999</v>
      </c>
      <c r="AQ281">
        <f>IF($S$281,$M$281*$AG$281*$W$281,0)</f>
        <v/>
      </c>
      <c r="AR281" t="n">
        <v>0</v>
      </c>
      <c r="AS281">
        <f>IF(OR(Vu_khi!$M$281="Missile",Vu_khi!$M$281="Drone",AND(Vu_khi!$M$281="Rocket",OR(Vu_khi!$AM$281,Vu_khi!$D$281="guided")),Vu_khi!$AL$281,Vu_khi!$AK$281,Vu_khi!$X$281&lt;=0),FALSE,IF($B$281&gt;=0,$B$281&gt;=4,IF(Vu_khi!$M$281="Shell",Vu_khi!$AN$281&gt;=Canh_bao_vong!$D$10,IF(Vu_khi!$M$281="Bomb",Vu_khi!$AN$281&gt;=Canh_bao_vong!$D$3,IF(Vu_khi!$M$281="Rocket",Vu_khi!$AN$281&gt;=Canh_bao_vong!$D$13,FALSE)))))</f>
        <v/>
      </c>
      <c r="AT281" t="b">
        <v>0</v>
      </c>
      <c r="AU281">
        <f>IF(AND($B$281&lt;0,$AS$281),4,$B$281)</f>
        <v/>
      </c>
      <c r="AV281" t="n">
        <v>2</v>
      </c>
      <c r="AW281">
        <f>IF($AU$281&lt;4,0,MIN(MAX(0.5,Canh_bao_vong!$D$4),MAX(IF(Vu_khi!$C$281="cal_406",Canh_bao_vong!$D$7,IF($AU$281&gt;=5,Canh_bao_vong!$D$9,Canh_bao_vong!$D$8)),Canh_bao_vong!$D$2+MAX(0,Vu_khi!$X$281)/MAX(0.1,Canh_bao_vong!$D$5))))</f>
        <v/>
      </c>
      <c r="AX281" t="n">
        <v>0</v>
      </c>
      <c r="AY281" t="n">
        <v>1.75</v>
      </c>
      <c r="AZ281" t="inlineStr">
        <is>
          <t>LECH_DOT_1</t>
        </is>
      </c>
      <c r="BA281" t="inlineStr"/>
      <c r="BB281" t="inlineStr">
        <is>
          <t>Assets/MachineBrigade/Resources/Data/balance.json: weapons[id=p26_typhon_ty100] (lớp B trên 01_chien_dau/Vu_khi)</t>
        </is>
      </c>
      <c r="BC281" t="inlineStr"/>
    </row>
    <row r="282">
      <c r="A282" t="inlineStr">
        <is>
          <t>patriot</t>
        </is>
      </c>
      <c r="B282" t="n">
        <v>2</v>
      </c>
      <c r="C282">
        <f>IF(Vu_khi!$O$282="SIMULTANEOUS",MAX(1,Vu_khi!$N$282),1)</f>
        <v/>
      </c>
      <c r="D282" t="n">
        <v>1</v>
      </c>
      <c r="E282">
        <f>IF(Vu_khi!$S$282&gt;0,Vu_khi!$S$282,Vu_khi!$P$282*$C$282)</f>
        <v/>
      </c>
      <c r="F282" t="n">
        <v>2</v>
      </c>
      <c r="G282">
        <f>IF(Vu_khi!$S$282&gt;0,(Vu_khi!$S$282-1)*Vu_khi!$R$282+Vu_khi!$T$282,Vu_khi!$R$282+(Vu_khi!$P$282-1)*Vu_khi!$Q$282)</f>
        <v/>
      </c>
      <c r="H282" t="n">
        <v>3.2</v>
      </c>
      <c r="I282">
        <f>Vu_khi!$W$282*MAX(1,$E$282)</f>
        <v/>
      </c>
      <c r="J282" t="n">
        <v>680</v>
      </c>
      <c r="K282">
        <f>IF(Vu_khi!$V$282&gt;0,Vu_khi!$V$282,MIN(28,MAX(10,Vu_khi!$U$282*Vu_khi!$R$282*0.4)))</f>
        <v/>
      </c>
      <c r="L282" t="n">
        <v>10</v>
      </c>
      <c r="M282">
        <f>IF(Vu_khi!$W$282&lt;=0,0,IF(Vu_khi!$U$282&gt;0,$I$282*Vu_khi!$U$282/(MAX(0.05,$G$282)*Vu_khi!$U$282+$K$282),$I$282/MAX(0.05,$G$282)))</f>
        <v/>
      </c>
      <c r="N282" t="n">
        <v>212.5</v>
      </c>
      <c r="O282">
        <f>OR(Vu_khi!$AG$282,Vu_khi!$AB$282&gt;0,Vu_khi!$AH$282,Vu_khi!$M$282="Bomb",Vu_khi!$M$282="Drone")</f>
        <v/>
      </c>
      <c r="P282" t="b">
        <v>1</v>
      </c>
      <c r="Q282">
        <f>AND(NOT(Vu_khi!$AJ$282),OR(Vu_khi!$AC$282="Ground",Vu_khi!$AC$282="All"))</f>
        <v/>
      </c>
      <c r="R282" t="b">
        <v>0</v>
      </c>
      <c r="S282">
        <f>AND(NOT(Vu_khi!$AJ$282),OR(Vu_khi!$AC$282="Air",Vu_khi!$AC$282="All"))</f>
        <v/>
      </c>
      <c r="T282" t="b">
        <v>1</v>
      </c>
      <c r="U282">
        <f>INDEX(Bang_sat_thuong!$B$2:$B$7,MATCH(Vu_khi!$K$282,Bang_sat_thuong!$A$2:$A$7,0))</f>
        <v/>
      </c>
      <c r="V282" t="n">
        <v>0.5</v>
      </c>
      <c r="W282">
        <f>INDEX(Bang_sat_thuong!$C$2:$C$7,MATCH(Vu_khi!$K$282,Bang_sat_thuong!$A$2:$A$7,0))</f>
        <v/>
      </c>
      <c r="X282" t="n">
        <v>1.3</v>
      </c>
      <c r="Y282">
        <f>IF(AND(Vu_khi!$AI$282,Vu_khi!$K$282="HighExplosive"),MAX(He_so_toan_cuc!$D$2,INDEX(Bang_sat_thuong!$D$2:$D$7,MATCH(Vu_khi!$K$282,Bang_sat_thuong!$A$2:$A$7,0))),INDEX(Bang_sat_thuong!$D$2:$D$7,MATCH(Vu_khi!$K$282,Bang_sat_thuong!$A$2:$A$7,0)))</f>
        <v/>
      </c>
      <c r="Z282" t="n">
        <v>0.1</v>
      </c>
      <c r="AA282">
        <f>INDEX(Bang_xuyen_giap!$C$2:$C$7,MIN(6,MAX(1,IF($O$282,MAX(1,2-(Vu_khi!$L$282-0)),2-(Vu_khi!$L$282-0))+1)))</f>
        <v/>
      </c>
      <c r="AB282" t="n">
        <v>1</v>
      </c>
      <c r="AC282">
        <f>INDEX(Bang_xuyen_giap!$C$2:$C$7,MIN(6,MAX(1,IF($O$282,MAX(1,2-(Vu_khi!$L$282-2)),2-(Vu_khi!$L$282-2))+1)))</f>
        <v/>
      </c>
      <c r="AD282" t="n">
        <v>1</v>
      </c>
      <c r="AE282">
        <f>INDEX(Bang_xuyen_giap!$C$2:$C$7,MIN(6,MAX(1,IF($O$282,MAX(1,2-(Vu_khi!$L$282-4)),2-(Vu_khi!$L$282-4))+1)))</f>
        <v/>
      </c>
      <c r="AF282" t="n">
        <v>0.5</v>
      </c>
      <c r="AG282">
        <f>INDEX(Bang_xuyen_giap!$C$2:$C$7,MIN(6,MAX(1,MAX(1,2-(Vu_khi!$L$282-0))+1)))</f>
        <v/>
      </c>
      <c r="AH282" t="n">
        <v>1</v>
      </c>
      <c r="AI282">
        <f>IF($Q$282,$M$282*$AA$282*$U$282,0)</f>
        <v/>
      </c>
      <c r="AJ282" t="n">
        <v>0</v>
      </c>
      <c r="AK282">
        <f>IF($Q$282,$M$282*$AC$282*$U$282,0)</f>
        <v/>
      </c>
      <c r="AL282" t="n">
        <v>0</v>
      </c>
      <c r="AM282">
        <f>IF($Q$282,$M$282*$AE$282*$U$282,0)</f>
        <v/>
      </c>
      <c r="AN282" t="n">
        <v>0</v>
      </c>
      <c r="AO282">
        <f>IF($Q$282,$M$282*$AC$282*$Y$282,0)</f>
        <v/>
      </c>
      <c r="AP282" t="n">
        <v>0</v>
      </c>
      <c r="AQ282">
        <f>IF($S$282,$M$282*$AG$282*$W$282,0)</f>
        <v/>
      </c>
      <c r="AR282" t="n">
        <v>276.25</v>
      </c>
      <c r="AS282">
        <f>IF(OR(Vu_khi!$M$282="Missile",Vu_khi!$M$282="Drone",AND(Vu_khi!$M$282="Rocket",OR(Vu_khi!$AM$282,Vu_khi!$D$282="guided")),Vu_khi!$AL$282,Vu_khi!$AK$282,Vu_khi!$X$282&lt;=0),FALSE,IF($B$282&gt;=0,$B$282&gt;=4,IF(Vu_khi!$M$282="Shell",Vu_khi!$AN$282&gt;=Canh_bao_vong!$D$10,IF(Vu_khi!$M$282="Bomb",Vu_khi!$AN$282&gt;=Canh_bao_vong!$D$3,IF(Vu_khi!$M$282="Rocket",Vu_khi!$AN$282&gt;=Canh_bao_vong!$D$13,FALSE)))))</f>
        <v/>
      </c>
      <c r="AT282" t="b">
        <v>0</v>
      </c>
      <c r="AU282">
        <f>IF(AND($B$282&lt;0,$AS$282),4,$B$282)</f>
        <v/>
      </c>
      <c r="AV282" t="n">
        <v>2</v>
      </c>
      <c r="AW282">
        <f>IF($AU$282&lt;4,0,MIN(MAX(0.5,Canh_bao_vong!$D$4),MAX(IF(Vu_khi!$C$282="cal_406",Canh_bao_vong!$D$7,IF($AU$282&gt;=5,Canh_bao_vong!$D$9,Canh_bao_vong!$D$8)),Canh_bao_vong!$D$2+MAX(0,Vu_khi!$X$282)/MAX(0.1,Canh_bao_vong!$D$5))))</f>
        <v/>
      </c>
      <c r="AX282" t="n">
        <v>0</v>
      </c>
      <c r="AY282" t="n">
        <v>0.5333329999999999</v>
      </c>
      <c r="AZ282" t="inlineStr">
        <is>
          <t>NHANH_QUA</t>
        </is>
      </c>
      <c r="BA282" t="inlineStr"/>
      <c r="BB282" t="inlineStr">
        <is>
          <t>Assets/MachineBrigade/Resources/Data/balance.json: weapons[id=patriot] (lớp B trên 01_chien_dau/Vu_khi)</t>
        </is>
      </c>
      <c r="BC282" t="inlineStr"/>
    </row>
    <row r="283">
      <c r="A283" t="inlineStr">
        <is>
          <t>pt14_co_203</t>
        </is>
      </c>
      <c r="B283" t="n">
        <v>4</v>
      </c>
      <c r="C283">
        <f>IF(Vu_khi!$O$283="SIMULTANEOUS",MAX(1,Vu_khi!$N$283),1)</f>
        <v/>
      </c>
      <c r="D283" t="n">
        <v>2</v>
      </c>
      <c r="E283">
        <f>IF(Vu_khi!$S$283&gt;0,Vu_khi!$S$283,Vu_khi!$P$283*$C$283)</f>
        <v/>
      </c>
      <c r="F283" t="n">
        <v>2</v>
      </c>
      <c r="G283">
        <f>IF(Vu_khi!$S$283&gt;0,(Vu_khi!$S$283-1)*Vu_khi!$R$283+Vu_khi!$T$283,Vu_khi!$R$283+(Vu_khi!$P$283-1)*Vu_khi!$Q$283)</f>
        <v/>
      </c>
      <c r="H283" t="n">
        <v>21</v>
      </c>
      <c r="I283">
        <f>Vu_khi!$W$283*MAX(1,$E$283)</f>
        <v/>
      </c>
      <c r="J283" t="n">
        <v>1800</v>
      </c>
      <c r="K283">
        <f>IF(Vu_khi!$V$283&gt;0,Vu_khi!$V$283,MIN(28,MAX(10,Vu_khi!$U$283*Vu_khi!$R$283*0.4)))</f>
        <v/>
      </c>
      <c r="L283" t="n">
        <v>10</v>
      </c>
      <c r="M283">
        <f>IF(Vu_khi!$W$283&lt;=0,0,IF(Vu_khi!$U$283&gt;0,$I$283*Vu_khi!$U$283/(MAX(0.05,$G$283)*Vu_khi!$U$283+$K$283),$I$283/MAX(0.05,$G$283)))</f>
        <v/>
      </c>
      <c r="N283" t="n">
        <v>85.71428571428571</v>
      </c>
      <c r="O283">
        <f>OR(Vu_khi!$AG$283,Vu_khi!$AB$283&gt;0,Vu_khi!$AH$283,Vu_khi!$M$283="Bomb",Vu_khi!$M$283="Drone")</f>
        <v/>
      </c>
      <c r="P283" t="b">
        <v>0</v>
      </c>
      <c r="Q283">
        <f>AND(NOT(Vu_khi!$AJ$283),OR(Vu_khi!$AC$283="Ground",Vu_khi!$AC$283="All"))</f>
        <v/>
      </c>
      <c r="R283" t="b">
        <v>1</v>
      </c>
      <c r="S283">
        <f>AND(NOT(Vu_khi!$AJ$283),OR(Vu_khi!$AC$283="Air",Vu_khi!$AC$283="All"))</f>
        <v/>
      </c>
      <c r="T283" t="b">
        <v>0</v>
      </c>
      <c r="U283">
        <f>INDEX(Bang_sat_thuong!$B$2:$B$7,MATCH(Vu_khi!$K$283,Bang_sat_thuong!$A$2:$A$7,0))</f>
        <v/>
      </c>
      <c r="V283" t="n">
        <v>1</v>
      </c>
      <c r="W283">
        <f>INDEX(Bang_sat_thuong!$C$2:$C$7,MATCH(Vu_khi!$K$283,Bang_sat_thuong!$A$2:$A$7,0))</f>
        <v/>
      </c>
      <c r="X283" t="n">
        <v>0</v>
      </c>
      <c r="Y283">
        <f>IF(AND(Vu_khi!$AI$283,Vu_khi!$K$283="HighExplosive"),MAX(He_so_toan_cuc!$D$2,INDEX(Bang_sat_thuong!$D$2:$D$7,MATCH(Vu_khi!$K$283,Bang_sat_thuong!$A$2:$A$7,0))),INDEX(Bang_sat_thuong!$D$2:$D$7,MATCH(Vu_khi!$K$283,Bang_sat_thuong!$A$2:$A$7,0)))</f>
        <v/>
      </c>
      <c r="Z283" t="n">
        <v>1.5</v>
      </c>
      <c r="AA283">
        <f>INDEX(Bang_xuyen_giap!$C$2:$C$7,MIN(6,MAX(1,IF($O$283,MAX(1,2-(Vu_khi!$L$283-0)),2-(Vu_khi!$L$283-0))+1)))</f>
        <v/>
      </c>
      <c r="AB283" t="n">
        <v>1.2</v>
      </c>
      <c r="AC283">
        <f>INDEX(Bang_xuyen_giap!$C$2:$C$7,MIN(6,MAX(1,IF($O$283,MAX(1,2-(Vu_khi!$L$283-2)),2-(Vu_khi!$L$283-2))+1)))</f>
        <v/>
      </c>
      <c r="AD283" t="n">
        <v>1.2</v>
      </c>
      <c r="AE283">
        <f>INDEX(Bang_xuyen_giap!$C$2:$C$7,MIN(6,MAX(1,IF($O$283,MAX(1,2-(Vu_khi!$L$283-4)),2-(Vu_khi!$L$283-4))+1)))</f>
        <v/>
      </c>
      <c r="AF283" t="n">
        <v>0.85</v>
      </c>
      <c r="AG283">
        <f>INDEX(Bang_xuyen_giap!$C$2:$C$7,MIN(6,MAX(1,MAX(1,2-(Vu_khi!$L$283-0))+1)))</f>
        <v/>
      </c>
      <c r="AH283" t="n">
        <v>1</v>
      </c>
      <c r="AI283">
        <f>IF($Q$283,$M$283*$AA$283*$U$283,0)</f>
        <v/>
      </c>
      <c r="AJ283" t="n">
        <v>102.8571428571428</v>
      </c>
      <c r="AK283">
        <f>IF($Q$283,$M$283*$AC$283*$U$283,0)</f>
        <v/>
      </c>
      <c r="AL283" t="n">
        <v>102.8571428571428</v>
      </c>
      <c r="AM283">
        <f>IF($Q$283,$M$283*$AE$283*$U$283,0)</f>
        <v/>
      </c>
      <c r="AN283" t="n">
        <v>72.85714285714285</v>
      </c>
      <c r="AO283">
        <f>IF($Q$283,$M$283*$AC$283*$Y$283,0)</f>
        <v/>
      </c>
      <c r="AP283" t="n">
        <v>154.2857142857142</v>
      </c>
      <c r="AQ283">
        <f>IF($S$283,$M$283*$AG$283*$W$283,0)</f>
        <v/>
      </c>
      <c r="AR283" t="n">
        <v>0</v>
      </c>
      <c r="AS283">
        <f>IF(OR(Vu_khi!$M$283="Missile",Vu_khi!$M$283="Drone",AND(Vu_khi!$M$283="Rocket",OR(Vu_khi!$AM$283,Vu_khi!$D$283="guided")),Vu_khi!$AL$283,Vu_khi!$AK$283,Vu_khi!$X$283&lt;=0),FALSE,IF($B$283&gt;=0,$B$283&gt;=4,IF(Vu_khi!$M$283="Shell",Vu_khi!$AN$283&gt;=Canh_bao_vong!$D$10,IF(Vu_khi!$M$283="Bomb",Vu_khi!$AN$283&gt;=Canh_bao_vong!$D$3,IF(Vu_khi!$M$283="Rocket",Vu_khi!$AN$283&gt;=Canh_bao_vong!$D$13,FALSE)))))</f>
        <v/>
      </c>
      <c r="AT283" t="b">
        <v>1</v>
      </c>
      <c r="AU283">
        <f>IF(AND($B$283&lt;0,$AS$283),4,$B$283)</f>
        <v/>
      </c>
      <c r="AV283" t="n">
        <v>4</v>
      </c>
      <c r="AW283">
        <f>IF($AU$283&lt;4,0,MIN(MAX(0.5,Canh_bao_vong!$D$4),MAX(IF(Vu_khi!$C$283="cal_406",Canh_bao_vong!$D$7,IF($AU$283&gt;=5,Canh_bao_vong!$D$9,Canh_bao_vong!$D$8)),Canh_bao_vong!$D$2+MAX(0,Vu_khi!$X$283)/MAX(0.1,Canh_bao_vong!$D$5))))</f>
        <v/>
      </c>
      <c r="AX283" t="n">
        <v>2.5</v>
      </c>
      <c r="AY283" t="n">
        <v>2.94</v>
      </c>
      <c r="AZ283" t="inlineStr">
        <is>
          <t>CHAM_QUA;LECH_DOT_1</t>
        </is>
      </c>
      <c r="BA283" t="b">
        <v>1</v>
      </c>
      <c r="BB283" t="inlineStr">
        <is>
          <t>Assets/MachineBrigade/Resources/Data/balance.json: weapons[id=pt14_co_203] (lớp B trên 01_chien_dau/Vu_khi)</t>
        </is>
      </c>
      <c r="BC283" t="inlineStr"/>
    </row>
    <row r="284">
      <c r="A284" t="inlineStr">
        <is>
          <t>pt14_co_spike</t>
        </is>
      </c>
      <c r="B284" t="n">
        <v>2</v>
      </c>
      <c r="C284">
        <f>IF(Vu_khi!$O$284="SIMULTANEOUS",MAX(1,Vu_khi!$N$284),1)</f>
        <v/>
      </c>
      <c r="D284" t="n">
        <v>1</v>
      </c>
      <c r="E284">
        <f>IF(Vu_khi!$S$284&gt;0,Vu_khi!$S$284,Vu_khi!$P$284*$C$284)</f>
        <v/>
      </c>
      <c r="F284" t="n">
        <v>2</v>
      </c>
      <c r="G284">
        <f>IF(Vu_khi!$S$284&gt;0,(Vu_khi!$S$284-1)*Vu_khi!$R$284+Vu_khi!$T$284,Vu_khi!$R$284+(Vu_khi!$P$284-1)*Vu_khi!$Q$284)</f>
        <v/>
      </c>
      <c r="H284" t="n">
        <v>12.8</v>
      </c>
      <c r="I284">
        <f>Vu_khi!$W$284*MAX(1,$E$284)</f>
        <v/>
      </c>
      <c r="J284" t="n">
        <v>600</v>
      </c>
      <c r="K284">
        <f>IF(Vu_khi!$V$284&gt;0,Vu_khi!$V$284,MIN(28,MAX(10,Vu_khi!$U$284*Vu_khi!$R$284*0.4)))</f>
        <v/>
      </c>
      <c r="L284" t="n">
        <v>10</v>
      </c>
      <c r="M284">
        <f>IF(Vu_khi!$W$284&lt;=0,0,IF(Vu_khi!$U$284&gt;0,$I$284*Vu_khi!$U$284/(MAX(0.05,$G$284)*Vu_khi!$U$284+$K$284),$I$284/MAX(0.05,$G$284)))</f>
        <v/>
      </c>
      <c r="N284" t="n">
        <v>46.875</v>
      </c>
      <c r="O284">
        <f>OR(Vu_khi!$AG$284,Vu_khi!$AB$284&gt;0,Vu_khi!$AH$284,Vu_khi!$M$284="Bomb",Vu_khi!$M$284="Drone")</f>
        <v/>
      </c>
      <c r="P284" t="b">
        <v>0</v>
      </c>
      <c r="Q284">
        <f>AND(NOT(Vu_khi!$AJ$284),OR(Vu_khi!$AC$284="Ground",Vu_khi!$AC$284="All"))</f>
        <v/>
      </c>
      <c r="R284" t="b">
        <v>1</v>
      </c>
      <c r="S284">
        <f>AND(NOT(Vu_khi!$AJ$284),OR(Vu_khi!$AC$284="Air",Vu_khi!$AC$284="All"))</f>
        <v/>
      </c>
      <c r="T284" t="b">
        <v>0</v>
      </c>
      <c r="U284">
        <f>INDEX(Bang_sat_thuong!$B$2:$B$7,MATCH(Vu_khi!$K$284,Bang_sat_thuong!$A$2:$A$7,0))</f>
        <v/>
      </c>
      <c r="V284" t="n">
        <v>1</v>
      </c>
      <c r="W284">
        <f>INDEX(Bang_sat_thuong!$C$2:$C$7,MATCH(Vu_khi!$K$284,Bang_sat_thuong!$A$2:$A$7,0))</f>
        <v/>
      </c>
      <c r="X284" t="n">
        <v>0.3</v>
      </c>
      <c r="Y284">
        <f>IF(AND(Vu_khi!$AI$284,Vu_khi!$K$284="HighExplosive"),MAX(He_so_toan_cuc!$D$2,INDEX(Bang_sat_thuong!$D$2:$D$7,MATCH(Vu_khi!$K$284,Bang_sat_thuong!$A$2:$A$7,0))),INDEX(Bang_sat_thuong!$D$2:$D$7,MATCH(Vu_khi!$K$284,Bang_sat_thuong!$A$2:$A$7,0)))</f>
        <v/>
      </c>
      <c r="Z284" t="n">
        <v>0.6</v>
      </c>
      <c r="AA284">
        <f>INDEX(Bang_xuyen_giap!$C$2:$C$7,MIN(6,MAX(1,IF($O$284,MAX(1,2-(Vu_khi!$L$284-0)),2-(Vu_khi!$L$284-0))+1)))</f>
        <v/>
      </c>
      <c r="AB284" t="n">
        <v>1.2</v>
      </c>
      <c r="AC284">
        <f>INDEX(Bang_xuyen_giap!$C$2:$C$7,MIN(6,MAX(1,IF($O$284,MAX(1,2-(Vu_khi!$L$284-2)),2-(Vu_khi!$L$284-2))+1)))</f>
        <v/>
      </c>
      <c r="AD284" t="n">
        <v>1.2</v>
      </c>
      <c r="AE284">
        <f>INDEX(Bang_xuyen_giap!$C$2:$C$7,MIN(6,MAX(1,IF($O$284,MAX(1,2-(Vu_khi!$L$284-4)),2-(Vu_khi!$L$284-4))+1)))</f>
        <v/>
      </c>
      <c r="AF284" t="n">
        <v>0.85</v>
      </c>
      <c r="AG284">
        <f>INDEX(Bang_xuyen_giap!$C$2:$C$7,MIN(6,MAX(1,MAX(1,2-(Vu_khi!$L$284-0))+1)))</f>
        <v/>
      </c>
      <c r="AH284" t="n">
        <v>1</v>
      </c>
      <c r="AI284">
        <f>IF($Q$284,$M$284*$AA$284*$U$284,0)</f>
        <v/>
      </c>
      <c r="AJ284" t="n">
        <v>56.25</v>
      </c>
      <c r="AK284">
        <f>IF($Q$284,$M$284*$AC$284*$U$284,0)</f>
        <v/>
      </c>
      <c r="AL284" t="n">
        <v>56.25</v>
      </c>
      <c r="AM284">
        <f>IF($Q$284,$M$284*$AE$284*$U$284,0)</f>
        <v/>
      </c>
      <c r="AN284" t="n">
        <v>39.84375</v>
      </c>
      <c r="AO284">
        <f>IF($Q$284,$M$284*$AC$284*$Y$284,0)</f>
        <v/>
      </c>
      <c r="AP284" t="n">
        <v>33.75</v>
      </c>
      <c r="AQ284">
        <f>IF($S$284,$M$284*$AG$284*$W$284,0)</f>
        <v/>
      </c>
      <c r="AR284" t="n">
        <v>0</v>
      </c>
      <c r="AS284">
        <f>IF(OR(Vu_khi!$M$284="Missile",Vu_khi!$M$284="Drone",AND(Vu_khi!$M$284="Rocket",OR(Vu_khi!$AM$284,Vu_khi!$D$284="guided")),Vu_khi!$AL$284,Vu_khi!$AK$284,Vu_khi!$X$284&lt;=0),FALSE,IF($B$284&gt;=0,$B$284&gt;=4,IF(Vu_khi!$M$284="Shell",Vu_khi!$AN$284&gt;=Canh_bao_vong!$D$10,IF(Vu_khi!$M$284="Bomb",Vu_khi!$AN$284&gt;=Canh_bao_vong!$D$3,IF(Vu_khi!$M$284="Rocket",Vu_khi!$AN$284&gt;=Canh_bao_vong!$D$13,FALSE)))))</f>
        <v/>
      </c>
      <c r="AT284" t="b">
        <v>0</v>
      </c>
      <c r="AU284">
        <f>IF(AND($B$284&lt;0,$AS$284),4,$B$284)</f>
        <v/>
      </c>
      <c r="AV284" t="n">
        <v>2</v>
      </c>
      <c r="AW284">
        <f>IF($AU$284&lt;4,0,MIN(MAX(0.5,Canh_bao_vong!$D$4),MAX(IF(Vu_khi!$C$284="cal_406",Canh_bao_vong!$D$7,IF($AU$284&gt;=5,Canh_bao_vong!$D$9,Canh_bao_vong!$D$8)),Canh_bao_vong!$D$2+MAX(0,Vu_khi!$X$284)/MAX(0.1,Canh_bao_vong!$D$5))))</f>
        <v/>
      </c>
      <c r="AX284" t="n">
        <v>0</v>
      </c>
      <c r="AY284" t="inlineStr"/>
      <c r="AZ284" t="inlineStr">
        <is>
          <t>LECH_DOT_1</t>
        </is>
      </c>
      <c r="BA284" t="b">
        <v>1</v>
      </c>
      <c r="BB284" t="inlineStr">
        <is>
          <t>Assets/MachineBrigade/Resources/Data/balance.json: weapons[id=pt14_co_spike] (lớp B trên 01_chien_dau/Vu_khi)</t>
        </is>
      </c>
      <c r="BC284" t="inlineStr"/>
    </row>
    <row r="285">
      <c r="A285" t="inlineStr">
        <is>
          <t>pt14_co_v76</t>
        </is>
      </c>
      <c r="B285" t="n">
        <v>2</v>
      </c>
      <c r="C285">
        <f>IF(Vu_khi!$O$285="SIMULTANEOUS",MAX(1,Vu_khi!$N$285),1)</f>
        <v/>
      </c>
      <c r="D285" t="n">
        <v>1</v>
      </c>
      <c r="E285">
        <f>IF(Vu_khi!$S$285&gt;0,Vu_khi!$S$285,Vu_khi!$P$285*$C$285)</f>
        <v/>
      </c>
      <c r="F285" t="n">
        <v>4</v>
      </c>
      <c r="G285">
        <f>IF(Vu_khi!$S$285&gt;0,(Vu_khi!$S$285-1)*Vu_khi!$R$285+Vu_khi!$T$285,Vu_khi!$R$285+(Vu_khi!$P$285-1)*Vu_khi!$Q$285)</f>
        <v/>
      </c>
      <c r="H285" t="n">
        <v>4.1</v>
      </c>
      <c r="I285">
        <f>Vu_khi!$W$285*MAX(1,$E$285)</f>
        <v/>
      </c>
      <c r="J285" t="n">
        <v>480</v>
      </c>
      <c r="K285">
        <f>IF(Vu_khi!$V$285&gt;0,Vu_khi!$V$285,MIN(28,MAX(10,Vu_khi!$U$285*Vu_khi!$R$285*0.4)))</f>
        <v/>
      </c>
      <c r="L285" t="n">
        <v>10</v>
      </c>
      <c r="M285">
        <f>IF(Vu_khi!$W$285&lt;=0,0,IF(Vu_khi!$U$285&gt;0,$I$285*Vu_khi!$U$285/(MAX(0.05,$G$285)*Vu_khi!$U$285+$K$285),$I$285/MAX(0.05,$G$285)))</f>
        <v/>
      </c>
      <c r="N285" t="n">
        <v>117.0731707317073</v>
      </c>
      <c r="O285">
        <f>OR(Vu_khi!$AG$285,Vu_khi!$AB$285&gt;0,Vu_khi!$AH$285,Vu_khi!$M$285="Bomb",Vu_khi!$M$285="Drone")</f>
        <v/>
      </c>
      <c r="P285" t="b">
        <v>0</v>
      </c>
      <c r="Q285">
        <f>AND(NOT(Vu_khi!$AJ$285),OR(Vu_khi!$AC$285="Ground",Vu_khi!$AC$285="All"))</f>
        <v/>
      </c>
      <c r="R285" t="b">
        <v>1</v>
      </c>
      <c r="S285">
        <f>AND(NOT(Vu_khi!$AJ$285),OR(Vu_khi!$AC$285="Air",Vu_khi!$AC$285="All"))</f>
        <v/>
      </c>
      <c r="T285" t="b">
        <v>0</v>
      </c>
      <c r="U285">
        <f>INDEX(Bang_sat_thuong!$B$2:$B$7,MATCH(Vu_khi!$K$285,Bang_sat_thuong!$A$2:$A$7,0))</f>
        <v/>
      </c>
      <c r="V285" t="n">
        <v>1</v>
      </c>
      <c r="W285">
        <f>INDEX(Bang_sat_thuong!$C$2:$C$7,MATCH(Vu_khi!$K$285,Bang_sat_thuong!$A$2:$A$7,0))</f>
        <v/>
      </c>
      <c r="X285" t="n">
        <v>0</v>
      </c>
      <c r="Y285">
        <f>IF(AND(Vu_khi!$AI$285,Vu_khi!$K$285="HighExplosive"),MAX(He_so_toan_cuc!$D$2,INDEX(Bang_sat_thuong!$D$2:$D$7,MATCH(Vu_khi!$K$285,Bang_sat_thuong!$A$2:$A$7,0))),INDEX(Bang_sat_thuong!$D$2:$D$7,MATCH(Vu_khi!$K$285,Bang_sat_thuong!$A$2:$A$7,0)))</f>
        <v/>
      </c>
      <c r="Z285" t="n">
        <v>1.5</v>
      </c>
      <c r="AA285">
        <f>INDEX(Bang_xuyen_giap!$C$2:$C$7,MIN(6,MAX(1,IF($O$285,MAX(1,2-(Vu_khi!$L$285-0)),2-(Vu_khi!$L$285-0))+1)))</f>
        <v/>
      </c>
      <c r="AB285" t="n">
        <v>1.2</v>
      </c>
      <c r="AC285">
        <f>INDEX(Bang_xuyen_giap!$C$2:$C$7,MIN(6,MAX(1,IF($O$285,MAX(1,2-(Vu_khi!$L$285-2)),2-(Vu_khi!$L$285-2))+1)))</f>
        <v/>
      </c>
      <c r="AD285" t="n">
        <v>1</v>
      </c>
      <c r="AE285">
        <f>INDEX(Bang_xuyen_giap!$C$2:$C$7,MIN(6,MAX(1,IF($O$285,MAX(1,2-(Vu_khi!$L$285-4)),2-(Vu_khi!$L$285-4))+1)))</f>
        <v/>
      </c>
      <c r="AF285" t="n">
        <v>0.5</v>
      </c>
      <c r="AG285">
        <f>INDEX(Bang_xuyen_giap!$C$2:$C$7,MIN(6,MAX(1,MAX(1,2-(Vu_khi!$L$285-0))+1)))</f>
        <v/>
      </c>
      <c r="AH285" t="n">
        <v>1</v>
      </c>
      <c r="AI285">
        <f>IF($Q$285,$M$285*$AA$285*$U$285,0)</f>
        <v/>
      </c>
      <c r="AJ285" t="n">
        <v>140.4878048780488</v>
      </c>
      <c r="AK285">
        <f>IF($Q$285,$M$285*$AC$285*$U$285,0)</f>
        <v/>
      </c>
      <c r="AL285" t="n">
        <v>117.0731707317073</v>
      </c>
      <c r="AM285">
        <f>IF($Q$285,$M$285*$AE$285*$U$285,0)</f>
        <v/>
      </c>
      <c r="AN285" t="n">
        <v>58.53658536585366</v>
      </c>
      <c r="AO285">
        <f>IF($Q$285,$M$285*$AC$285*$Y$285,0)</f>
        <v/>
      </c>
      <c r="AP285" t="n">
        <v>175.609756097561</v>
      </c>
      <c r="AQ285">
        <f>IF($S$285,$M$285*$AG$285*$W$285,0)</f>
        <v/>
      </c>
      <c r="AR285" t="n">
        <v>0</v>
      </c>
      <c r="AS285">
        <f>IF(OR(Vu_khi!$M$285="Missile",Vu_khi!$M$285="Drone",AND(Vu_khi!$M$285="Rocket",OR(Vu_khi!$AM$285,Vu_khi!$D$285="guided")),Vu_khi!$AL$285,Vu_khi!$AK$285,Vu_khi!$X$285&lt;=0),FALSE,IF($B$285&gt;=0,$B$285&gt;=4,IF(Vu_khi!$M$285="Shell",Vu_khi!$AN$285&gt;=Canh_bao_vong!$D$10,IF(Vu_khi!$M$285="Bomb",Vu_khi!$AN$285&gt;=Canh_bao_vong!$D$3,IF(Vu_khi!$M$285="Rocket",Vu_khi!$AN$285&gt;=Canh_bao_vong!$D$13,FALSE)))))</f>
        <v/>
      </c>
      <c r="AT285" t="b">
        <v>0</v>
      </c>
      <c r="AU285">
        <f>IF(AND($B$285&lt;0,$AS$285),4,$B$285)</f>
        <v/>
      </c>
      <c r="AV285" t="n">
        <v>2</v>
      </c>
      <c r="AW285">
        <f>IF($AU$285&lt;4,0,MIN(MAX(0.5,Canh_bao_vong!$D$4),MAX(IF(Vu_khi!$C$285="cal_406",Canh_bao_vong!$D$7,IF($AU$285&gt;=5,Canh_bao_vong!$D$9,Canh_bao_vong!$D$8)),Canh_bao_vong!$D$2+MAX(0,Vu_khi!$X$285)/MAX(0.1,Canh_bao_vong!$D$5))))</f>
        <v/>
      </c>
      <c r="AX285" t="n">
        <v>0</v>
      </c>
      <c r="AY285" t="n">
        <v>2.87</v>
      </c>
      <c r="AZ285" t="inlineStr">
        <is>
          <t>CHAM_QUA;LECH_DOT_1</t>
        </is>
      </c>
      <c r="BA285" t="b">
        <v>1</v>
      </c>
      <c r="BB285" t="inlineStr">
        <is>
          <t>Assets/MachineBrigade/Resources/Data/balance.json: weapons[id=pt14_co_v76] (lớp B trên 01_chien_dau/Vu_khi)</t>
        </is>
      </c>
      <c r="BC285" t="inlineStr"/>
    </row>
    <row r="286">
      <c r="A286" t="inlineStr">
        <is>
          <t>pt14_dd_v25</t>
        </is>
      </c>
      <c r="B286" t="n">
        <v>1</v>
      </c>
      <c r="C286">
        <f>IF(Vu_khi!$O$286="SIMULTANEOUS",MAX(1,Vu_khi!$N$286),1)</f>
        <v/>
      </c>
      <c r="D286" t="n">
        <v>1</v>
      </c>
      <c r="E286">
        <f>IF(Vu_khi!$S$286&gt;0,Vu_khi!$S$286,Vu_khi!$P$286*$C$286)</f>
        <v/>
      </c>
      <c r="F286" t="n">
        <v>14</v>
      </c>
      <c r="G286">
        <f>IF(Vu_khi!$S$286&gt;0,(Vu_khi!$S$286-1)*Vu_khi!$R$286+Vu_khi!$T$286,Vu_khi!$R$286+(Vu_khi!$P$286-1)*Vu_khi!$Q$286)</f>
        <v/>
      </c>
      <c r="H286" t="n">
        <v>2.85</v>
      </c>
      <c r="I286">
        <f>Vu_khi!$W$286*MAX(1,$E$286)</f>
        <v/>
      </c>
      <c r="J286" t="n">
        <v>210</v>
      </c>
      <c r="K286">
        <f>IF(Vu_khi!$V$286&gt;0,Vu_khi!$V$286,MIN(28,MAX(10,Vu_khi!$U$286*Vu_khi!$R$286*0.4)))</f>
        <v/>
      </c>
      <c r="L286" t="n">
        <v>10</v>
      </c>
      <c r="M286">
        <f>IF(Vu_khi!$W$286&lt;=0,0,IF(Vu_khi!$U$286&gt;0,$I$286*Vu_khi!$U$286/(MAX(0.05,$G$286)*Vu_khi!$U$286+$K$286),$I$286/MAX(0.05,$G$286)))</f>
        <v/>
      </c>
      <c r="N286" t="n">
        <v>73.68421052631578</v>
      </c>
      <c r="O286">
        <f>OR(Vu_khi!$AG$286,Vu_khi!$AB$286&gt;0,Vu_khi!$AH$286,Vu_khi!$M$286="Bomb",Vu_khi!$M$286="Drone")</f>
        <v/>
      </c>
      <c r="P286" t="b">
        <v>0</v>
      </c>
      <c r="Q286">
        <f>AND(NOT(Vu_khi!$AJ$286),OR(Vu_khi!$AC$286="Ground",Vu_khi!$AC$286="All"))</f>
        <v/>
      </c>
      <c r="R286" t="b">
        <v>1</v>
      </c>
      <c r="S286">
        <f>AND(NOT(Vu_khi!$AJ$286),OR(Vu_khi!$AC$286="Air",Vu_khi!$AC$286="All"))</f>
        <v/>
      </c>
      <c r="T286" t="b">
        <v>0</v>
      </c>
      <c r="U286">
        <f>INDEX(Bang_sat_thuong!$B$2:$B$7,MATCH(Vu_khi!$K$286,Bang_sat_thuong!$A$2:$A$7,0))</f>
        <v/>
      </c>
      <c r="V286" t="n">
        <v>1</v>
      </c>
      <c r="W286">
        <f>INDEX(Bang_sat_thuong!$C$2:$C$7,MATCH(Vu_khi!$K$286,Bang_sat_thuong!$A$2:$A$7,0))</f>
        <v/>
      </c>
      <c r="X286" t="n">
        <v>0.3</v>
      </c>
      <c r="Y286">
        <f>IF(AND(Vu_khi!$AI$286,Vu_khi!$K$286="HighExplosive"),MAX(He_so_toan_cuc!$D$2,INDEX(Bang_sat_thuong!$D$2:$D$7,MATCH(Vu_khi!$K$286,Bang_sat_thuong!$A$2:$A$7,0))),INDEX(Bang_sat_thuong!$D$2:$D$7,MATCH(Vu_khi!$K$286,Bang_sat_thuong!$A$2:$A$7,0)))</f>
        <v/>
      </c>
      <c r="Z286" t="n">
        <v>0.6</v>
      </c>
      <c r="AA286">
        <f>INDEX(Bang_xuyen_giap!$C$2:$C$7,MIN(6,MAX(1,IF($O$286,MAX(1,2-(Vu_khi!$L$286-0)),2-(Vu_khi!$L$286-0))+1)))</f>
        <v/>
      </c>
      <c r="AB286" t="n">
        <v>1.2</v>
      </c>
      <c r="AC286">
        <f>INDEX(Bang_xuyen_giap!$C$2:$C$7,MIN(6,MAX(1,IF($O$286,MAX(1,2-(Vu_khi!$L$286-2)),2-(Vu_khi!$L$286-2))+1)))</f>
        <v/>
      </c>
      <c r="AD286" t="n">
        <v>0.85</v>
      </c>
      <c r="AE286">
        <f>INDEX(Bang_xuyen_giap!$C$2:$C$7,MIN(6,MAX(1,IF($O$286,MAX(1,2-(Vu_khi!$L$286-4)),2-(Vu_khi!$L$286-4))+1)))</f>
        <v/>
      </c>
      <c r="AF286" t="n">
        <v>0.25</v>
      </c>
      <c r="AG286">
        <f>INDEX(Bang_xuyen_giap!$C$2:$C$7,MIN(6,MAX(1,MAX(1,2-(Vu_khi!$L$286-0))+1)))</f>
        <v/>
      </c>
      <c r="AH286" t="n">
        <v>1</v>
      </c>
      <c r="AI286">
        <f>IF($Q$286,$M$286*$AA$286*$U$286,0)</f>
        <v/>
      </c>
      <c r="AJ286" t="n">
        <v>88.42105263157893</v>
      </c>
      <c r="AK286">
        <f>IF($Q$286,$M$286*$AC$286*$U$286,0)</f>
        <v/>
      </c>
      <c r="AL286" t="n">
        <v>62.63157894736841</v>
      </c>
      <c r="AM286">
        <f>IF($Q$286,$M$286*$AE$286*$U$286,0)</f>
        <v/>
      </c>
      <c r="AN286" t="n">
        <v>18.42105263157895</v>
      </c>
      <c r="AO286">
        <f>IF($Q$286,$M$286*$AC$286*$Y$286,0)</f>
        <v/>
      </c>
      <c r="AP286" t="n">
        <v>37.57894736842105</v>
      </c>
      <c r="AQ286">
        <f>IF($S$286,$M$286*$AG$286*$W$286,0)</f>
        <v/>
      </c>
      <c r="AR286" t="n">
        <v>0</v>
      </c>
      <c r="AS286">
        <f>IF(OR(Vu_khi!$M$286="Missile",Vu_khi!$M$286="Drone",AND(Vu_khi!$M$286="Rocket",OR(Vu_khi!$AM$286,Vu_khi!$D$286="guided")),Vu_khi!$AL$286,Vu_khi!$AK$286,Vu_khi!$X$286&lt;=0),FALSE,IF($B$286&gt;=0,$B$286&gt;=4,IF(Vu_khi!$M$286="Shell",Vu_khi!$AN$286&gt;=Canh_bao_vong!$D$10,IF(Vu_khi!$M$286="Bomb",Vu_khi!$AN$286&gt;=Canh_bao_vong!$D$3,IF(Vu_khi!$M$286="Rocket",Vu_khi!$AN$286&gt;=Canh_bao_vong!$D$13,FALSE)))))</f>
        <v/>
      </c>
      <c r="AT286" t="b">
        <v>0</v>
      </c>
      <c r="AU286">
        <f>IF(AND($B$286&lt;0,$AS$286),4,$B$286)</f>
        <v/>
      </c>
      <c r="AV286" t="n">
        <v>1</v>
      </c>
      <c r="AW286">
        <f>IF($AU$286&lt;4,0,MIN(MAX(0.5,Canh_bao_vong!$D$4),MAX(IF(Vu_khi!$C$286="cal_406",Canh_bao_vong!$D$7,IF($AU$286&gt;=5,Canh_bao_vong!$D$9,Canh_bao_vong!$D$8)),Canh_bao_vong!$D$2+MAX(0,Vu_khi!$X$286)/MAX(0.1,Canh_bao_vong!$D$5))))</f>
        <v/>
      </c>
      <c r="AX286" t="n">
        <v>0</v>
      </c>
      <c r="AY286" t="n">
        <v>14.25</v>
      </c>
      <c r="AZ286" t="inlineStr">
        <is>
          <t>LECH_DOT_1</t>
        </is>
      </c>
      <c r="BA286" t="b">
        <v>1</v>
      </c>
      <c r="BB286" t="inlineStr">
        <is>
          <t>Assets/MachineBrigade/Resources/Data/balance.json: weapons[id=pt14_dd_v25] (lớp B trên 01_chien_dau/Vu_khi)</t>
        </is>
      </c>
      <c r="BC286" t="inlineStr"/>
    </row>
    <row r="287">
      <c r="A287" t="inlineStr">
        <is>
          <t>pt14_dd_v57</t>
        </is>
      </c>
      <c r="B287" t="n">
        <v>2</v>
      </c>
      <c r="C287">
        <f>IF(Vu_khi!$O$287="SIMULTANEOUS",MAX(1,Vu_khi!$N$287),1)</f>
        <v/>
      </c>
      <c r="D287" t="n">
        <v>2</v>
      </c>
      <c r="E287">
        <f>IF(Vu_khi!$S$287&gt;0,Vu_khi!$S$287,Vu_khi!$P$287*$C$287)</f>
        <v/>
      </c>
      <c r="F287" t="n">
        <v>8</v>
      </c>
      <c r="G287">
        <f>IF(Vu_khi!$S$287&gt;0,(Vu_khi!$S$287-1)*Vu_khi!$R$287+Vu_khi!$T$287,Vu_khi!$R$287+(Vu_khi!$P$287-1)*Vu_khi!$Q$287)</f>
        <v/>
      </c>
      <c r="H287" t="n">
        <v>4.29</v>
      </c>
      <c r="I287">
        <f>Vu_khi!$W$287*MAX(1,$E$287)</f>
        <v/>
      </c>
      <c r="J287" t="n">
        <v>960</v>
      </c>
      <c r="K287">
        <f>IF(Vu_khi!$V$287&gt;0,Vu_khi!$V$287,MIN(28,MAX(10,Vu_khi!$U$287*Vu_khi!$R$287*0.4)))</f>
        <v/>
      </c>
      <c r="L287" t="n">
        <v>10</v>
      </c>
      <c r="M287">
        <f>IF(Vu_khi!$W$287&lt;=0,0,IF(Vu_khi!$U$287&gt;0,$I$287*Vu_khi!$U$287/(MAX(0.05,$G$287)*Vu_khi!$U$287+$K$287),$I$287/MAX(0.05,$G$287)))</f>
        <v/>
      </c>
      <c r="N287" t="n">
        <v>223.7762237762238</v>
      </c>
      <c r="O287">
        <f>OR(Vu_khi!$AG$287,Vu_khi!$AB$287&gt;0,Vu_khi!$AH$287,Vu_khi!$M$287="Bomb",Vu_khi!$M$287="Drone")</f>
        <v/>
      </c>
      <c r="P287" t="b">
        <v>0</v>
      </c>
      <c r="Q287">
        <f>AND(NOT(Vu_khi!$AJ$287),OR(Vu_khi!$AC$287="Ground",Vu_khi!$AC$287="All"))</f>
        <v/>
      </c>
      <c r="R287" t="b">
        <v>1</v>
      </c>
      <c r="S287">
        <f>AND(NOT(Vu_khi!$AJ$287),OR(Vu_khi!$AC$287="Air",Vu_khi!$AC$287="All"))</f>
        <v/>
      </c>
      <c r="T287" t="b">
        <v>0</v>
      </c>
      <c r="U287">
        <f>INDEX(Bang_sat_thuong!$B$2:$B$7,MATCH(Vu_khi!$K$287,Bang_sat_thuong!$A$2:$A$7,0))</f>
        <v/>
      </c>
      <c r="V287" t="n">
        <v>1</v>
      </c>
      <c r="W287">
        <f>INDEX(Bang_sat_thuong!$C$2:$C$7,MATCH(Vu_khi!$K$287,Bang_sat_thuong!$A$2:$A$7,0))</f>
        <v/>
      </c>
      <c r="X287" t="n">
        <v>0</v>
      </c>
      <c r="Y287">
        <f>IF(AND(Vu_khi!$AI$287,Vu_khi!$K$287="HighExplosive"),MAX(He_so_toan_cuc!$D$2,INDEX(Bang_sat_thuong!$D$2:$D$7,MATCH(Vu_khi!$K$287,Bang_sat_thuong!$A$2:$A$7,0))),INDEX(Bang_sat_thuong!$D$2:$D$7,MATCH(Vu_khi!$K$287,Bang_sat_thuong!$A$2:$A$7,0)))</f>
        <v/>
      </c>
      <c r="Z287" t="n">
        <v>1.5</v>
      </c>
      <c r="AA287">
        <f>INDEX(Bang_xuyen_giap!$C$2:$C$7,MIN(6,MAX(1,IF($O$287,MAX(1,2-(Vu_khi!$L$287-0)),2-(Vu_khi!$L$287-0))+1)))</f>
        <v/>
      </c>
      <c r="AB287" t="n">
        <v>1.2</v>
      </c>
      <c r="AC287">
        <f>INDEX(Bang_xuyen_giap!$C$2:$C$7,MIN(6,MAX(1,IF($O$287,MAX(1,2-(Vu_khi!$L$287-2)),2-(Vu_khi!$L$287-2))+1)))</f>
        <v/>
      </c>
      <c r="AD287" t="n">
        <v>1.2</v>
      </c>
      <c r="AE287">
        <f>INDEX(Bang_xuyen_giap!$C$2:$C$7,MIN(6,MAX(1,IF($O$287,MAX(1,2-(Vu_khi!$L$287-4)),2-(Vu_khi!$L$287-4))+1)))</f>
        <v/>
      </c>
      <c r="AF287" t="n">
        <v>0.85</v>
      </c>
      <c r="AG287">
        <f>INDEX(Bang_xuyen_giap!$C$2:$C$7,MIN(6,MAX(1,MAX(1,2-(Vu_khi!$L$287-0))+1)))</f>
        <v/>
      </c>
      <c r="AH287" t="n">
        <v>1</v>
      </c>
      <c r="AI287">
        <f>IF($Q$287,$M$287*$AA$287*$U$287,0)</f>
        <v/>
      </c>
      <c r="AJ287" t="n">
        <v>268.5314685314685</v>
      </c>
      <c r="AK287">
        <f>IF($Q$287,$M$287*$AC$287*$U$287,0)</f>
        <v/>
      </c>
      <c r="AL287" t="n">
        <v>268.5314685314685</v>
      </c>
      <c r="AM287">
        <f>IF($Q$287,$M$287*$AE$287*$U$287,0)</f>
        <v/>
      </c>
      <c r="AN287" t="n">
        <v>190.2097902097902</v>
      </c>
      <c r="AO287">
        <f>IF($Q$287,$M$287*$AC$287*$Y$287,0)</f>
        <v/>
      </c>
      <c r="AP287" t="n">
        <v>402.7972027972028</v>
      </c>
      <c r="AQ287">
        <f>IF($S$287,$M$287*$AG$287*$W$287,0)</f>
        <v/>
      </c>
      <c r="AR287" t="n">
        <v>0</v>
      </c>
      <c r="AS287">
        <f>IF(OR(Vu_khi!$M$287="Missile",Vu_khi!$M$287="Drone",AND(Vu_khi!$M$287="Rocket",OR(Vu_khi!$AM$287,Vu_khi!$D$287="guided")),Vu_khi!$AL$287,Vu_khi!$AK$287,Vu_khi!$X$287&lt;=0),FALSE,IF($B$287&gt;=0,$B$287&gt;=4,IF(Vu_khi!$M$287="Shell",Vu_khi!$AN$287&gt;=Canh_bao_vong!$D$10,IF(Vu_khi!$M$287="Bomb",Vu_khi!$AN$287&gt;=Canh_bao_vong!$D$3,IF(Vu_khi!$M$287="Rocket",Vu_khi!$AN$287&gt;=Canh_bao_vong!$D$13,FALSE)))))</f>
        <v/>
      </c>
      <c r="AT287" t="b">
        <v>0</v>
      </c>
      <c r="AU287">
        <f>IF(AND($B$287&lt;0,$AS$287),4,$B$287)</f>
        <v/>
      </c>
      <c r="AV287" t="n">
        <v>2</v>
      </c>
      <c r="AW287">
        <f>IF($AU$287&lt;4,0,MIN(MAX(0.5,Canh_bao_vong!$D$4),MAX(IF(Vu_khi!$C$287="cal_406",Canh_bao_vong!$D$7,IF($AU$287&gt;=5,Canh_bao_vong!$D$9,Canh_bao_vong!$D$8)),Canh_bao_vong!$D$2+MAX(0,Vu_khi!$X$287)/MAX(0.1,Canh_bao_vong!$D$5))))</f>
        <v/>
      </c>
      <c r="AX287" t="n">
        <v>0</v>
      </c>
      <c r="AY287" t="n">
        <v>2.145</v>
      </c>
      <c r="AZ287" t="inlineStr">
        <is>
          <t>ok</t>
        </is>
      </c>
      <c r="BA287" t="b">
        <v>1</v>
      </c>
      <c r="BB287" t="inlineStr">
        <is>
          <t>Assets/MachineBrigade/Resources/Data/balance.json: weapons[id=pt14_dd_v57] (lớp B trên 01_chien_dau/Vu_khi)</t>
        </is>
      </c>
      <c r="BC287" t="inlineStr"/>
    </row>
    <row r="288">
      <c r="A288" t="inlineStr">
        <is>
          <t>pt14_hp_155</t>
        </is>
      </c>
      <c r="B288" t="n">
        <v>3</v>
      </c>
      <c r="C288">
        <f>IF(Vu_khi!$O$288="SIMULTANEOUS",MAX(1,Vu_khi!$N$288),1)</f>
        <v/>
      </c>
      <c r="D288" t="n">
        <v>1</v>
      </c>
      <c r="E288">
        <f>IF(Vu_khi!$S$288&gt;0,Vu_khi!$S$288,Vu_khi!$P$288*$C$288)</f>
        <v/>
      </c>
      <c r="F288" t="n">
        <v>2</v>
      </c>
      <c r="G288">
        <f>IF(Vu_khi!$S$288&gt;0,(Vu_khi!$S$288-1)*Vu_khi!$R$288+Vu_khi!$T$288,Vu_khi!$R$288+(Vu_khi!$P$288-1)*Vu_khi!$Q$288)</f>
        <v/>
      </c>
      <c r="H288" t="n">
        <v>13.9</v>
      </c>
      <c r="I288">
        <f>Vu_khi!$W$288*MAX(1,$E$288)</f>
        <v/>
      </c>
      <c r="J288" t="n">
        <v>1200</v>
      </c>
      <c r="K288">
        <f>IF(Vu_khi!$V$288&gt;0,Vu_khi!$V$288,MIN(28,MAX(10,Vu_khi!$U$288*Vu_khi!$R$288*0.4)))</f>
        <v/>
      </c>
      <c r="L288" t="n">
        <v>10</v>
      </c>
      <c r="M288">
        <f>IF(Vu_khi!$W$288&lt;=0,0,IF(Vu_khi!$U$288&gt;0,$I$288*Vu_khi!$U$288/(MAX(0.05,$G$288)*Vu_khi!$U$288+$K$288),$I$288/MAX(0.05,$G$288)))</f>
        <v/>
      </c>
      <c r="N288" t="n">
        <v>86.33093525179856</v>
      </c>
      <c r="O288">
        <f>OR(Vu_khi!$AG$288,Vu_khi!$AB$288&gt;0,Vu_khi!$AH$288,Vu_khi!$M$288="Bomb",Vu_khi!$M$288="Drone")</f>
        <v/>
      </c>
      <c r="P288" t="b">
        <v>0</v>
      </c>
      <c r="Q288">
        <f>AND(NOT(Vu_khi!$AJ$288),OR(Vu_khi!$AC$288="Ground",Vu_khi!$AC$288="All"))</f>
        <v/>
      </c>
      <c r="R288" t="b">
        <v>1</v>
      </c>
      <c r="S288">
        <f>AND(NOT(Vu_khi!$AJ$288),OR(Vu_khi!$AC$288="Air",Vu_khi!$AC$288="All"))</f>
        <v/>
      </c>
      <c r="T288" t="b">
        <v>0</v>
      </c>
      <c r="U288">
        <f>INDEX(Bang_sat_thuong!$B$2:$B$7,MATCH(Vu_khi!$K$288,Bang_sat_thuong!$A$2:$A$7,0))</f>
        <v/>
      </c>
      <c r="V288" t="n">
        <v>1</v>
      </c>
      <c r="W288">
        <f>INDEX(Bang_sat_thuong!$C$2:$C$7,MATCH(Vu_khi!$K$288,Bang_sat_thuong!$A$2:$A$7,0))</f>
        <v/>
      </c>
      <c r="X288" t="n">
        <v>0</v>
      </c>
      <c r="Y288">
        <f>IF(AND(Vu_khi!$AI$288,Vu_khi!$K$288="HighExplosive"),MAX(He_so_toan_cuc!$D$2,INDEX(Bang_sat_thuong!$D$2:$D$7,MATCH(Vu_khi!$K$288,Bang_sat_thuong!$A$2:$A$7,0))),INDEX(Bang_sat_thuong!$D$2:$D$7,MATCH(Vu_khi!$K$288,Bang_sat_thuong!$A$2:$A$7,0)))</f>
        <v/>
      </c>
      <c r="Z288" t="n">
        <v>1.5</v>
      </c>
      <c r="AA288">
        <f>INDEX(Bang_xuyen_giap!$C$2:$C$7,MIN(6,MAX(1,IF($O$288,MAX(1,2-(Vu_khi!$L$288-0)),2-(Vu_khi!$L$288-0))+1)))</f>
        <v/>
      </c>
      <c r="AB288" t="n">
        <v>1.2</v>
      </c>
      <c r="AC288">
        <f>INDEX(Bang_xuyen_giap!$C$2:$C$7,MIN(6,MAX(1,IF($O$288,MAX(1,2-(Vu_khi!$L$288-2)),2-(Vu_khi!$L$288-2))+1)))</f>
        <v/>
      </c>
      <c r="AD288" t="n">
        <v>1</v>
      </c>
      <c r="AE288">
        <f>INDEX(Bang_xuyen_giap!$C$2:$C$7,MIN(6,MAX(1,IF($O$288,MAX(1,2-(Vu_khi!$L$288-4)),2-(Vu_khi!$L$288-4))+1)))</f>
        <v/>
      </c>
      <c r="AF288" t="n">
        <v>0.5</v>
      </c>
      <c r="AG288">
        <f>INDEX(Bang_xuyen_giap!$C$2:$C$7,MIN(6,MAX(1,MAX(1,2-(Vu_khi!$L$288-0))+1)))</f>
        <v/>
      </c>
      <c r="AH288" t="n">
        <v>1</v>
      </c>
      <c r="AI288">
        <f>IF($Q$288,$M$288*$AA$288*$U$288,0)</f>
        <v/>
      </c>
      <c r="AJ288" t="n">
        <v>103.5971223021583</v>
      </c>
      <c r="AK288">
        <f>IF($Q$288,$M$288*$AC$288*$U$288,0)</f>
        <v/>
      </c>
      <c r="AL288" t="n">
        <v>86.33093525179856</v>
      </c>
      <c r="AM288">
        <f>IF($Q$288,$M$288*$AE$288*$U$288,0)</f>
        <v/>
      </c>
      <c r="AN288" t="n">
        <v>43.16546762589928</v>
      </c>
      <c r="AO288">
        <f>IF($Q$288,$M$288*$AC$288*$Y$288,0)</f>
        <v/>
      </c>
      <c r="AP288" t="n">
        <v>129.4964028776978</v>
      </c>
      <c r="AQ288">
        <f>IF($S$288,$M$288*$AG$288*$W$288,0)</f>
        <v/>
      </c>
      <c r="AR288" t="n">
        <v>0</v>
      </c>
      <c r="AS288">
        <f>IF(OR(Vu_khi!$M$288="Missile",Vu_khi!$M$288="Drone",AND(Vu_khi!$M$288="Rocket",OR(Vu_khi!$AM$288,Vu_khi!$D$288="guided")),Vu_khi!$AL$288,Vu_khi!$AK$288,Vu_khi!$X$288&lt;=0),FALSE,IF($B$288&gt;=0,$B$288&gt;=4,IF(Vu_khi!$M$288="Shell",Vu_khi!$AN$288&gt;=Canh_bao_vong!$D$10,IF(Vu_khi!$M$288="Bomb",Vu_khi!$AN$288&gt;=Canh_bao_vong!$D$3,IF(Vu_khi!$M$288="Rocket",Vu_khi!$AN$288&gt;=Canh_bao_vong!$D$13,FALSE)))))</f>
        <v/>
      </c>
      <c r="AT288" t="b">
        <v>0</v>
      </c>
      <c r="AU288">
        <f>IF(AND($B$288&lt;0,$AS$288),4,$B$288)</f>
        <v/>
      </c>
      <c r="AV288" t="n">
        <v>3</v>
      </c>
      <c r="AW288">
        <f>IF($AU$288&lt;4,0,MIN(MAX(0.5,Canh_bao_vong!$D$4),MAX(IF(Vu_khi!$C$288="cal_406",Canh_bao_vong!$D$7,IF($AU$288&gt;=5,Canh_bao_vong!$D$9,Canh_bao_vong!$D$8)),Canh_bao_vong!$D$2+MAX(0,Vu_khi!$X$288)/MAX(0.1,Canh_bao_vong!$D$5))))</f>
        <v/>
      </c>
      <c r="AX288" t="n">
        <v>0</v>
      </c>
      <c r="AY288" t="n">
        <v>0.810833</v>
      </c>
      <c r="AZ288" t="inlineStr">
        <is>
          <t>LECH_DOT_1;LECH_HO</t>
        </is>
      </c>
      <c r="BA288" t="b">
        <v>0</v>
      </c>
      <c r="BB288" t="inlineStr">
        <is>
          <t>Assets/MachineBrigade/Resources/Data/balance.json: weapons[id=pt14_hp_155] (lớp B trên 01_chien_dau/Vu_khi)</t>
        </is>
      </c>
      <c r="BC288" t="inlineStr"/>
    </row>
    <row r="289">
      <c r="A289" t="inlineStr">
        <is>
          <t>pt14_hp_nsm</t>
        </is>
      </c>
      <c r="B289" t="n">
        <v>4</v>
      </c>
      <c r="C289">
        <f>IF(Vu_khi!$O$289="SIMULTANEOUS",MAX(1,Vu_khi!$N$289),1)</f>
        <v/>
      </c>
      <c r="D289" t="n">
        <v>1</v>
      </c>
      <c r="E289">
        <f>IF(Vu_khi!$S$289&gt;0,Vu_khi!$S$289,Vu_khi!$P$289*$C$289)</f>
        <v/>
      </c>
      <c r="F289" t="n">
        <v>2</v>
      </c>
      <c r="G289">
        <f>IF(Vu_khi!$S$289&gt;0,(Vu_khi!$S$289-1)*Vu_khi!$R$289+Vu_khi!$T$289,Vu_khi!$R$289+(Vu_khi!$P$289-1)*Vu_khi!$Q$289)</f>
        <v/>
      </c>
      <c r="H289" t="n">
        <v>14.6</v>
      </c>
      <c r="I289">
        <f>Vu_khi!$W$289*MAX(1,$E$289)</f>
        <v/>
      </c>
      <c r="J289" t="n">
        <v>760</v>
      </c>
      <c r="K289">
        <f>IF(Vu_khi!$V$289&gt;0,Vu_khi!$V$289,MIN(28,MAX(10,Vu_khi!$U$289*Vu_khi!$R$289*0.4)))</f>
        <v/>
      </c>
      <c r="L289" t="n">
        <v>10</v>
      </c>
      <c r="M289">
        <f>IF(Vu_khi!$W$289&lt;=0,0,IF(Vu_khi!$U$289&gt;0,$I$289*Vu_khi!$U$289/(MAX(0.05,$G$289)*Vu_khi!$U$289+$K$289),$I$289/MAX(0.05,$G$289)))</f>
        <v/>
      </c>
      <c r="N289" t="n">
        <v>52.05479452054794</v>
      </c>
      <c r="O289">
        <f>OR(Vu_khi!$AG$289,Vu_khi!$AB$289&gt;0,Vu_khi!$AH$289,Vu_khi!$M$289="Bomb",Vu_khi!$M$289="Drone")</f>
        <v/>
      </c>
      <c r="P289" t="b">
        <v>0</v>
      </c>
      <c r="Q289">
        <f>AND(NOT(Vu_khi!$AJ$289),OR(Vu_khi!$AC$289="Ground",Vu_khi!$AC$289="All"))</f>
        <v/>
      </c>
      <c r="R289" t="b">
        <v>1</v>
      </c>
      <c r="S289">
        <f>AND(NOT(Vu_khi!$AJ$289),OR(Vu_khi!$AC$289="Air",Vu_khi!$AC$289="All"))</f>
        <v/>
      </c>
      <c r="T289" t="b">
        <v>0</v>
      </c>
      <c r="U289">
        <f>INDEX(Bang_sat_thuong!$B$2:$B$7,MATCH(Vu_khi!$K$289,Bang_sat_thuong!$A$2:$A$7,0))</f>
        <v/>
      </c>
      <c r="V289" t="n">
        <v>1</v>
      </c>
      <c r="W289">
        <f>INDEX(Bang_sat_thuong!$C$2:$C$7,MATCH(Vu_khi!$K$289,Bang_sat_thuong!$A$2:$A$7,0))</f>
        <v/>
      </c>
      <c r="X289" t="n">
        <v>0</v>
      </c>
      <c r="Y289">
        <f>IF(AND(Vu_khi!$AI$289,Vu_khi!$K$289="HighExplosive"),MAX(He_so_toan_cuc!$D$2,INDEX(Bang_sat_thuong!$D$2:$D$7,MATCH(Vu_khi!$K$289,Bang_sat_thuong!$A$2:$A$7,0))),INDEX(Bang_sat_thuong!$D$2:$D$7,MATCH(Vu_khi!$K$289,Bang_sat_thuong!$A$2:$A$7,0)))</f>
        <v/>
      </c>
      <c r="Z289" t="n">
        <v>1.5</v>
      </c>
      <c r="AA289">
        <f>INDEX(Bang_xuyen_giap!$C$2:$C$7,MIN(6,MAX(1,IF($O$289,MAX(1,2-(Vu_khi!$L$289-0)),2-(Vu_khi!$L$289-0))+1)))</f>
        <v/>
      </c>
      <c r="AB289" t="n">
        <v>1.2</v>
      </c>
      <c r="AC289">
        <f>INDEX(Bang_xuyen_giap!$C$2:$C$7,MIN(6,MAX(1,IF($O$289,MAX(1,2-(Vu_khi!$L$289-2)),2-(Vu_khi!$L$289-2))+1)))</f>
        <v/>
      </c>
      <c r="AD289" t="n">
        <v>1.2</v>
      </c>
      <c r="AE289">
        <f>INDEX(Bang_xuyen_giap!$C$2:$C$7,MIN(6,MAX(1,IF($O$289,MAX(1,2-(Vu_khi!$L$289-4)),2-(Vu_khi!$L$289-4))+1)))</f>
        <v/>
      </c>
      <c r="AF289" t="n">
        <v>0.85</v>
      </c>
      <c r="AG289">
        <f>INDEX(Bang_xuyen_giap!$C$2:$C$7,MIN(6,MAX(1,MAX(1,2-(Vu_khi!$L$289-0))+1)))</f>
        <v/>
      </c>
      <c r="AH289" t="n">
        <v>1</v>
      </c>
      <c r="AI289">
        <f>IF($Q$289,$M$289*$AA$289*$U$289,0)</f>
        <v/>
      </c>
      <c r="AJ289" t="n">
        <v>62.46575342465753</v>
      </c>
      <c r="AK289">
        <f>IF($Q$289,$M$289*$AC$289*$U$289,0)</f>
        <v/>
      </c>
      <c r="AL289" t="n">
        <v>62.46575342465753</v>
      </c>
      <c r="AM289">
        <f>IF($Q$289,$M$289*$AE$289*$U$289,0)</f>
        <v/>
      </c>
      <c r="AN289" t="n">
        <v>44.24657534246575</v>
      </c>
      <c r="AO289">
        <f>IF($Q$289,$M$289*$AC$289*$Y$289,0)</f>
        <v/>
      </c>
      <c r="AP289" t="n">
        <v>93.6986301369863</v>
      </c>
      <c r="AQ289">
        <f>IF($S$289,$M$289*$AG$289*$W$289,0)</f>
        <v/>
      </c>
      <c r="AR289" t="n">
        <v>0</v>
      </c>
      <c r="AS289">
        <f>IF(OR(Vu_khi!$M$289="Missile",Vu_khi!$M$289="Drone",AND(Vu_khi!$M$289="Rocket",OR(Vu_khi!$AM$289,Vu_khi!$D$289="guided")),Vu_khi!$AL$289,Vu_khi!$AK$289,Vu_khi!$X$289&lt;=0),FALSE,IF($B$289&gt;=0,$B$289&gt;=4,IF(Vu_khi!$M$289="Shell",Vu_khi!$AN$289&gt;=Canh_bao_vong!$D$10,IF(Vu_khi!$M$289="Bomb",Vu_khi!$AN$289&gt;=Canh_bao_vong!$D$3,IF(Vu_khi!$M$289="Rocket",Vu_khi!$AN$289&gt;=Canh_bao_vong!$D$13,FALSE)))))</f>
        <v/>
      </c>
      <c r="AT289" t="b">
        <v>0</v>
      </c>
      <c r="AU289">
        <f>IF(AND($B$289&lt;0,$AS$289),4,$B$289)</f>
        <v/>
      </c>
      <c r="AV289" t="n">
        <v>4</v>
      </c>
      <c r="AW289">
        <f>IF($AU$289&lt;4,0,MIN(MAX(0.5,Canh_bao_vong!$D$4),MAX(IF(Vu_khi!$C$289="cal_406",Canh_bao_vong!$D$7,IF($AU$289&gt;=5,Canh_bao_vong!$D$9,Canh_bao_vong!$D$8)),Canh_bao_vong!$D$2+MAX(0,Vu_khi!$X$289)/MAX(0.1,Canh_bao_vong!$D$5))))</f>
        <v/>
      </c>
      <c r="AX289" t="n">
        <v>2.5</v>
      </c>
      <c r="AY289" t="n">
        <v>2.433333</v>
      </c>
      <c r="AZ289" t="inlineStr">
        <is>
          <t>NHANH_QUA</t>
        </is>
      </c>
      <c r="BA289" t="b">
        <v>1</v>
      </c>
      <c r="BB289" t="inlineStr">
        <is>
          <t>Assets/MachineBrigade/Resources/Data/balance.json: weapons[id=pt14_hp_nsm] (lớp B trên 01_chien_dau/Vu_khi)</t>
        </is>
      </c>
      <c r="BC289" t="inlineStr"/>
    </row>
    <row r="290">
      <c r="A290" t="inlineStr">
        <is>
          <t>pt14_hp_v127</t>
        </is>
      </c>
      <c r="B290" t="n">
        <v>3</v>
      </c>
      <c r="C290">
        <f>IF(Vu_khi!$O$290="SIMULTANEOUS",MAX(1,Vu_khi!$N$290),1)</f>
        <v/>
      </c>
      <c r="D290" t="n">
        <v>1</v>
      </c>
      <c r="E290">
        <f>IF(Vu_khi!$S$290&gt;0,Vu_khi!$S$290,Vu_khi!$P$290*$C$290)</f>
        <v/>
      </c>
      <c r="F290" t="n">
        <v>2</v>
      </c>
      <c r="G290">
        <f>IF(Vu_khi!$S$290&gt;0,(Vu_khi!$S$290-1)*Vu_khi!$R$290+Vu_khi!$T$290,Vu_khi!$R$290+(Vu_khi!$P$290-1)*Vu_khi!$Q$290)</f>
        <v/>
      </c>
      <c r="H290" t="n">
        <v>5</v>
      </c>
      <c r="I290">
        <f>Vu_khi!$W$290*MAX(1,$E$290)</f>
        <v/>
      </c>
      <c r="J290" t="n">
        <v>760</v>
      </c>
      <c r="K290">
        <f>IF(Vu_khi!$V$290&gt;0,Vu_khi!$V$290,MIN(28,MAX(10,Vu_khi!$U$290*Vu_khi!$R$290*0.4)))</f>
        <v/>
      </c>
      <c r="L290" t="n">
        <v>10</v>
      </c>
      <c r="M290">
        <f>IF(Vu_khi!$W$290&lt;=0,0,IF(Vu_khi!$U$290&gt;0,$I$290*Vu_khi!$U$290/(MAX(0.05,$G$290)*Vu_khi!$U$290+$K$290),$I$290/MAX(0.05,$G$290)))</f>
        <v/>
      </c>
      <c r="N290" t="n">
        <v>152</v>
      </c>
      <c r="O290">
        <f>OR(Vu_khi!$AG$290,Vu_khi!$AB$290&gt;0,Vu_khi!$AH$290,Vu_khi!$M$290="Bomb",Vu_khi!$M$290="Drone")</f>
        <v/>
      </c>
      <c r="P290" t="b">
        <v>0</v>
      </c>
      <c r="Q290">
        <f>AND(NOT(Vu_khi!$AJ$290),OR(Vu_khi!$AC$290="Ground",Vu_khi!$AC$290="All"))</f>
        <v/>
      </c>
      <c r="R290" t="b">
        <v>1</v>
      </c>
      <c r="S290">
        <f>AND(NOT(Vu_khi!$AJ$290),OR(Vu_khi!$AC$290="Air",Vu_khi!$AC$290="All"))</f>
        <v/>
      </c>
      <c r="T290" t="b">
        <v>0</v>
      </c>
      <c r="U290">
        <f>INDEX(Bang_sat_thuong!$B$2:$B$7,MATCH(Vu_khi!$K$290,Bang_sat_thuong!$A$2:$A$7,0))</f>
        <v/>
      </c>
      <c r="V290" t="n">
        <v>1</v>
      </c>
      <c r="W290">
        <f>INDEX(Bang_sat_thuong!$C$2:$C$7,MATCH(Vu_khi!$K$290,Bang_sat_thuong!$A$2:$A$7,0))</f>
        <v/>
      </c>
      <c r="X290" t="n">
        <v>0</v>
      </c>
      <c r="Y290">
        <f>IF(AND(Vu_khi!$AI$290,Vu_khi!$K$290="HighExplosive"),MAX(He_so_toan_cuc!$D$2,INDEX(Bang_sat_thuong!$D$2:$D$7,MATCH(Vu_khi!$K$290,Bang_sat_thuong!$A$2:$A$7,0))),INDEX(Bang_sat_thuong!$D$2:$D$7,MATCH(Vu_khi!$K$290,Bang_sat_thuong!$A$2:$A$7,0)))</f>
        <v/>
      </c>
      <c r="Z290" t="n">
        <v>1.5</v>
      </c>
      <c r="AA290">
        <f>INDEX(Bang_xuyen_giap!$C$2:$C$7,MIN(6,MAX(1,IF($O$290,MAX(1,2-(Vu_khi!$L$290-0)),2-(Vu_khi!$L$290-0))+1)))</f>
        <v/>
      </c>
      <c r="AB290" t="n">
        <v>1.2</v>
      </c>
      <c r="AC290">
        <f>INDEX(Bang_xuyen_giap!$C$2:$C$7,MIN(6,MAX(1,IF($O$290,MAX(1,2-(Vu_khi!$L$290-2)),2-(Vu_khi!$L$290-2))+1)))</f>
        <v/>
      </c>
      <c r="AD290" t="n">
        <v>1</v>
      </c>
      <c r="AE290">
        <f>INDEX(Bang_xuyen_giap!$C$2:$C$7,MIN(6,MAX(1,IF($O$290,MAX(1,2-(Vu_khi!$L$290-4)),2-(Vu_khi!$L$290-4))+1)))</f>
        <v/>
      </c>
      <c r="AF290" t="n">
        <v>0.5</v>
      </c>
      <c r="AG290">
        <f>INDEX(Bang_xuyen_giap!$C$2:$C$7,MIN(6,MAX(1,MAX(1,2-(Vu_khi!$L$290-0))+1)))</f>
        <v/>
      </c>
      <c r="AH290" t="n">
        <v>1</v>
      </c>
      <c r="AI290">
        <f>IF($Q$290,$M$290*$AA$290*$U$290,0)</f>
        <v/>
      </c>
      <c r="AJ290" t="n">
        <v>182.4</v>
      </c>
      <c r="AK290">
        <f>IF($Q$290,$M$290*$AC$290*$U$290,0)</f>
        <v/>
      </c>
      <c r="AL290" t="n">
        <v>152</v>
      </c>
      <c r="AM290">
        <f>IF($Q$290,$M$290*$AE$290*$U$290,0)</f>
        <v/>
      </c>
      <c r="AN290" t="n">
        <v>76</v>
      </c>
      <c r="AO290">
        <f>IF($Q$290,$M$290*$AC$290*$Y$290,0)</f>
        <v/>
      </c>
      <c r="AP290" t="n">
        <v>228</v>
      </c>
      <c r="AQ290">
        <f>IF($S$290,$M$290*$AG$290*$W$290,0)</f>
        <v/>
      </c>
      <c r="AR290" t="n">
        <v>0</v>
      </c>
      <c r="AS290">
        <f>IF(OR(Vu_khi!$M$290="Missile",Vu_khi!$M$290="Drone",AND(Vu_khi!$M$290="Rocket",OR(Vu_khi!$AM$290,Vu_khi!$D$290="guided")),Vu_khi!$AL$290,Vu_khi!$AK$290,Vu_khi!$X$290&lt;=0),FALSE,IF($B$290&gt;=0,$B$290&gt;=4,IF(Vu_khi!$M$290="Shell",Vu_khi!$AN$290&gt;=Canh_bao_vong!$D$10,IF(Vu_khi!$M$290="Bomb",Vu_khi!$AN$290&gt;=Canh_bao_vong!$D$3,IF(Vu_khi!$M$290="Rocket",Vu_khi!$AN$290&gt;=Canh_bao_vong!$D$13,FALSE)))))</f>
        <v/>
      </c>
      <c r="AT290" t="b">
        <v>0</v>
      </c>
      <c r="AU290">
        <f>IF(AND($B$290&lt;0,$AS$290),4,$B$290)</f>
        <v/>
      </c>
      <c r="AV290" t="n">
        <v>3</v>
      </c>
      <c r="AW290">
        <f>IF($AU$290&lt;4,0,MIN(MAX(0.5,Canh_bao_vong!$D$4),MAX(IF(Vu_khi!$C$290="cal_406",Canh_bao_vong!$D$7,IF($AU$290&gt;=5,Canh_bao_vong!$D$9,Canh_bao_vong!$D$8)),Canh_bao_vong!$D$2+MAX(0,Vu_khi!$X$290)/MAX(0.1,Canh_bao_vong!$D$5))))</f>
        <v/>
      </c>
      <c r="AX290" t="n">
        <v>0</v>
      </c>
      <c r="AY290" t="n">
        <v>0.583333</v>
      </c>
      <c r="AZ290" t="inlineStr">
        <is>
          <t>NHANH_QUA;LECH_DOT_1</t>
        </is>
      </c>
      <c r="BA290" t="b">
        <v>1</v>
      </c>
      <c r="BB290" t="inlineStr">
        <is>
          <t>Assets/MachineBrigade/Resources/Data/balance.json: weapons[id=pt14_hp_v127] (lớp B trên 01_chien_dau/Vu_khi)</t>
        </is>
      </c>
      <c r="BC290" t="inlineStr"/>
    </row>
    <row r="291">
      <c r="A291" t="inlineStr">
        <is>
          <t>pt14_hp_vlaser</t>
        </is>
      </c>
      <c r="B291" t="n">
        <v>1</v>
      </c>
      <c r="C291">
        <f>IF(Vu_khi!$O$291="SIMULTANEOUS",MAX(1,Vu_khi!$N$291),1)</f>
        <v/>
      </c>
      <c r="D291" t="n">
        <v>1</v>
      </c>
      <c r="E291">
        <f>IF(Vu_khi!$S$291&gt;0,Vu_khi!$S$291,Vu_khi!$P$291*$C$291)</f>
        <v/>
      </c>
      <c r="F291" t="n">
        <v>1</v>
      </c>
      <c r="G291">
        <f>IF(Vu_khi!$S$291&gt;0,(Vu_khi!$S$291-1)*Vu_khi!$R$291+Vu_khi!$T$291,Vu_khi!$R$291+(Vu_khi!$P$291-1)*Vu_khi!$Q$291)</f>
        <v/>
      </c>
      <c r="H291" t="n">
        <v>0.1</v>
      </c>
      <c r="I291">
        <f>Vu_khi!$W$291*MAX(1,$E$291)</f>
        <v/>
      </c>
      <c r="J291" t="n">
        <v>16</v>
      </c>
      <c r="K291">
        <f>IF(Vu_khi!$V$291&gt;0,Vu_khi!$V$291,MIN(28,MAX(10,Vu_khi!$U$291*Vu_khi!$R$291*0.4)))</f>
        <v/>
      </c>
      <c r="L291" t="n">
        <v>10</v>
      </c>
      <c r="M291">
        <f>IF(Vu_khi!$W$291&lt;=0,0,IF(Vu_khi!$U$291&gt;0,$I$291*Vu_khi!$U$291/(MAX(0.05,$G$291)*Vu_khi!$U$291+$K$291),$I$291/MAX(0.05,$G$291)))</f>
        <v/>
      </c>
      <c r="N291" t="n">
        <v>160</v>
      </c>
      <c r="O291">
        <f>OR(Vu_khi!$AG$291,Vu_khi!$AB$291&gt;0,Vu_khi!$AH$291,Vu_khi!$M$291="Bomb",Vu_khi!$M$291="Drone")</f>
        <v/>
      </c>
      <c r="P291" t="b">
        <v>0</v>
      </c>
      <c r="Q291">
        <f>AND(NOT(Vu_khi!$AJ$291),OR(Vu_khi!$AC$291="Ground",Vu_khi!$AC$291="All"))</f>
        <v/>
      </c>
      <c r="R291" t="b">
        <v>1</v>
      </c>
      <c r="S291">
        <f>AND(NOT(Vu_khi!$AJ$291),OR(Vu_khi!$AC$291="Air",Vu_khi!$AC$291="All"))</f>
        <v/>
      </c>
      <c r="T291" t="b">
        <v>0</v>
      </c>
      <c r="U291">
        <f>INDEX(Bang_sat_thuong!$B$2:$B$7,MATCH(Vu_khi!$K$291,Bang_sat_thuong!$A$2:$A$7,0))</f>
        <v/>
      </c>
      <c r="V291" t="n">
        <v>1</v>
      </c>
      <c r="W291">
        <f>INDEX(Bang_sat_thuong!$C$2:$C$7,MATCH(Vu_khi!$K$291,Bang_sat_thuong!$A$2:$A$7,0))</f>
        <v/>
      </c>
      <c r="X291" t="n">
        <v>1.5</v>
      </c>
      <c r="Y291">
        <f>IF(AND(Vu_khi!$AI$291,Vu_khi!$K$291="HighExplosive"),MAX(He_so_toan_cuc!$D$2,INDEX(Bang_sat_thuong!$D$2:$D$7,MATCH(Vu_khi!$K$291,Bang_sat_thuong!$A$2:$A$7,0))),INDEX(Bang_sat_thuong!$D$2:$D$7,MATCH(Vu_khi!$K$291,Bang_sat_thuong!$A$2:$A$7,0)))</f>
        <v/>
      </c>
      <c r="Z291" t="n">
        <v>0.5</v>
      </c>
      <c r="AA291">
        <f>INDEX(Bang_xuyen_giap!$C$2:$C$7,MIN(6,MAX(1,IF($O$291,MAX(1,2-(Vu_khi!$L$291-0)),2-(Vu_khi!$L$291-0))+1)))</f>
        <v/>
      </c>
      <c r="AB291" t="n">
        <v>1.2</v>
      </c>
      <c r="AC291">
        <f>INDEX(Bang_xuyen_giap!$C$2:$C$7,MIN(6,MAX(1,IF($O$291,MAX(1,2-(Vu_khi!$L$291-2)),2-(Vu_khi!$L$291-2))+1)))</f>
        <v/>
      </c>
      <c r="AD291" t="n">
        <v>1.2</v>
      </c>
      <c r="AE291">
        <f>INDEX(Bang_xuyen_giap!$C$2:$C$7,MIN(6,MAX(1,IF($O$291,MAX(1,2-(Vu_khi!$L$291-4)),2-(Vu_khi!$L$291-4))+1)))</f>
        <v/>
      </c>
      <c r="AF291" t="n">
        <v>0.85</v>
      </c>
      <c r="AG291">
        <f>INDEX(Bang_xuyen_giap!$C$2:$C$7,MIN(6,MAX(1,MAX(1,2-(Vu_khi!$L$291-0))+1)))</f>
        <v/>
      </c>
      <c r="AH291" t="n">
        <v>1</v>
      </c>
      <c r="AI291">
        <f>IF($Q$291,$M$291*$AA$291*$U$291,0)</f>
        <v/>
      </c>
      <c r="AJ291" t="n">
        <v>192</v>
      </c>
      <c r="AK291">
        <f>IF($Q$291,$M$291*$AC$291*$U$291,0)</f>
        <v/>
      </c>
      <c r="AL291" t="n">
        <v>192</v>
      </c>
      <c r="AM291">
        <f>IF($Q$291,$M$291*$AE$291*$U$291,0)</f>
        <v/>
      </c>
      <c r="AN291" t="n">
        <v>136</v>
      </c>
      <c r="AO291">
        <f>IF($Q$291,$M$291*$AC$291*$Y$291,0)</f>
        <v/>
      </c>
      <c r="AP291" t="n">
        <v>96</v>
      </c>
      <c r="AQ291">
        <f>IF($S$291,$M$291*$AG$291*$W$291,0)</f>
        <v/>
      </c>
      <c r="AR291" t="n">
        <v>0</v>
      </c>
      <c r="AS291">
        <f>IF(OR(Vu_khi!$M$291="Missile",Vu_khi!$M$291="Drone",AND(Vu_khi!$M$291="Rocket",OR(Vu_khi!$AM$291,Vu_khi!$D$291="guided")),Vu_khi!$AL$291,Vu_khi!$AK$291,Vu_khi!$X$291&lt;=0),FALSE,IF($B$291&gt;=0,$B$291&gt;=4,IF(Vu_khi!$M$291="Shell",Vu_khi!$AN$291&gt;=Canh_bao_vong!$D$10,IF(Vu_khi!$M$291="Bomb",Vu_khi!$AN$291&gt;=Canh_bao_vong!$D$3,IF(Vu_khi!$M$291="Rocket",Vu_khi!$AN$291&gt;=Canh_bao_vong!$D$13,FALSE)))))</f>
        <v/>
      </c>
      <c r="AT291" t="b">
        <v>0</v>
      </c>
      <c r="AU291">
        <f>IF(AND($B$291&lt;0,$AS$291),4,$B$291)</f>
        <v/>
      </c>
      <c r="AV291" t="n">
        <v>1</v>
      </c>
      <c r="AW291">
        <f>IF($AU$291&lt;4,0,MIN(MAX(0.5,Canh_bao_vong!$D$4),MAX(IF(Vu_khi!$C$291="cal_406",Canh_bao_vong!$D$7,IF($AU$291&gt;=5,Canh_bao_vong!$D$9,Canh_bao_vong!$D$8)),Canh_bao_vong!$D$2+MAX(0,Vu_khi!$X$291)/MAX(0.1,Canh_bao_vong!$D$5))))</f>
        <v/>
      </c>
      <c r="AX291" t="n">
        <v>0</v>
      </c>
      <c r="AY291" t="inlineStr"/>
      <c r="AZ291" t="inlineStr">
        <is>
          <t>ok</t>
        </is>
      </c>
      <c r="BA291" t="b">
        <v>1</v>
      </c>
      <c r="BB291" t="inlineStr">
        <is>
          <t>Assets/MachineBrigade/Resources/Data/balance.json: weapons[id=pt14_hp_vlaser] (lớp B trên 01_chien_dau/Vu_khi)</t>
        </is>
      </c>
      <c r="BC291" t="inlineStr"/>
    </row>
    <row r="292">
      <c r="A292" t="inlineStr">
        <is>
          <t>pt14_ixion_30</t>
        </is>
      </c>
      <c r="B292" t="n">
        <v>1</v>
      </c>
      <c r="C292">
        <f>IF(Vu_khi!$O$292="SIMULTANEOUS",MAX(1,Vu_khi!$N$292),1)</f>
        <v/>
      </c>
      <c r="D292" t="n">
        <v>1</v>
      </c>
      <c r="E292">
        <f>IF(Vu_khi!$S$292&gt;0,Vu_khi!$S$292,Vu_khi!$P$292*$C$292)</f>
        <v/>
      </c>
      <c r="F292" t="n">
        <v>8</v>
      </c>
      <c r="G292">
        <f>IF(Vu_khi!$S$292&gt;0,(Vu_khi!$S$292-1)*Vu_khi!$R$292+Vu_khi!$T$292,Vu_khi!$R$292+(Vu_khi!$P$292-1)*Vu_khi!$Q$292)</f>
        <v/>
      </c>
      <c r="H292" t="n">
        <v>4.2777</v>
      </c>
      <c r="I292">
        <f>Vu_khi!$W$292*MAX(1,$E$292)</f>
        <v/>
      </c>
      <c r="J292" t="n">
        <v>176</v>
      </c>
      <c r="K292">
        <f>IF(Vu_khi!$V$292&gt;0,Vu_khi!$V$292,MIN(28,MAX(10,Vu_khi!$U$292*Vu_khi!$R$292*0.4)))</f>
        <v/>
      </c>
      <c r="L292" t="n">
        <v>10</v>
      </c>
      <c r="M292">
        <f>IF(Vu_khi!$W$292&lt;=0,0,IF(Vu_khi!$U$292&gt;0,$I$292*Vu_khi!$U$292/(MAX(0.05,$G$292)*Vu_khi!$U$292+$K$292),$I$292/MAX(0.05,$G$292)))</f>
        <v/>
      </c>
      <c r="N292" t="n">
        <v>41.14360520840638</v>
      </c>
      <c r="O292">
        <f>OR(Vu_khi!$AG$292,Vu_khi!$AB$292&gt;0,Vu_khi!$AH$292,Vu_khi!$M$292="Bomb",Vu_khi!$M$292="Drone")</f>
        <v/>
      </c>
      <c r="P292" t="b">
        <v>0</v>
      </c>
      <c r="Q292">
        <f>AND(NOT(Vu_khi!$AJ$292),OR(Vu_khi!$AC$292="Ground",Vu_khi!$AC$292="All"))</f>
        <v/>
      </c>
      <c r="R292" t="b">
        <v>1</v>
      </c>
      <c r="S292">
        <f>AND(NOT(Vu_khi!$AJ$292),OR(Vu_khi!$AC$292="Air",Vu_khi!$AC$292="All"))</f>
        <v/>
      </c>
      <c r="T292" t="b">
        <v>0</v>
      </c>
      <c r="U292">
        <f>INDEX(Bang_sat_thuong!$B$2:$B$7,MATCH(Vu_khi!$K$292,Bang_sat_thuong!$A$2:$A$7,0))</f>
        <v/>
      </c>
      <c r="V292" t="n">
        <v>1</v>
      </c>
      <c r="W292">
        <f>INDEX(Bang_sat_thuong!$C$2:$C$7,MATCH(Vu_khi!$K$292,Bang_sat_thuong!$A$2:$A$7,0))</f>
        <v/>
      </c>
      <c r="X292" t="n">
        <v>0.3</v>
      </c>
      <c r="Y292">
        <f>IF(AND(Vu_khi!$AI$292,Vu_khi!$K$292="HighExplosive"),MAX(He_so_toan_cuc!$D$2,INDEX(Bang_sat_thuong!$D$2:$D$7,MATCH(Vu_khi!$K$292,Bang_sat_thuong!$A$2:$A$7,0))),INDEX(Bang_sat_thuong!$D$2:$D$7,MATCH(Vu_khi!$K$292,Bang_sat_thuong!$A$2:$A$7,0)))</f>
        <v/>
      </c>
      <c r="Z292" t="n">
        <v>0.6</v>
      </c>
      <c r="AA292">
        <f>INDEX(Bang_xuyen_giap!$C$2:$C$7,MIN(6,MAX(1,IF($O$292,MAX(1,2-(Vu_khi!$L$292-0)),2-(Vu_khi!$L$292-0))+1)))</f>
        <v/>
      </c>
      <c r="AB292" t="n">
        <v>1.2</v>
      </c>
      <c r="AC292">
        <f>INDEX(Bang_xuyen_giap!$C$2:$C$7,MIN(6,MAX(1,IF($O$292,MAX(1,2-(Vu_khi!$L$292-2)),2-(Vu_khi!$L$292-2))+1)))</f>
        <v/>
      </c>
      <c r="AD292" t="n">
        <v>0.85</v>
      </c>
      <c r="AE292">
        <f>INDEX(Bang_xuyen_giap!$C$2:$C$7,MIN(6,MAX(1,IF($O$292,MAX(1,2-(Vu_khi!$L$292-4)),2-(Vu_khi!$L$292-4))+1)))</f>
        <v/>
      </c>
      <c r="AF292" t="n">
        <v>0.25</v>
      </c>
      <c r="AG292">
        <f>INDEX(Bang_xuyen_giap!$C$2:$C$7,MIN(6,MAX(1,MAX(1,2-(Vu_khi!$L$292-0))+1)))</f>
        <v/>
      </c>
      <c r="AH292" t="n">
        <v>1</v>
      </c>
      <c r="AI292">
        <f>IF($Q$292,$M$292*$AA$292*$U$292,0)</f>
        <v/>
      </c>
      <c r="AJ292" t="n">
        <v>49.37232625008766</v>
      </c>
      <c r="AK292">
        <f>IF($Q$292,$M$292*$AC$292*$U$292,0)</f>
        <v/>
      </c>
      <c r="AL292" t="n">
        <v>34.97206442714543</v>
      </c>
      <c r="AM292">
        <f>IF($Q$292,$M$292*$AE$292*$U$292,0)</f>
        <v/>
      </c>
      <c r="AN292" t="n">
        <v>10.2859013021016</v>
      </c>
      <c r="AO292">
        <f>IF($Q$292,$M$292*$AC$292*$Y$292,0)</f>
        <v/>
      </c>
      <c r="AP292" t="n">
        <v>20.98323865628726</v>
      </c>
      <c r="AQ292">
        <f>IF($S$292,$M$292*$AG$292*$W$292,0)</f>
        <v/>
      </c>
      <c r="AR292" t="n">
        <v>0</v>
      </c>
      <c r="AS292">
        <f>IF(OR(Vu_khi!$M$292="Missile",Vu_khi!$M$292="Drone",AND(Vu_khi!$M$292="Rocket",OR(Vu_khi!$AM$292,Vu_khi!$D$292="guided")),Vu_khi!$AL$292,Vu_khi!$AK$292,Vu_khi!$X$292&lt;=0),FALSE,IF($B$292&gt;=0,$B$292&gt;=4,IF(Vu_khi!$M$292="Shell",Vu_khi!$AN$292&gt;=Canh_bao_vong!$D$10,IF(Vu_khi!$M$292="Bomb",Vu_khi!$AN$292&gt;=Canh_bao_vong!$D$3,IF(Vu_khi!$M$292="Rocket",Vu_khi!$AN$292&gt;=Canh_bao_vong!$D$13,FALSE)))))</f>
        <v/>
      </c>
      <c r="AT292" t="b">
        <v>0</v>
      </c>
      <c r="AU292">
        <f>IF(AND($B$292&lt;0,$AS$292),4,$B$292)</f>
        <v/>
      </c>
      <c r="AV292" t="n">
        <v>1</v>
      </c>
      <c r="AW292">
        <f>IF($AU$292&lt;4,0,MIN(MAX(0.5,Canh_bao_vong!$D$4),MAX(IF(Vu_khi!$C$292="cal_406",Canh_bao_vong!$D$7,IF($AU$292&gt;=5,Canh_bao_vong!$D$9,Canh_bao_vong!$D$8)),Canh_bao_vong!$D$2+MAX(0,Vu_khi!$X$292)/MAX(0.1,Canh_bao_vong!$D$5))))</f>
        <v/>
      </c>
      <c r="AX292" t="n">
        <v>0</v>
      </c>
      <c r="AY292" t="n">
        <v>7.1295</v>
      </c>
      <c r="AZ292" t="inlineStr">
        <is>
          <t>CHAM_QUA;LECH_DOT_1</t>
        </is>
      </c>
      <c r="BA292" t="b">
        <v>1</v>
      </c>
      <c r="BB292" t="inlineStr">
        <is>
          <t>Assets/MachineBrigade/Resources/Data/balance.json: weapons[id=pt14_ixion_30] (lớp B trên 01_chien_dau/Vu_khi)</t>
        </is>
      </c>
      <c r="BC292" t="inlineStr"/>
    </row>
    <row r="293">
      <c r="A293" t="inlineStr">
        <is>
          <t>pt14_ixion_grad</t>
        </is>
      </c>
      <c r="B293" t="n">
        <v>3</v>
      </c>
      <c r="C293">
        <f>IF(Vu_khi!$O$293="SIMULTANEOUS",MAX(1,Vu_khi!$N$293),1)</f>
        <v/>
      </c>
      <c r="D293" t="n">
        <v>1</v>
      </c>
      <c r="E293">
        <f>IF(Vu_khi!$S$293&gt;0,Vu_khi!$S$293,Vu_khi!$P$293*$C$293)</f>
        <v/>
      </c>
      <c r="F293" t="n">
        <v>9</v>
      </c>
      <c r="G293">
        <f>IF(Vu_khi!$S$293&gt;0,(Vu_khi!$S$293-1)*Vu_khi!$R$293+Vu_khi!$T$293,Vu_khi!$R$293+(Vu_khi!$P$293-1)*Vu_khi!$Q$293)</f>
        <v/>
      </c>
      <c r="H293" t="n">
        <v>24</v>
      </c>
      <c r="I293">
        <f>Vu_khi!$W$293*MAX(1,$E$293)</f>
        <v/>
      </c>
      <c r="J293" t="n">
        <v>513</v>
      </c>
      <c r="K293">
        <f>IF(Vu_khi!$V$293&gt;0,Vu_khi!$V$293,MIN(28,MAX(10,Vu_khi!$U$293*Vu_khi!$R$293*0.4)))</f>
        <v/>
      </c>
      <c r="L293" t="n">
        <v>16.6</v>
      </c>
      <c r="M293">
        <f>IF(Vu_khi!$W$293&lt;=0,0,IF(Vu_khi!$U$293&gt;0,$I$293*Vu_khi!$U$293/(MAX(0.05,$G$293)*Vu_khi!$U$293+$K$293),$I$293/MAX(0.05,$G$293)))</f>
        <v/>
      </c>
      <c r="N293" t="n">
        <v>17.37020316027088</v>
      </c>
      <c r="O293">
        <f>OR(Vu_khi!$AG$293,Vu_khi!$AB$293&gt;0,Vu_khi!$AH$293,Vu_khi!$M$293="Bomb",Vu_khi!$M$293="Drone")</f>
        <v/>
      </c>
      <c r="P293" t="b">
        <v>1</v>
      </c>
      <c r="Q293">
        <f>AND(NOT(Vu_khi!$AJ$293),OR(Vu_khi!$AC$293="Ground",Vu_khi!$AC$293="All"))</f>
        <v/>
      </c>
      <c r="R293" t="b">
        <v>1</v>
      </c>
      <c r="S293">
        <f>AND(NOT(Vu_khi!$AJ$293),OR(Vu_khi!$AC$293="Air",Vu_khi!$AC$293="All"))</f>
        <v/>
      </c>
      <c r="T293" t="b">
        <v>0</v>
      </c>
      <c r="U293">
        <f>INDEX(Bang_sat_thuong!$B$2:$B$7,MATCH(Vu_khi!$K$293,Bang_sat_thuong!$A$2:$A$7,0))</f>
        <v/>
      </c>
      <c r="V293" t="n">
        <v>1</v>
      </c>
      <c r="W293">
        <f>INDEX(Bang_sat_thuong!$C$2:$C$7,MATCH(Vu_khi!$K$293,Bang_sat_thuong!$A$2:$A$7,0))</f>
        <v/>
      </c>
      <c r="X293" t="n">
        <v>0</v>
      </c>
      <c r="Y293">
        <f>IF(AND(Vu_khi!$AI$293,Vu_khi!$K$293="HighExplosive"),MAX(He_so_toan_cuc!$D$2,INDEX(Bang_sat_thuong!$D$2:$D$7,MATCH(Vu_khi!$K$293,Bang_sat_thuong!$A$2:$A$7,0))),INDEX(Bang_sat_thuong!$D$2:$D$7,MATCH(Vu_khi!$K$293,Bang_sat_thuong!$A$2:$A$7,0)))</f>
        <v/>
      </c>
      <c r="Z293" t="n">
        <v>1.5</v>
      </c>
      <c r="AA293">
        <f>INDEX(Bang_xuyen_giap!$C$2:$C$7,MIN(6,MAX(1,IF($O$293,MAX(1,2-(Vu_khi!$L$293-0)),2-(Vu_khi!$L$293-0))+1)))</f>
        <v/>
      </c>
      <c r="AB293" t="n">
        <v>1</v>
      </c>
      <c r="AC293">
        <f>INDEX(Bang_xuyen_giap!$C$2:$C$7,MIN(6,MAX(1,IF($O$293,MAX(1,2-(Vu_khi!$L$293-2)),2-(Vu_khi!$L$293-2))+1)))</f>
        <v/>
      </c>
      <c r="AD293" t="n">
        <v>0.85</v>
      </c>
      <c r="AE293">
        <f>INDEX(Bang_xuyen_giap!$C$2:$C$7,MIN(6,MAX(1,IF($O$293,MAX(1,2-(Vu_khi!$L$293-4)),2-(Vu_khi!$L$293-4))+1)))</f>
        <v/>
      </c>
      <c r="AF293" t="n">
        <v>0.25</v>
      </c>
      <c r="AG293">
        <f>INDEX(Bang_xuyen_giap!$C$2:$C$7,MIN(6,MAX(1,MAX(1,2-(Vu_khi!$L$293-0))+1)))</f>
        <v/>
      </c>
      <c r="AH293" t="n">
        <v>1</v>
      </c>
      <c r="AI293">
        <f>IF($Q$293,$M$293*$AA$293*$U$293,0)</f>
        <v/>
      </c>
      <c r="AJ293" t="n">
        <v>17.37020316027088</v>
      </c>
      <c r="AK293">
        <f>IF($Q$293,$M$293*$AC$293*$U$293,0)</f>
        <v/>
      </c>
      <c r="AL293" t="n">
        <v>14.76467268623025</v>
      </c>
      <c r="AM293">
        <f>IF($Q$293,$M$293*$AE$293*$U$293,0)</f>
        <v/>
      </c>
      <c r="AN293" t="n">
        <v>4.342550790067721</v>
      </c>
      <c r="AO293">
        <f>IF($Q$293,$M$293*$AC$293*$Y$293,0)</f>
        <v/>
      </c>
      <c r="AP293" t="n">
        <v>22.14700902934537</v>
      </c>
      <c r="AQ293">
        <f>IF($S$293,$M$293*$AG$293*$W$293,0)</f>
        <v/>
      </c>
      <c r="AR293" t="n">
        <v>0</v>
      </c>
      <c r="AS293">
        <f>IF(OR(Vu_khi!$M$293="Missile",Vu_khi!$M$293="Drone",AND(Vu_khi!$M$293="Rocket",OR(Vu_khi!$AM$293,Vu_khi!$D$293="guided")),Vu_khi!$AL$293,Vu_khi!$AK$293,Vu_khi!$X$293&lt;=0),FALSE,IF($B$293&gt;=0,$B$293&gt;=4,IF(Vu_khi!$M$293="Shell",Vu_khi!$AN$293&gt;=Canh_bao_vong!$D$10,IF(Vu_khi!$M$293="Bomb",Vu_khi!$AN$293&gt;=Canh_bao_vong!$D$3,IF(Vu_khi!$M$293="Rocket",Vu_khi!$AN$293&gt;=Canh_bao_vong!$D$13,FALSE)))))</f>
        <v/>
      </c>
      <c r="AT293" t="b">
        <v>0</v>
      </c>
      <c r="AU293">
        <f>IF(AND($B$293&lt;0,$AS$293),4,$B$293)</f>
        <v/>
      </c>
      <c r="AV293" t="n">
        <v>3</v>
      </c>
      <c r="AW293">
        <f>IF($AU$293&lt;4,0,MIN(MAX(0.5,Canh_bao_vong!$D$4),MAX(IF(Vu_khi!$C$293="cal_406",Canh_bao_vong!$D$7,IF($AU$293&gt;=5,Canh_bao_vong!$D$9,Canh_bao_vong!$D$8)),Canh_bao_vong!$D$2+MAX(0,Vu_khi!$X$293)/MAX(0.1,Canh_bao_vong!$D$5))))</f>
        <v/>
      </c>
      <c r="AX293" t="n">
        <v>0</v>
      </c>
      <c r="AY293" t="n">
        <v>1</v>
      </c>
      <c r="AZ293" t="inlineStr">
        <is>
          <t>ok</t>
        </is>
      </c>
      <c r="BA293" t="b">
        <v>1</v>
      </c>
      <c r="BB293" t="inlineStr">
        <is>
          <t>Assets/MachineBrigade/Resources/Data/balance.json: weapons[id=pt14_ixion_grad] (lớp B trên 01_chien_dau/Vu_khi)</t>
        </is>
      </c>
      <c r="BC293" t="inlineStr"/>
    </row>
    <row r="294">
      <c r="A294" t="inlineStr">
        <is>
          <t>pt14_ixion_kornet</t>
        </is>
      </c>
      <c r="B294" t="n">
        <v>2</v>
      </c>
      <c r="C294">
        <f>IF(Vu_khi!$O$294="SIMULTANEOUS",MAX(1,Vu_khi!$N$294),1)</f>
        <v/>
      </c>
      <c r="D294" t="n">
        <v>1</v>
      </c>
      <c r="E294">
        <f>IF(Vu_khi!$S$294&gt;0,Vu_khi!$S$294,Vu_khi!$P$294*$C$294)</f>
        <v/>
      </c>
      <c r="F294" t="n">
        <v>1</v>
      </c>
      <c r="G294">
        <f>IF(Vu_khi!$S$294&gt;0,(Vu_khi!$S$294-1)*Vu_khi!$R$294+Vu_khi!$T$294,Vu_khi!$R$294+(Vu_khi!$P$294-1)*Vu_khi!$Q$294)</f>
        <v/>
      </c>
      <c r="H294" t="n">
        <v>12</v>
      </c>
      <c r="I294">
        <f>Vu_khi!$W$294*MAX(1,$E$294)</f>
        <v/>
      </c>
      <c r="J294" t="n">
        <v>230</v>
      </c>
      <c r="K294">
        <f>IF(Vu_khi!$V$294&gt;0,Vu_khi!$V$294,MIN(28,MAX(10,Vu_khi!$U$294*Vu_khi!$R$294*0.4)))</f>
        <v/>
      </c>
      <c r="L294" t="n">
        <v>10</v>
      </c>
      <c r="M294">
        <f>IF(Vu_khi!$W$294&lt;=0,0,IF(Vu_khi!$U$294&gt;0,$I$294*Vu_khi!$U$294/(MAX(0.05,$G$294)*Vu_khi!$U$294+$K$294),$I$294/MAX(0.05,$G$294)))</f>
        <v/>
      </c>
      <c r="N294" t="n">
        <v>19.16666666666667</v>
      </c>
      <c r="O294">
        <f>OR(Vu_khi!$AG$294,Vu_khi!$AB$294&gt;0,Vu_khi!$AH$294,Vu_khi!$M$294="Bomb",Vu_khi!$M$294="Drone")</f>
        <v/>
      </c>
      <c r="P294" t="b">
        <v>0</v>
      </c>
      <c r="Q294">
        <f>AND(NOT(Vu_khi!$AJ$294),OR(Vu_khi!$AC$294="Ground",Vu_khi!$AC$294="All"))</f>
        <v/>
      </c>
      <c r="R294" t="b">
        <v>1</v>
      </c>
      <c r="S294">
        <f>AND(NOT(Vu_khi!$AJ$294),OR(Vu_khi!$AC$294="Air",Vu_khi!$AC$294="All"))</f>
        <v/>
      </c>
      <c r="T294" t="b">
        <v>0</v>
      </c>
      <c r="U294">
        <f>INDEX(Bang_sat_thuong!$B$2:$B$7,MATCH(Vu_khi!$K$294,Bang_sat_thuong!$A$2:$A$7,0))</f>
        <v/>
      </c>
      <c r="V294" t="n">
        <v>1</v>
      </c>
      <c r="W294">
        <f>INDEX(Bang_sat_thuong!$C$2:$C$7,MATCH(Vu_khi!$K$294,Bang_sat_thuong!$A$2:$A$7,0))</f>
        <v/>
      </c>
      <c r="X294" t="n">
        <v>0.3</v>
      </c>
      <c r="Y294">
        <f>IF(AND(Vu_khi!$AI$294,Vu_khi!$K$294="HighExplosive"),MAX(He_so_toan_cuc!$D$2,INDEX(Bang_sat_thuong!$D$2:$D$7,MATCH(Vu_khi!$K$294,Bang_sat_thuong!$A$2:$A$7,0))),INDEX(Bang_sat_thuong!$D$2:$D$7,MATCH(Vu_khi!$K$294,Bang_sat_thuong!$A$2:$A$7,0)))</f>
        <v/>
      </c>
      <c r="Z294" t="n">
        <v>0.6</v>
      </c>
      <c r="AA294">
        <f>INDEX(Bang_xuyen_giap!$C$2:$C$7,MIN(6,MAX(1,IF($O$294,MAX(1,2-(Vu_khi!$L$294-0)),2-(Vu_khi!$L$294-0))+1)))</f>
        <v/>
      </c>
      <c r="AB294" t="n">
        <v>1.2</v>
      </c>
      <c r="AC294">
        <f>INDEX(Bang_xuyen_giap!$C$2:$C$7,MIN(6,MAX(1,IF($O$294,MAX(1,2-(Vu_khi!$L$294-2)),2-(Vu_khi!$L$294-2))+1)))</f>
        <v/>
      </c>
      <c r="AD294" t="n">
        <v>1.2</v>
      </c>
      <c r="AE294">
        <f>INDEX(Bang_xuyen_giap!$C$2:$C$7,MIN(6,MAX(1,IF($O$294,MAX(1,2-(Vu_khi!$L$294-4)),2-(Vu_khi!$L$294-4))+1)))</f>
        <v/>
      </c>
      <c r="AF294" t="n">
        <v>0.85</v>
      </c>
      <c r="AG294">
        <f>INDEX(Bang_xuyen_giap!$C$2:$C$7,MIN(6,MAX(1,MAX(1,2-(Vu_khi!$L$294-0))+1)))</f>
        <v/>
      </c>
      <c r="AH294" t="n">
        <v>1</v>
      </c>
      <c r="AI294">
        <f>IF($Q$294,$M$294*$AA$294*$U$294,0)</f>
        <v/>
      </c>
      <c r="AJ294" t="n">
        <v>23</v>
      </c>
      <c r="AK294">
        <f>IF($Q$294,$M$294*$AC$294*$U$294,0)</f>
        <v/>
      </c>
      <c r="AL294" t="n">
        <v>23</v>
      </c>
      <c r="AM294">
        <f>IF($Q$294,$M$294*$AE$294*$U$294,0)</f>
        <v/>
      </c>
      <c r="AN294" t="n">
        <v>16.29166666666667</v>
      </c>
      <c r="AO294">
        <f>IF($Q$294,$M$294*$AC$294*$Y$294,0)</f>
        <v/>
      </c>
      <c r="AP294" t="n">
        <v>13.8</v>
      </c>
      <c r="AQ294">
        <f>IF($S$294,$M$294*$AG$294*$W$294,0)</f>
        <v/>
      </c>
      <c r="AR294" t="n">
        <v>0</v>
      </c>
      <c r="AS294">
        <f>IF(OR(Vu_khi!$M$294="Missile",Vu_khi!$M$294="Drone",AND(Vu_khi!$M$294="Rocket",OR(Vu_khi!$AM$294,Vu_khi!$D$294="guided")),Vu_khi!$AL$294,Vu_khi!$AK$294,Vu_khi!$X$294&lt;=0),FALSE,IF($B$294&gt;=0,$B$294&gt;=4,IF(Vu_khi!$M$294="Shell",Vu_khi!$AN$294&gt;=Canh_bao_vong!$D$10,IF(Vu_khi!$M$294="Bomb",Vu_khi!$AN$294&gt;=Canh_bao_vong!$D$3,IF(Vu_khi!$M$294="Rocket",Vu_khi!$AN$294&gt;=Canh_bao_vong!$D$13,FALSE)))))</f>
        <v/>
      </c>
      <c r="AT294" t="b">
        <v>0</v>
      </c>
      <c r="AU294">
        <f>IF(AND($B$294&lt;0,$AS$294),4,$B$294)</f>
        <v/>
      </c>
      <c r="AV294" t="n">
        <v>2</v>
      </c>
      <c r="AW294">
        <f>IF($AU$294&lt;4,0,MIN(MAX(0.5,Canh_bao_vong!$D$4),MAX(IF(Vu_khi!$C$294="cal_406",Canh_bao_vong!$D$7,IF($AU$294&gt;=5,Canh_bao_vong!$D$9,Canh_bao_vong!$D$8)),Canh_bao_vong!$D$2+MAX(0,Vu_khi!$X$294)/MAX(0.1,Canh_bao_vong!$D$5))))</f>
        <v/>
      </c>
      <c r="AX294" t="n">
        <v>0</v>
      </c>
      <c r="AY294" t="n">
        <v>1.2</v>
      </c>
      <c r="AZ294" t="inlineStr">
        <is>
          <t>LECH_DOT_1</t>
        </is>
      </c>
      <c r="BA294" t="b">
        <v>1</v>
      </c>
      <c r="BB294" t="inlineStr">
        <is>
          <t>Assets/MachineBrigade/Resources/Data/balance.json: weapons[id=pt14_ixion_kornet] (lớp B trên 01_chien_dau/Vu_khi)</t>
        </is>
      </c>
      <c r="BC294" t="inlineStr"/>
    </row>
    <row r="295">
      <c r="A295" t="inlineStr">
        <is>
          <t>pt14_mk0_v40</t>
        </is>
      </c>
      <c r="B295" t="n">
        <v>1</v>
      </c>
      <c r="C295">
        <f>IF(Vu_khi!$O$295="SIMULTANEOUS",MAX(1,Vu_khi!$N$295),1)</f>
        <v/>
      </c>
      <c r="D295" t="n">
        <v>1</v>
      </c>
      <c r="E295">
        <f>IF(Vu_khi!$S$295&gt;0,Vu_khi!$S$295,Vu_khi!$P$295*$C$295)</f>
        <v/>
      </c>
      <c r="F295" t="n">
        <v>8</v>
      </c>
      <c r="G295">
        <f>IF(Vu_khi!$S$295&gt;0,(Vu_khi!$S$295-1)*Vu_khi!$R$295+Vu_khi!$T$295,Vu_khi!$R$295+(Vu_khi!$P$295-1)*Vu_khi!$Q$295)</f>
        <v/>
      </c>
      <c r="H295" t="n">
        <v>4.300000000000001</v>
      </c>
      <c r="I295">
        <f>Vu_khi!$W$295*MAX(1,$E$295)</f>
        <v/>
      </c>
      <c r="J295" t="n">
        <v>240</v>
      </c>
      <c r="K295">
        <f>IF(Vu_khi!$V$295&gt;0,Vu_khi!$V$295,MIN(28,MAX(10,Vu_khi!$U$295*Vu_khi!$R$295*0.4)))</f>
        <v/>
      </c>
      <c r="L295" t="n">
        <v>10</v>
      </c>
      <c r="M295">
        <f>IF(Vu_khi!$W$295&lt;=0,0,IF(Vu_khi!$U$295&gt;0,$I$295*Vu_khi!$U$295/(MAX(0.05,$G$295)*Vu_khi!$U$295+$K$295),$I$295/MAX(0.05,$G$295)))</f>
        <v/>
      </c>
      <c r="N295" t="n">
        <v>55.81395348837209</v>
      </c>
      <c r="O295">
        <f>OR(Vu_khi!$AG$295,Vu_khi!$AB$295&gt;0,Vu_khi!$AH$295,Vu_khi!$M$295="Bomb",Vu_khi!$M$295="Drone")</f>
        <v/>
      </c>
      <c r="P295" t="b">
        <v>0</v>
      </c>
      <c r="Q295">
        <f>AND(NOT(Vu_khi!$AJ$295),OR(Vu_khi!$AC$295="Ground",Vu_khi!$AC$295="All"))</f>
        <v/>
      </c>
      <c r="R295" t="b">
        <v>1</v>
      </c>
      <c r="S295">
        <f>AND(NOT(Vu_khi!$AJ$295),OR(Vu_khi!$AC$295="Air",Vu_khi!$AC$295="All"))</f>
        <v/>
      </c>
      <c r="T295" t="b">
        <v>1</v>
      </c>
      <c r="U295">
        <f>INDEX(Bang_sat_thuong!$B$2:$B$7,MATCH(Vu_khi!$K$295,Bang_sat_thuong!$A$2:$A$7,0))</f>
        <v/>
      </c>
      <c r="V295" t="n">
        <v>1</v>
      </c>
      <c r="W295">
        <f>INDEX(Bang_sat_thuong!$C$2:$C$7,MATCH(Vu_khi!$K$295,Bang_sat_thuong!$A$2:$A$7,0))</f>
        <v/>
      </c>
      <c r="X295" t="n">
        <v>0.3</v>
      </c>
      <c r="Y295">
        <f>IF(AND(Vu_khi!$AI$295,Vu_khi!$K$295="HighExplosive"),MAX(He_so_toan_cuc!$D$2,INDEX(Bang_sat_thuong!$D$2:$D$7,MATCH(Vu_khi!$K$295,Bang_sat_thuong!$A$2:$A$7,0))),INDEX(Bang_sat_thuong!$D$2:$D$7,MATCH(Vu_khi!$K$295,Bang_sat_thuong!$A$2:$A$7,0)))</f>
        <v/>
      </c>
      <c r="Z295" t="n">
        <v>0.6</v>
      </c>
      <c r="AA295">
        <f>INDEX(Bang_xuyen_giap!$C$2:$C$7,MIN(6,MAX(1,IF($O$295,MAX(1,2-(Vu_khi!$L$295-0)),2-(Vu_khi!$L$295-0))+1)))</f>
        <v/>
      </c>
      <c r="AB295" t="n">
        <v>1.2</v>
      </c>
      <c r="AC295">
        <f>INDEX(Bang_xuyen_giap!$C$2:$C$7,MIN(6,MAX(1,IF($O$295,MAX(1,2-(Vu_khi!$L$295-2)),2-(Vu_khi!$L$295-2))+1)))</f>
        <v/>
      </c>
      <c r="AD295" t="n">
        <v>0.85</v>
      </c>
      <c r="AE295">
        <f>INDEX(Bang_xuyen_giap!$C$2:$C$7,MIN(6,MAX(1,IF($O$295,MAX(1,2-(Vu_khi!$L$295-4)),2-(Vu_khi!$L$295-4))+1)))</f>
        <v/>
      </c>
      <c r="AF295" t="n">
        <v>0.25</v>
      </c>
      <c r="AG295">
        <f>INDEX(Bang_xuyen_giap!$C$2:$C$7,MIN(6,MAX(1,MAX(1,2-(Vu_khi!$L$295-0))+1)))</f>
        <v/>
      </c>
      <c r="AH295" t="n">
        <v>1</v>
      </c>
      <c r="AI295">
        <f>IF($Q$295,$M$295*$AA$295*$U$295,0)</f>
        <v/>
      </c>
      <c r="AJ295" t="n">
        <v>66.9767441860465</v>
      </c>
      <c r="AK295">
        <f>IF($Q$295,$M$295*$AC$295*$U$295,0)</f>
        <v/>
      </c>
      <c r="AL295" t="n">
        <v>47.44186046511627</v>
      </c>
      <c r="AM295">
        <f>IF($Q$295,$M$295*$AE$295*$U$295,0)</f>
        <v/>
      </c>
      <c r="AN295" t="n">
        <v>13.95348837209302</v>
      </c>
      <c r="AO295">
        <f>IF($Q$295,$M$295*$AC$295*$Y$295,0)</f>
        <v/>
      </c>
      <c r="AP295" t="n">
        <v>28.46511627906976</v>
      </c>
      <c r="AQ295">
        <f>IF($S$295,$M$295*$AG$295*$W$295,0)</f>
        <v/>
      </c>
      <c r="AR295" t="n">
        <v>16.74418604651163</v>
      </c>
      <c r="AS295">
        <f>IF(OR(Vu_khi!$M$295="Missile",Vu_khi!$M$295="Drone",AND(Vu_khi!$M$295="Rocket",OR(Vu_khi!$AM$295,Vu_khi!$D$295="guided")),Vu_khi!$AL$295,Vu_khi!$AK$295,Vu_khi!$X$295&lt;=0),FALSE,IF($B$295&gt;=0,$B$295&gt;=4,IF(Vu_khi!$M$295="Shell",Vu_khi!$AN$295&gt;=Canh_bao_vong!$D$10,IF(Vu_khi!$M$295="Bomb",Vu_khi!$AN$295&gt;=Canh_bao_vong!$D$3,IF(Vu_khi!$M$295="Rocket",Vu_khi!$AN$295&gt;=Canh_bao_vong!$D$13,FALSE)))))</f>
        <v/>
      </c>
      <c r="AT295" t="b">
        <v>0</v>
      </c>
      <c r="AU295">
        <f>IF(AND($B$295&lt;0,$AS$295),4,$B$295)</f>
        <v/>
      </c>
      <c r="AV295" t="n">
        <v>1</v>
      </c>
      <c r="AW295">
        <f>IF($AU$295&lt;4,0,MIN(MAX(0.5,Canh_bao_vong!$D$4),MAX(IF(Vu_khi!$C$295="cal_406",Canh_bao_vong!$D$7,IF($AU$295&gt;=5,Canh_bao_vong!$D$9,Canh_bao_vong!$D$8)),Canh_bao_vong!$D$2+MAX(0,Vu_khi!$X$295)/MAX(0.1,Canh_bao_vong!$D$5))))</f>
        <v/>
      </c>
      <c r="AX295" t="n">
        <v>0</v>
      </c>
      <c r="AY295" t="n">
        <v>1.075</v>
      </c>
      <c r="AZ295" t="inlineStr">
        <is>
          <t>LECH_DOT_1</t>
        </is>
      </c>
      <c r="BA295" t="b">
        <v>1</v>
      </c>
      <c r="BB295" t="inlineStr">
        <is>
          <t>Assets/MachineBrigade/Resources/Data/balance.json: weapons[id=pt14_mk0_v40] (lớp B trên 01_chien_dau/Vu_khi)</t>
        </is>
      </c>
      <c r="BC295" t="inlineStr"/>
    </row>
    <row r="296">
      <c r="A296" t="inlineStr">
        <is>
          <t>pt14_sb_v30</t>
        </is>
      </c>
      <c r="B296" t="n">
        <v>1</v>
      </c>
      <c r="C296">
        <f>IF(Vu_khi!$O$296="SIMULTANEOUS",MAX(1,Vu_khi!$N$296),1)</f>
        <v/>
      </c>
      <c r="D296" t="n">
        <v>1</v>
      </c>
      <c r="E296">
        <f>IF(Vu_khi!$S$296&gt;0,Vu_khi!$S$296,Vu_khi!$P$296*$C$296)</f>
        <v/>
      </c>
      <c r="F296" t="n">
        <v>8</v>
      </c>
      <c r="G296">
        <f>IF(Vu_khi!$S$296&gt;0,(Vu_khi!$S$296-1)*Vu_khi!$R$296+Vu_khi!$T$296,Vu_khi!$R$296+(Vu_khi!$P$296-1)*Vu_khi!$Q$296)</f>
        <v/>
      </c>
      <c r="H296" t="n">
        <v>2.6</v>
      </c>
      <c r="I296">
        <f>Vu_khi!$W$296*MAX(1,$E$296)</f>
        <v/>
      </c>
      <c r="J296" t="n">
        <v>176</v>
      </c>
      <c r="K296">
        <f>IF(Vu_khi!$V$296&gt;0,Vu_khi!$V$296,MIN(28,MAX(10,Vu_khi!$U$296*Vu_khi!$R$296*0.4)))</f>
        <v/>
      </c>
      <c r="L296" t="n">
        <v>10</v>
      </c>
      <c r="M296">
        <f>IF(Vu_khi!$W$296&lt;=0,0,IF(Vu_khi!$U$296&gt;0,$I$296*Vu_khi!$U$296/(MAX(0.05,$G$296)*Vu_khi!$U$296+$K$296),$I$296/MAX(0.05,$G$296)))</f>
        <v/>
      </c>
      <c r="N296" t="n">
        <v>67.69230769230769</v>
      </c>
      <c r="O296">
        <f>OR(Vu_khi!$AG$296,Vu_khi!$AB$296&gt;0,Vu_khi!$AH$296,Vu_khi!$M$296="Bomb",Vu_khi!$M$296="Drone")</f>
        <v/>
      </c>
      <c r="P296" t="b">
        <v>0</v>
      </c>
      <c r="Q296">
        <f>AND(NOT(Vu_khi!$AJ$296),OR(Vu_khi!$AC$296="Ground",Vu_khi!$AC$296="All"))</f>
        <v/>
      </c>
      <c r="R296" t="b">
        <v>1</v>
      </c>
      <c r="S296">
        <f>AND(NOT(Vu_khi!$AJ$296),OR(Vu_khi!$AC$296="Air",Vu_khi!$AC$296="All"))</f>
        <v/>
      </c>
      <c r="T296" t="b">
        <v>0</v>
      </c>
      <c r="U296">
        <f>INDEX(Bang_sat_thuong!$B$2:$B$7,MATCH(Vu_khi!$K$296,Bang_sat_thuong!$A$2:$A$7,0))</f>
        <v/>
      </c>
      <c r="V296" t="n">
        <v>1</v>
      </c>
      <c r="W296">
        <f>INDEX(Bang_sat_thuong!$C$2:$C$7,MATCH(Vu_khi!$K$296,Bang_sat_thuong!$A$2:$A$7,0))</f>
        <v/>
      </c>
      <c r="X296" t="n">
        <v>0.3</v>
      </c>
      <c r="Y296">
        <f>IF(AND(Vu_khi!$AI$296,Vu_khi!$K$296="HighExplosive"),MAX(He_so_toan_cuc!$D$2,INDEX(Bang_sat_thuong!$D$2:$D$7,MATCH(Vu_khi!$K$296,Bang_sat_thuong!$A$2:$A$7,0))),INDEX(Bang_sat_thuong!$D$2:$D$7,MATCH(Vu_khi!$K$296,Bang_sat_thuong!$A$2:$A$7,0)))</f>
        <v/>
      </c>
      <c r="Z296" t="n">
        <v>0.6</v>
      </c>
      <c r="AA296">
        <f>INDEX(Bang_xuyen_giap!$C$2:$C$7,MIN(6,MAX(1,IF($O$296,MAX(1,2-(Vu_khi!$L$296-0)),2-(Vu_khi!$L$296-0))+1)))</f>
        <v/>
      </c>
      <c r="AB296" t="n">
        <v>1.2</v>
      </c>
      <c r="AC296">
        <f>INDEX(Bang_xuyen_giap!$C$2:$C$7,MIN(6,MAX(1,IF($O$296,MAX(1,2-(Vu_khi!$L$296-2)),2-(Vu_khi!$L$296-2))+1)))</f>
        <v/>
      </c>
      <c r="AD296" t="n">
        <v>0.85</v>
      </c>
      <c r="AE296">
        <f>INDEX(Bang_xuyen_giap!$C$2:$C$7,MIN(6,MAX(1,IF($O$296,MAX(1,2-(Vu_khi!$L$296-4)),2-(Vu_khi!$L$296-4))+1)))</f>
        <v/>
      </c>
      <c r="AF296" t="n">
        <v>0.25</v>
      </c>
      <c r="AG296">
        <f>INDEX(Bang_xuyen_giap!$C$2:$C$7,MIN(6,MAX(1,MAX(1,2-(Vu_khi!$L$296-0))+1)))</f>
        <v/>
      </c>
      <c r="AH296" t="n">
        <v>1</v>
      </c>
      <c r="AI296">
        <f>IF($Q$296,$M$296*$AA$296*$U$296,0)</f>
        <v/>
      </c>
      <c r="AJ296" t="n">
        <v>81.23076923076923</v>
      </c>
      <c r="AK296">
        <f>IF($Q$296,$M$296*$AC$296*$U$296,0)</f>
        <v/>
      </c>
      <c r="AL296" t="n">
        <v>57.53846153846154</v>
      </c>
      <c r="AM296">
        <f>IF($Q$296,$M$296*$AE$296*$U$296,0)</f>
        <v/>
      </c>
      <c r="AN296" t="n">
        <v>16.92307692307692</v>
      </c>
      <c r="AO296">
        <f>IF($Q$296,$M$296*$AC$296*$Y$296,0)</f>
        <v/>
      </c>
      <c r="AP296" t="n">
        <v>34.52307692307692</v>
      </c>
      <c r="AQ296">
        <f>IF($S$296,$M$296*$AG$296*$W$296,0)</f>
        <v/>
      </c>
      <c r="AR296" t="n">
        <v>0</v>
      </c>
      <c r="AS296">
        <f>IF(OR(Vu_khi!$M$296="Missile",Vu_khi!$M$296="Drone",AND(Vu_khi!$M$296="Rocket",OR(Vu_khi!$AM$296,Vu_khi!$D$296="guided")),Vu_khi!$AL$296,Vu_khi!$AK$296,Vu_khi!$X$296&lt;=0),FALSE,IF($B$296&gt;=0,$B$296&gt;=4,IF(Vu_khi!$M$296="Shell",Vu_khi!$AN$296&gt;=Canh_bao_vong!$D$10,IF(Vu_khi!$M$296="Bomb",Vu_khi!$AN$296&gt;=Canh_bao_vong!$D$3,IF(Vu_khi!$M$296="Rocket",Vu_khi!$AN$296&gt;=Canh_bao_vong!$D$13,FALSE)))))</f>
        <v/>
      </c>
      <c r="AT296" t="b">
        <v>0</v>
      </c>
      <c r="AU296">
        <f>IF(AND($B$296&lt;0,$AS$296),4,$B$296)</f>
        <v/>
      </c>
      <c r="AV296" t="n">
        <v>1</v>
      </c>
      <c r="AW296">
        <f>IF($AU$296&lt;4,0,MIN(MAX(0.5,Canh_bao_vong!$D$4),MAX(IF(Vu_khi!$C$296="cal_406",Canh_bao_vong!$D$7,IF($AU$296&gt;=5,Canh_bao_vong!$D$9,Canh_bao_vong!$D$8)),Canh_bao_vong!$D$2+MAX(0,Vu_khi!$X$296)/MAX(0.1,Canh_bao_vong!$D$5))))</f>
        <v/>
      </c>
      <c r="AX296" t="n">
        <v>0</v>
      </c>
      <c r="AY296" t="inlineStr"/>
      <c r="AZ296" t="inlineStr">
        <is>
          <t>LECH_DOT_1</t>
        </is>
      </c>
      <c r="BA296" t="b">
        <v>1</v>
      </c>
      <c r="BB296" t="inlineStr">
        <is>
          <t>Assets/MachineBrigade/Resources/Data/balance.json: weapons[id=pt14_sb_v30] (lớp B trên 01_chien_dau/Vu_khi)</t>
        </is>
      </c>
      <c r="BC296" t="inlineStr"/>
    </row>
    <row r="297">
      <c r="A297" t="inlineStr">
        <is>
          <t>pt14_sb_v105</t>
        </is>
      </c>
      <c r="B297" t="n">
        <v>2</v>
      </c>
      <c r="C297">
        <f>IF(Vu_khi!$O$297="SIMULTANEOUS",MAX(1,Vu_khi!$N$297),1)</f>
        <v/>
      </c>
      <c r="D297" t="n">
        <v>1</v>
      </c>
      <c r="E297">
        <f>IF(Vu_khi!$S$297&gt;0,Vu_khi!$S$297,Vu_khi!$P$297*$C$297)</f>
        <v/>
      </c>
      <c r="F297" t="n">
        <v>1</v>
      </c>
      <c r="G297">
        <f>IF(Vu_khi!$S$297&gt;0,(Vu_khi!$S$297-1)*Vu_khi!$R$297+Vu_khi!$T$297,Vu_khi!$R$297+(Vu_khi!$P$297-1)*Vu_khi!$Q$297)</f>
        <v/>
      </c>
      <c r="H297" t="n">
        <v>6</v>
      </c>
      <c r="I297">
        <f>Vu_khi!$W$297*MAX(1,$E$297)</f>
        <v/>
      </c>
      <c r="J297" t="n">
        <v>300</v>
      </c>
      <c r="K297">
        <f>IF(Vu_khi!$V$297&gt;0,Vu_khi!$V$297,MIN(28,MAX(10,Vu_khi!$U$297*Vu_khi!$R$297*0.4)))</f>
        <v/>
      </c>
      <c r="L297" t="n">
        <v>10</v>
      </c>
      <c r="M297">
        <f>IF(Vu_khi!$W$297&lt;=0,0,IF(Vu_khi!$U$297&gt;0,$I$297*Vu_khi!$U$297/(MAX(0.05,$G$297)*Vu_khi!$U$297+$K$297),$I$297/MAX(0.05,$G$297)))</f>
        <v/>
      </c>
      <c r="N297" t="n">
        <v>50</v>
      </c>
      <c r="O297">
        <f>OR(Vu_khi!$AG$297,Vu_khi!$AB$297&gt;0,Vu_khi!$AH$297,Vu_khi!$M$297="Bomb",Vu_khi!$M$297="Drone")</f>
        <v/>
      </c>
      <c r="P297" t="b">
        <v>0</v>
      </c>
      <c r="Q297">
        <f>AND(NOT(Vu_khi!$AJ$297),OR(Vu_khi!$AC$297="Ground",Vu_khi!$AC$297="All"))</f>
        <v/>
      </c>
      <c r="R297" t="b">
        <v>1</v>
      </c>
      <c r="S297">
        <f>AND(NOT(Vu_khi!$AJ$297),OR(Vu_khi!$AC$297="Air",Vu_khi!$AC$297="All"))</f>
        <v/>
      </c>
      <c r="T297" t="b">
        <v>0</v>
      </c>
      <c r="U297">
        <f>INDEX(Bang_sat_thuong!$B$2:$B$7,MATCH(Vu_khi!$K$297,Bang_sat_thuong!$A$2:$A$7,0))</f>
        <v/>
      </c>
      <c r="V297" t="n">
        <v>1</v>
      </c>
      <c r="W297">
        <f>INDEX(Bang_sat_thuong!$C$2:$C$7,MATCH(Vu_khi!$K$297,Bang_sat_thuong!$A$2:$A$7,0))</f>
        <v/>
      </c>
      <c r="X297" t="n">
        <v>0</v>
      </c>
      <c r="Y297">
        <f>IF(AND(Vu_khi!$AI$297,Vu_khi!$K$297="HighExplosive"),MAX(He_so_toan_cuc!$D$2,INDEX(Bang_sat_thuong!$D$2:$D$7,MATCH(Vu_khi!$K$297,Bang_sat_thuong!$A$2:$A$7,0))),INDEX(Bang_sat_thuong!$D$2:$D$7,MATCH(Vu_khi!$K$297,Bang_sat_thuong!$A$2:$A$7,0)))</f>
        <v/>
      </c>
      <c r="Z297" t="n">
        <v>1.5</v>
      </c>
      <c r="AA297">
        <f>INDEX(Bang_xuyen_giap!$C$2:$C$7,MIN(6,MAX(1,IF($O$297,MAX(1,2-(Vu_khi!$L$297-0)),2-(Vu_khi!$L$297-0))+1)))</f>
        <v/>
      </c>
      <c r="AB297" t="n">
        <v>1.2</v>
      </c>
      <c r="AC297">
        <f>INDEX(Bang_xuyen_giap!$C$2:$C$7,MIN(6,MAX(1,IF($O$297,MAX(1,2-(Vu_khi!$L$297-2)),2-(Vu_khi!$L$297-2))+1)))</f>
        <v/>
      </c>
      <c r="AD297" t="n">
        <v>0.85</v>
      </c>
      <c r="AE297">
        <f>INDEX(Bang_xuyen_giap!$C$2:$C$7,MIN(6,MAX(1,IF($O$297,MAX(1,2-(Vu_khi!$L$297-4)),2-(Vu_khi!$L$297-4))+1)))</f>
        <v/>
      </c>
      <c r="AF297" t="n">
        <v>0.25</v>
      </c>
      <c r="AG297">
        <f>INDEX(Bang_xuyen_giap!$C$2:$C$7,MIN(6,MAX(1,MAX(1,2-(Vu_khi!$L$297-0))+1)))</f>
        <v/>
      </c>
      <c r="AH297" t="n">
        <v>1</v>
      </c>
      <c r="AI297">
        <f>IF($Q$297,$M$297*$AA$297*$U$297,0)</f>
        <v/>
      </c>
      <c r="AJ297" t="n">
        <v>60</v>
      </c>
      <c r="AK297">
        <f>IF($Q$297,$M$297*$AC$297*$U$297,0)</f>
        <v/>
      </c>
      <c r="AL297" t="n">
        <v>42.5</v>
      </c>
      <c r="AM297">
        <f>IF($Q$297,$M$297*$AE$297*$U$297,0)</f>
        <v/>
      </c>
      <c r="AN297" t="n">
        <v>12.5</v>
      </c>
      <c r="AO297">
        <f>IF($Q$297,$M$297*$AC$297*$Y$297,0)</f>
        <v/>
      </c>
      <c r="AP297" t="n">
        <v>63.74999999999999</v>
      </c>
      <c r="AQ297">
        <f>IF($S$297,$M$297*$AG$297*$W$297,0)</f>
        <v/>
      </c>
      <c r="AR297" t="n">
        <v>0</v>
      </c>
      <c r="AS297">
        <f>IF(OR(Vu_khi!$M$297="Missile",Vu_khi!$M$297="Drone",AND(Vu_khi!$M$297="Rocket",OR(Vu_khi!$AM$297,Vu_khi!$D$297="guided")),Vu_khi!$AL$297,Vu_khi!$AK$297,Vu_khi!$X$297&lt;=0),FALSE,IF($B$297&gt;=0,$B$297&gt;=4,IF(Vu_khi!$M$297="Shell",Vu_khi!$AN$297&gt;=Canh_bao_vong!$D$10,IF(Vu_khi!$M$297="Bomb",Vu_khi!$AN$297&gt;=Canh_bao_vong!$D$3,IF(Vu_khi!$M$297="Rocket",Vu_khi!$AN$297&gt;=Canh_bao_vong!$D$13,FALSE)))))</f>
        <v/>
      </c>
      <c r="AT297" t="b">
        <v>0</v>
      </c>
      <c r="AU297">
        <f>IF(AND($B$297&lt;0,$AS$297),4,$B$297)</f>
        <v/>
      </c>
      <c r="AV297" t="n">
        <v>2</v>
      </c>
      <c r="AW297">
        <f>IF($AU$297&lt;4,0,MIN(MAX(0.5,Canh_bao_vong!$D$4),MAX(IF(Vu_khi!$C$297="cal_406",Canh_bao_vong!$D$7,IF($AU$297&gt;=5,Canh_bao_vong!$D$9,Canh_bao_vong!$D$8)),Canh_bao_vong!$D$2+MAX(0,Vu_khi!$X$297)/MAX(0.1,Canh_bao_vong!$D$5))))</f>
        <v/>
      </c>
      <c r="AX297" t="n">
        <v>0</v>
      </c>
      <c r="AY297" t="n">
        <v>0.7</v>
      </c>
      <c r="AZ297" t="inlineStr">
        <is>
          <t>LECH_DOT_1;LECH_HO</t>
        </is>
      </c>
      <c r="BA297" t="b">
        <v>0</v>
      </c>
      <c r="BB297" t="inlineStr">
        <is>
          <t>Assets/MachineBrigade/Resources/Data/balance.json: weapons[id=pt14_sb_v105] (lớp B trên 01_chien_dau/Vu_khi)</t>
        </is>
      </c>
      <c r="BC297" t="inlineStr"/>
    </row>
    <row r="298">
      <c r="A298" t="inlineStr">
        <is>
          <t>pt14_th_jagm</t>
        </is>
      </c>
      <c r="B298" t="n">
        <v>2</v>
      </c>
      <c r="C298">
        <f>IF(Vu_khi!$O$298="SIMULTANEOUS",MAX(1,Vu_khi!$N$298),1)</f>
        <v/>
      </c>
      <c r="D298" t="n">
        <v>1</v>
      </c>
      <c r="E298">
        <f>IF(Vu_khi!$S$298&gt;0,Vu_khi!$S$298,Vu_khi!$P$298*$C$298)</f>
        <v/>
      </c>
      <c r="F298" t="n">
        <v>2</v>
      </c>
      <c r="G298">
        <f>IF(Vu_khi!$S$298&gt;0,(Vu_khi!$S$298-1)*Vu_khi!$R$298+Vu_khi!$T$298,Vu_khi!$R$298+(Vu_khi!$P$298-1)*Vu_khi!$Q$298)</f>
        <v/>
      </c>
      <c r="H298" t="n">
        <v>9.5</v>
      </c>
      <c r="I298">
        <f>Vu_khi!$W$298*MAX(1,$E$298)</f>
        <v/>
      </c>
      <c r="J298" t="n">
        <v>540</v>
      </c>
      <c r="K298">
        <f>IF(Vu_khi!$V$298&gt;0,Vu_khi!$V$298,MIN(28,MAX(10,Vu_khi!$U$298*Vu_khi!$R$298*0.4)))</f>
        <v/>
      </c>
      <c r="L298" t="n">
        <v>10</v>
      </c>
      <c r="M298">
        <f>IF(Vu_khi!$W$298&lt;=0,0,IF(Vu_khi!$U$298&gt;0,$I$298*Vu_khi!$U$298/(MAX(0.05,$G$298)*Vu_khi!$U$298+$K$298),$I$298/MAX(0.05,$G$298)))</f>
        <v/>
      </c>
      <c r="N298" t="n">
        <v>56.8421052631579</v>
      </c>
      <c r="O298">
        <f>OR(Vu_khi!$AG$298,Vu_khi!$AB$298&gt;0,Vu_khi!$AH$298,Vu_khi!$M$298="Bomb",Vu_khi!$M$298="Drone")</f>
        <v/>
      </c>
      <c r="P298" t="b">
        <v>0</v>
      </c>
      <c r="Q298">
        <f>AND(NOT(Vu_khi!$AJ$298),OR(Vu_khi!$AC$298="Ground",Vu_khi!$AC$298="All"))</f>
        <v/>
      </c>
      <c r="R298" t="b">
        <v>1</v>
      </c>
      <c r="S298">
        <f>AND(NOT(Vu_khi!$AJ$298),OR(Vu_khi!$AC$298="Air",Vu_khi!$AC$298="All"))</f>
        <v/>
      </c>
      <c r="T298" t="b">
        <v>0</v>
      </c>
      <c r="U298">
        <f>INDEX(Bang_sat_thuong!$B$2:$B$7,MATCH(Vu_khi!$K$298,Bang_sat_thuong!$A$2:$A$7,0))</f>
        <v/>
      </c>
      <c r="V298" t="n">
        <v>1</v>
      </c>
      <c r="W298">
        <f>INDEX(Bang_sat_thuong!$C$2:$C$7,MATCH(Vu_khi!$K$298,Bang_sat_thuong!$A$2:$A$7,0))</f>
        <v/>
      </c>
      <c r="X298" t="n">
        <v>0.3</v>
      </c>
      <c r="Y298">
        <f>IF(AND(Vu_khi!$AI$298,Vu_khi!$K$298="HighExplosive"),MAX(He_so_toan_cuc!$D$2,INDEX(Bang_sat_thuong!$D$2:$D$7,MATCH(Vu_khi!$K$298,Bang_sat_thuong!$A$2:$A$7,0))),INDEX(Bang_sat_thuong!$D$2:$D$7,MATCH(Vu_khi!$K$298,Bang_sat_thuong!$A$2:$A$7,0)))</f>
        <v/>
      </c>
      <c r="Z298" t="n">
        <v>0.6</v>
      </c>
      <c r="AA298">
        <f>INDEX(Bang_xuyen_giap!$C$2:$C$7,MIN(6,MAX(1,IF($O$298,MAX(1,2-(Vu_khi!$L$298-0)),2-(Vu_khi!$L$298-0))+1)))</f>
        <v/>
      </c>
      <c r="AB298" t="n">
        <v>1.2</v>
      </c>
      <c r="AC298">
        <f>INDEX(Bang_xuyen_giap!$C$2:$C$7,MIN(6,MAX(1,IF($O$298,MAX(1,2-(Vu_khi!$L$298-2)),2-(Vu_khi!$L$298-2))+1)))</f>
        <v/>
      </c>
      <c r="AD298" t="n">
        <v>1.2</v>
      </c>
      <c r="AE298">
        <f>INDEX(Bang_xuyen_giap!$C$2:$C$7,MIN(6,MAX(1,IF($O$298,MAX(1,2-(Vu_khi!$L$298-4)),2-(Vu_khi!$L$298-4))+1)))</f>
        <v/>
      </c>
      <c r="AF298" t="n">
        <v>0.85</v>
      </c>
      <c r="AG298">
        <f>INDEX(Bang_xuyen_giap!$C$2:$C$7,MIN(6,MAX(1,MAX(1,2-(Vu_khi!$L$298-0))+1)))</f>
        <v/>
      </c>
      <c r="AH298" t="n">
        <v>1</v>
      </c>
      <c r="AI298">
        <f>IF($Q$298,$M$298*$AA$298*$U$298,0)</f>
        <v/>
      </c>
      <c r="AJ298" t="n">
        <v>68.21052631578948</v>
      </c>
      <c r="AK298">
        <f>IF($Q$298,$M$298*$AC$298*$U$298,0)</f>
        <v/>
      </c>
      <c r="AL298" t="n">
        <v>68.21052631578948</v>
      </c>
      <c r="AM298">
        <f>IF($Q$298,$M$298*$AE$298*$U$298,0)</f>
        <v/>
      </c>
      <c r="AN298" t="n">
        <v>48.31578947368421</v>
      </c>
      <c r="AO298">
        <f>IF($Q$298,$M$298*$AC$298*$Y$298,0)</f>
        <v/>
      </c>
      <c r="AP298" t="n">
        <v>40.92631578947368</v>
      </c>
      <c r="AQ298">
        <f>IF($S$298,$M$298*$AG$298*$W$298,0)</f>
        <v/>
      </c>
      <c r="AR298" t="n">
        <v>0</v>
      </c>
      <c r="AS298">
        <f>IF(OR(Vu_khi!$M$298="Missile",Vu_khi!$M$298="Drone",AND(Vu_khi!$M$298="Rocket",OR(Vu_khi!$AM$298,Vu_khi!$D$298="guided")),Vu_khi!$AL$298,Vu_khi!$AK$298,Vu_khi!$X$298&lt;=0),FALSE,IF($B$298&gt;=0,$B$298&gt;=4,IF(Vu_khi!$M$298="Shell",Vu_khi!$AN$298&gt;=Canh_bao_vong!$D$10,IF(Vu_khi!$M$298="Bomb",Vu_khi!$AN$298&gt;=Canh_bao_vong!$D$3,IF(Vu_khi!$M$298="Rocket",Vu_khi!$AN$298&gt;=Canh_bao_vong!$D$13,FALSE)))))</f>
        <v/>
      </c>
      <c r="AT298" t="b">
        <v>0</v>
      </c>
      <c r="AU298">
        <f>IF(AND($B$298&lt;0,$AS$298),4,$B$298)</f>
        <v/>
      </c>
      <c r="AV298" t="n">
        <v>2</v>
      </c>
      <c r="AW298">
        <f>IF($AU$298&lt;4,0,MIN(MAX(0.5,Canh_bao_vong!$D$4),MAX(IF(Vu_khi!$C$298="cal_406",Canh_bao_vong!$D$7,IF($AU$298&gt;=5,Canh_bao_vong!$D$9,Canh_bao_vong!$D$8)),Canh_bao_vong!$D$2+MAX(0,Vu_khi!$X$298)/MAX(0.1,Canh_bao_vong!$D$5))))</f>
        <v/>
      </c>
      <c r="AX298" t="n">
        <v>0</v>
      </c>
      <c r="AY298" t="inlineStr"/>
      <c r="AZ298" t="inlineStr">
        <is>
          <t>LECH_DOT_1</t>
        </is>
      </c>
      <c r="BA298" t="b">
        <v>1</v>
      </c>
      <c r="BB298" t="inlineStr">
        <is>
          <t>Assets/MachineBrigade/Resources/Data/balance.json: weapons[id=pt14_th_jagm] (lớp B trên 01_chien_dau/Vu_khi)</t>
        </is>
      </c>
      <c r="BC298" t="inlineStr"/>
    </row>
    <row r="299">
      <c r="A299" t="inlineStr">
        <is>
          <t>pt14_th_pd</t>
        </is>
      </c>
      <c r="B299" t="n">
        <v>1</v>
      </c>
      <c r="C299">
        <f>IF(Vu_khi!$O$299="SIMULTANEOUS",MAX(1,Vu_khi!$N$299),1)</f>
        <v/>
      </c>
      <c r="D299" t="n">
        <v>1</v>
      </c>
      <c r="E299">
        <f>IF(Vu_khi!$S$299&gt;0,Vu_khi!$S$299,Vu_khi!$P$299*$C$299)</f>
        <v/>
      </c>
      <c r="F299" t="n">
        <v>1</v>
      </c>
      <c r="G299">
        <f>IF(Vu_khi!$S$299&gt;0,(Vu_khi!$S$299-1)*Vu_khi!$R$299+Vu_khi!$T$299,Vu_khi!$R$299+(Vu_khi!$P$299-1)*Vu_khi!$Q$299)</f>
        <v/>
      </c>
      <c r="H299" t="n">
        <v>0.0667</v>
      </c>
      <c r="I299">
        <f>Vu_khi!$W$299*MAX(1,$E$299)</f>
        <v/>
      </c>
      <c r="J299" t="n">
        <v>6</v>
      </c>
      <c r="K299">
        <f>IF(Vu_khi!$V$299&gt;0,Vu_khi!$V$299,MIN(28,MAX(10,Vu_khi!$U$299*Vu_khi!$R$299*0.4)))</f>
        <v/>
      </c>
      <c r="L299" t="n">
        <v>10</v>
      </c>
      <c r="M299">
        <f>IF(Vu_khi!$W$299&lt;=0,0,IF(Vu_khi!$U$299&gt;0,$I$299*Vu_khi!$U$299/(MAX(0.05,$G$299)*Vu_khi!$U$299+$K$299),$I$299/MAX(0.05,$G$299)))</f>
        <v/>
      </c>
      <c r="N299" t="n">
        <v>89.95502248875563</v>
      </c>
      <c r="O299">
        <f>OR(Vu_khi!$AG$299,Vu_khi!$AB$299&gt;0,Vu_khi!$AH$299,Vu_khi!$M$299="Bomb",Vu_khi!$M$299="Drone")</f>
        <v/>
      </c>
      <c r="P299" t="b">
        <v>0</v>
      </c>
      <c r="Q299">
        <f>AND(NOT(Vu_khi!$AJ$299),OR(Vu_khi!$AC$299="Ground",Vu_khi!$AC$299="All"))</f>
        <v/>
      </c>
      <c r="R299" t="b">
        <v>0</v>
      </c>
      <c r="S299">
        <f>AND(NOT(Vu_khi!$AJ$299),OR(Vu_khi!$AC$299="Air",Vu_khi!$AC$299="All"))</f>
        <v/>
      </c>
      <c r="T299" t="b">
        <v>1</v>
      </c>
      <c r="U299">
        <f>INDEX(Bang_sat_thuong!$B$2:$B$7,MATCH(Vu_khi!$K$299,Bang_sat_thuong!$A$2:$A$7,0))</f>
        <v/>
      </c>
      <c r="V299" t="n">
        <v>1</v>
      </c>
      <c r="W299">
        <f>INDEX(Bang_sat_thuong!$C$2:$C$7,MATCH(Vu_khi!$K$299,Bang_sat_thuong!$A$2:$A$7,0))</f>
        <v/>
      </c>
      <c r="X299" t="n">
        <v>1.5</v>
      </c>
      <c r="Y299">
        <f>IF(AND(Vu_khi!$AI$299,Vu_khi!$K$299="HighExplosive"),MAX(He_so_toan_cuc!$D$2,INDEX(Bang_sat_thuong!$D$2:$D$7,MATCH(Vu_khi!$K$299,Bang_sat_thuong!$A$2:$A$7,0))),INDEX(Bang_sat_thuong!$D$2:$D$7,MATCH(Vu_khi!$K$299,Bang_sat_thuong!$A$2:$A$7,0)))</f>
        <v/>
      </c>
      <c r="Z299" t="n">
        <v>0.5</v>
      </c>
      <c r="AA299">
        <f>INDEX(Bang_xuyen_giap!$C$2:$C$7,MIN(6,MAX(1,IF($O$299,MAX(1,2-(Vu_khi!$L$299-0)),2-(Vu_khi!$L$299-0))+1)))</f>
        <v/>
      </c>
      <c r="AB299" t="n">
        <v>1.2</v>
      </c>
      <c r="AC299">
        <f>INDEX(Bang_xuyen_giap!$C$2:$C$7,MIN(6,MAX(1,IF($O$299,MAX(1,2-(Vu_khi!$L$299-2)),2-(Vu_khi!$L$299-2))+1)))</f>
        <v/>
      </c>
      <c r="AD299" t="n">
        <v>0.85</v>
      </c>
      <c r="AE299">
        <f>INDEX(Bang_xuyen_giap!$C$2:$C$7,MIN(6,MAX(1,IF($O$299,MAX(1,2-(Vu_khi!$L$299-4)),2-(Vu_khi!$L$299-4))+1)))</f>
        <v/>
      </c>
      <c r="AF299" t="n">
        <v>0.25</v>
      </c>
      <c r="AG299">
        <f>INDEX(Bang_xuyen_giap!$C$2:$C$7,MIN(6,MAX(1,MAX(1,2-(Vu_khi!$L$299-0))+1)))</f>
        <v/>
      </c>
      <c r="AH299" t="n">
        <v>1</v>
      </c>
      <c r="AI299">
        <f>IF($Q$299,$M$299*$AA$299*$U$299,0)</f>
        <v/>
      </c>
      <c r="AJ299" t="n">
        <v>0</v>
      </c>
      <c r="AK299">
        <f>IF($Q$299,$M$299*$AC$299*$U$299,0)</f>
        <v/>
      </c>
      <c r="AL299" t="n">
        <v>0</v>
      </c>
      <c r="AM299">
        <f>IF($Q$299,$M$299*$AE$299*$U$299,0)</f>
        <v/>
      </c>
      <c r="AN299" t="n">
        <v>0</v>
      </c>
      <c r="AO299">
        <f>IF($Q$299,$M$299*$AC$299*$Y$299,0)</f>
        <v/>
      </c>
      <c r="AP299" t="n">
        <v>0</v>
      </c>
      <c r="AQ299">
        <f>IF($S$299,$M$299*$AG$299*$W$299,0)</f>
        <v/>
      </c>
      <c r="AR299" t="n">
        <v>134.9325337331335</v>
      </c>
      <c r="AS299">
        <f>IF(OR(Vu_khi!$M$299="Missile",Vu_khi!$M$299="Drone",AND(Vu_khi!$M$299="Rocket",OR(Vu_khi!$AM$299,Vu_khi!$D$299="guided")),Vu_khi!$AL$299,Vu_khi!$AK$299,Vu_khi!$X$299&lt;=0),FALSE,IF($B$299&gt;=0,$B$299&gt;=4,IF(Vu_khi!$M$299="Shell",Vu_khi!$AN$299&gt;=Canh_bao_vong!$D$10,IF(Vu_khi!$M$299="Bomb",Vu_khi!$AN$299&gt;=Canh_bao_vong!$D$3,IF(Vu_khi!$M$299="Rocket",Vu_khi!$AN$299&gt;=Canh_bao_vong!$D$13,FALSE)))))</f>
        <v/>
      </c>
      <c r="AT299" t="b">
        <v>0</v>
      </c>
      <c r="AU299">
        <f>IF(AND($B$299&lt;0,$AS$299),4,$B$299)</f>
        <v/>
      </c>
      <c r="AV299" t="n">
        <v>1</v>
      </c>
      <c r="AW299">
        <f>IF($AU$299&lt;4,0,MIN(MAX(0.5,Canh_bao_vong!$D$4),MAX(IF(Vu_khi!$C$299="cal_406",Canh_bao_vong!$D$7,IF($AU$299&gt;=5,Canh_bao_vong!$D$9,Canh_bao_vong!$D$8)),Canh_bao_vong!$D$2+MAX(0,Vu_khi!$X$299)/MAX(0.1,Canh_bao_vong!$D$5))))</f>
        <v/>
      </c>
      <c r="AX299" t="n">
        <v>0</v>
      </c>
      <c r="AY299" t="inlineStr"/>
      <c r="AZ299" t="inlineStr">
        <is>
          <t>ok</t>
        </is>
      </c>
      <c r="BA299" t="b">
        <v>1</v>
      </c>
      <c r="BB299" t="inlineStr">
        <is>
          <t>Assets/MachineBrigade/Resources/Data/balance.json: weapons[id=pt14_th_pd] (lớp B trên 01_chien_dau/Vu_khi)</t>
        </is>
      </c>
      <c r="BC299" t="inlineStr"/>
    </row>
    <row r="300">
      <c r="A300" t="inlineStr">
        <is>
          <t>pt14_th_v35</t>
        </is>
      </c>
      <c r="B300" t="n">
        <v>1</v>
      </c>
      <c r="C300">
        <f>IF(Vu_khi!$O$300="SIMULTANEOUS",MAX(1,Vu_khi!$N$300),1)</f>
        <v/>
      </c>
      <c r="D300" t="n">
        <v>1</v>
      </c>
      <c r="E300">
        <f>IF(Vu_khi!$S$300&gt;0,Vu_khi!$S$300,Vu_khi!$P$300*$C$300)</f>
        <v/>
      </c>
      <c r="F300" t="n">
        <v>16</v>
      </c>
      <c r="G300">
        <f>IF(Vu_khi!$S$300&gt;0,(Vu_khi!$S$300-1)*Vu_khi!$R$300+Vu_khi!$T$300,Vu_khi!$R$300+(Vu_khi!$P$300-1)*Vu_khi!$Q$300)</f>
        <v/>
      </c>
      <c r="H300" t="n">
        <v>5.55</v>
      </c>
      <c r="I300">
        <f>Vu_khi!$W$300*MAX(1,$E$300)</f>
        <v/>
      </c>
      <c r="J300" t="n">
        <v>400</v>
      </c>
      <c r="K300">
        <f>IF(Vu_khi!$V$300&gt;0,Vu_khi!$V$300,MIN(28,MAX(10,Vu_khi!$U$300*Vu_khi!$R$300*0.4)))</f>
        <v/>
      </c>
      <c r="L300" t="n">
        <v>10</v>
      </c>
      <c r="M300">
        <f>IF(Vu_khi!$W$300&lt;=0,0,IF(Vu_khi!$U$300&gt;0,$I$300*Vu_khi!$U$300/(MAX(0.05,$G$300)*Vu_khi!$U$300+$K$300),$I$300/MAX(0.05,$G$300)))</f>
        <v/>
      </c>
      <c r="N300" t="n">
        <v>72.07207207207207</v>
      </c>
      <c r="O300">
        <f>OR(Vu_khi!$AG$300,Vu_khi!$AB$300&gt;0,Vu_khi!$AH$300,Vu_khi!$M$300="Bomb",Vu_khi!$M$300="Drone")</f>
        <v/>
      </c>
      <c r="P300" t="b">
        <v>0</v>
      </c>
      <c r="Q300">
        <f>AND(NOT(Vu_khi!$AJ$300),OR(Vu_khi!$AC$300="Ground",Vu_khi!$AC$300="All"))</f>
        <v/>
      </c>
      <c r="R300" t="b">
        <v>1</v>
      </c>
      <c r="S300">
        <f>AND(NOT(Vu_khi!$AJ$300),OR(Vu_khi!$AC$300="Air",Vu_khi!$AC$300="All"))</f>
        <v/>
      </c>
      <c r="T300" t="b">
        <v>1</v>
      </c>
      <c r="U300">
        <f>INDEX(Bang_sat_thuong!$B$2:$B$7,MATCH(Vu_khi!$K$300,Bang_sat_thuong!$A$2:$A$7,0))</f>
        <v/>
      </c>
      <c r="V300" t="n">
        <v>0.5</v>
      </c>
      <c r="W300">
        <f>INDEX(Bang_sat_thuong!$C$2:$C$7,MATCH(Vu_khi!$K$300,Bang_sat_thuong!$A$2:$A$7,0))</f>
        <v/>
      </c>
      <c r="X300" t="n">
        <v>1.3</v>
      </c>
      <c r="Y300">
        <f>IF(AND(Vu_khi!$AI$300,Vu_khi!$K$300="HighExplosive"),MAX(He_so_toan_cuc!$D$2,INDEX(Bang_sat_thuong!$D$2:$D$7,MATCH(Vu_khi!$K$300,Bang_sat_thuong!$A$2:$A$7,0))),INDEX(Bang_sat_thuong!$D$2:$D$7,MATCH(Vu_khi!$K$300,Bang_sat_thuong!$A$2:$A$7,0)))</f>
        <v/>
      </c>
      <c r="Z300" t="n">
        <v>0.1</v>
      </c>
      <c r="AA300">
        <f>INDEX(Bang_xuyen_giap!$C$2:$C$7,MIN(6,MAX(1,IF($O$300,MAX(1,2-(Vu_khi!$L$300-0)),2-(Vu_khi!$L$300-0))+1)))</f>
        <v/>
      </c>
      <c r="AB300" t="n">
        <v>1.2</v>
      </c>
      <c r="AC300">
        <f>INDEX(Bang_xuyen_giap!$C$2:$C$7,MIN(6,MAX(1,IF($O$300,MAX(1,2-(Vu_khi!$L$300-2)),2-(Vu_khi!$L$300-2))+1)))</f>
        <v/>
      </c>
      <c r="AD300" t="n">
        <v>0.85</v>
      </c>
      <c r="AE300">
        <f>INDEX(Bang_xuyen_giap!$C$2:$C$7,MIN(6,MAX(1,IF($O$300,MAX(1,2-(Vu_khi!$L$300-4)),2-(Vu_khi!$L$300-4))+1)))</f>
        <v/>
      </c>
      <c r="AF300" t="n">
        <v>0.25</v>
      </c>
      <c r="AG300">
        <f>INDEX(Bang_xuyen_giap!$C$2:$C$7,MIN(6,MAX(1,MAX(1,2-(Vu_khi!$L$300-0))+1)))</f>
        <v/>
      </c>
      <c r="AH300" t="n">
        <v>1</v>
      </c>
      <c r="AI300">
        <f>IF($Q$300,$M$300*$AA$300*$U$300,0)</f>
        <v/>
      </c>
      <c r="AJ300" t="n">
        <v>43.24324324324324</v>
      </c>
      <c r="AK300">
        <f>IF($Q$300,$M$300*$AC$300*$U$300,0)</f>
        <v/>
      </c>
      <c r="AL300" t="n">
        <v>30.63063063063063</v>
      </c>
      <c r="AM300">
        <f>IF($Q$300,$M$300*$AE$300*$U$300,0)</f>
        <v/>
      </c>
      <c r="AN300" t="n">
        <v>9.009009009009009</v>
      </c>
      <c r="AO300">
        <f>IF($Q$300,$M$300*$AC$300*$Y$300,0)</f>
        <v/>
      </c>
      <c r="AP300" t="n">
        <v>6.126126126126127</v>
      </c>
      <c r="AQ300">
        <f>IF($S$300,$M$300*$AG$300*$W$300,0)</f>
        <v/>
      </c>
      <c r="AR300" t="n">
        <v>93.6936936936937</v>
      </c>
      <c r="AS300">
        <f>IF(OR(Vu_khi!$M$300="Missile",Vu_khi!$M$300="Drone",AND(Vu_khi!$M$300="Rocket",OR(Vu_khi!$AM$300,Vu_khi!$D$300="guided")),Vu_khi!$AL$300,Vu_khi!$AK$300,Vu_khi!$X$300&lt;=0),FALSE,IF($B$300&gt;=0,$B$300&gt;=4,IF(Vu_khi!$M$300="Shell",Vu_khi!$AN$300&gt;=Canh_bao_vong!$D$10,IF(Vu_khi!$M$300="Bomb",Vu_khi!$AN$300&gt;=Canh_bao_vong!$D$3,IF(Vu_khi!$M$300="Rocket",Vu_khi!$AN$300&gt;=Canh_bao_vong!$D$13,FALSE)))))</f>
        <v/>
      </c>
      <c r="AT300" t="b">
        <v>0</v>
      </c>
      <c r="AU300">
        <f>IF(AND($B$300&lt;0,$AS$300),4,$B$300)</f>
        <v/>
      </c>
      <c r="AV300" t="n">
        <v>1</v>
      </c>
      <c r="AW300">
        <f>IF($AU$300&lt;4,0,MIN(MAX(0.5,Canh_bao_vong!$D$4),MAX(IF(Vu_khi!$C$300="cal_406",Canh_bao_vong!$D$7,IF($AU$300&gt;=5,Canh_bao_vong!$D$9,Canh_bao_vong!$D$8)),Canh_bao_vong!$D$2+MAX(0,Vu_khi!$X$300)/MAX(0.1,Canh_bao_vong!$D$5))))</f>
        <v/>
      </c>
      <c r="AX300" t="n">
        <v>0</v>
      </c>
      <c r="AY300" t="n">
        <v>6.359375</v>
      </c>
      <c r="AZ300" t="inlineStr">
        <is>
          <t>CHAM_QUA;LECH_DOT_1</t>
        </is>
      </c>
      <c r="BA300" t="b">
        <v>1</v>
      </c>
      <c r="BB300" t="inlineStr">
        <is>
          <t>Assets/MachineBrigade/Resources/Data/balance.json: weapons[id=pt14_th_v35] (lớp B trên 01_chien_dau/Vu_khi)</t>
        </is>
      </c>
      <c r="BC300" t="inlineStr"/>
    </row>
    <row r="301">
      <c r="A301" t="inlineStr">
        <is>
          <t>pt14_train_grad</t>
        </is>
      </c>
      <c r="B301" t="n">
        <v>3</v>
      </c>
      <c r="C301">
        <f>IF(Vu_khi!$O$301="SIMULTANEOUS",MAX(1,Vu_khi!$N$301),1)</f>
        <v/>
      </c>
      <c r="D301" t="n">
        <v>1</v>
      </c>
      <c r="E301">
        <f>IF(Vu_khi!$S$301&gt;0,Vu_khi!$S$301,Vu_khi!$P$301*$C$301)</f>
        <v/>
      </c>
      <c r="F301" t="n">
        <v>13</v>
      </c>
      <c r="G301">
        <f>IF(Vu_khi!$S$301&gt;0,(Vu_khi!$S$301-1)*Vu_khi!$R$301+Vu_khi!$T$301,Vu_khi!$R$301+(Vu_khi!$P$301-1)*Vu_khi!$Q$301)</f>
        <v/>
      </c>
      <c r="H301" t="n">
        <v>8.44</v>
      </c>
      <c r="I301">
        <f>Vu_khi!$W$301*MAX(1,$E$301)</f>
        <v/>
      </c>
      <c r="J301" t="n">
        <v>2600</v>
      </c>
      <c r="K301">
        <f>IF(Vu_khi!$V$301&gt;0,Vu_khi!$V$301,MIN(28,MAX(10,Vu_khi!$U$301*Vu_khi!$R$301*0.4)))</f>
        <v/>
      </c>
      <c r="L301" t="n">
        <v>10</v>
      </c>
      <c r="M301">
        <f>IF(Vu_khi!$W$301&lt;=0,0,IF(Vu_khi!$U$301&gt;0,$I$301*Vu_khi!$U$301/(MAX(0.05,$G$301)*Vu_khi!$U$301+$K$301),$I$301/MAX(0.05,$G$301)))</f>
        <v/>
      </c>
      <c r="N301" t="n">
        <v>308.0568720379147</v>
      </c>
      <c r="O301">
        <f>OR(Vu_khi!$AG$301,Vu_khi!$AB$301&gt;0,Vu_khi!$AH$301,Vu_khi!$M$301="Bomb",Vu_khi!$M$301="Drone")</f>
        <v/>
      </c>
      <c r="P301" t="b">
        <v>0</v>
      </c>
      <c r="Q301">
        <f>AND(NOT(Vu_khi!$AJ$301),OR(Vu_khi!$AC$301="Ground",Vu_khi!$AC$301="All"))</f>
        <v/>
      </c>
      <c r="R301" t="b">
        <v>1</v>
      </c>
      <c r="S301">
        <f>AND(NOT(Vu_khi!$AJ$301),OR(Vu_khi!$AC$301="Air",Vu_khi!$AC$301="All"))</f>
        <v/>
      </c>
      <c r="T301" t="b">
        <v>0</v>
      </c>
      <c r="U301">
        <f>INDEX(Bang_sat_thuong!$B$2:$B$7,MATCH(Vu_khi!$K$301,Bang_sat_thuong!$A$2:$A$7,0))</f>
        <v/>
      </c>
      <c r="V301" t="n">
        <v>1</v>
      </c>
      <c r="W301">
        <f>INDEX(Bang_sat_thuong!$C$2:$C$7,MATCH(Vu_khi!$K$301,Bang_sat_thuong!$A$2:$A$7,0))</f>
        <v/>
      </c>
      <c r="X301" t="n">
        <v>0</v>
      </c>
      <c r="Y301">
        <f>IF(AND(Vu_khi!$AI$301,Vu_khi!$K$301="HighExplosive"),MAX(He_so_toan_cuc!$D$2,INDEX(Bang_sat_thuong!$D$2:$D$7,MATCH(Vu_khi!$K$301,Bang_sat_thuong!$A$2:$A$7,0))),INDEX(Bang_sat_thuong!$D$2:$D$7,MATCH(Vu_khi!$K$301,Bang_sat_thuong!$A$2:$A$7,0)))</f>
        <v/>
      </c>
      <c r="Z301" t="n">
        <v>1.5</v>
      </c>
      <c r="AA301">
        <f>INDEX(Bang_xuyen_giap!$C$2:$C$7,MIN(6,MAX(1,IF($O$301,MAX(1,2-(Vu_khi!$L$301-0)),2-(Vu_khi!$L$301-0))+1)))</f>
        <v/>
      </c>
      <c r="AB301" t="n">
        <v>1.2</v>
      </c>
      <c r="AC301">
        <f>INDEX(Bang_xuyen_giap!$C$2:$C$7,MIN(6,MAX(1,IF($O$301,MAX(1,2-(Vu_khi!$L$301-2)),2-(Vu_khi!$L$301-2))+1)))</f>
        <v/>
      </c>
      <c r="AD301" t="n">
        <v>0.85</v>
      </c>
      <c r="AE301">
        <f>INDEX(Bang_xuyen_giap!$C$2:$C$7,MIN(6,MAX(1,IF($O$301,MAX(1,2-(Vu_khi!$L$301-4)),2-(Vu_khi!$L$301-4))+1)))</f>
        <v/>
      </c>
      <c r="AF301" t="n">
        <v>0.25</v>
      </c>
      <c r="AG301">
        <f>INDEX(Bang_xuyen_giap!$C$2:$C$7,MIN(6,MAX(1,MAX(1,2-(Vu_khi!$L$301-0))+1)))</f>
        <v/>
      </c>
      <c r="AH301" t="n">
        <v>1</v>
      </c>
      <c r="AI301">
        <f>IF($Q$301,$M$301*$AA$301*$U$301,0)</f>
        <v/>
      </c>
      <c r="AJ301" t="n">
        <v>369.6682464454977</v>
      </c>
      <c r="AK301">
        <f>IF($Q$301,$M$301*$AC$301*$U$301,0)</f>
        <v/>
      </c>
      <c r="AL301" t="n">
        <v>261.8483412322275</v>
      </c>
      <c r="AM301">
        <f>IF($Q$301,$M$301*$AE$301*$U$301,0)</f>
        <v/>
      </c>
      <c r="AN301" t="n">
        <v>77.01421800947868</v>
      </c>
      <c r="AO301">
        <f>IF($Q$301,$M$301*$AC$301*$Y$301,0)</f>
        <v/>
      </c>
      <c r="AP301" t="n">
        <v>392.7725118483413</v>
      </c>
      <c r="AQ301">
        <f>IF($S$301,$M$301*$AG$301*$W$301,0)</f>
        <v/>
      </c>
      <c r="AR301" t="n">
        <v>0</v>
      </c>
      <c r="AS301">
        <f>IF(OR(Vu_khi!$M$301="Missile",Vu_khi!$M$301="Drone",AND(Vu_khi!$M$301="Rocket",OR(Vu_khi!$AM$301,Vu_khi!$D$301="guided")),Vu_khi!$AL$301,Vu_khi!$AK$301,Vu_khi!$X$301&lt;=0),FALSE,IF($B$301&gt;=0,$B$301&gt;=4,IF(Vu_khi!$M$301="Shell",Vu_khi!$AN$301&gt;=Canh_bao_vong!$D$10,IF(Vu_khi!$M$301="Bomb",Vu_khi!$AN$301&gt;=Canh_bao_vong!$D$3,IF(Vu_khi!$M$301="Rocket",Vu_khi!$AN$301&gt;=Canh_bao_vong!$D$13,FALSE)))))</f>
        <v/>
      </c>
      <c r="AT301" t="b">
        <v>0</v>
      </c>
      <c r="AU301">
        <f>IF(AND($B$301&lt;0,$AS$301),4,$B$301)</f>
        <v/>
      </c>
      <c r="AV301" t="n">
        <v>3</v>
      </c>
      <c r="AW301">
        <f>IF($AU$301&lt;4,0,MIN(MAX(0.5,Canh_bao_vong!$D$4),MAX(IF(Vu_khi!$C$301="cal_406",Canh_bao_vong!$D$7,IF($AU$301&gt;=5,Canh_bao_vong!$D$9,Canh_bao_vong!$D$8)),Canh_bao_vong!$D$2+MAX(0,Vu_khi!$X$301)/MAX(0.1,Canh_bao_vong!$D$5))))</f>
        <v/>
      </c>
      <c r="AX301" t="n">
        <v>0</v>
      </c>
      <c r="AY301" t="n">
        <v>1</v>
      </c>
      <c r="AZ301" t="inlineStr">
        <is>
          <t>LECH_HO</t>
        </is>
      </c>
      <c r="BA301" t="b">
        <v>0</v>
      </c>
      <c r="BB301" t="inlineStr">
        <is>
          <t>Assets/MachineBrigade/Resources/Data/balance.json: weapons[id=pt14_train_grad] (lớp B trên 01_chien_dau/Vu_khi)</t>
        </is>
      </c>
      <c r="BC301" t="inlineStr"/>
    </row>
    <row r="302">
      <c r="A302" t="inlineStr">
        <is>
          <t>r60</t>
        </is>
      </c>
      <c r="B302" t="n">
        <v>2</v>
      </c>
      <c r="C302">
        <f>IF(Vu_khi!$O$302="SIMULTANEOUS",MAX(1,Vu_khi!$N$302),1)</f>
        <v/>
      </c>
      <c r="D302" t="n">
        <v>1</v>
      </c>
      <c r="E302">
        <f>IF(Vu_khi!$S$302&gt;0,Vu_khi!$S$302,Vu_khi!$P$302*$C$302)</f>
        <v/>
      </c>
      <c r="F302" t="n">
        <v>1</v>
      </c>
      <c r="G302">
        <f>IF(Vu_khi!$S$302&gt;0,(Vu_khi!$S$302-1)*Vu_khi!$R$302+Vu_khi!$T$302,Vu_khi!$R$302+(Vu_khi!$P$302-1)*Vu_khi!$Q$302)</f>
        <v/>
      </c>
      <c r="H302" t="n">
        <v>7</v>
      </c>
      <c r="I302">
        <f>Vu_khi!$W$302*MAX(1,$E$302)</f>
        <v/>
      </c>
      <c r="J302" t="n">
        <v>184</v>
      </c>
      <c r="K302">
        <f>IF(Vu_khi!$V$302&gt;0,Vu_khi!$V$302,MIN(28,MAX(10,Vu_khi!$U$302*Vu_khi!$R$302*0.4)))</f>
        <v/>
      </c>
      <c r="L302" t="n">
        <v>10</v>
      </c>
      <c r="M302">
        <f>IF(Vu_khi!$W$302&lt;=0,0,IF(Vu_khi!$U$302&gt;0,$I$302*Vu_khi!$U$302/(MAX(0.05,$G$302)*Vu_khi!$U$302+$K$302),$I$302/MAX(0.05,$G$302)))</f>
        <v/>
      </c>
      <c r="N302" t="n">
        <v>26.28571428571428</v>
      </c>
      <c r="O302">
        <f>OR(Vu_khi!$AG$302,Vu_khi!$AB$302&gt;0,Vu_khi!$AH$302,Vu_khi!$M$302="Bomb",Vu_khi!$M$302="Drone")</f>
        <v/>
      </c>
      <c r="P302" t="b">
        <v>0</v>
      </c>
      <c r="Q302">
        <f>AND(NOT(Vu_khi!$AJ$302),OR(Vu_khi!$AC$302="Ground",Vu_khi!$AC$302="All"))</f>
        <v/>
      </c>
      <c r="R302" t="b">
        <v>0</v>
      </c>
      <c r="S302">
        <f>AND(NOT(Vu_khi!$AJ$302),OR(Vu_khi!$AC$302="Air",Vu_khi!$AC$302="All"))</f>
        <v/>
      </c>
      <c r="T302" t="b">
        <v>1</v>
      </c>
      <c r="U302">
        <f>INDEX(Bang_sat_thuong!$B$2:$B$7,MATCH(Vu_khi!$K$302,Bang_sat_thuong!$A$2:$A$7,0))</f>
        <v/>
      </c>
      <c r="V302" t="n">
        <v>0.5</v>
      </c>
      <c r="W302">
        <f>INDEX(Bang_sat_thuong!$C$2:$C$7,MATCH(Vu_khi!$K$302,Bang_sat_thuong!$A$2:$A$7,0))</f>
        <v/>
      </c>
      <c r="X302" t="n">
        <v>1.3</v>
      </c>
      <c r="Y302">
        <f>IF(AND(Vu_khi!$AI$302,Vu_khi!$K$302="HighExplosive"),MAX(He_so_toan_cuc!$D$2,INDEX(Bang_sat_thuong!$D$2:$D$7,MATCH(Vu_khi!$K$302,Bang_sat_thuong!$A$2:$A$7,0))),INDEX(Bang_sat_thuong!$D$2:$D$7,MATCH(Vu_khi!$K$302,Bang_sat_thuong!$A$2:$A$7,0)))</f>
        <v/>
      </c>
      <c r="Z302" t="n">
        <v>0.1</v>
      </c>
      <c r="AA302">
        <f>INDEX(Bang_xuyen_giap!$C$2:$C$7,MIN(6,MAX(1,IF($O$302,MAX(1,2-(Vu_khi!$L$302-0)),2-(Vu_khi!$L$302-0))+1)))</f>
        <v/>
      </c>
      <c r="AB302" t="n">
        <v>1.2</v>
      </c>
      <c r="AC302">
        <f>INDEX(Bang_xuyen_giap!$C$2:$C$7,MIN(6,MAX(1,IF($O$302,MAX(1,2-(Vu_khi!$L$302-2)),2-(Vu_khi!$L$302-2))+1)))</f>
        <v/>
      </c>
      <c r="AD302" t="n">
        <v>0.85</v>
      </c>
      <c r="AE302">
        <f>INDEX(Bang_xuyen_giap!$C$2:$C$7,MIN(6,MAX(1,IF($O$302,MAX(1,2-(Vu_khi!$L$302-4)),2-(Vu_khi!$L$302-4))+1)))</f>
        <v/>
      </c>
      <c r="AF302" t="n">
        <v>0.25</v>
      </c>
      <c r="AG302">
        <f>INDEX(Bang_xuyen_giap!$C$2:$C$7,MIN(6,MAX(1,MAX(1,2-(Vu_khi!$L$302-0))+1)))</f>
        <v/>
      </c>
      <c r="AH302" t="n">
        <v>1</v>
      </c>
      <c r="AI302">
        <f>IF($Q$302,$M$302*$AA$302*$U$302,0)</f>
        <v/>
      </c>
      <c r="AJ302" t="n">
        <v>0</v>
      </c>
      <c r="AK302">
        <f>IF($Q$302,$M$302*$AC$302*$U$302,0)</f>
        <v/>
      </c>
      <c r="AL302" t="n">
        <v>0</v>
      </c>
      <c r="AM302">
        <f>IF($Q$302,$M$302*$AE$302*$U$302,0)</f>
        <v/>
      </c>
      <c r="AN302" t="n">
        <v>0</v>
      </c>
      <c r="AO302">
        <f>IF($Q$302,$M$302*$AC$302*$Y$302,0)</f>
        <v/>
      </c>
      <c r="AP302" t="n">
        <v>0</v>
      </c>
      <c r="AQ302">
        <f>IF($S$302,$M$302*$AG$302*$W$302,0)</f>
        <v/>
      </c>
      <c r="AR302" t="n">
        <v>34.17142857142857</v>
      </c>
      <c r="AS302">
        <f>IF(OR(Vu_khi!$M$302="Missile",Vu_khi!$M$302="Drone",AND(Vu_khi!$M$302="Rocket",OR(Vu_khi!$AM$302,Vu_khi!$D$302="guided")),Vu_khi!$AL$302,Vu_khi!$AK$302,Vu_khi!$X$302&lt;=0),FALSE,IF($B$302&gt;=0,$B$302&gt;=4,IF(Vu_khi!$M$302="Shell",Vu_khi!$AN$302&gt;=Canh_bao_vong!$D$10,IF(Vu_khi!$M$302="Bomb",Vu_khi!$AN$302&gt;=Canh_bao_vong!$D$3,IF(Vu_khi!$M$302="Rocket",Vu_khi!$AN$302&gt;=Canh_bao_vong!$D$13,FALSE)))))</f>
        <v/>
      </c>
      <c r="AT302" t="b">
        <v>0</v>
      </c>
      <c r="AU302">
        <f>IF(AND($B$302&lt;0,$AS$302),4,$B$302)</f>
        <v/>
      </c>
      <c r="AV302" t="n">
        <v>2</v>
      </c>
      <c r="AW302">
        <f>IF($AU$302&lt;4,0,MIN(MAX(0.5,Canh_bao_vong!$D$4),MAX(IF(Vu_khi!$C$302="cal_406",Canh_bao_vong!$D$7,IF($AU$302&gt;=5,Canh_bao_vong!$D$9,Canh_bao_vong!$D$8)),Canh_bao_vong!$D$2+MAX(0,Vu_khi!$X$302)/MAX(0.1,Canh_bao_vong!$D$5))))</f>
        <v/>
      </c>
      <c r="AX302" t="n">
        <v>0</v>
      </c>
      <c r="AY302" t="inlineStr"/>
      <c r="AZ302" t="inlineStr">
        <is>
          <t>ok</t>
        </is>
      </c>
      <c r="BA302" t="inlineStr"/>
      <c r="BB302" t="inlineStr">
        <is>
          <t>Assets/MachineBrigade/Resources/Data/balance.json: weapons[id=r60] (lớp B trên 01_chien_dau/Vu_khi)</t>
        </is>
      </c>
      <c r="BC302" t="inlineStr"/>
    </row>
    <row r="303">
      <c r="A303" t="inlineStr">
        <is>
          <t>railgun</t>
        </is>
      </c>
      <c r="B303" t="n">
        <v>3</v>
      </c>
      <c r="C303">
        <f>IF(Vu_khi!$O$303="SIMULTANEOUS",MAX(1,Vu_khi!$N$303),1)</f>
        <v/>
      </c>
      <c r="D303" t="n">
        <v>1</v>
      </c>
      <c r="E303">
        <f>IF(Vu_khi!$S$303&gt;0,Vu_khi!$S$303,Vu_khi!$P$303*$C$303)</f>
        <v/>
      </c>
      <c r="F303" t="n">
        <v>1</v>
      </c>
      <c r="G303">
        <f>IF(Vu_khi!$S$303&gt;0,(Vu_khi!$S$303-1)*Vu_khi!$R$303+Vu_khi!$T$303,Vu_khi!$R$303+(Vu_khi!$P$303-1)*Vu_khi!$Q$303)</f>
        <v/>
      </c>
      <c r="H303" t="n">
        <v>7</v>
      </c>
      <c r="I303">
        <f>Vu_khi!$W$303*MAX(1,$E$303)</f>
        <v/>
      </c>
      <c r="J303" t="n">
        <v>510</v>
      </c>
      <c r="K303">
        <f>IF(Vu_khi!$V$303&gt;0,Vu_khi!$V$303,MIN(28,MAX(10,Vu_khi!$U$303*Vu_khi!$R$303*0.4)))</f>
        <v/>
      </c>
      <c r="L303" t="n">
        <v>10</v>
      </c>
      <c r="M303">
        <f>IF(Vu_khi!$W$303&lt;=0,0,IF(Vu_khi!$U$303&gt;0,$I$303*Vu_khi!$U$303/(MAX(0.05,$G$303)*Vu_khi!$U$303+$K$303),$I$303/MAX(0.05,$G$303)))</f>
        <v/>
      </c>
      <c r="N303" t="n">
        <v>72.85714285714286</v>
      </c>
      <c r="O303">
        <f>OR(Vu_khi!$AG$303,Vu_khi!$AB$303&gt;0,Vu_khi!$AH$303,Vu_khi!$M$303="Bomb",Vu_khi!$M$303="Drone")</f>
        <v/>
      </c>
      <c r="P303" t="b">
        <v>0</v>
      </c>
      <c r="Q303">
        <f>AND(NOT(Vu_khi!$AJ$303),OR(Vu_khi!$AC$303="Ground",Vu_khi!$AC$303="All"))</f>
        <v/>
      </c>
      <c r="R303" t="b">
        <v>1</v>
      </c>
      <c r="S303">
        <f>AND(NOT(Vu_khi!$AJ$303),OR(Vu_khi!$AC$303="Air",Vu_khi!$AC$303="All"))</f>
        <v/>
      </c>
      <c r="T303" t="b">
        <v>0</v>
      </c>
      <c r="U303">
        <f>INDEX(Bang_sat_thuong!$B$2:$B$7,MATCH(Vu_khi!$K$303,Bang_sat_thuong!$A$2:$A$7,0))</f>
        <v/>
      </c>
      <c r="V303" t="n">
        <v>1</v>
      </c>
      <c r="W303">
        <f>INDEX(Bang_sat_thuong!$C$2:$C$7,MATCH(Vu_khi!$K$303,Bang_sat_thuong!$A$2:$A$7,0))</f>
        <v/>
      </c>
      <c r="X303" t="n">
        <v>0.3</v>
      </c>
      <c r="Y303">
        <f>IF(AND(Vu_khi!$AI$303,Vu_khi!$K$303="HighExplosive"),MAX(He_so_toan_cuc!$D$2,INDEX(Bang_sat_thuong!$D$2:$D$7,MATCH(Vu_khi!$K$303,Bang_sat_thuong!$A$2:$A$7,0))),INDEX(Bang_sat_thuong!$D$2:$D$7,MATCH(Vu_khi!$K$303,Bang_sat_thuong!$A$2:$A$7,0)))</f>
        <v/>
      </c>
      <c r="Z303" t="n">
        <v>0.6</v>
      </c>
      <c r="AA303">
        <f>INDEX(Bang_xuyen_giap!$C$2:$C$7,MIN(6,MAX(1,IF($O$303,MAX(1,2-(Vu_khi!$L$303-0)),2-(Vu_khi!$L$303-0))+1)))</f>
        <v/>
      </c>
      <c r="AB303" t="n">
        <v>1.2</v>
      </c>
      <c r="AC303">
        <f>INDEX(Bang_xuyen_giap!$C$2:$C$7,MIN(6,MAX(1,IF($O$303,MAX(1,2-(Vu_khi!$L$303-2)),2-(Vu_khi!$L$303-2))+1)))</f>
        <v/>
      </c>
      <c r="AD303" t="n">
        <v>1.2</v>
      </c>
      <c r="AE303">
        <f>INDEX(Bang_xuyen_giap!$C$2:$C$7,MIN(6,MAX(1,IF($O$303,MAX(1,2-(Vu_khi!$L$303-4)),2-(Vu_khi!$L$303-4))+1)))</f>
        <v/>
      </c>
      <c r="AF303" t="n">
        <v>0.85</v>
      </c>
      <c r="AG303">
        <f>INDEX(Bang_xuyen_giap!$C$2:$C$7,MIN(6,MAX(1,MAX(1,2-(Vu_khi!$L$303-0))+1)))</f>
        <v/>
      </c>
      <c r="AH303" t="n">
        <v>1</v>
      </c>
      <c r="AI303">
        <f>IF($Q$303,$M$303*$AA$303*$U$303,0)</f>
        <v/>
      </c>
      <c r="AJ303" t="n">
        <v>87.42857142857143</v>
      </c>
      <c r="AK303">
        <f>IF($Q$303,$M$303*$AC$303*$U$303,0)</f>
        <v/>
      </c>
      <c r="AL303" t="n">
        <v>87.42857142857143</v>
      </c>
      <c r="AM303">
        <f>IF($Q$303,$M$303*$AE$303*$U$303,0)</f>
        <v/>
      </c>
      <c r="AN303" t="n">
        <v>61.92857142857143</v>
      </c>
      <c r="AO303">
        <f>IF($Q$303,$M$303*$AC$303*$Y$303,0)</f>
        <v/>
      </c>
      <c r="AP303" t="n">
        <v>52.45714285714286</v>
      </c>
      <c r="AQ303">
        <f>IF($S$303,$M$303*$AG$303*$W$303,0)</f>
        <v/>
      </c>
      <c r="AR303" t="n">
        <v>0</v>
      </c>
      <c r="AS303">
        <f>IF(OR(Vu_khi!$M$303="Missile",Vu_khi!$M$303="Drone",AND(Vu_khi!$M$303="Rocket",OR(Vu_khi!$AM$303,Vu_khi!$D$303="guided")),Vu_khi!$AL$303,Vu_khi!$AK$303,Vu_khi!$X$303&lt;=0),FALSE,IF($B$303&gt;=0,$B$303&gt;=4,IF(Vu_khi!$M$303="Shell",Vu_khi!$AN$303&gt;=Canh_bao_vong!$D$10,IF(Vu_khi!$M$303="Bomb",Vu_khi!$AN$303&gt;=Canh_bao_vong!$D$3,IF(Vu_khi!$M$303="Rocket",Vu_khi!$AN$303&gt;=Canh_bao_vong!$D$13,FALSE)))))</f>
        <v/>
      </c>
      <c r="AT303" t="b">
        <v>0</v>
      </c>
      <c r="AU303">
        <f>IF(AND($B$303&lt;0,$AS$303),4,$B$303)</f>
        <v/>
      </c>
      <c r="AV303" t="n">
        <v>3</v>
      </c>
      <c r="AW303">
        <f>IF($AU$303&lt;4,0,MIN(MAX(0.5,Canh_bao_vong!$D$4),MAX(IF(Vu_khi!$C$303="cal_406",Canh_bao_vong!$D$7,IF($AU$303&gt;=5,Canh_bao_vong!$D$9,Canh_bao_vong!$D$8)),Canh_bao_vong!$D$2+MAX(0,Vu_khi!$X$303)/MAX(0.1,Canh_bao_vong!$D$5))))</f>
        <v/>
      </c>
      <c r="AX303" t="n">
        <v>0</v>
      </c>
      <c r="AY303" t="inlineStr"/>
      <c r="AZ303" t="inlineStr">
        <is>
          <t>ok</t>
        </is>
      </c>
      <c r="BA303" t="inlineStr"/>
      <c r="BB303" t="inlineStr">
        <is>
          <t>Assets/MachineBrigade/Resources/Data/balance.json: weapons[id=railgun] (lớp B trên 01_chien_dau/Vu_khi)</t>
        </is>
      </c>
      <c r="BC303" t="inlineStr"/>
    </row>
    <row r="304">
      <c r="A304" t="inlineStr">
        <is>
          <t>recoilless_106</t>
        </is>
      </c>
      <c r="B304" t="n">
        <v>2</v>
      </c>
      <c r="C304">
        <f>IF(Vu_khi!$O$304="SIMULTANEOUS",MAX(1,Vu_khi!$N$304),1)</f>
        <v/>
      </c>
      <c r="D304" t="n">
        <v>1</v>
      </c>
      <c r="E304">
        <f>IF(Vu_khi!$S$304&gt;0,Vu_khi!$S$304,Vu_khi!$P$304*$C$304)</f>
        <v/>
      </c>
      <c r="F304" t="n">
        <v>1</v>
      </c>
      <c r="G304">
        <f>IF(Vu_khi!$S$304&gt;0,(Vu_khi!$S$304-1)*Vu_khi!$R$304+Vu_khi!$T$304,Vu_khi!$R$304+(Vu_khi!$P$304-1)*Vu_khi!$Q$304)</f>
        <v/>
      </c>
      <c r="H304" t="n">
        <v>9.523999999999999</v>
      </c>
      <c r="I304">
        <f>Vu_khi!$W$304*MAX(1,$E$304)</f>
        <v/>
      </c>
      <c r="J304" t="n">
        <v>314</v>
      </c>
      <c r="K304">
        <f>IF(Vu_khi!$V$304&gt;0,Vu_khi!$V$304,MIN(28,MAX(10,Vu_khi!$U$304*Vu_khi!$R$304*0.4)))</f>
        <v/>
      </c>
      <c r="L304" t="n">
        <v>10</v>
      </c>
      <c r="M304">
        <f>IF(Vu_khi!$W$304&lt;=0,0,IF(Vu_khi!$U$304&gt;0,$I$304*Vu_khi!$U$304/(MAX(0.05,$G$304)*Vu_khi!$U$304+$K$304),$I$304/MAX(0.05,$G$304)))</f>
        <v/>
      </c>
      <c r="N304" t="n">
        <v>32.96934061318774</v>
      </c>
      <c r="O304">
        <f>OR(Vu_khi!$AG$304,Vu_khi!$AB$304&gt;0,Vu_khi!$AH$304,Vu_khi!$M$304="Bomb",Vu_khi!$M$304="Drone")</f>
        <v/>
      </c>
      <c r="P304" t="b">
        <v>0</v>
      </c>
      <c r="Q304">
        <f>AND(NOT(Vu_khi!$AJ$304),OR(Vu_khi!$AC$304="Ground",Vu_khi!$AC$304="All"))</f>
        <v/>
      </c>
      <c r="R304" t="b">
        <v>1</v>
      </c>
      <c r="S304">
        <f>AND(NOT(Vu_khi!$AJ$304),OR(Vu_khi!$AC$304="Air",Vu_khi!$AC$304="All"))</f>
        <v/>
      </c>
      <c r="T304" t="b">
        <v>0</v>
      </c>
      <c r="U304">
        <f>INDEX(Bang_sat_thuong!$B$2:$B$7,MATCH(Vu_khi!$K$304,Bang_sat_thuong!$A$2:$A$7,0))</f>
        <v/>
      </c>
      <c r="V304" t="n">
        <v>1</v>
      </c>
      <c r="W304">
        <f>INDEX(Bang_sat_thuong!$C$2:$C$7,MATCH(Vu_khi!$K$304,Bang_sat_thuong!$A$2:$A$7,0))</f>
        <v/>
      </c>
      <c r="X304" t="n">
        <v>0.3</v>
      </c>
      <c r="Y304">
        <f>IF(AND(Vu_khi!$AI$304,Vu_khi!$K$304="HighExplosive"),MAX(He_so_toan_cuc!$D$2,INDEX(Bang_sat_thuong!$D$2:$D$7,MATCH(Vu_khi!$K$304,Bang_sat_thuong!$A$2:$A$7,0))),INDEX(Bang_sat_thuong!$D$2:$D$7,MATCH(Vu_khi!$K$304,Bang_sat_thuong!$A$2:$A$7,0)))</f>
        <v/>
      </c>
      <c r="Z304" t="n">
        <v>0.6</v>
      </c>
      <c r="AA304">
        <f>INDEX(Bang_xuyen_giap!$C$2:$C$7,MIN(6,MAX(1,IF($O$304,MAX(1,2-(Vu_khi!$L$304-0)),2-(Vu_khi!$L$304-0))+1)))</f>
        <v/>
      </c>
      <c r="AB304" t="n">
        <v>1.2</v>
      </c>
      <c r="AC304">
        <f>INDEX(Bang_xuyen_giap!$C$2:$C$7,MIN(6,MAX(1,IF($O$304,MAX(1,2-(Vu_khi!$L$304-2)),2-(Vu_khi!$L$304-2))+1)))</f>
        <v/>
      </c>
      <c r="AD304" t="n">
        <v>1</v>
      </c>
      <c r="AE304">
        <f>INDEX(Bang_xuyen_giap!$C$2:$C$7,MIN(6,MAX(1,IF($O$304,MAX(1,2-(Vu_khi!$L$304-4)),2-(Vu_khi!$L$304-4))+1)))</f>
        <v/>
      </c>
      <c r="AF304" t="n">
        <v>0.5</v>
      </c>
      <c r="AG304">
        <f>INDEX(Bang_xuyen_giap!$C$2:$C$7,MIN(6,MAX(1,MAX(1,2-(Vu_khi!$L$304-0))+1)))</f>
        <v/>
      </c>
      <c r="AH304" t="n">
        <v>1</v>
      </c>
      <c r="AI304">
        <f>IF($Q$304,$M$304*$AA$304*$U$304,0)</f>
        <v/>
      </c>
      <c r="AJ304" t="n">
        <v>39.56320873582528</v>
      </c>
      <c r="AK304">
        <f>IF($Q$304,$M$304*$AC$304*$U$304,0)</f>
        <v/>
      </c>
      <c r="AL304" t="n">
        <v>32.96934061318774</v>
      </c>
      <c r="AM304">
        <f>IF($Q$304,$M$304*$AE$304*$U$304,0)</f>
        <v/>
      </c>
      <c r="AN304" t="n">
        <v>16.48467030659387</v>
      </c>
      <c r="AO304">
        <f>IF($Q$304,$M$304*$AC$304*$Y$304,0)</f>
        <v/>
      </c>
      <c r="AP304" t="n">
        <v>19.78160436791264</v>
      </c>
      <c r="AQ304">
        <f>IF($S$304,$M$304*$AG$304*$W$304,0)</f>
        <v/>
      </c>
      <c r="AR304" t="n">
        <v>0</v>
      </c>
      <c r="AS304">
        <f>IF(OR(Vu_khi!$M$304="Missile",Vu_khi!$M$304="Drone",AND(Vu_khi!$M$304="Rocket",OR(Vu_khi!$AM$304,Vu_khi!$D$304="guided")),Vu_khi!$AL$304,Vu_khi!$AK$304,Vu_khi!$X$304&lt;=0),FALSE,IF($B$304&gt;=0,$B$304&gt;=4,IF(Vu_khi!$M$304="Shell",Vu_khi!$AN$304&gt;=Canh_bao_vong!$D$10,IF(Vu_khi!$M$304="Bomb",Vu_khi!$AN$304&gt;=Canh_bao_vong!$D$3,IF(Vu_khi!$M$304="Rocket",Vu_khi!$AN$304&gt;=Canh_bao_vong!$D$13,FALSE)))))</f>
        <v/>
      </c>
      <c r="AT304" t="b">
        <v>0</v>
      </c>
      <c r="AU304">
        <f>IF(AND($B$304&lt;0,$AS$304),4,$B$304)</f>
        <v/>
      </c>
      <c r="AV304" t="n">
        <v>2</v>
      </c>
      <c r="AW304">
        <f>IF($AU$304&lt;4,0,MIN(MAX(0.5,Canh_bao_vong!$D$4),MAX(IF(Vu_khi!$C$304="cal_406",Canh_bao_vong!$D$7,IF($AU$304&gt;=5,Canh_bao_vong!$D$9,Canh_bao_vong!$D$8)),Canh_bao_vong!$D$2+MAX(0,Vu_khi!$X$304)/MAX(0.1,Canh_bao_vong!$D$5))))</f>
        <v/>
      </c>
      <c r="AX304" t="n">
        <v>0</v>
      </c>
      <c r="AY304" t="n">
        <v>0.555567</v>
      </c>
      <c r="AZ304" t="inlineStr">
        <is>
          <t>NHANH_QUA</t>
        </is>
      </c>
      <c r="BA304" t="inlineStr"/>
      <c r="BB304" t="inlineStr">
        <is>
          <t>Assets/MachineBrigade/Resources/Data/balance.json: weapons[id=recoilless_106] (lớp B trên 01_chien_dau/Vu_khi)</t>
        </is>
      </c>
      <c r="BC304" t="inlineStr"/>
    </row>
    <row r="305">
      <c r="A305" t="inlineStr">
        <is>
          <t>recon_missile</t>
        </is>
      </c>
      <c r="B305" t="n">
        <v>2</v>
      </c>
      <c r="C305">
        <f>IF(Vu_khi!$O$305="SIMULTANEOUS",MAX(1,Vu_khi!$N$305),1)</f>
        <v/>
      </c>
      <c r="D305" t="n">
        <v>1</v>
      </c>
      <c r="E305">
        <f>IF(Vu_khi!$S$305&gt;0,Vu_khi!$S$305,Vu_khi!$P$305*$C$305)</f>
        <v/>
      </c>
      <c r="F305" t="n">
        <v>1</v>
      </c>
      <c r="G305">
        <f>IF(Vu_khi!$S$305&gt;0,(Vu_khi!$S$305-1)*Vu_khi!$R$305+Vu_khi!$T$305,Vu_khi!$R$305+(Vu_khi!$P$305-1)*Vu_khi!$Q$305)</f>
        <v/>
      </c>
      <c r="H305" t="n">
        <v>11.59</v>
      </c>
      <c r="I305">
        <f>Vu_khi!$W$305*MAX(1,$E$305)</f>
        <v/>
      </c>
      <c r="J305" t="n">
        <v>190</v>
      </c>
      <c r="K305">
        <f>IF(Vu_khi!$V$305&gt;0,Vu_khi!$V$305,MIN(28,MAX(10,Vu_khi!$U$305*Vu_khi!$R$305*0.4)))</f>
        <v/>
      </c>
      <c r="L305" t="n">
        <v>10</v>
      </c>
      <c r="M305">
        <f>IF(Vu_khi!$W$305&lt;=0,0,IF(Vu_khi!$U$305&gt;0,$I$305*Vu_khi!$U$305/(MAX(0.05,$G$305)*Vu_khi!$U$305+$K$305),$I$305/MAX(0.05,$G$305)))</f>
        <v/>
      </c>
      <c r="N305" t="n">
        <v>16.39344262295082</v>
      </c>
      <c r="O305">
        <f>OR(Vu_khi!$AG$305,Vu_khi!$AB$305&gt;0,Vu_khi!$AH$305,Vu_khi!$M$305="Bomb",Vu_khi!$M$305="Drone")</f>
        <v/>
      </c>
      <c r="P305" t="b">
        <v>0</v>
      </c>
      <c r="Q305">
        <f>AND(NOT(Vu_khi!$AJ$305),OR(Vu_khi!$AC$305="Ground",Vu_khi!$AC$305="All"))</f>
        <v/>
      </c>
      <c r="R305" t="b">
        <v>1</v>
      </c>
      <c r="S305">
        <f>AND(NOT(Vu_khi!$AJ$305),OR(Vu_khi!$AC$305="Air",Vu_khi!$AC$305="All"))</f>
        <v/>
      </c>
      <c r="T305" t="b">
        <v>0</v>
      </c>
      <c r="U305">
        <f>INDEX(Bang_sat_thuong!$B$2:$B$7,MATCH(Vu_khi!$K$305,Bang_sat_thuong!$A$2:$A$7,0))</f>
        <v/>
      </c>
      <c r="V305" t="n">
        <v>1</v>
      </c>
      <c r="W305">
        <f>INDEX(Bang_sat_thuong!$C$2:$C$7,MATCH(Vu_khi!$K$305,Bang_sat_thuong!$A$2:$A$7,0))</f>
        <v/>
      </c>
      <c r="X305" t="n">
        <v>0.3</v>
      </c>
      <c r="Y305">
        <f>IF(AND(Vu_khi!$AI$305,Vu_khi!$K$305="HighExplosive"),MAX(He_so_toan_cuc!$D$2,INDEX(Bang_sat_thuong!$D$2:$D$7,MATCH(Vu_khi!$K$305,Bang_sat_thuong!$A$2:$A$7,0))),INDEX(Bang_sat_thuong!$D$2:$D$7,MATCH(Vu_khi!$K$305,Bang_sat_thuong!$A$2:$A$7,0)))</f>
        <v/>
      </c>
      <c r="Z305" t="n">
        <v>0.6</v>
      </c>
      <c r="AA305">
        <f>INDEX(Bang_xuyen_giap!$C$2:$C$7,MIN(6,MAX(1,IF($O$305,MAX(1,2-(Vu_khi!$L$305-0)),2-(Vu_khi!$L$305-0))+1)))</f>
        <v/>
      </c>
      <c r="AB305" t="n">
        <v>1.2</v>
      </c>
      <c r="AC305">
        <f>INDEX(Bang_xuyen_giap!$C$2:$C$7,MIN(6,MAX(1,IF($O$305,MAX(1,2-(Vu_khi!$L$305-2)),2-(Vu_khi!$L$305-2))+1)))</f>
        <v/>
      </c>
      <c r="AD305" t="n">
        <v>1</v>
      </c>
      <c r="AE305">
        <f>INDEX(Bang_xuyen_giap!$C$2:$C$7,MIN(6,MAX(1,IF($O$305,MAX(1,2-(Vu_khi!$L$305-4)),2-(Vu_khi!$L$305-4))+1)))</f>
        <v/>
      </c>
      <c r="AF305" t="n">
        <v>0.5</v>
      </c>
      <c r="AG305">
        <f>INDEX(Bang_xuyen_giap!$C$2:$C$7,MIN(6,MAX(1,MAX(1,2-(Vu_khi!$L$305-0))+1)))</f>
        <v/>
      </c>
      <c r="AH305" t="n">
        <v>1</v>
      </c>
      <c r="AI305">
        <f>IF($Q$305,$M$305*$AA$305*$U$305,0)</f>
        <v/>
      </c>
      <c r="AJ305" t="n">
        <v>19.67213114754098</v>
      </c>
      <c r="AK305">
        <f>IF($Q$305,$M$305*$AC$305*$U$305,0)</f>
        <v/>
      </c>
      <c r="AL305" t="n">
        <v>16.39344262295082</v>
      </c>
      <c r="AM305">
        <f>IF($Q$305,$M$305*$AE$305*$U$305,0)</f>
        <v/>
      </c>
      <c r="AN305" t="n">
        <v>8.196721311475409</v>
      </c>
      <c r="AO305">
        <f>IF($Q$305,$M$305*$AC$305*$Y$305,0)</f>
        <v/>
      </c>
      <c r="AP305" t="n">
        <v>9.83606557377049</v>
      </c>
      <c r="AQ305">
        <f>IF($S$305,$M$305*$AG$305*$W$305,0)</f>
        <v/>
      </c>
      <c r="AR305" t="n">
        <v>0</v>
      </c>
      <c r="AS305">
        <f>IF(OR(Vu_khi!$M$305="Missile",Vu_khi!$M$305="Drone",AND(Vu_khi!$M$305="Rocket",OR(Vu_khi!$AM$305,Vu_khi!$D$305="guided")),Vu_khi!$AL$305,Vu_khi!$AK$305,Vu_khi!$X$305&lt;=0),FALSE,IF($B$305&gt;=0,$B$305&gt;=4,IF(Vu_khi!$M$305="Shell",Vu_khi!$AN$305&gt;=Canh_bao_vong!$D$10,IF(Vu_khi!$M$305="Bomb",Vu_khi!$AN$305&gt;=Canh_bao_vong!$D$3,IF(Vu_khi!$M$305="Rocket",Vu_khi!$AN$305&gt;=Canh_bao_vong!$D$13,FALSE)))))</f>
        <v/>
      </c>
      <c r="AT305" t="b">
        <v>0</v>
      </c>
      <c r="AU305">
        <f>IF(AND($B$305&lt;0,$AS$305),4,$B$305)</f>
        <v/>
      </c>
      <c r="AV305" t="n">
        <v>2</v>
      </c>
      <c r="AW305">
        <f>IF($AU$305&lt;4,0,MIN(MAX(0.5,Canh_bao_vong!$D$4),MAX(IF(Vu_khi!$C$305="cal_406",Canh_bao_vong!$D$7,IF($AU$305&gt;=5,Canh_bao_vong!$D$9,Canh_bao_vong!$D$8)),Canh_bao_vong!$D$2+MAX(0,Vu_khi!$X$305)/MAX(0.1,Canh_bao_vong!$D$5))))</f>
        <v/>
      </c>
      <c r="AX305" t="n">
        <v>0</v>
      </c>
      <c r="AY305" t="inlineStr"/>
      <c r="AZ305" t="inlineStr">
        <is>
          <t>ok</t>
        </is>
      </c>
      <c r="BA305" t="inlineStr"/>
      <c r="BB305" t="inlineStr">
        <is>
          <t>Assets/MachineBrigade/Resources/Data/balance.json: weapons[id=recon_missile] (lớp B trên 01_chien_dau/Vu_khi)</t>
        </is>
      </c>
      <c r="BC305" t="inlineStr"/>
    </row>
    <row r="306">
      <c r="A306" t="inlineStr">
        <is>
          <t>rockets_300mm</t>
        </is>
      </c>
      <c r="B306" t="n">
        <v>4</v>
      </c>
      <c r="C306">
        <f>IF(Vu_khi!$O$306="SIMULTANEOUS",MAX(1,Vu_khi!$N$306),1)</f>
        <v/>
      </c>
      <c r="D306" t="n">
        <v>1</v>
      </c>
      <c r="E306">
        <f>IF(Vu_khi!$S$306&gt;0,Vu_khi!$S$306,Vu_khi!$P$306*$C$306)</f>
        <v/>
      </c>
      <c r="F306" t="n">
        <v>11</v>
      </c>
      <c r="G306">
        <f>IF(Vu_khi!$S$306&gt;0,(Vu_khi!$S$306-1)*Vu_khi!$R$306+Vu_khi!$T$306,Vu_khi!$R$306+(Vu_khi!$P$306-1)*Vu_khi!$Q$306)</f>
        <v/>
      </c>
      <c r="H306" t="n">
        <v>18.26</v>
      </c>
      <c r="I306">
        <f>Vu_khi!$W$306*MAX(1,$E$306)</f>
        <v/>
      </c>
      <c r="J306" t="n">
        <v>1595</v>
      </c>
      <c r="K306">
        <f>IF(Vu_khi!$V$306&gt;0,Vu_khi!$V$306,MIN(28,MAX(10,Vu_khi!$U$306*Vu_khi!$R$306*0.4)))</f>
        <v/>
      </c>
      <c r="L306" t="n">
        <v>18.912</v>
      </c>
      <c r="M306">
        <f>IF(Vu_khi!$W$306&lt;=0,0,IF(Vu_khi!$U$306&gt;0,$I$306*Vu_khi!$U$306/(MAX(0.05,$G$306)*Vu_khi!$U$306+$K$306),$I$306/MAX(0.05,$G$306)))</f>
        <v/>
      </c>
      <c r="N306" t="n">
        <v>64.93242142973457</v>
      </c>
      <c r="O306">
        <f>OR(Vu_khi!$AG$306,Vu_khi!$AB$306&gt;0,Vu_khi!$AH$306,Vu_khi!$M$306="Bomb",Vu_khi!$M$306="Drone")</f>
        <v/>
      </c>
      <c r="P306" t="b">
        <v>1</v>
      </c>
      <c r="Q306">
        <f>AND(NOT(Vu_khi!$AJ$306),OR(Vu_khi!$AC$306="Ground",Vu_khi!$AC$306="All"))</f>
        <v/>
      </c>
      <c r="R306" t="b">
        <v>1</v>
      </c>
      <c r="S306">
        <f>AND(NOT(Vu_khi!$AJ$306),OR(Vu_khi!$AC$306="Air",Vu_khi!$AC$306="All"))</f>
        <v/>
      </c>
      <c r="T306" t="b">
        <v>0</v>
      </c>
      <c r="U306">
        <f>INDEX(Bang_sat_thuong!$B$2:$B$7,MATCH(Vu_khi!$K$306,Bang_sat_thuong!$A$2:$A$7,0))</f>
        <v/>
      </c>
      <c r="V306" t="n">
        <v>1</v>
      </c>
      <c r="W306">
        <f>INDEX(Bang_sat_thuong!$C$2:$C$7,MATCH(Vu_khi!$K$306,Bang_sat_thuong!$A$2:$A$7,0))</f>
        <v/>
      </c>
      <c r="X306" t="n">
        <v>0</v>
      </c>
      <c r="Y306">
        <f>IF(AND(Vu_khi!$AI$306,Vu_khi!$K$306="HighExplosive"),MAX(He_so_toan_cuc!$D$2,INDEX(Bang_sat_thuong!$D$2:$D$7,MATCH(Vu_khi!$K$306,Bang_sat_thuong!$A$2:$A$7,0))),INDEX(Bang_sat_thuong!$D$2:$D$7,MATCH(Vu_khi!$K$306,Bang_sat_thuong!$A$2:$A$7,0)))</f>
        <v/>
      </c>
      <c r="Z306" t="n">
        <v>1.5</v>
      </c>
      <c r="AA306">
        <f>INDEX(Bang_xuyen_giap!$C$2:$C$7,MIN(6,MAX(1,IF($O$306,MAX(1,2-(Vu_khi!$L$306-0)),2-(Vu_khi!$L$306-0))+1)))</f>
        <v/>
      </c>
      <c r="AB306" t="n">
        <v>1</v>
      </c>
      <c r="AC306">
        <f>INDEX(Bang_xuyen_giap!$C$2:$C$7,MIN(6,MAX(1,IF($O$306,MAX(1,2-(Vu_khi!$L$306-2)),2-(Vu_khi!$L$306-2))+1)))</f>
        <v/>
      </c>
      <c r="AD306" t="n">
        <v>1</v>
      </c>
      <c r="AE306">
        <f>INDEX(Bang_xuyen_giap!$C$2:$C$7,MIN(6,MAX(1,IF($O$306,MAX(1,2-(Vu_khi!$L$306-4)),2-(Vu_khi!$L$306-4))+1)))</f>
        <v/>
      </c>
      <c r="AF306" t="n">
        <v>0.5</v>
      </c>
      <c r="AG306">
        <f>INDEX(Bang_xuyen_giap!$C$2:$C$7,MIN(6,MAX(1,MAX(1,2-(Vu_khi!$L$306-0))+1)))</f>
        <v/>
      </c>
      <c r="AH306" t="n">
        <v>1</v>
      </c>
      <c r="AI306">
        <f>IF($Q$306,$M$306*$AA$306*$U$306,0)</f>
        <v/>
      </c>
      <c r="AJ306" t="n">
        <v>64.93242142973457</v>
      </c>
      <c r="AK306">
        <f>IF($Q$306,$M$306*$AC$306*$U$306,0)</f>
        <v/>
      </c>
      <c r="AL306" t="n">
        <v>64.93242142973457</v>
      </c>
      <c r="AM306">
        <f>IF($Q$306,$M$306*$AE$306*$U$306,0)</f>
        <v/>
      </c>
      <c r="AN306" t="n">
        <v>32.46621071486729</v>
      </c>
      <c r="AO306">
        <f>IF($Q$306,$M$306*$AC$306*$Y$306,0)</f>
        <v/>
      </c>
      <c r="AP306" t="n">
        <v>97.39863214460186</v>
      </c>
      <c r="AQ306">
        <f>IF($S$306,$M$306*$AG$306*$W$306,0)</f>
        <v/>
      </c>
      <c r="AR306" t="n">
        <v>0</v>
      </c>
      <c r="AS306">
        <f>IF(OR(Vu_khi!$M$306="Missile",Vu_khi!$M$306="Drone",AND(Vu_khi!$M$306="Rocket",OR(Vu_khi!$AM$306,Vu_khi!$D$306="guided")),Vu_khi!$AL$306,Vu_khi!$AK$306,Vu_khi!$X$306&lt;=0),FALSE,IF($B$306&gt;=0,$B$306&gt;=4,IF(Vu_khi!$M$306="Shell",Vu_khi!$AN$306&gt;=Canh_bao_vong!$D$10,IF(Vu_khi!$M$306="Bomb",Vu_khi!$AN$306&gt;=Canh_bao_vong!$D$3,IF(Vu_khi!$M$306="Rocket",Vu_khi!$AN$306&gt;=Canh_bao_vong!$D$13,FALSE)))))</f>
        <v/>
      </c>
      <c r="AT306" t="b">
        <v>1</v>
      </c>
      <c r="AU306">
        <f>IF(AND($B$306&lt;0,$AS$306),4,$B$306)</f>
        <v/>
      </c>
      <c r="AV306" t="n">
        <v>4</v>
      </c>
      <c r="AW306">
        <f>IF($AU$306&lt;4,0,MIN(MAX(0.5,Canh_bao_vong!$D$4),MAX(IF(Vu_khi!$C$306="cal_406",Canh_bao_vong!$D$7,IF($AU$306&gt;=5,Canh_bao_vong!$D$9,Canh_bao_vong!$D$8)),Canh_bao_vong!$D$2+MAX(0,Vu_khi!$X$306)/MAX(0.1,Canh_bao_vong!$D$5))))</f>
        <v/>
      </c>
      <c r="AX306" t="n">
        <v>2.5</v>
      </c>
      <c r="AY306" t="n">
        <v>0.079167</v>
      </c>
      <c r="AZ306" t="inlineStr">
        <is>
          <t>NHANH_QUA</t>
        </is>
      </c>
      <c r="BA306" t="inlineStr"/>
      <c r="BB306" t="inlineStr">
        <is>
          <t>Assets/MachineBrigade/Resources/Data/balance.json: weapons[id=rockets_300mm] (lớp B trên 01_chien_dau/Vu_khi)</t>
        </is>
      </c>
      <c r="BC306" t="inlineStr"/>
    </row>
    <row r="307">
      <c r="A307" t="inlineStr">
        <is>
          <t>s8_pods</t>
        </is>
      </c>
      <c r="B307" t="n">
        <v>2</v>
      </c>
      <c r="C307">
        <f>IF(Vu_khi!$O$307="SIMULTANEOUS",MAX(1,Vu_khi!$N$307),1)</f>
        <v/>
      </c>
      <c r="D307" t="n">
        <v>1</v>
      </c>
      <c r="E307">
        <f>IF(Vu_khi!$S$307&gt;0,Vu_khi!$S$307,Vu_khi!$P$307*$C$307)</f>
        <v/>
      </c>
      <c r="F307" t="n">
        <v>8</v>
      </c>
      <c r="G307">
        <f>IF(Vu_khi!$S$307&gt;0,(Vu_khi!$S$307-1)*Vu_khi!$R$307+Vu_khi!$T$307,Vu_khi!$R$307+(Vu_khi!$P$307-1)*Vu_khi!$Q$307)</f>
        <v/>
      </c>
      <c r="H307" t="n">
        <v>4.399999999999999</v>
      </c>
      <c r="I307">
        <f>Vu_khi!$W$307*MAX(1,$E$307)</f>
        <v/>
      </c>
      <c r="J307" t="n">
        <v>256</v>
      </c>
      <c r="K307">
        <f>IF(Vu_khi!$V$307&gt;0,Vu_khi!$V$307,MIN(28,MAX(10,Vu_khi!$U$307*Vu_khi!$R$307*0.4)))</f>
        <v/>
      </c>
      <c r="L307" t="n">
        <v>10</v>
      </c>
      <c r="M307">
        <f>IF(Vu_khi!$W$307&lt;=0,0,IF(Vu_khi!$U$307&gt;0,$I$307*Vu_khi!$U$307/(MAX(0.05,$G$307)*Vu_khi!$U$307+$K$307),$I$307/MAX(0.05,$G$307)))</f>
        <v/>
      </c>
      <c r="N307" t="n">
        <v>58.18181818181819</v>
      </c>
      <c r="O307">
        <f>OR(Vu_khi!$AG$307,Vu_khi!$AB$307&gt;0,Vu_khi!$AH$307,Vu_khi!$M$307="Bomb",Vu_khi!$M$307="Drone")</f>
        <v/>
      </c>
      <c r="P307" t="b">
        <v>0</v>
      </c>
      <c r="Q307">
        <f>AND(NOT(Vu_khi!$AJ$307),OR(Vu_khi!$AC$307="Ground",Vu_khi!$AC$307="All"))</f>
        <v/>
      </c>
      <c r="R307" t="b">
        <v>1</v>
      </c>
      <c r="S307">
        <f>AND(NOT(Vu_khi!$AJ$307),OR(Vu_khi!$AC$307="Air",Vu_khi!$AC$307="All"))</f>
        <v/>
      </c>
      <c r="T307" t="b">
        <v>0</v>
      </c>
      <c r="U307">
        <f>INDEX(Bang_sat_thuong!$B$2:$B$7,MATCH(Vu_khi!$K$307,Bang_sat_thuong!$A$2:$A$7,0))</f>
        <v/>
      </c>
      <c r="V307" t="n">
        <v>1</v>
      </c>
      <c r="W307">
        <f>INDEX(Bang_sat_thuong!$C$2:$C$7,MATCH(Vu_khi!$K$307,Bang_sat_thuong!$A$2:$A$7,0))</f>
        <v/>
      </c>
      <c r="X307" t="n">
        <v>0</v>
      </c>
      <c r="Y307">
        <f>IF(AND(Vu_khi!$AI$307,Vu_khi!$K$307="HighExplosive"),MAX(He_so_toan_cuc!$D$2,INDEX(Bang_sat_thuong!$D$2:$D$7,MATCH(Vu_khi!$K$307,Bang_sat_thuong!$A$2:$A$7,0))),INDEX(Bang_sat_thuong!$D$2:$D$7,MATCH(Vu_khi!$K$307,Bang_sat_thuong!$A$2:$A$7,0)))</f>
        <v/>
      </c>
      <c r="Z307" t="n">
        <v>1.5</v>
      </c>
      <c r="AA307">
        <f>INDEX(Bang_xuyen_giap!$C$2:$C$7,MIN(6,MAX(1,IF($O$307,MAX(1,2-(Vu_khi!$L$307-0)),2-(Vu_khi!$L$307-0))+1)))</f>
        <v/>
      </c>
      <c r="AB307" t="n">
        <v>1.2</v>
      </c>
      <c r="AC307">
        <f>INDEX(Bang_xuyen_giap!$C$2:$C$7,MIN(6,MAX(1,IF($O$307,MAX(1,2-(Vu_khi!$L$307-2)),2-(Vu_khi!$L$307-2))+1)))</f>
        <v/>
      </c>
      <c r="AD307" t="n">
        <v>0.85</v>
      </c>
      <c r="AE307">
        <f>INDEX(Bang_xuyen_giap!$C$2:$C$7,MIN(6,MAX(1,IF($O$307,MAX(1,2-(Vu_khi!$L$307-4)),2-(Vu_khi!$L$307-4))+1)))</f>
        <v/>
      </c>
      <c r="AF307" t="n">
        <v>0.25</v>
      </c>
      <c r="AG307">
        <f>INDEX(Bang_xuyen_giap!$C$2:$C$7,MIN(6,MAX(1,MAX(1,2-(Vu_khi!$L$307-0))+1)))</f>
        <v/>
      </c>
      <c r="AH307" t="n">
        <v>1</v>
      </c>
      <c r="AI307">
        <f>IF($Q$307,$M$307*$AA$307*$U$307,0)</f>
        <v/>
      </c>
      <c r="AJ307" t="n">
        <v>69.81818181818183</v>
      </c>
      <c r="AK307">
        <f>IF($Q$307,$M$307*$AC$307*$U$307,0)</f>
        <v/>
      </c>
      <c r="AL307" t="n">
        <v>49.45454545454546</v>
      </c>
      <c r="AM307">
        <f>IF($Q$307,$M$307*$AE$307*$U$307,0)</f>
        <v/>
      </c>
      <c r="AN307" t="n">
        <v>14.54545454545455</v>
      </c>
      <c r="AO307">
        <f>IF($Q$307,$M$307*$AC$307*$Y$307,0)</f>
        <v/>
      </c>
      <c r="AP307" t="n">
        <v>74.18181818181819</v>
      </c>
      <c r="AQ307">
        <f>IF($S$307,$M$307*$AG$307*$W$307,0)</f>
        <v/>
      </c>
      <c r="AR307" t="n">
        <v>0</v>
      </c>
      <c r="AS307">
        <f>IF(OR(Vu_khi!$M$307="Missile",Vu_khi!$M$307="Drone",AND(Vu_khi!$M$307="Rocket",OR(Vu_khi!$AM$307,Vu_khi!$D$307="guided")),Vu_khi!$AL$307,Vu_khi!$AK$307,Vu_khi!$X$307&lt;=0),FALSE,IF($B$307&gt;=0,$B$307&gt;=4,IF(Vu_khi!$M$307="Shell",Vu_khi!$AN$307&gt;=Canh_bao_vong!$D$10,IF(Vu_khi!$M$307="Bomb",Vu_khi!$AN$307&gt;=Canh_bao_vong!$D$3,IF(Vu_khi!$M$307="Rocket",Vu_khi!$AN$307&gt;=Canh_bao_vong!$D$13,FALSE)))))</f>
        <v/>
      </c>
      <c r="AT307" t="b">
        <v>0</v>
      </c>
      <c r="AU307">
        <f>IF(AND($B$307&lt;0,$AS$307),4,$B$307)</f>
        <v/>
      </c>
      <c r="AV307" t="n">
        <v>2</v>
      </c>
      <c r="AW307">
        <f>IF($AU$307&lt;4,0,MIN(MAX(0.5,Canh_bao_vong!$D$4),MAX(IF(Vu_khi!$C$307="cal_406",Canh_bao_vong!$D$7,IF($AU$307&gt;=5,Canh_bao_vong!$D$9,Canh_bao_vong!$D$8)),Canh_bao_vong!$D$2+MAX(0,Vu_khi!$X$307)/MAX(0.1,Canh_bao_vong!$D$5))))</f>
        <v/>
      </c>
      <c r="AX307" t="n">
        <v>0</v>
      </c>
      <c r="AY307" t="n">
        <v>0.75</v>
      </c>
      <c r="AZ307" t="inlineStr">
        <is>
          <t>ok</t>
        </is>
      </c>
      <c r="BA307" t="inlineStr"/>
      <c r="BB307" t="inlineStr">
        <is>
          <t>Assets/MachineBrigade/Resources/Data/balance.json: weapons[id=s8_pods] (lớp B trên 01_chien_dau/Vu_khi)</t>
        </is>
      </c>
      <c r="BC307" t="inlineStr"/>
    </row>
    <row r="308">
      <c r="A308" t="inlineStr">
        <is>
          <t>sam</t>
        </is>
      </c>
      <c r="B308" t="n">
        <v>2</v>
      </c>
      <c r="C308">
        <f>IF(Vu_khi!$O$308="SIMULTANEOUS",MAX(1,Vu_khi!$N$308),1)</f>
        <v/>
      </c>
      <c r="D308" t="n">
        <v>1</v>
      </c>
      <c r="E308">
        <f>IF(Vu_khi!$S$308&gt;0,Vu_khi!$S$308,Vu_khi!$P$308*$C$308)</f>
        <v/>
      </c>
      <c r="F308" t="n">
        <v>1</v>
      </c>
      <c r="G308">
        <f>IF(Vu_khi!$S$308&gt;0,(Vu_khi!$S$308-1)*Vu_khi!$R$308+Vu_khi!$T$308,Vu_khi!$R$308+(Vu_khi!$P$308-1)*Vu_khi!$Q$308)</f>
        <v/>
      </c>
      <c r="H308" t="n">
        <v>4.452</v>
      </c>
      <c r="I308">
        <f>Vu_khi!$W$308*MAX(1,$E$308)</f>
        <v/>
      </c>
      <c r="J308" t="n">
        <v>170</v>
      </c>
      <c r="K308">
        <f>IF(Vu_khi!$V$308&gt;0,Vu_khi!$V$308,MIN(28,MAX(10,Vu_khi!$U$308*Vu_khi!$R$308*0.4)))</f>
        <v/>
      </c>
      <c r="L308" t="n">
        <v>10</v>
      </c>
      <c r="M308">
        <f>IF(Vu_khi!$W$308&lt;=0,0,IF(Vu_khi!$U$308&gt;0,$I$308*Vu_khi!$U$308/(MAX(0.05,$G$308)*Vu_khi!$U$308+$K$308),$I$308/MAX(0.05,$G$308)))</f>
        <v/>
      </c>
      <c r="N308" t="n">
        <v>38.18508535489668</v>
      </c>
      <c r="O308">
        <f>OR(Vu_khi!$AG$308,Vu_khi!$AB$308&gt;0,Vu_khi!$AH$308,Vu_khi!$M$308="Bomb",Vu_khi!$M$308="Drone")</f>
        <v/>
      </c>
      <c r="P308" t="b">
        <v>0</v>
      </c>
      <c r="Q308">
        <f>AND(NOT(Vu_khi!$AJ$308),OR(Vu_khi!$AC$308="Ground",Vu_khi!$AC$308="All"))</f>
        <v/>
      </c>
      <c r="R308" t="b">
        <v>0</v>
      </c>
      <c r="S308">
        <f>AND(NOT(Vu_khi!$AJ$308),OR(Vu_khi!$AC$308="Air",Vu_khi!$AC$308="All"))</f>
        <v/>
      </c>
      <c r="T308" t="b">
        <v>1</v>
      </c>
      <c r="U308">
        <f>INDEX(Bang_sat_thuong!$B$2:$B$7,MATCH(Vu_khi!$K$308,Bang_sat_thuong!$A$2:$A$7,0))</f>
        <v/>
      </c>
      <c r="V308" t="n">
        <v>0.5</v>
      </c>
      <c r="W308">
        <f>INDEX(Bang_sat_thuong!$C$2:$C$7,MATCH(Vu_khi!$K$308,Bang_sat_thuong!$A$2:$A$7,0))</f>
        <v/>
      </c>
      <c r="X308" t="n">
        <v>1.3</v>
      </c>
      <c r="Y308">
        <f>IF(AND(Vu_khi!$AI$308,Vu_khi!$K$308="HighExplosive"),MAX(He_so_toan_cuc!$D$2,INDEX(Bang_sat_thuong!$D$2:$D$7,MATCH(Vu_khi!$K$308,Bang_sat_thuong!$A$2:$A$7,0))),INDEX(Bang_sat_thuong!$D$2:$D$7,MATCH(Vu_khi!$K$308,Bang_sat_thuong!$A$2:$A$7,0)))</f>
        <v/>
      </c>
      <c r="Z308" t="n">
        <v>0.1</v>
      </c>
      <c r="AA308">
        <f>INDEX(Bang_xuyen_giap!$C$2:$C$7,MIN(6,MAX(1,IF($O$308,MAX(1,2-(Vu_khi!$L$308-0)),2-(Vu_khi!$L$308-0))+1)))</f>
        <v/>
      </c>
      <c r="AB308" t="n">
        <v>1.2</v>
      </c>
      <c r="AC308">
        <f>INDEX(Bang_xuyen_giap!$C$2:$C$7,MIN(6,MAX(1,IF($O$308,MAX(1,2-(Vu_khi!$L$308-2)),2-(Vu_khi!$L$308-2))+1)))</f>
        <v/>
      </c>
      <c r="AD308" t="n">
        <v>0.85</v>
      </c>
      <c r="AE308">
        <f>INDEX(Bang_xuyen_giap!$C$2:$C$7,MIN(6,MAX(1,IF($O$308,MAX(1,2-(Vu_khi!$L$308-4)),2-(Vu_khi!$L$308-4))+1)))</f>
        <v/>
      </c>
      <c r="AF308" t="n">
        <v>0.25</v>
      </c>
      <c r="AG308">
        <f>INDEX(Bang_xuyen_giap!$C$2:$C$7,MIN(6,MAX(1,MAX(1,2-(Vu_khi!$L$308-0))+1)))</f>
        <v/>
      </c>
      <c r="AH308" t="n">
        <v>1</v>
      </c>
      <c r="AI308">
        <f>IF($Q$308,$M$308*$AA$308*$U$308,0)</f>
        <v/>
      </c>
      <c r="AJ308" t="n">
        <v>0</v>
      </c>
      <c r="AK308">
        <f>IF($Q$308,$M$308*$AC$308*$U$308,0)</f>
        <v/>
      </c>
      <c r="AL308" t="n">
        <v>0</v>
      </c>
      <c r="AM308">
        <f>IF($Q$308,$M$308*$AE$308*$U$308,0)</f>
        <v/>
      </c>
      <c r="AN308" t="n">
        <v>0</v>
      </c>
      <c r="AO308">
        <f>IF($Q$308,$M$308*$AC$308*$Y$308,0)</f>
        <v/>
      </c>
      <c r="AP308" t="n">
        <v>0</v>
      </c>
      <c r="AQ308">
        <f>IF($S$308,$M$308*$AG$308*$W$308,0)</f>
        <v/>
      </c>
      <c r="AR308" t="n">
        <v>49.64061096136568</v>
      </c>
      <c r="AS308">
        <f>IF(OR(Vu_khi!$M$308="Missile",Vu_khi!$M$308="Drone",AND(Vu_khi!$M$308="Rocket",OR(Vu_khi!$AM$308,Vu_khi!$D$308="guided")),Vu_khi!$AL$308,Vu_khi!$AK$308,Vu_khi!$X$308&lt;=0),FALSE,IF($B$308&gt;=0,$B$308&gt;=4,IF(Vu_khi!$M$308="Shell",Vu_khi!$AN$308&gt;=Canh_bao_vong!$D$10,IF(Vu_khi!$M$308="Bomb",Vu_khi!$AN$308&gt;=Canh_bao_vong!$D$3,IF(Vu_khi!$M$308="Rocket",Vu_khi!$AN$308&gt;=Canh_bao_vong!$D$13,FALSE)))))</f>
        <v/>
      </c>
      <c r="AT308" t="b">
        <v>0</v>
      </c>
      <c r="AU308">
        <f>IF(AND($B$308&lt;0,$AS$308),4,$B$308)</f>
        <v/>
      </c>
      <c r="AV308" t="n">
        <v>2</v>
      </c>
      <c r="AW308">
        <f>IF($AU$308&lt;4,0,MIN(MAX(0.5,Canh_bao_vong!$D$4),MAX(IF(Vu_khi!$C$308="cal_406",Canh_bao_vong!$D$7,IF($AU$308&gt;=5,Canh_bao_vong!$D$9,Canh_bao_vong!$D$8)),Canh_bao_vong!$D$2+MAX(0,Vu_khi!$X$308)/MAX(0.1,Canh_bao_vong!$D$5))))</f>
        <v/>
      </c>
      <c r="AX308" t="n">
        <v>0</v>
      </c>
      <c r="AY308" t="n">
        <v>1.484</v>
      </c>
      <c r="AZ308" t="inlineStr">
        <is>
          <t>ok</t>
        </is>
      </c>
      <c r="BA308" t="inlineStr"/>
      <c r="BB308" t="inlineStr">
        <is>
          <t>Assets/MachineBrigade/Resources/Data/balance.json: weapons[id=sam] (lớp B trên 01_chien_dau/Vu_khi)</t>
        </is>
      </c>
      <c r="BC308" t="inlineStr"/>
    </row>
    <row r="309">
      <c r="A309" t="inlineStr">
        <is>
          <t>sam_48n6</t>
        </is>
      </c>
      <c r="B309" t="n">
        <v>2</v>
      </c>
      <c r="C309">
        <f>IF(Vu_khi!$O$309="SIMULTANEOUS",MAX(1,Vu_khi!$N$309),1)</f>
        <v/>
      </c>
      <c r="D309" t="n">
        <v>1</v>
      </c>
      <c r="E309">
        <f>IF(Vu_khi!$S$309&gt;0,Vu_khi!$S$309,Vu_khi!$P$309*$C$309)</f>
        <v/>
      </c>
      <c r="F309" t="n">
        <v>1</v>
      </c>
      <c r="G309">
        <f>IF(Vu_khi!$S$309&gt;0,(Vu_khi!$S$309-1)*Vu_khi!$R$309+Vu_khi!$T$309,Vu_khi!$R$309+(Vu_khi!$P$309-1)*Vu_khi!$Q$309)</f>
        <v/>
      </c>
      <c r="H309" t="n">
        <v>7.2</v>
      </c>
      <c r="I309">
        <f>Vu_khi!$W$309*MAX(1,$E$309)</f>
        <v/>
      </c>
      <c r="J309" t="n">
        <v>630</v>
      </c>
      <c r="K309">
        <f>IF(Vu_khi!$V$309&gt;0,Vu_khi!$V$309,MIN(28,MAX(10,Vu_khi!$U$309*Vu_khi!$R$309*0.4)))</f>
        <v/>
      </c>
      <c r="L309" t="n">
        <v>10</v>
      </c>
      <c r="M309">
        <f>IF(Vu_khi!$W$309&lt;=0,0,IF(Vu_khi!$U$309&gt;0,$I$309*Vu_khi!$U$309/(MAX(0.05,$G$309)*Vu_khi!$U$309+$K$309),$I$309/MAX(0.05,$G$309)))</f>
        <v/>
      </c>
      <c r="N309" t="n">
        <v>87.5</v>
      </c>
      <c r="O309">
        <f>OR(Vu_khi!$AG$309,Vu_khi!$AB$309&gt;0,Vu_khi!$AH$309,Vu_khi!$M$309="Bomb",Vu_khi!$M$309="Drone")</f>
        <v/>
      </c>
      <c r="P309" t="b">
        <v>1</v>
      </c>
      <c r="Q309">
        <f>AND(NOT(Vu_khi!$AJ$309),OR(Vu_khi!$AC$309="Ground",Vu_khi!$AC$309="All"))</f>
        <v/>
      </c>
      <c r="R309" t="b">
        <v>0</v>
      </c>
      <c r="S309">
        <f>AND(NOT(Vu_khi!$AJ$309),OR(Vu_khi!$AC$309="Air",Vu_khi!$AC$309="All"))</f>
        <v/>
      </c>
      <c r="T309" t="b">
        <v>1</v>
      </c>
      <c r="U309">
        <f>INDEX(Bang_sat_thuong!$B$2:$B$7,MATCH(Vu_khi!$K$309,Bang_sat_thuong!$A$2:$A$7,0))</f>
        <v/>
      </c>
      <c r="V309" t="n">
        <v>0.5</v>
      </c>
      <c r="W309">
        <f>INDEX(Bang_sat_thuong!$C$2:$C$7,MATCH(Vu_khi!$K$309,Bang_sat_thuong!$A$2:$A$7,0))</f>
        <v/>
      </c>
      <c r="X309" t="n">
        <v>1.3</v>
      </c>
      <c r="Y309">
        <f>IF(AND(Vu_khi!$AI$309,Vu_khi!$K$309="HighExplosive"),MAX(He_so_toan_cuc!$D$2,INDEX(Bang_sat_thuong!$D$2:$D$7,MATCH(Vu_khi!$K$309,Bang_sat_thuong!$A$2:$A$7,0))),INDEX(Bang_sat_thuong!$D$2:$D$7,MATCH(Vu_khi!$K$309,Bang_sat_thuong!$A$2:$A$7,0)))</f>
        <v/>
      </c>
      <c r="Z309" t="n">
        <v>0.1</v>
      </c>
      <c r="AA309">
        <f>INDEX(Bang_xuyen_giap!$C$2:$C$7,MIN(6,MAX(1,IF($O$309,MAX(1,2-(Vu_khi!$L$309-0)),2-(Vu_khi!$L$309-0))+1)))</f>
        <v/>
      </c>
      <c r="AB309" t="n">
        <v>1</v>
      </c>
      <c r="AC309">
        <f>INDEX(Bang_xuyen_giap!$C$2:$C$7,MIN(6,MAX(1,IF($O$309,MAX(1,2-(Vu_khi!$L$309-2)),2-(Vu_khi!$L$309-2))+1)))</f>
        <v/>
      </c>
      <c r="AD309" t="n">
        <v>1</v>
      </c>
      <c r="AE309">
        <f>INDEX(Bang_xuyen_giap!$C$2:$C$7,MIN(6,MAX(1,IF($O$309,MAX(1,2-(Vu_khi!$L$309-4)),2-(Vu_khi!$L$309-4))+1)))</f>
        <v/>
      </c>
      <c r="AF309" t="n">
        <v>0.5</v>
      </c>
      <c r="AG309">
        <f>INDEX(Bang_xuyen_giap!$C$2:$C$7,MIN(6,MAX(1,MAX(1,2-(Vu_khi!$L$309-0))+1)))</f>
        <v/>
      </c>
      <c r="AH309" t="n">
        <v>1</v>
      </c>
      <c r="AI309">
        <f>IF($Q$309,$M$309*$AA$309*$U$309,0)</f>
        <v/>
      </c>
      <c r="AJ309" t="n">
        <v>0</v>
      </c>
      <c r="AK309">
        <f>IF($Q$309,$M$309*$AC$309*$U$309,0)</f>
        <v/>
      </c>
      <c r="AL309" t="n">
        <v>0</v>
      </c>
      <c r="AM309">
        <f>IF($Q$309,$M$309*$AE$309*$U$309,0)</f>
        <v/>
      </c>
      <c r="AN309" t="n">
        <v>0</v>
      </c>
      <c r="AO309">
        <f>IF($Q$309,$M$309*$AC$309*$Y$309,0)</f>
        <v/>
      </c>
      <c r="AP309" t="n">
        <v>0</v>
      </c>
      <c r="AQ309">
        <f>IF($S$309,$M$309*$AG$309*$W$309,0)</f>
        <v/>
      </c>
      <c r="AR309" t="n">
        <v>113.75</v>
      </c>
      <c r="AS309">
        <f>IF(OR(Vu_khi!$M$309="Missile",Vu_khi!$M$309="Drone",AND(Vu_khi!$M$309="Rocket",OR(Vu_khi!$AM$309,Vu_khi!$D$309="guided")),Vu_khi!$AL$309,Vu_khi!$AK$309,Vu_khi!$X$309&lt;=0),FALSE,IF($B$309&gt;=0,$B$309&gt;=4,IF(Vu_khi!$M$309="Shell",Vu_khi!$AN$309&gt;=Canh_bao_vong!$D$10,IF(Vu_khi!$M$309="Bomb",Vu_khi!$AN$309&gt;=Canh_bao_vong!$D$3,IF(Vu_khi!$M$309="Rocket",Vu_khi!$AN$309&gt;=Canh_bao_vong!$D$13,FALSE)))))</f>
        <v/>
      </c>
      <c r="AT309" t="b">
        <v>0</v>
      </c>
      <c r="AU309">
        <f>IF(AND($B$309&lt;0,$AS$309),4,$B$309)</f>
        <v/>
      </c>
      <c r="AV309" t="n">
        <v>2</v>
      </c>
      <c r="AW309">
        <f>IF($AU$309&lt;4,0,MIN(MAX(0.5,Canh_bao_vong!$D$4),MAX(IF(Vu_khi!$C$309="cal_406",Canh_bao_vong!$D$7,IF($AU$309&gt;=5,Canh_bao_vong!$D$9,Canh_bao_vong!$D$8)),Canh_bao_vong!$D$2+MAX(0,Vu_khi!$X$309)/MAX(0.1,Canh_bao_vong!$D$5))))</f>
        <v/>
      </c>
      <c r="AX309" t="n">
        <v>0</v>
      </c>
      <c r="AY309" t="n">
        <v>2.4</v>
      </c>
      <c r="AZ309" t="inlineStr">
        <is>
          <t>ok</t>
        </is>
      </c>
      <c r="BA309" t="inlineStr"/>
      <c r="BB309" t="inlineStr">
        <is>
          <t>Assets/MachineBrigade/Resources/Data/balance.json: weapons[id=sam_48n6] (lớp B trên 01_chien_dau/Vu_khi)</t>
        </is>
      </c>
      <c r="BC309" t="inlineStr"/>
    </row>
    <row r="310">
      <c r="A310" t="inlineStr">
        <is>
          <t>sam_battery</t>
        </is>
      </c>
      <c r="B310" t="n">
        <v>2</v>
      </c>
      <c r="C310">
        <f>IF(Vu_khi!$O$310="SIMULTANEOUS",MAX(1,Vu_khi!$N$310),1)</f>
        <v/>
      </c>
      <c r="D310" t="n">
        <v>1</v>
      </c>
      <c r="E310">
        <f>IF(Vu_khi!$S$310&gt;0,Vu_khi!$S$310,Vu_khi!$P$310*$C$310)</f>
        <v/>
      </c>
      <c r="F310" t="n">
        <v>2</v>
      </c>
      <c r="G310">
        <f>IF(Vu_khi!$S$310&gt;0,(Vu_khi!$S$310-1)*Vu_khi!$R$310+Vu_khi!$T$310,Vu_khi!$R$310+(Vu_khi!$P$310-1)*Vu_khi!$Q$310)</f>
        <v/>
      </c>
      <c r="H310" t="n">
        <v>11</v>
      </c>
      <c r="I310">
        <f>Vu_khi!$W$310*MAX(1,$E$310)</f>
        <v/>
      </c>
      <c r="J310" t="n">
        <v>680</v>
      </c>
      <c r="K310">
        <f>IF(Vu_khi!$V$310&gt;0,Vu_khi!$V$310,MIN(28,MAX(10,Vu_khi!$U$310*Vu_khi!$R$310*0.4)))</f>
        <v/>
      </c>
      <c r="L310" t="n">
        <v>10</v>
      </c>
      <c r="M310">
        <f>IF(Vu_khi!$W$310&lt;=0,0,IF(Vu_khi!$U$310&gt;0,$I$310*Vu_khi!$U$310/(MAX(0.05,$G$310)*Vu_khi!$U$310+$K$310),$I$310/MAX(0.05,$G$310)))</f>
        <v/>
      </c>
      <c r="N310" t="n">
        <v>61.81818181818182</v>
      </c>
      <c r="O310">
        <f>OR(Vu_khi!$AG$310,Vu_khi!$AB$310&gt;0,Vu_khi!$AH$310,Vu_khi!$M$310="Bomb",Vu_khi!$M$310="Drone")</f>
        <v/>
      </c>
      <c r="P310" t="b">
        <v>1</v>
      </c>
      <c r="Q310">
        <f>AND(NOT(Vu_khi!$AJ$310),OR(Vu_khi!$AC$310="Ground",Vu_khi!$AC$310="All"))</f>
        <v/>
      </c>
      <c r="R310" t="b">
        <v>0</v>
      </c>
      <c r="S310">
        <f>AND(NOT(Vu_khi!$AJ$310),OR(Vu_khi!$AC$310="Air",Vu_khi!$AC$310="All"))</f>
        <v/>
      </c>
      <c r="T310" t="b">
        <v>1</v>
      </c>
      <c r="U310">
        <f>INDEX(Bang_sat_thuong!$B$2:$B$7,MATCH(Vu_khi!$K$310,Bang_sat_thuong!$A$2:$A$7,0))</f>
        <v/>
      </c>
      <c r="V310" t="n">
        <v>0.5</v>
      </c>
      <c r="W310">
        <f>INDEX(Bang_sat_thuong!$C$2:$C$7,MATCH(Vu_khi!$K$310,Bang_sat_thuong!$A$2:$A$7,0))</f>
        <v/>
      </c>
      <c r="X310" t="n">
        <v>1.3</v>
      </c>
      <c r="Y310">
        <f>IF(AND(Vu_khi!$AI$310,Vu_khi!$K$310="HighExplosive"),MAX(He_so_toan_cuc!$D$2,INDEX(Bang_sat_thuong!$D$2:$D$7,MATCH(Vu_khi!$K$310,Bang_sat_thuong!$A$2:$A$7,0))),INDEX(Bang_sat_thuong!$D$2:$D$7,MATCH(Vu_khi!$K$310,Bang_sat_thuong!$A$2:$A$7,0)))</f>
        <v/>
      </c>
      <c r="Z310" t="n">
        <v>0.1</v>
      </c>
      <c r="AA310">
        <f>INDEX(Bang_xuyen_giap!$C$2:$C$7,MIN(6,MAX(1,IF($O$310,MAX(1,2-(Vu_khi!$L$310-0)),2-(Vu_khi!$L$310-0))+1)))</f>
        <v/>
      </c>
      <c r="AB310" t="n">
        <v>1</v>
      </c>
      <c r="AC310">
        <f>INDEX(Bang_xuyen_giap!$C$2:$C$7,MIN(6,MAX(1,IF($O$310,MAX(1,2-(Vu_khi!$L$310-2)),2-(Vu_khi!$L$310-2))+1)))</f>
        <v/>
      </c>
      <c r="AD310" t="n">
        <v>1</v>
      </c>
      <c r="AE310">
        <f>INDEX(Bang_xuyen_giap!$C$2:$C$7,MIN(6,MAX(1,IF($O$310,MAX(1,2-(Vu_khi!$L$310-4)),2-(Vu_khi!$L$310-4))+1)))</f>
        <v/>
      </c>
      <c r="AF310" t="n">
        <v>0.5</v>
      </c>
      <c r="AG310">
        <f>INDEX(Bang_xuyen_giap!$C$2:$C$7,MIN(6,MAX(1,MAX(1,2-(Vu_khi!$L$310-0))+1)))</f>
        <v/>
      </c>
      <c r="AH310" t="n">
        <v>1</v>
      </c>
      <c r="AI310">
        <f>IF($Q$310,$M$310*$AA$310*$U$310,0)</f>
        <v/>
      </c>
      <c r="AJ310" t="n">
        <v>0</v>
      </c>
      <c r="AK310">
        <f>IF($Q$310,$M$310*$AC$310*$U$310,0)</f>
        <v/>
      </c>
      <c r="AL310" t="n">
        <v>0</v>
      </c>
      <c r="AM310">
        <f>IF($Q$310,$M$310*$AE$310*$U$310,0)</f>
        <v/>
      </c>
      <c r="AN310" t="n">
        <v>0</v>
      </c>
      <c r="AO310">
        <f>IF($Q$310,$M$310*$AC$310*$Y$310,0)</f>
        <v/>
      </c>
      <c r="AP310" t="n">
        <v>0</v>
      </c>
      <c r="AQ310">
        <f>IF($S$310,$M$310*$AG$310*$W$310,0)</f>
        <v/>
      </c>
      <c r="AR310" t="n">
        <v>80.36363636363637</v>
      </c>
      <c r="AS310">
        <f>IF(OR(Vu_khi!$M$310="Missile",Vu_khi!$M$310="Drone",AND(Vu_khi!$M$310="Rocket",OR(Vu_khi!$AM$310,Vu_khi!$D$310="guided")),Vu_khi!$AL$310,Vu_khi!$AK$310,Vu_khi!$X$310&lt;=0),FALSE,IF($B$310&gt;=0,$B$310&gt;=4,IF(Vu_khi!$M$310="Shell",Vu_khi!$AN$310&gt;=Canh_bao_vong!$D$10,IF(Vu_khi!$M$310="Bomb",Vu_khi!$AN$310&gt;=Canh_bao_vong!$D$3,IF(Vu_khi!$M$310="Rocket",Vu_khi!$AN$310&gt;=Canh_bao_vong!$D$13,FALSE)))))</f>
        <v/>
      </c>
      <c r="AT310" t="b">
        <v>0</v>
      </c>
      <c r="AU310">
        <f>IF(AND($B$310&lt;0,$AS$310),4,$B$310)</f>
        <v/>
      </c>
      <c r="AV310" t="n">
        <v>2</v>
      </c>
      <c r="AW310">
        <f>IF($AU$310&lt;4,0,MIN(MAX(0.5,Canh_bao_vong!$D$4),MAX(IF(Vu_khi!$C$310="cal_406",Canh_bao_vong!$D$7,IF($AU$310&gt;=5,Canh_bao_vong!$D$9,Canh_bao_vong!$D$8)),Canh_bao_vong!$D$2+MAX(0,Vu_khi!$X$310)/MAX(0.1,Canh_bao_vong!$D$5))))</f>
        <v/>
      </c>
      <c r="AX310" t="n">
        <v>0</v>
      </c>
      <c r="AY310" t="n">
        <v>1.833333</v>
      </c>
      <c r="AZ310" t="inlineStr">
        <is>
          <t>ok</t>
        </is>
      </c>
      <c r="BA310" t="b">
        <v>1</v>
      </c>
      <c r="BB310" t="inlineStr">
        <is>
          <t>Assets/MachineBrigade/Resources/Data/balance.json: weapons[id=sam_battery] (lớp B trên 01_chien_dau/Vu_khi)</t>
        </is>
      </c>
      <c r="BC310" t="inlineStr"/>
    </row>
    <row r="311">
      <c r="A311" t="inlineStr">
        <is>
          <t>sam_battery_lrr</t>
        </is>
      </c>
      <c r="B311" t="n">
        <v>2</v>
      </c>
      <c r="C311">
        <f>IF(Vu_khi!$O$311="SIMULTANEOUS",MAX(1,Vu_khi!$N$311),1)</f>
        <v/>
      </c>
      <c r="D311" t="n">
        <v>1</v>
      </c>
      <c r="E311">
        <f>IF(Vu_khi!$S$311&gt;0,Vu_khi!$S$311,Vu_khi!$P$311*$C$311)</f>
        <v/>
      </c>
      <c r="F311" t="n">
        <v>2</v>
      </c>
      <c r="G311">
        <f>IF(Vu_khi!$S$311&gt;0,(Vu_khi!$S$311-1)*Vu_khi!$R$311+Vu_khi!$T$311,Vu_khi!$R$311+(Vu_khi!$P$311-1)*Vu_khi!$Q$311)</f>
        <v/>
      </c>
      <c r="H311" t="n">
        <v>3.9</v>
      </c>
      <c r="I311">
        <f>Vu_khi!$W$311*MAX(1,$E$311)</f>
        <v/>
      </c>
      <c r="J311" t="n">
        <v>680</v>
      </c>
      <c r="K311">
        <f>IF(Vu_khi!$V$311&gt;0,Vu_khi!$V$311,MIN(28,MAX(10,Vu_khi!$U$311*Vu_khi!$R$311*0.4)))</f>
        <v/>
      </c>
      <c r="L311" t="n">
        <v>10</v>
      </c>
      <c r="M311">
        <f>IF(Vu_khi!$W$311&lt;=0,0,IF(Vu_khi!$U$311&gt;0,$I$311*Vu_khi!$U$311/(MAX(0.05,$G$311)*Vu_khi!$U$311+$K$311),$I$311/MAX(0.05,$G$311)))</f>
        <v/>
      </c>
      <c r="N311" t="n">
        <v>174.3589743589743</v>
      </c>
      <c r="O311">
        <f>OR(Vu_khi!$AG$311,Vu_khi!$AB$311&gt;0,Vu_khi!$AH$311,Vu_khi!$M$311="Bomb",Vu_khi!$M$311="Drone")</f>
        <v/>
      </c>
      <c r="P311" t="b">
        <v>1</v>
      </c>
      <c r="Q311">
        <f>AND(NOT(Vu_khi!$AJ$311),OR(Vu_khi!$AC$311="Ground",Vu_khi!$AC$311="All"))</f>
        <v/>
      </c>
      <c r="R311" t="b">
        <v>0</v>
      </c>
      <c r="S311">
        <f>AND(NOT(Vu_khi!$AJ$311),OR(Vu_khi!$AC$311="Air",Vu_khi!$AC$311="All"))</f>
        <v/>
      </c>
      <c r="T311" t="b">
        <v>1</v>
      </c>
      <c r="U311">
        <f>INDEX(Bang_sat_thuong!$B$2:$B$7,MATCH(Vu_khi!$K$311,Bang_sat_thuong!$A$2:$A$7,0))</f>
        <v/>
      </c>
      <c r="V311" t="n">
        <v>0.5</v>
      </c>
      <c r="W311">
        <f>INDEX(Bang_sat_thuong!$C$2:$C$7,MATCH(Vu_khi!$K$311,Bang_sat_thuong!$A$2:$A$7,0))</f>
        <v/>
      </c>
      <c r="X311" t="n">
        <v>1.3</v>
      </c>
      <c r="Y311">
        <f>IF(AND(Vu_khi!$AI$311,Vu_khi!$K$311="HighExplosive"),MAX(He_so_toan_cuc!$D$2,INDEX(Bang_sat_thuong!$D$2:$D$7,MATCH(Vu_khi!$K$311,Bang_sat_thuong!$A$2:$A$7,0))),INDEX(Bang_sat_thuong!$D$2:$D$7,MATCH(Vu_khi!$K$311,Bang_sat_thuong!$A$2:$A$7,0)))</f>
        <v/>
      </c>
      <c r="Z311" t="n">
        <v>0.1</v>
      </c>
      <c r="AA311">
        <f>INDEX(Bang_xuyen_giap!$C$2:$C$7,MIN(6,MAX(1,IF($O$311,MAX(1,2-(Vu_khi!$L$311-0)),2-(Vu_khi!$L$311-0))+1)))</f>
        <v/>
      </c>
      <c r="AB311" t="n">
        <v>1</v>
      </c>
      <c r="AC311">
        <f>INDEX(Bang_xuyen_giap!$C$2:$C$7,MIN(6,MAX(1,IF($O$311,MAX(1,2-(Vu_khi!$L$311-2)),2-(Vu_khi!$L$311-2))+1)))</f>
        <v/>
      </c>
      <c r="AD311" t="n">
        <v>1</v>
      </c>
      <c r="AE311">
        <f>INDEX(Bang_xuyen_giap!$C$2:$C$7,MIN(6,MAX(1,IF($O$311,MAX(1,2-(Vu_khi!$L$311-4)),2-(Vu_khi!$L$311-4))+1)))</f>
        <v/>
      </c>
      <c r="AF311" t="n">
        <v>0.5</v>
      </c>
      <c r="AG311">
        <f>INDEX(Bang_xuyen_giap!$C$2:$C$7,MIN(6,MAX(1,MAX(1,2-(Vu_khi!$L$311-0))+1)))</f>
        <v/>
      </c>
      <c r="AH311" t="n">
        <v>1</v>
      </c>
      <c r="AI311">
        <f>IF($Q$311,$M$311*$AA$311*$U$311,0)</f>
        <v/>
      </c>
      <c r="AJ311" t="n">
        <v>0</v>
      </c>
      <c r="AK311">
        <f>IF($Q$311,$M$311*$AC$311*$U$311,0)</f>
        <v/>
      </c>
      <c r="AL311" t="n">
        <v>0</v>
      </c>
      <c r="AM311">
        <f>IF($Q$311,$M$311*$AE$311*$U$311,0)</f>
        <v/>
      </c>
      <c r="AN311" t="n">
        <v>0</v>
      </c>
      <c r="AO311">
        <f>IF($Q$311,$M$311*$AC$311*$Y$311,0)</f>
        <v/>
      </c>
      <c r="AP311" t="n">
        <v>0</v>
      </c>
      <c r="AQ311">
        <f>IF($S$311,$M$311*$AG$311*$W$311,0)</f>
        <v/>
      </c>
      <c r="AR311" t="n">
        <v>226.6666666666667</v>
      </c>
      <c r="AS311">
        <f>IF(OR(Vu_khi!$M$311="Missile",Vu_khi!$M$311="Drone",AND(Vu_khi!$M$311="Rocket",OR(Vu_khi!$AM$311,Vu_khi!$D$311="guided")),Vu_khi!$AL$311,Vu_khi!$AK$311,Vu_khi!$X$311&lt;=0),FALSE,IF($B$311&gt;=0,$B$311&gt;=4,IF(Vu_khi!$M$311="Shell",Vu_khi!$AN$311&gt;=Canh_bao_vong!$D$10,IF(Vu_khi!$M$311="Bomb",Vu_khi!$AN$311&gt;=Canh_bao_vong!$D$3,IF(Vu_khi!$M$311="Rocket",Vu_khi!$AN$311&gt;=Canh_bao_vong!$D$13,FALSE)))))</f>
        <v/>
      </c>
      <c r="AT311" t="b">
        <v>0</v>
      </c>
      <c r="AU311">
        <f>IF(AND($B$311&lt;0,$AS$311),4,$B$311)</f>
        <v/>
      </c>
      <c r="AV311" t="n">
        <v>2</v>
      </c>
      <c r="AW311">
        <f>IF($AU$311&lt;4,0,MIN(MAX(0.5,Canh_bao_vong!$D$4),MAX(IF(Vu_khi!$C$311="cal_406",Canh_bao_vong!$D$7,IF($AU$311&gt;=5,Canh_bao_vong!$D$9,Canh_bao_vong!$D$8)),Canh_bao_vong!$D$2+MAX(0,Vu_khi!$X$311)/MAX(0.1,Canh_bao_vong!$D$5))))</f>
        <v/>
      </c>
      <c r="AX311" t="n">
        <v>0</v>
      </c>
      <c r="AY311" t="n">
        <v>0.65</v>
      </c>
      <c r="AZ311" t="inlineStr">
        <is>
          <t>NHANH_QUA</t>
        </is>
      </c>
      <c r="BA311" t="inlineStr"/>
      <c r="BB311" t="inlineStr">
        <is>
          <t>Assets/MachineBrigade/Resources/Data/balance.json: weapons[id=sam_battery_lrr] (lớp B trên 01_chien_dau/Vu_khi)</t>
        </is>
      </c>
      <c r="BC311" t="inlineStr"/>
    </row>
    <row r="312">
      <c r="A312" t="inlineStr">
        <is>
          <t>sam_long</t>
        </is>
      </c>
      <c r="B312" t="n">
        <v>2</v>
      </c>
      <c r="C312">
        <f>IF(Vu_khi!$O$312="SIMULTANEOUS",MAX(1,Vu_khi!$N$312),1)</f>
        <v/>
      </c>
      <c r="D312" t="n">
        <v>1</v>
      </c>
      <c r="E312">
        <f>IF(Vu_khi!$S$312&gt;0,Vu_khi!$S$312,Vu_khi!$P$312*$C$312)</f>
        <v/>
      </c>
      <c r="F312" t="n">
        <v>2</v>
      </c>
      <c r="G312">
        <f>IF(Vu_khi!$S$312&gt;0,(Vu_khi!$S$312-1)*Vu_khi!$R$312+Vu_khi!$T$312,Vu_khi!$R$312+(Vu_khi!$P$312-1)*Vu_khi!$Q$312)</f>
        <v/>
      </c>
      <c r="H312" t="n">
        <v>6.23</v>
      </c>
      <c r="I312">
        <f>Vu_khi!$W$312*MAX(1,$E$312)</f>
        <v/>
      </c>
      <c r="J312" t="n">
        <v>640</v>
      </c>
      <c r="K312">
        <f>IF(Vu_khi!$V$312&gt;0,Vu_khi!$V$312,MIN(28,MAX(10,Vu_khi!$U$312*Vu_khi!$R$312*0.4)))</f>
        <v/>
      </c>
      <c r="L312" t="n">
        <v>10</v>
      </c>
      <c r="M312">
        <f>IF(Vu_khi!$W$312&lt;=0,0,IF(Vu_khi!$U$312&gt;0,$I$312*Vu_khi!$U$312/(MAX(0.05,$G$312)*Vu_khi!$U$312+$K$312),$I$312/MAX(0.05,$G$312)))</f>
        <v/>
      </c>
      <c r="N312" t="n">
        <v>102.7287319422151</v>
      </c>
      <c r="O312">
        <f>OR(Vu_khi!$AG$312,Vu_khi!$AB$312&gt;0,Vu_khi!$AH$312,Vu_khi!$M$312="Bomb",Vu_khi!$M$312="Drone")</f>
        <v/>
      </c>
      <c r="P312" t="b">
        <v>0</v>
      </c>
      <c r="Q312">
        <f>AND(NOT(Vu_khi!$AJ$312),OR(Vu_khi!$AC$312="Ground",Vu_khi!$AC$312="All"))</f>
        <v/>
      </c>
      <c r="R312" t="b">
        <v>0</v>
      </c>
      <c r="S312">
        <f>AND(NOT(Vu_khi!$AJ$312),OR(Vu_khi!$AC$312="Air",Vu_khi!$AC$312="All"))</f>
        <v/>
      </c>
      <c r="T312" t="b">
        <v>1</v>
      </c>
      <c r="U312">
        <f>INDEX(Bang_sat_thuong!$B$2:$B$7,MATCH(Vu_khi!$K$312,Bang_sat_thuong!$A$2:$A$7,0))</f>
        <v/>
      </c>
      <c r="V312" t="n">
        <v>0.5</v>
      </c>
      <c r="W312">
        <f>INDEX(Bang_sat_thuong!$C$2:$C$7,MATCH(Vu_khi!$K$312,Bang_sat_thuong!$A$2:$A$7,0))</f>
        <v/>
      </c>
      <c r="X312" t="n">
        <v>1.3</v>
      </c>
      <c r="Y312">
        <f>IF(AND(Vu_khi!$AI$312,Vu_khi!$K$312="HighExplosive"),MAX(He_so_toan_cuc!$D$2,INDEX(Bang_sat_thuong!$D$2:$D$7,MATCH(Vu_khi!$K$312,Bang_sat_thuong!$A$2:$A$7,0))),INDEX(Bang_sat_thuong!$D$2:$D$7,MATCH(Vu_khi!$K$312,Bang_sat_thuong!$A$2:$A$7,0)))</f>
        <v/>
      </c>
      <c r="Z312" t="n">
        <v>0.1</v>
      </c>
      <c r="AA312">
        <f>INDEX(Bang_xuyen_giap!$C$2:$C$7,MIN(6,MAX(1,IF($O$312,MAX(1,2-(Vu_khi!$L$312-0)),2-(Vu_khi!$L$312-0))+1)))</f>
        <v/>
      </c>
      <c r="AB312" t="n">
        <v>1.2</v>
      </c>
      <c r="AC312">
        <f>INDEX(Bang_xuyen_giap!$C$2:$C$7,MIN(6,MAX(1,IF($O$312,MAX(1,2-(Vu_khi!$L$312-2)),2-(Vu_khi!$L$312-2))+1)))</f>
        <v/>
      </c>
      <c r="AD312" t="n">
        <v>1</v>
      </c>
      <c r="AE312">
        <f>INDEX(Bang_xuyen_giap!$C$2:$C$7,MIN(6,MAX(1,IF($O$312,MAX(1,2-(Vu_khi!$L$312-4)),2-(Vu_khi!$L$312-4))+1)))</f>
        <v/>
      </c>
      <c r="AF312" t="n">
        <v>0.5</v>
      </c>
      <c r="AG312">
        <f>INDEX(Bang_xuyen_giap!$C$2:$C$7,MIN(6,MAX(1,MAX(1,2-(Vu_khi!$L$312-0))+1)))</f>
        <v/>
      </c>
      <c r="AH312" t="n">
        <v>1</v>
      </c>
      <c r="AI312">
        <f>IF($Q$312,$M$312*$AA$312*$U$312,0)</f>
        <v/>
      </c>
      <c r="AJ312" t="n">
        <v>0</v>
      </c>
      <c r="AK312">
        <f>IF($Q$312,$M$312*$AC$312*$U$312,0)</f>
        <v/>
      </c>
      <c r="AL312" t="n">
        <v>0</v>
      </c>
      <c r="AM312">
        <f>IF($Q$312,$M$312*$AE$312*$U$312,0)</f>
        <v/>
      </c>
      <c r="AN312" t="n">
        <v>0</v>
      </c>
      <c r="AO312">
        <f>IF($Q$312,$M$312*$AC$312*$Y$312,0)</f>
        <v/>
      </c>
      <c r="AP312" t="n">
        <v>0</v>
      </c>
      <c r="AQ312">
        <f>IF($S$312,$M$312*$AG$312*$W$312,0)</f>
        <v/>
      </c>
      <c r="AR312" t="n">
        <v>133.5473515248796</v>
      </c>
      <c r="AS312">
        <f>IF(OR(Vu_khi!$M$312="Missile",Vu_khi!$M$312="Drone",AND(Vu_khi!$M$312="Rocket",OR(Vu_khi!$AM$312,Vu_khi!$D$312="guided")),Vu_khi!$AL$312,Vu_khi!$AK$312,Vu_khi!$X$312&lt;=0),FALSE,IF($B$312&gt;=0,$B$312&gt;=4,IF(Vu_khi!$M$312="Shell",Vu_khi!$AN$312&gt;=Canh_bao_vong!$D$10,IF(Vu_khi!$M$312="Bomb",Vu_khi!$AN$312&gt;=Canh_bao_vong!$D$3,IF(Vu_khi!$M$312="Rocket",Vu_khi!$AN$312&gt;=Canh_bao_vong!$D$13,FALSE)))))</f>
        <v/>
      </c>
      <c r="AT312" t="b">
        <v>0</v>
      </c>
      <c r="AU312">
        <f>IF(AND($B$312&lt;0,$AS$312),4,$B$312)</f>
        <v/>
      </c>
      <c r="AV312" t="n">
        <v>2</v>
      </c>
      <c r="AW312">
        <f>IF($AU$312&lt;4,0,MIN(MAX(0.5,Canh_bao_vong!$D$4),MAX(IF(Vu_khi!$C$312="cal_406",Canh_bao_vong!$D$7,IF($AU$312&gt;=5,Canh_bao_vong!$D$9,Canh_bao_vong!$D$8)),Canh_bao_vong!$D$2+MAX(0,Vu_khi!$X$312)/MAX(0.1,Canh_bao_vong!$D$5))))</f>
        <v/>
      </c>
      <c r="AX312" t="n">
        <v>0</v>
      </c>
      <c r="AY312" t="n">
        <v>0.7787500000000001</v>
      </c>
      <c r="AZ312" t="inlineStr">
        <is>
          <t>NHANH_QUA</t>
        </is>
      </c>
      <c r="BA312" t="inlineStr"/>
      <c r="BB312" t="inlineStr">
        <is>
          <t>Assets/MachineBrigade/Resources/Data/balance.json: weapons[id=sam_long] (lớp B trên 01_chien_dau/Vu_khi)</t>
        </is>
      </c>
      <c r="BC312" t="inlineStr"/>
    </row>
    <row r="313">
      <c r="A313" t="inlineStr">
        <is>
          <t>sam_pac3</t>
        </is>
      </c>
      <c r="B313" t="n">
        <v>2</v>
      </c>
      <c r="C313">
        <f>IF(Vu_khi!$O$313="SIMULTANEOUS",MAX(1,Vu_khi!$N$313),1)</f>
        <v/>
      </c>
      <c r="D313" t="n">
        <v>1</v>
      </c>
      <c r="E313">
        <f>IF(Vu_khi!$S$313&gt;0,Vu_khi!$S$313,Vu_khi!$P$313*$C$313)</f>
        <v/>
      </c>
      <c r="F313" t="n">
        <v>2</v>
      </c>
      <c r="G313">
        <f>IF(Vu_khi!$S$313&gt;0,(Vu_khi!$S$313-1)*Vu_khi!$R$313+Vu_khi!$T$313,Vu_khi!$R$313+(Vu_khi!$P$313-1)*Vu_khi!$Q$313)</f>
        <v/>
      </c>
      <c r="H313" t="n">
        <v>6.7</v>
      </c>
      <c r="I313">
        <f>Vu_khi!$W$313*MAX(1,$E$313)</f>
        <v/>
      </c>
      <c r="J313" t="n">
        <v>720</v>
      </c>
      <c r="K313">
        <f>IF(Vu_khi!$V$313&gt;0,Vu_khi!$V$313,MIN(28,MAX(10,Vu_khi!$U$313*Vu_khi!$R$313*0.4)))</f>
        <v/>
      </c>
      <c r="L313" t="n">
        <v>10</v>
      </c>
      <c r="M313">
        <f>IF(Vu_khi!$W$313&lt;=0,0,IF(Vu_khi!$U$313&gt;0,$I$313*Vu_khi!$U$313/(MAX(0.05,$G$313)*Vu_khi!$U$313+$K$313),$I$313/MAX(0.05,$G$313)))</f>
        <v/>
      </c>
      <c r="N313" t="n">
        <v>107.4626865671642</v>
      </c>
      <c r="O313">
        <f>OR(Vu_khi!$AG$313,Vu_khi!$AB$313&gt;0,Vu_khi!$AH$313,Vu_khi!$M$313="Bomb",Vu_khi!$M$313="Drone")</f>
        <v/>
      </c>
      <c r="P313" t="b">
        <v>1</v>
      </c>
      <c r="Q313">
        <f>AND(NOT(Vu_khi!$AJ$313),OR(Vu_khi!$AC$313="Ground",Vu_khi!$AC$313="All"))</f>
        <v/>
      </c>
      <c r="R313" t="b">
        <v>0</v>
      </c>
      <c r="S313">
        <f>AND(NOT(Vu_khi!$AJ$313),OR(Vu_khi!$AC$313="Air",Vu_khi!$AC$313="All"))</f>
        <v/>
      </c>
      <c r="T313" t="b">
        <v>1</v>
      </c>
      <c r="U313">
        <f>INDEX(Bang_sat_thuong!$B$2:$B$7,MATCH(Vu_khi!$K$313,Bang_sat_thuong!$A$2:$A$7,0))</f>
        <v/>
      </c>
      <c r="V313" t="n">
        <v>0.5</v>
      </c>
      <c r="W313">
        <f>INDEX(Bang_sat_thuong!$C$2:$C$7,MATCH(Vu_khi!$K$313,Bang_sat_thuong!$A$2:$A$7,0))</f>
        <v/>
      </c>
      <c r="X313" t="n">
        <v>1.3</v>
      </c>
      <c r="Y313">
        <f>IF(AND(Vu_khi!$AI$313,Vu_khi!$K$313="HighExplosive"),MAX(He_so_toan_cuc!$D$2,INDEX(Bang_sat_thuong!$D$2:$D$7,MATCH(Vu_khi!$K$313,Bang_sat_thuong!$A$2:$A$7,0))),INDEX(Bang_sat_thuong!$D$2:$D$7,MATCH(Vu_khi!$K$313,Bang_sat_thuong!$A$2:$A$7,0)))</f>
        <v/>
      </c>
      <c r="Z313" t="n">
        <v>0.1</v>
      </c>
      <c r="AA313">
        <f>INDEX(Bang_xuyen_giap!$C$2:$C$7,MIN(6,MAX(1,IF($O$313,MAX(1,2-(Vu_khi!$L$313-0)),2-(Vu_khi!$L$313-0))+1)))</f>
        <v/>
      </c>
      <c r="AB313" t="n">
        <v>1</v>
      </c>
      <c r="AC313">
        <f>INDEX(Bang_xuyen_giap!$C$2:$C$7,MIN(6,MAX(1,IF($O$313,MAX(1,2-(Vu_khi!$L$313-2)),2-(Vu_khi!$L$313-2))+1)))</f>
        <v/>
      </c>
      <c r="AD313" t="n">
        <v>1</v>
      </c>
      <c r="AE313">
        <f>INDEX(Bang_xuyen_giap!$C$2:$C$7,MIN(6,MAX(1,IF($O$313,MAX(1,2-(Vu_khi!$L$313-4)),2-(Vu_khi!$L$313-4))+1)))</f>
        <v/>
      </c>
      <c r="AF313" t="n">
        <v>0.5</v>
      </c>
      <c r="AG313">
        <f>INDEX(Bang_xuyen_giap!$C$2:$C$7,MIN(6,MAX(1,MAX(1,2-(Vu_khi!$L$313-0))+1)))</f>
        <v/>
      </c>
      <c r="AH313" t="n">
        <v>1</v>
      </c>
      <c r="AI313">
        <f>IF($Q$313,$M$313*$AA$313*$U$313,0)</f>
        <v/>
      </c>
      <c r="AJ313" t="n">
        <v>0</v>
      </c>
      <c r="AK313">
        <f>IF($Q$313,$M$313*$AC$313*$U$313,0)</f>
        <v/>
      </c>
      <c r="AL313" t="n">
        <v>0</v>
      </c>
      <c r="AM313">
        <f>IF($Q$313,$M$313*$AE$313*$U$313,0)</f>
        <v/>
      </c>
      <c r="AN313" t="n">
        <v>0</v>
      </c>
      <c r="AO313">
        <f>IF($Q$313,$M$313*$AC$313*$Y$313,0)</f>
        <v/>
      </c>
      <c r="AP313" t="n">
        <v>0</v>
      </c>
      <c r="AQ313">
        <f>IF($S$313,$M$313*$AG$313*$W$313,0)</f>
        <v/>
      </c>
      <c r="AR313" t="n">
        <v>139.7014925373134</v>
      </c>
      <c r="AS313">
        <f>IF(OR(Vu_khi!$M$313="Missile",Vu_khi!$M$313="Drone",AND(Vu_khi!$M$313="Rocket",OR(Vu_khi!$AM$313,Vu_khi!$D$313="guided")),Vu_khi!$AL$313,Vu_khi!$AK$313,Vu_khi!$X$313&lt;=0),FALSE,IF($B$313&gt;=0,$B$313&gt;=4,IF(Vu_khi!$M$313="Shell",Vu_khi!$AN$313&gt;=Canh_bao_vong!$D$10,IF(Vu_khi!$M$313="Bomb",Vu_khi!$AN$313&gt;=Canh_bao_vong!$D$3,IF(Vu_khi!$M$313="Rocket",Vu_khi!$AN$313&gt;=Canh_bao_vong!$D$13,FALSE)))))</f>
        <v/>
      </c>
      <c r="AT313" t="b">
        <v>0</v>
      </c>
      <c r="AU313">
        <f>IF(AND($B$313&lt;0,$AS$313),4,$B$313)</f>
        <v/>
      </c>
      <c r="AV313" t="n">
        <v>2</v>
      </c>
      <c r="AW313">
        <f>IF($AU$313&lt;4,0,MIN(MAX(0.5,Canh_bao_vong!$D$4),MAX(IF(Vu_khi!$C$313="cal_406",Canh_bao_vong!$D$7,IF($AU$313&gt;=5,Canh_bao_vong!$D$9,Canh_bao_vong!$D$8)),Canh_bao_vong!$D$2+MAX(0,Vu_khi!$X$313)/MAX(0.1,Canh_bao_vong!$D$5))))</f>
        <v/>
      </c>
      <c r="AX313" t="n">
        <v>0</v>
      </c>
      <c r="AY313" t="n">
        <v>1.116667</v>
      </c>
      <c r="AZ313" t="inlineStr">
        <is>
          <t>NHANH_QUA</t>
        </is>
      </c>
      <c r="BA313" t="inlineStr"/>
      <c r="BB313" t="inlineStr">
        <is>
          <t>Assets/MachineBrigade/Resources/Data/balance.json: weapons[id=sam_pac3] (lớp B trên 01_chien_dau/Vu_khi)</t>
        </is>
      </c>
      <c r="BC313" t="inlineStr"/>
    </row>
    <row r="314">
      <c r="A314" t="inlineStr">
        <is>
          <t>sam_post</t>
        </is>
      </c>
      <c r="B314" t="n">
        <v>2</v>
      </c>
      <c r="C314">
        <f>IF(Vu_khi!$O$314="SIMULTANEOUS",MAX(1,Vu_khi!$N$314),1)</f>
        <v/>
      </c>
      <c r="D314" t="n">
        <v>1</v>
      </c>
      <c r="E314">
        <f>IF(Vu_khi!$S$314&gt;0,Vu_khi!$S$314,Vu_khi!$P$314*$C$314)</f>
        <v/>
      </c>
      <c r="F314" t="n">
        <v>2</v>
      </c>
      <c r="G314">
        <f>IF(Vu_khi!$S$314&gt;0,(Vu_khi!$S$314-1)*Vu_khi!$R$314+Vu_khi!$T$314,Vu_khi!$R$314+(Vu_khi!$P$314-1)*Vu_khi!$Q$314)</f>
        <v/>
      </c>
      <c r="H314" t="n">
        <v>4.4</v>
      </c>
      <c r="I314">
        <f>Vu_khi!$W$314*MAX(1,$E$314)</f>
        <v/>
      </c>
      <c r="J314" t="n">
        <v>640</v>
      </c>
      <c r="K314">
        <f>IF(Vu_khi!$V$314&gt;0,Vu_khi!$V$314,MIN(28,MAX(10,Vu_khi!$U$314*Vu_khi!$R$314*0.4)))</f>
        <v/>
      </c>
      <c r="L314" t="n">
        <v>10</v>
      </c>
      <c r="M314">
        <f>IF(Vu_khi!$W$314&lt;=0,0,IF(Vu_khi!$U$314&gt;0,$I$314*Vu_khi!$U$314/(MAX(0.05,$G$314)*Vu_khi!$U$314+$K$314),$I$314/MAX(0.05,$G$314)))</f>
        <v/>
      </c>
      <c r="N314" t="n">
        <v>145.4545454545454</v>
      </c>
      <c r="O314">
        <f>OR(Vu_khi!$AG$314,Vu_khi!$AB$314&gt;0,Vu_khi!$AH$314,Vu_khi!$M$314="Bomb",Vu_khi!$M$314="Drone")</f>
        <v/>
      </c>
      <c r="P314" t="b">
        <v>0</v>
      </c>
      <c r="Q314">
        <f>AND(NOT(Vu_khi!$AJ$314),OR(Vu_khi!$AC$314="Ground",Vu_khi!$AC$314="All"))</f>
        <v/>
      </c>
      <c r="R314" t="b">
        <v>0</v>
      </c>
      <c r="S314">
        <f>AND(NOT(Vu_khi!$AJ$314),OR(Vu_khi!$AC$314="Air",Vu_khi!$AC$314="All"))</f>
        <v/>
      </c>
      <c r="T314" t="b">
        <v>1</v>
      </c>
      <c r="U314">
        <f>INDEX(Bang_sat_thuong!$B$2:$B$7,MATCH(Vu_khi!$K$314,Bang_sat_thuong!$A$2:$A$7,0))</f>
        <v/>
      </c>
      <c r="V314" t="n">
        <v>0.5</v>
      </c>
      <c r="W314">
        <f>INDEX(Bang_sat_thuong!$C$2:$C$7,MATCH(Vu_khi!$K$314,Bang_sat_thuong!$A$2:$A$7,0))</f>
        <v/>
      </c>
      <c r="X314" t="n">
        <v>1.3</v>
      </c>
      <c r="Y314">
        <f>IF(AND(Vu_khi!$AI$314,Vu_khi!$K$314="HighExplosive"),MAX(He_so_toan_cuc!$D$2,INDEX(Bang_sat_thuong!$D$2:$D$7,MATCH(Vu_khi!$K$314,Bang_sat_thuong!$A$2:$A$7,0))),INDEX(Bang_sat_thuong!$D$2:$D$7,MATCH(Vu_khi!$K$314,Bang_sat_thuong!$A$2:$A$7,0)))</f>
        <v/>
      </c>
      <c r="Z314" t="n">
        <v>0.1</v>
      </c>
      <c r="AA314">
        <f>INDEX(Bang_xuyen_giap!$C$2:$C$7,MIN(6,MAX(1,IF($O$314,MAX(1,2-(Vu_khi!$L$314-0)),2-(Vu_khi!$L$314-0))+1)))</f>
        <v/>
      </c>
      <c r="AB314" t="n">
        <v>1.2</v>
      </c>
      <c r="AC314">
        <f>INDEX(Bang_xuyen_giap!$C$2:$C$7,MIN(6,MAX(1,IF($O$314,MAX(1,2-(Vu_khi!$L$314-2)),2-(Vu_khi!$L$314-2))+1)))</f>
        <v/>
      </c>
      <c r="AD314" t="n">
        <v>1</v>
      </c>
      <c r="AE314">
        <f>INDEX(Bang_xuyen_giap!$C$2:$C$7,MIN(6,MAX(1,IF($O$314,MAX(1,2-(Vu_khi!$L$314-4)),2-(Vu_khi!$L$314-4))+1)))</f>
        <v/>
      </c>
      <c r="AF314" t="n">
        <v>0.5</v>
      </c>
      <c r="AG314">
        <f>INDEX(Bang_xuyen_giap!$C$2:$C$7,MIN(6,MAX(1,MAX(1,2-(Vu_khi!$L$314-0))+1)))</f>
        <v/>
      </c>
      <c r="AH314" t="n">
        <v>1</v>
      </c>
      <c r="AI314">
        <f>IF($Q$314,$M$314*$AA$314*$U$314,0)</f>
        <v/>
      </c>
      <c r="AJ314" t="n">
        <v>0</v>
      </c>
      <c r="AK314">
        <f>IF($Q$314,$M$314*$AC$314*$U$314,0)</f>
        <v/>
      </c>
      <c r="AL314" t="n">
        <v>0</v>
      </c>
      <c r="AM314">
        <f>IF($Q$314,$M$314*$AE$314*$U$314,0)</f>
        <v/>
      </c>
      <c r="AN314" t="n">
        <v>0</v>
      </c>
      <c r="AO314">
        <f>IF($Q$314,$M$314*$AC$314*$Y$314,0)</f>
        <v/>
      </c>
      <c r="AP314" t="n">
        <v>0</v>
      </c>
      <c r="AQ314">
        <f>IF($S$314,$M$314*$AG$314*$W$314,0)</f>
        <v/>
      </c>
      <c r="AR314" t="n">
        <v>189.0909090909091</v>
      </c>
      <c r="AS314">
        <f>IF(OR(Vu_khi!$M$314="Missile",Vu_khi!$M$314="Drone",AND(Vu_khi!$M$314="Rocket",OR(Vu_khi!$AM$314,Vu_khi!$D$314="guided")),Vu_khi!$AL$314,Vu_khi!$AK$314,Vu_khi!$X$314&lt;=0),FALSE,IF($B$314&gt;=0,$B$314&gt;=4,IF(Vu_khi!$M$314="Shell",Vu_khi!$AN$314&gt;=Canh_bao_vong!$D$10,IF(Vu_khi!$M$314="Bomb",Vu_khi!$AN$314&gt;=Canh_bao_vong!$D$3,IF(Vu_khi!$M$314="Rocket",Vu_khi!$AN$314&gt;=Canh_bao_vong!$D$13,FALSE)))))</f>
        <v/>
      </c>
      <c r="AT314" t="b">
        <v>0</v>
      </c>
      <c r="AU314">
        <f>IF(AND($B$314&lt;0,$AS$314),4,$B$314)</f>
        <v/>
      </c>
      <c r="AV314" t="n">
        <v>2</v>
      </c>
      <c r="AW314">
        <f>IF($AU$314&lt;4,0,MIN(MAX(0.5,Canh_bao_vong!$D$4),MAX(IF(Vu_khi!$C$314="cal_406",Canh_bao_vong!$D$7,IF($AU$314&gt;=5,Canh_bao_vong!$D$9,Canh_bao_vong!$D$8)),Canh_bao_vong!$D$2+MAX(0,Vu_khi!$X$314)/MAX(0.1,Canh_bao_vong!$D$5))))</f>
        <v/>
      </c>
      <c r="AX314" t="n">
        <v>0</v>
      </c>
      <c r="AY314" t="n">
        <v>0.55</v>
      </c>
      <c r="AZ314" t="inlineStr">
        <is>
          <t>NHANH_QUA</t>
        </is>
      </c>
      <c r="BA314" t="b">
        <v>1</v>
      </c>
      <c r="BB314" t="inlineStr">
        <is>
          <t>Assets/MachineBrigade/Resources/Data/balance.json: weapons[id=sam_post] (lớp B trên 01_chien_dau/Vu_khi)</t>
        </is>
      </c>
      <c r="BC314" t="inlineStr"/>
    </row>
    <row r="315">
      <c r="A315" t="inlineStr">
        <is>
          <t>scout_rockets</t>
        </is>
      </c>
      <c r="B315" t="n">
        <v>2</v>
      </c>
      <c r="C315">
        <f>IF(Vu_khi!$O$315="SIMULTANEOUS",MAX(1,Vu_khi!$N$315),1)</f>
        <v/>
      </c>
      <c r="D315" t="n">
        <v>1</v>
      </c>
      <c r="E315">
        <f>IF(Vu_khi!$S$315&gt;0,Vu_khi!$S$315,Vu_khi!$P$315*$C$315)</f>
        <v/>
      </c>
      <c r="F315" t="n">
        <v>12</v>
      </c>
      <c r="G315">
        <f>IF(Vu_khi!$S$315&gt;0,(Vu_khi!$S$315-1)*Vu_khi!$R$315+Vu_khi!$T$315,Vu_khi!$R$315+(Vu_khi!$P$315-1)*Vu_khi!$Q$315)</f>
        <v/>
      </c>
      <c r="H315" t="n">
        <v>8.609999999999999</v>
      </c>
      <c r="I315">
        <f>Vu_khi!$W$315*MAX(1,$E$315)</f>
        <v/>
      </c>
      <c r="J315" t="n">
        <v>360</v>
      </c>
      <c r="K315">
        <f>IF(Vu_khi!$V$315&gt;0,Vu_khi!$V$315,MIN(28,MAX(10,Vu_khi!$U$315*Vu_khi!$R$315*0.4)))</f>
        <v/>
      </c>
      <c r="L315" t="n">
        <v>10</v>
      </c>
      <c r="M315">
        <f>IF(Vu_khi!$W$315&lt;=0,0,IF(Vu_khi!$U$315&gt;0,$I$315*Vu_khi!$U$315/(MAX(0.05,$G$315)*Vu_khi!$U$315+$K$315),$I$315/MAX(0.05,$G$315)))</f>
        <v/>
      </c>
      <c r="N315" t="n">
        <v>41.81184668989548</v>
      </c>
      <c r="O315">
        <f>OR(Vu_khi!$AG$315,Vu_khi!$AB$315&gt;0,Vu_khi!$AH$315,Vu_khi!$M$315="Bomb",Vu_khi!$M$315="Drone")</f>
        <v/>
      </c>
      <c r="P315" t="b">
        <v>0</v>
      </c>
      <c r="Q315">
        <f>AND(NOT(Vu_khi!$AJ$315),OR(Vu_khi!$AC$315="Ground",Vu_khi!$AC$315="All"))</f>
        <v/>
      </c>
      <c r="R315" t="b">
        <v>1</v>
      </c>
      <c r="S315">
        <f>AND(NOT(Vu_khi!$AJ$315),OR(Vu_khi!$AC$315="Air",Vu_khi!$AC$315="All"))</f>
        <v/>
      </c>
      <c r="T315" t="b">
        <v>0</v>
      </c>
      <c r="U315">
        <f>INDEX(Bang_sat_thuong!$B$2:$B$7,MATCH(Vu_khi!$K$315,Bang_sat_thuong!$A$2:$A$7,0))</f>
        <v/>
      </c>
      <c r="V315" t="n">
        <v>1</v>
      </c>
      <c r="W315">
        <f>INDEX(Bang_sat_thuong!$C$2:$C$7,MATCH(Vu_khi!$K$315,Bang_sat_thuong!$A$2:$A$7,0))</f>
        <v/>
      </c>
      <c r="X315" t="n">
        <v>0</v>
      </c>
      <c r="Y315">
        <f>IF(AND(Vu_khi!$AI$315,Vu_khi!$K$315="HighExplosive"),MAX(He_so_toan_cuc!$D$2,INDEX(Bang_sat_thuong!$D$2:$D$7,MATCH(Vu_khi!$K$315,Bang_sat_thuong!$A$2:$A$7,0))),INDEX(Bang_sat_thuong!$D$2:$D$7,MATCH(Vu_khi!$K$315,Bang_sat_thuong!$A$2:$A$7,0)))</f>
        <v/>
      </c>
      <c r="Z315" t="n">
        <v>1.5</v>
      </c>
      <c r="AA315">
        <f>INDEX(Bang_xuyen_giap!$C$2:$C$7,MIN(6,MAX(1,IF($O$315,MAX(1,2-(Vu_khi!$L$315-0)),2-(Vu_khi!$L$315-0))+1)))</f>
        <v/>
      </c>
      <c r="AB315" t="n">
        <v>1.2</v>
      </c>
      <c r="AC315">
        <f>INDEX(Bang_xuyen_giap!$C$2:$C$7,MIN(6,MAX(1,IF($O$315,MAX(1,2-(Vu_khi!$L$315-2)),2-(Vu_khi!$L$315-2))+1)))</f>
        <v/>
      </c>
      <c r="AD315" t="n">
        <v>0.85</v>
      </c>
      <c r="AE315">
        <f>INDEX(Bang_xuyen_giap!$C$2:$C$7,MIN(6,MAX(1,IF($O$315,MAX(1,2-(Vu_khi!$L$315-4)),2-(Vu_khi!$L$315-4))+1)))</f>
        <v/>
      </c>
      <c r="AF315" t="n">
        <v>0.25</v>
      </c>
      <c r="AG315">
        <f>INDEX(Bang_xuyen_giap!$C$2:$C$7,MIN(6,MAX(1,MAX(1,2-(Vu_khi!$L$315-0))+1)))</f>
        <v/>
      </c>
      <c r="AH315" t="n">
        <v>1</v>
      </c>
      <c r="AI315">
        <f>IF($Q$315,$M$315*$AA$315*$U$315,0)</f>
        <v/>
      </c>
      <c r="AJ315" t="n">
        <v>50.17421602787457</v>
      </c>
      <c r="AK315">
        <f>IF($Q$315,$M$315*$AC$315*$U$315,0)</f>
        <v/>
      </c>
      <c r="AL315" t="n">
        <v>35.54006968641115</v>
      </c>
      <c r="AM315">
        <f>IF($Q$315,$M$315*$AE$315*$U$315,0)</f>
        <v/>
      </c>
      <c r="AN315" t="n">
        <v>10.45296167247387</v>
      </c>
      <c r="AO315">
        <f>IF($Q$315,$M$315*$AC$315*$Y$315,0)</f>
        <v/>
      </c>
      <c r="AP315" t="n">
        <v>53.31010452961673</v>
      </c>
      <c r="AQ315">
        <f>IF($S$315,$M$315*$AG$315*$W$315,0)</f>
        <v/>
      </c>
      <c r="AR315" t="n">
        <v>0</v>
      </c>
      <c r="AS315">
        <f>IF(OR(Vu_khi!$M$315="Missile",Vu_khi!$M$315="Drone",AND(Vu_khi!$M$315="Rocket",OR(Vu_khi!$AM$315,Vu_khi!$D$315="guided")),Vu_khi!$AL$315,Vu_khi!$AK$315,Vu_khi!$X$315&lt;=0),FALSE,IF($B$315&gt;=0,$B$315&gt;=4,IF(Vu_khi!$M$315="Shell",Vu_khi!$AN$315&gt;=Canh_bao_vong!$D$10,IF(Vu_khi!$M$315="Bomb",Vu_khi!$AN$315&gt;=Canh_bao_vong!$D$3,IF(Vu_khi!$M$315="Rocket",Vu_khi!$AN$315&gt;=Canh_bao_vong!$D$13,FALSE)))))</f>
        <v/>
      </c>
      <c r="AT315" t="b">
        <v>0</v>
      </c>
      <c r="AU315">
        <f>IF(AND($B$315&lt;0,$AS$315),4,$B$315)</f>
        <v/>
      </c>
      <c r="AV315" t="n">
        <v>2</v>
      </c>
      <c r="AW315">
        <f>IF($AU$315&lt;4,0,MIN(MAX(0.5,Canh_bao_vong!$D$4),MAX(IF(Vu_khi!$C$315="cal_406",Canh_bao_vong!$D$7,IF($AU$315&gt;=5,Canh_bao_vong!$D$9,Canh_bao_vong!$D$8)),Canh_bao_vong!$D$2+MAX(0,Vu_khi!$X$315)/MAX(0.1,Canh_bao_vong!$D$5))))</f>
        <v/>
      </c>
      <c r="AX315" t="n">
        <v>0</v>
      </c>
      <c r="AY315" t="n">
        <v>1.65</v>
      </c>
      <c r="AZ315" t="inlineStr">
        <is>
          <t>ok</t>
        </is>
      </c>
      <c r="BA315" t="inlineStr"/>
      <c r="BB315" t="inlineStr">
        <is>
          <t>Assets/MachineBrigade/Resources/Data/balance.json: weapons[id=scout_rockets] (lớp B trên 01_chien_dau/Vu_khi)</t>
        </is>
      </c>
      <c r="BC315" t="inlineStr"/>
    </row>
    <row r="316">
      <c r="A316" t="inlineStr">
        <is>
          <t>scylla_2m7</t>
        </is>
      </c>
      <c r="B316" t="n">
        <v>0</v>
      </c>
      <c r="C316">
        <f>IF(Vu_khi!$O$316="SIMULTANEOUS",MAX(1,Vu_khi!$N$316),1)</f>
        <v/>
      </c>
      <c r="D316" t="n">
        <v>1</v>
      </c>
      <c r="E316">
        <f>IF(Vu_khi!$S$316&gt;0,Vu_khi!$S$316,Vu_khi!$P$316*$C$316)</f>
        <v/>
      </c>
      <c r="F316" t="n">
        <v>40</v>
      </c>
      <c r="G316">
        <f>IF(Vu_khi!$S$316&gt;0,(Vu_khi!$S$316-1)*Vu_khi!$R$316+Vu_khi!$T$316,Vu_khi!$R$316+(Vu_khi!$P$316-1)*Vu_khi!$Q$316)</f>
        <v/>
      </c>
      <c r="H316" t="n">
        <v>4.95</v>
      </c>
      <c r="I316">
        <f>Vu_khi!$W$316*MAX(1,$E$316)</f>
        <v/>
      </c>
      <c r="J316" t="n">
        <v>440</v>
      </c>
      <c r="K316">
        <f>IF(Vu_khi!$V$316&gt;0,Vu_khi!$V$316,MIN(28,MAX(10,Vu_khi!$U$316*Vu_khi!$R$316*0.4)))</f>
        <v/>
      </c>
      <c r="L316" t="n">
        <v>10</v>
      </c>
      <c r="M316">
        <f>IF(Vu_khi!$W$316&lt;=0,0,IF(Vu_khi!$U$316&gt;0,$I$316*Vu_khi!$U$316/(MAX(0.05,$G$316)*Vu_khi!$U$316+$K$316),$I$316/MAX(0.05,$G$316)))</f>
        <v/>
      </c>
      <c r="N316" t="n">
        <v>88.88888888888889</v>
      </c>
      <c r="O316">
        <f>OR(Vu_khi!$AG$316,Vu_khi!$AB$316&gt;0,Vu_khi!$AH$316,Vu_khi!$M$316="Bomb",Vu_khi!$M$316="Drone")</f>
        <v/>
      </c>
      <c r="P316" t="b">
        <v>0</v>
      </c>
      <c r="Q316">
        <f>AND(NOT(Vu_khi!$AJ$316),OR(Vu_khi!$AC$316="Ground",Vu_khi!$AC$316="All"))</f>
        <v/>
      </c>
      <c r="R316" t="b">
        <v>0</v>
      </c>
      <c r="S316">
        <f>AND(NOT(Vu_khi!$AJ$316),OR(Vu_khi!$AC$316="Air",Vu_khi!$AC$316="All"))</f>
        <v/>
      </c>
      <c r="T316" t="b">
        <v>1</v>
      </c>
      <c r="U316">
        <f>INDEX(Bang_sat_thuong!$B$2:$B$7,MATCH(Vu_khi!$K$316,Bang_sat_thuong!$A$2:$A$7,0))</f>
        <v/>
      </c>
      <c r="V316" t="n">
        <v>1</v>
      </c>
      <c r="W316">
        <f>INDEX(Bang_sat_thuong!$C$2:$C$7,MATCH(Vu_khi!$K$316,Bang_sat_thuong!$A$2:$A$7,0))</f>
        <v/>
      </c>
      <c r="X316" t="n">
        <v>0.3</v>
      </c>
      <c r="Y316">
        <f>IF(AND(Vu_khi!$AI$316,Vu_khi!$K$316="HighExplosive"),MAX(He_so_toan_cuc!$D$2,INDEX(Bang_sat_thuong!$D$2:$D$7,MATCH(Vu_khi!$K$316,Bang_sat_thuong!$A$2:$A$7,0))),INDEX(Bang_sat_thuong!$D$2:$D$7,MATCH(Vu_khi!$K$316,Bang_sat_thuong!$A$2:$A$7,0)))</f>
        <v/>
      </c>
      <c r="Z316" t="n">
        <v>0.6</v>
      </c>
      <c r="AA316">
        <f>INDEX(Bang_xuyen_giap!$C$2:$C$7,MIN(6,MAX(1,IF($O$316,MAX(1,2-(Vu_khi!$L$316-0)),2-(Vu_khi!$L$316-0))+1)))</f>
        <v/>
      </c>
      <c r="AB316" t="n">
        <v>1</v>
      </c>
      <c r="AC316">
        <f>INDEX(Bang_xuyen_giap!$C$2:$C$7,MIN(6,MAX(1,IF($O$316,MAX(1,2-(Vu_khi!$L$316-2)),2-(Vu_khi!$L$316-2))+1)))</f>
        <v/>
      </c>
      <c r="AD316" t="n">
        <v>0.5</v>
      </c>
      <c r="AE316">
        <f>INDEX(Bang_xuyen_giap!$C$2:$C$7,MIN(6,MAX(1,IF($O$316,MAX(1,2-(Vu_khi!$L$316-4)),2-(Vu_khi!$L$316-4))+1)))</f>
        <v/>
      </c>
      <c r="AF316" t="n">
        <v>0.1</v>
      </c>
      <c r="AG316">
        <f>INDEX(Bang_xuyen_giap!$C$2:$C$7,MIN(6,MAX(1,MAX(1,2-(Vu_khi!$L$316-0))+1)))</f>
        <v/>
      </c>
      <c r="AH316" t="n">
        <v>1</v>
      </c>
      <c r="AI316">
        <f>IF($Q$316,$M$316*$AA$316*$U$316,0)</f>
        <v/>
      </c>
      <c r="AJ316" t="n">
        <v>0</v>
      </c>
      <c r="AK316">
        <f>IF($Q$316,$M$316*$AC$316*$U$316,0)</f>
        <v/>
      </c>
      <c r="AL316" t="n">
        <v>0</v>
      </c>
      <c r="AM316">
        <f>IF($Q$316,$M$316*$AE$316*$U$316,0)</f>
        <v/>
      </c>
      <c r="AN316" t="n">
        <v>0</v>
      </c>
      <c r="AO316">
        <f>IF($Q$316,$M$316*$AC$316*$Y$316,0)</f>
        <v/>
      </c>
      <c r="AP316" t="n">
        <v>0</v>
      </c>
      <c r="AQ316">
        <f>IF($S$316,$M$316*$AG$316*$W$316,0)</f>
        <v/>
      </c>
      <c r="AR316" t="n">
        <v>26.66666666666666</v>
      </c>
      <c r="AS316">
        <f>IF(OR(Vu_khi!$M$316="Missile",Vu_khi!$M$316="Drone",AND(Vu_khi!$M$316="Rocket",OR(Vu_khi!$AM$316,Vu_khi!$D$316="guided")),Vu_khi!$AL$316,Vu_khi!$AK$316,Vu_khi!$X$316&lt;=0),FALSE,IF($B$316&gt;=0,$B$316&gt;=4,IF(Vu_khi!$M$316="Shell",Vu_khi!$AN$316&gt;=Canh_bao_vong!$D$10,IF(Vu_khi!$M$316="Bomb",Vu_khi!$AN$316&gt;=Canh_bao_vong!$D$3,IF(Vu_khi!$M$316="Rocket",Vu_khi!$AN$316&gt;=Canh_bao_vong!$D$13,FALSE)))))</f>
        <v/>
      </c>
      <c r="AT316" t="b">
        <v>0</v>
      </c>
      <c r="AU316">
        <f>IF(AND($B$316&lt;0,$AS$316),4,$B$316)</f>
        <v/>
      </c>
      <c r="AV316" t="n">
        <v>0</v>
      </c>
      <c r="AW316">
        <f>IF($AU$316&lt;4,0,MIN(MAX(0.5,Canh_bao_vong!$D$4),MAX(IF(Vu_khi!$C$316="cal_406",Canh_bao_vong!$D$7,IF($AU$316&gt;=5,Canh_bao_vong!$D$9,Canh_bao_vong!$D$8)),Canh_bao_vong!$D$2+MAX(0,Vu_khi!$X$316)/MAX(0.1,Canh_bao_vong!$D$5))))</f>
        <v/>
      </c>
      <c r="AX316" t="n">
        <v>0</v>
      </c>
      <c r="AY316" t="inlineStr"/>
      <c r="AZ316" t="inlineStr">
        <is>
          <t>LECH_DOT_1</t>
        </is>
      </c>
      <c r="BA316" t="b">
        <v>1</v>
      </c>
      <c r="BB316" t="inlineStr">
        <is>
          <t>Assets/MachineBrigade/Resources/Data/balance.json: weapons[id=scylla_2m7] (lớp B trên 01_chien_dau/Vu_khi)</t>
        </is>
      </c>
      <c r="BC316" t="inlineStr"/>
    </row>
    <row r="317">
      <c r="A317" t="inlineStr">
        <is>
          <t>scylla_ak230</t>
        </is>
      </c>
      <c r="B317" t="n">
        <v>1</v>
      </c>
      <c r="C317">
        <f>IF(Vu_khi!$O$317="SIMULTANEOUS",MAX(1,Vu_khi!$N$317),1)</f>
        <v/>
      </c>
      <c r="D317" t="n">
        <v>1</v>
      </c>
      <c r="E317">
        <f>IF(Vu_khi!$S$317&gt;0,Vu_khi!$S$317,Vu_khi!$P$317*$C$317)</f>
        <v/>
      </c>
      <c r="F317" t="n">
        <v>24</v>
      </c>
      <c r="G317">
        <f>IF(Vu_khi!$S$317&gt;0,(Vu_khi!$S$317-1)*Vu_khi!$R$317+Vu_khi!$T$317,Vu_khi!$R$317+(Vu_khi!$P$317-1)*Vu_khi!$Q$317)</f>
        <v/>
      </c>
      <c r="H317" t="n">
        <v>3.98</v>
      </c>
      <c r="I317">
        <f>Vu_khi!$W$317*MAX(1,$E$317)</f>
        <v/>
      </c>
      <c r="J317" t="n">
        <v>480</v>
      </c>
      <c r="K317">
        <f>IF(Vu_khi!$V$317&gt;0,Vu_khi!$V$317,MIN(28,MAX(10,Vu_khi!$U$317*Vu_khi!$R$317*0.4)))</f>
        <v/>
      </c>
      <c r="L317" t="n">
        <v>10</v>
      </c>
      <c r="M317">
        <f>IF(Vu_khi!$W$317&lt;=0,0,IF(Vu_khi!$U$317&gt;0,$I$317*Vu_khi!$U$317/(MAX(0.05,$G$317)*Vu_khi!$U$317+$K$317),$I$317/MAX(0.05,$G$317)))</f>
        <v/>
      </c>
      <c r="N317" t="n">
        <v>120.6030150753769</v>
      </c>
      <c r="O317">
        <f>OR(Vu_khi!$AG$317,Vu_khi!$AB$317&gt;0,Vu_khi!$AH$317,Vu_khi!$M$317="Bomb",Vu_khi!$M$317="Drone")</f>
        <v/>
      </c>
      <c r="P317" t="b">
        <v>0</v>
      </c>
      <c r="Q317">
        <f>AND(NOT(Vu_khi!$AJ$317),OR(Vu_khi!$AC$317="Ground",Vu_khi!$AC$317="All"))</f>
        <v/>
      </c>
      <c r="R317" t="b">
        <v>0</v>
      </c>
      <c r="S317">
        <f>AND(NOT(Vu_khi!$AJ$317),OR(Vu_khi!$AC$317="Air",Vu_khi!$AC$317="All"))</f>
        <v/>
      </c>
      <c r="T317" t="b">
        <v>1</v>
      </c>
      <c r="U317">
        <f>INDEX(Bang_sat_thuong!$B$2:$B$7,MATCH(Vu_khi!$K$317,Bang_sat_thuong!$A$2:$A$7,0))</f>
        <v/>
      </c>
      <c r="V317" t="n">
        <v>0.5</v>
      </c>
      <c r="W317">
        <f>INDEX(Bang_sat_thuong!$C$2:$C$7,MATCH(Vu_khi!$K$317,Bang_sat_thuong!$A$2:$A$7,0))</f>
        <v/>
      </c>
      <c r="X317" t="n">
        <v>1.3</v>
      </c>
      <c r="Y317">
        <f>IF(AND(Vu_khi!$AI$317,Vu_khi!$K$317="HighExplosive"),MAX(He_so_toan_cuc!$D$2,INDEX(Bang_sat_thuong!$D$2:$D$7,MATCH(Vu_khi!$K$317,Bang_sat_thuong!$A$2:$A$7,0))),INDEX(Bang_sat_thuong!$D$2:$D$7,MATCH(Vu_khi!$K$317,Bang_sat_thuong!$A$2:$A$7,0)))</f>
        <v/>
      </c>
      <c r="Z317" t="n">
        <v>0.1</v>
      </c>
      <c r="AA317">
        <f>INDEX(Bang_xuyen_giap!$C$2:$C$7,MIN(6,MAX(1,IF($O$317,MAX(1,2-(Vu_khi!$L$317-0)),2-(Vu_khi!$L$317-0))+1)))</f>
        <v/>
      </c>
      <c r="AB317" t="n">
        <v>1</v>
      </c>
      <c r="AC317">
        <f>INDEX(Bang_xuyen_giap!$C$2:$C$7,MIN(6,MAX(1,IF($O$317,MAX(1,2-(Vu_khi!$L$317-2)),2-(Vu_khi!$L$317-2))+1)))</f>
        <v/>
      </c>
      <c r="AD317" t="n">
        <v>0.5</v>
      </c>
      <c r="AE317">
        <f>INDEX(Bang_xuyen_giap!$C$2:$C$7,MIN(6,MAX(1,IF($O$317,MAX(1,2-(Vu_khi!$L$317-4)),2-(Vu_khi!$L$317-4))+1)))</f>
        <v/>
      </c>
      <c r="AF317" t="n">
        <v>0.1</v>
      </c>
      <c r="AG317">
        <f>INDEX(Bang_xuyen_giap!$C$2:$C$7,MIN(6,MAX(1,MAX(1,2-(Vu_khi!$L$317-0))+1)))</f>
        <v/>
      </c>
      <c r="AH317" t="n">
        <v>1</v>
      </c>
      <c r="AI317">
        <f>IF($Q$317,$M$317*$AA$317*$U$317,0)</f>
        <v/>
      </c>
      <c r="AJ317" t="n">
        <v>0</v>
      </c>
      <c r="AK317">
        <f>IF($Q$317,$M$317*$AC$317*$U$317,0)</f>
        <v/>
      </c>
      <c r="AL317" t="n">
        <v>0</v>
      </c>
      <c r="AM317">
        <f>IF($Q$317,$M$317*$AE$317*$U$317,0)</f>
        <v/>
      </c>
      <c r="AN317" t="n">
        <v>0</v>
      </c>
      <c r="AO317">
        <f>IF($Q$317,$M$317*$AC$317*$Y$317,0)</f>
        <v/>
      </c>
      <c r="AP317" t="n">
        <v>0</v>
      </c>
      <c r="AQ317">
        <f>IF($S$317,$M$317*$AG$317*$W$317,0)</f>
        <v/>
      </c>
      <c r="AR317" t="n">
        <v>156.78391959799</v>
      </c>
      <c r="AS317">
        <f>IF(OR(Vu_khi!$M$317="Missile",Vu_khi!$M$317="Drone",AND(Vu_khi!$M$317="Rocket",OR(Vu_khi!$AM$317,Vu_khi!$D$317="guided")),Vu_khi!$AL$317,Vu_khi!$AK$317,Vu_khi!$X$317&lt;=0),FALSE,IF($B$317&gt;=0,$B$317&gt;=4,IF(Vu_khi!$M$317="Shell",Vu_khi!$AN$317&gt;=Canh_bao_vong!$D$10,IF(Vu_khi!$M$317="Bomb",Vu_khi!$AN$317&gt;=Canh_bao_vong!$D$3,IF(Vu_khi!$M$317="Rocket",Vu_khi!$AN$317&gt;=Canh_bao_vong!$D$13,FALSE)))))</f>
        <v/>
      </c>
      <c r="AT317" t="b">
        <v>0</v>
      </c>
      <c r="AU317">
        <f>IF(AND($B$317&lt;0,$AS$317),4,$B$317)</f>
        <v/>
      </c>
      <c r="AV317" t="n">
        <v>1</v>
      </c>
      <c r="AW317">
        <f>IF($AU$317&lt;4,0,MIN(MAX(0.5,Canh_bao_vong!$D$4),MAX(IF(Vu_khi!$C$317="cal_406",Canh_bao_vong!$D$7,IF($AU$317&gt;=5,Canh_bao_vong!$D$9,Canh_bao_vong!$D$8)),Canh_bao_vong!$D$2+MAX(0,Vu_khi!$X$317)/MAX(0.1,Canh_bao_vong!$D$5))))</f>
        <v/>
      </c>
      <c r="AX317" t="n">
        <v>0</v>
      </c>
      <c r="AY317" t="inlineStr"/>
      <c r="AZ317" t="inlineStr">
        <is>
          <t>LECH_DOT_1</t>
        </is>
      </c>
      <c r="BA317" t="b">
        <v>1</v>
      </c>
      <c r="BB317" t="inlineStr">
        <is>
          <t>Assets/MachineBrigade/Resources/Data/balance.json: weapons[id=scylla_ak230] (lớp B trên 01_chien_dau/Vu_khi)</t>
        </is>
      </c>
      <c r="BC317" t="inlineStr"/>
    </row>
    <row r="318">
      <c r="A318" t="inlineStr">
        <is>
          <t>scylla_kh35</t>
        </is>
      </c>
      <c r="B318" t="n">
        <v>4</v>
      </c>
      <c r="C318">
        <f>IF(Vu_khi!$O$318="SIMULTANEOUS",MAX(1,Vu_khi!$N$318),1)</f>
        <v/>
      </c>
      <c r="D318" t="n">
        <v>1</v>
      </c>
      <c r="E318">
        <f>IF(Vu_khi!$S$318&gt;0,Vu_khi!$S$318,Vu_khi!$P$318*$C$318)</f>
        <v/>
      </c>
      <c r="F318" t="n">
        <v>2</v>
      </c>
      <c r="G318">
        <f>IF(Vu_khi!$S$318&gt;0,(Vu_khi!$S$318-1)*Vu_khi!$R$318+Vu_khi!$T$318,Vu_khi!$R$318+(Vu_khi!$P$318-1)*Vu_khi!$Q$318)</f>
        <v/>
      </c>
      <c r="H318" t="n">
        <v>22.7</v>
      </c>
      <c r="I318">
        <f>Vu_khi!$W$318*MAX(1,$E$318)</f>
        <v/>
      </c>
      <c r="J318" t="n">
        <v>460</v>
      </c>
      <c r="K318">
        <f>IF(Vu_khi!$V$318&gt;0,Vu_khi!$V$318,MIN(28,MAX(10,Vu_khi!$U$318*Vu_khi!$R$318*0.4)))</f>
        <v/>
      </c>
      <c r="L318" t="n">
        <v>10</v>
      </c>
      <c r="M318">
        <f>IF(Vu_khi!$W$318&lt;=0,0,IF(Vu_khi!$U$318&gt;0,$I$318*Vu_khi!$U$318/(MAX(0.05,$G$318)*Vu_khi!$U$318+$K$318),$I$318/MAX(0.05,$G$318)))</f>
        <v/>
      </c>
      <c r="N318" t="n">
        <v>20.26431718061674</v>
      </c>
      <c r="O318">
        <f>OR(Vu_khi!$AG$318,Vu_khi!$AB$318&gt;0,Vu_khi!$AH$318,Vu_khi!$M$318="Bomb",Vu_khi!$M$318="Drone")</f>
        <v/>
      </c>
      <c r="P318" t="b">
        <v>0</v>
      </c>
      <c r="Q318">
        <f>AND(NOT(Vu_khi!$AJ$318),OR(Vu_khi!$AC$318="Ground",Vu_khi!$AC$318="All"))</f>
        <v/>
      </c>
      <c r="R318" t="b">
        <v>1</v>
      </c>
      <c r="S318">
        <f>AND(NOT(Vu_khi!$AJ$318),OR(Vu_khi!$AC$318="Air",Vu_khi!$AC$318="All"))</f>
        <v/>
      </c>
      <c r="T318" t="b">
        <v>0</v>
      </c>
      <c r="U318">
        <f>INDEX(Bang_sat_thuong!$B$2:$B$7,MATCH(Vu_khi!$K$318,Bang_sat_thuong!$A$2:$A$7,0))</f>
        <v/>
      </c>
      <c r="V318" t="n">
        <v>1</v>
      </c>
      <c r="W318">
        <f>INDEX(Bang_sat_thuong!$C$2:$C$7,MATCH(Vu_khi!$K$318,Bang_sat_thuong!$A$2:$A$7,0))</f>
        <v/>
      </c>
      <c r="X318" t="n">
        <v>0</v>
      </c>
      <c r="Y318">
        <f>IF(AND(Vu_khi!$AI$318,Vu_khi!$K$318="HighExplosive"),MAX(He_so_toan_cuc!$D$2,INDEX(Bang_sat_thuong!$D$2:$D$7,MATCH(Vu_khi!$K$318,Bang_sat_thuong!$A$2:$A$7,0))),INDEX(Bang_sat_thuong!$D$2:$D$7,MATCH(Vu_khi!$K$318,Bang_sat_thuong!$A$2:$A$7,0)))</f>
        <v/>
      </c>
      <c r="Z318" t="n">
        <v>1.5</v>
      </c>
      <c r="AA318">
        <f>INDEX(Bang_xuyen_giap!$C$2:$C$7,MIN(6,MAX(1,IF($O$318,MAX(1,2-(Vu_khi!$L$318-0)),2-(Vu_khi!$L$318-0))+1)))</f>
        <v/>
      </c>
      <c r="AB318" t="n">
        <v>1.2</v>
      </c>
      <c r="AC318">
        <f>INDEX(Bang_xuyen_giap!$C$2:$C$7,MIN(6,MAX(1,IF($O$318,MAX(1,2-(Vu_khi!$L$318-2)),2-(Vu_khi!$L$318-2))+1)))</f>
        <v/>
      </c>
      <c r="AD318" t="n">
        <v>1.2</v>
      </c>
      <c r="AE318">
        <f>INDEX(Bang_xuyen_giap!$C$2:$C$7,MIN(6,MAX(1,IF($O$318,MAX(1,2-(Vu_khi!$L$318-4)),2-(Vu_khi!$L$318-4))+1)))</f>
        <v/>
      </c>
      <c r="AF318" t="n">
        <v>0.85</v>
      </c>
      <c r="AG318">
        <f>INDEX(Bang_xuyen_giap!$C$2:$C$7,MIN(6,MAX(1,MAX(1,2-(Vu_khi!$L$318-0))+1)))</f>
        <v/>
      </c>
      <c r="AH318" t="n">
        <v>1</v>
      </c>
      <c r="AI318">
        <f>IF($Q$318,$M$318*$AA$318*$U$318,0)</f>
        <v/>
      </c>
      <c r="AJ318" t="n">
        <v>24.31718061674009</v>
      </c>
      <c r="AK318">
        <f>IF($Q$318,$M$318*$AC$318*$U$318,0)</f>
        <v/>
      </c>
      <c r="AL318" t="n">
        <v>24.31718061674009</v>
      </c>
      <c r="AM318">
        <f>IF($Q$318,$M$318*$AE$318*$U$318,0)</f>
        <v/>
      </c>
      <c r="AN318" t="n">
        <v>17.22466960352423</v>
      </c>
      <c r="AO318">
        <f>IF($Q$318,$M$318*$AC$318*$Y$318,0)</f>
        <v/>
      </c>
      <c r="AP318" t="n">
        <v>36.47577092511013</v>
      </c>
      <c r="AQ318">
        <f>IF($S$318,$M$318*$AG$318*$W$318,0)</f>
        <v/>
      </c>
      <c r="AR318" t="n">
        <v>0</v>
      </c>
      <c r="AS318">
        <f>IF(OR(Vu_khi!$M$318="Missile",Vu_khi!$M$318="Drone",AND(Vu_khi!$M$318="Rocket",OR(Vu_khi!$AM$318,Vu_khi!$D$318="guided")),Vu_khi!$AL$318,Vu_khi!$AK$318,Vu_khi!$X$318&lt;=0),FALSE,IF($B$318&gt;=0,$B$318&gt;=4,IF(Vu_khi!$M$318="Shell",Vu_khi!$AN$318&gt;=Canh_bao_vong!$D$10,IF(Vu_khi!$M$318="Bomb",Vu_khi!$AN$318&gt;=Canh_bao_vong!$D$3,IF(Vu_khi!$M$318="Rocket",Vu_khi!$AN$318&gt;=Canh_bao_vong!$D$13,FALSE)))))</f>
        <v/>
      </c>
      <c r="AT318" t="b">
        <v>0</v>
      </c>
      <c r="AU318">
        <f>IF(AND($B$318&lt;0,$AS$318),4,$B$318)</f>
        <v/>
      </c>
      <c r="AV318" t="n">
        <v>4</v>
      </c>
      <c r="AW318">
        <f>IF($AU$318&lt;4,0,MIN(MAX(0.5,Canh_bao_vong!$D$4),MAX(IF(Vu_khi!$C$318="cal_406",Canh_bao_vong!$D$7,IF($AU$318&gt;=5,Canh_bao_vong!$D$9,Canh_bao_vong!$D$8)),Canh_bao_vong!$D$2+MAX(0,Vu_khi!$X$318)/MAX(0.1,Canh_bao_vong!$D$5))))</f>
        <v/>
      </c>
      <c r="AX318" t="n">
        <v>2.5</v>
      </c>
      <c r="AY318" t="inlineStr"/>
      <c r="AZ318" t="inlineStr">
        <is>
          <t>ok</t>
        </is>
      </c>
      <c r="BA318" t="b">
        <v>1</v>
      </c>
      <c r="BB318" t="inlineStr">
        <is>
          <t>Assets/MachineBrigade/Resources/Data/balance.json: weapons[id=scylla_kh35] (lớp B trên 01_chien_dau/Vu_khi)</t>
        </is>
      </c>
      <c r="BC318" t="inlineStr"/>
    </row>
    <row r="319">
      <c r="A319" t="inlineStr">
        <is>
          <t>shahed</t>
        </is>
      </c>
      <c r="B319" t="n">
        <v>3</v>
      </c>
      <c r="C319">
        <f>IF(Vu_khi!$O$319="SIMULTANEOUS",MAX(1,Vu_khi!$N$319),1)</f>
        <v/>
      </c>
      <c r="D319" t="n">
        <v>1</v>
      </c>
      <c r="E319">
        <f>IF(Vu_khi!$S$319&gt;0,Vu_khi!$S$319,Vu_khi!$P$319*$C$319)</f>
        <v/>
      </c>
      <c r="F319" t="n">
        <v>1</v>
      </c>
      <c r="G319">
        <f>IF(Vu_khi!$S$319&gt;0,(Vu_khi!$S$319-1)*Vu_khi!$R$319+Vu_khi!$T$319,Vu_khi!$R$319+(Vu_khi!$P$319-1)*Vu_khi!$Q$319)</f>
        <v/>
      </c>
      <c r="H319" t="n">
        <v>8.5</v>
      </c>
      <c r="I319">
        <f>Vu_khi!$W$319*MAX(1,$E$319)</f>
        <v/>
      </c>
      <c r="J319" t="n">
        <v>344</v>
      </c>
      <c r="K319">
        <f>IF(Vu_khi!$V$319&gt;0,Vu_khi!$V$319,MIN(28,MAX(10,Vu_khi!$U$319*Vu_khi!$R$319*0.4)))</f>
        <v/>
      </c>
      <c r="L319" t="n">
        <v>8.5</v>
      </c>
      <c r="M319">
        <f>IF(Vu_khi!$W$319&lt;=0,0,IF(Vu_khi!$U$319&gt;0,$I$319*Vu_khi!$U$319/(MAX(0.05,$G$319)*Vu_khi!$U$319+$K$319),$I$319/MAX(0.05,$G$319)))</f>
        <v/>
      </c>
      <c r="N319" t="n">
        <v>33.72549019607843</v>
      </c>
      <c r="O319">
        <f>OR(Vu_khi!$AG$319,Vu_khi!$AB$319&gt;0,Vu_khi!$AH$319,Vu_khi!$M$319="Bomb",Vu_khi!$M$319="Drone")</f>
        <v/>
      </c>
      <c r="P319" t="b">
        <v>1</v>
      </c>
      <c r="Q319">
        <f>AND(NOT(Vu_khi!$AJ$319),OR(Vu_khi!$AC$319="Ground",Vu_khi!$AC$319="All"))</f>
        <v/>
      </c>
      <c r="R319" t="b">
        <v>1</v>
      </c>
      <c r="S319">
        <f>AND(NOT(Vu_khi!$AJ$319),OR(Vu_khi!$AC$319="Air",Vu_khi!$AC$319="All"))</f>
        <v/>
      </c>
      <c r="T319" t="b">
        <v>0</v>
      </c>
      <c r="U319">
        <f>INDEX(Bang_sat_thuong!$B$2:$B$7,MATCH(Vu_khi!$K$319,Bang_sat_thuong!$A$2:$A$7,0))</f>
        <v/>
      </c>
      <c r="V319" t="n">
        <v>1</v>
      </c>
      <c r="W319">
        <f>INDEX(Bang_sat_thuong!$C$2:$C$7,MATCH(Vu_khi!$K$319,Bang_sat_thuong!$A$2:$A$7,0))</f>
        <v/>
      </c>
      <c r="X319" t="n">
        <v>0</v>
      </c>
      <c r="Y319">
        <f>IF(AND(Vu_khi!$AI$319,Vu_khi!$K$319="HighExplosive"),MAX(He_so_toan_cuc!$D$2,INDEX(Bang_sat_thuong!$D$2:$D$7,MATCH(Vu_khi!$K$319,Bang_sat_thuong!$A$2:$A$7,0))),INDEX(Bang_sat_thuong!$D$2:$D$7,MATCH(Vu_khi!$K$319,Bang_sat_thuong!$A$2:$A$7,0)))</f>
        <v/>
      </c>
      <c r="Z319" t="n">
        <v>1.5</v>
      </c>
      <c r="AA319">
        <f>INDEX(Bang_xuyen_giap!$C$2:$C$7,MIN(6,MAX(1,IF($O$319,MAX(1,2-(Vu_khi!$L$319-0)),2-(Vu_khi!$L$319-0))+1)))</f>
        <v/>
      </c>
      <c r="AB319" t="n">
        <v>1</v>
      </c>
      <c r="AC319">
        <f>INDEX(Bang_xuyen_giap!$C$2:$C$7,MIN(6,MAX(1,IF($O$319,MAX(1,2-(Vu_khi!$L$319-2)),2-(Vu_khi!$L$319-2))+1)))</f>
        <v/>
      </c>
      <c r="AD319" t="n">
        <v>1</v>
      </c>
      <c r="AE319">
        <f>INDEX(Bang_xuyen_giap!$C$2:$C$7,MIN(6,MAX(1,IF($O$319,MAX(1,2-(Vu_khi!$L$319-4)),2-(Vu_khi!$L$319-4))+1)))</f>
        <v/>
      </c>
      <c r="AF319" t="n">
        <v>0.5</v>
      </c>
      <c r="AG319">
        <f>INDEX(Bang_xuyen_giap!$C$2:$C$7,MIN(6,MAX(1,MAX(1,2-(Vu_khi!$L$319-0))+1)))</f>
        <v/>
      </c>
      <c r="AH319" t="n">
        <v>1</v>
      </c>
      <c r="AI319">
        <f>IF($Q$319,$M$319*$AA$319*$U$319,0)</f>
        <v/>
      </c>
      <c r="AJ319" t="n">
        <v>33.72549019607843</v>
      </c>
      <c r="AK319">
        <f>IF($Q$319,$M$319*$AC$319*$U$319,0)</f>
        <v/>
      </c>
      <c r="AL319" t="n">
        <v>33.72549019607843</v>
      </c>
      <c r="AM319">
        <f>IF($Q$319,$M$319*$AE$319*$U$319,0)</f>
        <v/>
      </c>
      <c r="AN319" t="n">
        <v>16.86274509803922</v>
      </c>
      <c r="AO319">
        <f>IF($Q$319,$M$319*$AC$319*$Y$319,0)</f>
        <v/>
      </c>
      <c r="AP319" t="n">
        <v>50.58823529411765</v>
      </c>
      <c r="AQ319">
        <f>IF($S$319,$M$319*$AG$319*$W$319,0)</f>
        <v/>
      </c>
      <c r="AR319" t="n">
        <v>0</v>
      </c>
      <c r="AS319">
        <f>IF(OR(Vu_khi!$M$319="Missile",Vu_khi!$M$319="Drone",AND(Vu_khi!$M$319="Rocket",OR(Vu_khi!$AM$319,Vu_khi!$D$319="guided")),Vu_khi!$AL$319,Vu_khi!$AK$319,Vu_khi!$X$319&lt;=0),FALSE,IF($B$319&gt;=0,$B$319&gt;=4,IF(Vu_khi!$M$319="Shell",Vu_khi!$AN$319&gt;=Canh_bao_vong!$D$10,IF(Vu_khi!$M$319="Bomb",Vu_khi!$AN$319&gt;=Canh_bao_vong!$D$3,IF(Vu_khi!$M$319="Rocket",Vu_khi!$AN$319&gt;=Canh_bao_vong!$D$13,FALSE)))))</f>
        <v/>
      </c>
      <c r="AT319" t="b">
        <v>0</v>
      </c>
      <c r="AU319">
        <f>IF(AND($B$319&lt;0,$AS$319),4,$B$319)</f>
        <v/>
      </c>
      <c r="AV319" t="n">
        <v>3</v>
      </c>
      <c r="AW319">
        <f>IF($AU$319&lt;4,0,MIN(MAX(0.5,Canh_bao_vong!$D$4),MAX(IF(Vu_khi!$C$319="cal_406",Canh_bao_vong!$D$7,IF($AU$319&gt;=5,Canh_bao_vong!$D$9,Canh_bao_vong!$D$8)),Canh_bao_vong!$D$2+MAX(0,Vu_khi!$X$319)/MAX(0.1,Canh_bao_vong!$D$5))))</f>
        <v/>
      </c>
      <c r="AX319" t="n">
        <v>0</v>
      </c>
      <c r="AY319" t="inlineStr"/>
      <c r="AZ319" t="inlineStr">
        <is>
          <t>ok</t>
        </is>
      </c>
      <c r="BA319" t="inlineStr"/>
      <c r="BB319" t="inlineStr">
        <is>
          <t>Assets/MachineBrigade/Resources/Data/balance.json: weapons[id=shahed] (lớp B trên 01_chien_dau/Vu_khi)</t>
        </is>
      </c>
      <c r="BC319" t="inlineStr"/>
    </row>
    <row r="320">
      <c r="A320" t="inlineStr">
        <is>
          <t>siege_gun_105</t>
        </is>
      </c>
      <c r="B320" t="n">
        <v>2</v>
      </c>
      <c r="C320">
        <f>IF(Vu_khi!$O$320="SIMULTANEOUS",MAX(1,Vu_khi!$N$320),1)</f>
        <v/>
      </c>
      <c r="D320" t="n">
        <v>1</v>
      </c>
      <c r="E320">
        <f>IF(Vu_khi!$S$320&gt;0,Vu_khi!$S$320,Vu_khi!$P$320*$C$320)</f>
        <v/>
      </c>
      <c r="F320" t="n">
        <v>1</v>
      </c>
      <c r="G320">
        <f>IF(Vu_khi!$S$320&gt;0,(Vu_khi!$S$320-1)*Vu_khi!$R$320+Vu_khi!$T$320,Vu_khi!$R$320+(Vu_khi!$P$320-1)*Vu_khi!$Q$320)</f>
        <v/>
      </c>
      <c r="H320" t="n">
        <v>6.571</v>
      </c>
      <c r="I320">
        <f>Vu_khi!$W$320*MAX(1,$E$320)</f>
        <v/>
      </c>
      <c r="J320" t="n">
        <v>303</v>
      </c>
      <c r="K320">
        <f>IF(Vu_khi!$V$320&gt;0,Vu_khi!$V$320,MIN(28,MAX(10,Vu_khi!$U$320*Vu_khi!$R$320*0.4)))</f>
        <v/>
      </c>
      <c r="L320" t="n">
        <v>10</v>
      </c>
      <c r="M320">
        <f>IF(Vu_khi!$W$320&lt;=0,0,IF(Vu_khi!$U$320&gt;0,$I$320*Vu_khi!$U$320/(MAX(0.05,$G$320)*Vu_khi!$U$320+$K$320),$I$320/MAX(0.05,$G$320)))</f>
        <v/>
      </c>
      <c r="N320" t="n">
        <v>46.11170293714807</v>
      </c>
      <c r="O320">
        <f>OR(Vu_khi!$AG$320,Vu_khi!$AB$320&gt;0,Vu_khi!$AH$320,Vu_khi!$M$320="Bomb",Vu_khi!$M$320="Drone")</f>
        <v/>
      </c>
      <c r="P320" t="b">
        <v>0</v>
      </c>
      <c r="Q320">
        <f>AND(NOT(Vu_khi!$AJ$320),OR(Vu_khi!$AC$320="Ground",Vu_khi!$AC$320="All"))</f>
        <v/>
      </c>
      <c r="R320" t="b">
        <v>1</v>
      </c>
      <c r="S320">
        <f>AND(NOT(Vu_khi!$AJ$320),OR(Vu_khi!$AC$320="Air",Vu_khi!$AC$320="All"))</f>
        <v/>
      </c>
      <c r="T320" t="b">
        <v>0</v>
      </c>
      <c r="U320">
        <f>INDEX(Bang_sat_thuong!$B$2:$B$7,MATCH(Vu_khi!$K$320,Bang_sat_thuong!$A$2:$A$7,0))</f>
        <v/>
      </c>
      <c r="V320" t="n">
        <v>1</v>
      </c>
      <c r="W320">
        <f>INDEX(Bang_sat_thuong!$C$2:$C$7,MATCH(Vu_khi!$K$320,Bang_sat_thuong!$A$2:$A$7,0))</f>
        <v/>
      </c>
      <c r="X320" t="n">
        <v>0.3</v>
      </c>
      <c r="Y320">
        <f>IF(AND(Vu_khi!$AI$320,Vu_khi!$K$320="HighExplosive"),MAX(He_so_toan_cuc!$D$2,INDEX(Bang_sat_thuong!$D$2:$D$7,MATCH(Vu_khi!$K$320,Bang_sat_thuong!$A$2:$A$7,0))),INDEX(Bang_sat_thuong!$D$2:$D$7,MATCH(Vu_khi!$K$320,Bang_sat_thuong!$A$2:$A$7,0)))</f>
        <v/>
      </c>
      <c r="Z320" t="n">
        <v>0.6</v>
      </c>
      <c r="AA320">
        <f>INDEX(Bang_xuyen_giap!$C$2:$C$7,MIN(6,MAX(1,IF($O$320,MAX(1,2-(Vu_khi!$L$320-0)),2-(Vu_khi!$L$320-0))+1)))</f>
        <v/>
      </c>
      <c r="AB320" t="n">
        <v>1.2</v>
      </c>
      <c r="AC320">
        <f>INDEX(Bang_xuyen_giap!$C$2:$C$7,MIN(6,MAX(1,IF($O$320,MAX(1,2-(Vu_khi!$L$320-2)),2-(Vu_khi!$L$320-2))+1)))</f>
        <v/>
      </c>
      <c r="AD320" t="n">
        <v>1</v>
      </c>
      <c r="AE320">
        <f>INDEX(Bang_xuyen_giap!$C$2:$C$7,MIN(6,MAX(1,IF($O$320,MAX(1,2-(Vu_khi!$L$320-4)),2-(Vu_khi!$L$320-4))+1)))</f>
        <v/>
      </c>
      <c r="AF320" t="n">
        <v>0.5</v>
      </c>
      <c r="AG320">
        <f>INDEX(Bang_xuyen_giap!$C$2:$C$7,MIN(6,MAX(1,MAX(1,2-(Vu_khi!$L$320-0))+1)))</f>
        <v/>
      </c>
      <c r="AH320" t="n">
        <v>1</v>
      </c>
      <c r="AI320">
        <f>IF($Q$320,$M$320*$AA$320*$U$320,0)</f>
        <v/>
      </c>
      <c r="AJ320" t="n">
        <v>55.33404352457769</v>
      </c>
      <c r="AK320">
        <f>IF($Q$320,$M$320*$AC$320*$U$320,0)</f>
        <v/>
      </c>
      <c r="AL320" t="n">
        <v>46.11170293714807</v>
      </c>
      <c r="AM320">
        <f>IF($Q$320,$M$320*$AE$320*$U$320,0)</f>
        <v/>
      </c>
      <c r="AN320" t="n">
        <v>23.05585146857404</v>
      </c>
      <c r="AO320">
        <f>IF($Q$320,$M$320*$AC$320*$Y$320,0)</f>
        <v/>
      </c>
      <c r="AP320" t="n">
        <v>27.66702176228884</v>
      </c>
      <c r="AQ320">
        <f>IF($S$320,$M$320*$AG$320*$W$320,0)</f>
        <v/>
      </c>
      <c r="AR320" t="n">
        <v>0</v>
      </c>
      <c r="AS320">
        <f>IF(OR(Vu_khi!$M$320="Missile",Vu_khi!$M$320="Drone",AND(Vu_khi!$M$320="Rocket",OR(Vu_khi!$AM$320,Vu_khi!$D$320="guided")),Vu_khi!$AL$320,Vu_khi!$AK$320,Vu_khi!$X$320&lt;=0),FALSE,IF($B$320&gt;=0,$B$320&gt;=4,IF(Vu_khi!$M$320="Shell",Vu_khi!$AN$320&gt;=Canh_bao_vong!$D$10,IF(Vu_khi!$M$320="Bomb",Vu_khi!$AN$320&gt;=Canh_bao_vong!$D$3,IF(Vu_khi!$M$320="Rocket",Vu_khi!$AN$320&gt;=Canh_bao_vong!$D$13,FALSE)))))</f>
        <v/>
      </c>
      <c r="AT320" t="b">
        <v>0</v>
      </c>
      <c r="AU320">
        <f>IF(AND($B$320&lt;0,$AS$320),4,$B$320)</f>
        <v/>
      </c>
      <c r="AV320" t="n">
        <v>2</v>
      </c>
      <c r="AW320">
        <f>IF($AU$320&lt;4,0,MIN(MAX(0.5,Canh_bao_vong!$D$4),MAX(IF(Vu_khi!$C$320="cal_406",Canh_bao_vong!$D$7,IF($AU$320&gt;=5,Canh_bao_vong!$D$9,Canh_bao_vong!$D$8)),Canh_bao_vong!$D$2+MAX(0,Vu_khi!$X$320)/MAX(0.1,Canh_bao_vong!$D$5))))</f>
        <v/>
      </c>
      <c r="AX320" t="n">
        <v>0</v>
      </c>
      <c r="AY320" t="n">
        <v>0.766617</v>
      </c>
      <c r="AZ320" t="inlineStr">
        <is>
          <t>LECH_DOT_1</t>
        </is>
      </c>
      <c r="BA320" t="inlineStr"/>
      <c r="BB320" t="inlineStr">
        <is>
          <t>Assets/MachineBrigade/Resources/Data/balance.json: weapons[id=siege_gun_105] (lớp B trên 01_chien_dau/Vu_khi)</t>
        </is>
      </c>
      <c r="BC320" t="inlineStr"/>
    </row>
    <row r="321">
      <c r="A321" t="inlineStr">
        <is>
          <t>siege_gun_105_he</t>
        </is>
      </c>
      <c r="B321" t="n">
        <v>2</v>
      </c>
      <c r="C321">
        <f>IF(Vu_khi!$O$321="SIMULTANEOUS",MAX(1,Vu_khi!$N$321),1)</f>
        <v/>
      </c>
      <c r="D321" t="n">
        <v>1</v>
      </c>
      <c r="E321">
        <f>IF(Vu_khi!$S$321&gt;0,Vu_khi!$S$321,Vu_khi!$P$321*$C$321)</f>
        <v/>
      </c>
      <c r="F321" t="n">
        <v>1</v>
      </c>
      <c r="G321">
        <f>IF(Vu_khi!$S$321&gt;0,(Vu_khi!$S$321-1)*Vu_khi!$R$321+Vu_khi!$T$321,Vu_khi!$R$321+(Vu_khi!$P$321-1)*Vu_khi!$Q$321)</f>
        <v/>
      </c>
      <c r="H321" t="n">
        <v>6.571</v>
      </c>
      <c r="I321">
        <f>Vu_khi!$W$321*MAX(1,$E$321)</f>
        <v/>
      </c>
      <c r="J321" t="n">
        <v>303</v>
      </c>
      <c r="K321">
        <f>IF(Vu_khi!$V$321&gt;0,Vu_khi!$V$321,MIN(28,MAX(10,Vu_khi!$U$321*Vu_khi!$R$321*0.4)))</f>
        <v/>
      </c>
      <c r="L321" t="n">
        <v>10</v>
      </c>
      <c r="M321">
        <f>IF(Vu_khi!$W$321&lt;=0,0,IF(Vu_khi!$U$321&gt;0,$I$321*Vu_khi!$U$321/(MAX(0.05,$G$321)*Vu_khi!$U$321+$K$321),$I$321/MAX(0.05,$G$321)))</f>
        <v/>
      </c>
      <c r="N321" t="n">
        <v>46.11170293714807</v>
      </c>
      <c r="O321">
        <f>OR(Vu_khi!$AG$321,Vu_khi!$AB$321&gt;0,Vu_khi!$AH$321,Vu_khi!$M$321="Bomb",Vu_khi!$M$321="Drone")</f>
        <v/>
      </c>
      <c r="P321" t="b">
        <v>0</v>
      </c>
      <c r="Q321">
        <f>AND(NOT(Vu_khi!$AJ$321),OR(Vu_khi!$AC$321="Ground",Vu_khi!$AC$321="All"))</f>
        <v/>
      </c>
      <c r="R321" t="b">
        <v>1</v>
      </c>
      <c r="S321">
        <f>AND(NOT(Vu_khi!$AJ$321),OR(Vu_khi!$AC$321="Air",Vu_khi!$AC$321="All"))</f>
        <v/>
      </c>
      <c r="T321" t="b">
        <v>0</v>
      </c>
      <c r="U321">
        <f>INDEX(Bang_sat_thuong!$B$2:$B$7,MATCH(Vu_khi!$K$321,Bang_sat_thuong!$A$2:$A$7,0))</f>
        <v/>
      </c>
      <c r="V321" t="n">
        <v>1</v>
      </c>
      <c r="W321">
        <f>INDEX(Bang_sat_thuong!$C$2:$C$7,MATCH(Vu_khi!$K$321,Bang_sat_thuong!$A$2:$A$7,0))</f>
        <v/>
      </c>
      <c r="X321" t="n">
        <v>0</v>
      </c>
      <c r="Y321">
        <f>IF(AND(Vu_khi!$AI$321,Vu_khi!$K$321="HighExplosive"),MAX(He_so_toan_cuc!$D$2,INDEX(Bang_sat_thuong!$D$2:$D$7,MATCH(Vu_khi!$K$321,Bang_sat_thuong!$A$2:$A$7,0))),INDEX(Bang_sat_thuong!$D$2:$D$7,MATCH(Vu_khi!$K$321,Bang_sat_thuong!$A$2:$A$7,0)))</f>
        <v/>
      </c>
      <c r="Z321" t="n">
        <v>1.5</v>
      </c>
      <c r="AA321">
        <f>INDEX(Bang_xuyen_giap!$C$2:$C$7,MIN(6,MAX(1,IF($O$321,MAX(1,2-(Vu_khi!$L$321-0)),2-(Vu_khi!$L$321-0))+1)))</f>
        <v/>
      </c>
      <c r="AB321" t="n">
        <v>1.2</v>
      </c>
      <c r="AC321">
        <f>INDEX(Bang_xuyen_giap!$C$2:$C$7,MIN(6,MAX(1,IF($O$321,MAX(1,2-(Vu_khi!$L$321-2)),2-(Vu_khi!$L$321-2))+1)))</f>
        <v/>
      </c>
      <c r="AD321" t="n">
        <v>0.85</v>
      </c>
      <c r="AE321">
        <f>INDEX(Bang_xuyen_giap!$C$2:$C$7,MIN(6,MAX(1,IF($O$321,MAX(1,2-(Vu_khi!$L$321-4)),2-(Vu_khi!$L$321-4))+1)))</f>
        <v/>
      </c>
      <c r="AF321" t="n">
        <v>0.25</v>
      </c>
      <c r="AG321">
        <f>INDEX(Bang_xuyen_giap!$C$2:$C$7,MIN(6,MAX(1,MAX(1,2-(Vu_khi!$L$321-0))+1)))</f>
        <v/>
      </c>
      <c r="AH321" t="n">
        <v>1</v>
      </c>
      <c r="AI321">
        <f>IF($Q$321,$M$321*$AA$321*$U$321,0)</f>
        <v/>
      </c>
      <c r="AJ321" t="n">
        <v>55.33404352457769</v>
      </c>
      <c r="AK321">
        <f>IF($Q$321,$M$321*$AC$321*$U$321,0)</f>
        <v/>
      </c>
      <c r="AL321" t="n">
        <v>39.19494749657586</v>
      </c>
      <c r="AM321">
        <f>IF($Q$321,$M$321*$AE$321*$U$321,0)</f>
        <v/>
      </c>
      <c r="AN321" t="n">
        <v>11.52792573428702</v>
      </c>
      <c r="AO321">
        <f>IF($Q$321,$M$321*$AC$321*$Y$321,0)</f>
        <v/>
      </c>
      <c r="AP321" t="n">
        <v>58.79242124486379</v>
      </c>
      <c r="AQ321">
        <f>IF($S$321,$M$321*$AG$321*$W$321,0)</f>
        <v/>
      </c>
      <c r="AR321" t="n">
        <v>0</v>
      </c>
      <c r="AS321">
        <f>IF(OR(Vu_khi!$M$321="Missile",Vu_khi!$M$321="Drone",AND(Vu_khi!$M$321="Rocket",OR(Vu_khi!$AM$321,Vu_khi!$D$321="guided")),Vu_khi!$AL$321,Vu_khi!$AK$321,Vu_khi!$X$321&lt;=0),FALSE,IF($B$321&gt;=0,$B$321&gt;=4,IF(Vu_khi!$M$321="Shell",Vu_khi!$AN$321&gt;=Canh_bao_vong!$D$10,IF(Vu_khi!$M$321="Bomb",Vu_khi!$AN$321&gt;=Canh_bao_vong!$D$3,IF(Vu_khi!$M$321="Rocket",Vu_khi!$AN$321&gt;=Canh_bao_vong!$D$13,FALSE)))))</f>
        <v/>
      </c>
      <c r="AT321" t="b">
        <v>0</v>
      </c>
      <c r="AU321">
        <f>IF(AND($B$321&lt;0,$AS$321),4,$B$321)</f>
        <v/>
      </c>
      <c r="AV321" t="n">
        <v>2</v>
      </c>
      <c r="AW321">
        <f>IF($AU$321&lt;4,0,MIN(MAX(0.5,Canh_bao_vong!$D$4),MAX(IF(Vu_khi!$C$321="cal_406",Canh_bao_vong!$D$7,IF($AU$321&gt;=5,Canh_bao_vong!$D$9,Canh_bao_vong!$D$8)),Canh_bao_vong!$D$2+MAX(0,Vu_khi!$X$321)/MAX(0.1,Canh_bao_vong!$D$5))))</f>
        <v/>
      </c>
      <c r="AX321" t="n">
        <v>0</v>
      </c>
      <c r="BB321" t="inlineStr">
        <is>
          <t>Assets/MachineBrigade/Resources/Data/balance.json: weapons[id=siege_gun_105_he] (lớp B trên 01_chien_dau/Vu_khi)</t>
        </is>
      </c>
      <c r="BC321" t="inlineStr"/>
    </row>
    <row r="322">
      <c r="A322" t="inlineStr">
        <is>
          <t>siege_mortar_240</t>
        </is>
      </c>
      <c r="B322" t="n">
        <v>4</v>
      </c>
      <c r="C322">
        <f>IF(Vu_khi!$O$322="SIMULTANEOUS",MAX(1,Vu_khi!$N$322),1)</f>
        <v/>
      </c>
      <c r="D322" t="n">
        <v>1</v>
      </c>
      <c r="E322">
        <f>IF(Vu_khi!$S$322&gt;0,Vu_khi!$S$322,Vu_khi!$P$322*$C$322)</f>
        <v/>
      </c>
      <c r="F322" t="n">
        <v>1</v>
      </c>
      <c r="G322">
        <f>IF(Vu_khi!$S$322&gt;0,(Vu_khi!$S$322-1)*Vu_khi!$R$322+Vu_khi!$T$322,Vu_khi!$R$322+(Vu_khi!$P$322-1)*Vu_khi!$Q$322)</f>
        <v/>
      </c>
      <c r="H322" t="n">
        <v>10.884</v>
      </c>
      <c r="I322">
        <f>Vu_khi!$W$322*MAX(1,$E$322)</f>
        <v/>
      </c>
      <c r="J322" t="n">
        <v>643</v>
      </c>
      <c r="K322">
        <f>IF(Vu_khi!$V$322&gt;0,Vu_khi!$V$322,MIN(28,MAX(10,Vu_khi!$U$322*Vu_khi!$R$322*0.4)))</f>
        <v/>
      </c>
      <c r="L322" t="n">
        <v>28.57</v>
      </c>
      <c r="M322">
        <f>IF(Vu_khi!$W$322&lt;=0,0,IF(Vu_khi!$U$322&gt;0,$I$322*Vu_khi!$U$322/(MAX(0.05,$G$322)*Vu_khi!$U$322+$K$322),$I$322/MAX(0.05,$G$322)))</f>
        <v/>
      </c>
      <c r="N322" t="n">
        <v>46.79426533731169</v>
      </c>
      <c r="O322">
        <f>OR(Vu_khi!$AG$322,Vu_khi!$AB$322&gt;0,Vu_khi!$AH$322,Vu_khi!$M$322="Bomb",Vu_khi!$M$322="Drone")</f>
        <v/>
      </c>
      <c r="P322" t="b">
        <v>1</v>
      </c>
      <c r="Q322">
        <f>AND(NOT(Vu_khi!$AJ$322),OR(Vu_khi!$AC$322="Ground",Vu_khi!$AC$322="All"))</f>
        <v/>
      </c>
      <c r="R322" t="b">
        <v>1</v>
      </c>
      <c r="S322">
        <f>AND(NOT(Vu_khi!$AJ$322),OR(Vu_khi!$AC$322="Air",Vu_khi!$AC$322="All"))</f>
        <v/>
      </c>
      <c r="T322" t="b">
        <v>0</v>
      </c>
      <c r="U322">
        <f>INDEX(Bang_sat_thuong!$B$2:$B$7,MATCH(Vu_khi!$K$322,Bang_sat_thuong!$A$2:$A$7,0))</f>
        <v/>
      </c>
      <c r="V322" t="n">
        <v>1</v>
      </c>
      <c r="W322">
        <f>INDEX(Bang_sat_thuong!$C$2:$C$7,MATCH(Vu_khi!$K$322,Bang_sat_thuong!$A$2:$A$7,0))</f>
        <v/>
      </c>
      <c r="X322" t="n">
        <v>0</v>
      </c>
      <c r="Y322">
        <f>IF(AND(Vu_khi!$AI$322,Vu_khi!$K$322="HighExplosive"),MAX(He_so_toan_cuc!$D$2,INDEX(Bang_sat_thuong!$D$2:$D$7,MATCH(Vu_khi!$K$322,Bang_sat_thuong!$A$2:$A$7,0))),INDEX(Bang_sat_thuong!$D$2:$D$7,MATCH(Vu_khi!$K$322,Bang_sat_thuong!$A$2:$A$7,0)))</f>
        <v/>
      </c>
      <c r="Z322" t="n">
        <v>1.5</v>
      </c>
      <c r="AA322">
        <f>INDEX(Bang_xuyen_giap!$C$2:$C$7,MIN(6,MAX(1,IF($O$322,MAX(1,2-(Vu_khi!$L$322-0)),2-(Vu_khi!$L$322-0))+1)))</f>
        <v/>
      </c>
      <c r="AB322" t="n">
        <v>1</v>
      </c>
      <c r="AC322">
        <f>INDEX(Bang_xuyen_giap!$C$2:$C$7,MIN(6,MAX(1,IF($O$322,MAX(1,2-(Vu_khi!$L$322-2)),2-(Vu_khi!$L$322-2))+1)))</f>
        <v/>
      </c>
      <c r="AD322" t="n">
        <v>1</v>
      </c>
      <c r="AE322">
        <f>INDEX(Bang_xuyen_giap!$C$2:$C$7,MIN(6,MAX(1,IF($O$322,MAX(1,2-(Vu_khi!$L$322-4)),2-(Vu_khi!$L$322-4))+1)))</f>
        <v/>
      </c>
      <c r="AF322" t="n">
        <v>0.85</v>
      </c>
      <c r="AG322">
        <f>INDEX(Bang_xuyen_giap!$C$2:$C$7,MIN(6,MAX(1,MAX(1,2-(Vu_khi!$L$322-0))+1)))</f>
        <v/>
      </c>
      <c r="AH322" t="n">
        <v>1</v>
      </c>
      <c r="AI322">
        <f>IF($Q$322,$M$322*$AA$322*$U$322,0)</f>
        <v/>
      </c>
      <c r="AJ322" t="n">
        <v>46.79426533731169</v>
      </c>
      <c r="AK322">
        <f>IF($Q$322,$M$322*$AC$322*$U$322,0)</f>
        <v/>
      </c>
      <c r="AL322" t="n">
        <v>46.79426533731169</v>
      </c>
      <c r="AM322">
        <f>IF($Q$322,$M$322*$AE$322*$U$322,0)</f>
        <v/>
      </c>
      <c r="AN322" t="n">
        <v>39.77512553671494</v>
      </c>
      <c r="AO322">
        <f>IF($Q$322,$M$322*$AC$322*$Y$322,0)</f>
        <v/>
      </c>
      <c r="AP322" t="n">
        <v>70.19139800596754</v>
      </c>
      <c r="AQ322">
        <f>IF($S$322,$M$322*$AG$322*$W$322,0)</f>
        <v/>
      </c>
      <c r="AR322" t="n">
        <v>0</v>
      </c>
      <c r="AS322">
        <f>IF(OR(Vu_khi!$M$322="Missile",Vu_khi!$M$322="Drone",AND(Vu_khi!$M$322="Rocket",OR(Vu_khi!$AM$322,Vu_khi!$D$322="guided")),Vu_khi!$AL$322,Vu_khi!$AK$322,Vu_khi!$X$322&lt;=0),FALSE,IF($B$322&gt;=0,$B$322&gt;=4,IF(Vu_khi!$M$322="Shell",Vu_khi!$AN$322&gt;=Canh_bao_vong!$D$10,IF(Vu_khi!$M$322="Bomb",Vu_khi!$AN$322&gt;=Canh_bao_vong!$D$3,IF(Vu_khi!$M$322="Rocket",Vu_khi!$AN$322&gt;=Canh_bao_vong!$D$13,FALSE)))))</f>
        <v/>
      </c>
      <c r="AT322" t="b">
        <v>1</v>
      </c>
      <c r="AU322">
        <f>IF(AND($B$322&lt;0,$AS$322),4,$B$322)</f>
        <v/>
      </c>
      <c r="AV322" t="n">
        <v>4</v>
      </c>
      <c r="AW322">
        <f>IF($AU$322&lt;4,0,MIN(MAX(0.5,Canh_bao_vong!$D$4),MAX(IF(Vu_khi!$C$322="cal_406",Canh_bao_vong!$D$7,IF($AU$322&gt;=5,Canh_bao_vong!$D$9,Canh_bao_vong!$D$8)),Canh_bao_vong!$D$2+MAX(0,Vu_khi!$X$322)/MAX(0.1,Canh_bao_vong!$D$5))))</f>
        <v/>
      </c>
      <c r="AX322" t="n">
        <v>2.5</v>
      </c>
      <c r="AY322" t="n">
        <v>0.160312</v>
      </c>
      <c r="AZ322" t="inlineStr">
        <is>
          <t>NHANH_QUA;LECH_DOT_1</t>
        </is>
      </c>
      <c r="BA322" t="inlineStr"/>
      <c r="BB322" t="inlineStr">
        <is>
          <t>Assets/MachineBrigade/Resources/Data/balance.json: weapons[id=siege_mortar_240] (lớp B trên 01_chien_dau/Vu_khi)</t>
        </is>
      </c>
      <c r="BC322" t="inlineStr"/>
    </row>
    <row r="323">
      <c r="A323" t="inlineStr">
        <is>
          <t>spg9_73mm</t>
        </is>
      </c>
      <c r="B323" t="n">
        <v>2</v>
      </c>
      <c r="C323">
        <f>IF(Vu_khi!$O$323="SIMULTANEOUS",MAX(1,Vu_khi!$N$323),1)</f>
        <v/>
      </c>
      <c r="D323" t="n">
        <v>1</v>
      </c>
      <c r="E323">
        <f>IF(Vu_khi!$S$323&gt;0,Vu_khi!$S$323,Vu_khi!$P$323*$C$323)</f>
        <v/>
      </c>
      <c r="F323" t="n">
        <v>1</v>
      </c>
      <c r="G323">
        <f>IF(Vu_khi!$S$323&gt;0,(Vu_khi!$S$323-1)*Vu_khi!$R$323+Vu_khi!$T$323,Vu_khi!$R$323+(Vu_khi!$P$323-1)*Vu_khi!$Q$323)</f>
        <v/>
      </c>
      <c r="H323" t="n">
        <v>9.529</v>
      </c>
      <c r="I323">
        <f>Vu_khi!$W$323*MAX(1,$E$323)</f>
        <v/>
      </c>
      <c r="J323" t="n">
        <v>257</v>
      </c>
      <c r="K323">
        <f>IF(Vu_khi!$V$323&gt;0,Vu_khi!$V$323,MIN(28,MAX(10,Vu_khi!$U$323*Vu_khi!$R$323*0.4)))</f>
        <v/>
      </c>
      <c r="L323" t="n">
        <v>10</v>
      </c>
      <c r="M323">
        <f>IF(Vu_khi!$W$323&lt;=0,0,IF(Vu_khi!$U$323&gt;0,$I$323*Vu_khi!$U$323/(MAX(0.05,$G$323)*Vu_khi!$U$323+$K$323),$I$323/MAX(0.05,$G$323)))</f>
        <v/>
      </c>
      <c r="N323" t="n">
        <v>26.97030118585371</v>
      </c>
      <c r="O323">
        <f>OR(Vu_khi!$AG$323,Vu_khi!$AB$323&gt;0,Vu_khi!$AH$323,Vu_khi!$M$323="Bomb",Vu_khi!$M$323="Drone")</f>
        <v/>
      </c>
      <c r="P323" t="b">
        <v>0</v>
      </c>
      <c r="Q323">
        <f>AND(NOT(Vu_khi!$AJ$323),OR(Vu_khi!$AC$323="Ground",Vu_khi!$AC$323="All"))</f>
        <v/>
      </c>
      <c r="R323" t="b">
        <v>1</v>
      </c>
      <c r="S323">
        <f>AND(NOT(Vu_khi!$AJ$323),OR(Vu_khi!$AC$323="Air",Vu_khi!$AC$323="All"))</f>
        <v/>
      </c>
      <c r="T323" t="b">
        <v>1</v>
      </c>
      <c r="U323">
        <f>INDEX(Bang_sat_thuong!$B$2:$B$7,MATCH(Vu_khi!$K$323,Bang_sat_thuong!$A$2:$A$7,0))</f>
        <v/>
      </c>
      <c r="V323" t="n">
        <v>1</v>
      </c>
      <c r="W323">
        <f>INDEX(Bang_sat_thuong!$C$2:$C$7,MATCH(Vu_khi!$K$323,Bang_sat_thuong!$A$2:$A$7,0))</f>
        <v/>
      </c>
      <c r="X323" t="n">
        <v>0.3</v>
      </c>
      <c r="Y323">
        <f>IF(AND(Vu_khi!$AI$323,Vu_khi!$K$323="HighExplosive"),MAX(He_so_toan_cuc!$D$2,INDEX(Bang_sat_thuong!$D$2:$D$7,MATCH(Vu_khi!$K$323,Bang_sat_thuong!$A$2:$A$7,0))),INDEX(Bang_sat_thuong!$D$2:$D$7,MATCH(Vu_khi!$K$323,Bang_sat_thuong!$A$2:$A$7,0)))</f>
        <v/>
      </c>
      <c r="Z323" t="n">
        <v>0.6</v>
      </c>
      <c r="AA323">
        <f>INDEX(Bang_xuyen_giap!$C$2:$C$7,MIN(6,MAX(1,IF($O$323,MAX(1,2-(Vu_khi!$L$323-0)),2-(Vu_khi!$L$323-0))+1)))</f>
        <v/>
      </c>
      <c r="AB323" t="n">
        <v>1.2</v>
      </c>
      <c r="AC323">
        <f>INDEX(Bang_xuyen_giap!$C$2:$C$7,MIN(6,MAX(1,IF($O$323,MAX(1,2-(Vu_khi!$L$323-2)),2-(Vu_khi!$L$323-2))+1)))</f>
        <v/>
      </c>
      <c r="AD323" t="n">
        <v>1</v>
      </c>
      <c r="AE323">
        <f>INDEX(Bang_xuyen_giap!$C$2:$C$7,MIN(6,MAX(1,IF($O$323,MAX(1,2-(Vu_khi!$L$323-4)),2-(Vu_khi!$L$323-4))+1)))</f>
        <v/>
      </c>
      <c r="AF323" t="n">
        <v>0.5</v>
      </c>
      <c r="AG323">
        <f>INDEX(Bang_xuyen_giap!$C$2:$C$7,MIN(6,MAX(1,MAX(1,2-(Vu_khi!$L$323-0))+1)))</f>
        <v/>
      </c>
      <c r="AH323" t="n">
        <v>1</v>
      </c>
      <c r="AI323">
        <f>IF($Q$323,$M$323*$AA$323*$U$323,0)</f>
        <v/>
      </c>
      <c r="AJ323" t="n">
        <v>32.36436142302445</v>
      </c>
      <c r="AK323">
        <f>IF($Q$323,$M$323*$AC$323*$U$323,0)</f>
        <v/>
      </c>
      <c r="AL323" t="n">
        <v>26.97030118585371</v>
      </c>
      <c r="AM323">
        <f>IF($Q$323,$M$323*$AE$323*$U$323,0)</f>
        <v/>
      </c>
      <c r="AN323" t="n">
        <v>13.48515059292686</v>
      </c>
      <c r="AO323">
        <f>IF($Q$323,$M$323*$AC$323*$Y$323,0)</f>
        <v/>
      </c>
      <c r="AP323" t="n">
        <v>16.18218071151222</v>
      </c>
      <c r="AQ323">
        <f>IF($S$323,$M$323*$AG$323*$W$323,0)</f>
        <v/>
      </c>
      <c r="AR323" t="n">
        <v>8.091090355756112</v>
      </c>
      <c r="AS323">
        <f>IF(OR(Vu_khi!$M$323="Missile",Vu_khi!$M$323="Drone",AND(Vu_khi!$M$323="Rocket",OR(Vu_khi!$AM$323,Vu_khi!$D$323="guided")),Vu_khi!$AL$323,Vu_khi!$AK$323,Vu_khi!$X$323&lt;=0),FALSE,IF($B$323&gt;=0,$B$323&gt;=4,IF(Vu_khi!$M$323="Shell",Vu_khi!$AN$323&gt;=Canh_bao_vong!$D$10,IF(Vu_khi!$M$323="Bomb",Vu_khi!$AN$323&gt;=Canh_bao_vong!$D$3,IF(Vu_khi!$M$323="Rocket",Vu_khi!$AN$323&gt;=Canh_bao_vong!$D$13,FALSE)))))</f>
        <v/>
      </c>
      <c r="AT323" t="b">
        <v>0</v>
      </c>
      <c r="AU323">
        <f>IF(AND($B$323&lt;0,$AS$323),4,$B$323)</f>
        <v/>
      </c>
      <c r="AV323" t="n">
        <v>2</v>
      </c>
      <c r="AW323">
        <f>IF($AU$323&lt;4,0,MIN(MAX(0.5,Canh_bao_vong!$D$4),MAX(IF(Vu_khi!$C$323="cal_406",Canh_bao_vong!$D$7,IF($AU$323&gt;=5,Canh_bao_vong!$D$9,Canh_bao_vong!$D$8)),Canh_bao_vong!$D$2+MAX(0,Vu_khi!$X$323)/MAX(0.1,Canh_bao_vong!$D$5))))</f>
        <v/>
      </c>
      <c r="AX323" t="n">
        <v>0</v>
      </c>
      <c r="AY323" t="n">
        <v>0.66703</v>
      </c>
      <c r="AZ323" t="inlineStr">
        <is>
          <t>ok</t>
        </is>
      </c>
      <c r="BA323" t="inlineStr"/>
      <c r="BB323" t="inlineStr">
        <is>
          <t>Assets/MachineBrigade/Resources/Data/balance.json: weapons[id=spg9_73mm] (lớp B trên 01_chien_dau/Vu_khi)</t>
        </is>
      </c>
      <c r="BC323" t="inlineStr"/>
    </row>
    <row r="324">
      <c r="A324" t="inlineStr">
        <is>
          <t>stealth_payload</t>
        </is>
      </c>
      <c r="B324" t="n">
        <v>4</v>
      </c>
      <c r="C324">
        <f>IF(Vu_khi!$O$324="SIMULTANEOUS",MAX(1,Vu_khi!$N$324),1)</f>
        <v/>
      </c>
      <c r="D324" t="n">
        <v>1</v>
      </c>
      <c r="E324">
        <f>IF(Vu_khi!$S$324&gt;0,Vu_khi!$S$324,Vu_khi!$P$324*$C$324)</f>
        <v/>
      </c>
      <c r="F324" t="n">
        <v>2</v>
      </c>
      <c r="G324">
        <f>IF(Vu_khi!$S$324&gt;0,(Vu_khi!$S$324-1)*Vu_khi!$R$324+Vu_khi!$T$324,Vu_khi!$R$324+(Vu_khi!$P$324-1)*Vu_khi!$Q$324)</f>
        <v/>
      </c>
      <c r="H324" t="n">
        <v>14.3</v>
      </c>
      <c r="I324">
        <f>Vu_khi!$W$324*MAX(1,$E$324)</f>
        <v/>
      </c>
      <c r="J324" t="n">
        <v>1784</v>
      </c>
      <c r="K324">
        <f>IF(Vu_khi!$V$324&gt;0,Vu_khi!$V$324,MIN(28,MAX(10,Vu_khi!$U$324*Vu_khi!$R$324*0.4)))</f>
        <v/>
      </c>
      <c r="L324" t="n">
        <v>10</v>
      </c>
      <c r="M324">
        <f>IF(Vu_khi!$W$324&lt;=0,0,IF(Vu_khi!$U$324&gt;0,$I$324*Vu_khi!$U$324/(MAX(0.05,$G$324)*Vu_khi!$U$324+$K$324),$I$324/MAX(0.05,$G$324)))</f>
        <v/>
      </c>
      <c r="N324" t="n">
        <v>124.7552447552447</v>
      </c>
      <c r="O324">
        <f>OR(Vu_khi!$AG$324,Vu_khi!$AB$324&gt;0,Vu_khi!$AH$324,Vu_khi!$M$324="Bomb",Vu_khi!$M$324="Drone")</f>
        <v/>
      </c>
      <c r="P324" t="b">
        <v>1</v>
      </c>
      <c r="Q324">
        <f>AND(NOT(Vu_khi!$AJ$324),OR(Vu_khi!$AC$324="Ground",Vu_khi!$AC$324="All"))</f>
        <v/>
      </c>
      <c r="R324" t="b">
        <v>1</v>
      </c>
      <c r="S324">
        <f>AND(NOT(Vu_khi!$AJ$324),OR(Vu_khi!$AC$324="Air",Vu_khi!$AC$324="All"))</f>
        <v/>
      </c>
      <c r="T324" t="b">
        <v>0</v>
      </c>
      <c r="U324">
        <f>INDEX(Bang_sat_thuong!$B$2:$B$7,MATCH(Vu_khi!$K$324,Bang_sat_thuong!$A$2:$A$7,0))</f>
        <v/>
      </c>
      <c r="V324" t="n">
        <v>1</v>
      </c>
      <c r="W324">
        <f>INDEX(Bang_sat_thuong!$C$2:$C$7,MATCH(Vu_khi!$K$324,Bang_sat_thuong!$A$2:$A$7,0))</f>
        <v/>
      </c>
      <c r="X324" t="n">
        <v>0</v>
      </c>
      <c r="Y324">
        <f>IF(AND(Vu_khi!$AI$324,Vu_khi!$K$324="HighExplosive"),MAX(He_so_toan_cuc!$D$2,INDEX(Bang_sat_thuong!$D$2:$D$7,MATCH(Vu_khi!$K$324,Bang_sat_thuong!$A$2:$A$7,0))),INDEX(Bang_sat_thuong!$D$2:$D$7,MATCH(Vu_khi!$K$324,Bang_sat_thuong!$A$2:$A$7,0)))</f>
        <v/>
      </c>
      <c r="Z324" t="n">
        <v>1.5</v>
      </c>
      <c r="AA324">
        <f>INDEX(Bang_xuyen_giap!$C$2:$C$7,MIN(6,MAX(1,IF($O$324,MAX(1,2-(Vu_khi!$L$324-0)),2-(Vu_khi!$L$324-0))+1)))</f>
        <v/>
      </c>
      <c r="AB324" t="n">
        <v>1</v>
      </c>
      <c r="AC324">
        <f>INDEX(Bang_xuyen_giap!$C$2:$C$7,MIN(6,MAX(1,IF($O$324,MAX(1,2-(Vu_khi!$L$324-2)),2-(Vu_khi!$L$324-2))+1)))</f>
        <v/>
      </c>
      <c r="AD324" t="n">
        <v>1</v>
      </c>
      <c r="AE324">
        <f>INDEX(Bang_xuyen_giap!$C$2:$C$7,MIN(6,MAX(1,IF($O$324,MAX(1,2-(Vu_khi!$L$324-4)),2-(Vu_khi!$L$324-4))+1)))</f>
        <v/>
      </c>
      <c r="AF324" t="n">
        <v>0.85</v>
      </c>
      <c r="AG324">
        <f>INDEX(Bang_xuyen_giap!$C$2:$C$7,MIN(6,MAX(1,MAX(1,2-(Vu_khi!$L$324-0))+1)))</f>
        <v/>
      </c>
      <c r="AH324" t="n">
        <v>1</v>
      </c>
      <c r="AI324">
        <f>IF($Q$324,$M$324*$AA$324*$U$324,0)</f>
        <v/>
      </c>
      <c r="AJ324" t="n">
        <v>124.7552447552447</v>
      </c>
      <c r="AK324">
        <f>IF($Q$324,$M$324*$AC$324*$U$324,0)</f>
        <v/>
      </c>
      <c r="AL324" t="n">
        <v>124.7552447552447</v>
      </c>
      <c r="AM324">
        <f>IF($Q$324,$M$324*$AE$324*$U$324,0)</f>
        <v/>
      </c>
      <c r="AN324" t="n">
        <v>106.041958041958</v>
      </c>
      <c r="AO324">
        <f>IF($Q$324,$M$324*$AC$324*$Y$324,0)</f>
        <v/>
      </c>
      <c r="AP324" t="n">
        <v>187.1328671328671</v>
      </c>
      <c r="AQ324">
        <f>IF($S$324,$M$324*$AG$324*$W$324,0)</f>
        <v/>
      </c>
      <c r="AR324" t="n">
        <v>0</v>
      </c>
      <c r="AS324">
        <f>IF(OR(Vu_khi!$M$324="Missile",Vu_khi!$M$324="Drone",AND(Vu_khi!$M$324="Rocket",OR(Vu_khi!$AM$324,Vu_khi!$D$324="guided")),Vu_khi!$AL$324,Vu_khi!$AK$324,Vu_khi!$X$324&lt;=0),FALSE,IF($B$324&gt;=0,$B$324&gt;=4,IF(Vu_khi!$M$324="Shell",Vu_khi!$AN$324&gt;=Canh_bao_vong!$D$10,IF(Vu_khi!$M$324="Bomb",Vu_khi!$AN$324&gt;=Canh_bao_vong!$D$3,IF(Vu_khi!$M$324="Rocket",Vu_khi!$AN$324&gt;=Canh_bao_vong!$D$13,FALSE)))))</f>
        <v/>
      </c>
      <c r="AT324" t="b">
        <v>1</v>
      </c>
      <c r="AU324">
        <f>IF(AND($B$324&lt;0,$AS$324),4,$B$324)</f>
        <v/>
      </c>
      <c r="AV324" t="n">
        <v>4</v>
      </c>
      <c r="AW324">
        <f>IF($AU$324&lt;4,0,MIN(MAX(0.5,Canh_bao_vong!$D$4),MAX(IF(Vu_khi!$C$324="cal_406",Canh_bao_vong!$D$7,IF($AU$324&gt;=5,Canh_bao_vong!$D$9,Canh_bao_vong!$D$8)),Canh_bao_vong!$D$2+MAX(0,Vu_khi!$X$324)/MAX(0.1,Canh_bao_vong!$D$5))))</f>
        <v/>
      </c>
      <c r="AX324" t="n">
        <v>3.388888888888889</v>
      </c>
      <c r="AY324" t="n">
        <v>3</v>
      </c>
      <c r="AZ324" t="inlineStr">
        <is>
          <t>ok</t>
        </is>
      </c>
      <c r="BA324" t="inlineStr"/>
      <c r="BB324" t="inlineStr">
        <is>
          <t>Assets/MachineBrigade/Resources/Data/balance.json: weapons[id=stealth_payload] (lớp B trên 01_chien_dau/Vu_khi)</t>
        </is>
      </c>
      <c r="BC324" t="inlineStr"/>
    </row>
    <row r="325">
      <c r="A325" t="inlineStr">
        <is>
          <t>stinger_atas</t>
        </is>
      </c>
      <c r="B325" t="n">
        <v>2</v>
      </c>
      <c r="C325">
        <f>IF(Vu_khi!$O$325="SIMULTANEOUS",MAX(1,Vu_khi!$N$325),1)</f>
        <v/>
      </c>
      <c r="D325" t="n">
        <v>1</v>
      </c>
      <c r="E325">
        <f>IF(Vu_khi!$S$325&gt;0,Vu_khi!$S$325,Vu_khi!$P$325*$C$325)</f>
        <v/>
      </c>
      <c r="F325" t="n">
        <v>1</v>
      </c>
      <c r="G325">
        <f>IF(Vu_khi!$S$325&gt;0,(Vu_khi!$S$325-1)*Vu_khi!$R$325+Vu_khi!$T$325,Vu_khi!$R$325+(Vu_khi!$P$325-1)*Vu_khi!$Q$325)</f>
        <v/>
      </c>
      <c r="H325" t="n">
        <v>9.07</v>
      </c>
      <c r="I325">
        <f>Vu_khi!$W$325*MAX(1,$E$325)</f>
        <v/>
      </c>
      <c r="J325" t="n">
        <v>178</v>
      </c>
      <c r="K325">
        <f>IF(Vu_khi!$V$325&gt;0,Vu_khi!$V$325,MIN(28,MAX(10,Vu_khi!$U$325*Vu_khi!$R$325*0.4)))</f>
        <v/>
      </c>
      <c r="L325" t="n">
        <v>10</v>
      </c>
      <c r="M325">
        <f>IF(Vu_khi!$W$325&lt;=0,0,IF(Vu_khi!$U$325&gt;0,$I$325*Vu_khi!$U$325/(MAX(0.05,$G$325)*Vu_khi!$U$325+$K$325),$I$325/MAX(0.05,$G$325)))</f>
        <v/>
      </c>
      <c r="N325" t="n">
        <v>19.62513781697905</v>
      </c>
      <c r="O325">
        <f>OR(Vu_khi!$AG$325,Vu_khi!$AB$325&gt;0,Vu_khi!$AH$325,Vu_khi!$M$325="Bomb",Vu_khi!$M$325="Drone")</f>
        <v/>
      </c>
      <c r="P325" t="b">
        <v>0</v>
      </c>
      <c r="Q325">
        <f>AND(NOT(Vu_khi!$AJ$325),OR(Vu_khi!$AC$325="Ground",Vu_khi!$AC$325="All"))</f>
        <v/>
      </c>
      <c r="R325" t="b">
        <v>0</v>
      </c>
      <c r="S325">
        <f>AND(NOT(Vu_khi!$AJ$325),OR(Vu_khi!$AC$325="Air",Vu_khi!$AC$325="All"))</f>
        <v/>
      </c>
      <c r="T325" t="b">
        <v>1</v>
      </c>
      <c r="U325">
        <f>INDEX(Bang_sat_thuong!$B$2:$B$7,MATCH(Vu_khi!$K$325,Bang_sat_thuong!$A$2:$A$7,0))</f>
        <v/>
      </c>
      <c r="V325" t="n">
        <v>0.5</v>
      </c>
      <c r="W325">
        <f>INDEX(Bang_sat_thuong!$C$2:$C$7,MATCH(Vu_khi!$K$325,Bang_sat_thuong!$A$2:$A$7,0))</f>
        <v/>
      </c>
      <c r="X325" t="n">
        <v>1.3</v>
      </c>
      <c r="Y325">
        <f>IF(AND(Vu_khi!$AI$325,Vu_khi!$K$325="HighExplosive"),MAX(He_so_toan_cuc!$D$2,INDEX(Bang_sat_thuong!$D$2:$D$7,MATCH(Vu_khi!$K$325,Bang_sat_thuong!$A$2:$A$7,0))),INDEX(Bang_sat_thuong!$D$2:$D$7,MATCH(Vu_khi!$K$325,Bang_sat_thuong!$A$2:$A$7,0)))</f>
        <v/>
      </c>
      <c r="Z325" t="n">
        <v>0.1</v>
      </c>
      <c r="AA325">
        <f>INDEX(Bang_xuyen_giap!$C$2:$C$7,MIN(6,MAX(1,IF($O$325,MAX(1,2-(Vu_khi!$L$325-0)),2-(Vu_khi!$L$325-0))+1)))</f>
        <v/>
      </c>
      <c r="AB325" t="n">
        <v>1.2</v>
      </c>
      <c r="AC325">
        <f>INDEX(Bang_xuyen_giap!$C$2:$C$7,MIN(6,MAX(1,IF($O$325,MAX(1,2-(Vu_khi!$L$325-2)),2-(Vu_khi!$L$325-2))+1)))</f>
        <v/>
      </c>
      <c r="AD325" t="n">
        <v>0.85</v>
      </c>
      <c r="AE325">
        <f>INDEX(Bang_xuyen_giap!$C$2:$C$7,MIN(6,MAX(1,IF($O$325,MAX(1,2-(Vu_khi!$L$325-4)),2-(Vu_khi!$L$325-4))+1)))</f>
        <v/>
      </c>
      <c r="AF325" t="n">
        <v>0.25</v>
      </c>
      <c r="AG325">
        <f>INDEX(Bang_xuyen_giap!$C$2:$C$7,MIN(6,MAX(1,MAX(1,2-(Vu_khi!$L$325-0))+1)))</f>
        <v/>
      </c>
      <c r="AH325" t="n">
        <v>1</v>
      </c>
      <c r="AI325">
        <f>IF($Q$325,$M$325*$AA$325*$U$325,0)</f>
        <v/>
      </c>
      <c r="AJ325" t="n">
        <v>0</v>
      </c>
      <c r="AK325">
        <f>IF($Q$325,$M$325*$AC$325*$U$325,0)</f>
        <v/>
      </c>
      <c r="AL325" t="n">
        <v>0</v>
      </c>
      <c r="AM325">
        <f>IF($Q$325,$M$325*$AE$325*$U$325,0)</f>
        <v/>
      </c>
      <c r="AN325" t="n">
        <v>0</v>
      </c>
      <c r="AO325">
        <f>IF($Q$325,$M$325*$AC$325*$Y$325,0)</f>
        <v/>
      </c>
      <c r="AP325" t="n">
        <v>0</v>
      </c>
      <c r="AQ325">
        <f>IF($S$325,$M$325*$AG$325*$W$325,0)</f>
        <v/>
      </c>
      <c r="AR325" t="n">
        <v>25.51267916207277</v>
      </c>
      <c r="AS325">
        <f>IF(OR(Vu_khi!$M$325="Missile",Vu_khi!$M$325="Drone",AND(Vu_khi!$M$325="Rocket",OR(Vu_khi!$AM$325,Vu_khi!$D$325="guided")),Vu_khi!$AL$325,Vu_khi!$AK$325,Vu_khi!$X$325&lt;=0),FALSE,IF($B$325&gt;=0,$B$325&gt;=4,IF(Vu_khi!$M$325="Shell",Vu_khi!$AN$325&gt;=Canh_bao_vong!$D$10,IF(Vu_khi!$M$325="Bomb",Vu_khi!$AN$325&gt;=Canh_bao_vong!$D$3,IF(Vu_khi!$M$325="Rocket",Vu_khi!$AN$325&gt;=Canh_bao_vong!$D$13,FALSE)))))</f>
        <v/>
      </c>
      <c r="AT325" t="b">
        <v>0</v>
      </c>
      <c r="AU325">
        <f>IF(AND($B$325&lt;0,$AS$325),4,$B$325)</f>
        <v/>
      </c>
      <c r="AV325" t="n">
        <v>2</v>
      </c>
      <c r="AW325">
        <f>IF($AU$325&lt;4,0,MIN(MAX(0.5,Canh_bao_vong!$D$4),MAX(IF(Vu_khi!$C$325="cal_406",Canh_bao_vong!$D$7,IF($AU$325&gt;=5,Canh_bao_vong!$D$9,Canh_bao_vong!$D$8)),Canh_bao_vong!$D$2+MAX(0,Vu_khi!$X$325)/MAX(0.1,Canh_bao_vong!$D$5))))</f>
        <v/>
      </c>
      <c r="AX325" t="n">
        <v>0</v>
      </c>
      <c r="AY325" t="inlineStr"/>
      <c r="AZ325" t="inlineStr">
        <is>
          <t>ok</t>
        </is>
      </c>
      <c r="BA325" t="inlineStr"/>
      <c r="BB325" t="inlineStr">
        <is>
          <t>Assets/MachineBrigade/Resources/Data/balance.json: weapons[id=stinger_atas] (lớp B trên 01_chien_dau/Vu_khi)</t>
        </is>
      </c>
      <c r="BC325" t="inlineStr"/>
    </row>
    <row r="326">
      <c r="A326" t="inlineStr">
        <is>
          <t>stinger_post</t>
        </is>
      </c>
      <c r="B326" t="n">
        <v>2</v>
      </c>
      <c r="C326">
        <f>IF(Vu_khi!$O$326="SIMULTANEOUS",MAX(1,Vu_khi!$N$326),1)</f>
        <v/>
      </c>
      <c r="D326" t="n">
        <v>1</v>
      </c>
      <c r="E326">
        <f>IF(Vu_khi!$S$326&gt;0,Vu_khi!$S$326,Vu_khi!$P$326*$C$326)</f>
        <v/>
      </c>
      <c r="F326" t="n">
        <v>1</v>
      </c>
      <c r="G326">
        <f>IF(Vu_khi!$S$326&gt;0,(Vu_khi!$S$326-1)*Vu_khi!$R$326+Vu_khi!$T$326,Vu_khi!$R$326+(Vu_khi!$P$326-1)*Vu_khi!$Q$326)</f>
        <v/>
      </c>
      <c r="H326" t="n">
        <v>4.452</v>
      </c>
      <c r="I326">
        <f>Vu_khi!$W$326*MAX(1,$E$326)</f>
        <v/>
      </c>
      <c r="J326" t="n">
        <v>170</v>
      </c>
      <c r="K326">
        <f>IF(Vu_khi!$V$326&gt;0,Vu_khi!$V$326,MIN(28,MAX(10,Vu_khi!$U$326*Vu_khi!$R$326*0.4)))</f>
        <v/>
      </c>
      <c r="L326" t="n">
        <v>10</v>
      </c>
      <c r="M326">
        <f>IF(Vu_khi!$W$326&lt;=0,0,IF(Vu_khi!$U$326&gt;0,$I$326*Vu_khi!$U$326/(MAX(0.05,$G$326)*Vu_khi!$U$326+$K$326),$I$326/MAX(0.05,$G$326)))</f>
        <v/>
      </c>
      <c r="N326" t="n">
        <v>38.18508535489668</v>
      </c>
      <c r="O326">
        <f>OR(Vu_khi!$AG$326,Vu_khi!$AB$326&gt;0,Vu_khi!$AH$326,Vu_khi!$M$326="Bomb",Vu_khi!$M$326="Drone")</f>
        <v/>
      </c>
      <c r="P326" t="b">
        <v>0</v>
      </c>
      <c r="Q326">
        <f>AND(NOT(Vu_khi!$AJ$326),OR(Vu_khi!$AC$326="Ground",Vu_khi!$AC$326="All"))</f>
        <v/>
      </c>
      <c r="R326" t="b">
        <v>0</v>
      </c>
      <c r="S326">
        <f>AND(NOT(Vu_khi!$AJ$326),OR(Vu_khi!$AC$326="Air",Vu_khi!$AC$326="All"))</f>
        <v/>
      </c>
      <c r="T326" t="b">
        <v>1</v>
      </c>
      <c r="U326">
        <f>INDEX(Bang_sat_thuong!$B$2:$B$7,MATCH(Vu_khi!$K$326,Bang_sat_thuong!$A$2:$A$7,0))</f>
        <v/>
      </c>
      <c r="V326" t="n">
        <v>0.5</v>
      </c>
      <c r="W326">
        <f>INDEX(Bang_sat_thuong!$C$2:$C$7,MATCH(Vu_khi!$K$326,Bang_sat_thuong!$A$2:$A$7,0))</f>
        <v/>
      </c>
      <c r="X326" t="n">
        <v>1.3</v>
      </c>
      <c r="Y326">
        <f>IF(AND(Vu_khi!$AI$326,Vu_khi!$K$326="HighExplosive"),MAX(He_so_toan_cuc!$D$2,INDEX(Bang_sat_thuong!$D$2:$D$7,MATCH(Vu_khi!$K$326,Bang_sat_thuong!$A$2:$A$7,0))),INDEX(Bang_sat_thuong!$D$2:$D$7,MATCH(Vu_khi!$K$326,Bang_sat_thuong!$A$2:$A$7,0)))</f>
        <v/>
      </c>
      <c r="Z326" t="n">
        <v>0.1</v>
      </c>
      <c r="AA326">
        <f>INDEX(Bang_xuyen_giap!$C$2:$C$7,MIN(6,MAX(1,IF($O$326,MAX(1,2-(Vu_khi!$L$326-0)),2-(Vu_khi!$L$326-0))+1)))</f>
        <v/>
      </c>
      <c r="AB326" t="n">
        <v>1.2</v>
      </c>
      <c r="AC326">
        <f>INDEX(Bang_xuyen_giap!$C$2:$C$7,MIN(6,MAX(1,IF($O$326,MAX(1,2-(Vu_khi!$L$326-2)),2-(Vu_khi!$L$326-2))+1)))</f>
        <v/>
      </c>
      <c r="AD326" t="n">
        <v>0.85</v>
      </c>
      <c r="AE326">
        <f>INDEX(Bang_xuyen_giap!$C$2:$C$7,MIN(6,MAX(1,IF($O$326,MAX(1,2-(Vu_khi!$L$326-4)),2-(Vu_khi!$L$326-4))+1)))</f>
        <v/>
      </c>
      <c r="AF326" t="n">
        <v>0.25</v>
      </c>
      <c r="AG326">
        <f>INDEX(Bang_xuyen_giap!$C$2:$C$7,MIN(6,MAX(1,MAX(1,2-(Vu_khi!$L$326-0))+1)))</f>
        <v/>
      </c>
      <c r="AH326" t="n">
        <v>1</v>
      </c>
      <c r="AI326">
        <f>IF($Q$326,$M$326*$AA$326*$U$326,0)</f>
        <v/>
      </c>
      <c r="AJ326" t="n">
        <v>0</v>
      </c>
      <c r="AK326">
        <f>IF($Q$326,$M$326*$AC$326*$U$326,0)</f>
        <v/>
      </c>
      <c r="AL326" t="n">
        <v>0</v>
      </c>
      <c r="AM326">
        <f>IF($Q$326,$M$326*$AE$326*$U$326,0)</f>
        <v/>
      </c>
      <c r="AN326" t="n">
        <v>0</v>
      </c>
      <c r="AO326">
        <f>IF($Q$326,$M$326*$AC$326*$Y$326,0)</f>
        <v/>
      </c>
      <c r="AP326" t="n">
        <v>0</v>
      </c>
      <c r="AQ326">
        <f>IF($S$326,$M$326*$AG$326*$W$326,0)</f>
        <v/>
      </c>
      <c r="AR326" t="n">
        <v>49.64061096136568</v>
      </c>
      <c r="AS326">
        <f>IF(OR(Vu_khi!$M$326="Missile",Vu_khi!$M$326="Drone",AND(Vu_khi!$M$326="Rocket",OR(Vu_khi!$AM$326,Vu_khi!$D$326="guided")),Vu_khi!$AL$326,Vu_khi!$AK$326,Vu_khi!$X$326&lt;=0),FALSE,IF($B$326&gt;=0,$B$326&gt;=4,IF(Vu_khi!$M$326="Shell",Vu_khi!$AN$326&gt;=Canh_bao_vong!$D$10,IF(Vu_khi!$M$326="Bomb",Vu_khi!$AN$326&gt;=Canh_bao_vong!$D$3,IF(Vu_khi!$M$326="Rocket",Vu_khi!$AN$326&gt;=Canh_bao_vong!$D$13,FALSE)))))</f>
        <v/>
      </c>
      <c r="AT326" t="b">
        <v>0</v>
      </c>
      <c r="AU326">
        <f>IF(AND($B$326&lt;0,$AS$326),4,$B$326)</f>
        <v/>
      </c>
      <c r="AV326" t="n">
        <v>2</v>
      </c>
      <c r="AW326">
        <f>IF($AU$326&lt;4,0,MIN(MAX(0.5,Canh_bao_vong!$D$4),MAX(IF(Vu_khi!$C$326="cal_406",Canh_bao_vong!$D$7,IF($AU$326&gt;=5,Canh_bao_vong!$D$9,Canh_bao_vong!$D$8)),Canh_bao_vong!$D$2+MAX(0,Vu_khi!$X$326)/MAX(0.1,Canh_bao_vong!$D$5))))</f>
        <v/>
      </c>
      <c r="AX326" t="n">
        <v>0</v>
      </c>
      <c r="AY326" t="n">
        <v>1.484</v>
      </c>
      <c r="AZ326" t="inlineStr">
        <is>
          <t>ok</t>
        </is>
      </c>
      <c r="BA326" t="inlineStr"/>
      <c r="BB326" t="inlineStr">
        <is>
          <t>Assets/MachineBrigade/Resources/Data/balance.json: weapons[id=stinger_post] (lớp B trên 01_chien_dau/Vu_khi)</t>
        </is>
      </c>
      <c r="BC326" t="inlineStr"/>
    </row>
    <row r="327">
      <c r="A327" t="inlineStr">
        <is>
          <t>swarm_drones</t>
        </is>
      </c>
      <c r="B327" t="n">
        <v>2</v>
      </c>
      <c r="C327">
        <f>IF(Vu_khi!$O$327="SIMULTANEOUS",MAX(1,Vu_khi!$N$327),1)</f>
        <v/>
      </c>
      <c r="D327" t="n">
        <v>1</v>
      </c>
      <c r="E327">
        <f>IF(Vu_khi!$S$327&gt;0,Vu_khi!$S$327,Vu_khi!$P$327*$C$327)</f>
        <v/>
      </c>
      <c r="F327" t="n">
        <v>1</v>
      </c>
      <c r="G327">
        <f>IF(Vu_khi!$S$327&gt;0,(Vu_khi!$S$327-1)*Vu_khi!$R$327+Vu_khi!$T$327,Vu_khi!$R$327+(Vu_khi!$P$327-1)*Vu_khi!$Q$327)</f>
        <v/>
      </c>
      <c r="H327" t="n">
        <v>3.3</v>
      </c>
      <c r="I327">
        <f>Vu_khi!$W$327*MAX(1,$E$327)</f>
        <v/>
      </c>
      <c r="J327" t="n">
        <v>140</v>
      </c>
      <c r="K327">
        <f>IF(Vu_khi!$V$327&gt;0,Vu_khi!$V$327,MIN(28,MAX(10,Vu_khi!$U$327*Vu_khi!$R$327*0.4)))</f>
        <v/>
      </c>
      <c r="L327" t="n">
        <v>10</v>
      </c>
      <c r="M327">
        <f>IF(Vu_khi!$W$327&lt;=0,0,IF(Vu_khi!$U$327&gt;0,$I$327*Vu_khi!$U$327/(MAX(0.05,$G$327)*Vu_khi!$U$327+$K$327),$I$327/MAX(0.05,$G$327)))</f>
        <v/>
      </c>
      <c r="N327" t="n">
        <v>42.42424242424243</v>
      </c>
      <c r="O327">
        <f>OR(Vu_khi!$AG$327,Vu_khi!$AB$327&gt;0,Vu_khi!$AH$327,Vu_khi!$M$327="Bomb",Vu_khi!$M$327="Drone")</f>
        <v/>
      </c>
      <c r="P327" t="b">
        <v>1</v>
      </c>
      <c r="Q327">
        <f>AND(NOT(Vu_khi!$AJ$327),OR(Vu_khi!$AC$327="Ground",Vu_khi!$AC$327="All"))</f>
        <v/>
      </c>
      <c r="R327" t="b">
        <v>1</v>
      </c>
      <c r="S327">
        <f>AND(NOT(Vu_khi!$AJ$327),OR(Vu_khi!$AC$327="Air",Vu_khi!$AC$327="All"))</f>
        <v/>
      </c>
      <c r="T327" t="b">
        <v>0</v>
      </c>
      <c r="U327">
        <f>INDEX(Bang_sat_thuong!$B$2:$B$7,MATCH(Vu_khi!$K$327,Bang_sat_thuong!$A$2:$A$7,0))</f>
        <v/>
      </c>
      <c r="V327" t="n">
        <v>1</v>
      </c>
      <c r="W327">
        <f>INDEX(Bang_sat_thuong!$C$2:$C$7,MATCH(Vu_khi!$K$327,Bang_sat_thuong!$A$2:$A$7,0))</f>
        <v/>
      </c>
      <c r="X327" t="n">
        <v>0.3</v>
      </c>
      <c r="Y327">
        <f>IF(AND(Vu_khi!$AI$327,Vu_khi!$K$327="HighExplosive"),MAX(He_so_toan_cuc!$D$2,INDEX(Bang_sat_thuong!$D$2:$D$7,MATCH(Vu_khi!$K$327,Bang_sat_thuong!$A$2:$A$7,0))),INDEX(Bang_sat_thuong!$D$2:$D$7,MATCH(Vu_khi!$K$327,Bang_sat_thuong!$A$2:$A$7,0)))</f>
        <v/>
      </c>
      <c r="Z327" t="n">
        <v>0.6</v>
      </c>
      <c r="AA327">
        <f>INDEX(Bang_xuyen_giap!$C$2:$C$7,MIN(6,MAX(1,IF($O$327,MAX(1,2-(Vu_khi!$L$327-0)),2-(Vu_khi!$L$327-0))+1)))</f>
        <v/>
      </c>
      <c r="AB327" t="n">
        <v>1</v>
      </c>
      <c r="AC327">
        <f>INDEX(Bang_xuyen_giap!$C$2:$C$7,MIN(6,MAX(1,IF($O$327,MAX(1,2-(Vu_khi!$L$327-2)),2-(Vu_khi!$L$327-2))+1)))</f>
        <v/>
      </c>
      <c r="AD327" t="n">
        <v>1</v>
      </c>
      <c r="AE327">
        <f>INDEX(Bang_xuyen_giap!$C$2:$C$7,MIN(6,MAX(1,IF($O$327,MAX(1,2-(Vu_khi!$L$327-4)),2-(Vu_khi!$L$327-4))+1)))</f>
        <v/>
      </c>
      <c r="AF327" t="n">
        <v>0.5</v>
      </c>
      <c r="AG327">
        <f>INDEX(Bang_xuyen_giap!$C$2:$C$7,MIN(6,MAX(1,MAX(1,2-(Vu_khi!$L$327-0))+1)))</f>
        <v/>
      </c>
      <c r="AH327" t="n">
        <v>1</v>
      </c>
      <c r="AI327">
        <f>IF($Q$327,$M$327*$AA$327*$U$327,0)</f>
        <v/>
      </c>
      <c r="AJ327" t="n">
        <v>42.42424242424243</v>
      </c>
      <c r="AK327">
        <f>IF($Q$327,$M$327*$AC$327*$U$327,0)</f>
        <v/>
      </c>
      <c r="AL327" t="n">
        <v>42.42424242424243</v>
      </c>
      <c r="AM327">
        <f>IF($Q$327,$M$327*$AE$327*$U$327,0)</f>
        <v/>
      </c>
      <c r="AN327" t="n">
        <v>21.21212121212121</v>
      </c>
      <c r="AO327">
        <f>IF($Q$327,$M$327*$AC$327*$Y$327,0)</f>
        <v/>
      </c>
      <c r="AP327" t="n">
        <v>25.45454545454546</v>
      </c>
      <c r="AQ327">
        <f>IF($S$327,$M$327*$AG$327*$W$327,0)</f>
        <v/>
      </c>
      <c r="AR327" t="n">
        <v>0</v>
      </c>
      <c r="AS327">
        <f>IF(OR(Vu_khi!$M$327="Missile",Vu_khi!$M$327="Drone",AND(Vu_khi!$M$327="Rocket",OR(Vu_khi!$AM$327,Vu_khi!$D$327="guided")),Vu_khi!$AL$327,Vu_khi!$AK$327,Vu_khi!$X$327&lt;=0),FALSE,IF($B$327&gt;=0,$B$327&gt;=4,IF(Vu_khi!$M$327="Shell",Vu_khi!$AN$327&gt;=Canh_bao_vong!$D$10,IF(Vu_khi!$M$327="Bomb",Vu_khi!$AN$327&gt;=Canh_bao_vong!$D$3,IF(Vu_khi!$M$327="Rocket",Vu_khi!$AN$327&gt;=Canh_bao_vong!$D$13,FALSE)))))</f>
        <v/>
      </c>
      <c r="AT327" t="b">
        <v>0</v>
      </c>
      <c r="AU327">
        <f>IF(AND($B$327&lt;0,$AS$327),4,$B$327)</f>
        <v/>
      </c>
      <c r="AV327" t="n">
        <v>2</v>
      </c>
      <c r="AW327">
        <f>IF($AU$327&lt;4,0,MIN(MAX(0.5,Canh_bao_vong!$D$4),MAX(IF(Vu_khi!$C$327="cal_406",Canh_bao_vong!$D$7,IF($AU$327&gt;=5,Canh_bao_vong!$D$9,Canh_bao_vong!$D$8)),Canh_bao_vong!$D$2+MAX(0,Vu_khi!$X$327)/MAX(0.1,Canh_bao_vong!$D$5))))</f>
        <v/>
      </c>
      <c r="AX327" t="n">
        <v>0</v>
      </c>
      <c r="AY327" t="inlineStr"/>
      <c r="AZ327" t="inlineStr">
        <is>
          <t>ok</t>
        </is>
      </c>
      <c r="BA327" t="inlineStr"/>
      <c r="BB327" t="inlineStr">
        <is>
          <t>Assets/MachineBrigade/Resources/Data/balance.json: weapons[id=swarm_drones] (lớp B trên 01_chien_dau/Vu_khi)</t>
        </is>
      </c>
      <c r="BC327" t="inlineStr"/>
    </row>
    <row r="328">
      <c r="A328" t="inlineStr">
        <is>
          <t>tamir</t>
        </is>
      </c>
      <c r="B328" t="n">
        <v>2</v>
      </c>
      <c r="C328">
        <f>IF(Vu_khi!$O$328="SIMULTANEOUS",MAX(1,Vu_khi!$N$328),1)</f>
        <v/>
      </c>
      <c r="D328" t="n">
        <v>1</v>
      </c>
      <c r="E328">
        <f>IF(Vu_khi!$S$328&gt;0,Vu_khi!$S$328,Vu_khi!$P$328*$C$328)</f>
        <v/>
      </c>
      <c r="F328" t="n">
        <v>1</v>
      </c>
      <c r="G328">
        <f>IF(Vu_khi!$S$328&gt;0,(Vu_khi!$S$328-1)*Vu_khi!$R$328+Vu_khi!$T$328,Vu_khi!$R$328+(Vu_khi!$P$328-1)*Vu_khi!$Q$328)</f>
        <v/>
      </c>
      <c r="H328" t="n">
        <v>3.5</v>
      </c>
      <c r="I328">
        <f>Vu_khi!$W$328*MAX(1,$E$328)</f>
        <v/>
      </c>
      <c r="J328" t="n">
        <v>110</v>
      </c>
      <c r="K328">
        <f>IF(Vu_khi!$V$328&gt;0,Vu_khi!$V$328,MIN(28,MAX(10,Vu_khi!$U$328*Vu_khi!$R$328*0.4)))</f>
        <v/>
      </c>
      <c r="L328" t="n">
        <v>20</v>
      </c>
      <c r="M328">
        <f>IF(Vu_khi!$W$328&lt;=0,0,IF(Vu_khi!$U$328&gt;0,$I$328*Vu_khi!$U$328/(MAX(0.05,$G$328)*Vu_khi!$U$328+$K$328),$I$328/MAX(0.05,$G$328)))</f>
        <v/>
      </c>
      <c r="N328" t="n">
        <v>16.09756097560976</v>
      </c>
      <c r="O328">
        <f>OR(Vu_khi!$AG$328,Vu_khi!$AB$328&gt;0,Vu_khi!$AH$328,Vu_khi!$M$328="Bomb",Vu_khi!$M$328="Drone")</f>
        <v/>
      </c>
      <c r="P328" t="b">
        <v>0</v>
      </c>
      <c r="Q328">
        <f>AND(NOT(Vu_khi!$AJ$328),OR(Vu_khi!$AC$328="Ground",Vu_khi!$AC$328="All"))</f>
        <v/>
      </c>
      <c r="R328" t="b">
        <v>0</v>
      </c>
      <c r="S328">
        <f>AND(NOT(Vu_khi!$AJ$328),OR(Vu_khi!$AC$328="Air",Vu_khi!$AC$328="All"))</f>
        <v/>
      </c>
      <c r="T328" t="b">
        <v>1</v>
      </c>
      <c r="U328">
        <f>INDEX(Bang_sat_thuong!$B$2:$B$7,MATCH(Vu_khi!$K$328,Bang_sat_thuong!$A$2:$A$7,0))</f>
        <v/>
      </c>
      <c r="V328" t="n">
        <v>0.5</v>
      </c>
      <c r="W328">
        <f>INDEX(Bang_sat_thuong!$C$2:$C$7,MATCH(Vu_khi!$K$328,Bang_sat_thuong!$A$2:$A$7,0))</f>
        <v/>
      </c>
      <c r="X328" t="n">
        <v>1.3</v>
      </c>
      <c r="Y328">
        <f>IF(AND(Vu_khi!$AI$328,Vu_khi!$K$328="HighExplosive"),MAX(He_so_toan_cuc!$D$2,INDEX(Bang_sat_thuong!$D$2:$D$7,MATCH(Vu_khi!$K$328,Bang_sat_thuong!$A$2:$A$7,0))),INDEX(Bang_sat_thuong!$D$2:$D$7,MATCH(Vu_khi!$K$328,Bang_sat_thuong!$A$2:$A$7,0)))</f>
        <v/>
      </c>
      <c r="Z328" t="n">
        <v>0.1</v>
      </c>
      <c r="AA328">
        <f>INDEX(Bang_xuyen_giap!$C$2:$C$7,MIN(6,MAX(1,IF($O$328,MAX(1,2-(Vu_khi!$L$328-0)),2-(Vu_khi!$L$328-0))+1)))</f>
        <v/>
      </c>
      <c r="AB328" t="n">
        <v>1.2</v>
      </c>
      <c r="AC328">
        <f>INDEX(Bang_xuyen_giap!$C$2:$C$7,MIN(6,MAX(1,IF($O$328,MAX(1,2-(Vu_khi!$L$328-2)),2-(Vu_khi!$L$328-2))+1)))</f>
        <v/>
      </c>
      <c r="AD328" t="n">
        <v>0.85</v>
      </c>
      <c r="AE328">
        <f>INDEX(Bang_xuyen_giap!$C$2:$C$7,MIN(6,MAX(1,IF($O$328,MAX(1,2-(Vu_khi!$L$328-4)),2-(Vu_khi!$L$328-4))+1)))</f>
        <v/>
      </c>
      <c r="AF328" t="n">
        <v>0.25</v>
      </c>
      <c r="AG328">
        <f>INDEX(Bang_xuyen_giap!$C$2:$C$7,MIN(6,MAX(1,MAX(1,2-(Vu_khi!$L$328-0))+1)))</f>
        <v/>
      </c>
      <c r="AH328" t="n">
        <v>1</v>
      </c>
      <c r="AI328">
        <f>IF($Q$328,$M$328*$AA$328*$U$328,0)</f>
        <v/>
      </c>
      <c r="AJ328" t="n">
        <v>0</v>
      </c>
      <c r="AK328">
        <f>IF($Q$328,$M$328*$AC$328*$U$328,0)</f>
        <v/>
      </c>
      <c r="AL328" t="n">
        <v>0</v>
      </c>
      <c r="AM328">
        <f>IF($Q$328,$M$328*$AE$328*$U$328,0)</f>
        <v/>
      </c>
      <c r="AN328" t="n">
        <v>0</v>
      </c>
      <c r="AO328">
        <f>IF($Q$328,$M$328*$AC$328*$Y$328,0)</f>
        <v/>
      </c>
      <c r="AP328" t="n">
        <v>0</v>
      </c>
      <c r="AQ328">
        <f>IF($S$328,$M$328*$AG$328*$W$328,0)</f>
        <v/>
      </c>
      <c r="AR328" t="n">
        <v>20.92682926829269</v>
      </c>
      <c r="AS328">
        <f>IF(OR(Vu_khi!$M$328="Missile",Vu_khi!$M$328="Drone",AND(Vu_khi!$M$328="Rocket",OR(Vu_khi!$AM$328,Vu_khi!$D$328="guided")),Vu_khi!$AL$328,Vu_khi!$AK$328,Vu_khi!$X$328&lt;=0),FALSE,IF($B$328&gt;=0,$B$328&gt;=4,IF(Vu_khi!$M$328="Shell",Vu_khi!$AN$328&gt;=Canh_bao_vong!$D$10,IF(Vu_khi!$M$328="Bomb",Vu_khi!$AN$328&gt;=Canh_bao_vong!$D$3,IF(Vu_khi!$M$328="Rocket",Vu_khi!$AN$328&gt;=Canh_bao_vong!$D$13,FALSE)))))</f>
        <v/>
      </c>
      <c r="AT328" t="b">
        <v>0</v>
      </c>
      <c r="AU328">
        <f>IF(AND($B$328&lt;0,$AS$328),4,$B$328)</f>
        <v/>
      </c>
      <c r="AV328" t="n">
        <v>2</v>
      </c>
      <c r="AW328">
        <f>IF($AU$328&lt;4,0,MIN(MAX(0.5,Canh_bao_vong!$D$4),MAX(IF(Vu_khi!$C$328="cal_406",Canh_bao_vong!$D$7,IF($AU$328&gt;=5,Canh_bao_vong!$D$9,Canh_bao_vong!$D$8)),Canh_bao_vong!$D$2+MAX(0,Vu_khi!$X$328)/MAX(0.1,Canh_bao_vong!$D$5))))</f>
        <v/>
      </c>
      <c r="AX328" t="n">
        <v>0</v>
      </c>
      <c r="AY328" t="n">
        <v>6.833333</v>
      </c>
      <c r="AZ328" t="inlineStr">
        <is>
          <t>CHAM_QUA</t>
        </is>
      </c>
      <c r="BA328" t="inlineStr"/>
      <c r="BB328" t="inlineStr">
        <is>
          <t>Assets/MachineBrigade/Resources/Data/balance.json: weapons[id=tamir] (lớp B trên 01_chien_dau/Vu_khi)</t>
        </is>
      </c>
      <c r="BC328" t="inlineStr"/>
    </row>
    <row r="329">
      <c r="A329" t="inlineStr">
        <is>
          <t>technical_rockets</t>
        </is>
      </c>
      <c r="B329" t="n">
        <v>2</v>
      </c>
      <c r="C329">
        <f>IF(Vu_khi!$O$329="SIMULTANEOUS",MAX(1,Vu_khi!$N$329),1)</f>
        <v/>
      </c>
      <c r="D329" t="n">
        <v>1</v>
      </c>
      <c r="E329">
        <f>IF(Vu_khi!$S$329&gt;0,Vu_khi!$S$329,Vu_khi!$P$329*$C$329)</f>
        <v/>
      </c>
      <c r="F329" t="n">
        <v>5</v>
      </c>
      <c r="G329">
        <f>IF(Vu_khi!$S$329&gt;0,(Vu_khi!$S$329-1)*Vu_khi!$R$329+Vu_khi!$T$329,Vu_khi!$R$329+(Vu_khi!$P$329-1)*Vu_khi!$Q$329)</f>
        <v/>
      </c>
      <c r="H329" t="n">
        <v>7.6</v>
      </c>
      <c r="I329">
        <f>Vu_khi!$W$329*MAX(1,$E$329)</f>
        <v/>
      </c>
      <c r="J329" t="n">
        <v>247.5</v>
      </c>
      <c r="K329">
        <f>IF(Vu_khi!$V$329&gt;0,Vu_khi!$V$329,MIN(28,MAX(10,Vu_khi!$U$329*Vu_khi!$R$329*0.4)))</f>
        <v/>
      </c>
      <c r="L329" t="n">
        <v>18</v>
      </c>
      <c r="M329">
        <f>IF(Vu_khi!$W$329&lt;=0,0,IF(Vu_khi!$U$329&gt;0,$I$329*Vu_khi!$U$329/(MAX(0.05,$G$329)*Vu_khi!$U$329+$K$329),$I$329/MAX(0.05,$G$329)))</f>
        <v/>
      </c>
      <c r="N329" t="n">
        <v>23.34905660377359</v>
      </c>
      <c r="O329">
        <f>OR(Vu_khi!$AG$329,Vu_khi!$AB$329&gt;0,Vu_khi!$AH$329,Vu_khi!$M$329="Bomb",Vu_khi!$M$329="Drone")</f>
        <v/>
      </c>
      <c r="P329" t="b">
        <v>1</v>
      </c>
      <c r="Q329">
        <f>AND(NOT(Vu_khi!$AJ$329),OR(Vu_khi!$AC$329="Ground",Vu_khi!$AC$329="All"))</f>
        <v/>
      </c>
      <c r="R329" t="b">
        <v>1</v>
      </c>
      <c r="S329">
        <f>AND(NOT(Vu_khi!$AJ$329),OR(Vu_khi!$AC$329="Air",Vu_khi!$AC$329="All"))</f>
        <v/>
      </c>
      <c r="T329" t="b">
        <v>0</v>
      </c>
      <c r="U329">
        <f>INDEX(Bang_sat_thuong!$B$2:$B$7,MATCH(Vu_khi!$K$329,Bang_sat_thuong!$A$2:$A$7,0))</f>
        <v/>
      </c>
      <c r="V329" t="n">
        <v>1</v>
      </c>
      <c r="W329">
        <f>INDEX(Bang_sat_thuong!$C$2:$C$7,MATCH(Vu_khi!$K$329,Bang_sat_thuong!$A$2:$A$7,0))</f>
        <v/>
      </c>
      <c r="X329" t="n">
        <v>0</v>
      </c>
      <c r="Y329">
        <f>IF(AND(Vu_khi!$AI$329,Vu_khi!$K$329="HighExplosive"),MAX(He_so_toan_cuc!$D$2,INDEX(Bang_sat_thuong!$D$2:$D$7,MATCH(Vu_khi!$K$329,Bang_sat_thuong!$A$2:$A$7,0))),INDEX(Bang_sat_thuong!$D$2:$D$7,MATCH(Vu_khi!$K$329,Bang_sat_thuong!$A$2:$A$7,0)))</f>
        <v/>
      </c>
      <c r="Z329" t="n">
        <v>1.5</v>
      </c>
      <c r="AA329">
        <f>INDEX(Bang_xuyen_giap!$C$2:$C$7,MIN(6,MAX(1,IF($O$329,MAX(1,2-(Vu_khi!$L$329-0)),2-(Vu_khi!$L$329-0))+1)))</f>
        <v/>
      </c>
      <c r="AB329" t="n">
        <v>1</v>
      </c>
      <c r="AC329">
        <f>INDEX(Bang_xuyen_giap!$C$2:$C$7,MIN(6,MAX(1,IF($O$329,MAX(1,2-(Vu_khi!$L$329-2)),2-(Vu_khi!$L$329-2))+1)))</f>
        <v/>
      </c>
      <c r="AD329" t="n">
        <v>0.85</v>
      </c>
      <c r="AE329">
        <f>INDEX(Bang_xuyen_giap!$C$2:$C$7,MIN(6,MAX(1,IF($O$329,MAX(1,2-(Vu_khi!$L$329-4)),2-(Vu_khi!$L$329-4))+1)))</f>
        <v/>
      </c>
      <c r="AF329" t="n">
        <v>0.25</v>
      </c>
      <c r="AG329">
        <f>INDEX(Bang_xuyen_giap!$C$2:$C$7,MIN(6,MAX(1,MAX(1,2-(Vu_khi!$L$329-0))+1)))</f>
        <v/>
      </c>
      <c r="AH329" t="n">
        <v>1</v>
      </c>
      <c r="AI329">
        <f>IF($Q$329,$M$329*$AA$329*$U$329,0)</f>
        <v/>
      </c>
      <c r="AJ329" t="n">
        <v>23.34905660377359</v>
      </c>
      <c r="AK329">
        <f>IF($Q$329,$M$329*$AC$329*$U$329,0)</f>
        <v/>
      </c>
      <c r="AL329" t="n">
        <v>19.84669811320755</v>
      </c>
      <c r="AM329">
        <f>IF($Q$329,$M$329*$AE$329*$U$329,0)</f>
        <v/>
      </c>
      <c r="AN329" t="n">
        <v>5.837264150943397</v>
      </c>
      <c r="AO329">
        <f>IF($Q$329,$M$329*$AC$329*$Y$329,0)</f>
        <v/>
      </c>
      <c r="AP329" t="n">
        <v>29.77004716981132</v>
      </c>
      <c r="AQ329">
        <f>IF($S$329,$M$329*$AG$329*$W$329,0)</f>
        <v/>
      </c>
      <c r="AR329" t="n">
        <v>0</v>
      </c>
      <c r="AS329">
        <f>IF(OR(Vu_khi!$M$329="Missile",Vu_khi!$M$329="Drone",AND(Vu_khi!$M$329="Rocket",OR(Vu_khi!$AM$329,Vu_khi!$D$329="guided")),Vu_khi!$AL$329,Vu_khi!$AK$329,Vu_khi!$X$329&lt;=0),FALSE,IF($B$329&gt;=0,$B$329&gt;=4,IF(Vu_khi!$M$329="Shell",Vu_khi!$AN$329&gt;=Canh_bao_vong!$D$10,IF(Vu_khi!$M$329="Bomb",Vu_khi!$AN$329&gt;=Canh_bao_vong!$D$3,IF(Vu_khi!$M$329="Rocket",Vu_khi!$AN$329&gt;=Canh_bao_vong!$D$13,FALSE)))))</f>
        <v/>
      </c>
      <c r="AT329" t="b">
        <v>0</v>
      </c>
      <c r="AU329">
        <f>IF(AND($B$329&lt;0,$AS$329),4,$B$329)</f>
        <v/>
      </c>
      <c r="AV329" t="n">
        <v>2</v>
      </c>
      <c r="AW329">
        <f>IF($AU$329&lt;4,0,MIN(MAX(0.5,Canh_bao_vong!$D$4),MAX(IF(Vu_khi!$C$329="cal_406",Canh_bao_vong!$D$7,IF($AU$329&gt;=5,Canh_bao_vong!$D$9,Canh_bao_vong!$D$8)),Canh_bao_vong!$D$2+MAX(0,Vu_khi!$X$329)/MAX(0.1,Canh_bao_vong!$D$5))))</f>
        <v/>
      </c>
      <c r="AX329" t="n">
        <v>0</v>
      </c>
      <c r="AY329" t="n">
        <v>0.833333</v>
      </c>
      <c r="AZ329" t="inlineStr">
        <is>
          <t>ok</t>
        </is>
      </c>
      <c r="BA329" t="inlineStr"/>
      <c r="BB329" t="inlineStr">
        <is>
          <t>Assets/MachineBrigade/Resources/Data/balance.json: weapons[id=technical_rockets] (lớp B trên 01_chien_dau/Vu_khi)</t>
        </is>
      </c>
      <c r="BC329" t="inlineStr"/>
    </row>
    <row r="330">
      <c r="A330" t="inlineStr">
        <is>
          <t>thermobaric_rockets</t>
        </is>
      </c>
      <c r="B330" t="n">
        <v>4</v>
      </c>
      <c r="C330">
        <f>IF(Vu_khi!$O$330="SIMULTANEOUS",MAX(1,Vu_khi!$N$330),1)</f>
        <v/>
      </c>
      <c r="D330" t="n">
        <v>1</v>
      </c>
      <c r="E330">
        <f>IF(Vu_khi!$S$330&gt;0,Vu_khi!$S$330,Vu_khi!$P$330*$C$330)</f>
        <v/>
      </c>
      <c r="F330" t="n">
        <v>9</v>
      </c>
      <c r="G330">
        <f>IF(Vu_khi!$S$330&gt;0,(Vu_khi!$S$330-1)*Vu_khi!$R$330+Vu_khi!$T$330,Vu_khi!$R$330+(Vu_khi!$P$330-1)*Vu_khi!$Q$330)</f>
        <v/>
      </c>
      <c r="H330" t="n">
        <v>12.95</v>
      </c>
      <c r="I330">
        <f>Vu_khi!$W$330*MAX(1,$E$330)</f>
        <v/>
      </c>
      <c r="J330" t="n">
        <v>873</v>
      </c>
      <c r="K330">
        <f>IF(Vu_khi!$V$330&gt;0,Vu_khi!$V$330,MIN(28,MAX(10,Vu_khi!$U$330*Vu_khi!$R$330*0.4)))</f>
        <v/>
      </c>
      <c r="L330" t="n">
        <v>21.67</v>
      </c>
      <c r="M330">
        <f>IF(Vu_khi!$W$330&lt;=0,0,IF(Vu_khi!$U$330&gt;0,$I$330*Vu_khi!$U$330/(MAX(0.05,$G$330)*Vu_khi!$U$330+$K$330),$I$330/MAX(0.05,$G$330)))</f>
        <v/>
      </c>
      <c r="N330" t="n">
        <v>47.52960391996734</v>
      </c>
      <c r="O330">
        <f>OR(Vu_khi!$AG$330,Vu_khi!$AB$330&gt;0,Vu_khi!$AH$330,Vu_khi!$M$330="Bomb",Vu_khi!$M$330="Drone")</f>
        <v/>
      </c>
      <c r="P330" t="b">
        <v>1</v>
      </c>
      <c r="Q330">
        <f>AND(NOT(Vu_khi!$AJ$330),OR(Vu_khi!$AC$330="Ground",Vu_khi!$AC$330="All"))</f>
        <v/>
      </c>
      <c r="R330" t="b">
        <v>1</v>
      </c>
      <c r="S330">
        <f>AND(NOT(Vu_khi!$AJ$330),OR(Vu_khi!$AC$330="Air",Vu_khi!$AC$330="All"))</f>
        <v/>
      </c>
      <c r="T330" t="b">
        <v>0</v>
      </c>
      <c r="U330">
        <f>INDEX(Bang_sat_thuong!$B$2:$B$7,MATCH(Vu_khi!$K$330,Bang_sat_thuong!$A$2:$A$7,0))</f>
        <v/>
      </c>
      <c r="V330" t="n">
        <v>1</v>
      </c>
      <c r="W330">
        <f>INDEX(Bang_sat_thuong!$C$2:$C$7,MATCH(Vu_khi!$K$330,Bang_sat_thuong!$A$2:$A$7,0))</f>
        <v/>
      </c>
      <c r="X330" t="n">
        <v>0</v>
      </c>
      <c r="Y330">
        <f>IF(AND(Vu_khi!$AI$330,Vu_khi!$K$330="HighExplosive"),MAX(He_so_toan_cuc!$D$2,INDEX(Bang_sat_thuong!$D$2:$D$7,MATCH(Vu_khi!$K$330,Bang_sat_thuong!$A$2:$A$7,0))),INDEX(Bang_sat_thuong!$D$2:$D$7,MATCH(Vu_khi!$K$330,Bang_sat_thuong!$A$2:$A$7,0)))</f>
        <v/>
      </c>
      <c r="Z330" t="n">
        <v>2</v>
      </c>
      <c r="AA330">
        <f>INDEX(Bang_xuyen_giap!$C$2:$C$7,MIN(6,MAX(1,IF($O$330,MAX(1,2-(Vu_khi!$L$330-0)),2-(Vu_khi!$L$330-0))+1)))</f>
        <v/>
      </c>
      <c r="AB330" t="n">
        <v>1</v>
      </c>
      <c r="AC330">
        <f>INDEX(Bang_xuyen_giap!$C$2:$C$7,MIN(6,MAX(1,IF($O$330,MAX(1,2-(Vu_khi!$L$330-2)),2-(Vu_khi!$L$330-2))+1)))</f>
        <v/>
      </c>
      <c r="AD330" t="n">
        <v>1</v>
      </c>
      <c r="AE330">
        <f>INDEX(Bang_xuyen_giap!$C$2:$C$7,MIN(6,MAX(1,IF($O$330,MAX(1,2-(Vu_khi!$L$330-4)),2-(Vu_khi!$L$330-4))+1)))</f>
        <v/>
      </c>
      <c r="AF330" t="n">
        <v>0.5</v>
      </c>
      <c r="AG330">
        <f>INDEX(Bang_xuyen_giap!$C$2:$C$7,MIN(6,MAX(1,MAX(1,2-(Vu_khi!$L$330-0))+1)))</f>
        <v/>
      </c>
      <c r="AH330" t="n">
        <v>1</v>
      </c>
      <c r="AI330">
        <f>IF($Q$330,$M$330*$AA$330*$U$330,0)</f>
        <v/>
      </c>
      <c r="AJ330" t="n">
        <v>47.52960391996734</v>
      </c>
      <c r="AK330">
        <f>IF($Q$330,$M$330*$AC$330*$U$330,0)</f>
        <v/>
      </c>
      <c r="AL330" t="n">
        <v>47.52960391996734</v>
      </c>
      <c r="AM330">
        <f>IF($Q$330,$M$330*$AE$330*$U$330,0)</f>
        <v/>
      </c>
      <c r="AN330" t="n">
        <v>23.76480195998367</v>
      </c>
      <c r="AO330">
        <f>IF($Q$330,$M$330*$AC$330*$Y$330,0)</f>
        <v/>
      </c>
      <c r="AP330" t="n">
        <v>95.05920783993467</v>
      </c>
      <c r="AQ330">
        <f>IF($S$330,$M$330*$AG$330*$W$330,0)</f>
        <v/>
      </c>
      <c r="AR330" t="n">
        <v>0</v>
      </c>
      <c r="AS330">
        <f>IF(OR(Vu_khi!$M$330="Missile",Vu_khi!$M$330="Drone",AND(Vu_khi!$M$330="Rocket",OR(Vu_khi!$AM$330,Vu_khi!$D$330="guided")),Vu_khi!$AL$330,Vu_khi!$AK$330,Vu_khi!$X$330&lt;=0),FALSE,IF($B$330&gt;=0,$B$330&gt;=4,IF(Vu_khi!$M$330="Shell",Vu_khi!$AN$330&gt;=Canh_bao_vong!$D$10,IF(Vu_khi!$M$330="Bomb",Vu_khi!$AN$330&gt;=Canh_bao_vong!$D$3,IF(Vu_khi!$M$330="Rocket",Vu_khi!$AN$330&gt;=Canh_bao_vong!$D$13,FALSE)))))</f>
        <v/>
      </c>
      <c r="AT330" t="b">
        <v>1</v>
      </c>
      <c r="AU330">
        <f>IF(AND($B$330&lt;0,$AS$330),4,$B$330)</f>
        <v/>
      </c>
      <c r="AV330" t="n">
        <v>4</v>
      </c>
      <c r="AW330">
        <f>IF($AU$330&lt;4,0,MIN(MAX(0.5,Canh_bao_vong!$D$4),MAX(IF(Vu_khi!$C$330="cal_406",Canh_bao_vong!$D$7,IF($AU$330&gt;=5,Canh_bao_vong!$D$9,Canh_bao_vong!$D$8)),Canh_bao_vong!$D$2+MAX(0,Vu_khi!$X$330)/MAX(0.1,Canh_bao_vong!$D$5))))</f>
        <v/>
      </c>
      <c r="AX330" t="n">
        <v>2.5</v>
      </c>
      <c r="AY330" t="n">
        <v>1.2</v>
      </c>
      <c r="AZ330" t="inlineStr">
        <is>
          <t>ok</t>
        </is>
      </c>
      <c r="BA330" t="inlineStr"/>
      <c r="BB330" t="inlineStr">
        <is>
          <t>Assets/MachineBrigade/Resources/Data/balance.json: weapons[id=thermobaric_rockets] (lớp B trên 01_chien_dau/Vu_khi)</t>
        </is>
      </c>
      <c r="BC330" t="inlineStr"/>
    </row>
    <row r="331">
      <c r="A331" t="inlineStr">
        <is>
          <t>tower_ac25</t>
        </is>
      </c>
      <c r="B331" t="n">
        <v>1</v>
      </c>
      <c r="C331">
        <f>IF(Vu_khi!$O$331="SIMULTANEOUS",MAX(1,Vu_khi!$N$331),1)</f>
        <v/>
      </c>
      <c r="D331" t="n">
        <v>1</v>
      </c>
      <c r="E331">
        <f>IF(Vu_khi!$S$331&gt;0,Vu_khi!$S$331,Vu_khi!$P$331*$C$331)</f>
        <v/>
      </c>
      <c r="F331" t="n">
        <v>10</v>
      </c>
      <c r="G331">
        <f>IF(Vu_khi!$S$331&gt;0,(Vu_khi!$S$331-1)*Vu_khi!$R$331+Vu_khi!$T$331,Vu_khi!$R$331+(Vu_khi!$P$331-1)*Vu_khi!$Q$331)</f>
        <v/>
      </c>
      <c r="H331" t="n">
        <v>2.55</v>
      </c>
      <c r="I331">
        <f>Vu_khi!$W$331*MAX(1,$E$331)</f>
        <v/>
      </c>
      <c r="J331" t="n">
        <v>170</v>
      </c>
      <c r="K331">
        <f>IF(Vu_khi!$V$331&gt;0,Vu_khi!$V$331,MIN(28,MAX(10,Vu_khi!$U$331*Vu_khi!$R$331*0.4)))</f>
        <v/>
      </c>
      <c r="L331" t="n">
        <v>10</v>
      </c>
      <c r="M331">
        <f>IF(Vu_khi!$W$331&lt;=0,0,IF(Vu_khi!$U$331&gt;0,$I$331*Vu_khi!$U$331/(MAX(0.05,$G$331)*Vu_khi!$U$331+$K$331),$I$331/MAX(0.05,$G$331)))</f>
        <v/>
      </c>
      <c r="N331" t="n">
        <v>66.66666666666667</v>
      </c>
      <c r="O331">
        <f>OR(Vu_khi!$AG$331,Vu_khi!$AB$331&gt;0,Vu_khi!$AH$331,Vu_khi!$M$331="Bomb",Vu_khi!$M$331="Drone")</f>
        <v/>
      </c>
      <c r="P331" t="b">
        <v>0</v>
      </c>
      <c r="Q331">
        <f>AND(NOT(Vu_khi!$AJ$331),OR(Vu_khi!$AC$331="Ground",Vu_khi!$AC$331="All"))</f>
        <v/>
      </c>
      <c r="R331" t="b">
        <v>1</v>
      </c>
      <c r="S331">
        <f>AND(NOT(Vu_khi!$AJ$331),OR(Vu_khi!$AC$331="Air",Vu_khi!$AC$331="All"))</f>
        <v/>
      </c>
      <c r="T331" t="b">
        <v>0</v>
      </c>
      <c r="U331">
        <f>INDEX(Bang_sat_thuong!$B$2:$B$7,MATCH(Vu_khi!$K$331,Bang_sat_thuong!$A$2:$A$7,0))</f>
        <v/>
      </c>
      <c r="V331" t="n">
        <v>1</v>
      </c>
      <c r="W331">
        <f>INDEX(Bang_sat_thuong!$C$2:$C$7,MATCH(Vu_khi!$K$331,Bang_sat_thuong!$A$2:$A$7,0))</f>
        <v/>
      </c>
      <c r="X331" t="n">
        <v>0.3</v>
      </c>
      <c r="Y331">
        <f>IF(AND(Vu_khi!$AI$331,Vu_khi!$K$331="HighExplosive"),MAX(He_so_toan_cuc!$D$2,INDEX(Bang_sat_thuong!$D$2:$D$7,MATCH(Vu_khi!$K$331,Bang_sat_thuong!$A$2:$A$7,0))),INDEX(Bang_sat_thuong!$D$2:$D$7,MATCH(Vu_khi!$K$331,Bang_sat_thuong!$A$2:$A$7,0)))</f>
        <v/>
      </c>
      <c r="Z331" t="n">
        <v>0.6</v>
      </c>
      <c r="AA331">
        <f>INDEX(Bang_xuyen_giap!$C$2:$C$7,MIN(6,MAX(1,IF($O$331,MAX(1,2-(Vu_khi!$L$331-0)),2-(Vu_khi!$L$331-0))+1)))</f>
        <v/>
      </c>
      <c r="AB331" t="n">
        <v>1.2</v>
      </c>
      <c r="AC331">
        <f>INDEX(Bang_xuyen_giap!$C$2:$C$7,MIN(6,MAX(1,IF($O$331,MAX(1,2-(Vu_khi!$L$331-2)),2-(Vu_khi!$L$331-2))+1)))</f>
        <v/>
      </c>
      <c r="AD331" t="n">
        <v>0.85</v>
      </c>
      <c r="AE331">
        <f>INDEX(Bang_xuyen_giap!$C$2:$C$7,MIN(6,MAX(1,IF($O$331,MAX(1,2-(Vu_khi!$L$331-4)),2-(Vu_khi!$L$331-4))+1)))</f>
        <v/>
      </c>
      <c r="AF331" t="n">
        <v>0.25</v>
      </c>
      <c r="AG331">
        <f>INDEX(Bang_xuyen_giap!$C$2:$C$7,MIN(6,MAX(1,MAX(1,2-(Vu_khi!$L$331-0))+1)))</f>
        <v/>
      </c>
      <c r="AH331" t="n">
        <v>1</v>
      </c>
      <c r="AI331">
        <f>IF($Q$331,$M$331*$AA$331*$U$331,0)</f>
        <v/>
      </c>
      <c r="AJ331" t="n">
        <v>80</v>
      </c>
      <c r="AK331">
        <f>IF($Q$331,$M$331*$AC$331*$U$331,0)</f>
        <v/>
      </c>
      <c r="AL331" t="n">
        <v>56.66666666666667</v>
      </c>
      <c r="AM331">
        <f>IF($Q$331,$M$331*$AE$331*$U$331,0)</f>
        <v/>
      </c>
      <c r="AN331" t="n">
        <v>16.66666666666667</v>
      </c>
      <c r="AO331">
        <f>IF($Q$331,$M$331*$AC$331*$Y$331,0)</f>
        <v/>
      </c>
      <c r="AP331" t="n">
        <v>34</v>
      </c>
      <c r="AQ331">
        <f>IF($S$331,$M$331*$AG$331*$W$331,0)</f>
        <v/>
      </c>
      <c r="AR331" t="n">
        <v>0</v>
      </c>
      <c r="AS331">
        <f>IF(OR(Vu_khi!$M$331="Missile",Vu_khi!$M$331="Drone",AND(Vu_khi!$M$331="Rocket",OR(Vu_khi!$AM$331,Vu_khi!$D$331="guided")),Vu_khi!$AL$331,Vu_khi!$AK$331,Vu_khi!$X$331&lt;=0),FALSE,IF($B$331&gt;=0,$B$331&gt;=4,IF(Vu_khi!$M$331="Shell",Vu_khi!$AN$331&gt;=Canh_bao_vong!$D$10,IF(Vu_khi!$M$331="Bomb",Vu_khi!$AN$331&gt;=Canh_bao_vong!$D$3,IF(Vu_khi!$M$331="Rocket",Vu_khi!$AN$331&gt;=Canh_bao_vong!$D$13,FALSE)))))</f>
        <v/>
      </c>
      <c r="AT331" t="b">
        <v>0</v>
      </c>
      <c r="AU331">
        <f>IF(AND($B$331&lt;0,$AS$331),4,$B$331)</f>
        <v/>
      </c>
      <c r="AV331" t="n">
        <v>1</v>
      </c>
      <c r="AW331">
        <f>IF($AU$331&lt;4,0,MIN(MAX(0.5,Canh_bao_vong!$D$4),MAX(IF(Vu_khi!$C$331="cal_406",Canh_bao_vong!$D$7,IF($AU$331&gt;=5,Canh_bao_vong!$D$9,Canh_bao_vong!$D$8)),Canh_bao_vong!$D$2+MAX(0,Vu_khi!$X$331)/MAX(0.1,Canh_bao_vong!$D$5))))</f>
        <v/>
      </c>
      <c r="AX331" t="n">
        <v>0</v>
      </c>
      <c r="AY331" t="n">
        <v>2.125</v>
      </c>
      <c r="AZ331" t="inlineStr">
        <is>
          <t>ok</t>
        </is>
      </c>
      <c r="BA331" t="inlineStr"/>
      <c r="BB331" t="inlineStr">
        <is>
          <t>Assets/MachineBrigade/Resources/Data/balance.json: weapons[id=tower_ac25] (lớp B trên 01_chien_dau/Vu_khi)</t>
        </is>
      </c>
      <c r="BC331" t="inlineStr"/>
    </row>
    <row r="332">
      <c r="A332" t="inlineStr">
        <is>
          <t>tower_ac25_flak</t>
        </is>
      </c>
      <c r="B332" t="n">
        <v>1</v>
      </c>
      <c r="C332">
        <f>IF(Vu_khi!$O$332="SIMULTANEOUS",MAX(1,Vu_khi!$N$332),1)</f>
        <v/>
      </c>
      <c r="D332" t="n">
        <v>1</v>
      </c>
      <c r="E332">
        <f>IF(Vu_khi!$S$332&gt;0,Vu_khi!$S$332,Vu_khi!$P$332*$C$332)</f>
        <v/>
      </c>
      <c r="F332" t="n">
        <v>10</v>
      </c>
      <c r="G332">
        <f>IF(Vu_khi!$S$332&gt;0,(Vu_khi!$S$332-1)*Vu_khi!$R$332+Vu_khi!$T$332,Vu_khi!$R$332+(Vu_khi!$P$332-1)*Vu_khi!$Q$332)</f>
        <v/>
      </c>
      <c r="H332" t="n">
        <v>2.55</v>
      </c>
      <c r="I332">
        <f>Vu_khi!$W$332*MAX(1,$E$332)</f>
        <v/>
      </c>
      <c r="J332" t="n">
        <v>170</v>
      </c>
      <c r="K332">
        <f>IF(Vu_khi!$V$332&gt;0,Vu_khi!$V$332,MIN(28,MAX(10,Vu_khi!$U$332*Vu_khi!$R$332*0.4)))</f>
        <v/>
      </c>
      <c r="L332" t="n">
        <v>10</v>
      </c>
      <c r="M332">
        <f>IF(Vu_khi!$W$332&lt;=0,0,IF(Vu_khi!$U$332&gt;0,$I$332*Vu_khi!$U$332/(MAX(0.05,$G$332)*Vu_khi!$U$332+$K$332),$I$332/MAX(0.05,$G$332)))</f>
        <v/>
      </c>
      <c r="N332" t="n">
        <v>66.66666666666667</v>
      </c>
      <c r="O332">
        <f>OR(Vu_khi!$AG$332,Vu_khi!$AB$332&gt;0,Vu_khi!$AH$332,Vu_khi!$M$332="Bomb",Vu_khi!$M$332="Drone")</f>
        <v/>
      </c>
      <c r="P332" t="b">
        <v>0</v>
      </c>
      <c r="Q332">
        <f>AND(NOT(Vu_khi!$AJ$332),OR(Vu_khi!$AC$332="Ground",Vu_khi!$AC$332="All"))</f>
        <v/>
      </c>
      <c r="R332" t="b">
        <v>0</v>
      </c>
      <c r="S332">
        <f>AND(NOT(Vu_khi!$AJ$332),OR(Vu_khi!$AC$332="Air",Vu_khi!$AC$332="All"))</f>
        <v/>
      </c>
      <c r="T332" t="b">
        <v>1</v>
      </c>
      <c r="U332">
        <f>INDEX(Bang_sat_thuong!$B$2:$B$7,MATCH(Vu_khi!$K$332,Bang_sat_thuong!$A$2:$A$7,0))</f>
        <v/>
      </c>
      <c r="V332" t="n">
        <v>0.5</v>
      </c>
      <c r="W332">
        <f>INDEX(Bang_sat_thuong!$C$2:$C$7,MATCH(Vu_khi!$K$332,Bang_sat_thuong!$A$2:$A$7,0))</f>
        <v/>
      </c>
      <c r="X332" t="n">
        <v>1.3</v>
      </c>
      <c r="Y332">
        <f>IF(AND(Vu_khi!$AI$332,Vu_khi!$K$332="HighExplosive"),MAX(He_so_toan_cuc!$D$2,INDEX(Bang_sat_thuong!$D$2:$D$7,MATCH(Vu_khi!$K$332,Bang_sat_thuong!$A$2:$A$7,0))),INDEX(Bang_sat_thuong!$D$2:$D$7,MATCH(Vu_khi!$K$332,Bang_sat_thuong!$A$2:$A$7,0)))</f>
        <v/>
      </c>
      <c r="Z332" t="n">
        <v>0.1</v>
      </c>
      <c r="AA332">
        <f>INDEX(Bang_xuyen_giap!$C$2:$C$7,MIN(6,MAX(1,IF($O$332,MAX(1,2-(Vu_khi!$L$332-0)),2-(Vu_khi!$L$332-0))+1)))</f>
        <v/>
      </c>
      <c r="AB332" t="n">
        <v>1</v>
      </c>
      <c r="AC332">
        <f>INDEX(Bang_xuyen_giap!$C$2:$C$7,MIN(6,MAX(1,IF($O$332,MAX(1,2-(Vu_khi!$L$332-2)),2-(Vu_khi!$L$332-2))+1)))</f>
        <v/>
      </c>
      <c r="AD332" t="n">
        <v>0.5</v>
      </c>
      <c r="AE332">
        <f>INDEX(Bang_xuyen_giap!$C$2:$C$7,MIN(6,MAX(1,IF($O$332,MAX(1,2-(Vu_khi!$L$332-4)),2-(Vu_khi!$L$332-4))+1)))</f>
        <v/>
      </c>
      <c r="AF332" t="n">
        <v>0.1</v>
      </c>
      <c r="AG332">
        <f>INDEX(Bang_xuyen_giap!$C$2:$C$7,MIN(6,MAX(1,MAX(1,2-(Vu_khi!$L$332-0))+1)))</f>
        <v/>
      </c>
      <c r="AH332" t="n">
        <v>1</v>
      </c>
      <c r="AI332">
        <f>IF($Q$332,$M$332*$AA$332*$U$332,0)</f>
        <v/>
      </c>
      <c r="AJ332" t="n">
        <v>0</v>
      </c>
      <c r="AK332">
        <f>IF($Q$332,$M$332*$AC$332*$U$332,0)</f>
        <v/>
      </c>
      <c r="AL332" t="n">
        <v>0</v>
      </c>
      <c r="AM332">
        <f>IF($Q$332,$M$332*$AE$332*$U$332,0)</f>
        <v/>
      </c>
      <c r="AN332" t="n">
        <v>0</v>
      </c>
      <c r="AO332">
        <f>IF($Q$332,$M$332*$AC$332*$Y$332,0)</f>
        <v/>
      </c>
      <c r="AP332" t="n">
        <v>0</v>
      </c>
      <c r="AQ332">
        <f>IF($S$332,$M$332*$AG$332*$W$332,0)</f>
        <v/>
      </c>
      <c r="AR332" t="n">
        <v>86.66666666666667</v>
      </c>
      <c r="AS332">
        <f>IF(OR(Vu_khi!$M$332="Missile",Vu_khi!$M$332="Drone",AND(Vu_khi!$M$332="Rocket",OR(Vu_khi!$AM$332,Vu_khi!$D$332="guided")),Vu_khi!$AL$332,Vu_khi!$AK$332,Vu_khi!$X$332&lt;=0),FALSE,IF($B$332&gt;=0,$B$332&gt;=4,IF(Vu_khi!$M$332="Shell",Vu_khi!$AN$332&gt;=Canh_bao_vong!$D$10,IF(Vu_khi!$M$332="Bomb",Vu_khi!$AN$332&gt;=Canh_bao_vong!$D$3,IF(Vu_khi!$M$332="Rocket",Vu_khi!$AN$332&gt;=Canh_bao_vong!$D$13,FALSE)))))</f>
        <v/>
      </c>
      <c r="AT332" t="b">
        <v>0</v>
      </c>
      <c r="AU332">
        <f>IF(AND($B$332&lt;0,$AS$332),4,$B$332)</f>
        <v/>
      </c>
      <c r="AV332" t="n">
        <v>1</v>
      </c>
      <c r="AW332">
        <f>IF($AU$332&lt;4,0,MIN(MAX(0.5,Canh_bao_vong!$D$4),MAX(IF(Vu_khi!$C$332="cal_406",Canh_bao_vong!$D$7,IF($AU$332&gt;=5,Canh_bao_vong!$D$9,Canh_bao_vong!$D$8)),Canh_bao_vong!$D$2+MAX(0,Vu_khi!$X$332)/MAX(0.1,Canh_bao_vong!$D$5))))</f>
        <v/>
      </c>
      <c r="AX332" t="n">
        <v>0</v>
      </c>
      <c r="BB332" t="inlineStr">
        <is>
          <t>Assets/MachineBrigade/Resources/Data/balance.json: weapons[id=tower_ac25_flak] (lớp B trên 01_chien_dau/Vu_khi)</t>
        </is>
      </c>
      <c r="BC332" t="inlineStr"/>
    </row>
    <row r="333">
      <c r="A333" t="inlineStr">
        <is>
          <t>tower_agl</t>
        </is>
      </c>
      <c r="B333" t="n">
        <v>1</v>
      </c>
      <c r="C333">
        <f>IF(Vu_khi!$O$333="SIMULTANEOUS",MAX(1,Vu_khi!$N$333),1)</f>
        <v/>
      </c>
      <c r="D333" t="n">
        <v>1</v>
      </c>
      <c r="E333">
        <f>IF(Vu_khi!$S$333&gt;0,Vu_khi!$S$333,Vu_khi!$P$333*$C$333)</f>
        <v/>
      </c>
      <c r="F333" t="n">
        <v>6</v>
      </c>
      <c r="G333">
        <f>IF(Vu_khi!$S$333&gt;0,(Vu_khi!$S$333-1)*Vu_khi!$R$333+Vu_khi!$T$333,Vu_khi!$R$333+(Vu_khi!$P$333-1)*Vu_khi!$Q$333)</f>
        <v/>
      </c>
      <c r="H333" t="n">
        <v>5.3</v>
      </c>
      <c r="I333">
        <f>Vu_khi!$W$333*MAX(1,$E$333)</f>
        <v/>
      </c>
      <c r="J333" t="n">
        <v>156</v>
      </c>
      <c r="K333">
        <f>IF(Vu_khi!$V$333&gt;0,Vu_khi!$V$333,MIN(28,MAX(10,Vu_khi!$U$333*Vu_khi!$R$333*0.4)))</f>
        <v/>
      </c>
      <c r="L333" t="n">
        <v>10</v>
      </c>
      <c r="M333">
        <f>IF(Vu_khi!$W$333&lt;=0,0,IF(Vu_khi!$U$333&gt;0,$I$333*Vu_khi!$U$333/(MAX(0.05,$G$333)*Vu_khi!$U$333+$K$333),$I$333/MAX(0.05,$G$333)))</f>
        <v/>
      </c>
      <c r="N333" t="n">
        <v>29.43396226415095</v>
      </c>
      <c r="O333">
        <f>OR(Vu_khi!$AG$333,Vu_khi!$AB$333&gt;0,Vu_khi!$AH$333,Vu_khi!$M$333="Bomb",Vu_khi!$M$333="Drone")</f>
        <v/>
      </c>
      <c r="P333" t="b">
        <v>0</v>
      </c>
      <c r="Q333">
        <f>AND(NOT(Vu_khi!$AJ$333),OR(Vu_khi!$AC$333="Ground",Vu_khi!$AC$333="All"))</f>
        <v/>
      </c>
      <c r="R333" t="b">
        <v>1</v>
      </c>
      <c r="S333">
        <f>AND(NOT(Vu_khi!$AJ$333),OR(Vu_khi!$AC$333="Air",Vu_khi!$AC$333="All"))</f>
        <v/>
      </c>
      <c r="T333" t="b">
        <v>0</v>
      </c>
      <c r="U333">
        <f>INDEX(Bang_sat_thuong!$B$2:$B$7,MATCH(Vu_khi!$K$333,Bang_sat_thuong!$A$2:$A$7,0))</f>
        <v/>
      </c>
      <c r="V333" t="n">
        <v>1</v>
      </c>
      <c r="W333">
        <f>INDEX(Bang_sat_thuong!$C$2:$C$7,MATCH(Vu_khi!$K$333,Bang_sat_thuong!$A$2:$A$7,0))</f>
        <v/>
      </c>
      <c r="X333" t="n">
        <v>0</v>
      </c>
      <c r="Y333">
        <f>IF(AND(Vu_khi!$AI$333,Vu_khi!$K$333="HighExplosive"),MAX(He_so_toan_cuc!$D$2,INDEX(Bang_sat_thuong!$D$2:$D$7,MATCH(Vu_khi!$K$333,Bang_sat_thuong!$A$2:$A$7,0))),INDEX(Bang_sat_thuong!$D$2:$D$7,MATCH(Vu_khi!$K$333,Bang_sat_thuong!$A$2:$A$7,0)))</f>
        <v/>
      </c>
      <c r="Z333" t="n">
        <v>1.5</v>
      </c>
      <c r="AA333">
        <f>INDEX(Bang_xuyen_giap!$C$2:$C$7,MIN(6,MAX(1,IF($O$333,MAX(1,2-(Vu_khi!$L$333-0)),2-(Vu_khi!$L$333-0))+1)))</f>
        <v/>
      </c>
      <c r="AB333" t="n">
        <v>1.2</v>
      </c>
      <c r="AC333">
        <f>INDEX(Bang_xuyen_giap!$C$2:$C$7,MIN(6,MAX(1,IF($O$333,MAX(1,2-(Vu_khi!$L$333-2)),2-(Vu_khi!$L$333-2))+1)))</f>
        <v/>
      </c>
      <c r="AD333" t="n">
        <v>0.85</v>
      </c>
      <c r="AE333">
        <f>INDEX(Bang_xuyen_giap!$C$2:$C$7,MIN(6,MAX(1,IF($O$333,MAX(1,2-(Vu_khi!$L$333-4)),2-(Vu_khi!$L$333-4))+1)))</f>
        <v/>
      </c>
      <c r="AF333" t="n">
        <v>0.25</v>
      </c>
      <c r="AG333">
        <f>INDEX(Bang_xuyen_giap!$C$2:$C$7,MIN(6,MAX(1,MAX(1,2-(Vu_khi!$L$333-0))+1)))</f>
        <v/>
      </c>
      <c r="AH333" t="n">
        <v>1</v>
      </c>
      <c r="AI333">
        <f>IF($Q$333,$M$333*$AA$333*$U$333,0)</f>
        <v/>
      </c>
      <c r="AJ333" t="n">
        <v>35.32075471698113</v>
      </c>
      <c r="AK333">
        <f>IF($Q$333,$M$333*$AC$333*$U$333,0)</f>
        <v/>
      </c>
      <c r="AL333" t="n">
        <v>25.0188679245283</v>
      </c>
      <c r="AM333">
        <f>IF($Q$333,$M$333*$AE$333*$U$333,0)</f>
        <v/>
      </c>
      <c r="AN333" t="n">
        <v>7.358490566037736</v>
      </c>
      <c r="AO333">
        <f>IF($Q$333,$M$333*$AC$333*$Y$333,0)</f>
        <v/>
      </c>
      <c r="AP333" t="n">
        <v>37.52830188679246</v>
      </c>
      <c r="AQ333">
        <f>IF($S$333,$M$333*$AG$333*$W$333,0)</f>
        <v/>
      </c>
      <c r="AR333" t="n">
        <v>0</v>
      </c>
      <c r="AS333">
        <f>IF(OR(Vu_khi!$M$333="Missile",Vu_khi!$M$333="Drone",AND(Vu_khi!$M$333="Rocket",OR(Vu_khi!$AM$333,Vu_khi!$D$333="guided")),Vu_khi!$AL$333,Vu_khi!$AK$333,Vu_khi!$X$333&lt;=0),FALSE,IF($B$333&gt;=0,$B$333&gt;=4,IF(Vu_khi!$M$333="Shell",Vu_khi!$AN$333&gt;=Canh_bao_vong!$D$10,IF(Vu_khi!$M$333="Bomb",Vu_khi!$AN$333&gt;=Canh_bao_vong!$D$3,IF(Vu_khi!$M$333="Rocket",Vu_khi!$AN$333&gt;=Canh_bao_vong!$D$13,FALSE)))))</f>
        <v/>
      </c>
      <c r="AT333" t="b">
        <v>0</v>
      </c>
      <c r="AU333">
        <f>IF(AND($B$333&lt;0,$AS$333),4,$B$333)</f>
        <v/>
      </c>
      <c r="AV333" t="n">
        <v>1</v>
      </c>
      <c r="AW333">
        <f>IF($AU$333&lt;4,0,MIN(MAX(0.5,Canh_bao_vong!$D$4),MAX(IF(Vu_khi!$C$333="cal_406",Canh_bao_vong!$D$7,IF($AU$333&gt;=5,Canh_bao_vong!$D$9,Canh_bao_vong!$D$8)),Canh_bao_vong!$D$2+MAX(0,Vu_khi!$X$333)/MAX(0.1,Canh_bao_vong!$D$5))))</f>
        <v/>
      </c>
      <c r="AX333" t="n">
        <v>0</v>
      </c>
      <c r="AY333" t="n">
        <v>5.520833</v>
      </c>
      <c r="AZ333" t="inlineStr">
        <is>
          <t>LECH_DOT_1</t>
        </is>
      </c>
      <c r="BA333" t="inlineStr"/>
      <c r="BB333" t="inlineStr">
        <is>
          <t>Assets/MachineBrigade/Resources/Data/balance.json: weapons[id=tower_agl] (lớp B trên 01_chien_dau/Vu_khi)</t>
        </is>
      </c>
      <c r="BC333" t="inlineStr"/>
    </row>
    <row r="334">
      <c r="A334" t="inlineStr">
        <is>
          <t>tower_flak_30</t>
        </is>
      </c>
      <c r="B334" t="n">
        <v>1</v>
      </c>
      <c r="C334">
        <f>IF(Vu_khi!$O$334="SIMULTANEOUS",MAX(1,Vu_khi!$N$334),1)</f>
        <v/>
      </c>
      <c r="D334" t="n">
        <v>1</v>
      </c>
      <c r="E334">
        <f>IF(Vu_khi!$S$334&gt;0,Vu_khi!$S$334,Vu_khi!$P$334*$C$334)</f>
        <v/>
      </c>
      <c r="F334" t="n">
        <v>120</v>
      </c>
      <c r="G334">
        <f>IF(Vu_khi!$S$334&gt;0,(Vu_khi!$S$334-1)*Vu_khi!$R$334+Vu_khi!$T$334,Vu_khi!$R$334+(Vu_khi!$P$334-1)*Vu_khi!$Q$334)</f>
        <v/>
      </c>
      <c r="H334" t="n">
        <v>6.432</v>
      </c>
      <c r="I334">
        <f>Vu_khi!$W$334*MAX(1,$E$334)</f>
        <v/>
      </c>
      <c r="J334" t="n">
        <v>840</v>
      </c>
      <c r="K334">
        <f>IF(Vu_khi!$V$334&gt;0,Vu_khi!$V$334,MIN(28,MAX(10,Vu_khi!$U$334*Vu_khi!$R$334*0.4)))</f>
        <v/>
      </c>
      <c r="L334" t="n">
        <v>10</v>
      </c>
      <c r="M334">
        <f>IF(Vu_khi!$W$334&lt;=0,0,IF(Vu_khi!$U$334&gt;0,$I$334*Vu_khi!$U$334/(MAX(0.05,$G$334)*Vu_khi!$U$334+$K$334),$I$334/MAX(0.05,$G$334)))</f>
        <v/>
      </c>
      <c r="N334" t="n">
        <v>130.5970149253731</v>
      </c>
      <c r="O334">
        <f>OR(Vu_khi!$AG$334,Vu_khi!$AB$334&gt;0,Vu_khi!$AH$334,Vu_khi!$M$334="Bomb",Vu_khi!$M$334="Drone")</f>
        <v/>
      </c>
      <c r="P334" t="b">
        <v>0</v>
      </c>
      <c r="Q334">
        <f>AND(NOT(Vu_khi!$AJ$334),OR(Vu_khi!$AC$334="Ground",Vu_khi!$AC$334="All"))</f>
        <v/>
      </c>
      <c r="R334" t="b">
        <v>1</v>
      </c>
      <c r="S334">
        <f>AND(NOT(Vu_khi!$AJ$334),OR(Vu_khi!$AC$334="Air",Vu_khi!$AC$334="All"))</f>
        <v/>
      </c>
      <c r="T334" t="b">
        <v>1</v>
      </c>
      <c r="U334">
        <f>INDEX(Bang_sat_thuong!$B$2:$B$7,MATCH(Vu_khi!$K$334,Bang_sat_thuong!$A$2:$A$7,0))</f>
        <v/>
      </c>
      <c r="V334" t="n">
        <v>0.5</v>
      </c>
      <c r="W334">
        <f>INDEX(Bang_sat_thuong!$C$2:$C$7,MATCH(Vu_khi!$K$334,Bang_sat_thuong!$A$2:$A$7,0))</f>
        <v/>
      </c>
      <c r="X334" t="n">
        <v>1.3</v>
      </c>
      <c r="Y334">
        <f>IF(AND(Vu_khi!$AI$334,Vu_khi!$K$334="HighExplosive"),MAX(He_so_toan_cuc!$D$2,INDEX(Bang_sat_thuong!$D$2:$D$7,MATCH(Vu_khi!$K$334,Bang_sat_thuong!$A$2:$A$7,0))),INDEX(Bang_sat_thuong!$D$2:$D$7,MATCH(Vu_khi!$K$334,Bang_sat_thuong!$A$2:$A$7,0)))</f>
        <v/>
      </c>
      <c r="Z334" t="n">
        <v>0.1</v>
      </c>
      <c r="AA334">
        <f>INDEX(Bang_xuyen_giap!$C$2:$C$7,MIN(6,MAX(1,IF($O$334,MAX(1,2-(Vu_khi!$L$334-0)),2-(Vu_khi!$L$334-0))+1)))</f>
        <v/>
      </c>
      <c r="AB334" t="n">
        <v>1.2</v>
      </c>
      <c r="AC334">
        <f>INDEX(Bang_xuyen_giap!$C$2:$C$7,MIN(6,MAX(1,IF($O$334,MAX(1,2-(Vu_khi!$L$334-2)),2-(Vu_khi!$L$334-2))+1)))</f>
        <v/>
      </c>
      <c r="AD334" t="n">
        <v>0.85</v>
      </c>
      <c r="AE334">
        <f>INDEX(Bang_xuyen_giap!$C$2:$C$7,MIN(6,MAX(1,IF($O$334,MAX(1,2-(Vu_khi!$L$334-4)),2-(Vu_khi!$L$334-4))+1)))</f>
        <v/>
      </c>
      <c r="AF334" t="n">
        <v>0.25</v>
      </c>
      <c r="AG334">
        <f>INDEX(Bang_xuyen_giap!$C$2:$C$7,MIN(6,MAX(1,MAX(1,2-(Vu_khi!$L$334-0))+1)))</f>
        <v/>
      </c>
      <c r="AH334" t="n">
        <v>1</v>
      </c>
      <c r="AI334">
        <f>IF($Q$334,$M$334*$AA$334*$U$334,0)</f>
        <v/>
      </c>
      <c r="AJ334" t="n">
        <v>78.35820895522387</v>
      </c>
      <c r="AK334">
        <f>IF($Q$334,$M$334*$AC$334*$U$334,0)</f>
        <v/>
      </c>
      <c r="AL334" t="n">
        <v>55.50373134328358</v>
      </c>
      <c r="AM334">
        <f>IF($Q$334,$M$334*$AE$334*$U$334,0)</f>
        <v/>
      </c>
      <c r="AN334" t="n">
        <v>16.32462686567164</v>
      </c>
      <c r="AO334">
        <f>IF($Q$334,$M$334*$AC$334*$Y$334,0)</f>
        <v/>
      </c>
      <c r="AP334" t="n">
        <v>11.10074626865672</v>
      </c>
      <c r="AQ334">
        <f>IF($S$334,$M$334*$AG$334*$W$334,0)</f>
        <v/>
      </c>
      <c r="AR334" t="n">
        <v>169.776119402985</v>
      </c>
      <c r="AS334">
        <f>IF(OR(Vu_khi!$M$334="Missile",Vu_khi!$M$334="Drone",AND(Vu_khi!$M$334="Rocket",OR(Vu_khi!$AM$334,Vu_khi!$D$334="guided")),Vu_khi!$AL$334,Vu_khi!$AK$334,Vu_khi!$X$334&lt;=0),FALSE,IF($B$334&gt;=0,$B$334&gt;=4,IF(Vu_khi!$M$334="Shell",Vu_khi!$AN$334&gt;=Canh_bao_vong!$D$10,IF(Vu_khi!$M$334="Bomb",Vu_khi!$AN$334&gt;=Canh_bao_vong!$D$3,IF(Vu_khi!$M$334="Rocket",Vu_khi!$AN$334&gt;=Canh_bao_vong!$D$13,FALSE)))))</f>
        <v/>
      </c>
      <c r="AT334" t="b">
        <v>0</v>
      </c>
      <c r="AU334">
        <f>IF(AND($B$334&lt;0,$AS$334),4,$B$334)</f>
        <v/>
      </c>
      <c r="AV334" t="n">
        <v>1</v>
      </c>
      <c r="AW334">
        <f>IF($AU$334&lt;4,0,MIN(MAX(0.5,Canh_bao_vong!$D$4),MAX(IF(Vu_khi!$C$334="cal_406",Canh_bao_vong!$D$7,IF($AU$334&gt;=5,Canh_bao_vong!$D$9,Canh_bao_vong!$D$8)),Canh_bao_vong!$D$2+MAX(0,Vu_khi!$X$334)/MAX(0.1,Canh_bao_vong!$D$5))))</f>
        <v/>
      </c>
      <c r="AX334" t="n">
        <v>0</v>
      </c>
      <c r="AY334" t="n">
        <v>4.466667</v>
      </c>
      <c r="AZ334" t="inlineStr">
        <is>
          <t>ok</t>
        </is>
      </c>
      <c r="BA334" t="inlineStr"/>
      <c r="BB334" t="inlineStr">
        <is>
          <t>Assets/MachineBrigade/Resources/Data/balance.json: weapons[id=tower_flak_30] (lớp B trên 01_chien_dau/Vu_khi)</t>
        </is>
      </c>
      <c r="BC334" t="inlineStr"/>
    </row>
    <row r="335">
      <c r="A335" t="inlineStr">
        <is>
          <t>tower_flak_30_ap</t>
        </is>
      </c>
      <c r="B335" t="n">
        <v>1</v>
      </c>
      <c r="C335">
        <f>IF(Vu_khi!$O$335="SIMULTANEOUS",MAX(1,Vu_khi!$N$335),1)</f>
        <v/>
      </c>
      <c r="D335" t="n">
        <v>1</v>
      </c>
      <c r="E335">
        <f>IF(Vu_khi!$S$335&gt;0,Vu_khi!$S$335,Vu_khi!$P$335*$C$335)</f>
        <v/>
      </c>
      <c r="F335" t="n">
        <v>120</v>
      </c>
      <c r="G335">
        <f>IF(Vu_khi!$S$335&gt;0,(Vu_khi!$S$335-1)*Vu_khi!$R$335+Vu_khi!$T$335,Vu_khi!$R$335+(Vu_khi!$P$335-1)*Vu_khi!$Q$335)</f>
        <v/>
      </c>
      <c r="H335" t="n">
        <v>6.432</v>
      </c>
      <c r="I335">
        <f>Vu_khi!$W$335*MAX(1,$E$335)</f>
        <v/>
      </c>
      <c r="J335" t="n">
        <v>840</v>
      </c>
      <c r="K335">
        <f>IF(Vu_khi!$V$335&gt;0,Vu_khi!$V$335,MIN(28,MAX(10,Vu_khi!$U$335*Vu_khi!$R$335*0.4)))</f>
        <v/>
      </c>
      <c r="L335" t="n">
        <v>10</v>
      </c>
      <c r="M335">
        <f>IF(Vu_khi!$W$335&lt;=0,0,IF(Vu_khi!$U$335&gt;0,$I$335*Vu_khi!$U$335/(MAX(0.05,$G$335)*Vu_khi!$U$335+$K$335),$I$335/MAX(0.05,$G$335)))</f>
        <v/>
      </c>
      <c r="N335" t="n">
        <v>130.5970149253731</v>
      </c>
      <c r="O335">
        <f>OR(Vu_khi!$AG$335,Vu_khi!$AB$335&gt;0,Vu_khi!$AH$335,Vu_khi!$M$335="Bomb",Vu_khi!$M$335="Drone")</f>
        <v/>
      </c>
      <c r="P335" t="b">
        <v>0</v>
      </c>
      <c r="Q335">
        <f>AND(NOT(Vu_khi!$AJ$335),OR(Vu_khi!$AC$335="Ground",Vu_khi!$AC$335="All"))</f>
        <v/>
      </c>
      <c r="R335" t="b">
        <v>1</v>
      </c>
      <c r="S335">
        <f>AND(NOT(Vu_khi!$AJ$335),OR(Vu_khi!$AC$335="Air",Vu_khi!$AC$335="All"))</f>
        <v/>
      </c>
      <c r="T335" t="b">
        <v>0</v>
      </c>
      <c r="U335">
        <f>INDEX(Bang_sat_thuong!$B$2:$B$7,MATCH(Vu_khi!$K$335,Bang_sat_thuong!$A$2:$A$7,0))</f>
        <v/>
      </c>
      <c r="V335" t="n">
        <v>1</v>
      </c>
      <c r="W335">
        <f>INDEX(Bang_sat_thuong!$C$2:$C$7,MATCH(Vu_khi!$K$335,Bang_sat_thuong!$A$2:$A$7,0))</f>
        <v/>
      </c>
      <c r="X335" t="n">
        <v>0.3</v>
      </c>
      <c r="Y335">
        <f>IF(AND(Vu_khi!$AI$335,Vu_khi!$K$335="HighExplosive"),MAX(He_so_toan_cuc!$D$2,INDEX(Bang_sat_thuong!$D$2:$D$7,MATCH(Vu_khi!$K$335,Bang_sat_thuong!$A$2:$A$7,0))),INDEX(Bang_sat_thuong!$D$2:$D$7,MATCH(Vu_khi!$K$335,Bang_sat_thuong!$A$2:$A$7,0)))</f>
        <v/>
      </c>
      <c r="Z335" t="n">
        <v>0.6</v>
      </c>
      <c r="AA335">
        <f>INDEX(Bang_xuyen_giap!$C$2:$C$7,MIN(6,MAX(1,IF($O$335,MAX(1,2-(Vu_khi!$L$335-0)),2-(Vu_khi!$L$335-0))+1)))</f>
        <v/>
      </c>
      <c r="AB335" t="n">
        <v>1.2</v>
      </c>
      <c r="AC335">
        <f>INDEX(Bang_xuyen_giap!$C$2:$C$7,MIN(6,MAX(1,IF($O$335,MAX(1,2-(Vu_khi!$L$335-2)),2-(Vu_khi!$L$335-2))+1)))</f>
        <v/>
      </c>
      <c r="AD335" t="n">
        <v>0.85</v>
      </c>
      <c r="AE335">
        <f>INDEX(Bang_xuyen_giap!$C$2:$C$7,MIN(6,MAX(1,IF($O$335,MAX(1,2-(Vu_khi!$L$335-4)),2-(Vu_khi!$L$335-4))+1)))</f>
        <v/>
      </c>
      <c r="AF335" t="n">
        <v>0.25</v>
      </c>
      <c r="AG335">
        <f>INDEX(Bang_xuyen_giap!$C$2:$C$7,MIN(6,MAX(1,MAX(1,2-(Vu_khi!$L$335-0))+1)))</f>
        <v/>
      </c>
      <c r="AH335" t="n">
        <v>1</v>
      </c>
      <c r="AI335">
        <f>IF($Q$335,$M$335*$AA$335*$U$335,0)</f>
        <v/>
      </c>
      <c r="AJ335" t="n">
        <v>156.7164179104477</v>
      </c>
      <c r="AK335">
        <f>IF($Q$335,$M$335*$AC$335*$U$335,0)</f>
        <v/>
      </c>
      <c r="AL335" t="n">
        <v>111.0074626865672</v>
      </c>
      <c r="AM335">
        <f>IF($Q$335,$M$335*$AE$335*$U$335,0)</f>
        <v/>
      </c>
      <c r="AN335" t="n">
        <v>32.64925373134328</v>
      </c>
      <c r="AO335">
        <f>IF($Q$335,$M$335*$AC$335*$Y$335,0)</f>
        <v/>
      </c>
      <c r="AP335" t="n">
        <v>66.6044776119403</v>
      </c>
      <c r="AQ335">
        <f>IF($S$335,$M$335*$AG$335*$W$335,0)</f>
        <v/>
      </c>
      <c r="AR335" t="n">
        <v>0</v>
      </c>
      <c r="AS335">
        <f>IF(OR(Vu_khi!$M$335="Missile",Vu_khi!$M$335="Drone",AND(Vu_khi!$M$335="Rocket",OR(Vu_khi!$AM$335,Vu_khi!$D$335="guided")),Vu_khi!$AL$335,Vu_khi!$AK$335,Vu_khi!$X$335&lt;=0),FALSE,IF($B$335&gt;=0,$B$335&gt;=4,IF(Vu_khi!$M$335="Shell",Vu_khi!$AN$335&gt;=Canh_bao_vong!$D$10,IF(Vu_khi!$M$335="Bomb",Vu_khi!$AN$335&gt;=Canh_bao_vong!$D$3,IF(Vu_khi!$M$335="Rocket",Vu_khi!$AN$335&gt;=Canh_bao_vong!$D$13,FALSE)))))</f>
        <v/>
      </c>
      <c r="AT335" t="b">
        <v>0</v>
      </c>
      <c r="AU335">
        <f>IF(AND($B$335&lt;0,$AS$335),4,$B$335)</f>
        <v/>
      </c>
      <c r="AV335" t="n">
        <v>1</v>
      </c>
      <c r="AW335">
        <f>IF($AU$335&lt;4,0,MIN(MAX(0.5,Canh_bao_vong!$D$4),MAX(IF(Vu_khi!$C$335="cal_406",Canh_bao_vong!$D$7,IF($AU$335&gt;=5,Canh_bao_vong!$D$9,Canh_bao_vong!$D$8)),Canh_bao_vong!$D$2+MAX(0,Vu_khi!$X$335)/MAX(0.1,Canh_bao_vong!$D$5))))</f>
        <v/>
      </c>
      <c r="AX335" t="n">
        <v>0</v>
      </c>
      <c r="BB335" t="inlineStr">
        <is>
          <t>Assets/MachineBrigade/Resources/Data/balance.json: weapons[id=tower_flak_30_ap] (lớp B trên 01_chien_dau/Vu_khi)</t>
        </is>
      </c>
      <c r="BC335" t="inlineStr"/>
    </row>
    <row r="336">
      <c r="A336" t="inlineStr">
        <is>
          <t>tower_hmg</t>
        </is>
      </c>
      <c r="B336" t="n">
        <v>0</v>
      </c>
      <c r="C336">
        <f>IF(Vu_khi!$O$336="SIMULTANEOUS",MAX(1,Vu_khi!$N$336),1)</f>
        <v/>
      </c>
      <c r="D336" t="n">
        <v>1</v>
      </c>
      <c r="E336">
        <f>IF(Vu_khi!$S$336&gt;0,Vu_khi!$S$336,Vu_khi!$P$336*$C$336)</f>
        <v/>
      </c>
      <c r="F336" t="n">
        <v>100</v>
      </c>
      <c r="G336">
        <f>IF(Vu_khi!$S$336&gt;0,(Vu_khi!$S$336-1)*Vu_khi!$R$336+Vu_khi!$T$336,Vu_khi!$R$336+(Vu_khi!$P$336-1)*Vu_khi!$Q$336)</f>
        <v/>
      </c>
      <c r="H336" t="n">
        <v>12.5</v>
      </c>
      <c r="I336">
        <f>Vu_khi!$W$336*MAX(1,$E$336)</f>
        <v/>
      </c>
      <c r="J336" t="n">
        <v>950</v>
      </c>
      <c r="K336">
        <f>IF(Vu_khi!$V$336&gt;0,Vu_khi!$V$336,MIN(28,MAX(10,Vu_khi!$U$336*Vu_khi!$R$336*0.4)))</f>
        <v/>
      </c>
      <c r="L336" t="n">
        <v>10</v>
      </c>
      <c r="M336">
        <f>IF(Vu_khi!$W$336&lt;=0,0,IF(Vu_khi!$U$336&gt;0,$I$336*Vu_khi!$U$336/(MAX(0.05,$G$336)*Vu_khi!$U$336+$K$336),$I$336/MAX(0.05,$G$336)))</f>
        <v/>
      </c>
      <c r="N336" t="n">
        <v>76</v>
      </c>
      <c r="O336">
        <f>OR(Vu_khi!$AG$336,Vu_khi!$AB$336&gt;0,Vu_khi!$AH$336,Vu_khi!$M$336="Bomb",Vu_khi!$M$336="Drone")</f>
        <v/>
      </c>
      <c r="P336" t="b">
        <v>0</v>
      </c>
      <c r="Q336">
        <f>AND(NOT(Vu_khi!$AJ$336),OR(Vu_khi!$AC$336="Ground",Vu_khi!$AC$336="All"))</f>
        <v/>
      </c>
      <c r="R336" t="b">
        <v>1</v>
      </c>
      <c r="S336">
        <f>AND(NOT(Vu_khi!$AJ$336),OR(Vu_khi!$AC$336="Air",Vu_khi!$AC$336="All"))</f>
        <v/>
      </c>
      <c r="T336" t="b">
        <v>1</v>
      </c>
      <c r="U336">
        <f>INDEX(Bang_sat_thuong!$B$2:$B$7,MATCH(Vu_khi!$K$336,Bang_sat_thuong!$A$2:$A$7,0))</f>
        <v/>
      </c>
      <c r="V336" t="n">
        <v>1</v>
      </c>
      <c r="W336">
        <f>INDEX(Bang_sat_thuong!$C$2:$C$7,MATCH(Vu_khi!$K$336,Bang_sat_thuong!$A$2:$A$7,0))</f>
        <v/>
      </c>
      <c r="X336" t="n">
        <v>0.3</v>
      </c>
      <c r="Y336">
        <f>IF(AND(Vu_khi!$AI$336,Vu_khi!$K$336="HighExplosive"),MAX(He_so_toan_cuc!$D$2,INDEX(Bang_sat_thuong!$D$2:$D$7,MATCH(Vu_khi!$K$336,Bang_sat_thuong!$A$2:$A$7,0))),INDEX(Bang_sat_thuong!$D$2:$D$7,MATCH(Vu_khi!$K$336,Bang_sat_thuong!$A$2:$A$7,0)))</f>
        <v/>
      </c>
      <c r="Z336" t="n">
        <v>0.6</v>
      </c>
      <c r="AA336">
        <f>INDEX(Bang_xuyen_giap!$C$2:$C$7,MIN(6,MAX(1,IF($O$336,MAX(1,2-(Vu_khi!$L$336-0)),2-(Vu_khi!$L$336-0))+1)))</f>
        <v/>
      </c>
      <c r="AB336" t="n">
        <v>1</v>
      </c>
      <c r="AC336">
        <f>INDEX(Bang_xuyen_giap!$C$2:$C$7,MIN(6,MAX(1,IF($O$336,MAX(1,2-(Vu_khi!$L$336-2)),2-(Vu_khi!$L$336-2))+1)))</f>
        <v/>
      </c>
      <c r="AD336" t="n">
        <v>0.5</v>
      </c>
      <c r="AE336">
        <f>INDEX(Bang_xuyen_giap!$C$2:$C$7,MIN(6,MAX(1,IF($O$336,MAX(1,2-(Vu_khi!$L$336-4)),2-(Vu_khi!$L$336-4))+1)))</f>
        <v/>
      </c>
      <c r="AF336" t="n">
        <v>0.1</v>
      </c>
      <c r="AG336">
        <f>INDEX(Bang_xuyen_giap!$C$2:$C$7,MIN(6,MAX(1,MAX(1,2-(Vu_khi!$L$336-0))+1)))</f>
        <v/>
      </c>
      <c r="AH336" t="n">
        <v>1</v>
      </c>
      <c r="AI336">
        <f>IF($Q$336,$M$336*$AA$336*$U$336,0)</f>
        <v/>
      </c>
      <c r="AJ336" t="n">
        <v>76</v>
      </c>
      <c r="AK336">
        <f>IF($Q$336,$M$336*$AC$336*$U$336,0)</f>
        <v/>
      </c>
      <c r="AL336" t="n">
        <v>38</v>
      </c>
      <c r="AM336">
        <f>IF($Q$336,$M$336*$AE$336*$U$336,0)</f>
        <v/>
      </c>
      <c r="AN336" t="n">
        <v>7.600000000000001</v>
      </c>
      <c r="AO336">
        <f>IF($Q$336,$M$336*$AC$336*$Y$336,0)</f>
        <v/>
      </c>
      <c r="AP336" t="n">
        <v>22.8</v>
      </c>
      <c r="AQ336">
        <f>IF($S$336,$M$336*$AG$336*$W$336,0)</f>
        <v/>
      </c>
      <c r="AR336" t="n">
        <v>22.8</v>
      </c>
      <c r="AS336">
        <f>IF(OR(Vu_khi!$M$336="Missile",Vu_khi!$M$336="Drone",AND(Vu_khi!$M$336="Rocket",OR(Vu_khi!$AM$336,Vu_khi!$D$336="guided")),Vu_khi!$AL$336,Vu_khi!$AK$336,Vu_khi!$X$336&lt;=0),FALSE,IF($B$336&gt;=0,$B$336&gt;=4,IF(Vu_khi!$M$336="Shell",Vu_khi!$AN$336&gt;=Canh_bao_vong!$D$10,IF(Vu_khi!$M$336="Bomb",Vu_khi!$AN$336&gt;=Canh_bao_vong!$D$3,IF(Vu_khi!$M$336="Rocket",Vu_khi!$AN$336&gt;=Canh_bao_vong!$D$13,FALSE)))))</f>
        <v/>
      </c>
      <c r="AT336" t="b">
        <v>0</v>
      </c>
      <c r="AU336">
        <f>IF(AND($B$336&lt;0,$AS$336),4,$B$336)</f>
        <v/>
      </c>
      <c r="AV336" t="n">
        <v>0</v>
      </c>
      <c r="AW336">
        <f>IF($AU$336&lt;4,0,MIN(MAX(0.5,Canh_bao_vong!$D$4),MAX(IF(Vu_khi!$C$336="cal_406",Canh_bao_vong!$D$7,IF($AU$336&gt;=5,Canh_bao_vong!$D$9,Canh_bao_vong!$D$8)),Canh_bao_vong!$D$2+MAX(0,Vu_khi!$X$336)/MAX(0.1,Canh_bao_vong!$D$5))))</f>
        <v/>
      </c>
      <c r="AX336" t="n">
        <v>0</v>
      </c>
      <c r="AY336" t="n">
        <v>1.25</v>
      </c>
      <c r="AZ336" t="inlineStr">
        <is>
          <t>ok</t>
        </is>
      </c>
      <c r="BA336" t="inlineStr"/>
      <c r="BB336" t="inlineStr">
        <is>
          <t>Assets/MachineBrigade/Resources/Data/balance.json: weapons[id=tower_hmg] (lớp B trên 01_chien_dau/Vu_khi)</t>
        </is>
      </c>
      <c r="BC336" t="inlineStr"/>
    </row>
    <row r="337">
      <c r="A337" t="inlineStr">
        <is>
          <t>tower_hmg_api</t>
        </is>
      </c>
      <c r="B337" t="n">
        <v>0</v>
      </c>
      <c r="C337">
        <f>IF(Vu_khi!$O$337="SIMULTANEOUS",MAX(1,Vu_khi!$N$337),1)</f>
        <v/>
      </c>
      <c r="D337" t="n">
        <v>1</v>
      </c>
      <c r="E337">
        <f>IF(Vu_khi!$S$337&gt;0,Vu_khi!$S$337,Vu_khi!$P$337*$C$337)</f>
        <v/>
      </c>
      <c r="F337" t="n">
        <v>100</v>
      </c>
      <c r="G337">
        <f>IF(Vu_khi!$S$337&gt;0,(Vu_khi!$S$337-1)*Vu_khi!$R$337+Vu_khi!$T$337,Vu_khi!$R$337+(Vu_khi!$P$337-1)*Vu_khi!$Q$337)</f>
        <v/>
      </c>
      <c r="H337" t="n">
        <v>12.5</v>
      </c>
      <c r="I337">
        <f>Vu_khi!$W$337*MAX(1,$E$337)</f>
        <v/>
      </c>
      <c r="J337" t="n">
        <v>950</v>
      </c>
      <c r="K337">
        <f>IF(Vu_khi!$V$337&gt;0,Vu_khi!$V$337,MIN(28,MAX(10,Vu_khi!$U$337*Vu_khi!$R$337*0.4)))</f>
        <v/>
      </c>
      <c r="L337" t="n">
        <v>10</v>
      </c>
      <c r="M337">
        <f>IF(Vu_khi!$W$337&lt;=0,0,IF(Vu_khi!$U$337&gt;0,$I$337*Vu_khi!$U$337/(MAX(0.05,$G$337)*Vu_khi!$U$337+$K$337),$I$337/MAX(0.05,$G$337)))</f>
        <v/>
      </c>
      <c r="N337" t="n">
        <v>76</v>
      </c>
      <c r="O337">
        <f>OR(Vu_khi!$AG$337,Vu_khi!$AB$337&gt;0,Vu_khi!$AH$337,Vu_khi!$M$337="Bomb",Vu_khi!$M$337="Drone")</f>
        <v/>
      </c>
      <c r="P337" t="b">
        <v>0</v>
      </c>
      <c r="Q337">
        <f>AND(NOT(Vu_khi!$AJ$337),OR(Vu_khi!$AC$337="Ground",Vu_khi!$AC$337="All"))</f>
        <v/>
      </c>
      <c r="R337" t="b">
        <v>1</v>
      </c>
      <c r="S337">
        <f>AND(NOT(Vu_khi!$AJ$337),OR(Vu_khi!$AC$337="Air",Vu_khi!$AC$337="All"))</f>
        <v/>
      </c>
      <c r="T337" t="b">
        <v>1</v>
      </c>
      <c r="U337">
        <f>INDEX(Bang_sat_thuong!$B$2:$B$7,MATCH(Vu_khi!$K$337,Bang_sat_thuong!$A$2:$A$7,0))</f>
        <v/>
      </c>
      <c r="V337" t="n">
        <v>1</v>
      </c>
      <c r="W337">
        <f>INDEX(Bang_sat_thuong!$C$2:$C$7,MATCH(Vu_khi!$K$337,Bang_sat_thuong!$A$2:$A$7,0))</f>
        <v/>
      </c>
      <c r="X337" t="n">
        <v>0.3</v>
      </c>
      <c r="Y337">
        <f>IF(AND(Vu_khi!$AI$337,Vu_khi!$K$337="HighExplosive"),MAX(He_so_toan_cuc!$D$2,INDEX(Bang_sat_thuong!$D$2:$D$7,MATCH(Vu_khi!$K$337,Bang_sat_thuong!$A$2:$A$7,0))),INDEX(Bang_sat_thuong!$D$2:$D$7,MATCH(Vu_khi!$K$337,Bang_sat_thuong!$A$2:$A$7,0)))</f>
        <v/>
      </c>
      <c r="Z337" t="n">
        <v>0.6</v>
      </c>
      <c r="AA337">
        <f>INDEX(Bang_xuyen_giap!$C$2:$C$7,MIN(6,MAX(1,IF($O$337,MAX(1,2-(Vu_khi!$L$337-0)),2-(Vu_khi!$L$337-0))+1)))</f>
        <v/>
      </c>
      <c r="AB337" t="n">
        <v>1.2</v>
      </c>
      <c r="AC337">
        <f>INDEX(Bang_xuyen_giap!$C$2:$C$7,MIN(6,MAX(1,IF($O$337,MAX(1,2-(Vu_khi!$L$337-2)),2-(Vu_khi!$L$337-2))+1)))</f>
        <v/>
      </c>
      <c r="AD337" t="n">
        <v>0.85</v>
      </c>
      <c r="AE337">
        <f>INDEX(Bang_xuyen_giap!$C$2:$C$7,MIN(6,MAX(1,IF($O$337,MAX(1,2-(Vu_khi!$L$337-4)),2-(Vu_khi!$L$337-4))+1)))</f>
        <v/>
      </c>
      <c r="AF337" t="n">
        <v>0.25</v>
      </c>
      <c r="AG337">
        <f>INDEX(Bang_xuyen_giap!$C$2:$C$7,MIN(6,MAX(1,MAX(1,2-(Vu_khi!$L$337-0))+1)))</f>
        <v/>
      </c>
      <c r="AH337" t="n">
        <v>1</v>
      </c>
      <c r="AI337">
        <f>IF($Q$337,$M$337*$AA$337*$U$337,0)</f>
        <v/>
      </c>
      <c r="AJ337" t="n">
        <v>91.2</v>
      </c>
      <c r="AK337">
        <f>IF($Q$337,$M$337*$AC$337*$U$337,0)</f>
        <v/>
      </c>
      <c r="AL337" t="n">
        <v>64.59999999999999</v>
      </c>
      <c r="AM337">
        <f>IF($Q$337,$M$337*$AE$337*$U$337,0)</f>
        <v/>
      </c>
      <c r="AN337" t="n">
        <v>19</v>
      </c>
      <c r="AO337">
        <f>IF($Q$337,$M$337*$AC$337*$Y$337,0)</f>
        <v/>
      </c>
      <c r="AP337" t="n">
        <v>38.76</v>
      </c>
      <c r="AQ337">
        <f>IF($S$337,$M$337*$AG$337*$W$337,0)</f>
        <v/>
      </c>
      <c r="AR337" t="n">
        <v>22.8</v>
      </c>
      <c r="AS337">
        <f>IF(OR(Vu_khi!$M$337="Missile",Vu_khi!$M$337="Drone",AND(Vu_khi!$M$337="Rocket",OR(Vu_khi!$AM$337,Vu_khi!$D$337="guided")),Vu_khi!$AL$337,Vu_khi!$AK$337,Vu_khi!$X$337&lt;=0),FALSE,IF($B$337&gt;=0,$B$337&gt;=4,IF(Vu_khi!$M$337="Shell",Vu_khi!$AN$337&gt;=Canh_bao_vong!$D$10,IF(Vu_khi!$M$337="Bomb",Vu_khi!$AN$337&gt;=Canh_bao_vong!$D$3,IF(Vu_khi!$M$337="Rocket",Vu_khi!$AN$337&gt;=Canh_bao_vong!$D$13,FALSE)))))</f>
        <v/>
      </c>
      <c r="AT337" t="b">
        <v>0</v>
      </c>
      <c r="AU337">
        <f>IF(AND($B$337&lt;0,$AS$337),4,$B$337)</f>
        <v/>
      </c>
      <c r="AV337" t="n">
        <v>0</v>
      </c>
      <c r="AW337">
        <f>IF($AU$337&lt;4,0,MIN(MAX(0.5,Canh_bao_vong!$D$4),MAX(IF(Vu_khi!$C$337="cal_406",Canh_bao_vong!$D$7,IF($AU$337&gt;=5,Canh_bao_vong!$D$9,Canh_bao_vong!$D$8)),Canh_bao_vong!$D$2+MAX(0,Vu_khi!$X$337)/MAX(0.1,Canh_bao_vong!$D$5))))</f>
        <v/>
      </c>
      <c r="AX337" t="n">
        <v>0</v>
      </c>
      <c r="BB337" t="inlineStr">
        <is>
          <t>Assets/MachineBrigade/Resources/Data/balance.json: weapons[id=tower_hmg_api] (lớp B trên 01_chien_dau/Vu_khi)</t>
        </is>
      </c>
      <c r="BC337" t="inlineStr"/>
    </row>
    <row r="338">
      <c r="A338" t="inlineStr">
        <is>
          <t>tower_kornet</t>
        </is>
      </c>
      <c r="B338" t="n">
        <v>2</v>
      </c>
      <c r="C338">
        <f>IF(Vu_khi!$O$338="SIMULTANEOUS",MAX(1,Vu_khi!$N$338),1)</f>
        <v/>
      </c>
      <c r="D338" t="n">
        <v>1</v>
      </c>
      <c r="E338">
        <f>IF(Vu_khi!$S$338&gt;0,Vu_khi!$S$338,Vu_khi!$P$338*$C$338)</f>
        <v/>
      </c>
      <c r="F338" t="n">
        <v>2</v>
      </c>
      <c r="G338">
        <f>IF(Vu_khi!$S$338&gt;0,(Vu_khi!$S$338-1)*Vu_khi!$R$338+Vu_khi!$T$338,Vu_khi!$R$338+(Vu_khi!$P$338-1)*Vu_khi!$Q$338)</f>
        <v/>
      </c>
      <c r="H338" t="n">
        <v>5.55</v>
      </c>
      <c r="I338">
        <f>Vu_khi!$W$338*MAX(1,$E$338)</f>
        <v/>
      </c>
      <c r="J338" t="n">
        <v>460</v>
      </c>
      <c r="K338">
        <f>IF(Vu_khi!$V$338&gt;0,Vu_khi!$V$338,MIN(28,MAX(10,Vu_khi!$U$338*Vu_khi!$R$338*0.4)))</f>
        <v/>
      </c>
      <c r="L338" t="n">
        <v>10</v>
      </c>
      <c r="M338">
        <f>IF(Vu_khi!$W$338&lt;=0,0,IF(Vu_khi!$U$338&gt;0,$I$338*Vu_khi!$U$338/(MAX(0.05,$G$338)*Vu_khi!$U$338+$K$338),$I$338/MAX(0.05,$G$338)))</f>
        <v/>
      </c>
      <c r="N338" t="n">
        <v>82.88288288288288</v>
      </c>
      <c r="O338">
        <f>OR(Vu_khi!$AG$338,Vu_khi!$AB$338&gt;0,Vu_khi!$AH$338,Vu_khi!$M$338="Bomb",Vu_khi!$M$338="Drone")</f>
        <v/>
      </c>
      <c r="P338" t="b">
        <v>0</v>
      </c>
      <c r="Q338">
        <f>AND(NOT(Vu_khi!$AJ$338),OR(Vu_khi!$AC$338="Ground",Vu_khi!$AC$338="All"))</f>
        <v/>
      </c>
      <c r="R338" t="b">
        <v>1</v>
      </c>
      <c r="S338">
        <f>AND(NOT(Vu_khi!$AJ$338),OR(Vu_khi!$AC$338="Air",Vu_khi!$AC$338="All"))</f>
        <v/>
      </c>
      <c r="T338" t="b">
        <v>0</v>
      </c>
      <c r="U338">
        <f>INDEX(Bang_sat_thuong!$B$2:$B$7,MATCH(Vu_khi!$K$338,Bang_sat_thuong!$A$2:$A$7,0))</f>
        <v/>
      </c>
      <c r="V338" t="n">
        <v>1</v>
      </c>
      <c r="W338">
        <f>INDEX(Bang_sat_thuong!$C$2:$C$7,MATCH(Vu_khi!$K$338,Bang_sat_thuong!$A$2:$A$7,0))</f>
        <v/>
      </c>
      <c r="X338" t="n">
        <v>0.3</v>
      </c>
      <c r="Y338">
        <f>IF(AND(Vu_khi!$AI$338,Vu_khi!$K$338="HighExplosive"),MAX(He_so_toan_cuc!$D$2,INDEX(Bang_sat_thuong!$D$2:$D$7,MATCH(Vu_khi!$K$338,Bang_sat_thuong!$A$2:$A$7,0))),INDEX(Bang_sat_thuong!$D$2:$D$7,MATCH(Vu_khi!$K$338,Bang_sat_thuong!$A$2:$A$7,0)))</f>
        <v/>
      </c>
      <c r="Z338" t="n">
        <v>0.6</v>
      </c>
      <c r="AA338">
        <f>INDEX(Bang_xuyen_giap!$C$2:$C$7,MIN(6,MAX(1,IF($O$338,MAX(1,2-(Vu_khi!$L$338-0)),2-(Vu_khi!$L$338-0))+1)))</f>
        <v/>
      </c>
      <c r="AB338" t="n">
        <v>1.2</v>
      </c>
      <c r="AC338">
        <f>INDEX(Bang_xuyen_giap!$C$2:$C$7,MIN(6,MAX(1,IF($O$338,MAX(1,2-(Vu_khi!$L$338-2)),2-(Vu_khi!$L$338-2))+1)))</f>
        <v/>
      </c>
      <c r="AD338" t="n">
        <v>1.2</v>
      </c>
      <c r="AE338">
        <f>INDEX(Bang_xuyen_giap!$C$2:$C$7,MIN(6,MAX(1,IF($O$338,MAX(1,2-(Vu_khi!$L$338-4)),2-(Vu_khi!$L$338-4))+1)))</f>
        <v/>
      </c>
      <c r="AF338" t="n">
        <v>0.85</v>
      </c>
      <c r="AG338">
        <f>INDEX(Bang_xuyen_giap!$C$2:$C$7,MIN(6,MAX(1,MAX(1,2-(Vu_khi!$L$338-0))+1)))</f>
        <v/>
      </c>
      <c r="AH338" t="n">
        <v>1</v>
      </c>
      <c r="AI338">
        <f>IF($Q$338,$M$338*$AA$338*$U$338,0)</f>
        <v/>
      </c>
      <c r="AJ338" t="n">
        <v>99.45945945945945</v>
      </c>
      <c r="AK338">
        <f>IF($Q$338,$M$338*$AC$338*$U$338,0)</f>
        <v/>
      </c>
      <c r="AL338" t="n">
        <v>99.45945945945945</v>
      </c>
      <c r="AM338">
        <f>IF($Q$338,$M$338*$AE$338*$U$338,0)</f>
        <v/>
      </c>
      <c r="AN338" t="n">
        <v>70.45045045045045</v>
      </c>
      <c r="AO338">
        <f>IF($Q$338,$M$338*$AC$338*$Y$338,0)</f>
        <v/>
      </c>
      <c r="AP338" t="n">
        <v>59.67567567567567</v>
      </c>
      <c r="AQ338">
        <f>IF($S$338,$M$338*$AG$338*$W$338,0)</f>
        <v/>
      </c>
      <c r="AR338" t="n">
        <v>0</v>
      </c>
      <c r="AS338">
        <f>IF(OR(Vu_khi!$M$338="Missile",Vu_khi!$M$338="Drone",AND(Vu_khi!$M$338="Rocket",OR(Vu_khi!$AM$338,Vu_khi!$D$338="guided")),Vu_khi!$AL$338,Vu_khi!$AK$338,Vu_khi!$X$338&lt;=0),FALSE,IF($B$338&gt;=0,$B$338&gt;=4,IF(Vu_khi!$M$338="Shell",Vu_khi!$AN$338&gt;=Canh_bao_vong!$D$10,IF(Vu_khi!$M$338="Bomb",Vu_khi!$AN$338&gt;=Canh_bao_vong!$D$3,IF(Vu_khi!$M$338="Rocket",Vu_khi!$AN$338&gt;=Canh_bao_vong!$D$13,FALSE)))))</f>
        <v/>
      </c>
      <c r="AT338" t="b">
        <v>0</v>
      </c>
      <c r="AU338">
        <f>IF(AND($B$338&lt;0,$AS$338),4,$B$338)</f>
        <v/>
      </c>
      <c r="AV338" t="n">
        <v>2</v>
      </c>
      <c r="AW338">
        <f>IF($AU$338&lt;4,0,MIN(MAX(0.5,Canh_bao_vong!$D$4),MAX(IF(Vu_khi!$C$338="cal_406",Canh_bao_vong!$D$7,IF($AU$338&gt;=5,Canh_bao_vong!$D$9,Canh_bao_vong!$D$8)),Canh_bao_vong!$D$2+MAX(0,Vu_khi!$X$338)/MAX(0.1,Canh_bao_vong!$D$5))))</f>
        <v/>
      </c>
      <c r="AX338" t="n">
        <v>0</v>
      </c>
      <c r="AY338" t="n">
        <v>0.2775</v>
      </c>
      <c r="AZ338" t="inlineStr">
        <is>
          <t>NHANH_QUA</t>
        </is>
      </c>
      <c r="BA338" t="inlineStr"/>
      <c r="BB338" t="inlineStr">
        <is>
          <t>Assets/MachineBrigade/Resources/Data/balance.json: weapons[id=tower_kornet] (lớp B trên 01_chien_dau/Vu_khi)</t>
        </is>
      </c>
      <c r="BC338" t="inlineStr"/>
    </row>
    <row r="339">
      <c r="A339" t="inlineStr">
        <is>
          <t>train_gun</t>
        </is>
      </c>
      <c r="B339" t="n">
        <v>3</v>
      </c>
      <c r="C339">
        <f>IF(Vu_khi!$O$339="SIMULTANEOUS",MAX(1,Vu_khi!$N$339),1)</f>
        <v/>
      </c>
      <c r="D339" t="n">
        <v>1</v>
      </c>
      <c r="E339">
        <f>IF(Vu_khi!$S$339&gt;0,Vu_khi!$S$339,Vu_khi!$P$339*$C$339)</f>
        <v/>
      </c>
      <c r="F339" t="n">
        <v>1</v>
      </c>
      <c r="G339">
        <f>IF(Vu_khi!$S$339&gt;0,(Vu_khi!$S$339-1)*Vu_khi!$R$339+Vu_khi!$T$339,Vu_khi!$R$339+(Vu_khi!$P$339-1)*Vu_khi!$Q$339)</f>
        <v/>
      </c>
      <c r="H339" t="n">
        <v>8</v>
      </c>
      <c r="I339">
        <f>Vu_khi!$W$339*MAX(1,$E$339)</f>
        <v/>
      </c>
      <c r="J339" t="n">
        <v>600</v>
      </c>
      <c r="K339">
        <f>IF(Vu_khi!$V$339&gt;0,Vu_khi!$V$339,MIN(28,MAX(10,Vu_khi!$U$339*Vu_khi!$R$339*0.4)))</f>
        <v/>
      </c>
      <c r="L339" t="n">
        <v>10</v>
      </c>
      <c r="M339">
        <f>IF(Vu_khi!$W$339&lt;=0,0,IF(Vu_khi!$U$339&gt;0,$I$339*Vu_khi!$U$339/(MAX(0.05,$G$339)*Vu_khi!$U$339+$K$339),$I$339/MAX(0.05,$G$339)))</f>
        <v/>
      </c>
      <c r="N339" t="n">
        <v>75</v>
      </c>
      <c r="O339">
        <f>OR(Vu_khi!$AG$339,Vu_khi!$AB$339&gt;0,Vu_khi!$AH$339,Vu_khi!$M$339="Bomb",Vu_khi!$M$339="Drone")</f>
        <v/>
      </c>
      <c r="P339" t="b">
        <v>0</v>
      </c>
      <c r="Q339">
        <f>AND(NOT(Vu_khi!$AJ$339),OR(Vu_khi!$AC$339="Ground",Vu_khi!$AC$339="All"))</f>
        <v/>
      </c>
      <c r="R339" t="b">
        <v>1</v>
      </c>
      <c r="S339">
        <f>AND(NOT(Vu_khi!$AJ$339),OR(Vu_khi!$AC$339="Air",Vu_khi!$AC$339="All"))</f>
        <v/>
      </c>
      <c r="T339" t="b">
        <v>0</v>
      </c>
      <c r="U339">
        <f>INDEX(Bang_sat_thuong!$B$2:$B$7,MATCH(Vu_khi!$K$339,Bang_sat_thuong!$A$2:$A$7,0))</f>
        <v/>
      </c>
      <c r="V339" t="n">
        <v>1</v>
      </c>
      <c r="W339">
        <f>INDEX(Bang_sat_thuong!$C$2:$C$7,MATCH(Vu_khi!$K$339,Bang_sat_thuong!$A$2:$A$7,0))</f>
        <v/>
      </c>
      <c r="X339" t="n">
        <v>0.3</v>
      </c>
      <c r="Y339">
        <f>IF(AND(Vu_khi!$AI$339,Vu_khi!$K$339="HighExplosive"),MAX(He_so_toan_cuc!$D$2,INDEX(Bang_sat_thuong!$D$2:$D$7,MATCH(Vu_khi!$K$339,Bang_sat_thuong!$A$2:$A$7,0))),INDEX(Bang_sat_thuong!$D$2:$D$7,MATCH(Vu_khi!$K$339,Bang_sat_thuong!$A$2:$A$7,0)))</f>
        <v/>
      </c>
      <c r="Z339" t="n">
        <v>0.6</v>
      </c>
      <c r="AA339">
        <f>INDEX(Bang_xuyen_giap!$C$2:$C$7,MIN(6,MAX(1,IF($O$339,MAX(1,2-(Vu_khi!$L$339-0)),2-(Vu_khi!$L$339-0))+1)))</f>
        <v/>
      </c>
      <c r="AB339" t="n">
        <v>1.2</v>
      </c>
      <c r="AC339">
        <f>INDEX(Bang_xuyen_giap!$C$2:$C$7,MIN(6,MAX(1,IF($O$339,MAX(1,2-(Vu_khi!$L$339-2)),2-(Vu_khi!$L$339-2))+1)))</f>
        <v/>
      </c>
      <c r="AD339" t="n">
        <v>1.2</v>
      </c>
      <c r="AE339">
        <f>INDEX(Bang_xuyen_giap!$C$2:$C$7,MIN(6,MAX(1,IF($O$339,MAX(1,2-(Vu_khi!$L$339-4)),2-(Vu_khi!$L$339-4))+1)))</f>
        <v/>
      </c>
      <c r="AF339" t="n">
        <v>0.85</v>
      </c>
      <c r="AG339">
        <f>INDEX(Bang_xuyen_giap!$C$2:$C$7,MIN(6,MAX(1,MAX(1,2-(Vu_khi!$L$339-0))+1)))</f>
        <v/>
      </c>
      <c r="AH339" t="n">
        <v>1</v>
      </c>
      <c r="AI339">
        <f>IF($Q$339,$M$339*$AA$339*$U$339,0)</f>
        <v/>
      </c>
      <c r="AJ339" t="n">
        <v>90</v>
      </c>
      <c r="AK339">
        <f>IF($Q$339,$M$339*$AC$339*$U$339,0)</f>
        <v/>
      </c>
      <c r="AL339" t="n">
        <v>90</v>
      </c>
      <c r="AM339">
        <f>IF($Q$339,$M$339*$AE$339*$U$339,0)</f>
        <v/>
      </c>
      <c r="AN339" t="n">
        <v>63.75</v>
      </c>
      <c r="AO339">
        <f>IF($Q$339,$M$339*$AC$339*$Y$339,0)</f>
        <v/>
      </c>
      <c r="AP339" t="n">
        <v>54</v>
      </c>
      <c r="AQ339">
        <f>IF($S$339,$M$339*$AG$339*$W$339,0)</f>
        <v/>
      </c>
      <c r="AR339" t="n">
        <v>0</v>
      </c>
      <c r="AS339">
        <f>IF(OR(Vu_khi!$M$339="Missile",Vu_khi!$M$339="Drone",AND(Vu_khi!$M$339="Rocket",OR(Vu_khi!$AM$339,Vu_khi!$D$339="guided")),Vu_khi!$AL$339,Vu_khi!$AK$339,Vu_khi!$X$339&lt;=0),FALSE,IF($B$339&gt;=0,$B$339&gt;=4,IF(Vu_khi!$M$339="Shell",Vu_khi!$AN$339&gt;=Canh_bao_vong!$D$10,IF(Vu_khi!$M$339="Bomb",Vu_khi!$AN$339&gt;=Canh_bao_vong!$D$3,IF(Vu_khi!$M$339="Rocket",Vu_khi!$AN$339&gt;=Canh_bao_vong!$D$13,FALSE)))))</f>
        <v/>
      </c>
      <c r="AT339" t="b">
        <v>0</v>
      </c>
      <c r="AU339">
        <f>IF(AND($B$339&lt;0,$AS$339),4,$B$339)</f>
        <v/>
      </c>
      <c r="AV339" t="n">
        <v>3</v>
      </c>
      <c r="AW339">
        <f>IF($AU$339&lt;4,0,MIN(MAX(0.5,Canh_bao_vong!$D$4),MAX(IF(Vu_khi!$C$339="cal_406",Canh_bao_vong!$D$7,IF($AU$339&gt;=5,Canh_bao_vong!$D$9,Canh_bao_vong!$D$8)),Canh_bao_vong!$D$2+MAX(0,Vu_khi!$X$339)/MAX(0.1,Canh_bao_vong!$D$5))))</f>
        <v/>
      </c>
      <c r="AX339" t="n">
        <v>0</v>
      </c>
      <c r="AY339" t="n">
        <v>0.7</v>
      </c>
      <c r="AZ339" t="inlineStr">
        <is>
          <t>ok</t>
        </is>
      </c>
      <c r="BA339" t="b">
        <v>1</v>
      </c>
      <c r="BB339" t="inlineStr">
        <is>
          <t>Assets/MachineBrigade/Resources/Data/balance.json: weapons[id=train_gun] (lớp B trên 01_chien_dau/Vu_khi)</t>
        </is>
      </c>
      <c r="BC339" t="inlineStr"/>
    </row>
    <row r="340">
      <c r="A340" t="inlineStr">
        <is>
          <t>train_gun_he</t>
        </is>
      </c>
      <c r="B340" t="n">
        <v>3</v>
      </c>
      <c r="C340">
        <f>IF(Vu_khi!$O$340="SIMULTANEOUS",MAX(1,Vu_khi!$N$340),1)</f>
        <v/>
      </c>
      <c r="D340" t="n">
        <v>1</v>
      </c>
      <c r="E340">
        <f>IF(Vu_khi!$S$340&gt;0,Vu_khi!$S$340,Vu_khi!$P$340*$C$340)</f>
        <v/>
      </c>
      <c r="F340" t="n">
        <v>1</v>
      </c>
      <c r="G340">
        <f>IF(Vu_khi!$S$340&gt;0,(Vu_khi!$S$340-1)*Vu_khi!$R$340+Vu_khi!$T$340,Vu_khi!$R$340+(Vu_khi!$P$340-1)*Vu_khi!$Q$340)</f>
        <v/>
      </c>
      <c r="H340" t="n">
        <v>8</v>
      </c>
      <c r="I340">
        <f>Vu_khi!$W$340*MAX(1,$E$340)</f>
        <v/>
      </c>
      <c r="J340" t="n">
        <v>600</v>
      </c>
      <c r="K340">
        <f>IF(Vu_khi!$V$340&gt;0,Vu_khi!$V$340,MIN(28,MAX(10,Vu_khi!$U$340*Vu_khi!$R$340*0.4)))</f>
        <v/>
      </c>
      <c r="L340" t="n">
        <v>10</v>
      </c>
      <c r="M340">
        <f>IF(Vu_khi!$W$340&lt;=0,0,IF(Vu_khi!$U$340&gt;0,$I$340*Vu_khi!$U$340/(MAX(0.05,$G$340)*Vu_khi!$U$340+$K$340),$I$340/MAX(0.05,$G$340)))</f>
        <v/>
      </c>
      <c r="N340" t="n">
        <v>75</v>
      </c>
      <c r="O340">
        <f>OR(Vu_khi!$AG$340,Vu_khi!$AB$340&gt;0,Vu_khi!$AH$340,Vu_khi!$M$340="Bomb",Vu_khi!$M$340="Drone")</f>
        <v/>
      </c>
      <c r="P340" t="b">
        <v>0</v>
      </c>
      <c r="Q340">
        <f>AND(NOT(Vu_khi!$AJ$340),OR(Vu_khi!$AC$340="Ground",Vu_khi!$AC$340="All"))</f>
        <v/>
      </c>
      <c r="R340" t="b">
        <v>1</v>
      </c>
      <c r="S340">
        <f>AND(NOT(Vu_khi!$AJ$340),OR(Vu_khi!$AC$340="Air",Vu_khi!$AC$340="All"))</f>
        <v/>
      </c>
      <c r="T340" t="b">
        <v>0</v>
      </c>
      <c r="U340">
        <f>INDEX(Bang_sat_thuong!$B$2:$B$7,MATCH(Vu_khi!$K$340,Bang_sat_thuong!$A$2:$A$7,0))</f>
        <v/>
      </c>
      <c r="V340" t="n">
        <v>1</v>
      </c>
      <c r="W340">
        <f>INDEX(Bang_sat_thuong!$C$2:$C$7,MATCH(Vu_khi!$K$340,Bang_sat_thuong!$A$2:$A$7,0))</f>
        <v/>
      </c>
      <c r="X340" t="n">
        <v>0</v>
      </c>
      <c r="Y340">
        <f>IF(AND(Vu_khi!$AI$340,Vu_khi!$K$340="HighExplosive"),MAX(He_so_toan_cuc!$D$2,INDEX(Bang_sat_thuong!$D$2:$D$7,MATCH(Vu_khi!$K$340,Bang_sat_thuong!$A$2:$A$7,0))),INDEX(Bang_sat_thuong!$D$2:$D$7,MATCH(Vu_khi!$K$340,Bang_sat_thuong!$A$2:$A$7,0)))</f>
        <v/>
      </c>
      <c r="Z340" t="n">
        <v>1.5</v>
      </c>
      <c r="AA340">
        <f>INDEX(Bang_xuyen_giap!$C$2:$C$7,MIN(6,MAX(1,IF($O$340,MAX(1,2-(Vu_khi!$L$340-0)),2-(Vu_khi!$L$340-0))+1)))</f>
        <v/>
      </c>
      <c r="AB340" t="n">
        <v>1.2</v>
      </c>
      <c r="AC340">
        <f>INDEX(Bang_xuyen_giap!$C$2:$C$7,MIN(6,MAX(1,IF($O$340,MAX(1,2-(Vu_khi!$L$340-2)),2-(Vu_khi!$L$340-2))+1)))</f>
        <v/>
      </c>
      <c r="AD340" t="n">
        <v>0.85</v>
      </c>
      <c r="AE340">
        <f>INDEX(Bang_xuyen_giap!$C$2:$C$7,MIN(6,MAX(1,IF($O$340,MAX(1,2-(Vu_khi!$L$340-4)),2-(Vu_khi!$L$340-4))+1)))</f>
        <v/>
      </c>
      <c r="AF340" t="n">
        <v>0.25</v>
      </c>
      <c r="AG340">
        <f>INDEX(Bang_xuyen_giap!$C$2:$C$7,MIN(6,MAX(1,MAX(1,2-(Vu_khi!$L$340-0))+1)))</f>
        <v/>
      </c>
      <c r="AH340" t="n">
        <v>1</v>
      </c>
      <c r="AI340">
        <f>IF($Q$340,$M$340*$AA$340*$U$340,0)</f>
        <v/>
      </c>
      <c r="AJ340" t="n">
        <v>90</v>
      </c>
      <c r="AK340">
        <f>IF($Q$340,$M$340*$AC$340*$U$340,0)</f>
        <v/>
      </c>
      <c r="AL340" t="n">
        <v>63.75</v>
      </c>
      <c r="AM340">
        <f>IF($Q$340,$M$340*$AE$340*$U$340,0)</f>
        <v/>
      </c>
      <c r="AN340" t="n">
        <v>18.75</v>
      </c>
      <c r="AO340">
        <f>IF($Q$340,$M$340*$AC$340*$Y$340,0)</f>
        <v/>
      </c>
      <c r="AP340" t="n">
        <v>95.625</v>
      </c>
      <c r="AQ340">
        <f>IF($S$340,$M$340*$AG$340*$W$340,0)</f>
        <v/>
      </c>
      <c r="AR340" t="n">
        <v>0</v>
      </c>
      <c r="AS340">
        <f>IF(OR(Vu_khi!$M$340="Missile",Vu_khi!$M$340="Drone",AND(Vu_khi!$M$340="Rocket",OR(Vu_khi!$AM$340,Vu_khi!$D$340="guided")),Vu_khi!$AL$340,Vu_khi!$AK$340,Vu_khi!$X$340&lt;=0),FALSE,IF($B$340&gt;=0,$B$340&gt;=4,IF(Vu_khi!$M$340="Shell",Vu_khi!$AN$340&gt;=Canh_bao_vong!$D$10,IF(Vu_khi!$M$340="Bomb",Vu_khi!$AN$340&gt;=Canh_bao_vong!$D$3,IF(Vu_khi!$M$340="Rocket",Vu_khi!$AN$340&gt;=Canh_bao_vong!$D$13,FALSE)))))</f>
        <v/>
      </c>
      <c r="AT340" t="b">
        <v>0</v>
      </c>
      <c r="AU340">
        <f>IF(AND($B$340&lt;0,$AS$340),4,$B$340)</f>
        <v/>
      </c>
      <c r="AV340" t="n">
        <v>3</v>
      </c>
      <c r="AW340">
        <f>IF($AU$340&lt;4,0,MIN(MAX(0.5,Canh_bao_vong!$D$4),MAX(IF(Vu_khi!$C$340="cal_406",Canh_bao_vong!$D$7,IF($AU$340&gt;=5,Canh_bao_vong!$D$9,Canh_bao_vong!$D$8)),Canh_bao_vong!$D$2+MAX(0,Vu_khi!$X$340)/MAX(0.1,Canh_bao_vong!$D$5))))</f>
        <v/>
      </c>
      <c r="AX340" t="n">
        <v>0</v>
      </c>
      <c r="BB340" t="inlineStr">
        <is>
          <t>Assets/MachineBrigade/Resources/Data/balance.json: weapons[id=train_gun_he] (lớp B trên 01_chien_dau/Vu_khi)</t>
        </is>
      </c>
      <c r="BC340" t="inlineStr"/>
    </row>
    <row r="341">
      <c r="A341" t="inlineStr">
        <is>
          <t>train_mortar</t>
        </is>
      </c>
      <c r="B341" t="n">
        <v>3</v>
      </c>
      <c r="C341">
        <f>IF(Vu_khi!$O$341="SIMULTANEOUS",MAX(1,Vu_khi!$N$341),1)</f>
        <v/>
      </c>
      <c r="D341" t="n">
        <v>1</v>
      </c>
      <c r="E341">
        <f>IF(Vu_khi!$S$341&gt;0,Vu_khi!$S$341,Vu_khi!$P$341*$C$341)</f>
        <v/>
      </c>
      <c r="F341" t="n">
        <v>2</v>
      </c>
      <c r="G341">
        <f>IF(Vu_khi!$S$341&gt;0,(Vu_khi!$S$341-1)*Vu_khi!$R$341+Vu_khi!$T$341,Vu_khi!$R$341+(Vu_khi!$P$341-1)*Vu_khi!$Q$341)</f>
        <v/>
      </c>
      <c r="H341" t="n">
        <v>8.300000000000001</v>
      </c>
      <c r="I341">
        <f>Vu_khi!$W$341*MAX(1,$E$341)</f>
        <v/>
      </c>
      <c r="J341" t="n">
        <v>300</v>
      </c>
      <c r="K341">
        <f>IF(Vu_khi!$V$341&gt;0,Vu_khi!$V$341,MIN(28,MAX(10,Vu_khi!$U$341*Vu_khi!$R$341*0.4)))</f>
        <v/>
      </c>
      <c r="L341" t="n">
        <v>10</v>
      </c>
      <c r="M341">
        <f>IF(Vu_khi!$W$341&lt;=0,0,IF(Vu_khi!$U$341&gt;0,$I$341*Vu_khi!$U$341/(MAX(0.05,$G$341)*Vu_khi!$U$341+$K$341),$I$341/MAX(0.05,$G$341)))</f>
        <v/>
      </c>
      <c r="N341" t="n">
        <v>36.14457831325301</v>
      </c>
      <c r="O341">
        <f>OR(Vu_khi!$AG$341,Vu_khi!$AB$341&gt;0,Vu_khi!$AH$341,Vu_khi!$M$341="Bomb",Vu_khi!$M$341="Drone")</f>
        <v/>
      </c>
      <c r="P341" t="b">
        <v>1</v>
      </c>
      <c r="Q341">
        <f>AND(NOT(Vu_khi!$AJ$341),OR(Vu_khi!$AC$341="Ground",Vu_khi!$AC$341="All"))</f>
        <v/>
      </c>
      <c r="R341" t="b">
        <v>1</v>
      </c>
      <c r="S341">
        <f>AND(NOT(Vu_khi!$AJ$341),OR(Vu_khi!$AC$341="Air",Vu_khi!$AC$341="All"))</f>
        <v/>
      </c>
      <c r="T341" t="b">
        <v>0</v>
      </c>
      <c r="U341">
        <f>INDEX(Bang_sat_thuong!$B$2:$B$7,MATCH(Vu_khi!$K$341,Bang_sat_thuong!$A$2:$A$7,0))</f>
        <v/>
      </c>
      <c r="V341" t="n">
        <v>1</v>
      </c>
      <c r="W341">
        <f>INDEX(Bang_sat_thuong!$C$2:$C$7,MATCH(Vu_khi!$K$341,Bang_sat_thuong!$A$2:$A$7,0))</f>
        <v/>
      </c>
      <c r="X341" t="n">
        <v>0</v>
      </c>
      <c r="Y341">
        <f>IF(AND(Vu_khi!$AI$341,Vu_khi!$K$341="HighExplosive"),MAX(He_so_toan_cuc!$D$2,INDEX(Bang_sat_thuong!$D$2:$D$7,MATCH(Vu_khi!$K$341,Bang_sat_thuong!$A$2:$A$7,0))),INDEX(Bang_sat_thuong!$D$2:$D$7,MATCH(Vu_khi!$K$341,Bang_sat_thuong!$A$2:$A$7,0)))</f>
        <v/>
      </c>
      <c r="Z341" t="n">
        <v>1.5</v>
      </c>
      <c r="AA341">
        <f>INDEX(Bang_xuyen_giap!$C$2:$C$7,MIN(6,MAX(1,IF($O$341,MAX(1,2-(Vu_khi!$L$341-0)),2-(Vu_khi!$L$341-0))+1)))</f>
        <v/>
      </c>
      <c r="AB341" t="n">
        <v>1</v>
      </c>
      <c r="AC341">
        <f>INDEX(Bang_xuyen_giap!$C$2:$C$7,MIN(6,MAX(1,IF($O$341,MAX(1,2-(Vu_khi!$L$341-2)),2-(Vu_khi!$L$341-2))+1)))</f>
        <v/>
      </c>
      <c r="AD341" t="n">
        <v>0.85</v>
      </c>
      <c r="AE341">
        <f>INDEX(Bang_xuyen_giap!$C$2:$C$7,MIN(6,MAX(1,IF($O$341,MAX(1,2-(Vu_khi!$L$341-4)),2-(Vu_khi!$L$341-4))+1)))</f>
        <v/>
      </c>
      <c r="AF341" t="n">
        <v>0.25</v>
      </c>
      <c r="AG341">
        <f>INDEX(Bang_xuyen_giap!$C$2:$C$7,MIN(6,MAX(1,MAX(1,2-(Vu_khi!$L$341-0))+1)))</f>
        <v/>
      </c>
      <c r="AH341" t="n">
        <v>1</v>
      </c>
      <c r="AI341">
        <f>IF($Q$341,$M$341*$AA$341*$U$341,0)</f>
        <v/>
      </c>
      <c r="AJ341" t="n">
        <v>36.14457831325301</v>
      </c>
      <c r="AK341">
        <f>IF($Q$341,$M$341*$AC$341*$U$341,0)</f>
        <v/>
      </c>
      <c r="AL341" t="n">
        <v>30.72289156626506</v>
      </c>
      <c r="AM341">
        <f>IF($Q$341,$M$341*$AE$341*$U$341,0)</f>
        <v/>
      </c>
      <c r="AN341" t="n">
        <v>9.036144578313252</v>
      </c>
      <c r="AO341">
        <f>IF($Q$341,$M$341*$AC$341*$Y$341,0)</f>
        <v/>
      </c>
      <c r="AP341" t="n">
        <v>46.08433734939758</v>
      </c>
      <c r="AQ341">
        <f>IF($S$341,$M$341*$AG$341*$W$341,0)</f>
        <v/>
      </c>
      <c r="AR341" t="n">
        <v>0</v>
      </c>
      <c r="AS341">
        <f>IF(OR(Vu_khi!$M$341="Missile",Vu_khi!$M$341="Drone",AND(Vu_khi!$M$341="Rocket",OR(Vu_khi!$AM$341,Vu_khi!$D$341="guided")),Vu_khi!$AL$341,Vu_khi!$AK$341,Vu_khi!$X$341&lt;=0),FALSE,IF($B$341&gt;=0,$B$341&gt;=4,IF(Vu_khi!$M$341="Shell",Vu_khi!$AN$341&gt;=Canh_bao_vong!$D$10,IF(Vu_khi!$M$341="Bomb",Vu_khi!$AN$341&gt;=Canh_bao_vong!$D$3,IF(Vu_khi!$M$341="Rocket",Vu_khi!$AN$341&gt;=Canh_bao_vong!$D$13,FALSE)))))</f>
        <v/>
      </c>
      <c r="AT341" t="b">
        <v>0</v>
      </c>
      <c r="AU341">
        <f>IF(AND($B$341&lt;0,$AS$341),4,$B$341)</f>
        <v/>
      </c>
      <c r="AV341" t="n">
        <v>3</v>
      </c>
      <c r="AW341">
        <f>IF($AU$341&lt;4,0,MIN(MAX(0.5,Canh_bao_vong!$D$4),MAX(IF(Vu_khi!$C$341="cal_406",Canh_bao_vong!$D$7,IF($AU$341&gt;=5,Canh_bao_vong!$D$9,Canh_bao_vong!$D$8)),Canh_bao_vong!$D$2+MAX(0,Vu_khi!$X$341)/MAX(0.1,Canh_bao_vong!$D$5))))</f>
        <v/>
      </c>
      <c r="AX341" t="n">
        <v>0</v>
      </c>
      <c r="AY341" t="n">
        <v>1.4525</v>
      </c>
      <c r="AZ341" t="inlineStr">
        <is>
          <t>ok</t>
        </is>
      </c>
      <c r="BA341" t="inlineStr"/>
      <c r="BB341" t="inlineStr">
        <is>
          <t>Assets/MachineBrigade/Resources/Data/balance.json: weapons[id=train_mortar] (lớp B trên 01_chien_dau/Vu_khi)</t>
        </is>
      </c>
      <c r="BC341" t="inlineStr"/>
    </row>
    <row r="342">
      <c r="A342" t="inlineStr">
        <is>
          <t>turret_gmlrs</t>
        </is>
      </c>
      <c r="B342" t="n">
        <v>4</v>
      </c>
      <c r="C342">
        <f>IF(Vu_khi!$O$342="SIMULTANEOUS",MAX(1,Vu_khi!$N$342),1)</f>
        <v/>
      </c>
      <c r="D342" t="n">
        <v>1</v>
      </c>
      <c r="E342">
        <f>IF(Vu_khi!$S$342&gt;0,Vu_khi!$S$342,Vu_khi!$P$342*$C$342)</f>
        <v/>
      </c>
      <c r="F342" t="n">
        <v>2</v>
      </c>
      <c r="G342">
        <f>IF(Vu_khi!$S$342&gt;0,(Vu_khi!$S$342-1)*Vu_khi!$R$342+Vu_khi!$T$342,Vu_khi!$R$342+(Vu_khi!$P$342-1)*Vu_khi!$Q$342)</f>
        <v/>
      </c>
      <c r="H342" t="n">
        <v>8</v>
      </c>
      <c r="I342">
        <f>Vu_khi!$W$342*MAX(1,$E$342)</f>
        <v/>
      </c>
      <c r="J342" t="n">
        <v>320</v>
      </c>
      <c r="K342">
        <f>IF(Vu_khi!$V$342&gt;0,Vu_khi!$V$342,MIN(28,MAX(10,Vu_khi!$U$342*Vu_khi!$R$342*0.4)))</f>
        <v/>
      </c>
      <c r="L342" t="n">
        <v>10</v>
      </c>
      <c r="M342">
        <f>IF(Vu_khi!$W$342&lt;=0,0,IF(Vu_khi!$U$342&gt;0,$I$342*Vu_khi!$U$342/(MAX(0.05,$G$342)*Vu_khi!$U$342+$K$342),$I$342/MAX(0.05,$G$342)))</f>
        <v/>
      </c>
      <c r="N342" t="n">
        <v>40</v>
      </c>
      <c r="O342">
        <f>OR(Vu_khi!$AG$342,Vu_khi!$AB$342&gt;0,Vu_khi!$AH$342,Vu_khi!$M$342="Bomb",Vu_khi!$M$342="Drone")</f>
        <v/>
      </c>
      <c r="P342" t="b">
        <v>1</v>
      </c>
      <c r="Q342">
        <f>AND(NOT(Vu_khi!$AJ$342),OR(Vu_khi!$AC$342="Ground",Vu_khi!$AC$342="All"))</f>
        <v/>
      </c>
      <c r="R342" t="b">
        <v>1</v>
      </c>
      <c r="S342">
        <f>AND(NOT(Vu_khi!$AJ$342),OR(Vu_khi!$AC$342="Air",Vu_khi!$AC$342="All"))</f>
        <v/>
      </c>
      <c r="T342" t="b">
        <v>0</v>
      </c>
      <c r="U342">
        <f>INDEX(Bang_sat_thuong!$B$2:$B$7,MATCH(Vu_khi!$K$342,Bang_sat_thuong!$A$2:$A$7,0))</f>
        <v/>
      </c>
      <c r="V342" t="n">
        <v>1</v>
      </c>
      <c r="W342">
        <f>INDEX(Bang_sat_thuong!$C$2:$C$7,MATCH(Vu_khi!$K$342,Bang_sat_thuong!$A$2:$A$7,0))</f>
        <v/>
      </c>
      <c r="X342" t="n">
        <v>0</v>
      </c>
      <c r="Y342">
        <f>IF(AND(Vu_khi!$AI$342,Vu_khi!$K$342="HighExplosive"),MAX(He_so_toan_cuc!$D$2,INDEX(Bang_sat_thuong!$D$2:$D$7,MATCH(Vu_khi!$K$342,Bang_sat_thuong!$A$2:$A$7,0))),INDEX(Bang_sat_thuong!$D$2:$D$7,MATCH(Vu_khi!$K$342,Bang_sat_thuong!$A$2:$A$7,0)))</f>
        <v/>
      </c>
      <c r="Z342" t="n">
        <v>1.5</v>
      </c>
      <c r="AA342">
        <f>INDEX(Bang_xuyen_giap!$C$2:$C$7,MIN(6,MAX(1,IF($O$342,MAX(1,2-(Vu_khi!$L$342-0)),2-(Vu_khi!$L$342-0))+1)))</f>
        <v/>
      </c>
      <c r="AB342" t="n">
        <v>1</v>
      </c>
      <c r="AC342">
        <f>INDEX(Bang_xuyen_giap!$C$2:$C$7,MIN(6,MAX(1,IF($O$342,MAX(1,2-(Vu_khi!$L$342-2)),2-(Vu_khi!$L$342-2))+1)))</f>
        <v/>
      </c>
      <c r="AD342" t="n">
        <v>1</v>
      </c>
      <c r="AE342">
        <f>INDEX(Bang_xuyen_giap!$C$2:$C$7,MIN(6,MAX(1,IF($O$342,MAX(1,2-(Vu_khi!$L$342-4)),2-(Vu_khi!$L$342-4))+1)))</f>
        <v/>
      </c>
      <c r="AF342" t="n">
        <v>0.5</v>
      </c>
      <c r="AG342">
        <f>INDEX(Bang_xuyen_giap!$C$2:$C$7,MIN(6,MAX(1,MAX(1,2-(Vu_khi!$L$342-0))+1)))</f>
        <v/>
      </c>
      <c r="AH342" t="n">
        <v>1</v>
      </c>
      <c r="AI342">
        <f>IF($Q$342,$M$342*$AA$342*$U$342,0)</f>
        <v/>
      </c>
      <c r="AJ342" t="n">
        <v>40</v>
      </c>
      <c r="AK342">
        <f>IF($Q$342,$M$342*$AC$342*$U$342,0)</f>
        <v/>
      </c>
      <c r="AL342" t="n">
        <v>40</v>
      </c>
      <c r="AM342">
        <f>IF($Q$342,$M$342*$AE$342*$U$342,0)</f>
        <v/>
      </c>
      <c r="AN342" t="n">
        <v>20</v>
      </c>
      <c r="AO342">
        <f>IF($Q$342,$M$342*$AC$342*$Y$342,0)</f>
        <v/>
      </c>
      <c r="AP342" t="n">
        <v>60</v>
      </c>
      <c r="AQ342">
        <f>IF($S$342,$M$342*$AG$342*$W$342,0)</f>
        <v/>
      </c>
      <c r="AR342" t="n">
        <v>0</v>
      </c>
      <c r="AS342">
        <f>IF(OR(Vu_khi!$M$342="Missile",Vu_khi!$M$342="Drone",AND(Vu_khi!$M$342="Rocket",OR(Vu_khi!$AM$342,Vu_khi!$D$342="guided")),Vu_khi!$AL$342,Vu_khi!$AK$342,Vu_khi!$X$342&lt;=0),FALSE,IF($B$342&gt;=0,$B$342&gt;=4,IF(Vu_khi!$M$342="Shell",Vu_khi!$AN$342&gt;=Canh_bao_vong!$D$10,IF(Vu_khi!$M$342="Bomb",Vu_khi!$AN$342&gt;=Canh_bao_vong!$D$3,IF(Vu_khi!$M$342="Rocket",Vu_khi!$AN$342&gt;=Canh_bao_vong!$D$13,FALSE)))))</f>
        <v/>
      </c>
      <c r="AT342" t="b">
        <v>1</v>
      </c>
      <c r="AU342">
        <f>IF(AND($B$342&lt;0,$AS$342),4,$B$342)</f>
        <v/>
      </c>
      <c r="AV342" t="n">
        <v>4</v>
      </c>
      <c r="AW342">
        <f>IF($AU$342&lt;4,0,MIN(MAX(0.5,Canh_bao_vong!$D$4),MAX(IF(Vu_khi!$C$342="cal_406",Canh_bao_vong!$D$7,IF($AU$342&gt;=5,Canh_bao_vong!$D$9,Canh_bao_vong!$D$8)),Canh_bao_vong!$D$2+MAX(0,Vu_khi!$X$342)/MAX(0.1,Canh_bao_vong!$D$5))))</f>
        <v/>
      </c>
      <c r="AX342" t="n">
        <v>2.5</v>
      </c>
      <c r="AY342" t="n">
        <v>0.1</v>
      </c>
      <c r="AZ342" t="inlineStr">
        <is>
          <t>NHANH_QUA</t>
        </is>
      </c>
      <c r="BA342" t="inlineStr"/>
      <c r="BB342" t="inlineStr">
        <is>
          <t>Assets/MachineBrigade/Resources/Data/balance.json: weapons[id=turret_gmlrs] (lớp B trên 01_chien_dau/Vu_khi)</t>
        </is>
      </c>
      <c r="BC342" t="inlineStr"/>
    </row>
    <row r="343">
      <c r="A343" t="inlineStr">
        <is>
          <t>turret_gun_120</t>
        </is>
      </c>
      <c r="B343" t="n">
        <v>3</v>
      </c>
      <c r="C343">
        <f>IF(Vu_khi!$O$343="SIMULTANEOUS",MAX(1,Vu_khi!$N$343),1)</f>
        <v/>
      </c>
      <c r="D343" t="n">
        <v>1</v>
      </c>
      <c r="E343">
        <f>IF(Vu_khi!$S$343&gt;0,Vu_khi!$S$343,Vu_khi!$P$343*$C$343)</f>
        <v/>
      </c>
      <c r="F343" t="n">
        <v>1</v>
      </c>
      <c r="G343">
        <f>IF(Vu_khi!$S$343&gt;0,(Vu_khi!$S$343-1)*Vu_khi!$R$343+Vu_khi!$T$343,Vu_khi!$R$343+(Vu_khi!$P$343-1)*Vu_khi!$Q$343)</f>
        <v/>
      </c>
      <c r="H343" t="n">
        <v>4.114</v>
      </c>
      <c r="I343">
        <f>Vu_khi!$W$343*MAX(1,$E$343)</f>
        <v/>
      </c>
      <c r="J343" t="n">
        <v>343</v>
      </c>
      <c r="K343">
        <f>IF(Vu_khi!$V$343&gt;0,Vu_khi!$V$343,MIN(28,MAX(10,Vu_khi!$U$343*Vu_khi!$R$343*0.4)))</f>
        <v/>
      </c>
      <c r="L343" t="n">
        <v>10</v>
      </c>
      <c r="M343">
        <f>IF(Vu_khi!$W$343&lt;=0,0,IF(Vu_khi!$U$343&gt;0,$I$343*Vu_khi!$U$343/(MAX(0.05,$G$343)*Vu_khi!$U$343+$K$343),$I$343/MAX(0.05,$G$343)))</f>
        <v/>
      </c>
      <c r="N343" t="n">
        <v>83.37384540593096</v>
      </c>
      <c r="O343">
        <f>OR(Vu_khi!$AG$343,Vu_khi!$AB$343&gt;0,Vu_khi!$AH$343,Vu_khi!$M$343="Bomb",Vu_khi!$M$343="Drone")</f>
        <v/>
      </c>
      <c r="P343" t="b">
        <v>0</v>
      </c>
      <c r="Q343">
        <f>AND(NOT(Vu_khi!$AJ$343),OR(Vu_khi!$AC$343="Ground",Vu_khi!$AC$343="All"))</f>
        <v/>
      </c>
      <c r="R343" t="b">
        <v>1</v>
      </c>
      <c r="S343">
        <f>AND(NOT(Vu_khi!$AJ$343),OR(Vu_khi!$AC$343="Air",Vu_khi!$AC$343="All"))</f>
        <v/>
      </c>
      <c r="T343" t="b">
        <v>0</v>
      </c>
      <c r="U343">
        <f>INDEX(Bang_sat_thuong!$B$2:$B$7,MATCH(Vu_khi!$K$343,Bang_sat_thuong!$A$2:$A$7,0))</f>
        <v/>
      </c>
      <c r="V343" t="n">
        <v>1</v>
      </c>
      <c r="W343">
        <f>INDEX(Bang_sat_thuong!$C$2:$C$7,MATCH(Vu_khi!$K$343,Bang_sat_thuong!$A$2:$A$7,0))</f>
        <v/>
      </c>
      <c r="X343" t="n">
        <v>0.3</v>
      </c>
      <c r="Y343">
        <f>IF(AND(Vu_khi!$AI$343,Vu_khi!$K$343="HighExplosive"),MAX(He_so_toan_cuc!$D$2,INDEX(Bang_sat_thuong!$D$2:$D$7,MATCH(Vu_khi!$K$343,Bang_sat_thuong!$A$2:$A$7,0))),INDEX(Bang_sat_thuong!$D$2:$D$7,MATCH(Vu_khi!$K$343,Bang_sat_thuong!$A$2:$A$7,0)))</f>
        <v/>
      </c>
      <c r="Z343" t="n">
        <v>0.6</v>
      </c>
      <c r="AA343">
        <f>INDEX(Bang_xuyen_giap!$C$2:$C$7,MIN(6,MAX(1,IF($O$343,MAX(1,2-(Vu_khi!$L$343-0)),2-(Vu_khi!$L$343-0))+1)))</f>
        <v/>
      </c>
      <c r="AB343" t="n">
        <v>1.2</v>
      </c>
      <c r="AC343">
        <f>INDEX(Bang_xuyen_giap!$C$2:$C$7,MIN(6,MAX(1,IF($O$343,MAX(1,2-(Vu_khi!$L$343-2)),2-(Vu_khi!$L$343-2))+1)))</f>
        <v/>
      </c>
      <c r="AD343" t="n">
        <v>1.2</v>
      </c>
      <c r="AE343">
        <f>INDEX(Bang_xuyen_giap!$C$2:$C$7,MIN(6,MAX(1,IF($O$343,MAX(1,2-(Vu_khi!$L$343-4)),2-(Vu_khi!$L$343-4))+1)))</f>
        <v/>
      </c>
      <c r="AF343" t="n">
        <v>0.85</v>
      </c>
      <c r="AG343">
        <f>INDEX(Bang_xuyen_giap!$C$2:$C$7,MIN(6,MAX(1,MAX(1,2-(Vu_khi!$L$343-0))+1)))</f>
        <v/>
      </c>
      <c r="AH343" t="n">
        <v>1</v>
      </c>
      <c r="AI343">
        <f>IF($Q$343,$M$343*$AA$343*$U$343,0)</f>
        <v/>
      </c>
      <c r="AJ343" t="n">
        <v>100.0486144871171</v>
      </c>
      <c r="AK343">
        <f>IF($Q$343,$M$343*$AC$343*$U$343,0)</f>
        <v/>
      </c>
      <c r="AL343" t="n">
        <v>100.0486144871171</v>
      </c>
      <c r="AM343">
        <f>IF($Q$343,$M$343*$AE$343*$U$343,0)</f>
        <v/>
      </c>
      <c r="AN343" t="n">
        <v>70.86776859504131</v>
      </c>
      <c r="AO343">
        <f>IF($Q$343,$M$343*$AC$343*$Y$343,0)</f>
        <v/>
      </c>
      <c r="AP343" t="n">
        <v>60.02916869227029</v>
      </c>
      <c r="AQ343">
        <f>IF($S$343,$M$343*$AG$343*$W$343,0)</f>
        <v/>
      </c>
      <c r="AR343" t="n">
        <v>0</v>
      </c>
      <c r="AS343">
        <f>IF(OR(Vu_khi!$M$343="Missile",Vu_khi!$M$343="Drone",AND(Vu_khi!$M$343="Rocket",OR(Vu_khi!$AM$343,Vu_khi!$D$343="guided")),Vu_khi!$AL$343,Vu_khi!$AK$343,Vu_khi!$X$343&lt;=0),FALSE,IF($B$343&gt;=0,$B$343&gt;=4,IF(Vu_khi!$M$343="Shell",Vu_khi!$AN$343&gt;=Canh_bao_vong!$D$10,IF(Vu_khi!$M$343="Bomb",Vu_khi!$AN$343&gt;=Canh_bao_vong!$D$3,IF(Vu_khi!$M$343="Rocket",Vu_khi!$AN$343&gt;=Canh_bao_vong!$D$13,FALSE)))))</f>
        <v/>
      </c>
      <c r="AT343" t="b">
        <v>0</v>
      </c>
      <c r="AU343">
        <f>IF(AND($B$343&lt;0,$AS$343),4,$B$343)</f>
        <v/>
      </c>
      <c r="AV343" t="n">
        <v>3</v>
      </c>
      <c r="AW343">
        <f>IF($AU$343&lt;4,0,MIN(MAX(0.5,Canh_bao_vong!$D$4),MAX(IF(Vu_khi!$C$343="cal_406",Canh_bao_vong!$D$7,IF($AU$343&gt;=5,Canh_bao_vong!$D$9,Canh_bao_vong!$D$8)),Canh_bao_vong!$D$2+MAX(0,Vu_khi!$X$343)/MAX(0.1,Canh_bao_vong!$D$5))))</f>
        <v/>
      </c>
      <c r="AX343" t="n">
        <v>0</v>
      </c>
      <c r="AY343" t="n">
        <v>0.383973</v>
      </c>
      <c r="AZ343" t="inlineStr">
        <is>
          <t>NHANH_QUA;LECH_DOT_1</t>
        </is>
      </c>
      <c r="BA343" t="inlineStr"/>
      <c r="BB343" t="inlineStr">
        <is>
          <t>Assets/MachineBrigade/Resources/Data/balance.json: weapons[id=turret_gun_120] (lớp B trên 01_chien_dau/Vu_khi)</t>
        </is>
      </c>
      <c r="BC343" t="inlineStr"/>
    </row>
    <row r="344">
      <c r="A344" t="inlineStr">
        <is>
          <t>turret_gun_120_auto</t>
        </is>
      </c>
      <c r="B344" t="n">
        <v>3</v>
      </c>
      <c r="C344">
        <f>IF(Vu_khi!$O$344="SIMULTANEOUS",MAX(1,Vu_khi!$N$344),1)</f>
        <v/>
      </c>
      <c r="D344" t="n">
        <v>1</v>
      </c>
      <c r="E344">
        <f>IF(Vu_khi!$S$344&gt;0,Vu_khi!$S$344,Vu_khi!$P$344*$C$344)</f>
        <v/>
      </c>
      <c r="F344" t="n">
        <v>1</v>
      </c>
      <c r="G344">
        <f>IF(Vu_khi!$S$344&gt;0,(Vu_khi!$S$344-1)*Vu_khi!$R$344+Vu_khi!$T$344,Vu_khi!$R$344+(Vu_khi!$P$344-1)*Vu_khi!$Q$344)</f>
        <v/>
      </c>
      <c r="H344" t="n">
        <v>3.614</v>
      </c>
      <c r="I344">
        <f>Vu_khi!$W$344*MAX(1,$E$344)</f>
        <v/>
      </c>
      <c r="J344" t="n">
        <v>343</v>
      </c>
      <c r="K344">
        <f>IF(Vu_khi!$V$344&gt;0,Vu_khi!$V$344,MIN(28,MAX(10,Vu_khi!$U$344*Vu_khi!$R$344*0.4)))</f>
        <v/>
      </c>
      <c r="L344" t="n">
        <v>10</v>
      </c>
      <c r="M344">
        <f>IF(Vu_khi!$W$344&lt;=0,0,IF(Vu_khi!$U$344&gt;0,$I$344*Vu_khi!$U$344/(MAX(0.05,$G$344)*Vu_khi!$U$344+$K$344),$I$344/MAX(0.05,$G$344)))</f>
        <v/>
      </c>
      <c r="N344" t="n">
        <v>94.90868843386829</v>
      </c>
      <c r="O344">
        <f>OR(Vu_khi!$AG$344,Vu_khi!$AB$344&gt;0,Vu_khi!$AH$344,Vu_khi!$M$344="Bomb",Vu_khi!$M$344="Drone")</f>
        <v/>
      </c>
      <c r="P344" t="b">
        <v>0</v>
      </c>
      <c r="Q344">
        <f>AND(NOT(Vu_khi!$AJ$344),OR(Vu_khi!$AC$344="Ground",Vu_khi!$AC$344="All"))</f>
        <v/>
      </c>
      <c r="R344" t="b">
        <v>1</v>
      </c>
      <c r="S344">
        <f>AND(NOT(Vu_khi!$AJ$344),OR(Vu_khi!$AC$344="Air",Vu_khi!$AC$344="All"))</f>
        <v/>
      </c>
      <c r="T344" t="b">
        <v>0</v>
      </c>
      <c r="U344">
        <f>INDEX(Bang_sat_thuong!$B$2:$B$7,MATCH(Vu_khi!$K$344,Bang_sat_thuong!$A$2:$A$7,0))</f>
        <v/>
      </c>
      <c r="V344" t="n">
        <v>1</v>
      </c>
      <c r="W344">
        <f>INDEX(Bang_sat_thuong!$C$2:$C$7,MATCH(Vu_khi!$K$344,Bang_sat_thuong!$A$2:$A$7,0))</f>
        <v/>
      </c>
      <c r="X344" t="n">
        <v>0.3</v>
      </c>
      <c r="Y344">
        <f>IF(AND(Vu_khi!$AI$344,Vu_khi!$K$344="HighExplosive"),MAX(He_so_toan_cuc!$D$2,INDEX(Bang_sat_thuong!$D$2:$D$7,MATCH(Vu_khi!$K$344,Bang_sat_thuong!$A$2:$A$7,0))),INDEX(Bang_sat_thuong!$D$2:$D$7,MATCH(Vu_khi!$K$344,Bang_sat_thuong!$A$2:$A$7,0)))</f>
        <v/>
      </c>
      <c r="Z344" t="n">
        <v>0.6</v>
      </c>
      <c r="AA344">
        <f>INDEX(Bang_xuyen_giap!$C$2:$C$7,MIN(6,MAX(1,IF($O$344,MAX(1,2-(Vu_khi!$L$344-0)),2-(Vu_khi!$L$344-0))+1)))</f>
        <v/>
      </c>
      <c r="AB344" t="n">
        <v>1.2</v>
      </c>
      <c r="AC344">
        <f>INDEX(Bang_xuyen_giap!$C$2:$C$7,MIN(6,MAX(1,IF($O$344,MAX(1,2-(Vu_khi!$L$344-2)),2-(Vu_khi!$L$344-2))+1)))</f>
        <v/>
      </c>
      <c r="AD344" t="n">
        <v>1.2</v>
      </c>
      <c r="AE344">
        <f>INDEX(Bang_xuyen_giap!$C$2:$C$7,MIN(6,MAX(1,IF($O$344,MAX(1,2-(Vu_khi!$L$344-4)),2-(Vu_khi!$L$344-4))+1)))</f>
        <v/>
      </c>
      <c r="AF344" t="n">
        <v>0.85</v>
      </c>
      <c r="AG344">
        <f>INDEX(Bang_xuyen_giap!$C$2:$C$7,MIN(6,MAX(1,MAX(1,2-(Vu_khi!$L$344-0))+1)))</f>
        <v/>
      </c>
      <c r="AH344" t="n">
        <v>1</v>
      </c>
      <c r="AI344">
        <f>IF($Q$344,$M$344*$AA$344*$U$344,0)</f>
        <v/>
      </c>
      <c r="AJ344" t="n">
        <v>113.8904261206419</v>
      </c>
      <c r="AK344">
        <f>IF($Q$344,$M$344*$AC$344*$U$344,0)</f>
        <v/>
      </c>
      <c r="AL344" t="n">
        <v>113.8904261206419</v>
      </c>
      <c r="AM344">
        <f>IF($Q$344,$M$344*$AE$344*$U$344,0)</f>
        <v/>
      </c>
      <c r="AN344" t="n">
        <v>80.67238516878804</v>
      </c>
      <c r="AO344">
        <f>IF($Q$344,$M$344*$AC$344*$Y$344,0)</f>
        <v/>
      </c>
      <c r="AP344" t="n">
        <v>68.33425567238517</v>
      </c>
      <c r="AQ344">
        <f>IF($S$344,$M$344*$AG$344*$W$344,0)</f>
        <v/>
      </c>
      <c r="AR344" t="n">
        <v>0</v>
      </c>
      <c r="AS344">
        <f>IF(OR(Vu_khi!$M$344="Missile",Vu_khi!$M$344="Drone",AND(Vu_khi!$M$344="Rocket",OR(Vu_khi!$AM$344,Vu_khi!$D$344="guided")),Vu_khi!$AL$344,Vu_khi!$AK$344,Vu_khi!$X$344&lt;=0),FALSE,IF($B$344&gt;=0,$B$344&gt;=4,IF(Vu_khi!$M$344="Shell",Vu_khi!$AN$344&gt;=Canh_bao_vong!$D$10,IF(Vu_khi!$M$344="Bomb",Vu_khi!$AN$344&gt;=Canh_bao_vong!$D$3,IF(Vu_khi!$M$344="Rocket",Vu_khi!$AN$344&gt;=Canh_bao_vong!$D$13,FALSE)))))</f>
        <v/>
      </c>
      <c r="AT344" t="b">
        <v>0</v>
      </c>
      <c r="AU344">
        <f>IF(AND($B$344&lt;0,$AS$344),4,$B$344)</f>
        <v/>
      </c>
      <c r="AV344" t="n">
        <v>3</v>
      </c>
      <c r="AW344">
        <f>IF($AU$344&lt;4,0,MIN(MAX(0.5,Canh_bao_vong!$D$4),MAX(IF(Vu_khi!$C$344="cal_406",Canh_bao_vong!$D$7,IF($AU$344&gt;=5,Canh_bao_vong!$D$9,Canh_bao_vong!$D$8)),Canh_bao_vong!$D$2+MAX(0,Vu_khi!$X$344)/MAX(0.1,Canh_bao_vong!$D$5))))</f>
        <v/>
      </c>
      <c r="AX344" t="n">
        <v>0</v>
      </c>
      <c r="AY344" t="n">
        <v>0.337307</v>
      </c>
      <c r="AZ344" t="inlineStr">
        <is>
          <t>NHANH_QUA;LECH_DOT_1</t>
        </is>
      </c>
      <c r="BA344" t="inlineStr"/>
      <c r="BB344" t="inlineStr">
        <is>
          <t>Assets/MachineBrigade/Resources/Data/balance.json: weapons[id=turret_gun_120_auto] (lớp B trên 01_chien_dau/Vu_khi)</t>
        </is>
      </c>
      <c r="BC344" t="inlineStr"/>
    </row>
    <row r="345">
      <c r="A345" t="inlineStr">
        <is>
          <t>turret_gun_120_he</t>
        </is>
      </c>
      <c r="B345" t="n">
        <v>3</v>
      </c>
      <c r="C345">
        <f>IF(Vu_khi!$O$345="SIMULTANEOUS",MAX(1,Vu_khi!$N$345),1)</f>
        <v/>
      </c>
      <c r="D345" t="n">
        <v>1</v>
      </c>
      <c r="E345">
        <f>IF(Vu_khi!$S$345&gt;0,Vu_khi!$S$345,Vu_khi!$P$345*$C$345)</f>
        <v/>
      </c>
      <c r="F345" t="n">
        <v>1</v>
      </c>
      <c r="G345">
        <f>IF(Vu_khi!$S$345&gt;0,(Vu_khi!$S$345-1)*Vu_khi!$R$345+Vu_khi!$T$345,Vu_khi!$R$345+(Vu_khi!$P$345-1)*Vu_khi!$Q$345)</f>
        <v/>
      </c>
      <c r="H345" t="n">
        <v>4.114</v>
      </c>
      <c r="I345">
        <f>Vu_khi!$W$345*MAX(1,$E$345)</f>
        <v/>
      </c>
      <c r="J345" t="n">
        <v>343</v>
      </c>
      <c r="K345">
        <f>IF(Vu_khi!$V$345&gt;0,Vu_khi!$V$345,MIN(28,MAX(10,Vu_khi!$U$345*Vu_khi!$R$345*0.4)))</f>
        <v/>
      </c>
      <c r="L345" t="n">
        <v>10</v>
      </c>
      <c r="M345">
        <f>IF(Vu_khi!$W$345&lt;=0,0,IF(Vu_khi!$U$345&gt;0,$I$345*Vu_khi!$U$345/(MAX(0.05,$G$345)*Vu_khi!$U$345+$K$345),$I$345/MAX(0.05,$G$345)))</f>
        <v/>
      </c>
      <c r="N345" t="n">
        <v>83.37384540593096</v>
      </c>
      <c r="O345">
        <f>OR(Vu_khi!$AG$345,Vu_khi!$AB$345&gt;0,Vu_khi!$AH$345,Vu_khi!$M$345="Bomb",Vu_khi!$M$345="Drone")</f>
        <v/>
      </c>
      <c r="P345" t="b">
        <v>0</v>
      </c>
      <c r="Q345">
        <f>AND(NOT(Vu_khi!$AJ$345),OR(Vu_khi!$AC$345="Ground",Vu_khi!$AC$345="All"))</f>
        <v/>
      </c>
      <c r="R345" t="b">
        <v>1</v>
      </c>
      <c r="S345">
        <f>AND(NOT(Vu_khi!$AJ$345),OR(Vu_khi!$AC$345="Air",Vu_khi!$AC$345="All"))</f>
        <v/>
      </c>
      <c r="T345" t="b">
        <v>0</v>
      </c>
      <c r="U345">
        <f>INDEX(Bang_sat_thuong!$B$2:$B$7,MATCH(Vu_khi!$K$345,Bang_sat_thuong!$A$2:$A$7,0))</f>
        <v/>
      </c>
      <c r="V345" t="n">
        <v>1</v>
      </c>
      <c r="W345">
        <f>INDEX(Bang_sat_thuong!$C$2:$C$7,MATCH(Vu_khi!$K$345,Bang_sat_thuong!$A$2:$A$7,0))</f>
        <v/>
      </c>
      <c r="X345" t="n">
        <v>0</v>
      </c>
      <c r="Y345">
        <f>IF(AND(Vu_khi!$AI$345,Vu_khi!$K$345="HighExplosive"),MAX(He_so_toan_cuc!$D$2,INDEX(Bang_sat_thuong!$D$2:$D$7,MATCH(Vu_khi!$K$345,Bang_sat_thuong!$A$2:$A$7,0))),INDEX(Bang_sat_thuong!$D$2:$D$7,MATCH(Vu_khi!$K$345,Bang_sat_thuong!$A$2:$A$7,0)))</f>
        <v/>
      </c>
      <c r="Z345" t="n">
        <v>1.5</v>
      </c>
      <c r="AA345">
        <f>INDEX(Bang_xuyen_giap!$C$2:$C$7,MIN(6,MAX(1,IF($O$345,MAX(1,2-(Vu_khi!$L$345-0)),2-(Vu_khi!$L$345-0))+1)))</f>
        <v/>
      </c>
      <c r="AB345" t="n">
        <v>1.2</v>
      </c>
      <c r="AC345">
        <f>INDEX(Bang_xuyen_giap!$C$2:$C$7,MIN(6,MAX(1,IF($O$345,MAX(1,2-(Vu_khi!$L$345-2)),2-(Vu_khi!$L$345-2))+1)))</f>
        <v/>
      </c>
      <c r="AD345" t="n">
        <v>0.85</v>
      </c>
      <c r="AE345">
        <f>INDEX(Bang_xuyen_giap!$C$2:$C$7,MIN(6,MAX(1,IF($O$345,MAX(1,2-(Vu_khi!$L$345-4)),2-(Vu_khi!$L$345-4))+1)))</f>
        <v/>
      </c>
      <c r="AF345" t="n">
        <v>0.25</v>
      </c>
      <c r="AG345">
        <f>INDEX(Bang_xuyen_giap!$C$2:$C$7,MIN(6,MAX(1,MAX(1,2-(Vu_khi!$L$345-0))+1)))</f>
        <v/>
      </c>
      <c r="AH345" t="n">
        <v>1</v>
      </c>
      <c r="AI345">
        <f>IF($Q$345,$M$345*$AA$345*$U$345,0)</f>
        <v/>
      </c>
      <c r="AJ345" t="n">
        <v>100.0486144871171</v>
      </c>
      <c r="AK345">
        <f>IF($Q$345,$M$345*$AC$345*$U$345,0)</f>
        <v/>
      </c>
      <c r="AL345" t="n">
        <v>70.86776859504131</v>
      </c>
      <c r="AM345">
        <f>IF($Q$345,$M$345*$AE$345*$U$345,0)</f>
        <v/>
      </c>
      <c r="AN345" t="n">
        <v>20.84346135148274</v>
      </c>
      <c r="AO345">
        <f>IF($Q$345,$M$345*$AC$345*$Y$345,0)</f>
        <v/>
      </c>
      <c r="AP345" t="n">
        <v>106.301652892562</v>
      </c>
      <c r="AQ345">
        <f>IF($S$345,$M$345*$AG$345*$W$345,0)</f>
        <v/>
      </c>
      <c r="AR345" t="n">
        <v>0</v>
      </c>
      <c r="AS345">
        <f>IF(OR(Vu_khi!$M$345="Missile",Vu_khi!$M$345="Drone",AND(Vu_khi!$M$345="Rocket",OR(Vu_khi!$AM$345,Vu_khi!$D$345="guided")),Vu_khi!$AL$345,Vu_khi!$AK$345,Vu_khi!$X$345&lt;=0),FALSE,IF($B$345&gt;=0,$B$345&gt;=4,IF(Vu_khi!$M$345="Shell",Vu_khi!$AN$345&gt;=Canh_bao_vong!$D$10,IF(Vu_khi!$M$345="Bomb",Vu_khi!$AN$345&gt;=Canh_bao_vong!$D$3,IF(Vu_khi!$M$345="Rocket",Vu_khi!$AN$345&gt;=Canh_bao_vong!$D$13,FALSE)))))</f>
        <v/>
      </c>
      <c r="AT345" t="b">
        <v>0</v>
      </c>
      <c r="AU345">
        <f>IF(AND($B$345&lt;0,$AS$345),4,$B$345)</f>
        <v/>
      </c>
      <c r="AV345" t="n">
        <v>3</v>
      </c>
      <c r="AW345">
        <f>IF($AU$345&lt;4,0,MIN(MAX(0.5,Canh_bao_vong!$D$4),MAX(IF(Vu_khi!$C$345="cal_406",Canh_bao_vong!$D$7,IF($AU$345&gt;=5,Canh_bao_vong!$D$9,Canh_bao_vong!$D$8)),Canh_bao_vong!$D$2+MAX(0,Vu_khi!$X$345)/MAX(0.1,Canh_bao_vong!$D$5))))</f>
        <v/>
      </c>
      <c r="AX345" t="n">
        <v>0</v>
      </c>
      <c r="BB345" t="inlineStr">
        <is>
          <t>Assets/MachineBrigade/Resources/Data/balance.json: weapons[id=turret_gun_120_he] (lớp B trên 01_chien_dau/Vu_khi)</t>
        </is>
      </c>
      <c r="BC345" t="inlineStr"/>
    </row>
    <row r="346">
      <c r="A346" t="inlineStr">
        <is>
          <t>turret_gun_120_long</t>
        </is>
      </c>
      <c r="B346" t="n">
        <v>3</v>
      </c>
      <c r="C346">
        <f>IF(Vu_khi!$O$346="SIMULTANEOUS",MAX(1,Vu_khi!$N$346),1)</f>
        <v/>
      </c>
      <c r="D346" t="n">
        <v>1</v>
      </c>
      <c r="E346">
        <f>IF(Vu_khi!$S$346&gt;0,Vu_khi!$S$346,Vu_khi!$P$346*$C$346)</f>
        <v/>
      </c>
      <c r="F346" t="n">
        <v>1</v>
      </c>
      <c r="G346">
        <f>IF(Vu_khi!$S$346&gt;0,(Vu_khi!$S$346-1)*Vu_khi!$R$346+Vu_khi!$T$346,Vu_khi!$R$346+(Vu_khi!$P$346-1)*Vu_khi!$Q$346)</f>
        <v/>
      </c>
      <c r="H346" t="n">
        <v>5.571</v>
      </c>
      <c r="I346">
        <f>Vu_khi!$W$346*MAX(1,$E$346)</f>
        <v/>
      </c>
      <c r="J346" t="n">
        <v>343</v>
      </c>
      <c r="K346">
        <f>IF(Vu_khi!$V$346&gt;0,Vu_khi!$V$346,MIN(28,MAX(10,Vu_khi!$U$346*Vu_khi!$R$346*0.4)))</f>
        <v/>
      </c>
      <c r="L346" t="n">
        <v>10</v>
      </c>
      <c r="M346">
        <f>IF(Vu_khi!$W$346&lt;=0,0,IF(Vu_khi!$U$346&gt;0,$I$346*Vu_khi!$U$346/(MAX(0.05,$G$346)*Vu_khi!$U$346+$K$346),$I$346/MAX(0.05,$G$346)))</f>
        <v/>
      </c>
      <c r="N346" t="n">
        <v>61.56883862861246</v>
      </c>
      <c r="O346">
        <f>OR(Vu_khi!$AG$346,Vu_khi!$AB$346&gt;0,Vu_khi!$AH$346,Vu_khi!$M$346="Bomb",Vu_khi!$M$346="Drone")</f>
        <v/>
      </c>
      <c r="P346" t="b">
        <v>0</v>
      </c>
      <c r="Q346">
        <f>AND(NOT(Vu_khi!$AJ$346),OR(Vu_khi!$AC$346="Ground",Vu_khi!$AC$346="All"))</f>
        <v/>
      </c>
      <c r="R346" t="b">
        <v>1</v>
      </c>
      <c r="S346">
        <f>AND(NOT(Vu_khi!$AJ$346),OR(Vu_khi!$AC$346="Air",Vu_khi!$AC$346="All"))</f>
        <v/>
      </c>
      <c r="T346" t="b">
        <v>0</v>
      </c>
      <c r="U346">
        <f>INDEX(Bang_sat_thuong!$B$2:$B$7,MATCH(Vu_khi!$K$346,Bang_sat_thuong!$A$2:$A$7,0))</f>
        <v/>
      </c>
      <c r="V346" t="n">
        <v>1</v>
      </c>
      <c r="W346">
        <f>INDEX(Bang_sat_thuong!$C$2:$C$7,MATCH(Vu_khi!$K$346,Bang_sat_thuong!$A$2:$A$7,0))</f>
        <v/>
      </c>
      <c r="X346" t="n">
        <v>0.3</v>
      </c>
      <c r="Y346">
        <f>IF(AND(Vu_khi!$AI$346,Vu_khi!$K$346="HighExplosive"),MAX(He_so_toan_cuc!$D$2,INDEX(Bang_sat_thuong!$D$2:$D$7,MATCH(Vu_khi!$K$346,Bang_sat_thuong!$A$2:$A$7,0))),INDEX(Bang_sat_thuong!$D$2:$D$7,MATCH(Vu_khi!$K$346,Bang_sat_thuong!$A$2:$A$7,0)))</f>
        <v/>
      </c>
      <c r="Z346" t="n">
        <v>0.6</v>
      </c>
      <c r="AA346">
        <f>INDEX(Bang_xuyen_giap!$C$2:$C$7,MIN(6,MAX(1,IF($O$346,MAX(1,2-(Vu_khi!$L$346-0)),2-(Vu_khi!$L$346-0))+1)))</f>
        <v/>
      </c>
      <c r="AB346" t="n">
        <v>1.2</v>
      </c>
      <c r="AC346">
        <f>INDEX(Bang_xuyen_giap!$C$2:$C$7,MIN(6,MAX(1,IF($O$346,MAX(1,2-(Vu_khi!$L$346-2)),2-(Vu_khi!$L$346-2))+1)))</f>
        <v/>
      </c>
      <c r="AD346" t="n">
        <v>1.2</v>
      </c>
      <c r="AE346">
        <f>INDEX(Bang_xuyen_giap!$C$2:$C$7,MIN(6,MAX(1,IF($O$346,MAX(1,2-(Vu_khi!$L$346-4)),2-(Vu_khi!$L$346-4))+1)))</f>
        <v/>
      </c>
      <c r="AF346" t="n">
        <v>1</v>
      </c>
      <c r="AG346">
        <f>INDEX(Bang_xuyen_giap!$C$2:$C$7,MIN(6,MAX(1,MAX(1,2-(Vu_khi!$L$346-0))+1)))</f>
        <v/>
      </c>
      <c r="AH346" t="n">
        <v>1</v>
      </c>
      <c r="AI346">
        <f>IF($Q$346,$M$346*$AA$346*$U$346,0)</f>
        <v/>
      </c>
      <c r="AJ346" t="n">
        <v>73.88260635433495</v>
      </c>
      <c r="AK346">
        <f>IF($Q$346,$M$346*$AC$346*$U$346,0)</f>
        <v/>
      </c>
      <c r="AL346" t="n">
        <v>73.88260635433495</v>
      </c>
      <c r="AM346">
        <f>IF($Q$346,$M$346*$AE$346*$U$346,0)</f>
        <v/>
      </c>
      <c r="AN346" t="n">
        <v>61.56883862861246</v>
      </c>
      <c r="AO346">
        <f>IF($Q$346,$M$346*$AC$346*$Y$346,0)</f>
        <v/>
      </c>
      <c r="AP346" t="n">
        <v>44.32956381260097</v>
      </c>
      <c r="AQ346">
        <f>IF($S$346,$M$346*$AG$346*$W$346,0)</f>
        <v/>
      </c>
      <c r="AR346" t="n">
        <v>0</v>
      </c>
      <c r="AS346">
        <f>IF(OR(Vu_khi!$M$346="Missile",Vu_khi!$M$346="Drone",AND(Vu_khi!$M$346="Rocket",OR(Vu_khi!$AM$346,Vu_khi!$D$346="guided")),Vu_khi!$AL$346,Vu_khi!$AK$346,Vu_khi!$X$346&lt;=0),FALSE,IF($B$346&gt;=0,$B$346&gt;=4,IF(Vu_khi!$M$346="Shell",Vu_khi!$AN$346&gt;=Canh_bao_vong!$D$10,IF(Vu_khi!$M$346="Bomb",Vu_khi!$AN$346&gt;=Canh_bao_vong!$D$3,IF(Vu_khi!$M$346="Rocket",Vu_khi!$AN$346&gt;=Canh_bao_vong!$D$13,FALSE)))))</f>
        <v/>
      </c>
      <c r="AT346" t="b">
        <v>0</v>
      </c>
      <c r="AU346">
        <f>IF(AND($B$346&lt;0,$AS$346),4,$B$346)</f>
        <v/>
      </c>
      <c r="AV346" t="n">
        <v>3</v>
      </c>
      <c r="AW346">
        <f>IF($AU$346&lt;4,0,MIN(MAX(0.5,Canh_bao_vong!$D$4),MAX(IF(Vu_khi!$C$346="cal_406",Canh_bao_vong!$D$7,IF($AU$346&gt;=5,Canh_bao_vong!$D$9,Canh_bao_vong!$D$8)),Canh_bao_vong!$D$2+MAX(0,Vu_khi!$X$346)/MAX(0.1,Canh_bao_vong!$D$5))))</f>
        <v/>
      </c>
      <c r="AX346" t="n">
        <v>0</v>
      </c>
      <c r="AY346" t="n">
        <v>0.51996</v>
      </c>
      <c r="AZ346" t="inlineStr">
        <is>
          <t>NHANH_QUA;LECH_DOT_1</t>
        </is>
      </c>
      <c r="BA346" t="inlineStr"/>
      <c r="BB346" t="inlineStr">
        <is>
          <t>Assets/MachineBrigade/Resources/Data/balance.json: weapons[id=turret_gun_120_long] (lớp B trên 01_chien_dau/Vu_khi)</t>
        </is>
      </c>
      <c r="BC346" t="inlineStr"/>
    </row>
    <row r="347">
      <c r="A347" t="inlineStr">
        <is>
          <t>turret_gun_120_long_he</t>
        </is>
      </c>
      <c r="B347" t="n">
        <v>3</v>
      </c>
      <c r="C347">
        <f>IF(Vu_khi!$O$347="SIMULTANEOUS",MAX(1,Vu_khi!$N$347),1)</f>
        <v/>
      </c>
      <c r="D347" t="n">
        <v>1</v>
      </c>
      <c r="E347">
        <f>IF(Vu_khi!$S$347&gt;0,Vu_khi!$S$347,Vu_khi!$P$347*$C$347)</f>
        <v/>
      </c>
      <c r="F347" t="n">
        <v>1</v>
      </c>
      <c r="G347">
        <f>IF(Vu_khi!$S$347&gt;0,(Vu_khi!$S$347-1)*Vu_khi!$R$347+Vu_khi!$T$347,Vu_khi!$R$347+(Vu_khi!$P$347-1)*Vu_khi!$Q$347)</f>
        <v/>
      </c>
      <c r="H347" t="n">
        <v>5.571</v>
      </c>
      <c r="I347">
        <f>Vu_khi!$W$347*MAX(1,$E$347)</f>
        <v/>
      </c>
      <c r="J347" t="n">
        <v>343</v>
      </c>
      <c r="K347">
        <f>IF(Vu_khi!$V$347&gt;0,Vu_khi!$V$347,MIN(28,MAX(10,Vu_khi!$U$347*Vu_khi!$R$347*0.4)))</f>
        <v/>
      </c>
      <c r="L347" t="n">
        <v>10</v>
      </c>
      <c r="M347">
        <f>IF(Vu_khi!$W$347&lt;=0,0,IF(Vu_khi!$U$347&gt;0,$I$347*Vu_khi!$U$347/(MAX(0.05,$G$347)*Vu_khi!$U$347+$K$347),$I$347/MAX(0.05,$G$347)))</f>
        <v/>
      </c>
      <c r="N347" t="n">
        <v>61.56883862861246</v>
      </c>
      <c r="O347">
        <f>OR(Vu_khi!$AG$347,Vu_khi!$AB$347&gt;0,Vu_khi!$AH$347,Vu_khi!$M$347="Bomb",Vu_khi!$M$347="Drone")</f>
        <v/>
      </c>
      <c r="P347" t="b">
        <v>0</v>
      </c>
      <c r="Q347">
        <f>AND(NOT(Vu_khi!$AJ$347),OR(Vu_khi!$AC$347="Ground",Vu_khi!$AC$347="All"))</f>
        <v/>
      </c>
      <c r="R347" t="b">
        <v>1</v>
      </c>
      <c r="S347">
        <f>AND(NOT(Vu_khi!$AJ$347),OR(Vu_khi!$AC$347="Air",Vu_khi!$AC$347="All"))</f>
        <v/>
      </c>
      <c r="T347" t="b">
        <v>0</v>
      </c>
      <c r="U347">
        <f>INDEX(Bang_sat_thuong!$B$2:$B$7,MATCH(Vu_khi!$K$347,Bang_sat_thuong!$A$2:$A$7,0))</f>
        <v/>
      </c>
      <c r="V347" t="n">
        <v>1</v>
      </c>
      <c r="W347">
        <f>INDEX(Bang_sat_thuong!$C$2:$C$7,MATCH(Vu_khi!$K$347,Bang_sat_thuong!$A$2:$A$7,0))</f>
        <v/>
      </c>
      <c r="X347" t="n">
        <v>0</v>
      </c>
      <c r="Y347">
        <f>IF(AND(Vu_khi!$AI$347,Vu_khi!$K$347="HighExplosive"),MAX(He_so_toan_cuc!$D$2,INDEX(Bang_sat_thuong!$D$2:$D$7,MATCH(Vu_khi!$K$347,Bang_sat_thuong!$A$2:$A$7,0))),INDEX(Bang_sat_thuong!$D$2:$D$7,MATCH(Vu_khi!$K$347,Bang_sat_thuong!$A$2:$A$7,0)))</f>
        <v/>
      </c>
      <c r="Z347" t="n">
        <v>1.5</v>
      </c>
      <c r="AA347">
        <f>INDEX(Bang_xuyen_giap!$C$2:$C$7,MIN(6,MAX(1,IF($O$347,MAX(1,2-(Vu_khi!$L$347-0)),2-(Vu_khi!$L$347-0))+1)))</f>
        <v/>
      </c>
      <c r="AB347" t="n">
        <v>1.2</v>
      </c>
      <c r="AC347">
        <f>INDEX(Bang_xuyen_giap!$C$2:$C$7,MIN(6,MAX(1,IF($O$347,MAX(1,2-(Vu_khi!$L$347-2)),2-(Vu_khi!$L$347-2))+1)))</f>
        <v/>
      </c>
      <c r="AD347" t="n">
        <v>0.85</v>
      </c>
      <c r="AE347">
        <f>INDEX(Bang_xuyen_giap!$C$2:$C$7,MIN(6,MAX(1,IF($O$347,MAX(1,2-(Vu_khi!$L$347-4)),2-(Vu_khi!$L$347-4))+1)))</f>
        <v/>
      </c>
      <c r="AF347" t="n">
        <v>0.25</v>
      </c>
      <c r="AG347">
        <f>INDEX(Bang_xuyen_giap!$C$2:$C$7,MIN(6,MAX(1,MAX(1,2-(Vu_khi!$L$347-0))+1)))</f>
        <v/>
      </c>
      <c r="AH347" t="n">
        <v>1</v>
      </c>
      <c r="AI347">
        <f>IF($Q$347,$M$347*$AA$347*$U$347,0)</f>
        <v/>
      </c>
      <c r="AJ347" t="n">
        <v>73.88260635433495</v>
      </c>
      <c r="AK347">
        <f>IF($Q$347,$M$347*$AC$347*$U$347,0)</f>
        <v/>
      </c>
      <c r="AL347" t="n">
        <v>52.33351283432059</v>
      </c>
      <c r="AM347">
        <f>IF($Q$347,$M$347*$AE$347*$U$347,0)</f>
        <v/>
      </c>
      <c r="AN347" t="n">
        <v>15.39220965715312</v>
      </c>
      <c r="AO347">
        <f>IF($Q$347,$M$347*$AC$347*$Y$347,0)</f>
        <v/>
      </c>
      <c r="AP347" t="n">
        <v>78.50026925148089</v>
      </c>
      <c r="AQ347">
        <f>IF($S$347,$M$347*$AG$347*$W$347,0)</f>
        <v/>
      </c>
      <c r="AR347" t="n">
        <v>0</v>
      </c>
      <c r="AS347">
        <f>IF(OR(Vu_khi!$M$347="Missile",Vu_khi!$M$347="Drone",AND(Vu_khi!$M$347="Rocket",OR(Vu_khi!$AM$347,Vu_khi!$D$347="guided")),Vu_khi!$AL$347,Vu_khi!$AK$347,Vu_khi!$X$347&lt;=0),FALSE,IF($B$347&gt;=0,$B$347&gt;=4,IF(Vu_khi!$M$347="Shell",Vu_khi!$AN$347&gt;=Canh_bao_vong!$D$10,IF(Vu_khi!$M$347="Bomb",Vu_khi!$AN$347&gt;=Canh_bao_vong!$D$3,IF(Vu_khi!$M$347="Rocket",Vu_khi!$AN$347&gt;=Canh_bao_vong!$D$13,FALSE)))))</f>
        <v/>
      </c>
      <c r="AT347" t="b">
        <v>0</v>
      </c>
      <c r="AU347">
        <f>IF(AND($B$347&lt;0,$AS$347),4,$B$347)</f>
        <v/>
      </c>
      <c r="AV347" t="n">
        <v>3</v>
      </c>
      <c r="AW347">
        <f>IF($AU$347&lt;4,0,MIN(MAX(0.5,Canh_bao_vong!$D$4),MAX(IF(Vu_khi!$C$347="cal_406",Canh_bao_vong!$D$7,IF($AU$347&gt;=5,Canh_bao_vong!$D$9,Canh_bao_vong!$D$8)),Canh_bao_vong!$D$2+MAX(0,Vu_khi!$X$347)/MAX(0.1,Canh_bao_vong!$D$5))))</f>
        <v/>
      </c>
      <c r="AX347" t="n">
        <v>0</v>
      </c>
      <c r="BB347" t="inlineStr">
        <is>
          <t>Assets/MachineBrigade/Resources/Data/balance.json: weapons[id=turret_gun_120_long_he] (lớp B trên 01_chien_dau/Vu_khi)</t>
        </is>
      </c>
      <c r="BC347" t="inlineStr"/>
    </row>
    <row r="348">
      <c r="A348" t="inlineStr">
        <is>
          <t>turret_rockets</t>
        </is>
      </c>
      <c r="B348" t="n">
        <v>3</v>
      </c>
      <c r="C348">
        <f>IF(Vu_khi!$O$348="SIMULTANEOUS",MAX(1,Vu_khi!$N$348),1)</f>
        <v/>
      </c>
      <c r="D348" t="n">
        <v>1</v>
      </c>
      <c r="E348">
        <f>IF(Vu_khi!$S$348&gt;0,Vu_khi!$S$348,Vu_khi!$P$348*$C$348)</f>
        <v/>
      </c>
      <c r="F348" t="n">
        <v>6</v>
      </c>
      <c r="G348">
        <f>IF(Vu_khi!$S$348&gt;0,(Vu_khi!$S$348-1)*Vu_khi!$R$348+Vu_khi!$T$348,Vu_khi!$R$348+(Vu_khi!$P$348-1)*Vu_khi!$Q$348)</f>
        <v/>
      </c>
      <c r="H348" t="n">
        <v>4.07</v>
      </c>
      <c r="I348">
        <f>Vu_khi!$W$348*MAX(1,$E$348)</f>
        <v/>
      </c>
      <c r="J348" t="n">
        <v>396</v>
      </c>
      <c r="K348">
        <f>IF(Vu_khi!$V$348&gt;0,Vu_khi!$V$348,MIN(28,MAX(10,Vu_khi!$U$348*Vu_khi!$R$348*0.4)))</f>
        <v/>
      </c>
      <c r="L348" t="n">
        <v>10</v>
      </c>
      <c r="M348">
        <f>IF(Vu_khi!$W$348&lt;=0,0,IF(Vu_khi!$U$348&gt;0,$I$348*Vu_khi!$U$348/(MAX(0.05,$G$348)*Vu_khi!$U$348+$K$348),$I$348/MAX(0.05,$G$348)))</f>
        <v/>
      </c>
      <c r="N348" t="n">
        <v>97.29729729729729</v>
      </c>
      <c r="O348">
        <f>OR(Vu_khi!$AG$348,Vu_khi!$AB$348&gt;0,Vu_khi!$AH$348,Vu_khi!$M$348="Bomb",Vu_khi!$M$348="Drone")</f>
        <v/>
      </c>
      <c r="P348" t="b">
        <v>1</v>
      </c>
      <c r="Q348">
        <f>AND(NOT(Vu_khi!$AJ$348),OR(Vu_khi!$AC$348="Ground",Vu_khi!$AC$348="All"))</f>
        <v/>
      </c>
      <c r="R348" t="b">
        <v>1</v>
      </c>
      <c r="S348">
        <f>AND(NOT(Vu_khi!$AJ$348),OR(Vu_khi!$AC$348="Air",Vu_khi!$AC$348="All"))</f>
        <v/>
      </c>
      <c r="T348" t="b">
        <v>0</v>
      </c>
      <c r="U348">
        <f>INDEX(Bang_sat_thuong!$B$2:$B$7,MATCH(Vu_khi!$K$348,Bang_sat_thuong!$A$2:$A$7,0))</f>
        <v/>
      </c>
      <c r="V348" t="n">
        <v>1</v>
      </c>
      <c r="W348">
        <f>INDEX(Bang_sat_thuong!$C$2:$C$7,MATCH(Vu_khi!$K$348,Bang_sat_thuong!$A$2:$A$7,0))</f>
        <v/>
      </c>
      <c r="X348" t="n">
        <v>0</v>
      </c>
      <c r="Y348">
        <f>IF(AND(Vu_khi!$AI$348,Vu_khi!$K$348="HighExplosive"),MAX(He_so_toan_cuc!$D$2,INDEX(Bang_sat_thuong!$D$2:$D$7,MATCH(Vu_khi!$K$348,Bang_sat_thuong!$A$2:$A$7,0))),INDEX(Bang_sat_thuong!$D$2:$D$7,MATCH(Vu_khi!$K$348,Bang_sat_thuong!$A$2:$A$7,0)))</f>
        <v/>
      </c>
      <c r="Z348" t="n">
        <v>1.5</v>
      </c>
      <c r="AA348">
        <f>INDEX(Bang_xuyen_giap!$C$2:$C$7,MIN(6,MAX(1,IF($O$348,MAX(1,2-(Vu_khi!$L$348-0)),2-(Vu_khi!$L$348-0))+1)))</f>
        <v/>
      </c>
      <c r="AB348" t="n">
        <v>1</v>
      </c>
      <c r="AC348">
        <f>INDEX(Bang_xuyen_giap!$C$2:$C$7,MIN(6,MAX(1,IF($O$348,MAX(1,2-(Vu_khi!$L$348-2)),2-(Vu_khi!$L$348-2))+1)))</f>
        <v/>
      </c>
      <c r="AD348" t="n">
        <v>0.85</v>
      </c>
      <c r="AE348">
        <f>INDEX(Bang_xuyen_giap!$C$2:$C$7,MIN(6,MAX(1,IF($O$348,MAX(1,2-(Vu_khi!$L$348-4)),2-(Vu_khi!$L$348-4))+1)))</f>
        <v/>
      </c>
      <c r="AF348" t="n">
        <v>0.25</v>
      </c>
      <c r="AG348">
        <f>INDEX(Bang_xuyen_giap!$C$2:$C$7,MIN(6,MAX(1,MAX(1,2-(Vu_khi!$L$348-0))+1)))</f>
        <v/>
      </c>
      <c r="AH348" t="n">
        <v>1</v>
      </c>
      <c r="AI348">
        <f>IF($Q$348,$M$348*$AA$348*$U$348,0)</f>
        <v/>
      </c>
      <c r="AJ348" t="n">
        <v>97.29729729729729</v>
      </c>
      <c r="AK348">
        <f>IF($Q$348,$M$348*$AC$348*$U$348,0)</f>
        <v/>
      </c>
      <c r="AL348" t="n">
        <v>82.70270270270269</v>
      </c>
      <c r="AM348">
        <f>IF($Q$348,$M$348*$AE$348*$U$348,0)</f>
        <v/>
      </c>
      <c r="AN348" t="n">
        <v>24.32432432432432</v>
      </c>
      <c r="AO348">
        <f>IF($Q$348,$M$348*$AC$348*$Y$348,0)</f>
        <v/>
      </c>
      <c r="AP348" t="n">
        <v>124.054054054054</v>
      </c>
      <c r="AQ348">
        <f>IF($S$348,$M$348*$AG$348*$W$348,0)</f>
        <v/>
      </c>
      <c r="AR348" t="n">
        <v>0</v>
      </c>
      <c r="AS348">
        <f>IF(OR(Vu_khi!$M$348="Missile",Vu_khi!$M$348="Drone",AND(Vu_khi!$M$348="Rocket",OR(Vu_khi!$AM$348,Vu_khi!$D$348="guided")),Vu_khi!$AL$348,Vu_khi!$AK$348,Vu_khi!$X$348&lt;=0),FALSE,IF($B$348&gt;=0,$B$348&gt;=4,IF(Vu_khi!$M$348="Shell",Vu_khi!$AN$348&gt;=Canh_bao_vong!$D$10,IF(Vu_khi!$M$348="Bomb",Vu_khi!$AN$348&gt;=Canh_bao_vong!$D$3,IF(Vu_khi!$M$348="Rocket",Vu_khi!$AN$348&gt;=Canh_bao_vong!$D$13,FALSE)))))</f>
        <v/>
      </c>
      <c r="AT348" t="b">
        <v>0</v>
      </c>
      <c r="AU348">
        <f>IF(AND($B$348&lt;0,$AS$348),4,$B$348)</f>
        <v/>
      </c>
      <c r="AV348" t="n">
        <v>3</v>
      </c>
      <c r="AW348">
        <f>IF($AU$348&lt;4,0,MIN(MAX(0.5,Canh_bao_vong!$D$4),MAX(IF(Vu_khi!$C$348="cal_406",Canh_bao_vong!$D$7,IF($AU$348&gt;=5,Canh_bao_vong!$D$9,Canh_bao_vong!$D$8)),Canh_bao_vong!$D$2+MAX(0,Vu_khi!$X$348)/MAX(0.1,Canh_bao_vong!$D$5))))</f>
        <v/>
      </c>
      <c r="AX348" t="n">
        <v>0</v>
      </c>
      <c r="AY348" t="n">
        <v>1</v>
      </c>
      <c r="AZ348" t="inlineStr">
        <is>
          <t>ok</t>
        </is>
      </c>
      <c r="BA348" t="inlineStr"/>
      <c r="BB348" t="inlineStr">
        <is>
          <t>Assets/MachineBrigade/Resources/Data/balance.json: weapons[id=turret_rockets] (lớp B trên 01_chien_dau/Vu_khi)</t>
        </is>
      </c>
      <c r="BC348" t="inlineStr"/>
    </row>
    <row r="349">
      <c r="A349" t="inlineStr">
        <is>
          <t>turret_rockets_cluster</t>
        </is>
      </c>
      <c r="B349" t="n">
        <v>3</v>
      </c>
      <c r="C349">
        <f>IF(Vu_khi!$O$349="SIMULTANEOUS",MAX(1,Vu_khi!$N$349),1)</f>
        <v/>
      </c>
      <c r="D349" t="n">
        <v>1</v>
      </c>
      <c r="E349">
        <f>IF(Vu_khi!$S$349&gt;0,Vu_khi!$S$349,Vu_khi!$P$349*$C$349)</f>
        <v/>
      </c>
      <c r="F349" t="n">
        <v>6</v>
      </c>
      <c r="G349">
        <f>IF(Vu_khi!$S$349&gt;0,(Vu_khi!$S$349-1)*Vu_khi!$R$349+Vu_khi!$T$349,Vu_khi!$R$349+(Vu_khi!$P$349-1)*Vu_khi!$Q$349)</f>
        <v/>
      </c>
      <c r="H349" t="n">
        <v>3.92</v>
      </c>
      <c r="I349">
        <f>Vu_khi!$W$349*MAX(1,$E$349)</f>
        <v/>
      </c>
      <c r="J349" t="n">
        <v>342</v>
      </c>
      <c r="K349">
        <f>IF(Vu_khi!$V$349&gt;0,Vu_khi!$V$349,MIN(28,MAX(10,Vu_khi!$U$349*Vu_khi!$R$349*0.4)))</f>
        <v/>
      </c>
      <c r="L349" t="n">
        <v>10</v>
      </c>
      <c r="M349">
        <f>IF(Vu_khi!$W$349&lt;=0,0,IF(Vu_khi!$U$349&gt;0,$I$349*Vu_khi!$U$349/(MAX(0.05,$G$349)*Vu_khi!$U$349+$K$349),$I$349/MAX(0.05,$G$349)))</f>
        <v/>
      </c>
      <c r="N349" t="n">
        <v>87.24489795918367</v>
      </c>
      <c r="O349">
        <f>OR(Vu_khi!$AG$349,Vu_khi!$AB$349&gt;0,Vu_khi!$AH$349,Vu_khi!$M$349="Bomb",Vu_khi!$M$349="Drone")</f>
        <v/>
      </c>
      <c r="P349" t="b">
        <v>1</v>
      </c>
      <c r="Q349">
        <f>AND(NOT(Vu_khi!$AJ$349),OR(Vu_khi!$AC$349="Ground",Vu_khi!$AC$349="All"))</f>
        <v/>
      </c>
      <c r="R349" t="b">
        <v>1</v>
      </c>
      <c r="S349">
        <f>AND(NOT(Vu_khi!$AJ$349),OR(Vu_khi!$AC$349="Air",Vu_khi!$AC$349="All"))</f>
        <v/>
      </c>
      <c r="T349" t="b">
        <v>0</v>
      </c>
      <c r="U349">
        <f>INDEX(Bang_sat_thuong!$B$2:$B$7,MATCH(Vu_khi!$K$349,Bang_sat_thuong!$A$2:$A$7,0))</f>
        <v/>
      </c>
      <c r="V349" t="n">
        <v>1</v>
      </c>
      <c r="W349">
        <f>INDEX(Bang_sat_thuong!$C$2:$C$7,MATCH(Vu_khi!$K$349,Bang_sat_thuong!$A$2:$A$7,0))</f>
        <v/>
      </c>
      <c r="X349" t="n">
        <v>0</v>
      </c>
      <c r="Y349">
        <f>IF(AND(Vu_khi!$AI$349,Vu_khi!$K$349="HighExplosive"),MAX(He_so_toan_cuc!$D$2,INDEX(Bang_sat_thuong!$D$2:$D$7,MATCH(Vu_khi!$K$349,Bang_sat_thuong!$A$2:$A$7,0))),INDEX(Bang_sat_thuong!$D$2:$D$7,MATCH(Vu_khi!$K$349,Bang_sat_thuong!$A$2:$A$7,0)))</f>
        <v/>
      </c>
      <c r="Z349" t="n">
        <v>1.5</v>
      </c>
      <c r="AA349">
        <f>INDEX(Bang_xuyen_giap!$C$2:$C$7,MIN(6,MAX(1,IF($O$349,MAX(1,2-(Vu_khi!$L$349-0)),2-(Vu_khi!$L$349-0))+1)))</f>
        <v/>
      </c>
      <c r="AB349" t="n">
        <v>1</v>
      </c>
      <c r="AC349">
        <f>INDEX(Bang_xuyen_giap!$C$2:$C$7,MIN(6,MAX(1,IF($O$349,MAX(1,2-(Vu_khi!$L$349-2)),2-(Vu_khi!$L$349-2))+1)))</f>
        <v/>
      </c>
      <c r="AD349" t="n">
        <v>0.85</v>
      </c>
      <c r="AE349">
        <f>INDEX(Bang_xuyen_giap!$C$2:$C$7,MIN(6,MAX(1,IF($O$349,MAX(1,2-(Vu_khi!$L$349-4)),2-(Vu_khi!$L$349-4))+1)))</f>
        <v/>
      </c>
      <c r="AF349" t="n">
        <v>0.25</v>
      </c>
      <c r="AG349">
        <f>INDEX(Bang_xuyen_giap!$C$2:$C$7,MIN(6,MAX(1,MAX(1,2-(Vu_khi!$L$349-0))+1)))</f>
        <v/>
      </c>
      <c r="AH349" t="n">
        <v>1</v>
      </c>
      <c r="AI349">
        <f>IF($Q$349,$M$349*$AA$349*$U$349,0)</f>
        <v/>
      </c>
      <c r="AJ349" t="n">
        <v>87.24489795918367</v>
      </c>
      <c r="AK349">
        <f>IF($Q$349,$M$349*$AC$349*$U$349,0)</f>
        <v/>
      </c>
      <c r="AL349" t="n">
        <v>74.15816326530611</v>
      </c>
      <c r="AM349">
        <f>IF($Q$349,$M$349*$AE$349*$U$349,0)</f>
        <v/>
      </c>
      <c r="AN349" t="n">
        <v>21.81122448979592</v>
      </c>
      <c r="AO349">
        <f>IF($Q$349,$M$349*$AC$349*$Y$349,0)</f>
        <v/>
      </c>
      <c r="AP349" t="n">
        <v>111.2372448979592</v>
      </c>
      <c r="AQ349">
        <f>IF($S$349,$M$349*$AG$349*$W$349,0)</f>
        <v/>
      </c>
      <c r="AR349" t="n">
        <v>0</v>
      </c>
      <c r="AS349">
        <f>IF(OR(Vu_khi!$M$349="Missile",Vu_khi!$M$349="Drone",AND(Vu_khi!$M$349="Rocket",OR(Vu_khi!$AM$349,Vu_khi!$D$349="guided")),Vu_khi!$AL$349,Vu_khi!$AK$349,Vu_khi!$X$349&lt;=0),FALSE,IF($B$349&gt;=0,$B$349&gt;=4,IF(Vu_khi!$M$349="Shell",Vu_khi!$AN$349&gt;=Canh_bao_vong!$D$10,IF(Vu_khi!$M$349="Bomb",Vu_khi!$AN$349&gt;=Canh_bao_vong!$D$3,IF(Vu_khi!$M$349="Rocket",Vu_khi!$AN$349&gt;=Canh_bao_vong!$D$13,FALSE)))))</f>
        <v/>
      </c>
      <c r="AT349" t="b">
        <v>0</v>
      </c>
      <c r="AU349">
        <f>IF(AND($B$349&lt;0,$AS$349),4,$B$349)</f>
        <v/>
      </c>
      <c r="AV349" t="n">
        <v>3</v>
      </c>
      <c r="AW349">
        <f>IF($AU$349&lt;4,0,MIN(MAX(0.5,Canh_bao_vong!$D$4),MAX(IF(Vu_khi!$C$349="cal_406",Canh_bao_vong!$D$7,IF($AU$349&gt;=5,Canh_bao_vong!$D$9,Canh_bao_vong!$D$8)),Canh_bao_vong!$D$2+MAX(0,Vu_khi!$X$349)/MAX(0.1,Canh_bao_vong!$D$5))))</f>
        <v/>
      </c>
      <c r="AX349" t="n">
        <v>0</v>
      </c>
      <c r="AY349" t="n">
        <v>1</v>
      </c>
      <c r="AZ349" t="inlineStr">
        <is>
          <t>ok</t>
        </is>
      </c>
      <c r="BA349" t="inlineStr"/>
      <c r="BB349" t="inlineStr">
        <is>
          <t>Assets/MachineBrigade/Resources/Data/balance.json: weapons[id=turret_rockets_cluster] (lớp B trên 01_chien_dau/Vu_khi)</t>
        </is>
      </c>
      <c r="BC349" t="inlineStr"/>
    </row>
    <row r="350">
      <c r="A350" t="inlineStr">
        <is>
          <t>turret_thermobaric</t>
        </is>
      </c>
      <c r="B350" t="n">
        <v>3</v>
      </c>
      <c r="C350">
        <f>IF(Vu_khi!$O$350="SIMULTANEOUS",MAX(1,Vu_khi!$N$350),1)</f>
        <v/>
      </c>
      <c r="D350" t="n">
        <v>1</v>
      </c>
      <c r="E350">
        <f>IF(Vu_khi!$S$350&gt;0,Vu_khi!$S$350,Vu_khi!$P$350*$C$350)</f>
        <v/>
      </c>
      <c r="F350" t="n">
        <v>7</v>
      </c>
      <c r="G350">
        <f>IF(Vu_khi!$S$350&gt;0,(Vu_khi!$S$350-1)*Vu_khi!$R$350+Vu_khi!$T$350,Vu_khi!$R$350+(Vu_khi!$P$350-1)*Vu_khi!$Q$350)</f>
        <v/>
      </c>
      <c r="H350" t="n">
        <v>7.819999999999999</v>
      </c>
      <c r="I350">
        <f>Vu_khi!$W$350*MAX(1,$E$350)</f>
        <v/>
      </c>
      <c r="J350" t="n">
        <v>462</v>
      </c>
      <c r="K350">
        <f>IF(Vu_khi!$V$350&gt;0,Vu_khi!$V$350,MIN(28,MAX(10,Vu_khi!$U$350*Vu_khi!$R$350*0.4)))</f>
        <v/>
      </c>
      <c r="L350" t="n">
        <v>10</v>
      </c>
      <c r="M350">
        <f>IF(Vu_khi!$W$350&lt;=0,0,IF(Vu_khi!$U$350&gt;0,$I$350*Vu_khi!$U$350/(MAX(0.05,$G$350)*Vu_khi!$U$350+$K$350),$I$350/MAX(0.05,$G$350)))</f>
        <v/>
      </c>
      <c r="N350" t="n">
        <v>59.07928388746804</v>
      </c>
      <c r="O350">
        <f>OR(Vu_khi!$AG$350,Vu_khi!$AB$350&gt;0,Vu_khi!$AH$350,Vu_khi!$M$350="Bomb",Vu_khi!$M$350="Drone")</f>
        <v/>
      </c>
      <c r="P350" t="b">
        <v>1</v>
      </c>
      <c r="Q350">
        <f>AND(NOT(Vu_khi!$AJ$350),OR(Vu_khi!$AC$350="Ground",Vu_khi!$AC$350="All"))</f>
        <v/>
      </c>
      <c r="R350" t="b">
        <v>1</v>
      </c>
      <c r="S350">
        <f>AND(NOT(Vu_khi!$AJ$350),OR(Vu_khi!$AC$350="Air",Vu_khi!$AC$350="All"))</f>
        <v/>
      </c>
      <c r="T350" t="b">
        <v>0</v>
      </c>
      <c r="U350">
        <f>INDEX(Bang_sat_thuong!$B$2:$B$7,MATCH(Vu_khi!$K$350,Bang_sat_thuong!$A$2:$A$7,0))</f>
        <v/>
      </c>
      <c r="V350" t="n">
        <v>1</v>
      </c>
      <c r="W350">
        <f>INDEX(Bang_sat_thuong!$C$2:$C$7,MATCH(Vu_khi!$K$350,Bang_sat_thuong!$A$2:$A$7,0))</f>
        <v/>
      </c>
      <c r="X350" t="n">
        <v>0</v>
      </c>
      <c r="Y350">
        <f>IF(AND(Vu_khi!$AI$350,Vu_khi!$K$350="HighExplosive"),MAX(He_so_toan_cuc!$D$2,INDEX(Bang_sat_thuong!$D$2:$D$7,MATCH(Vu_khi!$K$350,Bang_sat_thuong!$A$2:$A$7,0))),INDEX(Bang_sat_thuong!$D$2:$D$7,MATCH(Vu_khi!$K$350,Bang_sat_thuong!$A$2:$A$7,0)))</f>
        <v/>
      </c>
      <c r="Z350" t="n">
        <v>2</v>
      </c>
      <c r="AA350">
        <f>INDEX(Bang_xuyen_giap!$C$2:$C$7,MIN(6,MAX(1,IF($O$350,MAX(1,2-(Vu_khi!$L$350-0)),2-(Vu_khi!$L$350-0))+1)))</f>
        <v/>
      </c>
      <c r="AB350" t="n">
        <v>1</v>
      </c>
      <c r="AC350">
        <f>INDEX(Bang_xuyen_giap!$C$2:$C$7,MIN(6,MAX(1,IF($O$350,MAX(1,2-(Vu_khi!$L$350-2)),2-(Vu_khi!$L$350-2))+1)))</f>
        <v/>
      </c>
      <c r="AD350" t="n">
        <v>0.85</v>
      </c>
      <c r="AE350">
        <f>INDEX(Bang_xuyen_giap!$C$2:$C$7,MIN(6,MAX(1,IF($O$350,MAX(1,2-(Vu_khi!$L$350-4)),2-(Vu_khi!$L$350-4))+1)))</f>
        <v/>
      </c>
      <c r="AF350" t="n">
        <v>0.25</v>
      </c>
      <c r="AG350">
        <f>INDEX(Bang_xuyen_giap!$C$2:$C$7,MIN(6,MAX(1,MAX(1,2-(Vu_khi!$L$350-0))+1)))</f>
        <v/>
      </c>
      <c r="AH350" t="n">
        <v>1</v>
      </c>
      <c r="AI350">
        <f>IF($Q$350,$M$350*$AA$350*$U$350,0)</f>
        <v/>
      </c>
      <c r="AJ350" t="n">
        <v>59.07928388746804</v>
      </c>
      <c r="AK350">
        <f>IF($Q$350,$M$350*$AC$350*$U$350,0)</f>
        <v/>
      </c>
      <c r="AL350" t="n">
        <v>50.21739130434783</v>
      </c>
      <c r="AM350">
        <f>IF($Q$350,$M$350*$AE$350*$U$350,0)</f>
        <v/>
      </c>
      <c r="AN350" t="n">
        <v>14.76982097186701</v>
      </c>
      <c r="AO350">
        <f>IF($Q$350,$M$350*$AC$350*$Y$350,0)</f>
        <v/>
      </c>
      <c r="AP350" t="n">
        <v>100.4347826086957</v>
      </c>
      <c r="AQ350">
        <f>IF($S$350,$M$350*$AG$350*$W$350,0)</f>
        <v/>
      </c>
      <c r="AR350" t="n">
        <v>0</v>
      </c>
      <c r="AS350">
        <f>IF(OR(Vu_khi!$M$350="Missile",Vu_khi!$M$350="Drone",AND(Vu_khi!$M$350="Rocket",OR(Vu_khi!$AM$350,Vu_khi!$D$350="guided")),Vu_khi!$AL$350,Vu_khi!$AK$350,Vu_khi!$X$350&lt;=0),FALSE,IF($B$350&gt;=0,$B$350&gt;=4,IF(Vu_khi!$M$350="Shell",Vu_khi!$AN$350&gt;=Canh_bao_vong!$D$10,IF(Vu_khi!$M$350="Bomb",Vu_khi!$AN$350&gt;=Canh_bao_vong!$D$3,IF(Vu_khi!$M$350="Rocket",Vu_khi!$AN$350&gt;=Canh_bao_vong!$D$13,FALSE)))))</f>
        <v/>
      </c>
      <c r="AT350" t="b">
        <v>0</v>
      </c>
      <c r="AU350">
        <f>IF(AND($B$350&lt;0,$AS$350),4,$B$350)</f>
        <v/>
      </c>
      <c r="AV350" t="n">
        <v>3</v>
      </c>
      <c r="AW350">
        <f>IF($AU$350&lt;4,0,MIN(MAX(0.5,Canh_bao_vong!$D$4),MAX(IF(Vu_khi!$C$350="cal_406",Canh_bao_vong!$D$7,IF($AU$350&gt;=5,Canh_bao_vong!$D$9,Canh_bao_vong!$D$8)),Canh_bao_vong!$D$2+MAX(0,Vu_khi!$X$350)/MAX(0.1,Canh_bao_vong!$D$5))))</f>
        <v/>
      </c>
      <c r="AX350" t="n">
        <v>0</v>
      </c>
      <c r="AY350" t="n">
        <v>0.24</v>
      </c>
      <c r="AZ350" t="inlineStr">
        <is>
          <t>NHANH_QUA;LECH_DOT_1</t>
        </is>
      </c>
      <c r="BA350" t="inlineStr"/>
      <c r="BB350" t="inlineStr">
        <is>
          <t>Assets/MachineBrigade/Resources/Data/balance.json: weapons[id=turret_thermobaric] (lớp B trên 01_chien_dau/Vu_khi)</t>
        </is>
      </c>
      <c r="BC350" t="inlineStr"/>
    </row>
    <row r="351">
      <c r="A351" t="inlineStr">
        <is>
          <t>twin_30_bmpt</t>
        </is>
      </c>
      <c r="B351" t="n">
        <v>1</v>
      </c>
      <c r="C351">
        <f>IF(Vu_khi!$O$351="SIMULTANEOUS",MAX(1,Vu_khi!$N$351),1)</f>
        <v/>
      </c>
      <c r="D351" t="n">
        <v>1</v>
      </c>
      <c r="E351">
        <f>IF(Vu_khi!$S$351&gt;0,Vu_khi!$S$351,Vu_khi!$P$351*$C$351)</f>
        <v/>
      </c>
      <c r="F351" t="n">
        <v>12</v>
      </c>
      <c r="G351">
        <f>IF(Vu_khi!$S$351&gt;0,(Vu_khi!$S$351-1)*Vu_khi!$R$351+Vu_khi!$T$351,Vu_khi!$R$351+(Vu_khi!$P$351-1)*Vu_khi!$Q$351)</f>
        <v/>
      </c>
      <c r="H351" t="n">
        <v>2.4996</v>
      </c>
      <c r="I351">
        <f>Vu_khi!$W$351*MAX(1,$E$351)</f>
        <v/>
      </c>
      <c r="J351" t="n">
        <v>264</v>
      </c>
      <c r="K351">
        <f>IF(Vu_khi!$V$351&gt;0,Vu_khi!$V$351,MIN(28,MAX(10,Vu_khi!$U$351*Vu_khi!$R$351*0.4)))</f>
        <v/>
      </c>
      <c r="L351" t="n">
        <v>10</v>
      </c>
      <c r="M351">
        <f>IF(Vu_khi!$W$351&lt;=0,0,IF(Vu_khi!$U$351&gt;0,$I$351*Vu_khi!$U$351/(MAX(0.05,$G$351)*Vu_khi!$U$351+$K$351),$I$351/MAX(0.05,$G$351)))</f>
        <v/>
      </c>
      <c r="N351" t="n">
        <v>105.6168987037926</v>
      </c>
      <c r="O351">
        <f>OR(Vu_khi!$AG$351,Vu_khi!$AB$351&gt;0,Vu_khi!$AH$351,Vu_khi!$M$351="Bomb",Vu_khi!$M$351="Drone")</f>
        <v/>
      </c>
      <c r="P351" t="b">
        <v>0</v>
      </c>
      <c r="Q351">
        <f>AND(NOT(Vu_khi!$AJ$351),OR(Vu_khi!$AC$351="Ground",Vu_khi!$AC$351="All"))</f>
        <v/>
      </c>
      <c r="R351" t="b">
        <v>1</v>
      </c>
      <c r="S351">
        <f>AND(NOT(Vu_khi!$AJ$351),OR(Vu_khi!$AC$351="Air",Vu_khi!$AC$351="All"))</f>
        <v/>
      </c>
      <c r="T351" t="b">
        <v>0</v>
      </c>
      <c r="U351">
        <f>INDEX(Bang_sat_thuong!$B$2:$B$7,MATCH(Vu_khi!$K$351,Bang_sat_thuong!$A$2:$A$7,0))</f>
        <v/>
      </c>
      <c r="V351" t="n">
        <v>1</v>
      </c>
      <c r="W351">
        <f>INDEX(Bang_sat_thuong!$C$2:$C$7,MATCH(Vu_khi!$K$351,Bang_sat_thuong!$A$2:$A$7,0))</f>
        <v/>
      </c>
      <c r="X351" t="n">
        <v>0.3</v>
      </c>
      <c r="Y351">
        <f>IF(AND(Vu_khi!$AI$351,Vu_khi!$K$351="HighExplosive"),MAX(He_so_toan_cuc!$D$2,INDEX(Bang_sat_thuong!$D$2:$D$7,MATCH(Vu_khi!$K$351,Bang_sat_thuong!$A$2:$A$7,0))),INDEX(Bang_sat_thuong!$D$2:$D$7,MATCH(Vu_khi!$K$351,Bang_sat_thuong!$A$2:$A$7,0)))</f>
        <v/>
      </c>
      <c r="Z351" t="n">
        <v>0.6</v>
      </c>
      <c r="AA351">
        <f>INDEX(Bang_xuyen_giap!$C$2:$C$7,MIN(6,MAX(1,IF($O$351,MAX(1,2-(Vu_khi!$L$351-0)),2-(Vu_khi!$L$351-0))+1)))</f>
        <v/>
      </c>
      <c r="AB351" t="n">
        <v>1.2</v>
      </c>
      <c r="AC351">
        <f>INDEX(Bang_xuyen_giap!$C$2:$C$7,MIN(6,MAX(1,IF($O$351,MAX(1,2-(Vu_khi!$L$351-2)),2-(Vu_khi!$L$351-2))+1)))</f>
        <v/>
      </c>
      <c r="AD351" t="n">
        <v>0.85</v>
      </c>
      <c r="AE351">
        <f>INDEX(Bang_xuyen_giap!$C$2:$C$7,MIN(6,MAX(1,IF($O$351,MAX(1,2-(Vu_khi!$L$351-4)),2-(Vu_khi!$L$351-4))+1)))</f>
        <v/>
      </c>
      <c r="AF351" t="n">
        <v>0.25</v>
      </c>
      <c r="AG351">
        <f>INDEX(Bang_xuyen_giap!$C$2:$C$7,MIN(6,MAX(1,MAX(1,2-(Vu_khi!$L$351-0))+1)))</f>
        <v/>
      </c>
      <c r="AH351" t="n">
        <v>1</v>
      </c>
      <c r="AI351">
        <f>IF($Q$351,$M$351*$AA$351*$U$351,0)</f>
        <v/>
      </c>
      <c r="AJ351" t="n">
        <v>126.7402784445511</v>
      </c>
      <c r="AK351">
        <f>IF($Q$351,$M$351*$AC$351*$U$351,0)</f>
        <v/>
      </c>
      <c r="AL351" t="n">
        <v>89.77436389822371</v>
      </c>
      <c r="AM351">
        <f>IF($Q$351,$M$351*$AE$351*$U$351,0)</f>
        <v/>
      </c>
      <c r="AN351" t="n">
        <v>26.40422467594815</v>
      </c>
      <c r="AO351">
        <f>IF($Q$351,$M$351*$AC$351*$Y$351,0)</f>
        <v/>
      </c>
      <c r="AP351" t="n">
        <v>53.86461833893423</v>
      </c>
      <c r="AQ351">
        <f>IF($S$351,$M$351*$AG$351*$W$351,0)</f>
        <v/>
      </c>
      <c r="AR351" t="n">
        <v>0</v>
      </c>
      <c r="AS351">
        <f>IF(OR(Vu_khi!$M$351="Missile",Vu_khi!$M$351="Drone",AND(Vu_khi!$M$351="Rocket",OR(Vu_khi!$AM$351,Vu_khi!$D$351="guided")),Vu_khi!$AL$351,Vu_khi!$AK$351,Vu_khi!$X$351&lt;=0),FALSE,IF($B$351&gt;=0,$B$351&gt;=4,IF(Vu_khi!$M$351="Shell",Vu_khi!$AN$351&gt;=Canh_bao_vong!$D$10,IF(Vu_khi!$M$351="Bomb",Vu_khi!$AN$351&gt;=Canh_bao_vong!$D$3,IF(Vu_khi!$M$351="Rocket",Vu_khi!$AN$351&gt;=Canh_bao_vong!$D$13,FALSE)))))</f>
        <v/>
      </c>
      <c r="AT351" t="b">
        <v>0</v>
      </c>
      <c r="AU351">
        <f>IF(AND($B$351&lt;0,$AS$351),4,$B$351)</f>
        <v/>
      </c>
      <c r="AV351" t="n">
        <v>1</v>
      </c>
      <c r="AW351">
        <f>IF($AU$351&lt;4,0,MIN(MAX(0.5,Canh_bao_vong!$D$4),MAX(IF(Vu_khi!$C$351="cal_406",Canh_bao_vong!$D$7,IF($AU$351&gt;=5,Canh_bao_vong!$D$9,Canh_bao_vong!$D$8)),Canh_bao_vong!$D$2+MAX(0,Vu_khi!$X$351)/MAX(0.1,Canh_bao_vong!$D$5))))</f>
        <v/>
      </c>
      <c r="AX351" t="n">
        <v>0</v>
      </c>
      <c r="AY351" t="n">
        <v>5.554667</v>
      </c>
      <c r="AZ351" t="inlineStr">
        <is>
          <t>CHAM_QUA</t>
        </is>
      </c>
      <c r="BA351" t="inlineStr"/>
      <c r="BB351" t="inlineStr">
        <is>
          <t>Assets/MachineBrigade/Resources/Data/balance.json: weapons[id=twin_30_bmpt] (lớp B trên 01_chien_dau/Vu_khi)</t>
        </is>
      </c>
      <c r="BC351" t="inlineStr"/>
    </row>
    <row r="352">
      <c r="A352" t="inlineStr">
        <is>
          <t>twin_30_bmpt_flak</t>
        </is>
      </c>
      <c r="B352" t="n">
        <v>1</v>
      </c>
      <c r="C352">
        <f>IF(Vu_khi!$O$352="SIMULTANEOUS",MAX(1,Vu_khi!$N$352),1)</f>
        <v/>
      </c>
      <c r="D352" t="n">
        <v>1</v>
      </c>
      <c r="E352">
        <f>IF(Vu_khi!$S$352&gt;0,Vu_khi!$S$352,Vu_khi!$P$352*$C$352)</f>
        <v/>
      </c>
      <c r="F352" t="n">
        <v>12</v>
      </c>
      <c r="G352">
        <f>IF(Vu_khi!$S$352&gt;0,(Vu_khi!$S$352-1)*Vu_khi!$R$352+Vu_khi!$T$352,Vu_khi!$R$352+(Vu_khi!$P$352-1)*Vu_khi!$Q$352)</f>
        <v/>
      </c>
      <c r="H352" t="n">
        <v>2.4996</v>
      </c>
      <c r="I352">
        <f>Vu_khi!$W$352*MAX(1,$E$352)</f>
        <v/>
      </c>
      <c r="J352" t="n">
        <v>264</v>
      </c>
      <c r="K352">
        <f>IF(Vu_khi!$V$352&gt;0,Vu_khi!$V$352,MIN(28,MAX(10,Vu_khi!$U$352*Vu_khi!$R$352*0.4)))</f>
        <v/>
      </c>
      <c r="L352" t="n">
        <v>10</v>
      </c>
      <c r="M352">
        <f>IF(Vu_khi!$W$352&lt;=0,0,IF(Vu_khi!$U$352&gt;0,$I$352*Vu_khi!$U$352/(MAX(0.05,$G$352)*Vu_khi!$U$352+$K$352),$I$352/MAX(0.05,$G$352)))</f>
        <v/>
      </c>
      <c r="N352" t="n">
        <v>105.6168987037926</v>
      </c>
      <c r="O352">
        <f>OR(Vu_khi!$AG$352,Vu_khi!$AB$352&gt;0,Vu_khi!$AH$352,Vu_khi!$M$352="Bomb",Vu_khi!$M$352="Drone")</f>
        <v/>
      </c>
      <c r="P352" t="b">
        <v>0</v>
      </c>
      <c r="Q352">
        <f>AND(NOT(Vu_khi!$AJ$352),OR(Vu_khi!$AC$352="Ground",Vu_khi!$AC$352="All"))</f>
        <v/>
      </c>
      <c r="R352" t="b">
        <v>0</v>
      </c>
      <c r="S352">
        <f>AND(NOT(Vu_khi!$AJ$352),OR(Vu_khi!$AC$352="Air",Vu_khi!$AC$352="All"))</f>
        <v/>
      </c>
      <c r="T352" t="b">
        <v>1</v>
      </c>
      <c r="U352">
        <f>INDEX(Bang_sat_thuong!$B$2:$B$7,MATCH(Vu_khi!$K$352,Bang_sat_thuong!$A$2:$A$7,0))</f>
        <v/>
      </c>
      <c r="V352" t="n">
        <v>0.5</v>
      </c>
      <c r="W352">
        <f>INDEX(Bang_sat_thuong!$C$2:$C$7,MATCH(Vu_khi!$K$352,Bang_sat_thuong!$A$2:$A$7,0))</f>
        <v/>
      </c>
      <c r="X352" t="n">
        <v>1.3</v>
      </c>
      <c r="Y352">
        <f>IF(AND(Vu_khi!$AI$352,Vu_khi!$K$352="HighExplosive"),MAX(He_so_toan_cuc!$D$2,INDEX(Bang_sat_thuong!$D$2:$D$7,MATCH(Vu_khi!$K$352,Bang_sat_thuong!$A$2:$A$7,0))),INDEX(Bang_sat_thuong!$D$2:$D$7,MATCH(Vu_khi!$K$352,Bang_sat_thuong!$A$2:$A$7,0)))</f>
        <v/>
      </c>
      <c r="Z352" t="n">
        <v>0.1</v>
      </c>
      <c r="AA352">
        <f>INDEX(Bang_xuyen_giap!$C$2:$C$7,MIN(6,MAX(1,IF($O$352,MAX(1,2-(Vu_khi!$L$352-0)),2-(Vu_khi!$L$352-0))+1)))</f>
        <v/>
      </c>
      <c r="AB352" t="n">
        <v>1.2</v>
      </c>
      <c r="AC352">
        <f>INDEX(Bang_xuyen_giap!$C$2:$C$7,MIN(6,MAX(1,IF($O$352,MAX(1,2-(Vu_khi!$L$352-2)),2-(Vu_khi!$L$352-2))+1)))</f>
        <v/>
      </c>
      <c r="AD352" t="n">
        <v>0.85</v>
      </c>
      <c r="AE352">
        <f>INDEX(Bang_xuyen_giap!$C$2:$C$7,MIN(6,MAX(1,IF($O$352,MAX(1,2-(Vu_khi!$L$352-4)),2-(Vu_khi!$L$352-4))+1)))</f>
        <v/>
      </c>
      <c r="AF352" t="n">
        <v>0.25</v>
      </c>
      <c r="AG352">
        <f>INDEX(Bang_xuyen_giap!$C$2:$C$7,MIN(6,MAX(1,MAX(1,2-(Vu_khi!$L$352-0))+1)))</f>
        <v/>
      </c>
      <c r="AH352" t="n">
        <v>1</v>
      </c>
      <c r="AI352">
        <f>IF($Q$352,$M$352*$AA$352*$U$352,0)</f>
        <v/>
      </c>
      <c r="AJ352" t="n">
        <v>0</v>
      </c>
      <c r="AK352">
        <f>IF($Q$352,$M$352*$AC$352*$U$352,0)</f>
        <v/>
      </c>
      <c r="AL352" t="n">
        <v>0</v>
      </c>
      <c r="AM352">
        <f>IF($Q$352,$M$352*$AE$352*$U$352,0)</f>
        <v/>
      </c>
      <c r="AN352" t="n">
        <v>0</v>
      </c>
      <c r="AO352">
        <f>IF($Q$352,$M$352*$AC$352*$Y$352,0)</f>
        <v/>
      </c>
      <c r="AP352" t="n">
        <v>0</v>
      </c>
      <c r="AQ352">
        <f>IF($S$352,$M$352*$AG$352*$W$352,0)</f>
        <v/>
      </c>
      <c r="AR352" t="n">
        <v>137.3019683149304</v>
      </c>
      <c r="AS352">
        <f>IF(OR(Vu_khi!$M$352="Missile",Vu_khi!$M$352="Drone",AND(Vu_khi!$M$352="Rocket",OR(Vu_khi!$AM$352,Vu_khi!$D$352="guided")),Vu_khi!$AL$352,Vu_khi!$AK$352,Vu_khi!$X$352&lt;=0),FALSE,IF($B$352&gt;=0,$B$352&gt;=4,IF(Vu_khi!$M$352="Shell",Vu_khi!$AN$352&gt;=Canh_bao_vong!$D$10,IF(Vu_khi!$M$352="Bomb",Vu_khi!$AN$352&gt;=Canh_bao_vong!$D$3,IF(Vu_khi!$M$352="Rocket",Vu_khi!$AN$352&gt;=Canh_bao_vong!$D$13,FALSE)))))</f>
        <v/>
      </c>
      <c r="AT352" t="b">
        <v>0</v>
      </c>
      <c r="AU352">
        <f>IF(AND($B$352&lt;0,$AS$352),4,$B$352)</f>
        <v/>
      </c>
      <c r="AV352" t="n">
        <v>1</v>
      </c>
      <c r="AW352">
        <f>IF($AU$352&lt;4,0,MIN(MAX(0.5,Canh_bao_vong!$D$4),MAX(IF(Vu_khi!$C$352="cal_406",Canh_bao_vong!$D$7,IF($AU$352&gt;=5,Canh_bao_vong!$D$9,Canh_bao_vong!$D$8)),Canh_bao_vong!$D$2+MAX(0,Vu_khi!$X$352)/MAX(0.1,Canh_bao_vong!$D$5))))</f>
        <v/>
      </c>
      <c r="AX352" t="n">
        <v>0</v>
      </c>
      <c r="BB352" t="inlineStr">
        <is>
          <t>Assets/MachineBrigade/Resources/Data/balance.json: weapons[id=twin_30_bmpt_flak] (lớp B trên 01_chien_dau/Vu_khi)</t>
        </is>
      </c>
      <c r="BC352" t="inlineStr"/>
    </row>
    <row r="353">
      <c r="A353" t="inlineStr">
        <is>
          <t>twin_30_flak</t>
        </is>
      </c>
      <c r="B353" t="n">
        <v>1</v>
      </c>
      <c r="C353">
        <f>IF(Vu_khi!$O$353="SIMULTANEOUS",MAX(1,Vu_khi!$N$353),1)</f>
        <v/>
      </c>
      <c r="D353" t="n">
        <v>1</v>
      </c>
      <c r="E353">
        <f>IF(Vu_khi!$S$353&gt;0,Vu_khi!$S$353,Vu_khi!$P$353*$C$353)</f>
        <v/>
      </c>
      <c r="F353" t="n">
        <v>160</v>
      </c>
      <c r="G353">
        <f>IF(Vu_khi!$S$353&gt;0,(Vu_khi!$S$353-1)*Vu_khi!$R$353+Vu_khi!$T$353,Vu_khi!$R$353+(Vu_khi!$P$353-1)*Vu_khi!$Q$353)</f>
        <v/>
      </c>
      <c r="H353" t="n">
        <v>7</v>
      </c>
      <c r="I353">
        <f>Vu_khi!$W$353*MAX(1,$E$353)</f>
        <v/>
      </c>
      <c r="J353" t="n">
        <v>1200</v>
      </c>
      <c r="K353">
        <f>IF(Vu_khi!$V$353&gt;0,Vu_khi!$V$353,MIN(28,MAX(10,Vu_khi!$U$353*Vu_khi!$R$353*0.4)))</f>
        <v/>
      </c>
      <c r="L353" t="n">
        <v>10</v>
      </c>
      <c r="M353">
        <f>IF(Vu_khi!$W$353&lt;=0,0,IF(Vu_khi!$U$353&gt;0,$I$353*Vu_khi!$U$353/(MAX(0.05,$G$353)*Vu_khi!$U$353+$K$353),$I$353/MAX(0.05,$G$353)))</f>
        <v/>
      </c>
      <c r="N353" t="n">
        <v>171.4285714285714</v>
      </c>
      <c r="O353">
        <f>OR(Vu_khi!$AG$353,Vu_khi!$AB$353&gt;0,Vu_khi!$AH$353,Vu_khi!$M$353="Bomb",Vu_khi!$M$353="Drone")</f>
        <v/>
      </c>
      <c r="P353" t="b">
        <v>0</v>
      </c>
      <c r="Q353">
        <f>AND(NOT(Vu_khi!$AJ$353),OR(Vu_khi!$AC$353="Ground",Vu_khi!$AC$353="All"))</f>
        <v/>
      </c>
      <c r="R353" t="b">
        <v>1</v>
      </c>
      <c r="S353">
        <f>AND(NOT(Vu_khi!$AJ$353),OR(Vu_khi!$AC$353="Air",Vu_khi!$AC$353="All"))</f>
        <v/>
      </c>
      <c r="T353" t="b">
        <v>1</v>
      </c>
      <c r="U353">
        <f>INDEX(Bang_sat_thuong!$B$2:$B$7,MATCH(Vu_khi!$K$353,Bang_sat_thuong!$A$2:$A$7,0))</f>
        <v/>
      </c>
      <c r="V353" t="n">
        <v>0.5</v>
      </c>
      <c r="W353">
        <f>INDEX(Bang_sat_thuong!$C$2:$C$7,MATCH(Vu_khi!$K$353,Bang_sat_thuong!$A$2:$A$7,0))</f>
        <v/>
      </c>
      <c r="X353" t="n">
        <v>1.3</v>
      </c>
      <c r="Y353">
        <f>IF(AND(Vu_khi!$AI$353,Vu_khi!$K$353="HighExplosive"),MAX(He_so_toan_cuc!$D$2,INDEX(Bang_sat_thuong!$D$2:$D$7,MATCH(Vu_khi!$K$353,Bang_sat_thuong!$A$2:$A$7,0))),INDEX(Bang_sat_thuong!$D$2:$D$7,MATCH(Vu_khi!$K$353,Bang_sat_thuong!$A$2:$A$7,0)))</f>
        <v/>
      </c>
      <c r="Z353" t="n">
        <v>0.1</v>
      </c>
      <c r="AA353">
        <f>INDEX(Bang_xuyen_giap!$C$2:$C$7,MIN(6,MAX(1,IF($O$353,MAX(1,2-(Vu_khi!$L$353-0)),2-(Vu_khi!$L$353-0))+1)))</f>
        <v/>
      </c>
      <c r="AB353" t="n">
        <v>1.2</v>
      </c>
      <c r="AC353">
        <f>INDEX(Bang_xuyen_giap!$C$2:$C$7,MIN(6,MAX(1,IF($O$353,MAX(1,2-(Vu_khi!$L$353-2)),2-(Vu_khi!$L$353-2))+1)))</f>
        <v/>
      </c>
      <c r="AD353" t="n">
        <v>0.85</v>
      </c>
      <c r="AE353">
        <f>INDEX(Bang_xuyen_giap!$C$2:$C$7,MIN(6,MAX(1,IF($O$353,MAX(1,2-(Vu_khi!$L$353-4)),2-(Vu_khi!$L$353-4))+1)))</f>
        <v/>
      </c>
      <c r="AF353" t="n">
        <v>0.25</v>
      </c>
      <c r="AG353">
        <f>INDEX(Bang_xuyen_giap!$C$2:$C$7,MIN(6,MAX(1,MAX(1,2-(Vu_khi!$L$353-0))+1)))</f>
        <v/>
      </c>
      <c r="AH353" t="n">
        <v>1</v>
      </c>
      <c r="AI353">
        <f>IF($Q$353,$M$353*$AA$353*$U$353,0)</f>
        <v/>
      </c>
      <c r="AJ353" t="n">
        <v>102.8571428571428</v>
      </c>
      <c r="AK353">
        <f>IF($Q$353,$M$353*$AC$353*$U$353,0)</f>
        <v/>
      </c>
      <c r="AL353" t="n">
        <v>72.85714285714285</v>
      </c>
      <c r="AM353">
        <f>IF($Q$353,$M$353*$AE$353*$U$353,0)</f>
        <v/>
      </c>
      <c r="AN353" t="n">
        <v>21.42857142857143</v>
      </c>
      <c r="AO353">
        <f>IF($Q$353,$M$353*$AC$353*$Y$353,0)</f>
        <v/>
      </c>
      <c r="AP353" t="n">
        <v>14.57142857142857</v>
      </c>
      <c r="AQ353">
        <f>IF($S$353,$M$353*$AG$353*$W$353,0)</f>
        <v/>
      </c>
      <c r="AR353" t="n">
        <v>222.8571428571429</v>
      </c>
      <c r="AS353">
        <f>IF(OR(Vu_khi!$M$353="Missile",Vu_khi!$M$353="Drone",AND(Vu_khi!$M$353="Rocket",OR(Vu_khi!$AM$353,Vu_khi!$D$353="guided")),Vu_khi!$AL$353,Vu_khi!$AK$353,Vu_khi!$X$353&lt;=0),FALSE,IF($B$353&gt;=0,$B$353&gt;=4,IF(Vu_khi!$M$353="Shell",Vu_khi!$AN$353&gt;=Canh_bao_vong!$D$10,IF(Vu_khi!$M$353="Bomb",Vu_khi!$AN$353&gt;=Canh_bao_vong!$D$3,IF(Vu_khi!$M$353="Rocket",Vu_khi!$AN$353&gt;=Canh_bao_vong!$D$13,FALSE)))))</f>
        <v/>
      </c>
      <c r="AT353" t="b">
        <v>0</v>
      </c>
      <c r="AU353">
        <f>IF(AND($B$353&lt;0,$AS$353),4,$B$353)</f>
        <v/>
      </c>
      <c r="AV353" t="n">
        <v>1</v>
      </c>
      <c r="AW353">
        <f>IF($AU$353&lt;4,0,MIN(MAX(0.5,Canh_bao_vong!$D$4),MAX(IF(Vu_khi!$C$353="cal_406",Canh_bao_vong!$D$7,IF($AU$353&gt;=5,Canh_bao_vong!$D$9,Canh_bao_vong!$D$8)),Canh_bao_vong!$D$2+MAX(0,Vu_khi!$X$353)/MAX(0.1,Canh_bao_vong!$D$5))))</f>
        <v/>
      </c>
      <c r="AX353" t="n">
        <v>0</v>
      </c>
      <c r="AY353" t="n">
        <v>3.645833</v>
      </c>
      <c r="AZ353" t="inlineStr">
        <is>
          <t>ok</t>
        </is>
      </c>
      <c r="BA353" t="inlineStr"/>
      <c r="BB353" t="inlineStr">
        <is>
          <t>Assets/MachineBrigade/Resources/Data/balance.json: weapons[id=twin_30_flak] (lớp B trên 01_chien_dau/Vu_khi)</t>
        </is>
      </c>
      <c r="BC353" t="inlineStr"/>
    </row>
    <row r="354">
      <c r="A354" t="inlineStr">
        <is>
          <t>twin_30_flak_ap</t>
        </is>
      </c>
      <c r="B354" t="n">
        <v>1</v>
      </c>
      <c r="C354">
        <f>IF(Vu_khi!$O$354="SIMULTANEOUS",MAX(1,Vu_khi!$N$354),1)</f>
        <v/>
      </c>
      <c r="D354" t="n">
        <v>1</v>
      </c>
      <c r="E354">
        <f>IF(Vu_khi!$S$354&gt;0,Vu_khi!$S$354,Vu_khi!$P$354*$C$354)</f>
        <v/>
      </c>
      <c r="F354" t="n">
        <v>160</v>
      </c>
      <c r="G354">
        <f>IF(Vu_khi!$S$354&gt;0,(Vu_khi!$S$354-1)*Vu_khi!$R$354+Vu_khi!$T$354,Vu_khi!$R$354+(Vu_khi!$P$354-1)*Vu_khi!$Q$354)</f>
        <v/>
      </c>
      <c r="H354" t="n">
        <v>7</v>
      </c>
      <c r="I354">
        <f>Vu_khi!$W$354*MAX(1,$E$354)</f>
        <v/>
      </c>
      <c r="J354" t="n">
        <v>1200</v>
      </c>
      <c r="K354">
        <f>IF(Vu_khi!$V$354&gt;0,Vu_khi!$V$354,MIN(28,MAX(10,Vu_khi!$U$354*Vu_khi!$R$354*0.4)))</f>
        <v/>
      </c>
      <c r="L354" t="n">
        <v>10</v>
      </c>
      <c r="M354">
        <f>IF(Vu_khi!$W$354&lt;=0,0,IF(Vu_khi!$U$354&gt;0,$I$354*Vu_khi!$U$354/(MAX(0.05,$G$354)*Vu_khi!$U$354+$K$354),$I$354/MAX(0.05,$G$354)))</f>
        <v/>
      </c>
      <c r="N354" t="n">
        <v>171.4285714285714</v>
      </c>
      <c r="O354">
        <f>OR(Vu_khi!$AG$354,Vu_khi!$AB$354&gt;0,Vu_khi!$AH$354,Vu_khi!$M$354="Bomb",Vu_khi!$M$354="Drone")</f>
        <v/>
      </c>
      <c r="P354" t="b">
        <v>0</v>
      </c>
      <c r="Q354">
        <f>AND(NOT(Vu_khi!$AJ$354),OR(Vu_khi!$AC$354="Ground",Vu_khi!$AC$354="All"))</f>
        <v/>
      </c>
      <c r="R354" t="b">
        <v>1</v>
      </c>
      <c r="S354">
        <f>AND(NOT(Vu_khi!$AJ$354),OR(Vu_khi!$AC$354="Air",Vu_khi!$AC$354="All"))</f>
        <v/>
      </c>
      <c r="T354" t="b">
        <v>0</v>
      </c>
      <c r="U354">
        <f>INDEX(Bang_sat_thuong!$B$2:$B$7,MATCH(Vu_khi!$K$354,Bang_sat_thuong!$A$2:$A$7,0))</f>
        <v/>
      </c>
      <c r="V354" t="n">
        <v>1</v>
      </c>
      <c r="W354">
        <f>INDEX(Bang_sat_thuong!$C$2:$C$7,MATCH(Vu_khi!$K$354,Bang_sat_thuong!$A$2:$A$7,0))</f>
        <v/>
      </c>
      <c r="X354" t="n">
        <v>0.3</v>
      </c>
      <c r="Y354">
        <f>IF(AND(Vu_khi!$AI$354,Vu_khi!$K$354="HighExplosive"),MAX(He_so_toan_cuc!$D$2,INDEX(Bang_sat_thuong!$D$2:$D$7,MATCH(Vu_khi!$K$354,Bang_sat_thuong!$A$2:$A$7,0))),INDEX(Bang_sat_thuong!$D$2:$D$7,MATCH(Vu_khi!$K$354,Bang_sat_thuong!$A$2:$A$7,0)))</f>
        <v/>
      </c>
      <c r="Z354" t="n">
        <v>0.6</v>
      </c>
      <c r="AA354">
        <f>INDEX(Bang_xuyen_giap!$C$2:$C$7,MIN(6,MAX(1,IF($O$354,MAX(1,2-(Vu_khi!$L$354-0)),2-(Vu_khi!$L$354-0))+1)))</f>
        <v/>
      </c>
      <c r="AB354" t="n">
        <v>1.2</v>
      </c>
      <c r="AC354">
        <f>INDEX(Bang_xuyen_giap!$C$2:$C$7,MIN(6,MAX(1,IF($O$354,MAX(1,2-(Vu_khi!$L$354-2)),2-(Vu_khi!$L$354-2))+1)))</f>
        <v/>
      </c>
      <c r="AD354" t="n">
        <v>0.85</v>
      </c>
      <c r="AE354">
        <f>INDEX(Bang_xuyen_giap!$C$2:$C$7,MIN(6,MAX(1,IF($O$354,MAX(1,2-(Vu_khi!$L$354-4)),2-(Vu_khi!$L$354-4))+1)))</f>
        <v/>
      </c>
      <c r="AF354" t="n">
        <v>0.25</v>
      </c>
      <c r="AG354">
        <f>INDEX(Bang_xuyen_giap!$C$2:$C$7,MIN(6,MAX(1,MAX(1,2-(Vu_khi!$L$354-0))+1)))</f>
        <v/>
      </c>
      <c r="AH354" t="n">
        <v>1</v>
      </c>
      <c r="AI354">
        <f>IF($Q$354,$M$354*$AA$354*$U$354,0)</f>
        <v/>
      </c>
      <c r="AJ354" t="n">
        <v>205.7142857142857</v>
      </c>
      <c r="AK354">
        <f>IF($Q$354,$M$354*$AC$354*$U$354,0)</f>
        <v/>
      </c>
      <c r="AL354" t="n">
        <v>145.7142857142857</v>
      </c>
      <c r="AM354">
        <f>IF($Q$354,$M$354*$AE$354*$U$354,0)</f>
        <v/>
      </c>
      <c r="AN354" t="n">
        <v>42.85714285714285</v>
      </c>
      <c r="AO354">
        <f>IF($Q$354,$M$354*$AC$354*$Y$354,0)</f>
        <v/>
      </c>
      <c r="AP354" t="n">
        <v>87.42857142857143</v>
      </c>
      <c r="AQ354">
        <f>IF($S$354,$M$354*$AG$354*$W$354,0)</f>
        <v/>
      </c>
      <c r="AR354" t="n">
        <v>0</v>
      </c>
      <c r="AS354">
        <f>IF(OR(Vu_khi!$M$354="Missile",Vu_khi!$M$354="Drone",AND(Vu_khi!$M$354="Rocket",OR(Vu_khi!$AM$354,Vu_khi!$D$354="guided")),Vu_khi!$AL$354,Vu_khi!$AK$354,Vu_khi!$X$354&lt;=0),FALSE,IF($B$354&gt;=0,$B$354&gt;=4,IF(Vu_khi!$M$354="Shell",Vu_khi!$AN$354&gt;=Canh_bao_vong!$D$10,IF(Vu_khi!$M$354="Bomb",Vu_khi!$AN$354&gt;=Canh_bao_vong!$D$3,IF(Vu_khi!$M$354="Rocket",Vu_khi!$AN$354&gt;=Canh_bao_vong!$D$13,FALSE)))))</f>
        <v/>
      </c>
      <c r="AT354" t="b">
        <v>0</v>
      </c>
      <c r="AU354">
        <f>IF(AND($B$354&lt;0,$AS$354),4,$B$354)</f>
        <v/>
      </c>
      <c r="AV354" t="n">
        <v>1</v>
      </c>
      <c r="AW354">
        <f>IF($AU$354&lt;4,0,MIN(MAX(0.5,Canh_bao_vong!$D$4),MAX(IF(Vu_khi!$C$354="cal_406",Canh_bao_vong!$D$7,IF($AU$354&gt;=5,Canh_bao_vong!$D$9,Canh_bao_vong!$D$8)),Canh_bao_vong!$D$2+MAX(0,Vu_khi!$X$354)/MAX(0.1,Canh_bao_vong!$D$5))))</f>
        <v/>
      </c>
      <c r="AX354" t="n">
        <v>0</v>
      </c>
      <c r="BB354" t="inlineStr">
        <is>
          <t>Assets/MachineBrigade/Resources/Data/balance.json: weapons[id=twin_30_flak_ap] (lớp B trên 01_chien_dau/Vu_khi)</t>
        </is>
      </c>
      <c r="BC354" t="inlineStr"/>
    </row>
    <row r="355">
      <c r="A355" t="inlineStr">
        <is>
          <t>twin_35_ahead</t>
        </is>
      </c>
      <c r="B355" t="n">
        <v>1</v>
      </c>
      <c r="C355">
        <f>IF(Vu_khi!$O$355="SIMULTANEOUS",MAX(1,Vu_khi!$N$355),1)</f>
        <v/>
      </c>
      <c r="D355" t="n">
        <v>1</v>
      </c>
      <c r="E355">
        <f>IF(Vu_khi!$S$355&gt;0,Vu_khi!$S$355,Vu_khi!$P$355*$C$355)</f>
        <v/>
      </c>
      <c r="F355" t="n">
        <v>24</v>
      </c>
      <c r="G355">
        <f>IF(Vu_khi!$S$355&gt;0,(Vu_khi!$S$355-1)*Vu_khi!$R$355+Vu_khi!$T$355,Vu_khi!$R$355+(Vu_khi!$P$355-1)*Vu_khi!$Q$355)</f>
        <v/>
      </c>
      <c r="H355" t="n">
        <v>6.1288</v>
      </c>
      <c r="I355">
        <f>Vu_khi!$W$355*MAX(1,$E$355)</f>
        <v/>
      </c>
      <c r="J355" t="n">
        <v>624</v>
      </c>
      <c r="K355">
        <f>IF(Vu_khi!$V$355&gt;0,Vu_khi!$V$355,MIN(28,MAX(10,Vu_khi!$U$355*Vu_khi!$R$355*0.4)))</f>
        <v/>
      </c>
      <c r="L355" t="n">
        <v>10</v>
      </c>
      <c r="M355">
        <f>IF(Vu_khi!$W$355&lt;=0,0,IF(Vu_khi!$U$355&gt;0,$I$355*Vu_khi!$U$355/(MAX(0.05,$G$355)*Vu_khi!$U$355+$K$355),$I$355/MAX(0.05,$G$355)))</f>
        <v/>
      </c>
      <c r="N355" t="n">
        <v>101.8143845450985</v>
      </c>
      <c r="O355">
        <f>OR(Vu_khi!$AG$355,Vu_khi!$AB$355&gt;0,Vu_khi!$AH$355,Vu_khi!$M$355="Bomb",Vu_khi!$M$355="Drone")</f>
        <v/>
      </c>
      <c r="P355" t="b">
        <v>0</v>
      </c>
      <c r="Q355">
        <f>AND(NOT(Vu_khi!$AJ$355),OR(Vu_khi!$AC$355="Ground",Vu_khi!$AC$355="All"))</f>
        <v/>
      </c>
      <c r="R355" t="b">
        <v>1</v>
      </c>
      <c r="S355">
        <f>AND(NOT(Vu_khi!$AJ$355),OR(Vu_khi!$AC$355="Air",Vu_khi!$AC$355="All"))</f>
        <v/>
      </c>
      <c r="T355" t="b">
        <v>1</v>
      </c>
      <c r="U355">
        <f>INDEX(Bang_sat_thuong!$B$2:$B$7,MATCH(Vu_khi!$K$355,Bang_sat_thuong!$A$2:$A$7,0))</f>
        <v/>
      </c>
      <c r="V355" t="n">
        <v>0.5</v>
      </c>
      <c r="W355">
        <f>INDEX(Bang_sat_thuong!$C$2:$C$7,MATCH(Vu_khi!$K$355,Bang_sat_thuong!$A$2:$A$7,0))</f>
        <v/>
      </c>
      <c r="X355" t="n">
        <v>1.3</v>
      </c>
      <c r="Y355">
        <f>IF(AND(Vu_khi!$AI$355,Vu_khi!$K$355="HighExplosive"),MAX(He_so_toan_cuc!$D$2,INDEX(Bang_sat_thuong!$D$2:$D$7,MATCH(Vu_khi!$K$355,Bang_sat_thuong!$A$2:$A$7,0))),INDEX(Bang_sat_thuong!$D$2:$D$7,MATCH(Vu_khi!$K$355,Bang_sat_thuong!$A$2:$A$7,0)))</f>
        <v/>
      </c>
      <c r="Z355" t="n">
        <v>0.1</v>
      </c>
      <c r="AA355">
        <f>INDEX(Bang_xuyen_giap!$C$2:$C$7,MIN(6,MAX(1,IF($O$355,MAX(1,2-(Vu_khi!$L$355-0)),2-(Vu_khi!$L$355-0))+1)))</f>
        <v/>
      </c>
      <c r="AB355" t="n">
        <v>1.2</v>
      </c>
      <c r="AC355">
        <f>INDEX(Bang_xuyen_giap!$C$2:$C$7,MIN(6,MAX(1,IF($O$355,MAX(1,2-(Vu_khi!$L$355-2)),2-(Vu_khi!$L$355-2))+1)))</f>
        <v/>
      </c>
      <c r="AD355" t="n">
        <v>0.85</v>
      </c>
      <c r="AE355">
        <f>INDEX(Bang_xuyen_giap!$C$2:$C$7,MIN(6,MAX(1,IF($O$355,MAX(1,2-(Vu_khi!$L$355-4)),2-(Vu_khi!$L$355-4))+1)))</f>
        <v/>
      </c>
      <c r="AF355" t="n">
        <v>0.25</v>
      </c>
      <c r="AG355">
        <f>INDEX(Bang_xuyen_giap!$C$2:$C$7,MIN(6,MAX(1,MAX(1,2-(Vu_khi!$L$355-0))+1)))</f>
        <v/>
      </c>
      <c r="AH355" t="n">
        <v>1</v>
      </c>
      <c r="AI355">
        <f>IF($Q$355,$M$355*$AA$355*$U$355,0)</f>
        <v/>
      </c>
      <c r="AJ355" t="n">
        <v>61.08863072705913</v>
      </c>
      <c r="AK355">
        <f>IF($Q$355,$M$355*$AC$355*$U$355,0)</f>
        <v/>
      </c>
      <c r="AL355" t="n">
        <v>43.27111343166688</v>
      </c>
      <c r="AM355">
        <f>IF($Q$355,$M$355*$AE$355*$U$355,0)</f>
        <v/>
      </c>
      <c r="AN355" t="n">
        <v>12.72679806813732</v>
      </c>
      <c r="AO355">
        <f>IF($Q$355,$M$355*$AC$355*$Y$355,0)</f>
        <v/>
      </c>
      <c r="AP355" t="n">
        <v>8.654222686333377</v>
      </c>
      <c r="AQ355">
        <f>IF($S$355,$M$355*$AG$355*$W$355,0)</f>
        <v/>
      </c>
      <c r="AR355" t="n">
        <v>132.3586999086281</v>
      </c>
      <c r="AS355">
        <f>IF(OR(Vu_khi!$M$355="Missile",Vu_khi!$M$355="Drone",AND(Vu_khi!$M$355="Rocket",OR(Vu_khi!$AM$355,Vu_khi!$D$355="guided")),Vu_khi!$AL$355,Vu_khi!$AK$355,Vu_khi!$X$355&lt;=0),FALSE,IF($B$355&gt;=0,$B$355&gt;=4,IF(Vu_khi!$M$355="Shell",Vu_khi!$AN$355&gt;=Canh_bao_vong!$D$10,IF(Vu_khi!$M$355="Bomb",Vu_khi!$AN$355&gt;=Canh_bao_vong!$D$3,IF(Vu_khi!$M$355="Rocket",Vu_khi!$AN$355&gt;=Canh_bao_vong!$D$13,FALSE)))))</f>
        <v/>
      </c>
      <c r="AT355" t="b">
        <v>0</v>
      </c>
      <c r="AU355">
        <f>IF(AND($B$355&lt;0,$AS$355),4,$B$355)</f>
        <v/>
      </c>
      <c r="AV355" t="n">
        <v>1</v>
      </c>
      <c r="AW355">
        <f>IF($AU$355&lt;4,0,MIN(MAX(0.5,Canh_bao_vong!$D$4),MAX(IF(Vu_khi!$C$355="cal_406",Canh_bao_vong!$D$7,IF($AU$355&gt;=5,Canh_bao_vong!$D$9,Canh_bao_vong!$D$8)),Canh_bao_vong!$D$2+MAX(0,Vu_khi!$X$355)/MAX(0.1,Canh_bao_vong!$D$5))))</f>
        <v/>
      </c>
      <c r="AX355" t="n">
        <v>0</v>
      </c>
      <c r="AY355" t="n">
        <v>4.256111</v>
      </c>
      <c r="AZ355" t="inlineStr">
        <is>
          <t>LECH_DOT_1</t>
        </is>
      </c>
      <c r="BA355" t="inlineStr"/>
      <c r="BB355" t="inlineStr">
        <is>
          <t>Assets/MachineBrigade/Resources/Data/balance.json: weapons[id=twin_35_ahead] (lớp B trên 01_chien_dau/Vu_khi)</t>
        </is>
      </c>
      <c r="BC355" t="inlineStr"/>
    </row>
    <row r="356">
      <c r="A356" t="inlineStr">
        <is>
          <t>twin_35_ahead_ap</t>
        </is>
      </c>
      <c r="B356" t="n">
        <v>1</v>
      </c>
      <c r="C356">
        <f>IF(Vu_khi!$O$356="SIMULTANEOUS",MAX(1,Vu_khi!$N$356),1)</f>
        <v/>
      </c>
      <c r="D356" t="n">
        <v>1</v>
      </c>
      <c r="E356">
        <f>IF(Vu_khi!$S$356&gt;0,Vu_khi!$S$356,Vu_khi!$P$356*$C$356)</f>
        <v/>
      </c>
      <c r="F356" t="n">
        <v>24</v>
      </c>
      <c r="G356">
        <f>IF(Vu_khi!$S$356&gt;0,(Vu_khi!$S$356-1)*Vu_khi!$R$356+Vu_khi!$T$356,Vu_khi!$R$356+(Vu_khi!$P$356-1)*Vu_khi!$Q$356)</f>
        <v/>
      </c>
      <c r="H356" t="n">
        <v>6.1288</v>
      </c>
      <c r="I356">
        <f>Vu_khi!$W$356*MAX(1,$E$356)</f>
        <v/>
      </c>
      <c r="J356" t="n">
        <v>624</v>
      </c>
      <c r="K356">
        <f>IF(Vu_khi!$V$356&gt;0,Vu_khi!$V$356,MIN(28,MAX(10,Vu_khi!$U$356*Vu_khi!$R$356*0.4)))</f>
        <v/>
      </c>
      <c r="L356" t="n">
        <v>10</v>
      </c>
      <c r="M356">
        <f>IF(Vu_khi!$W$356&lt;=0,0,IF(Vu_khi!$U$356&gt;0,$I$356*Vu_khi!$U$356/(MAX(0.05,$G$356)*Vu_khi!$U$356+$K$356),$I$356/MAX(0.05,$G$356)))</f>
        <v/>
      </c>
      <c r="N356" t="n">
        <v>101.8143845450985</v>
      </c>
      <c r="O356">
        <f>OR(Vu_khi!$AG$356,Vu_khi!$AB$356&gt;0,Vu_khi!$AH$356,Vu_khi!$M$356="Bomb",Vu_khi!$M$356="Drone")</f>
        <v/>
      </c>
      <c r="P356" t="b">
        <v>0</v>
      </c>
      <c r="Q356">
        <f>AND(NOT(Vu_khi!$AJ$356),OR(Vu_khi!$AC$356="Ground",Vu_khi!$AC$356="All"))</f>
        <v/>
      </c>
      <c r="R356" t="b">
        <v>1</v>
      </c>
      <c r="S356">
        <f>AND(NOT(Vu_khi!$AJ$356),OR(Vu_khi!$AC$356="Air",Vu_khi!$AC$356="All"))</f>
        <v/>
      </c>
      <c r="T356" t="b">
        <v>0</v>
      </c>
      <c r="U356">
        <f>INDEX(Bang_sat_thuong!$B$2:$B$7,MATCH(Vu_khi!$K$356,Bang_sat_thuong!$A$2:$A$7,0))</f>
        <v/>
      </c>
      <c r="V356" t="n">
        <v>1</v>
      </c>
      <c r="W356">
        <f>INDEX(Bang_sat_thuong!$C$2:$C$7,MATCH(Vu_khi!$K$356,Bang_sat_thuong!$A$2:$A$7,0))</f>
        <v/>
      </c>
      <c r="X356" t="n">
        <v>0.3</v>
      </c>
      <c r="Y356">
        <f>IF(AND(Vu_khi!$AI$356,Vu_khi!$K$356="HighExplosive"),MAX(He_so_toan_cuc!$D$2,INDEX(Bang_sat_thuong!$D$2:$D$7,MATCH(Vu_khi!$K$356,Bang_sat_thuong!$A$2:$A$7,0))),INDEX(Bang_sat_thuong!$D$2:$D$7,MATCH(Vu_khi!$K$356,Bang_sat_thuong!$A$2:$A$7,0)))</f>
        <v/>
      </c>
      <c r="Z356" t="n">
        <v>0.6</v>
      </c>
      <c r="AA356">
        <f>INDEX(Bang_xuyen_giap!$C$2:$C$7,MIN(6,MAX(1,IF($O$356,MAX(1,2-(Vu_khi!$L$356-0)),2-(Vu_khi!$L$356-0))+1)))</f>
        <v/>
      </c>
      <c r="AB356" t="n">
        <v>1.2</v>
      </c>
      <c r="AC356">
        <f>INDEX(Bang_xuyen_giap!$C$2:$C$7,MIN(6,MAX(1,IF($O$356,MAX(1,2-(Vu_khi!$L$356-2)),2-(Vu_khi!$L$356-2))+1)))</f>
        <v/>
      </c>
      <c r="AD356" t="n">
        <v>0.85</v>
      </c>
      <c r="AE356">
        <f>INDEX(Bang_xuyen_giap!$C$2:$C$7,MIN(6,MAX(1,IF($O$356,MAX(1,2-(Vu_khi!$L$356-4)),2-(Vu_khi!$L$356-4))+1)))</f>
        <v/>
      </c>
      <c r="AF356" t="n">
        <v>0.25</v>
      </c>
      <c r="AG356">
        <f>INDEX(Bang_xuyen_giap!$C$2:$C$7,MIN(6,MAX(1,MAX(1,2-(Vu_khi!$L$356-0))+1)))</f>
        <v/>
      </c>
      <c r="AH356" t="n">
        <v>1</v>
      </c>
      <c r="AI356">
        <f>IF($Q$356,$M$356*$AA$356*$U$356,0)</f>
        <v/>
      </c>
      <c r="AJ356" t="n">
        <v>122.1772614541183</v>
      </c>
      <c r="AK356">
        <f>IF($Q$356,$M$356*$AC$356*$U$356,0)</f>
        <v/>
      </c>
      <c r="AL356" t="n">
        <v>86.54222686333377</v>
      </c>
      <c r="AM356">
        <f>IF($Q$356,$M$356*$AE$356*$U$356,0)</f>
        <v/>
      </c>
      <c r="AN356" t="n">
        <v>25.45359613627464</v>
      </c>
      <c r="AO356">
        <f>IF($Q$356,$M$356*$AC$356*$Y$356,0)</f>
        <v/>
      </c>
      <c r="AP356" t="n">
        <v>51.92533611800026</v>
      </c>
      <c r="AQ356">
        <f>IF($S$356,$M$356*$AG$356*$W$356,0)</f>
        <v/>
      </c>
      <c r="AR356" t="n">
        <v>0</v>
      </c>
      <c r="AS356">
        <f>IF(OR(Vu_khi!$M$356="Missile",Vu_khi!$M$356="Drone",AND(Vu_khi!$M$356="Rocket",OR(Vu_khi!$AM$356,Vu_khi!$D$356="guided")),Vu_khi!$AL$356,Vu_khi!$AK$356,Vu_khi!$X$356&lt;=0),FALSE,IF($B$356&gt;=0,$B$356&gt;=4,IF(Vu_khi!$M$356="Shell",Vu_khi!$AN$356&gt;=Canh_bao_vong!$D$10,IF(Vu_khi!$M$356="Bomb",Vu_khi!$AN$356&gt;=Canh_bao_vong!$D$3,IF(Vu_khi!$M$356="Rocket",Vu_khi!$AN$356&gt;=Canh_bao_vong!$D$13,FALSE)))))</f>
        <v/>
      </c>
      <c r="AT356" t="b">
        <v>0</v>
      </c>
      <c r="AU356">
        <f>IF(AND($B$356&lt;0,$AS$356),4,$B$356)</f>
        <v/>
      </c>
      <c r="AV356" t="n">
        <v>1</v>
      </c>
      <c r="AW356">
        <f>IF($AU$356&lt;4,0,MIN(MAX(0.5,Canh_bao_vong!$D$4),MAX(IF(Vu_khi!$C$356="cal_406",Canh_bao_vong!$D$7,IF($AU$356&gt;=5,Canh_bao_vong!$D$9,Canh_bao_vong!$D$8)),Canh_bao_vong!$D$2+MAX(0,Vu_khi!$X$356)/MAX(0.1,Canh_bao_vong!$D$5))))</f>
        <v/>
      </c>
      <c r="AX356" t="n">
        <v>0</v>
      </c>
      <c r="BB356" t="inlineStr">
        <is>
          <t>Assets/MachineBrigade/Resources/Data/balance.json: weapons[id=twin_35_ahead_ap] (lớp B trên 01_chien_dau/Vu_khi)</t>
        </is>
      </c>
      <c r="BC356" t="inlineStr"/>
    </row>
    <row r="357">
      <c r="A357" t="inlineStr">
        <is>
          <t>vikhr</t>
        </is>
      </c>
      <c r="B357" t="n">
        <v>2</v>
      </c>
      <c r="C357">
        <f>IF(Vu_khi!$O$357="SIMULTANEOUS",MAX(1,Vu_khi!$N$357),1)</f>
        <v/>
      </c>
      <c r="D357" t="n">
        <v>1</v>
      </c>
      <c r="E357">
        <f>IF(Vu_khi!$S$357&gt;0,Vu_khi!$S$357,Vu_khi!$P$357*$C$357)</f>
        <v/>
      </c>
      <c r="F357" t="n">
        <v>2</v>
      </c>
      <c r="G357">
        <f>IF(Vu_khi!$S$357&gt;0,(Vu_khi!$S$357-1)*Vu_khi!$R$357+Vu_khi!$T$357,Vu_khi!$R$357+(Vu_khi!$P$357-1)*Vu_khi!$Q$357)</f>
        <v/>
      </c>
      <c r="H357" t="n">
        <v>7.55</v>
      </c>
      <c r="I357">
        <f>Vu_khi!$W$357*MAX(1,$E$357)</f>
        <v/>
      </c>
      <c r="J357" t="n">
        <v>500</v>
      </c>
      <c r="K357">
        <f>IF(Vu_khi!$V$357&gt;0,Vu_khi!$V$357,MIN(28,MAX(10,Vu_khi!$U$357*Vu_khi!$R$357*0.4)))</f>
        <v/>
      </c>
      <c r="L357" t="n">
        <v>10</v>
      </c>
      <c r="M357">
        <f>IF(Vu_khi!$W$357&lt;=0,0,IF(Vu_khi!$U$357&gt;0,$I$357*Vu_khi!$U$357/(MAX(0.05,$G$357)*Vu_khi!$U$357+$K$357),$I$357/MAX(0.05,$G$357)))</f>
        <v/>
      </c>
      <c r="N357" t="n">
        <v>66.22516556291392</v>
      </c>
      <c r="O357">
        <f>OR(Vu_khi!$AG$357,Vu_khi!$AB$357&gt;0,Vu_khi!$AH$357,Vu_khi!$M$357="Bomb",Vu_khi!$M$357="Drone")</f>
        <v/>
      </c>
      <c r="P357" t="b">
        <v>0</v>
      </c>
      <c r="Q357">
        <f>AND(NOT(Vu_khi!$AJ$357),OR(Vu_khi!$AC$357="Ground",Vu_khi!$AC$357="All"))</f>
        <v/>
      </c>
      <c r="R357" t="b">
        <v>1</v>
      </c>
      <c r="S357">
        <f>AND(NOT(Vu_khi!$AJ$357),OR(Vu_khi!$AC$357="Air",Vu_khi!$AC$357="All"))</f>
        <v/>
      </c>
      <c r="T357" t="b">
        <v>0</v>
      </c>
      <c r="U357">
        <f>INDEX(Bang_sat_thuong!$B$2:$B$7,MATCH(Vu_khi!$K$357,Bang_sat_thuong!$A$2:$A$7,0))</f>
        <v/>
      </c>
      <c r="V357" t="n">
        <v>1</v>
      </c>
      <c r="W357">
        <f>INDEX(Bang_sat_thuong!$C$2:$C$7,MATCH(Vu_khi!$K$357,Bang_sat_thuong!$A$2:$A$7,0))</f>
        <v/>
      </c>
      <c r="X357" t="n">
        <v>0.3</v>
      </c>
      <c r="Y357">
        <f>IF(AND(Vu_khi!$AI$357,Vu_khi!$K$357="HighExplosive"),MAX(He_so_toan_cuc!$D$2,INDEX(Bang_sat_thuong!$D$2:$D$7,MATCH(Vu_khi!$K$357,Bang_sat_thuong!$A$2:$A$7,0))),INDEX(Bang_sat_thuong!$D$2:$D$7,MATCH(Vu_khi!$K$357,Bang_sat_thuong!$A$2:$A$7,0)))</f>
        <v/>
      </c>
      <c r="Z357" t="n">
        <v>0.6</v>
      </c>
      <c r="AA357">
        <f>INDEX(Bang_xuyen_giap!$C$2:$C$7,MIN(6,MAX(1,IF($O$357,MAX(1,2-(Vu_khi!$L$357-0)),2-(Vu_khi!$L$357-0))+1)))</f>
        <v/>
      </c>
      <c r="AB357" t="n">
        <v>1.2</v>
      </c>
      <c r="AC357">
        <f>INDEX(Bang_xuyen_giap!$C$2:$C$7,MIN(6,MAX(1,IF($O$357,MAX(1,2-(Vu_khi!$L$357-2)),2-(Vu_khi!$L$357-2))+1)))</f>
        <v/>
      </c>
      <c r="AD357" t="n">
        <v>1.2</v>
      </c>
      <c r="AE357">
        <f>INDEX(Bang_xuyen_giap!$C$2:$C$7,MIN(6,MAX(1,IF($O$357,MAX(1,2-(Vu_khi!$L$357-4)),2-(Vu_khi!$L$357-4))+1)))</f>
        <v/>
      </c>
      <c r="AF357" t="n">
        <v>0.85</v>
      </c>
      <c r="AG357">
        <f>INDEX(Bang_xuyen_giap!$C$2:$C$7,MIN(6,MAX(1,MAX(1,2-(Vu_khi!$L$357-0))+1)))</f>
        <v/>
      </c>
      <c r="AH357" t="n">
        <v>1</v>
      </c>
      <c r="AI357">
        <f>IF($Q$357,$M$357*$AA$357*$U$357,0)</f>
        <v/>
      </c>
      <c r="AJ357" t="n">
        <v>79.47019867549669</v>
      </c>
      <c r="AK357">
        <f>IF($Q$357,$M$357*$AC$357*$U$357,0)</f>
        <v/>
      </c>
      <c r="AL357" t="n">
        <v>79.47019867549669</v>
      </c>
      <c r="AM357">
        <f>IF($Q$357,$M$357*$AE$357*$U$357,0)</f>
        <v/>
      </c>
      <c r="AN357" t="n">
        <v>56.29139072847683</v>
      </c>
      <c r="AO357">
        <f>IF($Q$357,$M$357*$AC$357*$Y$357,0)</f>
        <v/>
      </c>
      <c r="AP357" t="n">
        <v>47.68211920529802</v>
      </c>
      <c r="AQ357">
        <f>IF($S$357,$M$357*$AG$357*$W$357,0)</f>
        <v/>
      </c>
      <c r="AR357" t="n">
        <v>0</v>
      </c>
      <c r="AS357">
        <f>IF(OR(Vu_khi!$M$357="Missile",Vu_khi!$M$357="Drone",AND(Vu_khi!$M$357="Rocket",OR(Vu_khi!$AM$357,Vu_khi!$D$357="guided")),Vu_khi!$AL$357,Vu_khi!$AK$357,Vu_khi!$X$357&lt;=0),FALSE,IF($B$357&gt;=0,$B$357&gt;=4,IF(Vu_khi!$M$357="Shell",Vu_khi!$AN$357&gt;=Canh_bao_vong!$D$10,IF(Vu_khi!$M$357="Bomb",Vu_khi!$AN$357&gt;=Canh_bao_vong!$D$3,IF(Vu_khi!$M$357="Rocket",Vu_khi!$AN$357&gt;=Canh_bao_vong!$D$13,FALSE)))))</f>
        <v/>
      </c>
      <c r="AT357" t="b">
        <v>0</v>
      </c>
      <c r="AU357">
        <f>IF(AND($B$357&lt;0,$AS$357),4,$B$357)</f>
        <v/>
      </c>
      <c r="AV357" t="n">
        <v>2</v>
      </c>
      <c r="AW357">
        <f>IF($AU$357&lt;4,0,MIN(MAX(0.5,Canh_bao_vong!$D$4),MAX(IF(Vu_khi!$C$357="cal_406",Canh_bao_vong!$D$7,IF($AU$357&gt;=5,Canh_bao_vong!$D$9,Canh_bao_vong!$D$8)),Canh_bao_vong!$D$2+MAX(0,Vu_khi!$X$357)/MAX(0.1,Canh_bao_vong!$D$5))))</f>
        <v/>
      </c>
      <c r="AX357" t="n">
        <v>0</v>
      </c>
      <c r="AY357" t="inlineStr"/>
      <c r="AZ357" t="inlineStr">
        <is>
          <t>ok</t>
        </is>
      </c>
      <c r="BA357" t="inlineStr"/>
      <c r="BB357" t="inlineStr">
        <is>
          <t>Assets/MachineBrigade/Resources/Data/balance.json: weapons[id=vikhr] (lớp B trên 01_chien_dau/Vu_khi)</t>
        </is>
      </c>
      <c r="BC357" t="inlineStr"/>
    </row>
    <row r="358">
      <c r="A358" t="inlineStr">
        <is>
          <t>wvr_aam</t>
        </is>
      </c>
      <c r="B358" t="n">
        <v>2</v>
      </c>
      <c r="C358">
        <f>IF(Vu_khi!$O$358="SIMULTANEOUS",MAX(1,Vu_khi!$N$358),1)</f>
        <v/>
      </c>
      <c r="D358" t="n">
        <v>1</v>
      </c>
      <c r="E358">
        <f>IF(Vu_khi!$S$358&gt;0,Vu_khi!$S$358,Vu_khi!$P$358*$C$358)</f>
        <v/>
      </c>
      <c r="F358" t="n">
        <v>1</v>
      </c>
      <c r="G358">
        <f>IF(Vu_khi!$S$358&gt;0,(Vu_khi!$S$358-1)*Vu_khi!$R$358+Vu_khi!$T$358,Vu_khi!$R$358+(Vu_khi!$P$358-1)*Vu_khi!$Q$358)</f>
        <v/>
      </c>
      <c r="H358" t="n">
        <v>2.12</v>
      </c>
      <c r="I358">
        <f>Vu_khi!$W$358*MAX(1,$E$358)</f>
        <v/>
      </c>
      <c r="J358" t="n">
        <v>231</v>
      </c>
      <c r="K358">
        <f>IF(Vu_khi!$V$358&gt;0,Vu_khi!$V$358,MIN(28,MAX(10,Vu_khi!$U$358*Vu_khi!$R$358*0.4)))</f>
        <v/>
      </c>
      <c r="L358" t="n">
        <v>10</v>
      </c>
      <c r="M358">
        <f>IF(Vu_khi!$W$358&lt;=0,0,IF(Vu_khi!$U$358&gt;0,$I$358*Vu_khi!$U$358/(MAX(0.05,$G$358)*Vu_khi!$U$358+$K$358),$I$358/MAX(0.05,$G$358)))</f>
        <v/>
      </c>
      <c r="N358" t="n">
        <v>108.9622641509434</v>
      </c>
      <c r="O358">
        <f>OR(Vu_khi!$AG$358,Vu_khi!$AB$358&gt;0,Vu_khi!$AH$358,Vu_khi!$M$358="Bomb",Vu_khi!$M$358="Drone")</f>
        <v/>
      </c>
      <c r="P358" t="b">
        <v>0</v>
      </c>
      <c r="Q358">
        <f>AND(NOT(Vu_khi!$AJ$358),OR(Vu_khi!$AC$358="Ground",Vu_khi!$AC$358="All"))</f>
        <v/>
      </c>
      <c r="R358" t="b">
        <v>0</v>
      </c>
      <c r="S358">
        <f>AND(NOT(Vu_khi!$AJ$358),OR(Vu_khi!$AC$358="Air",Vu_khi!$AC$358="All"))</f>
        <v/>
      </c>
      <c r="T358" t="b">
        <v>1</v>
      </c>
      <c r="U358">
        <f>INDEX(Bang_sat_thuong!$B$2:$B$7,MATCH(Vu_khi!$K$358,Bang_sat_thuong!$A$2:$A$7,0))</f>
        <v/>
      </c>
      <c r="V358" t="n">
        <v>0.5</v>
      </c>
      <c r="W358">
        <f>INDEX(Bang_sat_thuong!$C$2:$C$7,MATCH(Vu_khi!$K$358,Bang_sat_thuong!$A$2:$A$7,0))</f>
        <v/>
      </c>
      <c r="X358" t="n">
        <v>1.3</v>
      </c>
      <c r="Y358">
        <f>IF(AND(Vu_khi!$AI$358,Vu_khi!$K$358="HighExplosive"),MAX(He_so_toan_cuc!$D$2,INDEX(Bang_sat_thuong!$D$2:$D$7,MATCH(Vu_khi!$K$358,Bang_sat_thuong!$A$2:$A$7,0))),INDEX(Bang_sat_thuong!$D$2:$D$7,MATCH(Vu_khi!$K$358,Bang_sat_thuong!$A$2:$A$7,0)))</f>
        <v/>
      </c>
      <c r="Z358" t="n">
        <v>0.1</v>
      </c>
      <c r="AA358">
        <f>INDEX(Bang_xuyen_giap!$C$2:$C$7,MIN(6,MAX(1,IF($O$358,MAX(1,2-(Vu_khi!$L$358-0)),2-(Vu_khi!$L$358-0))+1)))</f>
        <v/>
      </c>
      <c r="AB358" t="n">
        <v>1.2</v>
      </c>
      <c r="AC358">
        <f>INDEX(Bang_xuyen_giap!$C$2:$C$7,MIN(6,MAX(1,IF($O$358,MAX(1,2-(Vu_khi!$L$358-2)),2-(Vu_khi!$L$358-2))+1)))</f>
        <v/>
      </c>
      <c r="AD358" t="n">
        <v>0.85</v>
      </c>
      <c r="AE358">
        <f>INDEX(Bang_xuyen_giap!$C$2:$C$7,MIN(6,MAX(1,IF($O$358,MAX(1,2-(Vu_khi!$L$358-4)),2-(Vu_khi!$L$358-4))+1)))</f>
        <v/>
      </c>
      <c r="AF358" t="n">
        <v>0.25</v>
      </c>
      <c r="AG358">
        <f>INDEX(Bang_xuyen_giap!$C$2:$C$7,MIN(6,MAX(1,MAX(1,2-(Vu_khi!$L$358-0))+1)))</f>
        <v/>
      </c>
      <c r="AH358" t="n">
        <v>1</v>
      </c>
      <c r="AI358">
        <f>IF($Q$358,$M$358*$AA$358*$U$358,0)</f>
        <v/>
      </c>
      <c r="AJ358" t="n">
        <v>0</v>
      </c>
      <c r="AK358">
        <f>IF($Q$358,$M$358*$AC$358*$U$358,0)</f>
        <v/>
      </c>
      <c r="AL358" t="n">
        <v>0</v>
      </c>
      <c r="AM358">
        <f>IF($Q$358,$M$358*$AE$358*$U$358,0)</f>
        <v/>
      </c>
      <c r="AN358" t="n">
        <v>0</v>
      </c>
      <c r="AO358">
        <f>IF($Q$358,$M$358*$AC$358*$Y$358,0)</f>
        <v/>
      </c>
      <c r="AP358" t="n">
        <v>0</v>
      </c>
      <c r="AQ358">
        <f>IF($S$358,$M$358*$AG$358*$W$358,0)</f>
        <v/>
      </c>
      <c r="AR358" t="n">
        <v>141.6509433962264</v>
      </c>
      <c r="AS358">
        <f>IF(OR(Vu_khi!$M$358="Missile",Vu_khi!$M$358="Drone",AND(Vu_khi!$M$358="Rocket",OR(Vu_khi!$AM$358,Vu_khi!$D$358="guided")),Vu_khi!$AL$358,Vu_khi!$AK$358,Vu_khi!$X$358&lt;=0),FALSE,IF($B$358&gt;=0,$B$358&gt;=4,IF(Vu_khi!$M$358="Shell",Vu_khi!$AN$358&gt;=Canh_bao_vong!$D$10,IF(Vu_khi!$M$358="Bomb",Vu_khi!$AN$358&gt;=Canh_bao_vong!$D$3,IF(Vu_khi!$M$358="Rocket",Vu_khi!$AN$358&gt;=Canh_bao_vong!$D$13,FALSE)))))</f>
        <v/>
      </c>
      <c r="AT358" t="b">
        <v>0</v>
      </c>
      <c r="AU358">
        <f>IF(AND($B$358&lt;0,$AS$358),4,$B$358)</f>
        <v/>
      </c>
      <c r="AV358" t="n">
        <v>2</v>
      </c>
      <c r="AW358">
        <f>IF($AU$358&lt;4,0,MIN(MAX(0.5,Canh_bao_vong!$D$4),MAX(IF(Vu_khi!$C$358="cal_406",Canh_bao_vong!$D$7,IF($AU$358&gt;=5,Canh_bao_vong!$D$9,Canh_bao_vong!$D$8)),Canh_bao_vong!$D$2+MAX(0,Vu_khi!$X$358)/MAX(0.1,Canh_bao_vong!$D$5))))</f>
        <v/>
      </c>
      <c r="AX358" t="n">
        <v>0</v>
      </c>
      <c r="AY358" t="inlineStr"/>
      <c r="AZ358" t="inlineStr">
        <is>
          <t>ok</t>
        </is>
      </c>
      <c r="BA358" t="inlineStr"/>
      <c r="BB358" t="inlineStr">
        <is>
          <t>Assets/MachineBrigade/Resources/Data/balance.json: weapons[id=wvr_aam] (lớp B trên 01_chien_dau/Vu_khi)</t>
        </is>
      </c>
      <c r="BC358" t="inlineStr"/>
    </row>
    <row r="359">
      <c r="A359" t="inlineStr">
        <is>
          <t>zu23</t>
        </is>
      </c>
      <c r="B359" t="n">
        <v>1</v>
      </c>
      <c r="C359">
        <f>IF(Vu_khi!$O$359="SIMULTANEOUS",MAX(1,Vu_khi!$N$359),1)</f>
        <v/>
      </c>
      <c r="D359" t="n">
        <v>1</v>
      </c>
      <c r="E359">
        <f>IF(Vu_khi!$S$359&gt;0,Vu_khi!$S$359,Vu_khi!$P$359*$C$359)</f>
        <v/>
      </c>
      <c r="F359" t="n">
        <v>100</v>
      </c>
      <c r="G359">
        <f>IF(Vu_khi!$S$359&gt;0,(Vu_khi!$S$359-1)*Vu_khi!$R$359+Vu_khi!$T$359,Vu_khi!$R$359+(Vu_khi!$P$359-1)*Vu_khi!$Q$359)</f>
        <v/>
      </c>
      <c r="H359" t="n">
        <v>5</v>
      </c>
      <c r="I359">
        <f>Vu_khi!$W$359*MAX(1,$E$359)</f>
        <v/>
      </c>
      <c r="J359" t="n">
        <v>350</v>
      </c>
      <c r="K359">
        <f>IF(Vu_khi!$V$359&gt;0,Vu_khi!$V$359,MIN(28,MAX(10,Vu_khi!$U$359*Vu_khi!$R$359*0.4)))</f>
        <v/>
      </c>
      <c r="L359" t="n">
        <v>10</v>
      </c>
      <c r="M359">
        <f>IF(Vu_khi!$W$359&lt;=0,0,IF(Vu_khi!$U$359&gt;0,$I$359*Vu_khi!$U$359/(MAX(0.05,$G$359)*Vu_khi!$U$359+$K$359),$I$359/MAX(0.05,$G$359)))</f>
        <v/>
      </c>
      <c r="N359" t="n">
        <v>70</v>
      </c>
      <c r="O359">
        <f>OR(Vu_khi!$AG$359,Vu_khi!$AB$359&gt;0,Vu_khi!$AH$359,Vu_khi!$M$359="Bomb",Vu_khi!$M$359="Drone")</f>
        <v/>
      </c>
      <c r="P359" t="b">
        <v>0</v>
      </c>
      <c r="Q359">
        <f>AND(NOT(Vu_khi!$AJ$359),OR(Vu_khi!$AC$359="Ground",Vu_khi!$AC$359="All"))</f>
        <v/>
      </c>
      <c r="R359" t="b">
        <v>1</v>
      </c>
      <c r="S359">
        <f>AND(NOT(Vu_khi!$AJ$359),OR(Vu_khi!$AC$359="Air",Vu_khi!$AC$359="All"))</f>
        <v/>
      </c>
      <c r="T359" t="b">
        <v>1</v>
      </c>
      <c r="U359">
        <f>INDEX(Bang_sat_thuong!$B$2:$B$7,MATCH(Vu_khi!$K$359,Bang_sat_thuong!$A$2:$A$7,0))</f>
        <v/>
      </c>
      <c r="V359" t="n">
        <v>0.5</v>
      </c>
      <c r="W359">
        <f>INDEX(Bang_sat_thuong!$C$2:$C$7,MATCH(Vu_khi!$K$359,Bang_sat_thuong!$A$2:$A$7,0))</f>
        <v/>
      </c>
      <c r="X359" t="n">
        <v>1.3</v>
      </c>
      <c r="Y359">
        <f>IF(AND(Vu_khi!$AI$359,Vu_khi!$K$359="HighExplosive"),MAX(He_so_toan_cuc!$D$2,INDEX(Bang_sat_thuong!$D$2:$D$7,MATCH(Vu_khi!$K$359,Bang_sat_thuong!$A$2:$A$7,0))),INDEX(Bang_sat_thuong!$D$2:$D$7,MATCH(Vu_khi!$K$359,Bang_sat_thuong!$A$2:$A$7,0)))</f>
        <v/>
      </c>
      <c r="Z359" t="n">
        <v>0.1</v>
      </c>
      <c r="AA359">
        <f>INDEX(Bang_xuyen_giap!$C$2:$C$7,MIN(6,MAX(1,IF($O$359,MAX(1,2-(Vu_khi!$L$359-0)),2-(Vu_khi!$L$359-0))+1)))</f>
        <v/>
      </c>
      <c r="AB359" t="n">
        <v>1</v>
      </c>
      <c r="AC359">
        <f>INDEX(Bang_xuyen_giap!$C$2:$C$7,MIN(6,MAX(1,IF($O$359,MAX(1,2-(Vu_khi!$L$359-2)),2-(Vu_khi!$L$359-2))+1)))</f>
        <v/>
      </c>
      <c r="AD359" t="n">
        <v>0.5</v>
      </c>
      <c r="AE359">
        <f>INDEX(Bang_xuyen_giap!$C$2:$C$7,MIN(6,MAX(1,IF($O$359,MAX(1,2-(Vu_khi!$L$359-4)),2-(Vu_khi!$L$359-4))+1)))</f>
        <v/>
      </c>
      <c r="AF359" t="n">
        <v>0.1</v>
      </c>
      <c r="AG359">
        <f>INDEX(Bang_xuyen_giap!$C$2:$C$7,MIN(6,MAX(1,MAX(1,2-(Vu_khi!$L$359-0))+1)))</f>
        <v/>
      </c>
      <c r="AH359" t="n">
        <v>1</v>
      </c>
      <c r="AI359">
        <f>IF($Q$359,$M$359*$AA$359*$U$359,0)</f>
        <v/>
      </c>
      <c r="AJ359" t="n">
        <v>35</v>
      </c>
      <c r="AK359">
        <f>IF($Q$359,$M$359*$AC$359*$U$359,0)</f>
        <v/>
      </c>
      <c r="AL359" t="n">
        <v>17.5</v>
      </c>
      <c r="AM359">
        <f>IF($Q$359,$M$359*$AE$359*$U$359,0)</f>
        <v/>
      </c>
      <c r="AN359" t="n">
        <v>3.5</v>
      </c>
      <c r="AO359">
        <f>IF($Q$359,$M$359*$AC$359*$Y$359,0)</f>
        <v/>
      </c>
      <c r="AP359" t="n">
        <v>3.5</v>
      </c>
      <c r="AQ359">
        <f>IF($S$359,$M$359*$AG$359*$W$359,0)</f>
        <v/>
      </c>
      <c r="AR359" t="n">
        <v>91</v>
      </c>
      <c r="AS359">
        <f>IF(OR(Vu_khi!$M$359="Missile",Vu_khi!$M$359="Drone",AND(Vu_khi!$M$359="Rocket",OR(Vu_khi!$AM$359,Vu_khi!$D$359="guided")),Vu_khi!$AL$359,Vu_khi!$AK$359,Vu_khi!$X$359&lt;=0),FALSE,IF($B$359&gt;=0,$B$359&gt;=4,IF(Vu_khi!$M$359="Shell",Vu_khi!$AN$359&gt;=Canh_bao_vong!$D$10,IF(Vu_khi!$M$359="Bomb",Vu_khi!$AN$359&gt;=Canh_bao_vong!$D$3,IF(Vu_khi!$M$359="Rocket",Vu_khi!$AN$359&gt;=Canh_bao_vong!$D$13,FALSE)))))</f>
        <v/>
      </c>
      <c r="AT359" t="b">
        <v>0</v>
      </c>
      <c r="AU359">
        <f>IF(AND($B$359&lt;0,$AS$359),4,$B$359)</f>
        <v/>
      </c>
      <c r="AV359" t="n">
        <v>1</v>
      </c>
      <c r="AW359">
        <f>IF($AU$359&lt;4,0,MIN(MAX(0.5,Canh_bao_vong!$D$4),MAX(IF(Vu_khi!$C$359="cal_406",Canh_bao_vong!$D$7,IF($AU$359&gt;=5,Canh_bao_vong!$D$9,Canh_bao_vong!$D$8)),Canh_bao_vong!$D$2+MAX(0,Vu_khi!$X$359)/MAX(0.1,Canh_bao_vong!$D$5))))</f>
        <v/>
      </c>
      <c r="AX359" t="n">
        <v>0</v>
      </c>
      <c r="AY359" t="n">
        <v>1.666667</v>
      </c>
      <c r="AZ359" t="inlineStr">
        <is>
          <t>ok</t>
        </is>
      </c>
      <c r="BA359" t="inlineStr"/>
      <c r="BB359" t="inlineStr">
        <is>
          <t>Assets/MachineBrigade/Resources/Data/balance.json: weapons[id=zu23] (lớp B trên 01_chien_dau/Vu_khi)</t>
        </is>
      </c>
      <c r="BC359" t="inlineStr"/>
    </row>
    <row r="360">
      <c r="A360" t="inlineStr">
        <is>
          <t>zu23_ap</t>
        </is>
      </c>
      <c r="B360" t="n">
        <v>1</v>
      </c>
      <c r="C360">
        <f>IF(Vu_khi!$O$360="SIMULTANEOUS",MAX(1,Vu_khi!$N$360),1)</f>
        <v/>
      </c>
      <c r="D360" t="n">
        <v>1</v>
      </c>
      <c r="E360">
        <f>IF(Vu_khi!$S$360&gt;0,Vu_khi!$S$360,Vu_khi!$P$360*$C$360)</f>
        <v/>
      </c>
      <c r="F360" t="n">
        <v>100</v>
      </c>
      <c r="G360">
        <f>IF(Vu_khi!$S$360&gt;0,(Vu_khi!$S$360-1)*Vu_khi!$R$360+Vu_khi!$T$360,Vu_khi!$R$360+(Vu_khi!$P$360-1)*Vu_khi!$Q$360)</f>
        <v/>
      </c>
      <c r="H360" t="n">
        <v>5</v>
      </c>
      <c r="I360">
        <f>Vu_khi!$W$360*MAX(1,$E$360)</f>
        <v/>
      </c>
      <c r="J360" t="n">
        <v>350</v>
      </c>
      <c r="K360">
        <f>IF(Vu_khi!$V$360&gt;0,Vu_khi!$V$360,MIN(28,MAX(10,Vu_khi!$U$360*Vu_khi!$R$360*0.4)))</f>
        <v/>
      </c>
      <c r="L360" t="n">
        <v>10</v>
      </c>
      <c r="M360">
        <f>IF(Vu_khi!$W$360&lt;=0,0,IF(Vu_khi!$U$360&gt;0,$I$360*Vu_khi!$U$360/(MAX(0.05,$G$360)*Vu_khi!$U$360+$K$360),$I$360/MAX(0.05,$G$360)))</f>
        <v/>
      </c>
      <c r="N360" t="n">
        <v>70</v>
      </c>
      <c r="O360">
        <f>OR(Vu_khi!$AG$360,Vu_khi!$AB$360&gt;0,Vu_khi!$AH$360,Vu_khi!$M$360="Bomb",Vu_khi!$M$360="Drone")</f>
        <v/>
      </c>
      <c r="P360" t="b">
        <v>0</v>
      </c>
      <c r="Q360">
        <f>AND(NOT(Vu_khi!$AJ$360),OR(Vu_khi!$AC$360="Ground",Vu_khi!$AC$360="All"))</f>
        <v/>
      </c>
      <c r="R360" t="b">
        <v>1</v>
      </c>
      <c r="S360">
        <f>AND(NOT(Vu_khi!$AJ$360),OR(Vu_khi!$AC$360="Air",Vu_khi!$AC$360="All"))</f>
        <v/>
      </c>
      <c r="T360" t="b">
        <v>0</v>
      </c>
      <c r="U360">
        <f>INDEX(Bang_sat_thuong!$B$2:$B$7,MATCH(Vu_khi!$K$360,Bang_sat_thuong!$A$2:$A$7,0))</f>
        <v/>
      </c>
      <c r="V360" t="n">
        <v>1</v>
      </c>
      <c r="W360">
        <f>INDEX(Bang_sat_thuong!$C$2:$C$7,MATCH(Vu_khi!$K$360,Bang_sat_thuong!$A$2:$A$7,0))</f>
        <v/>
      </c>
      <c r="X360" t="n">
        <v>0.3</v>
      </c>
      <c r="Y360">
        <f>IF(AND(Vu_khi!$AI$360,Vu_khi!$K$360="HighExplosive"),MAX(He_so_toan_cuc!$D$2,INDEX(Bang_sat_thuong!$D$2:$D$7,MATCH(Vu_khi!$K$360,Bang_sat_thuong!$A$2:$A$7,0))),INDEX(Bang_sat_thuong!$D$2:$D$7,MATCH(Vu_khi!$K$360,Bang_sat_thuong!$A$2:$A$7,0)))</f>
        <v/>
      </c>
      <c r="Z360" t="n">
        <v>0.6</v>
      </c>
      <c r="AA360">
        <f>INDEX(Bang_xuyen_giap!$C$2:$C$7,MIN(6,MAX(1,IF($O$360,MAX(1,2-(Vu_khi!$L$360-0)),2-(Vu_khi!$L$360-0))+1)))</f>
        <v/>
      </c>
      <c r="AB360" t="n">
        <v>1.2</v>
      </c>
      <c r="AC360">
        <f>INDEX(Bang_xuyen_giap!$C$2:$C$7,MIN(6,MAX(1,IF($O$360,MAX(1,2-(Vu_khi!$L$360-2)),2-(Vu_khi!$L$360-2))+1)))</f>
        <v/>
      </c>
      <c r="AD360" t="n">
        <v>0.85</v>
      </c>
      <c r="AE360">
        <f>INDEX(Bang_xuyen_giap!$C$2:$C$7,MIN(6,MAX(1,IF($O$360,MAX(1,2-(Vu_khi!$L$360-4)),2-(Vu_khi!$L$360-4))+1)))</f>
        <v/>
      </c>
      <c r="AF360" t="n">
        <v>0.25</v>
      </c>
      <c r="AG360">
        <f>INDEX(Bang_xuyen_giap!$C$2:$C$7,MIN(6,MAX(1,MAX(1,2-(Vu_khi!$L$360-0))+1)))</f>
        <v/>
      </c>
      <c r="AH360" t="n">
        <v>1</v>
      </c>
      <c r="AI360">
        <f>IF($Q$360,$M$360*$AA$360*$U$360,0)</f>
        <v/>
      </c>
      <c r="AJ360" t="n">
        <v>84</v>
      </c>
      <c r="AK360">
        <f>IF($Q$360,$M$360*$AC$360*$U$360,0)</f>
        <v/>
      </c>
      <c r="AL360" t="n">
        <v>59.5</v>
      </c>
      <c r="AM360">
        <f>IF($Q$360,$M$360*$AE$360*$U$360,0)</f>
        <v/>
      </c>
      <c r="AN360" t="n">
        <v>17.5</v>
      </c>
      <c r="AO360">
        <f>IF($Q$360,$M$360*$AC$360*$Y$360,0)</f>
        <v/>
      </c>
      <c r="AP360" t="n">
        <v>35.7</v>
      </c>
      <c r="AQ360">
        <f>IF($S$360,$M$360*$AG$360*$W$360,0)</f>
        <v/>
      </c>
      <c r="AR360" t="n">
        <v>0</v>
      </c>
      <c r="AS360">
        <f>IF(OR(Vu_khi!$M$360="Missile",Vu_khi!$M$360="Drone",AND(Vu_khi!$M$360="Rocket",OR(Vu_khi!$AM$360,Vu_khi!$D$360="guided")),Vu_khi!$AL$360,Vu_khi!$AK$360,Vu_khi!$X$360&lt;=0),FALSE,IF($B$360&gt;=0,$B$360&gt;=4,IF(Vu_khi!$M$360="Shell",Vu_khi!$AN$360&gt;=Canh_bao_vong!$D$10,IF(Vu_khi!$M$360="Bomb",Vu_khi!$AN$360&gt;=Canh_bao_vong!$D$3,IF(Vu_khi!$M$360="Rocket",Vu_khi!$AN$360&gt;=Canh_bao_vong!$D$13,FALSE)))))</f>
        <v/>
      </c>
      <c r="AT360" t="b">
        <v>0</v>
      </c>
      <c r="AU360">
        <f>IF(AND($B$360&lt;0,$AS$360),4,$B$360)</f>
        <v/>
      </c>
      <c r="AV360" t="n">
        <v>1</v>
      </c>
      <c r="AW360">
        <f>IF($AU$360&lt;4,0,MIN(MAX(0.5,Canh_bao_vong!$D$4),MAX(IF(Vu_khi!$C$360="cal_406",Canh_bao_vong!$D$7,IF($AU$360&gt;=5,Canh_bao_vong!$D$9,Canh_bao_vong!$D$8)),Canh_bao_vong!$D$2+MAX(0,Vu_khi!$X$360)/MAX(0.1,Canh_bao_vong!$D$5))))</f>
        <v/>
      </c>
      <c r="AX360" t="n">
        <v>0</v>
      </c>
      <c r="BB360" t="inlineStr">
        <is>
          <t>Assets/MachineBrigade/Resources/Data/balance.json: weapons[id=zu23_ap] (lớp B trên 01_chien_dau/Vu_khi)</t>
        </is>
      </c>
      <c r="BC360" t="inlineStr"/>
    </row>
  </sheetData>
  <autoFilter ref="A1:BC36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  <col width="17" customWidth="1" min="4" max="4"/>
    <col width="50" customWidth="1" min="5" max="5"/>
    <col width="10" customWidth="1" min="6" max="6"/>
    <col width="21" customWidth="1" min="7" max="7"/>
    <col width="10" customWidth="1" min="8" max="8"/>
    <col width="13" customWidth="1" min="9" max="9"/>
    <col width="17" customWidth="1" min="10" max="10"/>
    <col width="12" customWidth="1" min="11" max="11"/>
    <col width="60" customWidth="1" min="12" max="12"/>
    <col width="12" customWidth="1" min="13" max="13"/>
    <col width="24" customWidth="1" min="14" max="14"/>
    <col width="14" customWidth="1" min="15" max="15"/>
    <col width="60" customWidth="1" min="16" max="16"/>
    <col width="8" customWidth="1" min="17" max="17"/>
    <col width="60" customWidth="1" min="18" max="18"/>
    <col width="17" customWidth="1" min="19" max="19"/>
    <col width="29" customWidth="1" min="20" max="20"/>
    <col width="31" customWidth="1" min="21" max="21"/>
    <col width="26" customWidth="1" min="22" max="22"/>
    <col width="24" customWidth="1" min="23" max="23"/>
    <col width="28" customWidth="1" min="24" max="24"/>
    <col width="29" customWidth="1" min="25" max="25"/>
    <col width="15" customWidth="1" min="26" max="26"/>
    <col width="34" customWidth="1" min="27" max="27"/>
    <col width="33" customWidth="1" min="28" max="28"/>
    <col width="21" customWidth="1" min="29" max="29"/>
    <col width="60" customWidth="1" min="30" max="30"/>
    <col width="60" customWidth="1" min="31" max="31"/>
    <col width="60" customWidth="1" min="32" max="32"/>
    <col width="10" customWidth="1" min="33" max="33"/>
  </cols>
  <sheetData>
    <row r="1">
      <c r="A1" s="1" t="inlineStr">
        <is>
          <t>id</t>
        </is>
      </c>
      <c r="B1" s="1" t="inlineStr">
        <is>
          <t>entity_id</t>
        </is>
      </c>
      <c r="C1" s="1" t="inlineStr">
        <is>
          <t>ten_hien_thi</t>
        </is>
      </c>
      <c r="D1" s="1" t="inlineStr">
        <is>
          <t>loai_tham_chieu</t>
        </is>
      </c>
      <c r="E1" s="1" t="inlineStr">
        <is>
          <t>ten_mau_that</t>
        </is>
      </c>
      <c r="F1" s="1" t="inlineStr">
        <is>
          <t>quoc_gia</t>
        </is>
      </c>
      <c r="G1" s="1" t="inlineStr">
        <is>
          <t>nam_dua_vao_su_dung</t>
        </is>
      </c>
      <c r="H1" s="1" t="inlineStr">
        <is>
          <t>ten_game</t>
        </is>
      </c>
      <c r="I1" s="1" t="inlineStr">
        <is>
          <t>co_che_game</t>
        </is>
      </c>
      <c r="J1" s="1" t="inlineStr">
        <is>
          <t>ten_phim_truyen</t>
        </is>
      </c>
      <c r="K1" s="1" t="inlineStr">
        <is>
          <t>diem_giong</t>
        </is>
      </c>
      <c r="L1" s="1" t="inlineStr">
        <is>
          <t>diem_khac_co_chu_dich</t>
        </is>
      </c>
      <c r="M1" s="1" t="inlineStr">
        <is>
          <t>ly_do_khac</t>
        </is>
      </c>
      <c r="N1" s="1" t="inlineStr">
        <is>
          <t>cam_giac_khac_khi_choi</t>
        </is>
      </c>
      <c r="O1" s="1" t="inlineStr">
        <is>
          <t>do_tin_cay</t>
        </is>
      </c>
      <c r="P1" s="1" t="inlineStr">
        <is>
          <t>nguon_id</t>
        </is>
      </c>
      <c r="Q1" s="1" t="inlineStr">
        <is>
          <t>ly_do</t>
        </is>
      </c>
      <c r="R1" s="1" t="inlineStr">
        <is>
          <t>ghi_chu_ban_quyen</t>
        </is>
      </c>
      <c r="S1" s="1" t="inlineStr">
        <is>
          <t>ngoai_doi_co_mm</t>
        </is>
      </c>
      <c r="T1" s="1" t="inlineStr">
        <is>
          <t>ngoai_doi_khoi_luong_dan_kg</t>
        </is>
      </c>
      <c r="U1" s="1" t="inlineStr">
        <is>
          <t>ngoai_doi_so_toc_dau_nong_m_s</t>
        </is>
      </c>
      <c r="V1" s="1" t="inlineStr">
        <is>
          <t>ngoai_doi_tam_hieu_qua_m</t>
        </is>
      </c>
      <c r="W1" s="1" t="inlineStr">
        <is>
          <t>ngoai_doi_tam_toi_da_m</t>
        </is>
      </c>
      <c r="X1" s="1" t="inlineStr">
        <is>
          <t>ngoai_doi_phat_phut_toi_da</t>
        </is>
      </c>
      <c r="Y1" s="1" t="inlineStr">
        <is>
          <t>ngoai_doi_phat_phut_duy_tri</t>
        </is>
      </c>
      <c r="Z1" s="1" t="inlineStr">
        <is>
          <t>ngoai_doi_nap</t>
        </is>
      </c>
      <c r="AA1" s="1" t="inlineStr">
        <is>
          <t>ngoai_doi_khoi_luong_thuoc_no_kg</t>
        </is>
      </c>
      <c r="AB1" s="1" t="inlineStr">
        <is>
          <t>ngoai_doi_khoi_luong_dau_dan_kg</t>
        </is>
      </c>
      <c r="AC1" s="1" t="inlineStr">
        <is>
          <t>ngoai_doi_loai_nhip</t>
        </is>
      </c>
      <c r="AD1" s="1" t="inlineStr">
        <is>
          <t>ngoai_doi_nguon_ghi</t>
        </is>
      </c>
      <c r="AE1" s="1" t="inlineStr">
        <is>
          <t>ngoai_doi_bang_can_bang</t>
        </is>
      </c>
      <c r="AF1" s="1" t="inlineStr">
        <is>
          <t>nguon</t>
        </is>
      </c>
      <c r="AG1" s="1" t="inlineStr">
        <is>
          <t>raw_json</t>
        </is>
      </c>
    </row>
    <row r="2">
      <c r="A2" t="inlineStr">
        <is>
          <t>aa_25_triple</t>
        </is>
      </c>
      <c r="B2" t="inlineStr">
        <is>
          <t>aa_25_triple</t>
        </is>
      </c>
      <c r="C2" t="inlineStr">
        <is>
          <t>Type 96 25 mm (triple)</t>
        </is>
      </c>
      <c r="D2" t="inlineStr">
        <is>
          <t>doi_that</t>
        </is>
      </c>
      <c r="E2" t="inlineStr">
        <is>
          <t>Type 96 25 mm (triple)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da_kiem_chung</t>
        </is>
      </c>
      <c r="P2" t="inlineStr">
        <is>
          <t>R_balance;R_full_weapon_audit;W_wikipedia_type_96_25_mm_at_aa_gun;R_machine_brigade_can_bang</t>
        </is>
      </c>
      <c r="Q2" t="inlineStr"/>
      <c r="R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" t="n">
        <v>25</v>
      </c>
      <c r="T2" t="inlineStr">
        <is>
          <t>NEED_SOURCE</t>
        </is>
      </c>
      <c r="U2" t="inlineStr">
        <is>
          <t>NEED_SOURCE</t>
        </is>
      </c>
      <c r="V2" t="inlineStr">
        <is>
          <t>NEED_SOURCE</t>
        </is>
      </c>
      <c r="W2" t="inlineStr">
        <is>
          <t>NEED_SOURCE</t>
        </is>
      </c>
      <c r="X2" t="n">
        <v>260</v>
      </c>
      <c r="Y2" t="n">
        <v>130</v>
      </c>
      <c r="Z2" t="inlineStr">
        <is>
          <t>NEED_SOURCE</t>
        </is>
      </c>
      <c r="AA2" t="inlineStr">
        <is>
          <t>NEED_SOURCE</t>
        </is>
      </c>
      <c r="AB2" t="inlineStr"/>
      <c r="AC2" t="inlineStr">
        <is>
          <t>aa</t>
        </is>
      </c>
      <c r="AD2" t="inlineStr">
        <is>
          <t>Wikipedia 'Type 96 25 mm AT/AA gun': 220-260 rpm a barrel</t>
        </is>
      </c>
      <c r="AE2" t="inlineStr">
        <is>
          <t>Type 96 25 mm: 220–260 mỗi nòng</t>
        </is>
      </c>
      <c r="AF2" t="inlineStr">
        <is>
          <t>Tools/balance/full_weapon_audit.py: REAL / WARHEAD; balance.json weapons[id=aa_25_triple].real</t>
        </is>
      </c>
      <c r="AG2" t="inlineStr"/>
    </row>
    <row r="3">
      <c r="A3" t="inlineStr">
        <is>
          <t>aa_25_triple_ap</t>
        </is>
      </c>
      <c r="B3" t="inlineStr">
        <is>
          <t>aa_25_triple_ap</t>
        </is>
      </c>
      <c r="C3" t="inlineStr">
        <is>
          <t>Type 96 25 mm AP (triple)</t>
        </is>
      </c>
      <c r="D3" t="inlineStr">
        <is>
          <t>doi_that</t>
        </is>
      </c>
      <c r="E3" t="inlineStr">
        <is>
          <t>Type 96 25 mm AP (triple)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da_kiem_chung</t>
        </is>
      </c>
      <c r="P3" t="inlineStr">
        <is>
          <t>R_balance;R_full_weapon_audit;W_wikipedia_type_96_25_mm_at_aa_gun</t>
        </is>
      </c>
      <c r="Q3" t="inlineStr"/>
      <c r="R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" t="n">
        <v>25</v>
      </c>
      <c r="T3" t="inlineStr">
        <is>
          <t>NEED_SOURCE</t>
        </is>
      </c>
      <c r="U3" t="inlineStr">
        <is>
          <t>NEED_SOURCE</t>
        </is>
      </c>
      <c r="V3" t="inlineStr">
        <is>
          <t>NEED_SOURCE</t>
        </is>
      </c>
      <c r="W3" t="inlineStr">
        <is>
          <t>NEED_SOURCE</t>
        </is>
      </c>
      <c r="X3" t="n">
        <v>260</v>
      </c>
      <c r="Y3" t="n">
        <v>130</v>
      </c>
      <c r="Z3" t="inlineStr">
        <is>
          <t>NEED_SOURCE</t>
        </is>
      </c>
      <c r="AA3" t="inlineStr">
        <is>
          <t>NEED_SOURCE</t>
        </is>
      </c>
      <c r="AB3" t="inlineStr"/>
      <c r="AC3" t="inlineStr">
        <is>
          <t>aa</t>
        </is>
      </c>
      <c r="AD3" t="inlineStr">
        <is>
          <t>Wikipedia 'Type 96 25 mm AT/AA gun': 220-260 rpm a barrel</t>
        </is>
      </c>
      <c r="AE3" t="inlineStr"/>
      <c r="AF3" t="inlineStr">
        <is>
          <t>Tools/balance/full_weapon_audit.py: REAL / WARHEAD; balance.json weapons[id=aa_25_triple_ap].real</t>
        </is>
      </c>
      <c r="AG3" t="inlineStr"/>
    </row>
    <row r="4">
      <c r="A4" t="inlineStr">
        <is>
          <t>agl_40</t>
        </is>
      </c>
      <c r="B4" t="inlineStr">
        <is>
          <t>agl_40</t>
        </is>
      </c>
      <c r="C4" t="inlineStr">
        <is>
          <t>Mk 19 40 mm</t>
        </is>
      </c>
      <c r="D4" t="inlineStr">
        <is>
          <t>doi_that</t>
        </is>
      </c>
      <c r="E4" t="inlineStr">
        <is>
          <t>Mk 19 40 mm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da_kiem_chung</t>
        </is>
      </c>
      <c r="P4" t="inlineStr">
        <is>
          <t>R_balance;R_full_weapon_audit;D_us_army_fm_3_22_27;R_machine_brigade_can_bang</t>
        </is>
      </c>
      <c r="Q4" t="inlineStr"/>
      <c r="R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" t="n">
        <v>40</v>
      </c>
      <c r="T4" t="inlineStr">
        <is>
          <t>NEED_SOURCE</t>
        </is>
      </c>
      <c r="U4" t="inlineStr">
        <is>
          <t>NEED_SOURCE</t>
        </is>
      </c>
      <c r="V4" t="inlineStr">
        <is>
          <t>NEED_SOURCE</t>
        </is>
      </c>
      <c r="W4" t="inlineStr">
        <is>
          <t>NEED_SOURCE</t>
        </is>
      </c>
      <c r="X4" t="n">
        <v>375</v>
      </c>
      <c r="Y4" t="n">
        <v>60</v>
      </c>
      <c r="Z4" t="inlineStr">
        <is>
          <t>NEED_SOURCE</t>
        </is>
      </c>
      <c r="AA4" t="inlineStr">
        <is>
          <t>NEED_SOURCE</t>
        </is>
      </c>
      <c r="AB4" t="inlineStr"/>
      <c r="AC4" t="inlineStr">
        <is>
          <t>ac</t>
        </is>
      </c>
      <c r="AD4" t="inlineStr">
        <is>
          <t>US Army FM 3-22.27: 325-375 cyclic, 60 rapid</t>
        </is>
      </c>
      <c r="AE4" t="inlineStr">
        <is>
          <t>Mk 19: 325–375 phát/phút liên tục</t>
        </is>
      </c>
      <c r="AF4" t="inlineStr">
        <is>
          <t>Tools/balance/full_weapon_audit.py: REAL / WARHEAD; balance.json weapons[id=agl_40].real</t>
        </is>
      </c>
      <c r="AG4" t="inlineStr"/>
    </row>
    <row r="5">
      <c r="A5" t="inlineStr">
        <is>
          <t>air_cruise_missile</t>
        </is>
      </c>
      <c r="B5" t="inlineStr">
        <is>
          <t>air_cruise_missile</t>
        </is>
      </c>
      <c r="C5" t="inlineStr">
        <is>
          <t>Kh-101 (400 kg)</t>
        </is>
      </c>
      <c r="D5" t="inlineStr">
        <is>
          <t>doi_that</t>
        </is>
      </c>
      <c r="E5" t="inlineStr">
        <is>
          <t>Kh-101 (400 kg)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uoc_dinh</t>
        </is>
      </c>
      <c r="P5" t="inlineStr">
        <is>
          <t>R_balance;R_full_weapon_audit;R_machine_brigade_can_bang</t>
        </is>
      </c>
      <c r="Q5" t="inlineStr"/>
      <c r="R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" t="inlineStr">
        <is>
          <t>NEED_SOURCE</t>
        </is>
      </c>
      <c r="T5" t="inlineStr">
        <is>
          <t>NEED_SOURCE</t>
        </is>
      </c>
      <c r="U5" t="inlineStr">
        <is>
          <t>NEED_SOURCE</t>
        </is>
      </c>
      <c r="V5" t="inlineStr">
        <is>
          <t>NEED_SOURCE</t>
        </is>
      </c>
      <c r="W5" t="inlineStr">
        <is>
          <t>NEED_SOURCE</t>
        </is>
      </c>
      <c r="X5" t="n">
        <v>20</v>
      </c>
      <c r="Y5" t="n">
        <v>6</v>
      </c>
      <c r="Z5" t="inlineStr">
        <is>
          <t>NEED_SOURCE</t>
        </is>
      </c>
      <c r="AA5" t="inlineStr">
        <is>
          <t>NEED_SOURCE</t>
        </is>
      </c>
      <c r="AB5" t="inlineStr">
        <is>
          <t>NEED_SOURCE</t>
        </is>
      </c>
      <c r="AC5" t="inlineStr">
        <is>
          <t>missile</t>
        </is>
      </c>
      <c r="AD5" t="inlineStr">
        <is>
          <t>cruise missiles: ~3 s between launches (est.)</t>
        </is>
      </c>
      <c r="AE5" t="inlineStr">
        <is>
          <t>Kh-101: đầu nổ 400 kg</t>
        </is>
      </c>
      <c r="AF5" t="inlineStr">
        <is>
          <t>Tools/balance/full_weapon_audit.py: REAL / WARHEAD; balance.json weapons[id=air_cruise_missile].real</t>
        </is>
      </c>
      <c r="AG5" t="inlineStr"/>
    </row>
    <row r="6">
      <c r="A6" t="inlineStr">
        <is>
          <t>air_to_air</t>
        </is>
      </c>
      <c r="B6" t="inlineStr">
        <is>
          <t>air_to_air</t>
        </is>
      </c>
      <c r="C6" t="inlineStr">
        <is>
          <t>AIM-120 AMRAAM</t>
        </is>
      </c>
      <c r="D6" t="inlineStr">
        <is>
          <t>doi_that</t>
        </is>
      </c>
      <c r="E6" t="inlineStr">
        <is>
          <t>AIM-120 AMRAAM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uoc_dinh</t>
        </is>
      </c>
      <c r="P6" t="inlineStr">
        <is>
          <t>R_balance;R_full_weapon_audit;R_machine_brigade_can_bang</t>
        </is>
      </c>
      <c r="Q6" t="inlineStr"/>
      <c r="R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" t="inlineStr">
        <is>
          <t>NEED_SOURCE</t>
        </is>
      </c>
      <c r="T6" t="inlineStr">
        <is>
          <t>NEED_SOURCE</t>
        </is>
      </c>
      <c r="U6" t="inlineStr">
        <is>
          <t>NEED_SOURCE</t>
        </is>
      </c>
      <c r="V6" t="inlineStr">
        <is>
          <t>NEED_SOURCE</t>
        </is>
      </c>
      <c r="W6" t="inlineStr">
        <is>
          <t>NEED_SOURCE</t>
        </is>
      </c>
      <c r="X6" t="n">
        <v>60</v>
      </c>
      <c r="Y6" t="inlineStr">
        <is>
          <t>NEED_SOURCE</t>
        </is>
      </c>
      <c r="Z6" t="inlineStr">
        <is>
          <t>NEED_SOURCE</t>
        </is>
      </c>
      <c r="AA6" t="inlineStr">
        <is>
          <t>NEED_SOURCE</t>
        </is>
      </c>
      <c r="AB6" t="inlineStr">
        <is>
          <t>NEED_SOURCE</t>
        </is>
      </c>
      <c r="AC6" t="inlineStr">
        <is>
          <t>missile</t>
        </is>
      </c>
      <c r="AD6" t="inlineStr">
        <is>
          <t>air-to-air: ~1 s between launches (est.)</t>
        </is>
      </c>
      <c r="AE6" t="inlineStr">
        <is>
          <t>AIM-120: 100+ km, Mach 4</t>
        </is>
      </c>
      <c r="AF6" t="inlineStr">
        <is>
          <t>Tools/balance/full_weapon_audit.py: REAL / WARHEAD; balance.json weapons[id=air_to_air].real</t>
        </is>
      </c>
      <c r="AG6" t="inlineStr"/>
    </row>
    <row r="7">
      <c r="A7" t="inlineStr">
        <is>
          <t>airship_drones</t>
        </is>
      </c>
      <c r="B7" t="inlineStr">
        <is>
          <t>airship_drones</t>
        </is>
      </c>
      <c r="C7" t="inlineStr">
        <is>
          <t>FPV drone (1.5 kg)</t>
        </is>
      </c>
      <c r="D7" t="inlineStr">
        <is>
          <t>doi_that</t>
        </is>
      </c>
      <c r="E7" t="inlineStr">
        <is>
          <t>FPV drone (1.5 kg)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ban_dau_doan</t>
        </is>
      </c>
      <c r="P7" t="inlineStr">
        <is>
          <t>R_balance;R_machine_brigade_can_bang</t>
        </is>
      </c>
      <c r="Q7" t="inlineStr"/>
      <c r="R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" t="inlineStr">
        <is>
          <t>NEED_SOURCE</t>
        </is>
      </c>
      <c r="T7" t="inlineStr">
        <is>
          <t>NEED_SOURCE</t>
        </is>
      </c>
      <c r="U7" t="inlineStr">
        <is>
          <t>NEED_SOURCE</t>
        </is>
      </c>
      <c r="V7" t="inlineStr">
        <is>
          <t>NEED_SOURCE</t>
        </is>
      </c>
      <c r="W7" t="inlineStr">
        <is>
          <t>NEED_SOURCE</t>
        </is>
      </c>
      <c r="X7" t="inlineStr">
        <is>
          <t>NEED_SOURCE</t>
        </is>
      </c>
      <c r="Y7" t="inlineStr">
        <is>
          <t>NEED_SOURCE</t>
        </is>
      </c>
      <c r="Z7" t="inlineStr">
        <is>
          <t>NEED_SOURCE</t>
        </is>
      </c>
      <c r="AA7" t="inlineStr">
        <is>
          <t>NEED_SOURCE</t>
        </is>
      </c>
      <c r="AB7" t="inlineStr"/>
      <c r="AC7" t="inlineStr"/>
      <c r="AD7" t="inlineStr"/>
      <c r="AE7" t="inlineStr">
        <is>
          <t>FPV</t>
        </is>
      </c>
      <c r="AF7" t="inlineStr">
        <is>
          <t>Tools/balance/full_weapon_audit.py: REAL / WARHEAD; balance.json weapons[id=airship_drones].real</t>
        </is>
      </c>
      <c r="AG7" t="inlineStr"/>
    </row>
    <row r="8">
      <c r="A8" t="inlineStr">
        <is>
          <t>airship_flak</t>
        </is>
      </c>
      <c r="B8" t="inlineStr">
        <is>
          <t>airship_flak</t>
        </is>
      </c>
      <c r="C8" t="inlineStr">
        <is>
          <t>S-60 57 mm</t>
        </is>
      </c>
      <c r="D8" t="inlineStr">
        <is>
          <t>doi_that</t>
        </is>
      </c>
      <c r="E8" t="inlineStr">
        <is>
          <t>S-60 57 mm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da_kiem_chung</t>
        </is>
      </c>
      <c r="P8" t="inlineStr">
        <is>
          <t>R_balance;R_full_weapon_audit;W_wikipedia_azp_s_60;R_machine_brigade_can_bang</t>
        </is>
      </c>
      <c r="Q8" t="inlineStr"/>
      <c r="R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" t="n">
        <v>57</v>
      </c>
      <c r="T8" t="inlineStr">
        <is>
          <t>NEED_SOURCE</t>
        </is>
      </c>
      <c r="U8" t="inlineStr">
        <is>
          <t>NEED_SOURCE</t>
        </is>
      </c>
      <c r="V8" t="inlineStr">
        <is>
          <t>NEED_SOURCE</t>
        </is>
      </c>
      <c r="W8" t="inlineStr">
        <is>
          <t>NEED_SOURCE</t>
        </is>
      </c>
      <c r="X8" t="n">
        <v>120</v>
      </c>
      <c r="Y8" t="n">
        <v>70</v>
      </c>
      <c r="Z8" t="inlineStr">
        <is>
          <t>NEED_SOURCE</t>
        </is>
      </c>
      <c r="AA8" t="inlineStr">
        <is>
          <t>NEED_SOURCE</t>
        </is>
      </c>
      <c r="AB8" t="inlineStr"/>
      <c r="AC8" t="inlineStr">
        <is>
          <t>aa</t>
        </is>
      </c>
      <c r="AD8" t="inlineStr">
        <is>
          <t>Wikipedia 'AZP S-60': 105-120 cyclic, 70 practical</t>
        </is>
      </c>
      <c r="AE8" t="inlineStr">
        <is>
          <t>S-60: 105–120 phát/phút</t>
        </is>
      </c>
      <c r="AF8" t="inlineStr">
        <is>
          <t>Tools/balance/full_weapon_audit.py: REAL / WARHEAD; balance.json weapons[id=airship_flak].real</t>
        </is>
      </c>
      <c r="AG8" t="inlineStr"/>
    </row>
    <row r="9">
      <c r="A9" t="inlineStr">
        <is>
          <t>amos_120</t>
        </is>
      </c>
      <c r="B9" t="inlineStr">
        <is>
          <t>amos_120</t>
        </is>
      </c>
      <c r="C9" t="inlineStr">
        <is>
          <t>120 mm AMOS (twin)</t>
        </is>
      </c>
      <c r="D9" t="inlineStr">
        <is>
          <t>doi_that</t>
        </is>
      </c>
      <c r="E9" t="inlineStr">
        <is>
          <t>120 mm AMOS (twin)</t>
        </is>
      </c>
      <c r="F9" t="inlineStr"/>
      <c r="G9" t="inlineStr"/>
      <c r="H9" t="inlineStr"/>
      <c r="I9" t="inlineStr"/>
      <c r="J9" t="inlineStr"/>
      <c r="K9" t="inlineStr"/>
      <c r="L9" t="inlineStr">
        <is>
          <t>nhịp chậm hơn 30 % và mạnh hơn tương ứng (luật súng của game)</t>
        </is>
      </c>
      <c r="M9" t="inlineStr">
        <is>
          <t>gameplay</t>
        </is>
      </c>
      <c r="N9" t="inlineStr"/>
      <c r="O9" t="inlineStr">
        <is>
          <t>da_kiem_chung</t>
        </is>
      </c>
      <c r="P9" t="inlineStr">
        <is>
          <t>R_balance;R_full_weapon_audit;W_wikipedia_amos</t>
        </is>
      </c>
      <c r="Q9" t="inlineStr"/>
      <c r="R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" t="n">
        <v>120</v>
      </c>
      <c r="T9" t="inlineStr">
        <is>
          <t>NEED_SOURCE</t>
        </is>
      </c>
      <c r="U9" t="inlineStr">
        <is>
          <t>NEED_SOURCE</t>
        </is>
      </c>
      <c r="V9" t="inlineStr">
        <is>
          <t>NEED_SOURCE</t>
        </is>
      </c>
      <c r="W9" t="inlineStr">
        <is>
          <t>NEED_SOURCE</t>
        </is>
      </c>
      <c r="X9" t="n">
        <v>13</v>
      </c>
      <c r="Y9" t="n">
        <v>10</v>
      </c>
      <c r="Z9" t="inlineStr">
        <is>
          <t>NEED_SOURCE</t>
        </is>
      </c>
      <c r="AA9" t="inlineStr">
        <is>
          <t>NEED_SOURCE</t>
        </is>
      </c>
      <c r="AB9" t="inlineStr"/>
      <c r="AC9" t="inlineStr">
        <is>
          <t>gun</t>
        </is>
      </c>
      <c r="AD9" t="inlineStr">
        <is>
          <t>Wikipedia 'AMOS': 26 rpm the twin-barrel turret</t>
        </is>
      </c>
      <c r="AE9" t="inlineStr"/>
      <c r="AF9" t="inlineStr">
        <is>
          <t>Tools/balance/full_weapon_audit.py: REAL / WARHEAD; balance.json weapons[id=amos_120].real</t>
        </is>
      </c>
      <c r="AG9" t="inlineStr"/>
    </row>
    <row r="10">
      <c r="A10" t="inlineStr">
        <is>
          <t>anti_ship_missile</t>
        </is>
      </c>
      <c r="B10" t="inlineStr">
        <is>
          <t>anti_ship_missile</t>
        </is>
      </c>
      <c r="C10" t="inlineStr">
        <is>
          <t>NSM / P-800 Oniks</t>
        </is>
      </c>
      <c r="D10" t="inlineStr">
        <is>
          <t>doi_that</t>
        </is>
      </c>
      <c r="E10" t="inlineStr">
        <is>
          <t>NSM / P-800 Oniks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uoc_dinh</t>
        </is>
      </c>
      <c r="P10" t="inlineStr">
        <is>
          <t>R_balance;R_full_weapon_audit;W_wikipedia_bai_cua_tung_ten_lua_bang_warhead</t>
        </is>
      </c>
      <c r="Q10" t="inlineStr"/>
      <c r="R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" t="inlineStr">
        <is>
          <t>NEED_SOURCE</t>
        </is>
      </c>
      <c r="T10" t="inlineStr">
        <is>
          <t>NEED_SOURCE</t>
        </is>
      </c>
      <c r="U10" t="inlineStr">
        <is>
          <t>NEED_SOURCE</t>
        </is>
      </c>
      <c r="V10" t="inlineStr">
        <is>
          <t>NEED_SOURCE</t>
        </is>
      </c>
      <c r="W10" t="inlineStr">
        <is>
          <t>NEED_SOURCE</t>
        </is>
      </c>
      <c r="X10" t="n">
        <v>20</v>
      </c>
      <c r="Y10" t="n">
        <v>6</v>
      </c>
      <c r="Z10" t="inlineStr">
        <is>
          <t>NEED_SOURCE</t>
        </is>
      </c>
      <c r="AA10" t="inlineStr">
        <is>
          <t>NEED_SOURCE</t>
        </is>
      </c>
      <c r="AB10" t="n">
        <v>250</v>
      </c>
      <c r="AC10" t="inlineStr">
        <is>
          <t>missile</t>
        </is>
      </c>
      <c r="AD10" t="inlineStr">
        <is>
          <t>cruise missiles: ~3 s between launches (est.)</t>
        </is>
      </c>
      <c r="AE10" t="inlineStr"/>
      <c r="AF10" t="inlineStr">
        <is>
          <t>Tools/balance/full_weapon_audit.py: REAL / WARHEAD; balance.json weapons[id=anti_ship_missile].real</t>
        </is>
      </c>
      <c r="AG10" t="inlineStr"/>
    </row>
    <row r="11">
      <c r="A11" t="inlineStr">
        <is>
          <t>apkws_rocket</t>
        </is>
      </c>
      <c r="B11" t="inlineStr">
        <is>
          <t>apkws_rocket</t>
        </is>
      </c>
      <c r="C11" t="inlineStr">
        <is>
          <t>APKWS (laser-guided Hydra 70)</t>
        </is>
      </c>
      <c r="D11" t="inlineStr">
        <is>
          <t>doi_that</t>
        </is>
      </c>
      <c r="E11" t="inlineStr">
        <is>
          <t>APKWS (laser-guided Hydra 70)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ban_dau_doan</t>
        </is>
      </c>
      <c r="P11" t="inlineStr">
        <is>
          <t>R_balance;R_full_weapon_audit;R_decisions</t>
        </is>
      </c>
      <c r="Q11" t="inlineStr"/>
      <c r="R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" t="inlineStr">
        <is>
          <t>NEED_SOURCE</t>
        </is>
      </c>
      <c r="T11" t="inlineStr">
        <is>
          <t>NEED_SOURCE</t>
        </is>
      </c>
      <c r="U11" t="inlineStr">
        <is>
          <t>NEED_SOURCE</t>
        </is>
      </c>
      <c r="V11" t="inlineStr">
        <is>
          <t>NEED_SOURCE</t>
        </is>
      </c>
      <c r="W11" t="inlineStr">
        <is>
          <t>NEED_SOURCE</t>
        </is>
      </c>
      <c r="X11" t="n">
        <v>900</v>
      </c>
      <c r="Y11" t="inlineStr">
        <is>
          <t>NEED_SOURCE</t>
        </is>
      </c>
      <c r="Z11" t="inlineStr">
        <is>
          <t>NEED_SOURCE</t>
        </is>
      </c>
      <c r="AA11" t="inlineStr">
        <is>
          <t>NEED_SOURCE</t>
        </is>
      </c>
      <c r="AB11" t="inlineStr"/>
      <c r="AC11" t="inlineStr">
        <is>
          <t>rocket</t>
        </is>
      </c>
      <c r="AD11" t="inlineStr">
        <is>
          <t>rocket pods: ripples of 0.05-0.12 s (DECISIONS 19R)</t>
        </is>
      </c>
      <c r="AE11" t="inlineStr"/>
      <c r="AF11" t="inlineStr">
        <is>
          <t>Tools/balance/full_weapon_audit.py: REAL / WARHEAD; balance.json weapons[id=apkws_rocket].real</t>
        </is>
      </c>
      <c r="AG11" t="inlineStr"/>
    </row>
    <row r="12">
      <c r="A12" t="inlineStr">
        <is>
          <t>atgm</t>
        </is>
      </c>
      <c r="B12" t="inlineStr">
        <is>
          <t>atgm</t>
        </is>
      </c>
      <c r="C12" t="inlineStr">
        <is>
          <t>BGM-71 TOW-2</t>
        </is>
      </c>
      <c r="D12" t="inlineStr">
        <is>
          <t>doi_that</t>
        </is>
      </c>
      <c r="E12" t="inlineStr">
        <is>
          <t>BGM-71 TOW-2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da_kiem_chung</t>
        </is>
      </c>
      <c r="P12" t="inlineStr">
        <is>
          <t>R_balance;R_full_weapon_audit;W_wikipedia_bgm_71_tow;W_wikipedia_bai_cua_tung_ten_lua_bang_warhead;R_machine_brigade_can_bang</t>
        </is>
      </c>
      <c r="Q12" t="inlineStr"/>
      <c r="R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" t="inlineStr">
        <is>
          <t>NEED_SOURCE</t>
        </is>
      </c>
      <c r="T12" t="inlineStr">
        <is>
          <t>NEED_SOURCE</t>
        </is>
      </c>
      <c r="U12" t="inlineStr">
        <is>
          <t>NEED_SOURCE</t>
        </is>
      </c>
      <c r="V12" t="inlineStr">
        <is>
          <t>NEED_SOURCE</t>
        </is>
      </c>
      <c r="W12" t="inlineStr">
        <is>
          <t>NEED_SOURCE</t>
        </is>
      </c>
      <c r="X12" t="n">
        <v>3</v>
      </c>
      <c r="Y12" t="n">
        <v>2</v>
      </c>
      <c r="Z12" t="inlineStr">
        <is>
          <t>NEED_SOURCE</t>
        </is>
      </c>
      <c r="AA12" t="inlineStr">
        <is>
          <t>NEED_SOURCE</t>
        </is>
      </c>
      <c r="AB12" t="n">
        <v>5.9</v>
      </c>
      <c r="AC12" t="inlineStr">
        <is>
          <t>atgm</t>
        </is>
      </c>
      <c r="AD12" t="inlineStr">
        <is>
          <t>Wikipedia 'BGM-71 TOW': ~3 rpm</t>
        </is>
      </c>
      <c r="AE12" t="inlineStr">
        <is>
          <t>TOW-2: tầm 3,75 km, ~280 m/s, bay ~13 s tới tầm tối đa</t>
        </is>
      </c>
      <c r="AF12" t="inlineStr">
        <is>
          <t>Tools/balance/full_weapon_audit.py: REAL / WARHEAD; balance.json weapons[id=atgm].real</t>
        </is>
      </c>
      <c r="AG12" t="inlineStr"/>
    </row>
    <row r="13">
      <c r="A13" t="inlineStr">
        <is>
          <t>atgm_heavy</t>
        </is>
      </c>
      <c r="B13" t="inlineStr">
        <is>
          <t>atgm_heavy</t>
        </is>
      </c>
      <c r="C13" t="inlineStr">
        <is>
          <t>9M133 Kornet</t>
        </is>
      </c>
      <c r="D13" t="inlineStr">
        <is>
          <t>doi_that</t>
        </is>
      </c>
      <c r="E13" t="inlineStr">
        <is>
          <t>9M133 Kornet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da_kiem_chung</t>
        </is>
      </c>
      <c r="P13" t="inlineStr">
        <is>
          <t>R_balance;R_full_weapon_audit;W_wikipedia_9m133_kornet;W_wikipedia_bai_cua_tung_ten_lua_bang_warhead</t>
        </is>
      </c>
      <c r="Q13" t="inlineStr"/>
      <c r="R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" t="inlineStr">
        <is>
          <t>NEED_SOURCE</t>
        </is>
      </c>
      <c r="T13" t="inlineStr">
        <is>
          <t>NEED_SOURCE</t>
        </is>
      </c>
      <c r="U13" t="inlineStr">
        <is>
          <t>NEED_SOURCE</t>
        </is>
      </c>
      <c r="V13" t="inlineStr">
        <is>
          <t>NEED_SOURCE</t>
        </is>
      </c>
      <c r="W13" t="inlineStr">
        <is>
          <t>NEED_SOURCE</t>
        </is>
      </c>
      <c r="X13" t="n">
        <v>3</v>
      </c>
      <c r="Y13" t="n">
        <v>3</v>
      </c>
      <c r="Z13" t="inlineStr">
        <is>
          <t>NEED_SOURCE</t>
        </is>
      </c>
      <c r="AA13" t="inlineStr">
        <is>
          <t>NEED_SOURCE</t>
        </is>
      </c>
      <c r="AB13" t="n">
        <v>7</v>
      </c>
      <c r="AC13" t="inlineStr">
        <is>
          <t>atgm</t>
        </is>
      </c>
      <c r="AD13" t="inlineStr">
        <is>
          <t>Wikipedia '9M133 Kornet': 2-3 rpm</t>
        </is>
      </c>
      <c r="AE13" t="inlineStr"/>
      <c r="AF13" t="inlineStr">
        <is>
          <t>Tools/balance/full_weapon_audit.py: REAL / WARHEAD; balance.json weapons[id=atgm_heavy].real</t>
        </is>
      </c>
      <c r="AG13" t="inlineStr"/>
    </row>
    <row r="14">
      <c r="A14" t="inlineStr">
        <is>
          <t>atgm_post</t>
        </is>
      </c>
      <c r="B14" t="inlineStr">
        <is>
          <t>atgm_post</t>
        </is>
      </c>
      <c r="C14" t="inlineStr">
        <is>
          <t>9M113 Konkurs</t>
        </is>
      </c>
      <c r="D14" t="inlineStr">
        <is>
          <t>doi_that</t>
        </is>
      </c>
      <c r="E14" t="inlineStr">
        <is>
          <t>9M113 Konkurs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da_kiem_chung</t>
        </is>
      </c>
      <c r="P14" t="inlineStr">
        <is>
          <t>R_balance;R_full_weapon_audit;W_wikipedia_9m113_konkurs;W_wikipedia_bai_cua_tung_ten_lua_bang_warhead</t>
        </is>
      </c>
      <c r="Q14" t="inlineStr"/>
      <c r="R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" t="inlineStr">
        <is>
          <t>NEED_SOURCE</t>
        </is>
      </c>
      <c r="T14" t="inlineStr">
        <is>
          <t>NEED_SOURCE</t>
        </is>
      </c>
      <c r="U14" t="inlineStr">
        <is>
          <t>NEED_SOURCE</t>
        </is>
      </c>
      <c r="V14" t="inlineStr">
        <is>
          <t>NEED_SOURCE</t>
        </is>
      </c>
      <c r="W14" t="inlineStr">
        <is>
          <t>NEED_SOURCE</t>
        </is>
      </c>
      <c r="X14" t="n">
        <v>3</v>
      </c>
      <c r="Y14" t="n">
        <v>2</v>
      </c>
      <c r="Z14" t="inlineStr">
        <is>
          <t>NEED_SOURCE</t>
        </is>
      </c>
      <c r="AA14" t="inlineStr">
        <is>
          <t>NEED_SOURCE</t>
        </is>
      </c>
      <c r="AB14" t="n">
        <v>2.7</v>
      </c>
      <c r="AC14" t="inlineStr">
        <is>
          <t>atgm</t>
        </is>
      </c>
      <c r="AD14" t="inlineStr">
        <is>
          <t>Wikipedia '9M113 Konkurs': 2-3 rpm</t>
        </is>
      </c>
      <c r="AE14" t="inlineStr"/>
      <c r="AF14" t="inlineStr">
        <is>
          <t>Tools/balance/full_weapon_audit.py: REAL / WARHEAD; balance.json weapons[id=atgm_post].real</t>
        </is>
      </c>
      <c r="AG14" t="inlineStr"/>
    </row>
    <row r="15">
      <c r="A15" t="inlineStr">
        <is>
          <t>autocannon_25</t>
        </is>
      </c>
      <c r="B15" t="inlineStr">
        <is>
          <t>autocannon_25</t>
        </is>
      </c>
      <c r="C15" t="inlineStr">
        <is>
          <t>M242 Bushmaster 25 mm</t>
        </is>
      </c>
      <c r="D15" t="inlineStr">
        <is>
          <t>doi_that</t>
        </is>
      </c>
      <c r="E15" t="inlineStr">
        <is>
          <t>M242 Bushmaster 25 mm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da_kiem_chung</t>
        </is>
      </c>
      <c r="P15" t="inlineStr">
        <is>
          <t>R_balance;R_full_weapon_audit;W_wikipedia_m242_bushmaster;R_machine_brigade_can_bang</t>
        </is>
      </c>
      <c r="Q15" t="inlineStr"/>
      <c r="R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" t="n">
        <v>25</v>
      </c>
      <c r="T15" t="inlineStr">
        <is>
          <t>NEED_SOURCE</t>
        </is>
      </c>
      <c r="U15" t="inlineStr">
        <is>
          <t>NEED_SOURCE</t>
        </is>
      </c>
      <c r="V15" t="inlineStr">
        <is>
          <t>NEED_SOURCE</t>
        </is>
      </c>
      <c r="W15" t="inlineStr">
        <is>
          <t>NEED_SOURCE</t>
        </is>
      </c>
      <c r="X15" t="n">
        <v>500</v>
      </c>
      <c r="Y15" t="n">
        <v>200</v>
      </c>
      <c r="Z15" t="inlineStr">
        <is>
          <t>NEED_SOURCE</t>
        </is>
      </c>
      <c r="AA15" t="inlineStr">
        <is>
          <t>NEED_SOURCE</t>
        </is>
      </c>
      <c r="AB15" t="inlineStr"/>
      <c r="AC15" t="inlineStr">
        <is>
          <t>ac</t>
        </is>
      </c>
      <c r="AD15" t="inlineStr">
        <is>
          <t>Wikipedia 'M242 Bushmaster': 200 or 500 rpm</t>
        </is>
      </c>
      <c r="AE15" t="inlineStr">
        <is>
          <t>M242: 200 phát/phút (chậm) hoặc 500 (nhanh); tầm ~2,5–3 km</t>
        </is>
      </c>
      <c r="AF15" t="inlineStr">
        <is>
          <t>Tools/balance/full_weapon_audit.py: REAL / WARHEAD; balance.json weapons[id=autocannon_25].real</t>
        </is>
      </c>
      <c r="AG15" t="inlineStr"/>
    </row>
    <row r="16">
      <c r="A16" t="inlineStr">
        <is>
          <t>autocannon_25_flak</t>
        </is>
      </c>
      <c r="B16" t="inlineStr">
        <is>
          <t>autocannon_25_flak</t>
        </is>
      </c>
      <c r="C16" t="inlineStr">
        <is>
          <t>M242 Bushmaster 25 mm air-burst</t>
        </is>
      </c>
      <c r="D16" t="inlineStr">
        <is>
          <t>doi_that</t>
        </is>
      </c>
      <c r="E16" t="inlineStr">
        <is>
          <t>M242 Bushmaster 25 mm air-burst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da_kiem_chung</t>
        </is>
      </c>
      <c r="P16" t="inlineStr">
        <is>
          <t>R_balance;R_full_weapon_audit;W_wikipedia_m242_bushmaster</t>
        </is>
      </c>
      <c r="Q16" t="inlineStr"/>
      <c r="R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" t="n">
        <v>25</v>
      </c>
      <c r="T16" t="inlineStr">
        <is>
          <t>NEED_SOURCE</t>
        </is>
      </c>
      <c r="U16" t="inlineStr">
        <is>
          <t>NEED_SOURCE</t>
        </is>
      </c>
      <c r="V16" t="inlineStr">
        <is>
          <t>NEED_SOURCE</t>
        </is>
      </c>
      <c r="W16" t="inlineStr">
        <is>
          <t>NEED_SOURCE</t>
        </is>
      </c>
      <c r="X16" t="n">
        <v>500</v>
      </c>
      <c r="Y16" t="n">
        <v>200</v>
      </c>
      <c r="Z16" t="inlineStr">
        <is>
          <t>NEED_SOURCE</t>
        </is>
      </c>
      <c r="AA16" t="inlineStr">
        <is>
          <t>NEED_SOURCE</t>
        </is>
      </c>
      <c r="AB16" t="inlineStr"/>
      <c r="AC16" t="inlineStr">
        <is>
          <t>ac</t>
        </is>
      </c>
      <c r="AD16" t="inlineStr">
        <is>
          <t>Wikipedia 'M242 Bushmaster': 200 or 500 rpm</t>
        </is>
      </c>
      <c r="AE16" t="inlineStr"/>
      <c r="AF16" t="inlineStr">
        <is>
          <t>Tools/balance/full_weapon_audit.py: REAL / WARHEAD; balance.json weapons[id=autocannon_25_flak].real</t>
        </is>
      </c>
      <c r="AG16" t="inlineStr"/>
    </row>
    <row r="17">
      <c r="A17" t="inlineStr">
        <is>
          <t>autocannon_30</t>
        </is>
      </c>
      <c r="B17" t="inlineStr">
        <is>
          <t>autocannon_30</t>
        </is>
      </c>
      <c r="C17" t="inlineStr">
        <is>
          <t>2A42 30 mm</t>
        </is>
      </c>
      <c r="D17" t="inlineStr">
        <is>
          <t>doi_that</t>
        </is>
      </c>
      <c r="E17" t="inlineStr">
        <is>
          <t>2A42 30 mm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da_kiem_chung</t>
        </is>
      </c>
      <c r="P17" t="inlineStr">
        <is>
          <t>R_balance;R_full_weapon_audit;W_wikipedia_2a42;R_machine_brigade_can_bang</t>
        </is>
      </c>
      <c r="Q17" t="inlineStr"/>
      <c r="R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" t="n">
        <v>30</v>
      </c>
      <c r="T17" t="inlineStr">
        <is>
          <t>NEED_SOURCE</t>
        </is>
      </c>
      <c r="U17" t="inlineStr">
        <is>
          <t>NEED_SOURCE</t>
        </is>
      </c>
      <c r="V17" t="inlineStr">
        <is>
          <t>NEED_SOURCE</t>
        </is>
      </c>
      <c r="W17" t="inlineStr">
        <is>
          <t>NEED_SOURCE</t>
        </is>
      </c>
      <c r="X17" t="n">
        <v>800</v>
      </c>
      <c r="Y17" t="n">
        <v>300</v>
      </c>
      <c r="Z17" t="inlineStr">
        <is>
          <t>NEED_SOURCE</t>
        </is>
      </c>
      <c r="AA17" t="inlineStr">
        <is>
          <t>NEED_SOURCE</t>
        </is>
      </c>
      <c r="AB17" t="inlineStr"/>
      <c r="AC17" t="inlineStr">
        <is>
          <t>ac</t>
        </is>
      </c>
      <c r="AD17" t="inlineStr">
        <is>
          <t>Wikipedia '2A42': 550-800 high, 200-300 low rpm</t>
        </is>
      </c>
      <c r="AE17" t="inlineStr">
        <is>
          <t>2A42: 200–300 (chậm) / 550–800 phát/phút (nhanh); tầm ~4 km</t>
        </is>
      </c>
      <c r="AF17" t="inlineStr">
        <is>
          <t>Tools/balance/full_weapon_audit.py: REAL / WARHEAD; balance.json weapons[id=autocannon_30].real</t>
        </is>
      </c>
      <c r="AG17" t="inlineStr"/>
    </row>
    <row r="18">
      <c r="A18" t="inlineStr">
        <is>
          <t>autocannon_30_flak</t>
        </is>
      </c>
      <c r="B18" t="inlineStr">
        <is>
          <t>autocannon_30_flak</t>
        </is>
      </c>
      <c r="C18" t="inlineStr">
        <is>
          <t>2A42 30 mm air-burst</t>
        </is>
      </c>
      <c r="D18" t="inlineStr">
        <is>
          <t>doi_that</t>
        </is>
      </c>
      <c r="E18" t="inlineStr">
        <is>
          <t>2A42 30 mm air-burst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da_kiem_chung</t>
        </is>
      </c>
      <c r="P18" t="inlineStr">
        <is>
          <t>R_balance;R_full_weapon_audit;W_wikipedia_2a42</t>
        </is>
      </c>
      <c r="Q18" t="inlineStr"/>
      <c r="R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" t="n">
        <v>30</v>
      </c>
      <c r="T18" t="inlineStr">
        <is>
          <t>NEED_SOURCE</t>
        </is>
      </c>
      <c r="U18" t="inlineStr">
        <is>
          <t>NEED_SOURCE</t>
        </is>
      </c>
      <c r="V18" t="inlineStr">
        <is>
          <t>NEED_SOURCE</t>
        </is>
      </c>
      <c r="W18" t="inlineStr">
        <is>
          <t>NEED_SOURCE</t>
        </is>
      </c>
      <c r="X18" t="n">
        <v>800</v>
      </c>
      <c r="Y18" t="n">
        <v>300</v>
      </c>
      <c r="Z18" t="inlineStr">
        <is>
          <t>NEED_SOURCE</t>
        </is>
      </c>
      <c r="AA18" t="inlineStr">
        <is>
          <t>NEED_SOURCE</t>
        </is>
      </c>
      <c r="AB18" t="inlineStr"/>
      <c r="AC18" t="inlineStr">
        <is>
          <t>ac</t>
        </is>
      </c>
      <c r="AD18" t="inlineStr">
        <is>
          <t>Wikipedia '2A42': 550-800 high, 200-300 low rpm</t>
        </is>
      </c>
      <c r="AE18" t="inlineStr"/>
      <c r="AF18" t="inlineStr">
        <is>
          <t>Tools/balance/full_weapon_audit.py: REAL / WARHEAD; balance.json weapons[id=autocannon_30_flak].real</t>
        </is>
      </c>
      <c r="AG18" t="inlineStr"/>
    </row>
    <row r="19">
      <c r="A19" t="inlineStr">
        <is>
          <t>autocannon_40</t>
        </is>
      </c>
      <c r="B19" t="inlineStr">
        <is>
          <t>autocannon_40</t>
        </is>
      </c>
      <c r="C19" t="inlineStr">
        <is>
          <t>Bofors 40 mm</t>
        </is>
      </c>
      <c r="D19" t="inlineStr">
        <is>
          <t>doi_that</t>
        </is>
      </c>
      <c r="E19" t="inlineStr">
        <is>
          <t>Bofors 40 mm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da_kiem_chung</t>
        </is>
      </c>
      <c r="P19" t="inlineStr">
        <is>
          <t>R_balance;R_full_weapon_audit;W_wikipedia_bofors_40_mm_l_70;R_machine_brigade_can_bang</t>
        </is>
      </c>
      <c r="Q19" t="inlineStr"/>
      <c r="R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" t="n">
        <v>40</v>
      </c>
      <c r="T19" t="inlineStr">
        <is>
          <t>NEED_SOURCE</t>
        </is>
      </c>
      <c r="U19" t="inlineStr">
        <is>
          <t>NEED_SOURCE</t>
        </is>
      </c>
      <c r="V19" t="inlineStr">
        <is>
          <t>NEED_SOURCE</t>
        </is>
      </c>
      <c r="W19" t="inlineStr">
        <is>
          <t>NEED_SOURCE</t>
        </is>
      </c>
      <c r="X19" t="n">
        <v>330</v>
      </c>
      <c r="Y19" t="n">
        <v>120</v>
      </c>
      <c r="Z19" t="inlineStr">
        <is>
          <t>NEED_SOURCE</t>
        </is>
      </c>
      <c r="AA19" t="inlineStr">
        <is>
          <t>NEED_SOURCE</t>
        </is>
      </c>
      <c r="AB19" t="inlineStr"/>
      <c r="AC19" t="inlineStr">
        <is>
          <t>aa</t>
        </is>
      </c>
      <c r="AD19" t="inlineStr">
        <is>
          <t>Wikipedia 'Bofors 40 mm L/70': 240-330 rpm</t>
        </is>
      </c>
      <c r="AE19" t="inlineStr">
        <is>
          <t>Bofors L/70: 240–330 phát/phút</t>
        </is>
      </c>
      <c r="AF19" t="inlineStr">
        <is>
          <t>Tools/balance/full_weapon_audit.py: REAL / WARHEAD; balance.json weapons[id=autocannon_40].real</t>
        </is>
      </c>
      <c r="AG19" t="inlineStr"/>
    </row>
    <row r="20">
      <c r="A20" t="inlineStr">
        <is>
          <t>autocannon_40_flak</t>
        </is>
      </c>
      <c r="B20" t="inlineStr">
        <is>
          <t>autocannon_40_flak</t>
        </is>
      </c>
      <c r="C20" t="inlineStr">
        <is>
          <t>Bofors 40 mm air-burst</t>
        </is>
      </c>
      <c r="D20" t="inlineStr">
        <is>
          <t>doi_that</t>
        </is>
      </c>
      <c r="E20" t="inlineStr">
        <is>
          <t>Bofors 40 mm air-burst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da_kiem_chung</t>
        </is>
      </c>
      <c r="P20" t="inlineStr">
        <is>
          <t>R_balance;R_full_weapon_audit;W_wikipedia_bofors_40_mm_l_70</t>
        </is>
      </c>
      <c r="Q20" t="inlineStr"/>
      <c r="R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" t="n">
        <v>40</v>
      </c>
      <c r="T20" t="inlineStr">
        <is>
          <t>NEED_SOURCE</t>
        </is>
      </c>
      <c r="U20" t="inlineStr">
        <is>
          <t>NEED_SOURCE</t>
        </is>
      </c>
      <c r="V20" t="inlineStr">
        <is>
          <t>NEED_SOURCE</t>
        </is>
      </c>
      <c r="W20" t="inlineStr">
        <is>
          <t>NEED_SOURCE</t>
        </is>
      </c>
      <c r="X20" t="n">
        <v>330</v>
      </c>
      <c r="Y20" t="n">
        <v>120</v>
      </c>
      <c r="Z20" t="inlineStr">
        <is>
          <t>NEED_SOURCE</t>
        </is>
      </c>
      <c r="AA20" t="inlineStr">
        <is>
          <t>NEED_SOURCE</t>
        </is>
      </c>
      <c r="AB20" t="inlineStr"/>
      <c r="AC20" t="inlineStr">
        <is>
          <t>aa</t>
        </is>
      </c>
      <c r="AD20" t="inlineStr">
        <is>
          <t>Wikipedia 'Bofors 40 mm L/70': 240-330 rpm</t>
        </is>
      </c>
      <c r="AE20" t="inlineStr"/>
      <c r="AF20" t="inlineStr">
        <is>
          <t>Tools/balance/full_weapon_audit.py: REAL / WARHEAD; balance.json weapons[id=autocannon_40_flak].real</t>
        </is>
      </c>
      <c r="AG20" t="inlineStr"/>
    </row>
    <row r="21">
      <c r="A21" t="inlineStr">
        <is>
          <t>ballistic_missile</t>
        </is>
      </c>
      <c r="B21" t="inlineStr">
        <is>
          <t>ballistic_missile</t>
        </is>
      </c>
      <c r="C21" t="inlineStr">
        <is>
          <t>9M723 Iskander (700 kg)</t>
        </is>
      </c>
      <c r="D21" t="inlineStr">
        <is>
          <t>doi_that</t>
        </is>
      </c>
      <c r="E21" t="inlineStr">
        <is>
          <t>9M723 Iskander (700 kg)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da_kiem_chung</t>
        </is>
      </c>
      <c r="P21" t="inlineStr">
        <is>
          <t>R_balance;R_full_weapon_audit;W_wikipedia_9k720_iskander;R_machine_brigade_can_bang</t>
        </is>
      </c>
      <c r="Q21" t="inlineStr"/>
      <c r="R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" t="inlineStr">
        <is>
          <t>NEED_SOURCE</t>
        </is>
      </c>
      <c r="T21" t="inlineStr">
        <is>
          <t>NEED_SOURCE</t>
        </is>
      </c>
      <c r="U21" t="inlineStr">
        <is>
          <t>NEED_SOURCE</t>
        </is>
      </c>
      <c r="V21" t="inlineStr">
        <is>
          <t>NEED_SOURCE</t>
        </is>
      </c>
      <c r="W21" t="inlineStr">
        <is>
          <t>NEED_SOURCE</t>
        </is>
      </c>
      <c r="X21" t="n">
        <v>2</v>
      </c>
      <c r="Y21" t="n">
        <v>2</v>
      </c>
      <c r="Z21" t="inlineStr">
        <is>
          <t>NEED_SOURCE</t>
        </is>
      </c>
      <c r="AA21" t="inlineStr">
        <is>
          <t>NEED_SOURCE</t>
        </is>
      </c>
      <c r="AB21" t="inlineStr">
        <is>
          <t>NEED_SOURCE</t>
        </is>
      </c>
      <c r="AC21" t="inlineStr">
        <is>
          <t>missile</t>
        </is>
      </c>
      <c r="AD21" t="inlineStr">
        <is>
          <t>Wikipedia '9K720 Iskander': two missiles within a minute</t>
        </is>
      </c>
      <c r="AE21" t="inlineStr">
        <is>
          <t>Iskander 9M723: đầu nổ ~480 kg</t>
        </is>
      </c>
      <c r="AF21" t="inlineStr">
        <is>
          <t>Tools/balance/full_weapon_audit.py: REAL / WARHEAD; balance.json weapons[id=ballistic_missile].real</t>
        </is>
      </c>
      <c r="AG21" t="inlineStr"/>
    </row>
    <row r="22">
      <c r="A22" t="inlineStr">
        <is>
          <t>bastion_gun</t>
        </is>
      </c>
      <c r="B22" t="inlineStr">
        <is>
          <t>bastion_gun</t>
        </is>
      </c>
      <c r="C22" t="inlineStr">
        <is>
          <t>2A83 152 mm (twin)</t>
        </is>
      </c>
      <c r="D22" t="inlineStr">
        <is>
          <t>doi_that</t>
        </is>
      </c>
      <c r="E22" t="inlineStr">
        <is>
          <t>2A83 152 mm (twin)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nhịp chậm hơn 30 % và mạnh hơn tương ứng (luật súng của game)</t>
        </is>
      </c>
      <c r="M22" t="inlineStr">
        <is>
          <t>gameplay</t>
        </is>
      </c>
      <c r="N22" t="inlineStr"/>
      <c r="O22" t="inlineStr">
        <is>
          <t>uoc_dinh</t>
        </is>
      </c>
      <c r="P22" t="inlineStr">
        <is>
          <t>R_balance;R_full_weapon_audit;R_machine_brigade_can_bang</t>
        </is>
      </c>
      <c r="Q22" t="inlineStr"/>
      <c r="R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" t="n">
        <v>152</v>
      </c>
      <c r="T22" t="inlineStr">
        <is>
          <t>NEED_SOURCE</t>
        </is>
      </c>
      <c r="U22" t="inlineStr">
        <is>
          <t>NEED_SOURCE</t>
        </is>
      </c>
      <c r="V22" t="inlineStr">
        <is>
          <t>NEED_SOURCE</t>
        </is>
      </c>
      <c r="W22" t="inlineStr">
        <is>
          <t>NEED_SOURCE</t>
        </is>
      </c>
      <c r="X22" t="n">
        <v>10</v>
      </c>
      <c r="Y22" t="n">
        <v>8</v>
      </c>
      <c r="Z22" t="inlineStr">
        <is>
          <t>NEED_SOURCE</t>
        </is>
      </c>
      <c r="AA22" t="inlineStr">
        <is>
          <t>NEED_SOURCE</t>
        </is>
      </c>
      <c r="AB22" t="inlineStr"/>
      <c r="AC22" t="inlineStr">
        <is>
          <t>gun</t>
        </is>
      </c>
      <c r="AD22" t="inlineStr">
        <is>
          <t>Object 195 / T-14 152 mm, est. ~10 rpm (the sheet)</t>
        </is>
      </c>
      <c r="AE22" t="inlineStr"/>
      <c r="AF22" t="inlineStr">
        <is>
          <t>Tools/balance/full_weapon_audit.py: REAL / WARHEAD; balance.json weapons[id=bastion_gun].real</t>
        </is>
      </c>
      <c r="AG22" t="inlineStr"/>
    </row>
    <row r="23">
      <c r="A23" t="inlineStr">
        <is>
          <t>bastion_gun_he</t>
        </is>
      </c>
      <c r="B23" t="inlineStr">
        <is>
          <t>bastion_gun_he</t>
        </is>
      </c>
      <c r="C23" t="inlineStr">
        <is>
          <t>2A83 152 mm HE-FRAG (twin)</t>
        </is>
      </c>
      <c r="D23" t="inlineStr">
        <is>
          <t>doi_that</t>
        </is>
      </c>
      <c r="E23" t="inlineStr">
        <is>
          <t>2A83 152 mm HE-FRAG (twin)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nhịp chậm hơn 30 % và mạnh hơn tương ứng (luật súng của game)</t>
        </is>
      </c>
      <c r="M23" t="inlineStr">
        <is>
          <t>gameplay</t>
        </is>
      </c>
      <c r="N23" t="inlineStr"/>
      <c r="O23" t="inlineStr">
        <is>
          <t>uoc_dinh</t>
        </is>
      </c>
      <c r="P23" t="inlineStr">
        <is>
          <t>R_balance;R_full_weapon_audit;R_machine_brigade_can_bang</t>
        </is>
      </c>
      <c r="Q23" t="inlineStr"/>
      <c r="R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" t="n">
        <v>152</v>
      </c>
      <c r="T23" t="inlineStr">
        <is>
          <t>NEED_SOURCE</t>
        </is>
      </c>
      <c r="U23" t="inlineStr">
        <is>
          <t>NEED_SOURCE</t>
        </is>
      </c>
      <c r="V23" t="inlineStr">
        <is>
          <t>NEED_SOURCE</t>
        </is>
      </c>
      <c r="W23" t="inlineStr">
        <is>
          <t>NEED_SOURCE</t>
        </is>
      </c>
      <c r="X23" t="n">
        <v>10</v>
      </c>
      <c r="Y23" t="n">
        <v>8</v>
      </c>
      <c r="Z23" t="inlineStr">
        <is>
          <t>NEED_SOURCE</t>
        </is>
      </c>
      <c r="AA23" t="inlineStr">
        <is>
          <t>NEED_SOURCE</t>
        </is>
      </c>
      <c r="AB23" t="inlineStr"/>
      <c r="AC23" t="inlineStr">
        <is>
          <t>gun</t>
        </is>
      </c>
      <c r="AD23" t="inlineStr">
        <is>
          <t>Object 195 / T-14 152 mm, est. ~10 rpm (the sheet)</t>
        </is>
      </c>
      <c r="AE23" t="inlineStr"/>
      <c r="AF23" t="inlineStr">
        <is>
          <t>Tools/balance/full_weapon_audit.py: REAL / WARHEAD; balance.json weapons[id=bastion_gun_he].real</t>
        </is>
      </c>
      <c r="AG23" t="inlineStr"/>
    </row>
    <row r="24">
      <c r="A24" t="inlineStr">
        <is>
          <t>boat_rockets</t>
        </is>
      </c>
      <c r="B24" t="inlineStr">
        <is>
          <t>boat_rockets</t>
        </is>
      </c>
      <c r="C24" t="inlineStr">
        <is>
          <t>S-8 80 mm</t>
        </is>
      </c>
      <c r="D24" t="inlineStr">
        <is>
          <t>doi_that</t>
        </is>
      </c>
      <c r="E24" t="inlineStr">
        <is>
          <t>S-8 80 mm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ban_dau_doan</t>
        </is>
      </c>
      <c r="P24" t="inlineStr">
        <is>
          <t>R_balance;R_full_weapon_audit;R_decisions;R_machine_brigade_can_bang</t>
        </is>
      </c>
      <c r="Q24" t="inlineStr"/>
      <c r="R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" t="n">
        <v>80</v>
      </c>
      <c r="T24" t="inlineStr">
        <is>
          <t>NEED_SOURCE</t>
        </is>
      </c>
      <c r="U24" t="inlineStr">
        <is>
          <t>NEED_SOURCE</t>
        </is>
      </c>
      <c r="V24" t="inlineStr">
        <is>
          <t>NEED_SOURCE</t>
        </is>
      </c>
      <c r="W24" t="inlineStr">
        <is>
          <t>NEED_SOURCE</t>
        </is>
      </c>
      <c r="X24" t="n">
        <v>900</v>
      </c>
      <c r="Y24" t="inlineStr">
        <is>
          <t>NEED_SOURCE</t>
        </is>
      </c>
      <c r="Z24" t="inlineStr">
        <is>
          <t>NEED_SOURCE</t>
        </is>
      </c>
      <c r="AA24" t="inlineStr">
        <is>
          <t>NEED_SOURCE</t>
        </is>
      </c>
      <c r="AB24" t="inlineStr"/>
      <c r="AC24" t="inlineStr">
        <is>
          <t>rocket</t>
        </is>
      </c>
      <c r="AD24" t="inlineStr">
        <is>
          <t>rocket pods: ripples of 0.05-0.12 s (DECISIONS 19R)</t>
        </is>
      </c>
      <c r="AE24" t="inlineStr">
        <is>
          <t>S-8</t>
        </is>
      </c>
      <c r="AF24" t="inlineStr">
        <is>
          <t>Tools/balance/full_weapon_audit.py: REAL / WARHEAD; balance.json weapons[id=boat_rockets].real</t>
        </is>
      </c>
      <c r="AG24" t="inlineStr"/>
    </row>
    <row r="25">
      <c r="A25" t="inlineStr">
        <is>
          <t>bofors_l70</t>
        </is>
      </c>
      <c r="B25" t="inlineStr">
        <is>
          <t>bofors_l70</t>
        </is>
      </c>
      <c r="C25" t="inlineStr">
        <is>
          <t>Bofors 40 mm L/70</t>
        </is>
      </c>
      <c r="D25" t="inlineStr">
        <is>
          <t>doi_that</t>
        </is>
      </c>
      <c r="E25" t="inlineStr">
        <is>
          <t>Bofors 40 mm L/70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da_kiem_chung</t>
        </is>
      </c>
      <c r="P25" t="inlineStr">
        <is>
          <t>R_balance;R_full_weapon_audit;W_wikipedia_bofors_40_mm_l_70</t>
        </is>
      </c>
      <c r="Q25" t="inlineStr"/>
      <c r="R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" t="n">
        <v>40</v>
      </c>
      <c r="T25" t="inlineStr">
        <is>
          <t>NEED_SOURCE</t>
        </is>
      </c>
      <c r="U25" t="inlineStr">
        <is>
          <t>NEED_SOURCE</t>
        </is>
      </c>
      <c r="V25" t="inlineStr">
        <is>
          <t>NEED_SOURCE</t>
        </is>
      </c>
      <c r="W25" t="inlineStr">
        <is>
          <t>NEED_SOURCE</t>
        </is>
      </c>
      <c r="X25" t="n">
        <v>330</v>
      </c>
      <c r="Y25" t="n">
        <v>120</v>
      </c>
      <c r="Z25" t="inlineStr">
        <is>
          <t>NEED_SOURCE</t>
        </is>
      </c>
      <c r="AA25" t="inlineStr">
        <is>
          <t>NEED_SOURCE</t>
        </is>
      </c>
      <c r="AB25" t="inlineStr"/>
      <c r="AC25" t="inlineStr">
        <is>
          <t>aa</t>
        </is>
      </c>
      <c r="AD25" t="inlineStr">
        <is>
          <t>Wikipedia 'Bofors 40 mm L/70': 240-330 rpm</t>
        </is>
      </c>
      <c r="AE25" t="inlineStr"/>
      <c r="AF25" t="inlineStr">
        <is>
          <t>Tools/balance/full_weapon_audit.py: REAL / WARHEAD; balance.json weapons[id=bofors_l70].real</t>
        </is>
      </c>
      <c r="AG25" t="inlineStr"/>
    </row>
    <row r="26">
      <c r="A26" t="inlineStr">
        <is>
          <t>bomber_payload</t>
        </is>
      </c>
      <c r="B26" t="inlineStr">
        <is>
          <t>bomber_payload</t>
        </is>
      </c>
      <c r="C26" t="inlineStr">
        <is>
          <t>FAB-500 (500 kg)</t>
        </is>
      </c>
      <c r="D26" t="inlineStr">
        <is>
          <t>doi_that</t>
        </is>
      </c>
      <c r="E26" t="inlineStr">
        <is>
          <t>FAB-500 (500 kg)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uoc_dinh</t>
        </is>
      </c>
      <c r="P26" t="inlineStr">
        <is>
          <t>R_balance;R_full_weapon_audit;R_machine_brigade_can_bang</t>
        </is>
      </c>
      <c r="Q26" t="inlineStr"/>
      <c r="R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" t="inlineStr">
        <is>
          <t>NEED_SOURCE</t>
        </is>
      </c>
      <c r="T26" t="inlineStr">
        <is>
          <t>NEED_SOURCE</t>
        </is>
      </c>
      <c r="U26" t="inlineStr">
        <is>
          <t>NEED_SOURCE</t>
        </is>
      </c>
      <c r="V26" t="inlineStr">
        <is>
          <t>NEED_SOURCE</t>
        </is>
      </c>
      <c r="W26" t="inlineStr">
        <is>
          <t>NEED_SOURCE</t>
        </is>
      </c>
      <c r="X26" t="n">
        <v>600</v>
      </c>
      <c r="Y26" t="inlineStr">
        <is>
          <t>NEED_SOURCE</t>
        </is>
      </c>
      <c r="Z26" t="inlineStr">
        <is>
          <t>NEED_SOURCE</t>
        </is>
      </c>
      <c r="AA26" t="inlineStr">
        <is>
          <t>NEED_SOURCE</t>
        </is>
      </c>
      <c r="AB26" t="inlineStr"/>
      <c r="AC26" t="inlineStr">
        <is>
          <t>bomb</t>
        </is>
      </c>
      <c r="AD26" t="inlineStr">
        <is>
          <t>a stick's release, 0.1 s and up (est.)</t>
        </is>
      </c>
      <c r="AE26" t="inlineStr">
        <is>
          <t>FAB-500: ~200 kg thuốc nổ</t>
        </is>
      </c>
      <c r="AF26" t="inlineStr">
        <is>
          <t>Tools/balance/full_weapon_audit.py: REAL / WARHEAD; balance.json weapons[id=bomber_payload].real</t>
        </is>
      </c>
      <c r="AG26" t="inlineStr"/>
    </row>
    <row r="27">
      <c r="A27" t="inlineStr">
        <is>
          <t>bomber_tail_guns</t>
        </is>
      </c>
      <c r="B27" t="inlineStr">
        <is>
          <t>bomber_tail_guns</t>
        </is>
      </c>
      <c r="C27" t="inlineStr">
        <is>
          <t>M3 12.7 mm (quad tail)</t>
        </is>
      </c>
      <c r="D27" t="inlineStr">
        <is>
          <t>doi_that</t>
        </is>
      </c>
      <c r="E27" t="inlineStr">
        <is>
          <t>M3 12.7 mm (quad tail)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da_kiem_chung</t>
        </is>
      </c>
      <c r="P27" t="inlineStr">
        <is>
          <t>R_balance;R_full_weapon_audit;W_wikipedia_m3_browning;R_machine_brigade_can_bang</t>
        </is>
      </c>
      <c r="Q27" t="inlineStr"/>
      <c r="R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" t="n">
        <v>12.7</v>
      </c>
      <c r="T27" t="inlineStr">
        <is>
          <t>NEED_SOURCE</t>
        </is>
      </c>
      <c r="U27" t="inlineStr">
        <is>
          <t>NEED_SOURCE</t>
        </is>
      </c>
      <c r="V27" t="inlineStr">
        <is>
          <t>NEED_SOURCE</t>
        </is>
      </c>
      <c r="W27" t="inlineStr">
        <is>
          <t>NEED_SOURCE</t>
        </is>
      </c>
      <c r="X27" t="n">
        <v>1200</v>
      </c>
      <c r="Y27" t="n">
        <v>200</v>
      </c>
      <c r="Z27" t="inlineStr">
        <is>
          <t>NEED_SOURCE</t>
        </is>
      </c>
      <c r="AA27" t="inlineStr">
        <is>
          <t>NEED_SOURCE</t>
        </is>
      </c>
      <c r="AB27" t="inlineStr"/>
      <c r="AC27" t="inlineStr">
        <is>
          <t>mg</t>
        </is>
      </c>
      <c r="AD27" t="inlineStr">
        <is>
          <t>Wikipedia 'M3 Browning' (AN/M3): 1,100-1,250 rpm</t>
        </is>
      </c>
      <c r="AE27" t="inlineStr">
        <is>
          <t>M3 12,7 mm: 1.200</t>
        </is>
      </c>
      <c r="AF27" t="inlineStr">
        <is>
          <t>Tools/balance/full_weapon_audit.py: REAL / WARHEAD; balance.json weapons[id=bomber_tail_guns].real</t>
        </is>
      </c>
      <c r="AG27" t="inlineStr"/>
    </row>
    <row r="28">
      <c r="A28" t="inlineStr">
        <is>
          <t>bomber_tail_guns_api</t>
        </is>
      </c>
      <c r="B28" t="inlineStr">
        <is>
          <t>bomber_tail_guns_api</t>
        </is>
      </c>
      <c r="C28" t="inlineStr">
        <is>
          <t>M3 12.7 mm API (quad tail)</t>
        </is>
      </c>
      <c r="D28" t="inlineStr">
        <is>
          <t>doi_that</t>
        </is>
      </c>
      <c r="E28" t="inlineStr">
        <is>
          <t>M3 12.7 mm API (quad tail)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da_kiem_chung</t>
        </is>
      </c>
      <c r="P28" t="inlineStr">
        <is>
          <t>R_balance;R_full_weapon_audit;W_wikipedia_m3_browning</t>
        </is>
      </c>
      <c r="Q28" t="inlineStr"/>
      <c r="R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" t="n">
        <v>12.7</v>
      </c>
      <c r="T28" t="inlineStr">
        <is>
          <t>NEED_SOURCE</t>
        </is>
      </c>
      <c r="U28" t="inlineStr">
        <is>
          <t>NEED_SOURCE</t>
        </is>
      </c>
      <c r="V28" t="inlineStr">
        <is>
          <t>NEED_SOURCE</t>
        </is>
      </c>
      <c r="W28" t="inlineStr">
        <is>
          <t>NEED_SOURCE</t>
        </is>
      </c>
      <c r="X28" t="n">
        <v>1200</v>
      </c>
      <c r="Y28" t="n">
        <v>200</v>
      </c>
      <c r="Z28" t="inlineStr">
        <is>
          <t>NEED_SOURCE</t>
        </is>
      </c>
      <c r="AA28" t="inlineStr">
        <is>
          <t>NEED_SOURCE</t>
        </is>
      </c>
      <c r="AB28" t="inlineStr"/>
      <c r="AC28" t="inlineStr">
        <is>
          <t>mg</t>
        </is>
      </c>
      <c r="AD28" t="inlineStr">
        <is>
          <t>Wikipedia 'M3 Browning' (AN/M3): 1,100-1,250 rpm</t>
        </is>
      </c>
      <c r="AE28" t="inlineStr"/>
      <c r="AF28" t="inlineStr">
        <is>
          <t>Tools/balance/full_weapon_audit.py: REAL / WARHEAD; balance.json weapons[id=bomber_tail_guns_api].real</t>
        </is>
      </c>
      <c r="AG28" t="inlineStr"/>
    </row>
    <row r="29">
      <c r="A29" t="inlineStr">
        <is>
          <t>borer_cannon</t>
        </is>
      </c>
      <c r="B29" t="inlineStr">
        <is>
          <t>borer_cannon</t>
        </is>
      </c>
      <c r="C29" t="inlineStr">
        <is>
          <t>2A70 100/76 mm</t>
        </is>
      </c>
      <c r="D29" t="inlineStr">
        <is>
          <t>doi_that</t>
        </is>
      </c>
      <c r="E29" t="inlineStr">
        <is>
          <t>2A70 100/76 mm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nhịp chậm hơn 30 % và mạnh hơn tương ứng (luật súng của game)</t>
        </is>
      </c>
      <c r="M29" t="inlineStr">
        <is>
          <t>gameplay</t>
        </is>
      </c>
      <c r="N29" t="inlineStr"/>
      <c r="O29" t="inlineStr">
        <is>
          <t>da_kiem_chung</t>
        </is>
      </c>
      <c r="P29" t="inlineStr">
        <is>
          <t>R_balance;R_full_weapon_audit;W_wikipedia_2a70</t>
        </is>
      </c>
      <c r="Q29" t="inlineStr"/>
      <c r="R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" t="n">
        <v>76</v>
      </c>
      <c r="T29" t="inlineStr">
        <is>
          <t>NEED_SOURCE</t>
        </is>
      </c>
      <c r="U29" t="inlineStr">
        <is>
          <t>NEED_SOURCE</t>
        </is>
      </c>
      <c r="V29" t="inlineStr">
        <is>
          <t>NEED_SOURCE</t>
        </is>
      </c>
      <c r="W29" t="inlineStr">
        <is>
          <t>NEED_SOURCE</t>
        </is>
      </c>
      <c r="X29" t="n">
        <v>10</v>
      </c>
      <c r="Y29" t="n">
        <v>8</v>
      </c>
      <c r="Z29" t="inlineStr">
        <is>
          <t>NEED_SOURCE</t>
        </is>
      </c>
      <c r="AA29" t="inlineStr">
        <is>
          <t>NEED_SOURCE</t>
        </is>
      </c>
      <c r="AB29" t="inlineStr"/>
      <c r="AC29" t="inlineStr">
        <is>
          <t>gun</t>
        </is>
      </c>
      <c r="AD29" t="inlineStr">
        <is>
          <t>Wikipedia '2A70': 10 rpm (100 mm), BMP-3</t>
        </is>
      </c>
      <c r="AE29" t="inlineStr"/>
      <c r="AF29" t="inlineStr">
        <is>
          <t>Tools/balance/full_weapon_audit.py: REAL / WARHEAD; balance.json weapons[id=borer_cannon].real</t>
        </is>
      </c>
      <c r="AG29" t="inlineStr"/>
    </row>
    <row r="30">
      <c r="A30" t="inlineStr">
        <is>
          <t>borer_cannon_he</t>
        </is>
      </c>
      <c r="B30" t="inlineStr">
        <is>
          <t>borer_cannon_he</t>
        </is>
      </c>
      <c r="C30" t="inlineStr">
        <is>
          <t>2A70 100/76 mm HE</t>
        </is>
      </c>
      <c r="D30" t="inlineStr">
        <is>
          <t>doi_that</t>
        </is>
      </c>
      <c r="E30" t="inlineStr">
        <is>
          <t>2A70 100/76 mm HE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nhịp chậm hơn 30 % và mạnh hơn tương ứng (luật súng của game)</t>
        </is>
      </c>
      <c r="M30" t="inlineStr">
        <is>
          <t>gameplay</t>
        </is>
      </c>
      <c r="N30" t="inlineStr"/>
      <c r="O30" t="inlineStr">
        <is>
          <t>da_kiem_chung</t>
        </is>
      </c>
      <c r="P30" t="inlineStr">
        <is>
          <t>R_balance;R_full_weapon_audit;W_wikipedia_2a70</t>
        </is>
      </c>
      <c r="Q30" t="inlineStr"/>
      <c r="R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" t="n">
        <v>76</v>
      </c>
      <c r="T30" t="inlineStr">
        <is>
          <t>NEED_SOURCE</t>
        </is>
      </c>
      <c r="U30" t="inlineStr">
        <is>
          <t>NEED_SOURCE</t>
        </is>
      </c>
      <c r="V30" t="inlineStr">
        <is>
          <t>NEED_SOURCE</t>
        </is>
      </c>
      <c r="W30" t="inlineStr">
        <is>
          <t>NEED_SOURCE</t>
        </is>
      </c>
      <c r="X30" t="n">
        <v>10</v>
      </c>
      <c r="Y30" t="n">
        <v>8</v>
      </c>
      <c r="Z30" t="inlineStr">
        <is>
          <t>NEED_SOURCE</t>
        </is>
      </c>
      <c r="AA30" t="inlineStr">
        <is>
          <t>NEED_SOURCE</t>
        </is>
      </c>
      <c r="AB30" t="inlineStr"/>
      <c r="AC30" t="inlineStr">
        <is>
          <t>gun</t>
        </is>
      </c>
      <c r="AD30" t="inlineStr">
        <is>
          <t>Wikipedia '2A70': 10 rpm (100 mm), BMP-3</t>
        </is>
      </c>
      <c r="AE30" t="inlineStr"/>
      <c r="AF30" t="inlineStr">
        <is>
          <t>Tools/balance/full_weapon_audit.py: REAL / WARHEAD; balance.json weapons[id=borer_cannon_he].real</t>
        </is>
      </c>
      <c r="AG30" t="inlineStr"/>
    </row>
    <row r="31">
      <c r="A31" t="inlineStr">
        <is>
          <t>borer_drill</t>
        </is>
      </c>
      <c r="B31" t="inlineStr">
        <is>
          <t>borer_drill</t>
        </is>
      </c>
      <c r="C31" t="inlineStr">
        <is>
          <t>drill head</t>
        </is>
      </c>
      <c r="D31" t="inlineStr">
        <is>
          <t>doi_that</t>
        </is>
      </c>
      <c r="E31" t="inlineStr">
        <is>
          <t>drill head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ban_dau_doan</t>
        </is>
      </c>
      <c r="P31" t="inlineStr">
        <is>
          <t>R_balance</t>
        </is>
      </c>
      <c r="Q31" t="inlineStr"/>
      <c r="R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" t="inlineStr">
        <is>
          <t>NEED_SOURCE</t>
        </is>
      </c>
      <c r="T31" t="inlineStr">
        <is>
          <t>NEED_SOURCE</t>
        </is>
      </c>
      <c r="U31" t="inlineStr">
        <is>
          <t>NEED_SOURCE</t>
        </is>
      </c>
      <c r="V31" t="inlineStr">
        <is>
          <t>NEED_SOURCE</t>
        </is>
      </c>
      <c r="W31" t="inlineStr">
        <is>
          <t>NEED_SOURCE</t>
        </is>
      </c>
      <c r="X31" t="inlineStr">
        <is>
          <t>NEED_SOURCE</t>
        </is>
      </c>
      <c r="Y31" t="inlineStr">
        <is>
          <t>NEED_SOURCE</t>
        </is>
      </c>
      <c r="Z31" t="inlineStr">
        <is>
          <t>NEED_SOURCE</t>
        </is>
      </c>
      <c r="AA31" t="inlineStr">
        <is>
          <t>NEED_SOURCE</t>
        </is>
      </c>
      <c r="AB31" t="inlineStr"/>
      <c r="AC31" t="inlineStr"/>
      <c r="AD31" t="inlineStr"/>
      <c r="AE31" t="inlineStr"/>
      <c r="AF31" t="inlineStr">
        <is>
          <t>Tools/balance/full_weapon_audit.py: REAL / WARHEAD; balance.json weapons[id=borer_drill].real</t>
        </is>
      </c>
      <c r="AG31" t="inlineStr"/>
    </row>
    <row r="32">
      <c r="A32" t="inlineStr">
        <is>
          <t>boss_flak</t>
        </is>
      </c>
      <c r="B32" t="inlineStr">
        <is>
          <t>boss_flak</t>
        </is>
      </c>
      <c r="C32" t="inlineStr">
        <is>
          <t>Oerlikon 35 mm (twin)</t>
        </is>
      </c>
      <c r="D32" t="inlineStr">
        <is>
          <t>doi_that</t>
        </is>
      </c>
      <c r="E32" t="inlineStr">
        <is>
          <t>Oerlikon 35 mm (twin)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da_kiem_chung</t>
        </is>
      </c>
      <c r="P32" t="inlineStr">
        <is>
          <t>R_balance;R_full_weapon_audit;W_wikipedia_oerlikon_gdf;R_machine_brigade_can_bang</t>
        </is>
      </c>
      <c r="Q32" t="inlineStr"/>
      <c r="R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" t="n">
        <v>35</v>
      </c>
      <c r="T32" t="inlineStr">
        <is>
          <t>NEED_SOURCE</t>
        </is>
      </c>
      <c r="U32" t="inlineStr">
        <is>
          <t>NEED_SOURCE</t>
        </is>
      </c>
      <c r="V32" t="inlineStr">
        <is>
          <t>NEED_SOURCE</t>
        </is>
      </c>
      <c r="W32" t="inlineStr">
        <is>
          <t>NEED_SOURCE</t>
        </is>
      </c>
      <c r="X32" t="n">
        <v>550</v>
      </c>
      <c r="Y32" t="n">
        <v>300</v>
      </c>
      <c r="Z32" t="inlineStr">
        <is>
          <t>NEED_SOURCE</t>
        </is>
      </c>
      <c r="AA32" t="inlineStr">
        <is>
          <t>NEED_SOURCE</t>
        </is>
      </c>
      <c r="AB32" t="inlineStr"/>
      <c r="AC32" t="inlineStr">
        <is>
          <t>aa</t>
        </is>
      </c>
      <c r="AD32" t="inlineStr">
        <is>
          <t>Wikipedia 'Oerlikon GDF': 550 rpm a gun (the twin: 1,100)</t>
        </is>
      </c>
      <c r="AE32" t="inlineStr">
        <is>
          <t>Oerlikon 35 mm đôi: 1.100 phát/phút</t>
        </is>
      </c>
      <c r="AF32" t="inlineStr">
        <is>
          <t>Tools/balance/full_weapon_audit.py: REAL / WARHEAD; balance.json weapons[id=boss_flak].real</t>
        </is>
      </c>
      <c r="AG32" t="inlineStr"/>
    </row>
    <row r="33">
      <c r="A33" t="inlineStr">
        <is>
          <t>boss_flak_ap</t>
        </is>
      </c>
      <c r="B33" t="inlineStr">
        <is>
          <t>boss_flak_ap</t>
        </is>
      </c>
      <c r="C33" t="inlineStr">
        <is>
          <t>Oerlikon 35 mm AP (twin)</t>
        </is>
      </c>
      <c r="D33" t="inlineStr">
        <is>
          <t>doi_that</t>
        </is>
      </c>
      <c r="E33" t="inlineStr">
        <is>
          <t>Oerlikon 35 mm AP (twin)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da_kiem_chung</t>
        </is>
      </c>
      <c r="P33" t="inlineStr">
        <is>
          <t>R_balance;R_full_weapon_audit;W_wikipedia_oerlikon_gdf</t>
        </is>
      </c>
      <c r="Q33" t="inlineStr"/>
      <c r="R3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" t="n">
        <v>35</v>
      </c>
      <c r="T33" t="inlineStr">
        <is>
          <t>NEED_SOURCE</t>
        </is>
      </c>
      <c r="U33" t="inlineStr">
        <is>
          <t>NEED_SOURCE</t>
        </is>
      </c>
      <c r="V33" t="inlineStr">
        <is>
          <t>NEED_SOURCE</t>
        </is>
      </c>
      <c r="W33" t="inlineStr">
        <is>
          <t>NEED_SOURCE</t>
        </is>
      </c>
      <c r="X33" t="n">
        <v>550</v>
      </c>
      <c r="Y33" t="n">
        <v>300</v>
      </c>
      <c r="Z33" t="inlineStr">
        <is>
          <t>NEED_SOURCE</t>
        </is>
      </c>
      <c r="AA33" t="inlineStr">
        <is>
          <t>NEED_SOURCE</t>
        </is>
      </c>
      <c r="AB33" t="inlineStr"/>
      <c r="AC33" t="inlineStr">
        <is>
          <t>aa</t>
        </is>
      </c>
      <c r="AD33" t="inlineStr">
        <is>
          <t>Wikipedia 'Oerlikon GDF': 550 rpm a gun (the twin: 1,100)</t>
        </is>
      </c>
      <c r="AE33" t="inlineStr"/>
      <c r="AF33" t="inlineStr">
        <is>
          <t>Tools/balance/full_weapon_audit.py: REAL / WARHEAD; balance.json weapons[id=boss_flak_ap].real</t>
        </is>
      </c>
      <c r="AG33" t="inlineStr"/>
    </row>
    <row r="34">
      <c r="A34" t="inlineStr">
        <is>
          <t>boss_flamer</t>
        </is>
      </c>
      <c r="B34" t="inlineStr">
        <is>
          <t>boss_flamer</t>
        </is>
      </c>
      <c r="C34" t="inlineStr">
        <is>
          <t>flamethrower (heavy)</t>
        </is>
      </c>
      <c r="D34" t="inlineStr">
        <is>
          <t>doi_that</t>
        </is>
      </c>
      <c r="E34" t="inlineStr">
        <is>
          <t>flamethrower (heavy)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ban_dau_doan</t>
        </is>
      </c>
      <c r="P34" t="inlineStr">
        <is>
          <t>R_balance;R_machine_brigade_can_bang</t>
        </is>
      </c>
      <c r="Q34" t="inlineStr"/>
      <c r="R3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" t="inlineStr">
        <is>
          <t>NEED_SOURCE</t>
        </is>
      </c>
      <c r="T34" t="inlineStr">
        <is>
          <t>NEED_SOURCE</t>
        </is>
      </c>
      <c r="U34" t="inlineStr">
        <is>
          <t>NEED_SOURCE</t>
        </is>
      </c>
      <c r="V34" t="inlineStr">
        <is>
          <t>NEED_SOURCE</t>
        </is>
      </c>
      <c r="W34" t="inlineStr">
        <is>
          <t>NEED_SOURCE</t>
        </is>
      </c>
      <c r="X34" t="inlineStr">
        <is>
          <t>NEED_SOURCE</t>
        </is>
      </c>
      <c r="Y34" t="inlineStr">
        <is>
          <t>NEED_SOURCE</t>
        </is>
      </c>
      <c r="Z34" t="inlineStr">
        <is>
          <t>NEED_SOURCE</t>
        </is>
      </c>
      <c r="AA34" t="inlineStr">
        <is>
          <t>NEED_SOURCE</t>
        </is>
      </c>
      <c r="AB34" t="inlineStr"/>
      <c r="AC34" t="inlineStr"/>
      <c r="AD34" t="inlineStr"/>
      <c r="AE34" t="inlineStr">
        <is>
          <t>phun lửa</t>
        </is>
      </c>
      <c r="AF34" t="inlineStr">
        <is>
          <t>Tools/balance/full_weapon_audit.py: REAL / WARHEAD; balance.json weapons[id=boss_flamer].real</t>
        </is>
      </c>
      <c r="AG34" t="inlineStr"/>
    </row>
    <row r="35">
      <c r="A35" t="inlineStr">
        <is>
          <t>boss_heli_gun</t>
        </is>
      </c>
      <c r="B35" t="inlineStr">
        <is>
          <t>boss_heli_gun</t>
        </is>
      </c>
      <c r="C35" t="inlineStr">
        <is>
          <t>M230 30 mm</t>
        </is>
      </c>
      <c r="D35" t="inlineStr">
        <is>
          <t>doi_that</t>
        </is>
      </c>
      <c r="E35" t="inlineStr">
        <is>
          <t>M230 30 mm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da_kiem_chung</t>
        </is>
      </c>
      <c r="P35" t="inlineStr">
        <is>
          <t>R_balance;R_full_weapon_audit;W_wikipedia_m230_chain_gun;R_machine_brigade_can_bang</t>
        </is>
      </c>
      <c r="Q35" t="inlineStr"/>
      <c r="R3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" t="n">
        <v>30</v>
      </c>
      <c r="T35" t="inlineStr">
        <is>
          <t>NEED_SOURCE</t>
        </is>
      </c>
      <c r="U35" t="inlineStr">
        <is>
          <t>NEED_SOURCE</t>
        </is>
      </c>
      <c r="V35" t="inlineStr">
        <is>
          <t>NEED_SOURCE</t>
        </is>
      </c>
      <c r="W35" t="inlineStr">
        <is>
          <t>NEED_SOURCE</t>
        </is>
      </c>
      <c r="X35" t="n">
        <v>625</v>
      </c>
      <c r="Y35" t="n">
        <v>300</v>
      </c>
      <c r="Z35" t="inlineStr">
        <is>
          <t>NEED_SOURCE</t>
        </is>
      </c>
      <c r="AA35" t="inlineStr">
        <is>
          <t>NEED_SOURCE</t>
        </is>
      </c>
      <c r="AB35" t="inlineStr"/>
      <c r="AC35" t="inlineStr">
        <is>
          <t>ac</t>
        </is>
      </c>
      <c r="AD35" t="inlineStr">
        <is>
          <t>Wikipedia 'M230 chain gun': 625 rpm</t>
        </is>
      </c>
      <c r="AE35" t="inlineStr">
        <is>
          <t>M230: 625</t>
        </is>
      </c>
      <c r="AF35" t="inlineStr">
        <is>
          <t>Tools/balance/full_weapon_audit.py: REAL / WARHEAD; balance.json weapons[id=boss_heli_gun].real</t>
        </is>
      </c>
      <c r="AG35" t="inlineStr"/>
    </row>
    <row r="36">
      <c r="A36" t="inlineStr">
        <is>
          <t>boss_heli_gun_flak</t>
        </is>
      </c>
      <c r="B36" t="inlineStr">
        <is>
          <t>boss_heli_gun_flak</t>
        </is>
      </c>
      <c r="C36" t="inlineStr">
        <is>
          <t>M230 30 mm air-burst</t>
        </is>
      </c>
      <c r="D36" t="inlineStr">
        <is>
          <t>doi_that</t>
        </is>
      </c>
      <c r="E36" t="inlineStr">
        <is>
          <t>M230 30 mm air-burst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da_kiem_chung</t>
        </is>
      </c>
      <c r="P36" t="inlineStr">
        <is>
          <t>R_balance;R_full_weapon_audit;W_wikipedia_m230_chain_gun</t>
        </is>
      </c>
      <c r="Q36" t="inlineStr"/>
      <c r="R3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6" t="n">
        <v>30</v>
      </c>
      <c r="T36" t="inlineStr">
        <is>
          <t>NEED_SOURCE</t>
        </is>
      </c>
      <c r="U36" t="inlineStr">
        <is>
          <t>NEED_SOURCE</t>
        </is>
      </c>
      <c r="V36" t="inlineStr">
        <is>
          <t>NEED_SOURCE</t>
        </is>
      </c>
      <c r="W36" t="inlineStr">
        <is>
          <t>NEED_SOURCE</t>
        </is>
      </c>
      <c r="X36" t="n">
        <v>625</v>
      </c>
      <c r="Y36" t="n">
        <v>300</v>
      </c>
      <c r="Z36" t="inlineStr">
        <is>
          <t>NEED_SOURCE</t>
        </is>
      </c>
      <c r="AA36" t="inlineStr">
        <is>
          <t>NEED_SOURCE</t>
        </is>
      </c>
      <c r="AB36" t="inlineStr"/>
      <c r="AC36" t="inlineStr">
        <is>
          <t>ac</t>
        </is>
      </c>
      <c r="AD36" t="inlineStr">
        <is>
          <t>Wikipedia 'M230 chain gun': 625 rpm</t>
        </is>
      </c>
      <c r="AE36" t="inlineStr"/>
      <c r="AF36" t="inlineStr">
        <is>
          <t>Tools/balance/full_weapon_audit.py: REAL / WARHEAD; balance.json weapons[id=boss_heli_gun_flak].real</t>
        </is>
      </c>
      <c r="AG36" t="inlineStr"/>
    </row>
    <row r="37">
      <c r="A37" t="inlineStr">
        <is>
          <t>boss_hmg</t>
        </is>
      </c>
      <c r="B37" t="inlineStr">
        <is>
          <t>boss_hmg</t>
        </is>
      </c>
      <c r="C37" t="inlineStr">
        <is>
          <t>NSV 12.7 mm</t>
        </is>
      </c>
      <c r="D37" t="inlineStr">
        <is>
          <t>doi_that</t>
        </is>
      </c>
      <c r="E37" t="inlineStr">
        <is>
          <t>NSV 12.7 mm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da_kiem_chung</t>
        </is>
      </c>
      <c r="P37" t="inlineStr">
        <is>
          <t>R_balance;R_full_weapon_audit;W_wikipedia_nsv_machine_gun;R_machine_brigade_can_bang</t>
        </is>
      </c>
      <c r="Q37" t="inlineStr"/>
      <c r="R3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7" t="n">
        <v>12.7</v>
      </c>
      <c r="T37" t="inlineStr">
        <is>
          <t>NEED_SOURCE</t>
        </is>
      </c>
      <c r="U37" t="inlineStr">
        <is>
          <t>NEED_SOURCE</t>
        </is>
      </c>
      <c r="V37" t="inlineStr">
        <is>
          <t>NEED_SOURCE</t>
        </is>
      </c>
      <c r="W37" t="inlineStr">
        <is>
          <t>NEED_SOURCE</t>
        </is>
      </c>
      <c r="X37" t="n">
        <v>800</v>
      </c>
      <c r="Y37" t="n">
        <v>100</v>
      </c>
      <c r="Z37" t="inlineStr">
        <is>
          <t>NEED_SOURCE</t>
        </is>
      </c>
      <c r="AA37" t="inlineStr">
        <is>
          <t>NEED_SOURCE</t>
        </is>
      </c>
      <c r="AB37" t="inlineStr"/>
      <c r="AC37" t="inlineStr">
        <is>
          <t>mg</t>
        </is>
      </c>
      <c r="AD37" t="inlineStr">
        <is>
          <t>Wikipedia 'NSV machine gun': 700-800 cyclic, 100 practical</t>
        </is>
      </c>
      <c r="AE37" t="inlineStr">
        <is>
          <t>NSV: 700–800</t>
        </is>
      </c>
      <c r="AF37" t="inlineStr">
        <is>
          <t>Tools/balance/full_weapon_audit.py: REAL / WARHEAD; balance.json weapons[id=boss_hmg].real</t>
        </is>
      </c>
      <c r="AG37" t="inlineStr"/>
    </row>
    <row r="38">
      <c r="A38" t="inlineStr">
        <is>
          <t>boss_hmg_api</t>
        </is>
      </c>
      <c r="B38" t="inlineStr">
        <is>
          <t>boss_hmg_api</t>
        </is>
      </c>
      <c r="C38" t="inlineStr">
        <is>
          <t>NSV 12.7 mm API</t>
        </is>
      </c>
      <c r="D38" t="inlineStr">
        <is>
          <t>doi_that</t>
        </is>
      </c>
      <c r="E38" t="inlineStr">
        <is>
          <t>NSV 12.7 mm API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da_kiem_chung</t>
        </is>
      </c>
      <c r="P38" t="inlineStr">
        <is>
          <t>R_balance;R_full_weapon_audit;W_wikipedia_nsv_machine_gun</t>
        </is>
      </c>
      <c r="Q38" t="inlineStr"/>
      <c r="R3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8" t="n">
        <v>12.7</v>
      </c>
      <c r="T38" t="inlineStr">
        <is>
          <t>NEED_SOURCE</t>
        </is>
      </c>
      <c r="U38" t="inlineStr">
        <is>
          <t>NEED_SOURCE</t>
        </is>
      </c>
      <c r="V38" t="inlineStr">
        <is>
          <t>NEED_SOURCE</t>
        </is>
      </c>
      <c r="W38" t="inlineStr">
        <is>
          <t>NEED_SOURCE</t>
        </is>
      </c>
      <c r="X38" t="n">
        <v>800</v>
      </c>
      <c r="Y38" t="n">
        <v>100</v>
      </c>
      <c r="Z38" t="inlineStr">
        <is>
          <t>NEED_SOURCE</t>
        </is>
      </c>
      <c r="AA38" t="inlineStr">
        <is>
          <t>NEED_SOURCE</t>
        </is>
      </c>
      <c r="AB38" t="inlineStr"/>
      <c r="AC38" t="inlineStr">
        <is>
          <t>mg</t>
        </is>
      </c>
      <c r="AD38" t="inlineStr">
        <is>
          <t>Wikipedia 'NSV machine gun': 700-800 cyclic, 100 practical</t>
        </is>
      </c>
      <c r="AE38" t="inlineStr"/>
      <c r="AF38" t="inlineStr">
        <is>
          <t>Tools/balance/full_weapon_audit.py: REAL / WARHEAD; balance.json weapons[id=boss_hmg_api].real</t>
        </is>
      </c>
      <c r="AG38" t="inlineStr"/>
    </row>
    <row r="39">
      <c r="A39" t="inlineStr">
        <is>
          <t>boss_howitzer</t>
        </is>
      </c>
      <c r="B39" t="inlineStr">
        <is>
          <t>boss_howitzer</t>
        </is>
      </c>
      <c r="C39" t="inlineStr">
        <is>
          <t>2A44 203 mm</t>
        </is>
      </c>
      <c r="D39" t="inlineStr">
        <is>
          <t>doi_that</t>
        </is>
      </c>
      <c r="E39" t="inlineStr">
        <is>
          <t>2A44 203 mm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nhịp chậm hơn 30 % và mạnh hơn tương ứng (luật súng của game)</t>
        </is>
      </c>
      <c r="M39" t="inlineStr">
        <is>
          <t>gameplay</t>
        </is>
      </c>
      <c r="N39" t="inlineStr"/>
      <c r="O39" t="inlineStr">
        <is>
          <t>da_kiem_chung</t>
        </is>
      </c>
      <c r="P39" t="inlineStr">
        <is>
          <t>R_balance;R_full_weapon_audit;W_wikipedia_2s7_pion;R_machine_brigade_can_bang</t>
        </is>
      </c>
      <c r="Q39" t="inlineStr"/>
      <c r="R3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9" t="n">
        <v>203</v>
      </c>
      <c r="T39" t="inlineStr">
        <is>
          <t>NEED_SOURCE</t>
        </is>
      </c>
      <c r="U39" t="inlineStr">
        <is>
          <t>NEED_SOURCE</t>
        </is>
      </c>
      <c r="V39" t="inlineStr">
        <is>
          <t>NEED_SOURCE</t>
        </is>
      </c>
      <c r="W39" t="inlineStr">
        <is>
          <t>NEED_SOURCE</t>
        </is>
      </c>
      <c r="X39" t="n">
        <v>2.5</v>
      </c>
      <c r="Y39" t="n">
        <v>1</v>
      </c>
      <c r="Z39" t="inlineStr">
        <is>
          <t>NEED_SOURCE</t>
        </is>
      </c>
      <c r="AA39" t="inlineStr">
        <is>
          <t>NEED_SOURCE</t>
        </is>
      </c>
      <c r="AB39" t="inlineStr"/>
      <c r="AC39" t="inlineStr">
        <is>
          <t>gun</t>
        </is>
      </c>
      <c r="AD39" t="inlineStr">
        <is>
          <t>Wikipedia '2S7 Pion': 1.5 rpm (2S7M Malka 2.5)</t>
        </is>
      </c>
      <c r="AE39" t="inlineStr">
        <is>
          <t>2A44 203 mm (2S7): 1,5–2,5 phát/phút</t>
        </is>
      </c>
      <c r="AF39" t="inlineStr">
        <is>
          <t>Tools/balance/full_weapon_audit.py: REAL / WARHEAD; balance.json weapons[id=boss_howitzer].real</t>
        </is>
      </c>
      <c r="AG39" t="inlineStr"/>
    </row>
    <row r="40">
      <c r="A40" t="inlineStr">
        <is>
          <t>boss_howitzer_guided</t>
        </is>
      </c>
      <c r="B40" t="inlineStr">
        <is>
          <t>boss_howitzer_guided</t>
        </is>
      </c>
      <c r="C40" t="inlineStr">
        <is>
          <t>2A44 203 mm guided</t>
        </is>
      </c>
      <c r="D40" t="inlineStr">
        <is>
          <t>doi_that</t>
        </is>
      </c>
      <c r="E40" t="inlineStr">
        <is>
          <t>2A44 203 mm guided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nhịp chậm hơn 30 % và mạnh hơn tương ứng (luật súng của game)</t>
        </is>
      </c>
      <c r="M40" t="inlineStr">
        <is>
          <t>gameplay</t>
        </is>
      </c>
      <c r="N40" t="inlineStr"/>
      <c r="O40" t="inlineStr">
        <is>
          <t>da_kiem_chung</t>
        </is>
      </c>
      <c r="P40" t="inlineStr">
        <is>
          <t>R_balance;R_full_weapon_audit;W_wikipedia_2s7_pion</t>
        </is>
      </c>
      <c r="Q40" t="inlineStr"/>
      <c r="R4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0" t="n">
        <v>203</v>
      </c>
      <c r="T40" t="inlineStr">
        <is>
          <t>NEED_SOURCE</t>
        </is>
      </c>
      <c r="U40" t="inlineStr">
        <is>
          <t>NEED_SOURCE</t>
        </is>
      </c>
      <c r="V40" t="inlineStr">
        <is>
          <t>NEED_SOURCE</t>
        </is>
      </c>
      <c r="W40" t="inlineStr">
        <is>
          <t>NEED_SOURCE</t>
        </is>
      </c>
      <c r="X40" t="n">
        <v>2.5</v>
      </c>
      <c r="Y40" t="n">
        <v>1</v>
      </c>
      <c r="Z40" t="inlineStr">
        <is>
          <t>NEED_SOURCE</t>
        </is>
      </c>
      <c r="AA40" t="inlineStr">
        <is>
          <t>NEED_SOURCE</t>
        </is>
      </c>
      <c r="AB40" t="inlineStr"/>
      <c r="AC40" t="inlineStr">
        <is>
          <t>gun</t>
        </is>
      </c>
      <c r="AD40" t="inlineStr">
        <is>
          <t>Wikipedia '2S7 Pion': 1.5 rpm (2S7M Malka 2.5)</t>
        </is>
      </c>
      <c r="AE40" t="inlineStr"/>
      <c r="AF40" t="inlineStr">
        <is>
          <t>Tools/balance/full_weapon_audit.py: REAL / WARHEAD; balance.json weapons[id=boss_howitzer_guided].real</t>
        </is>
      </c>
      <c r="AG40" t="inlineStr"/>
    </row>
    <row r="41">
      <c r="A41" t="inlineStr">
        <is>
          <t>boss_minigun</t>
        </is>
      </c>
      <c r="B41" t="inlineStr">
        <is>
          <t>boss_minigun</t>
        </is>
      </c>
      <c r="C41" t="inlineStr">
        <is>
          <t>GShG 7.62 mm</t>
        </is>
      </c>
      <c r="D41" t="inlineStr">
        <is>
          <t>doi_that</t>
        </is>
      </c>
      <c r="E41" t="inlineStr">
        <is>
          <t>GShG 7.62 mm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da_kiem_chung</t>
        </is>
      </c>
      <c r="P41" t="inlineStr">
        <is>
          <t>R_balance;R_full_weapon_audit;W_wikipedia_gshg_7_62;R_machine_brigade_can_bang</t>
        </is>
      </c>
      <c r="Q41" t="inlineStr"/>
      <c r="R4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1" t="n">
        <v>7.62</v>
      </c>
      <c r="T41" t="inlineStr">
        <is>
          <t>NEED_SOURCE</t>
        </is>
      </c>
      <c r="U41" t="inlineStr">
        <is>
          <t>NEED_SOURCE</t>
        </is>
      </c>
      <c r="V41" t="inlineStr">
        <is>
          <t>NEED_SOURCE</t>
        </is>
      </c>
      <c r="W41" t="inlineStr">
        <is>
          <t>NEED_SOURCE</t>
        </is>
      </c>
      <c r="X41" t="n">
        <v>6000</v>
      </c>
      <c r="Y41" t="inlineStr">
        <is>
          <t>NEED_SOURCE</t>
        </is>
      </c>
      <c r="Z41" t="inlineStr">
        <is>
          <t>NEED_SOURCE</t>
        </is>
      </c>
      <c r="AA41" t="inlineStr">
        <is>
          <t>NEED_SOURCE</t>
        </is>
      </c>
      <c r="AB41" t="inlineStr"/>
      <c r="AC41" t="inlineStr">
        <is>
          <t>mg</t>
        </is>
      </c>
      <c r="AD41" t="inlineStr">
        <is>
          <t>Wikipedia 'GShG-7.62': 3,500 / 6,000 rpm</t>
        </is>
      </c>
      <c r="AE41" t="inlineStr">
        <is>
          <t>GShG: ~6.000</t>
        </is>
      </c>
      <c r="AF41" t="inlineStr">
        <is>
          <t>Tools/balance/full_weapon_audit.py: REAL / WARHEAD; balance.json weapons[id=boss_minigun].real</t>
        </is>
      </c>
      <c r="AG41" t="inlineStr"/>
    </row>
    <row r="42">
      <c r="A42" t="inlineStr">
        <is>
          <t>boss_missiles</t>
        </is>
      </c>
      <c r="B42" t="inlineStr">
        <is>
          <t>boss_missiles</t>
        </is>
      </c>
      <c r="C42" t="inlineStr">
        <is>
          <t>9M133 Kornet</t>
        </is>
      </c>
      <c r="D42" t="inlineStr">
        <is>
          <t>doi_that</t>
        </is>
      </c>
      <c r="E42" t="inlineStr">
        <is>
          <t>9M133 Kornet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da_kiem_chung</t>
        </is>
      </c>
      <c r="P42" t="inlineStr">
        <is>
          <t>R_balance;R_full_weapon_audit;W_wikipedia_9m133_kornet;W_wikipedia_bai_cua_tung_ten_lua_bang_warhead;R_machine_brigade_can_bang</t>
        </is>
      </c>
      <c r="Q42" t="inlineStr"/>
      <c r="R4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2" t="inlineStr">
        <is>
          <t>NEED_SOURCE</t>
        </is>
      </c>
      <c r="T42" t="inlineStr">
        <is>
          <t>NEED_SOURCE</t>
        </is>
      </c>
      <c r="U42" t="inlineStr">
        <is>
          <t>NEED_SOURCE</t>
        </is>
      </c>
      <c r="V42" t="inlineStr">
        <is>
          <t>NEED_SOURCE</t>
        </is>
      </c>
      <c r="W42" t="inlineStr">
        <is>
          <t>NEED_SOURCE</t>
        </is>
      </c>
      <c r="X42" t="n">
        <v>3</v>
      </c>
      <c r="Y42" t="n">
        <v>3</v>
      </c>
      <c r="Z42" t="inlineStr">
        <is>
          <t>NEED_SOURCE</t>
        </is>
      </c>
      <c r="AA42" t="inlineStr">
        <is>
          <t>NEED_SOURCE</t>
        </is>
      </c>
      <c r="AB42" t="n">
        <v>7</v>
      </c>
      <c r="AC42" t="inlineStr">
        <is>
          <t>atgm</t>
        </is>
      </c>
      <c r="AD42" t="inlineStr">
        <is>
          <t>Wikipedia '9M133 Kornet': 2-3 rpm</t>
        </is>
      </c>
      <c r="AE42" t="inlineStr">
        <is>
          <t>Kornet</t>
        </is>
      </c>
      <c r="AF42" t="inlineStr">
        <is>
          <t>Tools/balance/full_weapon_audit.py: REAL / WARHEAD; balance.json weapons[id=boss_missiles].real</t>
        </is>
      </c>
      <c r="AG42" t="inlineStr"/>
    </row>
    <row r="43">
      <c r="A43" t="inlineStr">
        <is>
          <t>boss_mortar</t>
        </is>
      </c>
      <c r="B43" t="inlineStr">
        <is>
          <t>boss_mortar</t>
        </is>
      </c>
      <c r="C43" t="inlineStr">
        <is>
          <t>2B8 240 mm</t>
        </is>
      </c>
      <c r="D43" t="inlineStr">
        <is>
          <t>doi_that</t>
        </is>
      </c>
      <c r="E43" t="inlineStr">
        <is>
          <t>2B8 240 mm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nhịp chậm hơn 30 % và mạnh hơn tương ứng (luật súng của game)</t>
        </is>
      </c>
      <c r="M43" t="inlineStr">
        <is>
          <t>gameplay</t>
        </is>
      </c>
      <c r="N43" t="inlineStr"/>
      <c r="O43" t="inlineStr">
        <is>
          <t>da_kiem_chung</t>
        </is>
      </c>
      <c r="P43" t="inlineStr">
        <is>
          <t>R_balance;R_full_weapon_audit;W_wikipedia_2s4_tyulpan;R_machine_brigade_can_bang</t>
        </is>
      </c>
      <c r="Q43" t="inlineStr"/>
      <c r="R4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3" t="n">
        <v>240</v>
      </c>
      <c r="T43" t="inlineStr">
        <is>
          <t>NEED_SOURCE</t>
        </is>
      </c>
      <c r="U43" t="inlineStr">
        <is>
          <t>NEED_SOURCE</t>
        </is>
      </c>
      <c r="V43" t="inlineStr">
        <is>
          <t>NEED_SOURCE</t>
        </is>
      </c>
      <c r="W43" t="inlineStr">
        <is>
          <t>NEED_SOURCE</t>
        </is>
      </c>
      <c r="X43" t="n">
        <v>1</v>
      </c>
      <c r="Y43" t="n">
        <v>1</v>
      </c>
      <c r="Z43" t="inlineStr">
        <is>
          <t>NEED_SOURCE</t>
        </is>
      </c>
      <c r="AA43" t="inlineStr">
        <is>
          <t>NEED_SOURCE</t>
        </is>
      </c>
      <c r="AB43" t="inlineStr"/>
      <c r="AC43" t="inlineStr">
        <is>
          <t>gun</t>
        </is>
      </c>
      <c r="AD43" t="inlineStr">
        <is>
          <t>Wikipedia '2S4 Tyulpan': ~1 rpm</t>
        </is>
      </c>
      <c r="AE43" t="inlineStr">
        <is>
          <t>2B8 240 mm: ~1 phát/phút</t>
        </is>
      </c>
      <c r="AF43" t="inlineStr">
        <is>
          <t>Tools/balance/full_weapon_audit.py: REAL / WARHEAD; balance.json weapons[id=boss_mortar].real</t>
        </is>
      </c>
      <c r="AG43" t="inlineStr"/>
    </row>
    <row r="44">
      <c r="A44" t="inlineStr">
        <is>
          <t>boss_railgun</t>
        </is>
      </c>
      <c r="B44" t="inlineStr">
        <is>
          <t>boss_railgun</t>
        </is>
      </c>
      <c r="C44" t="inlineStr">
        <is>
          <t>railgun (64 MJ)</t>
        </is>
      </c>
      <c r="D44" t="inlineStr">
        <is>
          <t>doi_that</t>
        </is>
      </c>
      <c r="E44" t="inlineStr">
        <is>
          <t>railgun (64 MJ)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ban_dau_doan</t>
        </is>
      </c>
      <c r="P44" t="inlineStr">
        <is>
          <t>R_balance;R_machine_brigade_can_bang</t>
        </is>
      </c>
      <c r="Q44" t="inlineStr"/>
      <c r="R4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4" t="inlineStr">
        <is>
          <t>NEED_SOURCE</t>
        </is>
      </c>
      <c r="T44" t="inlineStr">
        <is>
          <t>NEED_SOURCE</t>
        </is>
      </c>
      <c r="U44" t="inlineStr">
        <is>
          <t>NEED_SOURCE</t>
        </is>
      </c>
      <c r="V44" t="inlineStr">
        <is>
          <t>NEED_SOURCE</t>
        </is>
      </c>
      <c r="W44" t="inlineStr">
        <is>
          <t>NEED_SOURCE</t>
        </is>
      </c>
      <c r="X44" t="inlineStr">
        <is>
          <t>NEED_SOURCE</t>
        </is>
      </c>
      <c r="Y44" t="inlineStr">
        <is>
          <t>NEED_SOURCE</t>
        </is>
      </c>
      <c r="Z44" t="inlineStr">
        <is>
          <t>NEED_SOURCE</t>
        </is>
      </c>
      <c r="AA44" t="inlineStr">
        <is>
          <t>NEED_SOURCE</t>
        </is>
      </c>
      <c r="AB44" t="inlineStr"/>
      <c r="AC44" t="inlineStr"/>
      <c r="AD44" t="inlineStr"/>
      <c r="AE44" t="inlineStr">
        <is>
          <t>railgun 64 MJ (giả tưởng)</t>
        </is>
      </c>
      <c r="AF44" t="inlineStr">
        <is>
          <t>Tools/balance/full_weapon_audit.py: REAL / WARHEAD; balance.json weapons[id=boss_railgun].real</t>
        </is>
      </c>
      <c r="AG44" t="inlineStr"/>
    </row>
    <row r="45">
      <c r="A45" t="inlineStr">
        <is>
          <t>boss_rockets</t>
        </is>
      </c>
      <c r="B45" t="inlineStr">
        <is>
          <t>boss_rockets</t>
        </is>
      </c>
      <c r="C45" t="inlineStr">
        <is>
          <t>BM-21 Grad 122 mm</t>
        </is>
      </c>
      <c r="D45" t="inlineStr">
        <is>
          <t>doi_that</t>
        </is>
      </c>
      <c r="E45" t="inlineStr">
        <is>
          <t>BM-21 Grad 122 mm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da_kiem_chung</t>
        </is>
      </c>
      <c r="P45" t="inlineStr">
        <is>
          <t>R_balance;R_full_weapon_audit;W_wikipedia_bm_21_grad;R_machine_brigade_can_bang</t>
        </is>
      </c>
      <c r="Q45" t="inlineStr"/>
      <c r="R4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5" t="n">
        <v>122</v>
      </c>
      <c r="T45" t="inlineStr">
        <is>
          <t>NEED_SOURCE</t>
        </is>
      </c>
      <c r="U45" t="inlineStr">
        <is>
          <t>NEED_SOURCE</t>
        </is>
      </c>
      <c r="V45" t="inlineStr">
        <is>
          <t>NEED_SOURCE</t>
        </is>
      </c>
      <c r="W45" t="inlineStr">
        <is>
          <t>NEED_SOURCE</t>
        </is>
      </c>
      <c r="X45" t="n">
        <v>120</v>
      </c>
      <c r="Y45" t="inlineStr">
        <is>
          <t>NEED_SOURCE</t>
        </is>
      </c>
      <c r="Z45" t="inlineStr">
        <is>
          <t>NEED_SOURCE</t>
        </is>
      </c>
      <c r="AA45" t="inlineStr">
        <is>
          <t>NEED_SOURCE</t>
        </is>
      </c>
      <c r="AB45" t="inlineStr"/>
      <c r="AC45" t="inlineStr">
        <is>
          <t>rocket</t>
        </is>
      </c>
      <c r="AD45" t="inlineStr">
        <is>
          <t>Wikipedia 'BM-21 Grad': 40 rockets in 20 s</t>
        </is>
      </c>
      <c r="AE45" t="inlineStr">
        <is>
          <t>BM-21</t>
        </is>
      </c>
      <c r="AF45" t="inlineStr">
        <is>
          <t>Tools/balance/full_weapon_audit.py: REAL / WARHEAD; balance.json weapons[id=boss_rockets].real</t>
        </is>
      </c>
      <c r="AG45" t="inlineStr"/>
    </row>
    <row r="46">
      <c r="A46" t="inlineStr">
        <is>
          <t>boss_thermo</t>
        </is>
      </c>
      <c r="B46" t="inlineStr">
        <is>
          <t>boss_thermo</t>
        </is>
      </c>
      <c r="C46" t="inlineStr">
        <is>
          <t>2A46M 125 mm, 3VOF128 thermobaric</t>
        </is>
      </c>
      <c r="D46" t="inlineStr">
        <is>
          <t>doi_that</t>
        </is>
      </c>
      <c r="E46" t="inlineStr">
        <is>
          <t>2A46M 125 mm, 3VOF128 thermobaric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nhịp chậm hơn 30 % và mạnh hơn tương ứng (luật súng của game)</t>
        </is>
      </c>
      <c r="M46" t="inlineStr">
        <is>
          <t>gameplay</t>
        </is>
      </c>
      <c r="N46" t="inlineStr"/>
      <c r="O46" t="inlineStr">
        <is>
          <t>da_kiem_chung</t>
        </is>
      </c>
      <c r="P46" t="inlineStr">
        <is>
          <t>R_balance;R_full_weapon_audit;W_wikipedia_2a46;R_machine_brigade_can_bang</t>
        </is>
      </c>
      <c r="Q46" t="inlineStr"/>
      <c r="R4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6" t="n">
        <v>125</v>
      </c>
      <c r="T46" t="inlineStr">
        <is>
          <t>NEED_SOURCE</t>
        </is>
      </c>
      <c r="U46" t="inlineStr">
        <is>
          <t>NEED_SOURCE</t>
        </is>
      </c>
      <c r="V46" t="inlineStr">
        <is>
          <t>NEED_SOURCE</t>
        </is>
      </c>
      <c r="W46" t="inlineStr">
        <is>
          <t>NEED_SOURCE</t>
        </is>
      </c>
      <c r="X46" t="n">
        <v>8</v>
      </c>
      <c r="Y46" t="n">
        <v>7</v>
      </c>
      <c r="Z46" t="inlineStr">
        <is>
          <t>tu_dong</t>
        </is>
      </c>
      <c r="AA46" t="inlineStr">
        <is>
          <t>NEED_SOURCE</t>
        </is>
      </c>
      <c r="AB46" t="inlineStr"/>
      <c r="AC46" t="inlineStr">
        <is>
          <t>gun</t>
        </is>
      </c>
      <c r="AD46" t="inlineStr">
        <is>
          <t>Wikipedia '2A46': 7-8 rpm with the autoloader</t>
        </is>
      </c>
      <c r="AE46" t="inlineStr">
        <is>
          <t>TOS-1A</t>
        </is>
      </c>
      <c r="AF46" t="inlineStr">
        <is>
          <t>Tools/balance/full_weapon_audit.py: REAL / WARHEAD; balance.json weapons[id=boss_thermo].real</t>
        </is>
      </c>
      <c r="AG46" t="inlineStr"/>
    </row>
    <row r="47">
      <c r="A47" t="inlineStr">
        <is>
          <t>buk_launcher</t>
        </is>
      </c>
      <c r="B47" t="inlineStr">
        <is>
          <t>buk_launcher</t>
        </is>
      </c>
      <c r="C47" t="inlineStr">
        <is>
          <t>9M317 Buk</t>
        </is>
      </c>
      <c r="D47" t="inlineStr">
        <is>
          <t>doi_that</t>
        </is>
      </c>
      <c r="E47" t="inlineStr">
        <is>
          <t>9M317 Buk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da_kiem_chung</t>
        </is>
      </c>
      <c r="P47" t="inlineStr">
        <is>
          <t>R_balance;R_full_weapon_audit;W_wikipedia_buk_missile_system;R_machine_brigade_can_bang</t>
        </is>
      </c>
      <c r="Q47" t="inlineStr"/>
      <c r="R4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7" t="inlineStr">
        <is>
          <t>NEED_SOURCE</t>
        </is>
      </c>
      <c r="T47" t="inlineStr">
        <is>
          <t>NEED_SOURCE</t>
        </is>
      </c>
      <c r="U47" t="inlineStr">
        <is>
          <t>NEED_SOURCE</t>
        </is>
      </c>
      <c r="V47" t="inlineStr">
        <is>
          <t>NEED_SOURCE</t>
        </is>
      </c>
      <c r="W47" t="inlineStr">
        <is>
          <t>NEED_SOURCE</t>
        </is>
      </c>
      <c r="X47" t="n">
        <v>15</v>
      </c>
      <c r="Y47" t="n">
        <v>15</v>
      </c>
      <c r="Z47" t="inlineStr">
        <is>
          <t>NEED_SOURCE</t>
        </is>
      </c>
      <c r="AA47" t="inlineStr">
        <is>
          <t>NEED_SOURCE</t>
        </is>
      </c>
      <c r="AB47" t="inlineStr">
        <is>
          <t>NEED_SOURCE</t>
        </is>
      </c>
      <c r="AC47" t="inlineStr">
        <is>
          <t>missile</t>
        </is>
      </c>
      <c r="AD47" t="inlineStr">
        <is>
          <t>Wikipedia 'Buk missile system': 4 s between launches</t>
        </is>
      </c>
      <c r="AE47" t="inlineStr">
        <is>
          <t>9M317 Buk: 50 km, Mach 4</t>
        </is>
      </c>
      <c r="AF47" t="inlineStr">
        <is>
          <t>Tools/balance/full_weapon_audit.py: REAL / WARHEAD; balance.json weapons[id=buk_launcher].real</t>
        </is>
      </c>
      <c r="AG47" t="inlineStr"/>
    </row>
    <row r="48">
      <c r="A48" t="inlineStr">
        <is>
          <t>bunker_flame</t>
        </is>
      </c>
      <c r="B48" t="inlineStr">
        <is>
          <t>bunker_flame</t>
        </is>
      </c>
      <c r="C48" t="inlineStr">
        <is>
          <t>flamethrower (bunker)</t>
        </is>
      </c>
      <c r="D48" t="inlineStr">
        <is>
          <t>doi_that</t>
        </is>
      </c>
      <c r="E48" t="inlineStr">
        <is>
          <t>flamethrower (bunker)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ban_dau_doan</t>
        </is>
      </c>
      <c r="P48" t="inlineStr">
        <is>
          <t>R_balance;R_machine_brigade_can_bang</t>
        </is>
      </c>
      <c r="Q48" t="inlineStr"/>
      <c r="R4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8" t="inlineStr">
        <is>
          <t>NEED_SOURCE</t>
        </is>
      </c>
      <c r="T48" t="inlineStr">
        <is>
          <t>NEED_SOURCE</t>
        </is>
      </c>
      <c r="U48" t="inlineStr">
        <is>
          <t>NEED_SOURCE</t>
        </is>
      </c>
      <c r="V48" t="inlineStr">
        <is>
          <t>NEED_SOURCE</t>
        </is>
      </c>
      <c r="W48" t="inlineStr">
        <is>
          <t>NEED_SOURCE</t>
        </is>
      </c>
      <c r="X48" t="inlineStr">
        <is>
          <t>NEED_SOURCE</t>
        </is>
      </c>
      <c r="Y48" t="inlineStr">
        <is>
          <t>NEED_SOURCE</t>
        </is>
      </c>
      <c r="Z48" t="inlineStr">
        <is>
          <t>NEED_SOURCE</t>
        </is>
      </c>
      <c r="AA48" t="inlineStr">
        <is>
          <t>NEED_SOURCE</t>
        </is>
      </c>
      <c r="AB48" t="inlineStr"/>
      <c r="AC48" t="inlineStr"/>
      <c r="AD48" t="inlineStr"/>
      <c r="AE48" t="inlineStr">
        <is>
          <t>phun lửa</t>
        </is>
      </c>
      <c r="AF48" t="inlineStr">
        <is>
          <t>Tools/balance/full_weapon_audit.py: REAL / WARHEAD; balance.json weapons[id=bunker_flame].real</t>
        </is>
      </c>
      <c r="AG48" t="inlineStr"/>
    </row>
    <row r="49">
      <c r="A49" t="inlineStr">
        <is>
          <t>bunker_hmg</t>
        </is>
      </c>
      <c r="B49" t="inlineStr">
        <is>
          <t>bunker_hmg</t>
        </is>
      </c>
      <c r="C49" t="inlineStr">
        <is>
          <t>NSV 12.7 mm</t>
        </is>
      </c>
      <c r="D49" t="inlineStr">
        <is>
          <t>doi_that</t>
        </is>
      </c>
      <c r="E49" t="inlineStr">
        <is>
          <t>NSV 12.7 mm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da_kiem_chung</t>
        </is>
      </c>
      <c r="P49" t="inlineStr">
        <is>
          <t>R_balance;R_full_weapon_audit;W_wikipedia_nsv_machine_gun;R_machine_brigade_can_bang</t>
        </is>
      </c>
      <c r="Q49" t="inlineStr"/>
      <c r="R4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9" t="n">
        <v>12.7</v>
      </c>
      <c r="T49" t="inlineStr">
        <is>
          <t>NEED_SOURCE</t>
        </is>
      </c>
      <c r="U49" t="inlineStr">
        <is>
          <t>NEED_SOURCE</t>
        </is>
      </c>
      <c r="V49" t="inlineStr">
        <is>
          <t>NEED_SOURCE</t>
        </is>
      </c>
      <c r="W49" t="inlineStr">
        <is>
          <t>NEED_SOURCE</t>
        </is>
      </c>
      <c r="X49" t="n">
        <v>800</v>
      </c>
      <c r="Y49" t="n">
        <v>100</v>
      </c>
      <c r="Z49" t="inlineStr">
        <is>
          <t>NEED_SOURCE</t>
        </is>
      </c>
      <c r="AA49" t="inlineStr">
        <is>
          <t>NEED_SOURCE</t>
        </is>
      </c>
      <c r="AB49" t="inlineStr"/>
      <c r="AC49" t="inlineStr">
        <is>
          <t>mg</t>
        </is>
      </c>
      <c r="AD49" t="inlineStr">
        <is>
          <t>Wikipedia 'NSV machine gun': 700-800 cyclic, 100 practical</t>
        </is>
      </c>
      <c r="AE49" t="inlineStr">
        <is>
          <t>NSV: 700–800</t>
        </is>
      </c>
      <c r="AF49" t="inlineStr">
        <is>
          <t>Tools/balance/full_weapon_audit.py: REAL / WARHEAD; balance.json weapons[id=bunker_hmg].real</t>
        </is>
      </c>
      <c r="AG49" t="inlineStr"/>
    </row>
    <row r="50">
      <c r="A50" t="inlineStr">
        <is>
          <t>bunker_hmg_api</t>
        </is>
      </c>
      <c r="B50" t="inlineStr">
        <is>
          <t>bunker_hmg_api</t>
        </is>
      </c>
      <c r="C50" t="inlineStr">
        <is>
          <t>NSV 12.7 mm API</t>
        </is>
      </c>
      <c r="D50" t="inlineStr">
        <is>
          <t>doi_that</t>
        </is>
      </c>
      <c r="E50" t="inlineStr">
        <is>
          <t>NSV 12.7 mm API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da_kiem_chung</t>
        </is>
      </c>
      <c r="P50" t="inlineStr">
        <is>
          <t>R_balance;R_full_weapon_audit;W_wikipedia_nsv_machine_gun</t>
        </is>
      </c>
      <c r="Q50" t="inlineStr"/>
      <c r="R5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0" t="n">
        <v>12.7</v>
      </c>
      <c r="T50" t="inlineStr">
        <is>
          <t>NEED_SOURCE</t>
        </is>
      </c>
      <c r="U50" t="inlineStr">
        <is>
          <t>NEED_SOURCE</t>
        </is>
      </c>
      <c r="V50" t="inlineStr">
        <is>
          <t>NEED_SOURCE</t>
        </is>
      </c>
      <c r="W50" t="inlineStr">
        <is>
          <t>NEED_SOURCE</t>
        </is>
      </c>
      <c r="X50" t="n">
        <v>800</v>
      </c>
      <c r="Y50" t="n">
        <v>100</v>
      </c>
      <c r="Z50" t="inlineStr">
        <is>
          <t>NEED_SOURCE</t>
        </is>
      </c>
      <c r="AA50" t="inlineStr">
        <is>
          <t>NEED_SOURCE</t>
        </is>
      </c>
      <c r="AB50" t="inlineStr"/>
      <c r="AC50" t="inlineStr">
        <is>
          <t>mg</t>
        </is>
      </c>
      <c r="AD50" t="inlineStr">
        <is>
          <t>Wikipedia 'NSV machine gun': 700-800 cyclic, 100 practical</t>
        </is>
      </c>
      <c r="AE50" t="inlineStr"/>
      <c r="AF50" t="inlineStr">
        <is>
          <t>Tools/balance/full_weapon_audit.py: REAL / WARHEAD; balance.json weapons[id=bunker_hmg_api].real</t>
        </is>
      </c>
      <c r="AG50" t="inlineStr"/>
    </row>
    <row r="51">
      <c r="A51" t="inlineStr">
        <is>
          <t>bunker_hmg_twin</t>
        </is>
      </c>
      <c r="B51" t="inlineStr">
        <is>
          <t>bunker_hmg_twin</t>
        </is>
      </c>
      <c r="C51" t="inlineStr">
        <is>
          <t>NSV 12.7 mm (twin)</t>
        </is>
      </c>
      <c r="D51" t="inlineStr">
        <is>
          <t>doi_that</t>
        </is>
      </c>
      <c r="E51" t="inlineStr">
        <is>
          <t>NSV 12.7 mm (twin)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da_kiem_chung</t>
        </is>
      </c>
      <c r="P51" t="inlineStr">
        <is>
          <t>R_balance;R_full_weapon_audit;W_wikipedia_nsv_machine_gun;R_machine_brigade_can_bang</t>
        </is>
      </c>
      <c r="Q51" t="inlineStr"/>
      <c r="R5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1" t="n">
        <v>12.7</v>
      </c>
      <c r="T51" t="inlineStr">
        <is>
          <t>NEED_SOURCE</t>
        </is>
      </c>
      <c r="U51" t="inlineStr">
        <is>
          <t>NEED_SOURCE</t>
        </is>
      </c>
      <c r="V51" t="inlineStr">
        <is>
          <t>NEED_SOURCE</t>
        </is>
      </c>
      <c r="W51" t="inlineStr">
        <is>
          <t>NEED_SOURCE</t>
        </is>
      </c>
      <c r="X51" t="n">
        <v>800</v>
      </c>
      <c r="Y51" t="n">
        <v>100</v>
      </c>
      <c r="Z51" t="inlineStr">
        <is>
          <t>NEED_SOURCE</t>
        </is>
      </c>
      <c r="AA51" t="inlineStr">
        <is>
          <t>NEED_SOURCE</t>
        </is>
      </c>
      <c r="AB51" t="inlineStr"/>
      <c r="AC51" t="inlineStr">
        <is>
          <t>mg</t>
        </is>
      </c>
      <c r="AD51" t="inlineStr">
        <is>
          <t>Wikipedia 'NSV machine gun': 700-800 cyclic, 100 practical</t>
        </is>
      </c>
      <c r="AE51" t="inlineStr">
        <is>
          <t>NSV đôi</t>
        </is>
      </c>
      <c r="AF51" t="inlineStr">
        <is>
          <t>Tools/balance/full_weapon_audit.py: REAL / WARHEAD; balance.json weapons[id=bunker_hmg_twin].real</t>
        </is>
      </c>
      <c r="AG51" t="inlineStr"/>
    </row>
    <row r="52">
      <c r="A52" t="inlineStr">
        <is>
          <t>bunker_hmg_twin_api</t>
        </is>
      </c>
      <c r="B52" t="inlineStr">
        <is>
          <t>bunker_hmg_twin_api</t>
        </is>
      </c>
      <c r="C52" t="inlineStr">
        <is>
          <t>NSV 12.7 mm API (twin)</t>
        </is>
      </c>
      <c r="D52" t="inlineStr">
        <is>
          <t>doi_that</t>
        </is>
      </c>
      <c r="E52" t="inlineStr">
        <is>
          <t>NSV 12.7 mm API (twin)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da_kiem_chung</t>
        </is>
      </c>
      <c r="P52" t="inlineStr">
        <is>
          <t>R_balance;R_full_weapon_audit;W_wikipedia_nsv_machine_gun</t>
        </is>
      </c>
      <c r="Q52" t="inlineStr"/>
      <c r="R5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2" t="n">
        <v>12.7</v>
      </c>
      <c r="T52" t="inlineStr">
        <is>
          <t>NEED_SOURCE</t>
        </is>
      </c>
      <c r="U52" t="inlineStr">
        <is>
          <t>NEED_SOURCE</t>
        </is>
      </c>
      <c r="V52" t="inlineStr">
        <is>
          <t>NEED_SOURCE</t>
        </is>
      </c>
      <c r="W52" t="inlineStr">
        <is>
          <t>NEED_SOURCE</t>
        </is>
      </c>
      <c r="X52" t="n">
        <v>800</v>
      </c>
      <c r="Y52" t="n">
        <v>100</v>
      </c>
      <c r="Z52" t="inlineStr">
        <is>
          <t>NEED_SOURCE</t>
        </is>
      </c>
      <c r="AA52" t="inlineStr">
        <is>
          <t>NEED_SOURCE</t>
        </is>
      </c>
      <c r="AB52" t="inlineStr"/>
      <c r="AC52" t="inlineStr">
        <is>
          <t>mg</t>
        </is>
      </c>
      <c r="AD52" t="inlineStr">
        <is>
          <t>Wikipedia 'NSV machine gun': 700-800 cyclic, 100 practical</t>
        </is>
      </c>
      <c r="AE52" t="inlineStr"/>
      <c r="AF52" t="inlineStr">
        <is>
          <t>Tools/balance/full_weapon_audit.py: REAL / WARHEAD; balance.json weapons[id=bunker_hmg_twin_api].real</t>
        </is>
      </c>
      <c r="AG52" t="inlineStr"/>
    </row>
    <row r="53">
      <c r="A53" t="inlineStr">
        <is>
          <t>bunker_pkm</t>
        </is>
      </c>
      <c r="B53" t="inlineStr">
        <is>
          <t>bunker_pkm</t>
        </is>
      </c>
      <c r="C53" t="inlineStr">
        <is>
          <t>PKM 7.62 mm (bunker embrasure)</t>
        </is>
      </c>
      <c r="D53" t="inlineStr">
        <is>
          <t>doi_that</t>
        </is>
      </c>
      <c r="E53" t="inlineStr">
        <is>
          <t>PKM 7.62 mm (bunker embrasure)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ban_dau_doan</t>
        </is>
      </c>
      <c r="P53" t="inlineStr">
        <is>
          <t>R_balance</t>
        </is>
      </c>
      <c r="Q53" t="inlineStr"/>
      <c r="R5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3" t="n">
        <v>7.62</v>
      </c>
      <c r="T53" t="inlineStr">
        <is>
          <t>NEED_SOURCE</t>
        </is>
      </c>
      <c r="U53" t="inlineStr">
        <is>
          <t>NEED_SOURCE</t>
        </is>
      </c>
      <c r="V53" t="inlineStr">
        <is>
          <t>NEED_SOURCE</t>
        </is>
      </c>
      <c r="W53" t="inlineStr">
        <is>
          <t>NEED_SOURCE</t>
        </is>
      </c>
      <c r="X53" t="inlineStr">
        <is>
          <t>NEED_SOURCE</t>
        </is>
      </c>
      <c r="Y53" t="inlineStr">
        <is>
          <t>NEED_SOURCE</t>
        </is>
      </c>
      <c r="Z53" t="inlineStr">
        <is>
          <t>NEED_SOURCE</t>
        </is>
      </c>
      <c r="AA53" t="inlineStr">
        <is>
          <t>NEED_SOURCE</t>
        </is>
      </c>
      <c r="AB53" t="inlineStr"/>
      <c r="AC53" t="inlineStr"/>
      <c r="AD53" t="inlineStr"/>
      <c r="AE53" t="inlineStr"/>
      <c r="AF53" t="inlineStr">
        <is>
          <t>Tools/balance/full_weapon_audit.py: REAL / WARHEAD; balance.json weapons[id=bunker_pkm].real</t>
        </is>
      </c>
      <c r="AG53" t="inlineStr"/>
    </row>
    <row r="54">
      <c r="A54" t="inlineStr">
        <is>
          <t>c_ram_gatling</t>
        </is>
      </c>
      <c r="B54" t="inlineStr">
        <is>
          <t>c_ram_gatling</t>
        </is>
      </c>
      <c r="C54" t="inlineStr">
        <is>
          <t>Phalanx M61 20 mm</t>
        </is>
      </c>
      <c r="D54" t="inlineStr">
        <is>
          <t>doi_that</t>
        </is>
      </c>
      <c r="E54" t="inlineStr">
        <is>
          <t>Phalanx M61 20 mm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da_kiem_chung</t>
        </is>
      </c>
      <c r="P54" t="inlineStr">
        <is>
          <t>R_balance;R_full_weapon_audit;W_wikipedia_phalanx_ciws;R_machine_brigade_can_bang</t>
        </is>
      </c>
      <c r="Q54" t="inlineStr"/>
      <c r="R5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4" t="n">
        <v>20</v>
      </c>
      <c r="T54" t="inlineStr">
        <is>
          <t>NEED_SOURCE</t>
        </is>
      </c>
      <c r="U54" t="inlineStr">
        <is>
          <t>NEED_SOURCE</t>
        </is>
      </c>
      <c r="V54" t="inlineStr">
        <is>
          <t>NEED_SOURCE</t>
        </is>
      </c>
      <c r="W54" t="inlineStr">
        <is>
          <t>NEED_SOURCE</t>
        </is>
      </c>
      <c r="X54" t="n">
        <v>4500</v>
      </c>
      <c r="Y54" t="inlineStr">
        <is>
          <t>NEED_SOURCE</t>
        </is>
      </c>
      <c r="Z54" t="inlineStr">
        <is>
          <t>NEED_SOURCE</t>
        </is>
      </c>
      <c r="AA54" t="inlineStr">
        <is>
          <t>NEED_SOURCE</t>
        </is>
      </c>
      <c r="AB54" t="inlineStr"/>
      <c r="AC54" t="inlineStr">
        <is>
          <t>aa</t>
        </is>
      </c>
      <c r="AD54" t="inlineStr">
        <is>
          <t>Wikipedia 'Phalanx CIWS': 4,500 rpm (C-RAM)</t>
        </is>
      </c>
      <c r="AE54" t="inlineStr">
        <is>
          <t>Phalanx 20 mm: 4.500 phát/phút; tầm hiệu quả ~1,5 km</t>
        </is>
      </c>
      <c r="AF54" t="inlineStr">
        <is>
          <t>Tools/balance/full_weapon_audit.py: REAL / WARHEAD; balance.json weapons[id=c_ram_gatling].real</t>
        </is>
      </c>
      <c r="AG54" t="inlineStr"/>
    </row>
    <row r="55">
      <c r="A55" t="inlineStr">
        <is>
          <t>casemate_155</t>
        </is>
      </c>
      <c r="B55" t="inlineStr">
        <is>
          <t>casemate_155</t>
        </is>
      </c>
      <c r="C55" t="inlineStr">
        <is>
          <t>M284 155 mm (casemate)</t>
        </is>
      </c>
      <c r="D55" t="inlineStr">
        <is>
          <t>doi_that</t>
        </is>
      </c>
      <c r="E55" t="inlineStr">
        <is>
          <t>M284 155 mm (casemate)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nhịp chậm hơn 30 % và mạnh hơn tương ứng (luật súng của game)</t>
        </is>
      </c>
      <c r="M55" t="inlineStr">
        <is>
          <t>gameplay</t>
        </is>
      </c>
      <c r="N55" t="inlineStr"/>
      <c r="O55" t="inlineStr">
        <is>
          <t>da_kiem_chung</t>
        </is>
      </c>
      <c r="P55" t="inlineStr">
        <is>
          <t>R_balance;R_full_weapon_audit;D_us_army_m109a7_fact_file;R_machine_brigade_can_bang</t>
        </is>
      </c>
      <c r="Q55" t="inlineStr"/>
      <c r="R5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5" t="n">
        <v>155</v>
      </c>
      <c r="T55" t="inlineStr">
        <is>
          <t>NEED_SOURCE</t>
        </is>
      </c>
      <c r="U55" t="inlineStr">
        <is>
          <t>NEED_SOURCE</t>
        </is>
      </c>
      <c r="V55" t="inlineStr">
        <is>
          <t>NEED_SOURCE</t>
        </is>
      </c>
      <c r="W55" t="inlineStr">
        <is>
          <t>NEED_SOURCE</t>
        </is>
      </c>
      <c r="X55" t="n">
        <v>4</v>
      </c>
      <c r="Y55" t="n">
        <v>1</v>
      </c>
      <c r="Z55" t="inlineStr">
        <is>
          <t>NEED_SOURCE</t>
        </is>
      </c>
      <c r="AA55" t="inlineStr">
        <is>
          <t>NEED_SOURCE</t>
        </is>
      </c>
      <c r="AB55" t="inlineStr"/>
      <c r="AC55" t="inlineStr">
        <is>
          <t>gun</t>
        </is>
      </c>
      <c r="AD55" t="inlineStr">
        <is>
          <t>US Army M109A7 fact file: 4 rpm for 3 min, 1 rpm sustained</t>
        </is>
      </c>
      <c r="AE55" t="inlineStr">
        <is>
          <t>M284 155 mm</t>
        </is>
      </c>
      <c r="AF55" t="inlineStr">
        <is>
          <t>Tools/balance/full_weapon_audit.py: REAL / WARHEAD; balance.json weapons[id=casemate_155].real</t>
        </is>
      </c>
      <c r="AG55" t="inlineStr"/>
    </row>
    <row r="56">
      <c r="A56" t="inlineStr">
        <is>
          <t>casemate_155_guided</t>
        </is>
      </c>
      <c r="B56" t="inlineStr">
        <is>
          <t>casemate_155_guided</t>
        </is>
      </c>
      <c r="C56" t="inlineStr">
        <is>
          <t>M284 155 mm guided (casemate)</t>
        </is>
      </c>
      <c r="D56" t="inlineStr">
        <is>
          <t>doi_that</t>
        </is>
      </c>
      <c r="E56" t="inlineStr">
        <is>
          <t>M284 155 mm guided (casemate)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nhịp chậm hơn 30 % và mạnh hơn tương ứng (luật súng của game)</t>
        </is>
      </c>
      <c r="M56" t="inlineStr">
        <is>
          <t>gameplay</t>
        </is>
      </c>
      <c r="N56" t="inlineStr"/>
      <c r="O56" t="inlineStr">
        <is>
          <t>da_kiem_chung</t>
        </is>
      </c>
      <c r="P56" t="inlineStr">
        <is>
          <t>R_balance;R_full_weapon_audit;D_us_army_m109a7_fact_file</t>
        </is>
      </c>
      <c r="Q56" t="inlineStr"/>
      <c r="R5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6" t="n">
        <v>155</v>
      </c>
      <c r="T56" t="inlineStr">
        <is>
          <t>NEED_SOURCE</t>
        </is>
      </c>
      <c r="U56" t="inlineStr">
        <is>
          <t>NEED_SOURCE</t>
        </is>
      </c>
      <c r="V56" t="inlineStr">
        <is>
          <t>NEED_SOURCE</t>
        </is>
      </c>
      <c r="W56" t="inlineStr">
        <is>
          <t>NEED_SOURCE</t>
        </is>
      </c>
      <c r="X56" t="n">
        <v>4</v>
      </c>
      <c r="Y56" t="n">
        <v>1</v>
      </c>
      <c r="Z56" t="inlineStr">
        <is>
          <t>NEED_SOURCE</t>
        </is>
      </c>
      <c r="AA56" t="inlineStr">
        <is>
          <t>NEED_SOURCE</t>
        </is>
      </c>
      <c r="AB56" t="inlineStr"/>
      <c r="AC56" t="inlineStr">
        <is>
          <t>gun</t>
        </is>
      </c>
      <c r="AD56" t="inlineStr">
        <is>
          <t>US Army M109A7 fact file: 4 rpm for 3 min, 1 rpm sustained</t>
        </is>
      </c>
      <c r="AE56" t="inlineStr"/>
      <c r="AF56" t="inlineStr">
        <is>
          <t>Tools/balance/full_weapon_audit.py: REAL / WARHEAD; balance.json weapons[id=casemate_155_guided].real</t>
        </is>
      </c>
      <c r="AG56" t="inlineStr"/>
    </row>
    <row r="57">
      <c r="A57" t="inlineStr">
        <is>
          <t>ciws_aa</t>
        </is>
      </c>
      <c r="B57" t="inlineStr">
        <is>
          <t>ciws_aa</t>
        </is>
      </c>
      <c r="C57" t="inlineStr">
        <is>
          <t>AK-630 30 mm</t>
        </is>
      </c>
      <c r="D57" t="inlineStr">
        <is>
          <t>doi_that</t>
        </is>
      </c>
      <c r="E57" t="inlineStr">
        <is>
          <t>AK-630 30 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da_kiem_chung</t>
        </is>
      </c>
      <c r="P57" t="inlineStr">
        <is>
          <t>R_balance;R_full_weapon_audit;W_wikipedia_ak_630;R_machine_brigade_can_bang</t>
        </is>
      </c>
      <c r="Q57" t="inlineStr"/>
      <c r="R5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7" t="n">
        <v>30</v>
      </c>
      <c r="T57" t="inlineStr">
        <is>
          <t>NEED_SOURCE</t>
        </is>
      </c>
      <c r="U57" t="inlineStr">
        <is>
          <t>NEED_SOURCE</t>
        </is>
      </c>
      <c r="V57" t="inlineStr">
        <is>
          <t>NEED_SOURCE</t>
        </is>
      </c>
      <c r="W57" t="inlineStr">
        <is>
          <t>NEED_SOURCE</t>
        </is>
      </c>
      <c r="X57" t="n">
        <v>5000</v>
      </c>
      <c r="Y57" t="n">
        <v>1000</v>
      </c>
      <c r="Z57" t="inlineStr">
        <is>
          <t>NEED_SOURCE</t>
        </is>
      </c>
      <c r="AA57" t="inlineStr">
        <is>
          <t>NEED_SOURCE</t>
        </is>
      </c>
      <c r="AB57" t="inlineStr"/>
      <c r="AC57" t="inlineStr">
        <is>
          <t>aa</t>
        </is>
      </c>
      <c r="AD57" t="inlineStr">
        <is>
          <t>Wikipedia 'AK-630': 4,000-5,000 rpm, 2,000-round belt</t>
        </is>
      </c>
      <c r="AE57" t="inlineStr">
        <is>
          <t>AK-630: 4.000–5.000 phát/phút, băng 2.000 viên</t>
        </is>
      </c>
      <c r="AF57" t="inlineStr">
        <is>
          <t>Tools/balance/full_weapon_audit.py: REAL / WARHEAD; balance.json weapons[id=ciws_aa].real</t>
        </is>
      </c>
      <c r="AG57" t="inlineStr"/>
    </row>
    <row r="58">
      <c r="A58" t="inlineStr">
        <is>
          <t>ciws_aa_flak</t>
        </is>
      </c>
      <c r="B58" t="inlineStr">
        <is>
          <t>ciws_aa_flak</t>
        </is>
      </c>
      <c r="C58" t="inlineStr">
        <is>
          <t>AK-630 30 mm air-burst</t>
        </is>
      </c>
      <c r="D58" t="inlineStr">
        <is>
          <t>doi_that</t>
        </is>
      </c>
      <c r="E58" t="inlineStr">
        <is>
          <t>AK-630 30 mm air-burst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da_kiem_chung</t>
        </is>
      </c>
      <c r="P58" t="inlineStr">
        <is>
          <t>R_balance;R_full_weapon_audit;W_wikipedia_ak_630</t>
        </is>
      </c>
      <c r="Q58" t="inlineStr"/>
      <c r="R5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8" t="n">
        <v>30</v>
      </c>
      <c r="T58" t="inlineStr">
        <is>
          <t>NEED_SOURCE</t>
        </is>
      </c>
      <c r="U58" t="inlineStr">
        <is>
          <t>NEED_SOURCE</t>
        </is>
      </c>
      <c r="V58" t="inlineStr">
        <is>
          <t>NEED_SOURCE</t>
        </is>
      </c>
      <c r="W58" t="inlineStr">
        <is>
          <t>NEED_SOURCE</t>
        </is>
      </c>
      <c r="X58" t="n">
        <v>5000</v>
      </c>
      <c r="Y58" t="n">
        <v>1000</v>
      </c>
      <c r="Z58" t="inlineStr">
        <is>
          <t>NEED_SOURCE</t>
        </is>
      </c>
      <c r="AA58" t="inlineStr">
        <is>
          <t>NEED_SOURCE</t>
        </is>
      </c>
      <c r="AB58" t="inlineStr"/>
      <c r="AC58" t="inlineStr">
        <is>
          <t>aa</t>
        </is>
      </c>
      <c r="AD58" t="inlineStr">
        <is>
          <t>Wikipedia 'AK-630': 4,000-5,000 rpm, 2,000-round belt</t>
        </is>
      </c>
      <c r="AE58" t="inlineStr"/>
      <c r="AF58" t="inlineStr">
        <is>
          <t>Tools/balance/full_weapon_audit.py: REAL / WARHEAD; balance.json weapons[id=ciws_aa_flak].real</t>
        </is>
      </c>
      <c r="AG58" t="inlineStr"/>
    </row>
    <row r="59">
      <c r="A59" t="inlineStr">
        <is>
          <t>coilgun</t>
        </is>
      </c>
      <c r="B59" t="inlineStr">
        <is>
          <t>coilgun</t>
        </is>
      </c>
      <c r="C59" t="inlineStr">
        <is>
          <t>coilgun (10 MJ)</t>
        </is>
      </c>
      <c r="D59" t="inlineStr">
        <is>
          <t>doi_that</t>
        </is>
      </c>
      <c r="E59" t="inlineStr">
        <is>
          <t>coilgun (10 MJ)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ban_dau_doan</t>
        </is>
      </c>
      <c r="P59" t="inlineStr">
        <is>
          <t>R_balance;R_machine_brigade_can_bang</t>
        </is>
      </c>
      <c r="Q59" t="inlineStr"/>
      <c r="R5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9" t="inlineStr">
        <is>
          <t>NEED_SOURCE</t>
        </is>
      </c>
      <c r="T59" t="inlineStr">
        <is>
          <t>NEED_SOURCE</t>
        </is>
      </c>
      <c r="U59" t="inlineStr">
        <is>
          <t>NEED_SOURCE</t>
        </is>
      </c>
      <c r="V59" t="inlineStr">
        <is>
          <t>NEED_SOURCE</t>
        </is>
      </c>
      <c r="W59" t="inlineStr">
        <is>
          <t>NEED_SOURCE</t>
        </is>
      </c>
      <c r="X59" t="inlineStr">
        <is>
          <t>NEED_SOURCE</t>
        </is>
      </c>
      <c r="Y59" t="inlineStr">
        <is>
          <t>NEED_SOURCE</t>
        </is>
      </c>
      <c r="Z59" t="inlineStr">
        <is>
          <t>NEED_SOURCE</t>
        </is>
      </c>
      <c r="AA59" t="inlineStr">
        <is>
          <t>NEED_SOURCE</t>
        </is>
      </c>
      <c r="AB59" t="inlineStr"/>
      <c r="AC59" t="inlineStr"/>
      <c r="AD59" t="inlineStr"/>
      <c r="AE59" t="inlineStr">
        <is>
          <t>coilgun (giả tưởng)</t>
        </is>
      </c>
      <c r="AF59" t="inlineStr">
        <is>
          <t>Tools/balance/full_weapon_audit.py: REAL / WARHEAD; balance.json weapons[id=coilgun].real</t>
        </is>
      </c>
      <c r="AG59" t="inlineStr"/>
    </row>
    <row r="60">
      <c r="A60" t="inlineStr">
        <is>
          <t>cruise_missile_ground</t>
        </is>
      </c>
      <c r="B60" t="inlineStr">
        <is>
          <t>cruise_missile_ground</t>
        </is>
      </c>
      <c r="C60" t="inlineStr">
        <is>
          <t>Typhon MRC (ground-launched Tomahawk)</t>
        </is>
      </c>
      <c r="D60" t="inlineStr">
        <is>
          <t>doi_that</t>
        </is>
      </c>
      <c r="E60" t="inlineStr">
        <is>
          <t>Typhon MRC (ground-launched Tomahawk)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uoc_dinh</t>
        </is>
      </c>
      <c r="P60" t="inlineStr">
        <is>
          <t>R_balance;R_full_weapon_audit</t>
        </is>
      </c>
      <c r="Q60" t="inlineStr"/>
      <c r="R6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0" t="inlineStr">
        <is>
          <t>NEED_SOURCE</t>
        </is>
      </c>
      <c r="T60" t="inlineStr">
        <is>
          <t>NEED_SOURCE</t>
        </is>
      </c>
      <c r="U60" t="inlineStr">
        <is>
          <t>NEED_SOURCE</t>
        </is>
      </c>
      <c r="V60" t="inlineStr">
        <is>
          <t>NEED_SOURCE</t>
        </is>
      </c>
      <c r="W60" t="inlineStr">
        <is>
          <t>NEED_SOURCE</t>
        </is>
      </c>
      <c r="X60" t="n">
        <v>20</v>
      </c>
      <c r="Y60" t="n">
        <v>6</v>
      </c>
      <c r="Z60" t="inlineStr">
        <is>
          <t>NEED_SOURCE</t>
        </is>
      </c>
      <c r="AA60" t="inlineStr">
        <is>
          <t>NEED_SOURCE</t>
        </is>
      </c>
      <c r="AB60" t="inlineStr">
        <is>
          <t>NEED_SOURCE</t>
        </is>
      </c>
      <c r="AC60" t="inlineStr">
        <is>
          <t>missile</t>
        </is>
      </c>
      <c r="AD60" t="inlineStr">
        <is>
          <t>cruise missiles: ~3 s between launches (est.)</t>
        </is>
      </c>
      <c r="AE60" t="inlineStr"/>
      <c r="AF60" t="inlineStr">
        <is>
          <t>Tools/balance/full_weapon_audit.py: REAL / WARHEAD; balance.json weapons[id=cruise_missile_ground].real</t>
        </is>
      </c>
      <c r="AG60" t="inlineStr"/>
    </row>
    <row r="61">
      <c r="A61" t="inlineStr">
        <is>
          <t>cruiser_203</t>
        </is>
      </c>
      <c r="B61" t="inlineStr">
        <is>
          <t>cruiser_203</t>
        </is>
      </c>
      <c r="C61" t="inlineStr">
        <is>
          <t>Mk 71 203 mm (twin)</t>
        </is>
      </c>
      <c r="D61" t="inlineStr">
        <is>
          <t>doi_that</t>
        </is>
      </c>
      <c r="E61" t="inlineStr">
        <is>
          <t>Mk 71 203 mm (twin)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nhịp chậm hơn 30 % và mạnh hơn tương ứng (luật súng của game)</t>
        </is>
      </c>
      <c r="M61" t="inlineStr">
        <is>
          <t>gameplay</t>
        </is>
      </c>
      <c r="N61" t="inlineStr"/>
      <c r="O61" t="inlineStr">
        <is>
          <t>da_kiem_chung</t>
        </is>
      </c>
      <c r="P61" t="inlineStr">
        <is>
          <t>R_balance;R_full_weapon_audit;W_wikipedia_8_55_caliber_mark_71;R_machine_brigade_can_bang</t>
        </is>
      </c>
      <c r="Q61" t="inlineStr"/>
      <c r="R6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1" t="n">
        <v>203</v>
      </c>
      <c r="T61" t="inlineStr">
        <is>
          <t>NEED_SOURCE</t>
        </is>
      </c>
      <c r="U61" t="inlineStr">
        <is>
          <t>NEED_SOURCE</t>
        </is>
      </c>
      <c r="V61" t="inlineStr">
        <is>
          <t>NEED_SOURCE</t>
        </is>
      </c>
      <c r="W61" t="inlineStr">
        <is>
          <t>NEED_SOURCE</t>
        </is>
      </c>
      <c r="X61" t="n">
        <v>12</v>
      </c>
      <c r="Y61" t="n">
        <v>12</v>
      </c>
      <c r="Z61" t="inlineStr">
        <is>
          <t>NEED_SOURCE</t>
        </is>
      </c>
      <c r="AA61" t="inlineStr">
        <is>
          <t>NEED_SOURCE</t>
        </is>
      </c>
      <c r="AB61" t="inlineStr"/>
      <c r="AC61" t="inlineStr">
        <is>
          <t>gun</t>
        </is>
      </c>
      <c r="AD61" t="inlineStr">
        <is>
          <t>Wikipedia '8"/55 caliber Mark 71': 12 rpm</t>
        </is>
      </c>
      <c r="AE61" t="inlineStr">
        <is>
          <t>Mk 71 203 mm: 12 phát/phút</t>
        </is>
      </c>
      <c r="AF61" t="inlineStr">
        <is>
          <t>Tools/balance/full_weapon_audit.py: REAL / WARHEAD; balance.json weapons[id=cruiser_203].real</t>
        </is>
      </c>
      <c r="AG61" t="inlineStr"/>
    </row>
    <row r="62">
      <c r="A62" t="inlineStr">
        <is>
          <t>cruiser_203_guided</t>
        </is>
      </c>
      <c r="B62" t="inlineStr">
        <is>
          <t>cruiser_203_guided</t>
        </is>
      </c>
      <c r="C62" t="inlineStr">
        <is>
          <t>Mk 71 203 mm guided (twin)</t>
        </is>
      </c>
      <c r="D62" t="inlineStr">
        <is>
          <t>doi_that</t>
        </is>
      </c>
      <c r="E62" t="inlineStr">
        <is>
          <t>Mk 71 203 mm guided (twin)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nhịp chậm hơn 30 % và mạnh hơn tương ứng (luật súng của game)</t>
        </is>
      </c>
      <c r="M62" t="inlineStr">
        <is>
          <t>gameplay</t>
        </is>
      </c>
      <c r="N62" t="inlineStr"/>
      <c r="O62" t="inlineStr">
        <is>
          <t>da_kiem_chung</t>
        </is>
      </c>
      <c r="P62" t="inlineStr">
        <is>
          <t>R_balance;R_full_weapon_audit;W_wikipedia_8_55_caliber_mark_71</t>
        </is>
      </c>
      <c r="Q62" t="inlineStr"/>
      <c r="R6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2" t="n">
        <v>203</v>
      </c>
      <c r="T62" t="inlineStr">
        <is>
          <t>NEED_SOURCE</t>
        </is>
      </c>
      <c r="U62" t="inlineStr">
        <is>
          <t>NEED_SOURCE</t>
        </is>
      </c>
      <c r="V62" t="inlineStr">
        <is>
          <t>NEED_SOURCE</t>
        </is>
      </c>
      <c r="W62" t="inlineStr">
        <is>
          <t>NEED_SOURCE</t>
        </is>
      </c>
      <c r="X62" t="n">
        <v>12</v>
      </c>
      <c r="Y62" t="n">
        <v>12</v>
      </c>
      <c r="Z62" t="inlineStr">
        <is>
          <t>NEED_SOURCE</t>
        </is>
      </c>
      <c r="AA62" t="inlineStr">
        <is>
          <t>NEED_SOURCE</t>
        </is>
      </c>
      <c r="AB62" t="inlineStr"/>
      <c r="AC62" t="inlineStr">
        <is>
          <t>gun</t>
        </is>
      </c>
      <c r="AD62" t="inlineStr">
        <is>
          <t>Wikipedia '8"/55 caliber Mark 71': 12 rpm</t>
        </is>
      </c>
      <c r="AE62" t="inlineStr"/>
      <c r="AF62" t="inlineStr">
        <is>
          <t>Tools/balance/full_weapon_audit.py: REAL / WARHEAD; balance.json weapons[id=cruiser_203_guided].real</t>
        </is>
      </c>
      <c r="AG62" t="inlineStr"/>
    </row>
    <row r="63">
      <c r="A63" t="inlineStr">
        <is>
          <t>detonator</t>
        </is>
      </c>
      <c r="B63" t="inlineStr">
        <is>
          <t>detonator</t>
        </is>
      </c>
      <c r="C63" t="inlineStr">
        <is>
          <t>car bomb (900 kg)</t>
        </is>
      </c>
      <c r="D63" t="inlineStr">
        <is>
          <t>doi_that</t>
        </is>
      </c>
      <c r="E63" t="inlineStr">
        <is>
          <t>car bomb (900 kg)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uoc_dinh</t>
        </is>
      </c>
      <c r="P63" t="inlineStr">
        <is>
          <t>R_balance;R_full_weapon_audit;R_machine_brigade_can_bang</t>
        </is>
      </c>
      <c r="Q63" t="inlineStr"/>
      <c r="R6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3" t="inlineStr">
        <is>
          <t>NEED_SOURCE</t>
        </is>
      </c>
      <c r="T63" t="inlineStr">
        <is>
          <t>NEED_SOURCE</t>
        </is>
      </c>
      <c r="U63" t="inlineStr">
        <is>
          <t>NEED_SOURCE</t>
        </is>
      </c>
      <c r="V63" t="inlineStr">
        <is>
          <t>NEED_SOURCE</t>
        </is>
      </c>
      <c r="W63" t="inlineStr">
        <is>
          <t>NEED_SOURCE</t>
        </is>
      </c>
      <c r="X63" t="n">
        <v>600</v>
      </c>
      <c r="Y63" t="inlineStr">
        <is>
          <t>NEED_SOURCE</t>
        </is>
      </c>
      <c r="Z63" t="inlineStr">
        <is>
          <t>NEED_SOURCE</t>
        </is>
      </c>
      <c r="AA63" t="inlineStr">
        <is>
          <t>NEED_SOURCE</t>
        </is>
      </c>
      <c r="AB63" t="inlineStr"/>
      <c r="AC63" t="inlineStr">
        <is>
          <t>bomb</t>
        </is>
      </c>
      <c r="AD63" t="inlineStr">
        <is>
          <t>a stick's release, 0.1 s and up (est.)</t>
        </is>
      </c>
      <c r="AE63" t="inlineStr">
        <is>
          <t>VBIED: hàng trăm kg tới hơn 1 tấn thuốc nổ</t>
        </is>
      </c>
      <c r="AF63" t="inlineStr">
        <is>
          <t>Tools/balance/full_weapon_audit.py: REAL / WARHEAD; balance.json weapons[id=detonator].real</t>
        </is>
      </c>
      <c r="AG63" t="inlineStr"/>
    </row>
    <row r="64">
      <c r="A64" t="inlineStr">
        <is>
          <t>dozer_blade</t>
        </is>
      </c>
      <c r="B64" t="inlineStr">
        <is>
          <t>dozer_blade</t>
        </is>
      </c>
      <c r="C64" t="inlineStr">
        <is>
          <t>dozer blade</t>
        </is>
      </c>
      <c r="D64" t="inlineStr">
        <is>
          <t>doi_that</t>
        </is>
      </c>
      <c r="E64" t="inlineStr">
        <is>
          <t>dozer blade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ban_dau_doan</t>
        </is>
      </c>
      <c r="P64" t="inlineStr">
        <is>
          <t>R_balance</t>
        </is>
      </c>
      <c r="Q64" t="inlineStr"/>
      <c r="R6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4" t="inlineStr">
        <is>
          <t>NEED_SOURCE</t>
        </is>
      </c>
      <c r="T64" t="inlineStr">
        <is>
          <t>NEED_SOURCE</t>
        </is>
      </c>
      <c r="U64" t="inlineStr">
        <is>
          <t>NEED_SOURCE</t>
        </is>
      </c>
      <c r="V64" t="inlineStr">
        <is>
          <t>NEED_SOURCE</t>
        </is>
      </c>
      <c r="W64" t="inlineStr">
        <is>
          <t>NEED_SOURCE</t>
        </is>
      </c>
      <c r="X64" t="inlineStr">
        <is>
          <t>NEED_SOURCE</t>
        </is>
      </c>
      <c r="Y64" t="inlineStr">
        <is>
          <t>NEED_SOURCE</t>
        </is>
      </c>
      <c r="Z64" t="inlineStr">
        <is>
          <t>NEED_SOURCE</t>
        </is>
      </c>
      <c r="AA64" t="inlineStr">
        <is>
          <t>NEED_SOURCE</t>
        </is>
      </c>
      <c r="AB64" t="inlineStr"/>
      <c r="AC64" t="inlineStr"/>
      <c r="AD64" t="inlineStr"/>
      <c r="AE64" t="inlineStr"/>
      <c r="AF64" t="inlineStr">
        <is>
          <t>Tools/balance/full_weapon_audit.py: REAL / WARHEAD; balance.json weapons[id=dozer_blade].real</t>
        </is>
      </c>
      <c r="AG64" t="inlineStr"/>
    </row>
    <row r="65">
      <c r="A65" t="inlineStr">
        <is>
          <t>drone_gun</t>
        </is>
      </c>
      <c r="B65" t="inlineStr">
        <is>
          <t>drone_gun</t>
        </is>
      </c>
      <c r="C65" t="inlineStr">
        <is>
          <t>M3P 12.7 mm</t>
        </is>
      </c>
      <c r="D65" t="inlineStr">
        <is>
          <t>doi_that</t>
        </is>
      </c>
      <c r="E65" t="inlineStr">
        <is>
          <t>M3P 12.7 mm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da_kiem_chung</t>
        </is>
      </c>
      <c r="P65" t="inlineStr">
        <is>
          <t>R_balance;R_full_weapon_audit;W_wikipedia_m3_browning</t>
        </is>
      </c>
      <c r="Q65" t="inlineStr"/>
      <c r="R6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5" t="n">
        <v>12.7</v>
      </c>
      <c r="T65" t="inlineStr">
        <is>
          <t>NEED_SOURCE</t>
        </is>
      </c>
      <c r="U65" t="inlineStr">
        <is>
          <t>NEED_SOURCE</t>
        </is>
      </c>
      <c r="V65" t="inlineStr">
        <is>
          <t>NEED_SOURCE</t>
        </is>
      </c>
      <c r="W65" t="inlineStr">
        <is>
          <t>NEED_SOURCE</t>
        </is>
      </c>
      <c r="X65" t="n">
        <v>1200</v>
      </c>
      <c r="Y65" t="n">
        <v>200</v>
      </c>
      <c r="Z65" t="inlineStr">
        <is>
          <t>NEED_SOURCE</t>
        </is>
      </c>
      <c r="AA65" t="inlineStr">
        <is>
          <t>NEED_SOURCE</t>
        </is>
      </c>
      <c r="AB65" t="inlineStr"/>
      <c r="AC65" t="inlineStr">
        <is>
          <t>mg</t>
        </is>
      </c>
      <c r="AD65" t="inlineStr">
        <is>
          <t>Wikipedia 'M3 Browning' (AN/M3): 1,100-1,250 rpm</t>
        </is>
      </c>
      <c r="AE65" t="inlineStr"/>
      <c r="AF65" t="inlineStr">
        <is>
          <t>Tools/balance/full_weapon_audit.py: REAL / WARHEAD; balance.json weapons[id=drone_gun].real</t>
        </is>
      </c>
      <c r="AG65" t="inlineStr"/>
    </row>
    <row r="66">
      <c r="A66" t="inlineStr">
        <is>
          <t>drone_missile</t>
        </is>
      </c>
      <c r="B66" t="inlineStr">
        <is>
          <t>drone_missile</t>
        </is>
      </c>
      <c r="C66" t="inlineStr">
        <is>
          <t>AGM-114 Hellfire</t>
        </is>
      </c>
      <c r="D66" t="inlineStr">
        <is>
          <t>doi_that</t>
        </is>
      </c>
      <c r="E66" t="inlineStr">
        <is>
          <t>AGM-114 Hellfire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uoc_dinh</t>
        </is>
      </c>
      <c r="P66" t="inlineStr">
        <is>
          <t>R_balance;R_full_weapon_audit;W_wikipedia_bai_cua_tung_ten_lua_bang_warhead;R_machine_brigade_can_bang</t>
        </is>
      </c>
      <c r="Q66" t="inlineStr"/>
      <c r="R6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6" t="inlineStr">
        <is>
          <t>NEED_SOURCE</t>
        </is>
      </c>
      <c r="T66" t="inlineStr">
        <is>
          <t>NEED_SOURCE</t>
        </is>
      </c>
      <c r="U66" t="inlineStr">
        <is>
          <t>NEED_SOURCE</t>
        </is>
      </c>
      <c r="V66" t="inlineStr">
        <is>
          <t>NEED_SOURCE</t>
        </is>
      </c>
      <c r="W66" t="inlineStr">
        <is>
          <t>NEED_SOURCE</t>
        </is>
      </c>
      <c r="X66" t="n">
        <v>60</v>
      </c>
      <c r="Y66" t="n">
        <v>10</v>
      </c>
      <c r="Z66" t="inlineStr">
        <is>
          <t>NEED_SOURCE</t>
        </is>
      </c>
      <c r="AA66" t="inlineStr">
        <is>
          <t>NEED_SOURCE</t>
        </is>
      </c>
      <c r="AB66" t="n">
        <v>9</v>
      </c>
      <c r="AC66" t="inlineStr">
        <is>
          <t>atgm</t>
        </is>
      </c>
      <c r="AD66" t="inlineStr">
        <is>
          <t>air-launched: ripples ~1 s apart, est. 6 s an aimed shot</t>
        </is>
      </c>
      <c r="AE66" t="inlineStr">
        <is>
          <t>Hellfire</t>
        </is>
      </c>
      <c r="AF66" t="inlineStr">
        <is>
          <t>Tools/balance/full_weapon_audit.py: REAL / WARHEAD; balance.json weapons[id=drone_missile].real</t>
        </is>
      </c>
      <c r="AG66" t="inlineStr"/>
    </row>
    <row r="67">
      <c r="A67" t="inlineStr">
        <is>
          <t>fighter_cannon</t>
        </is>
      </c>
      <c r="B67" t="inlineStr">
        <is>
          <t>fighter_cannon</t>
        </is>
      </c>
      <c r="C67" t="inlineStr">
        <is>
          <t>GAU-22/A 25 mm</t>
        </is>
      </c>
      <c r="D67" t="inlineStr">
        <is>
          <t>doi_that</t>
        </is>
      </c>
      <c r="E67" t="inlineStr">
        <is>
          <t>GAU-22/A 25 mm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da_kiem_chung</t>
        </is>
      </c>
      <c r="P67" t="inlineStr">
        <is>
          <t>R_balance;R_full_weapon_audit;W_wikipedia_gau_22_a;R_machine_brigade_can_bang</t>
        </is>
      </c>
      <c r="Q67" t="inlineStr"/>
      <c r="R6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7" t="n">
        <v>25</v>
      </c>
      <c r="T67" t="inlineStr">
        <is>
          <t>NEED_SOURCE</t>
        </is>
      </c>
      <c r="U67" t="inlineStr">
        <is>
          <t>NEED_SOURCE</t>
        </is>
      </c>
      <c r="V67" t="inlineStr">
        <is>
          <t>NEED_SOURCE</t>
        </is>
      </c>
      <c r="W67" t="inlineStr">
        <is>
          <t>NEED_SOURCE</t>
        </is>
      </c>
      <c r="X67" t="n">
        <v>3300</v>
      </c>
      <c r="Y67" t="inlineStr">
        <is>
          <t>NEED_SOURCE</t>
        </is>
      </c>
      <c r="Z67" t="inlineStr">
        <is>
          <t>NEED_SOURCE</t>
        </is>
      </c>
      <c r="AA67" t="inlineStr">
        <is>
          <t>NEED_SOURCE</t>
        </is>
      </c>
      <c r="AB67" t="inlineStr"/>
      <c r="AC67" t="inlineStr">
        <is>
          <t>ac</t>
        </is>
      </c>
      <c r="AD67" t="inlineStr">
        <is>
          <t>Wikipedia 'GAU-22/A': 3,300 rpm</t>
        </is>
      </c>
      <c r="AE67" t="inlineStr">
        <is>
          <t>GAU-22/A: 3.300</t>
        </is>
      </c>
      <c r="AF67" t="inlineStr">
        <is>
          <t>Tools/balance/full_weapon_audit.py: REAL / WARHEAD; balance.json weapons[id=fighter_cannon].real</t>
        </is>
      </c>
      <c r="AG67" t="inlineStr"/>
    </row>
    <row r="68">
      <c r="A68" t="inlineStr">
        <is>
          <t>fighter_cannon_ap</t>
        </is>
      </c>
      <c r="B68" t="inlineStr">
        <is>
          <t>fighter_cannon_ap</t>
        </is>
      </c>
      <c r="C68" t="inlineStr">
        <is>
          <t>GAU-22/A 25 mm AP</t>
        </is>
      </c>
      <c r="D68" t="inlineStr">
        <is>
          <t>doi_that</t>
        </is>
      </c>
      <c r="E68" t="inlineStr">
        <is>
          <t>GAU-22/A 25 mm AP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da_kiem_chung</t>
        </is>
      </c>
      <c r="P68" t="inlineStr">
        <is>
          <t>R_balance;R_full_weapon_audit;W_wikipedia_gau_22_a</t>
        </is>
      </c>
      <c r="Q68" t="inlineStr"/>
      <c r="R6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8" t="n">
        <v>25</v>
      </c>
      <c r="T68" t="inlineStr">
        <is>
          <t>NEED_SOURCE</t>
        </is>
      </c>
      <c r="U68" t="inlineStr">
        <is>
          <t>NEED_SOURCE</t>
        </is>
      </c>
      <c r="V68" t="inlineStr">
        <is>
          <t>NEED_SOURCE</t>
        </is>
      </c>
      <c r="W68" t="inlineStr">
        <is>
          <t>NEED_SOURCE</t>
        </is>
      </c>
      <c r="X68" t="n">
        <v>3300</v>
      </c>
      <c r="Y68" t="inlineStr">
        <is>
          <t>NEED_SOURCE</t>
        </is>
      </c>
      <c r="Z68" t="inlineStr">
        <is>
          <t>NEED_SOURCE</t>
        </is>
      </c>
      <c r="AA68" t="inlineStr">
        <is>
          <t>NEED_SOURCE</t>
        </is>
      </c>
      <c r="AB68" t="inlineStr"/>
      <c r="AC68" t="inlineStr">
        <is>
          <t>ac</t>
        </is>
      </c>
      <c r="AD68" t="inlineStr">
        <is>
          <t>Wikipedia 'GAU-22/A': 3,300 rpm</t>
        </is>
      </c>
      <c r="AE68" t="inlineStr"/>
      <c r="AF68" t="inlineStr">
        <is>
          <t>Tools/balance/full_weapon_audit.py: REAL / WARHEAD; balance.json weapons[id=fighter_cannon_ap].real</t>
        </is>
      </c>
      <c r="AG68" t="inlineStr"/>
    </row>
    <row r="69">
      <c r="A69" t="inlineStr">
        <is>
          <t>flak_35</t>
        </is>
      </c>
      <c r="B69" t="inlineStr">
        <is>
          <t>flak_35</t>
        </is>
      </c>
      <c r="C69" t="inlineStr">
        <is>
          <t>Oerlikon KDA 35 mm (Gepard)</t>
        </is>
      </c>
      <c r="D69" t="inlineStr">
        <is>
          <t>doi_that</t>
        </is>
      </c>
      <c r="E69" t="inlineStr">
        <is>
          <t>Oerlikon KDA 35 mm (Gepard)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da_kiem_chung</t>
        </is>
      </c>
      <c r="P69" t="inlineStr">
        <is>
          <t>R_balance;R_full_weapon_audit;W_wikipedia_oerlikon_gdf;R_machine_brigade_can_bang</t>
        </is>
      </c>
      <c r="Q69" t="inlineStr"/>
      <c r="R6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9" t="n">
        <v>35</v>
      </c>
      <c r="T69" t="inlineStr">
        <is>
          <t>NEED_SOURCE</t>
        </is>
      </c>
      <c r="U69" t="inlineStr">
        <is>
          <t>NEED_SOURCE</t>
        </is>
      </c>
      <c r="V69" t="inlineStr">
        <is>
          <t>NEED_SOURCE</t>
        </is>
      </c>
      <c r="W69" t="inlineStr">
        <is>
          <t>NEED_SOURCE</t>
        </is>
      </c>
      <c r="X69" t="n">
        <v>550</v>
      </c>
      <c r="Y69" t="n">
        <v>300</v>
      </c>
      <c r="Z69" t="inlineStr">
        <is>
          <t>NEED_SOURCE</t>
        </is>
      </c>
      <c r="AA69" t="inlineStr">
        <is>
          <t>NEED_SOURCE</t>
        </is>
      </c>
      <c r="AB69" t="inlineStr"/>
      <c r="AC69" t="inlineStr">
        <is>
          <t>aa</t>
        </is>
      </c>
      <c r="AD69" t="inlineStr">
        <is>
          <t>Wikipedia 'Oerlikon GDF' / 'Gepard': 2 x 550 rpm</t>
        </is>
      </c>
      <c r="AE69" t="inlineStr">
        <is>
          <t>KDA 35 mm: 550 phát/phút mỗi nòng</t>
        </is>
      </c>
      <c r="AF69" t="inlineStr">
        <is>
          <t>Tools/balance/full_weapon_audit.py: REAL / WARHEAD; balance.json weapons[id=flak_35].real</t>
        </is>
      </c>
      <c r="AG69" t="inlineStr"/>
    </row>
    <row r="70">
      <c r="A70" t="inlineStr">
        <is>
          <t>flak_35_ap</t>
        </is>
      </c>
      <c r="B70" t="inlineStr">
        <is>
          <t>flak_35_ap</t>
        </is>
      </c>
      <c r="C70" t="inlineStr">
        <is>
          <t>Oerlikon 35 mm AP (Gepard)</t>
        </is>
      </c>
      <c r="D70" t="inlineStr">
        <is>
          <t>doi_that</t>
        </is>
      </c>
      <c r="E70" t="inlineStr">
        <is>
          <t>Oerlikon 35 mm AP (Gepard)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da_kiem_chung</t>
        </is>
      </c>
      <c r="P70" t="inlineStr">
        <is>
          <t>R_balance;R_full_weapon_audit;W_wikipedia_oerlikon_gdf</t>
        </is>
      </c>
      <c r="Q70" t="inlineStr"/>
      <c r="R7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0" t="n">
        <v>35</v>
      </c>
      <c r="T70" t="inlineStr">
        <is>
          <t>NEED_SOURCE</t>
        </is>
      </c>
      <c r="U70" t="inlineStr">
        <is>
          <t>NEED_SOURCE</t>
        </is>
      </c>
      <c r="V70" t="inlineStr">
        <is>
          <t>NEED_SOURCE</t>
        </is>
      </c>
      <c r="W70" t="inlineStr">
        <is>
          <t>NEED_SOURCE</t>
        </is>
      </c>
      <c r="X70" t="n">
        <v>550</v>
      </c>
      <c r="Y70" t="n">
        <v>300</v>
      </c>
      <c r="Z70" t="inlineStr">
        <is>
          <t>NEED_SOURCE</t>
        </is>
      </c>
      <c r="AA70" t="inlineStr">
        <is>
          <t>NEED_SOURCE</t>
        </is>
      </c>
      <c r="AB70" t="inlineStr"/>
      <c r="AC70" t="inlineStr">
        <is>
          <t>aa</t>
        </is>
      </c>
      <c r="AD70" t="inlineStr">
        <is>
          <t>Wikipedia 'Oerlikon GDF': 550 rpm a gun (the twin: 1,100)</t>
        </is>
      </c>
      <c r="AE70" t="inlineStr"/>
      <c r="AF70" t="inlineStr">
        <is>
          <t>Tools/balance/full_weapon_audit.py: REAL / WARHEAD; balance.json weapons[id=flak_35_ap].real</t>
        </is>
      </c>
      <c r="AG70" t="inlineStr"/>
    </row>
    <row r="71">
      <c r="A71" t="inlineStr">
        <is>
          <t>flak_quad</t>
        </is>
      </c>
      <c r="B71" t="inlineStr">
        <is>
          <t>flak_quad</t>
        </is>
      </c>
      <c r="C71" t="inlineStr">
        <is>
          <t>ZSU-23-4 23 mm (quad)</t>
        </is>
      </c>
      <c r="D71" t="inlineStr">
        <is>
          <t>doi_that</t>
        </is>
      </c>
      <c r="E71" t="inlineStr">
        <is>
          <t>ZSU-23-4 23 mm (quad)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da_kiem_chung</t>
        </is>
      </c>
      <c r="P71" t="inlineStr">
        <is>
          <t>R_balance;R_full_weapon_audit;W_wikipedia_zsu_23_4_shilka;R_machine_brigade_can_bang</t>
        </is>
      </c>
      <c r="Q71" t="inlineStr"/>
      <c r="R7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1" t="n">
        <v>23</v>
      </c>
      <c r="T71" t="inlineStr">
        <is>
          <t>NEED_SOURCE</t>
        </is>
      </c>
      <c r="U71" t="inlineStr">
        <is>
          <t>NEED_SOURCE</t>
        </is>
      </c>
      <c r="V71" t="inlineStr">
        <is>
          <t>NEED_SOURCE</t>
        </is>
      </c>
      <c r="W71" t="inlineStr">
        <is>
          <t>NEED_SOURCE</t>
        </is>
      </c>
      <c r="X71" t="n">
        <v>1000</v>
      </c>
      <c r="Y71" t="n">
        <v>400</v>
      </c>
      <c r="Z71" t="inlineStr">
        <is>
          <t>NEED_SOURCE</t>
        </is>
      </c>
      <c r="AA71" t="inlineStr">
        <is>
          <t>NEED_SOURCE</t>
        </is>
      </c>
      <c r="AB71" t="inlineStr"/>
      <c r="AC71" t="inlineStr">
        <is>
          <t>aa</t>
        </is>
      </c>
      <c r="AD71" t="inlineStr">
        <is>
          <t>Wikipedia 'ZSU-23-4 Shilka': 4 x 850-1,000 rpm</t>
        </is>
      </c>
      <c r="AE71" t="inlineStr">
        <is>
          <t>ZSU-23-4: 3.400–4.000 phát/phút</t>
        </is>
      </c>
      <c r="AF71" t="inlineStr">
        <is>
          <t>Tools/balance/full_weapon_audit.py: REAL / WARHEAD; balance.json weapons[id=flak_quad].real</t>
        </is>
      </c>
      <c r="AG71" t="inlineStr"/>
    </row>
    <row r="72">
      <c r="A72" t="inlineStr">
        <is>
          <t>flak_quad_ap</t>
        </is>
      </c>
      <c r="B72" t="inlineStr">
        <is>
          <t>flak_quad_ap</t>
        </is>
      </c>
      <c r="C72" t="inlineStr">
        <is>
          <t>ZSU-23-4 23 mm AP (quad)</t>
        </is>
      </c>
      <c r="D72" t="inlineStr">
        <is>
          <t>doi_that</t>
        </is>
      </c>
      <c r="E72" t="inlineStr">
        <is>
          <t>ZSU-23-4 23 mm AP (quad)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da_kiem_chung</t>
        </is>
      </c>
      <c r="P72" t="inlineStr">
        <is>
          <t>R_balance;R_full_weapon_audit;W_wikipedia_zsu_23_4_shilka</t>
        </is>
      </c>
      <c r="Q72" t="inlineStr"/>
      <c r="R7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2" t="n">
        <v>23</v>
      </c>
      <c r="T72" t="inlineStr">
        <is>
          <t>NEED_SOURCE</t>
        </is>
      </c>
      <c r="U72" t="inlineStr">
        <is>
          <t>NEED_SOURCE</t>
        </is>
      </c>
      <c r="V72" t="inlineStr">
        <is>
          <t>NEED_SOURCE</t>
        </is>
      </c>
      <c r="W72" t="inlineStr">
        <is>
          <t>NEED_SOURCE</t>
        </is>
      </c>
      <c r="X72" t="n">
        <v>1000</v>
      </c>
      <c r="Y72" t="n">
        <v>400</v>
      </c>
      <c r="Z72" t="inlineStr">
        <is>
          <t>NEED_SOURCE</t>
        </is>
      </c>
      <c r="AA72" t="inlineStr">
        <is>
          <t>NEED_SOURCE</t>
        </is>
      </c>
      <c r="AB72" t="inlineStr"/>
      <c r="AC72" t="inlineStr">
        <is>
          <t>aa</t>
        </is>
      </c>
      <c r="AD72" t="inlineStr">
        <is>
          <t>Wikipedia 'ZSU-23-4 Shilka': 4 x 850-1,000 rpm</t>
        </is>
      </c>
      <c r="AE72" t="inlineStr"/>
      <c r="AF72" t="inlineStr">
        <is>
          <t>Tools/balance/full_weapon_audit.py: REAL / WARHEAD; balance.json weapons[id=flak_quad_ap].real</t>
        </is>
      </c>
      <c r="AG72" t="inlineStr"/>
    </row>
    <row r="73">
      <c r="A73" t="inlineStr">
        <is>
          <t>flamethrower</t>
        </is>
      </c>
      <c r="B73" t="inlineStr">
        <is>
          <t>flamethrower</t>
        </is>
      </c>
      <c r="C73" t="inlineStr">
        <is>
          <t>flamethrower</t>
        </is>
      </c>
      <c r="D73" t="inlineStr">
        <is>
          <t>doi_that</t>
        </is>
      </c>
      <c r="E73" t="inlineStr">
        <is>
          <t>flamethrower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ban_dau_doan</t>
        </is>
      </c>
      <c r="P73" t="inlineStr">
        <is>
          <t>R_balance;R_machine_brigade_can_bang</t>
        </is>
      </c>
      <c r="Q73" t="inlineStr"/>
      <c r="R7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3" t="inlineStr">
        <is>
          <t>NEED_SOURCE</t>
        </is>
      </c>
      <c r="T73" t="inlineStr">
        <is>
          <t>NEED_SOURCE</t>
        </is>
      </c>
      <c r="U73" t="inlineStr">
        <is>
          <t>NEED_SOURCE</t>
        </is>
      </c>
      <c r="V73" t="inlineStr">
        <is>
          <t>NEED_SOURCE</t>
        </is>
      </c>
      <c r="W73" t="inlineStr">
        <is>
          <t>NEED_SOURCE</t>
        </is>
      </c>
      <c r="X73" t="inlineStr">
        <is>
          <t>NEED_SOURCE</t>
        </is>
      </c>
      <c r="Y73" t="inlineStr">
        <is>
          <t>NEED_SOURCE</t>
        </is>
      </c>
      <c r="Z73" t="inlineStr">
        <is>
          <t>NEED_SOURCE</t>
        </is>
      </c>
      <c r="AA73" t="inlineStr">
        <is>
          <t>NEED_SOURCE</t>
        </is>
      </c>
      <c r="AB73" t="inlineStr"/>
      <c r="AC73" t="inlineStr"/>
      <c r="AD73" t="inlineStr"/>
      <c r="AE73" t="inlineStr">
        <is>
          <t>Súng phun lửa xe tăng: tầm 100–150 m</t>
        </is>
      </c>
      <c r="AF73" t="inlineStr">
        <is>
          <t>Tools/balance/full_weapon_audit.py: REAL / WARHEAD; balance.json weapons[id=flamethrower].real</t>
        </is>
      </c>
      <c r="AG73" t="inlineStr"/>
    </row>
    <row r="74">
      <c r="A74" t="inlineStr">
        <is>
          <t>focus_laser</t>
        </is>
      </c>
      <c r="B74" t="inlineStr">
        <is>
          <t>focus_laser</t>
        </is>
      </c>
      <c r="C74" t="inlineStr">
        <is>
          <t>focused laser (300 kW)</t>
        </is>
      </c>
      <c r="D74" t="inlineStr">
        <is>
          <t>doi_that</t>
        </is>
      </c>
      <c r="E74" t="inlineStr">
        <is>
          <t>focused laser (300 kW)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ban_dau_doan</t>
        </is>
      </c>
      <c r="P74" t="inlineStr">
        <is>
          <t>R_balance;R_machine_brigade_can_bang</t>
        </is>
      </c>
      <c r="Q74" t="inlineStr"/>
      <c r="R7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4" t="inlineStr">
        <is>
          <t>NEED_SOURCE</t>
        </is>
      </c>
      <c r="T74" t="inlineStr">
        <is>
          <t>NEED_SOURCE</t>
        </is>
      </c>
      <c r="U74" t="inlineStr">
        <is>
          <t>NEED_SOURCE</t>
        </is>
      </c>
      <c r="V74" t="inlineStr">
        <is>
          <t>NEED_SOURCE</t>
        </is>
      </c>
      <c r="W74" t="inlineStr">
        <is>
          <t>NEED_SOURCE</t>
        </is>
      </c>
      <c r="X74" t="inlineStr">
        <is>
          <t>NEED_SOURCE</t>
        </is>
      </c>
      <c r="Y74" t="inlineStr">
        <is>
          <t>NEED_SOURCE</t>
        </is>
      </c>
      <c r="Z74" t="inlineStr">
        <is>
          <t>NEED_SOURCE</t>
        </is>
      </c>
      <c r="AA74" t="inlineStr">
        <is>
          <t>NEED_SOURCE</t>
        </is>
      </c>
      <c r="AB74" t="inlineStr"/>
      <c r="AC74" t="inlineStr"/>
      <c r="AD74" t="inlineStr"/>
      <c r="AE74" t="inlineStr">
        <is>
          <t>Laser 300 kW (HELIOS, DE M-SHORAD cấp cao)</t>
        </is>
      </c>
      <c r="AF74" t="inlineStr">
        <is>
          <t>Tools/balance/full_weapon_audit.py: REAL / WARHEAD; balance.json weapons[id=focus_laser].real</t>
        </is>
      </c>
      <c r="AG74" t="inlineStr"/>
    </row>
    <row r="75">
      <c r="A75" t="inlineStr">
        <is>
          <t>fpv_hangar</t>
        </is>
      </c>
      <c r="B75" t="inlineStr">
        <is>
          <t>fpv_hangar</t>
        </is>
      </c>
      <c r="C75" t="inlineStr">
        <is>
          <t>FPV drone (1.5 kg)</t>
        </is>
      </c>
      <c r="D75" t="inlineStr">
        <is>
          <t>doi_that</t>
        </is>
      </c>
      <c r="E75" t="inlineStr">
        <is>
          <t>FPV drone (1.5 kg)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ban_dau_doan</t>
        </is>
      </c>
      <c r="P75" t="inlineStr">
        <is>
          <t>R_balance;R_machine_brigade_can_bang</t>
        </is>
      </c>
      <c r="Q75" t="inlineStr"/>
      <c r="R7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5" t="inlineStr">
        <is>
          <t>NEED_SOURCE</t>
        </is>
      </c>
      <c r="T75" t="inlineStr">
        <is>
          <t>NEED_SOURCE</t>
        </is>
      </c>
      <c r="U75" t="inlineStr">
        <is>
          <t>NEED_SOURCE</t>
        </is>
      </c>
      <c r="V75" t="inlineStr">
        <is>
          <t>NEED_SOURCE</t>
        </is>
      </c>
      <c r="W75" t="inlineStr">
        <is>
          <t>NEED_SOURCE</t>
        </is>
      </c>
      <c r="X75" t="inlineStr">
        <is>
          <t>NEED_SOURCE</t>
        </is>
      </c>
      <c r="Y75" t="inlineStr">
        <is>
          <t>NEED_SOURCE</t>
        </is>
      </c>
      <c r="Z75" t="inlineStr">
        <is>
          <t>NEED_SOURCE</t>
        </is>
      </c>
      <c r="AA75" t="inlineStr">
        <is>
          <t>NEED_SOURCE</t>
        </is>
      </c>
      <c r="AB75" t="inlineStr"/>
      <c r="AC75" t="inlineStr"/>
      <c r="AD75" t="inlineStr"/>
      <c r="AE75" t="inlineStr">
        <is>
          <t>FPV</t>
        </is>
      </c>
      <c r="AF75" t="inlineStr">
        <is>
          <t>Tools/balance/full_weapon_audit.py: REAL / WARHEAD; balance.json weapons[id=fpv_hangar].real</t>
        </is>
      </c>
      <c r="AG75" t="inlineStr"/>
    </row>
    <row r="76">
      <c r="A76" t="inlineStr">
        <is>
          <t>fpv_hangar_swarm</t>
        </is>
      </c>
      <c r="B76" t="inlineStr">
        <is>
          <t>fpv_hangar_swarm</t>
        </is>
      </c>
      <c r="C76" t="inlineStr">
        <is>
          <t>FPV drone (1.5 kg)</t>
        </is>
      </c>
      <c r="D76" t="inlineStr">
        <is>
          <t>doi_that</t>
        </is>
      </c>
      <c r="E76" t="inlineStr">
        <is>
          <t>FPV drone (1.5 kg)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ban_dau_doan</t>
        </is>
      </c>
      <c r="P76" t="inlineStr">
        <is>
          <t>R_balance;R_machine_brigade_can_bang</t>
        </is>
      </c>
      <c r="Q76" t="inlineStr"/>
      <c r="R7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6" t="inlineStr">
        <is>
          <t>NEED_SOURCE</t>
        </is>
      </c>
      <c r="T76" t="inlineStr">
        <is>
          <t>NEED_SOURCE</t>
        </is>
      </c>
      <c r="U76" t="inlineStr">
        <is>
          <t>NEED_SOURCE</t>
        </is>
      </c>
      <c r="V76" t="inlineStr">
        <is>
          <t>NEED_SOURCE</t>
        </is>
      </c>
      <c r="W76" t="inlineStr">
        <is>
          <t>NEED_SOURCE</t>
        </is>
      </c>
      <c r="X76" t="inlineStr">
        <is>
          <t>NEED_SOURCE</t>
        </is>
      </c>
      <c r="Y76" t="inlineStr">
        <is>
          <t>NEED_SOURCE</t>
        </is>
      </c>
      <c r="Z76" t="inlineStr">
        <is>
          <t>NEED_SOURCE</t>
        </is>
      </c>
      <c r="AA76" t="inlineStr">
        <is>
          <t>NEED_SOURCE</t>
        </is>
      </c>
      <c r="AB76" t="inlineStr"/>
      <c r="AC76" t="inlineStr"/>
      <c r="AD76" t="inlineStr"/>
      <c r="AE76" t="inlineStr">
        <is>
          <t>FPV</t>
        </is>
      </c>
      <c r="AF76" t="inlineStr">
        <is>
          <t>Tools/balance/full_weapon_audit.py: REAL / WARHEAD; balance.json weapons[id=fpv_hangar_swarm].real</t>
        </is>
      </c>
      <c r="AG76" t="inlineStr"/>
    </row>
    <row r="77">
      <c r="A77" t="inlineStr">
        <is>
          <t>fpv_swarm</t>
        </is>
      </c>
      <c r="B77" t="inlineStr">
        <is>
          <t>fpv_swarm</t>
        </is>
      </c>
      <c r="C77" t="inlineStr">
        <is>
          <t>FPV drone (1.5 kg)</t>
        </is>
      </c>
      <c r="D77" t="inlineStr">
        <is>
          <t>doi_that</t>
        </is>
      </c>
      <c r="E77" t="inlineStr">
        <is>
          <t>FPV drone (1.5 kg)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ban_dau_doan</t>
        </is>
      </c>
      <c r="P77" t="inlineStr">
        <is>
          <t>R_balance;R_machine_brigade_can_bang</t>
        </is>
      </c>
      <c r="Q77" t="inlineStr"/>
      <c r="R7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7" t="inlineStr">
        <is>
          <t>NEED_SOURCE</t>
        </is>
      </c>
      <c r="T77" t="inlineStr">
        <is>
          <t>NEED_SOURCE</t>
        </is>
      </c>
      <c r="U77" t="inlineStr">
        <is>
          <t>NEED_SOURCE</t>
        </is>
      </c>
      <c r="V77" t="inlineStr">
        <is>
          <t>NEED_SOURCE</t>
        </is>
      </c>
      <c r="W77" t="inlineStr">
        <is>
          <t>NEED_SOURCE</t>
        </is>
      </c>
      <c r="X77" t="inlineStr">
        <is>
          <t>NEED_SOURCE</t>
        </is>
      </c>
      <c r="Y77" t="inlineStr">
        <is>
          <t>NEED_SOURCE</t>
        </is>
      </c>
      <c r="Z77" t="inlineStr">
        <is>
          <t>NEED_SOURCE</t>
        </is>
      </c>
      <c r="AA77" t="inlineStr">
        <is>
          <t>NEED_SOURCE</t>
        </is>
      </c>
      <c r="AB77" t="inlineStr"/>
      <c r="AC77" t="inlineStr"/>
      <c r="AD77" t="inlineStr"/>
      <c r="AE77" t="inlineStr">
        <is>
          <t>FPV: 1–2 kg đầu nổ; tầm 5–10 km</t>
        </is>
      </c>
      <c r="AF77" t="inlineStr">
        <is>
          <t>Tools/balance/full_weapon_audit.py: REAL / WARHEAD; balance.json weapons[id=fpv_swarm].real</t>
        </is>
      </c>
      <c r="AG77" t="inlineStr"/>
    </row>
    <row r="78">
      <c r="A78" t="inlineStr">
        <is>
          <t>gau_gatling</t>
        </is>
      </c>
      <c r="B78" t="inlineStr">
        <is>
          <t>gau_gatling</t>
        </is>
      </c>
      <c r="C78" t="inlineStr">
        <is>
          <t>GAU-8 Avenger 30 mm</t>
        </is>
      </c>
      <c r="D78" t="inlineStr">
        <is>
          <t>doi_that</t>
        </is>
      </c>
      <c r="E78" t="inlineStr">
        <is>
          <t>GAU-8 Avenger 30 mm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da_kiem_chung</t>
        </is>
      </c>
      <c r="P78" t="inlineStr">
        <is>
          <t>R_balance;R_full_weapon_audit;W_wikipedia_gau_8_avenger</t>
        </is>
      </c>
      <c r="Q78" t="inlineStr"/>
      <c r="R7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8" t="n">
        <v>30</v>
      </c>
      <c r="T78" t="inlineStr">
        <is>
          <t>NEED_SOURCE</t>
        </is>
      </c>
      <c r="U78" t="inlineStr">
        <is>
          <t>NEED_SOURCE</t>
        </is>
      </c>
      <c r="V78" t="inlineStr">
        <is>
          <t>NEED_SOURCE</t>
        </is>
      </c>
      <c r="W78" t="inlineStr">
        <is>
          <t>NEED_SOURCE</t>
        </is>
      </c>
      <c r="X78" t="n">
        <v>3900</v>
      </c>
      <c r="Y78" t="inlineStr">
        <is>
          <t>NEED_SOURCE</t>
        </is>
      </c>
      <c r="Z78" t="inlineStr">
        <is>
          <t>NEED_SOURCE</t>
        </is>
      </c>
      <c r="AA78" t="inlineStr">
        <is>
          <t>NEED_SOURCE</t>
        </is>
      </c>
      <c r="AB78" t="inlineStr"/>
      <c r="AC78" t="inlineStr">
        <is>
          <t>ac</t>
        </is>
      </c>
      <c r="AD78" t="inlineStr">
        <is>
          <t>Wikipedia 'GAU-8 Avenger': 3,900 rpm</t>
        </is>
      </c>
      <c r="AE78" t="inlineStr"/>
      <c r="AF78" t="inlineStr">
        <is>
          <t>Tools/balance/full_weapon_audit.py: REAL / WARHEAD; balance.json weapons[id=gau_gatling].real</t>
        </is>
      </c>
      <c r="AG78" t="inlineStr"/>
    </row>
    <row r="79">
      <c r="A79" t="inlineStr">
        <is>
          <t>grad_cluster</t>
        </is>
      </c>
      <c r="B79" t="inlineStr">
        <is>
          <t>grad_cluster</t>
        </is>
      </c>
      <c r="C79" t="inlineStr">
        <is>
          <t>BM-21 Grad 122 mm (cluster)</t>
        </is>
      </c>
      <c r="D79" t="inlineStr">
        <is>
          <t>doi_that</t>
        </is>
      </c>
      <c r="E79" t="inlineStr">
        <is>
          <t>BM-21 Grad 122 mm (cluster)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da_kiem_chung</t>
        </is>
      </c>
      <c r="P79" t="inlineStr">
        <is>
          <t>R_balance;R_full_weapon_audit;W_wikipedia_bm_21_grad;R_machine_brigade_can_bang</t>
        </is>
      </c>
      <c r="Q79" t="inlineStr"/>
      <c r="R7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9" t="n">
        <v>122</v>
      </c>
      <c r="T79" t="inlineStr">
        <is>
          <t>NEED_SOURCE</t>
        </is>
      </c>
      <c r="U79" t="inlineStr">
        <is>
          <t>NEED_SOURCE</t>
        </is>
      </c>
      <c r="V79" t="inlineStr">
        <is>
          <t>NEED_SOURCE</t>
        </is>
      </c>
      <c r="W79" t="inlineStr">
        <is>
          <t>NEED_SOURCE</t>
        </is>
      </c>
      <c r="X79" t="n">
        <v>120</v>
      </c>
      <c r="Y79" t="inlineStr">
        <is>
          <t>NEED_SOURCE</t>
        </is>
      </c>
      <c r="Z79" t="inlineStr">
        <is>
          <t>NEED_SOURCE</t>
        </is>
      </c>
      <c r="AA79" t="inlineStr">
        <is>
          <t>NEED_SOURCE</t>
        </is>
      </c>
      <c r="AB79" t="inlineStr"/>
      <c r="AC79" t="inlineStr">
        <is>
          <t>rocket</t>
        </is>
      </c>
      <c r="AD79" t="inlineStr">
        <is>
          <t>Wikipedia 'BM-21 Grad': 40 rockets in 20 s</t>
        </is>
      </c>
      <c r="AE79" t="inlineStr">
        <is>
          <t>BM-21</t>
        </is>
      </c>
      <c r="AF79" t="inlineStr">
        <is>
          <t>Tools/balance/full_weapon_audit.py: REAL / WARHEAD; balance.json weapons[id=grad_cluster].real</t>
        </is>
      </c>
      <c r="AG79" t="inlineStr"/>
    </row>
    <row r="80">
      <c r="A80" t="inlineStr">
        <is>
          <t>grad_rockets</t>
        </is>
      </c>
      <c r="B80" t="inlineStr">
        <is>
          <t>grad_rockets</t>
        </is>
      </c>
      <c r="C80" t="inlineStr">
        <is>
          <t>BM-21 Grad 122 mm</t>
        </is>
      </c>
      <c r="D80" t="inlineStr">
        <is>
          <t>doi_that</t>
        </is>
      </c>
      <c r="E80" t="inlineStr">
        <is>
          <t>BM-21 Grad 122 mm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da_kiem_chung</t>
        </is>
      </c>
      <c r="P80" t="inlineStr">
        <is>
          <t>R_balance;R_full_weapon_audit;W_wikipedia_bm_21_grad</t>
        </is>
      </c>
      <c r="Q80" t="inlineStr"/>
      <c r="R8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0" t="n">
        <v>122</v>
      </c>
      <c r="T80" t="inlineStr">
        <is>
          <t>NEED_SOURCE</t>
        </is>
      </c>
      <c r="U80" t="inlineStr">
        <is>
          <t>NEED_SOURCE</t>
        </is>
      </c>
      <c r="V80" t="inlineStr">
        <is>
          <t>NEED_SOURCE</t>
        </is>
      </c>
      <c r="W80" t="inlineStr">
        <is>
          <t>NEED_SOURCE</t>
        </is>
      </c>
      <c r="X80" t="n">
        <v>120</v>
      </c>
      <c r="Y80" t="inlineStr">
        <is>
          <t>NEED_SOURCE</t>
        </is>
      </c>
      <c r="Z80" t="inlineStr">
        <is>
          <t>NEED_SOURCE</t>
        </is>
      </c>
      <c r="AA80" t="inlineStr">
        <is>
          <t>NEED_SOURCE</t>
        </is>
      </c>
      <c r="AB80" t="inlineStr"/>
      <c r="AC80" t="inlineStr">
        <is>
          <t>rocket</t>
        </is>
      </c>
      <c r="AD80" t="inlineStr">
        <is>
          <t>Wikipedia 'BM-21 Grad': 40 rockets in 20 s</t>
        </is>
      </c>
      <c r="AE80" t="inlineStr"/>
      <c r="AF80" t="inlineStr">
        <is>
          <t>Tools/balance/full_weapon_audit.py: REAL / WARHEAD; balance.json weapons[id=grad_rockets].real</t>
        </is>
      </c>
      <c r="AG80" t="inlineStr"/>
    </row>
    <row r="81">
      <c r="A81" t="inlineStr">
        <is>
          <t>gsh_23v</t>
        </is>
      </c>
      <c r="B81" t="inlineStr">
        <is>
          <t>gsh_23v</t>
        </is>
      </c>
      <c r="C81" t="inlineStr">
        <is>
          <t>GSh-23V 23 mm</t>
        </is>
      </c>
      <c r="D81" t="inlineStr">
        <is>
          <t>doi_that</t>
        </is>
      </c>
      <c r="E81" t="inlineStr">
        <is>
          <t>GSh-23V 23 mm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da_kiem_chung</t>
        </is>
      </c>
      <c r="P81" t="inlineStr">
        <is>
          <t>R_balance;R_full_weapon_audit;W_wikipedia_gryazev_shipunov_gsh_23</t>
        </is>
      </c>
      <c r="Q81" t="inlineStr"/>
      <c r="R8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1" t="n">
        <v>23</v>
      </c>
      <c r="T81" t="inlineStr">
        <is>
          <t>NEED_SOURCE</t>
        </is>
      </c>
      <c r="U81" t="inlineStr">
        <is>
          <t>NEED_SOURCE</t>
        </is>
      </c>
      <c r="V81" t="inlineStr">
        <is>
          <t>NEED_SOURCE</t>
        </is>
      </c>
      <c r="W81" t="inlineStr">
        <is>
          <t>NEED_SOURCE</t>
        </is>
      </c>
      <c r="X81" t="n">
        <v>3400</v>
      </c>
      <c r="Y81" t="inlineStr">
        <is>
          <t>NEED_SOURCE</t>
        </is>
      </c>
      <c r="Z81" t="inlineStr">
        <is>
          <t>NEED_SOURCE</t>
        </is>
      </c>
      <c r="AA81" t="inlineStr">
        <is>
          <t>NEED_SOURCE</t>
        </is>
      </c>
      <c r="AB81" t="inlineStr"/>
      <c r="AC81" t="inlineStr">
        <is>
          <t>ac</t>
        </is>
      </c>
      <c r="AD81" t="inlineStr">
        <is>
          <t>Wikipedia 'Gryazev-Shipunov GSh-23': 3,000-3,400 rpm (GSh-23V)</t>
        </is>
      </c>
      <c r="AE81" t="inlineStr"/>
      <c r="AF81" t="inlineStr">
        <is>
          <t>Tools/balance/full_weapon_audit.py: REAL / WARHEAD; balance.json weapons[id=gsh_23v].real</t>
        </is>
      </c>
      <c r="AG81" t="inlineStr"/>
    </row>
    <row r="82">
      <c r="A82" t="inlineStr">
        <is>
          <t>guided_bomb</t>
        </is>
      </c>
      <c r="B82" t="inlineStr">
        <is>
          <t>guided_bomb</t>
        </is>
      </c>
      <c r="C82" t="inlineStr">
        <is>
          <t>GBU-39 SDB (110 kg)</t>
        </is>
      </c>
      <c r="D82" t="inlineStr">
        <is>
          <t>doi_that</t>
        </is>
      </c>
      <c r="E82" t="inlineStr">
        <is>
          <t>GBU-39 SDB (110 kg)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uoc_dinh</t>
        </is>
      </c>
      <c r="P82" t="inlineStr">
        <is>
          <t>R_balance;R_full_weapon_audit;R_machine_brigade_can_bang</t>
        </is>
      </c>
      <c r="Q82" t="inlineStr"/>
      <c r="R8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2" t="inlineStr">
        <is>
          <t>NEED_SOURCE</t>
        </is>
      </c>
      <c r="T82" t="inlineStr">
        <is>
          <t>NEED_SOURCE</t>
        </is>
      </c>
      <c r="U82" t="inlineStr">
        <is>
          <t>NEED_SOURCE</t>
        </is>
      </c>
      <c r="V82" t="inlineStr">
        <is>
          <t>NEED_SOURCE</t>
        </is>
      </c>
      <c r="W82" t="inlineStr">
        <is>
          <t>NEED_SOURCE</t>
        </is>
      </c>
      <c r="X82" t="n">
        <v>600</v>
      </c>
      <c r="Y82" t="inlineStr">
        <is>
          <t>NEED_SOURCE</t>
        </is>
      </c>
      <c r="Z82" t="inlineStr">
        <is>
          <t>NEED_SOURCE</t>
        </is>
      </c>
      <c r="AA82" t="inlineStr">
        <is>
          <t>NEED_SOURCE</t>
        </is>
      </c>
      <c r="AB82" t="inlineStr"/>
      <c r="AC82" t="inlineStr">
        <is>
          <t>bomb</t>
        </is>
      </c>
      <c r="AD82" t="inlineStr">
        <is>
          <t>a stick's release, 0.1 s and up (est.)</t>
        </is>
      </c>
      <c r="AE82" t="inlineStr">
        <is>
          <t>GBU-39 SDB: chỉ ~17 kg thuốc nổ (bom nhỏ, sát thương gọn)</t>
        </is>
      </c>
      <c r="AF82" t="inlineStr">
        <is>
          <t>Tools/balance/full_weapon_audit.py: REAL / WARHEAD; balance.json weapons[id=guided_bomb].real</t>
        </is>
      </c>
      <c r="AG82" t="inlineStr"/>
    </row>
    <row r="83">
      <c r="A83" t="inlineStr">
        <is>
          <t>gun_57_air</t>
        </is>
      </c>
      <c r="B83" t="inlineStr">
        <is>
          <t>gun_57_air</t>
        </is>
      </c>
      <c r="C83" t="inlineStr">
        <is>
          <t>AU-220 57 mm (air burst)</t>
        </is>
      </c>
      <c r="D83" t="inlineStr">
        <is>
          <t>doi_that</t>
        </is>
      </c>
      <c r="E83" t="inlineStr">
        <is>
          <t>AU-220 57 mm (air burst)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da_kiem_chung</t>
        </is>
      </c>
      <c r="P83" t="inlineStr">
        <is>
          <t>R_balance;R_full_weapon_audit;W_wikipedia_au_220m</t>
        </is>
      </c>
      <c r="Q83" t="inlineStr"/>
      <c r="R8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3" t="n">
        <v>57</v>
      </c>
      <c r="T83" t="inlineStr">
        <is>
          <t>NEED_SOURCE</t>
        </is>
      </c>
      <c r="U83" t="inlineStr">
        <is>
          <t>NEED_SOURCE</t>
        </is>
      </c>
      <c r="V83" t="inlineStr">
        <is>
          <t>NEED_SOURCE</t>
        </is>
      </c>
      <c r="W83" t="inlineStr">
        <is>
          <t>NEED_SOURCE</t>
        </is>
      </c>
      <c r="X83" t="n">
        <v>120</v>
      </c>
      <c r="Y83" t="n">
        <v>80</v>
      </c>
      <c r="Z83" t="inlineStr">
        <is>
          <t>NEED_SOURCE</t>
        </is>
      </c>
      <c r="AA83" t="inlineStr">
        <is>
          <t>NEED_SOURCE</t>
        </is>
      </c>
      <c r="AB83" t="inlineStr"/>
      <c r="AC83" t="inlineStr">
        <is>
          <t>ac</t>
        </is>
      </c>
      <c r="AD83" t="inlineStr">
        <is>
          <t>Wikipedia 'AU-220M': 80-120 rpm</t>
        </is>
      </c>
      <c r="AE83" t="inlineStr"/>
      <c r="AF83" t="inlineStr">
        <is>
          <t>Tools/balance/full_weapon_audit.py: REAL / WARHEAD; balance.json weapons[id=gun_57_air].real</t>
        </is>
      </c>
      <c r="AG83" t="inlineStr"/>
    </row>
    <row r="84">
      <c r="A84" t="inlineStr">
        <is>
          <t>gun_57_auto</t>
        </is>
      </c>
      <c r="B84" t="inlineStr">
        <is>
          <t>gun_57_auto</t>
        </is>
      </c>
      <c r="C84" t="inlineStr">
        <is>
          <t>AU-220 57 mm (tower, twin)</t>
        </is>
      </c>
      <c r="D84" t="inlineStr">
        <is>
          <t>doi_that</t>
        </is>
      </c>
      <c r="E84" t="inlineStr">
        <is>
          <t>AU-220 57 mm (tower, twin)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da_kiem_chung</t>
        </is>
      </c>
      <c r="P84" t="inlineStr">
        <is>
          <t>R_balance;R_full_weapon_audit;W_wikipedia_au_220m;R_machine_brigade_can_bang</t>
        </is>
      </c>
      <c r="Q84" t="inlineStr"/>
      <c r="R8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4" t="n">
        <v>57</v>
      </c>
      <c r="T84" t="inlineStr">
        <is>
          <t>NEED_SOURCE</t>
        </is>
      </c>
      <c r="U84" t="inlineStr">
        <is>
          <t>NEED_SOURCE</t>
        </is>
      </c>
      <c r="V84" t="inlineStr">
        <is>
          <t>NEED_SOURCE</t>
        </is>
      </c>
      <c r="W84" t="inlineStr">
        <is>
          <t>NEED_SOURCE</t>
        </is>
      </c>
      <c r="X84" t="n">
        <v>120</v>
      </c>
      <c r="Y84" t="n">
        <v>80</v>
      </c>
      <c r="Z84" t="inlineStr">
        <is>
          <t>NEED_SOURCE</t>
        </is>
      </c>
      <c r="AA84" t="inlineStr">
        <is>
          <t>NEED_SOURCE</t>
        </is>
      </c>
      <c r="AB84" t="inlineStr"/>
      <c r="AC84" t="inlineStr">
        <is>
          <t>ac</t>
        </is>
      </c>
      <c r="AD84" t="inlineStr">
        <is>
          <t>Wikipedia 'AU-220M': 80-120 rpm</t>
        </is>
      </c>
      <c r="AE84" t="inlineStr">
        <is>
          <t>AU-220M 57 mm: 120 phát/phút</t>
        </is>
      </c>
      <c r="AF84" t="inlineStr">
        <is>
          <t>Tools/balance/full_weapon_audit.py: REAL / WARHEAD; balance.json weapons[id=gun_57_auto].real</t>
        </is>
      </c>
      <c r="AG84" t="inlineStr"/>
    </row>
    <row r="85">
      <c r="A85" t="inlineStr">
        <is>
          <t>gun_57mm</t>
        </is>
      </c>
      <c r="B85" t="inlineStr">
        <is>
          <t>gun_57mm</t>
        </is>
      </c>
      <c r="C85" t="inlineStr">
        <is>
          <t>S-60 57 mm (2A91)</t>
        </is>
      </c>
      <c r="D85" t="inlineStr">
        <is>
          <t>doi_that</t>
        </is>
      </c>
      <c r="E85" t="inlineStr">
        <is>
          <t>S-60 57 mm (2A91)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da_kiem_chung</t>
        </is>
      </c>
      <c r="P85" t="inlineStr">
        <is>
          <t>R_balance;R_full_weapon_audit;W_wikipedia_au_220m;R_machine_brigade_can_bang</t>
        </is>
      </c>
      <c r="Q85" t="inlineStr"/>
      <c r="R8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5" t="n">
        <v>57</v>
      </c>
      <c r="T85" t="inlineStr">
        <is>
          <t>NEED_SOURCE</t>
        </is>
      </c>
      <c r="U85" t="inlineStr">
        <is>
          <t>NEED_SOURCE</t>
        </is>
      </c>
      <c r="V85" t="inlineStr">
        <is>
          <t>NEED_SOURCE</t>
        </is>
      </c>
      <c r="W85" t="inlineStr">
        <is>
          <t>NEED_SOURCE</t>
        </is>
      </c>
      <c r="X85" t="n">
        <v>120</v>
      </c>
      <c r="Y85" t="n">
        <v>80</v>
      </c>
      <c r="Z85" t="inlineStr">
        <is>
          <t>NEED_SOURCE</t>
        </is>
      </c>
      <c r="AA85" t="inlineStr">
        <is>
          <t>NEED_SOURCE</t>
        </is>
      </c>
      <c r="AB85" t="inlineStr"/>
      <c r="AC85" t="inlineStr">
        <is>
          <t>ac</t>
        </is>
      </c>
      <c r="AD85" t="inlineStr">
        <is>
          <t>Wikipedia 'AU-220M': 80-120 rpm</t>
        </is>
      </c>
      <c r="AE85" t="inlineStr">
        <is>
          <t>S-60/2A91 57 mm: tự động 120 phát/phút</t>
        </is>
      </c>
      <c r="AF85" t="inlineStr">
        <is>
          <t>Tools/balance/full_weapon_audit.py: REAL / WARHEAD; balance.json weapons[id=gun_57mm].real</t>
        </is>
      </c>
      <c r="AG85" t="inlineStr"/>
    </row>
    <row r="86">
      <c r="A86" t="inlineStr">
        <is>
          <t>gun_57mm_he</t>
        </is>
      </c>
      <c r="B86" t="inlineStr">
        <is>
          <t>gun_57mm_he</t>
        </is>
      </c>
      <c r="C86" t="inlineStr">
        <is>
          <t>S-60 57 mm HE (2A91)</t>
        </is>
      </c>
      <c r="D86" t="inlineStr">
        <is>
          <t>doi_that</t>
        </is>
      </c>
      <c r="E86" t="inlineStr">
        <is>
          <t>S-60 57 mm HE (2A91)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da_kiem_chung</t>
        </is>
      </c>
      <c r="P86" t="inlineStr">
        <is>
          <t>R_balance;R_full_weapon_audit;W_wikipedia_au_220m</t>
        </is>
      </c>
      <c r="Q86" t="inlineStr"/>
      <c r="R8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6" t="n">
        <v>57</v>
      </c>
      <c r="T86" t="inlineStr">
        <is>
          <t>NEED_SOURCE</t>
        </is>
      </c>
      <c r="U86" t="inlineStr">
        <is>
          <t>NEED_SOURCE</t>
        </is>
      </c>
      <c r="V86" t="inlineStr">
        <is>
          <t>NEED_SOURCE</t>
        </is>
      </c>
      <c r="W86" t="inlineStr">
        <is>
          <t>NEED_SOURCE</t>
        </is>
      </c>
      <c r="X86" t="n">
        <v>120</v>
      </c>
      <c r="Y86" t="n">
        <v>80</v>
      </c>
      <c r="Z86" t="inlineStr">
        <is>
          <t>NEED_SOURCE</t>
        </is>
      </c>
      <c r="AA86" t="inlineStr">
        <is>
          <t>NEED_SOURCE</t>
        </is>
      </c>
      <c r="AB86" t="inlineStr"/>
      <c r="AC86" t="inlineStr">
        <is>
          <t>ac</t>
        </is>
      </c>
      <c r="AD86" t="inlineStr">
        <is>
          <t>Wikipedia 'AU-220M': 80-120 rpm</t>
        </is>
      </c>
      <c r="AE86" t="inlineStr"/>
      <c r="AF86" t="inlineStr">
        <is>
          <t>Tools/balance/full_weapon_audit.py: REAL / WARHEAD; balance.json weapons[id=gun_57mm_he].real</t>
        </is>
      </c>
      <c r="AG86" t="inlineStr"/>
    </row>
    <row r="87">
      <c r="A87" t="inlineStr">
        <is>
          <t>gun_100_river</t>
        </is>
      </c>
      <c r="B87" t="inlineStr">
        <is>
          <t>gun_100_river</t>
        </is>
      </c>
      <c r="C87" t="inlineStr">
        <is>
          <t>A-190 100 mm (Buyan-class river gunboat)</t>
        </is>
      </c>
      <c r="D87" t="inlineStr">
        <is>
          <t>doi_that</t>
        </is>
      </c>
      <c r="E87" t="inlineStr">
        <is>
          <t>A-190 100 mm (Buyan-class river gunboat)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nhịp chậm hơn 30 % và mạnh hơn tương ứng (luật súng của game)</t>
        </is>
      </c>
      <c r="M87" t="inlineStr">
        <is>
          <t>gameplay</t>
        </is>
      </c>
      <c r="N87" t="inlineStr"/>
      <c r="O87" t="inlineStr">
        <is>
          <t>da_kiem_chung</t>
        </is>
      </c>
      <c r="P87" t="inlineStr">
        <is>
          <t>R_balance;R_full_weapon_audit;W_wikipedia_a_190</t>
        </is>
      </c>
      <c r="Q87" t="inlineStr"/>
      <c r="R8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7" t="n">
        <v>100</v>
      </c>
      <c r="T87" t="inlineStr">
        <is>
          <t>NEED_SOURCE</t>
        </is>
      </c>
      <c r="U87" t="inlineStr">
        <is>
          <t>NEED_SOURCE</t>
        </is>
      </c>
      <c r="V87" t="inlineStr">
        <is>
          <t>NEED_SOURCE</t>
        </is>
      </c>
      <c r="W87" t="inlineStr">
        <is>
          <t>NEED_SOURCE</t>
        </is>
      </c>
      <c r="X87" t="n">
        <v>80</v>
      </c>
      <c r="Y87" t="n">
        <v>40</v>
      </c>
      <c r="Z87" t="inlineStr">
        <is>
          <t>NEED_SOURCE</t>
        </is>
      </c>
      <c r="AA87" t="inlineStr">
        <is>
          <t>NEED_SOURCE</t>
        </is>
      </c>
      <c r="AB87" t="inlineStr"/>
      <c r="AC87" t="inlineStr">
        <is>
          <t>gun</t>
        </is>
      </c>
      <c r="AD87" t="inlineStr">
        <is>
          <t>Wikipedia 'A-190': 80 rpm</t>
        </is>
      </c>
      <c r="AE87" t="inlineStr"/>
      <c r="AF87" t="inlineStr">
        <is>
          <t>Tools/balance/full_weapon_audit.py: REAL / WARHEAD; balance.json weapons[id=gun_100_river].real</t>
        </is>
      </c>
      <c r="AG87" t="inlineStr"/>
    </row>
    <row r="88">
      <c r="A88" t="inlineStr">
        <is>
          <t>gun_105_apfsds</t>
        </is>
      </c>
      <c r="B88" t="inlineStr">
        <is>
          <t>gun_105_apfsds</t>
        </is>
      </c>
      <c r="C88" t="inlineStr">
        <is>
          <t>2A75 125 mm APFSDS</t>
        </is>
      </c>
      <c r="D88" t="inlineStr">
        <is>
          <t>doi_that</t>
        </is>
      </c>
      <c r="E88" t="inlineStr">
        <is>
          <t>2A75 125 mm APFSDS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nhịp chậm hơn 30 % và mạnh hơn tương ứng (luật súng của game)</t>
        </is>
      </c>
      <c r="M88" t="inlineStr">
        <is>
          <t>gameplay</t>
        </is>
      </c>
      <c r="N88" t="inlineStr"/>
      <c r="O88" t="inlineStr">
        <is>
          <t>da_kiem_chung</t>
        </is>
      </c>
      <c r="P88" t="inlineStr">
        <is>
          <t>R_balance;R_full_weapon_audit;W_wikipedia_2s25_sprut_sd;R_machine_brigade_can_bang</t>
        </is>
      </c>
      <c r="Q88" t="inlineStr"/>
      <c r="R8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8" t="n">
        <v>125</v>
      </c>
      <c r="T88" t="inlineStr">
        <is>
          <t>NEED_SOURCE</t>
        </is>
      </c>
      <c r="U88" t="inlineStr">
        <is>
          <t>NEED_SOURCE</t>
        </is>
      </c>
      <c r="V88" t="inlineStr">
        <is>
          <t>NEED_SOURCE</t>
        </is>
      </c>
      <c r="W88" t="inlineStr">
        <is>
          <t>NEED_SOURCE</t>
        </is>
      </c>
      <c r="X88" t="n">
        <v>7</v>
      </c>
      <c r="Y88" t="n">
        <v>7</v>
      </c>
      <c r="Z88" t="inlineStr">
        <is>
          <t>NEED_SOURCE</t>
        </is>
      </c>
      <c r="AA88" t="inlineStr">
        <is>
          <t>NEED_SOURCE</t>
        </is>
      </c>
      <c r="AB88" t="inlineStr"/>
      <c r="AC88" t="inlineStr">
        <is>
          <t>gun</t>
        </is>
      </c>
      <c r="AD88" t="inlineStr">
        <is>
          <t>Wikipedia '2S25 Sprut-SD': ~7 rpm</t>
        </is>
      </c>
      <c r="AE88" t="inlineStr">
        <is>
          <t>2A75: ~7 phát/phút</t>
        </is>
      </c>
      <c r="AF88" t="inlineStr">
        <is>
          <t>Tools/balance/full_weapon_audit.py: REAL / WARHEAD; balance.json weapons[id=gun_105_apfsds].real</t>
        </is>
      </c>
      <c r="AG88" t="inlineStr"/>
    </row>
    <row r="89">
      <c r="A89" t="inlineStr">
        <is>
          <t>gun_105_apfsds_he</t>
        </is>
      </c>
      <c r="B89" t="inlineStr">
        <is>
          <t>gun_105_apfsds_he</t>
        </is>
      </c>
      <c r="C89" t="inlineStr">
        <is>
          <t>2A75 125 mm HE</t>
        </is>
      </c>
      <c r="D89" t="inlineStr">
        <is>
          <t>doi_that</t>
        </is>
      </c>
      <c r="E89" t="inlineStr">
        <is>
          <t>2A75 125 mm HE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nhịp chậm hơn 30 % và mạnh hơn tương ứng (luật súng của game)</t>
        </is>
      </c>
      <c r="M89" t="inlineStr">
        <is>
          <t>gameplay</t>
        </is>
      </c>
      <c r="N89" t="inlineStr"/>
      <c r="O89" t="inlineStr">
        <is>
          <t>da_kiem_chung</t>
        </is>
      </c>
      <c r="P89" t="inlineStr">
        <is>
          <t>R_balance;R_full_weapon_audit;W_wikipedia_2s25_sprut_sd</t>
        </is>
      </c>
      <c r="Q89" t="inlineStr"/>
      <c r="R8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9" t="n">
        <v>125</v>
      </c>
      <c r="T89" t="inlineStr">
        <is>
          <t>NEED_SOURCE</t>
        </is>
      </c>
      <c r="U89" t="inlineStr">
        <is>
          <t>NEED_SOURCE</t>
        </is>
      </c>
      <c r="V89" t="inlineStr">
        <is>
          <t>NEED_SOURCE</t>
        </is>
      </c>
      <c r="W89" t="inlineStr">
        <is>
          <t>NEED_SOURCE</t>
        </is>
      </c>
      <c r="X89" t="n">
        <v>7</v>
      </c>
      <c r="Y89" t="n">
        <v>7</v>
      </c>
      <c r="Z89" t="inlineStr">
        <is>
          <t>NEED_SOURCE</t>
        </is>
      </c>
      <c r="AA89" t="inlineStr">
        <is>
          <t>NEED_SOURCE</t>
        </is>
      </c>
      <c r="AB89" t="inlineStr"/>
      <c r="AC89" t="inlineStr">
        <is>
          <t>gun</t>
        </is>
      </c>
      <c r="AD89" t="inlineStr">
        <is>
          <t>Wikipedia '2S25 Sprut-SD': ~7 rpm</t>
        </is>
      </c>
      <c r="AE89" t="inlineStr"/>
      <c r="AF89" t="inlineStr">
        <is>
          <t>Tools/balance/full_weapon_audit.py: REAL / WARHEAD; balance.json weapons[id=gun_105_apfsds_he].real</t>
        </is>
      </c>
      <c r="AG89" t="inlineStr"/>
    </row>
    <row r="90">
      <c r="A90" t="inlineStr">
        <is>
          <t>gun_105_bunker</t>
        </is>
      </c>
      <c r="B90" t="inlineStr">
        <is>
          <t>gun_105_bunker</t>
        </is>
      </c>
      <c r="C90" t="inlineStr">
        <is>
          <t>L7 105 mm</t>
        </is>
      </c>
      <c r="D90" t="inlineStr">
        <is>
          <t>doi_that</t>
        </is>
      </c>
      <c r="E90" t="inlineStr">
        <is>
          <t>L7 105 mm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nhịp chậm hơn 30 % và mạnh hơn tương ứng (luật súng của game)</t>
        </is>
      </c>
      <c r="M90" t="inlineStr">
        <is>
          <t>gameplay</t>
        </is>
      </c>
      <c r="N90" t="inlineStr"/>
      <c r="O90" t="inlineStr">
        <is>
          <t>da_kiem_chung</t>
        </is>
      </c>
      <c r="P90" t="inlineStr">
        <is>
          <t>R_balance;R_full_weapon_audit;W_wikipedia_royal_ordnance_l7;R_machine_brigade_can_bang</t>
        </is>
      </c>
      <c r="Q90" t="inlineStr"/>
      <c r="R9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0" t="n">
        <v>105</v>
      </c>
      <c r="T90" t="inlineStr">
        <is>
          <t>NEED_SOURCE</t>
        </is>
      </c>
      <c r="U90" t="inlineStr">
        <is>
          <t>NEED_SOURCE</t>
        </is>
      </c>
      <c r="V90" t="inlineStr">
        <is>
          <t>NEED_SOURCE</t>
        </is>
      </c>
      <c r="W90" t="inlineStr">
        <is>
          <t>NEED_SOURCE</t>
        </is>
      </c>
      <c r="X90" t="n">
        <v>10</v>
      </c>
      <c r="Y90" t="n">
        <v>6</v>
      </c>
      <c r="Z90" t="inlineStr">
        <is>
          <t>NEED_SOURCE</t>
        </is>
      </c>
      <c r="AA90" t="inlineStr">
        <is>
          <t>NEED_SOURCE</t>
        </is>
      </c>
      <c r="AB90" t="inlineStr"/>
      <c r="AC90" t="inlineStr">
        <is>
          <t>gun</t>
        </is>
      </c>
      <c r="AD90" t="inlineStr">
        <is>
          <t>Wikipedia 'Royal Ordnance L7': 6-10 rpm</t>
        </is>
      </c>
      <c r="AE90" t="inlineStr">
        <is>
          <t>L7 105 mm: 6–10 phát/phút</t>
        </is>
      </c>
      <c r="AF90" t="inlineStr">
        <is>
          <t>Tools/balance/full_weapon_audit.py: REAL / WARHEAD; balance.json weapons[id=gun_105_bunker].real</t>
        </is>
      </c>
      <c r="AG90" t="inlineStr"/>
    </row>
    <row r="91">
      <c r="A91" t="inlineStr">
        <is>
          <t>gun_105_bunker_he</t>
        </is>
      </c>
      <c r="B91" t="inlineStr">
        <is>
          <t>gun_105_bunker_he</t>
        </is>
      </c>
      <c r="C91" t="inlineStr">
        <is>
          <t>L7 105 mm HE</t>
        </is>
      </c>
      <c r="D91" t="inlineStr">
        <is>
          <t>doi_that</t>
        </is>
      </c>
      <c r="E91" t="inlineStr">
        <is>
          <t>L7 105 mm HE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nhịp chậm hơn 30 % và mạnh hơn tương ứng (luật súng của game)</t>
        </is>
      </c>
      <c r="M91" t="inlineStr">
        <is>
          <t>gameplay</t>
        </is>
      </c>
      <c r="N91" t="inlineStr"/>
      <c r="O91" t="inlineStr">
        <is>
          <t>da_kiem_chung</t>
        </is>
      </c>
      <c r="P91" t="inlineStr">
        <is>
          <t>R_balance;R_full_weapon_audit;W_wikipedia_royal_ordnance_l7</t>
        </is>
      </c>
      <c r="Q91" t="inlineStr"/>
      <c r="R9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1" t="n">
        <v>105</v>
      </c>
      <c r="T91" t="inlineStr">
        <is>
          <t>NEED_SOURCE</t>
        </is>
      </c>
      <c r="U91" t="inlineStr">
        <is>
          <t>NEED_SOURCE</t>
        </is>
      </c>
      <c r="V91" t="inlineStr">
        <is>
          <t>NEED_SOURCE</t>
        </is>
      </c>
      <c r="W91" t="inlineStr">
        <is>
          <t>NEED_SOURCE</t>
        </is>
      </c>
      <c r="X91" t="n">
        <v>10</v>
      </c>
      <c r="Y91" t="n">
        <v>6</v>
      </c>
      <c r="Z91" t="inlineStr">
        <is>
          <t>NEED_SOURCE</t>
        </is>
      </c>
      <c r="AA91" t="inlineStr">
        <is>
          <t>NEED_SOURCE</t>
        </is>
      </c>
      <c r="AB91" t="inlineStr"/>
      <c r="AC91" t="inlineStr">
        <is>
          <t>gun</t>
        </is>
      </c>
      <c r="AD91" t="inlineStr">
        <is>
          <t>Wikipedia 'Royal Ordnance L7': 6-10 rpm</t>
        </is>
      </c>
      <c r="AE91" t="inlineStr"/>
      <c r="AF91" t="inlineStr">
        <is>
          <t>Tools/balance/full_weapon_audit.py: REAL / WARHEAD; balance.json weapons[id=gun_105_bunker_he].real</t>
        </is>
      </c>
      <c r="AG91" t="inlineStr"/>
    </row>
    <row r="92">
      <c r="A92" t="inlineStr">
        <is>
          <t>gun_105_long</t>
        </is>
      </c>
      <c r="B92" t="inlineStr">
        <is>
          <t>gun_105_long</t>
        </is>
      </c>
      <c r="C92" t="inlineStr">
        <is>
          <t>2A75 125 mm (2S25 Sprut)</t>
        </is>
      </c>
      <c r="D92" t="inlineStr">
        <is>
          <t>doi_that</t>
        </is>
      </c>
      <c r="E92" t="inlineStr">
        <is>
          <t>2A75 125 mm (2S25 Sprut)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nhịp chậm hơn 30 % và mạnh hơn tương ứng (luật súng của game)</t>
        </is>
      </c>
      <c r="M92" t="inlineStr">
        <is>
          <t>gameplay</t>
        </is>
      </c>
      <c r="N92" t="inlineStr"/>
      <c r="O92" t="inlineStr">
        <is>
          <t>da_kiem_chung</t>
        </is>
      </c>
      <c r="P92" t="inlineStr">
        <is>
          <t>R_balance;R_full_weapon_audit;W_wikipedia_2s25_sprut_sd;R_machine_brigade_can_bang</t>
        </is>
      </c>
      <c r="Q92" t="inlineStr"/>
      <c r="R9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2" t="n">
        <v>125</v>
      </c>
      <c r="T92" t="inlineStr">
        <is>
          <t>NEED_SOURCE</t>
        </is>
      </c>
      <c r="U92" t="inlineStr">
        <is>
          <t>NEED_SOURCE</t>
        </is>
      </c>
      <c r="V92" t="inlineStr">
        <is>
          <t>NEED_SOURCE</t>
        </is>
      </c>
      <c r="W92" t="inlineStr">
        <is>
          <t>NEED_SOURCE</t>
        </is>
      </c>
      <c r="X92" t="n">
        <v>7</v>
      </c>
      <c r="Y92" t="n">
        <v>7</v>
      </c>
      <c r="Z92" t="inlineStr">
        <is>
          <t>NEED_SOURCE</t>
        </is>
      </c>
      <c r="AA92" t="inlineStr">
        <is>
          <t>NEED_SOURCE</t>
        </is>
      </c>
      <c r="AB92" t="inlineStr"/>
      <c r="AC92" t="inlineStr">
        <is>
          <t>gun</t>
        </is>
      </c>
      <c r="AD92" t="inlineStr">
        <is>
          <t>Wikipedia '2S25 Sprut-SD': ~7 rpm</t>
        </is>
      </c>
      <c r="AE92" t="inlineStr">
        <is>
          <t>2A75 (2S25 Sprut) nạp tự động: ~7 phát/phút</t>
        </is>
      </c>
      <c r="AF92" t="inlineStr">
        <is>
          <t>Tools/balance/full_weapon_audit.py: REAL / WARHEAD; balance.json weapons[id=gun_105_long].real</t>
        </is>
      </c>
      <c r="AG92" t="inlineStr"/>
    </row>
    <row r="93">
      <c r="A93" t="inlineStr">
        <is>
          <t>gun_105_long_he</t>
        </is>
      </c>
      <c r="B93" t="inlineStr">
        <is>
          <t>gun_105_long_he</t>
        </is>
      </c>
      <c r="C93" t="inlineStr">
        <is>
          <t>2A75 125 mm HE (2S25 Sprut)</t>
        </is>
      </c>
      <c r="D93" t="inlineStr">
        <is>
          <t>doi_that</t>
        </is>
      </c>
      <c r="E93" t="inlineStr">
        <is>
          <t>2A75 125 mm HE (2S25 Sprut)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nhịp chậm hơn 30 % và mạnh hơn tương ứng (luật súng của game)</t>
        </is>
      </c>
      <c r="M93" t="inlineStr">
        <is>
          <t>gameplay</t>
        </is>
      </c>
      <c r="N93" t="inlineStr"/>
      <c r="O93" t="inlineStr">
        <is>
          <t>da_kiem_chung</t>
        </is>
      </c>
      <c r="P93" t="inlineStr">
        <is>
          <t>R_balance;R_full_weapon_audit;W_wikipedia_2s25_sprut_sd</t>
        </is>
      </c>
      <c r="Q93" t="inlineStr"/>
      <c r="R9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3" t="n">
        <v>125</v>
      </c>
      <c r="T93" t="inlineStr">
        <is>
          <t>NEED_SOURCE</t>
        </is>
      </c>
      <c r="U93" t="inlineStr">
        <is>
          <t>NEED_SOURCE</t>
        </is>
      </c>
      <c r="V93" t="inlineStr">
        <is>
          <t>NEED_SOURCE</t>
        </is>
      </c>
      <c r="W93" t="inlineStr">
        <is>
          <t>NEED_SOURCE</t>
        </is>
      </c>
      <c r="X93" t="n">
        <v>7</v>
      </c>
      <c r="Y93" t="n">
        <v>7</v>
      </c>
      <c r="Z93" t="inlineStr">
        <is>
          <t>NEED_SOURCE</t>
        </is>
      </c>
      <c r="AA93" t="inlineStr">
        <is>
          <t>NEED_SOURCE</t>
        </is>
      </c>
      <c r="AB93" t="inlineStr"/>
      <c r="AC93" t="inlineStr">
        <is>
          <t>gun</t>
        </is>
      </c>
      <c r="AD93" t="inlineStr">
        <is>
          <t>Wikipedia '2S25 Sprut-SD': ~7 rpm</t>
        </is>
      </c>
      <c r="AE93" t="inlineStr"/>
      <c r="AF93" t="inlineStr">
        <is>
          <t>Tools/balance/full_weapon_audit.py: REAL / WARHEAD; balance.json weapons[id=gun_105_long_he].real</t>
        </is>
      </c>
      <c r="AG93" t="inlineStr"/>
    </row>
    <row r="94">
      <c r="A94" t="inlineStr">
        <is>
          <t>gun_105_twin</t>
        </is>
      </c>
      <c r="B94" t="inlineStr">
        <is>
          <t>gun_105_twin</t>
        </is>
      </c>
      <c r="C94" t="inlineStr">
        <is>
          <t>L7 105 mm (twin)</t>
        </is>
      </c>
      <c r="D94" t="inlineStr">
        <is>
          <t>doi_that</t>
        </is>
      </c>
      <c r="E94" t="inlineStr">
        <is>
          <t>L7 105 mm (twin)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nhịp chậm hơn 30 % và mạnh hơn tương ứng (luật súng của game)</t>
        </is>
      </c>
      <c r="M94" t="inlineStr">
        <is>
          <t>gameplay</t>
        </is>
      </c>
      <c r="N94" t="inlineStr"/>
      <c r="O94" t="inlineStr">
        <is>
          <t>da_kiem_chung</t>
        </is>
      </c>
      <c r="P94" t="inlineStr">
        <is>
          <t>R_balance;R_full_weapon_audit;W_wikipedia_royal_ordnance_l7</t>
        </is>
      </c>
      <c r="Q94" t="inlineStr"/>
      <c r="R9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4" t="n">
        <v>105</v>
      </c>
      <c r="T94" t="inlineStr">
        <is>
          <t>NEED_SOURCE</t>
        </is>
      </c>
      <c r="U94" t="inlineStr">
        <is>
          <t>NEED_SOURCE</t>
        </is>
      </c>
      <c r="V94" t="inlineStr">
        <is>
          <t>NEED_SOURCE</t>
        </is>
      </c>
      <c r="W94" t="inlineStr">
        <is>
          <t>NEED_SOURCE</t>
        </is>
      </c>
      <c r="X94" t="n">
        <v>10</v>
      </c>
      <c r="Y94" t="n">
        <v>6</v>
      </c>
      <c r="Z94" t="inlineStr">
        <is>
          <t>NEED_SOURCE</t>
        </is>
      </c>
      <c r="AA94" t="inlineStr">
        <is>
          <t>NEED_SOURCE</t>
        </is>
      </c>
      <c r="AB94" t="inlineStr"/>
      <c r="AC94" t="inlineStr">
        <is>
          <t>gun</t>
        </is>
      </c>
      <c r="AD94" t="inlineStr">
        <is>
          <t>Wikipedia 'Royal Ordnance L7': 6-10 rpm</t>
        </is>
      </c>
      <c r="AE94" t="inlineStr"/>
      <c r="AF94" t="inlineStr">
        <is>
          <t>Tools/balance/full_weapon_audit.py: REAL / WARHEAD; balance.json weapons[id=gun_105_twin].real</t>
        </is>
      </c>
      <c r="AG94" t="inlineStr"/>
    </row>
    <row r="95">
      <c r="A95" t="inlineStr">
        <is>
          <t>gun_105_wheeled</t>
        </is>
      </c>
      <c r="B95" t="inlineStr">
        <is>
          <t>gun_105_wheeled</t>
        </is>
      </c>
      <c r="C95" t="inlineStr">
        <is>
          <t>Centauro II 120 mm</t>
        </is>
      </c>
      <c r="D95" t="inlineStr">
        <is>
          <t>doi_that</t>
        </is>
      </c>
      <c r="E95" t="inlineStr">
        <is>
          <t>Centauro II 120 mm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nhịp chậm hơn 30 % và mạnh hơn tương ứng (luật súng của game)</t>
        </is>
      </c>
      <c r="M95" t="inlineStr">
        <is>
          <t>gameplay</t>
        </is>
      </c>
      <c r="N95" t="inlineStr"/>
      <c r="O95" t="inlineStr">
        <is>
          <t>ban_dau_doan</t>
        </is>
      </c>
      <c r="P95" t="inlineStr">
        <is>
          <t>R_balance;R_full_weapon_audit;R_machine_brigade_can_bang</t>
        </is>
      </c>
      <c r="Q95" t="inlineStr"/>
      <c r="R9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5" t="n">
        <v>120</v>
      </c>
      <c r="T95" t="inlineStr">
        <is>
          <t>NEED_SOURCE</t>
        </is>
      </c>
      <c r="U95" t="inlineStr">
        <is>
          <t>NEED_SOURCE</t>
        </is>
      </c>
      <c r="V95" t="inlineStr">
        <is>
          <t>NEED_SOURCE</t>
        </is>
      </c>
      <c r="W95" t="inlineStr">
        <is>
          <t>NEED_SOURCE</t>
        </is>
      </c>
      <c r="X95" t="n">
        <v>8</v>
      </c>
      <c r="Y95" t="n">
        <v>6</v>
      </c>
      <c r="Z95" t="inlineStr">
        <is>
          <t>tay</t>
        </is>
      </c>
      <c r="AA95" t="inlineStr">
        <is>
          <t>NEED_SOURCE</t>
        </is>
      </c>
      <c r="AB95" t="inlineStr"/>
      <c r="AC95" t="inlineStr">
        <is>
          <t>gun</t>
        </is>
      </c>
      <c r="AD95" t="inlineStr">
        <is>
          <t>Centauro II 120 mm, manual: 6-8 rpm (the sheet)</t>
        </is>
      </c>
      <c r="AE95" t="inlineStr">
        <is>
          <t>Centauro II 120 mm nạp tay: ~6–8 phát/phút</t>
        </is>
      </c>
      <c r="AF95" t="inlineStr">
        <is>
          <t>Tools/balance/full_weapon_audit.py: REAL / WARHEAD; balance.json weapons[id=gun_105_wheeled].real</t>
        </is>
      </c>
      <c r="AG95" t="inlineStr"/>
    </row>
    <row r="96">
      <c r="A96" t="inlineStr">
        <is>
          <t>gun_105_wheeled_he</t>
        </is>
      </c>
      <c r="B96" t="inlineStr">
        <is>
          <t>gun_105_wheeled_he</t>
        </is>
      </c>
      <c r="C96" t="inlineStr">
        <is>
          <t>Centauro II 120 mm HE</t>
        </is>
      </c>
      <c r="D96" t="inlineStr">
        <is>
          <t>doi_that</t>
        </is>
      </c>
      <c r="E96" t="inlineStr">
        <is>
          <t>Centauro II 120 mm HE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nhịp chậm hơn 30 % và mạnh hơn tương ứng (luật súng của game)</t>
        </is>
      </c>
      <c r="M96" t="inlineStr">
        <is>
          <t>gameplay</t>
        </is>
      </c>
      <c r="N96" t="inlineStr"/>
      <c r="O96" t="inlineStr">
        <is>
          <t>ban_dau_doan</t>
        </is>
      </c>
      <c r="P96" t="inlineStr">
        <is>
          <t>R_balance;R_full_weapon_audit;R_machine_brigade_can_bang</t>
        </is>
      </c>
      <c r="Q96" t="inlineStr"/>
      <c r="R9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6" t="n">
        <v>120</v>
      </c>
      <c r="T96" t="inlineStr">
        <is>
          <t>NEED_SOURCE</t>
        </is>
      </c>
      <c r="U96" t="inlineStr">
        <is>
          <t>NEED_SOURCE</t>
        </is>
      </c>
      <c r="V96" t="inlineStr">
        <is>
          <t>NEED_SOURCE</t>
        </is>
      </c>
      <c r="W96" t="inlineStr">
        <is>
          <t>NEED_SOURCE</t>
        </is>
      </c>
      <c r="X96" t="n">
        <v>8</v>
      </c>
      <c r="Y96" t="n">
        <v>6</v>
      </c>
      <c r="Z96" t="inlineStr">
        <is>
          <t>tay</t>
        </is>
      </c>
      <c r="AA96" t="inlineStr">
        <is>
          <t>NEED_SOURCE</t>
        </is>
      </c>
      <c r="AB96" t="inlineStr"/>
      <c r="AC96" t="inlineStr">
        <is>
          <t>gun</t>
        </is>
      </c>
      <c r="AD96" t="inlineStr">
        <is>
          <t>Centauro II 120 mm, manual: 6-8 rpm (the sheet)</t>
        </is>
      </c>
      <c r="AE96" t="inlineStr"/>
      <c r="AF96" t="inlineStr">
        <is>
          <t>Tools/balance/full_weapon_audit.py: REAL / WARHEAD; balance.json weapons[id=gun_105_wheeled_he].real</t>
        </is>
      </c>
      <c r="AG96" t="inlineStr"/>
    </row>
    <row r="97">
      <c r="A97" t="inlineStr">
        <is>
          <t>gun_120_twin</t>
        </is>
      </c>
      <c r="B97" t="inlineStr">
        <is>
          <t>gun_120_twin</t>
        </is>
      </c>
      <c r="C97" t="inlineStr">
        <is>
          <t>Rh-120 L/44 120 mm (twin)</t>
        </is>
      </c>
      <c r="D97" t="inlineStr">
        <is>
          <t>doi_that</t>
        </is>
      </c>
      <c r="E97" t="inlineStr">
        <is>
          <t>Rh-120 L/44 120 mm (twin)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nhịp chậm hơn 30 % và mạnh hơn tương ứng (luật súng của game)</t>
        </is>
      </c>
      <c r="M97" t="inlineStr">
        <is>
          <t>gameplay</t>
        </is>
      </c>
      <c r="N97" t="inlineStr"/>
      <c r="O97" t="inlineStr">
        <is>
          <t>da_kiem_chung</t>
        </is>
      </c>
      <c r="P97" t="inlineStr">
        <is>
          <t>R_balance;R_full_weapon_audit;W_wikipedia_rheinmetall_120_mm_gun;R_machine_brigade_can_bang</t>
        </is>
      </c>
      <c r="Q97" t="inlineStr"/>
      <c r="R9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7" t="n">
        <v>120</v>
      </c>
      <c r="T97" t="inlineStr">
        <is>
          <t>NEED_SOURCE</t>
        </is>
      </c>
      <c r="U97" t="inlineStr">
        <is>
          <t>NEED_SOURCE</t>
        </is>
      </c>
      <c r="V97" t="inlineStr">
        <is>
          <t>NEED_SOURCE</t>
        </is>
      </c>
      <c r="W97" t="inlineStr">
        <is>
          <t>NEED_SOURCE</t>
        </is>
      </c>
      <c r="X97" t="n">
        <v>8</v>
      </c>
      <c r="Y97" t="n">
        <v>6</v>
      </c>
      <c r="Z97" t="inlineStr">
        <is>
          <t>tay</t>
        </is>
      </c>
      <c r="AA97" t="inlineStr">
        <is>
          <t>NEED_SOURCE</t>
        </is>
      </c>
      <c r="AB97" t="inlineStr"/>
      <c r="AC97" t="inlineStr">
        <is>
          <t>gun</t>
        </is>
      </c>
      <c r="AD97" t="inlineStr">
        <is>
          <t>the sheet's 'Ngoài đời': Rh-120 6-8 rpm with a loader (Wikipedia 'Rheinmetall 120 mm gun')</t>
        </is>
      </c>
      <c r="AE97" t="inlineStr">
        <is>
          <t>Rh-120</t>
        </is>
      </c>
      <c r="AF97" t="inlineStr">
        <is>
          <t>Tools/balance/full_weapon_audit.py: REAL / WARHEAD; balance.json weapons[id=gun_120_twin].real</t>
        </is>
      </c>
      <c r="AG97" t="inlineStr"/>
    </row>
    <row r="98">
      <c r="A98" t="inlineStr">
        <is>
          <t>gun_120_twin_he</t>
        </is>
      </c>
      <c r="B98" t="inlineStr">
        <is>
          <t>gun_120_twin_he</t>
        </is>
      </c>
      <c r="C98" t="inlineStr">
        <is>
          <t>Rh-120 L/44 120 mm HE (twin)</t>
        </is>
      </c>
      <c r="D98" t="inlineStr">
        <is>
          <t>doi_that</t>
        </is>
      </c>
      <c r="E98" t="inlineStr">
        <is>
          <t>Rh-120 L/44 120 mm HE (twin)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nhịp chậm hơn 30 % và mạnh hơn tương ứng (luật súng của game)</t>
        </is>
      </c>
      <c r="M98" t="inlineStr">
        <is>
          <t>gameplay</t>
        </is>
      </c>
      <c r="N98" t="inlineStr"/>
      <c r="O98" t="inlineStr">
        <is>
          <t>da_kiem_chung</t>
        </is>
      </c>
      <c r="P98" t="inlineStr">
        <is>
          <t>R_balance;R_full_weapon_audit;W_wikipedia_rheinmetall_120_mm_gun;R_machine_brigade_can_bang</t>
        </is>
      </c>
      <c r="Q98" t="inlineStr"/>
      <c r="R9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8" t="n">
        <v>120</v>
      </c>
      <c r="T98" t="inlineStr">
        <is>
          <t>NEED_SOURCE</t>
        </is>
      </c>
      <c r="U98" t="inlineStr">
        <is>
          <t>NEED_SOURCE</t>
        </is>
      </c>
      <c r="V98" t="inlineStr">
        <is>
          <t>NEED_SOURCE</t>
        </is>
      </c>
      <c r="W98" t="inlineStr">
        <is>
          <t>NEED_SOURCE</t>
        </is>
      </c>
      <c r="X98" t="n">
        <v>8</v>
      </c>
      <c r="Y98" t="n">
        <v>6</v>
      </c>
      <c r="Z98" t="inlineStr">
        <is>
          <t>tay</t>
        </is>
      </c>
      <c r="AA98" t="inlineStr">
        <is>
          <t>NEED_SOURCE</t>
        </is>
      </c>
      <c r="AB98" t="inlineStr"/>
      <c r="AC98" t="inlineStr">
        <is>
          <t>gun</t>
        </is>
      </c>
      <c r="AD98" t="inlineStr">
        <is>
          <t>the sheet's 'Ngoài đời': Rh-120 6-8 rpm with a loader (Wikipedia 'Rheinmetall 120 mm gun')</t>
        </is>
      </c>
      <c r="AE98" t="inlineStr"/>
      <c r="AF98" t="inlineStr">
        <is>
          <t>Tools/balance/full_weapon_audit.py: REAL / WARHEAD; balance.json weapons[id=gun_120_twin_he].real</t>
        </is>
      </c>
      <c r="AG98" t="inlineStr"/>
    </row>
    <row r="99">
      <c r="A99" t="inlineStr">
        <is>
          <t>gun_120mm</t>
        </is>
      </c>
      <c r="B99" t="inlineStr">
        <is>
          <t>gun_120mm</t>
        </is>
      </c>
      <c r="C99" t="inlineStr">
        <is>
          <t>Rh-120 L/44 120 mm</t>
        </is>
      </c>
      <c r="D99" t="inlineStr">
        <is>
          <t>doi_that</t>
        </is>
      </c>
      <c r="E99" t="inlineStr">
        <is>
          <t>Rh-120 L/44 120 mm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nhịp chậm hơn 30 % và mạnh hơn tương ứng (luật súng của game)</t>
        </is>
      </c>
      <c r="M99" t="inlineStr">
        <is>
          <t>gameplay</t>
        </is>
      </c>
      <c r="N99" t="inlineStr"/>
      <c r="O99" t="inlineStr">
        <is>
          <t>da_kiem_chung</t>
        </is>
      </c>
      <c r="P99" t="inlineStr">
        <is>
          <t>R_balance;R_full_weapon_audit;W_wikipedia_rheinmetall_120_mm_gun;R_machine_brigade_can_bang</t>
        </is>
      </c>
      <c r="Q99" t="inlineStr"/>
      <c r="R9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9" t="n">
        <v>120</v>
      </c>
      <c r="T99" t="inlineStr">
        <is>
          <t>NEED_SOURCE</t>
        </is>
      </c>
      <c r="U99" t="inlineStr">
        <is>
          <t>NEED_SOURCE</t>
        </is>
      </c>
      <c r="V99" t="inlineStr">
        <is>
          <t>NEED_SOURCE</t>
        </is>
      </c>
      <c r="W99" t="inlineStr">
        <is>
          <t>NEED_SOURCE</t>
        </is>
      </c>
      <c r="X99" t="n">
        <v>8</v>
      </c>
      <c r="Y99" t="n">
        <v>6</v>
      </c>
      <c r="Z99" t="inlineStr">
        <is>
          <t>tay</t>
        </is>
      </c>
      <c r="AA99" t="inlineStr">
        <is>
          <t>NEED_SOURCE</t>
        </is>
      </c>
      <c r="AB99" t="inlineStr"/>
      <c r="AC99" t="inlineStr">
        <is>
          <t>gun</t>
        </is>
      </c>
      <c r="AD99" t="inlineStr">
        <is>
          <t>the sheet's 'Ngoài đời': Rh-120 6-8 rpm with a loader (Wikipedia 'Rheinmetall 120 mm gun')</t>
        </is>
      </c>
      <c r="AE99" t="inlineStr">
        <is>
          <t>Rh-120: 6–8 phát/phút</t>
        </is>
      </c>
      <c r="AF99" t="inlineStr">
        <is>
          <t>Tools/balance/full_weapon_audit.py: REAL / WARHEAD; balance.json weapons[id=gun_120mm].real</t>
        </is>
      </c>
      <c r="AG99" t="inlineStr"/>
    </row>
    <row r="100">
      <c r="A100" t="inlineStr">
        <is>
          <t>gun_120mm_he</t>
        </is>
      </c>
      <c r="B100" t="inlineStr">
        <is>
          <t>gun_120mm_he</t>
        </is>
      </c>
      <c r="C100" t="inlineStr">
        <is>
          <t>Rh-120 L/44 120 mm HE</t>
        </is>
      </c>
      <c r="D100" t="inlineStr">
        <is>
          <t>doi_that</t>
        </is>
      </c>
      <c r="E100" t="inlineStr">
        <is>
          <t>Rh-120 L/44 120 mm HE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nhịp chậm hơn 30 % và mạnh hơn tương ứng (luật súng của game)</t>
        </is>
      </c>
      <c r="M100" t="inlineStr">
        <is>
          <t>gameplay</t>
        </is>
      </c>
      <c r="N100" t="inlineStr"/>
      <c r="O100" t="inlineStr">
        <is>
          <t>da_kiem_chung</t>
        </is>
      </c>
      <c r="P100" t="inlineStr">
        <is>
          <t>R_balance;R_full_weapon_audit;W_wikipedia_rheinmetall_120_mm_gun;R_machine_brigade_can_bang</t>
        </is>
      </c>
      <c r="Q100" t="inlineStr"/>
      <c r="R10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0" t="n">
        <v>120</v>
      </c>
      <c r="T100" t="inlineStr">
        <is>
          <t>NEED_SOURCE</t>
        </is>
      </c>
      <c r="U100" t="inlineStr">
        <is>
          <t>NEED_SOURCE</t>
        </is>
      </c>
      <c r="V100" t="inlineStr">
        <is>
          <t>NEED_SOURCE</t>
        </is>
      </c>
      <c r="W100" t="inlineStr">
        <is>
          <t>NEED_SOURCE</t>
        </is>
      </c>
      <c r="X100" t="n">
        <v>8</v>
      </c>
      <c r="Y100" t="n">
        <v>6</v>
      </c>
      <c r="Z100" t="inlineStr">
        <is>
          <t>tay</t>
        </is>
      </c>
      <c r="AA100" t="inlineStr">
        <is>
          <t>NEED_SOURCE</t>
        </is>
      </c>
      <c r="AB100" t="inlineStr"/>
      <c r="AC100" t="inlineStr">
        <is>
          <t>gun</t>
        </is>
      </c>
      <c r="AD100" t="inlineStr">
        <is>
          <t>the sheet's 'Ngoài đời': Rh-120 6-8 rpm with a loader (Wikipedia 'Rheinmetall 120 mm gun')</t>
        </is>
      </c>
      <c r="AE100" t="inlineStr"/>
      <c r="AF100" t="inlineStr">
        <is>
          <t>Tools/balance/full_weapon_audit.py: REAL / WARHEAD; balance.json weapons[id=gun_120mm_he].real</t>
        </is>
      </c>
      <c r="AG100" t="inlineStr"/>
    </row>
    <row r="101">
      <c r="A101" t="inlineStr">
        <is>
          <t>gun_125_armata_ke</t>
        </is>
      </c>
      <c r="B101" t="inlineStr">
        <is>
          <t>gun_125_armata_ke</t>
        </is>
      </c>
      <c r="C101" t="inlineStr">
        <is>
          <t>125 mm smoothbore (T-14 Armata)</t>
        </is>
      </c>
      <c r="D101" t="inlineStr">
        <is>
          <t>doi_that</t>
        </is>
      </c>
      <c r="E101" t="inlineStr">
        <is>
          <t>125 mm smoothbore (T-14 Armata)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nhịp chậm hơn 30 % và mạnh hơn tương ứng (luật súng của game)</t>
        </is>
      </c>
      <c r="M101" t="inlineStr">
        <is>
          <t>gameplay</t>
        </is>
      </c>
      <c r="N101" t="inlineStr"/>
      <c r="O101" t="inlineStr">
        <is>
          <t>da_kiem_chung</t>
        </is>
      </c>
      <c r="P101" t="inlineStr">
        <is>
          <t>R_balance;R_full_weapon_audit;W_wikipedia_2a46</t>
        </is>
      </c>
      <c r="Q101" t="inlineStr"/>
      <c r="R10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1" t="n">
        <v>125</v>
      </c>
      <c r="T101" t="inlineStr">
        <is>
          <t>NEED_SOURCE</t>
        </is>
      </c>
      <c r="U101" t="inlineStr">
        <is>
          <t>NEED_SOURCE</t>
        </is>
      </c>
      <c r="V101" t="inlineStr">
        <is>
          <t>NEED_SOURCE</t>
        </is>
      </c>
      <c r="W101" t="inlineStr">
        <is>
          <t>NEED_SOURCE</t>
        </is>
      </c>
      <c r="X101" t="n">
        <v>8</v>
      </c>
      <c r="Y101" t="n">
        <v>7</v>
      </c>
      <c r="Z101" t="inlineStr">
        <is>
          <t>tu_dong</t>
        </is>
      </c>
      <c r="AA101" t="inlineStr">
        <is>
          <t>NEED_SOURCE</t>
        </is>
      </c>
      <c r="AB101" t="inlineStr"/>
      <c r="AC101" t="inlineStr">
        <is>
          <t>gun</t>
        </is>
      </c>
      <c r="AD101" t="inlineStr">
        <is>
          <t>Wikipedia '2A46': 7-8 rpm with the autoloader</t>
        </is>
      </c>
      <c r="AE101" t="inlineStr"/>
      <c r="AF101" t="inlineStr">
        <is>
          <t>Tools/balance/full_weapon_audit.py: REAL / WARHEAD; balance.json weapons[id=gun_125_armata_ke].real</t>
        </is>
      </c>
      <c r="AG101" t="inlineStr"/>
    </row>
    <row r="102">
      <c r="A102" t="inlineStr">
        <is>
          <t>gun_125_elite</t>
        </is>
      </c>
      <c r="B102" t="inlineStr">
        <is>
          <t>gun_125_elite</t>
        </is>
      </c>
      <c r="C102" t="inlineStr">
        <is>
          <t>2A46M-5 125 mm</t>
        </is>
      </c>
      <c r="D102" t="inlineStr">
        <is>
          <t>doi_that</t>
        </is>
      </c>
      <c r="E102" t="inlineStr">
        <is>
          <t>2A46M-5 125 mm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nhịp chậm hơn 30 % và mạnh hơn tương ứng (luật súng của game)</t>
        </is>
      </c>
      <c r="M102" t="inlineStr">
        <is>
          <t>gameplay</t>
        </is>
      </c>
      <c r="N102" t="inlineStr"/>
      <c r="O102" t="inlineStr">
        <is>
          <t>da_kiem_chung</t>
        </is>
      </c>
      <c r="P102" t="inlineStr">
        <is>
          <t>R_balance;R_full_weapon_audit;W_wikipedia_2a46;R_machine_brigade_can_bang</t>
        </is>
      </c>
      <c r="Q102" t="inlineStr"/>
      <c r="R10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2" t="n">
        <v>125</v>
      </c>
      <c r="T102" t="inlineStr">
        <is>
          <t>NEED_SOURCE</t>
        </is>
      </c>
      <c r="U102" t="inlineStr">
        <is>
          <t>NEED_SOURCE</t>
        </is>
      </c>
      <c r="V102" t="inlineStr">
        <is>
          <t>NEED_SOURCE</t>
        </is>
      </c>
      <c r="W102" t="inlineStr">
        <is>
          <t>NEED_SOURCE</t>
        </is>
      </c>
      <c r="X102" t="n">
        <v>8</v>
      </c>
      <c r="Y102" t="n">
        <v>7</v>
      </c>
      <c r="Z102" t="inlineStr">
        <is>
          <t>tu_dong</t>
        </is>
      </c>
      <c r="AA102" t="inlineStr">
        <is>
          <t>NEED_SOURCE</t>
        </is>
      </c>
      <c r="AB102" t="inlineStr"/>
      <c r="AC102" t="inlineStr">
        <is>
          <t>gun</t>
        </is>
      </c>
      <c r="AD102" t="inlineStr">
        <is>
          <t>Wikipedia '2A46': 7-8 rpm with the autoloader</t>
        </is>
      </c>
      <c r="AE102" t="inlineStr">
        <is>
          <t>2A46M-5: 7–8 phát/phút (nạp tự động)</t>
        </is>
      </c>
      <c r="AF102" t="inlineStr">
        <is>
          <t>Tools/balance/full_weapon_audit.py: REAL / WARHEAD; balance.json weapons[id=gun_125_elite].real</t>
        </is>
      </c>
      <c r="AG102" t="inlineStr"/>
    </row>
    <row r="103">
      <c r="A103" t="inlineStr">
        <is>
          <t>gun_125_elite_he</t>
        </is>
      </c>
      <c r="B103" t="inlineStr">
        <is>
          <t>gun_125_elite_he</t>
        </is>
      </c>
      <c r="C103" t="inlineStr">
        <is>
          <t>2A46M-5 125 mm HE</t>
        </is>
      </c>
      <c r="D103" t="inlineStr">
        <is>
          <t>doi_that</t>
        </is>
      </c>
      <c r="E103" t="inlineStr">
        <is>
          <t>2A46M-5 125 mm HE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nhịp chậm hơn 30 % và mạnh hơn tương ứng (luật súng của game)</t>
        </is>
      </c>
      <c r="M103" t="inlineStr">
        <is>
          <t>gameplay</t>
        </is>
      </c>
      <c r="N103" t="inlineStr"/>
      <c r="O103" t="inlineStr">
        <is>
          <t>da_kiem_chung</t>
        </is>
      </c>
      <c r="P103" t="inlineStr">
        <is>
          <t>R_balance;R_full_weapon_audit;W_wikipedia_2a46</t>
        </is>
      </c>
      <c r="Q103" t="inlineStr"/>
      <c r="R10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3" t="n">
        <v>125</v>
      </c>
      <c r="T103" t="inlineStr">
        <is>
          <t>NEED_SOURCE</t>
        </is>
      </c>
      <c r="U103" t="inlineStr">
        <is>
          <t>NEED_SOURCE</t>
        </is>
      </c>
      <c r="V103" t="inlineStr">
        <is>
          <t>NEED_SOURCE</t>
        </is>
      </c>
      <c r="W103" t="inlineStr">
        <is>
          <t>NEED_SOURCE</t>
        </is>
      </c>
      <c r="X103" t="n">
        <v>8</v>
      </c>
      <c r="Y103" t="n">
        <v>7</v>
      </c>
      <c r="Z103" t="inlineStr">
        <is>
          <t>tu_dong</t>
        </is>
      </c>
      <c r="AA103" t="inlineStr">
        <is>
          <t>NEED_SOURCE</t>
        </is>
      </c>
      <c r="AB103" t="inlineStr"/>
      <c r="AC103" t="inlineStr">
        <is>
          <t>gun</t>
        </is>
      </c>
      <c r="AD103" t="inlineStr">
        <is>
          <t>Wikipedia '2A46': 7-8 rpm with the autoloader</t>
        </is>
      </c>
      <c r="AE103" t="inlineStr"/>
      <c r="AF103" t="inlineStr">
        <is>
          <t>Tools/balance/full_weapon_audit.py: REAL / WARHEAD; balance.json weapons[id=gun_125_elite_he].real</t>
        </is>
      </c>
      <c r="AG103" t="inlineStr"/>
    </row>
    <row r="104">
      <c r="A104" t="inlineStr">
        <is>
          <t>gun_140_twin</t>
        </is>
      </c>
      <c r="B104" t="inlineStr">
        <is>
          <t>gun_140_twin</t>
        </is>
      </c>
      <c r="C104" t="inlineStr">
        <is>
          <t>NPzK 140 mm (twin)</t>
        </is>
      </c>
      <c r="D104" t="inlineStr">
        <is>
          <t>doi_that</t>
        </is>
      </c>
      <c r="E104" t="inlineStr">
        <is>
          <t>NPzK 140 mm (twin)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nhịp chậm hơn 30 % và mạnh hơn tương ứng (luật súng của game)</t>
        </is>
      </c>
      <c r="M104" t="inlineStr">
        <is>
          <t>gameplay</t>
        </is>
      </c>
      <c r="N104" t="inlineStr"/>
      <c r="O104" t="inlineStr">
        <is>
          <t>uoc_dinh</t>
        </is>
      </c>
      <c r="P104" t="inlineStr">
        <is>
          <t>R_balance;R_full_weapon_audit;R_machine_brigade_can_bang</t>
        </is>
      </c>
      <c r="Q104" t="inlineStr"/>
      <c r="R10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4" t="n">
        <v>140</v>
      </c>
      <c r="T104" t="inlineStr">
        <is>
          <t>NEED_SOURCE</t>
        </is>
      </c>
      <c r="U104" t="inlineStr">
        <is>
          <t>NEED_SOURCE</t>
        </is>
      </c>
      <c r="V104" t="inlineStr">
        <is>
          <t>NEED_SOURCE</t>
        </is>
      </c>
      <c r="W104" t="inlineStr">
        <is>
          <t>NEED_SOURCE</t>
        </is>
      </c>
      <c r="X104" t="n">
        <v>10</v>
      </c>
      <c r="Y104" t="n">
        <v>8</v>
      </c>
      <c r="Z104" t="inlineStr">
        <is>
          <t>tu_dong</t>
        </is>
      </c>
      <c r="AA104" t="inlineStr">
        <is>
          <t>NEED_SOURCE</t>
        </is>
      </c>
      <c r="AB104" t="inlineStr"/>
      <c r="AC104" t="inlineStr">
        <is>
          <t>gun</t>
        </is>
      </c>
      <c r="AD104" t="inlineStr">
        <is>
          <t>NPzK 140 mm (experimental), est. 10 rpm with an autoloader (Leclerc-class)</t>
        </is>
      </c>
      <c r="AE104" t="inlineStr">
        <is>
          <t>NPzK 140 mm (thử nghiệm)</t>
        </is>
      </c>
      <c r="AF104" t="inlineStr">
        <is>
          <t>Tools/balance/full_weapon_audit.py: REAL / WARHEAD; balance.json weapons[id=gun_140_twin].real</t>
        </is>
      </c>
      <c r="AG104" t="inlineStr"/>
    </row>
    <row r="105">
      <c r="A105" t="inlineStr">
        <is>
          <t>gun_140_twin_he</t>
        </is>
      </c>
      <c r="B105" t="inlineStr">
        <is>
          <t>gun_140_twin_he</t>
        </is>
      </c>
      <c r="C105" t="inlineStr">
        <is>
          <t>NPzK 140 mm HE (twin)</t>
        </is>
      </c>
      <c r="D105" t="inlineStr">
        <is>
          <t>doi_that</t>
        </is>
      </c>
      <c r="E105" t="inlineStr">
        <is>
          <t>NPzK 140 mm HE (twin)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nhịp chậm hơn 30 % và mạnh hơn tương ứng (luật súng của game)</t>
        </is>
      </c>
      <c r="M105" t="inlineStr">
        <is>
          <t>gameplay</t>
        </is>
      </c>
      <c r="N105" t="inlineStr"/>
      <c r="O105" t="inlineStr">
        <is>
          <t>uoc_dinh</t>
        </is>
      </c>
      <c r="P105" t="inlineStr">
        <is>
          <t>R_balance;R_full_weapon_audit</t>
        </is>
      </c>
      <c r="Q105" t="inlineStr"/>
      <c r="R10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5" t="n">
        <v>140</v>
      </c>
      <c r="T105" t="inlineStr">
        <is>
          <t>NEED_SOURCE</t>
        </is>
      </c>
      <c r="U105" t="inlineStr">
        <is>
          <t>NEED_SOURCE</t>
        </is>
      </c>
      <c r="V105" t="inlineStr">
        <is>
          <t>NEED_SOURCE</t>
        </is>
      </c>
      <c r="W105" t="inlineStr">
        <is>
          <t>NEED_SOURCE</t>
        </is>
      </c>
      <c r="X105" t="n">
        <v>10</v>
      </c>
      <c r="Y105" t="n">
        <v>8</v>
      </c>
      <c r="Z105" t="inlineStr">
        <is>
          <t>tu_dong</t>
        </is>
      </c>
      <c r="AA105" t="inlineStr">
        <is>
          <t>NEED_SOURCE</t>
        </is>
      </c>
      <c r="AB105" t="inlineStr"/>
      <c r="AC105" t="inlineStr">
        <is>
          <t>gun</t>
        </is>
      </c>
      <c r="AD105" t="inlineStr">
        <is>
          <t>NPzK 140 mm (experimental), est. 10 rpm with an autoloader (Leclerc-class)</t>
        </is>
      </c>
      <c r="AE105" t="inlineStr"/>
      <c r="AF105" t="inlineStr">
        <is>
          <t>Tools/balance/full_weapon_audit.py: REAL / WARHEAD; balance.json weapons[id=gun_140_twin_he].real</t>
        </is>
      </c>
      <c r="AG105" t="inlineStr"/>
    </row>
    <row r="106">
      <c r="A106" t="inlineStr">
        <is>
          <t>gun_152</t>
        </is>
      </c>
      <c r="B106" t="inlineStr">
        <is>
          <t>gun_152</t>
        </is>
      </c>
      <c r="C106" t="inlineStr">
        <is>
          <t>2A83 152 mm</t>
        </is>
      </c>
      <c r="D106" t="inlineStr">
        <is>
          <t>doi_that</t>
        </is>
      </c>
      <c r="E106" t="inlineStr">
        <is>
          <t>2A83 152 mm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nhịp chậm hơn 30 % và mạnh hơn tương ứng (luật súng của game)</t>
        </is>
      </c>
      <c r="M106" t="inlineStr">
        <is>
          <t>gameplay</t>
        </is>
      </c>
      <c r="N106" t="inlineStr"/>
      <c r="O106" t="inlineStr">
        <is>
          <t>uoc_dinh</t>
        </is>
      </c>
      <c r="P106" t="inlineStr">
        <is>
          <t>R_balance;R_full_weapon_audit;R_machine_brigade_can_bang</t>
        </is>
      </c>
      <c r="Q106" t="inlineStr"/>
      <c r="R10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6" t="n">
        <v>152</v>
      </c>
      <c r="T106" t="inlineStr">
        <is>
          <t>NEED_SOURCE</t>
        </is>
      </c>
      <c r="U106" t="inlineStr">
        <is>
          <t>NEED_SOURCE</t>
        </is>
      </c>
      <c r="V106" t="inlineStr">
        <is>
          <t>NEED_SOURCE</t>
        </is>
      </c>
      <c r="W106" t="inlineStr">
        <is>
          <t>NEED_SOURCE</t>
        </is>
      </c>
      <c r="X106" t="n">
        <v>10</v>
      </c>
      <c r="Y106" t="n">
        <v>8</v>
      </c>
      <c r="Z106" t="inlineStr">
        <is>
          <t>NEED_SOURCE</t>
        </is>
      </c>
      <c r="AA106" t="inlineStr">
        <is>
          <t>NEED_SOURCE</t>
        </is>
      </c>
      <c r="AB106" t="inlineStr"/>
      <c r="AC106" t="inlineStr">
        <is>
          <t>gun</t>
        </is>
      </c>
      <c r="AD106" t="inlineStr">
        <is>
          <t>Object 195 / T-14 152 mm, est. ~10 rpm (the sheet)</t>
        </is>
      </c>
      <c r="AE106" t="inlineStr">
        <is>
          <t>2A83 152 mm (Object 195): ~10 phát/phút (ước lượng)</t>
        </is>
      </c>
      <c r="AF106" t="inlineStr">
        <is>
          <t>Tools/balance/full_weapon_audit.py: REAL / WARHEAD; balance.json weapons[id=gun_152].real</t>
        </is>
      </c>
      <c r="AG106" t="inlineStr"/>
    </row>
    <row r="107">
      <c r="A107" t="inlineStr">
        <is>
          <t>gun_152_he</t>
        </is>
      </c>
      <c r="B107" t="inlineStr">
        <is>
          <t>gun_152_he</t>
        </is>
      </c>
      <c r="C107" t="inlineStr">
        <is>
          <t>2A83 152 mm HE-FRAG</t>
        </is>
      </c>
      <c r="D107" t="inlineStr">
        <is>
          <t>doi_that</t>
        </is>
      </c>
      <c r="E107" t="inlineStr">
        <is>
          <t>2A83 152 mm HE-FRAG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nhịp chậm hơn 30 % và mạnh hơn tương ứng (luật súng của game)</t>
        </is>
      </c>
      <c r="M107" t="inlineStr">
        <is>
          <t>gameplay</t>
        </is>
      </c>
      <c r="N107" t="inlineStr"/>
      <c r="O107" t="inlineStr">
        <is>
          <t>uoc_dinh</t>
        </is>
      </c>
      <c r="P107" t="inlineStr">
        <is>
          <t>R_balance;R_full_weapon_audit;R_machine_brigade_can_bang</t>
        </is>
      </c>
      <c r="Q107" t="inlineStr"/>
      <c r="R10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7" t="n">
        <v>152</v>
      </c>
      <c r="T107" t="inlineStr">
        <is>
          <t>NEED_SOURCE</t>
        </is>
      </c>
      <c r="U107" t="inlineStr">
        <is>
          <t>NEED_SOURCE</t>
        </is>
      </c>
      <c r="V107" t="inlineStr">
        <is>
          <t>NEED_SOURCE</t>
        </is>
      </c>
      <c r="W107" t="inlineStr">
        <is>
          <t>NEED_SOURCE</t>
        </is>
      </c>
      <c r="X107" t="n">
        <v>10</v>
      </c>
      <c r="Y107" t="n">
        <v>8</v>
      </c>
      <c r="Z107" t="inlineStr">
        <is>
          <t>NEED_SOURCE</t>
        </is>
      </c>
      <c r="AA107" t="inlineStr">
        <is>
          <t>NEED_SOURCE</t>
        </is>
      </c>
      <c r="AB107" t="inlineStr"/>
      <c r="AC107" t="inlineStr">
        <is>
          <t>gun</t>
        </is>
      </c>
      <c r="AD107" t="inlineStr">
        <is>
          <t>Object 195 / T-14 152 mm, est. ~10 rpm (the sheet)</t>
        </is>
      </c>
      <c r="AE107" t="inlineStr">
        <is>
          <t>2A83</t>
        </is>
      </c>
      <c r="AF107" t="inlineStr">
        <is>
          <t>Tools/balance/full_weapon_audit.py: REAL / WARHEAD; balance.json weapons[id=gun_152_he].real</t>
        </is>
      </c>
      <c r="AG107" t="inlineStr"/>
    </row>
    <row r="108">
      <c r="A108" t="inlineStr">
        <is>
          <t>gun_152_heat</t>
        </is>
      </c>
      <c r="B108" t="inlineStr">
        <is>
          <t>gun_152_heat</t>
        </is>
      </c>
      <c r="C108" t="inlineStr">
        <is>
          <t>2A83 152 mm HEAT</t>
        </is>
      </c>
      <c r="D108" t="inlineStr">
        <is>
          <t>doi_that</t>
        </is>
      </c>
      <c r="E108" t="inlineStr">
        <is>
          <t>2A83 152 mm HEAT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nhịp chậm hơn 30 % và mạnh hơn tương ứng (luật súng của game)</t>
        </is>
      </c>
      <c r="M108" t="inlineStr">
        <is>
          <t>gameplay</t>
        </is>
      </c>
      <c r="N108" t="inlineStr"/>
      <c r="O108" t="inlineStr">
        <is>
          <t>uoc_dinh</t>
        </is>
      </c>
      <c r="P108" t="inlineStr">
        <is>
          <t>R_balance;R_full_weapon_audit;R_machine_brigade_can_bang</t>
        </is>
      </c>
      <c r="Q108" t="inlineStr"/>
      <c r="R10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8" t="n">
        <v>152</v>
      </c>
      <c r="T108" t="inlineStr">
        <is>
          <t>NEED_SOURCE</t>
        </is>
      </c>
      <c r="U108" t="inlineStr">
        <is>
          <t>NEED_SOURCE</t>
        </is>
      </c>
      <c r="V108" t="inlineStr">
        <is>
          <t>NEED_SOURCE</t>
        </is>
      </c>
      <c r="W108" t="inlineStr">
        <is>
          <t>NEED_SOURCE</t>
        </is>
      </c>
      <c r="X108" t="n">
        <v>10</v>
      </c>
      <c r="Y108" t="n">
        <v>8</v>
      </c>
      <c r="Z108" t="inlineStr">
        <is>
          <t>NEED_SOURCE</t>
        </is>
      </c>
      <c r="AA108" t="inlineStr">
        <is>
          <t>NEED_SOURCE</t>
        </is>
      </c>
      <c r="AB108" t="inlineStr"/>
      <c r="AC108" t="inlineStr">
        <is>
          <t>gun</t>
        </is>
      </c>
      <c r="AD108" t="inlineStr">
        <is>
          <t>Object 195 / T-14 152 mm, est. ~10 rpm (the sheet)</t>
        </is>
      </c>
      <c r="AE108" t="inlineStr">
        <is>
          <t>2A83</t>
        </is>
      </c>
      <c r="AF108" t="inlineStr">
        <is>
          <t>Tools/balance/full_weapon_audit.py: REAL / WARHEAD; balance.json weapons[id=gun_152_heat].real</t>
        </is>
      </c>
      <c r="AG108" t="inlineStr"/>
    </row>
    <row r="109">
      <c r="A109" t="inlineStr">
        <is>
          <t>gun_152_heat_he</t>
        </is>
      </c>
      <c r="B109" t="inlineStr">
        <is>
          <t>gun_152_heat_he</t>
        </is>
      </c>
      <c r="C109" t="inlineStr">
        <is>
          <t>2A83 152 mm HE-FRAG</t>
        </is>
      </c>
      <c r="D109" t="inlineStr">
        <is>
          <t>doi_that</t>
        </is>
      </c>
      <c r="E109" t="inlineStr">
        <is>
          <t>2A83 152 mm HE-FRAG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nhịp chậm hơn 30 % và mạnh hơn tương ứng (luật súng của game)</t>
        </is>
      </c>
      <c r="M109" t="inlineStr">
        <is>
          <t>gameplay</t>
        </is>
      </c>
      <c r="N109" t="inlineStr"/>
      <c r="O109" t="inlineStr">
        <is>
          <t>uoc_dinh</t>
        </is>
      </c>
      <c r="P109" t="inlineStr">
        <is>
          <t>R_balance;R_full_weapon_audit;R_machine_brigade_can_bang</t>
        </is>
      </c>
      <c r="Q109" t="inlineStr"/>
      <c r="R10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9" t="n">
        <v>152</v>
      </c>
      <c r="T109" t="inlineStr">
        <is>
          <t>NEED_SOURCE</t>
        </is>
      </c>
      <c r="U109" t="inlineStr">
        <is>
          <t>NEED_SOURCE</t>
        </is>
      </c>
      <c r="V109" t="inlineStr">
        <is>
          <t>NEED_SOURCE</t>
        </is>
      </c>
      <c r="W109" t="inlineStr">
        <is>
          <t>NEED_SOURCE</t>
        </is>
      </c>
      <c r="X109" t="n">
        <v>10</v>
      </c>
      <c r="Y109" t="n">
        <v>8</v>
      </c>
      <c r="Z109" t="inlineStr">
        <is>
          <t>NEED_SOURCE</t>
        </is>
      </c>
      <c r="AA109" t="inlineStr">
        <is>
          <t>NEED_SOURCE</t>
        </is>
      </c>
      <c r="AB109" t="inlineStr"/>
      <c r="AC109" t="inlineStr">
        <is>
          <t>gun</t>
        </is>
      </c>
      <c r="AD109" t="inlineStr">
        <is>
          <t>Object 195 / T-14 152 mm, est. ~10 rpm (the sheet)</t>
        </is>
      </c>
      <c r="AE109" t="inlineStr"/>
      <c r="AF109" t="inlineStr">
        <is>
          <t>Tools/balance/full_weapon_audit.py: REAL / WARHEAD; balance.json weapons[id=gun_152_heat_he].real</t>
        </is>
      </c>
      <c r="AG109" t="inlineStr"/>
    </row>
    <row r="110">
      <c r="A110" t="inlineStr">
        <is>
          <t>gun_155_coastal</t>
        </is>
      </c>
      <c r="B110" t="inlineStr">
        <is>
          <t>gun_155_coastal</t>
        </is>
      </c>
      <c r="C110" t="inlineStr">
        <is>
          <t>M284 155 mm (coastal battery)</t>
        </is>
      </c>
      <c r="D110" t="inlineStr">
        <is>
          <t>doi_that</t>
        </is>
      </c>
      <c r="E110" t="inlineStr">
        <is>
          <t>M284 155 mm (coastal battery)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nhịp chậm hơn 30 % và mạnh hơn tương ứng (luật súng của game)</t>
        </is>
      </c>
      <c r="M110" t="inlineStr">
        <is>
          <t>gameplay</t>
        </is>
      </c>
      <c r="N110" t="inlineStr"/>
      <c r="O110" t="inlineStr">
        <is>
          <t>da_kiem_chung</t>
        </is>
      </c>
      <c r="P110" t="inlineStr">
        <is>
          <t>R_balance;R_full_weapon_audit;D_us_army_m109a7_fact_file;R_machine_brigade_can_bang</t>
        </is>
      </c>
      <c r="Q110" t="inlineStr"/>
      <c r="R1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0" t="n">
        <v>155</v>
      </c>
      <c r="T110" t="inlineStr">
        <is>
          <t>NEED_SOURCE</t>
        </is>
      </c>
      <c r="U110" t="inlineStr">
        <is>
          <t>NEED_SOURCE</t>
        </is>
      </c>
      <c r="V110" t="inlineStr">
        <is>
          <t>NEED_SOURCE</t>
        </is>
      </c>
      <c r="W110" t="inlineStr">
        <is>
          <t>NEED_SOURCE</t>
        </is>
      </c>
      <c r="X110" t="n">
        <v>4</v>
      </c>
      <c r="Y110" t="n">
        <v>1</v>
      </c>
      <c r="Z110" t="inlineStr">
        <is>
          <t>NEED_SOURCE</t>
        </is>
      </c>
      <c r="AA110" t="inlineStr">
        <is>
          <t>NEED_SOURCE</t>
        </is>
      </c>
      <c r="AB110" t="inlineStr"/>
      <c r="AC110" t="inlineStr">
        <is>
          <t>gun</t>
        </is>
      </c>
      <c r="AD110" t="inlineStr">
        <is>
          <t>US Army M109A7 fact file: 4 rpm for 3 min, 1 rpm sustained</t>
        </is>
      </c>
      <c r="AE110" t="inlineStr">
        <is>
          <t>M284 155 mm</t>
        </is>
      </c>
      <c r="AF110" t="inlineStr">
        <is>
          <t>Tools/balance/full_weapon_audit.py: REAL / WARHEAD; balance.json weapons[id=gun_155_coastal].real</t>
        </is>
      </c>
      <c r="AG110" t="inlineStr"/>
    </row>
    <row r="111">
      <c r="A111" t="inlineStr">
        <is>
          <t>gun_155_coastal_guided</t>
        </is>
      </c>
      <c r="B111" t="inlineStr">
        <is>
          <t>gun_155_coastal_guided</t>
        </is>
      </c>
      <c r="C111" t="inlineStr">
        <is>
          <t>M284 155 mm guided (coastal battery)</t>
        </is>
      </c>
      <c r="D111" t="inlineStr">
        <is>
          <t>doi_that</t>
        </is>
      </c>
      <c r="E111" t="inlineStr">
        <is>
          <t>M284 155 mm guided (coastal battery)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nhịp chậm hơn 30 % và mạnh hơn tương ứng (luật súng của game)</t>
        </is>
      </c>
      <c r="M111" t="inlineStr">
        <is>
          <t>gameplay</t>
        </is>
      </c>
      <c r="N111" t="inlineStr"/>
      <c r="O111" t="inlineStr">
        <is>
          <t>da_kiem_chung</t>
        </is>
      </c>
      <c r="P111" t="inlineStr">
        <is>
          <t>R_balance;R_full_weapon_audit;D_us_army_m109a7_fact_file</t>
        </is>
      </c>
      <c r="Q111" t="inlineStr"/>
      <c r="R1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1" t="n">
        <v>155</v>
      </c>
      <c r="T111" t="inlineStr">
        <is>
          <t>NEED_SOURCE</t>
        </is>
      </c>
      <c r="U111" t="inlineStr">
        <is>
          <t>NEED_SOURCE</t>
        </is>
      </c>
      <c r="V111" t="inlineStr">
        <is>
          <t>NEED_SOURCE</t>
        </is>
      </c>
      <c r="W111" t="inlineStr">
        <is>
          <t>NEED_SOURCE</t>
        </is>
      </c>
      <c r="X111" t="n">
        <v>4</v>
      </c>
      <c r="Y111" t="n">
        <v>1</v>
      </c>
      <c r="Z111" t="inlineStr">
        <is>
          <t>NEED_SOURCE</t>
        </is>
      </c>
      <c r="AA111" t="inlineStr">
        <is>
          <t>NEED_SOURCE</t>
        </is>
      </c>
      <c r="AB111" t="inlineStr"/>
      <c r="AC111" t="inlineStr">
        <is>
          <t>gun</t>
        </is>
      </c>
      <c r="AD111" t="inlineStr">
        <is>
          <t>US Army M109A7 fact file: 4 rpm for 3 min, 1 rpm sustained</t>
        </is>
      </c>
      <c r="AE111" t="inlineStr"/>
      <c r="AF111" t="inlineStr">
        <is>
          <t>Tools/balance/full_weapon_audit.py: REAL / WARHEAD; balance.json weapons[id=gun_155_coastal_guided].real</t>
        </is>
      </c>
      <c r="AG111" t="inlineStr"/>
    </row>
    <row r="112">
      <c r="A112" t="inlineStr">
        <is>
          <t>gun_155_sph</t>
        </is>
      </c>
      <c r="B112" t="inlineStr">
        <is>
          <t>gun_155_sph</t>
        </is>
      </c>
      <c r="C112" t="inlineStr">
        <is>
          <t>M284 155 mm</t>
        </is>
      </c>
      <c r="D112" t="inlineStr">
        <is>
          <t>doi_that</t>
        </is>
      </c>
      <c r="E112" t="inlineStr">
        <is>
          <t>M284 155 mm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nhịp chậm hơn 30 % và mạnh hơn tương ứng (luật súng của game)</t>
        </is>
      </c>
      <c r="M112" t="inlineStr">
        <is>
          <t>gameplay</t>
        </is>
      </c>
      <c r="N112" t="inlineStr"/>
      <c r="O112" t="inlineStr">
        <is>
          <t>da_kiem_chung</t>
        </is>
      </c>
      <c r="P112" t="inlineStr">
        <is>
          <t>R_balance;R_full_weapon_audit;D_us_army_m109a7_fact_file</t>
        </is>
      </c>
      <c r="Q112" t="inlineStr"/>
      <c r="R1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2" t="n">
        <v>155</v>
      </c>
      <c r="T112" t="inlineStr">
        <is>
          <t>NEED_SOURCE</t>
        </is>
      </c>
      <c r="U112" t="inlineStr">
        <is>
          <t>NEED_SOURCE</t>
        </is>
      </c>
      <c r="V112" t="inlineStr">
        <is>
          <t>NEED_SOURCE</t>
        </is>
      </c>
      <c r="W112" t="inlineStr">
        <is>
          <t>NEED_SOURCE</t>
        </is>
      </c>
      <c r="X112" t="n">
        <v>4</v>
      </c>
      <c r="Y112" t="n">
        <v>1</v>
      </c>
      <c r="Z112" t="inlineStr">
        <is>
          <t>NEED_SOURCE</t>
        </is>
      </c>
      <c r="AA112" t="inlineStr">
        <is>
          <t>NEED_SOURCE</t>
        </is>
      </c>
      <c r="AB112" t="inlineStr"/>
      <c r="AC112" t="inlineStr">
        <is>
          <t>gun</t>
        </is>
      </c>
      <c r="AD112" t="inlineStr">
        <is>
          <t>US Army M109A7 fact file: 4 rpm for 3 min, 1 rpm sustained</t>
        </is>
      </c>
      <c r="AE112" t="inlineStr"/>
      <c r="AF112" t="inlineStr">
        <is>
          <t>Tools/balance/full_weapon_audit.py: REAL / WARHEAD; balance.json weapons[id=gun_155_sph].real</t>
        </is>
      </c>
      <c r="AG112" t="inlineStr"/>
    </row>
    <row r="113">
      <c r="A113" t="inlineStr">
        <is>
          <t>gun_155_twin</t>
        </is>
      </c>
      <c r="B113" t="inlineStr">
        <is>
          <t>gun_155_twin</t>
        </is>
      </c>
      <c r="C113" t="inlineStr">
        <is>
          <t>M284 155 mm (twin)</t>
        </is>
      </c>
      <c r="D113" t="inlineStr">
        <is>
          <t>doi_that</t>
        </is>
      </c>
      <c r="E113" t="inlineStr">
        <is>
          <t>M284 155 mm (twin)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nhịp chậm hơn 30 % và mạnh hơn tương ứng (luật súng của game)</t>
        </is>
      </c>
      <c r="M113" t="inlineStr">
        <is>
          <t>gameplay</t>
        </is>
      </c>
      <c r="N113" t="inlineStr"/>
      <c r="O113" t="inlineStr">
        <is>
          <t>da_kiem_chung</t>
        </is>
      </c>
      <c r="P113" t="inlineStr">
        <is>
          <t>R_balance;R_full_weapon_audit;D_us_army_m109a7_fact_file</t>
        </is>
      </c>
      <c r="Q113" t="inlineStr"/>
      <c r="R1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3" t="n">
        <v>155</v>
      </c>
      <c r="T113" t="inlineStr">
        <is>
          <t>NEED_SOURCE</t>
        </is>
      </c>
      <c r="U113" t="inlineStr">
        <is>
          <t>NEED_SOURCE</t>
        </is>
      </c>
      <c r="V113" t="inlineStr">
        <is>
          <t>NEED_SOURCE</t>
        </is>
      </c>
      <c r="W113" t="inlineStr">
        <is>
          <t>NEED_SOURCE</t>
        </is>
      </c>
      <c r="X113" t="n">
        <v>4</v>
      </c>
      <c r="Y113" t="n">
        <v>1</v>
      </c>
      <c r="Z113" t="inlineStr">
        <is>
          <t>NEED_SOURCE</t>
        </is>
      </c>
      <c r="AA113" t="inlineStr">
        <is>
          <t>NEED_SOURCE</t>
        </is>
      </c>
      <c r="AB113" t="inlineStr"/>
      <c r="AC113" t="inlineStr">
        <is>
          <t>gun</t>
        </is>
      </c>
      <c r="AD113" t="inlineStr">
        <is>
          <t>US Army M109A7 fact file: 4 rpm for 3 min, 1 rpm sustained</t>
        </is>
      </c>
      <c r="AE113" t="inlineStr"/>
      <c r="AF113" t="inlineStr">
        <is>
          <t>Tools/balance/full_weapon_audit.py: REAL / WARHEAD; balance.json weapons[id=gun_155_twin].real</t>
        </is>
      </c>
      <c r="AG113" t="inlineStr"/>
    </row>
    <row r="114">
      <c r="A114" t="inlineStr">
        <is>
          <t>gun_155_twin_ap</t>
        </is>
      </c>
      <c r="B114" t="inlineStr">
        <is>
          <t>gun_155_twin_ap</t>
        </is>
      </c>
      <c r="C114" t="inlineStr">
        <is>
          <t>M284 155 mm (twin) AP</t>
        </is>
      </c>
      <c r="D114" t="inlineStr">
        <is>
          <t>doi_that</t>
        </is>
      </c>
      <c r="E114" t="inlineStr">
        <is>
          <t>M284 155 mm (twin) AP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nhịp chậm hơn 30 % và mạnh hơn tương ứng (luật súng của game)</t>
        </is>
      </c>
      <c r="M114" t="inlineStr">
        <is>
          <t>gameplay</t>
        </is>
      </c>
      <c r="N114" t="inlineStr"/>
      <c r="O114" t="inlineStr">
        <is>
          <t>da_kiem_chung</t>
        </is>
      </c>
      <c r="P114" t="inlineStr">
        <is>
          <t>R_balance;R_full_weapon_audit;D_us_army_m109a7_fact_file</t>
        </is>
      </c>
      <c r="Q114" t="inlineStr"/>
      <c r="R1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4" t="n">
        <v>155</v>
      </c>
      <c r="T114" t="inlineStr">
        <is>
          <t>NEED_SOURCE</t>
        </is>
      </c>
      <c r="U114" t="inlineStr">
        <is>
          <t>NEED_SOURCE</t>
        </is>
      </c>
      <c r="V114" t="inlineStr">
        <is>
          <t>NEED_SOURCE</t>
        </is>
      </c>
      <c r="W114" t="inlineStr">
        <is>
          <t>NEED_SOURCE</t>
        </is>
      </c>
      <c r="X114" t="n">
        <v>4</v>
      </c>
      <c r="Y114" t="n">
        <v>1</v>
      </c>
      <c r="Z114" t="inlineStr">
        <is>
          <t>NEED_SOURCE</t>
        </is>
      </c>
      <c r="AA114" t="inlineStr">
        <is>
          <t>NEED_SOURCE</t>
        </is>
      </c>
      <c r="AB114" t="inlineStr"/>
      <c r="AC114" t="inlineStr">
        <is>
          <t>gun</t>
        </is>
      </c>
      <c r="AD114" t="inlineStr">
        <is>
          <t>US Army M109A7 fact file: 4 rpm for 3 min, 1 rpm sustained</t>
        </is>
      </c>
      <c r="AE114" t="inlineStr"/>
      <c r="AF114" t="inlineStr">
        <is>
          <t>Tools/balance/full_weapon_audit.py: REAL / WARHEAD; balance.json weapons[id=gun_155_twin_ap].real</t>
        </is>
      </c>
      <c r="AG114" t="inlineStr"/>
    </row>
    <row r="115">
      <c r="A115" t="inlineStr">
        <is>
          <t>gun_155_twin_coastlr</t>
        </is>
      </c>
      <c r="B115" t="inlineStr">
        <is>
          <t>gun_155_twin_coastlr</t>
        </is>
      </c>
      <c r="C115" t="inlineStr">
        <is>
          <t>M284 155 mm (twin, long-range coastal)</t>
        </is>
      </c>
      <c r="D115" t="inlineStr">
        <is>
          <t>doi_that</t>
        </is>
      </c>
      <c r="E115" t="inlineStr">
        <is>
          <t>M284 155 mm (twin, long-range coastal)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nhịp chậm hơn 30 % và mạnh hơn tương ứng (luật súng của game)</t>
        </is>
      </c>
      <c r="M115" t="inlineStr">
        <is>
          <t>gameplay</t>
        </is>
      </c>
      <c r="N115" t="inlineStr"/>
      <c r="O115" t="inlineStr">
        <is>
          <t>da_kiem_chung</t>
        </is>
      </c>
      <c r="P115" t="inlineStr">
        <is>
          <t>R_balance;R_full_weapon_audit;D_us_army_m109a7_fact_file;R_machine_brigade_can_bang</t>
        </is>
      </c>
      <c r="Q115" t="inlineStr"/>
      <c r="R1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5" t="n">
        <v>155</v>
      </c>
      <c r="T115" t="inlineStr">
        <is>
          <t>NEED_SOURCE</t>
        </is>
      </c>
      <c r="U115" t="inlineStr">
        <is>
          <t>NEED_SOURCE</t>
        </is>
      </c>
      <c r="V115" t="inlineStr">
        <is>
          <t>NEED_SOURCE</t>
        </is>
      </c>
      <c r="W115" t="inlineStr">
        <is>
          <t>NEED_SOURCE</t>
        </is>
      </c>
      <c r="X115" t="n">
        <v>4</v>
      </c>
      <c r="Y115" t="n">
        <v>1</v>
      </c>
      <c r="Z115" t="inlineStr">
        <is>
          <t>NEED_SOURCE</t>
        </is>
      </c>
      <c r="AA115" t="inlineStr">
        <is>
          <t>NEED_SOURCE</t>
        </is>
      </c>
      <c r="AB115" t="inlineStr"/>
      <c r="AC115" t="inlineStr">
        <is>
          <t>gun</t>
        </is>
      </c>
      <c r="AD115" t="inlineStr">
        <is>
          <t>US Army M109A7 fact file: 4 rpm for 3 min, 1 rpm sustained</t>
        </is>
      </c>
      <c r="AE115" t="inlineStr">
        <is>
          <t>M284 155 mm</t>
        </is>
      </c>
      <c r="AF115" t="inlineStr">
        <is>
          <t>Tools/balance/full_weapon_audit.py: REAL / WARHEAD; balance.json weapons[id=gun_155_twin_coastlr].real</t>
        </is>
      </c>
      <c r="AG115" t="inlineStr"/>
    </row>
    <row r="116">
      <c r="A116" t="inlineStr">
        <is>
          <t>gun_155_twin_coastlr_guided</t>
        </is>
      </c>
      <c r="B116" t="inlineStr">
        <is>
          <t>gun_155_twin_coastlr_guided</t>
        </is>
      </c>
      <c r="C116" t="inlineStr">
        <is>
          <t>M284 155 mm guided (twin, long-range coastal)</t>
        </is>
      </c>
      <c r="D116" t="inlineStr">
        <is>
          <t>doi_that</t>
        </is>
      </c>
      <c r="E116" t="inlineStr">
        <is>
          <t>M284 155 mm guided (twin, long-range coastal)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nhịp chậm hơn 30 % và mạnh hơn tương ứng (luật súng của game)</t>
        </is>
      </c>
      <c r="M116" t="inlineStr">
        <is>
          <t>gameplay</t>
        </is>
      </c>
      <c r="N116" t="inlineStr"/>
      <c r="O116" t="inlineStr">
        <is>
          <t>da_kiem_chung</t>
        </is>
      </c>
      <c r="P116" t="inlineStr">
        <is>
          <t>R_balance;R_full_weapon_audit;D_us_army_m109a7_fact_file</t>
        </is>
      </c>
      <c r="Q116" t="inlineStr"/>
      <c r="R1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6" t="n">
        <v>155</v>
      </c>
      <c r="T116" t="inlineStr">
        <is>
          <t>NEED_SOURCE</t>
        </is>
      </c>
      <c r="U116" t="inlineStr">
        <is>
          <t>NEED_SOURCE</t>
        </is>
      </c>
      <c r="V116" t="inlineStr">
        <is>
          <t>NEED_SOURCE</t>
        </is>
      </c>
      <c r="W116" t="inlineStr">
        <is>
          <t>NEED_SOURCE</t>
        </is>
      </c>
      <c r="X116" t="n">
        <v>4</v>
      </c>
      <c r="Y116" t="n">
        <v>1</v>
      </c>
      <c r="Z116" t="inlineStr">
        <is>
          <t>NEED_SOURCE</t>
        </is>
      </c>
      <c r="AA116" t="inlineStr">
        <is>
          <t>NEED_SOURCE</t>
        </is>
      </c>
      <c r="AB116" t="inlineStr"/>
      <c r="AC116" t="inlineStr">
        <is>
          <t>gun</t>
        </is>
      </c>
      <c r="AD116" t="inlineStr">
        <is>
          <t>US Army M109A7 fact file: 4 rpm for 3 min, 1 rpm sustained</t>
        </is>
      </c>
      <c r="AE116" t="inlineStr"/>
      <c r="AF116" t="inlineStr">
        <is>
          <t>Tools/balance/full_weapon_audit.py: REAL / WARHEAD; balance.json weapons[id=gun_155_twin_coastlr_guided].real</t>
        </is>
      </c>
      <c r="AG116" t="inlineStr"/>
    </row>
    <row r="117">
      <c r="A117" t="inlineStr">
        <is>
          <t>gun_155_twin_fort</t>
        </is>
      </c>
      <c r="B117" t="inlineStr">
        <is>
          <t>gun_155_twin_fort</t>
        </is>
      </c>
      <c r="C117" t="inlineStr">
        <is>
          <t>M284 155 mm (twin)</t>
        </is>
      </c>
      <c r="D117" t="inlineStr">
        <is>
          <t>doi_that</t>
        </is>
      </c>
      <c r="E117" t="inlineStr">
        <is>
          <t>M284 155 mm (twin)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nhịp chậm hơn 30 % và mạnh hơn tương ứng (luật súng của game)</t>
        </is>
      </c>
      <c r="M117" t="inlineStr">
        <is>
          <t>gameplay</t>
        </is>
      </c>
      <c r="N117" t="inlineStr"/>
      <c r="O117" t="inlineStr">
        <is>
          <t>da_kiem_chung</t>
        </is>
      </c>
      <c r="P117" t="inlineStr">
        <is>
          <t>R_balance;R_full_weapon_audit;D_us_army_m109a7_fact_file;R_machine_brigade_can_bang</t>
        </is>
      </c>
      <c r="Q117" t="inlineStr"/>
      <c r="R1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7" t="n">
        <v>155</v>
      </c>
      <c r="T117" t="inlineStr">
        <is>
          <t>NEED_SOURCE</t>
        </is>
      </c>
      <c r="U117" t="inlineStr">
        <is>
          <t>NEED_SOURCE</t>
        </is>
      </c>
      <c r="V117" t="inlineStr">
        <is>
          <t>NEED_SOURCE</t>
        </is>
      </c>
      <c r="W117" t="inlineStr">
        <is>
          <t>NEED_SOURCE</t>
        </is>
      </c>
      <c r="X117" t="n">
        <v>4</v>
      </c>
      <c r="Y117" t="n">
        <v>1</v>
      </c>
      <c r="Z117" t="inlineStr">
        <is>
          <t>NEED_SOURCE</t>
        </is>
      </c>
      <c r="AA117" t="inlineStr">
        <is>
          <t>NEED_SOURCE</t>
        </is>
      </c>
      <c r="AB117" t="inlineStr"/>
      <c r="AC117" t="inlineStr">
        <is>
          <t>gun</t>
        </is>
      </c>
      <c r="AD117" t="inlineStr">
        <is>
          <t>US Army M109A7 fact file: 4 rpm for 3 min, 1 rpm sustained</t>
        </is>
      </c>
      <c r="AE117" t="inlineStr">
        <is>
          <t>M284 155 mm</t>
        </is>
      </c>
      <c r="AF117" t="inlineStr">
        <is>
          <t>Tools/balance/full_weapon_audit.py: REAL / WARHEAD; balance.json weapons[id=gun_155_twin_fort].real</t>
        </is>
      </c>
      <c r="AG117" t="inlineStr"/>
    </row>
    <row r="118">
      <c r="A118" t="inlineStr">
        <is>
          <t>gun_155_twin_fort_guided</t>
        </is>
      </c>
      <c r="B118" t="inlineStr">
        <is>
          <t>gun_155_twin_fort_guided</t>
        </is>
      </c>
      <c r="C118" t="inlineStr">
        <is>
          <t>M284 155 mm guided (twin)</t>
        </is>
      </c>
      <c r="D118" t="inlineStr">
        <is>
          <t>doi_that</t>
        </is>
      </c>
      <c r="E118" t="inlineStr">
        <is>
          <t>M284 155 mm guided (twin)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nhịp chậm hơn 30 % và mạnh hơn tương ứng (luật súng của game)</t>
        </is>
      </c>
      <c r="M118" t="inlineStr">
        <is>
          <t>gameplay</t>
        </is>
      </c>
      <c r="N118" t="inlineStr"/>
      <c r="O118" t="inlineStr">
        <is>
          <t>da_kiem_chung</t>
        </is>
      </c>
      <c r="P118" t="inlineStr">
        <is>
          <t>R_balance;R_full_weapon_audit;D_us_army_m109a7_fact_file</t>
        </is>
      </c>
      <c r="Q118" t="inlineStr"/>
      <c r="R1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8" t="n">
        <v>155</v>
      </c>
      <c r="T118" t="inlineStr">
        <is>
          <t>NEED_SOURCE</t>
        </is>
      </c>
      <c r="U118" t="inlineStr">
        <is>
          <t>NEED_SOURCE</t>
        </is>
      </c>
      <c r="V118" t="inlineStr">
        <is>
          <t>NEED_SOURCE</t>
        </is>
      </c>
      <c r="W118" t="inlineStr">
        <is>
          <t>NEED_SOURCE</t>
        </is>
      </c>
      <c r="X118" t="n">
        <v>4</v>
      </c>
      <c r="Y118" t="n">
        <v>1</v>
      </c>
      <c r="Z118" t="inlineStr">
        <is>
          <t>NEED_SOURCE</t>
        </is>
      </c>
      <c r="AA118" t="inlineStr">
        <is>
          <t>NEED_SOURCE</t>
        </is>
      </c>
      <c r="AB118" t="inlineStr"/>
      <c r="AC118" t="inlineStr">
        <is>
          <t>gun</t>
        </is>
      </c>
      <c r="AD118" t="inlineStr">
        <is>
          <t>US Army M109A7 fact file: 4 rpm for 3 min, 1 rpm sustained</t>
        </is>
      </c>
      <c r="AE118" t="inlineStr"/>
      <c r="AF118" t="inlineStr">
        <is>
          <t>Tools/balance/full_weapon_audit.py: REAL / WARHEAD; balance.json weapons[id=gun_155_twin_fort_guided].real</t>
        </is>
      </c>
      <c r="AG118" t="inlineStr"/>
    </row>
    <row r="119">
      <c r="A119" t="inlineStr">
        <is>
          <t>gun_155_twin_long</t>
        </is>
      </c>
      <c r="B119" t="inlineStr">
        <is>
          <t>gun_155_twin_long</t>
        </is>
      </c>
      <c r="C119" t="inlineStr">
        <is>
          <t>M284 155 mm (twin, long)</t>
        </is>
      </c>
      <c r="D119" t="inlineStr">
        <is>
          <t>doi_that</t>
        </is>
      </c>
      <c r="E119" t="inlineStr">
        <is>
          <t>M284 155 mm (twin, long)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nhịp chậm hơn 30 % và mạnh hơn tương ứng (luật súng của game)</t>
        </is>
      </c>
      <c r="M119" t="inlineStr">
        <is>
          <t>gameplay</t>
        </is>
      </c>
      <c r="N119" t="inlineStr"/>
      <c r="O119" t="inlineStr">
        <is>
          <t>da_kiem_chung</t>
        </is>
      </c>
      <c r="P119" t="inlineStr">
        <is>
          <t>R_balance;R_full_weapon_audit;D_us_army_m109a7_fact_file</t>
        </is>
      </c>
      <c r="Q119" t="inlineStr"/>
      <c r="R1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9" t="n">
        <v>155</v>
      </c>
      <c r="T119" t="inlineStr">
        <is>
          <t>NEED_SOURCE</t>
        </is>
      </c>
      <c r="U119" t="inlineStr">
        <is>
          <t>NEED_SOURCE</t>
        </is>
      </c>
      <c r="V119" t="inlineStr">
        <is>
          <t>NEED_SOURCE</t>
        </is>
      </c>
      <c r="W119" t="inlineStr">
        <is>
          <t>NEED_SOURCE</t>
        </is>
      </c>
      <c r="X119" t="n">
        <v>4</v>
      </c>
      <c r="Y119" t="n">
        <v>1</v>
      </c>
      <c r="Z119" t="inlineStr">
        <is>
          <t>NEED_SOURCE</t>
        </is>
      </c>
      <c r="AA119" t="inlineStr">
        <is>
          <t>NEED_SOURCE</t>
        </is>
      </c>
      <c r="AB119" t="inlineStr"/>
      <c r="AC119" t="inlineStr">
        <is>
          <t>gun</t>
        </is>
      </c>
      <c r="AD119" t="inlineStr">
        <is>
          <t>US Army M109A7 fact file: 4 rpm for 3 min, 1 rpm sustained</t>
        </is>
      </c>
      <c r="AE119" t="inlineStr"/>
      <c r="AF119" t="inlineStr">
        <is>
          <t>Tools/balance/full_weapon_audit.py: REAL / WARHEAD; balance.json weapons[id=gun_155_twin_long].real</t>
        </is>
      </c>
      <c r="AG119" t="inlineStr"/>
    </row>
    <row r="120">
      <c r="A120" t="inlineStr">
        <is>
          <t>gun_203_siege</t>
        </is>
      </c>
      <c r="B120" t="inlineStr">
        <is>
          <t>gun_203_siege</t>
        </is>
      </c>
      <c r="C120" t="inlineStr">
        <is>
          <t>M110 203 mm</t>
        </is>
      </c>
      <c r="D120" t="inlineStr">
        <is>
          <t>doi_that</t>
        </is>
      </c>
      <c r="E120" t="inlineStr">
        <is>
          <t>M110 203 mm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nhịp chậm hơn 30 % và mạnh hơn tương ứng (luật súng của game)</t>
        </is>
      </c>
      <c r="M120" t="inlineStr">
        <is>
          <t>gameplay</t>
        </is>
      </c>
      <c r="N120" t="inlineStr"/>
      <c r="O120" t="inlineStr">
        <is>
          <t>da_kiem_chung</t>
        </is>
      </c>
      <c r="P120" t="inlineStr">
        <is>
          <t>R_balance;R_full_weapon_audit;W_wikipedia_m110_howitzer</t>
        </is>
      </c>
      <c r="Q120" t="inlineStr"/>
      <c r="R1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0" t="n">
        <v>203</v>
      </c>
      <c r="T120" t="inlineStr">
        <is>
          <t>NEED_SOURCE</t>
        </is>
      </c>
      <c r="U120" t="inlineStr">
        <is>
          <t>NEED_SOURCE</t>
        </is>
      </c>
      <c r="V120" t="inlineStr">
        <is>
          <t>NEED_SOURCE</t>
        </is>
      </c>
      <c r="W120" t="inlineStr">
        <is>
          <t>NEED_SOURCE</t>
        </is>
      </c>
      <c r="X120" t="n">
        <v>2</v>
      </c>
      <c r="Y120" t="n">
        <v>1</v>
      </c>
      <c r="Z120" t="inlineStr">
        <is>
          <t>NEED_SOURCE</t>
        </is>
      </c>
      <c r="AA120" t="inlineStr">
        <is>
          <t>NEED_SOURCE</t>
        </is>
      </c>
      <c r="AB120" t="inlineStr"/>
      <c r="AC120" t="inlineStr">
        <is>
          <t>gun</t>
        </is>
      </c>
      <c r="AD120" t="inlineStr">
        <is>
          <t>Wikipedia 'M110 howitzer': 1.5-2 rpm</t>
        </is>
      </c>
      <c r="AE120" t="inlineStr"/>
      <c r="AF120" t="inlineStr">
        <is>
          <t>Tools/balance/full_weapon_audit.py: REAL / WARHEAD; balance.json weapons[id=gun_203_siege].real</t>
        </is>
      </c>
      <c r="AG120" t="inlineStr"/>
    </row>
    <row r="121">
      <c r="A121" t="inlineStr">
        <is>
          <t>gun_behemoth</t>
        </is>
      </c>
      <c r="B121" t="inlineStr">
        <is>
          <t>gun_behemoth</t>
        </is>
      </c>
      <c r="C121" t="inlineStr">
        <is>
          <t>2A65 152 mm (twin)</t>
        </is>
      </c>
      <c r="D121" t="inlineStr">
        <is>
          <t>doi_that</t>
        </is>
      </c>
      <c r="E121" t="inlineStr">
        <is>
          <t>2A65 152 mm (twin)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nhịp chậm hơn 30 % và mạnh hơn tương ứng (luật súng của game)</t>
        </is>
      </c>
      <c r="M121" t="inlineStr">
        <is>
          <t>gameplay</t>
        </is>
      </c>
      <c r="N121" t="inlineStr"/>
      <c r="O121" t="inlineStr">
        <is>
          <t>da_kiem_chung</t>
        </is>
      </c>
      <c r="P121" t="inlineStr">
        <is>
          <t>R_balance;R_full_weapon_audit;W_wikipedia_2a65_msta_b</t>
        </is>
      </c>
      <c r="Q121" t="inlineStr"/>
      <c r="R1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1" t="n">
        <v>152</v>
      </c>
      <c r="T121" t="inlineStr">
        <is>
          <t>NEED_SOURCE</t>
        </is>
      </c>
      <c r="U121" t="inlineStr">
        <is>
          <t>NEED_SOURCE</t>
        </is>
      </c>
      <c r="V121" t="inlineStr">
        <is>
          <t>NEED_SOURCE</t>
        </is>
      </c>
      <c r="W121" t="inlineStr">
        <is>
          <t>NEED_SOURCE</t>
        </is>
      </c>
      <c r="X121" t="n">
        <v>8</v>
      </c>
      <c r="Y121" t="n">
        <v>6</v>
      </c>
      <c r="Z121" t="inlineStr">
        <is>
          <t>NEED_SOURCE</t>
        </is>
      </c>
      <c r="AA121" t="inlineStr">
        <is>
          <t>NEED_SOURCE</t>
        </is>
      </c>
      <c r="AB121" t="inlineStr"/>
      <c r="AC121" t="inlineStr">
        <is>
          <t>gun</t>
        </is>
      </c>
      <c r="AD121" t="inlineStr">
        <is>
          <t>Wikipedia '2A65 Msta-B': 7-8 rpm</t>
        </is>
      </c>
      <c r="AE121" t="inlineStr"/>
      <c r="AF121" t="inlineStr">
        <is>
          <t>Tools/balance/full_weapon_audit.py: REAL / WARHEAD; balance.json weapons[id=gun_behemoth].real</t>
        </is>
      </c>
      <c r="AG121" t="inlineStr"/>
    </row>
    <row r="122">
      <c r="A122" t="inlineStr">
        <is>
          <t>gun_behemoth_guided</t>
        </is>
      </c>
      <c r="B122" t="inlineStr">
        <is>
          <t>gun_behemoth_guided</t>
        </is>
      </c>
      <c r="C122" t="inlineStr">
        <is>
          <t>2A65 152 mm guided (twin)</t>
        </is>
      </c>
      <c r="D122" t="inlineStr">
        <is>
          <t>doi_that</t>
        </is>
      </c>
      <c r="E122" t="inlineStr">
        <is>
          <t>2A65 152 mm guided (twin)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nhịp chậm hơn 30 % và mạnh hơn tương ứng (luật súng của game)</t>
        </is>
      </c>
      <c r="M122" t="inlineStr">
        <is>
          <t>gameplay</t>
        </is>
      </c>
      <c r="N122" t="inlineStr"/>
      <c r="O122" t="inlineStr">
        <is>
          <t>da_kiem_chung</t>
        </is>
      </c>
      <c r="P122" t="inlineStr">
        <is>
          <t>R_balance;R_full_weapon_audit;W_wikipedia_2a65_msta_b</t>
        </is>
      </c>
      <c r="Q122" t="inlineStr"/>
      <c r="R1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2" t="n">
        <v>152</v>
      </c>
      <c r="T122" t="inlineStr">
        <is>
          <t>NEED_SOURCE</t>
        </is>
      </c>
      <c r="U122" t="inlineStr">
        <is>
          <t>NEED_SOURCE</t>
        </is>
      </c>
      <c r="V122" t="inlineStr">
        <is>
          <t>NEED_SOURCE</t>
        </is>
      </c>
      <c r="W122" t="inlineStr">
        <is>
          <t>NEED_SOURCE</t>
        </is>
      </c>
      <c r="X122" t="n">
        <v>8</v>
      </c>
      <c r="Y122" t="n">
        <v>6</v>
      </c>
      <c r="Z122" t="inlineStr">
        <is>
          <t>NEED_SOURCE</t>
        </is>
      </c>
      <c r="AA122" t="inlineStr">
        <is>
          <t>NEED_SOURCE</t>
        </is>
      </c>
      <c r="AB122" t="inlineStr"/>
      <c r="AC122" t="inlineStr">
        <is>
          <t>gun</t>
        </is>
      </c>
      <c r="AD122" t="inlineStr">
        <is>
          <t>Wikipedia '2A65 Msta-B': 7-8 rpm</t>
        </is>
      </c>
      <c r="AE122" t="inlineStr"/>
      <c r="AF122" t="inlineStr">
        <is>
          <t>Tools/balance/full_weapon_audit.py: REAL / WARHEAD; balance.json weapons[id=gun_behemoth_guided].real</t>
        </is>
      </c>
      <c r="AG122" t="inlineStr"/>
    </row>
    <row r="123">
      <c r="A123" t="inlineStr">
        <is>
          <t>gun_launched_atgm</t>
        </is>
      </c>
      <c r="B123" t="inlineStr">
        <is>
          <t>gun_launched_atgm</t>
        </is>
      </c>
      <c r="C123" t="inlineStr">
        <is>
          <t>gun-launched ATGM (9M117 class)</t>
        </is>
      </c>
      <c r="D123" t="inlineStr">
        <is>
          <t>doi_that</t>
        </is>
      </c>
      <c r="E123" t="inlineStr">
        <is>
          <t>gun-launched ATGM (9M117 class)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uoc_dinh</t>
        </is>
      </c>
      <c r="P123" t="inlineStr">
        <is>
          <t>R_balance;R_full_weapon_audit</t>
        </is>
      </c>
      <c r="Q123" t="inlineStr"/>
      <c r="R1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3" t="inlineStr">
        <is>
          <t>NEED_SOURCE</t>
        </is>
      </c>
      <c r="T123" t="inlineStr">
        <is>
          <t>NEED_SOURCE</t>
        </is>
      </c>
      <c r="U123" t="inlineStr">
        <is>
          <t>NEED_SOURCE</t>
        </is>
      </c>
      <c r="V123" t="inlineStr">
        <is>
          <t>NEED_SOURCE</t>
        </is>
      </c>
      <c r="W123" t="inlineStr">
        <is>
          <t>NEED_SOURCE</t>
        </is>
      </c>
      <c r="X123" t="n">
        <v>4</v>
      </c>
      <c r="Y123" t="n">
        <v>3</v>
      </c>
      <c r="Z123" t="inlineStr">
        <is>
          <t>NEED_SOURCE</t>
        </is>
      </c>
      <c r="AA123" t="inlineStr">
        <is>
          <t>NEED_SOURCE</t>
        </is>
      </c>
      <c r="AB123" t="inlineStr">
        <is>
          <t>NEED_SOURCE</t>
        </is>
      </c>
      <c r="AC123" t="inlineStr">
        <is>
          <t>atgm</t>
        </is>
      </c>
      <c r="AD123" t="inlineStr">
        <is>
          <t>the gun's own rate with a loaded missile, est. 4 rpm</t>
        </is>
      </c>
      <c r="AE123" t="inlineStr"/>
      <c r="AF123" t="inlineStr">
        <is>
          <t>Tools/balance/full_weapon_audit.py: REAL / WARHEAD; balance.json weapons[id=gun_launched_atgm].real</t>
        </is>
      </c>
      <c r="AG123" t="inlineStr"/>
    </row>
    <row r="124">
      <c r="A124" t="inlineStr">
        <is>
          <t>gun_pit_105</t>
        </is>
      </c>
      <c r="B124" t="inlineStr">
        <is>
          <t>gun_pit_105</t>
        </is>
      </c>
      <c r="C124" t="inlineStr">
        <is>
          <t>Rh-120 L/44 120 mm (dug in)</t>
        </is>
      </c>
      <c r="D124" t="inlineStr">
        <is>
          <t>doi_that</t>
        </is>
      </c>
      <c r="E124" t="inlineStr">
        <is>
          <t>Rh-120 L/44 120 mm (dug in)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nhịp chậm hơn 30 % và mạnh hơn tương ứng (luật súng của game)</t>
        </is>
      </c>
      <c r="M124" t="inlineStr">
        <is>
          <t>gameplay</t>
        </is>
      </c>
      <c r="N124" t="inlineStr"/>
      <c r="O124" t="inlineStr">
        <is>
          <t>da_kiem_chung</t>
        </is>
      </c>
      <c r="P124" t="inlineStr">
        <is>
          <t>R_balance;R_full_weapon_audit;W_wikipedia_rheinmetall_120_mm_gun;R_machine_brigade_can_bang</t>
        </is>
      </c>
      <c r="Q124" t="inlineStr"/>
      <c r="R1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4" t="n">
        <v>120</v>
      </c>
      <c r="T124" t="inlineStr">
        <is>
          <t>NEED_SOURCE</t>
        </is>
      </c>
      <c r="U124" t="inlineStr">
        <is>
          <t>NEED_SOURCE</t>
        </is>
      </c>
      <c r="V124" t="inlineStr">
        <is>
          <t>NEED_SOURCE</t>
        </is>
      </c>
      <c r="W124" t="inlineStr">
        <is>
          <t>NEED_SOURCE</t>
        </is>
      </c>
      <c r="X124" t="n">
        <v>8</v>
      </c>
      <c r="Y124" t="n">
        <v>6</v>
      </c>
      <c r="Z124" t="inlineStr">
        <is>
          <t>tay</t>
        </is>
      </c>
      <c r="AA124" t="inlineStr">
        <is>
          <t>NEED_SOURCE</t>
        </is>
      </c>
      <c r="AB124" t="inlineStr"/>
      <c r="AC124" t="inlineStr">
        <is>
          <t>gun</t>
        </is>
      </c>
      <c r="AD124" t="inlineStr">
        <is>
          <t>the sheet's 'Ngoài đời': Rh-120 6-8 rpm with a loader (Wikipedia 'Rheinmetall 120 mm gun')</t>
        </is>
      </c>
      <c r="AE124" t="inlineStr"/>
      <c r="AF124" t="inlineStr">
        <is>
          <t>Tools/balance/full_weapon_audit.py: REAL / WARHEAD; balance.json weapons[id=gun_pit_105].real</t>
        </is>
      </c>
      <c r="AG124" t="inlineStr"/>
    </row>
    <row r="125">
      <c r="A125" t="inlineStr">
        <is>
          <t>gunship_25mm</t>
        </is>
      </c>
      <c r="B125" t="inlineStr">
        <is>
          <t>gunship_25mm</t>
        </is>
      </c>
      <c r="C125" t="inlineStr">
        <is>
          <t>GAU-12 Equalizer 25 mm</t>
        </is>
      </c>
      <c r="D125" t="inlineStr">
        <is>
          <t>doi_that</t>
        </is>
      </c>
      <c r="E125" t="inlineStr">
        <is>
          <t>GAU-12 Equalizer 25 mm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da_kiem_chung</t>
        </is>
      </c>
      <c r="P125" t="inlineStr">
        <is>
          <t>R_balance;R_full_weapon_audit;W_wikipedia_gau_12_equalizer;R_machine_brigade_can_bang</t>
        </is>
      </c>
      <c r="Q125" t="inlineStr"/>
      <c r="R1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5" t="n">
        <v>25</v>
      </c>
      <c r="T125" t="inlineStr">
        <is>
          <t>NEED_SOURCE</t>
        </is>
      </c>
      <c r="U125" t="inlineStr">
        <is>
          <t>NEED_SOURCE</t>
        </is>
      </c>
      <c r="V125" t="inlineStr">
        <is>
          <t>NEED_SOURCE</t>
        </is>
      </c>
      <c r="W125" t="inlineStr">
        <is>
          <t>NEED_SOURCE</t>
        </is>
      </c>
      <c r="X125" t="n">
        <v>4200</v>
      </c>
      <c r="Y125" t="inlineStr">
        <is>
          <t>NEED_SOURCE</t>
        </is>
      </c>
      <c r="Z125" t="inlineStr">
        <is>
          <t>NEED_SOURCE</t>
        </is>
      </c>
      <c r="AA125" t="inlineStr">
        <is>
          <t>NEED_SOURCE</t>
        </is>
      </c>
      <c r="AB125" t="inlineStr"/>
      <c r="AC125" t="inlineStr">
        <is>
          <t>ac</t>
        </is>
      </c>
      <c r="AD125" t="inlineStr">
        <is>
          <t>Wikipedia 'GAU-12 Equalizer': 3,600-4,200 rpm (1,800 on the AC-130U)</t>
        </is>
      </c>
      <c r="AE125" t="inlineStr">
        <is>
          <t>GAU-12: 3.600–4.200</t>
        </is>
      </c>
      <c r="AF125" t="inlineStr">
        <is>
          <t>Tools/balance/full_weapon_audit.py: REAL / WARHEAD; balance.json weapons[id=gunship_25mm].real</t>
        </is>
      </c>
      <c r="AG125" t="inlineStr"/>
    </row>
    <row r="126">
      <c r="A126" t="inlineStr">
        <is>
          <t>gunship_25mm_flak</t>
        </is>
      </c>
      <c r="B126" t="inlineStr">
        <is>
          <t>gunship_25mm_flak</t>
        </is>
      </c>
      <c r="C126" t="inlineStr">
        <is>
          <t>GAU-12 Equalizer 25 mm air-burst</t>
        </is>
      </c>
      <c r="D126" t="inlineStr">
        <is>
          <t>doi_that</t>
        </is>
      </c>
      <c r="E126" t="inlineStr">
        <is>
          <t>GAU-12 Equalizer 25 mm air-burst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da_kiem_chung</t>
        </is>
      </c>
      <c r="P126" t="inlineStr">
        <is>
          <t>R_balance;R_full_weapon_audit;W_wikipedia_gau_12_equalizer</t>
        </is>
      </c>
      <c r="Q126" t="inlineStr"/>
      <c r="R1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6" t="n">
        <v>25</v>
      </c>
      <c r="T126" t="inlineStr">
        <is>
          <t>NEED_SOURCE</t>
        </is>
      </c>
      <c r="U126" t="inlineStr">
        <is>
          <t>NEED_SOURCE</t>
        </is>
      </c>
      <c r="V126" t="inlineStr">
        <is>
          <t>NEED_SOURCE</t>
        </is>
      </c>
      <c r="W126" t="inlineStr">
        <is>
          <t>NEED_SOURCE</t>
        </is>
      </c>
      <c r="X126" t="n">
        <v>4200</v>
      </c>
      <c r="Y126" t="inlineStr">
        <is>
          <t>NEED_SOURCE</t>
        </is>
      </c>
      <c r="Z126" t="inlineStr">
        <is>
          <t>NEED_SOURCE</t>
        </is>
      </c>
      <c r="AA126" t="inlineStr">
        <is>
          <t>NEED_SOURCE</t>
        </is>
      </c>
      <c r="AB126" t="inlineStr"/>
      <c r="AC126" t="inlineStr">
        <is>
          <t>ac</t>
        </is>
      </c>
      <c r="AD126" t="inlineStr">
        <is>
          <t>Wikipedia 'GAU-12 Equalizer': 3,600-4,200 rpm (1,800 on the AC-130U)</t>
        </is>
      </c>
      <c r="AE126" t="inlineStr"/>
      <c r="AF126" t="inlineStr">
        <is>
          <t>Tools/balance/full_weapon_audit.py: REAL / WARHEAD; balance.json weapons[id=gunship_25mm_flak].real</t>
        </is>
      </c>
      <c r="AG126" t="inlineStr"/>
    </row>
    <row r="127">
      <c r="A127" t="inlineStr">
        <is>
          <t>gunship_40mm</t>
        </is>
      </c>
      <c r="B127" t="inlineStr">
        <is>
          <t>gunship_40mm</t>
        </is>
      </c>
      <c r="C127" t="inlineStr">
        <is>
          <t>Bofors L/60 40 mm</t>
        </is>
      </c>
      <c r="D127" t="inlineStr">
        <is>
          <t>doi_that</t>
        </is>
      </c>
      <c r="E127" t="inlineStr">
        <is>
          <t>Bofors L/60 40 mm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da_kiem_chung</t>
        </is>
      </c>
      <c r="P127" t="inlineStr">
        <is>
          <t>R_balance;R_full_weapon_audit;W_wikipedia_bofors_40_mm_l_60;R_machine_brigade_can_bang</t>
        </is>
      </c>
      <c r="Q127" t="inlineStr"/>
      <c r="R1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7" t="n">
        <v>40</v>
      </c>
      <c r="T127" t="inlineStr">
        <is>
          <t>NEED_SOURCE</t>
        </is>
      </c>
      <c r="U127" t="inlineStr">
        <is>
          <t>NEED_SOURCE</t>
        </is>
      </c>
      <c r="V127" t="inlineStr">
        <is>
          <t>NEED_SOURCE</t>
        </is>
      </c>
      <c r="W127" t="inlineStr">
        <is>
          <t>NEED_SOURCE</t>
        </is>
      </c>
      <c r="X127" t="n">
        <v>120</v>
      </c>
      <c r="Y127" t="n">
        <v>80</v>
      </c>
      <c r="Z127" t="inlineStr">
        <is>
          <t>NEED_SOURCE</t>
        </is>
      </c>
      <c r="AA127" t="inlineStr">
        <is>
          <t>NEED_SOURCE</t>
        </is>
      </c>
      <c r="AB127" t="inlineStr"/>
      <c r="AC127" t="inlineStr">
        <is>
          <t>aa</t>
        </is>
      </c>
      <c r="AD127" t="inlineStr">
        <is>
          <t>Wikipedia 'Bofors 40 mm L/60': 120 rpm</t>
        </is>
      </c>
      <c r="AE127" t="inlineStr">
        <is>
          <t>Bofors L/60: 120 phát/phút</t>
        </is>
      </c>
      <c r="AF127" t="inlineStr">
        <is>
          <t>Tools/balance/full_weapon_audit.py: REAL / WARHEAD; balance.json weapons[id=gunship_40mm].real</t>
        </is>
      </c>
      <c r="AG127" t="inlineStr"/>
    </row>
    <row r="128">
      <c r="A128" t="inlineStr">
        <is>
          <t>gunship_40mm_ap</t>
        </is>
      </c>
      <c r="B128" t="inlineStr">
        <is>
          <t>gunship_40mm_ap</t>
        </is>
      </c>
      <c r="C128" t="inlineStr">
        <is>
          <t>Bofors L/60 40 mm AP</t>
        </is>
      </c>
      <c r="D128" t="inlineStr">
        <is>
          <t>doi_that</t>
        </is>
      </c>
      <c r="E128" t="inlineStr">
        <is>
          <t>Bofors L/60 40 mm AP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da_kiem_chung</t>
        </is>
      </c>
      <c r="P128" t="inlineStr">
        <is>
          <t>R_balance;R_full_weapon_audit;W_wikipedia_bofors_40_mm_l_60</t>
        </is>
      </c>
      <c r="Q128" t="inlineStr"/>
      <c r="R1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8" t="n">
        <v>40</v>
      </c>
      <c r="T128" t="inlineStr">
        <is>
          <t>NEED_SOURCE</t>
        </is>
      </c>
      <c r="U128" t="inlineStr">
        <is>
          <t>NEED_SOURCE</t>
        </is>
      </c>
      <c r="V128" t="inlineStr">
        <is>
          <t>NEED_SOURCE</t>
        </is>
      </c>
      <c r="W128" t="inlineStr">
        <is>
          <t>NEED_SOURCE</t>
        </is>
      </c>
      <c r="X128" t="n">
        <v>120</v>
      </c>
      <c r="Y128" t="n">
        <v>80</v>
      </c>
      <c r="Z128" t="inlineStr">
        <is>
          <t>NEED_SOURCE</t>
        </is>
      </c>
      <c r="AA128" t="inlineStr">
        <is>
          <t>NEED_SOURCE</t>
        </is>
      </c>
      <c r="AB128" t="inlineStr"/>
      <c r="AC128" t="inlineStr">
        <is>
          <t>aa</t>
        </is>
      </c>
      <c r="AD128" t="inlineStr">
        <is>
          <t>Wikipedia 'Bofors 40 mm L/60': 120 rpm</t>
        </is>
      </c>
      <c r="AE128" t="inlineStr"/>
      <c r="AF128" t="inlineStr">
        <is>
          <t>Tools/balance/full_weapon_audit.py: REAL / WARHEAD; balance.json weapons[id=gunship_40mm_ap].real</t>
        </is>
      </c>
      <c r="AG128" t="inlineStr"/>
    </row>
    <row r="129">
      <c r="A129" t="inlineStr">
        <is>
          <t>gunship_40mm_flak</t>
        </is>
      </c>
      <c r="B129" t="inlineStr">
        <is>
          <t>gunship_40mm_flak</t>
        </is>
      </c>
      <c r="C129" t="inlineStr">
        <is>
          <t>Bofors L/60 40 mm air-burst</t>
        </is>
      </c>
      <c r="D129" t="inlineStr">
        <is>
          <t>doi_that</t>
        </is>
      </c>
      <c r="E129" t="inlineStr">
        <is>
          <t>Bofors L/60 40 mm air-burst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da_kiem_chung</t>
        </is>
      </c>
      <c r="P129" t="inlineStr">
        <is>
          <t>R_balance;R_full_weapon_audit;W_wikipedia_bofors_40_mm_l_60</t>
        </is>
      </c>
      <c r="Q129" t="inlineStr"/>
      <c r="R1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9" t="n">
        <v>40</v>
      </c>
      <c r="T129" t="inlineStr">
        <is>
          <t>NEED_SOURCE</t>
        </is>
      </c>
      <c r="U129" t="inlineStr">
        <is>
          <t>NEED_SOURCE</t>
        </is>
      </c>
      <c r="V129" t="inlineStr">
        <is>
          <t>NEED_SOURCE</t>
        </is>
      </c>
      <c r="W129" t="inlineStr">
        <is>
          <t>NEED_SOURCE</t>
        </is>
      </c>
      <c r="X129" t="n">
        <v>120</v>
      </c>
      <c r="Y129" t="n">
        <v>80</v>
      </c>
      <c r="Z129" t="inlineStr">
        <is>
          <t>NEED_SOURCE</t>
        </is>
      </c>
      <c r="AA129" t="inlineStr">
        <is>
          <t>NEED_SOURCE</t>
        </is>
      </c>
      <c r="AB129" t="inlineStr"/>
      <c r="AC129" t="inlineStr">
        <is>
          <t>aa</t>
        </is>
      </c>
      <c r="AD129" t="inlineStr">
        <is>
          <t>Wikipedia 'Bofors 40 mm L/60': 120 rpm</t>
        </is>
      </c>
      <c r="AE129" t="inlineStr"/>
      <c r="AF129" t="inlineStr">
        <is>
          <t>Tools/balance/full_weapon_audit.py: REAL / WARHEAD; balance.json weapons[id=gunship_40mm_flak].real</t>
        </is>
      </c>
      <c r="AG129" t="inlineStr"/>
    </row>
    <row r="130">
      <c r="A130" t="inlineStr">
        <is>
          <t>gunship_105</t>
        </is>
      </c>
      <c r="B130" t="inlineStr">
        <is>
          <t>gunship_105</t>
        </is>
      </c>
      <c r="C130" t="inlineStr">
        <is>
          <t>M102 105 mm</t>
        </is>
      </c>
      <c r="D130" t="inlineStr">
        <is>
          <t>doi_that</t>
        </is>
      </c>
      <c r="E130" t="inlineStr">
        <is>
          <t>M102 105 mm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nhịp chậm hơn 30 % và mạnh hơn tương ứng (luật súng của game)</t>
        </is>
      </c>
      <c r="M130" t="inlineStr">
        <is>
          <t>gameplay</t>
        </is>
      </c>
      <c r="N130" t="inlineStr"/>
      <c r="O130" t="inlineStr">
        <is>
          <t>da_kiem_chung</t>
        </is>
      </c>
      <c r="P130" t="inlineStr">
        <is>
          <t>R_balance;R_full_weapon_audit;W_wikipedia_m102_howitzer;R_machine_brigade_can_bang</t>
        </is>
      </c>
      <c r="Q130" t="inlineStr"/>
      <c r="R1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0" t="n">
        <v>105</v>
      </c>
      <c r="T130" t="inlineStr">
        <is>
          <t>NEED_SOURCE</t>
        </is>
      </c>
      <c r="U130" t="inlineStr">
        <is>
          <t>NEED_SOURCE</t>
        </is>
      </c>
      <c r="V130" t="inlineStr">
        <is>
          <t>NEED_SOURCE</t>
        </is>
      </c>
      <c r="W130" t="inlineStr">
        <is>
          <t>NEED_SOURCE</t>
        </is>
      </c>
      <c r="X130" t="n">
        <v>10</v>
      </c>
      <c r="Y130" t="n">
        <v>3</v>
      </c>
      <c r="Z130" t="inlineStr">
        <is>
          <t>NEED_SOURCE</t>
        </is>
      </c>
      <c r="AA130" t="inlineStr">
        <is>
          <t>NEED_SOURCE</t>
        </is>
      </c>
      <c r="AB130" t="inlineStr"/>
      <c r="AC130" t="inlineStr">
        <is>
          <t>gun</t>
        </is>
      </c>
      <c r="AD130" t="inlineStr">
        <is>
          <t>the sheet's 'Ngoài đời': M102 10 rpm (Wikipedia 'M102 howitzer')</t>
        </is>
      </c>
      <c r="AE130" t="inlineStr">
        <is>
          <t>M102 105 mm: 10 phát/phút</t>
        </is>
      </c>
      <c r="AF130" t="inlineStr">
        <is>
          <t>Tools/balance/full_weapon_audit.py: REAL / WARHEAD; balance.json weapons[id=gunship_105].real</t>
        </is>
      </c>
      <c r="AG130" t="inlineStr"/>
    </row>
    <row r="131">
      <c r="A131" t="inlineStr">
        <is>
          <t>gunship_105_guided</t>
        </is>
      </c>
      <c r="B131" t="inlineStr">
        <is>
          <t>gunship_105_guided</t>
        </is>
      </c>
      <c r="C131" t="inlineStr">
        <is>
          <t>M102 105 mm guided</t>
        </is>
      </c>
      <c r="D131" t="inlineStr">
        <is>
          <t>doi_that</t>
        </is>
      </c>
      <c r="E131" t="inlineStr">
        <is>
          <t>M102 105 mm guided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nhịp chậm hơn 30 % và mạnh hơn tương ứng (luật súng của game)</t>
        </is>
      </c>
      <c r="M131" t="inlineStr">
        <is>
          <t>gameplay</t>
        </is>
      </c>
      <c r="N131" t="inlineStr"/>
      <c r="O131" t="inlineStr">
        <is>
          <t>da_kiem_chung</t>
        </is>
      </c>
      <c r="P131" t="inlineStr">
        <is>
          <t>R_balance;R_full_weapon_audit;W_wikipedia_m102_howitzer;R_machine_brigade_can_bang</t>
        </is>
      </c>
      <c r="Q131" t="inlineStr"/>
      <c r="R1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1" t="n">
        <v>105</v>
      </c>
      <c r="T131" t="inlineStr">
        <is>
          <t>NEED_SOURCE</t>
        </is>
      </c>
      <c r="U131" t="inlineStr">
        <is>
          <t>NEED_SOURCE</t>
        </is>
      </c>
      <c r="V131" t="inlineStr">
        <is>
          <t>NEED_SOURCE</t>
        </is>
      </c>
      <c r="W131" t="inlineStr">
        <is>
          <t>NEED_SOURCE</t>
        </is>
      </c>
      <c r="X131" t="n">
        <v>10</v>
      </c>
      <c r="Y131" t="n">
        <v>3</v>
      </c>
      <c r="Z131" t="inlineStr">
        <is>
          <t>NEED_SOURCE</t>
        </is>
      </c>
      <c r="AA131" t="inlineStr">
        <is>
          <t>NEED_SOURCE</t>
        </is>
      </c>
      <c r="AB131" t="inlineStr"/>
      <c r="AC131" t="inlineStr">
        <is>
          <t>gun</t>
        </is>
      </c>
      <c r="AD131" t="inlineStr">
        <is>
          <t>the sheet's 'Ngoài đời': M102 10 rpm (Wikipedia 'M102 howitzer')</t>
        </is>
      </c>
      <c r="AE131" t="inlineStr"/>
      <c r="AF131" t="inlineStr">
        <is>
          <t>Tools/balance/full_weapon_audit.py: REAL / WARHEAD; balance.json weapons[id=gunship_105_guided].real</t>
        </is>
      </c>
      <c r="AG131" t="inlineStr"/>
    </row>
    <row r="132">
      <c r="A132" t="inlineStr">
        <is>
          <t>gunship_rockets</t>
        </is>
      </c>
      <c r="B132" t="inlineStr">
        <is>
          <t>gunship_rockets</t>
        </is>
      </c>
      <c r="C132" t="inlineStr">
        <is>
          <t>S-8 80 mm</t>
        </is>
      </c>
      <c r="D132" t="inlineStr">
        <is>
          <t>doi_that</t>
        </is>
      </c>
      <c r="E132" t="inlineStr">
        <is>
          <t>S-8 80 mm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ban_dau_doan</t>
        </is>
      </c>
      <c r="P132" t="inlineStr">
        <is>
          <t>R_balance;R_full_weapon_audit;R_decisions;R_machine_brigade_can_bang</t>
        </is>
      </c>
      <c r="Q132" t="inlineStr"/>
      <c r="R1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2" t="n">
        <v>80</v>
      </c>
      <c r="T132" t="inlineStr">
        <is>
          <t>NEED_SOURCE</t>
        </is>
      </c>
      <c r="U132" t="inlineStr">
        <is>
          <t>NEED_SOURCE</t>
        </is>
      </c>
      <c r="V132" t="inlineStr">
        <is>
          <t>NEED_SOURCE</t>
        </is>
      </c>
      <c r="W132" t="inlineStr">
        <is>
          <t>NEED_SOURCE</t>
        </is>
      </c>
      <c r="X132" t="n">
        <v>900</v>
      </c>
      <c r="Y132" t="inlineStr">
        <is>
          <t>NEED_SOURCE</t>
        </is>
      </c>
      <c r="Z132" t="inlineStr">
        <is>
          <t>NEED_SOURCE</t>
        </is>
      </c>
      <c r="AA132" t="inlineStr">
        <is>
          <t>NEED_SOURCE</t>
        </is>
      </c>
      <c r="AB132" t="inlineStr"/>
      <c r="AC132" t="inlineStr">
        <is>
          <t>rocket</t>
        </is>
      </c>
      <c r="AD132" t="inlineStr">
        <is>
          <t>rocket pods: ripples of 0.05-0.12 s (DECISIONS 19R)</t>
        </is>
      </c>
      <c r="AE132" t="inlineStr">
        <is>
          <t>S-8 80 mm</t>
        </is>
      </c>
      <c r="AF132" t="inlineStr">
        <is>
          <t>Tools/balance/full_weapon_audit.py: REAL / WARHEAD; balance.json weapons[id=gunship_rockets].real</t>
        </is>
      </c>
      <c r="AG132" t="inlineStr"/>
    </row>
    <row r="133">
      <c r="A133" t="inlineStr">
        <is>
          <t>hel_beam</t>
        </is>
      </c>
      <c r="B133" t="inlineStr">
        <is>
          <t>hel_beam</t>
        </is>
      </c>
      <c r="C133" t="inlineStr">
        <is>
          <t>Iron Beam laser (100 kW)</t>
        </is>
      </c>
      <c r="D133" t="inlineStr">
        <is>
          <t>doi_that</t>
        </is>
      </c>
      <c r="E133" t="inlineStr">
        <is>
          <t>Iron Beam laser (100 kW)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ban_dau_doan</t>
        </is>
      </c>
      <c r="P133" t="inlineStr">
        <is>
          <t>R_balance;R_machine_brigade_can_bang</t>
        </is>
      </c>
      <c r="Q133" t="inlineStr"/>
      <c r="R13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3" t="inlineStr">
        <is>
          <t>NEED_SOURCE</t>
        </is>
      </c>
      <c r="T133" t="inlineStr">
        <is>
          <t>NEED_SOURCE</t>
        </is>
      </c>
      <c r="U133" t="inlineStr">
        <is>
          <t>NEED_SOURCE</t>
        </is>
      </c>
      <c r="V133" t="inlineStr">
        <is>
          <t>NEED_SOURCE</t>
        </is>
      </c>
      <c r="W133" t="inlineStr">
        <is>
          <t>NEED_SOURCE</t>
        </is>
      </c>
      <c r="X133" t="inlineStr">
        <is>
          <t>NEED_SOURCE</t>
        </is>
      </c>
      <c r="Y133" t="inlineStr">
        <is>
          <t>NEED_SOURCE</t>
        </is>
      </c>
      <c r="Z133" t="inlineStr">
        <is>
          <t>NEED_SOURCE</t>
        </is>
      </c>
      <c r="AA133" t="inlineStr">
        <is>
          <t>NEED_SOURCE</t>
        </is>
      </c>
      <c r="AB133" t="inlineStr"/>
      <c r="AC133" t="inlineStr"/>
      <c r="AD133" t="inlineStr"/>
      <c r="AE133" t="inlineStr">
        <is>
          <t>Iron Beam: laser 100 kW, chủ yếu đánh chặn drone, rốc-két, cối</t>
        </is>
      </c>
      <c r="AF133" t="inlineStr">
        <is>
          <t>Tools/balance/full_weapon_audit.py: REAL / WARHEAD; balance.json weapons[id=hel_beam].real</t>
        </is>
      </c>
      <c r="AG133" t="inlineStr"/>
    </row>
    <row r="134">
      <c r="A134" t="inlineStr">
        <is>
          <t>heli_gun</t>
        </is>
      </c>
      <c r="B134" t="inlineStr">
        <is>
          <t>heli_gun</t>
        </is>
      </c>
      <c r="C134" t="inlineStr">
        <is>
          <t>M230 30 mm</t>
        </is>
      </c>
      <c r="D134" t="inlineStr">
        <is>
          <t>doi_that</t>
        </is>
      </c>
      <c r="E134" t="inlineStr">
        <is>
          <t>M230 30 mm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da_kiem_chung</t>
        </is>
      </c>
      <c r="P134" t="inlineStr">
        <is>
          <t>R_balance;R_full_weapon_audit;W_wikipedia_m230_chain_gun;R_machine_brigade_can_bang</t>
        </is>
      </c>
      <c r="Q134" t="inlineStr"/>
      <c r="R13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4" t="n">
        <v>30</v>
      </c>
      <c r="T134" t="inlineStr">
        <is>
          <t>NEED_SOURCE</t>
        </is>
      </c>
      <c r="U134" t="inlineStr">
        <is>
          <t>NEED_SOURCE</t>
        </is>
      </c>
      <c r="V134" t="inlineStr">
        <is>
          <t>NEED_SOURCE</t>
        </is>
      </c>
      <c r="W134" t="inlineStr">
        <is>
          <t>NEED_SOURCE</t>
        </is>
      </c>
      <c r="X134" t="n">
        <v>625</v>
      </c>
      <c r="Y134" t="n">
        <v>300</v>
      </c>
      <c r="Z134" t="inlineStr">
        <is>
          <t>NEED_SOURCE</t>
        </is>
      </c>
      <c r="AA134" t="inlineStr">
        <is>
          <t>NEED_SOURCE</t>
        </is>
      </c>
      <c r="AB134" t="inlineStr"/>
      <c r="AC134" t="inlineStr">
        <is>
          <t>ac</t>
        </is>
      </c>
      <c r="AD134" t="inlineStr">
        <is>
          <t>Wikipedia 'M230 chain gun': 625 rpm</t>
        </is>
      </c>
      <c r="AE134" t="inlineStr">
        <is>
          <t>M230: 625</t>
        </is>
      </c>
      <c r="AF134" t="inlineStr">
        <is>
          <t>Tools/balance/full_weapon_audit.py: REAL / WARHEAD; balance.json weapons[id=heli_gun].real</t>
        </is>
      </c>
      <c r="AG134" t="inlineStr"/>
    </row>
    <row r="135">
      <c r="A135" t="inlineStr">
        <is>
          <t>heli_gun_flak</t>
        </is>
      </c>
      <c r="B135" t="inlineStr">
        <is>
          <t>heli_gun_flak</t>
        </is>
      </c>
      <c r="C135" t="inlineStr">
        <is>
          <t>M230 30 mm air-burst</t>
        </is>
      </c>
      <c r="D135" t="inlineStr">
        <is>
          <t>doi_that</t>
        </is>
      </c>
      <c r="E135" t="inlineStr">
        <is>
          <t>M230 30 mm air-burst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da_kiem_chung</t>
        </is>
      </c>
      <c r="P135" t="inlineStr">
        <is>
          <t>R_balance;R_full_weapon_audit;W_wikipedia_m230_chain_gun</t>
        </is>
      </c>
      <c r="Q135" t="inlineStr"/>
      <c r="R13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5" t="n">
        <v>30</v>
      </c>
      <c r="T135" t="inlineStr">
        <is>
          <t>NEED_SOURCE</t>
        </is>
      </c>
      <c r="U135" t="inlineStr">
        <is>
          <t>NEED_SOURCE</t>
        </is>
      </c>
      <c r="V135" t="inlineStr">
        <is>
          <t>NEED_SOURCE</t>
        </is>
      </c>
      <c r="W135" t="inlineStr">
        <is>
          <t>NEED_SOURCE</t>
        </is>
      </c>
      <c r="X135" t="n">
        <v>625</v>
      </c>
      <c r="Y135" t="n">
        <v>300</v>
      </c>
      <c r="Z135" t="inlineStr">
        <is>
          <t>NEED_SOURCE</t>
        </is>
      </c>
      <c r="AA135" t="inlineStr">
        <is>
          <t>NEED_SOURCE</t>
        </is>
      </c>
      <c r="AB135" t="inlineStr"/>
      <c r="AC135" t="inlineStr">
        <is>
          <t>ac</t>
        </is>
      </c>
      <c r="AD135" t="inlineStr">
        <is>
          <t>Wikipedia 'M230 chain gun': 625 rpm</t>
        </is>
      </c>
      <c r="AE135" t="inlineStr"/>
      <c r="AF135" t="inlineStr">
        <is>
          <t>Tools/balance/full_weapon_audit.py: REAL / WARHEAD; balance.json weapons[id=heli_gun_flak].real</t>
        </is>
      </c>
      <c r="AG135" t="inlineStr"/>
    </row>
    <row r="136">
      <c r="A136" t="inlineStr">
        <is>
          <t>heli_rockets</t>
        </is>
      </c>
      <c r="B136" t="inlineStr">
        <is>
          <t>heli_rockets</t>
        </is>
      </c>
      <c r="C136" t="inlineStr">
        <is>
          <t>Hydra 70 mm</t>
        </is>
      </c>
      <c r="D136" t="inlineStr">
        <is>
          <t>doi_that</t>
        </is>
      </c>
      <c r="E136" t="inlineStr">
        <is>
          <t>Hydra 70 mm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ban_dau_doan</t>
        </is>
      </c>
      <c r="P136" t="inlineStr">
        <is>
          <t>R_balance;R_full_weapon_audit;R_decisions;R_machine_brigade_can_bang</t>
        </is>
      </c>
      <c r="Q136" t="inlineStr"/>
      <c r="R13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6" t="n">
        <v>70</v>
      </c>
      <c r="T136" t="inlineStr">
        <is>
          <t>NEED_SOURCE</t>
        </is>
      </c>
      <c r="U136" t="inlineStr">
        <is>
          <t>NEED_SOURCE</t>
        </is>
      </c>
      <c r="V136" t="inlineStr">
        <is>
          <t>NEED_SOURCE</t>
        </is>
      </c>
      <c r="W136" t="inlineStr">
        <is>
          <t>NEED_SOURCE</t>
        </is>
      </c>
      <c r="X136" t="n">
        <v>900</v>
      </c>
      <c r="Y136" t="inlineStr">
        <is>
          <t>NEED_SOURCE</t>
        </is>
      </c>
      <c r="Z136" t="inlineStr">
        <is>
          <t>NEED_SOURCE</t>
        </is>
      </c>
      <c r="AA136" t="inlineStr">
        <is>
          <t>NEED_SOURCE</t>
        </is>
      </c>
      <c r="AB136" t="inlineStr"/>
      <c r="AC136" t="inlineStr">
        <is>
          <t>rocket</t>
        </is>
      </c>
      <c r="AD136" t="inlineStr">
        <is>
          <t>rocket pods: ripples of 0.05-0.12 s (DECISIONS 19R)</t>
        </is>
      </c>
      <c r="AE136" t="inlineStr">
        <is>
          <t>Hydra 70</t>
        </is>
      </c>
      <c r="AF136" t="inlineStr">
        <is>
          <t>Tools/balance/full_weapon_audit.py: REAL / WARHEAD; balance.json weapons[id=heli_rockets].real</t>
        </is>
      </c>
      <c r="AG136" t="inlineStr"/>
    </row>
    <row r="137">
      <c r="A137" t="inlineStr">
        <is>
          <t>hellfire_standoff</t>
        </is>
      </c>
      <c r="B137" t="inlineStr">
        <is>
          <t>hellfire_standoff</t>
        </is>
      </c>
      <c r="C137" t="inlineStr">
        <is>
          <t>AGM-114L Hellfire Longbow</t>
        </is>
      </c>
      <c r="D137" t="inlineStr">
        <is>
          <t>doi_that</t>
        </is>
      </c>
      <c r="E137" t="inlineStr">
        <is>
          <t>AGM-114L Hellfire Longbow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uoc_dinh</t>
        </is>
      </c>
      <c r="P137" t="inlineStr">
        <is>
          <t>R_balance;R_full_weapon_audit;W_wikipedia_bai_cua_tung_ten_lua_bang_warhead;R_machine_brigade_can_bang</t>
        </is>
      </c>
      <c r="Q137" t="inlineStr"/>
      <c r="R13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7" t="inlineStr">
        <is>
          <t>NEED_SOURCE</t>
        </is>
      </c>
      <c r="T137" t="inlineStr">
        <is>
          <t>NEED_SOURCE</t>
        </is>
      </c>
      <c r="U137" t="inlineStr">
        <is>
          <t>NEED_SOURCE</t>
        </is>
      </c>
      <c r="V137" t="inlineStr">
        <is>
          <t>NEED_SOURCE</t>
        </is>
      </c>
      <c r="W137" t="inlineStr">
        <is>
          <t>NEED_SOURCE</t>
        </is>
      </c>
      <c r="X137" t="n">
        <v>60</v>
      </c>
      <c r="Y137" t="n">
        <v>10</v>
      </c>
      <c r="Z137" t="inlineStr">
        <is>
          <t>NEED_SOURCE</t>
        </is>
      </c>
      <c r="AA137" t="inlineStr">
        <is>
          <t>NEED_SOURCE</t>
        </is>
      </c>
      <c r="AB137" t="n">
        <v>9</v>
      </c>
      <c r="AC137" t="inlineStr">
        <is>
          <t>atgm</t>
        </is>
      </c>
      <c r="AD137" t="inlineStr">
        <is>
          <t>air-launched: ripples ~1 s apart, est. 6 s an aimed shot</t>
        </is>
      </c>
      <c r="AE137" t="inlineStr">
        <is>
          <t>Hellfire L (radar): 8 km</t>
        </is>
      </c>
      <c r="AF137" t="inlineStr">
        <is>
          <t>Tools/balance/full_weapon_audit.py: REAL / WARHEAD; balance.json weapons[id=hellfire_standoff].real</t>
        </is>
      </c>
      <c r="AG137" t="inlineStr"/>
    </row>
    <row r="138">
      <c r="A138" t="inlineStr">
        <is>
          <t>hellfire_volley</t>
        </is>
      </c>
      <c r="B138" t="inlineStr">
        <is>
          <t>hellfire_volley</t>
        </is>
      </c>
      <c r="C138" t="inlineStr">
        <is>
          <t>AGM-114L Hellfire Longbow</t>
        </is>
      </c>
      <c r="D138" t="inlineStr">
        <is>
          <t>doi_that</t>
        </is>
      </c>
      <c r="E138" t="inlineStr">
        <is>
          <t>AGM-114L Hellfire Longbow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uoc_dinh</t>
        </is>
      </c>
      <c r="P138" t="inlineStr">
        <is>
          <t>R_balance;R_full_weapon_audit;W_wikipedia_bai_cua_tung_ten_lua_bang_warhead;R_machine_brigade_can_bang</t>
        </is>
      </c>
      <c r="Q138" t="inlineStr"/>
      <c r="R13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8" t="inlineStr">
        <is>
          <t>NEED_SOURCE</t>
        </is>
      </c>
      <c r="T138" t="inlineStr">
        <is>
          <t>NEED_SOURCE</t>
        </is>
      </c>
      <c r="U138" t="inlineStr">
        <is>
          <t>NEED_SOURCE</t>
        </is>
      </c>
      <c r="V138" t="inlineStr">
        <is>
          <t>NEED_SOURCE</t>
        </is>
      </c>
      <c r="W138" t="inlineStr">
        <is>
          <t>NEED_SOURCE</t>
        </is>
      </c>
      <c r="X138" t="n">
        <v>60</v>
      </c>
      <c r="Y138" t="n">
        <v>10</v>
      </c>
      <c r="Z138" t="inlineStr">
        <is>
          <t>NEED_SOURCE</t>
        </is>
      </c>
      <c r="AA138" t="inlineStr">
        <is>
          <t>NEED_SOURCE</t>
        </is>
      </c>
      <c r="AB138" t="n">
        <v>9</v>
      </c>
      <c r="AC138" t="inlineStr">
        <is>
          <t>atgm</t>
        </is>
      </c>
      <c r="AD138" t="inlineStr">
        <is>
          <t>air-launched: ripples ~1 s apart, est. 6 s an aimed shot</t>
        </is>
      </c>
      <c r="AE138" t="inlineStr">
        <is>
          <t>Hellfire L</t>
        </is>
      </c>
      <c r="AF138" t="inlineStr">
        <is>
          <t>Tools/balance/full_weapon_audit.py: REAL / WARHEAD; balance.json weapons[id=hellfire_volley].real</t>
        </is>
      </c>
      <c r="AG138" t="inlineStr"/>
    </row>
    <row r="139">
      <c r="A139" t="inlineStr">
        <is>
          <t>hind_rockets</t>
        </is>
      </c>
      <c r="B139" t="inlineStr">
        <is>
          <t>hind_rockets</t>
        </is>
      </c>
      <c r="C139" t="inlineStr">
        <is>
          <t>S-8 80 mm</t>
        </is>
      </c>
      <c r="D139" t="inlineStr">
        <is>
          <t>doi_that</t>
        </is>
      </c>
      <c r="E139" t="inlineStr">
        <is>
          <t>S-8 80 mm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ban_dau_doan</t>
        </is>
      </c>
      <c r="P139" t="inlineStr">
        <is>
          <t>R_balance;R_full_weapon_audit;R_decisions</t>
        </is>
      </c>
      <c r="Q139" t="inlineStr"/>
      <c r="R13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9" t="n">
        <v>80</v>
      </c>
      <c r="T139" t="inlineStr">
        <is>
          <t>NEED_SOURCE</t>
        </is>
      </c>
      <c r="U139" t="inlineStr">
        <is>
          <t>NEED_SOURCE</t>
        </is>
      </c>
      <c r="V139" t="inlineStr">
        <is>
          <t>NEED_SOURCE</t>
        </is>
      </c>
      <c r="W139" t="inlineStr">
        <is>
          <t>NEED_SOURCE</t>
        </is>
      </c>
      <c r="X139" t="n">
        <v>900</v>
      </c>
      <c r="Y139" t="inlineStr">
        <is>
          <t>NEED_SOURCE</t>
        </is>
      </c>
      <c r="Z139" t="inlineStr">
        <is>
          <t>NEED_SOURCE</t>
        </is>
      </c>
      <c r="AA139" t="inlineStr">
        <is>
          <t>NEED_SOURCE</t>
        </is>
      </c>
      <c r="AB139" t="inlineStr"/>
      <c r="AC139" t="inlineStr">
        <is>
          <t>rocket</t>
        </is>
      </c>
      <c r="AD139" t="inlineStr">
        <is>
          <t>rocket pods: ripples of 0.05-0.12 s (DECISIONS 19R)</t>
        </is>
      </c>
      <c r="AE139" t="inlineStr"/>
      <c r="AF139" t="inlineStr">
        <is>
          <t>Tools/balance/full_weapon_audit.py: REAL / WARHEAD; balance.json weapons[id=hind_rockets].real</t>
        </is>
      </c>
      <c r="AG139" t="inlineStr"/>
    </row>
    <row r="140">
      <c r="A140" t="inlineStr">
        <is>
          <t>hmg_roof</t>
        </is>
      </c>
      <c r="B140" t="inlineStr">
        <is>
          <t>hmg_roof</t>
        </is>
      </c>
      <c r="C140" t="inlineStr">
        <is>
          <t>M2 Browning 12.7 mm</t>
        </is>
      </c>
      <c r="D140" t="inlineStr">
        <is>
          <t>doi_that</t>
        </is>
      </c>
      <c r="E140" t="inlineStr">
        <is>
          <t>M2 Browning 12.7 mm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da_kiem_chung</t>
        </is>
      </c>
      <c r="P140" t="inlineStr">
        <is>
          <t>R_balance;R_full_weapon_audit;D_us_army_fm_3_22_65;R_machine_brigade_can_bang</t>
        </is>
      </c>
      <c r="Q140" t="inlineStr"/>
      <c r="R14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0" t="n">
        <v>12.7</v>
      </c>
      <c r="T140" t="inlineStr">
        <is>
          <t>NEED_SOURCE</t>
        </is>
      </c>
      <c r="U140" t="inlineStr">
        <is>
          <t>NEED_SOURCE</t>
        </is>
      </c>
      <c r="V140" t="inlineStr">
        <is>
          <t>NEED_SOURCE</t>
        </is>
      </c>
      <c r="W140" t="inlineStr">
        <is>
          <t>NEED_SOURCE</t>
        </is>
      </c>
      <c r="X140" t="n">
        <v>600</v>
      </c>
      <c r="Y140" t="n">
        <v>40</v>
      </c>
      <c r="Z140" t="inlineStr">
        <is>
          <t>NEED_SOURCE</t>
        </is>
      </c>
      <c r="AA140" t="inlineStr">
        <is>
          <t>NEED_SOURCE</t>
        </is>
      </c>
      <c r="AB140" t="inlineStr"/>
      <c r="AC140" t="inlineStr">
        <is>
          <t>mg</t>
        </is>
      </c>
      <c r="AD140" t="inlineStr">
        <is>
          <t>US Army FM 3-22.65: cyclic 450-600, rapid 40 rpm</t>
        </is>
      </c>
      <c r="AE140" t="inlineStr">
        <is>
          <t>M2: 450–600 phát/phút</t>
        </is>
      </c>
      <c r="AF140" t="inlineStr">
        <is>
          <t>Tools/balance/full_weapon_audit.py: REAL / WARHEAD; balance.json weapons[id=hmg_roof].real</t>
        </is>
      </c>
      <c r="AG140" t="inlineStr"/>
    </row>
    <row r="141">
      <c r="A141" t="inlineStr">
        <is>
          <t>hmg_roof_api</t>
        </is>
      </c>
      <c r="B141" t="inlineStr">
        <is>
          <t>hmg_roof_api</t>
        </is>
      </c>
      <c r="C141" t="inlineStr">
        <is>
          <t>M2 Browning 12.7 mm API</t>
        </is>
      </c>
      <c r="D141" t="inlineStr">
        <is>
          <t>doi_that</t>
        </is>
      </c>
      <c r="E141" t="inlineStr">
        <is>
          <t>M2 Browning 12.7 mm API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da_kiem_chung</t>
        </is>
      </c>
      <c r="P141" t="inlineStr">
        <is>
          <t>R_balance;R_full_weapon_audit;D_us_army_fm_3_22_65</t>
        </is>
      </c>
      <c r="Q141" t="inlineStr"/>
      <c r="R14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1" t="n">
        <v>12.7</v>
      </c>
      <c r="T141" t="inlineStr">
        <is>
          <t>NEED_SOURCE</t>
        </is>
      </c>
      <c r="U141" t="inlineStr">
        <is>
          <t>NEED_SOURCE</t>
        </is>
      </c>
      <c r="V141" t="inlineStr">
        <is>
          <t>NEED_SOURCE</t>
        </is>
      </c>
      <c r="W141" t="inlineStr">
        <is>
          <t>NEED_SOURCE</t>
        </is>
      </c>
      <c r="X141" t="n">
        <v>600</v>
      </c>
      <c r="Y141" t="n">
        <v>40</v>
      </c>
      <c r="Z141" t="inlineStr">
        <is>
          <t>NEED_SOURCE</t>
        </is>
      </c>
      <c r="AA141" t="inlineStr">
        <is>
          <t>NEED_SOURCE</t>
        </is>
      </c>
      <c r="AB141" t="inlineStr"/>
      <c r="AC141" t="inlineStr">
        <is>
          <t>mg</t>
        </is>
      </c>
      <c r="AD141" t="inlineStr">
        <is>
          <t>US Army FM 3-22.65: cyclic 450-600, rapid 40 rpm</t>
        </is>
      </c>
      <c r="AE141" t="inlineStr"/>
      <c r="AF141" t="inlineStr">
        <is>
          <t>Tools/balance/full_weapon_audit.py: REAL / WARHEAD; balance.json weapons[id=hmg_roof_api].real</t>
        </is>
      </c>
      <c r="AG141" t="inlineStr"/>
    </row>
    <row r="142">
      <c r="A142" t="inlineStr">
        <is>
          <t>hmg_selfdef_15</t>
        </is>
      </c>
      <c r="B142" t="inlineStr">
        <is>
          <t>hmg_selfdef_15</t>
        </is>
      </c>
      <c r="C142" t="inlineStr">
        <is>
          <t>M2 Browning 12.7 mm</t>
        </is>
      </c>
      <c r="D142" t="inlineStr">
        <is>
          <t>doi_that</t>
        </is>
      </c>
      <c r="E142" t="inlineStr">
        <is>
          <t>M2 Browning 12.7 mm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da_kiem_chung</t>
        </is>
      </c>
      <c r="P142" t="inlineStr">
        <is>
          <t>R_balance;R_full_weapon_audit;D_us_army_fm_3_22_65</t>
        </is>
      </c>
      <c r="Q142" t="inlineStr"/>
      <c r="R14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2" t="n">
        <v>12.7</v>
      </c>
      <c r="T142" t="inlineStr">
        <is>
          <t>NEED_SOURCE</t>
        </is>
      </c>
      <c r="U142" t="inlineStr">
        <is>
          <t>NEED_SOURCE</t>
        </is>
      </c>
      <c r="V142" t="inlineStr">
        <is>
          <t>NEED_SOURCE</t>
        </is>
      </c>
      <c r="W142" t="inlineStr">
        <is>
          <t>NEED_SOURCE</t>
        </is>
      </c>
      <c r="X142" t="n">
        <v>600</v>
      </c>
      <c r="Y142" t="n">
        <v>40</v>
      </c>
      <c r="Z142" t="inlineStr">
        <is>
          <t>NEED_SOURCE</t>
        </is>
      </c>
      <c r="AA142" t="inlineStr">
        <is>
          <t>NEED_SOURCE</t>
        </is>
      </c>
      <c r="AB142" t="inlineStr"/>
      <c r="AC142" t="inlineStr">
        <is>
          <t>mg</t>
        </is>
      </c>
      <c r="AD142" t="inlineStr">
        <is>
          <t>US Army FM 3-22.65: cyclic 450-600, rapid 40 rpm</t>
        </is>
      </c>
      <c r="AE142" t="inlineStr"/>
      <c r="AF142" t="inlineStr">
        <is>
          <t>Tools/balance/full_weapon_audit.py: REAL / WARHEAD; balance.json weapons[id=hmg_selfdef_15].real</t>
        </is>
      </c>
      <c r="AG142" t="inlineStr"/>
    </row>
    <row r="143">
      <c r="A143" t="inlineStr">
        <is>
          <t>hmg_selfdef_15_api</t>
        </is>
      </c>
      <c r="B143" t="inlineStr">
        <is>
          <t>hmg_selfdef_15_api</t>
        </is>
      </c>
      <c r="C143" t="inlineStr">
        <is>
          <t>M2 Browning 12.7 mm API</t>
        </is>
      </c>
      <c r="D143" t="inlineStr">
        <is>
          <t>doi_that</t>
        </is>
      </c>
      <c r="E143" t="inlineStr">
        <is>
          <t>M2 Browning 12.7 mm API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da_kiem_chung</t>
        </is>
      </c>
      <c r="P143" t="inlineStr">
        <is>
          <t>R_balance;R_full_weapon_audit;D_us_army_fm_3_22_65</t>
        </is>
      </c>
      <c r="Q143" t="inlineStr"/>
      <c r="R14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3" t="n">
        <v>12.7</v>
      </c>
      <c r="T143" t="inlineStr">
        <is>
          <t>NEED_SOURCE</t>
        </is>
      </c>
      <c r="U143" t="inlineStr">
        <is>
          <t>NEED_SOURCE</t>
        </is>
      </c>
      <c r="V143" t="inlineStr">
        <is>
          <t>NEED_SOURCE</t>
        </is>
      </c>
      <c r="W143" t="inlineStr">
        <is>
          <t>NEED_SOURCE</t>
        </is>
      </c>
      <c r="X143" t="n">
        <v>600</v>
      </c>
      <c r="Y143" t="n">
        <v>40</v>
      </c>
      <c r="Z143" t="inlineStr">
        <is>
          <t>NEED_SOURCE</t>
        </is>
      </c>
      <c r="AA143" t="inlineStr">
        <is>
          <t>NEED_SOURCE</t>
        </is>
      </c>
      <c r="AB143" t="inlineStr"/>
      <c r="AC143" t="inlineStr">
        <is>
          <t>mg</t>
        </is>
      </c>
      <c r="AD143" t="inlineStr">
        <is>
          <t>US Army FM 3-22.65: cyclic 450-600, rapid 40 rpm</t>
        </is>
      </c>
      <c r="AE143" t="inlineStr"/>
      <c r="AF143" t="inlineStr">
        <is>
          <t>Tools/balance/full_weapon_audit.py: REAL / WARHEAD; balance.json weapons[id=hmg_selfdef_15_api].real</t>
        </is>
      </c>
      <c r="AG143" t="inlineStr"/>
    </row>
    <row r="144">
      <c r="A144" t="inlineStr">
        <is>
          <t>hmg_selfdef_18</t>
        </is>
      </c>
      <c r="B144" t="inlineStr">
        <is>
          <t>hmg_selfdef_18</t>
        </is>
      </c>
      <c r="C144" t="inlineStr">
        <is>
          <t>M2 Browning 12.7 mm</t>
        </is>
      </c>
      <c r="D144" t="inlineStr">
        <is>
          <t>doi_that</t>
        </is>
      </c>
      <c r="E144" t="inlineStr">
        <is>
          <t>M2 Browning 12.7 mm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da_kiem_chung</t>
        </is>
      </c>
      <c r="P144" t="inlineStr">
        <is>
          <t>R_balance;R_full_weapon_audit;D_us_army_fm_3_22_65</t>
        </is>
      </c>
      <c r="Q144" t="inlineStr"/>
      <c r="R14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4" t="n">
        <v>12.7</v>
      </c>
      <c r="T144" t="inlineStr">
        <is>
          <t>NEED_SOURCE</t>
        </is>
      </c>
      <c r="U144" t="inlineStr">
        <is>
          <t>NEED_SOURCE</t>
        </is>
      </c>
      <c r="V144" t="inlineStr">
        <is>
          <t>NEED_SOURCE</t>
        </is>
      </c>
      <c r="W144" t="inlineStr">
        <is>
          <t>NEED_SOURCE</t>
        </is>
      </c>
      <c r="X144" t="n">
        <v>600</v>
      </c>
      <c r="Y144" t="n">
        <v>40</v>
      </c>
      <c r="Z144" t="inlineStr">
        <is>
          <t>NEED_SOURCE</t>
        </is>
      </c>
      <c r="AA144" t="inlineStr">
        <is>
          <t>NEED_SOURCE</t>
        </is>
      </c>
      <c r="AB144" t="inlineStr"/>
      <c r="AC144" t="inlineStr">
        <is>
          <t>mg</t>
        </is>
      </c>
      <c r="AD144" t="inlineStr">
        <is>
          <t>US Army FM 3-22.65: cyclic 450-600, rapid 40 rpm</t>
        </is>
      </c>
      <c r="AE144" t="inlineStr"/>
      <c r="AF144" t="inlineStr">
        <is>
          <t>Tools/balance/full_weapon_audit.py: REAL / WARHEAD; balance.json weapons[id=hmg_selfdef_18].real</t>
        </is>
      </c>
      <c r="AG144" t="inlineStr"/>
    </row>
    <row r="145">
      <c r="A145" t="inlineStr">
        <is>
          <t>hmg_selfdef_18_api</t>
        </is>
      </c>
      <c r="B145" t="inlineStr">
        <is>
          <t>hmg_selfdef_18_api</t>
        </is>
      </c>
      <c r="C145" t="inlineStr">
        <is>
          <t>M2 Browning 12.7 mm API</t>
        </is>
      </c>
      <c r="D145" t="inlineStr">
        <is>
          <t>doi_that</t>
        </is>
      </c>
      <c r="E145" t="inlineStr">
        <is>
          <t>M2 Browning 12.7 mm API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da_kiem_chung</t>
        </is>
      </c>
      <c r="P145" t="inlineStr">
        <is>
          <t>R_balance;R_full_weapon_audit;D_us_army_fm_3_22_65</t>
        </is>
      </c>
      <c r="Q145" t="inlineStr"/>
      <c r="R14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5" t="n">
        <v>12.7</v>
      </c>
      <c r="T145" t="inlineStr">
        <is>
          <t>NEED_SOURCE</t>
        </is>
      </c>
      <c r="U145" t="inlineStr">
        <is>
          <t>NEED_SOURCE</t>
        </is>
      </c>
      <c r="V145" t="inlineStr">
        <is>
          <t>NEED_SOURCE</t>
        </is>
      </c>
      <c r="W145" t="inlineStr">
        <is>
          <t>NEED_SOURCE</t>
        </is>
      </c>
      <c r="X145" t="n">
        <v>600</v>
      </c>
      <c r="Y145" t="n">
        <v>40</v>
      </c>
      <c r="Z145" t="inlineStr">
        <is>
          <t>NEED_SOURCE</t>
        </is>
      </c>
      <c r="AA145" t="inlineStr">
        <is>
          <t>NEED_SOURCE</t>
        </is>
      </c>
      <c r="AB145" t="inlineStr"/>
      <c r="AC145" t="inlineStr">
        <is>
          <t>mg</t>
        </is>
      </c>
      <c r="AD145" t="inlineStr">
        <is>
          <t>US Army FM 3-22.65: cyclic 450-600, rapid 40 rpm</t>
        </is>
      </c>
      <c r="AE145" t="inlineStr"/>
      <c r="AF145" t="inlineStr">
        <is>
          <t>Tools/balance/full_weapon_audit.py: REAL / WARHEAD; balance.json weapons[id=hmg_selfdef_18_api].real</t>
        </is>
      </c>
      <c r="AG145" t="inlineStr"/>
    </row>
    <row r="146">
      <c r="A146" t="inlineStr">
        <is>
          <t>hmg_selfdef_21</t>
        </is>
      </c>
      <c r="B146" t="inlineStr">
        <is>
          <t>hmg_selfdef_21</t>
        </is>
      </c>
      <c r="C146" t="inlineStr">
        <is>
          <t>M2 Browning 12.7 mm</t>
        </is>
      </c>
      <c r="D146" t="inlineStr">
        <is>
          <t>doi_that</t>
        </is>
      </c>
      <c r="E146" t="inlineStr">
        <is>
          <t>M2 Browning 12.7 mm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da_kiem_chung</t>
        </is>
      </c>
      <c r="P146" t="inlineStr">
        <is>
          <t>R_balance;R_full_weapon_audit;D_us_army_fm_3_22_65</t>
        </is>
      </c>
      <c r="Q146" t="inlineStr"/>
      <c r="R14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6" t="n">
        <v>12.7</v>
      </c>
      <c r="T146" t="inlineStr">
        <is>
          <t>NEED_SOURCE</t>
        </is>
      </c>
      <c r="U146" t="inlineStr">
        <is>
          <t>NEED_SOURCE</t>
        </is>
      </c>
      <c r="V146" t="inlineStr">
        <is>
          <t>NEED_SOURCE</t>
        </is>
      </c>
      <c r="W146" t="inlineStr">
        <is>
          <t>NEED_SOURCE</t>
        </is>
      </c>
      <c r="X146" t="n">
        <v>600</v>
      </c>
      <c r="Y146" t="n">
        <v>40</v>
      </c>
      <c r="Z146" t="inlineStr">
        <is>
          <t>NEED_SOURCE</t>
        </is>
      </c>
      <c r="AA146" t="inlineStr">
        <is>
          <t>NEED_SOURCE</t>
        </is>
      </c>
      <c r="AB146" t="inlineStr"/>
      <c r="AC146" t="inlineStr">
        <is>
          <t>mg</t>
        </is>
      </c>
      <c r="AD146" t="inlineStr">
        <is>
          <t>US Army FM 3-22.65: cyclic 450-600, rapid 40 rpm</t>
        </is>
      </c>
      <c r="AE146" t="inlineStr"/>
      <c r="AF146" t="inlineStr">
        <is>
          <t>Tools/balance/full_weapon_audit.py: REAL / WARHEAD; balance.json weapons[id=hmg_selfdef_21].real</t>
        </is>
      </c>
      <c r="AG146" t="inlineStr"/>
    </row>
    <row r="147">
      <c r="A147" t="inlineStr">
        <is>
          <t>hmg_selfdef_21_api</t>
        </is>
      </c>
      <c r="B147" t="inlineStr">
        <is>
          <t>hmg_selfdef_21_api</t>
        </is>
      </c>
      <c r="C147" t="inlineStr">
        <is>
          <t>M2 Browning 12.7 mm API</t>
        </is>
      </c>
      <c r="D147" t="inlineStr">
        <is>
          <t>doi_that</t>
        </is>
      </c>
      <c r="E147" t="inlineStr">
        <is>
          <t>M2 Browning 12.7 mm API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da_kiem_chung</t>
        </is>
      </c>
      <c r="P147" t="inlineStr">
        <is>
          <t>R_balance;R_full_weapon_audit;D_us_army_fm_3_22_65</t>
        </is>
      </c>
      <c r="Q147" t="inlineStr"/>
      <c r="R14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7" t="n">
        <v>12.7</v>
      </c>
      <c r="T147" t="inlineStr">
        <is>
          <t>NEED_SOURCE</t>
        </is>
      </c>
      <c r="U147" t="inlineStr">
        <is>
          <t>NEED_SOURCE</t>
        </is>
      </c>
      <c r="V147" t="inlineStr">
        <is>
          <t>NEED_SOURCE</t>
        </is>
      </c>
      <c r="W147" t="inlineStr">
        <is>
          <t>NEED_SOURCE</t>
        </is>
      </c>
      <c r="X147" t="n">
        <v>600</v>
      </c>
      <c r="Y147" t="n">
        <v>40</v>
      </c>
      <c r="Z147" t="inlineStr">
        <is>
          <t>NEED_SOURCE</t>
        </is>
      </c>
      <c r="AA147" t="inlineStr">
        <is>
          <t>NEED_SOURCE</t>
        </is>
      </c>
      <c r="AB147" t="inlineStr"/>
      <c r="AC147" t="inlineStr">
        <is>
          <t>mg</t>
        </is>
      </c>
      <c r="AD147" t="inlineStr">
        <is>
          <t>US Army FM 3-22.65: cyclic 450-600, rapid 40 rpm</t>
        </is>
      </c>
      <c r="AE147" t="inlineStr"/>
      <c r="AF147" t="inlineStr">
        <is>
          <t>Tools/balance/full_weapon_audit.py: REAL / WARHEAD; balance.json weapons[id=hmg_selfdef_21_api].real</t>
        </is>
      </c>
      <c r="AG147" t="inlineStr"/>
    </row>
    <row r="148">
      <c r="A148" t="inlineStr">
        <is>
          <t>hover_ciws</t>
        </is>
      </c>
      <c r="B148" t="inlineStr">
        <is>
          <t>hover_ciws</t>
        </is>
      </c>
      <c r="C148" t="inlineStr">
        <is>
          <t>AK-630 30 mm</t>
        </is>
      </c>
      <c r="D148" t="inlineStr">
        <is>
          <t>doi_that</t>
        </is>
      </c>
      <c r="E148" t="inlineStr">
        <is>
          <t>AK-630 30 mm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da_kiem_chung</t>
        </is>
      </c>
      <c r="P148" t="inlineStr">
        <is>
          <t>R_balance;R_full_weapon_audit;W_wikipedia_ak_630;R_machine_brigade_can_bang</t>
        </is>
      </c>
      <c r="Q148" t="inlineStr"/>
      <c r="R14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8" t="n">
        <v>30</v>
      </c>
      <c r="T148" t="inlineStr">
        <is>
          <t>NEED_SOURCE</t>
        </is>
      </c>
      <c r="U148" t="inlineStr">
        <is>
          <t>NEED_SOURCE</t>
        </is>
      </c>
      <c r="V148" t="inlineStr">
        <is>
          <t>NEED_SOURCE</t>
        </is>
      </c>
      <c r="W148" t="inlineStr">
        <is>
          <t>NEED_SOURCE</t>
        </is>
      </c>
      <c r="X148" t="n">
        <v>5000</v>
      </c>
      <c r="Y148" t="n">
        <v>1000</v>
      </c>
      <c r="Z148" t="inlineStr">
        <is>
          <t>NEED_SOURCE</t>
        </is>
      </c>
      <c r="AA148" t="inlineStr">
        <is>
          <t>NEED_SOURCE</t>
        </is>
      </c>
      <c r="AB148" t="inlineStr"/>
      <c r="AC148" t="inlineStr">
        <is>
          <t>aa</t>
        </is>
      </c>
      <c r="AD148" t="inlineStr">
        <is>
          <t>Wikipedia 'AK-630': 4,000-5,000 rpm, 2,000-round belt</t>
        </is>
      </c>
      <c r="AE148" t="inlineStr">
        <is>
          <t>AK-630: 4.000–5.000 phát/phút</t>
        </is>
      </c>
      <c r="AF148" t="inlineStr">
        <is>
          <t>Tools/balance/full_weapon_audit.py: REAL / WARHEAD; balance.json weapons[id=hover_ciws].real</t>
        </is>
      </c>
      <c r="AG148" t="inlineStr"/>
    </row>
    <row r="149">
      <c r="A149" t="inlineStr">
        <is>
          <t>hover_ciws_flak</t>
        </is>
      </c>
      <c r="B149" t="inlineStr">
        <is>
          <t>hover_ciws_flak</t>
        </is>
      </c>
      <c r="C149" t="inlineStr">
        <is>
          <t>AK-630 30 mm air-burst</t>
        </is>
      </c>
      <c r="D149" t="inlineStr">
        <is>
          <t>doi_that</t>
        </is>
      </c>
      <c r="E149" t="inlineStr">
        <is>
          <t>AK-630 30 mm air-burst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da_kiem_chung</t>
        </is>
      </c>
      <c r="P149" t="inlineStr">
        <is>
          <t>R_balance;R_full_weapon_audit;W_wikipedia_ak_630</t>
        </is>
      </c>
      <c r="Q149" t="inlineStr"/>
      <c r="R14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9" t="n">
        <v>30</v>
      </c>
      <c r="T149" t="inlineStr">
        <is>
          <t>NEED_SOURCE</t>
        </is>
      </c>
      <c r="U149" t="inlineStr">
        <is>
          <t>NEED_SOURCE</t>
        </is>
      </c>
      <c r="V149" t="inlineStr">
        <is>
          <t>NEED_SOURCE</t>
        </is>
      </c>
      <c r="W149" t="inlineStr">
        <is>
          <t>NEED_SOURCE</t>
        </is>
      </c>
      <c r="X149" t="n">
        <v>5000</v>
      </c>
      <c r="Y149" t="n">
        <v>1000</v>
      </c>
      <c r="Z149" t="inlineStr">
        <is>
          <t>NEED_SOURCE</t>
        </is>
      </c>
      <c r="AA149" t="inlineStr">
        <is>
          <t>NEED_SOURCE</t>
        </is>
      </c>
      <c r="AB149" t="inlineStr"/>
      <c r="AC149" t="inlineStr">
        <is>
          <t>aa</t>
        </is>
      </c>
      <c r="AD149" t="inlineStr">
        <is>
          <t>Wikipedia 'AK-630': 4,000-5,000 rpm, 2,000-round belt</t>
        </is>
      </c>
      <c r="AE149" t="inlineStr"/>
      <c r="AF149" t="inlineStr">
        <is>
          <t>Tools/balance/full_weapon_audit.py: REAL / WARHEAD; balance.json weapons[id=hover_ciws_flak].real</t>
        </is>
      </c>
      <c r="AG149" t="inlineStr"/>
    </row>
    <row r="150">
      <c r="A150" t="inlineStr">
        <is>
          <t>hover_rockets</t>
        </is>
      </c>
      <c r="B150" t="inlineStr">
        <is>
          <t>hover_rockets</t>
        </is>
      </c>
      <c r="C150" t="inlineStr">
        <is>
          <t>A-22 Ogon 140 mm</t>
        </is>
      </c>
      <c r="D150" t="inlineStr">
        <is>
          <t>doi_that</t>
        </is>
      </c>
      <c r="E150" t="inlineStr">
        <is>
          <t>A-22 Ogon 140 mm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uoc_dinh</t>
        </is>
      </c>
      <c r="P150" t="inlineStr">
        <is>
          <t>R_balance;R_full_weapon_audit;R_machine_brigade_can_bang</t>
        </is>
      </c>
      <c r="Q150" t="inlineStr"/>
      <c r="R15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0" t="n">
        <v>140</v>
      </c>
      <c r="T150" t="inlineStr">
        <is>
          <t>NEED_SOURCE</t>
        </is>
      </c>
      <c r="U150" t="inlineStr">
        <is>
          <t>NEED_SOURCE</t>
        </is>
      </c>
      <c r="V150" t="inlineStr">
        <is>
          <t>NEED_SOURCE</t>
        </is>
      </c>
      <c r="W150" t="inlineStr">
        <is>
          <t>NEED_SOURCE</t>
        </is>
      </c>
      <c r="X150" t="n">
        <v>120</v>
      </c>
      <c r="Y150" t="inlineStr">
        <is>
          <t>NEED_SOURCE</t>
        </is>
      </c>
      <c r="Z150" t="inlineStr">
        <is>
          <t>NEED_SOURCE</t>
        </is>
      </c>
      <c r="AA150" t="inlineStr">
        <is>
          <t>NEED_SOURCE</t>
        </is>
      </c>
      <c r="AB150" t="inlineStr"/>
      <c r="AC150" t="inlineStr">
        <is>
          <t>rocket</t>
        </is>
      </c>
      <c r="AD150" t="inlineStr">
        <is>
          <t>A-22 Ogon 140 mm (Zubr hovercraft), est. 0.5 s a rocket</t>
        </is>
      </c>
      <c r="AE150" t="inlineStr">
        <is>
          <t>A-22 Ogon 140 mm: 22 quả</t>
        </is>
      </c>
      <c r="AF150" t="inlineStr">
        <is>
          <t>Tools/balance/full_weapon_audit.py: REAL / WARHEAD; balance.json weapons[id=hover_rockets].real</t>
        </is>
      </c>
      <c r="AG150" t="inlineStr"/>
    </row>
    <row r="151">
      <c r="A151" t="inlineStr">
        <is>
          <t>howitzer</t>
        </is>
      </c>
      <c r="B151" t="inlineStr">
        <is>
          <t>howitzer</t>
        </is>
      </c>
      <c r="C151" t="inlineStr">
        <is>
          <t>M284 155 mm</t>
        </is>
      </c>
      <c r="D151" t="inlineStr">
        <is>
          <t>doi_that</t>
        </is>
      </c>
      <c r="E151" t="inlineStr">
        <is>
          <t>M284 155 mm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nhịp chậm hơn 30 % và mạnh hơn tương ứng (luật súng của game)</t>
        </is>
      </c>
      <c r="M151" t="inlineStr">
        <is>
          <t>gameplay</t>
        </is>
      </c>
      <c r="N151" t="inlineStr"/>
      <c r="O151" t="inlineStr">
        <is>
          <t>da_kiem_chung</t>
        </is>
      </c>
      <c r="P151" t="inlineStr">
        <is>
          <t>R_balance;R_full_weapon_audit;D_us_army_m109a7_fact_file;R_machine_brigade_can_bang</t>
        </is>
      </c>
      <c r="Q151" t="inlineStr"/>
      <c r="R15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1" t="n">
        <v>155</v>
      </c>
      <c r="T151" t="inlineStr">
        <is>
          <t>NEED_SOURCE</t>
        </is>
      </c>
      <c r="U151" t="inlineStr">
        <is>
          <t>NEED_SOURCE</t>
        </is>
      </c>
      <c r="V151" t="inlineStr">
        <is>
          <t>NEED_SOURCE</t>
        </is>
      </c>
      <c r="W151" t="inlineStr">
        <is>
          <t>NEED_SOURCE</t>
        </is>
      </c>
      <c r="X151" t="n">
        <v>4</v>
      </c>
      <c r="Y151" t="n">
        <v>1</v>
      </c>
      <c r="Z151" t="inlineStr">
        <is>
          <t>NEED_SOURCE</t>
        </is>
      </c>
      <c r="AA151" t="inlineStr">
        <is>
          <t>NEED_SOURCE</t>
        </is>
      </c>
      <c r="AB151" t="inlineStr"/>
      <c r="AC151" t="inlineStr">
        <is>
          <t>gun</t>
        </is>
      </c>
      <c r="AD151" t="inlineStr">
        <is>
          <t>US Army M109A7 fact file: 4 rpm for 3 min, 1 rpm sustained</t>
        </is>
      </c>
      <c r="AE151" t="inlineStr">
        <is>
          <t>M284 155 mm (M109A7): 4 phát/phút tối đa, 1 phát/phút duy trì; tầm 24–30 km</t>
        </is>
      </c>
      <c r="AF151" t="inlineStr">
        <is>
          <t>Tools/balance/full_weapon_audit.py: REAL / WARHEAD; balance.json weapons[id=howitzer].real</t>
        </is>
      </c>
      <c r="AG151" t="inlineStr"/>
    </row>
    <row r="152">
      <c r="A152" t="inlineStr">
        <is>
          <t>howitzer_ext</t>
        </is>
      </c>
      <c r="B152" t="inlineStr">
        <is>
          <t>howitzer_ext</t>
        </is>
      </c>
      <c r="C152" t="inlineStr">
        <is>
          <t>M284 155 mm (base bleed)</t>
        </is>
      </c>
      <c r="D152" t="inlineStr">
        <is>
          <t>doi_that</t>
        </is>
      </c>
      <c r="E152" t="inlineStr">
        <is>
          <t>M284 155 mm (base bleed)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nhịp chậm hơn 30 % và mạnh hơn tương ứng (luật súng của game)</t>
        </is>
      </c>
      <c r="M152" t="inlineStr">
        <is>
          <t>gameplay</t>
        </is>
      </c>
      <c r="N152" t="inlineStr"/>
      <c r="O152" t="inlineStr">
        <is>
          <t>da_kiem_chung</t>
        </is>
      </c>
      <c r="P152" t="inlineStr">
        <is>
          <t>R_balance;R_full_weapon_audit;D_us_army_m109a7_fact_file</t>
        </is>
      </c>
      <c r="Q152" t="inlineStr"/>
      <c r="R15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2" t="n">
        <v>155</v>
      </c>
      <c r="T152" t="inlineStr">
        <is>
          <t>NEED_SOURCE</t>
        </is>
      </c>
      <c r="U152" t="inlineStr">
        <is>
          <t>NEED_SOURCE</t>
        </is>
      </c>
      <c r="V152" t="inlineStr">
        <is>
          <t>NEED_SOURCE</t>
        </is>
      </c>
      <c r="W152" t="inlineStr">
        <is>
          <t>NEED_SOURCE</t>
        </is>
      </c>
      <c r="X152" t="n">
        <v>4</v>
      </c>
      <c r="Y152" t="n">
        <v>1</v>
      </c>
      <c r="Z152" t="inlineStr">
        <is>
          <t>NEED_SOURCE</t>
        </is>
      </c>
      <c r="AA152" t="inlineStr">
        <is>
          <t>NEED_SOURCE</t>
        </is>
      </c>
      <c r="AB152" t="inlineStr"/>
      <c r="AC152" t="inlineStr">
        <is>
          <t>gun</t>
        </is>
      </c>
      <c r="AD152" t="inlineStr">
        <is>
          <t>US Army M109A7 fact file: 4 rpm for 3 min, 1 rpm sustained</t>
        </is>
      </c>
      <c r="AE152" t="inlineStr"/>
      <c r="AF152" t="inlineStr">
        <is>
          <t>Tools/balance/full_weapon_audit.py: REAL / WARHEAD; balance.json weapons[id=howitzer_ext].real</t>
        </is>
      </c>
      <c r="AG152" t="inlineStr"/>
    </row>
    <row r="153">
      <c r="A153" t="inlineStr">
        <is>
          <t>howitzer_fixed</t>
        </is>
      </c>
      <c r="B153" t="inlineStr">
        <is>
          <t>howitzer_fixed</t>
        </is>
      </c>
      <c r="C153" t="inlineStr">
        <is>
          <t>M284 155 mm</t>
        </is>
      </c>
      <c r="D153" t="inlineStr">
        <is>
          <t>doi_that</t>
        </is>
      </c>
      <c r="E153" t="inlineStr">
        <is>
          <t>M284 155 mm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nhịp chậm hơn 30 % và mạnh hơn tương ứng (luật súng của game)</t>
        </is>
      </c>
      <c r="M153" t="inlineStr">
        <is>
          <t>gameplay</t>
        </is>
      </c>
      <c r="N153" t="inlineStr"/>
      <c r="O153" t="inlineStr">
        <is>
          <t>da_kiem_chung</t>
        </is>
      </c>
      <c r="P153" t="inlineStr">
        <is>
          <t>R_balance;R_full_weapon_audit;D_us_army_m109a7_fact_file;R_machine_brigade_can_bang</t>
        </is>
      </c>
      <c r="Q153" t="inlineStr"/>
      <c r="R15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3" t="n">
        <v>155</v>
      </c>
      <c r="T153" t="inlineStr">
        <is>
          <t>NEED_SOURCE</t>
        </is>
      </c>
      <c r="U153" t="inlineStr">
        <is>
          <t>NEED_SOURCE</t>
        </is>
      </c>
      <c r="V153" t="inlineStr">
        <is>
          <t>NEED_SOURCE</t>
        </is>
      </c>
      <c r="W153" t="inlineStr">
        <is>
          <t>NEED_SOURCE</t>
        </is>
      </c>
      <c r="X153" t="n">
        <v>4</v>
      </c>
      <c r="Y153" t="n">
        <v>1</v>
      </c>
      <c r="Z153" t="inlineStr">
        <is>
          <t>NEED_SOURCE</t>
        </is>
      </c>
      <c r="AA153" t="inlineStr">
        <is>
          <t>NEED_SOURCE</t>
        </is>
      </c>
      <c r="AB153" t="inlineStr"/>
      <c r="AC153" t="inlineStr">
        <is>
          <t>gun</t>
        </is>
      </c>
      <c r="AD153" t="inlineStr">
        <is>
          <t>US Army M109A7 fact file: 4 rpm for 3 min, 1 rpm sustained</t>
        </is>
      </c>
      <c r="AE153" t="inlineStr">
        <is>
          <t>M284 155 mm</t>
        </is>
      </c>
      <c r="AF153" t="inlineStr">
        <is>
          <t>Tools/balance/full_weapon_audit.py: REAL / WARHEAD; balance.json weapons[id=howitzer_fixed].real</t>
        </is>
      </c>
      <c r="AG153" t="inlineStr"/>
    </row>
    <row r="154">
      <c r="A154" t="inlineStr">
        <is>
          <t>howitzer_fixed_guided</t>
        </is>
      </c>
      <c r="B154" t="inlineStr">
        <is>
          <t>howitzer_fixed_guided</t>
        </is>
      </c>
      <c r="C154" t="inlineStr">
        <is>
          <t>M284 155 mm guided</t>
        </is>
      </c>
      <c r="D154" t="inlineStr">
        <is>
          <t>doi_that</t>
        </is>
      </c>
      <c r="E154" t="inlineStr">
        <is>
          <t>M284 155 mm guided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nhịp chậm hơn 30 % và mạnh hơn tương ứng (luật súng của game)</t>
        </is>
      </c>
      <c r="M154" t="inlineStr">
        <is>
          <t>gameplay</t>
        </is>
      </c>
      <c r="N154" t="inlineStr"/>
      <c r="O154" t="inlineStr">
        <is>
          <t>da_kiem_chung</t>
        </is>
      </c>
      <c r="P154" t="inlineStr">
        <is>
          <t>R_balance;R_full_weapon_audit;D_us_army_m109a7_fact_file</t>
        </is>
      </c>
      <c r="Q154" t="inlineStr"/>
      <c r="R15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4" t="n">
        <v>155</v>
      </c>
      <c r="T154" t="inlineStr">
        <is>
          <t>NEED_SOURCE</t>
        </is>
      </c>
      <c r="U154" t="inlineStr">
        <is>
          <t>NEED_SOURCE</t>
        </is>
      </c>
      <c r="V154" t="inlineStr">
        <is>
          <t>NEED_SOURCE</t>
        </is>
      </c>
      <c r="W154" t="inlineStr">
        <is>
          <t>NEED_SOURCE</t>
        </is>
      </c>
      <c r="X154" t="n">
        <v>4</v>
      </c>
      <c r="Y154" t="n">
        <v>1</v>
      </c>
      <c r="Z154" t="inlineStr">
        <is>
          <t>NEED_SOURCE</t>
        </is>
      </c>
      <c r="AA154" t="inlineStr">
        <is>
          <t>NEED_SOURCE</t>
        </is>
      </c>
      <c r="AB154" t="inlineStr"/>
      <c r="AC154" t="inlineStr">
        <is>
          <t>gun</t>
        </is>
      </c>
      <c r="AD154" t="inlineStr">
        <is>
          <t>US Army M109A7 fact file: 4 rpm for 3 min, 1 rpm sustained</t>
        </is>
      </c>
      <c r="AE154" t="inlineStr"/>
      <c r="AF154" t="inlineStr">
        <is>
          <t>Tools/balance/full_weapon_audit.py: REAL / WARHEAD; balance.json weapons[id=howitzer_fixed_guided].real</t>
        </is>
      </c>
      <c r="AG154" t="inlineStr"/>
    </row>
    <row r="155">
      <c r="A155" t="inlineStr">
        <is>
          <t>howitzer_guided</t>
        </is>
      </c>
      <c r="B155" t="inlineStr">
        <is>
          <t>howitzer_guided</t>
        </is>
      </c>
      <c r="C155" t="inlineStr">
        <is>
          <t>M284 155 mm guided</t>
        </is>
      </c>
      <c r="D155" t="inlineStr">
        <is>
          <t>doi_that</t>
        </is>
      </c>
      <c r="E155" t="inlineStr">
        <is>
          <t>M284 155 mm guided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nhịp chậm hơn 30 % và mạnh hơn tương ứng (luật súng của game)</t>
        </is>
      </c>
      <c r="M155" t="inlineStr">
        <is>
          <t>gameplay</t>
        </is>
      </c>
      <c r="N155" t="inlineStr"/>
      <c r="O155" t="inlineStr">
        <is>
          <t>da_kiem_chung</t>
        </is>
      </c>
      <c r="P155" t="inlineStr">
        <is>
          <t>R_balance;R_full_weapon_audit;D_us_army_m109a7_fact_file</t>
        </is>
      </c>
      <c r="Q155" t="inlineStr"/>
      <c r="R15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5" t="n">
        <v>155</v>
      </c>
      <c r="T155" t="inlineStr">
        <is>
          <t>NEED_SOURCE</t>
        </is>
      </c>
      <c r="U155" t="inlineStr">
        <is>
          <t>NEED_SOURCE</t>
        </is>
      </c>
      <c r="V155" t="inlineStr">
        <is>
          <t>NEED_SOURCE</t>
        </is>
      </c>
      <c r="W155" t="inlineStr">
        <is>
          <t>NEED_SOURCE</t>
        </is>
      </c>
      <c r="X155" t="n">
        <v>4</v>
      </c>
      <c r="Y155" t="n">
        <v>1</v>
      </c>
      <c r="Z155" t="inlineStr">
        <is>
          <t>NEED_SOURCE</t>
        </is>
      </c>
      <c r="AA155" t="inlineStr">
        <is>
          <t>NEED_SOURCE</t>
        </is>
      </c>
      <c r="AB155" t="inlineStr"/>
      <c r="AC155" t="inlineStr">
        <is>
          <t>gun</t>
        </is>
      </c>
      <c r="AD155" t="inlineStr">
        <is>
          <t>US Army M109A7 fact file: 4 rpm for 3 min, 1 rpm sustained</t>
        </is>
      </c>
      <c r="AE155" t="inlineStr"/>
      <c r="AF155" t="inlineStr">
        <is>
          <t>Tools/balance/full_weapon_audit.py: REAL / WARHEAD; balance.json weapons[id=howitzer_guided].real</t>
        </is>
      </c>
      <c r="AG155" t="inlineStr"/>
    </row>
    <row r="156">
      <c r="A156" t="inlineStr">
        <is>
          <t>hq_flak</t>
        </is>
      </c>
      <c r="B156" t="inlineStr">
        <is>
          <t>hq_flak</t>
        </is>
      </c>
      <c r="C156" t="inlineStr">
        <is>
          <t>2A38 30 mm (twin)</t>
        </is>
      </c>
      <c r="D156" t="inlineStr">
        <is>
          <t>doi_that</t>
        </is>
      </c>
      <c r="E156" t="inlineStr">
        <is>
          <t>2A38 30 mm (twin)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da_kiem_chung</t>
        </is>
      </c>
      <c r="P156" t="inlineStr">
        <is>
          <t>R_balance;R_full_weapon_audit;W_wikipedia_2a38;R_machine_brigade_can_bang</t>
        </is>
      </c>
      <c r="Q156" t="inlineStr"/>
      <c r="R15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6" t="n">
        <v>30</v>
      </c>
      <c r="T156" t="inlineStr">
        <is>
          <t>NEED_SOURCE</t>
        </is>
      </c>
      <c r="U156" t="inlineStr">
        <is>
          <t>NEED_SOURCE</t>
        </is>
      </c>
      <c r="V156" t="inlineStr">
        <is>
          <t>NEED_SOURCE</t>
        </is>
      </c>
      <c r="W156" t="inlineStr">
        <is>
          <t>NEED_SOURCE</t>
        </is>
      </c>
      <c r="X156" t="n">
        <v>2500</v>
      </c>
      <c r="Y156" t="n">
        <v>1000</v>
      </c>
      <c r="Z156" t="inlineStr">
        <is>
          <t>NEED_SOURCE</t>
        </is>
      </c>
      <c r="AA156" t="inlineStr">
        <is>
          <t>NEED_SOURCE</t>
        </is>
      </c>
      <c r="AB156" t="inlineStr"/>
      <c r="AC156" t="inlineStr">
        <is>
          <t>aa</t>
        </is>
      </c>
      <c r="AD156" t="inlineStr">
        <is>
          <t>Wikipedia '2A38': 4,060-5,000 rpm the twin mount</t>
        </is>
      </c>
      <c r="AE156" t="inlineStr">
        <is>
          <t>2A38M: ~5.000 phát/phút cả cặp</t>
        </is>
      </c>
      <c r="AF156" t="inlineStr">
        <is>
          <t>Tools/balance/full_weapon_audit.py: REAL / WARHEAD; balance.json weapons[id=hq_flak].real</t>
        </is>
      </c>
      <c r="AG156" t="inlineStr"/>
    </row>
    <row r="157">
      <c r="A157" t="inlineStr">
        <is>
          <t>hq_flak_ap</t>
        </is>
      </c>
      <c r="B157" t="inlineStr">
        <is>
          <t>hq_flak_ap</t>
        </is>
      </c>
      <c r="C157" t="inlineStr">
        <is>
          <t>2A38 30 mm AP (twin)</t>
        </is>
      </c>
      <c r="D157" t="inlineStr">
        <is>
          <t>doi_that</t>
        </is>
      </c>
      <c r="E157" t="inlineStr">
        <is>
          <t>2A38 30 mm AP (twin)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da_kiem_chung</t>
        </is>
      </c>
      <c r="P157" t="inlineStr">
        <is>
          <t>R_balance;R_full_weapon_audit;W_wikipedia_2a38</t>
        </is>
      </c>
      <c r="Q157" t="inlineStr"/>
      <c r="R15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7" t="n">
        <v>30</v>
      </c>
      <c r="T157" t="inlineStr">
        <is>
          <t>NEED_SOURCE</t>
        </is>
      </c>
      <c r="U157" t="inlineStr">
        <is>
          <t>NEED_SOURCE</t>
        </is>
      </c>
      <c r="V157" t="inlineStr">
        <is>
          <t>NEED_SOURCE</t>
        </is>
      </c>
      <c r="W157" t="inlineStr">
        <is>
          <t>NEED_SOURCE</t>
        </is>
      </c>
      <c r="X157" t="n">
        <v>2500</v>
      </c>
      <c r="Y157" t="n">
        <v>1000</v>
      </c>
      <c r="Z157" t="inlineStr">
        <is>
          <t>NEED_SOURCE</t>
        </is>
      </c>
      <c r="AA157" t="inlineStr">
        <is>
          <t>NEED_SOURCE</t>
        </is>
      </c>
      <c r="AB157" t="inlineStr"/>
      <c r="AC157" t="inlineStr">
        <is>
          <t>aa</t>
        </is>
      </c>
      <c r="AD157" t="inlineStr">
        <is>
          <t>Wikipedia '2A38': 4,060-5,000 rpm the twin mount</t>
        </is>
      </c>
      <c r="AE157" t="inlineStr"/>
      <c r="AF157" t="inlineStr">
        <is>
          <t>Tools/balance/full_weapon_audit.py: REAL / WARHEAD; balance.json weapons[id=hq_flak_ap].real</t>
        </is>
      </c>
      <c r="AG157" t="inlineStr"/>
    </row>
    <row r="158">
      <c r="A158" t="inlineStr">
        <is>
          <t>hydra_club_s</t>
        </is>
      </c>
      <c r="B158" t="inlineStr">
        <is>
          <t>hydra_club_s</t>
        </is>
      </c>
      <c r="C158" t="inlineStr">
        <is>
          <t>3M-54 Club-S (submarine-launched, vertical tubes)</t>
        </is>
      </c>
      <c r="D158" t="inlineStr">
        <is>
          <t>doi_that</t>
        </is>
      </c>
      <c r="E158" t="inlineStr">
        <is>
          <t>3M-54 Club-S (submarine-launched, vertical tubes)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ban_dau_doan</t>
        </is>
      </c>
      <c r="P158" t="inlineStr">
        <is>
          <t>R_balance</t>
        </is>
      </c>
      <c r="Q158" t="inlineStr"/>
      <c r="R15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8" t="inlineStr">
        <is>
          <t>NEED_SOURCE</t>
        </is>
      </c>
      <c r="T158" t="inlineStr">
        <is>
          <t>NEED_SOURCE</t>
        </is>
      </c>
      <c r="U158" t="inlineStr">
        <is>
          <t>NEED_SOURCE</t>
        </is>
      </c>
      <c r="V158" t="inlineStr">
        <is>
          <t>NEED_SOURCE</t>
        </is>
      </c>
      <c r="W158" t="inlineStr">
        <is>
          <t>NEED_SOURCE</t>
        </is>
      </c>
      <c r="X158" t="inlineStr">
        <is>
          <t>NEED_SOURCE</t>
        </is>
      </c>
      <c r="Y158" t="inlineStr">
        <is>
          <t>NEED_SOURCE</t>
        </is>
      </c>
      <c r="Z158" t="inlineStr">
        <is>
          <t>NEED_SOURCE</t>
        </is>
      </c>
      <c r="AA158" t="inlineStr">
        <is>
          <t>NEED_SOURCE</t>
        </is>
      </c>
      <c r="AB158" t="inlineStr">
        <is>
          <t>NEED_SOURCE</t>
        </is>
      </c>
      <c r="AC158" t="inlineStr"/>
      <c r="AD158" t="inlineStr"/>
      <c r="AE158" t="inlineStr"/>
      <c r="AF158" t="inlineStr">
        <is>
          <t>Tools/balance/full_weapon_audit.py: REAL / WARHEAD; balance.json weapons[id=hydra_club_s].real</t>
        </is>
      </c>
      <c r="AG158" t="inlineStr"/>
    </row>
    <row r="159">
      <c r="A159" t="inlineStr">
        <is>
          <t>ifv_30</t>
        </is>
      </c>
      <c r="B159" t="inlineStr">
        <is>
          <t>ifv_30</t>
        </is>
      </c>
      <c r="C159" t="inlineStr">
        <is>
          <t>2A42 30 mm</t>
        </is>
      </c>
      <c r="D159" t="inlineStr">
        <is>
          <t>doi_that</t>
        </is>
      </c>
      <c r="E159" t="inlineStr">
        <is>
          <t>2A42 30 mm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da_kiem_chung</t>
        </is>
      </c>
      <c r="P159" t="inlineStr">
        <is>
          <t>R_balance;R_full_weapon_audit;W_wikipedia_2a42;R_machine_brigade_can_bang</t>
        </is>
      </c>
      <c r="Q159" t="inlineStr"/>
      <c r="R15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9" t="n">
        <v>30</v>
      </c>
      <c r="T159" t="inlineStr">
        <is>
          <t>NEED_SOURCE</t>
        </is>
      </c>
      <c r="U159" t="inlineStr">
        <is>
          <t>NEED_SOURCE</t>
        </is>
      </c>
      <c r="V159" t="inlineStr">
        <is>
          <t>NEED_SOURCE</t>
        </is>
      </c>
      <c r="W159" t="inlineStr">
        <is>
          <t>NEED_SOURCE</t>
        </is>
      </c>
      <c r="X159" t="n">
        <v>800</v>
      </c>
      <c r="Y159" t="n">
        <v>300</v>
      </c>
      <c r="Z159" t="inlineStr">
        <is>
          <t>NEED_SOURCE</t>
        </is>
      </c>
      <c r="AA159" t="inlineStr">
        <is>
          <t>NEED_SOURCE</t>
        </is>
      </c>
      <c r="AB159" t="inlineStr"/>
      <c r="AC159" t="inlineStr">
        <is>
          <t>ac</t>
        </is>
      </c>
      <c r="AD159" t="inlineStr">
        <is>
          <t>Wikipedia '2A42': 550-800 high, 200-300 low rpm</t>
        </is>
      </c>
      <c r="AE159" t="inlineStr">
        <is>
          <t>2A42: 550–800 phát/phút</t>
        </is>
      </c>
      <c r="AF159" t="inlineStr">
        <is>
          <t>Tools/balance/full_weapon_audit.py: REAL / WARHEAD; balance.json weapons[id=ifv_30].real</t>
        </is>
      </c>
      <c r="AG159" t="inlineStr"/>
    </row>
    <row r="160">
      <c r="A160" t="inlineStr">
        <is>
          <t>ifv_30_flak</t>
        </is>
      </c>
      <c r="B160" t="inlineStr">
        <is>
          <t>ifv_30_flak</t>
        </is>
      </c>
      <c r="C160" t="inlineStr">
        <is>
          <t>2A42 30 mm air-burst</t>
        </is>
      </c>
      <c r="D160" t="inlineStr">
        <is>
          <t>doi_that</t>
        </is>
      </c>
      <c r="E160" t="inlineStr">
        <is>
          <t>2A42 30 mm air-burst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da_kiem_chung</t>
        </is>
      </c>
      <c r="P160" t="inlineStr">
        <is>
          <t>R_balance;R_full_weapon_audit;W_wikipedia_2a42</t>
        </is>
      </c>
      <c r="Q160" t="inlineStr"/>
      <c r="R16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0" t="n">
        <v>30</v>
      </c>
      <c r="T160" t="inlineStr">
        <is>
          <t>NEED_SOURCE</t>
        </is>
      </c>
      <c r="U160" t="inlineStr">
        <is>
          <t>NEED_SOURCE</t>
        </is>
      </c>
      <c r="V160" t="inlineStr">
        <is>
          <t>NEED_SOURCE</t>
        </is>
      </c>
      <c r="W160" t="inlineStr">
        <is>
          <t>NEED_SOURCE</t>
        </is>
      </c>
      <c r="X160" t="n">
        <v>800</v>
      </c>
      <c r="Y160" t="n">
        <v>300</v>
      </c>
      <c r="Z160" t="inlineStr">
        <is>
          <t>NEED_SOURCE</t>
        </is>
      </c>
      <c r="AA160" t="inlineStr">
        <is>
          <t>NEED_SOURCE</t>
        </is>
      </c>
      <c r="AB160" t="inlineStr"/>
      <c r="AC160" t="inlineStr">
        <is>
          <t>ac</t>
        </is>
      </c>
      <c r="AD160" t="inlineStr">
        <is>
          <t>Wikipedia '2A42': 550-800 high, 200-300 low rpm</t>
        </is>
      </c>
      <c r="AE160" t="inlineStr"/>
      <c r="AF160" t="inlineStr">
        <is>
          <t>Tools/balance/full_weapon_audit.py: REAL / WARHEAD; balance.json weapons[id=ifv_30_flak].real</t>
        </is>
      </c>
      <c r="AG160" t="inlineStr"/>
    </row>
    <row r="161">
      <c r="A161" t="inlineStr">
        <is>
          <t>igla_v</t>
        </is>
      </c>
      <c r="B161" t="inlineStr">
        <is>
          <t>igla_v</t>
        </is>
      </c>
      <c r="C161" t="inlineStr">
        <is>
          <t>9K38 Igla-V</t>
        </is>
      </c>
      <c r="D161" t="inlineStr">
        <is>
          <t>doi_that</t>
        </is>
      </c>
      <c r="E161" t="inlineStr">
        <is>
          <t>9K38 Igla-V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uoc_dinh</t>
        </is>
      </c>
      <c r="P161" t="inlineStr">
        <is>
          <t>R_balance;R_full_weapon_audit;W_wikipedia_bai_cua_tung_ten_lua_bang_warhead</t>
        </is>
      </c>
      <c r="Q161" t="inlineStr"/>
      <c r="R16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1" t="inlineStr">
        <is>
          <t>NEED_SOURCE</t>
        </is>
      </c>
      <c r="T161" t="inlineStr">
        <is>
          <t>NEED_SOURCE</t>
        </is>
      </c>
      <c r="U161" t="inlineStr">
        <is>
          <t>NEED_SOURCE</t>
        </is>
      </c>
      <c r="V161" t="inlineStr">
        <is>
          <t>NEED_SOURCE</t>
        </is>
      </c>
      <c r="W161" t="inlineStr">
        <is>
          <t>NEED_SOURCE</t>
        </is>
      </c>
      <c r="X161" t="n">
        <v>20</v>
      </c>
      <c r="Y161" t="n">
        <v>10</v>
      </c>
      <c r="Z161" t="inlineStr">
        <is>
          <t>NEED_SOURCE</t>
        </is>
      </c>
      <c r="AA161" t="inlineStr">
        <is>
          <t>NEED_SOURCE</t>
        </is>
      </c>
      <c r="AB161" t="n">
        <v>1.2</v>
      </c>
      <c r="AC161" t="inlineStr">
        <is>
          <t>missile</t>
        </is>
      </c>
      <c r="AD161" t="inlineStr">
        <is>
          <t>air-launched Igla-V pairs, est. 3 s</t>
        </is>
      </c>
      <c r="AE161" t="inlineStr"/>
      <c r="AF161" t="inlineStr">
        <is>
          <t>Tools/balance/full_weapon_audit.py: REAL / WARHEAD; balance.json weapons[id=igla_v].real</t>
        </is>
      </c>
      <c r="AG161" t="inlineStr"/>
    </row>
    <row r="162">
      <c r="A162" t="inlineStr">
        <is>
          <t>illum_flare</t>
        </is>
      </c>
      <c r="B162" t="inlineStr">
        <is>
          <t>illum_flare</t>
        </is>
      </c>
      <c r="C162" t="inlineStr">
        <is>
          <t>Illumination flare</t>
        </is>
      </c>
      <c r="D162" t="inlineStr">
        <is>
          <t>doi_that</t>
        </is>
      </c>
      <c r="E162" t="inlineStr">
        <is>
          <t>Illumination flare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ban_dau_doan</t>
        </is>
      </c>
      <c r="P162" t="inlineStr">
        <is>
          <t>R_balance</t>
        </is>
      </c>
      <c r="Q162" t="inlineStr"/>
      <c r="R16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2" t="inlineStr">
        <is>
          <t>NEED_SOURCE</t>
        </is>
      </c>
      <c r="T162" t="inlineStr">
        <is>
          <t>NEED_SOURCE</t>
        </is>
      </c>
      <c r="U162" t="inlineStr">
        <is>
          <t>NEED_SOURCE</t>
        </is>
      </c>
      <c r="V162" t="inlineStr">
        <is>
          <t>NEED_SOURCE</t>
        </is>
      </c>
      <c r="W162" t="inlineStr">
        <is>
          <t>NEED_SOURCE</t>
        </is>
      </c>
      <c r="X162" t="inlineStr">
        <is>
          <t>NEED_SOURCE</t>
        </is>
      </c>
      <c r="Y162" t="inlineStr">
        <is>
          <t>NEED_SOURCE</t>
        </is>
      </c>
      <c r="Z162" t="inlineStr">
        <is>
          <t>NEED_SOURCE</t>
        </is>
      </c>
      <c r="AA162" t="inlineStr">
        <is>
          <t>NEED_SOURCE</t>
        </is>
      </c>
      <c r="AB162" t="inlineStr"/>
      <c r="AC162" t="inlineStr"/>
      <c r="AD162" t="inlineStr"/>
      <c r="AE162" t="inlineStr"/>
      <c r="AF162" t="inlineStr">
        <is>
          <t>Tools/balance/full_weapon_audit.py: REAL / WARHEAD; balance.json weapons[id=illum_flare].real</t>
        </is>
      </c>
      <c r="AG162" t="inlineStr"/>
    </row>
    <row r="163">
      <c r="A163" t="inlineStr">
        <is>
          <t>jassm</t>
        </is>
      </c>
      <c r="B163" t="inlineStr">
        <is>
          <t>jassm</t>
        </is>
      </c>
      <c r="C163" t="inlineStr">
        <is>
          <t>AGM-158 JASSM (450 kg)</t>
        </is>
      </c>
      <c r="D163" t="inlineStr">
        <is>
          <t>doi_that</t>
        </is>
      </c>
      <c r="E163" t="inlineStr">
        <is>
          <t>AGM-158 JASSM (450 kg)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uoc_dinh</t>
        </is>
      </c>
      <c r="P163" t="inlineStr">
        <is>
          <t>R_balance;R_full_weapon_audit;R_machine_brigade_can_bang</t>
        </is>
      </c>
      <c r="Q163" t="inlineStr"/>
      <c r="R16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3" t="inlineStr">
        <is>
          <t>NEED_SOURCE</t>
        </is>
      </c>
      <c r="T163" t="inlineStr">
        <is>
          <t>NEED_SOURCE</t>
        </is>
      </c>
      <c r="U163" t="inlineStr">
        <is>
          <t>NEED_SOURCE</t>
        </is>
      </c>
      <c r="V163" t="inlineStr">
        <is>
          <t>NEED_SOURCE</t>
        </is>
      </c>
      <c r="W163" t="inlineStr">
        <is>
          <t>NEED_SOURCE</t>
        </is>
      </c>
      <c r="X163" t="n">
        <v>20</v>
      </c>
      <c r="Y163" t="n">
        <v>6</v>
      </c>
      <c r="Z163" t="inlineStr">
        <is>
          <t>NEED_SOURCE</t>
        </is>
      </c>
      <c r="AA163" t="inlineStr">
        <is>
          <t>NEED_SOURCE</t>
        </is>
      </c>
      <c r="AB163" t="inlineStr">
        <is>
          <t>NEED_SOURCE</t>
        </is>
      </c>
      <c r="AC163" t="inlineStr">
        <is>
          <t>missile</t>
        </is>
      </c>
      <c r="AD163" t="inlineStr">
        <is>
          <t>cruise missiles: ~3 s between launches (est.)</t>
        </is>
      </c>
      <c r="AE163" t="inlineStr">
        <is>
          <t>JASSM: đầu nổ 450 kg</t>
        </is>
      </c>
      <c r="AF163" t="inlineStr">
        <is>
          <t>Tools/balance/full_weapon_audit.py: REAL / WARHEAD; balance.json weapons[id=jassm].real</t>
        </is>
      </c>
      <c r="AG163" t="inlineStr"/>
    </row>
    <row r="164">
      <c r="A164" t="inlineStr">
        <is>
          <t>jet_bombs</t>
        </is>
      </c>
      <c r="B164" t="inlineStr">
        <is>
          <t>jet_bombs</t>
        </is>
      </c>
      <c r="C164" t="inlineStr">
        <is>
          <t>FAB-250 (250 kg)</t>
        </is>
      </c>
      <c r="D164" t="inlineStr">
        <is>
          <t>doi_that</t>
        </is>
      </c>
      <c r="E164" t="inlineStr">
        <is>
          <t>FAB-250 (250 kg)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uoc_dinh</t>
        </is>
      </c>
      <c r="P164" t="inlineStr">
        <is>
          <t>R_balance;R_full_weapon_audit;R_machine_brigade_can_bang</t>
        </is>
      </c>
      <c r="Q164" t="inlineStr"/>
      <c r="R16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4" t="inlineStr">
        <is>
          <t>NEED_SOURCE</t>
        </is>
      </c>
      <c r="T164" t="inlineStr">
        <is>
          <t>NEED_SOURCE</t>
        </is>
      </c>
      <c r="U164" t="inlineStr">
        <is>
          <t>NEED_SOURCE</t>
        </is>
      </c>
      <c r="V164" t="inlineStr">
        <is>
          <t>NEED_SOURCE</t>
        </is>
      </c>
      <c r="W164" t="inlineStr">
        <is>
          <t>NEED_SOURCE</t>
        </is>
      </c>
      <c r="X164" t="n">
        <v>600</v>
      </c>
      <c r="Y164" t="inlineStr">
        <is>
          <t>NEED_SOURCE</t>
        </is>
      </c>
      <c r="Z164" t="inlineStr">
        <is>
          <t>NEED_SOURCE</t>
        </is>
      </c>
      <c r="AA164" t="inlineStr">
        <is>
          <t>NEED_SOURCE</t>
        </is>
      </c>
      <c r="AB164" t="inlineStr"/>
      <c r="AC164" t="inlineStr">
        <is>
          <t>bomb</t>
        </is>
      </c>
      <c r="AD164" t="inlineStr">
        <is>
          <t>a stick's release, 0.1 s and up (est.)</t>
        </is>
      </c>
      <c r="AE164" t="inlineStr">
        <is>
          <t>FAB-250: ~100 kg thuốc nổ</t>
        </is>
      </c>
      <c r="AF164" t="inlineStr">
        <is>
          <t>Tools/balance/full_weapon_audit.py: REAL / WARHEAD; balance.json weapons[id=jet_bombs].real</t>
        </is>
      </c>
      <c r="AG164" t="inlineStr"/>
    </row>
    <row r="165">
      <c r="A165" t="inlineStr">
        <is>
          <t>jet_cannon</t>
        </is>
      </c>
      <c r="B165" t="inlineStr">
        <is>
          <t>jet_cannon</t>
        </is>
      </c>
      <c r="C165" t="inlineStr">
        <is>
          <t>GSh-30-2 30 mm</t>
        </is>
      </c>
      <c r="D165" t="inlineStr">
        <is>
          <t>doi_that</t>
        </is>
      </c>
      <c r="E165" t="inlineStr">
        <is>
          <t>GSh-30-2 30 mm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da_kiem_chung</t>
        </is>
      </c>
      <c r="P165" t="inlineStr">
        <is>
          <t>R_balance;R_full_weapon_audit;W_wikipedia_gsh_30_2;R_machine_brigade_can_bang</t>
        </is>
      </c>
      <c r="Q165" t="inlineStr"/>
      <c r="R16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5" t="n">
        <v>30</v>
      </c>
      <c r="T165" t="inlineStr">
        <is>
          <t>NEED_SOURCE</t>
        </is>
      </c>
      <c r="U165" t="inlineStr">
        <is>
          <t>NEED_SOURCE</t>
        </is>
      </c>
      <c r="V165" t="inlineStr">
        <is>
          <t>NEED_SOURCE</t>
        </is>
      </c>
      <c r="W165" t="inlineStr">
        <is>
          <t>NEED_SOURCE</t>
        </is>
      </c>
      <c r="X165" t="n">
        <v>3000</v>
      </c>
      <c r="Y165" t="inlineStr">
        <is>
          <t>NEED_SOURCE</t>
        </is>
      </c>
      <c r="Z165" t="inlineStr">
        <is>
          <t>NEED_SOURCE</t>
        </is>
      </c>
      <c r="AA165" t="inlineStr">
        <is>
          <t>NEED_SOURCE</t>
        </is>
      </c>
      <c r="AB165" t="inlineStr"/>
      <c r="AC165" t="inlineStr">
        <is>
          <t>ac</t>
        </is>
      </c>
      <c r="AD165" t="inlineStr">
        <is>
          <t>Wikipedia 'GSh-30-2': 3,000 rpm</t>
        </is>
      </c>
      <c r="AE165" t="inlineStr">
        <is>
          <t>GSh-30-2: ~3.000 phát/phút</t>
        </is>
      </c>
      <c r="AF165" t="inlineStr">
        <is>
          <t>Tools/balance/full_weapon_audit.py: REAL / WARHEAD; balance.json weapons[id=jet_cannon].real</t>
        </is>
      </c>
      <c r="AG165" t="inlineStr"/>
    </row>
    <row r="166">
      <c r="A166" t="inlineStr">
        <is>
          <t>jet_cannon_flak</t>
        </is>
      </c>
      <c r="B166" t="inlineStr">
        <is>
          <t>jet_cannon_flak</t>
        </is>
      </c>
      <c r="C166" t="inlineStr">
        <is>
          <t>GSh-30-2 30 mm air-burst</t>
        </is>
      </c>
      <c r="D166" t="inlineStr">
        <is>
          <t>doi_that</t>
        </is>
      </c>
      <c r="E166" t="inlineStr">
        <is>
          <t>GSh-30-2 30 mm air-burst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da_kiem_chung</t>
        </is>
      </c>
      <c r="P166" t="inlineStr">
        <is>
          <t>R_balance;R_full_weapon_audit;W_wikipedia_gsh_30_2</t>
        </is>
      </c>
      <c r="Q166" t="inlineStr"/>
      <c r="R16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6" t="n">
        <v>30</v>
      </c>
      <c r="T166" t="inlineStr">
        <is>
          <t>NEED_SOURCE</t>
        </is>
      </c>
      <c r="U166" t="inlineStr">
        <is>
          <t>NEED_SOURCE</t>
        </is>
      </c>
      <c r="V166" t="inlineStr">
        <is>
          <t>NEED_SOURCE</t>
        </is>
      </c>
      <c r="W166" t="inlineStr">
        <is>
          <t>NEED_SOURCE</t>
        </is>
      </c>
      <c r="X166" t="n">
        <v>3000</v>
      </c>
      <c r="Y166" t="inlineStr">
        <is>
          <t>NEED_SOURCE</t>
        </is>
      </c>
      <c r="Z166" t="inlineStr">
        <is>
          <t>NEED_SOURCE</t>
        </is>
      </c>
      <c r="AA166" t="inlineStr">
        <is>
          <t>NEED_SOURCE</t>
        </is>
      </c>
      <c r="AB166" t="inlineStr"/>
      <c r="AC166" t="inlineStr">
        <is>
          <t>ac</t>
        </is>
      </c>
      <c r="AD166" t="inlineStr">
        <is>
          <t>Wikipedia 'GSh-30-2': 3,000 rpm</t>
        </is>
      </c>
      <c r="AE166" t="inlineStr"/>
      <c r="AF166" t="inlineStr">
        <is>
          <t>Tools/balance/full_weapon_audit.py: REAL / WARHEAD; balance.json weapons[id=jet_cannon_flak].real</t>
        </is>
      </c>
      <c r="AG166" t="inlineStr"/>
    </row>
    <row r="167">
      <c r="A167" t="inlineStr">
        <is>
          <t>jet_rockets</t>
        </is>
      </c>
      <c r="B167" t="inlineStr">
        <is>
          <t>jet_rockets</t>
        </is>
      </c>
      <c r="C167" t="inlineStr">
        <is>
          <t>Hydra 70 mm</t>
        </is>
      </c>
      <c r="D167" t="inlineStr">
        <is>
          <t>doi_that</t>
        </is>
      </c>
      <c r="E167" t="inlineStr">
        <is>
          <t>Hydra 70 mm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ban_dau_doan</t>
        </is>
      </c>
      <c r="P167" t="inlineStr">
        <is>
          <t>R_balance;R_full_weapon_audit;R_decisions</t>
        </is>
      </c>
      <c r="Q167" t="inlineStr"/>
      <c r="R16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7" t="n">
        <v>70</v>
      </c>
      <c r="T167" t="inlineStr">
        <is>
          <t>NEED_SOURCE</t>
        </is>
      </c>
      <c r="U167" t="inlineStr">
        <is>
          <t>NEED_SOURCE</t>
        </is>
      </c>
      <c r="V167" t="inlineStr">
        <is>
          <t>NEED_SOURCE</t>
        </is>
      </c>
      <c r="W167" t="inlineStr">
        <is>
          <t>NEED_SOURCE</t>
        </is>
      </c>
      <c r="X167" t="n">
        <v>900</v>
      </c>
      <c r="Y167" t="inlineStr">
        <is>
          <t>NEED_SOURCE</t>
        </is>
      </c>
      <c r="Z167" t="inlineStr">
        <is>
          <t>NEED_SOURCE</t>
        </is>
      </c>
      <c r="AA167" t="inlineStr">
        <is>
          <t>NEED_SOURCE</t>
        </is>
      </c>
      <c r="AB167" t="inlineStr"/>
      <c r="AC167" t="inlineStr">
        <is>
          <t>rocket</t>
        </is>
      </c>
      <c r="AD167" t="inlineStr">
        <is>
          <t>rocket pods: ripples of 0.05-0.12 s (DECISIONS 19R)</t>
        </is>
      </c>
      <c r="AE167" t="inlineStr"/>
      <c r="AF167" t="inlineStr">
        <is>
          <t>Tools/balance/full_weapon_audit.py: REAL / WARHEAD; balance.json weapons[id=jet_rockets].real</t>
        </is>
      </c>
      <c r="AG167" t="inlineStr"/>
    </row>
    <row r="168">
      <c r="A168" t="inlineStr">
        <is>
          <t>kh29</t>
        </is>
      </c>
      <c r="B168" t="inlineStr">
        <is>
          <t>kh29</t>
        </is>
      </c>
      <c r="C168" t="inlineStr">
        <is>
          <t>Kh-29L</t>
        </is>
      </c>
      <c r="D168" t="inlineStr">
        <is>
          <t>doi_that</t>
        </is>
      </c>
      <c r="E168" t="inlineStr">
        <is>
          <t>Kh-29L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uoc_dinh</t>
        </is>
      </c>
      <c r="P168" t="inlineStr">
        <is>
          <t>R_balance;R_full_weapon_audit;W_wikipedia_bai_cua_tung_ten_lua_bang_warhead;R_machine_brigade_can_bang</t>
        </is>
      </c>
      <c r="Q168" t="inlineStr"/>
      <c r="R16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8" t="inlineStr">
        <is>
          <t>NEED_SOURCE</t>
        </is>
      </c>
      <c r="T168" t="inlineStr">
        <is>
          <t>NEED_SOURCE</t>
        </is>
      </c>
      <c r="U168" t="inlineStr">
        <is>
          <t>NEED_SOURCE</t>
        </is>
      </c>
      <c r="V168" t="inlineStr">
        <is>
          <t>NEED_SOURCE</t>
        </is>
      </c>
      <c r="W168" t="inlineStr">
        <is>
          <t>NEED_SOURCE</t>
        </is>
      </c>
      <c r="X168" t="n">
        <v>60</v>
      </c>
      <c r="Y168" t="n">
        <v>10</v>
      </c>
      <c r="Z168" t="inlineStr">
        <is>
          <t>NEED_SOURCE</t>
        </is>
      </c>
      <c r="AA168" t="inlineStr">
        <is>
          <t>NEED_SOURCE</t>
        </is>
      </c>
      <c r="AB168" t="n">
        <v>320</v>
      </c>
      <c r="AC168" t="inlineStr">
        <is>
          <t>atgm</t>
        </is>
      </c>
      <c r="AD168" t="inlineStr">
        <is>
          <t>air-launched: ripples ~1 s apart, est. 6 s an aimed shot</t>
        </is>
      </c>
      <c r="AE168" t="inlineStr">
        <is>
          <t>Kh-29L: 10 km, Mach 2,5, đầu nổ 320 kg</t>
        </is>
      </c>
      <c r="AF168" t="inlineStr">
        <is>
          <t>Tools/balance/full_weapon_audit.py: REAL / WARHEAD; balance.json weapons[id=kh29].real</t>
        </is>
      </c>
      <c r="AG168" t="inlineStr"/>
    </row>
    <row r="169">
      <c r="A169" t="inlineStr">
        <is>
          <t>kornet_multi</t>
        </is>
      </c>
      <c r="B169" t="inlineStr">
        <is>
          <t>kornet_multi</t>
        </is>
      </c>
      <c r="C169" t="inlineStr">
        <is>
          <t>9M133 Kornet</t>
        </is>
      </c>
      <c r="D169" t="inlineStr">
        <is>
          <t>doi_that</t>
        </is>
      </c>
      <c r="E169" t="inlineStr">
        <is>
          <t>9M133 Kornet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da_kiem_chung</t>
        </is>
      </c>
      <c r="P169" t="inlineStr">
        <is>
          <t>R_balance;R_full_weapon_audit;W_wikipedia_9m133_kornet;W_wikipedia_bai_cua_tung_ten_lua_bang_warhead;R_machine_brigade_can_bang</t>
        </is>
      </c>
      <c r="Q169" t="inlineStr"/>
      <c r="R16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9" t="inlineStr">
        <is>
          <t>NEED_SOURCE</t>
        </is>
      </c>
      <c r="T169" t="inlineStr">
        <is>
          <t>NEED_SOURCE</t>
        </is>
      </c>
      <c r="U169" t="inlineStr">
        <is>
          <t>NEED_SOURCE</t>
        </is>
      </c>
      <c r="V169" t="inlineStr">
        <is>
          <t>NEED_SOURCE</t>
        </is>
      </c>
      <c r="W169" t="inlineStr">
        <is>
          <t>NEED_SOURCE</t>
        </is>
      </c>
      <c r="X169" t="n">
        <v>3</v>
      </c>
      <c r="Y169" t="n">
        <v>3</v>
      </c>
      <c r="Z169" t="inlineStr">
        <is>
          <t>NEED_SOURCE</t>
        </is>
      </c>
      <c r="AA169" t="inlineStr">
        <is>
          <t>NEED_SOURCE</t>
        </is>
      </c>
      <c r="AB169" t="n">
        <v>7</v>
      </c>
      <c r="AC169" t="inlineStr">
        <is>
          <t>atgm</t>
        </is>
      </c>
      <c r="AD169" t="inlineStr">
        <is>
          <t>Wikipedia '9M133 Kornet': 2-3 rpm</t>
        </is>
      </c>
      <c r="AE169" t="inlineStr">
        <is>
          <t>Kornet</t>
        </is>
      </c>
      <c r="AF169" t="inlineStr">
        <is>
          <t>Tools/balance/full_weapon_audit.py: REAL / WARHEAD; balance.json weapons[id=kornet_multi].real</t>
        </is>
      </c>
      <c r="AG169" t="inlineStr"/>
    </row>
    <row r="170">
      <c r="A170" t="inlineStr">
        <is>
          <t>kornet_top</t>
        </is>
      </c>
      <c r="B170" t="inlineStr">
        <is>
          <t>kornet_top</t>
        </is>
      </c>
      <c r="C170" t="inlineStr">
        <is>
          <t>9M133 Kornet</t>
        </is>
      </c>
      <c r="D170" t="inlineStr">
        <is>
          <t>doi_that</t>
        </is>
      </c>
      <c r="E170" t="inlineStr">
        <is>
          <t>9M133 Kornet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da_kiem_chung</t>
        </is>
      </c>
      <c r="P170" t="inlineStr">
        <is>
          <t>R_balance;R_full_weapon_audit;W_wikipedia_9m133_kornet;W_wikipedia_bai_cua_tung_ten_lua_bang_warhead;R_machine_brigade_can_bang</t>
        </is>
      </c>
      <c r="Q170" t="inlineStr"/>
      <c r="R17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0" t="inlineStr">
        <is>
          <t>NEED_SOURCE</t>
        </is>
      </c>
      <c r="T170" t="inlineStr">
        <is>
          <t>NEED_SOURCE</t>
        </is>
      </c>
      <c r="U170" t="inlineStr">
        <is>
          <t>NEED_SOURCE</t>
        </is>
      </c>
      <c r="V170" t="inlineStr">
        <is>
          <t>NEED_SOURCE</t>
        </is>
      </c>
      <c r="W170" t="inlineStr">
        <is>
          <t>NEED_SOURCE</t>
        </is>
      </c>
      <c r="X170" t="n">
        <v>3</v>
      </c>
      <c r="Y170" t="n">
        <v>3</v>
      </c>
      <c r="Z170" t="inlineStr">
        <is>
          <t>NEED_SOURCE</t>
        </is>
      </c>
      <c r="AA170" t="inlineStr">
        <is>
          <t>NEED_SOURCE</t>
        </is>
      </c>
      <c r="AB170" t="n">
        <v>7</v>
      </c>
      <c r="AC170" t="inlineStr">
        <is>
          <t>atgm</t>
        </is>
      </c>
      <c r="AD170" t="inlineStr">
        <is>
          <t>Wikipedia '9M133 Kornet': 2-3 rpm</t>
        </is>
      </c>
      <c r="AE170" t="inlineStr">
        <is>
          <t>Kornet</t>
        </is>
      </c>
      <c r="AF170" t="inlineStr">
        <is>
          <t>Tools/balance/full_weapon_audit.py: REAL / WARHEAD; balance.json weapons[id=kornet_top].real</t>
        </is>
      </c>
      <c r="AG170" t="inlineStr"/>
    </row>
    <row r="171">
      <c r="A171" t="inlineStr">
        <is>
          <t>kornet_twin</t>
        </is>
      </c>
      <c r="B171" t="inlineStr">
        <is>
          <t>kornet_twin</t>
        </is>
      </c>
      <c r="C171" t="inlineStr">
        <is>
          <t>9M133 Kornet</t>
        </is>
      </c>
      <c r="D171" t="inlineStr">
        <is>
          <t>doi_that</t>
        </is>
      </c>
      <c r="E171" t="inlineStr">
        <is>
          <t>9M133 Kornet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da_kiem_chung</t>
        </is>
      </c>
      <c r="P171" t="inlineStr">
        <is>
          <t>R_balance;R_full_weapon_audit;W_wikipedia_9m133_kornet;W_wikipedia_bai_cua_tung_ten_lua_bang_warhead;R_machine_brigade_can_bang</t>
        </is>
      </c>
      <c r="Q171" t="inlineStr"/>
      <c r="R17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1" t="inlineStr">
        <is>
          <t>NEED_SOURCE</t>
        </is>
      </c>
      <c r="T171" t="inlineStr">
        <is>
          <t>NEED_SOURCE</t>
        </is>
      </c>
      <c r="U171" t="inlineStr">
        <is>
          <t>NEED_SOURCE</t>
        </is>
      </c>
      <c r="V171" t="inlineStr">
        <is>
          <t>NEED_SOURCE</t>
        </is>
      </c>
      <c r="W171" t="inlineStr">
        <is>
          <t>NEED_SOURCE</t>
        </is>
      </c>
      <c r="X171" t="n">
        <v>3</v>
      </c>
      <c r="Y171" t="n">
        <v>3</v>
      </c>
      <c r="Z171" t="inlineStr">
        <is>
          <t>NEED_SOURCE</t>
        </is>
      </c>
      <c r="AA171" t="inlineStr">
        <is>
          <t>NEED_SOURCE</t>
        </is>
      </c>
      <c r="AB171" t="n">
        <v>7</v>
      </c>
      <c r="AC171" t="inlineStr">
        <is>
          <t>atgm</t>
        </is>
      </c>
      <c r="AD171" t="inlineStr">
        <is>
          <t>Wikipedia '9M133 Kornet': 2-3 rpm</t>
        </is>
      </c>
      <c r="AE171" t="inlineStr">
        <is>
          <t>Kornet</t>
        </is>
      </c>
      <c r="AF171" t="inlineStr">
        <is>
          <t>Tools/balance/full_weapon_audit.py: REAL / WARHEAD; balance.json weapons[id=kornet_twin].real</t>
        </is>
      </c>
      <c r="AG171" t="inlineStr"/>
    </row>
    <row r="172">
      <c r="A172" t="inlineStr">
        <is>
          <t>lancet</t>
        </is>
      </c>
      <c r="B172" t="inlineStr">
        <is>
          <t>lancet</t>
        </is>
      </c>
      <c r="C172" t="inlineStr">
        <is>
          <t>ZALA Lancet-3 (3 kg)</t>
        </is>
      </c>
      <c r="D172" t="inlineStr">
        <is>
          <t>doi_that</t>
        </is>
      </c>
      <c r="E172" t="inlineStr">
        <is>
          <t>ZALA Lancet-3 (3 kg)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ban_dau_doan</t>
        </is>
      </c>
      <c r="P172" t="inlineStr">
        <is>
          <t>R_balance;R_machine_brigade_can_bang</t>
        </is>
      </c>
      <c r="Q172" t="inlineStr"/>
      <c r="R17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2" t="inlineStr">
        <is>
          <t>NEED_SOURCE</t>
        </is>
      </c>
      <c r="T172" t="inlineStr">
        <is>
          <t>NEED_SOURCE</t>
        </is>
      </c>
      <c r="U172" t="inlineStr">
        <is>
          <t>NEED_SOURCE</t>
        </is>
      </c>
      <c r="V172" t="inlineStr">
        <is>
          <t>NEED_SOURCE</t>
        </is>
      </c>
      <c r="W172" t="inlineStr">
        <is>
          <t>NEED_SOURCE</t>
        </is>
      </c>
      <c r="X172" t="inlineStr">
        <is>
          <t>NEED_SOURCE</t>
        </is>
      </c>
      <c r="Y172" t="inlineStr">
        <is>
          <t>NEED_SOURCE</t>
        </is>
      </c>
      <c r="Z172" t="inlineStr">
        <is>
          <t>NEED_SOURCE</t>
        </is>
      </c>
      <c r="AA172" t="inlineStr">
        <is>
          <t>NEED_SOURCE</t>
        </is>
      </c>
      <c r="AB172" t="inlineStr"/>
      <c r="AC172" t="inlineStr"/>
      <c r="AD172" t="inlineStr"/>
      <c r="AE172" t="inlineStr">
        <is>
          <t>Lancet-3: đầu nổ 3 kg; tầm 40 km</t>
        </is>
      </c>
      <c r="AF172" t="inlineStr">
        <is>
          <t>Tools/balance/full_weapon_audit.py: REAL / WARHEAD; balance.json weapons[id=lancet].real</t>
        </is>
      </c>
      <c r="AG172" t="inlineStr"/>
    </row>
    <row r="173">
      <c r="A173" t="inlineStr">
        <is>
          <t>lancet_hangar</t>
        </is>
      </c>
      <c r="B173" t="inlineStr">
        <is>
          <t>lancet_hangar</t>
        </is>
      </c>
      <c r="C173" t="inlineStr">
        <is>
          <t>ZALA Lancet-3 (3 kg)</t>
        </is>
      </c>
      <c r="D173" t="inlineStr">
        <is>
          <t>doi_that</t>
        </is>
      </c>
      <c r="E173" t="inlineStr">
        <is>
          <t>ZALA Lancet-3 (3 kg)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ban_dau_doan</t>
        </is>
      </c>
      <c r="P173" t="inlineStr">
        <is>
          <t>R_balance;R_machine_brigade_can_bang</t>
        </is>
      </c>
      <c r="Q173" t="inlineStr"/>
      <c r="R17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3" t="inlineStr">
        <is>
          <t>NEED_SOURCE</t>
        </is>
      </c>
      <c r="T173" t="inlineStr">
        <is>
          <t>NEED_SOURCE</t>
        </is>
      </c>
      <c r="U173" t="inlineStr">
        <is>
          <t>NEED_SOURCE</t>
        </is>
      </c>
      <c r="V173" t="inlineStr">
        <is>
          <t>NEED_SOURCE</t>
        </is>
      </c>
      <c r="W173" t="inlineStr">
        <is>
          <t>NEED_SOURCE</t>
        </is>
      </c>
      <c r="X173" t="inlineStr">
        <is>
          <t>NEED_SOURCE</t>
        </is>
      </c>
      <c r="Y173" t="inlineStr">
        <is>
          <t>NEED_SOURCE</t>
        </is>
      </c>
      <c r="Z173" t="inlineStr">
        <is>
          <t>NEED_SOURCE</t>
        </is>
      </c>
      <c r="AA173" t="inlineStr">
        <is>
          <t>NEED_SOURCE</t>
        </is>
      </c>
      <c r="AB173" t="inlineStr"/>
      <c r="AC173" t="inlineStr"/>
      <c r="AD173" t="inlineStr"/>
      <c r="AE173" t="inlineStr">
        <is>
          <t>Lancet-3</t>
        </is>
      </c>
      <c r="AF173" t="inlineStr">
        <is>
          <t>Tools/balance/full_weapon_audit.py: REAL / WARHEAD; balance.json weapons[id=lancet_hangar].real</t>
        </is>
      </c>
      <c r="AG173" t="inlineStr"/>
    </row>
    <row r="174">
      <c r="A174" t="inlineStr">
        <is>
          <t>laser_50kw</t>
        </is>
      </c>
      <c r="B174" t="inlineStr">
        <is>
          <t>laser_50kw</t>
        </is>
      </c>
      <c r="C174" t="inlineStr">
        <is>
          <t>50 kW laser (Iron Beam fixed site)</t>
        </is>
      </c>
      <c r="D174" t="inlineStr">
        <is>
          <t>doi_that</t>
        </is>
      </c>
      <c r="E174" t="inlineStr">
        <is>
          <t>50 kW laser (Iron Beam fixed site)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ban_dau_doan</t>
        </is>
      </c>
      <c r="P174" t="inlineStr">
        <is>
          <t>R_balance</t>
        </is>
      </c>
      <c r="Q174" t="inlineStr"/>
      <c r="R17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4" t="inlineStr">
        <is>
          <t>NEED_SOURCE</t>
        </is>
      </c>
      <c r="T174" t="inlineStr">
        <is>
          <t>NEED_SOURCE</t>
        </is>
      </c>
      <c r="U174" t="inlineStr">
        <is>
          <t>NEED_SOURCE</t>
        </is>
      </c>
      <c r="V174" t="inlineStr">
        <is>
          <t>NEED_SOURCE</t>
        </is>
      </c>
      <c r="W174" t="inlineStr">
        <is>
          <t>NEED_SOURCE</t>
        </is>
      </c>
      <c r="X174" t="inlineStr">
        <is>
          <t>NEED_SOURCE</t>
        </is>
      </c>
      <c r="Y174" t="inlineStr">
        <is>
          <t>NEED_SOURCE</t>
        </is>
      </c>
      <c r="Z174" t="inlineStr">
        <is>
          <t>NEED_SOURCE</t>
        </is>
      </c>
      <c r="AA174" t="inlineStr">
        <is>
          <t>NEED_SOURCE</t>
        </is>
      </c>
      <c r="AB174" t="inlineStr"/>
      <c r="AC174" t="inlineStr"/>
      <c r="AD174" t="inlineStr"/>
      <c r="AE174" t="inlineStr"/>
      <c r="AF174" t="inlineStr">
        <is>
          <t>Tools/balance/full_weapon_audit.py: REAL / WARHEAD; balance.json weapons[id=laser_50kw].real</t>
        </is>
      </c>
      <c r="AG174" t="inlineStr"/>
    </row>
    <row r="175">
      <c r="A175" t="inlineStr">
        <is>
          <t>leviathan_460</t>
        </is>
      </c>
      <c r="B175" t="inlineStr">
        <is>
          <t>leviathan_460</t>
        </is>
      </c>
      <c r="C175" t="inlineStr">
        <is>
          <t>Mk 7 406 mm/50 (Iowa, triple)</t>
        </is>
      </c>
      <c r="D175" t="inlineStr">
        <is>
          <t>doi_that</t>
        </is>
      </c>
      <c r="E175" t="inlineStr">
        <is>
          <t>Mk 7 406 mm/50 (Iowa, triple)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nhịp chậm hơn 30 % và mạnh hơn tương ứng (luật súng của game)</t>
        </is>
      </c>
      <c r="M175" t="inlineStr">
        <is>
          <t>gameplay</t>
        </is>
      </c>
      <c r="N175" t="inlineStr"/>
      <c r="O175" t="inlineStr">
        <is>
          <t>da_kiem_chung</t>
        </is>
      </c>
      <c r="P175" t="inlineStr">
        <is>
          <t>R_balance;R_full_weapon_audit;W_wikipedia_16_50_caliber_mark_7;R_machine_brigade_can_bang</t>
        </is>
      </c>
      <c r="Q175" t="inlineStr"/>
      <c r="R17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5" t="n">
        <v>406</v>
      </c>
      <c r="T175" t="inlineStr">
        <is>
          <t>NEED_SOURCE</t>
        </is>
      </c>
      <c r="U175" t="inlineStr">
        <is>
          <t>NEED_SOURCE</t>
        </is>
      </c>
      <c r="V175" t="inlineStr">
        <is>
          <t>NEED_SOURCE</t>
        </is>
      </c>
      <c r="W175" t="inlineStr">
        <is>
          <t>NEED_SOURCE</t>
        </is>
      </c>
      <c r="X175" t="n">
        <v>2</v>
      </c>
      <c r="Y175" t="n">
        <v>2</v>
      </c>
      <c r="Z175" t="inlineStr">
        <is>
          <t>NEED_SOURCE</t>
        </is>
      </c>
      <c r="AA175" t="inlineStr">
        <is>
          <t>NEED_SOURCE</t>
        </is>
      </c>
      <c r="AB175" t="inlineStr"/>
      <c r="AC175" t="inlineStr">
        <is>
          <t>gun</t>
        </is>
      </c>
      <c r="AD175" t="inlineStr">
        <is>
          <t>Wikipedia '16"/50 caliber Mark 7': 2 rpm a gun</t>
        </is>
      </c>
      <c r="AE175" t="inlineStr">
        <is>
          <t>Type 94 460 mm: 1,5–2 phát/phút, đạn 1,46 tấn</t>
        </is>
      </c>
      <c r="AF175" t="inlineStr">
        <is>
          <t>Tools/balance/full_weapon_audit.py: REAL / WARHEAD; balance.json weapons[id=leviathan_460].real</t>
        </is>
      </c>
      <c r="AG175" t="inlineStr"/>
    </row>
    <row r="176">
      <c r="A176" t="inlineStr">
        <is>
          <t>leviathan_460_guided</t>
        </is>
      </c>
      <c r="B176" t="inlineStr">
        <is>
          <t>leviathan_460_guided</t>
        </is>
      </c>
      <c r="C176" t="inlineStr">
        <is>
          <t>Mk 7 406 mm/50 guided (Iowa, triple)</t>
        </is>
      </c>
      <c r="D176" t="inlineStr">
        <is>
          <t>doi_that</t>
        </is>
      </c>
      <c r="E176" t="inlineStr">
        <is>
          <t>Mk 7 406 mm/50 guided (Iowa, triple)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nhịp chậm hơn 30 % và mạnh hơn tương ứng (luật súng của game)</t>
        </is>
      </c>
      <c r="M176" t="inlineStr">
        <is>
          <t>gameplay</t>
        </is>
      </c>
      <c r="N176" t="inlineStr"/>
      <c r="O176" t="inlineStr">
        <is>
          <t>da_kiem_chung</t>
        </is>
      </c>
      <c r="P176" t="inlineStr">
        <is>
          <t>R_balance;R_full_weapon_audit;W_wikipedia_16_50_caliber_mark_7</t>
        </is>
      </c>
      <c r="Q176" t="inlineStr"/>
      <c r="R17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6" t="n">
        <v>406</v>
      </c>
      <c r="T176" t="inlineStr">
        <is>
          <t>NEED_SOURCE</t>
        </is>
      </c>
      <c r="U176" t="inlineStr">
        <is>
          <t>NEED_SOURCE</t>
        </is>
      </c>
      <c r="V176" t="inlineStr">
        <is>
          <t>NEED_SOURCE</t>
        </is>
      </c>
      <c r="W176" t="inlineStr">
        <is>
          <t>NEED_SOURCE</t>
        </is>
      </c>
      <c r="X176" t="n">
        <v>2</v>
      </c>
      <c r="Y176" t="n">
        <v>2</v>
      </c>
      <c r="Z176" t="inlineStr">
        <is>
          <t>NEED_SOURCE</t>
        </is>
      </c>
      <c r="AA176" t="inlineStr">
        <is>
          <t>NEED_SOURCE</t>
        </is>
      </c>
      <c r="AB176" t="inlineStr"/>
      <c r="AC176" t="inlineStr">
        <is>
          <t>gun</t>
        </is>
      </c>
      <c r="AD176" t="inlineStr">
        <is>
          <t>Wikipedia '16"/50 caliber Mark 7': 2 rpm a gun</t>
        </is>
      </c>
      <c r="AE176" t="inlineStr"/>
      <c r="AF176" t="inlineStr">
        <is>
          <t>Tools/balance/full_weapon_audit.py: REAL / WARHEAD; balance.json weapons[id=leviathan_460_guided].real</t>
        </is>
      </c>
      <c r="AG176" t="inlineStr"/>
    </row>
    <row r="177">
      <c r="A177" t="inlineStr">
        <is>
          <t>leviathan_cruise</t>
        </is>
      </c>
      <c r="B177" t="inlineStr">
        <is>
          <t>leviathan_cruise</t>
        </is>
      </c>
      <c r="C177" t="inlineStr">
        <is>
          <t>3M-54 Kalibr</t>
        </is>
      </c>
      <c r="D177" t="inlineStr">
        <is>
          <t>doi_that</t>
        </is>
      </c>
      <c r="E177" t="inlineStr">
        <is>
          <t>3M-54 Kalibr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uoc_dinh</t>
        </is>
      </c>
      <c r="P177" t="inlineStr">
        <is>
          <t>R_balance;R_full_weapon_audit;W_wikipedia_bai_cua_tung_ten_lua_bang_warhead</t>
        </is>
      </c>
      <c r="Q177" t="inlineStr"/>
      <c r="R17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7" t="inlineStr">
        <is>
          <t>NEED_SOURCE</t>
        </is>
      </c>
      <c r="T177" t="inlineStr">
        <is>
          <t>NEED_SOURCE</t>
        </is>
      </c>
      <c r="U177" t="inlineStr">
        <is>
          <t>NEED_SOURCE</t>
        </is>
      </c>
      <c r="V177" t="inlineStr">
        <is>
          <t>NEED_SOURCE</t>
        </is>
      </c>
      <c r="W177" t="inlineStr">
        <is>
          <t>NEED_SOURCE</t>
        </is>
      </c>
      <c r="X177" t="n">
        <v>20</v>
      </c>
      <c r="Y177" t="n">
        <v>6</v>
      </c>
      <c r="Z177" t="inlineStr">
        <is>
          <t>NEED_SOURCE</t>
        </is>
      </c>
      <c r="AA177" t="inlineStr">
        <is>
          <t>NEED_SOURCE</t>
        </is>
      </c>
      <c r="AB177" t="n">
        <v>200</v>
      </c>
      <c r="AC177" t="inlineStr">
        <is>
          <t>missile</t>
        </is>
      </c>
      <c r="AD177" t="inlineStr">
        <is>
          <t>cruise missiles: ~3 s between launches (est.)</t>
        </is>
      </c>
      <c r="AE177" t="inlineStr"/>
      <c r="AF177" t="inlineStr">
        <is>
          <t>Tools/balance/full_weapon_audit.py: REAL / WARHEAD; balance.json weapons[id=leviathan_cruise].real</t>
        </is>
      </c>
      <c r="AG177" t="inlineStr"/>
    </row>
    <row r="178">
      <c r="A178" t="inlineStr">
        <is>
          <t>locust_drones</t>
        </is>
      </c>
      <c r="B178" t="inlineStr">
        <is>
          <t>locust_drones</t>
        </is>
      </c>
      <c r="C178" t="inlineStr">
        <is>
          <t>ZALA Lancet-3 swarm</t>
        </is>
      </c>
      <c r="D178" t="inlineStr">
        <is>
          <t>doi_that</t>
        </is>
      </c>
      <c r="E178" t="inlineStr">
        <is>
          <t>ZALA Lancet-3 swarm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ban_dau_doan</t>
        </is>
      </c>
      <c r="P178" t="inlineStr">
        <is>
          <t>R_balance</t>
        </is>
      </c>
      <c r="Q178" t="inlineStr"/>
      <c r="R17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8" t="inlineStr">
        <is>
          <t>NEED_SOURCE</t>
        </is>
      </c>
      <c r="T178" t="inlineStr">
        <is>
          <t>NEED_SOURCE</t>
        </is>
      </c>
      <c r="U178" t="inlineStr">
        <is>
          <t>NEED_SOURCE</t>
        </is>
      </c>
      <c r="V178" t="inlineStr">
        <is>
          <t>NEED_SOURCE</t>
        </is>
      </c>
      <c r="W178" t="inlineStr">
        <is>
          <t>NEED_SOURCE</t>
        </is>
      </c>
      <c r="X178" t="inlineStr">
        <is>
          <t>NEED_SOURCE</t>
        </is>
      </c>
      <c r="Y178" t="inlineStr">
        <is>
          <t>NEED_SOURCE</t>
        </is>
      </c>
      <c r="Z178" t="inlineStr">
        <is>
          <t>NEED_SOURCE</t>
        </is>
      </c>
      <c r="AA178" t="inlineStr">
        <is>
          <t>NEED_SOURCE</t>
        </is>
      </c>
      <c r="AB178" t="inlineStr"/>
      <c r="AC178" t="inlineStr"/>
      <c r="AD178" t="inlineStr"/>
      <c r="AE178" t="inlineStr"/>
      <c r="AF178" t="inlineStr">
        <is>
          <t>Tools/balance/full_weapon_audit.py: REAL / WARHEAD; balance.json weapons[id=locust_drones].real</t>
        </is>
      </c>
      <c r="AG178" t="inlineStr"/>
    </row>
    <row r="179">
      <c r="A179" t="inlineStr">
        <is>
          <t>maverick</t>
        </is>
      </c>
      <c r="B179" t="inlineStr">
        <is>
          <t>maverick</t>
        </is>
      </c>
      <c r="C179" t="inlineStr">
        <is>
          <t>AGM-65 Maverick</t>
        </is>
      </c>
      <c r="D179" t="inlineStr">
        <is>
          <t>doi_that</t>
        </is>
      </c>
      <c r="E179" t="inlineStr">
        <is>
          <t>AGM-65 Maverick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uoc_dinh</t>
        </is>
      </c>
      <c r="P179" t="inlineStr">
        <is>
          <t>R_balance;R_full_weapon_audit;W_wikipedia_bai_cua_tung_ten_lua_bang_warhead</t>
        </is>
      </c>
      <c r="Q179" t="inlineStr"/>
      <c r="R17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9" t="inlineStr">
        <is>
          <t>NEED_SOURCE</t>
        </is>
      </c>
      <c r="T179" t="inlineStr">
        <is>
          <t>NEED_SOURCE</t>
        </is>
      </c>
      <c r="U179" t="inlineStr">
        <is>
          <t>NEED_SOURCE</t>
        </is>
      </c>
      <c r="V179" t="inlineStr">
        <is>
          <t>NEED_SOURCE</t>
        </is>
      </c>
      <c r="W179" t="inlineStr">
        <is>
          <t>NEED_SOURCE</t>
        </is>
      </c>
      <c r="X179" t="n">
        <v>60</v>
      </c>
      <c r="Y179" t="n">
        <v>10</v>
      </c>
      <c r="Z179" t="inlineStr">
        <is>
          <t>NEED_SOURCE</t>
        </is>
      </c>
      <c r="AA179" t="inlineStr">
        <is>
          <t>NEED_SOURCE</t>
        </is>
      </c>
      <c r="AB179" t="n">
        <v>57</v>
      </c>
      <c r="AC179" t="inlineStr">
        <is>
          <t>atgm</t>
        </is>
      </c>
      <c r="AD179" t="inlineStr">
        <is>
          <t>air-launched: ripples ~1 s apart, est. 6 s an aimed shot</t>
        </is>
      </c>
      <c r="AE179" t="inlineStr"/>
      <c r="AF179" t="inlineStr">
        <is>
          <t>Tools/balance/full_weapon_audit.py: REAL / WARHEAD; balance.json weapons[id=maverick].real</t>
        </is>
      </c>
      <c r="AG179" t="inlineStr"/>
    </row>
    <row r="180">
      <c r="A180" t="inlineStr">
        <is>
          <t>mg_coax</t>
        </is>
      </c>
      <c r="B180" t="inlineStr">
        <is>
          <t>mg_coax</t>
        </is>
      </c>
      <c r="C180" t="inlineStr">
        <is>
          <t>PKT / M240 7.62 mm</t>
        </is>
      </c>
      <c r="D180" t="inlineStr">
        <is>
          <t>doi_that</t>
        </is>
      </c>
      <c r="E180" t="inlineStr">
        <is>
          <t>PKT / M240 7.62 mm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da_kiem_chung</t>
        </is>
      </c>
      <c r="P180" t="inlineStr">
        <is>
          <t>R_balance;R_full_weapon_audit;W_wikipedia_pk_machine_gun;R_machine_brigade_can_bang</t>
        </is>
      </c>
      <c r="Q180" t="inlineStr"/>
      <c r="R18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0" t="n">
        <v>7.62</v>
      </c>
      <c r="T180" t="inlineStr">
        <is>
          <t>NEED_SOURCE</t>
        </is>
      </c>
      <c r="U180" t="inlineStr">
        <is>
          <t>NEED_SOURCE</t>
        </is>
      </c>
      <c r="V180" t="inlineStr">
        <is>
          <t>NEED_SOURCE</t>
        </is>
      </c>
      <c r="W180" t="inlineStr">
        <is>
          <t>NEED_SOURCE</t>
        </is>
      </c>
      <c r="X180" t="n">
        <v>800</v>
      </c>
      <c r="Y180" t="n">
        <v>250</v>
      </c>
      <c r="Z180" t="inlineStr">
        <is>
          <t>NEED_SOURCE</t>
        </is>
      </c>
      <c r="AA180" t="inlineStr">
        <is>
          <t>NEED_SOURCE</t>
        </is>
      </c>
      <c r="AB180" t="inlineStr"/>
      <c r="AC180" t="inlineStr">
        <is>
          <t>mg</t>
        </is>
      </c>
      <c r="AD180" t="inlineStr">
        <is>
          <t>Wikipedia 'PK machine gun' (PKT 700-800, practical 250); M240 650-950</t>
        </is>
      </c>
      <c r="AE180" t="inlineStr">
        <is>
          <t>PKT/M240: 650–950</t>
        </is>
      </c>
      <c r="AF180" t="inlineStr">
        <is>
          <t>Tools/balance/full_weapon_audit.py: REAL / WARHEAD; balance.json weapons[id=mg_coax].real</t>
        </is>
      </c>
      <c r="AG180" t="inlineStr"/>
    </row>
    <row r="181">
      <c r="A181" t="inlineStr">
        <is>
          <t>mg_coax_long</t>
        </is>
      </c>
      <c r="B181" t="inlineStr">
        <is>
          <t>mg_coax_long</t>
        </is>
      </c>
      <c r="C181" t="inlineStr">
        <is>
          <t>PKT / M240 7.62 mm</t>
        </is>
      </c>
      <c r="D181" t="inlineStr">
        <is>
          <t>doi_that</t>
        </is>
      </c>
      <c r="E181" t="inlineStr">
        <is>
          <t>PKT / M240 7.62 mm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da_kiem_chung</t>
        </is>
      </c>
      <c r="P181" t="inlineStr">
        <is>
          <t>R_balance;R_full_weapon_audit;W_wikipedia_pk_machine_gun</t>
        </is>
      </c>
      <c r="Q181" t="inlineStr"/>
      <c r="R18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1" t="n">
        <v>7.62</v>
      </c>
      <c r="T181" t="inlineStr">
        <is>
          <t>NEED_SOURCE</t>
        </is>
      </c>
      <c r="U181" t="inlineStr">
        <is>
          <t>NEED_SOURCE</t>
        </is>
      </c>
      <c r="V181" t="inlineStr">
        <is>
          <t>NEED_SOURCE</t>
        </is>
      </c>
      <c r="W181" t="inlineStr">
        <is>
          <t>NEED_SOURCE</t>
        </is>
      </c>
      <c r="X181" t="n">
        <v>800</v>
      </c>
      <c r="Y181" t="n">
        <v>250</v>
      </c>
      <c r="Z181" t="inlineStr">
        <is>
          <t>NEED_SOURCE</t>
        </is>
      </c>
      <c r="AA181" t="inlineStr">
        <is>
          <t>NEED_SOURCE</t>
        </is>
      </c>
      <c r="AB181" t="inlineStr"/>
      <c r="AC181" t="inlineStr">
        <is>
          <t>mg</t>
        </is>
      </c>
      <c r="AD181" t="inlineStr">
        <is>
          <t>Wikipedia 'PK machine gun' (PKT 700-800, practical 250); M240 650-950</t>
        </is>
      </c>
      <c r="AE181" t="inlineStr"/>
      <c r="AF181" t="inlineStr">
        <is>
          <t>Tools/balance/full_weapon_audit.py: REAL / WARHEAD; balance.json weapons[id=mg_coax_long].real</t>
        </is>
      </c>
      <c r="AG181" t="inlineStr"/>
    </row>
    <row r="182">
      <c r="A182" t="inlineStr">
        <is>
          <t>mg_jeep</t>
        </is>
      </c>
      <c r="B182" t="inlineStr">
        <is>
          <t>mg_jeep</t>
        </is>
      </c>
      <c r="C182" t="inlineStr">
        <is>
          <t>M2 Browning 12.7 mm</t>
        </is>
      </c>
      <c r="D182" t="inlineStr">
        <is>
          <t>doi_that</t>
        </is>
      </c>
      <c r="E182" t="inlineStr">
        <is>
          <t>M2 Browning 12.7 mm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da_kiem_chung</t>
        </is>
      </c>
      <c r="P182" t="inlineStr">
        <is>
          <t>R_balance;R_full_weapon_audit;D_us_army_fm_3_22_65;R_machine_brigade_can_bang</t>
        </is>
      </c>
      <c r="Q182" t="inlineStr"/>
      <c r="R18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2" t="n">
        <v>12.7</v>
      </c>
      <c r="T182" t="inlineStr">
        <is>
          <t>NEED_SOURCE</t>
        </is>
      </c>
      <c r="U182" t="inlineStr">
        <is>
          <t>NEED_SOURCE</t>
        </is>
      </c>
      <c r="V182" t="inlineStr">
        <is>
          <t>NEED_SOURCE</t>
        </is>
      </c>
      <c r="W182" t="inlineStr">
        <is>
          <t>NEED_SOURCE</t>
        </is>
      </c>
      <c r="X182" t="n">
        <v>600</v>
      </c>
      <c r="Y182" t="n">
        <v>40</v>
      </c>
      <c r="Z182" t="inlineStr">
        <is>
          <t>NEED_SOURCE</t>
        </is>
      </c>
      <c r="AA182" t="inlineStr">
        <is>
          <t>NEED_SOURCE</t>
        </is>
      </c>
      <c r="AB182" t="inlineStr"/>
      <c r="AC182" t="inlineStr">
        <is>
          <t>mg</t>
        </is>
      </c>
      <c r="AD182" t="inlineStr">
        <is>
          <t>US Army FM 3-22.65: cyclic 450-600, rapid 40 rpm</t>
        </is>
      </c>
      <c r="AE182" t="inlineStr">
        <is>
          <t>M2: 450–600</t>
        </is>
      </c>
      <c r="AF182" t="inlineStr">
        <is>
          <t>Tools/balance/full_weapon_audit.py: REAL / WARHEAD; balance.json weapons[id=mg_jeep].real</t>
        </is>
      </c>
      <c r="AG182" t="inlineStr"/>
    </row>
    <row r="183">
      <c r="A183" t="inlineStr">
        <is>
          <t>mg_jeep_api</t>
        </is>
      </c>
      <c r="B183" t="inlineStr">
        <is>
          <t>mg_jeep_api</t>
        </is>
      </c>
      <c r="C183" t="inlineStr">
        <is>
          <t>M2 Browning 12.7 mm API</t>
        </is>
      </c>
      <c r="D183" t="inlineStr">
        <is>
          <t>doi_that</t>
        </is>
      </c>
      <c r="E183" t="inlineStr">
        <is>
          <t>M2 Browning 12.7 mm API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da_kiem_chung</t>
        </is>
      </c>
      <c r="P183" t="inlineStr">
        <is>
          <t>R_balance;R_full_weapon_audit;D_us_army_fm_3_22_65</t>
        </is>
      </c>
      <c r="Q183" t="inlineStr"/>
      <c r="R18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3" t="n">
        <v>12.7</v>
      </c>
      <c r="T183" t="inlineStr">
        <is>
          <t>NEED_SOURCE</t>
        </is>
      </c>
      <c r="U183" t="inlineStr">
        <is>
          <t>NEED_SOURCE</t>
        </is>
      </c>
      <c r="V183" t="inlineStr">
        <is>
          <t>NEED_SOURCE</t>
        </is>
      </c>
      <c r="W183" t="inlineStr">
        <is>
          <t>NEED_SOURCE</t>
        </is>
      </c>
      <c r="X183" t="n">
        <v>600</v>
      </c>
      <c r="Y183" t="n">
        <v>40</v>
      </c>
      <c r="Z183" t="inlineStr">
        <is>
          <t>NEED_SOURCE</t>
        </is>
      </c>
      <c r="AA183" t="inlineStr">
        <is>
          <t>NEED_SOURCE</t>
        </is>
      </c>
      <c r="AB183" t="inlineStr"/>
      <c r="AC183" t="inlineStr">
        <is>
          <t>mg</t>
        </is>
      </c>
      <c r="AD183" t="inlineStr">
        <is>
          <t>US Army FM 3-22.65: cyclic 450-600, rapid 40 rpm</t>
        </is>
      </c>
      <c r="AE183" t="inlineStr"/>
      <c r="AF183" t="inlineStr">
        <is>
          <t>Tools/balance/full_weapon_audit.py: REAL / WARHEAD; balance.json weapons[id=mg_jeep_api].real</t>
        </is>
      </c>
      <c r="AG183" t="inlineStr"/>
    </row>
    <row r="184">
      <c r="A184" t="inlineStr">
        <is>
          <t>mg_jeep_selfdef</t>
        </is>
      </c>
      <c r="B184" t="inlineStr">
        <is>
          <t>mg_jeep_selfdef</t>
        </is>
      </c>
      <c r="C184" t="inlineStr">
        <is>
          <t>M2 Browning 12.7 mm</t>
        </is>
      </c>
      <c r="D184" t="inlineStr">
        <is>
          <t>doi_that</t>
        </is>
      </c>
      <c r="E184" t="inlineStr">
        <is>
          <t>M2 Browning 12.7 mm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da_kiem_chung</t>
        </is>
      </c>
      <c r="P184" t="inlineStr">
        <is>
          <t>R_balance;R_full_weapon_audit;D_us_army_fm_3_22_65</t>
        </is>
      </c>
      <c r="Q184" t="inlineStr"/>
      <c r="R18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4" t="n">
        <v>12.7</v>
      </c>
      <c r="T184" t="inlineStr">
        <is>
          <t>NEED_SOURCE</t>
        </is>
      </c>
      <c r="U184" t="inlineStr">
        <is>
          <t>NEED_SOURCE</t>
        </is>
      </c>
      <c r="V184" t="inlineStr">
        <is>
          <t>NEED_SOURCE</t>
        </is>
      </c>
      <c r="W184" t="inlineStr">
        <is>
          <t>NEED_SOURCE</t>
        </is>
      </c>
      <c r="X184" t="n">
        <v>600</v>
      </c>
      <c r="Y184" t="n">
        <v>40</v>
      </c>
      <c r="Z184" t="inlineStr">
        <is>
          <t>NEED_SOURCE</t>
        </is>
      </c>
      <c r="AA184" t="inlineStr">
        <is>
          <t>NEED_SOURCE</t>
        </is>
      </c>
      <c r="AB184" t="inlineStr"/>
      <c r="AC184" t="inlineStr">
        <is>
          <t>mg</t>
        </is>
      </c>
      <c r="AD184" t="inlineStr">
        <is>
          <t>US Army FM 3-22.65: cyclic 450-600, rapid 40 rpm</t>
        </is>
      </c>
      <c r="AE184" t="inlineStr"/>
      <c r="AF184" t="inlineStr">
        <is>
          <t>Tools/balance/full_weapon_audit.py: REAL / WARHEAD; balance.json weapons[id=mg_jeep_selfdef].real</t>
        </is>
      </c>
      <c r="AG184" t="inlineStr"/>
    </row>
    <row r="185">
      <c r="A185" t="inlineStr">
        <is>
          <t>mg_jeep_selfdef_api</t>
        </is>
      </c>
      <c r="B185" t="inlineStr">
        <is>
          <t>mg_jeep_selfdef_api</t>
        </is>
      </c>
      <c r="C185" t="inlineStr">
        <is>
          <t>M2 Browning 12.7 mm API</t>
        </is>
      </c>
      <c r="D185" t="inlineStr">
        <is>
          <t>doi_that</t>
        </is>
      </c>
      <c r="E185" t="inlineStr">
        <is>
          <t>M2 Browning 12.7 mm API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da_kiem_chung</t>
        </is>
      </c>
      <c r="P185" t="inlineStr">
        <is>
          <t>R_balance;R_full_weapon_audit;D_us_army_fm_3_22_65</t>
        </is>
      </c>
      <c r="Q185" t="inlineStr"/>
      <c r="R18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5" t="n">
        <v>12.7</v>
      </c>
      <c r="T185" t="inlineStr">
        <is>
          <t>NEED_SOURCE</t>
        </is>
      </c>
      <c r="U185" t="inlineStr">
        <is>
          <t>NEED_SOURCE</t>
        </is>
      </c>
      <c r="V185" t="inlineStr">
        <is>
          <t>NEED_SOURCE</t>
        </is>
      </c>
      <c r="W185" t="inlineStr">
        <is>
          <t>NEED_SOURCE</t>
        </is>
      </c>
      <c r="X185" t="n">
        <v>600</v>
      </c>
      <c r="Y185" t="n">
        <v>40</v>
      </c>
      <c r="Z185" t="inlineStr">
        <is>
          <t>NEED_SOURCE</t>
        </is>
      </c>
      <c r="AA185" t="inlineStr">
        <is>
          <t>NEED_SOURCE</t>
        </is>
      </c>
      <c r="AB185" t="inlineStr"/>
      <c r="AC185" t="inlineStr">
        <is>
          <t>mg</t>
        </is>
      </c>
      <c r="AD185" t="inlineStr">
        <is>
          <t>US Army FM 3-22.65: cyclic 450-600, rapid 40 rpm</t>
        </is>
      </c>
      <c r="AE185" t="inlineStr"/>
      <c r="AF185" t="inlineStr">
        <is>
          <t>Tools/balance/full_weapon_audit.py: REAL / WARHEAD; balance.json weapons[id=mg_jeep_selfdef_api].real</t>
        </is>
      </c>
      <c r="AG185" t="inlineStr"/>
    </row>
    <row r="186">
      <c r="A186" t="inlineStr">
        <is>
          <t>minigun</t>
        </is>
      </c>
      <c r="B186" t="inlineStr">
        <is>
          <t>minigun</t>
        </is>
      </c>
      <c r="C186" t="inlineStr">
        <is>
          <t>M134 Minigun 7.62 mm</t>
        </is>
      </c>
      <c r="D186" t="inlineStr">
        <is>
          <t>doi_that</t>
        </is>
      </c>
      <c r="E186" t="inlineStr">
        <is>
          <t>M134 Minigun 7.62 mm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da_kiem_chung</t>
        </is>
      </c>
      <c r="P186" t="inlineStr">
        <is>
          <t>R_balance;R_full_weapon_audit;W_wikipedia_m134_minigun;R_machine_brigade_can_bang</t>
        </is>
      </c>
      <c r="Q186" t="inlineStr"/>
      <c r="R18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6" t="n">
        <v>7.62</v>
      </c>
      <c r="T186" t="inlineStr">
        <is>
          <t>NEED_SOURCE</t>
        </is>
      </c>
      <c r="U186" t="inlineStr">
        <is>
          <t>NEED_SOURCE</t>
        </is>
      </c>
      <c r="V186" t="inlineStr">
        <is>
          <t>NEED_SOURCE</t>
        </is>
      </c>
      <c r="W186" t="inlineStr">
        <is>
          <t>NEED_SOURCE</t>
        </is>
      </c>
      <c r="X186" t="n">
        <v>6000</v>
      </c>
      <c r="Y186" t="inlineStr">
        <is>
          <t>NEED_SOURCE</t>
        </is>
      </c>
      <c r="Z186" t="inlineStr">
        <is>
          <t>NEED_SOURCE</t>
        </is>
      </c>
      <c r="AA186" t="inlineStr">
        <is>
          <t>NEED_SOURCE</t>
        </is>
      </c>
      <c r="AB186" t="inlineStr"/>
      <c r="AC186" t="inlineStr">
        <is>
          <t>mg</t>
        </is>
      </c>
      <c r="AD186" t="inlineStr">
        <is>
          <t>Wikipedia 'M134 Minigun': 2,000-6,000 rpm (3,000 on helicopters)</t>
        </is>
      </c>
      <c r="AE186" t="inlineStr">
        <is>
          <t>M134: 2.000–6.000</t>
        </is>
      </c>
      <c r="AF186" t="inlineStr">
        <is>
          <t>Tools/balance/full_weapon_audit.py: REAL / WARHEAD; balance.json weapons[id=minigun].real</t>
        </is>
      </c>
      <c r="AG186" t="inlineStr"/>
    </row>
    <row r="187">
      <c r="A187" t="inlineStr">
        <is>
          <t>missile_57e6</t>
        </is>
      </c>
      <c r="B187" t="inlineStr">
        <is>
          <t>missile_57e6</t>
        </is>
      </c>
      <c r="C187" t="inlineStr">
        <is>
          <t>57E6 (Pantsir)</t>
        </is>
      </c>
      <c r="D187" t="inlineStr">
        <is>
          <t>doi_that</t>
        </is>
      </c>
      <c r="E187" t="inlineStr">
        <is>
          <t>57E6 (Pantsir)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uoc_dinh</t>
        </is>
      </c>
      <c r="P187" t="inlineStr">
        <is>
          <t>R_balance;R_full_weapon_audit;W_wikipedia_pantsir</t>
        </is>
      </c>
      <c r="Q187" t="inlineStr"/>
      <c r="R18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7" t="inlineStr">
        <is>
          <t>NEED_SOURCE</t>
        </is>
      </c>
      <c r="T187" t="inlineStr">
        <is>
          <t>NEED_SOURCE</t>
        </is>
      </c>
      <c r="U187" t="inlineStr">
        <is>
          <t>NEED_SOURCE</t>
        </is>
      </c>
      <c r="V187" t="inlineStr">
        <is>
          <t>NEED_SOURCE</t>
        </is>
      </c>
      <c r="W187" t="inlineStr">
        <is>
          <t>NEED_SOURCE</t>
        </is>
      </c>
      <c r="X187" t="n">
        <v>40</v>
      </c>
      <c r="Y187" t="n">
        <v>12</v>
      </c>
      <c r="Z187" t="inlineStr">
        <is>
          <t>NEED_SOURCE</t>
        </is>
      </c>
      <c r="AA187" t="inlineStr">
        <is>
          <t>NEED_SOURCE</t>
        </is>
      </c>
      <c r="AB187" t="inlineStr">
        <is>
          <t>NEED_SOURCE</t>
        </is>
      </c>
      <c r="AC187" t="inlineStr">
        <is>
          <t>missile</t>
        </is>
      </c>
      <c r="AD187" t="inlineStr">
        <is>
          <t>Wikipedia 'Pantsir': 2 missiles ~1.5 s apart (est.)</t>
        </is>
      </c>
      <c r="AE187" t="inlineStr"/>
      <c r="AF187" t="inlineStr">
        <is>
          <t>Tools/balance/full_weapon_audit.py: REAL / WARHEAD; balance.json weapons[id=missile_57e6].real</t>
        </is>
      </c>
      <c r="AG187" t="inlineStr"/>
    </row>
    <row r="188">
      <c r="A188" t="inlineStr">
        <is>
          <t>mlrs_elite</t>
        </is>
      </c>
      <c r="B188" t="inlineStr">
        <is>
          <t>mlrs_elite</t>
        </is>
      </c>
      <c r="C188" t="inlineStr">
        <is>
          <t>M30 GMLRS 227 mm (cluster)</t>
        </is>
      </c>
      <c r="D188" t="inlineStr">
        <is>
          <t>doi_that</t>
        </is>
      </c>
      <c r="E188" t="inlineStr">
        <is>
          <t>M30 GMLRS 227 mm (cluster)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da_kiem_chung</t>
        </is>
      </c>
      <c r="P188" t="inlineStr">
        <is>
          <t>R_balance;R_full_weapon_audit;W_wikipedia_m270_mlrs;R_machine_brigade_can_bang</t>
        </is>
      </c>
      <c r="Q188" t="inlineStr"/>
      <c r="R18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8" t="n">
        <v>227</v>
      </c>
      <c r="T188" t="inlineStr">
        <is>
          <t>NEED_SOURCE</t>
        </is>
      </c>
      <c r="U188" t="inlineStr">
        <is>
          <t>NEED_SOURCE</t>
        </is>
      </c>
      <c r="V188" t="inlineStr">
        <is>
          <t>NEED_SOURCE</t>
        </is>
      </c>
      <c r="W188" t="inlineStr">
        <is>
          <t>NEED_SOURCE</t>
        </is>
      </c>
      <c r="X188" t="n">
        <v>12</v>
      </c>
      <c r="Y188" t="inlineStr">
        <is>
          <t>NEED_SOURCE</t>
        </is>
      </c>
      <c r="Z188" t="inlineStr">
        <is>
          <t>NEED_SOURCE</t>
        </is>
      </c>
      <c r="AA188" t="inlineStr">
        <is>
          <t>NEED_SOURCE</t>
        </is>
      </c>
      <c r="AB188" t="inlineStr"/>
      <c r="AC188" t="inlineStr">
        <is>
          <t>rocket</t>
        </is>
      </c>
      <c r="AD188" t="inlineStr">
        <is>
          <t>Wikipedia 'M270 MLRS': 12 rockets in under a minute</t>
        </is>
      </c>
      <c r="AE188" t="inlineStr">
        <is>
          <t>GMLRS</t>
        </is>
      </c>
      <c r="AF188" t="inlineStr">
        <is>
          <t>Tools/balance/full_weapon_audit.py: REAL / WARHEAD; balance.json weapons[id=mlrs_elite].real</t>
        </is>
      </c>
      <c r="AG188" t="inlineStr"/>
    </row>
    <row r="189">
      <c r="A189" t="inlineStr">
        <is>
          <t>mlrs_rockets</t>
        </is>
      </c>
      <c r="B189" t="inlineStr">
        <is>
          <t>mlrs_rockets</t>
        </is>
      </c>
      <c r="C189" t="inlineStr">
        <is>
          <t>M31 GMLRS 227 mm</t>
        </is>
      </c>
      <c r="D189" t="inlineStr">
        <is>
          <t>doi_that</t>
        </is>
      </c>
      <c r="E189" t="inlineStr">
        <is>
          <t>M31 GMLRS 227 mm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da_kiem_chung</t>
        </is>
      </c>
      <c r="P189" t="inlineStr">
        <is>
          <t>R_balance;R_full_weapon_audit;W_wikipedia_m270_mlrs;R_machine_brigade_can_bang</t>
        </is>
      </c>
      <c r="Q189" t="inlineStr"/>
      <c r="R18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9" t="n">
        <v>227</v>
      </c>
      <c r="T189" t="inlineStr">
        <is>
          <t>NEED_SOURCE</t>
        </is>
      </c>
      <c r="U189" t="inlineStr">
        <is>
          <t>NEED_SOURCE</t>
        </is>
      </c>
      <c r="V189" t="inlineStr">
        <is>
          <t>NEED_SOURCE</t>
        </is>
      </c>
      <c r="W189" t="inlineStr">
        <is>
          <t>NEED_SOURCE</t>
        </is>
      </c>
      <c r="X189" t="n">
        <v>12</v>
      </c>
      <c r="Y189" t="inlineStr">
        <is>
          <t>NEED_SOURCE</t>
        </is>
      </c>
      <c r="Z189" t="inlineStr">
        <is>
          <t>NEED_SOURCE</t>
        </is>
      </c>
      <c r="AA189" t="inlineStr">
        <is>
          <t>NEED_SOURCE</t>
        </is>
      </c>
      <c r="AB189" t="inlineStr"/>
      <c r="AC189" t="inlineStr">
        <is>
          <t>rocket</t>
        </is>
      </c>
      <c r="AD189" t="inlineStr">
        <is>
          <t>Wikipedia 'M270 MLRS': 12 rockets in under a minute</t>
        </is>
      </c>
      <c r="AE189" t="inlineStr">
        <is>
          <t>GMLRS: 6 quả / ~45 s; tầm 70–80 km; đầu nổ 90 kg</t>
        </is>
      </c>
      <c r="AF189" t="inlineStr">
        <is>
          <t>Tools/balance/full_weapon_audit.py: REAL / WARHEAD; balance.json weapons[id=mlrs_rockets].real</t>
        </is>
      </c>
      <c r="AG189" t="inlineStr"/>
    </row>
    <row r="190">
      <c r="A190" t="inlineStr">
        <is>
          <t>mortar_120</t>
        </is>
      </c>
      <c r="B190" t="inlineStr">
        <is>
          <t>mortar_120</t>
        </is>
      </c>
      <c r="C190" t="inlineStr">
        <is>
          <t>2B11 120 mm</t>
        </is>
      </c>
      <c r="D190" t="inlineStr">
        <is>
          <t>doi_that</t>
        </is>
      </c>
      <c r="E190" t="inlineStr">
        <is>
          <t>2B11 120 mm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nhịp chậm hơn 30 % và mạnh hơn tương ứng (luật súng của game)</t>
        </is>
      </c>
      <c r="M190" t="inlineStr">
        <is>
          <t>gameplay</t>
        </is>
      </c>
      <c r="N190" t="inlineStr"/>
      <c r="O190" t="inlineStr">
        <is>
          <t>da_kiem_chung</t>
        </is>
      </c>
      <c r="P190" t="inlineStr">
        <is>
          <t>R_balance;R_full_weapon_audit;W_wikipedia_2b11;R_machine_brigade_can_bang</t>
        </is>
      </c>
      <c r="Q190" t="inlineStr"/>
      <c r="R19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0" t="n">
        <v>120</v>
      </c>
      <c r="T190" t="inlineStr">
        <is>
          <t>NEED_SOURCE</t>
        </is>
      </c>
      <c r="U190" t="inlineStr">
        <is>
          <t>NEED_SOURCE</t>
        </is>
      </c>
      <c r="V190" t="inlineStr">
        <is>
          <t>NEED_SOURCE</t>
        </is>
      </c>
      <c r="W190" t="inlineStr">
        <is>
          <t>NEED_SOURCE</t>
        </is>
      </c>
      <c r="X190" t="n">
        <v>15</v>
      </c>
      <c r="Y190" t="n">
        <v>10</v>
      </c>
      <c r="Z190" t="inlineStr">
        <is>
          <t>NEED_SOURCE</t>
        </is>
      </c>
      <c r="AA190" t="inlineStr">
        <is>
          <t>NEED_SOURCE</t>
        </is>
      </c>
      <c r="AB190" t="inlineStr"/>
      <c r="AC190" t="inlineStr">
        <is>
          <t>gun</t>
        </is>
      </c>
      <c r="AD190" t="inlineStr">
        <is>
          <t>Wikipedia '2B11': 15 rpm</t>
        </is>
      </c>
      <c r="AE190" t="inlineStr">
        <is>
          <t>2B11 120 mm: 15 phát/phút; tầm 7 km</t>
        </is>
      </c>
      <c r="AF190" t="inlineStr">
        <is>
          <t>Tools/balance/full_weapon_audit.py: REAL / WARHEAD; balance.json weapons[id=mortar_120].real</t>
        </is>
      </c>
      <c r="AG190" t="inlineStr"/>
    </row>
    <row r="191">
      <c r="A191" t="inlineStr">
        <is>
          <t>mortar_240</t>
        </is>
      </c>
      <c r="B191" t="inlineStr">
        <is>
          <t>mortar_240</t>
        </is>
      </c>
      <c r="C191" t="inlineStr">
        <is>
          <t>2B8 240 mm</t>
        </is>
      </c>
      <c r="D191" t="inlineStr">
        <is>
          <t>doi_that</t>
        </is>
      </c>
      <c r="E191" t="inlineStr">
        <is>
          <t>2B8 240 mm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nhịp chậm hơn 30 % và mạnh hơn tương ứng (luật súng của game)</t>
        </is>
      </c>
      <c r="M191" t="inlineStr">
        <is>
          <t>gameplay</t>
        </is>
      </c>
      <c r="N191" t="inlineStr"/>
      <c r="O191" t="inlineStr">
        <is>
          <t>da_kiem_chung</t>
        </is>
      </c>
      <c r="P191" t="inlineStr">
        <is>
          <t>R_balance;R_full_weapon_audit;W_wikipedia_2s4_tyulpan</t>
        </is>
      </c>
      <c r="Q191" t="inlineStr"/>
      <c r="R19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1" t="n">
        <v>240</v>
      </c>
      <c r="T191" t="inlineStr">
        <is>
          <t>NEED_SOURCE</t>
        </is>
      </c>
      <c r="U191" t="inlineStr">
        <is>
          <t>NEED_SOURCE</t>
        </is>
      </c>
      <c r="V191" t="inlineStr">
        <is>
          <t>NEED_SOURCE</t>
        </is>
      </c>
      <c r="W191" t="inlineStr">
        <is>
          <t>NEED_SOURCE</t>
        </is>
      </c>
      <c r="X191" t="n">
        <v>1</v>
      </c>
      <c r="Y191" t="n">
        <v>1</v>
      </c>
      <c r="Z191" t="inlineStr">
        <is>
          <t>NEED_SOURCE</t>
        </is>
      </c>
      <c r="AA191" t="inlineStr">
        <is>
          <t>NEED_SOURCE</t>
        </is>
      </c>
      <c r="AB191" t="inlineStr"/>
      <c r="AC191" t="inlineStr">
        <is>
          <t>gun</t>
        </is>
      </c>
      <c r="AD191" t="inlineStr">
        <is>
          <t>Wikipedia '2S4 Tyulpan': ~1 rpm</t>
        </is>
      </c>
      <c r="AE191" t="inlineStr"/>
      <c r="AF191" t="inlineStr">
        <is>
          <t>Tools/balance/full_weapon_audit.py: REAL / WARHEAD; balance.json weapons[id=mortar_240].real</t>
        </is>
      </c>
      <c r="AG191" t="inlineStr"/>
    </row>
    <row r="192">
      <c r="A192" t="inlineStr">
        <is>
          <t>mothership_cannon</t>
        </is>
      </c>
      <c r="B192" t="inlineStr">
        <is>
          <t>mothership_cannon</t>
        </is>
      </c>
      <c r="C192" t="inlineStr">
        <is>
          <t>AU-220 57 mm</t>
        </is>
      </c>
      <c r="D192" t="inlineStr">
        <is>
          <t>doi_that</t>
        </is>
      </c>
      <c r="E192" t="inlineStr">
        <is>
          <t>AU-220 57 mm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da_kiem_chung</t>
        </is>
      </c>
      <c r="P192" t="inlineStr">
        <is>
          <t>R_balance;R_full_weapon_audit;W_wikipedia_au_220m;R_machine_brigade_can_bang</t>
        </is>
      </c>
      <c r="Q192" t="inlineStr"/>
      <c r="R19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2" t="n">
        <v>57</v>
      </c>
      <c r="T192" t="inlineStr">
        <is>
          <t>NEED_SOURCE</t>
        </is>
      </c>
      <c r="U192" t="inlineStr">
        <is>
          <t>NEED_SOURCE</t>
        </is>
      </c>
      <c r="V192" t="inlineStr">
        <is>
          <t>NEED_SOURCE</t>
        </is>
      </c>
      <c r="W192" t="inlineStr">
        <is>
          <t>NEED_SOURCE</t>
        </is>
      </c>
      <c r="X192" t="n">
        <v>120</v>
      </c>
      <c r="Y192" t="n">
        <v>80</v>
      </c>
      <c r="Z192" t="inlineStr">
        <is>
          <t>NEED_SOURCE</t>
        </is>
      </c>
      <c r="AA192" t="inlineStr">
        <is>
          <t>NEED_SOURCE</t>
        </is>
      </c>
      <c r="AB192" t="inlineStr"/>
      <c r="AC192" t="inlineStr">
        <is>
          <t>ac</t>
        </is>
      </c>
      <c r="AD192" t="inlineStr">
        <is>
          <t>Wikipedia 'AU-220M': 80-120 rpm</t>
        </is>
      </c>
      <c r="AE192" t="inlineStr">
        <is>
          <t>AU-220M: 120 phát/phút</t>
        </is>
      </c>
      <c r="AF192" t="inlineStr">
        <is>
          <t>Tools/balance/full_weapon_audit.py: REAL / WARHEAD; balance.json weapons[id=mothership_cannon].real</t>
        </is>
      </c>
      <c r="AG192" t="inlineStr"/>
    </row>
    <row r="193">
      <c r="A193" t="inlineStr">
        <is>
          <t>mothership_drones</t>
        </is>
      </c>
      <c r="B193" t="inlineStr">
        <is>
          <t>mothership_drones</t>
        </is>
      </c>
      <c r="C193" t="inlineStr">
        <is>
          <t>ZALA Lancet-3 (3 kg)</t>
        </is>
      </c>
      <c r="D193" t="inlineStr">
        <is>
          <t>doi_that</t>
        </is>
      </c>
      <c r="E193" t="inlineStr">
        <is>
          <t>ZALA Lancet-3 (3 kg)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ban_dau_doan</t>
        </is>
      </c>
      <c r="P193" t="inlineStr">
        <is>
          <t>R_balance;R_machine_brigade_can_bang</t>
        </is>
      </c>
      <c r="Q193" t="inlineStr"/>
      <c r="R19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3" t="inlineStr">
        <is>
          <t>NEED_SOURCE</t>
        </is>
      </c>
      <c r="T193" t="inlineStr">
        <is>
          <t>NEED_SOURCE</t>
        </is>
      </c>
      <c r="U193" t="inlineStr">
        <is>
          <t>NEED_SOURCE</t>
        </is>
      </c>
      <c r="V193" t="inlineStr">
        <is>
          <t>NEED_SOURCE</t>
        </is>
      </c>
      <c r="W193" t="inlineStr">
        <is>
          <t>NEED_SOURCE</t>
        </is>
      </c>
      <c r="X193" t="inlineStr">
        <is>
          <t>NEED_SOURCE</t>
        </is>
      </c>
      <c r="Y193" t="inlineStr">
        <is>
          <t>NEED_SOURCE</t>
        </is>
      </c>
      <c r="Z193" t="inlineStr">
        <is>
          <t>NEED_SOURCE</t>
        </is>
      </c>
      <c r="AA193" t="inlineStr">
        <is>
          <t>NEED_SOURCE</t>
        </is>
      </c>
      <c r="AB193" t="inlineStr"/>
      <c r="AC193" t="inlineStr"/>
      <c r="AD193" t="inlineStr"/>
      <c r="AE193" t="inlineStr">
        <is>
          <t>Lancet-3</t>
        </is>
      </c>
      <c r="AF193" t="inlineStr">
        <is>
          <t>Tools/balance/full_weapon_audit.py: REAL / WARHEAD; balance.json weapons[id=mothership_drones].real</t>
        </is>
      </c>
      <c r="AG193" t="inlineStr"/>
    </row>
    <row r="194">
      <c r="A194" t="inlineStr">
        <is>
          <t>naval_76</t>
        </is>
      </c>
      <c r="B194" t="inlineStr">
        <is>
          <t>naval_76</t>
        </is>
      </c>
      <c r="C194" t="inlineStr">
        <is>
          <t>OTO Melara 76/62</t>
        </is>
      </c>
      <c r="D194" t="inlineStr">
        <is>
          <t>doi_that</t>
        </is>
      </c>
      <c r="E194" t="inlineStr">
        <is>
          <t>OTO Melara 76/62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nhịp chậm hơn 30 % và mạnh hơn tương ứng (luật súng của game)</t>
        </is>
      </c>
      <c r="M194" t="inlineStr">
        <is>
          <t>gameplay</t>
        </is>
      </c>
      <c r="N194" t="inlineStr"/>
      <c r="O194" t="inlineStr">
        <is>
          <t>da_kiem_chung</t>
        </is>
      </c>
      <c r="P194" t="inlineStr">
        <is>
          <t>R_balance;R_full_weapon_audit;W_wikipedia_oto_melara_76_mm;R_machine_brigade_can_bang</t>
        </is>
      </c>
      <c r="Q194" t="inlineStr"/>
      <c r="R19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4" t="inlineStr">
        <is>
          <t>NEED_SOURCE</t>
        </is>
      </c>
      <c r="T194" t="inlineStr">
        <is>
          <t>NEED_SOURCE</t>
        </is>
      </c>
      <c r="U194" t="inlineStr">
        <is>
          <t>NEED_SOURCE</t>
        </is>
      </c>
      <c r="V194" t="inlineStr">
        <is>
          <t>NEED_SOURCE</t>
        </is>
      </c>
      <c r="W194" t="inlineStr">
        <is>
          <t>NEED_SOURCE</t>
        </is>
      </c>
      <c r="X194" t="n">
        <v>120</v>
      </c>
      <c r="Y194" t="n">
        <v>80</v>
      </c>
      <c r="Z194" t="inlineStr">
        <is>
          <t>NEED_SOURCE</t>
        </is>
      </c>
      <c r="AA194" t="inlineStr">
        <is>
          <t>NEED_SOURCE</t>
        </is>
      </c>
      <c r="AB194" t="inlineStr"/>
      <c r="AC194" t="inlineStr">
        <is>
          <t>gun</t>
        </is>
      </c>
      <c r="AD194" t="inlineStr">
        <is>
          <t>Wikipedia 'OTO Melara 76 mm': 80-120 rpm (Super Rapid)</t>
        </is>
      </c>
      <c r="AE194" t="inlineStr">
        <is>
          <t>OTO 76/62: 80–120 phát/phút</t>
        </is>
      </c>
      <c r="AF194" t="inlineStr">
        <is>
          <t>Tools/balance/full_weapon_audit.py: REAL / WARHEAD; balance.json weapons[id=naval_76].real</t>
        </is>
      </c>
      <c r="AG194" t="inlineStr"/>
    </row>
    <row r="195">
      <c r="A195" t="inlineStr">
        <is>
          <t>naval_76_guided</t>
        </is>
      </c>
      <c r="B195" t="inlineStr">
        <is>
          <t>naval_76_guided</t>
        </is>
      </c>
      <c r="C195" t="inlineStr">
        <is>
          <t>OTO Melara 76/62 guided</t>
        </is>
      </c>
      <c r="D195" t="inlineStr">
        <is>
          <t>doi_that</t>
        </is>
      </c>
      <c r="E195" t="inlineStr">
        <is>
          <t>OTO Melara 76/62 guided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nhịp chậm hơn 30 % và mạnh hơn tương ứng (luật súng của game)</t>
        </is>
      </c>
      <c r="M195" t="inlineStr">
        <is>
          <t>gameplay</t>
        </is>
      </c>
      <c r="N195" t="inlineStr"/>
      <c r="O195" t="inlineStr">
        <is>
          <t>da_kiem_chung</t>
        </is>
      </c>
      <c r="P195" t="inlineStr">
        <is>
          <t>R_balance;R_full_weapon_audit;W_wikipedia_oto_melara_76_mm</t>
        </is>
      </c>
      <c r="Q195" t="inlineStr"/>
      <c r="R19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5" t="inlineStr">
        <is>
          <t>NEED_SOURCE</t>
        </is>
      </c>
      <c r="T195" t="inlineStr">
        <is>
          <t>NEED_SOURCE</t>
        </is>
      </c>
      <c r="U195" t="inlineStr">
        <is>
          <t>NEED_SOURCE</t>
        </is>
      </c>
      <c r="V195" t="inlineStr">
        <is>
          <t>NEED_SOURCE</t>
        </is>
      </c>
      <c r="W195" t="inlineStr">
        <is>
          <t>NEED_SOURCE</t>
        </is>
      </c>
      <c r="X195" t="n">
        <v>120</v>
      </c>
      <c r="Y195" t="n">
        <v>80</v>
      </c>
      <c r="Z195" t="inlineStr">
        <is>
          <t>NEED_SOURCE</t>
        </is>
      </c>
      <c r="AA195" t="inlineStr">
        <is>
          <t>NEED_SOURCE</t>
        </is>
      </c>
      <c r="AB195" t="inlineStr"/>
      <c r="AC195" t="inlineStr">
        <is>
          <t>gun</t>
        </is>
      </c>
      <c r="AD195" t="inlineStr">
        <is>
          <t>Wikipedia 'OTO Melara 76 mm': 80-120 rpm (Super Rapid)</t>
        </is>
      </c>
      <c r="AE195" t="inlineStr"/>
      <c r="AF195" t="inlineStr">
        <is>
          <t>Tools/balance/full_weapon_audit.py: REAL / WARHEAD; balance.json weapons[id=naval_76_guided].real</t>
        </is>
      </c>
      <c r="AG195" t="inlineStr"/>
    </row>
    <row r="196">
      <c r="A196" t="inlineStr">
        <is>
          <t>naval_100</t>
        </is>
      </c>
      <c r="B196" t="inlineStr">
        <is>
          <t>naval_100</t>
        </is>
      </c>
      <c r="C196" t="inlineStr">
        <is>
          <t>AK-100 100 mm</t>
        </is>
      </c>
      <c r="D196" t="inlineStr">
        <is>
          <t>doi_that</t>
        </is>
      </c>
      <c r="E196" t="inlineStr">
        <is>
          <t>AK-100 100 mm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nhịp chậm hơn 30 % và mạnh hơn tương ứng (luật súng của game)</t>
        </is>
      </c>
      <c r="M196" t="inlineStr">
        <is>
          <t>gameplay</t>
        </is>
      </c>
      <c r="N196" t="inlineStr"/>
      <c r="O196" t="inlineStr">
        <is>
          <t>da_kiem_chung</t>
        </is>
      </c>
      <c r="P196" t="inlineStr">
        <is>
          <t>R_balance;R_full_weapon_audit;W_wikipedia_ak_100_naval_gun;R_machine_brigade_can_bang</t>
        </is>
      </c>
      <c r="Q196" t="inlineStr"/>
      <c r="R19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6" t="n">
        <v>100</v>
      </c>
      <c r="T196" t="inlineStr">
        <is>
          <t>NEED_SOURCE</t>
        </is>
      </c>
      <c r="U196" t="inlineStr">
        <is>
          <t>NEED_SOURCE</t>
        </is>
      </c>
      <c r="V196" t="inlineStr">
        <is>
          <t>NEED_SOURCE</t>
        </is>
      </c>
      <c r="W196" t="inlineStr">
        <is>
          <t>NEED_SOURCE</t>
        </is>
      </c>
      <c r="X196" t="n">
        <v>60</v>
      </c>
      <c r="Y196" t="n">
        <v>30</v>
      </c>
      <c r="Z196" t="inlineStr">
        <is>
          <t>NEED_SOURCE</t>
        </is>
      </c>
      <c r="AA196" t="inlineStr">
        <is>
          <t>NEED_SOURCE</t>
        </is>
      </c>
      <c r="AB196" t="inlineStr"/>
      <c r="AC196" t="inlineStr">
        <is>
          <t>gun</t>
        </is>
      </c>
      <c r="AD196" t="inlineStr">
        <is>
          <t>Wikipedia 'AK-100 (naval gun)': 60 rpm</t>
        </is>
      </c>
      <c r="AE196" t="inlineStr">
        <is>
          <t>AK-100: 60 phát/phút</t>
        </is>
      </c>
      <c r="AF196" t="inlineStr">
        <is>
          <t>Tools/balance/full_weapon_audit.py: REAL / WARHEAD; balance.json weapons[id=naval_100].real</t>
        </is>
      </c>
      <c r="AG196" t="inlineStr"/>
    </row>
    <row r="197">
      <c r="A197" t="inlineStr">
        <is>
          <t>naval_100_guided</t>
        </is>
      </c>
      <c r="B197" t="inlineStr">
        <is>
          <t>naval_100_guided</t>
        </is>
      </c>
      <c r="C197" t="inlineStr">
        <is>
          <t>AK-100 100 mm guided</t>
        </is>
      </c>
      <c r="D197" t="inlineStr">
        <is>
          <t>doi_that</t>
        </is>
      </c>
      <c r="E197" t="inlineStr">
        <is>
          <t>AK-100 100 mm guided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nhịp chậm hơn 30 % và mạnh hơn tương ứng (luật súng của game)</t>
        </is>
      </c>
      <c r="M197" t="inlineStr">
        <is>
          <t>gameplay</t>
        </is>
      </c>
      <c r="N197" t="inlineStr"/>
      <c r="O197" t="inlineStr">
        <is>
          <t>da_kiem_chung</t>
        </is>
      </c>
      <c r="P197" t="inlineStr">
        <is>
          <t>R_balance;R_full_weapon_audit;W_wikipedia_ak_100_naval_gun</t>
        </is>
      </c>
      <c r="Q197" t="inlineStr"/>
      <c r="R19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7" t="n">
        <v>100</v>
      </c>
      <c r="T197" t="inlineStr">
        <is>
          <t>NEED_SOURCE</t>
        </is>
      </c>
      <c r="U197" t="inlineStr">
        <is>
          <t>NEED_SOURCE</t>
        </is>
      </c>
      <c r="V197" t="inlineStr">
        <is>
          <t>NEED_SOURCE</t>
        </is>
      </c>
      <c r="W197" t="inlineStr">
        <is>
          <t>NEED_SOURCE</t>
        </is>
      </c>
      <c r="X197" t="n">
        <v>60</v>
      </c>
      <c r="Y197" t="n">
        <v>30</v>
      </c>
      <c r="Z197" t="inlineStr">
        <is>
          <t>NEED_SOURCE</t>
        </is>
      </c>
      <c r="AA197" t="inlineStr">
        <is>
          <t>NEED_SOURCE</t>
        </is>
      </c>
      <c r="AB197" t="inlineStr"/>
      <c r="AC197" t="inlineStr">
        <is>
          <t>gun</t>
        </is>
      </c>
      <c r="AD197" t="inlineStr">
        <is>
          <t>Wikipedia 'AK-100 (naval gun)': 60 rpm</t>
        </is>
      </c>
      <c r="AE197" t="inlineStr"/>
      <c r="AF197" t="inlineStr">
        <is>
          <t>Tools/balance/full_weapon_audit.py: REAL / WARHEAD; balance.json weapons[id=naval_100_guided].real</t>
        </is>
      </c>
      <c r="AG197" t="inlineStr"/>
    </row>
    <row r="198">
      <c r="A198" t="inlineStr">
        <is>
          <t>naval_127</t>
        </is>
      </c>
      <c r="B198" t="inlineStr">
        <is>
          <t>naval_127</t>
        </is>
      </c>
      <c r="C198" t="inlineStr">
        <is>
          <t>Mk 45 127 mm</t>
        </is>
      </c>
      <c r="D198" t="inlineStr">
        <is>
          <t>doi_that</t>
        </is>
      </c>
      <c r="E198" t="inlineStr">
        <is>
          <t>Mk 45 127 mm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nhịp chậm hơn 30 % và mạnh hơn tương ứng (luật súng của game)</t>
        </is>
      </c>
      <c r="M198" t="inlineStr">
        <is>
          <t>gameplay</t>
        </is>
      </c>
      <c r="N198" t="inlineStr"/>
      <c r="O198" t="inlineStr">
        <is>
          <t>da_kiem_chung</t>
        </is>
      </c>
      <c r="P198" t="inlineStr">
        <is>
          <t>R_balance;R_full_weapon_audit;W_wikipedia_5_54_caliber_mark_45</t>
        </is>
      </c>
      <c r="Q198" t="inlineStr"/>
      <c r="R19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8" t="n">
        <v>127</v>
      </c>
      <c r="T198" t="inlineStr">
        <is>
          <t>NEED_SOURCE</t>
        </is>
      </c>
      <c r="U198" t="inlineStr">
        <is>
          <t>NEED_SOURCE</t>
        </is>
      </c>
      <c r="V198" t="inlineStr">
        <is>
          <t>NEED_SOURCE</t>
        </is>
      </c>
      <c r="W198" t="inlineStr">
        <is>
          <t>NEED_SOURCE</t>
        </is>
      </c>
      <c r="X198" t="n">
        <v>20</v>
      </c>
      <c r="Y198" t="n">
        <v>16</v>
      </c>
      <c r="Z198" t="inlineStr">
        <is>
          <t>NEED_SOURCE</t>
        </is>
      </c>
      <c r="AA198" t="inlineStr">
        <is>
          <t>NEED_SOURCE</t>
        </is>
      </c>
      <c r="AB198" t="inlineStr"/>
      <c r="AC198" t="inlineStr">
        <is>
          <t>gun</t>
        </is>
      </c>
      <c r="AD198" t="inlineStr">
        <is>
          <t>Wikipedia '5"/54 caliber Mark 45': 16-20 rpm</t>
        </is>
      </c>
      <c r="AE198" t="inlineStr"/>
      <c r="AF198" t="inlineStr">
        <is>
          <t>Tools/balance/full_weapon_audit.py: REAL / WARHEAD; balance.json weapons[id=naval_127].real</t>
        </is>
      </c>
      <c r="AG198" t="inlineStr"/>
    </row>
    <row r="199">
      <c r="A199" t="inlineStr">
        <is>
          <t>naval_130_twin</t>
        </is>
      </c>
      <c r="B199" t="inlineStr">
        <is>
          <t>naval_130_twin</t>
        </is>
      </c>
      <c r="C199" t="inlineStr">
        <is>
          <t>AK-130 130 mm (twin)</t>
        </is>
      </c>
      <c r="D199" t="inlineStr">
        <is>
          <t>doi_that</t>
        </is>
      </c>
      <c r="E199" t="inlineStr">
        <is>
          <t>AK-130 130 mm (twin)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nhịp chậm hơn 30 % và mạnh hơn tương ứng (luật súng của game)</t>
        </is>
      </c>
      <c r="M199" t="inlineStr">
        <is>
          <t>gameplay</t>
        </is>
      </c>
      <c r="N199" t="inlineStr"/>
      <c r="O199" t="inlineStr">
        <is>
          <t>da_kiem_chung</t>
        </is>
      </c>
      <c r="P199" t="inlineStr">
        <is>
          <t>R_balance;R_full_weapon_audit;W_wikipedia_ak_130</t>
        </is>
      </c>
      <c r="Q199" t="inlineStr"/>
      <c r="R19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9" t="n">
        <v>130</v>
      </c>
      <c r="T199" t="inlineStr">
        <is>
          <t>NEED_SOURCE</t>
        </is>
      </c>
      <c r="U199" t="inlineStr">
        <is>
          <t>NEED_SOURCE</t>
        </is>
      </c>
      <c r="V199" t="inlineStr">
        <is>
          <t>NEED_SOURCE</t>
        </is>
      </c>
      <c r="W199" t="inlineStr">
        <is>
          <t>NEED_SOURCE</t>
        </is>
      </c>
      <c r="X199" t="n">
        <v>40</v>
      </c>
      <c r="Y199" t="n">
        <v>20</v>
      </c>
      <c r="Z199" t="inlineStr">
        <is>
          <t>NEED_SOURCE</t>
        </is>
      </c>
      <c r="AA199" t="inlineStr">
        <is>
          <t>NEED_SOURCE</t>
        </is>
      </c>
      <c r="AB199" t="inlineStr"/>
      <c r="AC199" t="inlineStr">
        <is>
          <t>gun</t>
        </is>
      </c>
      <c r="AD199" t="inlineStr">
        <is>
          <t>Wikipedia 'AK-130': 10-40 rpm a barrel</t>
        </is>
      </c>
      <c r="AE199" t="inlineStr"/>
      <c r="AF199" t="inlineStr">
        <is>
          <t>Tools/balance/full_weapon_audit.py: REAL / WARHEAD; balance.json weapons[id=naval_130_twin].real</t>
        </is>
      </c>
      <c r="AG199" t="inlineStr"/>
    </row>
    <row r="200">
      <c r="A200" t="inlineStr">
        <is>
          <t>naval_155_triple</t>
        </is>
      </c>
      <c r="B200" t="inlineStr">
        <is>
          <t>naval_155_triple</t>
        </is>
      </c>
      <c r="C200" t="inlineStr">
        <is>
          <t>155 mm/60 (triple)</t>
        </is>
      </c>
      <c r="D200" t="inlineStr">
        <is>
          <t>doi_that</t>
        </is>
      </c>
      <c r="E200" t="inlineStr">
        <is>
          <t>155 mm/60 (triple)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nhịp chậm hơn 30 % và mạnh hơn tương ứng (luật súng của game)</t>
        </is>
      </c>
      <c r="M200" t="inlineStr">
        <is>
          <t>gameplay</t>
        </is>
      </c>
      <c r="N200" t="inlineStr"/>
      <c r="O200" t="inlineStr">
        <is>
          <t>da_kiem_chung</t>
        </is>
      </c>
      <c r="P200" t="inlineStr">
        <is>
          <t>R_balance;R_full_weapon_audit;W_wikipedia_15_5_cm_60_3rd_year_type;R_machine_brigade_can_bang</t>
        </is>
      </c>
      <c r="Q200" t="inlineStr"/>
      <c r="R20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0" t="n">
        <v>155</v>
      </c>
      <c r="T200" t="inlineStr">
        <is>
          <t>NEED_SOURCE</t>
        </is>
      </c>
      <c r="U200" t="inlineStr">
        <is>
          <t>NEED_SOURCE</t>
        </is>
      </c>
      <c r="V200" t="inlineStr">
        <is>
          <t>NEED_SOURCE</t>
        </is>
      </c>
      <c r="W200" t="inlineStr">
        <is>
          <t>NEED_SOURCE</t>
        </is>
      </c>
      <c r="X200" t="n">
        <v>5</v>
      </c>
      <c r="Y200" t="n">
        <v>4</v>
      </c>
      <c r="Z200" t="inlineStr">
        <is>
          <t>NEED_SOURCE</t>
        </is>
      </c>
      <c r="AA200" t="inlineStr">
        <is>
          <t>NEED_SOURCE</t>
        </is>
      </c>
      <c r="AB200" t="inlineStr"/>
      <c r="AC200" t="inlineStr">
        <is>
          <t>gun</t>
        </is>
      </c>
      <c r="AD200" t="inlineStr">
        <is>
          <t>Wikipedia '15.5 cm/60 3rd Year Type' (Mogami): ~5 rpm a gun</t>
        </is>
      </c>
      <c r="AE200" t="inlineStr">
        <is>
          <t>155 mm/60</t>
        </is>
      </c>
      <c r="AF200" t="inlineStr">
        <is>
          <t>Tools/balance/full_weapon_audit.py: REAL / WARHEAD; balance.json weapons[id=naval_155_triple].real</t>
        </is>
      </c>
      <c r="AG200" t="inlineStr"/>
    </row>
    <row r="201">
      <c r="A201" t="inlineStr">
        <is>
          <t>naval_155_triple_guided</t>
        </is>
      </c>
      <c r="B201" t="inlineStr">
        <is>
          <t>naval_155_triple_guided</t>
        </is>
      </c>
      <c r="C201" t="inlineStr">
        <is>
          <t>155 mm/60 guided (triple)</t>
        </is>
      </c>
      <c r="D201" t="inlineStr">
        <is>
          <t>doi_that</t>
        </is>
      </c>
      <c r="E201" t="inlineStr">
        <is>
          <t>155 mm/60 guided (triple)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nhịp chậm hơn 30 % và mạnh hơn tương ứng (luật súng của game)</t>
        </is>
      </c>
      <c r="M201" t="inlineStr">
        <is>
          <t>gameplay</t>
        </is>
      </c>
      <c r="N201" t="inlineStr"/>
      <c r="O201" t="inlineStr">
        <is>
          <t>da_kiem_chung</t>
        </is>
      </c>
      <c r="P201" t="inlineStr">
        <is>
          <t>R_balance;R_full_weapon_audit;W_wikipedia_15_5_cm_60_3rd_year_type</t>
        </is>
      </c>
      <c r="Q201" t="inlineStr"/>
      <c r="R20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1" t="n">
        <v>155</v>
      </c>
      <c r="T201" t="inlineStr">
        <is>
          <t>NEED_SOURCE</t>
        </is>
      </c>
      <c r="U201" t="inlineStr">
        <is>
          <t>NEED_SOURCE</t>
        </is>
      </c>
      <c r="V201" t="inlineStr">
        <is>
          <t>NEED_SOURCE</t>
        </is>
      </c>
      <c r="W201" t="inlineStr">
        <is>
          <t>NEED_SOURCE</t>
        </is>
      </c>
      <c r="X201" t="n">
        <v>5</v>
      </c>
      <c r="Y201" t="n">
        <v>4</v>
      </c>
      <c r="Z201" t="inlineStr">
        <is>
          <t>NEED_SOURCE</t>
        </is>
      </c>
      <c r="AA201" t="inlineStr">
        <is>
          <t>NEED_SOURCE</t>
        </is>
      </c>
      <c r="AB201" t="inlineStr"/>
      <c r="AC201" t="inlineStr">
        <is>
          <t>gun</t>
        </is>
      </c>
      <c r="AD201" t="inlineStr">
        <is>
          <t>Wikipedia '15.5 cm/60 3rd Year Type' (Mogami): ~5 rpm a gun</t>
        </is>
      </c>
      <c r="AE201" t="inlineStr"/>
      <c r="AF201" t="inlineStr">
        <is>
          <t>Tools/balance/full_weapon_audit.py: REAL / WARHEAD; balance.json weapons[id=naval_155_triple_guided].real</t>
        </is>
      </c>
      <c r="AG201" t="inlineStr"/>
    </row>
    <row r="202">
      <c r="A202" t="inlineStr">
        <is>
          <t>net_zap</t>
        </is>
      </c>
      <c r="B202" t="inlineStr">
        <is>
          <t>net_zap</t>
        </is>
      </c>
      <c r="C202" t="inlineStr">
        <is>
          <t>Anti-drone net corridor</t>
        </is>
      </c>
      <c r="D202" t="inlineStr">
        <is>
          <t>doi_that</t>
        </is>
      </c>
      <c r="E202" t="inlineStr">
        <is>
          <t>Anti-drone net corridor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ban_dau_doan</t>
        </is>
      </c>
      <c r="P202" t="inlineStr">
        <is>
          <t>R_balance</t>
        </is>
      </c>
      <c r="Q202" t="inlineStr"/>
      <c r="R20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2" t="inlineStr">
        <is>
          <t>NEED_SOURCE</t>
        </is>
      </c>
      <c r="T202" t="inlineStr">
        <is>
          <t>NEED_SOURCE</t>
        </is>
      </c>
      <c r="U202" t="inlineStr">
        <is>
          <t>NEED_SOURCE</t>
        </is>
      </c>
      <c r="V202" t="inlineStr">
        <is>
          <t>NEED_SOURCE</t>
        </is>
      </c>
      <c r="W202" t="inlineStr">
        <is>
          <t>NEED_SOURCE</t>
        </is>
      </c>
      <c r="X202" t="inlineStr">
        <is>
          <t>NEED_SOURCE</t>
        </is>
      </c>
      <c r="Y202" t="inlineStr">
        <is>
          <t>NEED_SOURCE</t>
        </is>
      </c>
      <c r="Z202" t="inlineStr">
        <is>
          <t>NEED_SOURCE</t>
        </is>
      </c>
      <c r="AA202" t="inlineStr">
        <is>
          <t>NEED_SOURCE</t>
        </is>
      </c>
      <c r="AB202" t="inlineStr"/>
      <c r="AC202" t="inlineStr"/>
      <c r="AD202" t="inlineStr"/>
      <c r="AE202" t="inlineStr"/>
      <c r="AF202" t="inlineStr">
        <is>
          <t>Tools/balance/full_weapon_audit.py: REAL / WARHEAD; balance.json weapons[id=net_zap].real</t>
        </is>
      </c>
      <c r="AG202" t="inlineStr"/>
    </row>
    <row r="203">
      <c r="A203" t="inlineStr">
        <is>
          <t>none</t>
        </is>
      </c>
      <c r="B203" t="inlineStr">
        <is>
          <t>none</t>
        </is>
      </c>
      <c r="C203" t="inlineStr">
        <is>
          <t>none</t>
        </is>
      </c>
      <c r="D203" t="inlineStr">
        <is>
          <t>NEED_SOURCE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NEED_SOURCE</t>
        </is>
      </c>
      <c r="P203" t="inlineStr"/>
      <c r="Q203" t="inlineStr">
        <is>
          <t>balance.json không ghi tên thật cho vũ khí này</t>
        </is>
      </c>
      <c r="R20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3" t="inlineStr">
        <is>
          <t>NEED_SOURCE</t>
        </is>
      </c>
      <c r="T203" t="inlineStr">
        <is>
          <t>NEED_SOURCE</t>
        </is>
      </c>
      <c r="U203" t="inlineStr">
        <is>
          <t>NEED_SOURCE</t>
        </is>
      </c>
      <c r="V203" t="inlineStr">
        <is>
          <t>NEED_SOURCE</t>
        </is>
      </c>
      <c r="W203" t="inlineStr">
        <is>
          <t>NEED_SOURCE</t>
        </is>
      </c>
      <c r="X203" t="inlineStr">
        <is>
          <t>NEED_SOURCE</t>
        </is>
      </c>
      <c r="Y203" t="inlineStr">
        <is>
          <t>NEED_SOURCE</t>
        </is>
      </c>
      <c r="Z203" t="inlineStr">
        <is>
          <t>NEED_SOURCE</t>
        </is>
      </c>
      <c r="AA203" t="inlineStr">
        <is>
          <t>NEED_SOURCE</t>
        </is>
      </c>
      <c r="AB203" t="inlineStr"/>
      <c r="AC203" t="inlineStr"/>
      <c r="AD203" t="inlineStr"/>
      <c r="AE203" t="inlineStr"/>
      <c r="AF203" t="inlineStr">
        <is>
          <t>Tools/balance/full_weapon_audit.py: REAL / WARHEAD; balance.json weapons[id=none].real</t>
        </is>
      </c>
      <c r="AG203" t="inlineStr"/>
    </row>
    <row r="204">
      <c r="A204" t="inlineStr">
        <is>
          <t>nyx_ags_155</t>
        </is>
      </c>
      <c r="B204" t="inlineStr">
        <is>
          <t>nyx_ags_155</t>
        </is>
      </c>
      <c r="C204" t="inlineStr">
        <is>
          <t>155 mm/62 AGS (Zumwalt-class, single)</t>
        </is>
      </c>
      <c r="D204" t="inlineStr">
        <is>
          <t>doi_that</t>
        </is>
      </c>
      <c r="E204" t="inlineStr">
        <is>
          <t>155 mm/62 AGS (Zumwalt-class, single)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ban_dau_doan</t>
        </is>
      </c>
      <c r="P204" t="inlineStr">
        <is>
          <t>R_balance</t>
        </is>
      </c>
      <c r="Q204" t="inlineStr"/>
      <c r="R20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4" t="n">
        <v>155</v>
      </c>
      <c r="T204" t="inlineStr">
        <is>
          <t>NEED_SOURCE</t>
        </is>
      </c>
      <c r="U204" t="inlineStr">
        <is>
          <t>NEED_SOURCE</t>
        </is>
      </c>
      <c r="V204" t="inlineStr">
        <is>
          <t>NEED_SOURCE</t>
        </is>
      </c>
      <c r="W204" t="inlineStr">
        <is>
          <t>NEED_SOURCE</t>
        </is>
      </c>
      <c r="X204" t="inlineStr">
        <is>
          <t>NEED_SOURCE</t>
        </is>
      </c>
      <c r="Y204" t="inlineStr">
        <is>
          <t>NEED_SOURCE</t>
        </is>
      </c>
      <c r="Z204" t="inlineStr">
        <is>
          <t>NEED_SOURCE</t>
        </is>
      </c>
      <c r="AA204" t="inlineStr">
        <is>
          <t>NEED_SOURCE</t>
        </is>
      </c>
      <c r="AB204" t="inlineStr"/>
      <c r="AC204" t="inlineStr"/>
      <c r="AD204" t="inlineStr"/>
      <c r="AE204" t="inlineStr"/>
      <c r="AF204" t="inlineStr">
        <is>
          <t>Tools/balance/full_weapon_audit.py: REAL / WARHEAD; balance.json weapons[id=nyx_ags_155].real</t>
        </is>
      </c>
      <c r="AG204" t="inlineStr"/>
    </row>
    <row r="205">
      <c r="A205" t="inlineStr">
        <is>
          <t>nyx_millennium</t>
        </is>
      </c>
      <c r="B205" t="inlineStr">
        <is>
          <t>nyx_millennium</t>
        </is>
      </c>
      <c r="C205" t="inlineStr">
        <is>
          <t>Oerlikon Millennium 35 mm (AHEAD, stealth turret)</t>
        </is>
      </c>
      <c r="D205" t="inlineStr">
        <is>
          <t>doi_that</t>
        </is>
      </c>
      <c r="E205" t="inlineStr">
        <is>
          <t>Oerlikon Millennium 35 mm (AHEAD, stealth turret)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ban_dau_doan</t>
        </is>
      </c>
      <c r="P205" t="inlineStr">
        <is>
          <t>R_balance</t>
        </is>
      </c>
      <c r="Q205" t="inlineStr"/>
      <c r="R20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5" t="n">
        <v>35</v>
      </c>
      <c r="T205" t="inlineStr">
        <is>
          <t>NEED_SOURCE</t>
        </is>
      </c>
      <c r="U205" t="inlineStr">
        <is>
          <t>NEED_SOURCE</t>
        </is>
      </c>
      <c r="V205" t="inlineStr">
        <is>
          <t>NEED_SOURCE</t>
        </is>
      </c>
      <c r="W205" t="inlineStr">
        <is>
          <t>NEED_SOURCE</t>
        </is>
      </c>
      <c r="X205" t="inlineStr">
        <is>
          <t>NEED_SOURCE</t>
        </is>
      </c>
      <c r="Y205" t="inlineStr">
        <is>
          <t>NEED_SOURCE</t>
        </is>
      </c>
      <c r="Z205" t="inlineStr">
        <is>
          <t>NEED_SOURCE</t>
        </is>
      </c>
      <c r="AA205" t="inlineStr">
        <is>
          <t>NEED_SOURCE</t>
        </is>
      </c>
      <c r="AB205" t="inlineStr"/>
      <c r="AC205" t="inlineStr"/>
      <c r="AD205" t="inlineStr"/>
      <c r="AE205" t="inlineStr"/>
      <c r="AF205" t="inlineStr">
        <is>
          <t>Tools/balance/full_weapon_audit.py: REAL / WARHEAD; balance.json weapons[id=nyx_millennium].real</t>
        </is>
      </c>
      <c r="AG205" t="inlineStr"/>
    </row>
    <row r="206">
      <c r="A206" t="inlineStr">
        <is>
          <t>nyx_tomahawk</t>
        </is>
      </c>
      <c r="B206" t="inlineStr">
        <is>
          <t>nyx_tomahawk</t>
        </is>
      </c>
      <c r="C206" t="inlineStr">
        <is>
          <t>RGM-109E Tomahawk (Mk 41-type 8-cell VLS)</t>
        </is>
      </c>
      <c r="D206" t="inlineStr">
        <is>
          <t>doi_that</t>
        </is>
      </c>
      <c r="E206" t="inlineStr">
        <is>
          <t>RGM-109E Tomahawk (Mk 41-type 8-cell VLS)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uoc_dinh</t>
        </is>
      </c>
      <c r="P206" t="inlineStr">
        <is>
          <t>R_balance;R_full_weapon_audit</t>
        </is>
      </c>
      <c r="Q206" t="inlineStr"/>
      <c r="R20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6" t="inlineStr">
        <is>
          <t>NEED_SOURCE</t>
        </is>
      </c>
      <c r="T206" t="inlineStr">
        <is>
          <t>NEED_SOURCE</t>
        </is>
      </c>
      <c r="U206" t="inlineStr">
        <is>
          <t>NEED_SOURCE</t>
        </is>
      </c>
      <c r="V206" t="inlineStr">
        <is>
          <t>NEED_SOURCE</t>
        </is>
      </c>
      <c r="W206" t="inlineStr">
        <is>
          <t>NEED_SOURCE</t>
        </is>
      </c>
      <c r="X206" t="n">
        <v>20</v>
      </c>
      <c r="Y206" t="n">
        <v>6</v>
      </c>
      <c r="Z206" t="inlineStr">
        <is>
          <t>NEED_SOURCE</t>
        </is>
      </c>
      <c r="AA206" t="inlineStr">
        <is>
          <t>NEED_SOURCE</t>
        </is>
      </c>
      <c r="AB206" t="inlineStr">
        <is>
          <t>NEED_SOURCE</t>
        </is>
      </c>
      <c r="AC206" t="inlineStr">
        <is>
          <t>missile</t>
        </is>
      </c>
      <c r="AD206" t="inlineStr">
        <is>
          <t>cruise missiles: ~3 s between launches (est.)</t>
        </is>
      </c>
      <c r="AE206" t="inlineStr"/>
      <c r="AF206" t="inlineStr">
        <is>
          <t>Tools/balance/full_weapon_audit.py: REAL / WARHEAD; balance.json weapons[id=nyx_tomahawk].real</t>
        </is>
      </c>
      <c r="AG206" t="inlineStr"/>
    </row>
    <row r="207">
      <c r="A207" t="inlineStr">
        <is>
          <t>one_shot_kornet</t>
        </is>
      </c>
      <c r="B207" t="inlineStr">
        <is>
          <t>one_shot_kornet</t>
        </is>
      </c>
      <c r="C207" t="inlineStr">
        <is>
          <t>9M133 Kornet</t>
        </is>
      </c>
      <c r="D207" t="inlineStr">
        <is>
          <t>doi_that</t>
        </is>
      </c>
      <c r="E207" t="inlineStr">
        <is>
          <t>9M133 Kornet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da_kiem_chung</t>
        </is>
      </c>
      <c r="P207" t="inlineStr">
        <is>
          <t>R_balance;R_full_weapon_audit;W_wikipedia_9m133_kornet;W_wikipedia_bai_cua_tung_ten_lua_bang_warhead</t>
        </is>
      </c>
      <c r="Q207" t="inlineStr"/>
      <c r="R20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7" t="inlineStr">
        <is>
          <t>NEED_SOURCE</t>
        </is>
      </c>
      <c r="T207" t="inlineStr">
        <is>
          <t>NEED_SOURCE</t>
        </is>
      </c>
      <c r="U207" t="inlineStr">
        <is>
          <t>NEED_SOURCE</t>
        </is>
      </c>
      <c r="V207" t="inlineStr">
        <is>
          <t>NEED_SOURCE</t>
        </is>
      </c>
      <c r="W207" t="inlineStr">
        <is>
          <t>NEED_SOURCE</t>
        </is>
      </c>
      <c r="X207" t="n">
        <v>3</v>
      </c>
      <c r="Y207" t="n">
        <v>3</v>
      </c>
      <c r="Z207" t="inlineStr">
        <is>
          <t>NEED_SOURCE</t>
        </is>
      </c>
      <c r="AA207" t="inlineStr">
        <is>
          <t>NEED_SOURCE</t>
        </is>
      </c>
      <c r="AB207" t="n">
        <v>7</v>
      </c>
      <c r="AC207" t="inlineStr">
        <is>
          <t>atgm</t>
        </is>
      </c>
      <c r="AD207" t="inlineStr">
        <is>
          <t>Wikipedia '9M133 Kornet': 2-3 rpm</t>
        </is>
      </c>
      <c r="AE207" t="inlineStr"/>
      <c r="AF207" t="inlineStr">
        <is>
          <t>Tools/balance/full_weapon_audit.py: REAL / WARHEAD; balance.json weapons[id=one_shot_kornet].real</t>
        </is>
      </c>
      <c r="AG207" t="inlineStr"/>
    </row>
    <row r="208">
      <c r="A208" t="inlineStr">
        <is>
          <t>orbital_laser</t>
        </is>
      </c>
      <c r="B208" t="inlineStr">
        <is>
          <t>orbital_laser</t>
        </is>
      </c>
      <c r="C208" t="inlineStr">
        <is>
          <t>laser (150 kW)</t>
        </is>
      </c>
      <c r="D208" t="inlineStr">
        <is>
          <t>doi_that</t>
        </is>
      </c>
      <c r="E208" t="inlineStr">
        <is>
          <t>laser (150 kW)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ban_dau_doan</t>
        </is>
      </c>
      <c r="P208" t="inlineStr">
        <is>
          <t>R_balance;R_machine_brigade_can_bang</t>
        </is>
      </c>
      <c r="Q208" t="inlineStr"/>
      <c r="R20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8" t="inlineStr">
        <is>
          <t>NEED_SOURCE</t>
        </is>
      </c>
      <c r="T208" t="inlineStr">
        <is>
          <t>NEED_SOURCE</t>
        </is>
      </c>
      <c r="U208" t="inlineStr">
        <is>
          <t>NEED_SOURCE</t>
        </is>
      </c>
      <c r="V208" t="inlineStr">
        <is>
          <t>NEED_SOURCE</t>
        </is>
      </c>
      <c r="W208" t="inlineStr">
        <is>
          <t>NEED_SOURCE</t>
        </is>
      </c>
      <c r="X208" t="inlineStr">
        <is>
          <t>NEED_SOURCE</t>
        </is>
      </c>
      <c r="Y208" t="inlineStr">
        <is>
          <t>NEED_SOURCE</t>
        </is>
      </c>
      <c r="Z208" t="inlineStr">
        <is>
          <t>NEED_SOURCE</t>
        </is>
      </c>
      <c r="AA208" t="inlineStr">
        <is>
          <t>NEED_SOURCE</t>
        </is>
      </c>
      <c r="AB208" t="inlineStr"/>
      <c r="AC208" t="inlineStr"/>
      <c r="AD208" t="inlineStr"/>
      <c r="AE208" t="inlineStr">
        <is>
          <t>laser quỹ đạo (giả tưởng)</t>
        </is>
      </c>
      <c r="AF208" t="inlineStr">
        <is>
          <t>Tools/balance/full_weapon_audit.py: REAL / WARHEAD; balance.json weapons[id=orbital_laser].real</t>
        </is>
      </c>
      <c r="AG208" t="inlineStr"/>
    </row>
    <row r="209">
      <c r="A209" t="inlineStr">
        <is>
          <t>p26_bastion_b100</t>
        </is>
      </c>
      <c r="B209" t="inlineStr">
        <is>
          <t>p26_bastion_b100</t>
        </is>
      </c>
      <c r="C209" t="inlineStr">
        <is>
          <t>D-10 100 mm</t>
        </is>
      </c>
      <c r="D209" t="inlineStr">
        <is>
          <t>doi_that</t>
        </is>
      </c>
      <c r="E209" t="inlineStr">
        <is>
          <t>D-10 100 mm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nhịp chậm hơn 30 % và mạnh hơn tương ứng (luật súng của game)</t>
        </is>
      </c>
      <c r="M209" t="inlineStr">
        <is>
          <t>gameplay</t>
        </is>
      </c>
      <c r="N209" t="inlineStr"/>
      <c r="O209" t="inlineStr">
        <is>
          <t>da_kiem_chung</t>
        </is>
      </c>
      <c r="P209" t="inlineStr">
        <is>
          <t>R_balance;R_full_weapon_audit;W_wikipedia_d_10_tank_gun</t>
        </is>
      </c>
      <c r="Q209" t="inlineStr"/>
      <c r="R20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9" t="n">
        <v>100</v>
      </c>
      <c r="T209" t="inlineStr">
        <is>
          <t>NEED_SOURCE</t>
        </is>
      </c>
      <c r="U209" t="inlineStr">
        <is>
          <t>NEED_SOURCE</t>
        </is>
      </c>
      <c r="V209" t="inlineStr">
        <is>
          <t>NEED_SOURCE</t>
        </is>
      </c>
      <c r="W209" t="inlineStr">
        <is>
          <t>NEED_SOURCE</t>
        </is>
      </c>
      <c r="X209" t="n">
        <v>7</v>
      </c>
      <c r="Y209" t="n">
        <v>4</v>
      </c>
      <c r="Z209" t="inlineStr">
        <is>
          <t>NEED_SOURCE</t>
        </is>
      </c>
      <c r="AA209" t="inlineStr">
        <is>
          <t>NEED_SOURCE</t>
        </is>
      </c>
      <c r="AB209" t="inlineStr"/>
      <c r="AC209" t="inlineStr">
        <is>
          <t>gun</t>
        </is>
      </c>
      <c r="AD209" t="inlineStr">
        <is>
          <t>Wikipedia 'D-10 tank gun' (T-55): 4-7 rpm</t>
        </is>
      </c>
      <c r="AE209" t="inlineStr"/>
      <c r="AF209" t="inlineStr">
        <is>
          <t>Tools/balance/full_weapon_audit.py: REAL / WARHEAD; balance.json weapons[id=p26_bastion_b100].real</t>
        </is>
      </c>
      <c r="AG209" t="inlineStr"/>
    </row>
    <row r="210">
      <c r="A210" t="inlineStr">
        <is>
          <t>p26_bastion_b155</t>
        </is>
      </c>
      <c r="B210" t="inlineStr">
        <is>
          <t>p26_bastion_b155</t>
        </is>
      </c>
      <c r="C210" t="inlineStr">
        <is>
          <t>M284 155 mm (Bastion)</t>
        </is>
      </c>
      <c r="D210" t="inlineStr">
        <is>
          <t>doi_that</t>
        </is>
      </c>
      <c r="E210" t="inlineStr">
        <is>
          <t>M284 155 mm (Bastion)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nhịp chậm hơn 30 % và mạnh hơn tương ứng (luật súng của game)</t>
        </is>
      </c>
      <c r="M210" t="inlineStr">
        <is>
          <t>gameplay</t>
        </is>
      </c>
      <c r="N210" t="inlineStr"/>
      <c r="O210" t="inlineStr">
        <is>
          <t>da_kiem_chung</t>
        </is>
      </c>
      <c r="P210" t="inlineStr">
        <is>
          <t>R_balance;R_full_weapon_audit;D_us_army_m109a7_fact_file</t>
        </is>
      </c>
      <c r="Q210" t="inlineStr"/>
      <c r="R2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0" t="n">
        <v>155</v>
      </c>
      <c r="T210" t="inlineStr">
        <is>
          <t>NEED_SOURCE</t>
        </is>
      </c>
      <c r="U210" t="inlineStr">
        <is>
          <t>NEED_SOURCE</t>
        </is>
      </c>
      <c r="V210" t="inlineStr">
        <is>
          <t>NEED_SOURCE</t>
        </is>
      </c>
      <c r="W210" t="inlineStr">
        <is>
          <t>NEED_SOURCE</t>
        </is>
      </c>
      <c r="X210" t="n">
        <v>4</v>
      </c>
      <c r="Y210" t="n">
        <v>1</v>
      </c>
      <c r="Z210" t="inlineStr">
        <is>
          <t>NEED_SOURCE</t>
        </is>
      </c>
      <c r="AA210" t="inlineStr">
        <is>
          <t>NEED_SOURCE</t>
        </is>
      </c>
      <c r="AB210" t="inlineStr"/>
      <c r="AC210" t="inlineStr">
        <is>
          <t>gun</t>
        </is>
      </c>
      <c r="AD210" t="inlineStr">
        <is>
          <t>US Army M109A7 fact file: 4 rpm for 3 min, 1 rpm sustained</t>
        </is>
      </c>
      <c r="AE210" t="inlineStr"/>
      <c r="AF210" t="inlineStr">
        <is>
          <t>Tools/balance/full_weapon_audit.py: REAL / WARHEAD; balance.json weapons[id=p26_bastion_b155].real</t>
        </is>
      </c>
      <c r="AG210" t="inlineStr"/>
    </row>
    <row r="211">
      <c r="A211" t="inlineStr">
        <is>
          <t>p26_bastion_b240</t>
        </is>
      </c>
      <c r="B211" t="inlineStr">
        <is>
          <t>p26_bastion_b240</t>
        </is>
      </c>
      <c r="C211" t="inlineStr">
        <is>
          <t>2B8 240 mm</t>
        </is>
      </c>
      <c r="D211" t="inlineStr">
        <is>
          <t>doi_that</t>
        </is>
      </c>
      <c r="E211" t="inlineStr">
        <is>
          <t>2B8 240 mm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nhịp chậm hơn 30 % và mạnh hơn tương ứng (luật súng của game)</t>
        </is>
      </c>
      <c r="M211" t="inlineStr">
        <is>
          <t>gameplay</t>
        </is>
      </c>
      <c r="N211" t="inlineStr"/>
      <c r="O211" t="inlineStr">
        <is>
          <t>da_kiem_chung</t>
        </is>
      </c>
      <c r="P211" t="inlineStr">
        <is>
          <t>R_balance;R_full_weapon_audit;W_wikipedia_2s4_tyulpan</t>
        </is>
      </c>
      <c r="Q211" t="inlineStr"/>
      <c r="R2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1" t="n">
        <v>240</v>
      </c>
      <c r="T211" t="inlineStr">
        <is>
          <t>NEED_SOURCE</t>
        </is>
      </c>
      <c r="U211" t="inlineStr">
        <is>
          <t>NEED_SOURCE</t>
        </is>
      </c>
      <c r="V211" t="inlineStr">
        <is>
          <t>NEED_SOURCE</t>
        </is>
      </c>
      <c r="W211" t="inlineStr">
        <is>
          <t>NEED_SOURCE</t>
        </is>
      </c>
      <c r="X211" t="n">
        <v>1</v>
      </c>
      <c r="Y211" t="n">
        <v>1</v>
      </c>
      <c r="Z211" t="inlineStr">
        <is>
          <t>NEED_SOURCE</t>
        </is>
      </c>
      <c r="AA211" t="inlineStr">
        <is>
          <t>NEED_SOURCE</t>
        </is>
      </c>
      <c r="AB211" t="inlineStr"/>
      <c r="AC211" t="inlineStr">
        <is>
          <t>gun</t>
        </is>
      </c>
      <c r="AD211" t="inlineStr">
        <is>
          <t>Wikipedia '2S4 Tyulpan': ~1 rpm</t>
        </is>
      </c>
      <c r="AE211" t="inlineStr"/>
      <c r="AF211" t="inlineStr">
        <is>
          <t>Tools/balance/full_weapon_audit.py: REAL / WARHEAD; balance.json weapons[id=p26_bastion_b240].real</t>
        </is>
      </c>
      <c r="AG211" t="inlineStr"/>
    </row>
    <row r="212">
      <c r="A212" t="inlineStr">
        <is>
          <t>p26_bastion_close_boss_hmg</t>
        </is>
      </c>
      <c r="B212" t="inlineStr">
        <is>
          <t>p26_bastion_close_boss_hmg</t>
        </is>
      </c>
      <c r="C212" t="inlineStr">
        <is>
          <t>NSV 12.7 mm</t>
        </is>
      </c>
      <c r="D212" t="inlineStr">
        <is>
          <t>doi_that</t>
        </is>
      </c>
      <c r="E212" t="inlineStr">
        <is>
          <t>NSV 12.7 mm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da_kiem_chung</t>
        </is>
      </c>
      <c r="P212" t="inlineStr">
        <is>
          <t>R_balance;R_full_weapon_audit;W_wikipedia_nsv_machine_gun</t>
        </is>
      </c>
      <c r="Q212" t="inlineStr"/>
      <c r="R2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2" t="n">
        <v>12.7</v>
      </c>
      <c r="T212" t="inlineStr">
        <is>
          <t>NEED_SOURCE</t>
        </is>
      </c>
      <c r="U212" t="inlineStr">
        <is>
          <t>NEED_SOURCE</t>
        </is>
      </c>
      <c r="V212" t="inlineStr">
        <is>
          <t>NEED_SOURCE</t>
        </is>
      </c>
      <c r="W212" t="inlineStr">
        <is>
          <t>NEED_SOURCE</t>
        </is>
      </c>
      <c r="X212" t="n">
        <v>800</v>
      </c>
      <c r="Y212" t="n">
        <v>100</v>
      </c>
      <c r="Z212" t="inlineStr">
        <is>
          <t>NEED_SOURCE</t>
        </is>
      </c>
      <c r="AA212" t="inlineStr">
        <is>
          <t>NEED_SOURCE</t>
        </is>
      </c>
      <c r="AB212" t="inlineStr"/>
      <c r="AC212" t="inlineStr">
        <is>
          <t>mg</t>
        </is>
      </c>
      <c r="AD212" t="inlineStr">
        <is>
          <t>Wikipedia 'NSV machine gun': 700-800 cyclic, 100 practical</t>
        </is>
      </c>
      <c r="AE212" t="inlineStr"/>
      <c r="AF212" t="inlineStr">
        <is>
          <t>Tools/balance/full_weapon_audit.py: REAL / WARHEAD; balance.json weapons[id=p26_bastion_close_boss_hmg].real</t>
        </is>
      </c>
      <c r="AG212" t="inlineStr"/>
    </row>
    <row r="213">
      <c r="A213" t="inlineStr">
        <is>
          <t>p26_bastion_direct_b100</t>
        </is>
      </c>
      <c r="B213" t="inlineStr">
        <is>
          <t>p26_bastion_direct_b100</t>
        </is>
      </c>
      <c r="C213" t="inlineStr">
        <is>
          <t>D-10 100 mm (twin casemate)</t>
        </is>
      </c>
      <c r="D213" t="inlineStr">
        <is>
          <t>doi_that</t>
        </is>
      </c>
      <c r="E213" t="inlineStr">
        <is>
          <t>D-10 100 mm (twin casemate)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nhịp chậm hơn 30 % và mạnh hơn tương ứng (luật súng của game)</t>
        </is>
      </c>
      <c r="M213" t="inlineStr">
        <is>
          <t>gameplay</t>
        </is>
      </c>
      <c r="N213" t="inlineStr"/>
      <c r="O213" t="inlineStr">
        <is>
          <t>da_kiem_chung</t>
        </is>
      </c>
      <c r="P213" t="inlineStr">
        <is>
          <t>R_balance;R_full_weapon_audit;W_wikipedia_d_10_tank_gun</t>
        </is>
      </c>
      <c r="Q213" t="inlineStr"/>
      <c r="R2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3" t="n">
        <v>100</v>
      </c>
      <c r="T213" t="inlineStr">
        <is>
          <t>NEED_SOURCE</t>
        </is>
      </c>
      <c r="U213" t="inlineStr">
        <is>
          <t>NEED_SOURCE</t>
        </is>
      </c>
      <c r="V213" t="inlineStr">
        <is>
          <t>NEED_SOURCE</t>
        </is>
      </c>
      <c r="W213" t="inlineStr">
        <is>
          <t>NEED_SOURCE</t>
        </is>
      </c>
      <c r="X213" t="n">
        <v>7</v>
      </c>
      <c r="Y213" t="n">
        <v>4</v>
      </c>
      <c r="Z213" t="inlineStr">
        <is>
          <t>NEED_SOURCE</t>
        </is>
      </c>
      <c r="AA213" t="inlineStr">
        <is>
          <t>NEED_SOURCE</t>
        </is>
      </c>
      <c r="AB213" t="inlineStr"/>
      <c r="AC213" t="inlineStr">
        <is>
          <t>gun</t>
        </is>
      </c>
      <c r="AD213" t="inlineStr">
        <is>
          <t>Wikipedia 'D-10 tank gun' (T-55): 4-7 rpm</t>
        </is>
      </c>
      <c r="AE213" t="inlineStr"/>
      <c r="AF213" t="inlineStr">
        <is>
          <t>Tools/balance/full_weapon_audit.py: REAL / WARHEAD; balance.json weapons[id=p26_bastion_direct_b100].real</t>
        </is>
      </c>
      <c r="AG213" t="inlineStr"/>
    </row>
    <row r="214">
      <c r="A214" t="inlineStr">
        <is>
          <t>p26_bastion_main_b155</t>
        </is>
      </c>
      <c r="B214" t="inlineStr">
        <is>
          <t>p26_bastion_main_b155</t>
        </is>
      </c>
      <c r="C214" t="inlineStr">
        <is>
          <t>M284 155 mm (Bastion)</t>
        </is>
      </c>
      <c r="D214" t="inlineStr">
        <is>
          <t>doi_that</t>
        </is>
      </c>
      <c r="E214" t="inlineStr">
        <is>
          <t>M284 155 mm (Bastion)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nhịp chậm hơn 30 % và mạnh hơn tương ứng (luật súng của game)</t>
        </is>
      </c>
      <c r="M214" t="inlineStr">
        <is>
          <t>gameplay</t>
        </is>
      </c>
      <c r="N214" t="inlineStr"/>
      <c r="O214" t="inlineStr">
        <is>
          <t>da_kiem_chung</t>
        </is>
      </c>
      <c r="P214" t="inlineStr">
        <is>
          <t>R_balance;R_full_weapon_audit;D_us_army_m109a7_fact_file</t>
        </is>
      </c>
      <c r="Q214" t="inlineStr"/>
      <c r="R2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4" t="n">
        <v>155</v>
      </c>
      <c r="T214" t="inlineStr">
        <is>
          <t>NEED_SOURCE</t>
        </is>
      </c>
      <c r="U214" t="inlineStr">
        <is>
          <t>NEED_SOURCE</t>
        </is>
      </c>
      <c r="V214" t="inlineStr">
        <is>
          <t>NEED_SOURCE</t>
        </is>
      </c>
      <c r="W214" t="inlineStr">
        <is>
          <t>NEED_SOURCE</t>
        </is>
      </c>
      <c r="X214" t="n">
        <v>4</v>
      </c>
      <c r="Y214" t="n">
        <v>1</v>
      </c>
      <c r="Z214" t="inlineStr">
        <is>
          <t>NEED_SOURCE</t>
        </is>
      </c>
      <c r="AA214" t="inlineStr">
        <is>
          <t>NEED_SOURCE</t>
        </is>
      </c>
      <c r="AB214" t="inlineStr"/>
      <c r="AC214" t="inlineStr">
        <is>
          <t>gun</t>
        </is>
      </c>
      <c r="AD214" t="inlineStr">
        <is>
          <t>US Army M109A7 fact file: 4 rpm for 3 min, 1 rpm sustained</t>
        </is>
      </c>
      <c r="AE214" t="inlineStr"/>
      <c r="AF214" t="inlineStr">
        <is>
          <t>Tools/balance/full_weapon_audit.py: REAL / WARHEAD; balance.json weapons[id=p26_bastion_main_b155].real</t>
        </is>
      </c>
      <c r="AG214" t="inlineStr"/>
    </row>
    <row r="215">
      <c r="A215" t="inlineStr">
        <is>
          <t>p26_bastion_sec_b240</t>
        </is>
      </c>
      <c r="B215" t="inlineStr">
        <is>
          <t>p26_bastion_sec_b240</t>
        </is>
      </c>
      <c r="C215" t="inlineStr">
        <is>
          <t>2B8 240 mm</t>
        </is>
      </c>
      <c r="D215" t="inlineStr">
        <is>
          <t>doi_that</t>
        </is>
      </c>
      <c r="E215" t="inlineStr">
        <is>
          <t>2B8 240 mm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nhịp chậm hơn 30 % và mạnh hơn tương ứng (luật súng của game)</t>
        </is>
      </c>
      <c r="M215" t="inlineStr">
        <is>
          <t>gameplay</t>
        </is>
      </c>
      <c r="N215" t="inlineStr"/>
      <c r="O215" t="inlineStr">
        <is>
          <t>da_kiem_chung</t>
        </is>
      </c>
      <c r="P215" t="inlineStr">
        <is>
          <t>R_balance;R_full_weapon_audit;W_wikipedia_2s4_tyulpan</t>
        </is>
      </c>
      <c r="Q215" t="inlineStr"/>
      <c r="R2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5" t="n">
        <v>240</v>
      </c>
      <c r="T215" t="inlineStr">
        <is>
          <t>NEED_SOURCE</t>
        </is>
      </c>
      <c r="U215" t="inlineStr">
        <is>
          <t>NEED_SOURCE</t>
        </is>
      </c>
      <c r="V215" t="inlineStr">
        <is>
          <t>NEED_SOURCE</t>
        </is>
      </c>
      <c r="W215" t="inlineStr">
        <is>
          <t>NEED_SOURCE</t>
        </is>
      </c>
      <c r="X215" t="n">
        <v>1</v>
      </c>
      <c r="Y215" t="n">
        <v>1</v>
      </c>
      <c r="Z215" t="inlineStr">
        <is>
          <t>NEED_SOURCE</t>
        </is>
      </c>
      <c r="AA215" t="inlineStr">
        <is>
          <t>NEED_SOURCE</t>
        </is>
      </c>
      <c r="AB215" t="inlineStr"/>
      <c r="AC215" t="inlineStr">
        <is>
          <t>gun</t>
        </is>
      </c>
      <c r="AD215" t="inlineStr">
        <is>
          <t>Wikipedia '2S4 Tyulpan': ~1 rpm</t>
        </is>
      </c>
      <c r="AE215" t="inlineStr"/>
      <c r="AF215" t="inlineStr">
        <is>
          <t>Tools/balance/full_weapon_audit.py: REAL / WARHEAD; balance.json weapons[id=p26_bastion_sec_b240].real</t>
        </is>
      </c>
      <c r="AG215" t="inlineStr"/>
    </row>
    <row r="216">
      <c r="A216" t="inlineStr">
        <is>
          <t>p26_bastion_tiny_autocannon_40</t>
        </is>
      </c>
      <c r="B216" t="inlineStr">
        <is>
          <t>p26_bastion_tiny_autocannon_40</t>
        </is>
      </c>
      <c r="C216" t="inlineStr">
        <is>
          <t>Bofors 40 mm</t>
        </is>
      </c>
      <c r="D216" t="inlineStr">
        <is>
          <t>doi_that</t>
        </is>
      </c>
      <c r="E216" t="inlineStr">
        <is>
          <t>Bofors 40 mm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da_kiem_chung</t>
        </is>
      </c>
      <c r="P216" t="inlineStr">
        <is>
          <t>R_balance;R_full_weapon_audit;W_wikipedia_bofors_40_mm_l_70</t>
        </is>
      </c>
      <c r="Q216" t="inlineStr"/>
      <c r="R2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6" t="n">
        <v>40</v>
      </c>
      <c r="T216" t="inlineStr">
        <is>
          <t>NEED_SOURCE</t>
        </is>
      </c>
      <c r="U216" t="inlineStr">
        <is>
          <t>NEED_SOURCE</t>
        </is>
      </c>
      <c r="V216" t="inlineStr">
        <is>
          <t>NEED_SOURCE</t>
        </is>
      </c>
      <c r="W216" t="inlineStr">
        <is>
          <t>NEED_SOURCE</t>
        </is>
      </c>
      <c r="X216" t="n">
        <v>330</v>
      </c>
      <c r="Y216" t="n">
        <v>120</v>
      </c>
      <c r="Z216" t="inlineStr">
        <is>
          <t>NEED_SOURCE</t>
        </is>
      </c>
      <c r="AA216" t="inlineStr">
        <is>
          <t>NEED_SOURCE</t>
        </is>
      </c>
      <c r="AB216" t="inlineStr"/>
      <c r="AC216" t="inlineStr">
        <is>
          <t>aa</t>
        </is>
      </c>
      <c r="AD216" t="inlineStr">
        <is>
          <t>Wikipedia 'Bofors 40 mm L/70': 240-330 rpm</t>
        </is>
      </c>
      <c r="AE216" t="inlineStr"/>
      <c r="AF216" t="inlineStr">
        <is>
          <t>Tools/balance/full_weapon_audit.py: REAL / WARHEAD; balance.json weapons[id=p26_bastion_tiny_autocannon_40].real</t>
        </is>
      </c>
      <c r="AG216" t="inlineStr"/>
    </row>
    <row r="217">
      <c r="A217" t="inlineStr">
        <is>
          <t>p26_bastion_tiny_kornet_twin</t>
        </is>
      </c>
      <c r="B217" t="inlineStr">
        <is>
          <t>p26_bastion_tiny_kornet_twin</t>
        </is>
      </c>
      <c r="C217" t="inlineStr">
        <is>
          <t>9M133 Kornet</t>
        </is>
      </c>
      <c r="D217" t="inlineStr">
        <is>
          <t>doi_that</t>
        </is>
      </c>
      <c r="E217" t="inlineStr">
        <is>
          <t>9M133 Kornet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da_kiem_chung</t>
        </is>
      </c>
      <c r="P217" t="inlineStr">
        <is>
          <t>R_balance;R_full_weapon_audit;W_wikipedia_9m133_kornet;W_wikipedia_bai_cua_tung_ten_lua_bang_warhead</t>
        </is>
      </c>
      <c r="Q217" t="inlineStr"/>
      <c r="R2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7" t="inlineStr">
        <is>
          <t>NEED_SOURCE</t>
        </is>
      </c>
      <c r="T217" t="inlineStr">
        <is>
          <t>NEED_SOURCE</t>
        </is>
      </c>
      <c r="U217" t="inlineStr">
        <is>
          <t>NEED_SOURCE</t>
        </is>
      </c>
      <c r="V217" t="inlineStr">
        <is>
          <t>NEED_SOURCE</t>
        </is>
      </c>
      <c r="W217" t="inlineStr">
        <is>
          <t>NEED_SOURCE</t>
        </is>
      </c>
      <c r="X217" t="n">
        <v>3</v>
      </c>
      <c r="Y217" t="n">
        <v>3</v>
      </c>
      <c r="Z217" t="inlineStr">
        <is>
          <t>NEED_SOURCE</t>
        </is>
      </c>
      <c r="AA217" t="inlineStr">
        <is>
          <t>NEED_SOURCE</t>
        </is>
      </c>
      <c r="AB217" t="n">
        <v>7</v>
      </c>
      <c r="AC217" t="inlineStr">
        <is>
          <t>atgm</t>
        </is>
      </c>
      <c r="AD217" t="inlineStr">
        <is>
          <t>Wikipedia '9M133 Kornet': 2-3 rpm</t>
        </is>
      </c>
      <c r="AE217" t="inlineStr"/>
      <c r="AF217" t="inlineStr">
        <is>
          <t>Tools/balance/full_weapon_audit.py: REAL / WARHEAD; balance.json weapons[id=p26_bastion_tiny_kornet_twin].real</t>
        </is>
      </c>
      <c r="AG217" t="inlineStr"/>
    </row>
    <row r="218">
      <c r="A218" t="inlineStr">
        <is>
          <t>p26_bastion_tiny_zu23</t>
        </is>
      </c>
      <c r="B218" t="inlineStr">
        <is>
          <t>p26_bastion_tiny_zu23</t>
        </is>
      </c>
      <c r="C218" t="inlineStr">
        <is>
          <t>ZU-23-2 23 mm</t>
        </is>
      </c>
      <c r="D218" t="inlineStr">
        <is>
          <t>doi_that</t>
        </is>
      </c>
      <c r="E218" t="inlineStr">
        <is>
          <t>ZU-23-2 23 mm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da_kiem_chung</t>
        </is>
      </c>
      <c r="P218" t="inlineStr">
        <is>
          <t>R_balance;R_full_weapon_audit;W_wikipedia_zu_23_2</t>
        </is>
      </c>
      <c r="Q218" t="inlineStr"/>
      <c r="R2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8" t="n">
        <v>23</v>
      </c>
      <c r="T218" t="inlineStr">
        <is>
          <t>NEED_SOURCE</t>
        </is>
      </c>
      <c r="U218" t="inlineStr">
        <is>
          <t>NEED_SOURCE</t>
        </is>
      </c>
      <c r="V218" t="inlineStr">
        <is>
          <t>NEED_SOURCE</t>
        </is>
      </c>
      <c r="W218" t="inlineStr">
        <is>
          <t>NEED_SOURCE</t>
        </is>
      </c>
      <c r="X218" t="n">
        <v>1000</v>
      </c>
      <c r="Y218" t="n">
        <v>400</v>
      </c>
      <c r="Z218" t="inlineStr">
        <is>
          <t>NEED_SOURCE</t>
        </is>
      </c>
      <c r="AA218" t="inlineStr">
        <is>
          <t>NEED_SOURCE</t>
        </is>
      </c>
      <c r="AB218" t="inlineStr"/>
      <c r="AC218" t="inlineStr">
        <is>
          <t>aa</t>
        </is>
      </c>
      <c r="AD218" t="inlineStr">
        <is>
          <t>Wikipedia 'ZU-23-2': 2 x 800-1,000 rpm</t>
        </is>
      </c>
      <c r="AE218" t="inlineStr"/>
      <c r="AF218" t="inlineStr">
        <is>
          <t>Tools/balance/full_weapon_audit.py: REAL / WARHEAD; balance.json weapons[id=p26_bastion_tiny_zu23].real</t>
        </is>
      </c>
      <c r="AG218" t="inlineStr"/>
    </row>
    <row r="219">
      <c r="A219" t="inlineStr">
        <is>
          <t>p26_behemoth_be120</t>
        </is>
      </c>
      <c r="B219" t="inlineStr">
        <is>
          <t>p26_behemoth_be120</t>
        </is>
      </c>
      <c r="C219" t="inlineStr">
        <is>
          <t>Rh-120 L/44 120 mm</t>
        </is>
      </c>
      <c r="D219" t="inlineStr">
        <is>
          <t>doi_that</t>
        </is>
      </c>
      <c r="E219" t="inlineStr">
        <is>
          <t>Rh-120 L/44 120 mm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nhịp chậm hơn 30 % và mạnh hơn tương ứng (luật súng của game)</t>
        </is>
      </c>
      <c r="M219" t="inlineStr">
        <is>
          <t>gameplay</t>
        </is>
      </c>
      <c r="N219" t="inlineStr"/>
      <c r="O219" t="inlineStr">
        <is>
          <t>da_kiem_chung</t>
        </is>
      </c>
      <c r="P219" t="inlineStr">
        <is>
          <t>R_balance;R_full_weapon_audit;W_wikipedia_rheinmetall_120_mm_gun;R_machine_brigade_can_bang</t>
        </is>
      </c>
      <c r="Q219" t="inlineStr"/>
      <c r="R2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9" t="n">
        <v>120</v>
      </c>
      <c r="T219" t="inlineStr">
        <is>
          <t>NEED_SOURCE</t>
        </is>
      </c>
      <c r="U219" t="inlineStr">
        <is>
          <t>NEED_SOURCE</t>
        </is>
      </c>
      <c r="V219" t="inlineStr">
        <is>
          <t>NEED_SOURCE</t>
        </is>
      </c>
      <c r="W219" t="inlineStr">
        <is>
          <t>NEED_SOURCE</t>
        </is>
      </c>
      <c r="X219" t="n">
        <v>8</v>
      </c>
      <c r="Y219" t="n">
        <v>6</v>
      </c>
      <c r="Z219" t="inlineStr">
        <is>
          <t>tay</t>
        </is>
      </c>
      <c r="AA219" t="inlineStr">
        <is>
          <t>NEED_SOURCE</t>
        </is>
      </c>
      <c r="AB219" t="inlineStr"/>
      <c r="AC219" t="inlineStr">
        <is>
          <t>gun</t>
        </is>
      </c>
      <c r="AD219" t="inlineStr">
        <is>
          <t>the sheet's 'Ngoài đời': Rh-120 6-8 rpm with a loader (Wikipedia 'Rheinmetall 120 mm gun')</t>
        </is>
      </c>
      <c r="AE219" t="inlineStr"/>
      <c r="AF219" t="inlineStr">
        <is>
          <t>Tools/balance/full_weapon_audit.py: REAL / WARHEAD; balance.json weapons[id=p26_behemoth_be120].real</t>
        </is>
      </c>
      <c r="AG219" t="inlineStr"/>
    </row>
    <row r="220">
      <c r="A220" t="inlineStr">
        <is>
          <t>p26_behemoth_be152</t>
        </is>
      </c>
      <c r="B220" t="inlineStr">
        <is>
          <t>p26_behemoth_be152</t>
        </is>
      </c>
      <c r="C220" t="inlineStr">
        <is>
          <t>2A65 152 mm</t>
        </is>
      </c>
      <c r="D220" t="inlineStr">
        <is>
          <t>doi_that</t>
        </is>
      </c>
      <c r="E220" t="inlineStr">
        <is>
          <t>2A65 152 mm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nhịp chậm hơn 30 % và mạnh hơn tương ứng (luật súng của game)</t>
        </is>
      </c>
      <c r="M220" t="inlineStr">
        <is>
          <t>gameplay</t>
        </is>
      </c>
      <c r="N220" t="inlineStr"/>
      <c r="O220" t="inlineStr">
        <is>
          <t>da_kiem_chung</t>
        </is>
      </c>
      <c r="P220" t="inlineStr">
        <is>
          <t>R_balance;R_full_weapon_audit;W_wikipedia_2a65_msta_b</t>
        </is>
      </c>
      <c r="Q220" t="inlineStr"/>
      <c r="R2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0" t="n">
        <v>152</v>
      </c>
      <c r="T220" t="inlineStr">
        <is>
          <t>NEED_SOURCE</t>
        </is>
      </c>
      <c r="U220" t="inlineStr">
        <is>
          <t>NEED_SOURCE</t>
        </is>
      </c>
      <c r="V220" t="inlineStr">
        <is>
          <t>NEED_SOURCE</t>
        </is>
      </c>
      <c r="W220" t="inlineStr">
        <is>
          <t>NEED_SOURCE</t>
        </is>
      </c>
      <c r="X220" t="n">
        <v>8</v>
      </c>
      <c r="Y220" t="n">
        <v>6</v>
      </c>
      <c r="Z220" t="inlineStr">
        <is>
          <t>NEED_SOURCE</t>
        </is>
      </c>
      <c r="AA220" t="inlineStr">
        <is>
          <t>NEED_SOURCE</t>
        </is>
      </c>
      <c r="AB220" t="inlineStr"/>
      <c r="AC220" t="inlineStr">
        <is>
          <t>gun</t>
        </is>
      </c>
      <c r="AD220" t="inlineStr">
        <is>
          <t>Wikipedia '2A65 Msta-B': 7-8 rpm</t>
        </is>
      </c>
      <c r="AE220" t="inlineStr"/>
      <c r="AF220" t="inlineStr">
        <is>
          <t>Tools/balance/full_weapon_audit.py: REAL / WARHEAD; balance.json weapons[id=p26_behemoth_be152].real</t>
        </is>
      </c>
      <c r="AG220" t="inlineStr"/>
    </row>
    <row r="221">
      <c r="A221" t="inlineStr">
        <is>
          <t>p26_behemoth_be_rockets</t>
        </is>
      </c>
      <c r="B221" t="inlineStr">
        <is>
          <t>p26_behemoth_be_rockets</t>
        </is>
      </c>
      <c r="C221" t="inlineStr">
        <is>
          <t>BM-21 Grad 122 mm (dorsal)</t>
        </is>
      </c>
      <c r="D221" t="inlineStr">
        <is>
          <t>doi_that</t>
        </is>
      </c>
      <c r="E221" t="inlineStr">
        <is>
          <t>BM-21 Grad 122 mm (dorsal)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da_kiem_chung</t>
        </is>
      </c>
      <c r="P221" t="inlineStr">
        <is>
          <t>R_balance;R_full_weapon_audit;W_wikipedia_bm_21_grad</t>
        </is>
      </c>
      <c r="Q221" t="inlineStr"/>
      <c r="R2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1" t="n">
        <v>122</v>
      </c>
      <c r="T221" t="inlineStr">
        <is>
          <t>NEED_SOURCE</t>
        </is>
      </c>
      <c r="U221" t="inlineStr">
        <is>
          <t>NEED_SOURCE</t>
        </is>
      </c>
      <c r="V221" t="inlineStr">
        <is>
          <t>NEED_SOURCE</t>
        </is>
      </c>
      <c r="W221" t="inlineStr">
        <is>
          <t>NEED_SOURCE</t>
        </is>
      </c>
      <c r="X221" t="n">
        <v>120</v>
      </c>
      <c r="Y221" t="inlineStr">
        <is>
          <t>NEED_SOURCE</t>
        </is>
      </c>
      <c r="Z221" t="inlineStr">
        <is>
          <t>NEED_SOURCE</t>
        </is>
      </c>
      <c r="AA221" t="inlineStr">
        <is>
          <t>NEED_SOURCE</t>
        </is>
      </c>
      <c r="AB221" t="inlineStr"/>
      <c r="AC221" t="inlineStr">
        <is>
          <t>rocket</t>
        </is>
      </c>
      <c r="AD221" t="inlineStr">
        <is>
          <t>Wikipedia 'BM-21 Grad': 40 rockets in 20 s</t>
        </is>
      </c>
      <c r="AE221" t="inlineStr"/>
      <c r="AF221" t="inlineStr">
        <is>
          <t>Tools/balance/full_weapon_audit.py: REAL / WARHEAD; balance.json weapons[id=p26_behemoth_be_rockets].real</t>
        </is>
      </c>
      <c r="AG221" t="inlineStr"/>
    </row>
    <row r="222">
      <c r="A222" t="inlineStr">
        <is>
          <t>p26_behemoth_close_boss_flak</t>
        </is>
      </c>
      <c r="B222" t="inlineStr">
        <is>
          <t>p26_behemoth_close_boss_flak</t>
        </is>
      </c>
      <c r="C222" t="inlineStr">
        <is>
          <t>Oerlikon 35 mm (twin)</t>
        </is>
      </c>
      <c r="D222" t="inlineStr">
        <is>
          <t>doi_that</t>
        </is>
      </c>
      <c r="E222" t="inlineStr">
        <is>
          <t>Oerlikon 35 mm (twin)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da_kiem_chung</t>
        </is>
      </c>
      <c r="P222" t="inlineStr">
        <is>
          <t>R_balance;R_full_weapon_audit;W_wikipedia_oerlikon_gdf</t>
        </is>
      </c>
      <c r="Q222" t="inlineStr"/>
      <c r="R2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2" t="n">
        <v>35</v>
      </c>
      <c r="T222" t="inlineStr">
        <is>
          <t>NEED_SOURCE</t>
        </is>
      </c>
      <c r="U222" t="inlineStr">
        <is>
          <t>NEED_SOURCE</t>
        </is>
      </c>
      <c r="V222" t="inlineStr">
        <is>
          <t>NEED_SOURCE</t>
        </is>
      </c>
      <c r="W222" t="inlineStr">
        <is>
          <t>NEED_SOURCE</t>
        </is>
      </c>
      <c r="X222" t="n">
        <v>550</v>
      </c>
      <c r="Y222" t="n">
        <v>300</v>
      </c>
      <c r="Z222" t="inlineStr">
        <is>
          <t>NEED_SOURCE</t>
        </is>
      </c>
      <c r="AA222" t="inlineStr">
        <is>
          <t>NEED_SOURCE</t>
        </is>
      </c>
      <c r="AB222" t="inlineStr"/>
      <c r="AC222" t="inlineStr">
        <is>
          <t>aa</t>
        </is>
      </c>
      <c r="AD222" t="inlineStr">
        <is>
          <t>Wikipedia 'Oerlikon GDF': 550 rpm a gun (the twin: 1,100)</t>
        </is>
      </c>
      <c r="AE222" t="inlineStr"/>
      <c r="AF222" t="inlineStr">
        <is>
          <t>Tools/balance/full_weapon_audit.py: REAL / WARHEAD; balance.json weapons[id=p26_behemoth_close_boss_flak].real</t>
        </is>
      </c>
      <c r="AG222" t="inlineStr"/>
    </row>
    <row r="223">
      <c r="A223" t="inlineStr">
        <is>
          <t>p26_behemoth_direct_be120</t>
        </is>
      </c>
      <c r="B223" t="inlineStr">
        <is>
          <t>p26_behemoth_direct_be120</t>
        </is>
      </c>
      <c r="C223" t="inlineStr">
        <is>
          <t>Rh-120 L/44 120 mm (twin)</t>
        </is>
      </c>
      <c r="D223" t="inlineStr">
        <is>
          <t>doi_that</t>
        </is>
      </c>
      <c r="E223" t="inlineStr">
        <is>
          <t>Rh-120 L/44 120 mm (twin)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nhịp chậm hơn 30 % và mạnh hơn tương ứng (luật súng của game)</t>
        </is>
      </c>
      <c r="M223" t="inlineStr">
        <is>
          <t>gameplay</t>
        </is>
      </c>
      <c r="N223" t="inlineStr"/>
      <c r="O223" t="inlineStr">
        <is>
          <t>da_kiem_chung</t>
        </is>
      </c>
      <c r="P223" t="inlineStr">
        <is>
          <t>R_balance;R_full_weapon_audit;W_wikipedia_rheinmetall_120_mm_gun;R_machine_brigade_can_bang</t>
        </is>
      </c>
      <c r="Q223" t="inlineStr"/>
      <c r="R2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3" t="n">
        <v>120</v>
      </c>
      <c r="T223" t="inlineStr">
        <is>
          <t>NEED_SOURCE</t>
        </is>
      </c>
      <c r="U223" t="inlineStr">
        <is>
          <t>NEED_SOURCE</t>
        </is>
      </c>
      <c r="V223" t="inlineStr">
        <is>
          <t>NEED_SOURCE</t>
        </is>
      </c>
      <c r="W223" t="inlineStr">
        <is>
          <t>NEED_SOURCE</t>
        </is>
      </c>
      <c r="X223" t="n">
        <v>8</v>
      </c>
      <c r="Y223" t="n">
        <v>6</v>
      </c>
      <c r="Z223" t="inlineStr">
        <is>
          <t>tay</t>
        </is>
      </c>
      <c r="AA223" t="inlineStr">
        <is>
          <t>NEED_SOURCE</t>
        </is>
      </c>
      <c r="AB223" t="inlineStr"/>
      <c r="AC223" t="inlineStr">
        <is>
          <t>gun</t>
        </is>
      </c>
      <c r="AD223" t="inlineStr">
        <is>
          <t>the sheet's 'Ngoài đời': Rh-120 6-8 rpm with a loader (Wikipedia 'Rheinmetall 120 mm gun')</t>
        </is>
      </c>
      <c r="AE223" t="inlineStr"/>
      <c r="AF223" t="inlineStr">
        <is>
          <t>Tools/balance/full_weapon_audit.py: REAL / WARHEAD; balance.json weapons[id=p26_behemoth_direct_be120].real</t>
        </is>
      </c>
      <c r="AG223" t="inlineStr"/>
    </row>
    <row r="224">
      <c r="A224" t="inlineStr">
        <is>
          <t>p26_behemoth_main_be152</t>
        </is>
      </c>
      <c r="B224" t="inlineStr">
        <is>
          <t>p26_behemoth_main_be152</t>
        </is>
      </c>
      <c r="C224" t="inlineStr">
        <is>
          <t>2A65 152 mm</t>
        </is>
      </c>
      <c r="D224" t="inlineStr">
        <is>
          <t>doi_that</t>
        </is>
      </c>
      <c r="E224" t="inlineStr">
        <is>
          <t>2A65 152 mm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nhịp chậm hơn 30 % và mạnh hơn tương ứng (luật súng của game)</t>
        </is>
      </c>
      <c r="M224" t="inlineStr">
        <is>
          <t>gameplay</t>
        </is>
      </c>
      <c r="N224" t="inlineStr"/>
      <c r="O224" t="inlineStr">
        <is>
          <t>da_kiem_chung</t>
        </is>
      </c>
      <c r="P224" t="inlineStr">
        <is>
          <t>R_balance;R_full_weapon_audit;W_wikipedia_2a65_msta_b</t>
        </is>
      </c>
      <c r="Q224" t="inlineStr"/>
      <c r="R2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4" t="n">
        <v>152</v>
      </c>
      <c r="T224" t="inlineStr">
        <is>
          <t>NEED_SOURCE</t>
        </is>
      </c>
      <c r="U224" t="inlineStr">
        <is>
          <t>NEED_SOURCE</t>
        </is>
      </c>
      <c r="V224" t="inlineStr">
        <is>
          <t>NEED_SOURCE</t>
        </is>
      </c>
      <c r="W224" t="inlineStr">
        <is>
          <t>NEED_SOURCE</t>
        </is>
      </c>
      <c r="X224" t="n">
        <v>8</v>
      </c>
      <c r="Y224" t="n">
        <v>6</v>
      </c>
      <c r="Z224" t="inlineStr">
        <is>
          <t>NEED_SOURCE</t>
        </is>
      </c>
      <c r="AA224" t="inlineStr">
        <is>
          <t>NEED_SOURCE</t>
        </is>
      </c>
      <c r="AB224" t="inlineStr"/>
      <c r="AC224" t="inlineStr">
        <is>
          <t>gun</t>
        </is>
      </c>
      <c r="AD224" t="inlineStr">
        <is>
          <t>Wikipedia '2A65 Msta-B': 7-8 rpm</t>
        </is>
      </c>
      <c r="AE224" t="inlineStr"/>
      <c r="AF224" t="inlineStr">
        <is>
          <t>Tools/balance/full_weapon_audit.py: REAL / WARHEAD; balance.json weapons[id=p26_behemoth_main_be152].real</t>
        </is>
      </c>
      <c r="AG224" t="inlineStr"/>
    </row>
    <row r="225">
      <c r="A225" t="inlineStr">
        <is>
          <t>p26_behemoth_sec_be_rockets</t>
        </is>
      </c>
      <c r="B225" t="inlineStr">
        <is>
          <t>p26_behemoth_sec_be_rockets</t>
        </is>
      </c>
      <c r="C225" t="inlineStr">
        <is>
          <t>BM-21 Grad 122 mm (dorsal)</t>
        </is>
      </c>
      <c r="D225" t="inlineStr">
        <is>
          <t>doi_that</t>
        </is>
      </c>
      <c r="E225" t="inlineStr">
        <is>
          <t>BM-21 Grad 122 mm (dorsal)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da_kiem_chung</t>
        </is>
      </c>
      <c r="P225" t="inlineStr">
        <is>
          <t>R_balance;R_full_weapon_audit;W_wikipedia_bm_21_grad</t>
        </is>
      </c>
      <c r="Q225" t="inlineStr"/>
      <c r="R2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5" t="n">
        <v>122</v>
      </c>
      <c r="T225" t="inlineStr">
        <is>
          <t>NEED_SOURCE</t>
        </is>
      </c>
      <c r="U225" t="inlineStr">
        <is>
          <t>NEED_SOURCE</t>
        </is>
      </c>
      <c r="V225" t="inlineStr">
        <is>
          <t>NEED_SOURCE</t>
        </is>
      </c>
      <c r="W225" t="inlineStr">
        <is>
          <t>NEED_SOURCE</t>
        </is>
      </c>
      <c r="X225" t="n">
        <v>120</v>
      </c>
      <c r="Y225" t="inlineStr">
        <is>
          <t>NEED_SOURCE</t>
        </is>
      </c>
      <c r="Z225" t="inlineStr">
        <is>
          <t>NEED_SOURCE</t>
        </is>
      </c>
      <c r="AA225" t="inlineStr">
        <is>
          <t>NEED_SOURCE</t>
        </is>
      </c>
      <c r="AB225" t="inlineStr"/>
      <c r="AC225" t="inlineStr">
        <is>
          <t>rocket</t>
        </is>
      </c>
      <c r="AD225" t="inlineStr">
        <is>
          <t>Wikipedia 'BM-21 Grad': 40 rockets in 20 s</t>
        </is>
      </c>
      <c r="AE225" t="inlineStr"/>
      <c r="AF225" t="inlineStr">
        <is>
          <t>Tools/balance/full_weapon_audit.py: REAL / WARHEAD; balance.json weapons[id=p26_behemoth_sec_be_rockets].real</t>
        </is>
      </c>
      <c r="AG225" t="inlineStr"/>
    </row>
    <row r="226">
      <c r="A226" t="inlineStr">
        <is>
          <t>p26_behemoth_tiny_be120</t>
        </is>
      </c>
      <c r="B226" t="inlineStr">
        <is>
          <t>p26_behemoth_tiny_be120</t>
        </is>
      </c>
      <c r="C226" t="inlineStr">
        <is>
          <t>Rh-120 L/44 120 mm</t>
        </is>
      </c>
      <c r="D226" t="inlineStr">
        <is>
          <t>doi_that</t>
        </is>
      </c>
      <c r="E226" t="inlineStr">
        <is>
          <t>Rh-120 L/44 120 mm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nhịp chậm hơn 30 % và mạnh hơn tương ứng (luật súng của game)</t>
        </is>
      </c>
      <c r="M226" t="inlineStr">
        <is>
          <t>gameplay</t>
        </is>
      </c>
      <c r="N226" t="inlineStr"/>
      <c r="O226" t="inlineStr">
        <is>
          <t>da_kiem_chung</t>
        </is>
      </c>
      <c r="P226" t="inlineStr">
        <is>
          <t>R_balance;R_full_weapon_audit;W_wikipedia_rheinmetall_120_mm_gun;R_machine_brigade_can_bang</t>
        </is>
      </c>
      <c r="Q226" t="inlineStr"/>
      <c r="R2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6" t="n">
        <v>120</v>
      </c>
      <c r="T226" t="inlineStr">
        <is>
          <t>NEED_SOURCE</t>
        </is>
      </c>
      <c r="U226" t="inlineStr">
        <is>
          <t>NEED_SOURCE</t>
        </is>
      </c>
      <c r="V226" t="inlineStr">
        <is>
          <t>NEED_SOURCE</t>
        </is>
      </c>
      <c r="W226" t="inlineStr">
        <is>
          <t>NEED_SOURCE</t>
        </is>
      </c>
      <c r="X226" t="n">
        <v>8</v>
      </c>
      <c r="Y226" t="n">
        <v>6</v>
      </c>
      <c r="Z226" t="inlineStr">
        <is>
          <t>tay</t>
        </is>
      </c>
      <c r="AA226" t="inlineStr">
        <is>
          <t>NEED_SOURCE</t>
        </is>
      </c>
      <c r="AB226" t="inlineStr"/>
      <c r="AC226" t="inlineStr">
        <is>
          <t>gun</t>
        </is>
      </c>
      <c r="AD226" t="inlineStr">
        <is>
          <t>the sheet's 'Ngoài đời': Rh-120 6-8 rpm with a loader (Wikipedia 'Rheinmetall 120 mm gun')</t>
        </is>
      </c>
      <c r="AE226" t="inlineStr"/>
      <c r="AF226" t="inlineStr">
        <is>
          <t>Tools/balance/full_weapon_audit.py: REAL / WARHEAD; balance.json weapons[id=p26_behemoth_tiny_be120].real</t>
        </is>
      </c>
      <c r="AG226" t="inlineStr"/>
    </row>
    <row r="227">
      <c r="A227" t="inlineStr">
        <is>
          <t>p26_behemoth_tiny_boss_missiles</t>
        </is>
      </c>
      <c r="B227" t="inlineStr">
        <is>
          <t>p26_behemoth_tiny_boss_missiles</t>
        </is>
      </c>
      <c r="C227" t="inlineStr">
        <is>
          <t>9M133 Kornet</t>
        </is>
      </c>
      <c r="D227" t="inlineStr">
        <is>
          <t>doi_that</t>
        </is>
      </c>
      <c r="E227" t="inlineStr">
        <is>
          <t>9M133 Kornet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da_kiem_chung</t>
        </is>
      </c>
      <c r="P227" t="inlineStr">
        <is>
          <t>R_balance;R_full_weapon_audit;W_wikipedia_9m133_kornet;W_wikipedia_bai_cua_tung_ten_lua_bang_warhead</t>
        </is>
      </c>
      <c r="Q227" t="inlineStr"/>
      <c r="R2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7" t="inlineStr">
        <is>
          <t>NEED_SOURCE</t>
        </is>
      </c>
      <c r="T227" t="inlineStr">
        <is>
          <t>NEED_SOURCE</t>
        </is>
      </c>
      <c r="U227" t="inlineStr">
        <is>
          <t>NEED_SOURCE</t>
        </is>
      </c>
      <c r="V227" t="inlineStr">
        <is>
          <t>NEED_SOURCE</t>
        </is>
      </c>
      <c r="W227" t="inlineStr">
        <is>
          <t>NEED_SOURCE</t>
        </is>
      </c>
      <c r="X227" t="n">
        <v>3</v>
      </c>
      <c r="Y227" t="n">
        <v>3</v>
      </c>
      <c r="Z227" t="inlineStr">
        <is>
          <t>NEED_SOURCE</t>
        </is>
      </c>
      <c r="AA227" t="inlineStr">
        <is>
          <t>NEED_SOURCE</t>
        </is>
      </c>
      <c r="AB227" t="n">
        <v>7</v>
      </c>
      <c r="AC227" t="inlineStr">
        <is>
          <t>atgm</t>
        </is>
      </c>
      <c r="AD227" t="inlineStr">
        <is>
          <t>Wikipedia '9M133 Kornet': 2-3 rpm</t>
        </is>
      </c>
      <c r="AE227" t="inlineStr"/>
      <c r="AF227" t="inlineStr">
        <is>
          <t>Tools/balance/full_weapon_audit.py: REAL / WARHEAD; balance.json weapons[id=p26_behemoth_tiny_boss_missiles].real</t>
        </is>
      </c>
      <c r="AG227" t="inlineStr"/>
    </row>
    <row r="228">
      <c r="A228" t="inlineStr">
        <is>
          <t>p26_behemoth_tiny_kornet_twin</t>
        </is>
      </c>
      <c r="B228" t="inlineStr">
        <is>
          <t>p26_behemoth_tiny_kornet_twin</t>
        </is>
      </c>
      <c r="C228" t="inlineStr">
        <is>
          <t>Rh-120 L/44 120 mm (side gun)</t>
        </is>
      </c>
      <c r="D228" t="inlineStr">
        <is>
          <t>doi_that</t>
        </is>
      </c>
      <c r="E228" t="inlineStr">
        <is>
          <t>Rh-120 L/44 120 mm (side gun)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nhịp chậm hơn 30 % và mạnh hơn tương ứng (luật súng của game)</t>
        </is>
      </c>
      <c r="M228" t="inlineStr">
        <is>
          <t>gameplay</t>
        </is>
      </c>
      <c r="N228" t="inlineStr"/>
      <c r="O228" t="inlineStr">
        <is>
          <t>da_kiem_chung</t>
        </is>
      </c>
      <c r="P228" t="inlineStr">
        <is>
          <t>R_balance;R_full_weapon_audit;W_wikipedia_rheinmetall_120_mm_gun;R_machine_brigade_can_bang</t>
        </is>
      </c>
      <c r="Q228" t="inlineStr"/>
      <c r="R2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8" t="n">
        <v>120</v>
      </c>
      <c r="T228" t="inlineStr">
        <is>
          <t>NEED_SOURCE</t>
        </is>
      </c>
      <c r="U228" t="inlineStr">
        <is>
          <t>NEED_SOURCE</t>
        </is>
      </c>
      <c r="V228" t="inlineStr">
        <is>
          <t>NEED_SOURCE</t>
        </is>
      </c>
      <c r="W228" t="inlineStr">
        <is>
          <t>NEED_SOURCE</t>
        </is>
      </c>
      <c r="X228" t="n">
        <v>8</v>
      </c>
      <c r="Y228" t="n">
        <v>6</v>
      </c>
      <c r="Z228" t="inlineStr">
        <is>
          <t>tay</t>
        </is>
      </c>
      <c r="AA228" t="inlineStr">
        <is>
          <t>NEED_SOURCE</t>
        </is>
      </c>
      <c r="AB228" t="inlineStr"/>
      <c r="AC228" t="inlineStr">
        <is>
          <t>gun</t>
        </is>
      </c>
      <c r="AD228" t="inlineStr">
        <is>
          <t>the sheet's 'Ngoài đời': Rh-120 6-8 rpm with a loader (Wikipedia 'Rheinmetall 120 mm gun')</t>
        </is>
      </c>
      <c r="AE228" t="inlineStr"/>
      <c r="AF228" t="inlineStr">
        <is>
          <t>Tools/balance/full_weapon_audit.py: REAL / WARHEAD; balance.json weapons[id=p26_behemoth_tiny_kornet_twin].real</t>
        </is>
      </c>
      <c r="AG228" t="inlineStr"/>
    </row>
    <row r="229">
      <c r="A229" t="inlineStr">
        <is>
          <t>p26_daedalus_dae57</t>
        </is>
      </c>
      <c r="B229" t="inlineStr">
        <is>
          <t>p26_daedalus_dae57</t>
        </is>
      </c>
      <c r="C229" t="inlineStr">
        <is>
          <t>AU-220 57 mm (belly)</t>
        </is>
      </c>
      <c r="D229" t="inlineStr">
        <is>
          <t>doi_that</t>
        </is>
      </c>
      <c r="E229" t="inlineStr">
        <is>
          <t>AU-220 57 mm (belly)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da_kiem_chung</t>
        </is>
      </c>
      <c r="P229" t="inlineStr">
        <is>
          <t>R_balance;R_full_weapon_audit;W_wikipedia_au_220m</t>
        </is>
      </c>
      <c r="Q229" t="inlineStr"/>
      <c r="R2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9" t="n">
        <v>57</v>
      </c>
      <c r="T229" t="inlineStr">
        <is>
          <t>NEED_SOURCE</t>
        </is>
      </c>
      <c r="U229" t="inlineStr">
        <is>
          <t>NEED_SOURCE</t>
        </is>
      </c>
      <c r="V229" t="inlineStr">
        <is>
          <t>NEED_SOURCE</t>
        </is>
      </c>
      <c r="W229" t="inlineStr">
        <is>
          <t>NEED_SOURCE</t>
        </is>
      </c>
      <c r="X229" t="n">
        <v>120</v>
      </c>
      <c r="Y229" t="n">
        <v>80</v>
      </c>
      <c r="Z229" t="inlineStr">
        <is>
          <t>NEED_SOURCE</t>
        </is>
      </c>
      <c r="AA229" t="inlineStr">
        <is>
          <t>NEED_SOURCE</t>
        </is>
      </c>
      <c r="AB229" t="inlineStr"/>
      <c r="AC229" t="inlineStr">
        <is>
          <t>ac</t>
        </is>
      </c>
      <c r="AD229" t="inlineStr">
        <is>
          <t>Wikipedia 'AU-220M': 80-120 rpm</t>
        </is>
      </c>
      <c r="AE229" t="inlineStr"/>
      <c r="AF229" t="inlineStr">
        <is>
          <t>Tools/balance/full_weapon_audit.py: REAL / WARHEAD; balance.json weapons[id=p26_daedalus_dae57].real</t>
        </is>
      </c>
      <c r="AG229" t="inlineStr"/>
    </row>
    <row r="230">
      <c r="A230" t="inlineStr">
        <is>
          <t>p26_daedalus_dae_laser</t>
        </is>
      </c>
      <c r="B230" t="inlineStr">
        <is>
          <t>p26_daedalus_dae_laser</t>
        </is>
      </c>
      <c r="C230" t="inlineStr">
        <is>
          <t>targeting laser (300 kW)</t>
        </is>
      </c>
      <c r="D230" t="inlineStr">
        <is>
          <t>doi_that</t>
        </is>
      </c>
      <c r="E230" t="inlineStr">
        <is>
          <t>targeting laser (300 kW)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ban_dau_doan</t>
        </is>
      </c>
      <c r="P230" t="inlineStr">
        <is>
          <t>R_balance</t>
        </is>
      </c>
      <c r="Q230" t="inlineStr"/>
      <c r="R2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0" t="inlineStr">
        <is>
          <t>NEED_SOURCE</t>
        </is>
      </c>
      <c r="T230" t="inlineStr">
        <is>
          <t>NEED_SOURCE</t>
        </is>
      </c>
      <c r="U230" t="inlineStr">
        <is>
          <t>NEED_SOURCE</t>
        </is>
      </c>
      <c r="V230" t="inlineStr">
        <is>
          <t>NEED_SOURCE</t>
        </is>
      </c>
      <c r="W230" t="inlineStr">
        <is>
          <t>NEED_SOURCE</t>
        </is>
      </c>
      <c r="X230" t="inlineStr">
        <is>
          <t>NEED_SOURCE</t>
        </is>
      </c>
      <c r="Y230" t="inlineStr">
        <is>
          <t>NEED_SOURCE</t>
        </is>
      </c>
      <c r="Z230" t="inlineStr">
        <is>
          <t>NEED_SOURCE</t>
        </is>
      </c>
      <c r="AA230" t="inlineStr">
        <is>
          <t>NEED_SOURCE</t>
        </is>
      </c>
      <c r="AB230" t="inlineStr"/>
      <c r="AC230" t="inlineStr"/>
      <c r="AD230" t="inlineStr"/>
      <c r="AE230" t="inlineStr"/>
      <c r="AF230" t="inlineStr">
        <is>
          <t>Tools/balance/full_weapon_audit.py: REAL / WARHEAD; balance.json weapons[id=p26_daedalus_dae_laser].real</t>
        </is>
      </c>
      <c r="AG230" t="inlineStr"/>
    </row>
    <row r="231">
      <c r="A231" t="inlineStr">
        <is>
          <t>p26_daedalus_direct_dae_laser</t>
        </is>
      </c>
      <c r="B231" t="inlineStr">
        <is>
          <t>p26_daedalus_direct_dae_laser</t>
        </is>
      </c>
      <c r="C231" t="inlineStr">
        <is>
          <t>targeting laser (300 kW)</t>
        </is>
      </c>
      <c r="D231" t="inlineStr">
        <is>
          <t>doi_that</t>
        </is>
      </c>
      <c r="E231" t="inlineStr">
        <is>
          <t>targeting laser (300 kW)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ban_dau_doan</t>
        </is>
      </c>
      <c r="P231" t="inlineStr">
        <is>
          <t>R_balance</t>
        </is>
      </c>
      <c r="Q231" t="inlineStr"/>
      <c r="R2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1" t="inlineStr">
        <is>
          <t>NEED_SOURCE</t>
        </is>
      </c>
      <c r="T231" t="inlineStr">
        <is>
          <t>NEED_SOURCE</t>
        </is>
      </c>
      <c r="U231" t="inlineStr">
        <is>
          <t>NEED_SOURCE</t>
        </is>
      </c>
      <c r="V231" t="inlineStr">
        <is>
          <t>NEED_SOURCE</t>
        </is>
      </c>
      <c r="W231" t="inlineStr">
        <is>
          <t>NEED_SOURCE</t>
        </is>
      </c>
      <c r="X231" t="inlineStr">
        <is>
          <t>NEED_SOURCE</t>
        </is>
      </c>
      <c r="Y231" t="inlineStr">
        <is>
          <t>NEED_SOURCE</t>
        </is>
      </c>
      <c r="Z231" t="inlineStr">
        <is>
          <t>NEED_SOURCE</t>
        </is>
      </c>
      <c r="AA231" t="inlineStr">
        <is>
          <t>NEED_SOURCE</t>
        </is>
      </c>
      <c r="AB231" t="inlineStr"/>
      <c r="AC231" t="inlineStr"/>
      <c r="AD231" t="inlineStr"/>
      <c r="AE231" t="inlineStr"/>
      <c r="AF231" t="inlineStr">
        <is>
          <t>Tools/balance/full_weapon_audit.py: REAL / WARHEAD; balance.json weapons[id=p26_daedalus_direct_dae_laser].real</t>
        </is>
      </c>
      <c r="AG231" t="inlineStr"/>
    </row>
    <row r="232">
      <c r="A232" t="inlineStr">
        <is>
          <t>p26_daedalus_sec_dae57</t>
        </is>
      </c>
      <c r="B232" t="inlineStr">
        <is>
          <t>p26_daedalus_sec_dae57</t>
        </is>
      </c>
      <c r="C232" t="inlineStr">
        <is>
          <t>AU-220 57 mm (twin belly mount)</t>
        </is>
      </c>
      <c r="D232" t="inlineStr">
        <is>
          <t>doi_that</t>
        </is>
      </c>
      <c r="E232" t="inlineStr">
        <is>
          <t>AU-220 57 mm (twin belly mount)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da_kiem_chung</t>
        </is>
      </c>
      <c r="P232" t="inlineStr">
        <is>
          <t>R_balance;R_full_weapon_audit;W_wikipedia_au_220m</t>
        </is>
      </c>
      <c r="Q232" t="inlineStr"/>
      <c r="R2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2" t="n">
        <v>57</v>
      </c>
      <c r="T232" t="inlineStr">
        <is>
          <t>NEED_SOURCE</t>
        </is>
      </c>
      <c r="U232" t="inlineStr">
        <is>
          <t>NEED_SOURCE</t>
        </is>
      </c>
      <c r="V232" t="inlineStr">
        <is>
          <t>NEED_SOURCE</t>
        </is>
      </c>
      <c r="W232" t="inlineStr">
        <is>
          <t>NEED_SOURCE</t>
        </is>
      </c>
      <c r="X232" t="n">
        <v>120</v>
      </c>
      <c r="Y232" t="n">
        <v>80</v>
      </c>
      <c r="Z232" t="inlineStr">
        <is>
          <t>NEED_SOURCE</t>
        </is>
      </c>
      <c r="AA232" t="inlineStr">
        <is>
          <t>NEED_SOURCE</t>
        </is>
      </c>
      <c r="AB232" t="inlineStr"/>
      <c r="AC232" t="inlineStr">
        <is>
          <t>ac</t>
        </is>
      </c>
      <c r="AD232" t="inlineStr">
        <is>
          <t>Wikipedia 'AU-220M': 80-120 rpm</t>
        </is>
      </c>
      <c r="AE232" t="inlineStr"/>
      <c r="AF232" t="inlineStr">
        <is>
          <t>Tools/balance/full_weapon_audit.py: REAL / WARHEAD; balance.json weapons[id=p26_daedalus_sec_dae57].real</t>
        </is>
      </c>
      <c r="AG232" t="inlineStr"/>
    </row>
    <row r="233">
      <c r="A233" t="inlineStr">
        <is>
          <t>p26_icarus_close_autocannon_40</t>
        </is>
      </c>
      <c r="B233" t="inlineStr">
        <is>
          <t>p26_icarus_close_autocannon_40</t>
        </is>
      </c>
      <c r="C233" t="inlineStr">
        <is>
          <t>Bofors 40 mm</t>
        </is>
      </c>
      <c r="D233" t="inlineStr">
        <is>
          <t>doi_that</t>
        </is>
      </c>
      <c r="E233" t="inlineStr">
        <is>
          <t>Bofors 40 mm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da_kiem_chung</t>
        </is>
      </c>
      <c r="P233" t="inlineStr">
        <is>
          <t>R_balance;R_full_weapon_audit;W_wikipedia_bofors_40_mm_l_70</t>
        </is>
      </c>
      <c r="Q233" t="inlineStr"/>
      <c r="R23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3" t="n">
        <v>40</v>
      </c>
      <c r="T233" t="inlineStr">
        <is>
          <t>NEED_SOURCE</t>
        </is>
      </c>
      <c r="U233" t="inlineStr">
        <is>
          <t>NEED_SOURCE</t>
        </is>
      </c>
      <c r="V233" t="inlineStr">
        <is>
          <t>NEED_SOURCE</t>
        </is>
      </c>
      <c r="W233" t="inlineStr">
        <is>
          <t>NEED_SOURCE</t>
        </is>
      </c>
      <c r="X233" t="n">
        <v>330</v>
      </c>
      <c r="Y233" t="n">
        <v>120</v>
      </c>
      <c r="Z233" t="inlineStr">
        <is>
          <t>NEED_SOURCE</t>
        </is>
      </c>
      <c r="AA233" t="inlineStr">
        <is>
          <t>NEED_SOURCE</t>
        </is>
      </c>
      <c r="AB233" t="inlineStr"/>
      <c r="AC233" t="inlineStr">
        <is>
          <t>aa</t>
        </is>
      </c>
      <c r="AD233" t="inlineStr">
        <is>
          <t>Wikipedia 'Bofors 40 mm L/70': 240-330 rpm</t>
        </is>
      </c>
      <c r="AE233" t="inlineStr"/>
      <c r="AF233" t="inlineStr">
        <is>
          <t>Tools/balance/full_weapon_audit.py: REAL / WARHEAD; balance.json weapons[id=p26_icarus_close_autocannon_40].real</t>
        </is>
      </c>
      <c r="AG233" t="inlineStr"/>
    </row>
    <row r="234">
      <c r="A234" t="inlineStr">
        <is>
          <t>p26_icarus_direct_ic_laser</t>
        </is>
      </c>
      <c r="B234" t="inlineStr">
        <is>
          <t>p26_icarus_direct_ic_laser</t>
        </is>
      </c>
      <c r="C234" t="inlineStr">
        <is>
          <t>laser tower (300 kW)</t>
        </is>
      </c>
      <c r="D234" t="inlineStr">
        <is>
          <t>doi_that</t>
        </is>
      </c>
      <c r="E234" t="inlineStr">
        <is>
          <t>laser tower (300 kW)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ban_dau_doan</t>
        </is>
      </c>
      <c r="P234" t="inlineStr">
        <is>
          <t>R_balance</t>
        </is>
      </c>
      <c r="Q234" t="inlineStr"/>
      <c r="R23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4" t="inlineStr">
        <is>
          <t>NEED_SOURCE</t>
        </is>
      </c>
      <c r="T234" t="inlineStr">
        <is>
          <t>NEED_SOURCE</t>
        </is>
      </c>
      <c r="U234" t="inlineStr">
        <is>
          <t>NEED_SOURCE</t>
        </is>
      </c>
      <c r="V234" t="inlineStr">
        <is>
          <t>NEED_SOURCE</t>
        </is>
      </c>
      <c r="W234" t="inlineStr">
        <is>
          <t>NEED_SOURCE</t>
        </is>
      </c>
      <c r="X234" t="inlineStr">
        <is>
          <t>NEED_SOURCE</t>
        </is>
      </c>
      <c r="Y234" t="inlineStr">
        <is>
          <t>NEED_SOURCE</t>
        </is>
      </c>
      <c r="Z234" t="inlineStr">
        <is>
          <t>NEED_SOURCE</t>
        </is>
      </c>
      <c r="AA234" t="inlineStr">
        <is>
          <t>NEED_SOURCE</t>
        </is>
      </c>
      <c r="AB234" t="inlineStr"/>
      <c r="AC234" t="inlineStr"/>
      <c r="AD234" t="inlineStr"/>
      <c r="AE234" t="inlineStr"/>
      <c r="AF234" t="inlineStr">
        <is>
          <t>Tools/balance/full_weapon_audit.py: REAL / WARHEAD; balance.json weapons[id=p26_icarus_direct_ic_laser].real</t>
        </is>
      </c>
      <c r="AG234" t="inlineStr"/>
    </row>
    <row r="235">
      <c r="A235" t="inlineStr">
        <is>
          <t>p26_icarus_ic_coil</t>
        </is>
      </c>
      <c r="B235" t="inlineStr">
        <is>
          <t>p26_icarus_ic_coil</t>
        </is>
      </c>
      <c r="C235" t="inlineStr">
        <is>
          <t>coilgun (64 MJ)</t>
        </is>
      </c>
      <c r="D235" t="inlineStr">
        <is>
          <t>doi_that</t>
        </is>
      </c>
      <c r="E235" t="inlineStr">
        <is>
          <t>coilgun (64 MJ)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ban_dau_doan</t>
        </is>
      </c>
      <c r="P235" t="inlineStr">
        <is>
          <t>R_balance</t>
        </is>
      </c>
      <c r="Q235" t="inlineStr"/>
      <c r="R23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5" t="inlineStr">
        <is>
          <t>NEED_SOURCE</t>
        </is>
      </c>
      <c r="T235" t="inlineStr">
        <is>
          <t>NEED_SOURCE</t>
        </is>
      </c>
      <c r="U235" t="inlineStr">
        <is>
          <t>NEED_SOURCE</t>
        </is>
      </c>
      <c r="V235" t="inlineStr">
        <is>
          <t>NEED_SOURCE</t>
        </is>
      </c>
      <c r="W235" t="inlineStr">
        <is>
          <t>NEED_SOURCE</t>
        </is>
      </c>
      <c r="X235" t="inlineStr">
        <is>
          <t>NEED_SOURCE</t>
        </is>
      </c>
      <c r="Y235" t="inlineStr">
        <is>
          <t>NEED_SOURCE</t>
        </is>
      </c>
      <c r="Z235" t="inlineStr">
        <is>
          <t>NEED_SOURCE</t>
        </is>
      </c>
      <c r="AA235" t="inlineStr">
        <is>
          <t>NEED_SOURCE</t>
        </is>
      </c>
      <c r="AB235" t="inlineStr"/>
      <c r="AC235" t="inlineStr"/>
      <c r="AD235" t="inlineStr"/>
      <c r="AE235" t="inlineStr"/>
      <c r="AF235" t="inlineStr">
        <is>
          <t>Tools/balance/full_weapon_audit.py: REAL / WARHEAD; balance.json weapons[id=p26_icarus_ic_coil].real</t>
        </is>
      </c>
      <c r="AG235" t="inlineStr"/>
    </row>
    <row r="236">
      <c r="A236" t="inlineStr">
        <is>
          <t>p26_icarus_ic_laser</t>
        </is>
      </c>
      <c r="B236" t="inlineStr">
        <is>
          <t>p26_icarus_ic_laser</t>
        </is>
      </c>
      <c r="C236" t="inlineStr">
        <is>
          <t>laser tower (300 kW)</t>
        </is>
      </c>
      <c r="D236" t="inlineStr">
        <is>
          <t>doi_that</t>
        </is>
      </c>
      <c r="E236" t="inlineStr">
        <is>
          <t>laser tower (300 kW)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ban_dau_doan</t>
        </is>
      </c>
      <c r="P236" t="inlineStr">
        <is>
          <t>R_balance</t>
        </is>
      </c>
      <c r="Q236" t="inlineStr"/>
      <c r="R23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6" t="inlineStr">
        <is>
          <t>NEED_SOURCE</t>
        </is>
      </c>
      <c r="T236" t="inlineStr">
        <is>
          <t>NEED_SOURCE</t>
        </is>
      </c>
      <c r="U236" t="inlineStr">
        <is>
          <t>NEED_SOURCE</t>
        </is>
      </c>
      <c r="V236" t="inlineStr">
        <is>
          <t>NEED_SOURCE</t>
        </is>
      </c>
      <c r="W236" t="inlineStr">
        <is>
          <t>NEED_SOURCE</t>
        </is>
      </c>
      <c r="X236" t="inlineStr">
        <is>
          <t>NEED_SOURCE</t>
        </is>
      </c>
      <c r="Y236" t="inlineStr">
        <is>
          <t>NEED_SOURCE</t>
        </is>
      </c>
      <c r="Z236" t="inlineStr">
        <is>
          <t>NEED_SOURCE</t>
        </is>
      </c>
      <c r="AA236" t="inlineStr">
        <is>
          <t>NEED_SOURCE</t>
        </is>
      </c>
      <c r="AB236" t="inlineStr"/>
      <c r="AC236" t="inlineStr"/>
      <c r="AD236" t="inlineStr"/>
      <c r="AE236" t="inlineStr"/>
      <c r="AF236" t="inlineStr">
        <is>
          <t>Tools/balance/full_weapon_audit.py: REAL / WARHEAD; balance.json weapons[id=p26_icarus_ic_laser].real</t>
        </is>
      </c>
      <c r="AG236" t="inlineStr"/>
    </row>
    <row r="237">
      <c r="A237" t="inlineStr">
        <is>
          <t>p26_icarus_main_ic_coil</t>
        </is>
      </c>
      <c r="B237" t="inlineStr">
        <is>
          <t>p26_icarus_main_ic_coil</t>
        </is>
      </c>
      <c r="C237" t="inlineStr">
        <is>
          <t>heavy coilgun (64 MJ)</t>
        </is>
      </c>
      <c r="D237" t="inlineStr">
        <is>
          <t>doi_that</t>
        </is>
      </c>
      <c r="E237" t="inlineStr">
        <is>
          <t>heavy coilgun (64 MJ)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ban_dau_doan</t>
        </is>
      </c>
      <c r="P237" t="inlineStr">
        <is>
          <t>R_balance</t>
        </is>
      </c>
      <c r="Q237" t="inlineStr"/>
      <c r="R23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7" t="inlineStr">
        <is>
          <t>NEED_SOURCE</t>
        </is>
      </c>
      <c r="T237" t="inlineStr">
        <is>
          <t>NEED_SOURCE</t>
        </is>
      </c>
      <c r="U237" t="inlineStr">
        <is>
          <t>NEED_SOURCE</t>
        </is>
      </c>
      <c r="V237" t="inlineStr">
        <is>
          <t>NEED_SOURCE</t>
        </is>
      </c>
      <c r="W237" t="inlineStr">
        <is>
          <t>NEED_SOURCE</t>
        </is>
      </c>
      <c r="X237" t="inlineStr">
        <is>
          <t>NEED_SOURCE</t>
        </is>
      </c>
      <c r="Y237" t="inlineStr">
        <is>
          <t>NEED_SOURCE</t>
        </is>
      </c>
      <c r="Z237" t="inlineStr">
        <is>
          <t>NEED_SOURCE</t>
        </is>
      </c>
      <c r="AA237" t="inlineStr">
        <is>
          <t>NEED_SOURCE</t>
        </is>
      </c>
      <c r="AB237" t="inlineStr"/>
      <c r="AC237" t="inlineStr"/>
      <c r="AD237" t="inlineStr"/>
      <c r="AE237" t="inlineStr"/>
      <c r="AF237" t="inlineStr">
        <is>
          <t>Tools/balance/full_weapon_audit.py: REAL / WARHEAD; balance.json weapons[id=p26_icarus_main_ic_coil].real</t>
        </is>
      </c>
      <c r="AG237" t="inlineStr"/>
    </row>
    <row r="238">
      <c r="A238" t="inlineStr">
        <is>
          <t>p26_icarus_sec_orbital_laser</t>
        </is>
      </c>
      <c r="B238" t="inlineStr">
        <is>
          <t>p26_icarus_sec_orbital_laser</t>
        </is>
      </c>
      <c r="C238" t="inlineStr">
        <is>
          <t>laser (150 kW)</t>
        </is>
      </c>
      <c r="D238" t="inlineStr">
        <is>
          <t>doi_that</t>
        </is>
      </c>
      <c r="E238" t="inlineStr">
        <is>
          <t>laser (150 kW)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ban_dau_doan</t>
        </is>
      </c>
      <c r="P238" t="inlineStr">
        <is>
          <t>R_balance</t>
        </is>
      </c>
      <c r="Q238" t="inlineStr"/>
      <c r="R23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8" t="inlineStr">
        <is>
          <t>NEED_SOURCE</t>
        </is>
      </c>
      <c r="T238" t="inlineStr">
        <is>
          <t>NEED_SOURCE</t>
        </is>
      </c>
      <c r="U238" t="inlineStr">
        <is>
          <t>NEED_SOURCE</t>
        </is>
      </c>
      <c r="V238" t="inlineStr">
        <is>
          <t>NEED_SOURCE</t>
        </is>
      </c>
      <c r="W238" t="inlineStr">
        <is>
          <t>NEED_SOURCE</t>
        </is>
      </c>
      <c r="X238" t="inlineStr">
        <is>
          <t>NEED_SOURCE</t>
        </is>
      </c>
      <c r="Y238" t="inlineStr">
        <is>
          <t>NEED_SOURCE</t>
        </is>
      </c>
      <c r="Z238" t="inlineStr">
        <is>
          <t>NEED_SOURCE</t>
        </is>
      </c>
      <c r="AA238" t="inlineStr">
        <is>
          <t>NEED_SOURCE</t>
        </is>
      </c>
      <c r="AB238" t="inlineStr"/>
      <c r="AC238" t="inlineStr"/>
      <c r="AD238" t="inlineStr"/>
      <c r="AE238" t="inlineStr"/>
      <c r="AF238" t="inlineStr">
        <is>
          <t>Tools/balance/full_weapon_audit.py: REAL / WARHEAD; balance.json weapons[id=p26_icarus_sec_orbital_laser].real</t>
        </is>
      </c>
      <c r="AG238" t="inlineStr"/>
    </row>
    <row r="239">
      <c r="A239" t="inlineStr">
        <is>
          <t>p26_ixion_125</t>
        </is>
      </c>
      <c r="B239" t="inlineStr">
        <is>
          <t>p26_ixion_125</t>
        </is>
      </c>
      <c r="C239" t="inlineStr">
        <is>
          <t>2A46 125 mm (turret, AP)</t>
        </is>
      </c>
      <c r="D239" t="inlineStr">
        <is>
          <t>doi_that</t>
        </is>
      </c>
      <c r="E239" t="inlineStr">
        <is>
          <t>2A46 125 mm (turret, AP)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nhịp chậm hơn 30 % và mạnh hơn tương ứng (luật súng của game)</t>
        </is>
      </c>
      <c r="M239" t="inlineStr">
        <is>
          <t>gameplay</t>
        </is>
      </c>
      <c r="N239" t="inlineStr"/>
      <c r="O239" t="inlineStr">
        <is>
          <t>da_kiem_chung</t>
        </is>
      </c>
      <c r="P239" t="inlineStr">
        <is>
          <t>R_balance;R_full_weapon_audit;W_wikipedia_2a46</t>
        </is>
      </c>
      <c r="Q239" t="inlineStr"/>
      <c r="R23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9" t="n">
        <v>125</v>
      </c>
      <c r="T239" t="inlineStr">
        <is>
          <t>NEED_SOURCE</t>
        </is>
      </c>
      <c r="U239" t="inlineStr">
        <is>
          <t>NEED_SOURCE</t>
        </is>
      </c>
      <c r="V239" t="inlineStr">
        <is>
          <t>NEED_SOURCE</t>
        </is>
      </c>
      <c r="W239" t="inlineStr">
        <is>
          <t>NEED_SOURCE</t>
        </is>
      </c>
      <c r="X239" t="n">
        <v>8</v>
      </c>
      <c r="Y239" t="n">
        <v>7</v>
      </c>
      <c r="Z239" t="inlineStr">
        <is>
          <t>tu_dong</t>
        </is>
      </c>
      <c r="AA239" t="inlineStr">
        <is>
          <t>NEED_SOURCE</t>
        </is>
      </c>
      <c r="AB239" t="inlineStr"/>
      <c r="AC239" t="inlineStr">
        <is>
          <t>gun</t>
        </is>
      </c>
      <c r="AD239" t="inlineStr">
        <is>
          <t>Wikipedia '2A46': 7-8 rpm with the autoloader</t>
        </is>
      </c>
      <c r="AE239" t="inlineStr"/>
      <c r="AF239" t="inlineStr">
        <is>
          <t>Tools/balance/full_weapon_audit.py: REAL / WARHEAD; balance.json weapons[id=p26_ixion_125].real</t>
        </is>
      </c>
      <c r="AG239" t="inlineStr"/>
    </row>
    <row r="240">
      <c r="A240" t="inlineStr">
        <is>
          <t>p26_ixion_125_he</t>
        </is>
      </c>
      <c r="B240" t="inlineStr">
        <is>
          <t>p26_ixion_125_he</t>
        </is>
      </c>
      <c r="C240" t="inlineStr">
        <is>
          <t>2A46 125 mm HE-FRAG</t>
        </is>
      </c>
      <c r="D240" t="inlineStr">
        <is>
          <t>doi_that</t>
        </is>
      </c>
      <c r="E240" t="inlineStr">
        <is>
          <t>2A46 125 mm HE-FRAG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nhịp chậm hơn 30 % và mạnh hơn tương ứng (luật súng của game)</t>
        </is>
      </c>
      <c r="M240" t="inlineStr">
        <is>
          <t>gameplay</t>
        </is>
      </c>
      <c r="N240" t="inlineStr"/>
      <c r="O240" t="inlineStr">
        <is>
          <t>da_kiem_chung</t>
        </is>
      </c>
      <c r="P240" t="inlineStr">
        <is>
          <t>R_balance;R_full_weapon_audit;W_wikipedia_2a46</t>
        </is>
      </c>
      <c r="Q240" t="inlineStr"/>
      <c r="R24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0" t="n">
        <v>125</v>
      </c>
      <c r="T240" t="inlineStr">
        <is>
          <t>NEED_SOURCE</t>
        </is>
      </c>
      <c r="U240" t="inlineStr">
        <is>
          <t>NEED_SOURCE</t>
        </is>
      </c>
      <c r="V240" t="inlineStr">
        <is>
          <t>NEED_SOURCE</t>
        </is>
      </c>
      <c r="W240" t="inlineStr">
        <is>
          <t>NEED_SOURCE</t>
        </is>
      </c>
      <c r="X240" t="n">
        <v>8</v>
      </c>
      <c r="Y240" t="n">
        <v>7</v>
      </c>
      <c r="Z240" t="inlineStr">
        <is>
          <t>tu_dong</t>
        </is>
      </c>
      <c r="AA240" t="inlineStr">
        <is>
          <t>NEED_SOURCE</t>
        </is>
      </c>
      <c r="AB240" t="inlineStr"/>
      <c r="AC240" t="inlineStr">
        <is>
          <t>gun</t>
        </is>
      </c>
      <c r="AD240" t="inlineStr">
        <is>
          <t>Wikipedia '2A46': 7-8 rpm with the autoloader</t>
        </is>
      </c>
      <c r="AE240" t="inlineStr"/>
      <c r="AF240" t="inlineStr">
        <is>
          <t>Tools/balance/full_weapon_audit.py: REAL / WARHEAD; balance.json weapons[id=p26_ixion_125_he].real</t>
        </is>
      </c>
      <c r="AG240" t="inlineStr"/>
    </row>
    <row r="241">
      <c r="A241" t="inlineStr">
        <is>
          <t>p26_ixion_mg</t>
        </is>
      </c>
      <c r="B241" t="inlineStr">
        <is>
          <t>p26_ixion_mg</t>
        </is>
      </c>
      <c r="C241" t="inlineStr">
        <is>
          <t>NSV 12.7 mm</t>
        </is>
      </c>
      <c r="D241" t="inlineStr">
        <is>
          <t>doi_that</t>
        </is>
      </c>
      <c r="E241" t="inlineStr">
        <is>
          <t>NSV 12.7 mm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da_kiem_chung</t>
        </is>
      </c>
      <c r="P241" t="inlineStr">
        <is>
          <t>R_balance;R_full_weapon_audit;W_wikipedia_nsv_machine_gun</t>
        </is>
      </c>
      <c r="Q241" t="inlineStr"/>
      <c r="R24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1" t="n">
        <v>12.7</v>
      </c>
      <c r="T241" t="inlineStr">
        <is>
          <t>NEED_SOURCE</t>
        </is>
      </c>
      <c r="U241" t="inlineStr">
        <is>
          <t>NEED_SOURCE</t>
        </is>
      </c>
      <c r="V241" t="inlineStr">
        <is>
          <t>NEED_SOURCE</t>
        </is>
      </c>
      <c r="W241" t="inlineStr">
        <is>
          <t>NEED_SOURCE</t>
        </is>
      </c>
      <c r="X241" t="n">
        <v>800</v>
      </c>
      <c r="Y241" t="n">
        <v>100</v>
      </c>
      <c r="Z241" t="inlineStr">
        <is>
          <t>NEED_SOURCE</t>
        </is>
      </c>
      <c r="AA241" t="inlineStr">
        <is>
          <t>NEED_SOURCE</t>
        </is>
      </c>
      <c r="AB241" t="inlineStr"/>
      <c r="AC241" t="inlineStr">
        <is>
          <t>mg</t>
        </is>
      </c>
      <c r="AD241" t="inlineStr">
        <is>
          <t>Wikipedia 'NSV machine gun': 700-800 cyclic, 100 practical</t>
        </is>
      </c>
      <c r="AE241" t="inlineStr"/>
      <c r="AF241" t="inlineStr">
        <is>
          <t>Tools/balance/full_weapon_audit.py: REAL / WARHEAD; balance.json weapons[id=p26_ixion_mg].real</t>
        </is>
      </c>
      <c r="AG241" t="inlineStr"/>
    </row>
    <row r="242">
      <c r="A242" t="inlineStr">
        <is>
          <t>p26_jotunn_close_boss_flak</t>
        </is>
      </c>
      <c r="B242" t="inlineStr">
        <is>
          <t>p26_jotunn_close_boss_flak</t>
        </is>
      </c>
      <c r="C242" t="inlineStr">
        <is>
          <t>Oerlikon 35 mm (twin)</t>
        </is>
      </c>
      <c r="D242" t="inlineStr">
        <is>
          <t>doi_that</t>
        </is>
      </c>
      <c r="E242" t="inlineStr">
        <is>
          <t>Oerlikon 35 mm (twin)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da_kiem_chung</t>
        </is>
      </c>
      <c r="P242" t="inlineStr">
        <is>
          <t>R_balance;R_full_weapon_audit;W_wikipedia_oerlikon_gdf</t>
        </is>
      </c>
      <c r="Q242" t="inlineStr"/>
      <c r="R24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2" t="n">
        <v>35</v>
      </c>
      <c r="T242" t="inlineStr">
        <is>
          <t>NEED_SOURCE</t>
        </is>
      </c>
      <c r="U242" t="inlineStr">
        <is>
          <t>NEED_SOURCE</t>
        </is>
      </c>
      <c r="V242" t="inlineStr">
        <is>
          <t>NEED_SOURCE</t>
        </is>
      </c>
      <c r="W242" t="inlineStr">
        <is>
          <t>NEED_SOURCE</t>
        </is>
      </c>
      <c r="X242" t="n">
        <v>550</v>
      </c>
      <c r="Y242" t="n">
        <v>300</v>
      </c>
      <c r="Z242" t="inlineStr">
        <is>
          <t>NEED_SOURCE</t>
        </is>
      </c>
      <c r="AA242" t="inlineStr">
        <is>
          <t>NEED_SOURCE</t>
        </is>
      </c>
      <c r="AB242" t="inlineStr"/>
      <c r="AC242" t="inlineStr">
        <is>
          <t>aa</t>
        </is>
      </c>
      <c r="AD242" t="inlineStr">
        <is>
          <t>Wikipedia 'Oerlikon GDF': 550 rpm a gun (the twin: 1,100)</t>
        </is>
      </c>
      <c r="AE242" t="inlineStr"/>
      <c r="AF242" t="inlineStr">
        <is>
          <t>Tools/balance/full_weapon_audit.py: REAL / WARHEAD; balance.json weapons[id=p26_jotunn_close_boss_flak].real</t>
        </is>
      </c>
      <c r="AG242" t="inlineStr"/>
    </row>
    <row r="243">
      <c r="A243" t="inlineStr">
        <is>
          <t>p26_jotunn_direct_jo125</t>
        </is>
      </c>
      <c r="B243" t="inlineStr">
        <is>
          <t>p26_jotunn_direct_jo125</t>
        </is>
      </c>
      <c r="C243" t="inlineStr">
        <is>
          <t>2A46 125 mm</t>
        </is>
      </c>
      <c r="D243" t="inlineStr">
        <is>
          <t>doi_that</t>
        </is>
      </c>
      <c r="E243" t="inlineStr">
        <is>
          <t>2A46 125 mm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nhịp chậm hơn 30 % và mạnh hơn tương ứng (luật súng của game)</t>
        </is>
      </c>
      <c r="M243" t="inlineStr">
        <is>
          <t>gameplay</t>
        </is>
      </c>
      <c r="N243" t="inlineStr"/>
      <c r="O243" t="inlineStr">
        <is>
          <t>da_kiem_chung</t>
        </is>
      </c>
      <c r="P243" t="inlineStr">
        <is>
          <t>R_balance;R_full_weapon_audit;W_wikipedia_2a46</t>
        </is>
      </c>
      <c r="Q243" t="inlineStr"/>
      <c r="R24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3" t="n">
        <v>125</v>
      </c>
      <c r="T243" t="inlineStr">
        <is>
          <t>NEED_SOURCE</t>
        </is>
      </c>
      <c r="U243" t="inlineStr">
        <is>
          <t>NEED_SOURCE</t>
        </is>
      </c>
      <c r="V243" t="inlineStr">
        <is>
          <t>NEED_SOURCE</t>
        </is>
      </c>
      <c r="W243" t="inlineStr">
        <is>
          <t>NEED_SOURCE</t>
        </is>
      </c>
      <c r="X243" t="n">
        <v>8</v>
      </c>
      <c r="Y243" t="n">
        <v>7</v>
      </c>
      <c r="Z243" t="inlineStr">
        <is>
          <t>tu_dong</t>
        </is>
      </c>
      <c r="AA243" t="inlineStr">
        <is>
          <t>NEED_SOURCE</t>
        </is>
      </c>
      <c r="AB243" t="inlineStr"/>
      <c r="AC243" t="inlineStr">
        <is>
          <t>gun</t>
        </is>
      </c>
      <c r="AD243" t="inlineStr">
        <is>
          <t>Wikipedia '2A46': 7-8 rpm with the autoloader</t>
        </is>
      </c>
      <c r="AE243" t="inlineStr"/>
      <c r="AF243" t="inlineStr">
        <is>
          <t>Tools/balance/full_weapon_audit.py: REAL / WARHEAD; balance.json weapons[id=p26_jotunn_direct_jo125].real</t>
        </is>
      </c>
      <c r="AG243" t="inlineStr"/>
    </row>
    <row r="244">
      <c r="A244" t="inlineStr">
        <is>
          <t>p26_jotunn_jo125</t>
        </is>
      </c>
      <c r="B244" t="inlineStr">
        <is>
          <t>p26_jotunn_jo125</t>
        </is>
      </c>
      <c r="C244" t="inlineStr">
        <is>
          <t>2A46 125 mm</t>
        </is>
      </c>
      <c r="D244" t="inlineStr">
        <is>
          <t>doi_that</t>
        </is>
      </c>
      <c r="E244" t="inlineStr">
        <is>
          <t>2A46 125 mm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nhịp chậm hơn 30 % và mạnh hơn tương ứng (luật súng của game)</t>
        </is>
      </c>
      <c r="M244" t="inlineStr">
        <is>
          <t>gameplay</t>
        </is>
      </c>
      <c r="N244" t="inlineStr"/>
      <c r="O244" t="inlineStr">
        <is>
          <t>da_kiem_chung</t>
        </is>
      </c>
      <c r="P244" t="inlineStr">
        <is>
          <t>R_balance;R_full_weapon_audit;W_wikipedia_2a46</t>
        </is>
      </c>
      <c r="Q244" t="inlineStr"/>
      <c r="R24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4" t="n">
        <v>125</v>
      </c>
      <c r="T244" t="inlineStr">
        <is>
          <t>NEED_SOURCE</t>
        </is>
      </c>
      <c r="U244" t="inlineStr">
        <is>
          <t>NEED_SOURCE</t>
        </is>
      </c>
      <c r="V244" t="inlineStr">
        <is>
          <t>NEED_SOURCE</t>
        </is>
      </c>
      <c r="W244" t="inlineStr">
        <is>
          <t>NEED_SOURCE</t>
        </is>
      </c>
      <c r="X244" t="n">
        <v>8</v>
      </c>
      <c r="Y244" t="n">
        <v>7</v>
      </c>
      <c r="Z244" t="inlineStr">
        <is>
          <t>tu_dong</t>
        </is>
      </c>
      <c r="AA244" t="inlineStr">
        <is>
          <t>NEED_SOURCE</t>
        </is>
      </c>
      <c r="AB244" t="inlineStr"/>
      <c r="AC244" t="inlineStr">
        <is>
          <t>gun</t>
        </is>
      </c>
      <c r="AD244" t="inlineStr">
        <is>
          <t>Wikipedia '2A46': 7-8 rpm with the autoloader</t>
        </is>
      </c>
      <c r="AE244" t="inlineStr"/>
      <c r="AF244" t="inlineStr">
        <is>
          <t>Tools/balance/full_weapon_audit.py: REAL / WARHEAD; balance.json weapons[id=p26_jotunn_jo125].real</t>
        </is>
      </c>
      <c r="AG244" t="inlineStr"/>
    </row>
    <row r="245">
      <c r="A245" t="inlineStr">
        <is>
          <t>p26_jotunn_jo203</t>
        </is>
      </c>
      <c r="B245" t="inlineStr">
        <is>
          <t>p26_jotunn_jo203</t>
        </is>
      </c>
      <c r="C245" t="inlineStr">
        <is>
          <t>2A44 203 mm</t>
        </is>
      </c>
      <c r="D245" t="inlineStr">
        <is>
          <t>doi_that</t>
        </is>
      </c>
      <c r="E245" t="inlineStr">
        <is>
          <t>2A44 203 mm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nhịp chậm hơn 30 % và mạnh hơn tương ứng (luật súng của game)</t>
        </is>
      </c>
      <c r="M245" t="inlineStr">
        <is>
          <t>gameplay</t>
        </is>
      </c>
      <c r="N245" t="inlineStr"/>
      <c r="O245" t="inlineStr">
        <is>
          <t>da_kiem_chung</t>
        </is>
      </c>
      <c r="P245" t="inlineStr">
        <is>
          <t>R_balance;R_full_weapon_audit;W_wikipedia_2s7_pion</t>
        </is>
      </c>
      <c r="Q245" t="inlineStr"/>
      <c r="R24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5" t="n">
        <v>203</v>
      </c>
      <c r="T245" t="inlineStr">
        <is>
          <t>NEED_SOURCE</t>
        </is>
      </c>
      <c r="U245" t="inlineStr">
        <is>
          <t>NEED_SOURCE</t>
        </is>
      </c>
      <c r="V245" t="inlineStr">
        <is>
          <t>NEED_SOURCE</t>
        </is>
      </c>
      <c r="W245" t="inlineStr">
        <is>
          <t>NEED_SOURCE</t>
        </is>
      </c>
      <c r="X245" t="n">
        <v>2.5</v>
      </c>
      <c r="Y245" t="n">
        <v>1</v>
      </c>
      <c r="Z245" t="inlineStr">
        <is>
          <t>NEED_SOURCE</t>
        </is>
      </c>
      <c r="AA245" t="inlineStr">
        <is>
          <t>NEED_SOURCE</t>
        </is>
      </c>
      <c r="AB245" t="inlineStr"/>
      <c r="AC245" t="inlineStr">
        <is>
          <t>gun</t>
        </is>
      </c>
      <c r="AD245" t="inlineStr">
        <is>
          <t>Wikipedia '2S7 Pion': 1.5 rpm (2S7M Malka 2.5)</t>
        </is>
      </c>
      <c r="AE245" t="inlineStr"/>
      <c r="AF245" t="inlineStr">
        <is>
          <t>Tools/balance/full_weapon_audit.py: REAL / WARHEAD; balance.json weapons[id=p26_jotunn_jo203].real</t>
        </is>
      </c>
      <c r="AG245" t="inlineStr"/>
    </row>
    <row r="246">
      <c r="A246" t="inlineStr">
        <is>
          <t>p26_jotunn_jo_rockets</t>
        </is>
      </c>
      <c r="B246" t="inlineStr">
        <is>
          <t>p26_jotunn_jo_rockets</t>
        </is>
      </c>
      <c r="C246" t="inlineStr">
        <is>
          <t>BM-30 Smerch 300 mm (pod)</t>
        </is>
      </c>
      <c r="D246" t="inlineStr">
        <is>
          <t>doi_that</t>
        </is>
      </c>
      <c r="E246" t="inlineStr">
        <is>
          <t>BM-30 Smerch 300 mm (pod)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da_kiem_chung</t>
        </is>
      </c>
      <c r="P246" t="inlineStr">
        <is>
          <t>R_balance;R_full_weapon_audit;W_wikipedia_bm_30_smerch</t>
        </is>
      </c>
      <c r="Q246" t="inlineStr"/>
      <c r="R24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6" t="n">
        <v>300</v>
      </c>
      <c r="T246" t="inlineStr">
        <is>
          <t>NEED_SOURCE</t>
        </is>
      </c>
      <c r="U246" t="inlineStr">
        <is>
          <t>NEED_SOURCE</t>
        </is>
      </c>
      <c r="V246" t="inlineStr">
        <is>
          <t>NEED_SOURCE</t>
        </is>
      </c>
      <c r="W246" t="inlineStr">
        <is>
          <t>NEED_SOURCE</t>
        </is>
      </c>
      <c r="X246" t="n">
        <v>19</v>
      </c>
      <c r="Y246" t="inlineStr">
        <is>
          <t>NEED_SOURCE</t>
        </is>
      </c>
      <c r="Z246" t="inlineStr">
        <is>
          <t>NEED_SOURCE</t>
        </is>
      </c>
      <c r="AA246" t="inlineStr">
        <is>
          <t>NEED_SOURCE</t>
        </is>
      </c>
      <c r="AB246" t="inlineStr"/>
      <c r="AC246" t="inlineStr">
        <is>
          <t>rocket</t>
        </is>
      </c>
      <c r="AD246" t="inlineStr">
        <is>
          <t>Wikipedia 'BM-30 Smerch': 12 rockets in 38 s</t>
        </is>
      </c>
      <c r="AE246" t="inlineStr"/>
      <c r="AF246" t="inlineStr">
        <is>
          <t>Tools/balance/full_weapon_audit.py: REAL / WARHEAD; balance.json weapons[id=p26_jotunn_jo_rockets].real</t>
        </is>
      </c>
      <c r="AG246" t="inlineStr"/>
    </row>
    <row r="247">
      <c r="A247" t="inlineStr">
        <is>
          <t>p26_jotunn_sec_jo_rockets</t>
        </is>
      </c>
      <c r="B247" t="inlineStr">
        <is>
          <t>p26_jotunn_sec_jo_rockets</t>
        </is>
      </c>
      <c r="C247" t="inlineStr">
        <is>
          <t>BM-30 Smerch 300 mm (pod)</t>
        </is>
      </c>
      <c r="D247" t="inlineStr">
        <is>
          <t>doi_that</t>
        </is>
      </c>
      <c r="E247" t="inlineStr">
        <is>
          <t>BM-30 Smerch 300 mm (pod)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da_kiem_chung</t>
        </is>
      </c>
      <c r="P247" t="inlineStr">
        <is>
          <t>R_balance;R_full_weapon_audit;W_wikipedia_bm_30_smerch</t>
        </is>
      </c>
      <c r="Q247" t="inlineStr"/>
      <c r="R24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7" t="n">
        <v>300</v>
      </c>
      <c r="T247" t="inlineStr">
        <is>
          <t>NEED_SOURCE</t>
        </is>
      </c>
      <c r="U247" t="inlineStr">
        <is>
          <t>NEED_SOURCE</t>
        </is>
      </c>
      <c r="V247" t="inlineStr">
        <is>
          <t>NEED_SOURCE</t>
        </is>
      </c>
      <c r="W247" t="inlineStr">
        <is>
          <t>NEED_SOURCE</t>
        </is>
      </c>
      <c r="X247" t="n">
        <v>19</v>
      </c>
      <c r="Y247" t="inlineStr">
        <is>
          <t>NEED_SOURCE</t>
        </is>
      </c>
      <c r="Z247" t="inlineStr">
        <is>
          <t>NEED_SOURCE</t>
        </is>
      </c>
      <c r="AA247" t="inlineStr">
        <is>
          <t>NEED_SOURCE</t>
        </is>
      </c>
      <c r="AB247" t="inlineStr"/>
      <c r="AC247" t="inlineStr">
        <is>
          <t>rocket</t>
        </is>
      </c>
      <c r="AD247" t="inlineStr">
        <is>
          <t>Wikipedia 'BM-30 Smerch': 12 rockets in 38 s</t>
        </is>
      </c>
      <c r="AE247" t="inlineStr"/>
      <c r="AF247" t="inlineStr">
        <is>
          <t>Tools/balance/full_weapon_audit.py: REAL / WARHEAD; balance.json weapons[id=p26_jotunn_sec_jo_rockets].real</t>
        </is>
      </c>
      <c r="AG247" t="inlineStr"/>
    </row>
    <row r="248">
      <c r="A248" t="inlineStr">
        <is>
          <t>p26_jotunn_tiny_twin_30_flak</t>
        </is>
      </c>
      <c r="B248" t="inlineStr">
        <is>
          <t>p26_jotunn_tiny_twin_30_flak</t>
        </is>
      </c>
      <c r="C248" t="inlineStr">
        <is>
          <t>2A38 30 mm (twin)</t>
        </is>
      </c>
      <c r="D248" t="inlineStr">
        <is>
          <t>doi_that</t>
        </is>
      </c>
      <c r="E248" t="inlineStr">
        <is>
          <t>2A38 30 mm (twin)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da_kiem_chung</t>
        </is>
      </c>
      <c r="P248" t="inlineStr">
        <is>
          <t>R_balance;R_full_weapon_audit;W_wikipedia_2a38</t>
        </is>
      </c>
      <c r="Q248" t="inlineStr"/>
      <c r="R24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8" t="n">
        <v>30</v>
      </c>
      <c r="T248" t="inlineStr">
        <is>
          <t>NEED_SOURCE</t>
        </is>
      </c>
      <c r="U248" t="inlineStr">
        <is>
          <t>NEED_SOURCE</t>
        </is>
      </c>
      <c r="V248" t="inlineStr">
        <is>
          <t>NEED_SOURCE</t>
        </is>
      </c>
      <c r="W248" t="inlineStr">
        <is>
          <t>NEED_SOURCE</t>
        </is>
      </c>
      <c r="X248" t="n">
        <v>2500</v>
      </c>
      <c r="Y248" t="n">
        <v>1000</v>
      </c>
      <c r="Z248" t="inlineStr">
        <is>
          <t>NEED_SOURCE</t>
        </is>
      </c>
      <c r="AA248" t="inlineStr">
        <is>
          <t>NEED_SOURCE</t>
        </is>
      </c>
      <c r="AB248" t="inlineStr"/>
      <c r="AC248" t="inlineStr">
        <is>
          <t>aa</t>
        </is>
      </c>
      <c r="AD248" t="inlineStr">
        <is>
          <t>Wikipedia '2A38': 4,060-5,000 rpm the twin mount</t>
        </is>
      </c>
      <c r="AE248" t="inlineStr"/>
      <c r="AF248" t="inlineStr">
        <is>
          <t>Tools/balance/full_weapon_audit.py: REAL / WARHEAD; balance.json weapons[id=p26_jotunn_tiny_twin_30_flak].real</t>
        </is>
      </c>
      <c r="AG248" t="inlineStr"/>
    </row>
    <row r="249">
      <c r="A249" t="inlineStr">
        <is>
          <t>p26_leviathan_direct_lev127</t>
        </is>
      </c>
      <c r="B249" t="inlineStr">
        <is>
          <t>p26_leviathan_direct_lev127</t>
        </is>
      </c>
      <c r="C249" t="inlineStr">
        <is>
          <t>AK-127 127 mm</t>
        </is>
      </c>
      <c r="D249" t="inlineStr">
        <is>
          <t>doi_that</t>
        </is>
      </c>
      <c r="E249" t="inlineStr">
        <is>
          <t>AK-127 127 mm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nhịp chậm hơn 30 % và mạnh hơn tương ứng (luật súng của game)</t>
        </is>
      </c>
      <c r="M249" t="inlineStr">
        <is>
          <t>gameplay</t>
        </is>
      </c>
      <c r="N249" t="inlineStr"/>
      <c r="O249" t="inlineStr">
        <is>
          <t>da_kiem_chung</t>
        </is>
      </c>
      <c r="P249" t="inlineStr">
        <is>
          <t>R_balance;R_full_weapon_audit;W_wikipedia_a_192</t>
        </is>
      </c>
      <c r="Q249" t="inlineStr"/>
      <c r="R24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9" t="n">
        <v>127</v>
      </c>
      <c r="T249" t="inlineStr">
        <is>
          <t>NEED_SOURCE</t>
        </is>
      </c>
      <c r="U249" t="inlineStr">
        <is>
          <t>NEED_SOURCE</t>
        </is>
      </c>
      <c r="V249" t="inlineStr">
        <is>
          <t>NEED_SOURCE</t>
        </is>
      </c>
      <c r="W249" t="inlineStr">
        <is>
          <t>NEED_SOURCE</t>
        </is>
      </c>
      <c r="X249" t="n">
        <v>30</v>
      </c>
      <c r="Y249" t="n">
        <v>20</v>
      </c>
      <c r="Z249" t="inlineStr">
        <is>
          <t>NEED_SOURCE</t>
        </is>
      </c>
      <c r="AA249" t="inlineStr">
        <is>
          <t>NEED_SOURCE</t>
        </is>
      </c>
      <c r="AB249" t="inlineStr"/>
      <c r="AC249" t="inlineStr">
        <is>
          <t>gun</t>
        </is>
      </c>
      <c r="AD249" t="inlineStr">
        <is>
          <t>the A-192 'Armat' 130 mm class, 30 rpm (Wikipedia 'A-192')</t>
        </is>
      </c>
      <c r="AE249" t="inlineStr"/>
      <c r="AF249" t="inlineStr">
        <is>
          <t>Tools/balance/full_weapon_audit.py: REAL / WARHEAD; balance.json weapons[id=p26_leviathan_direct_lev127].real</t>
        </is>
      </c>
      <c r="AG249" t="inlineStr"/>
    </row>
    <row r="250">
      <c r="A250" t="inlineStr">
        <is>
          <t>p26_leviathan_lev127</t>
        </is>
      </c>
      <c r="B250" t="inlineStr">
        <is>
          <t>p26_leviathan_lev127</t>
        </is>
      </c>
      <c r="C250" t="inlineStr">
        <is>
          <t>AK-127 127 mm</t>
        </is>
      </c>
      <c r="D250" t="inlineStr">
        <is>
          <t>doi_that</t>
        </is>
      </c>
      <c r="E250" t="inlineStr">
        <is>
          <t>AK-127 127 mm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nhịp chậm hơn 30 % và mạnh hơn tương ứng (luật súng của game)</t>
        </is>
      </c>
      <c r="M250" t="inlineStr">
        <is>
          <t>gameplay</t>
        </is>
      </c>
      <c r="N250" t="inlineStr"/>
      <c r="O250" t="inlineStr">
        <is>
          <t>da_kiem_chung</t>
        </is>
      </c>
      <c r="P250" t="inlineStr">
        <is>
          <t>R_balance;R_full_weapon_audit;W_wikipedia_a_192</t>
        </is>
      </c>
      <c r="Q250" t="inlineStr"/>
      <c r="R25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0" t="n">
        <v>127</v>
      </c>
      <c r="T250" t="inlineStr">
        <is>
          <t>NEED_SOURCE</t>
        </is>
      </c>
      <c r="U250" t="inlineStr">
        <is>
          <t>NEED_SOURCE</t>
        </is>
      </c>
      <c r="V250" t="inlineStr">
        <is>
          <t>NEED_SOURCE</t>
        </is>
      </c>
      <c r="W250" t="inlineStr">
        <is>
          <t>NEED_SOURCE</t>
        </is>
      </c>
      <c r="X250" t="n">
        <v>30</v>
      </c>
      <c r="Y250" t="n">
        <v>20</v>
      </c>
      <c r="Z250" t="inlineStr">
        <is>
          <t>NEED_SOURCE</t>
        </is>
      </c>
      <c r="AA250" t="inlineStr">
        <is>
          <t>NEED_SOURCE</t>
        </is>
      </c>
      <c r="AB250" t="inlineStr"/>
      <c r="AC250" t="inlineStr">
        <is>
          <t>gun</t>
        </is>
      </c>
      <c r="AD250" t="inlineStr">
        <is>
          <t>the A-192 'Armat' 130 mm class, 30 rpm (Wikipedia 'A-192')</t>
        </is>
      </c>
      <c r="AE250" t="inlineStr"/>
      <c r="AF250" t="inlineStr">
        <is>
          <t>Tools/balance/full_weapon_audit.py: REAL / WARHEAD; balance.json weapons[id=p26_leviathan_lev127].real</t>
        </is>
      </c>
      <c r="AG250" t="inlineStr"/>
    </row>
    <row r="251">
      <c r="A251" t="inlineStr">
        <is>
          <t>p26_leviathan_lev155</t>
        </is>
      </c>
      <c r="B251" t="inlineStr">
        <is>
          <t>p26_leviathan_lev155</t>
        </is>
      </c>
      <c r="C251" t="inlineStr">
        <is>
          <t>155 mm/60 (triple)</t>
        </is>
      </c>
      <c r="D251" t="inlineStr">
        <is>
          <t>doi_that</t>
        </is>
      </c>
      <c r="E251" t="inlineStr">
        <is>
          <t>155 mm/60 (triple)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nhịp chậm hơn 30 % và mạnh hơn tương ứng (luật súng của game)</t>
        </is>
      </c>
      <c r="M251" t="inlineStr">
        <is>
          <t>gameplay</t>
        </is>
      </c>
      <c r="N251" t="inlineStr"/>
      <c r="O251" t="inlineStr">
        <is>
          <t>da_kiem_chung</t>
        </is>
      </c>
      <c r="P251" t="inlineStr">
        <is>
          <t>R_balance;R_full_weapon_audit;W_wikipedia_15_5_cm_60_3rd_year_type</t>
        </is>
      </c>
      <c r="Q251" t="inlineStr"/>
      <c r="R25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1" t="n">
        <v>155</v>
      </c>
      <c r="T251" t="inlineStr">
        <is>
          <t>NEED_SOURCE</t>
        </is>
      </c>
      <c r="U251" t="inlineStr">
        <is>
          <t>NEED_SOURCE</t>
        </is>
      </c>
      <c r="V251" t="inlineStr">
        <is>
          <t>NEED_SOURCE</t>
        </is>
      </c>
      <c r="W251" t="inlineStr">
        <is>
          <t>NEED_SOURCE</t>
        </is>
      </c>
      <c r="X251" t="n">
        <v>5</v>
      </c>
      <c r="Y251" t="n">
        <v>4</v>
      </c>
      <c r="Z251" t="inlineStr">
        <is>
          <t>NEED_SOURCE</t>
        </is>
      </c>
      <c r="AA251" t="inlineStr">
        <is>
          <t>NEED_SOURCE</t>
        </is>
      </c>
      <c r="AB251" t="inlineStr"/>
      <c r="AC251" t="inlineStr">
        <is>
          <t>gun</t>
        </is>
      </c>
      <c r="AD251" t="inlineStr">
        <is>
          <t>Wikipedia '15.5 cm/60 3rd Year Type' (Mogami): ~5 rpm a gun</t>
        </is>
      </c>
      <c r="AE251" t="inlineStr"/>
      <c r="AF251" t="inlineStr">
        <is>
          <t>Tools/balance/full_weapon_audit.py: REAL / WARHEAD; balance.json weapons[id=p26_leviathan_lev155].real</t>
        </is>
      </c>
      <c r="AG251" t="inlineStr"/>
    </row>
    <row r="252">
      <c r="A252" t="inlineStr">
        <is>
          <t>p26_leviathan_lev406</t>
        </is>
      </c>
      <c r="B252" t="inlineStr">
        <is>
          <t>p26_leviathan_lev406</t>
        </is>
      </c>
      <c r="C252" t="inlineStr">
        <is>
          <t>Mk 7 406 mm/50 (Iowa, triple)</t>
        </is>
      </c>
      <c r="D252" t="inlineStr">
        <is>
          <t>doi_that</t>
        </is>
      </c>
      <c r="E252" t="inlineStr">
        <is>
          <t>Mk 7 406 mm/50 (Iowa, triple)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nhịp chậm hơn 30 % và mạnh hơn tương ứng (luật súng của game)</t>
        </is>
      </c>
      <c r="M252" t="inlineStr">
        <is>
          <t>gameplay</t>
        </is>
      </c>
      <c r="N252" t="inlineStr"/>
      <c r="O252" t="inlineStr">
        <is>
          <t>da_kiem_chung</t>
        </is>
      </c>
      <c r="P252" t="inlineStr">
        <is>
          <t>R_balance;R_full_weapon_audit;W_wikipedia_16_50_caliber_mark_7</t>
        </is>
      </c>
      <c r="Q252" t="inlineStr"/>
      <c r="R25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2" t="n">
        <v>406</v>
      </c>
      <c r="T252" t="inlineStr">
        <is>
          <t>NEED_SOURCE</t>
        </is>
      </c>
      <c r="U252" t="inlineStr">
        <is>
          <t>NEED_SOURCE</t>
        </is>
      </c>
      <c r="V252" t="inlineStr">
        <is>
          <t>NEED_SOURCE</t>
        </is>
      </c>
      <c r="W252" t="inlineStr">
        <is>
          <t>NEED_SOURCE</t>
        </is>
      </c>
      <c r="X252" t="n">
        <v>2</v>
      </c>
      <c r="Y252" t="n">
        <v>2</v>
      </c>
      <c r="Z252" t="inlineStr">
        <is>
          <t>NEED_SOURCE</t>
        </is>
      </c>
      <c r="AA252" t="inlineStr">
        <is>
          <t>NEED_SOURCE</t>
        </is>
      </c>
      <c r="AB252" t="inlineStr"/>
      <c r="AC252" t="inlineStr">
        <is>
          <t>gun</t>
        </is>
      </c>
      <c r="AD252" t="inlineStr">
        <is>
          <t>Wikipedia '16"/50 caliber Mark 7': 2 rpm a gun</t>
        </is>
      </c>
      <c r="AE252" t="inlineStr"/>
      <c r="AF252" t="inlineStr">
        <is>
          <t>Tools/balance/full_weapon_audit.py: REAL / WARHEAD; balance.json weapons[id=p26_leviathan_lev406].real</t>
        </is>
      </c>
      <c r="AG252" t="inlineStr"/>
    </row>
    <row r="253">
      <c r="A253" t="inlineStr">
        <is>
          <t>p26_leviathan_sec_lev155</t>
        </is>
      </c>
      <c r="B253" t="inlineStr">
        <is>
          <t>p26_leviathan_sec_lev155</t>
        </is>
      </c>
      <c r="C253" t="inlineStr">
        <is>
          <t>155 mm/60 (triple)</t>
        </is>
      </c>
      <c r="D253" t="inlineStr">
        <is>
          <t>doi_that</t>
        </is>
      </c>
      <c r="E253" t="inlineStr">
        <is>
          <t>155 mm/60 (triple)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nhịp chậm hơn 30 % và mạnh hơn tương ứng (luật súng của game)</t>
        </is>
      </c>
      <c r="M253" t="inlineStr">
        <is>
          <t>gameplay</t>
        </is>
      </c>
      <c r="N253" t="inlineStr"/>
      <c r="O253" t="inlineStr">
        <is>
          <t>da_kiem_chung</t>
        </is>
      </c>
      <c r="P253" t="inlineStr">
        <is>
          <t>R_balance;R_full_weapon_audit;W_wikipedia_15_5_cm_60_3rd_year_type</t>
        </is>
      </c>
      <c r="Q253" t="inlineStr"/>
      <c r="R25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3" t="n">
        <v>155</v>
      </c>
      <c r="T253" t="inlineStr">
        <is>
          <t>NEED_SOURCE</t>
        </is>
      </c>
      <c r="U253" t="inlineStr">
        <is>
          <t>NEED_SOURCE</t>
        </is>
      </c>
      <c r="V253" t="inlineStr">
        <is>
          <t>NEED_SOURCE</t>
        </is>
      </c>
      <c r="W253" t="inlineStr">
        <is>
          <t>NEED_SOURCE</t>
        </is>
      </c>
      <c r="X253" t="n">
        <v>5</v>
      </c>
      <c r="Y253" t="n">
        <v>4</v>
      </c>
      <c r="Z253" t="inlineStr">
        <is>
          <t>NEED_SOURCE</t>
        </is>
      </c>
      <c r="AA253" t="inlineStr">
        <is>
          <t>NEED_SOURCE</t>
        </is>
      </c>
      <c r="AB253" t="inlineStr"/>
      <c r="AC253" t="inlineStr">
        <is>
          <t>gun</t>
        </is>
      </c>
      <c r="AD253" t="inlineStr">
        <is>
          <t>Wikipedia '15.5 cm/60 3rd Year Type' (Mogami): ~5 rpm a gun</t>
        </is>
      </c>
      <c r="AE253" t="inlineStr"/>
      <c r="AF253" t="inlineStr">
        <is>
          <t>Tools/balance/full_weapon_audit.py: REAL / WARHEAD; balance.json weapons[id=p26_leviathan_sec_lev155].real</t>
        </is>
      </c>
      <c r="AG253" t="inlineStr"/>
    </row>
    <row r="254">
      <c r="A254" t="inlineStr">
        <is>
          <t>p26_matriarch_close_boss_flak</t>
        </is>
      </c>
      <c r="B254" t="inlineStr">
        <is>
          <t>p26_matriarch_close_boss_flak</t>
        </is>
      </c>
      <c r="C254" t="inlineStr">
        <is>
          <t>Oerlikon 35 mm (twin)</t>
        </is>
      </c>
      <c r="D254" t="inlineStr">
        <is>
          <t>doi_that</t>
        </is>
      </c>
      <c r="E254" t="inlineStr">
        <is>
          <t>Oerlikon 35 mm (twin)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da_kiem_chung</t>
        </is>
      </c>
      <c r="P254" t="inlineStr">
        <is>
          <t>R_balance;R_full_weapon_audit;W_wikipedia_oerlikon_gdf</t>
        </is>
      </c>
      <c r="Q254" t="inlineStr"/>
      <c r="R25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4" t="n">
        <v>35</v>
      </c>
      <c r="T254" t="inlineStr">
        <is>
          <t>NEED_SOURCE</t>
        </is>
      </c>
      <c r="U254" t="inlineStr">
        <is>
          <t>NEED_SOURCE</t>
        </is>
      </c>
      <c r="V254" t="inlineStr">
        <is>
          <t>NEED_SOURCE</t>
        </is>
      </c>
      <c r="W254" t="inlineStr">
        <is>
          <t>NEED_SOURCE</t>
        </is>
      </c>
      <c r="X254" t="n">
        <v>550</v>
      </c>
      <c r="Y254" t="n">
        <v>300</v>
      </c>
      <c r="Z254" t="inlineStr">
        <is>
          <t>NEED_SOURCE</t>
        </is>
      </c>
      <c r="AA254" t="inlineStr">
        <is>
          <t>NEED_SOURCE</t>
        </is>
      </c>
      <c r="AB254" t="inlineStr"/>
      <c r="AC254" t="inlineStr">
        <is>
          <t>aa</t>
        </is>
      </c>
      <c r="AD254" t="inlineStr">
        <is>
          <t>Wikipedia 'Oerlikon GDF': 550 rpm a gun (the twin: 1,100)</t>
        </is>
      </c>
      <c r="AE254" t="inlineStr"/>
      <c r="AF254" t="inlineStr">
        <is>
          <t>Tools/balance/full_weapon_audit.py: REAL / WARHEAD; balance.json weapons[id=p26_matriarch_close_boss_flak].real</t>
        </is>
      </c>
      <c r="AG254" t="inlineStr"/>
    </row>
    <row r="255">
      <c r="A255" t="inlineStr">
        <is>
          <t>p26_matriarch_direct_ma_atgm</t>
        </is>
      </c>
      <c r="B255" t="inlineStr">
        <is>
          <t>p26_matriarch_direct_ma_atgm</t>
        </is>
      </c>
      <c r="C255" t="inlineStr">
        <is>
          <t>9M133 Kornet</t>
        </is>
      </c>
      <c r="D255" t="inlineStr">
        <is>
          <t>doi_that</t>
        </is>
      </c>
      <c r="E255" t="inlineStr">
        <is>
          <t>9M133 Kornet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da_kiem_chung</t>
        </is>
      </c>
      <c r="P255" t="inlineStr">
        <is>
          <t>R_balance;R_full_weapon_audit;W_wikipedia_9m133_kornet;W_wikipedia_bai_cua_tung_ten_lua_bang_warhead</t>
        </is>
      </c>
      <c r="Q255" t="inlineStr"/>
      <c r="R25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5" t="inlineStr">
        <is>
          <t>NEED_SOURCE</t>
        </is>
      </c>
      <c r="T255" t="inlineStr">
        <is>
          <t>NEED_SOURCE</t>
        </is>
      </c>
      <c r="U255" t="inlineStr">
        <is>
          <t>NEED_SOURCE</t>
        </is>
      </c>
      <c r="V255" t="inlineStr">
        <is>
          <t>NEED_SOURCE</t>
        </is>
      </c>
      <c r="W255" t="inlineStr">
        <is>
          <t>NEED_SOURCE</t>
        </is>
      </c>
      <c r="X255" t="n">
        <v>3</v>
      </c>
      <c r="Y255" t="n">
        <v>3</v>
      </c>
      <c r="Z255" t="inlineStr">
        <is>
          <t>NEED_SOURCE</t>
        </is>
      </c>
      <c r="AA255" t="inlineStr">
        <is>
          <t>NEED_SOURCE</t>
        </is>
      </c>
      <c r="AB255" t="n">
        <v>7</v>
      </c>
      <c r="AC255" t="inlineStr">
        <is>
          <t>atgm</t>
        </is>
      </c>
      <c r="AD255" t="inlineStr">
        <is>
          <t>Wikipedia '9M133 Kornet': 2-3 rpm</t>
        </is>
      </c>
      <c r="AE255" t="inlineStr"/>
      <c r="AF255" t="inlineStr">
        <is>
          <t>Tools/balance/full_weapon_audit.py: REAL / WARHEAD; balance.json weapons[id=p26_matriarch_direct_ma_atgm].real</t>
        </is>
      </c>
      <c r="AG255" t="inlineStr"/>
    </row>
    <row r="256">
      <c r="A256" t="inlineStr">
        <is>
          <t>p26_matriarch_ma_atgm</t>
        </is>
      </c>
      <c r="B256" t="inlineStr">
        <is>
          <t>p26_matriarch_ma_atgm</t>
        </is>
      </c>
      <c r="C256" t="inlineStr">
        <is>
          <t>9M133 Kornet</t>
        </is>
      </c>
      <c r="D256" t="inlineStr">
        <is>
          <t>doi_that</t>
        </is>
      </c>
      <c r="E256" t="inlineStr">
        <is>
          <t>9M133 Kornet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da_kiem_chung</t>
        </is>
      </c>
      <c r="P256" t="inlineStr">
        <is>
          <t>R_balance;R_full_weapon_audit;W_wikipedia_9m133_kornet;W_wikipedia_bai_cua_tung_ten_lua_bang_warhead</t>
        </is>
      </c>
      <c r="Q256" t="inlineStr"/>
      <c r="R25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6" t="inlineStr">
        <is>
          <t>NEED_SOURCE</t>
        </is>
      </c>
      <c r="T256" t="inlineStr">
        <is>
          <t>NEED_SOURCE</t>
        </is>
      </c>
      <c r="U256" t="inlineStr">
        <is>
          <t>NEED_SOURCE</t>
        </is>
      </c>
      <c r="V256" t="inlineStr">
        <is>
          <t>NEED_SOURCE</t>
        </is>
      </c>
      <c r="W256" t="inlineStr">
        <is>
          <t>NEED_SOURCE</t>
        </is>
      </c>
      <c r="X256" t="n">
        <v>3</v>
      </c>
      <c r="Y256" t="n">
        <v>3</v>
      </c>
      <c r="Z256" t="inlineStr">
        <is>
          <t>NEED_SOURCE</t>
        </is>
      </c>
      <c r="AA256" t="inlineStr">
        <is>
          <t>NEED_SOURCE</t>
        </is>
      </c>
      <c r="AB256" t="n">
        <v>7</v>
      </c>
      <c r="AC256" t="inlineStr">
        <is>
          <t>atgm</t>
        </is>
      </c>
      <c r="AD256" t="inlineStr">
        <is>
          <t>Wikipedia '9M133 Kornet': 2-3 rpm</t>
        </is>
      </c>
      <c r="AE256" t="inlineStr"/>
      <c r="AF256" t="inlineStr">
        <is>
          <t>Tools/balance/full_weapon_audit.py: REAL / WARHEAD; balance.json weapons[id=p26_matriarch_ma_atgm].real</t>
        </is>
      </c>
      <c r="AG256" t="inlineStr"/>
    </row>
    <row r="257">
      <c r="A257" t="inlineStr">
        <is>
          <t>p26_matriarch_ma_drones</t>
        </is>
      </c>
      <c r="B257" t="inlineStr">
        <is>
          <t>p26_matriarch_ma_drones</t>
        </is>
      </c>
      <c r="C257" t="inlineStr">
        <is>
          <t>ZALA Lancet-3 swarm</t>
        </is>
      </c>
      <c r="D257" t="inlineStr">
        <is>
          <t>doi_that</t>
        </is>
      </c>
      <c r="E257" t="inlineStr">
        <is>
          <t>ZALA Lancet-3 swarm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ban_dau_doan</t>
        </is>
      </c>
      <c r="P257" t="inlineStr">
        <is>
          <t>R_balance</t>
        </is>
      </c>
      <c r="Q257" t="inlineStr"/>
      <c r="R25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7" t="inlineStr">
        <is>
          <t>NEED_SOURCE</t>
        </is>
      </c>
      <c r="T257" t="inlineStr">
        <is>
          <t>NEED_SOURCE</t>
        </is>
      </c>
      <c r="U257" t="inlineStr">
        <is>
          <t>NEED_SOURCE</t>
        </is>
      </c>
      <c r="V257" t="inlineStr">
        <is>
          <t>NEED_SOURCE</t>
        </is>
      </c>
      <c r="W257" t="inlineStr">
        <is>
          <t>NEED_SOURCE</t>
        </is>
      </c>
      <c r="X257" t="inlineStr">
        <is>
          <t>NEED_SOURCE</t>
        </is>
      </c>
      <c r="Y257" t="inlineStr">
        <is>
          <t>NEED_SOURCE</t>
        </is>
      </c>
      <c r="Z257" t="inlineStr">
        <is>
          <t>NEED_SOURCE</t>
        </is>
      </c>
      <c r="AA257" t="inlineStr">
        <is>
          <t>NEED_SOURCE</t>
        </is>
      </c>
      <c r="AB257" t="inlineStr"/>
      <c r="AC257" t="inlineStr"/>
      <c r="AD257" t="inlineStr"/>
      <c r="AE257" t="inlineStr"/>
      <c r="AF257" t="inlineStr">
        <is>
          <t>Tools/balance/full_weapon_audit.py: REAL / WARHEAD; balance.json weapons[id=p26_matriarch_ma_drones].real</t>
        </is>
      </c>
      <c r="AG257" t="inlineStr"/>
    </row>
    <row r="258">
      <c r="A258" t="inlineStr">
        <is>
          <t>p26_matriarch_sec_autocannon_30</t>
        </is>
      </c>
      <c r="B258" t="inlineStr">
        <is>
          <t>p26_matriarch_sec_autocannon_30</t>
        </is>
      </c>
      <c r="C258" t="inlineStr">
        <is>
          <t>2A42 30 mm</t>
        </is>
      </c>
      <c r="D258" t="inlineStr">
        <is>
          <t>doi_that</t>
        </is>
      </c>
      <c r="E258" t="inlineStr">
        <is>
          <t>2A42 30 mm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da_kiem_chung</t>
        </is>
      </c>
      <c r="P258" t="inlineStr">
        <is>
          <t>R_balance;R_full_weapon_audit;W_wikipedia_2a42</t>
        </is>
      </c>
      <c r="Q258" t="inlineStr"/>
      <c r="R25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8" t="n">
        <v>30</v>
      </c>
      <c r="T258" t="inlineStr">
        <is>
          <t>NEED_SOURCE</t>
        </is>
      </c>
      <c r="U258" t="inlineStr">
        <is>
          <t>NEED_SOURCE</t>
        </is>
      </c>
      <c r="V258" t="inlineStr">
        <is>
          <t>NEED_SOURCE</t>
        </is>
      </c>
      <c r="W258" t="inlineStr">
        <is>
          <t>NEED_SOURCE</t>
        </is>
      </c>
      <c r="X258" t="n">
        <v>800</v>
      </c>
      <c r="Y258" t="n">
        <v>300</v>
      </c>
      <c r="Z258" t="inlineStr">
        <is>
          <t>NEED_SOURCE</t>
        </is>
      </c>
      <c r="AA258" t="inlineStr">
        <is>
          <t>NEED_SOURCE</t>
        </is>
      </c>
      <c r="AB258" t="inlineStr"/>
      <c r="AC258" t="inlineStr">
        <is>
          <t>ac</t>
        </is>
      </c>
      <c r="AD258" t="inlineStr">
        <is>
          <t>Wikipedia '2A42': 550-800 high, 200-300 low rpm</t>
        </is>
      </c>
      <c r="AE258" t="inlineStr"/>
      <c r="AF258" t="inlineStr">
        <is>
          <t>Tools/balance/full_weapon_audit.py: REAL / WARHEAD; balance.json weapons[id=p26_matriarch_sec_autocannon_30].real</t>
        </is>
      </c>
      <c r="AG258" t="inlineStr"/>
    </row>
    <row r="259">
      <c r="A259" t="inlineStr">
        <is>
          <t>p26_matriarch_tiny_mothership_cannon</t>
        </is>
      </c>
      <c r="B259" t="inlineStr">
        <is>
          <t>p26_matriarch_tiny_mothership_cannon</t>
        </is>
      </c>
      <c r="C259" t="inlineStr">
        <is>
          <t>AU-220 57 mm</t>
        </is>
      </c>
      <c r="D259" t="inlineStr">
        <is>
          <t>doi_that</t>
        </is>
      </c>
      <c r="E259" t="inlineStr">
        <is>
          <t>AU-220 57 mm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da_kiem_chung</t>
        </is>
      </c>
      <c r="P259" t="inlineStr">
        <is>
          <t>R_balance;R_full_weapon_audit;W_wikipedia_au_220m</t>
        </is>
      </c>
      <c r="Q259" t="inlineStr"/>
      <c r="R25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9" t="n">
        <v>57</v>
      </c>
      <c r="T259" t="inlineStr">
        <is>
          <t>NEED_SOURCE</t>
        </is>
      </c>
      <c r="U259" t="inlineStr">
        <is>
          <t>NEED_SOURCE</t>
        </is>
      </c>
      <c r="V259" t="inlineStr">
        <is>
          <t>NEED_SOURCE</t>
        </is>
      </c>
      <c r="W259" t="inlineStr">
        <is>
          <t>NEED_SOURCE</t>
        </is>
      </c>
      <c r="X259" t="n">
        <v>120</v>
      </c>
      <c r="Y259" t="n">
        <v>80</v>
      </c>
      <c r="Z259" t="inlineStr">
        <is>
          <t>NEED_SOURCE</t>
        </is>
      </c>
      <c r="AA259" t="inlineStr">
        <is>
          <t>NEED_SOURCE</t>
        </is>
      </c>
      <c r="AB259" t="inlineStr"/>
      <c r="AC259" t="inlineStr">
        <is>
          <t>ac</t>
        </is>
      </c>
      <c r="AD259" t="inlineStr">
        <is>
          <t>Wikipedia 'AU-220M': 80-120 rpm</t>
        </is>
      </c>
      <c r="AE259" t="inlineStr"/>
      <c r="AF259" t="inlineStr">
        <is>
          <t>Tools/balance/full_weapon_audit.py: REAL / WARHEAD; balance.json weapons[id=p26_matriarch_tiny_mothership_cannon].real</t>
        </is>
      </c>
      <c r="AG259" t="inlineStr"/>
    </row>
    <row r="260">
      <c r="A260" t="inlineStr">
        <is>
          <t>p26_moloch_close_boss_flak</t>
        </is>
      </c>
      <c r="B260" t="inlineStr">
        <is>
          <t>p26_moloch_close_boss_flak</t>
        </is>
      </c>
      <c r="C260" t="inlineStr">
        <is>
          <t>Oerlikon 35 mm (twin)</t>
        </is>
      </c>
      <c r="D260" t="inlineStr">
        <is>
          <t>doi_that</t>
        </is>
      </c>
      <c r="E260" t="inlineStr">
        <is>
          <t>Oerlikon 35 mm (twin)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da_kiem_chung</t>
        </is>
      </c>
      <c r="P260" t="inlineStr">
        <is>
          <t>R_balance;R_full_weapon_audit;W_wikipedia_oerlikon_gdf</t>
        </is>
      </c>
      <c r="Q260" t="inlineStr"/>
      <c r="R26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0" t="n">
        <v>35</v>
      </c>
      <c r="T260" t="inlineStr">
        <is>
          <t>NEED_SOURCE</t>
        </is>
      </c>
      <c r="U260" t="inlineStr">
        <is>
          <t>NEED_SOURCE</t>
        </is>
      </c>
      <c r="V260" t="inlineStr">
        <is>
          <t>NEED_SOURCE</t>
        </is>
      </c>
      <c r="W260" t="inlineStr">
        <is>
          <t>NEED_SOURCE</t>
        </is>
      </c>
      <c r="X260" t="n">
        <v>550</v>
      </c>
      <c r="Y260" t="n">
        <v>300</v>
      </c>
      <c r="Z260" t="inlineStr">
        <is>
          <t>NEED_SOURCE</t>
        </is>
      </c>
      <c r="AA260" t="inlineStr">
        <is>
          <t>NEED_SOURCE</t>
        </is>
      </c>
      <c r="AB260" t="inlineStr"/>
      <c r="AC260" t="inlineStr">
        <is>
          <t>aa</t>
        </is>
      </c>
      <c r="AD260" t="inlineStr">
        <is>
          <t>Wikipedia 'Oerlikon GDF': 550 rpm a gun (the twin: 1,100)</t>
        </is>
      </c>
      <c r="AE260" t="inlineStr"/>
      <c r="AF260" t="inlineStr">
        <is>
          <t>Tools/balance/full_weapon_audit.py: REAL / WARHEAD; balance.json weapons[id=p26_moloch_close_boss_flak].real</t>
        </is>
      </c>
      <c r="AG260" t="inlineStr"/>
    </row>
    <row r="261">
      <c r="A261" t="inlineStr">
        <is>
          <t>p26_moloch_direct_mo120ap</t>
        </is>
      </c>
      <c r="B261" t="inlineStr">
        <is>
          <t>p26_moloch_direct_mo120ap</t>
        </is>
      </c>
      <c r="C261" t="inlineStr">
        <is>
          <t>Rh-120 L/44 120 mm AP (twin)</t>
        </is>
      </c>
      <c r="D261" t="inlineStr">
        <is>
          <t>doi_that</t>
        </is>
      </c>
      <c r="E261" t="inlineStr">
        <is>
          <t>Rh-120 L/44 120 mm AP (twin)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nhịp chậm hơn 30 % và mạnh hơn tương ứng (luật súng của game)</t>
        </is>
      </c>
      <c r="M261" t="inlineStr">
        <is>
          <t>gameplay</t>
        </is>
      </c>
      <c r="N261" t="inlineStr"/>
      <c r="O261" t="inlineStr">
        <is>
          <t>da_kiem_chung</t>
        </is>
      </c>
      <c r="P261" t="inlineStr">
        <is>
          <t>R_balance;R_full_weapon_audit;W_wikipedia_rheinmetall_120_mm_gun;R_machine_brigade_can_bang</t>
        </is>
      </c>
      <c r="Q261" t="inlineStr"/>
      <c r="R26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1" t="n">
        <v>120</v>
      </c>
      <c r="T261" t="inlineStr">
        <is>
          <t>NEED_SOURCE</t>
        </is>
      </c>
      <c r="U261" t="inlineStr">
        <is>
          <t>NEED_SOURCE</t>
        </is>
      </c>
      <c r="V261" t="inlineStr">
        <is>
          <t>NEED_SOURCE</t>
        </is>
      </c>
      <c r="W261" t="inlineStr">
        <is>
          <t>NEED_SOURCE</t>
        </is>
      </c>
      <c r="X261" t="n">
        <v>8</v>
      </c>
      <c r="Y261" t="n">
        <v>6</v>
      </c>
      <c r="Z261" t="inlineStr">
        <is>
          <t>tay</t>
        </is>
      </c>
      <c r="AA261" t="inlineStr">
        <is>
          <t>NEED_SOURCE</t>
        </is>
      </c>
      <c r="AB261" t="inlineStr"/>
      <c r="AC261" t="inlineStr">
        <is>
          <t>gun</t>
        </is>
      </c>
      <c r="AD261" t="inlineStr">
        <is>
          <t>the sheet's 'Ngoài đời': Rh-120 6-8 rpm with a loader (Wikipedia 'Rheinmetall 120 mm gun')</t>
        </is>
      </c>
      <c r="AE261" t="inlineStr"/>
      <c r="AF261" t="inlineStr">
        <is>
          <t>Tools/balance/full_weapon_audit.py: REAL / WARHEAD; balance.json weapons[id=p26_moloch_direct_mo120ap].real</t>
        </is>
      </c>
      <c r="AG261" t="inlineStr"/>
    </row>
    <row r="262">
      <c r="A262" t="inlineStr">
        <is>
          <t>p26_moloch_main_mo120</t>
        </is>
      </c>
      <c r="B262" t="inlineStr">
        <is>
          <t>p26_moloch_main_mo120</t>
        </is>
      </c>
      <c r="C262" t="inlineStr">
        <is>
          <t>Rh-120 L/44 120 mm HE (twin)</t>
        </is>
      </c>
      <c r="D262" t="inlineStr">
        <is>
          <t>doi_that</t>
        </is>
      </c>
      <c r="E262" t="inlineStr">
        <is>
          <t>Rh-120 L/44 120 mm HE (twin)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nhịp chậm hơn 30 % và mạnh hơn tương ứng (luật súng của game)</t>
        </is>
      </c>
      <c r="M262" t="inlineStr">
        <is>
          <t>gameplay</t>
        </is>
      </c>
      <c r="N262" t="inlineStr"/>
      <c r="O262" t="inlineStr">
        <is>
          <t>da_kiem_chung</t>
        </is>
      </c>
      <c r="P262" t="inlineStr">
        <is>
          <t>R_balance;R_full_weapon_audit;W_wikipedia_rheinmetall_120_mm_gun;R_machine_brigade_can_bang</t>
        </is>
      </c>
      <c r="Q262" t="inlineStr"/>
      <c r="R26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2" t="n">
        <v>120</v>
      </c>
      <c r="T262" t="inlineStr">
        <is>
          <t>NEED_SOURCE</t>
        </is>
      </c>
      <c r="U262" t="inlineStr">
        <is>
          <t>NEED_SOURCE</t>
        </is>
      </c>
      <c r="V262" t="inlineStr">
        <is>
          <t>NEED_SOURCE</t>
        </is>
      </c>
      <c r="W262" t="inlineStr">
        <is>
          <t>NEED_SOURCE</t>
        </is>
      </c>
      <c r="X262" t="n">
        <v>8</v>
      </c>
      <c r="Y262" t="n">
        <v>6</v>
      </c>
      <c r="Z262" t="inlineStr">
        <is>
          <t>tay</t>
        </is>
      </c>
      <c r="AA262" t="inlineStr">
        <is>
          <t>NEED_SOURCE</t>
        </is>
      </c>
      <c r="AB262" t="inlineStr"/>
      <c r="AC262" t="inlineStr">
        <is>
          <t>gun</t>
        </is>
      </c>
      <c r="AD262" t="inlineStr">
        <is>
          <t>the sheet's 'Ngoài đời': Rh-120 6-8 rpm with a loader (Wikipedia 'Rheinmetall 120 mm gun')</t>
        </is>
      </c>
      <c r="AE262" t="inlineStr"/>
      <c r="AF262" t="inlineStr">
        <is>
          <t>Tools/balance/full_weapon_audit.py: REAL / WARHEAD; balance.json weapons[id=p26_moloch_main_mo120].real</t>
        </is>
      </c>
      <c r="AG262" t="inlineStr"/>
    </row>
    <row r="263">
      <c r="A263" t="inlineStr">
        <is>
          <t>p26_moloch_mo120</t>
        </is>
      </c>
      <c r="B263" t="inlineStr">
        <is>
          <t>p26_moloch_mo120</t>
        </is>
      </c>
      <c r="C263" t="inlineStr">
        <is>
          <t>Rh-120 L/44 120 mm HE</t>
        </is>
      </c>
      <c r="D263" t="inlineStr">
        <is>
          <t>doi_that</t>
        </is>
      </c>
      <c r="E263" t="inlineStr">
        <is>
          <t>Rh-120 L/44 120 mm HE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nhịp chậm hơn 30 % và mạnh hơn tương ứng (luật súng của game)</t>
        </is>
      </c>
      <c r="M263" t="inlineStr">
        <is>
          <t>gameplay</t>
        </is>
      </c>
      <c r="N263" t="inlineStr"/>
      <c r="O263" t="inlineStr">
        <is>
          <t>da_kiem_chung</t>
        </is>
      </c>
      <c r="P263" t="inlineStr">
        <is>
          <t>R_balance;R_full_weapon_audit;W_wikipedia_rheinmetall_120_mm_gun;R_machine_brigade_can_bang</t>
        </is>
      </c>
      <c r="Q263" t="inlineStr"/>
      <c r="R26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3" t="n">
        <v>120</v>
      </c>
      <c r="T263" t="inlineStr">
        <is>
          <t>NEED_SOURCE</t>
        </is>
      </c>
      <c r="U263" t="inlineStr">
        <is>
          <t>NEED_SOURCE</t>
        </is>
      </c>
      <c r="V263" t="inlineStr">
        <is>
          <t>NEED_SOURCE</t>
        </is>
      </c>
      <c r="W263" t="inlineStr">
        <is>
          <t>NEED_SOURCE</t>
        </is>
      </c>
      <c r="X263" t="n">
        <v>8</v>
      </c>
      <c r="Y263" t="n">
        <v>6</v>
      </c>
      <c r="Z263" t="inlineStr">
        <is>
          <t>tay</t>
        </is>
      </c>
      <c r="AA263" t="inlineStr">
        <is>
          <t>NEED_SOURCE</t>
        </is>
      </c>
      <c r="AB263" t="inlineStr"/>
      <c r="AC263" t="inlineStr">
        <is>
          <t>gun</t>
        </is>
      </c>
      <c r="AD263" t="inlineStr">
        <is>
          <t>the sheet's 'Ngoài đời': Rh-120 6-8 rpm with a loader (Wikipedia 'Rheinmetall 120 mm gun')</t>
        </is>
      </c>
      <c r="AE263" t="inlineStr"/>
      <c r="AF263" t="inlineStr">
        <is>
          <t>Tools/balance/full_weapon_audit.py: REAL / WARHEAD; balance.json weapons[id=p26_moloch_mo120].real</t>
        </is>
      </c>
      <c r="AG263" t="inlineStr"/>
    </row>
    <row r="264">
      <c r="A264" t="inlineStr">
        <is>
          <t>p26_moloch_mo120ap</t>
        </is>
      </c>
      <c r="B264" t="inlineStr">
        <is>
          <t>p26_moloch_mo120ap</t>
        </is>
      </c>
      <c r="C264" t="inlineStr">
        <is>
          <t>Rh-120 L/44 120 mm AP</t>
        </is>
      </c>
      <c r="D264" t="inlineStr">
        <is>
          <t>doi_that</t>
        </is>
      </c>
      <c r="E264" t="inlineStr">
        <is>
          <t>Rh-120 L/44 120 mm AP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nhịp chậm hơn 30 % và mạnh hơn tương ứng (luật súng của game)</t>
        </is>
      </c>
      <c r="M264" t="inlineStr">
        <is>
          <t>gameplay</t>
        </is>
      </c>
      <c r="N264" t="inlineStr"/>
      <c r="O264" t="inlineStr">
        <is>
          <t>da_kiem_chung</t>
        </is>
      </c>
      <c r="P264" t="inlineStr">
        <is>
          <t>R_balance;R_full_weapon_audit;W_wikipedia_rheinmetall_120_mm_gun;R_machine_brigade_can_bang</t>
        </is>
      </c>
      <c r="Q264" t="inlineStr"/>
      <c r="R26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4" t="n">
        <v>120</v>
      </c>
      <c r="T264" t="inlineStr">
        <is>
          <t>NEED_SOURCE</t>
        </is>
      </c>
      <c r="U264" t="inlineStr">
        <is>
          <t>NEED_SOURCE</t>
        </is>
      </c>
      <c r="V264" t="inlineStr">
        <is>
          <t>NEED_SOURCE</t>
        </is>
      </c>
      <c r="W264" t="inlineStr">
        <is>
          <t>NEED_SOURCE</t>
        </is>
      </c>
      <c r="X264" t="n">
        <v>8</v>
      </c>
      <c r="Y264" t="n">
        <v>6</v>
      </c>
      <c r="Z264" t="inlineStr">
        <is>
          <t>tay</t>
        </is>
      </c>
      <c r="AA264" t="inlineStr">
        <is>
          <t>NEED_SOURCE</t>
        </is>
      </c>
      <c r="AB264" t="inlineStr"/>
      <c r="AC264" t="inlineStr">
        <is>
          <t>gun</t>
        </is>
      </c>
      <c r="AD264" t="inlineStr">
        <is>
          <t>the sheet's 'Ngoài đời': Rh-120 6-8 rpm with a loader (Wikipedia 'Rheinmetall 120 mm gun')</t>
        </is>
      </c>
      <c r="AE264" t="inlineStr"/>
      <c r="AF264" t="inlineStr">
        <is>
          <t>Tools/balance/full_weapon_audit.py: REAL / WARHEAD; balance.json weapons[id=p26_moloch_mo120ap].real</t>
        </is>
      </c>
      <c r="AG264" t="inlineStr"/>
    </row>
    <row r="265">
      <c r="A265" t="inlineStr">
        <is>
          <t>p26_moloch_tiny_zu23</t>
        </is>
      </c>
      <c r="B265" t="inlineStr">
        <is>
          <t>p26_moloch_tiny_zu23</t>
        </is>
      </c>
      <c r="C265" t="inlineStr">
        <is>
          <t>ZU-23-2 23 mm</t>
        </is>
      </c>
      <c r="D265" t="inlineStr">
        <is>
          <t>doi_that</t>
        </is>
      </c>
      <c r="E265" t="inlineStr">
        <is>
          <t>ZU-23-2 23 mm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da_kiem_chung</t>
        </is>
      </c>
      <c r="P265" t="inlineStr">
        <is>
          <t>R_balance;R_full_weapon_audit;W_wikipedia_zu_23_2</t>
        </is>
      </c>
      <c r="Q265" t="inlineStr"/>
      <c r="R26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5" t="n">
        <v>23</v>
      </c>
      <c r="T265" t="inlineStr">
        <is>
          <t>NEED_SOURCE</t>
        </is>
      </c>
      <c r="U265" t="inlineStr">
        <is>
          <t>NEED_SOURCE</t>
        </is>
      </c>
      <c r="V265" t="inlineStr">
        <is>
          <t>NEED_SOURCE</t>
        </is>
      </c>
      <c r="W265" t="inlineStr">
        <is>
          <t>NEED_SOURCE</t>
        </is>
      </c>
      <c r="X265" t="n">
        <v>1000</v>
      </c>
      <c r="Y265" t="n">
        <v>400</v>
      </c>
      <c r="Z265" t="inlineStr">
        <is>
          <t>NEED_SOURCE</t>
        </is>
      </c>
      <c r="AA265" t="inlineStr">
        <is>
          <t>NEED_SOURCE</t>
        </is>
      </c>
      <c r="AB265" t="inlineStr"/>
      <c r="AC265" t="inlineStr">
        <is>
          <t>aa</t>
        </is>
      </c>
      <c r="AD265" t="inlineStr">
        <is>
          <t>Wikipedia 'ZU-23-2': 2 x 800-1,000 rpm</t>
        </is>
      </c>
      <c r="AE265" t="inlineStr"/>
      <c r="AF265" t="inlineStr">
        <is>
          <t>Tools/balance/full_weapon_audit.py: REAL / WARHEAD; balance.json weapons[id=p26_moloch_tiny_zu23].real</t>
        </is>
      </c>
      <c r="AG265" t="inlineStr"/>
    </row>
    <row r="266">
      <c r="A266" t="inlineStr">
        <is>
          <t>p26_nemesis_close_boss_flak</t>
        </is>
      </c>
      <c r="B266" t="inlineStr">
        <is>
          <t>p26_nemesis_close_boss_flak</t>
        </is>
      </c>
      <c r="C266" t="inlineStr">
        <is>
          <t>Oerlikon 35 mm (twin)</t>
        </is>
      </c>
      <c r="D266" t="inlineStr">
        <is>
          <t>doi_that</t>
        </is>
      </c>
      <c r="E266" t="inlineStr">
        <is>
          <t>Oerlikon 35 mm (twin)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da_kiem_chung</t>
        </is>
      </c>
      <c r="P266" t="inlineStr">
        <is>
          <t>R_balance;R_full_weapon_audit;W_wikipedia_oerlikon_gdf</t>
        </is>
      </c>
      <c r="Q266" t="inlineStr"/>
      <c r="R26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6" t="n">
        <v>35</v>
      </c>
      <c r="T266" t="inlineStr">
        <is>
          <t>NEED_SOURCE</t>
        </is>
      </c>
      <c r="U266" t="inlineStr">
        <is>
          <t>NEED_SOURCE</t>
        </is>
      </c>
      <c r="V266" t="inlineStr">
        <is>
          <t>NEED_SOURCE</t>
        </is>
      </c>
      <c r="W266" t="inlineStr">
        <is>
          <t>NEED_SOURCE</t>
        </is>
      </c>
      <c r="X266" t="n">
        <v>550</v>
      </c>
      <c r="Y266" t="n">
        <v>300</v>
      </c>
      <c r="Z266" t="inlineStr">
        <is>
          <t>NEED_SOURCE</t>
        </is>
      </c>
      <c r="AA266" t="inlineStr">
        <is>
          <t>NEED_SOURCE</t>
        </is>
      </c>
      <c r="AB266" t="inlineStr"/>
      <c r="AC266" t="inlineStr">
        <is>
          <t>aa</t>
        </is>
      </c>
      <c r="AD266" t="inlineStr">
        <is>
          <t>Wikipedia 'Oerlikon GDF': 550 rpm a gun (the twin: 1,100)</t>
        </is>
      </c>
      <c r="AE266" t="inlineStr"/>
      <c r="AF266" t="inlineStr">
        <is>
          <t>Tools/balance/full_weapon_audit.py: REAL / WARHEAD; balance.json weapons[id=p26_nemesis_close_boss_flak].real</t>
        </is>
      </c>
      <c r="AG266" t="inlineStr"/>
    </row>
    <row r="267">
      <c r="A267" t="inlineStr">
        <is>
          <t>p26_nemesis_direct_ne125</t>
        </is>
      </c>
      <c r="B267" t="inlineStr">
        <is>
          <t>p26_nemesis_direct_ne125</t>
        </is>
      </c>
      <c r="C267" t="inlineStr">
        <is>
          <t>2A46 125 mm</t>
        </is>
      </c>
      <c r="D267" t="inlineStr">
        <is>
          <t>doi_that</t>
        </is>
      </c>
      <c r="E267" t="inlineStr">
        <is>
          <t>2A46 125 mm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nhịp chậm hơn 30 % và mạnh hơn tương ứng (luật súng của game)</t>
        </is>
      </c>
      <c r="M267" t="inlineStr">
        <is>
          <t>gameplay</t>
        </is>
      </c>
      <c r="N267" t="inlineStr"/>
      <c r="O267" t="inlineStr">
        <is>
          <t>da_kiem_chung</t>
        </is>
      </c>
      <c r="P267" t="inlineStr">
        <is>
          <t>R_balance;R_full_weapon_audit;W_wikipedia_2a46</t>
        </is>
      </c>
      <c r="Q267" t="inlineStr"/>
      <c r="R26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7" t="n">
        <v>125</v>
      </c>
      <c r="T267" t="inlineStr">
        <is>
          <t>NEED_SOURCE</t>
        </is>
      </c>
      <c r="U267" t="inlineStr">
        <is>
          <t>NEED_SOURCE</t>
        </is>
      </c>
      <c r="V267" t="inlineStr">
        <is>
          <t>NEED_SOURCE</t>
        </is>
      </c>
      <c r="W267" t="inlineStr">
        <is>
          <t>NEED_SOURCE</t>
        </is>
      </c>
      <c r="X267" t="n">
        <v>8</v>
      </c>
      <c r="Y267" t="n">
        <v>7</v>
      </c>
      <c r="Z267" t="inlineStr">
        <is>
          <t>tu_dong</t>
        </is>
      </c>
      <c r="AA267" t="inlineStr">
        <is>
          <t>NEED_SOURCE</t>
        </is>
      </c>
      <c r="AB267" t="inlineStr"/>
      <c r="AC267" t="inlineStr">
        <is>
          <t>gun</t>
        </is>
      </c>
      <c r="AD267" t="inlineStr">
        <is>
          <t>Wikipedia '2A46': 7-8 rpm with the autoloader</t>
        </is>
      </c>
      <c r="AE267" t="inlineStr"/>
      <c r="AF267" t="inlineStr">
        <is>
          <t>Tools/balance/full_weapon_audit.py: REAL / WARHEAD; balance.json weapons[id=p26_nemesis_direct_ne125].real</t>
        </is>
      </c>
      <c r="AG267" t="inlineStr"/>
    </row>
    <row r="268">
      <c r="A268" t="inlineStr">
        <is>
          <t>p26_nemesis_main_ne152</t>
        </is>
      </c>
      <c r="B268" t="inlineStr">
        <is>
          <t>p26_nemesis_main_ne152</t>
        </is>
      </c>
      <c r="C268" t="inlineStr">
        <is>
          <t>152 mm railcar gun</t>
        </is>
      </c>
      <c r="D268" t="inlineStr">
        <is>
          <t>doi_that</t>
        </is>
      </c>
      <c r="E268" t="inlineStr">
        <is>
          <t>152 mm railcar gun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nhịp chậm hơn 30 % và mạnh hơn tương ứng (luật súng của game)</t>
        </is>
      </c>
      <c r="M268" t="inlineStr">
        <is>
          <t>gameplay</t>
        </is>
      </c>
      <c r="N268" t="inlineStr"/>
      <c r="O268" t="inlineStr">
        <is>
          <t>uoc_dinh</t>
        </is>
      </c>
      <c r="P268" t="inlineStr">
        <is>
          <t>R_balance;R_full_weapon_audit</t>
        </is>
      </c>
      <c r="Q268" t="inlineStr"/>
      <c r="R26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8" t="n">
        <v>152</v>
      </c>
      <c r="T268" t="inlineStr">
        <is>
          <t>NEED_SOURCE</t>
        </is>
      </c>
      <c r="U268" t="inlineStr">
        <is>
          <t>NEED_SOURCE</t>
        </is>
      </c>
      <c r="V268" t="inlineStr">
        <is>
          <t>NEED_SOURCE</t>
        </is>
      </c>
      <c r="W268" t="inlineStr">
        <is>
          <t>NEED_SOURCE</t>
        </is>
      </c>
      <c r="X268" t="n">
        <v>8</v>
      </c>
      <c r="Y268" t="n">
        <v>6</v>
      </c>
      <c r="Z268" t="inlineStr">
        <is>
          <t>NEED_SOURCE</t>
        </is>
      </c>
      <c r="AA268" t="inlineStr">
        <is>
          <t>NEED_SOURCE</t>
        </is>
      </c>
      <c r="AB268" t="inlineStr"/>
      <c r="AC268" t="inlineStr">
        <is>
          <t>gun</t>
        </is>
      </c>
      <c r="AD268" t="inlineStr">
        <is>
          <t>a 152 mm railway mount of the 2A65 class, est. 7-8 rpm</t>
        </is>
      </c>
      <c r="AE268" t="inlineStr"/>
      <c r="AF268" t="inlineStr">
        <is>
          <t>Tools/balance/full_weapon_audit.py: REAL / WARHEAD; balance.json weapons[id=p26_nemesis_main_ne152].real</t>
        </is>
      </c>
      <c r="AG268" t="inlineStr"/>
    </row>
    <row r="269">
      <c r="A269" t="inlineStr">
        <is>
          <t>p26_nemesis_ne125</t>
        </is>
      </c>
      <c r="B269" t="inlineStr">
        <is>
          <t>p26_nemesis_ne125</t>
        </is>
      </c>
      <c r="C269" t="inlineStr">
        <is>
          <t>2A46 125 mm</t>
        </is>
      </c>
      <c r="D269" t="inlineStr">
        <is>
          <t>doi_that</t>
        </is>
      </c>
      <c r="E269" t="inlineStr">
        <is>
          <t>2A46 125 mm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nhịp chậm hơn 30 % và mạnh hơn tương ứng (luật súng của game)</t>
        </is>
      </c>
      <c r="M269" t="inlineStr">
        <is>
          <t>gameplay</t>
        </is>
      </c>
      <c r="N269" t="inlineStr"/>
      <c r="O269" t="inlineStr">
        <is>
          <t>da_kiem_chung</t>
        </is>
      </c>
      <c r="P269" t="inlineStr">
        <is>
          <t>R_balance;R_full_weapon_audit;W_wikipedia_2a46</t>
        </is>
      </c>
      <c r="Q269" t="inlineStr"/>
      <c r="R26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9" t="n">
        <v>125</v>
      </c>
      <c r="T269" t="inlineStr">
        <is>
          <t>NEED_SOURCE</t>
        </is>
      </c>
      <c r="U269" t="inlineStr">
        <is>
          <t>NEED_SOURCE</t>
        </is>
      </c>
      <c r="V269" t="inlineStr">
        <is>
          <t>NEED_SOURCE</t>
        </is>
      </c>
      <c r="W269" t="inlineStr">
        <is>
          <t>NEED_SOURCE</t>
        </is>
      </c>
      <c r="X269" t="n">
        <v>8</v>
      </c>
      <c r="Y269" t="n">
        <v>7</v>
      </c>
      <c r="Z269" t="inlineStr">
        <is>
          <t>tu_dong</t>
        </is>
      </c>
      <c r="AA269" t="inlineStr">
        <is>
          <t>NEED_SOURCE</t>
        </is>
      </c>
      <c r="AB269" t="inlineStr"/>
      <c r="AC269" t="inlineStr">
        <is>
          <t>gun</t>
        </is>
      </c>
      <c r="AD269" t="inlineStr">
        <is>
          <t>Wikipedia '2A46': 7-8 rpm with the autoloader</t>
        </is>
      </c>
      <c r="AE269" t="inlineStr"/>
      <c r="AF269" t="inlineStr">
        <is>
          <t>Tools/balance/full_weapon_audit.py: REAL / WARHEAD; balance.json weapons[id=p26_nemesis_ne125].real</t>
        </is>
      </c>
      <c r="AG269" t="inlineStr"/>
    </row>
    <row r="270">
      <c r="A270" t="inlineStr">
        <is>
          <t>p26_nemesis_ne152</t>
        </is>
      </c>
      <c r="B270" t="inlineStr">
        <is>
          <t>p26_nemesis_ne152</t>
        </is>
      </c>
      <c r="C270" t="inlineStr">
        <is>
          <t>152 mm railcar gun</t>
        </is>
      </c>
      <c r="D270" t="inlineStr">
        <is>
          <t>doi_that</t>
        </is>
      </c>
      <c r="E270" t="inlineStr">
        <is>
          <t>152 mm railcar gun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nhịp chậm hơn 30 % và mạnh hơn tương ứng (luật súng của game)</t>
        </is>
      </c>
      <c r="M270" t="inlineStr">
        <is>
          <t>gameplay</t>
        </is>
      </c>
      <c r="N270" t="inlineStr"/>
      <c r="O270" t="inlineStr">
        <is>
          <t>uoc_dinh</t>
        </is>
      </c>
      <c r="P270" t="inlineStr">
        <is>
          <t>R_balance;R_full_weapon_audit</t>
        </is>
      </c>
      <c r="Q270" t="inlineStr"/>
      <c r="R27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0" t="n">
        <v>152</v>
      </c>
      <c r="T270" t="inlineStr">
        <is>
          <t>NEED_SOURCE</t>
        </is>
      </c>
      <c r="U270" t="inlineStr">
        <is>
          <t>NEED_SOURCE</t>
        </is>
      </c>
      <c r="V270" t="inlineStr">
        <is>
          <t>NEED_SOURCE</t>
        </is>
      </c>
      <c r="W270" t="inlineStr">
        <is>
          <t>NEED_SOURCE</t>
        </is>
      </c>
      <c r="X270" t="n">
        <v>8</v>
      </c>
      <c r="Y270" t="n">
        <v>6</v>
      </c>
      <c r="Z270" t="inlineStr">
        <is>
          <t>NEED_SOURCE</t>
        </is>
      </c>
      <c r="AA270" t="inlineStr">
        <is>
          <t>NEED_SOURCE</t>
        </is>
      </c>
      <c r="AB270" t="inlineStr"/>
      <c r="AC270" t="inlineStr">
        <is>
          <t>gun</t>
        </is>
      </c>
      <c r="AD270" t="inlineStr">
        <is>
          <t>a 152 mm railway mount of the 2A65 class, est. 7-8 rpm</t>
        </is>
      </c>
      <c r="AE270" t="inlineStr"/>
      <c r="AF270" t="inlineStr">
        <is>
          <t>Tools/balance/full_weapon_audit.py: REAL / WARHEAD; balance.json weapons[id=p26_nemesis_ne152].real</t>
        </is>
      </c>
      <c r="AG270" t="inlineStr"/>
    </row>
    <row r="271">
      <c r="A271" t="inlineStr">
        <is>
          <t>p26_nemesis_sec_boss_rockets</t>
        </is>
      </c>
      <c r="B271" t="inlineStr">
        <is>
          <t>p26_nemesis_sec_boss_rockets</t>
        </is>
      </c>
      <c r="C271" t="inlineStr">
        <is>
          <t>BM-21 Grad 122 mm</t>
        </is>
      </c>
      <c r="D271" t="inlineStr">
        <is>
          <t>doi_that</t>
        </is>
      </c>
      <c r="E271" t="inlineStr">
        <is>
          <t>BM-21 Grad 122 mm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da_kiem_chung</t>
        </is>
      </c>
      <c r="P271" t="inlineStr">
        <is>
          <t>R_balance;R_full_weapon_audit;W_wikipedia_bm_21_grad</t>
        </is>
      </c>
      <c r="Q271" t="inlineStr"/>
      <c r="R27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1" t="n">
        <v>122</v>
      </c>
      <c r="T271" t="inlineStr">
        <is>
          <t>NEED_SOURCE</t>
        </is>
      </c>
      <c r="U271" t="inlineStr">
        <is>
          <t>NEED_SOURCE</t>
        </is>
      </c>
      <c r="V271" t="inlineStr">
        <is>
          <t>NEED_SOURCE</t>
        </is>
      </c>
      <c r="W271" t="inlineStr">
        <is>
          <t>NEED_SOURCE</t>
        </is>
      </c>
      <c r="X271" t="n">
        <v>120</v>
      </c>
      <c r="Y271" t="inlineStr">
        <is>
          <t>NEED_SOURCE</t>
        </is>
      </c>
      <c r="Z271" t="inlineStr">
        <is>
          <t>NEED_SOURCE</t>
        </is>
      </c>
      <c r="AA271" t="inlineStr">
        <is>
          <t>NEED_SOURCE</t>
        </is>
      </c>
      <c r="AB271" t="inlineStr"/>
      <c r="AC271" t="inlineStr">
        <is>
          <t>rocket</t>
        </is>
      </c>
      <c r="AD271" t="inlineStr">
        <is>
          <t>Wikipedia 'BM-21 Grad': 40 rockets in 20 s</t>
        </is>
      </c>
      <c r="AE271" t="inlineStr"/>
      <c r="AF271" t="inlineStr">
        <is>
          <t>Tools/balance/full_weapon_audit.py: REAL / WARHEAD; balance.json weapons[id=p26_nemesis_sec_boss_rockets].real</t>
        </is>
      </c>
      <c r="AG271" t="inlineStr"/>
    </row>
    <row r="272">
      <c r="A272" t="inlineStr">
        <is>
          <t>p26_roc_close_twin_30_bmpt</t>
        </is>
      </c>
      <c r="B272" t="inlineStr">
        <is>
          <t>p26_roc_close_twin_30_bmpt</t>
        </is>
      </c>
      <c r="C272" t="inlineStr">
        <is>
          <t>2A42 30 mm (twin)</t>
        </is>
      </c>
      <c r="D272" t="inlineStr">
        <is>
          <t>doi_that</t>
        </is>
      </c>
      <c r="E272" t="inlineStr">
        <is>
          <t>2A42 30 mm (twin)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da_kiem_chung</t>
        </is>
      </c>
      <c r="P272" t="inlineStr">
        <is>
          <t>R_balance;R_full_weapon_audit;W_wikipedia_2a42</t>
        </is>
      </c>
      <c r="Q272" t="inlineStr"/>
      <c r="R27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2" t="n">
        <v>30</v>
      </c>
      <c r="T272" t="inlineStr">
        <is>
          <t>NEED_SOURCE</t>
        </is>
      </c>
      <c r="U272" t="inlineStr">
        <is>
          <t>NEED_SOURCE</t>
        </is>
      </c>
      <c r="V272" t="inlineStr">
        <is>
          <t>NEED_SOURCE</t>
        </is>
      </c>
      <c r="W272" t="inlineStr">
        <is>
          <t>NEED_SOURCE</t>
        </is>
      </c>
      <c r="X272" t="n">
        <v>800</v>
      </c>
      <c r="Y272" t="n">
        <v>300</v>
      </c>
      <c r="Z272" t="inlineStr">
        <is>
          <t>NEED_SOURCE</t>
        </is>
      </c>
      <c r="AA272" t="inlineStr">
        <is>
          <t>NEED_SOURCE</t>
        </is>
      </c>
      <c r="AB272" t="inlineStr"/>
      <c r="AC272" t="inlineStr">
        <is>
          <t>ac</t>
        </is>
      </c>
      <c r="AD272" t="inlineStr">
        <is>
          <t>Wikipedia '2A42': 550-800 high, 200-300 low rpm</t>
        </is>
      </c>
      <c r="AE272" t="inlineStr"/>
      <c r="AF272" t="inlineStr">
        <is>
          <t>Tools/balance/full_weapon_audit.py: REAL / WARHEAD; balance.json weapons[id=p26_roc_close_twin_30_bmpt].real</t>
        </is>
      </c>
      <c r="AG272" t="inlineStr"/>
    </row>
    <row r="273">
      <c r="A273" t="inlineStr">
        <is>
          <t>p26_roc_direct_roc_atgm</t>
        </is>
      </c>
      <c r="B273" t="inlineStr">
        <is>
          <t>p26_roc_direct_roc_atgm</t>
        </is>
      </c>
      <c r="C273" t="inlineStr">
        <is>
          <t>Kornet (dropped from the bay)</t>
        </is>
      </c>
      <c r="D273" t="inlineStr">
        <is>
          <t>doi_that</t>
        </is>
      </c>
      <c r="E273" t="inlineStr">
        <is>
          <t>Kornet (dropped from the bay)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da_kiem_chung</t>
        </is>
      </c>
      <c r="P273" t="inlineStr">
        <is>
          <t>R_balance;R_full_weapon_audit;W_wikipedia_9m133_kornet</t>
        </is>
      </c>
      <c r="Q273" t="inlineStr"/>
      <c r="R27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3" t="inlineStr">
        <is>
          <t>NEED_SOURCE</t>
        </is>
      </c>
      <c r="T273" t="inlineStr">
        <is>
          <t>NEED_SOURCE</t>
        </is>
      </c>
      <c r="U273" t="inlineStr">
        <is>
          <t>NEED_SOURCE</t>
        </is>
      </c>
      <c r="V273" t="inlineStr">
        <is>
          <t>NEED_SOURCE</t>
        </is>
      </c>
      <c r="W273" t="inlineStr">
        <is>
          <t>NEED_SOURCE</t>
        </is>
      </c>
      <c r="X273" t="n">
        <v>3</v>
      </c>
      <c r="Y273" t="n">
        <v>3</v>
      </c>
      <c r="Z273" t="inlineStr">
        <is>
          <t>NEED_SOURCE</t>
        </is>
      </c>
      <c r="AA273" t="inlineStr">
        <is>
          <t>NEED_SOURCE</t>
        </is>
      </c>
      <c r="AB273" t="inlineStr">
        <is>
          <t>NEED_SOURCE</t>
        </is>
      </c>
      <c r="AC273" t="inlineStr">
        <is>
          <t>atgm</t>
        </is>
      </c>
      <c r="AD273" t="inlineStr">
        <is>
          <t>Wikipedia '9M133 Kornet': 2-3 rpm</t>
        </is>
      </c>
      <c r="AE273" t="inlineStr"/>
      <c r="AF273" t="inlineStr">
        <is>
          <t>Tools/balance/full_weapon_audit.py: REAL / WARHEAD; balance.json weapons[id=p26_roc_direct_roc_atgm].real</t>
        </is>
      </c>
      <c r="AG273" t="inlineStr"/>
    </row>
    <row r="274">
      <c r="A274" t="inlineStr">
        <is>
          <t>p26_roc_main_roc_bombs</t>
        </is>
      </c>
      <c r="B274" t="inlineStr">
        <is>
          <t>p26_roc_main_roc_bombs</t>
        </is>
      </c>
      <c r="C274" t="inlineStr">
        <is>
          <t>bomb-bay stick 400 kg</t>
        </is>
      </c>
      <c r="D274" t="inlineStr">
        <is>
          <t>doi_that</t>
        </is>
      </c>
      <c r="E274" t="inlineStr">
        <is>
          <t>bomb-bay stick 400 kg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uoc_dinh</t>
        </is>
      </c>
      <c r="P274" t="inlineStr">
        <is>
          <t>R_balance;R_full_weapon_audit</t>
        </is>
      </c>
      <c r="Q274" t="inlineStr"/>
      <c r="R27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4" t="inlineStr">
        <is>
          <t>NEED_SOURCE</t>
        </is>
      </c>
      <c r="T274" t="inlineStr">
        <is>
          <t>NEED_SOURCE</t>
        </is>
      </c>
      <c r="U274" t="inlineStr">
        <is>
          <t>NEED_SOURCE</t>
        </is>
      </c>
      <c r="V274" t="inlineStr">
        <is>
          <t>NEED_SOURCE</t>
        </is>
      </c>
      <c r="W274" t="inlineStr">
        <is>
          <t>NEED_SOURCE</t>
        </is>
      </c>
      <c r="X274" t="n">
        <v>600</v>
      </c>
      <c r="Y274" t="inlineStr">
        <is>
          <t>NEED_SOURCE</t>
        </is>
      </c>
      <c r="Z274" t="inlineStr">
        <is>
          <t>NEED_SOURCE</t>
        </is>
      </c>
      <c r="AA274" t="inlineStr">
        <is>
          <t>NEED_SOURCE</t>
        </is>
      </c>
      <c r="AB274" t="inlineStr"/>
      <c r="AC274" t="inlineStr">
        <is>
          <t>bomb</t>
        </is>
      </c>
      <c r="AD274" t="inlineStr">
        <is>
          <t>a stick's release, 0.1 s and up (est.)</t>
        </is>
      </c>
      <c r="AE274" t="inlineStr"/>
      <c r="AF274" t="inlineStr">
        <is>
          <t>Tools/balance/full_weapon_audit.py: REAL / WARHEAD; balance.json weapons[id=p26_roc_main_roc_bombs].real</t>
        </is>
      </c>
      <c r="AG274" t="inlineStr"/>
    </row>
    <row r="275">
      <c r="A275" t="inlineStr">
        <is>
          <t>p26_roc_roc105</t>
        </is>
      </c>
      <c r="B275" t="inlineStr">
        <is>
          <t>p26_roc_roc105</t>
        </is>
      </c>
      <c r="C275" t="inlineStr">
        <is>
          <t>M102 105 mm (gondola)</t>
        </is>
      </c>
      <c r="D275" t="inlineStr">
        <is>
          <t>doi_that</t>
        </is>
      </c>
      <c r="E275" t="inlineStr">
        <is>
          <t>M102 105 mm (gondola)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nhịp chậm hơn 30 % và mạnh hơn tương ứng (luật súng của game)</t>
        </is>
      </c>
      <c r="M275" t="inlineStr">
        <is>
          <t>gameplay</t>
        </is>
      </c>
      <c r="N275" t="inlineStr"/>
      <c r="O275" t="inlineStr">
        <is>
          <t>da_kiem_chung</t>
        </is>
      </c>
      <c r="P275" t="inlineStr">
        <is>
          <t>R_balance;R_full_weapon_audit;W_wikipedia_m102_howitzer;R_machine_brigade_can_bang</t>
        </is>
      </c>
      <c r="Q275" t="inlineStr"/>
      <c r="R27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5" t="n">
        <v>105</v>
      </c>
      <c r="T275" t="inlineStr">
        <is>
          <t>NEED_SOURCE</t>
        </is>
      </c>
      <c r="U275" t="inlineStr">
        <is>
          <t>NEED_SOURCE</t>
        </is>
      </c>
      <c r="V275" t="inlineStr">
        <is>
          <t>NEED_SOURCE</t>
        </is>
      </c>
      <c r="W275" t="inlineStr">
        <is>
          <t>NEED_SOURCE</t>
        </is>
      </c>
      <c r="X275" t="n">
        <v>10</v>
      </c>
      <c r="Y275" t="n">
        <v>3</v>
      </c>
      <c r="Z275" t="inlineStr">
        <is>
          <t>NEED_SOURCE</t>
        </is>
      </c>
      <c r="AA275" t="inlineStr">
        <is>
          <t>NEED_SOURCE</t>
        </is>
      </c>
      <c r="AB275" t="inlineStr"/>
      <c r="AC275" t="inlineStr">
        <is>
          <t>gun</t>
        </is>
      </c>
      <c r="AD275" t="inlineStr">
        <is>
          <t>the sheet's 'Ngoài đời': M102 10 rpm (Wikipedia 'M102 howitzer')</t>
        </is>
      </c>
      <c r="AE275" t="inlineStr"/>
      <c r="AF275" t="inlineStr">
        <is>
          <t>Tools/balance/full_weapon_audit.py: REAL / WARHEAD; balance.json weapons[id=p26_roc_roc105].real</t>
        </is>
      </c>
      <c r="AG275" t="inlineStr"/>
    </row>
    <row r="276">
      <c r="A276" t="inlineStr">
        <is>
          <t>p26_roc_roc_atgm</t>
        </is>
      </c>
      <c r="B276" t="inlineStr">
        <is>
          <t>p26_roc_roc_atgm</t>
        </is>
      </c>
      <c r="C276" t="inlineStr">
        <is>
          <t>Kornet (dropped from the bay)</t>
        </is>
      </c>
      <c r="D276" t="inlineStr">
        <is>
          <t>doi_that</t>
        </is>
      </c>
      <c r="E276" t="inlineStr">
        <is>
          <t>Kornet (dropped from the bay)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da_kiem_chung</t>
        </is>
      </c>
      <c r="P276" t="inlineStr">
        <is>
          <t>R_balance;R_full_weapon_audit;W_wikipedia_9m133_kornet</t>
        </is>
      </c>
      <c r="Q276" t="inlineStr"/>
      <c r="R27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6" t="inlineStr">
        <is>
          <t>NEED_SOURCE</t>
        </is>
      </c>
      <c r="T276" t="inlineStr">
        <is>
          <t>NEED_SOURCE</t>
        </is>
      </c>
      <c r="U276" t="inlineStr">
        <is>
          <t>NEED_SOURCE</t>
        </is>
      </c>
      <c r="V276" t="inlineStr">
        <is>
          <t>NEED_SOURCE</t>
        </is>
      </c>
      <c r="W276" t="inlineStr">
        <is>
          <t>NEED_SOURCE</t>
        </is>
      </c>
      <c r="X276" t="n">
        <v>3</v>
      </c>
      <c r="Y276" t="n">
        <v>3</v>
      </c>
      <c r="Z276" t="inlineStr">
        <is>
          <t>NEED_SOURCE</t>
        </is>
      </c>
      <c r="AA276" t="inlineStr">
        <is>
          <t>NEED_SOURCE</t>
        </is>
      </c>
      <c r="AB276" t="inlineStr">
        <is>
          <t>NEED_SOURCE</t>
        </is>
      </c>
      <c r="AC276" t="inlineStr">
        <is>
          <t>atgm</t>
        </is>
      </c>
      <c r="AD276" t="inlineStr">
        <is>
          <t>Wikipedia '9M133 Kornet': 2-3 rpm</t>
        </is>
      </c>
      <c r="AE276" t="inlineStr"/>
      <c r="AF276" t="inlineStr">
        <is>
          <t>Tools/balance/full_weapon_audit.py: REAL / WARHEAD; balance.json weapons[id=p26_roc_roc_atgm].real</t>
        </is>
      </c>
      <c r="AG276" t="inlineStr"/>
    </row>
    <row r="277">
      <c r="A277" t="inlineStr">
        <is>
          <t>p26_roc_roc_bombs</t>
        </is>
      </c>
      <c r="B277" t="inlineStr">
        <is>
          <t>p26_roc_roc_bombs</t>
        </is>
      </c>
      <c r="C277" t="inlineStr">
        <is>
          <t>bomb-bay stick 400 kg</t>
        </is>
      </c>
      <c r="D277" t="inlineStr">
        <is>
          <t>doi_that</t>
        </is>
      </c>
      <c r="E277" t="inlineStr">
        <is>
          <t>bomb-bay stick 400 kg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uoc_dinh</t>
        </is>
      </c>
      <c r="P277" t="inlineStr">
        <is>
          <t>R_balance;R_full_weapon_audit</t>
        </is>
      </c>
      <c r="Q277" t="inlineStr"/>
      <c r="R27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7" t="inlineStr">
        <is>
          <t>NEED_SOURCE</t>
        </is>
      </c>
      <c r="T277" t="inlineStr">
        <is>
          <t>NEED_SOURCE</t>
        </is>
      </c>
      <c r="U277" t="inlineStr">
        <is>
          <t>NEED_SOURCE</t>
        </is>
      </c>
      <c r="V277" t="inlineStr">
        <is>
          <t>NEED_SOURCE</t>
        </is>
      </c>
      <c r="W277" t="inlineStr">
        <is>
          <t>NEED_SOURCE</t>
        </is>
      </c>
      <c r="X277" t="n">
        <v>600</v>
      </c>
      <c r="Y277" t="inlineStr">
        <is>
          <t>NEED_SOURCE</t>
        </is>
      </c>
      <c r="Z277" t="inlineStr">
        <is>
          <t>NEED_SOURCE</t>
        </is>
      </c>
      <c r="AA277" t="inlineStr">
        <is>
          <t>NEED_SOURCE</t>
        </is>
      </c>
      <c r="AB277" t="inlineStr"/>
      <c r="AC277" t="inlineStr">
        <is>
          <t>bomb</t>
        </is>
      </c>
      <c r="AD277" t="inlineStr">
        <is>
          <t>a stick's release, 0.1 s and up (est.)</t>
        </is>
      </c>
      <c r="AE277" t="inlineStr"/>
      <c r="AF277" t="inlineStr">
        <is>
          <t>Tools/balance/full_weapon_audit.py: REAL / WARHEAD; balance.json weapons[id=p26_roc_roc_bombs].real</t>
        </is>
      </c>
      <c r="AG277" t="inlineStr"/>
    </row>
    <row r="278">
      <c r="A278" t="inlineStr">
        <is>
          <t>p26_typhon_direct_ty100</t>
        </is>
      </c>
      <c r="B278" t="inlineStr">
        <is>
          <t>p26_typhon_direct_ty100</t>
        </is>
      </c>
      <c r="C278" t="inlineStr">
        <is>
          <t>AK-100 100 mm (deck)</t>
        </is>
      </c>
      <c r="D278" t="inlineStr">
        <is>
          <t>doi_that</t>
        </is>
      </c>
      <c r="E278" t="inlineStr">
        <is>
          <t>AK-100 100 mm (deck)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nhịp chậm hơn 30 % và mạnh hơn tương ứng (luật súng của game)</t>
        </is>
      </c>
      <c r="M278" t="inlineStr">
        <is>
          <t>gameplay</t>
        </is>
      </c>
      <c r="N278" t="inlineStr"/>
      <c r="O278" t="inlineStr">
        <is>
          <t>da_kiem_chung</t>
        </is>
      </c>
      <c r="P278" t="inlineStr">
        <is>
          <t>R_balance;R_full_weapon_audit;W_wikipedia_ak_100_naval_gun</t>
        </is>
      </c>
      <c r="Q278" t="inlineStr"/>
      <c r="R27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8" t="n">
        <v>100</v>
      </c>
      <c r="T278" t="inlineStr">
        <is>
          <t>NEED_SOURCE</t>
        </is>
      </c>
      <c r="U278" t="inlineStr">
        <is>
          <t>NEED_SOURCE</t>
        </is>
      </c>
      <c r="V278" t="inlineStr">
        <is>
          <t>NEED_SOURCE</t>
        </is>
      </c>
      <c r="W278" t="inlineStr">
        <is>
          <t>NEED_SOURCE</t>
        </is>
      </c>
      <c r="X278" t="n">
        <v>60</v>
      </c>
      <c r="Y278" t="n">
        <v>30</v>
      </c>
      <c r="Z278" t="inlineStr">
        <is>
          <t>NEED_SOURCE</t>
        </is>
      </c>
      <c r="AA278" t="inlineStr">
        <is>
          <t>NEED_SOURCE</t>
        </is>
      </c>
      <c r="AB278" t="inlineStr"/>
      <c r="AC278" t="inlineStr">
        <is>
          <t>gun</t>
        </is>
      </c>
      <c r="AD278" t="inlineStr">
        <is>
          <t>Wikipedia 'AK-100 (naval gun)': 60 rpm</t>
        </is>
      </c>
      <c r="AE278" t="inlineStr"/>
      <c r="AF278" t="inlineStr">
        <is>
          <t>Tools/balance/full_weapon_audit.py: REAL / WARHEAD; balance.json weapons[id=p26_typhon_direct_ty100].real</t>
        </is>
      </c>
      <c r="AG278" t="inlineStr"/>
    </row>
    <row r="279">
      <c r="A279" t="inlineStr">
        <is>
          <t>p26_typhon_sec_ty57</t>
        </is>
      </c>
      <c r="B279" t="inlineStr">
        <is>
          <t>p26_typhon_sec_ty57</t>
        </is>
      </c>
      <c r="C279" t="inlineStr">
        <is>
          <t>AU-220 57 mm (twin deck mount)</t>
        </is>
      </c>
      <c r="D279" t="inlineStr">
        <is>
          <t>doi_that</t>
        </is>
      </c>
      <c r="E279" t="inlineStr">
        <is>
          <t>AU-220 57 mm (twin deck mount)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da_kiem_chung</t>
        </is>
      </c>
      <c r="P279" t="inlineStr">
        <is>
          <t>R_balance;R_full_weapon_audit;W_wikipedia_au_220m</t>
        </is>
      </c>
      <c r="Q279" t="inlineStr"/>
      <c r="R27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9" t="n">
        <v>57</v>
      </c>
      <c r="T279" t="inlineStr">
        <is>
          <t>NEED_SOURCE</t>
        </is>
      </c>
      <c r="U279" t="inlineStr">
        <is>
          <t>NEED_SOURCE</t>
        </is>
      </c>
      <c r="V279" t="inlineStr">
        <is>
          <t>NEED_SOURCE</t>
        </is>
      </c>
      <c r="W279" t="inlineStr">
        <is>
          <t>NEED_SOURCE</t>
        </is>
      </c>
      <c r="X279" t="n">
        <v>120</v>
      </c>
      <c r="Y279" t="n">
        <v>80</v>
      </c>
      <c r="Z279" t="inlineStr">
        <is>
          <t>NEED_SOURCE</t>
        </is>
      </c>
      <c r="AA279" t="inlineStr">
        <is>
          <t>NEED_SOURCE</t>
        </is>
      </c>
      <c r="AB279" t="inlineStr"/>
      <c r="AC279" t="inlineStr">
        <is>
          <t>ac</t>
        </is>
      </c>
      <c r="AD279" t="inlineStr">
        <is>
          <t>Wikipedia 'AU-220M': 80-120 rpm</t>
        </is>
      </c>
      <c r="AE279" t="inlineStr"/>
      <c r="AF279" t="inlineStr">
        <is>
          <t>Tools/balance/full_weapon_audit.py: REAL / WARHEAD; balance.json weapons[id=p26_typhon_sec_ty57].real</t>
        </is>
      </c>
      <c r="AG279" t="inlineStr"/>
    </row>
    <row r="280">
      <c r="A280" t="inlineStr">
        <is>
          <t>p26_typhon_ty57</t>
        </is>
      </c>
      <c r="B280" t="inlineStr">
        <is>
          <t>p26_typhon_ty57</t>
        </is>
      </c>
      <c r="C280" t="inlineStr">
        <is>
          <t>AU-220 57 mm (deck)</t>
        </is>
      </c>
      <c r="D280" t="inlineStr">
        <is>
          <t>doi_that</t>
        </is>
      </c>
      <c r="E280" t="inlineStr">
        <is>
          <t>AU-220 57 mm (deck)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da_kiem_chung</t>
        </is>
      </c>
      <c r="P280" t="inlineStr">
        <is>
          <t>R_balance;R_full_weapon_audit;W_wikipedia_au_220m</t>
        </is>
      </c>
      <c r="Q280" t="inlineStr"/>
      <c r="R28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0" t="n">
        <v>57</v>
      </c>
      <c r="T280" t="inlineStr">
        <is>
          <t>NEED_SOURCE</t>
        </is>
      </c>
      <c r="U280" t="inlineStr">
        <is>
          <t>NEED_SOURCE</t>
        </is>
      </c>
      <c r="V280" t="inlineStr">
        <is>
          <t>NEED_SOURCE</t>
        </is>
      </c>
      <c r="W280" t="inlineStr">
        <is>
          <t>NEED_SOURCE</t>
        </is>
      </c>
      <c r="X280" t="n">
        <v>120</v>
      </c>
      <c r="Y280" t="n">
        <v>80</v>
      </c>
      <c r="Z280" t="inlineStr">
        <is>
          <t>NEED_SOURCE</t>
        </is>
      </c>
      <c r="AA280" t="inlineStr">
        <is>
          <t>NEED_SOURCE</t>
        </is>
      </c>
      <c r="AB280" t="inlineStr"/>
      <c r="AC280" t="inlineStr">
        <is>
          <t>ac</t>
        </is>
      </c>
      <c r="AD280" t="inlineStr">
        <is>
          <t>Wikipedia 'AU-220M': 80-120 rpm</t>
        </is>
      </c>
      <c r="AE280" t="inlineStr"/>
      <c r="AF280" t="inlineStr">
        <is>
          <t>Tools/balance/full_weapon_audit.py: REAL / WARHEAD; balance.json weapons[id=p26_typhon_ty57].real</t>
        </is>
      </c>
      <c r="AG280" t="inlineStr"/>
    </row>
    <row r="281">
      <c r="A281" t="inlineStr">
        <is>
          <t>p26_typhon_ty100</t>
        </is>
      </c>
      <c r="B281" t="inlineStr">
        <is>
          <t>p26_typhon_ty100</t>
        </is>
      </c>
      <c r="C281" t="inlineStr">
        <is>
          <t>AK-100 100 mm (deck)</t>
        </is>
      </c>
      <c r="D281" t="inlineStr">
        <is>
          <t>doi_that</t>
        </is>
      </c>
      <c r="E281" t="inlineStr">
        <is>
          <t>AK-100 100 mm (deck)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nhịp chậm hơn 30 % và mạnh hơn tương ứng (luật súng của game)</t>
        </is>
      </c>
      <c r="M281" t="inlineStr">
        <is>
          <t>gameplay</t>
        </is>
      </c>
      <c r="N281" t="inlineStr"/>
      <c r="O281" t="inlineStr">
        <is>
          <t>da_kiem_chung</t>
        </is>
      </c>
      <c r="P281" t="inlineStr">
        <is>
          <t>R_balance;R_full_weapon_audit;W_wikipedia_ak_100_naval_gun</t>
        </is>
      </c>
      <c r="Q281" t="inlineStr"/>
      <c r="R28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1" t="n">
        <v>100</v>
      </c>
      <c r="T281" t="inlineStr">
        <is>
          <t>NEED_SOURCE</t>
        </is>
      </c>
      <c r="U281" t="inlineStr">
        <is>
          <t>NEED_SOURCE</t>
        </is>
      </c>
      <c r="V281" t="inlineStr">
        <is>
          <t>NEED_SOURCE</t>
        </is>
      </c>
      <c r="W281" t="inlineStr">
        <is>
          <t>NEED_SOURCE</t>
        </is>
      </c>
      <c r="X281" t="n">
        <v>60</v>
      </c>
      <c r="Y281" t="n">
        <v>30</v>
      </c>
      <c r="Z281" t="inlineStr">
        <is>
          <t>NEED_SOURCE</t>
        </is>
      </c>
      <c r="AA281" t="inlineStr">
        <is>
          <t>NEED_SOURCE</t>
        </is>
      </c>
      <c r="AB281" t="inlineStr"/>
      <c r="AC281" t="inlineStr">
        <is>
          <t>gun</t>
        </is>
      </c>
      <c r="AD281" t="inlineStr">
        <is>
          <t>Wikipedia 'AK-100 (naval gun)': 60 rpm</t>
        </is>
      </c>
      <c r="AE281" t="inlineStr"/>
      <c r="AF281" t="inlineStr">
        <is>
          <t>Tools/balance/full_weapon_audit.py: REAL / WARHEAD; balance.json weapons[id=p26_typhon_ty100].real</t>
        </is>
      </c>
      <c r="AG281" t="inlineStr"/>
    </row>
    <row r="282">
      <c r="A282" t="inlineStr">
        <is>
          <t>patriot</t>
        </is>
      </c>
      <c r="B282" t="inlineStr">
        <is>
          <t>patriot</t>
        </is>
      </c>
      <c r="C282" t="inlineStr">
        <is>
          <t>MIM-104 Patriot PAC-2</t>
        </is>
      </c>
      <c r="D282" t="inlineStr">
        <is>
          <t>doi_that</t>
        </is>
      </c>
      <c r="E282" t="inlineStr">
        <is>
          <t>MIM-104 Patriot PAC-2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uoc_dinh</t>
        </is>
      </c>
      <c r="P282" t="inlineStr">
        <is>
          <t>R_balance;R_full_weapon_audit;W_wikipedia_mim_104_patriot;R_machine_brigade_can_bang</t>
        </is>
      </c>
      <c r="Q282" t="inlineStr"/>
      <c r="R28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2" t="inlineStr">
        <is>
          <t>NEED_SOURCE</t>
        </is>
      </c>
      <c r="T282" t="inlineStr">
        <is>
          <t>NEED_SOURCE</t>
        </is>
      </c>
      <c r="U282" t="inlineStr">
        <is>
          <t>NEED_SOURCE</t>
        </is>
      </c>
      <c r="V282" t="inlineStr">
        <is>
          <t>NEED_SOURCE</t>
        </is>
      </c>
      <c r="W282" t="inlineStr">
        <is>
          <t>NEED_SOURCE</t>
        </is>
      </c>
      <c r="X282" t="n">
        <v>20</v>
      </c>
      <c r="Y282" t="n">
        <v>20</v>
      </c>
      <c r="Z282" t="inlineStr">
        <is>
          <t>NEED_SOURCE</t>
        </is>
      </c>
      <c r="AA282" t="inlineStr">
        <is>
          <t>NEED_SOURCE</t>
        </is>
      </c>
      <c r="AB282" t="inlineStr">
        <is>
          <t>NEED_SOURCE</t>
        </is>
      </c>
      <c r="AC282" t="inlineStr">
        <is>
          <t>missile</t>
        </is>
      </c>
      <c r="AD282" t="inlineStr">
        <is>
          <t>Wikipedia 'MIM-104 Patriot': ripples a few seconds apart (est. 3 s)</t>
        </is>
      </c>
      <c r="AE282" t="inlineStr">
        <is>
          <t>PAC-2: 160 km, Mach 4</t>
        </is>
      </c>
      <c r="AF282" t="inlineStr">
        <is>
          <t>Tools/balance/full_weapon_audit.py: REAL / WARHEAD; balance.json weapons[id=patriot].real</t>
        </is>
      </c>
      <c r="AG282" t="inlineStr"/>
    </row>
    <row r="283">
      <c r="A283" t="inlineStr">
        <is>
          <t>pt14_co_203</t>
        </is>
      </c>
      <c r="B283" t="inlineStr">
        <is>
          <t>pt14_co_203</t>
        </is>
      </c>
      <c r="C283" t="inlineStr">
        <is>
          <t>Mk 71 203 mm (Coeus twin turret)</t>
        </is>
      </c>
      <c r="D283" t="inlineStr">
        <is>
          <t>doi_that</t>
        </is>
      </c>
      <c r="E283" t="inlineStr">
        <is>
          <t>Mk 71 203 mm (Coeus twin turret)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nhịp chậm hơn 30 % và mạnh hơn tương ứng (luật súng của game)</t>
        </is>
      </c>
      <c r="M283" t="inlineStr">
        <is>
          <t>gameplay</t>
        </is>
      </c>
      <c r="N283" t="inlineStr"/>
      <c r="O283" t="inlineStr">
        <is>
          <t>da_kiem_chung</t>
        </is>
      </c>
      <c r="P283" t="inlineStr">
        <is>
          <t>R_balance;R_full_weapon_audit;W_wikipedia_8_55_caliber_mark_71</t>
        </is>
      </c>
      <c r="Q283" t="inlineStr"/>
      <c r="R28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3" t="n">
        <v>203</v>
      </c>
      <c r="T283" t="inlineStr">
        <is>
          <t>NEED_SOURCE</t>
        </is>
      </c>
      <c r="U283" t="inlineStr">
        <is>
          <t>NEED_SOURCE</t>
        </is>
      </c>
      <c r="V283" t="inlineStr">
        <is>
          <t>NEED_SOURCE</t>
        </is>
      </c>
      <c r="W283" t="inlineStr">
        <is>
          <t>NEED_SOURCE</t>
        </is>
      </c>
      <c r="X283" t="n">
        <v>12</v>
      </c>
      <c r="Y283" t="n">
        <v>12</v>
      </c>
      <c r="Z283" t="inlineStr">
        <is>
          <t>NEED_SOURCE</t>
        </is>
      </c>
      <c r="AA283" t="inlineStr">
        <is>
          <t>NEED_SOURCE</t>
        </is>
      </c>
      <c r="AB283" t="inlineStr"/>
      <c r="AC283" t="inlineStr">
        <is>
          <t>gun</t>
        </is>
      </c>
      <c r="AD283" t="inlineStr">
        <is>
          <t>Wikipedia '8"/55 caliber Mark 71': 12 rpm</t>
        </is>
      </c>
      <c r="AE283" t="inlineStr"/>
      <c r="AF283" t="inlineStr">
        <is>
          <t>Tools/balance/full_weapon_audit.py: REAL / WARHEAD; balance.json weapons[id=pt14_co_203].real</t>
        </is>
      </c>
      <c r="AG283" t="inlineStr"/>
    </row>
    <row r="284">
      <c r="A284" t="inlineStr">
        <is>
          <t>pt14_co_spike</t>
        </is>
      </c>
      <c r="B284" t="inlineStr">
        <is>
          <t>pt14_co_spike</t>
        </is>
      </c>
      <c r="C284" t="inlineStr">
        <is>
          <t>Spike NLOS (Coeus box launcher)</t>
        </is>
      </c>
      <c r="D284" t="inlineStr">
        <is>
          <t>doi_that</t>
        </is>
      </c>
      <c r="E284" t="inlineStr">
        <is>
          <t>Spike NLOS (Coeus box launcher)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uoc_dinh</t>
        </is>
      </c>
      <c r="P284" t="inlineStr">
        <is>
          <t>R_balance;R_full_weapon_audit</t>
        </is>
      </c>
      <c r="Q284" t="inlineStr"/>
      <c r="R28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4" t="inlineStr">
        <is>
          <t>NEED_SOURCE</t>
        </is>
      </c>
      <c r="T284" t="inlineStr">
        <is>
          <t>NEED_SOURCE</t>
        </is>
      </c>
      <c r="U284" t="inlineStr">
        <is>
          <t>NEED_SOURCE</t>
        </is>
      </c>
      <c r="V284" t="inlineStr">
        <is>
          <t>NEED_SOURCE</t>
        </is>
      </c>
      <c r="W284" t="inlineStr">
        <is>
          <t>NEED_SOURCE</t>
        </is>
      </c>
      <c r="X284" t="n">
        <v>6</v>
      </c>
      <c r="Y284" t="n">
        <v>4</v>
      </c>
      <c r="Z284" t="inlineStr">
        <is>
          <t>NEED_SOURCE</t>
        </is>
      </c>
      <c r="AA284" t="inlineStr">
        <is>
          <t>NEED_SOURCE</t>
        </is>
      </c>
      <c r="AB284" t="inlineStr">
        <is>
          <t>NEED_SOURCE</t>
        </is>
      </c>
      <c r="AC284" t="inlineStr">
        <is>
          <t>atgm</t>
        </is>
      </c>
      <c r="AD284" t="inlineStr">
        <is>
          <t>Spike NLOS launcher, est. 4-6 rpm</t>
        </is>
      </c>
      <c r="AE284" t="inlineStr"/>
      <c r="AF284" t="inlineStr">
        <is>
          <t>Tools/balance/full_weapon_audit.py: REAL / WARHEAD; balance.json weapons[id=pt14_co_spike].real</t>
        </is>
      </c>
      <c r="AG284" t="inlineStr"/>
    </row>
    <row r="285">
      <c r="A285" t="inlineStr">
        <is>
          <t>pt14_co_v76</t>
        </is>
      </c>
      <c r="B285" t="inlineStr">
        <is>
          <t>pt14_co_v76</t>
        </is>
      </c>
      <c r="C285" t="inlineStr">
        <is>
          <t>OTO Melara 76/62 (Coeus ventral twin)</t>
        </is>
      </c>
      <c r="D285" t="inlineStr">
        <is>
          <t>doi_that</t>
        </is>
      </c>
      <c r="E285" t="inlineStr">
        <is>
          <t>OTO Melara 76/62 (Coeus ventral twin)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nhịp chậm hơn 30 % và mạnh hơn tương ứng (luật súng của game)</t>
        </is>
      </c>
      <c r="M285" t="inlineStr">
        <is>
          <t>gameplay</t>
        </is>
      </c>
      <c r="N285" t="inlineStr"/>
      <c r="O285" t="inlineStr">
        <is>
          <t>da_kiem_chung</t>
        </is>
      </c>
      <c r="P285" t="inlineStr">
        <is>
          <t>R_balance;R_full_weapon_audit;W_wikipedia_oto_melara_76_mm</t>
        </is>
      </c>
      <c r="Q285" t="inlineStr"/>
      <c r="R28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5" t="inlineStr">
        <is>
          <t>NEED_SOURCE</t>
        </is>
      </c>
      <c r="T285" t="inlineStr">
        <is>
          <t>NEED_SOURCE</t>
        </is>
      </c>
      <c r="U285" t="inlineStr">
        <is>
          <t>NEED_SOURCE</t>
        </is>
      </c>
      <c r="V285" t="inlineStr">
        <is>
          <t>NEED_SOURCE</t>
        </is>
      </c>
      <c r="W285" t="inlineStr">
        <is>
          <t>NEED_SOURCE</t>
        </is>
      </c>
      <c r="X285" t="n">
        <v>120</v>
      </c>
      <c r="Y285" t="n">
        <v>80</v>
      </c>
      <c r="Z285" t="inlineStr">
        <is>
          <t>NEED_SOURCE</t>
        </is>
      </c>
      <c r="AA285" t="inlineStr">
        <is>
          <t>NEED_SOURCE</t>
        </is>
      </c>
      <c r="AB285" t="inlineStr"/>
      <c r="AC285" t="inlineStr">
        <is>
          <t>gun</t>
        </is>
      </c>
      <c r="AD285" t="inlineStr">
        <is>
          <t>Wikipedia 'OTO Melara 76 mm': 80-120 rpm (Super Rapid)</t>
        </is>
      </c>
      <c r="AE285" t="inlineStr"/>
      <c r="AF285" t="inlineStr">
        <is>
          <t>Tools/balance/full_weapon_audit.py: REAL / WARHEAD; balance.json weapons[id=pt14_co_v76].real</t>
        </is>
      </c>
      <c r="AG285" t="inlineStr"/>
    </row>
    <row r="286">
      <c r="A286" t="inlineStr">
        <is>
          <t>pt14_dd_v25</t>
        </is>
      </c>
      <c r="B286" t="inlineStr">
        <is>
          <t>pt14_dd_v25</t>
        </is>
      </c>
      <c r="C286" t="inlineStr">
        <is>
          <t>GAU-12/U Equalizer 25 mm (Daedalus ventral gondola)</t>
        </is>
      </c>
      <c r="D286" t="inlineStr">
        <is>
          <t>doi_that</t>
        </is>
      </c>
      <c r="E286" t="inlineStr">
        <is>
          <t>GAU-12/U Equalizer 25 mm (Daedalus ventral gondola)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da_kiem_chung</t>
        </is>
      </c>
      <c r="P286" t="inlineStr">
        <is>
          <t>R_balance;R_full_weapon_audit;W_wikipedia_gau_12_equalizer</t>
        </is>
      </c>
      <c r="Q286" t="inlineStr"/>
      <c r="R28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6" t="n">
        <v>25</v>
      </c>
      <c r="T286" t="inlineStr">
        <is>
          <t>NEED_SOURCE</t>
        </is>
      </c>
      <c r="U286" t="inlineStr">
        <is>
          <t>NEED_SOURCE</t>
        </is>
      </c>
      <c r="V286" t="inlineStr">
        <is>
          <t>NEED_SOURCE</t>
        </is>
      </c>
      <c r="W286" t="inlineStr">
        <is>
          <t>NEED_SOURCE</t>
        </is>
      </c>
      <c r="X286" t="n">
        <v>4200</v>
      </c>
      <c r="Y286" t="inlineStr">
        <is>
          <t>NEED_SOURCE</t>
        </is>
      </c>
      <c r="Z286" t="inlineStr">
        <is>
          <t>NEED_SOURCE</t>
        </is>
      </c>
      <c r="AA286" t="inlineStr">
        <is>
          <t>NEED_SOURCE</t>
        </is>
      </c>
      <c r="AB286" t="inlineStr"/>
      <c r="AC286" t="inlineStr">
        <is>
          <t>ac</t>
        </is>
      </c>
      <c r="AD286" t="inlineStr">
        <is>
          <t>Wikipedia 'GAU-12 Equalizer': 3,600-4,200 rpm (1,800 on the AC-130U)</t>
        </is>
      </c>
      <c r="AE286" t="inlineStr"/>
      <c r="AF286" t="inlineStr">
        <is>
          <t>Tools/balance/full_weapon_audit.py: REAL / WARHEAD; balance.json weapons[id=pt14_dd_v25].real</t>
        </is>
      </c>
      <c r="AG286" t="inlineStr"/>
    </row>
    <row r="287">
      <c r="A287" t="inlineStr">
        <is>
          <t>pt14_dd_v57</t>
        </is>
      </c>
      <c r="B287" t="inlineStr">
        <is>
          <t>pt14_dd_v57</t>
        </is>
      </c>
      <c r="C287" t="inlineStr">
        <is>
          <t>AU-220 57 mm (twin ventral turret)</t>
        </is>
      </c>
      <c r="D287" t="inlineStr">
        <is>
          <t>doi_that</t>
        </is>
      </c>
      <c r="E287" t="inlineStr">
        <is>
          <t>AU-220 57 mm (twin ventral turret)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da_kiem_chung</t>
        </is>
      </c>
      <c r="P287" t="inlineStr">
        <is>
          <t>R_balance;R_full_weapon_audit;W_wikipedia_au_220m</t>
        </is>
      </c>
      <c r="Q287" t="inlineStr"/>
      <c r="R28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7" t="n">
        <v>57</v>
      </c>
      <c r="T287" t="inlineStr">
        <is>
          <t>NEED_SOURCE</t>
        </is>
      </c>
      <c r="U287" t="inlineStr">
        <is>
          <t>NEED_SOURCE</t>
        </is>
      </c>
      <c r="V287" t="inlineStr">
        <is>
          <t>NEED_SOURCE</t>
        </is>
      </c>
      <c r="W287" t="inlineStr">
        <is>
          <t>NEED_SOURCE</t>
        </is>
      </c>
      <c r="X287" t="n">
        <v>120</v>
      </c>
      <c r="Y287" t="n">
        <v>80</v>
      </c>
      <c r="Z287" t="inlineStr">
        <is>
          <t>NEED_SOURCE</t>
        </is>
      </c>
      <c r="AA287" t="inlineStr">
        <is>
          <t>NEED_SOURCE</t>
        </is>
      </c>
      <c r="AB287" t="inlineStr"/>
      <c r="AC287" t="inlineStr">
        <is>
          <t>ac</t>
        </is>
      </c>
      <c r="AD287" t="inlineStr">
        <is>
          <t>Wikipedia 'AU-220M': 80-120 rpm</t>
        </is>
      </c>
      <c r="AE287" t="inlineStr"/>
      <c r="AF287" t="inlineStr">
        <is>
          <t>Tools/balance/full_weapon_audit.py: REAL / WARHEAD; balance.json weapons[id=pt14_dd_v57].real</t>
        </is>
      </c>
      <c r="AG287" t="inlineStr"/>
    </row>
    <row r="288">
      <c r="A288" t="inlineStr">
        <is>
          <t>pt14_hp_155</t>
        </is>
      </c>
      <c r="B288" t="inlineStr">
        <is>
          <t>pt14_hp_155</t>
        </is>
      </c>
      <c r="C288" t="inlineStr">
        <is>
          <t>155 mm/60 (Hyperion twin turret)</t>
        </is>
      </c>
      <c r="D288" t="inlineStr">
        <is>
          <t>doi_that</t>
        </is>
      </c>
      <c r="E288" t="inlineStr">
        <is>
          <t>155 mm/60 (Hyperion twin turret)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nhịp chậm hơn 30 % và mạnh hơn tương ứng (luật súng của game)</t>
        </is>
      </c>
      <c r="M288" t="inlineStr">
        <is>
          <t>gameplay</t>
        </is>
      </c>
      <c r="N288" t="inlineStr"/>
      <c r="O288" t="inlineStr">
        <is>
          <t>da_kiem_chung</t>
        </is>
      </c>
      <c r="P288" t="inlineStr">
        <is>
          <t>R_balance;R_full_weapon_audit;W_wikipedia_15_5_cm_60_3rd_year_type</t>
        </is>
      </c>
      <c r="Q288" t="inlineStr"/>
      <c r="R28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8" t="n">
        <v>155</v>
      </c>
      <c r="T288" t="inlineStr">
        <is>
          <t>NEED_SOURCE</t>
        </is>
      </c>
      <c r="U288" t="inlineStr">
        <is>
          <t>NEED_SOURCE</t>
        </is>
      </c>
      <c r="V288" t="inlineStr">
        <is>
          <t>NEED_SOURCE</t>
        </is>
      </c>
      <c r="W288" t="inlineStr">
        <is>
          <t>NEED_SOURCE</t>
        </is>
      </c>
      <c r="X288" t="n">
        <v>5</v>
      </c>
      <c r="Y288" t="n">
        <v>4</v>
      </c>
      <c r="Z288" t="inlineStr">
        <is>
          <t>NEED_SOURCE</t>
        </is>
      </c>
      <c r="AA288" t="inlineStr">
        <is>
          <t>NEED_SOURCE</t>
        </is>
      </c>
      <c r="AB288" t="inlineStr"/>
      <c r="AC288" t="inlineStr">
        <is>
          <t>gun</t>
        </is>
      </c>
      <c r="AD288" t="inlineStr">
        <is>
          <t>Wikipedia '15.5 cm/60 3rd Year Type' (Mogami): ~5 rpm a gun</t>
        </is>
      </c>
      <c r="AE288" t="inlineStr"/>
      <c r="AF288" t="inlineStr">
        <is>
          <t>Tools/balance/full_weapon_audit.py: REAL / WARHEAD; balance.json weapons[id=pt14_hp_155].real</t>
        </is>
      </c>
      <c r="AG288" t="inlineStr"/>
    </row>
    <row r="289">
      <c r="A289" t="inlineStr">
        <is>
          <t>pt14_hp_nsm</t>
        </is>
      </c>
      <c r="B289" t="inlineStr">
        <is>
          <t>pt14_hp_nsm</t>
        </is>
      </c>
      <c r="C289" t="inlineStr">
        <is>
          <t>NSM Block 1A (Hyperion VLS, land attack)</t>
        </is>
      </c>
      <c r="D289" t="inlineStr">
        <is>
          <t>doi_that</t>
        </is>
      </c>
      <c r="E289" t="inlineStr">
        <is>
          <t>NSM Block 1A (Hyperion VLS, land attack)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uoc_dinh</t>
        </is>
      </c>
      <c r="P289" t="inlineStr">
        <is>
          <t>R_balance;R_full_weapon_audit</t>
        </is>
      </c>
      <c r="Q289" t="inlineStr"/>
      <c r="R28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9" t="inlineStr">
        <is>
          <t>NEED_SOURCE</t>
        </is>
      </c>
      <c r="T289" t="inlineStr">
        <is>
          <t>NEED_SOURCE</t>
        </is>
      </c>
      <c r="U289" t="inlineStr">
        <is>
          <t>NEED_SOURCE</t>
        </is>
      </c>
      <c r="V289" t="inlineStr">
        <is>
          <t>NEED_SOURCE</t>
        </is>
      </c>
      <c r="W289" t="inlineStr">
        <is>
          <t>NEED_SOURCE</t>
        </is>
      </c>
      <c r="X289" t="n">
        <v>20</v>
      </c>
      <c r="Y289" t="n">
        <v>6</v>
      </c>
      <c r="Z289" t="inlineStr">
        <is>
          <t>NEED_SOURCE</t>
        </is>
      </c>
      <c r="AA289" t="inlineStr">
        <is>
          <t>NEED_SOURCE</t>
        </is>
      </c>
      <c r="AB289" t="inlineStr">
        <is>
          <t>NEED_SOURCE</t>
        </is>
      </c>
      <c r="AC289" t="inlineStr">
        <is>
          <t>missile</t>
        </is>
      </c>
      <c r="AD289" t="inlineStr">
        <is>
          <t>cruise missiles: ~3 s between launches (est.)</t>
        </is>
      </c>
      <c r="AE289" t="inlineStr"/>
      <c r="AF289" t="inlineStr">
        <is>
          <t>Tools/balance/full_weapon_audit.py: REAL / WARHEAD; balance.json weapons[id=pt14_hp_nsm].real</t>
        </is>
      </c>
      <c r="AG289" t="inlineStr"/>
    </row>
    <row r="290">
      <c r="A290" t="inlineStr">
        <is>
          <t>pt14_hp_v127</t>
        </is>
      </c>
      <c r="B290" t="inlineStr">
        <is>
          <t>pt14_hp_v127</t>
        </is>
      </c>
      <c r="C290" t="inlineStr">
        <is>
          <t>Mk 45 127 mm (Hyperion ventral turret)</t>
        </is>
      </c>
      <c r="D290" t="inlineStr">
        <is>
          <t>doi_that</t>
        </is>
      </c>
      <c r="E290" t="inlineStr">
        <is>
          <t>Mk 45 127 mm (Hyperion ventral turret)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nhịp chậm hơn 30 % và mạnh hơn tương ứng (luật súng của game)</t>
        </is>
      </c>
      <c r="M290" t="inlineStr">
        <is>
          <t>gameplay</t>
        </is>
      </c>
      <c r="N290" t="inlineStr"/>
      <c r="O290" t="inlineStr">
        <is>
          <t>da_kiem_chung</t>
        </is>
      </c>
      <c r="P290" t="inlineStr">
        <is>
          <t>R_balance;R_full_weapon_audit;W_wikipedia_5_54_caliber_mark_45</t>
        </is>
      </c>
      <c r="Q290" t="inlineStr"/>
      <c r="R29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0" t="n">
        <v>127</v>
      </c>
      <c r="T290" t="inlineStr">
        <is>
          <t>NEED_SOURCE</t>
        </is>
      </c>
      <c r="U290" t="inlineStr">
        <is>
          <t>NEED_SOURCE</t>
        </is>
      </c>
      <c r="V290" t="inlineStr">
        <is>
          <t>NEED_SOURCE</t>
        </is>
      </c>
      <c r="W290" t="inlineStr">
        <is>
          <t>NEED_SOURCE</t>
        </is>
      </c>
      <c r="X290" t="n">
        <v>20</v>
      </c>
      <c r="Y290" t="n">
        <v>16</v>
      </c>
      <c r="Z290" t="inlineStr">
        <is>
          <t>NEED_SOURCE</t>
        </is>
      </c>
      <c r="AA290" t="inlineStr">
        <is>
          <t>NEED_SOURCE</t>
        </is>
      </c>
      <c r="AB290" t="inlineStr"/>
      <c r="AC290" t="inlineStr">
        <is>
          <t>gun</t>
        </is>
      </c>
      <c r="AD290" t="inlineStr">
        <is>
          <t>Wikipedia '5"/54 caliber Mark 45': 16-20 rpm</t>
        </is>
      </c>
      <c r="AE290" t="inlineStr"/>
      <c r="AF290" t="inlineStr">
        <is>
          <t>Tools/balance/full_weapon_audit.py: REAL / WARHEAD; balance.json weapons[id=pt14_hp_v127].real</t>
        </is>
      </c>
      <c r="AG290" t="inlineStr"/>
    </row>
    <row r="291">
      <c r="A291" t="inlineStr">
        <is>
          <t>pt14_hp_vlaser</t>
        </is>
      </c>
      <c r="B291" t="inlineStr">
        <is>
          <t>pt14_hp_vlaser</t>
        </is>
      </c>
      <c r="C291" t="inlineStr">
        <is>
          <t>laser tower (300 kW)</t>
        </is>
      </c>
      <c r="D291" t="inlineStr">
        <is>
          <t>doi_that</t>
        </is>
      </c>
      <c r="E291" t="inlineStr">
        <is>
          <t>laser tower (300 kW)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ban_dau_doan</t>
        </is>
      </c>
      <c r="P291" t="inlineStr">
        <is>
          <t>R_balance</t>
        </is>
      </c>
      <c r="Q291" t="inlineStr"/>
      <c r="R29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1" t="inlineStr">
        <is>
          <t>NEED_SOURCE</t>
        </is>
      </c>
      <c r="T291" t="inlineStr">
        <is>
          <t>NEED_SOURCE</t>
        </is>
      </c>
      <c r="U291" t="inlineStr">
        <is>
          <t>NEED_SOURCE</t>
        </is>
      </c>
      <c r="V291" t="inlineStr">
        <is>
          <t>NEED_SOURCE</t>
        </is>
      </c>
      <c r="W291" t="inlineStr">
        <is>
          <t>NEED_SOURCE</t>
        </is>
      </c>
      <c r="X291" t="inlineStr">
        <is>
          <t>NEED_SOURCE</t>
        </is>
      </c>
      <c r="Y291" t="inlineStr">
        <is>
          <t>NEED_SOURCE</t>
        </is>
      </c>
      <c r="Z291" t="inlineStr">
        <is>
          <t>NEED_SOURCE</t>
        </is>
      </c>
      <c r="AA291" t="inlineStr">
        <is>
          <t>NEED_SOURCE</t>
        </is>
      </c>
      <c r="AB291" t="inlineStr"/>
      <c r="AC291" t="inlineStr"/>
      <c r="AD291" t="inlineStr"/>
      <c r="AE291" t="inlineStr"/>
      <c r="AF291" t="inlineStr">
        <is>
          <t>Tools/balance/full_weapon_audit.py: REAL / WARHEAD; balance.json weapons[id=pt14_hp_vlaser].real</t>
        </is>
      </c>
      <c r="AG291" t="inlineStr"/>
    </row>
    <row r="292">
      <c r="A292" t="inlineStr">
        <is>
          <t>pt14_ixion_30</t>
        </is>
      </c>
      <c r="B292" t="inlineStr">
        <is>
          <t>pt14_ixion_30</t>
        </is>
      </c>
      <c r="C292" t="inlineStr">
        <is>
          <t>2A42 30 mm (remote turret)</t>
        </is>
      </c>
      <c r="D292" t="inlineStr">
        <is>
          <t>doi_that</t>
        </is>
      </c>
      <c r="E292" t="inlineStr">
        <is>
          <t>2A42 30 mm (remote turret)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da_kiem_chung</t>
        </is>
      </c>
      <c r="P292" t="inlineStr">
        <is>
          <t>R_balance;R_full_weapon_audit;W_wikipedia_2a42</t>
        </is>
      </c>
      <c r="Q292" t="inlineStr"/>
      <c r="R29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2" t="n">
        <v>30</v>
      </c>
      <c r="T292" t="inlineStr">
        <is>
          <t>NEED_SOURCE</t>
        </is>
      </c>
      <c r="U292" t="inlineStr">
        <is>
          <t>NEED_SOURCE</t>
        </is>
      </c>
      <c r="V292" t="inlineStr">
        <is>
          <t>NEED_SOURCE</t>
        </is>
      </c>
      <c r="W292" t="inlineStr">
        <is>
          <t>NEED_SOURCE</t>
        </is>
      </c>
      <c r="X292" t="n">
        <v>800</v>
      </c>
      <c r="Y292" t="n">
        <v>300</v>
      </c>
      <c r="Z292" t="inlineStr">
        <is>
          <t>NEED_SOURCE</t>
        </is>
      </c>
      <c r="AA292" t="inlineStr">
        <is>
          <t>NEED_SOURCE</t>
        </is>
      </c>
      <c r="AB292" t="inlineStr"/>
      <c r="AC292" t="inlineStr">
        <is>
          <t>ac</t>
        </is>
      </c>
      <c r="AD292" t="inlineStr">
        <is>
          <t>Wikipedia '2A42': 550-800 high, 200-300 low rpm</t>
        </is>
      </c>
      <c r="AE292" t="inlineStr"/>
      <c r="AF292" t="inlineStr">
        <is>
          <t>Tools/balance/full_weapon_audit.py: REAL / WARHEAD; balance.json weapons[id=pt14_ixion_30].real</t>
        </is>
      </c>
      <c r="AG292" t="inlineStr"/>
    </row>
    <row r="293">
      <c r="A293" t="inlineStr">
        <is>
          <t>pt14_ixion_grad</t>
        </is>
      </c>
      <c r="B293" t="inlineStr">
        <is>
          <t>pt14_ixion_grad</t>
        </is>
      </c>
      <c r="C293" t="inlineStr">
        <is>
          <t>BM-21V Grad-V 122 mm (12-tube pack)</t>
        </is>
      </c>
      <c r="D293" t="inlineStr">
        <is>
          <t>doi_that</t>
        </is>
      </c>
      <c r="E293" t="inlineStr">
        <is>
          <t>BM-21V Grad-V 122 mm (12-tube pack)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da_kiem_chung</t>
        </is>
      </c>
      <c r="P293" t="inlineStr">
        <is>
          <t>R_balance;R_full_weapon_audit;W_wikipedia_bm_21_grad</t>
        </is>
      </c>
      <c r="Q293" t="inlineStr"/>
      <c r="R29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3" t="n">
        <v>122</v>
      </c>
      <c r="T293" t="inlineStr">
        <is>
          <t>NEED_SOURCE</t>
        </is>
      </c>
      <c r="U293" t="inlineStr">
        <is>
          <t>NEED_SOURCE</t>
        </is>
      </c>
      <c r="V293" t="inlineStr">
        <is>
          <t>NEED_SOURCE</t>
        </is>
      </c>
      <c r="W293" t="inlineStr">
        <is>
          <t>NEED_SOURCE</t>
        </is>
      </c>
      <c r="X293" t="n">
        <v>120</v>
      </c>
      <c r="Y293" t="inlineStr">
        <is>
          <t>NEED_SOURCE</t>
        </is>
      </c>
      <c r="Z293" t="inlineStr">
        <is>
          <t>NEED_SOURCE</t>
        </is>
      </c>
      <c r="AA293" t="inlineStr">
        <is>
          <t>NEED_SOURCE</t>
        </is>
      </c>
      <c r="AB293" t="inlineStr"/>
      <c r="AC293" t="inlineStr">
        <is>
          <t>rocket</t>
        </is>
      </c>
      <c r="AD293" t="inlineStr">
        <is>
          <t>Wikipedia 'BM-21 Grad': 40 rockets in 20 s</t>
        </is>
      </c>
      <c r="AE293" t="inlineStr"/>
      <c r="AF293" t="inlineStr">
        <is>
          <t>Tools/balance/full_weapon_audit.py: REAL / WARHEAD; balance.json weapons[id=pt14_ixion_grad].real</t>
        </is>
      </c>
      <c r="AG293" t="inlineStr"/>
    </row>
    <row r="294">
      <c r="A294" t="inlineStr">
        <is>
          <t>pt14_ixion_kornet</t>
        </is>
      </c>
      <c r="B294" t="inlineStr">
        <is>
          <t>pt14_ixion_kornet</t>
        </is>
      </c>
      <c r="C294" t="inlineStr">
        <is>
          <t>9M133 Kornet-EM (twin launcher)</t>
        </is>
      </c>
      <c r="D294" t="inlineStr">
        <is>
          <t>doi_that</t>
        </is>
      </c>
      <c r="E294" t="inlineStr">
        <is>
          <t>9M133 Kornet-EM (twin launcher)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da_kiem_chung</t>
        </is>
      </c>
      <c r="P294" t="inlineStr">
        <is>
          <t>R_balance;R_full_weapon_audit;W_wikipedia_9m133_kornet</t>
        </is>
      </c>
      <c r="Q294" t="inlineStr"/>
      <c r="R29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4" t="inlineStr">
        <is>
          <t>NEED_SOURCE</t>
        </is>
      </c>
      <c r="T294" t="inlineStr">
        <is>
          <t>NEED_SOURCE</t>
        </is>
      </c>
      <c r="U294" t="inlineStr">
        <is>
          <t>NEED_SOURCE</t>
        </is>
      </c>
      <c r="V294" t="inlineStr">
        <is>
          <t>NEED_SOURCE</t>
        </is>
      </c>
      <c r="W294" t="inlineStr">
        <is>
          <t>NEED_SOURCE</t>
        </is>
      </c>
      <c r="X294" t="n">
        <v>3</v>
      </c>
      <c r="Y294" t="n">
        <v>3</v>
      </c>
      <c r="Z294" t="inlineStr">
        <is>
          <t>NEED_SOURCE</t>
        </is>
      </c>
      <c r="AA294" t="inlineStr">
        <is>
          <t>NEED_SOURCE</t>
        </is>
      </c>
      <c r="AB294" t="inlineStr">
        <is>
          <t>NEED_SOURCE</t>
        </is>
      </c>
      <c r="AC294" t="inlineStr">
        <is>
          <t>atgm</t>
        </is>
      </c>
      <c r="AD294" t="inlineStr">
        <is>
          <t>Wikipedia '9M133 Kornet': 2-3 rpm</t>
        </is>
      </c>
      <c r="AE294" t="inlineStr"/>
      <c r="AF294" t="inlineStr">
        <is>
          <t>Tools/balance/full_weapon_audit.py: REAL / WARHEAD; balance.json weapons[id=pt14_ixion_kornet].real</t>
        </is>
      </c>
      <c r="AG294" t="inlineStr"/>
    </row>
    <row r="295">
      <c r="A295" t="inlineStr">
        <is>
          <t>pt14_mk0_v40</t>
        </is>
      </c>
      <c r="B295" t="inlineStr">
        <is>
          <t>pt14_mk0_v40</t>
        </is>
      </c>
      <c r="C295" t="inlineStr">
        <is>
          <t>Bofors L/60 40 mm (ventral test mount)</t>
        </is>
      </c>
      <c r="D295" t="inlineStr">
        <is>
          <t>doi_that</t>
        </is>
      </c>
      <c r="E295" t="inlineStr">
        <is>
          <t>Bofors L/60 40 mm (ventral test mount)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da_kiem_chung</t>
        </is>
      </c>
      <c r="P295" t="inlineStr">
        <is>
          <t>R_balance;R_full_weapon_audit;W_wikipedia_bofors_40_mm_l_60</t>
        </is>
      </c>
      <c r="Q295" t="inlineStr"/>
      <c r="R29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5" t="n">
        <v>40</v>
      </c>
      <c r="T295" t="inlineStr">
        <is>
          <t>NEED_SOURCE</t>
        </is>
      </c>
      <c r="U295" t="inlineStr">
        <is>
          <t>NEED_SOURCE</t>
        </is>
      </c>
      <c r="V295" t="inlineStr">
        <is>
          <t>NEED_SOURCE</t>
        </is>
      </c>
      <c r="W295" t="inlineStr">
        <is>
          <t>NEED_SOURCE</t>
        </is>
      </c>
      <c r="X295" t="n">
        <v>120</v>
      </c>
      <c r="Y295" t="n">
        <v>80</v>
      </c>
      <c r="Z295" t="inlineStr">
        <is>
          <t>NEED_SOURCE</t>
        </is>
      </c>
      <c r="AA295" t="inlineStr">
        <is>
          <t>NEED_SOURCE</t>
        </is>
      </c>
      <c r="AB295" t="inlineStr"/>
      <c r="AC295" t="inlineStr">
        <is>
          <t>aa</t>
        </is>
      </c>
      <c r="AD295" t="inlineStr">
        <is>
          <t>Wikipedia 'Bofors 40 mm L/60': 120 rpm</t>
        </is>
      </c>
      <c r="AE295" t="inlineStr"/>
      <c r="AF295" t="inlineStr">
        <is>
          <t>Tools/balance/full_weapon_audit.py: REAL / WARHEAD; balance.json weapons[id=pt14_mk0_v40].real</t>
        </is>
      </c>
      <c r="AG295" t="inlineStr"/>
    </row>
    <row r="296">
      <c r="A296" t="inlineStr">
        <is>
          <t>pt14_sb_v30</t>
        </is>
      </c>
      <c r="B296" t="inlineStr">
        <is>
          <t>pt14_sb_v30</t>
        </is>
      </c>
      <c r="C296" t="inlineStr">
        <is>
          <t>Mk 44 Bushmaster II 30 mm (Icarus ventral twin)</t>
        </is>
      </c>
      <c r="D296" t="inlineStr">
        <is>
          <t>doi_that</t>
        </is>
      </c>
      <c r="E296" t="inlineStr">
        <is>
          <t>Mk 44 Bushmaster II 30 mm (Icarus ventral twin)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ban_dau_doan</t>
        </is>
      </c>
      <c r="P296" t="inlineStr">
        <is>
          <t>R_balance</t>
        </is>
      </c>
      <c r="Q296" t="inlineStr"/>
      <c r="R29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6" t="n">
        <v>30</v>
      </c>
      <c r="T296" t="inlineStr">
        <is>
          <t>NEED_SOURCE</t>
        </is>
      </c>
      <c r="U296" t="inlineStr">
        <is>
          <t>NEED_SOURCE</t>
        </is>
      </c>
      <c r="V296" t="inlineStr">
        <is>
          <t>NEED_SOURCE</t>
        </is>
      </c>
      <c r="W296" t="inlineStr">
        <is>
          <t>NEED_SOURCE</t>
        </is>
      </c>
      <c r="X296" t="inlineStr">
        <is>
          <t>NEED_SOURCE</t>
        </is>
      </c>
      <c r="Y296" t="inlineStr">
        <is>
          <t>NEED_SOURCE</t>
        </is>
      </c>
      <c r="Z296" t="inlineStr">
        <is>
          <t>NEED_SOURCE</t>
        </is>
      </c>
      <c r="AA296" t="inlineStr">
        <is>
          <t>NEED_SOURCE</t>
        </is>
      </c>
      <c r="AB296" t="inlineStr"/>
      <c r="AC296" t="inlineStr"/>
      <c r="AD296" t="inlineStr"/>
      <c r="AE296" t="inlineStr"/>
      <c r="AF296" t="inlineStr">
        <is>
          <t>Tools/balance/full_weapon_audit.py: REAL / WARHEAD; balance.json weapons[id=pt14_sb_v30].real</t>
        </is>
      </c>
      <c r="AG296" t="inlineStr"/>
    </row>
    <row r="297">
      <c r="A297" t="inlineStr">
        <is>
          <t>pt14_sb_v105</t>
        </is>
      </c>
      <c r="B297" t="inlineStr">
        <is>
          <t>pt14_sb_v105</t>
        </is>
      </c>
      <c r="C297" t="inlineStr">
        <is>
          <t>M102 105 mm (Icarus ventral turret)</t>
        </is>
      </c>
      <c r="D297" t="inlineStr">
        <is>
          <t>doi_that</t>
        </is>
      </c>
      <c r="E297" t="inlineStr">
        <is>
          <t>M102 105 mm (Icarus ventral turret)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nhịp chậm hơn 30 % và mạnh hơn tương ứng (luật súng của game)</t>
        </is>
      </c>
      <c r="M297" t="inlineStr">
        <is>
          <t>gameplay</t>
        </is>
      </c>
      <c r="N297" t="inlineStr"/>
      <c r="O297" t="inlineStr">
        <is>
          <t>da_kiem_chung</t>
        </is>
      </c>
      <c r="P297" t="inlineStr">
        <is>
          <t>R_balance;R_full_weapon_audit;W_wikipedia_m102_howitzer;R_machine_brigade_can_bang</t>
        </is>
      </c>
      <c r="Q297" t="inlineStr"/>
      <c r="R29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7" t="n">
        <v>105</v>
      </c>
      <c r="T297" t="inlineStr">
        <is>
          <t>NEED_SOURCE</t>
        </is>
      </c>
      <c r="U297" t="inlineStr">
        <is>
          <t>NEED_SOURCE</t>
        </is>
      </c>
      <c r="V297" t="inlineStr">
        <is>
          <t>NEED_SOURCE</t>
        </is>
      </c>
      <c r="W297" t="inlineStr">
        <is>
          <t>NEED_SOURCE</t>
        </is>
      </c>
      <c r="X297" t="n">
        <v>10</v>
      </c>
      <c r="Y297" t="n">
        <v>3</v>
      </c>
      <c r="Z297" t="inlineStr">
        <is>
          <t>NEED_SOURCE</t>
        </is>
      </c>
      <c r="AA297" t="inlineStr">
        <is>
          <t>NEED_SOURCE</t>
        </is>
      </c>
      <c r="AB297" t="inlineStr"/>
      <c r="AC297" t="inlineStr">
        <is>
          <t>gun</t>
        </is>
      </c>
      <c r="AD297" t="inlineStr">
        <is>
          <t>the sheet's 'Ngoài đời': M102 10 rpm (Wikipedia 'M102 howitzer')</t>
        </is>
      </c>
      <c r="AE297" t="inlineStr"/>
      <c r="AF297" t="inlineStr">
        <is>
          <t>Tools/balance/full_weapon_audit.py: REAL / WARHEAD; balance.json weapons[id=pt14_sb_v105].real</t>
        </is>
      </c>
      <c r="AG297" t="inlineStr"/>
    </row>
    <row r="298">
      <c r="A298" t="inlineStr">
        <is>
          <t>pt14_th_jagm</t>
        </is>
      </c>
      <c r="B298" t="inlineStr">
        <is>
          <t>pt14_th_jagm</t>
        </is>
      </c>
      <c r="C298" t="inlineStr">
        <is>
          <t>AGM-179 JAGM (Theia quad pod)</t>
        </is>
      </c>
      <c r="D298" t="inlineStr">
        <is>
          <t>doi_that</t>
        </is>
      </c>
      <c r="E298" t="inlineStr">
        <is>
          <t>AGM-179 JAGM (Theia quad pod)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ban_dau_doan</t>
        </is>
      </c>
      <c r="P298" t="inlineStr">
        <is>
          <t>R_balance</t>
        </is>
      </c>
      <c r="Q298" t="inlineStr"/>
      <c r="R29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8" t="inlineStr">
        <is>
          <t>NEED_SOURCE</t>
        </is>
      </c>
      <c r="T298" t="inlineStr">
        <is>
          <t>NEED_SOURCE</t>
        </is>
      </c>
      <c r="U298" t="inlineStr">
        <is>
          <t>NEED_SOURCE</t>
        </is>
      </c>
      <c r="V298" t="inlineStr">
        <is>
          <t>NEED_SOURCE</t>
        </is>
      </c>
      <c r="W298" t="inlineStr">
        <is>
          <t>NEED_SOURCE</t>
        </is>
      </c>
      <c r="X298" t="inlineStr">
        <is>
          <t>NEED_SOURCE</t>
        </is>
      </c>
      <c r="Y298" t="inlineStr">
        <is>
          <t>NEED_SOURCE</t>
        </is>
      </c>
      <c r="Z298" t="inlineStr">
        <is>
          <t>NEED_SOURCE</t>
        </is>
      </c>
      <c r="AA298" t="inlineStr">
        <is>
          <t>NEED_SOURCE</t>
        </is>
      </c>
      <c r="AB298" t="inlineStr">
        <is>
          <t>NEED_SOURCE</t>
        </is>
      </c>
      <c r="AC298" t="inlineStr"/>
      <c r="AD298" t="inlineStr"/>
      <c r="AE298" t="inlineStr"/>
      <c r="AF298" t="inlineStr">
        <is>
          <t>Tools/balance/full_weapon_audit.py: REAL / WARHEAD; balance.json weapons[id=pt14_th_jagm].real</t>
        </is>
      </c>
      <c r="AG298" t="inlineStr"/>
    </row>
    <row r="299">
      <c r="A299" t="inlineStr">
        <is>
          <t>pt14_th_pd</t>
        </is>
      </c>
      <c r="B299" t="inlineStr">
        <is>
          <t>pt14_th_pd</t>
        </is>
      </c>
      <c r="C299" t="inlineStr">
        <is>
          <t>50 kW laser (Theia point-defence turret)</t>
        </is>
      </c>
      <c r="D299" t="inlineStr">
        <is>
          <t>doi_that</t>
        </is>
      </c>
      <c r="E299" t="inlineStr">
        <is>
          <t>50 kW laser (Theia point-defence turret)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ban_dau_doan</t>
        </is>
      </c>
      <c r="P299" t="inlineStr">
        <is>
          <t>R_balance</t>
        </is>
      </c>
      <c r="Q299" t="inlineStr"/>
      <c r="R29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9" t="inlineStr">
        <is>
          <t>NEED_SOURCE</t>
        </is>
      </c>
      <c r="T299" t="inlineStr">
        <is>
          <t>NEED_SOURCE</t>
        </is>
      </c>
      <c r="U299" t="inlineStr">
        <is>
          <t>NEED_SOURCE</t>
        </is>
      </c>
      <c r="V299" t="inlineStr">
        <is>
          <t>NEED_SOURCE</t>
        </is>
      </c>
      <c r="W299" t="inlineStr">
        <is>
          <t>NEED_SOURCE</t>
        </is>
      </c>
      <c r="X299" t="inlineStr">
        <is>
          <t>NEED_SOURCE</t>
        </is>
      </c>
      <c r="Y299" t="inlineStr">
        <is>
          <t>NEED_SOURCE</t>
        </is>
      </c>
      <c r="Z299" t="inlineStr">
        <is>
          <t>NEED_SOURCE</t>
        </is>
      </c>
      <c r="AA299" t="inlineStr">
        <is>
          <t>NEED_SOURCE</t>
        </is>
      </c>
      <c r="AB299" t="inlineStr"/>
      <c r="AC299" t="inlineStr"/>
      <c r="AD299" t="inlineStr"/>
      <c r="AE299" t="inlineStr"/>
      <c r="AF299" t="inlineStr">
        <is>
          <t>Tools/balance/full_weapon_audit.py: REAL / WARHEAD; balance.json weapons[id=pt14_th_pd].real</t>
        </is>
      </c>
      <c r="AG299" t="inlineStr"/>
    </row>
    <row r="300">
      <c r="A300" t="inlineStr">
        <is>
          <t>pt14_th_v35</t>
        </is>
      </c>
      <c r="B300" t="inlineStr">
        <is>
          <t>pt14_th_v35</t>
        </is>
      </c>
      <c r="C300" t="inlineStr">
        <is>
          <t>Oerlikon KDA 35 mm (Theia ventral twin)</t>
        </is>
      </c>
      <c r="D300" t="inlineStr">
        <is>
          <t>doi_that</t>
        </is>
      </c>
      <c r="E300" t="inlineStr">
        <is>
          <t>Oerlikon KDA 35 mm (Theia ventral twin)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da_kiem_chung</t>
        </is>
      </c>
      <c r="P300" t="inlineStr">
        <is>
          <t>R_balance;R_full_weapon_audit;W_wikipedia_oerlikon_gdf</t>
        </is>
      </c>
      <c r="Q300" t="inlineStr"/>
      <c r="R30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0" t="n">
        <v>35</v>
      </c>
      <c r="T300" t="inlineStr">
        <is>
          <t>NEED_SOURCE</t>
        </is>
      </c>
      <c r="U300" t="inlineStr">
        <is>
          <t>NEED_SOURCE</t>
        </is>
      </c>
      <c r="V300" t="inlineStr">
        <is>
          <t>NEED_SOURCE</t>
        </is>
      </c>
      <c r="W300" t="inlineStr">
        <is>
          <t>NEED_SOURCE</t>
        </is>
      </c>
      <c r="X300" t="n">
        <v>550</v>
      </c>
      <c r="Y300" t="n">
        <v>300</v>
      </c>
      <c r="Z300" t="inlineStr">
        <is>
          <t>NEED_SOURCE</t>
        </is>
      </c>
      <c r="AA300" t="inlineStr">
        <is>
          <t>NEED_SOURCE</t>
        </is>
      </c>
      <c r="AB300" t="inlineStr"/>
      <c r="AC300" t="inlineStr">
        <is>
          <t>aa</t>
        </is>
      </c>
      <c r="AD300" t="inlineStr">
        <is>
          <t>Wikipedia 'Oerlikon GDF' / 'Gepard': 2 x 550 rpm</t>
        </is>
      </c>
      <c r="AE300" t="inlineStr"/>
      <c r="AF300" t="inlineStr">
        <is>
          <t>Tools/balance/full_weapon_audit.py: REAL / WARHEAD; balance.json weapons[id=pt14_th_v35].real</t>
        </is>
      </c>
      <c r="AG300" t="inlineStr"/>
    </row>
    <row r="301">
      <c r="A301" t="inlineStr">
        <is>
          <t>pt14_train_grad</t>
        </is>
      </c>
      <c r="B301" t="inlineStr">
        <is>
          <t>pt14_train_grad</t>
        </is>
      </c>
      <c r="C301" t="inlineStr">
        <is>
          <t>BM-21 Grad 122 mm</t>
        </is>
      </c>
      <c r="D301" t="inlineStr">
        <is>
          <t>doi_that</t>
        </is>
      </c>
      <c r="E301" t="inlineStr">
        <is>
          <t>BM-21 Grad 122 mm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da_kiem_chung</t>
        </is>
      </c>
      <c r="P301" t="inlineStr">
        <is>
          <t>R_balance;R_full_weapon_audit;W_wikipedia_bm_21_grad</t>
        </is>
      </c>
      <c r="Q301" t="inlineStr"/>
      <c r="R30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1" t="n">
        <v>122</v>
      </c>
      <c r="T301" t="inlineStr">
        <is>
          <t>NEED_SOURCE</t>
        </is>
      </c>
      <c r="U301" t="inlineStr">
        <is>
          <t>NEED_SOURCE</t>
        </is>
      </c>
      <c r="V301" t="inlineStr">
        <is>
          <t>NEED_SOURCE</t>
        </is>
      </c>
      <c r="W301" t="inlineStr">
        <is>
          <t>NEED_SOURCE</t>
        </is>
      </c>
      <c r="X301" t="n">
        <v>120</v>
      </c>
      <c r="Y301" t="inlineStr">
        <is>
          <t>NEED_SOURCE</t>
        </is>
      </c>
      <c r="Z301" t="inlineStr">
        <is>
          <t>NEED_SOURCE</t>
        </is>
      </c>
      <c r="AA301" t="inlineStr">
        <is>
          <t>NEED_SOURCE</t>
        </is>
      </c>
      <c r="AB301" t="inlineStr"/>
      <c r="AC301" t="inlineStr">
        <is>
          <t>rocket</t>
        </is>
      </c>
      <c r="AD301" t="inlineStr">
        <is>
          <t>Wikipedia 'BM-21 Grad': 40 rockets in 20 s</t>
        </is>
      </c>
      <c r="AE301" t="inlineStr"/>
      <c r="AF301" t="inlineStr">
        <is>
          <t>Tools/balance/full_weapon_audit.py: REAL / WARHEAD; balance.json weapons[id=pt14_train_grad].real</t>
        </is>
      </c>
      <c r="AG301" t="inlineStr"/>
    </row>
    <row r="302">
      <c r="A302" t="inlineStr">
        <is>
          <t>r60</t>
        </is>
      </c>
      <c r="B302" t="inlineStr">
        <is>
          <t>r60</t>
        </is>
      </c>
      <c r="C302" t="inlineStr">
        <is>
          <t>R-60</t>
        </is>
      </c>
      <c r="D302" t="inlineStr">
        <is>
          <t>doi_that</t>
        </is>
      </c>
      <c r="E302" t="inlineStr">
        <is>
          <t>R-60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uoc_dinh</t>
        </is>
      </c>
      <c r="P302" t="inlineStr">
        <is>
          <t>R_balance;R_full_weapon_audit;R_machine_brigade_can_bang</t>
        </is>
      </c>
      <c r="Q302" t="inlineStr"/>
      <c r="R30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2" t="inlineStr">
        <is>
          <t>NEED_SOURCE</t>
        </is>
      </c>
      <c r="T302" t="inlineStr">
        <is>
          <t>NEED_SOURCE</t>
        </is>
      </c>
      <c r="U302" t="inlineStr">
        <is>
          <t>NEED_SOURCE</t>
        </is>
      </c>
      <c r="V302" t="inlineStr">
        <is>
          <t>NEED_SOURCE</t>
        </is>
      </c>
      <c r="W302" t="inlineStr">
        <is>
          <t>NEED_SOURCE</t>
        </is>
      </c>
      <c r="X302" t="n">
        <v>60</v>
      </c>
      <c r="Y302" t="inlineStr">
        <is>
          <t>NEED_SOURCE</t>
        </is>
      </c>
      <c r="Z302" t="inlineStr">
        <is>
          <t>NEED_SOURCE</t>
        </is>
      </c>
      <c r="AA302" t="inlineStr">
        <is>
          <t>NEED_SOURCE</t>
        </is>
      </c>
      <c r="AB302" t="inlineStr">
        <is>
          <t>NEED_SOURCE</t>
        </is>
      </c>
      <c r="AC302" t="inlineStr">
        <is>
          <t>missile</t>
        </is>
      </c>
      <c r="AD302" t="inlineStr">
        <is>
          <t>air-to-air: ~1 s between launches (est.)</t>
        </is>
      </c>
      <c r="AE302" t="inlineStr">
        <is>
          <t>R-60: 8 km, Mach 2,7</t>
        </is>
      </c>
      <c r="AF302" t="inlineStr">
        <is>
          <t>Tools/balance/full_weapon_audit.py: REAL / WARHEAD; balance.json weapons[id=r60].real</t>
        </is>
      </c>
      <c r="AG302" t="inlineStr"/>
    </row>
    <row r="303">
      <c r="A303" t="inlineStr">
        <is>
          <t>railgun</t>
        </is>
      </c>
      <c r="B303" t="inlineStr">
        <is>
          <t>railgun</t>
        </is>
      </c>
      <c r="C303" t="inlineStr">
        <is>
          <t>railgun (32 MJ)</t>
        </is>
      </c>
      <c r="D303" t="inlineStr">
        <is>
          <t>doi_that</t>
        </is>
      </c>
      <c r="E303" t="inlineStr">
        <is>
          <t>railgun (32 MJ)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ban_dau_doan</t>
        </is>
      </c>
      <c r="P303" t="inlineStr">
        <is>
          <t>R_balance;R_machine_brigade_can_bang</t>
        </is>
      </c>
      <c r="Q303" t="inlineStr"/>
      <c r="R30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3" t="inlineStr">
        <is>
          <t>NEED_SOURCE</t>
        </is>
      </c>
      <c r="T303" t="inlineStr">
        <is>
          <t>NEED_SOURCE</t>
        </is>
      </c>
      <c r="U303" t="inlineStr">
        <is>
          <t>NEED_SOURCE</t>
        </is>
      </c>
      <c r="V303" t="inlineStr">
        <is>
          <t>NEED_SOURCE</t>
        </is>
      </c>
      <c r="W303" t="inlineStr">
        <is>
          <t>NEED_SOURCE</t>
        </is>
      </c>
      <c r="X303" t="inlineStr">
        <is>
          <t>NEED_SOURCE</t>
        </is>
      </c>
      <c r="Y303" t="inlineStr">
        <is>
          <t>NEED_SOURCE</t>
        </is>
      </c>
      <c r="Z303" t="inlineStr">
        <is>
          <t>NEED_SOURCE</t>
        </is>
      </c>
      <c r="AA303" t="inlineStr">
        <is>
          <t>NEED_SOURCE</t>
        </is>
      </c>
      <c r="AB303" t="inlineStr"/>
      <c r="AC303" t="inlineStr"/>
      <c r="AD303" t="inlineStr"/>
      <c r="AE303" t="inlineStr">
        <is>
          <t>EMRG (US Navy): 32 MJ, ~2.500 m/s, ~10 phát/phút (thử nghiệm)</t>
        </is>
      </c>
      <c r="AF303" t="inlineStr">
        <is>
          <t>Tools/balance/full_weapon_audit.py: REAL / WARHEAD; balance.json weapons[id=railgun].real</t>
        </is>
      </c>
      <c r="AG303" t="inlineStr"/>
    </row>
    <row r="304">
      <c r="A304" t="inlineStr">
        <is>
          <t>recoilless_106</t>
        </is>
      </c>
      <c r="B304" t="inlineStr">
        <is>
          <t>recoilless_106</t>
        </is>
      </c>
      <c r="C304" t="inlineStr">
        <is>
          <t>M40 106 mm recoilless rifle</t>
        </is>
      </c>
      <c r="D304" t="inlineStr">
        <is>
          <t>doi_that</t>
        </is>
      </c>
      <c r="E304" t="inlineStr">
        <is>
          <t>M40 106 mm recoilless rifle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nhịp chậm hơn 30 % và mạnh hơn tương ứng (luật súng của game)</t>
        </is>
      </c>
      <c r="M304" t="inlineStr">
        <is>
          <t>gameplay</t>
        </is>
      </c>
      <c r="N304" t="inlineStr"/>
      <c r="O304" t="inlineStr">
        <is>
          <t>da_kiem_chung</t>
        </is>
      </c>
      <c r="P304" t="inlineStr">
        <is>
          <t>R_balance;R_full_weapon_audit;W_wikipedia_m40_recoilless_rifle</t>
        </is>
      </c>
      <c r="Q304" t="inlineStr"/>
      <c r="R30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4" t="n">
        <v>106</v>
      </c>
      <c r="T304" t="inlineStr">
        <is>
          <t>NEED_SOURCE</t>
        </is>
      </c>
      <c r="U304" t="inlineStr">
        <is>
          <t>NEED_SOURCE</t>
        </is>
      </c>
      <c r="V304" t="inlineStr">
        <is>
          <t>NEED_SOURCE</t>
        </is>
      </c>
      <c r="W304" t="inlineStr">
        <is>
          <t>NEED_SOURCE</t>
        </is>
      </c>
      <c r="X304" t="n">
        <v>5</v>
      </c>
      <c r="Y304" t="n">
        <v>1</v>
      </c>
      <c r="Z304" t="inlineStr">
        <is>
          <t>NEED_SOURCE</t>
        </is>
      </c>
      <c r="AA304" t="inlineStr">
        <is>
          <t>NEED_SOURCE</t>
        </is>
      </c>
      <c r="AB304" t="inlineStr"/>
      <c r="AC304" t="inlineStr">
        <is>
          <t>gun</t>
        </is>
      </c>
      <c r="AD304" t="inlineStr">
        <is>
          <t>Wikipedia 'M40 recoilless rifle': 1 rpm sustained, ~5 rpm short bursts</t>
        </is>
      </c>
      <c r="AE304" t="inlineStr"/>
      <c r="AF304" t="inlineStr">
        <is>
          <t>Tools/balance/full_weapon_audit.py: REAL / WARHEAD; balance.json weapons[id=recoilless_106].real</t>
        </is>
      </c>
      <c r="AG304" t="inlineStr"/>
    </row>
    <row r="305">
      <c r="A305" t="inlineStr">
        <is>
          <t>recon_missile</t>
        </is>
      </c>
      <c r="B305" t="inlineStr">
        <is>
          <t>recon_missile</t>
        </is>
      </c>
      <c r="C305" t="inlineStr">
        <is>
          <t>MAM-L</t>
        </is>
      </c>
      <c r="D305" t="inlineStr">
        <is>
          <t>doi_that</t>
        </is>
      </c>
      <c r="E305" t="inlineStr">
        <is>
          <t>MAM-L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uoc_dinh</t>
        </is>
      </c>
      <c r="P305" t="inlineStr">
        <is>
          <t>R_balance;R_full_weapon_audit;R_machine_brigade_can_bang</t>
        </is>
      </c>
      <c r="Q305" t="inlineStr"/>
      <c r="R30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5" t="inlineStr">
        <is>
          <t>NEED_SOURCE</t>
        </is>
      </c>
      <c r="T305" t="inlineStr">
        <is>
          <t>NEED_SOURCE</t>
        </is>
      </c>
      <c r="U305" t="inlineStr">
        <is>
          <t>NEED_SOURCE</t>
        </is>
      </c>
      <c r="V305" t="inlineStr">
        <is>
          <t>NEED_SOURCE</t>
        </is>
      </c>
      <c r="W305" t="inlineStr">
        <is>
          <t>NEED_SOURCE</t>
        </is>
      </c>
      <c r="X305" t="n">
        <v>60</v>
      </c>
      <c r="Y305" t="n">
        <v>10</v>
      </c>
      <c r="Z305" t="inlineStr">
        <is>
          <t>NEED_SOURCE</t>
        </is>
      </c>
      <c r="AA305" t="inlineStr">
        <is>
          <t>NEED_SOURCE</t>
        </is>
      </c>
      <c r="AB305" t="inlineStr">
        <is>
          <t>NEED_SOURCE</t>
        </is>
      </c>
      <c r="AC305" t="inlineStr">
        <is>
          <t>atgm</t>
        </is>
      </c>
      <c r="AD305" t="inlineStr">
        <is>
          <t>air-launched: ripples ~1 s apart, est. 6 s an aimed shot</t>
        </is>
      </c>
      <c r="AE305" t="inlineStr">
        <is>
          <t>MAM-L: 8–15 km</t>
        </is>
      </c>
      <c r="AF305" t="inlineStr">
        <is>
          <t>Tools/balance/full_weapon_audit.py: REAL / WARHEAD; balance.json weapons[id=recon_missile].real</t>
        </is>
      </c>
      <c r="AG305" t="inlineStr"/>
    </row>
    <row r="306">
      <c r="A306" t="inlineStr">
        <is>
          <t>rockets_300mm</t>
        </is>
      </c>
      <c r="B306" t="inlineStr">
        <is>
          <t>rockets_300mm</t>
        </is>
      </c>
      <c r="C306" t="inlineStr">
        <is>
          <t>9M55 Smerch 300 mm</t>
        </is>
      </c>
      <c r="D306" t="inlineStr">
        <is>
          <t>doi_that</t>
        </is>
      </c>
      <c r="E306" t="inlineStr">
        <is>
          <t>9M55 Smerch 300 mm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da_kiem_chung</t>
        </is>
      </c>
      <c r="P306" t="inlineStr">
        <is>
          <t>R_balance;R_full_weapon_audit;W_wikipedia_bm_30_smerch;R_machine_brigade_can_bang</t>
        </is>
      </c>
      <c r="Q306" t="inlineStr"/>
      <c r="R30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6" t="n">
        <v>300</v>
      </c>
      <c r="T306" t="inlineStr">
        <is>
          <t>NEED_SOURCE</t>
        </is>
      </c>
      <c r="U306" t="inlineStr">
        <is>
          <t>NEED_SOURCE</t>
        </is>
      </c>
      <c r="V306" t="inlineStr">
        <is>
          <t>NEED_SOURCE</t>
        </is>
      </c>
      <c r="W306" t="inlineStr">
        <is>
          <t>NEED_SOURCE</t>
        </is>
      </c>
      <c r="X306" t="n">
        <v>19</v>
      </c>
      <c r="Y306" t="inlineStr">
        <is>
          <t>NEED_SOURCE</t>
        </is>
      </c>
      <c r="Z306" t="inlineStr">
        <is>
          <t>NEED_SOURCE</t>
        </is>
      </c>
      <c r="AA306" t="inlineStr">
        <is>
          <t>NEED_SOURCE</t>
        </is>
      </c>
      <c r="AB306" t="inlineStr"/>
      <c r="AC306" t="inlineStr">
        <is>
          <t>rocket</t>
        </is>
      </c>
      <c r="AD306" t="inlineStr">
        <is>
          <t>Wikipedia 'BM-30 Smerch': 12 rockets in 38 s</t>
        </is>
      </c>
      <c r="AE306" t="inlineStr">
        <is>
          <t>9M55 Smerch: 12 quả / 38 s; đầu nổ 243–258 kg</t>
        </is>
      </c>
      <c r="AF306" t="inlineStr">
        <is>
          <t>Tools/balance/full_weapon_audit.py: REAL / WARHEAD; balance.json weapons[id=rockets_300mm].real</t>
        </is>
      </c>
      <c r="AG306" t="inlineStr"/>
    </row>
    <row r="307">
      <c r="A307" t="inlineStr">
        <is>
          <t>s8_pods</t>
        </is>
      </c>
      <c r="B307" t="inlineStr">
        <is>
          <t>s8_pods</t>
        </is>
      </c>
      <c r="C307" t="inlineStr">
        <is>
          <t>S-8 80 mm</t>
        </is>
      </c>
      <c r="D307" t="inlineStr">
        <is>
          <t>doi_that</t>
        </is>
      </c>
      <c r="E307" t="inlineStr">
        <is>
          <t>S-8 80 mm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ban_dau_doan</t>
        </is>
      </c>
      <c r="P307" t="inlineStr">
        <is>
          <t>R_balance;R_full_weapon_audit;R_decisions;R_machine_brigade_can_bang</t>
        </is>
      </c>
      <c r="Q307" t="inlineStr"/>
      <c r="R30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7" t="n">
        <v>80</v>
      </c>
      <c r="T307" t="inlineStr">
        <is>
          <t>NEED_SOURCE</t>
        </is>
      </c>
      <c r="U307" t="inlineStr">
        <is>
          <t>NEED_SOURCE</t>
        </is>
      </c>
      <c r="V307" t="inlineStr">
        <is>
          <t>NEED_SOURCE</t>
        </is>
      </c>
      <c r="W307" t="inlineStr">
        <is>
          <t>NEED_SOURCE</t>
        </is>
      </c>
      <c r="X307" t="n">
        <v>900</v>
      </c>
      <c r="Y307" t="inlineStr">
        <is>
          <t>NEED_SOURCE</t>
        </is>
      </c>
      <c r="Z307" t="inlineStr">
        <is>
          <t>NEED_SOURCE</t>
        </is>
      </c>
      <c r="AA307" t="inlineStr">
        <is>
          <t>NEED_SOURCE</t>
        </is>
      </c>
      <c r="AB307" t="inlineStr"/>
      <c r="AC307" t="inlineStr">
        <is>
          <t>rocket</t>
        </is>
      </c>
      <c r="AD307" t="inlineStr">
        <is>
          <t>rocket pods: ripples of 0.05-0.12 s (DECISIONS 19R)</t>
        </is>
      </c>
      <c r="AE307" t="inlineStr">
        <is>
          <t>S-8 80 mm</t>
        </is>
      </c>
      <c r="AF307" t="inlineStr">
        <is>
          <t>Tools/balance/full_weapon_audit.py: REAL / WARHEAD; balance.json weapons[id=s8_pods].real</t>
        </is>
      </c>
      <c r="AG307" t="inlineStr"/>
    </row>
    <row r="308">
      <c r="A308" t="inlineStr">
        <is>
          <t>sam</t>
        </is>
      </c>
      <c r="B308" t="inlineStr">
        <is>
          <t>sam</t>
        </is>
      </c>
      <c r="C308" t="inlineStr">
        <is>
          <t>Starstreak / Stinger SHORAD</t>
        </is>
      </c>
      <c r="D308" t="inlineStr">
        <is>
          <t>doi_that</t>
        </is>
      </c>
      <c r="E308" t="inlineStr">
        <is>
          <t>Starstreak / Stinger SHORAD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uoc_dinh</t>
        </is>
      </c>
      <c r="P308" t="inlineStr">
        <is>
          <t>R_balance;R_full_weapon_audit;W_wikipedia_bai_cua_tung_ten_lua_bang_warhead;R_machine_brigade_can_bang</t>
        </is>
      </c>
      <c r="Q308" t="inlineStr"/>
      <c r="R30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8" t="inlineStr">
        <is>
          <t>NEED_SOURCE</t>
        </is>
      </c>
      <c r="T308" t="inlineStr">
        <is>
          <t>NEED_SOURCE</t>
        </is>
      </c>
      <c r="U308" t="inlineStr">
        <is>
          <t>NEED_SOURCE</t>
        </is>
      </c>
      <c r="V308" t="inlineStr">
        <is>
          <t>NEED_SOURCE</t>
        </is>
      </c>
      <c r="W308" t="inlineStr">
        <is>
          <t>NEED_SOURCE</t>
        </is>
      </c>
      <c r="X308" t="n">
        <v>20</v>
      </c>
      <c r="Y308" t="n">
        <v>10</v>
      </c>
      <c r="Z308" t="inlineStr">
        <is>
          <t>NEED_SOURCE</t>
        </is>
      </c>
      <c r="AA308" t="inlineStr">
        <is>
          <t>NEED_SOURCE</t>
        </is>
      </c>
      <c r="AB308" t="n">
        <v>1</v>
      </c>
      <c r="AC308" t="inlineStr">
        <is>
          <t>missile</t>
        </is>
      </c>
      <c r="AD308" t="inlineStr">
        <is>
          <t>Avenger / Stormer: ~3 s between rounds (est.); a MANPADS team 6-10 s</t>
        </is>
      </c>
      <c r="AE308" t="inlineStr">
        <is>
          <t>Stinger/Starstreak: 4,8–7 km, Mach 2,2 (Starstreak Mach 3+)</t>
        </is>
      </c>
      <c r="AF308" t="inlineStr">
        <is>
          <t>Tools/balance/full_weapon_audit.py: REAL / WARHEAD; balance.json weapons[id=sam].real</t>
        </is>
      </c>
      <c r="AG308" t="inlineStr"/>
    </row>
    <row r="309">
      <c r="A309" t="inlineStr">
        <is>
          <t>sam_48n6</t>
        </is>
      </c>
      <c r="B309" t="inlineStr">
        <is>
          <t>sam_48n6</t>
        </is>
      </c>
      <c r="C309" t="inlineStr">
        <is>
          <t>S-400 48N6</t>
        </is>
      </c>
      <c r="D309" t="inlineStr">
        <is>
          <t>doi_that</t>
        </is>
      </c>
      <c r="E309" t="inlineStr">
        <is>
          <t>S-400 48N6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da_kiem_chung</t>
        </is>
      </c>
      <c r="P309" t="inlineStr">
        <is>
          <t>R_balance;R_full_weapon_audit;W_wikipedia_s_400;R_machine_brigade_can_bang</t>
        </is>
      </c>
      <c r="Q309" t="inlineStr"/>
      <c r="R30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9" t="inlineStr">
        <is>
          <t>NEED_SOURCE</t>
        </is>
      </c>
      <c r="T309" t="inlineStr">
        <is>
          <t>NEED_SOURCE</t>
        </is>
      </c>
      <c r="U309" t="inlineStr">
        <is>
          <t>NEED_SOURCE</t>
        </is>
      </c>
      <c r="V309" t="inlineStr">
        <is>
          <t>NEED_SOURCE</t>
        </is>
      </c>
      <c r="W309" t="inlineStr">
        <is>
          <t>NEED_SOURCE</t>
        </is>
      </c>
      <c r="X309" t="n">
        <v>20</v>
      </c>
      <c r="Y309" t="n">
        <v>6</v>
      </c>
      <c r="Z309" t="inlineStr">
        <is>
          <t>NEED_SOURCE</t>
        </is>
      </c>
      <c r="AA309" t="inlineStr">
        <is>
          <t>NEED_SOURCE</t>
        </is>
      </c>
      <c r="AB309" t="inlineStr">
        <is>
          <t>NEED_SOURCE</t>
        </is>
      </c>
      <c r="AC309" t="inlineStr">
        <is>
          <t>missile</t>
        </is>
      </c>
      <c r="AD309" t="inlineStr">
        <is>
          <t>Wikipedia 'S-400': 3 s between launches</t>
        </is>
      </c>
      <c r="AE309" t="inlineStr">
        <is>
          <t>48N6 (S-400): 150–250 km, Mach 6</t>
        </is>
      </c>
      <c r="AF309" t="inlineStr">
        <is>
          <t>Tools/balance/full_weapon_audit.py: REAL / WARHEAD; balance.json weapons[id=sam_48n6].real</t>
        </is>
      </c>
      <c r="AG309" t="inlineStr"/>
    </row>
    <row r="310">
      <c r="A310" t="inlineStr">
        <is>
          <t>sam_battery</t>
        </is>
      </c>
      <c r="B310" t="inlineStr">
        <is>
          <t>sam_battery</t>
        </is>
      </c>
      <c r="C310" t="inlineStr">
        <is>
          <t>MIM-104 Patriot PAC-2</t>
        </is>
      </c>
      <c r="D310" t="inlineStr">
        <is>
          <t>doi_that</t>
        </is>
      </c>
      <c r="E310" t="inlineStr">
        <is>
          <t>MIM-104 Patriot PAC-2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uoc_dinh</t>
        </is>
      </c>
      <c r="P310" t="inlineStr">
        <is>
          <t>R_balance;R_full_weapon_audit;W_wikipedia_mim_104_patriot;R_machine_brigade_can_bang</t>
        </is>
      </c>
      <c r="Q310" t="inlineStr"/>
      <c r="R3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0" t="inlineStr">
        <is>
          <t>NEED_SOURCE</t>
        </is>
      </c>
      <c r="T310" t="inlineStr">
        <is>
          <t>NEED_SOURCE</t>
        </is>
      </c>
      <c r="U310" t="inlineStr">
        <is>
          <t>NEED_SOURCE</t>
        </is>
      </c>
      <c r="V310" t="inlineStr">
        <is>
          <t>NEED_SOURCE</t>
        </is>
      </c>
      <c r="W310" t="inlineStr">
        <is>
          <t>NEED_SOURCE</t>
        </is>
      </c>
      <c r="X310" t="n">
        <v>20</v>
      </c>
      <c r="Y310" t="n">
        <v>20</v>
      </c>
      <c r="Z310" t="inlineStr">
        <is>
          <t>NEED_SOURCE</t>
        </is>
      </c>
      <c r="AA310" t="inlineStr">
        <is>
          <t>NEED_SOURCE</t>
        </is>
      </c>
      <c r="AB310" t="inlineStr">
        <is>
          <t>NEED_SOURCE</t>
        </is>
      </c>
      <c r="AC310" t="inlineStr">
        <is>
          <t>missile</t>
        </is>
      </c>
      <c r="AD310" t="inlineStr">
        <is>
          <t>Wikipedia 'MIM-104 Patriot': ripples a few seconds apart (est. 3 s)</t>
        </is>
      </c>
      <c r="AE310" t="inlineStr">
        <is>
          <t>PAC-2</t>
        </is>
      </c>
      <c r="AF310" t="inlineStr">
        <is>
          <t>Tools/balance/full_weapon_audit.py: REAL / WARHEAD; balance.json weapons[id=sam_battery].real</t>
        </is>
      </c>
      <c r="AG310" t="inlineStr"/>
    </row>
    <row r="311">
      <c r="A311" t="inlineStr">
        <is>
          <t>sam_battery_lrr</t>
        </is>
      </c>
      <c r="B311" t="inlineStr">
        <is>
          <t>sam_battery_lrr</t>
        </is>
      </c>
      <c r="C311" t="inlineStr">
        <is>
          <t>MIM-104 Patriot PAC-2</t>
        </is>
      </c>
      <c r="D311" t="inlineStr">
        <is>
          <t>doi_that</t>
        </is>
      </c>
      <c r="E311" t="inlineStr">
        <is>
          <t>MIM-104 Patriot PAC-2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uoc_dinh</t>
        </is>
      </c>
      <c r="P311" t="inlineStr">
        <is>
          <t>R_balance;R_full_weapon_audit;W_wikipedia_mim_104_patriot;R_machine_brigade_can_bang</t>
        </is>
      </c>
      <c r="Q311" t="inlineStr"/>
      <c r="R3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1" t="inlineStr">
        <is>
          <t>NEED_SOURCE</t>
        </is>
      </c>
      <c r="T311" t="inlineStr">
        <is>
          <t>NEED_SOURCE</t>
        </is>
      </c>
      <c r="U311" t="inlineStr">
        <is>
          <t>NEED_SOURCE</t>
        </is>
      </c>
      <c r="V311" t="inlineStr">
        <is>
          <t>NEED_SOURCE</t>
        </is>
      </c>
      <c r="W311" t="inlineStr">
        <is>
          <t>NEED_SOURCE</t>
        </is>
      </c>
      <c r="X311" t="n">
        <v>20</v>
      </c>
      <c r="Y311" t="n">
        <v>20</v>
      </c>
      <c r="Z311" t="inlineStr">
        <is>
          <t>NEED_SOURCE</t>
        </is>
      </c>
      <c r="AA311" t="inlineStr">
        <is>
          <t>NEED_SOURCE</t>
        </is>
      </c>
      <c r="AB311" t="inlineStr">
        <is>
          <t>NEED_SOURCE</t>
        </is>
      </c>
      <c r="AC311" t="inlineStr">
        <is>
          <t>missile</t>
        </is>
      </c>
      <c r="AD311" t="inlineStr">
        <is>
          <t>Wikipedia 'MIM-104 Patriot': ripples a few seconds apart (est. 3 s)</t>
        </is>
      </c>
      <c r="AE311" t="inlineStr">
        <is>
          <t>PAC-2</t>
        </is>
      </c>
      <c r="AF311" t="inlineStr">
        <is>
          <t>Tools/balance/full_weapon_audit.py: REAL / WARHEAD; balance.json weapons[id=sam_battery_lrr].real</t>
        </is>
      </c>
      <c r="AG311" t="inlineStr"/>
    </row>
    <row r="312">
      <c r="A312" t="inlineStr">
        <is>
          <t>sam_long</t>
        </is>
      </c>
      <c r="B312" t="inlineStr">
        <is>
          <t>sam_long</t>
        </is>
      </c>
      <c r="C312" t="inlineStr">
        <is>
          <t>9M317 Buk</t>
        </is>
      </c>
      <c r="D312" t="inlineStr">
        <is>
          <t>doi_that</t>
        </is>
      </c>
      <c r="E312" t="inlineStr">
        <is>
          <t>9M317 Buk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da_kiem_chung</t>
        </is>
      </c>
      <c r="P312" t="inlineStr">
        <is>
          <t>R_balance;R_full_weapon_audit;W_wikipedia_buk_missile_system</t>
        </is>
      </c>
      <c r="Q312" t="inlineStr"/>
      <c r="R3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2" t="inlineStr">
        <is>
          <t>NEED_SOURCE</t>
        </is>
      </c>
      <c r="T312" t="inlineStr">
        <is>
          <t>NEED_SOURCE</t>
        </is>
      </c>
      <c r="U312" t="inlineStr">
        <is>
          <t>NEED_SOURCE</t>
        </is>
      </c>
      <c r="V312" t="inlineStr">
        <is>
          <t>NEED_SOURCE</t>
        </is>
      </c>
      <c r="W312" t="inlineStr">
        <is>
          <t>NEED_SOURCE</t>
        </is>
      </c>
      <c r="X312" t="n">
        <v>15</v>
      </c>
      <c r="Y312" t="n">
        <v>15</v>
      </c>
      <c r="Z312" t="inlineStr">
        <is>
          <t>NEED_SOURCE</t>
        </is>
      </c>
      <c r="AA312" t="inlineStr">
        <is>
          <t>NEED_SOURCE</t>
        </is>
      </c>
      <c r="AB312" t="inlineStr">
        <is>
          <t>NEED_SOURCE</t>
        </is>
      </c>
      <c r="AC312" t="inlineStr">
        <is>
          <t>missile</t>
        </is>
      </c>
      <c r="AD312" t="inlineStr">
        <is>
          <t>Wikipedia 'Buk missile system': 4 s between launches</t>
        </is>
      </c>
      <c r="AE312" t="inlineStr"/>
      <c r="AF312" t="inlineStr">
        <is>
          <t>Tools/balance/full_weapon_audit.py: REAL / WARHEAD; balance.json weapons[id=sam_long].real</t>
        </is>
      </c>
      <c r="AG312" t="inlineStr"/>
    </row>
    <row r="313">
      <c r="A313" t="inlineStr">
        <is>
          <t>sam_pac3</t>
        </is>
      </c>
      <c r="B313" t="inlineStr">
        <is>
          <t>sam_pac3</t>
        </is>
      </c>
      <c r="C313" t="inlineStr">
        <is>
          <t>Patriot PAC-3 MSE</t>
        </is>
      </c>
      <c r="D313" t="inlineStr">
        <is>
          <t>doi_that</t>
        </is>
      </c>
      <c r="E313" t="inlineStr">
        <is>
          <t>Patriot PAC-3 MSE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uoc_dinh</t>
        </is>
      </c>
      <c r="P313" t="inlineStr">
        <is>
          <t>R_balance;R_full_weapon_audit;W_wikipedia_mim_104_patriot;W_wikipedia_bai_cua_tung_ten_lua_bang_warhead;R_machine_brigade_can_bang</t>
        </is>
      </c>
      <c r="Q313" t="inlineStr"/>
      <c r="R3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3" t="inlineStr">
        <is>
          <t>NEED_SOURCE</t>
        </is>
      </c>
      <c r="T313" t="inlineStr">
        <is>
          <t>NEED_SOURCE</t>
        </is>
      </c>
      <c r="U313" t="inlineStr">
        <is>
          <t>NEED_SOURCE</t>
        </is>
      </c>
      <c r="V313" t="inlineStr">
        <is>
          <t>NEED_SOURCE</t>
        </is>
      </c>
      <c r="W313" t="inlineStr">
        <is>
          <t>NEED_SOURCE</t>
        </is>
      </c>
      <c r="X313" t="n">
        <v>20</v>
      </c>
      <c r="Y313" t="n">
        <v>20</v>
      </c>
      <c r="Z313" t="inlineStr">
        <is>
          <t>NEED_SOURCE</t>
        </is>
      </c>
      <c r="AA313" t="inlineStr">
        <is>
          <t>NEED_SOURCE</t>
        </is>
      </c>
      <c r="AB313" t="n">
        <v>7</v>
      </c>
      <c r="AC313" t="inlineStr">
        <is>
          <t>missile</t>
        </is>
      </c>
      <c r="AD313" t="inlineStr">
        <is>
          <t>Wikipedia 'MIM-104 Patriot': ripples a few seconds apart (est. 3 s)</t>
        </is>
      </c>
      <c r="AE313" t="inlineStr">
        <is>
          <t>PAC-3 MSE: 35–60 km, Mach 5</t>
        </is>
      </c>
      <c r="AF313" t="inlineStr">
        <is>
          <t>Tools/balance/full_weapon_audit.py: REAL / WARHEAD; balance.json weapons[id=sam_pac3].real</t>
        </is>
      </c>
      <c r="AG313" t="inlineStr"/>
    </row>
    <row r="314">
      <c r="A314" t="inlineStr">
        <is>
          <t>sam_post</t>
        </is>
      </c>
      <c r="B314" t="inlineStr">
        <is>
          <t>sam_post</t>
        </is>
      </c>
      <c r="C314" t="inlineStr">
        <is>
          <t>9M317 Buk</t>
        </is>
      </c>
      <c r="D314" t="inlineStr">
        <is>
          <t>doi_that</t>
        </is>
      </c>
      <c r="E314" t="inlineStr">
        <is>
          <t>9M317 Buk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da_kiem_chung</t>
        </is>
      </c>
      <c r="P314" t="inlineStr">
        <is>
          <t>R_balance;R_full_weapon_audit;W_wikipedia_buk_missile_system;R_machine_brigade_can_bang</t>
        </is>
      </c>
      <c r="Q314" t="inlineStr"/>
      <c r="R3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4" t="inlineStr">
        <is>
          <t>NEED_SOURCE</t>
        </is>
      </c>
      <c r="T314" t="inlineStr">
        <is>
          <t>NEED_SOURCE</t>
        </is>
      </c>
      <c r="U314" t="inlineStr">
        <is>
          <t>NEED_SOURCE</t>
        </is>
      </c>
      <c r="V314" t="inlineStr">
        <is>
          <t>NEED_SOURCE</t>
        </is>
      </c>
      <c r="W314" t="inlineStr">
        <is>
          <t>NEED_SOURCE</t>
        </is>
      </c>
      <c r="X314" t="n">
        <v>15</v>
      </c>
      <c r="Y314" t="n">
        <v>15</v>
      </c>
      <c r="Z314" t="inlineStr">
        <is>
          <t>NEED_SOURCE</t>
        </is>
      </c>
      <c r="AA314" t="inlineStr">
        <is>
          <t>NEED_SOURCE</t>
        </is>
      </c>
      <c r="AB314" t="inlineStr">
        <is>
          <t>NEED_SOURCE</t>
        </is>
      </c>
      <c r="AC314" t="inlineStr">
        <is>
          <t>missile</t>
        </is>
      </c>
      <c r="AD314" t="inlineStr">
        <is>
          <t>Wikipedia 'Buk missile system': 4 s between launches</t>
        </is>
      </c>
      <c r="AE314" t="inlineStr">
        <is>
          <t>9M317 Buk</t>
        </is>
      </c>
      <c r="AF314" t="inlineStr">
        <is>
          <t>Tools/balance/full_weapon_audit.py: REAL / WARHEAD; balance.json weapons[id=sam_post].real</t>
        </is>
      </c>
      <c r="AG314" t="inlineStr"/>
    </row>
    <row r="315">
      <c r="A315" t="inlineStr">
        <is>
          <t>scout_rockets</t>
        </is>
      </c>
      <c r="B315" t="inlineStr">
        <is>
          <t>scout_rockets</t>
        </is>
      </c>
      <c r="C315" t="inlineStr">
        <is>
          <t>Hydra 70 mm</t>
        </is>
      </c>
      <c r="D315" t="inlineStr">
        <is>
          <t>doi_that</t>
        </is>
      </c>
      <c r="E315" t="inlineStr">
        <is>
          <t>Hydra 70 mm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ban_dau_doan</t>
        </is>
      </c>
      <c r="P315" t="inlineStr">
        <is>
          <t>R_balance;R_full_weapon_audit;R_decisions;R_machine_brigade_can_bang</t>
        </is>
      </c>
      <c r="Q315" t="inlineStr"/>
      <c r="R3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5" t="n">
        <v>70</v>
      </c>
      <c r="T315" t="inlineStr">
        <is>
          <t>NEED_SOURCE</t>
        </is>
      </c>
      <c r="U315" t="inlineStr">
        <is>
          <t>NEED_SOURCE</t>
        </is>
      </c>
      <c r="V315" t="inlineStr">
        <is>
          <t>NEED_SOURCE</t>
        </is>
      </c>
      <c r="W315" t="inlineStr">
        <is>
          <t>NEED_SOURCE</t>
        </is>
      </c>
      <c r="X315" t="n">
        <v>900</v>
      </c>
      <c r="Y315" t="inlineStr">
        <is>
          <t>NEED_SOURCE</t>
        </is>
      </c>
      <c r="Z315" t="inlineStr">
        <is>
          <t>NEED_SOURCE</t>
        </is>
      </c>
      <c r="AA315" t="inlineStr">
        <is>
          <t>NEED_SOURCE</t>
        </is>
      </c>
      <c r="AB315" t="inlineStr"/>
      <c r="AC315" t="inlineStr">
        <is>
          <t>rocket</t>
        </is>
      </c>
      <c r="AD315" t="inlineStr">
        <is>
          <t>rocket pods: ripples of 0.05-0.12 s (DECISIONS 19R)</t>
        </is>
      </c>
      <c r="AE315" t="inlineStr">
        <is>
          <t>Hydra 70</t>
        </is>
      </c>
      <c r="AF315" t="inlineStr">
        <is>
          <t>Tools/balance/full_weapon_audit.py: REAL / WARHEAD; balance.json weapons[id=scout_rockets].real</t>
        </is>
      </c>
      <c r="AG315" t="inlineStr"/>
    </row>
    <row r="316">
      <c r="A316" t="inlineStr">
        <is>
          <t>scylla_2m7</t>
        </is>
      </c>
      <c r="B316" t="inlineStr">
        <is>
          <t>scylla_2m7</t>
        </is>
      </c>
      <c r="C316" t="inlineStr">
        <is>
          <t>2M-7 14.5 mm (twin HMG)</t>
        </is>
      </c>
      <c r="D316" t="inlineStr">
        <is>
          <t>doi_that</t>
        </is>
      </c>
      <c r="E316" t="inlineStr">
        <is>
          <t>2M-7 14.5 mm (twin HMG)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ban_dau_doan</t>
        </is>
      </c>
      <c r="P316" t="inlineStr">
        <is>
          <t>R_balance</t>
        </is>
      </c>
      <c r="Q316" t="inlineStr"/>
      <c r="R3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6" t="n">
        <v>14.5</v>
      </c>
      <c r="T316" t="inlineStr">
        <is>
          <t>NEED_SOURCE</t>
        </is>
      </c>
      <c r="U316" t="inlineStr">
        <is>
          <t>NEED_SOURCE</t>
        </is>
      </c>
      <c r="V316" t="inlineStr">
        <is>
          <t>NEED_SOURCE</t>
        </is>
      </c>
      <c r="W316" t="inlineStr">
        <is>
          <t>NEED_SOURCE</t>
        </is>
      </c>
      <c r="X316" t="inlineStr">
        <is>
          <t>NEED_SOURCE</t>
        </is>
      </c>
      <c r="Y316" t="inlineStr">
        <is>
          <t>NEED_SOURCE</t>
        </is>
      </c>
      <c r="Z316" t="inlineStr">
        <is>
          <t>NEED_SOURCE</t>
        </is>
      </c>
      <c r="AA316" t="inlineStr">
        <is>
          <t>NEED_SOURCE</t>
        </is>
      </c>
      <c r="AB316" t="inlineStr"/>
      <c r="AC316" t="inlineStr"/>
      <c r="AD316" t="inlineStr"/>
      <c r="AE316" t="inlineStr"/>
      <c r="AF316" t="inlineStr">
        <is>
          <t>Tools/balance/full_weapon_audit.py: REAL / WARHEAD; balance.json weapons[id=scylla_2m7].real</t>
        </is>
      </c>
      <c r="AG316" t="inlineStr"/>
    </row>
    <row r="317">
      <c r="A317" t="inlineStr">
        <is>
          <t>scylla_ak230</t>
        </is>
      </c>
      <c r="B317" t="inlineStr">
        <is>
          <t>scylla_ak230</t>
        </is>
      </c>
      <c r="C317" t="inlineStr">
        <is>
          <t>AK-230 30 mm (twin, enclosed)</t>
        </is>
      </c>
      <c r="D317" t="inlineStr">
        <is>
          <t>doi_that</t>
        </is>
      </c>
      <c r="E317" t="inlineStr">
        <is>
          <t>AK-230 30 mm (twin, enclosed)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ban_dau_doan</t>
        </is>
      </c>
      <c r="P317" t="inlineStr">
        <is>
          <t>R_balance</t>
        </is>
      </c>
      <c r="Q317" t="inlineStr"/>
      <c r="R3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7" t="n">
        <v>30</v>
      </c>
      <c r="T317" t="inlineStr">
        <is>
          <t>NEED_SOURCE</t>
        </is>
      </c>
      <c r="U317" t="inlineStr">
        <is>
          <t>NEED_SOURCE</t>
        </is>
      </c>
      <c r="V317" t="inlineStr">
        <is>
          <t>NEED_SOURCE</t>
        </is>
      </c>
      <c r="W317" t="inlineStr">
        <is>
          <t>NEED_SOURCE</t>
        </is>
      </c>
      <c r="X317" t="inlineStr">
        <is>
          <t>NEED_SOURCE</t>
        </is>
      </c>
      <c r="Y317" t="inlineStr">
        <is>
          <t>NEED_SOURCE</t>
        </is>
      </c>
      <c r="Z317" t="inlineStr">
        <is>
          <t>NEED_SOURCE</t>
        </is>
      </c>
      <c r="AA317" t="inlineStr">
        <is>
          <t>NEED_SOURCE</t>
        </is>
      </c>
      <c r="AB317" t="inlineStr"/>
      <c r="AC317" t="inlineStr"/>
      <c r="AD317" t="inlineStr"/>
      <c r="AE317" t="inlineStr"/>
      <c r="AF317" t="inlineStr">
        <is>
          <t>Tools/balance/full_weapon_audit.py: REAL / WARHEAD; balance.json weapons[id=scylla_ak230].real</t>
        </is>
      </c>
      <c r="AG317" t="inlineStr"/>
    </row>
    <row r="318">
      <c r="A318" t="inlineStr">
        <is>
          <t>scylla_kh35</t>
        </is>
      </c>
      <c r="B318" t="inlineStr">
        <is>
          <t>scylla_kh35</t>
        </is>
      </c>
      <c r="C318" t="inlineStr">
        <is>
          <t>Kh-35U Uran (quad canister bank)</t>
        </is>
      </c>
      <c r="D318" t="inlineStr">
        <is>
          <t>doi_that</t>
        </is>
      </c>
      <c r="E318" t="inlineStr">
        <is>
          <t>Kh-35U Uran (quad canister bank)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ban_dau_doan</t>
        </is>
      </c>
      <c r="P318" t="inlineStr">
        <is>
          <t>R_balance</t>
        </is>
      </c>
      <c r="Q318" t="inlineStr"/>
      <c r="R3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8" t="inlineStr">
        <is>
          <t>NEED_SOURCE</t>
        </is>
      </c>
      <c r="T318" t="inlineStr">
        <is>
          <t>NEED_SOURCE</t>
        </is>
      </c>
      <c r="U318" t="inlineStr">
        <is>
          <t>NEED_SOURCE</t>
        </is>
      </c>
      <c r="V318" t="inlineStr">
        <is>
          <t>NEED_SOURCE</t>
        </is>
      </c>
      <c r="W318" t="inlineStr">
        <is>
          <t>NEED_SOURCE</t>
        </is>
      </c>
      <c r="X318" t="inlineStr">
        <is>
          <t>NEED_SOURCE</t>
        </is>
      </c>
      <c r="Y318" t="inlineStr">
        <is>
          <t>NEED_SOURCE</t>
        </is>
      </c>
      <c r="Z318" t="inlineStr">
        <is>
          <t>NEED_SOURCE</t>
        </is>
      </c>
      <c r="AA318" t="inlineStr">
        <is>
          <t>NEED_SOURCE</t>
        </is>
      </c>
      <c r="AB318" t="inlineStr">
        <is>
          <t>NEED_SOURCE</t>
        </is>
      </c>
      <c r="AC318" t="inlineStr"/>
      <c r="AD318" t="inlineStr"/>
      <c r="AE318" t="inlineStr"/>
      <c r="AF318" t="inlineStr">
        <is>
          <t>Tools/balance/full_weapon_audit.py: REAL / WARHEAD; balance.json weapons[id=scylla_kh35].real</t>
        </is>
      </c>
      <c r="AG318" t="inlineStr"/>
    </row>
    <row r="319">
      <c r="A319" t="inlineStr">
        <is>
          <t>shahed</t>
        </is>
      </c>
      <c r="B319" t="inlineStr">
        <is>
          <t>shahed</t>
        </is>
      </c>
      <c r="C319" t="inlineStr">
        <is>
          <t>Shahed-136 (50 kg)</t>
        </is>
      </c>
      <c r="D319" t="inlineStr">
        <is>
          <t>doi_that</t>
        </is>
      </c>
      <c r="E319" t="inlineStr">
        <is>
          <t>Shahed-136 (50 kg)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ban_dau_doan</t>
        </is>
      </c>
      <c r="P319" t="inlineStr">
        <is>
          <t>R_balance;R_machine_brigade_can_bang</t>
        </is>
      </c>
      <c r="Q319" t="inlineStr"/>
      <c r="R3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9" t="inlineStr">
        <is>
          <t>NEED_SOURCE</t>
        </is>
      </c>
      <c r="T319" t="inlineStr">
        <is>
          <t>NEED_SOURCE</t>
        </is>
      </c>
      <c r="U319" t="inlineStr">
        <is>
          <t>NEED_SOURCE</t>
        </is>
      </c>
      <c r="V319" t="inlineStr">
        <is>
          <t>NEED_SOURCE</t>
        </is>
      </c>
      <c r="W319" t="inlineStr">
        <is>
          <t>NEED_SOURCE</t>
        </is>
      </c>
      <c r="X319" t="inlineStr">
        <is>
          <t>NEED_SOURCE</t>
        </is>
      </c>
      <c r="Y319" t="inlineStr">
        <is>
          <t>NEED_SOURCE</t>
        </is>
      </c>
      <c r="Z319" t="inlineStr">
        <is>
          <t>NEED_SOURCE</t>
        </is>
      </c>
      <c r="AA319" t="inlineStr">
        <is>
          <t>NEED_SOURCE</t>
        </is>
      </c>
      <c r="AB319" t="inlineStr"/>
      <c r="AC319" t="inlineStr"/>
      <c r="AD319" t="inlineStr"/>
      <c r="AE319" t="inlineStr">
        <is>
          <t>Shahed-136: đầu nổ 40–50 kg</t>
        </is>
      </c>
      <c r="AF319" t="inlineStr">
        <is>
          <t>Tools/balance/full_weapon_audit.py: REAL / WARHEAD; balance.json weapons[id=shahed].real</t>
        </is>
      </c>
      <c r="AG319" t="inlineStr"/>
    </row>
    <row r="320">
      <c r="A320" t="inlineStr">
        <is>
          <t>siege_gun_105</t>
        </is>
      </c>
      <c r="B320" t="inlineStr">
        <is>
          <t>siege_gun_105</t>
        </is>
      </c>
      <c r="C320" t="inlineStr">
        <is>
          <t>L7 105 mm (siege tank)</t>
        </is>
      </c>
      <c r="D320" t="inlineStr">
        <is>
          <t>doi_that</t>
        </is>
      </c>
      <c r="E320" t="inlineStr">
        <is>
          <t>L7 105 mm (siege tank)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nhịp chậm hơn 30 % và mạnh hơn tương ứng (luật súng của game)</t>
        </is>
      </c>
      <c r="M320" t="inlineStr">
        <is>
          <t>gameplay</t>
        </is>
      </c>
      <c r="N320" t="inlineStr"/>
      <c r="O320" t="inlineStr">
        <is>
          <t>da_kiem_chung</t>
        </is>
      </c>
      <c r="P320" t="inlineStr">
        <is>
          <t>R_balance;R_full_weapon_audit;W_wikipedia_royal_ordnance_l7;R_machine_brigade_can_bang</t>
        </is>
      </c>
      <c r="Q320" t="inlineStr"/>
      <c r="R3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0" t="n">
        <v>105</v>
      </c>
      <c r="T320" t="inlineStr">
        <is>
          <t>NEED_SOURCE</t>
        </is>
      </c>
      <c r="U320" t="inlineStr">
        <is>
          <t>NEED_SOURCE</t>
        </is>
      </c>
      <c r="V320" t="inlineStr">
        <is>
          <t>NEED_SOURCE</t>
        </is>
      </c>
      <c r="W320" t="inlineStr">
        <is>
          <t>NEED_SOURCE</t>
        </is>
      </c>
      <c r="X320" t="n">
        <v>10</v>
      </c>
      <c r="Y320" t="n">
        <v>6</v>
      </c>
      <c r="Z320" t="inlineStr">
        <is>
          <t>NEED_SOURCE</t>
        </is>
      </c>
      <c r="AA320" t="inlineStr">
        <is>
          <t>NEED_SOURCE</t>
        </is>
      </c>
      <c r="AB320" t="inlineStr"/>
      <c r="AC320" t="inlineStr">
        <is>
          <t>gun</t>
        </is>
      </c>
      <c r="AD320" t="inlineStr">
        <is>
          <t>Wikipedia 'Royal Ordnance L7': 6-10 rpm</t>
        </is>
      </c>
      <c r="AE320" t="inlineStr">
        <is>
          <t>L7 105 mm</t>
        </is>
      </c>
      <c r="AF320" t="inlineStr">
        <is>
          <t>Tools/balance/full_weapon_audit.py: REAL / WARHEAD; balance.json weapons[id=siege_gun_105].real</t>
        </is>
      </c>
      <c r="AG320" t="inlineStr"/>
    </row>
    <row r="321">
      <c r="A321" t="inlineStr">
        <is>
          <t>siege_gun_105_he</t>
        </is>
      </c>
      <c r="B321" t="inlineStr">
        <is>
          <t>siege_gun_105_he</t>
        </is>
      </c>
      <c r="C321" t="inlineStr">
        <is>
          <t>L7 105 mm HE (siege tank)</t>
        </is>
      </c>
      <c r="D321" t="inlineStr">
        <is>
          <t>doi_that</t>
        </is>
      </c>
      <c r="E321" t="inlineStr">
        <is>
          <t>L7 105 mm HE (siege tank)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nhịp chậm hơn 30 % và mạnh hơn tương ứng (luật súng của game)</t>
        </is>
      </c>
      <c r="M321" t="inlineStr">
        <is>
          <t>gameplay</t>
        </is>
      </c>
      <c r="N321" t="inlineStr"/>
      <c r="O321" t="inlineStr">
        <is>
          <t>da_kiem_chung</t>
        </is>
      </c>
      <c r="P321" t="inlineStr">
        <is>
          <t>R_balance;R_full_weapon_audit;W_wikipedia_royal_ordnance_l7</t>
        </is>
      </c>
      <c r="Q321" t="inlineStr"/>
      <c r="R3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1" t="n">
        <v>105</v>
      </c>
      <c r="T321" t="inlineStr">
        <is>
          <t>NEED_SOURCE</t>
        </is>
      </c>
      <c r="U321" t="inlineStr">
        <is>
          <t>NEED_SOURCE</t>
        </is>
      </c>
      <c r="V321" t="inlineStr">
        <is>
          <t>NEED_SOURCE</t>
        </is>
      </c>
      <c r="W321" t="inlineStr">
        <is>
          <t>NEED_SOURCE</t>
        </is>
      </c>
      <c r="X321" t="n">
        <v>10</v>
      </c>
      <c r="Y321" t="n">
        <v>6</v>
      </c>
      <c r="Z321" t="inlineStr">
        <is>
          <t>NEED_SOURCE</t>
        </is>
      </c>
      <c r="AA321" t="inlineStr">
        <is>
          <t>NEED_SOURCE</t>
        </is>
      </c>
      <c r="AB321" t="inlineStr"/>
      <c r="AC321" t="inlineStr">
        <is>
          <t>gun</t>
        </is>
      </c>
      <c r="AD321" t="inlineStr">
        <is>
          <t>Wikipedia 'Royal Ordnance L7': 6-10 rpm</t>
        </is>
      </c>
      <c r="AE321" t="inlineStr"/>
      <c r="AF321" t="inlineStr">
        <is>
          <t>Tools/balance/full_weapon_audit.py: REAL / WARHEAD; balance.json weapons[id=siege_gun_105_he].real</t>
        </is>
      </c>
      <c r="AG321" t="inlineStr"/>
    </row>
    <row r="322">
      <c r="A322" t="inlineStr">
        <is>
          <t>siege_mortar_240</t>
        </is>
      </c>
      <c r="B322" t="inlineStr">
        <is>
          <t>siege_mortar_240</t>
        </is>
      </c>
      <c r="C322" t="inlineStr">
        <is>
          <t>2B8 240 mm (siege tank)</t>
        </is>
      </c>
      <c r="D322" t="inlineStr">
        <is>
          <t>doi_that</t>
        </is>
      </c>
      <c r="E322" t="inlineStr">
        <is>
          <t>2B8 240 mm (siege tank)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nhịp chậm hơn 30 % và mạnh hơn tương ứng (luật súng của game)</t>
        </is>
      </c>
      <c r="M322" t="inlineStr">
        <is>
          <t>gameplay</t>
        </is>
      </c>
      <c r="N322" t="inlineStr"/>
      <c r="O322" t="inlineStr">
        <is>
          <t>da_kiem_chung</t>
        </is>
      </c>
      <c r="P322" t="inlineStr">
        <is>
          <t>R_balance;R_full_weapon_audit;W_wikipedia_2s4_tyulpan;R_machine_brigade_can_bang</t>
        </is>
      </c>
      <c r="Q322" t="inlineStr"/>
      <c r="R3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2" t="n">
        <v>240</v>
      </c>
      <c r="T322" t="inlineStr">
        <is>
          <t>NEED_SOURCE</t>
        </is>
      </c>
      <c r="U322" t="inlineStr">
        <is>
          <t>NEED_SOURCE</t>
        </is>
      </c>
      <c r="V322" t="inlineStr">
        <is>
          <t>NEED_SOURCE</t>
        </is>
      </c>
      <c r="W322" t="inlineStr">
        <is>
          <t>NEED_SOURCE</t>
        </is>
      </c>
      <c r="X322" t="n">
        <v>1</v>
      </c>
      <c r="Y322" t="n">
        <v>1</v>
      </c>
      <c r="Z322" t="inlineStr">
        <is>
          <t>NEED_SOURCE</t>
        </is>
      </c>
      <c r="AA322" t="inlineStr">
        <is>
          <t>NEED_SOURCE</t>
        </is>
      </c>
      <c r="AB322" t="inlineStr"/>
      <c r="AC322" t="inlineStr">
        <is>
          <t>gun</t>
        </is>
      </c>
      <c r="AD322" t="inlineStr">
        <is>
          <t>Wikipedia '2S4 Tyulpan': ~1 rpm</t>
        </is>
      </c>
      <c r="AE322" t="inlineStr">
        <is>
          <t>2B8 240 mm</t>
        </is>
      </c>
      <c r="AF322" t="inlineStr">
        <is>
          <t>Tools/balance/full_weapon_audit.py: REAL / WARHEAD; balance.json weapons[id=siege_mortar_240].real</t>
        </is>
      </c>
      <c r="AG322" t="inlineStr"/>
    </row>
    <row r="323">
      <c r="A323" t="inlineStr">
        <is>
          <t>spg9_73mm</t>
        </is>
      </c>
      <c r="B323" t="inlineStr">
        <is>
          <t>spg9_73mm</t>
        </is>
      </c>
      <c r="C323" t="inlineStr">
        <is>
          <t>SPG-9 Kopyo 73 mm</t>
        </is>
      </c>
      <c r="D323" t="inlineStr">
        <is>
          <t>doi_that</t>
        </is>
      </c>
      <c r="E323" t="inlineStr">
        <is>
          <t>SPG-9 Kopyo 73 mm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nhịp chậm hơn 30 % và mạnh hơn tương ứng (luật súng của game)</t>
        </is>
      </c>
      <c r="M323" t="inlineStr">
        <is>
          <t>gameplay</t>
        </is>
      </c>
      <c r="N323" t="inlineStr"/>
      <c r="O323" t="inlineStr">
        <is>
          <t>da_kiem_chung</t>
        </is>
      </c>
      <c r="P323" t="inlineStr">
        <is>
          <t>R_balance;R_full_weapon_audit;W_wikipedia_spg_9</t>
        </is>
      </c>
      <c r="Q323" t="inlineStr"/>
      <c r="R3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3" t="n">
        <v>73</v>
      </c>
      <c r="T323" t="inlineStr">
        <is>
          <t>NEED_SOURCE</t>
        </is>
      </c>
      <c r="U323" t="inlineStr">
        <is>
          <t>NEED_SOURCE</t>
        </is>
      </c>
      <c r="V323" t="inlineStr">
        <is>
          <t>NEED_SOURCE</t>
        </is>
      </c>
      <c r="W323" t="inlineStr">
        <is>
          <t>NEED_SOURCE</t>
        </is>
      </c>
      <c r="X323" t="n">
        <v>6</v>
      </c>
      <c r="Y323" t="n">
        <v>4</v>
      </c>
      <c r="Z323" t="inlineStr">
        <is>
          <t>NEED_SOURCE</t>
        </is>
      </c>
      <c r="AA323" t="inlineStr">
        <is>
          <t>NEED_SOURCE</t>
        </is>
      </c>
      <c r="AB323" t="inlineStr"/>
      <c r="AC323" t="inlineStr">
        <is>
          <t>gun</t>
        </is>
      </c>
      <c r="AD323" t="inlineStr">
        <is>
          <t>Wikipedia 'SPG-9': 5-6 rpm</t>
        </is>
      </c>
      <c r="AE323" t="inlineStr"/>
      <c r="AF323" t="inlineStr">
        <is>
          <t>Tools/balance/full_weapon_audit.py: REAL / WARHEAD; balance.json weapons[id=spg9_73mm].real</t>
        </is>
      </c>
      <c r="AG323" t="inlineStr"/>
    </row>
    <row r="324">
      <c r="A324" t="inlineStr">
        <is>
          <t>stealth_payload</t>
        </is>
      </c>
      <c r="B324" t="inlineStr">
        <is>
          <t>stealth_payload</t>
        </is>
      </c>
      <c r="C324" t="inlineStr">
        <is>
          <t>GBU-31 JDAM (907 kg)</t>
        </is>
      </c>
      <c r="D324" t="inlineStr">
        <is>
          <t>doi_that</t>
        </is>
      </c>
      <c r="E324" t="inlineStr">
        <is>
          <t>GBU-31 JDAM (907 kg)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uoc_dinh</t>
        </is>
      </c>
      <c r="P324" t="inlineStr">
        <is>
          <t>R_balance;R_full_weapon_audit;R_machine_brigade_can_bang</t>
        </is>
      </c>
      <c r="Q324" t="inlineStr"/>
      <c r="R3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4" t="inlineStr">
        <is>
          <t>NEED_SOURCE</t>
        </is>
      </c>
      <c r="T324" t="inlineStr">
        <is>
          <t>NEED_SOURCE</t>
        </is>
      </c>
      <c r="U324" t="inlineStr">
        <is>
          <t>NEED_SOURCE</t>
        </is>
      </c>
      <c r="V324" t="inlineStr">
        <is>
          <t>NEED_SOURCE</t>
        </is>
      </c>
      <c r="W324" t="inlineStr">
        <is>
          <t>NEED_SOURCE</t>
        </is>
      </c>
      <c r="X324" t="n">
        <v>600</v>
      </c>
      <c r="Y324" t="inlineStr">
        <is>
          <t>NEED_SOURCE</t>
        </is>
      </c>
      <c r="Z324" t="inlineStr">
        <is>
          <t>NEED_SOURCE</t>
        </is>
      </c>
      <c r="AA324" t="inlineStr">
        <is>
          <t>NEED_SOURCE</t>
        </is>
      </c>
      <c r="AB324" t="inlineStr"/>
      <c r="AC324" t="inlineStr">
        <is>
          <t>bomb</t>
        </is>
      </c>
      <c r="AD324" t="inlineStr">
        <is>
          <t>a stick's release, 0.1 s and up (est.)</t>
        </is>
      </c>
      <c r="AE324" t="inlineStr">
        <is>
          <t>GBU-31 (Mk 84): ~430 kg thuốc nổ</t>
        </is>
      </c>
      <c r="AF324" t="inlineStr">
        <is>
          <t>Tools/balance/full_weapon_audit.py: REAL / WARHEAD; balance.json weapons[id=stealth_payload].real</t>
        </is>
      </c>
      <c r="AG324" t="inlineStr"/>
    </row>
    <row r="325">
      <c r="A325" t="inlineStr">
        <is>
          <t>stinger_atas</t>
        </is>
      </c>
      <c r="B325" t="inlineStr">
        <is>
          <t>stinger_atas</t>
        </is>
      </c>
      <c r="C325" t="inlineStr">
        <is>
          <t>FIM-92 Stinger (ATAS)</t>
        </is>
      </c>
      <c r="D325" t="inlineStr">
        <is>
          <t>doi_that</t>
        </is>
      </c>
      <c r="E325" t="inlineStr">
        <is>
          <t>FIM-92 Stinger (ATAS)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uoc_dinh</t>
        </is>
      </c>
      <c r="P325" t="inlineStr">
        <is>
          <t>R_balance;R_full_weapon_audit;R_machine_brigade_can_bang</t>
        </is>
      </c>
      <c r="Q325" t="inlineStr"/>
      <c r="R3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5" t="inlineStr">
        <is>
          <t>NEED_SOURCE</t>
        </is>
      </c>
      <c r="T325" t="inlineStr">
        <is>
          <t>NEED_SOURCE</t>
        </is>
      </c>
      <c r="U325" t="inlineStr">
        <is>
          <t>NEED_SOURCE</t>
        </is>
      </c>
      <c r="V325" t="inlineStr">
        <is>
          <t>NEED_SOURCE</t>
        </is>
      </c>
      <c r="W325" t="inlineStr">
        <is>
          <t>NEED_SOURCE</t>
        </is>
      </c>
      <c r="X325" t="n">
        <v>20</v>
      </c>
      <c r="Y325" t="n">
        <v>10</v>
      </c>
      <c r="Z325" t="inlineStr">
        <is>
          <t>NEED_SOURCE</t>
        </is>
      </c>
      <c r="AA325" t="inlineStr">
        <is>
          <t>NEED_SOURCE</t>
        </is>
      </c>
      <c r="AB325" t="inlineStr">
        <is>
          <t>NEED_SOURCE</t>
        </is>
      </c>
      <c r="AC325" t="inlineStr">
        <is>
          <t>missile</t>
        </is>
      </c>
      <c r="AD325" t="inlineStr">
        <is>
          <t>Avenger / Stormer: ~3 s between rounds (est.); a MANPADS team 6-10 s</t>
        </is>
      </c>
      <c r="AE325" t="inlineStr">
        <is>
          <t>Stinger: 4,8 km, Mach 2,2</t>
        </is>
      </c>
      <c r="AF325" t="inlineStr">
        <is>
          <t>Tools/balance/full_weapon_audit.py: REAL / WARHEAD; balance.json weapons[id=stinger_atas].real</t>
        </is>
      </c>
      <c r="AG325" t="inlineStr"/>
    </row>
    <row r="326">
      <c r="A326" t="inlineStr">
        <is>
          <t>stinger_post</t>
        </is>
      </c>
      <c r="B326" t="inlineStr">
        <is>
          <t>stinger_post</t>
        </is>
      </c>
      <c r="C326" t="inlineStr">
        <is>
          <t>FIM-92 Stinger (tower post)</t>
        </is>
      </c>
      <c r="D326" t="inlineStr">
        <is>
          <t>doi_that</t>
        </is>
      </c>
      <c r="E326" t="inlineStr">
        <is>
          <t>FIM-92 Stinger (tower post)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uoc_dinh</t>
        </is>
      </c>
      <c r="P326" t="inlineStr">
        <is>
          <t>R_balance;R_full_weapon_audit</t>
        </is>
      </c>
      <c r="Q326" t="inlineStr"/>
      <c r="R3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6" t="inlineStr">
        <is>
          <t>NEED_SOURCE</t>
        </is>
      </c>
      <c r="T326" t="inlineStr">
        <is>
          <t>NEED_SOURCE</t>
        </is>
      </c>
      <c r="U326" t="inlineStr">
        <is>
          <t>NEED_SOURCE</t>
        </is>
      </c>
      <c r="V326" t="inlineStr">
        <is>
          <t>NEED_SOURCE</t>
        </is>
      </c>
      <c r="W326" t="inlineStr">
        <is>
          <t>NEED_SOURCE</t>
        </is>
      </c>
      <c r="X326" t="n">
        <v>20</v>
      </c>
      <c r="Y326" t="n">
        <v>10</v>
      </c>
      <c r="Z326" t="inlineStr">
        <is>
          <t>NEED_SOURCE</t>
        </is>
      </c>
      <c r="AA326" t="inlineStr">
        <is>
          <t>NEED_SOURCE</t>
        </is>
      </c>
      <c r="AB326" t="inlineStr">
        <is>
          <t>NEED_SOURCE</t>
        </is>
      </c>
      <c r="AC326" t="inlineStr">
        <is>
          <t>missile</t>
        </is>
      </c>
      <c r="AD326" t="inlineStr">
        <is>
          <t>Avenger / Stormer: ~3 s between rounds (est.); a MANPADS team 6-10 s</t>
        </is>
      </c>
      <c r="AE326" t="inlineStr"/>
      <c r="AF326" t="inlineStr">
        <is>
          <t>Tools/balance/full_weapon_audit.py: REAL / WARHEAD; balance.json weapons[id=stinger_post].real</t>
        </is>
      </c>
      <c r="AG326" t="inlineStr"/>
    </row>
    <row r="327">
      <c r="A327" t="inlineStr">
        <is>
          <t>swarm_drones</t>
        </is>
      </c>
      <c r="B327" t="inlineStr">
        <is>
          <t>swarm_drones</t>
        </is>
      </c>
      <c r="C327" t="inlineStr">
        <is>
          <t>FPV drone (1.5 kg)</t>
        </is>
      </c>
      <c r="D327" t="inlineStr">
        <is>
          <t>doi_that</t>
        </is>
      </c>
      <c r="E327" t="inlineStr">
        <is>
          <t>FPV drone (1.5 kg)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ban_dau_doan</t>
        </is>
      </c>
      <c r="P327" t="inlineStr">
        <is>
          <t>R_balance;R_machine_brigade_can_bang</t>
        </is>
      </c>
      <c r="Q327" t="inlineStr"/>
      <c r="R3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7" t="inlineStr">
        <is>
          <t>NEED_SOURCE</t>
        </is>
      </c>
      <c r="T327" t="inlineStr">
        <is>
          <t>NEED_SOURCE</t>
        </is>
      </c>
      <c r="U327" t="inlineStr">
        <is>
          <t>NEED_SOURCE</t>
        </is>
      </c>
      <c r="V327" t="inlineStr">
        <is>
          <t>NEED_SOURCE</t>
        </is>
      </c>
      <c r="W327" t="inlineStr">
        <is>
          <t>NEED_SOURCE</t>
        </is>
      </c>
      <c r="X327" t="inlineStr">
        <is>
          <t>NEED_SOURCE</t>
        </is>
      </c>
      <c r="Y327" t="inlineStr">
        <is>
          <t>NEED_SOURCE</t>
        </is>
      </c>
      <c r="Z327" t="inlineStr">
        <is>
          <t>NEED_SOURCE</t>
        </is>
      </c>
      <c r="AA327" t="inlineStr">
        <is>
          <t>NEED_SOURCE</t>
        </is>
      </c>
      <c r="AB327" t="inlineStr"/>
      <c r="AC327" t="inlineStr"/>
      <c r="AD327" t="inlineStr"/>
      <c r="AE327" t="inlineStr">
        <is>
          <t>FPV</t>
        </is>
      </c>
      <c r="AF327" t="inlineStr">
        <is>
          <t>Tools/balance/full_weapon_audit.py: REAL / WARHEAD; balance.json weapons[id=swarm_drones].real</t>
        </is>
      </c>
      <c r="AG327" t="inlineStr"/>
    </row>
    <row r="328">
      <c r="A328" t="inlineStr">
        <is>
          <t>tamir</t>
        </is>
      </c>
      <c r="B328" t="inlineStr">
        <is>
          <t>tamir</t>
        </is>
      </c>
      <c r="C328" t="inlineStr">
        <is>
          <t>Tamir interceptor (Iron Dome)</t>
        </is>
      </c>
      <c r="D328" t="inlineStr">
        <is>
          <t>doi_that</t>
        </is>
      </c>
      <c r="E328" t="inlineStr">
        <is>
          <t>Tamir interceptor (Iron Dome)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ban_dau_doan</t>
        </is>
      </c>
      <c r="P328" t="inlineStr">
        <is>
          <t>R_balance;R_full_weapon_audit;R_decisions;R_machine_brigade_can_bang</t>
        </is>
      </c>
      <c r="Q328" t="inlineStr"/>
      <c r="R3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8" t="inlineStr">
        <is>
          <t>NEED_SOURCE</t>
        </is>
      </c>
      <c r="T328" t="inlineStr">
        <is>
          <t>NEED_SOURCE</t>
        </is>
      </c>
      <c r="U328" t="inlineStr">
        <is>
          <t>NEED_SOURCE</t>
        </is>
      </c>
      <c r="V328" t="inlineStr">
        <is>
          <t>NEED_SOURCE</t>
        </is>
      </c>
      <c r="W328" t="inlineStr">
        <is>
          <t>NEED_SOURCE</t>
        </is>
      </c>
      <c r="X328" t="n">
        <v>60</v>
      </c>
      <c r="Y328" t="n">
        <v>30</v>
      </c>
      <c r="Z328" t="inlineStr">
        <is>
          <t>NEED_SOURCE</t>
        </is>
      </c>
      <c r="AA328" t="inlineStr">
        <is>
          <t>NEED_SOURCE</t>
        </is>
      </c>
      <c r="AB328" t="inlineStr">
        <is>
          <t>NEED_SOURCE</t>
        </is>
      </c>
      <c r="AC328" t="inlineStr">
        <is>
          <t>missile</t>
        </is>
      </c>
      <c r="AD328" t="inlineStr">
        <is>
          <t>Iron Dome: launches 1-2 s apart (DECISIONS 19R)</t>
        </is>
      </c>
      <c r="AE328" t="inlineStr">
        <is>
          <t>Tamir: 4–70 km, Mach 2,2</t>
        </is>
      </c>
      <c r="AF328" t="inlineStr">
        <is>
          <t>Tools/balance/full_weapon_audit.py: REAL / WARHEAD; balance.json weapons[id=tamir].real</t>
        </is>
      </c>
      <c r="AG328" t="inlineStr"/>
    </row>
    <row r="329">
      <c r="A329" t="inlineStr">
        <is>
          <t>technical_rockets</t>
        </is>
      </c>
      <c r="B329" t="inlineStr">
        <is>
          <t>technical_rockets</t>
        </is>
      </c>
      <c r="C329" t="inlineStr">
        <is>
          <t>Type 63 107 mm</t>
        </is>
      </c>
      <c r="D329" t="inlineStr">
        <is>
          <t>doi_that</t>
        </is>
      </c>
      <c r="E329" t="inlineStr">
        <is>
          <t>Type 63 107 mm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da_kiem_chung</t>
        </is>
      </c>
      <c r="P329" t="inlineStr">
        <is>
          <t>R_balance;R_full_weapon_audit;W_wikipedia_type_63_mrl;R_machine_brigade_can_bang</t>
        </is>
      </c>
      <c r="Q329" t="inlineStr"/>
      <c r="R3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9" t="n">
        <v>107</v>
      </c>
      <c r="T329" t="inlineStr">
        <is>
          <t>NEED_SOURCE</t>
        </is>
      </c>
      <c r="U329" t="inlineStr">
        <is>
          <t>NEED_SOURCE</t>
        </is>
      </c>
      <c r="V329" t="inlineStr">
        <is>
          <t>NEED_SOURCE</t>
        </is>
      </c>
      <c r="W329" t="inlineStr">
        <is>
          <t>NEED_SOURCE</t>
        </is>
      </c>
      <c r="X329" t="n">
        <v>100</v>
      </c>
      <c r="Y329" t="inlineStr">
        <is>
          <t>NEED_SOURCE</t>
        </is>
      </c>
      <c r="Z329" t="inlineStr">
        <is>
          <t>NEED_SOURCE</t>
        </is>
      </c>
      <c r="AA329" t="inlineStr">
        <is>
          <t>NEED_SOURCE</t>
        </is>
      </c>
      <c r="AB329" t="inlineStr"/>
      <c r="AC329" t="inlineStr">
        <is>
          <t>rocket</t>
        </is>
      </c>
      <c r="AD329" t="inlineStr">
        <is>
          <t>Wikipedia 'Type 63 MRL': 12 rockets in 7-9 s</t>
        </is>
      </c>
      <c r="AE329" t="inlineStr">
        <is>
          <t>Type 63 107 mm: 12 quả trong ~7–9 s</t>
        </is>
      </c>
      <c r="AF329" t="inlineStr">
        <is>
          <t>Tools/balance/full_weapon_audit.py: REAL / WARHEAD; balance.json weapons[id=technical_rockets].real</t>
        </is>
      </c>
      <c r="AG329" t="inlineStr"/>
    </row>
    <row r="330">
      <c r="A330" t="inlineStr">
        <is>
          <t>thermobaric_rockets</t>
        </is>
      </c>
      <c r="B330" t="inlineStr">
        <is>
          <t>thermobaric_rockets</t>
        </is>
      </c>
      <c r="C330" t="inlineStr">
        <is>
          <t>TOS-1A 220 mm thermobaric</t>
        </is>
      </c>
      <c r="D330" t="inlineStr">
        <is>
          <t>doi_that</t>
        </is>
      </c>
      <c r="E330" t="inlineStr">
        <is>
          <t>TOS-1A 220 mm thermobaric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da_kiem_chung</t>
        </is>
      </c>
      <c r="P330" t="inlineStr">
        <is>
          <t>R_balance;R_full_weapon_audit;W_wikipedia_tos_1;R_machine_brigade_can_bang</t>
        </is>
      </c>
      <c r="Q330" t="inlineStr"/>
      <c r="R3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0" t="n">
        <v>220</v>
      </c>
      <c r="T330" t="inlineStr">
        <is>
          <t>NEED_SOURCE</t>
        </is>
      </c>
      <c r="U330" t="inlineStr">
        <is>
          <t>NEED_SOURCE</t>
        </is>
      </c>
      <c r="V330" t="inlineStr">
        <is>
          <t>NEED_SOURCE</t>
        </is>
      </c>
      <c r="W330" t="inlineStr">
        <is>
          <t>NEED_SOURCE</t>
        </is>
      </c>
      <c r="X330" t="n">
        <v>240</v>
      </c>
      <c r="Y330" t="inlineStr">
        <is>
          <t>NEED_SOURCE</t>
        </is>
      </c>
      <c r="Z330" t="inlineStr">
        <is>
          <t>NEED_SOURCE</t>
        </is>
      </c>
      <c r="AA330" t="inlineStr">
        <is>
          <t>NEED_SOURCE</t>
        </is>
      </c>
      <c r="AB330" t="inlineStr"/>
      <c r="AC330" t="inlineStr">
        <is>
          <t>rocket</t>
        </is>
      </c>
      <c r="AD330" t="inlineStr">
        <is>
          <t>Wikipedia 'TOS-1': 24 rockets in 6-12 s</t>
        </is>
      </c>
      <c r="AE330" t="inlineStr">
        <is>
          <t>TOS-1A: 24 quả / ~7,5 s; tầm 6 km</t>
        </is>
      </c>
      <c r="AF330" t="inlineStr">
        <is>
          <t>Tools/balance/full_weapon_audit.py: REAL / WARHEAD; balance.json weapons[id=thermobaric_rockets].real</t>
        </is>
      </c>
      <c r="AG330" t="inlineStr"/>
    </row>
    <row r="331">
      <c r="A331" t="inlineStr">
        <is>
          <t>tower_ac25</t>
        </is>
      </c>
      <c r="B331" t="inlineStr">
        <is>
          <t>tower_ac25</t>
        </is>
      </c>
      <c r="C331" t="inlineStr">
        <is>
          <t>M242 Bushmaster 25 mm</t>
        </is>
      </c>
      <c r="D331" t="inlineStr">
        <is>
          <t>doi_that</t>
        </is>
      </c>
      <c r="E331" t="inlineStr">
        <is>
          <t>M242 Bushmaster 25 mm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da_kiem_chung</t>
        </is>
      </c>
      <c r="P331" t="inlineStr">
        <is>
          <t>R_balance;R_full_weapon_audit;W_wikipedia_m242_bushmaster;R_machine_brigade_can_bang</t>
        </is>
      </c>
      <c r="Q331" t="inlineStr"/>
      <c r="R3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1" t="n">
        <v>25</v>
      </c>
      <c r="T331" t="inlineStr">
        <is>
          <t>NEED_SOURCE</t>
        </is>
      </c>
      <c r="U331" t="inlineStr">
        <is>
          <t>NEED_SOURCE</t>
        </is>
      </c>
      <c r="V331" t="inlineStr">
        <is>
          <t>NEED_SOURCE</t>
        </is>
      </c>
      <c r="W331" t="inlineStr">
        <is>
          <t>NEED_SOURCE</t>
        </is>
      </c>
      <c r="X331" t="n">
        <v>500</v>
      </c>
      <c r="Y331" t="n">
        <v>200</v>
      </c>
      <c r="Z331" t="inlineStr">
        <is>
          <t>NEED_SOURCE</t>
        </is>
      </c>
      <c r="AA331" t="inlineStr">
        <is>
          <t>NEED_SOURCE</t>
        </is>
      </c>
      <c r="AB331" t="inlineStr"/>
      <c r="AC331" t="inlineStr">
        <is>
          <t>ac</t>
        </is>
      </c>
      <c r="AD331" t="inlineStr">
        <is>
          <t>Wikipedia 'M242 Bushmaster': 200 or 500 rpm</t>
        </is>
      </c>
      <c r="AE331" t="inlineStr">
        <is>
          <t>M242: 200/500 phát/phút</t>
        </is>
      </c>
      <c r="AF331" t="inlineStr">
        <is>
          <t>Tools/balance/full_weapon_audit.py: REAL / WARHEAD; balance.json weapons[id=tower_ac25].real</t>
        </is>
      </c>
      <c r="AG331" t="inlineStr"/>
    </row>
    <row r="332">
      <c r="A332" t="inlineStr">
        <is>
          <t>tower_ac25_flak</t>
        </is>
      </c>
      <c r="B332" t="inlineStr">
        <is>
          <t>tower_ac25_flak</t>
        </is>
      </c>
      <c r="C332" t="inlineStr">
        <is>
          <t>M242 Bushmaster 25 mm air-burst</t>
        </is>
      </c>
      <c r="D332" t="inlineStr">
        <is>
          <t>doi_that</t>
        </is>
      </c>
      <c r="E332" t="inlineStr">
        <is>
          <t>M242 Bushmaster 25 mm air-burst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da_kiem_chung</t>
        </is>
      </c>
      <c r="P332" t="inlineStr">
        <is>
          <t>R_balance;R_full_weapon_audit;W_wikipedia_m242_bushmaster</t>
        </is>
      </c>
      <c r="Q332" t="inlineStr"/>
      <c r="R3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2" t="n">
        <v>25</v>
      </c>
      <c r="T332" t="inlineStr">
        <is>
          <t>NEED_SOURCE</t>
        </is>
      </c>
      <c r="U332" t="inlineStr">
        <is>
          <t>NEED_SOURCE</t>
        </is>
      </c>
      <c r="V332" t="inlineStr">
        <is>
          <t>NEED_SOURCE</t>
        </is>
      </c>
      <c r="W332" t="inlineStr">
        <is>
          <t>NEED_SOURCE</t>
        </is>
      </c>
      <c r="X332" t="n">
        <v>500</v>
      </c>
      <c r="Y332" t="n">
        <v>200</v>
      </c>
      <c r="Z332" t="inlineStr">
        <is>
          <t>NEED_SOURCE</t>
        </is>
      </c>
      <c r="AA332" t="inlineStr">
        <is>
          <t>NEED_SOURCE</t>
        </is>
      </c>
      <c r="AB332" t="inlineStr"/>
      <c r="AC332" t="inlineStr">
        <is>
          <t>ac</t>
        </is>
      </c>
      <c r="AD332" t="inlineStr">
        <is>
          <t>Wikipedia 'M242 Bushmaster': 200 or 500 rpm</t>
        </is>
      </c>
      <c r="AE332" t="inlineStr"/>
      <c r="AF332" t="inlineStr">
        <is>
          <t>Tools/balance/full_weapon_audit.py: REAL / WARHEAD; balance.json weapons[id=tower_ac25_flak].real</t>
        </is>
      </c>
      <c r="AG332" t="inlineStr"/>
    </row>
    <row r="333">
      <c r="A333" t="inlineStr">
        <is>
          <t>tower_agl</t>
        </is>
      </c>
      <c r="B333" t="inlineStr">
        <is>
          <t>tower_agl</t>
        </is>
      </c>
      <c r="C333" t="inlineStr">
        <is>
          <t>Mk 19 40 mm</t>
        </is>
      </c>
      <c r="D333" t="inlineStr">
        <is>
          <t>doi_that</t>
        </is>
      </c>
      <c r="E333" t="inlineStr">
        <is>
          <t>Mk 19 40 mm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da_kiem_chung</t>
        </is>
      </c>
      <c r="P333" t="inlineStr">
        <is>
          <t>R_balance;R_full_weapon_audit;D_us_army_fm_3_22_27</t>
        </is>
      </c>
      <c r="Q333" t="inlineStr"/>
      <c r="R33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3" t="n">
        <v>40</v>
      </c>
      <c r="T333" t="inlineStr">
        <is>
          <t>NEED_SOURCE</t>
        </is>
      </c>
      <c r="U333" t="inlineStr">
        <is>
          <t>NEED_SOURCE</t>
        </is>
      </c>
      <c r="V333" t="inlineStr">
        <is>
          <t>NEED_SOURCE</t>
        </is>
      </c>
      <c r="W333" t="inlineStr">
        <is>
          <t>NEED_SOURCE</t>
        </is>
      </c>
      <c r="X333" t="n">
        <v>375</v>
      </c>
      <c r="Y333" t="n">
        <v>60</v>
      </c>
      <c r="Z333" t="inlineStr">
        <is>
          <t>NEED_SOURCE</t>
        </is>
      </c>
      <c r="AA333" t="inlineStr">
        <is>
          <t>NEED_SOURCE</t>
        </is>
      </c>
      <c r="AB333" t="inlineStr"/>
      <c r="AC333" t="inlineStr">
        <is>
          <t>ac</t>
        </is>
      </c>
      <c r="AD333" t="inlineStr">
        <is>
          <t>US Army FM 3-22.27: 325-375 cyclic, 60 rapid</t>
        </is>
      </c>
      <c r="AE333" t="inlineStr"/>
      <c r="AF333" t="inlineStr">
        <is>
          <t>Tools/balance/full_weapon_audit.py: REAL / WARHEAD; balance.json weapons[id=tower_agl].real</t>
        </is>
      </c>
      <c r="AG333" t="inlineStr"/>
    </row>
    <row r="334">
      <c r="A334" t="inlineStr">
        <is>
          <t>tower_flak_30</t>
        </is>
      </c>
      <c r="B334" t="inlineStr">
        <is>
          <t>tower_flak_30</t>
        </is>
      </c>
      <c r="C334" t="inlineStr">
        <is>
          <t>2A38 30 mm (twin)</t>
        </is>
      </c>
      <c r="D334" t="inlineStr">
        <is>
          <t>doi_that</t>
        </is>
      </c>
      <c r="E334" t="inlineStr">
        <is>
          <t>2A38 30 mm (twin)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da_kiem_chung</t>
        </is>
      </c>
      <c r="P334" t="inlineStr">
        <is>
          <t>R_balance;R_full_weapon_audit;W_wikipedia_2a38;R_machine_brigade_can_bang</t>
        </is>
      </c>
      <c r="Q334" t="inlineStr"/>
      <c r="R33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4" t="n">
        <v>30</v>
      </c>
      <c r="T334" t="inlineStr">
        <is>
          <t>NEED_SOURCE</t>
        </is>
      </c>
      <c r="U334" t="inlineStr">
        <is>
          <t>NEED_SOURCE</t>
        </is>
      </c>
      <c r="V334" t="inlineStr">
        <is>
          <t>NEED_SOURCE</t>
        </is>
      </c>
      <c r="W334" t="inlineStr">
        <is>
          <t>NEED_SOURCE</t>
        </is>
      </c>
      <c r="X334" t="n">
        <v>2500</v>
      </c>
      <c r="Y334" t="n">
        <v>1000</v>
      </c>
      <c r="Z334" t="inlineStr">
        <is>
          <t>NEED_SOURCE</t>
        </is>
      </c>
      <c r="AA334" t="inlineStr">
        <is>
          <t>NEED_SOURCE</t>
        </is>
      </c>
      <c r="AB334" t="inlineStr"/>
      <c r="AC334" t="inlineStr">
        <is>
          <t>aa</t>
        </is>
      </c>
      <c r="AD334" t="inlineStr">
        <is>
          <t>Wikipedia '2A38': 4,060-5,000 rpm the twin mount</t>
        </is>
      </c>
      <c r="AE334" t="inlineStr">
        <is>
          <t>2A38M: ~5.000 phát/phút cả cặp</t>
        </is>
      </c>
      <c r="AF334" t="inlineStr">
        <is>
          <t>Tools/balance/full_weapon_audit.py: REAL / WARHEAD; balance.json weapons[id=tower_flak_30].real</t>
        </is>
      </c>
      <c r="AG334" t="inlineStr"/>
    </row>
    <row r="335">
      <c r="A335" t="inlineStr">
        <is>
          <t>tower_flak_30_ap</t>
        </is>
      </c>
      <c r="B335" t="inlineStr">
        <is>
          <t>tower_flak_30_ap</t>
        </is>
      </c>
      <c r="C335" t="inlineStr">
        <is>
          <t>2A38 30 mm AP (twin)</t>
        </is>
      </c>
      <c r="D335" t="inlineStr">
        <is>
          <t>doi_that</t>
        </is>
      </c>
      <c r="E335" t="inlineStr">
        <is>
          <t>2A38 30 mm AP (twin)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da_kiem_chung</t>
        </is>
      </c>
      <c r="P335" t="inlineStr">
        <is>
          <t>R_balance;R_full_weapon_audit;W_wikipedia_2a38</t>
        </is>
      </c>
      <c r="Q335" t="inlineStr"/>
      <c r="R33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5" t="n">
        <v>30</v>
      </c>
      <c r="T335" t="inlineStr">
        <is>
          <t>NEED_SOURCE</t>
        </is>
      </c>
      <c r="U335" t="inlineStr">
        <is>
          <t>NEED_SOURCE</t>
        </is>
      </c>
      <c r="V335" t="inlineStr">
        <is>
          <t>NEED_SOURCE</t>
        </is>
      </c>
      <c r="W335" t="inlineStr">
        <is>
          <t>NEED_SOURCE</t>
        </is>
      </c>
      <c r="X335" t="n">
        <v>2500</v>
      </c>
      <c r="Y335" t="n">
        <v>1000</v>
      </c>
      <c r="Z335" t="inlineStr">
        <is>
          <t>NEED_SOURCE</t>
        </is>
      </c>
      <c r="AA335" t="inlineStr">
        <is>
          <t>NEED_SOURCE</t>
        </is>
      </c>
      <c r="AB335" t="inlineStr"/>
      <c r="AC335" t="inlineStr">
        <is>
          <t>aa</t>
        </is>
      </c>
      <c r="AD335" t="inlineStr">
        <is>
          <t>Wikipedia '2A38': 4,060-5,000 rpm the twin mount</t>
        </is>
      </c>
      <c r="AE335" t="inlineStr"/>
      <c r="AF335" t="inlineStr">
        <is>
          <t>Tools/balance/full_weapon_audit.py: REAL / WARHEAD; balance.json weapons[id=tower_flak_30_ap].real</t>
        </is>
      </c>
      <c r="AG335" t="inlineStr"/>
    </row>
    <row r="336">
      <c r="A336" t="inlineStr">
        <is>
          <t>tower_hmg</t>
        </is>
      </c>
      <c r="B336" t="inlineStr">
        <is>
          <t>tower_hmg</t>
        </is>
      </c>
      <c r="C336" t="inlineStr">
        <is>
          <t>M2 Browning 12.7 mm</t>
        </is>
      </c>
      <c r="D336" t="inlineStr">
        <is>
          <t>doi_that</t>
        </is>
      </c>
      <c r="E336" t="inlineStr">
        <is>
          <t>M2 Browning 12.7 mm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da_kiem_chung</t>
        </is>
      </c>
      <c r="P336" t="inlineStr">
        <is>
          <t>R_balance;R_full_weapon_audit;D_us_army_fm_3_22_65;R_machine_brigade_can_bang</t>
        </is>
      </c>
      <c r="Q336" t="inlineStr"/>
      <c r="R33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6" t="n">
        <v>12.7</v>
      </c>
      <c r="T336" t="inlineStr">
        <is>
          <t>NEED_SOURCE</t>
        </is>
      </c>
      <c r="U336" t="inlineStr">
        <is>
          <t>NEED_SOURCE</t>
        </is>
      </c>
      <c r="V336" t="inlineStr">
        <is>
          <t>NEED_SOURCE</t>
        </is>
      </c>
      <c r="W336" t="inlineStr">
        <is>
          <t>NEED_SOURCE</t>
        </is>
      </c>
      <c r="X336" t="n">
        <v>600</v>
      </c>
      <c r="Y336" t="n">
        <v>40</v>
      </c>
      <c r="Z336" t="inlineStr">
        <is>
          <t>NEED_SOURCE</t>
        </is>
      </c>
      <c r="AA336" t="inlineStr">
        <is>
          <t>NEED_SOURCE</t>
        </is>
      </c>
      <c r="AB336" t="inlineStr"/>
      <c r="AC336" t="inlineStr">
        <is>
          <t>mg</t>
        </is>
      </c>
      <c r="AD336" t="inlineStr">
        <is>
          <t>US Army FM 3-22.65: cyclic 450-600, rapid 40 rpm</t>
        </is>
      </c>
      <c r="AE336" t="inlineStr">
        <is>
          <t>M2: 450–600</t>
        </is>
      </c>
      <c r="AF336" t="inlineStr">
        <is>
          <t>Tools/balance/full_weapon_audit.py: REAL / WARHEAD; balance.json weapons[id=tower_hmg].real</t>
        </is>
      </c>
      <c r="AG336" t="inlineStr"/>
    </row>
    <row r="337">
      <c r="A337" t="inlineStr">
        <is>
          <t>tower_hmg_api</t>
        </is>
      </c>
      <c r="B337" t="inlineStr">
        <is>
          <t>tower_hmg_api</t>
        </is>
      </c>
      <c r="C337" t="inlineStr">
        <is>
          <t>M2 Browning 12.7 mm API</t>
        </is>
      </c>
      <c r="D337" t="inlineStr">
        <is>
          <t>doi_that</t>
        </is>
      </c>
      <c r="E337" t="inlineStr">
        <is>
          <t>M2 Browning 12.7 mm API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da_kiem_chung</t>
        </is>
      </c>
      <c r="P337" t="inlineStr">
        <is>
          <t>R_balance;R_full_weapon_audit;D_us_army_fm_3_22_65</t>
        </is>
      </c>
      <c r="Q337" t="inlineStr"/>
      <c r="R33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7" t="n">
        <v>12.7</v>
      </c>
      <c r="T337" t="inlineStr">
        <is>
          <t>NEED_SOURCE</t>
        </is>
      </c>
      <c r="U337" t="inlineStr">
        <is>
          <t>NEED_SOURCE</t>
        </is>
      </c>
      <c r="V337" t="inlineStr">
        <is>
          <t>NEED_SOURCE</t>
        </is>
      </c>
      <c r="W337" t="inlineStr">
        <is>
          <t>NEED_SOURCE</t>
        </is>
      </c>
      <c r="X337" t="n">
        <v>600</v>
      </c>
      <c r="Y337" t="n">
        <v>40</v>
      </c>
      <c r="Z337" t="inlineStr">
        <is>
          <t>NEED_SOURCE</t>
        </is>
      </c>
      <c r="AA337" t="inlineStr">
        <is>
          <t>NEED_SOURCE</t>
        </is>
      </c>
      <c r="AB337" t="inlineStr"/>
      <c r="AC337" t="inlineStr">
        <is>
          <t>mg</t>
        </is>
      </c>
      <c r="AD337" t="inlineStr">
        <is>
          <t>US Army FM 3-22.65: cyclic 450-600, rapid 40 rpm</t>
        </is>
      </c>
      <c r="AE337" t="inlineStr"/>
      <c r="AF337" t="inlineStr">
        <is>
          <t>Tools/balance/full_weapon_audit.py: REAL / WARHEAD; balance.json weapons[id=tower_hmg_api].real</t>
        </is>
      </c>
      <c r="AG337" t="inlineStr"/>
    </row>
    <row r="338">
      <c r="A338" t="inlineStr">
        <is>
          <t>tower_kornet</t>
        </is>
      </c>
      <c r="B338" t="inlineStr">
        <is>
          <t>tower_kornet</t>
        </is>
      </c>
      <c r="C338" t="inlineStr">
        <is>
          <t>9M133 Kornet</t>
        </is>
      </c>
      <c r="D338" t="inlineStr">
        <is>
          <t>doi_that</t>
        </is>
      </c>
      <c r="E338" t="inlineStr">
        <is>
          <t>9M133 Kornet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da_kiem_chung</t>
        </is>
      </c>
      <c r="P338" t="inlineStr">
        <is>
          <t>R_balance;R_full_weapon_audit;W_wikipedia_9m133_kornet;W_wikipedia_bai_cua_tung_ten_lua_bang_warhead;R_machine_brigade_can_bang</t>
        </is>
      </c>
      <c r="Q338" t="inlineStr"/>
      <c r="R33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8" t="inlineStr">
        <is>
          <t>NEED_SOURCE</t>
        </is>
      </c>
      <c r="T338" t="inlineStr">
        <is>
          <t>NEED_SOURCE</t>
        </is>
      </c>
      <c r="U338" t="inlineStr">
        <is>
          <t>NEED_SOURCE</t>
        </is>
      </c>
      <c r="V338" t="inlineStr">
        <is>
          <t>NEED_SOURCE</t>
        </is>
      </c>
      <c r="W338" t="inlineStr">
        <is>
          <t>NEED_SOURCE</t>
        </is>
      </c>
      <c r="X338" t="n">
        <v>3</v>
      </c>
      <c r="Y338" t="n">
        <v>3</v>
      </c>
      <c r="Z338" t="inlineStr">
        <is>
          <t>NEED_SOURCE</t>
        </is>
      </c>
      <c r="AA338" t="inlineStr">
        <is>
          <t>NEED_SOURCE</t>
        </is>
      </c>
      <c r="AB338" t="n">
        <v>7</v>
      </c>
      <c r="AC338" t="inlineStr">
        <is>
          <t>atgm</t>
        </is>
      </c>
      <c r="AD338" t="inlineStr">
        <is>
          <t>Wikipedia '9M133 Kornet': 2-3 rpm</t>
        </is>
      </c>
      <c r="AE338" t="inlineStr">
        <is>
          <t>Kornet: tầm 5,5–8 km, ~300 m/s</t>
        </is>
      </c>
      <c r="AF338" t="inlineStr">
        <is>
          <t>Tools/balance/full_weapon_audit.py: REAL / WARHEAD; balance.json weapons[id=tower_kornet].real</t>
        </is>
      </c>
      <c r="AG338" t="inlineStr"/>
    </row>
    <row r="339">
      <c r="A339" t="inlineStr">
        <is>
          <t>train_gun</t>
        </is>
      </c>
      <c r="B339" t="inlineStr">
        <is>
          <t>train_gun</t>
        </is>
      </c>
      <c r="C339" t="inlineStr">
        <is>
          <t>B-38 152 mm</t>
        </is>
      </c>
      <c r="D339" t="inlineStr">
        <is>
          <t>doi_that</t>
        </is>
      </c>
      <c r="E339" t="inlineStr">
        <is>
          <t>B-38 152 mm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nhịp chậm hơn 30 % và mạnh hơn tương ứng (luật súng của game)</t>
        </is>
      </c>
      <c r="M339" t="inlineStr">
        <is>
          <t>gameplay</t>
        </is>
      </c>
      <c r="N339" t="inlineStr"/>
      <c r="O339" t="inlineStr">
        <is>
          <t>da_kiem_chung</t>
        </is>
      </c>
      <c r="P339" t="inlineStr">
        <is>
          <t>R_balance;R_full_weapon_audit;W_wikipedia_15_2_cm_57_b_38</t>
        </is>
      </c>
      <c r="Q339" t="inlineStr"/>
      <c r="R33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9" t="n">
        <v>152</v>
      </c>
      <c r="T339" t="inlineStr">
        <is>
          <t>NEED_SOURCE</t>
        </is>
      </c>
      <c r="U339" t="inlineStr">
        <is>
          <t>NEED_SOURCE</t>
        </is>
      </c>
      <c r="V339" t="inlineStr">
        <is>
          <t>NEED_SOURCE</t>
        </is>
      </c>
      <c r="W339" t="inlineStr">
        <is>
          <t>NEED_SOURCE</t>
        </is>
      </c>
      <c r="X339" t="n">
        <v>7.5</v>
      </c>
      <c r="Y339" t="n">
        <v>5</v>
      </c>
      <c r="Z339" t="inlineStr">
        <is>
          <t>NEED_SOURCE</t>
        </is>
      </c>
      <c r="AA339" t="inlineStr">
        <is>
          <t>NEED_SOURCE</t>
        </is>
      </c>
      <c r="AB339" t="inlineStr"/>
      <c r="AC339" t="inlineStr">
        <is>
          <t>gun</t>
        </is>
      </c>
      <c r="AD339" t="inlineStr">
        <is>
          <t>Wikipedia '15.2 cm/57 B-38': 5-7.5 rpm</t>
        </is>
      </c>
      <c r="AE339" t="inlineStr"/>
      <c r="AF339" t="inlineStr">
        <is>
          <t>Tools/balance/full_weapon_audit.py: REAL / WARHEAD; balance.json weapons[id=train_gun].real</t>
        </is>
      </c>
      <c r="AG339" t="inlineStr"/>
    </row>
    <row r="340">
      <c r="A340" t="inlineStr">
        <is>
          <t>train_gun_he</t>
        </is>
      </c>
      <c r="B340" t="inlineStr">
        <is>
          <t>train_gun_he</t>
        </is>
      </c>
      <c r="C340" t="inlineStr">
        <is>
          <t>B-38 152 mm HE</t>
        </is>
      </c>
      <c r="D340" t="inlineStr">
        <is>
          <t>doi_that</t>
        </is>
      </c>
      <c r="E340" t="inlineStr">
        <is>
          <t>B-38 152 mm HE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nhịp chậm hơn 30 % và mạnh hơn tương ứng (luật súng của game)</t>
        </is>
      </c>
      <c r="M340" t="inlineStr">
        <is>
          <t>gameplay</t>
        </is>
      </c>
      <c r="N340" t="inlineStr"/>
      <c r="O340" t="inlineStr">
        <is>
          <t>da_kiem_chung</t>
        </is>
      </c>
      <c r="P340" t="inlineStr">
        <is>
          <t>R_balance;R_full_weapon_audit;W_wikipedia_15_2_cm_57_b_38</t>
        </is>
      </c>
      <c r="Q340" t="inlineStr"/>
      <c r="R34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0" t="n">
        <v>152</v>
      </c>
      <c r="T340" t="inlineStr">
        <is>
          <t>NEED_SOURCE</t>
        </is>
      </c>
      <c r="U340" t="inlineStr">
        <is>
          <t>NEED_SOURCE</t>
        </is>
      </c>
      <c r="V340" t="inlineStr">
        <is>
          <t>NEED_SOURCE</t>
        </is>
      </c>
      <c r="W340" t="inlineStr">
        <is>
          <t>NEED_SOURCE</t>
        </is>
      </c>
      <c r="X340" t="n">
        <v>7.5</v>
      </c>
      <c r="Y340" t="n">
        <v>5</v>
      </c>
      <c r="Z340" t="inlineStr">
        <is>
          <t>NEED_SOURCE</t>
        </is>
      </c>
      <c r="AA340" t="inlineStr">
        <is>
          <t>NEED_SOURCE</t>
        </is>
      </c>
      <c r="AB340" t="inlineStr"/>
      <c r="AC340" t="inlineStr">
        <is>
          <t>gun</t>
        </is>
      </c>
      <c r="AD340" t="inlineStr">
        <is>
          <t>Wikipedia '15.2 cm/57 B-38': 5-7.5 rpm</t>
        </is>
      </c>
      <c r="AE340" t="inlineStr"/>
      <c r="AF340" t="inlineStr">
        <is>
          <t>Tools/balance/full_weapon_audit.py: REAL / WARHEAD; balance.json weapons[id=train_gun_he].real</t>
        </is>
      </c>
      <c r="AG340" t="inlineStr"/>
    </row>
    <row r="341">
      <c r="A341" t="inlineStr">
        <is>
          <t>train_mortar</t>
        </is>
      </c>
      <c r="B341" t="inlineStr">
        <is>
          <t>train_mortar</t>
        </is>
      </c>
      <c r="C341" t="inlineStr">
        <is>
          <t>2B11 120 mm (twin)</t>
        </is>
      </c>
      <c r="D341" t="inlineStr">
        <is>
          <t>doi_that</t>
        </is>
      </c>
      <c r="E341" t="inlineStr">
        <is>
          <t>2B11 120 mm (twin)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nhịp chậm hơn 30 % và mạnh hơn tương ứng (luật súng của game)</t>
        </is>
      </c>
      <c r="M341" t="inlineStr">
        <is>
          <t>gameplay</t>
        </is>
      </c>
      <c r="N341" t="inlineStr"/>
      <c r="O341" t="inlineStr">
        <is>
          <t>da_kiem_chung</t>
        </is>
      </c>
      <c r="P341" t="inlineStr">
        <is>
          <t>R_balance;R_full_weapon_audit;W_wikipedia_2b11</t>
        </is>
      </c>
      <c r="Q341" t="inlineStr"/>
      <c r="R34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1" t="n">
        <v>120</v>
      </c>
      <c r="T341" t="inlineStr">
        <is>
          <t>NEED_SOURCE</t>
        </is>
      </c>
      <c r="U341" t="inlineStr">
        <is>
          <t>NEED_SOURCE</t>
        </is>
      </c>
      <c r="V341" t="inlineStr">
        <is>
          <t>NEED_SOURCE</t>
        </is>
      </c>
      <c r="W341" t="inlineStr">
        <is>
          <t>NEED_SOURCE</t>
        </is>
      </c>
      <c r="X341" t="n">
        <v>15</v>
      </c>
      <c r="Y341" t="n">
        <v>10</v>
      </c>
      <c r="Z341" t="inlineStr">
        <is>
          <t>NEED_SOURCE</t>
        </is>
      </c>
      <c r="AA341" t="inlineStr">
        <is>
          <t>NEED_SOURCE</t>
        </is>
      </c>
      <c r="AB341" t="inlineStr"/>
      <c r="AC341" t="inlineStr">
        <is>
          <t>gun</t>
        </is>
      </c>
      <c r="AD341" t="inlineStr">
        <is>
          <t>Wikipedia '2B11': 15 rpm</t>
        </is>
      </c>
      <c r="AE341" t="inlineStr"/>
      <c r="AF341" t="inlineStr">
        <is>
          <t>Tools/balance/full_weapon_audit.py: REAL / WARHEAD; balance.json weapons[id=train_mortar].real</t>
        </is>
      </c>
      <c r="AG341" t="inlineStr"/>
    </row>
    <row r="342">
      <c r="A342" t="inlineStr">
        <is>
          <t>turret_gmlrs</t>
        </is>
      </c>
      <c r="B342" t="inlineStr">
        <is>
          <t>turret_gmlrs</t>
        </is>
      </c>
      <c r="C342" t="inlineStr">
        <is>
          <t>M31 GMLRS 227 mm (tower)</t>
        </is>
      </c>
      <c r="D342" t="inlineStr">
        <is>
          <t>doi_that</t>
        </is>
      </c>
      <c r="E342" t="inlineStr">
        <is>
          <t>M31 GMLRS 227 mm (tower)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da_kiem_chung</t>
        </is>
      </c>
      <c r="P342" t="inlineStr">
        <is>
          <t>R_balance;R_full_weapon_audit;W_wikipedia_m270_mlrs;R_machine_brigade_can_bang</t>
        </is>
      </c>
      <c r="Q342" t="inlineStr"/>
      <c r="R34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2" t="n">
        <v>227</v>
      </c>
      <c r="T342" t="inlineStr">
        <is>
          <t>NEED_SOURCE</t>
        </is>
      </c>
      <c r="U342" t="inlineStr">
        <is>
          <t>NEED_SOURCE</t>
        </is>
      </c>
      <c r="V342" t="inlineStr">
        <is>
          <t>NEED_SOURCE</t>
        </is>
      </c>
      <c r="W342" t="inlineStr">
        <is>
          <t>NEED_SOURCE</t>
        </is>
      </c>
      <c r="X342" t="n">
        <v>12</v>
      </c>
      <c r="Y342" t="inlineStr">
        <is>
          <t>NEED_SOURCE</t>
        </is>
      </c>
      <c r="Z342" t="inlineStr">
        <is>
          <t>NEED_SOURCE</t>
        </is>
      </c>
      <c r="AA342" t="inlineStr">
        <is>
          <t>NEED_SOURCE</t>
        </is>
      </c>
      <c r="AB342" t="inlineStr"/>
      <c r="AC342" t="inlineStr">
        <is>
          <t>rocket</t>
        </is>
      </c>
      <c r="AD342" t="inlineStr">
        <is>
          <t>Wikipedia 'M270 MLRS': 12 rockets in under a minute</t>
        </is>
      </c>
      <c r="AE342" t="inlineStr">
        <is>
          <t>GMLRS dẫn đường</t>
        </is>
      </c>
      <c r="AF342" t="inlineStr">
        <is>
          <t>Tools/balance/full_weapon_audit.py: REAL / WARHEAD; balance.json weapons[id=turret_gmlrs].real</t>
        </is>
      </c>
      <c r="AG342" t="inlineStr"/>
    </row>
    <row r="343">
      <c r="A343" t="inlineStr">
        <is>
          <t>turret_gun_120</t>
        </is>
      </c>
      <c r="B343" t="inlineStr">
        <is>
          <t>turret_gun_120</t>
        </is>
      </c>
      <c r="C343" t="inlineStr">
        <is>
          <t>Rh-120 L/44 120 mm</t>
        </is>
      </c>
      <c r="D343" t="inlineStr">
        <is>
          <t>doi_that</t>
        </is>
      </c>
      <c r="E343" t="inlineStr">
        <is>
          <t>Rh-120 L/44 120 mm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nhịp chậm hơn 30 % và mạnh hơn tương ứng (luật súng của game)</t>
        </is>
      </c>
      <c r="M343" t="inlineStr">
        <is>
          <t>gameplay</t>
        </is>
      </c>
      <c r="N343" t="inlineStr"/>
      <c r="O343" t="inlineStr">
        <is>
          <t>da_kiem_chung</t>
        </is>
      </c>
      <c r="P343" t="inlineStr">
        <is>
          <t>R_balance;R_full_weapon_audit;W_wikipedia_rheinmetall_120_mm_gun;R_machine_brigade_can_bang</t>
        </is>
      </c>
      <c r="Q343" t="inlineStr"/>
      <c r="R34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3" t="n">
        <v>120</v>
      </c>
      <c r="T343" t="inlineStr">
        <is>
          <t>NEED_SOURCE</t>
        </is>
      </c>
      <c r="U343" t="inlineStr">
        <is>
          <t>NEED_SOURCE</t>
        </is>
      </c>
      <c r="V343" t="inlineStr">
        <is>
          <t>NEED_SOURCE</t>
        </is>
      </c>
      <c r="W343" t="inlineStr">
        <is>
          <t>NEED_SOURCE</t>
        </is>
      </c>
      <c r="X343" t="n">
        <v>8</v>
      </c>
      <c r="Y343" t="n">
        <v>6</v>
      </c>
      <c r="Z343" t="inlineStr">
        <is>
          <t>tay</t>
        </is>
      </c>
      <c r="AA343" t="inlineStr">
        <is>
          <t>NEED_SOURCE</t>
        </is>
      </c>
      <c r="AB343" t="inlineStr"/>
      <c r="AC343" t="inlineStr">
        <is>
          <t>gun</t>
        </is>
      </c>
      <c r="AD343" t="inlineStr">
        <is>
          <t>the sheet's 'Ngoài đời': Rh-120 6-8 rpm with a loader (Wikipedia 'Rheinmetall 120 mm gun')</t>
        </is>
      </c>
      <c r="AE343" t="inlineStr">
        <is>
          <t>Rh-120 nạp tay: 6–8 phát/phút</t>
        </is>
      </c>
      <c r="AF343" t="inlineStr">
        <is>
          <t>Tools/balance/full_weapon_audit.py: REAL / WARHEAD; balance.json weapons[id=turret_gun_120].real</t>
        </is>
      </c>
      <c r="AG343" t="inlineStr"/>
    </row>
    <row r="344">
      <c r="A344" t="inlineStr">
        <is>
          <t>turret_gun_120_auto</t>
        </is>
      </c>
      <c r="B344" t="inlineStr">
        <is>
          <t>turret_gun_120_auto</t>
        </is>
      </c>
      <c r="C344" t="inlineStr">
        <is>
          <t>Rh-120 L/44 120 mm (autoloader)</t>
        </is>
      </c>
      <c r="D344" t="inlineStr">
        <is>
          <t>doi_that</t>
        </is>
      </c>
      <c r="E344" t="inlineStr">
        <is>
          <t>Rh-120 L/44 120 mm (autoloader)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nhịp chậm hơn 30 % và mạnh hơn tương ứng (luật súng của game)</t>
        </is>
      </c>
      <c r="M344" t="inlineStr">
        <is>
          <t>gameplay</t>
        </is>
      </c>
      <c r="N344" t="inlineStr"/>
      <c r="O344" t="inlineStr">
        <is>
          <t>da_kiem_chung</t>
        </is>
      </c>
      <c r="P344" t="inlineStr">
        <is>
          <t>R_balance;R_full_weapon_audit;W_wikipedia_rheinmetall_120_mm_gun;R_machine_brigade_can_bang</t>
        </is>
      </c>
      <c r="Q344" t="inlineStr"/>
      <c r="R34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4" t="n">
        <v>120</v>
      </c>
      <c r="T344" t="inlineStr">
        <is>
          <t>NEED_SOURCE</t>
        </is>
      </c>
      <c r="U344" t="inlineStr">
        <is>
          <t>NEED_SOURCE</t>
        </is>
      </c>
      <c r="V344" t="inlineStr">
        <is>
          <t>NEED_SOURCE</t>
        </is>
      </c>
      <c r="W344" t="inlineStr">
        <is>
          <t>NEED_SOURCE</t>
        </is>
      </c>
      <c r="X344" t="n">
        <v>8</v>
      </c>
      <c r="Y344" t="n">
        <v>6</v>
      </c>
      <c r="Z344" t="inlineStr">
        <is>
          <t>tay</t>
        </is>
      </c>
      <c r="AA344" t="inlineStr">
        <is>
          <t>NEED_SOURCE</t>
        </is>
      </c>
      <c r="AB344" t="inlineStr"/>
      <c r="AC344" t="inlineStr">
        <is>
          <t>gun</t>
        </is>
      </c>
      <c r="AD344" t="inlineStr">
        <is>
          <t>the sheet's 'Ngoài đời': Rh-120 6-8 rpm with a loader (Wikipedia 'Rheinmetall 120 mm gun')</t>
        </is>
      </c>
      <c r="AE344" t="inlineStr"/>
      <c r="AF344" t="inlineStr">
        <is>
          <t>Tools/balance/full_weapon_audit.py: REAL / WARHEAD; balance.json weapons[id=turret_gun_120_auto].real</t>
        </is>
      </c>
      <c r="AG344" t="inlineStr"/>
    </row>
    <row r="345">
      <c r="A345" t="inlineStr">
        <is>
          <t>turret_gun_120_he</t>
        </is>
      </c>
      <c r="B345" t="inlineStr">
        <is>
          <t>turret_gun_120_he</t>
        </is>
      </c>
      <c r="C345" t="inlineStr">
        <is>
          <t>Rh-120 L/44 120 mm HE</t>
        </is>
      </c>
      <c r="D345" t="inlineStr">
        <is>
          <t>doi_that</t>
        </is>
      </c>
      <c r="E345" t="inlineStr">
        <is>
          <t>Rh-120 L/44 120 mm HE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nhịp chậm hơn 30 % và mạnh hơn tương ứng (luật súng của game)</t>
        </is>
      </c>
      <c r="M345" t="inlineStr">
        <is>
          <t>gameplay</t>
        </is>
      </c>
      <c r="N345" t="inlineStr"/>
      <c r="O345" t="inlineStr">
        <is>
          <t>da_kiem_chung</t>
        </is>
      </c>
      <c r="P345" t="inlineStr">
        <is>
          <t>R_balance;R_full_weapon_audit;W_wikipedia_rheinmetall_120_mm_gun;R_machine_brigade_can_bang</t>
        </is>
      </c>
      <c r="Q345" t="inlineStr"/>
      <c r="R34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5" t="n">
        <v>120</v>
      </c>
      <c r="T345" t="inlineStr">
        <is>
          <t>NEED_SOURCE</t>
        </is>
      </c>
      <c r="U345" t="inlineStr">
        <is>
          <t>NEED_SOURCE</t>
        </is>
      </c>
      <c r="V345" t="inlineStr">
        <is>
          <t>NEED_SOURCE</t>
        </is>
      </c>
      <c r="W345" t="inlineStr">
        <is>
          <t>NEED_SOURCE</t>
        </is>
      </c>
      <c r="X345" t="n">
        <v>8</v>
      </c>
      <c r="Y345" t="n">
        <v>6</v>
      </c>
      <c r="Z345" t="inlineStr">
        <is>
          <t>tay</t>
        </is>
      </c>
      <c r="AA345" t="inlineStr">
        <is>
          <t>NEED_SOURCE</t>
        </is>
      </c>
      <c r="AB345" t="inlineStr"/>
      <c r="AC345" t="inlineStr">
        <is>
          <t>gun</t>
        </is>
      </c>
      <c r="AD345" t="inlineStr">
        <is>
          <t>the sheet's 'Ngoài đời': Rh-120 6-8 rpm with a loader (Wikipedia 'Rheinmetall 120 mm gun')</t>
        </is>
      </c>
      <c r="AE345" t="inlineStr"/>
      <c r="AF345" t="inlineStr">
        <is>
          <t>Tools/balance/full_weapon_audit.py: REAL / WARHEAD; balance.json weapons[id=turret_gun_120_he].real</t>
        </is>
      </c>
      <c r="AG345" t="inlineStr"/>
    </row>
    <row r="346">
      <c r="A346" t="inlineStr">
        <is>
          <t>turret_gun_120_long</t>
        </is>
      </c>
      <c r="B346" t="inlineStr">
        <is>
          <t>turret_gun_120_long</t>
        </is>
      </c>
      <c r="C346" t="inlineStr">
        <is>
          <t>Rh-120 L/55 120 mm</t>
        </is>
      </c>
      <c r="D346" t="inlineStr">
        <is>
          <t>doi_that</t>
        </is>
      </c>
      <c r="E346" t="inlineStr">
        <is>
          <t>Rh-120 L/55 120 mm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nhịp chậm hơn 30 % và mạnh hơn tương ứng (luật súng của game)</t>
        </is>
      </c>
      <c r="M346" t="inlineStr">
        <is>
          <t>gameplay</t>
        </is>
      </c>
      <c r="N346" t="inlineStr"/>
      <c r="O346" t="inlineStr">
        <is>
          <t>da_kiem_chung</t>
        </is>
      </c>
      <c r="P346" t="inlineStr">
        <is>
          <t>R_balance;R_full_weapon_audit;W_wikipedia_rheinmetall_120_mm_gun;R_machine_brigade_can_bang</t>
        </is>
      </c>
      <c r="Q346" t="inlineStr"/>
      <c r="R34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6" t="n">
        <v>120</v>
      </c>
      <c r="T346" t="inlineStr">
        <is>
          <t>NEED_SOURCE</t>
        </is>
      </c>
      <c r="U346" t="inlineStr">
        <is>
          <t>NEED_SOURCE</t>
        </is>
      </c>
      <c r="V346" t="inlineStr">
        <is>
          <t>NEED_SOURCE</t>
        </is>
      </c>
      <c r="W346" t="inlineStr">
        <is>
          <t>NEED_SOURCE</t>
        </is>
      </c>
      <c r="X346" t="n">
        <v>8</v>
      </c>
      <c r="Y346" t="n">
        <v>6</v>
      </c>
      <c r="Z346" t="inlineStr">
        <is>
          <t>tay</t>
        </is>
      </c>
      <c r="AA346" t="inlineStr">
        <is>
          <t>NEED_SOURCE</t>
        </is>
      </c>
      <c r="AB346" t="inlineStr"/>
      <c r="AC346" t="inlineStr">
        <is>
          <t>gun</t>
        </is>
      </c>
      <c r="AD346" t="inlineStr">
        <is>
          <t>the sheet's 'Ngoài đời': Rh-120 6-8 rpm with a loader (Wikipedia 'Rheinmetall 120 mm gun')</t>
        </is>
      </c>
      <c r="AE346" t="inlineStr">
        <is>
          <t>Rh-120 L/55: 6–8 phát/phút, sơ tốc cao hơn</t>
        </is>
      </c>
      <c r="AF346" t="inlineStr">
        <is>
          <t>Tools/balance/full_weapon_audit.py: REAL / WARHEAD; balance.json weapons[id=turret_gun_120_long].real</t>
        </is>
      </c>
      <c r="AG346" t="inlineStr"/>
    </row>
    <row r="347">
      <c r="A347" t="inlineStr">
        <is>
          <t>turret_gun_120_long_he</t>
        </is>
      </c>
      <c r="B347" t="inlineStr">
        <is>
          <t>turret_gun_120_long_he</t>
        </is>
      </c>
      <c r="C347" t="inlineStr">
        <is>
          <t>Rh-120 L/55 120 mm HE</t>
        </is>
      </c>
      <c r="D347" t="inlineStr">
        <is>
          <t>doi_that</t>
        </is>
      </c>
      <c r="E347" t="inlineStr">
        <is>
          <t>Rh-120 L/55 120 mm HE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nhịp chậm hơn 30 % và mạnh hơn tương ứng (luật súng của game)</t>
        </is>
      </c>
      <c r="M347" t="inlineStr">
        <is>
          <t>gameplay</t>
        </is>
      </c>
      <c r="N347" t="inlineStr"/>
      <c r="O347" t="inlineStr">
        <is>
          <t>da_kiem_chung</t>
        </is>
      </c>
      <c r="P347" t="inlineStr">
        <is>
          <t>R_balance;R_full_weapon_audit;W_wikipedia_rheinmetall_120_mm_gun;R_machine_brigade_can_bang</t>
        </is>
      </c>
      <c r="Q347" t="inlineStr"/>
      <c r="R34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7" t="n">
        <v>120</v>
      </c>
      <c r="T347" t="inlineStr">
        <is>
          <t>NEED_SOURCE</t>
        </is>
      </c>
      <c r="U347" t="inlineStr">
        <is>
          <t>NEED_SOURCE</t>
        </is>
      </c>
      <c r="V347" t="inlineStr">
        <is>
          <t>NEED_SOURCE</t>
        </is>
      </c>
      <c r="W347" t="inlineStr">
        <is>
          <t>NEED_SOURCE</t>
        </is>
      </c>
      <c r="X347" t="n">
        <v>8</v>
      </c>
      <c r="Y347" t="n">
        <v>6</v>
      </c>
      <c r="Z347" t="inlineStr">
        <is>
          <t>tay</t>
        </is>
      </c>
      <c r="AA347" t="inlineStr">
        <is>
          <t>NEED_SOURCE</t>
        </is>
      </c>
      <c r="AB347" t="inlineStr"/>
      <c r="AC347" t="inlineStr">
        <is>
          <t>gun</t>
        </is>
      </c>
      <c r="AD347" t="inlineStr">
        <is>
          <t>the sheet's 'Ngoài đời': Rh-120 6-8 rpm with a loader (Wikipedia 'Rheinmetall 120 mm gun')</t>
        </is>
      </c>
      <c r="AE347" t="inlineStr"/>
      <c r="AF347" t="inlineStr">
        <is>
          <t>Tools/balance/full_weapon_audit.py: REAL / WARHEAD; balance.json weapons[id=turret_gun_120_long_he].real</t>
        </is>
      </c>
      <c r="AG347" t="inlineStr"/>
    </row>
    <row r="348">
      <c r="A348" t="inlineStr">
        <is>
          <t>turret_rockets</t>
        </is>
      </c>
      <c r="B348" t="inlineStr">
        <is>
          <t>turret_rockets</t>
        </is>
      </c>
      <c r="C348" t="inlineStr">
        <is>
          <t>BM-21 Grad 122 mm</t>
        </is>
      </c>
      <c r="D348" t="inlineStr">
        <is>
          <t>doi_that</t>
        </is>
      </c>
      <c r="E348" t="inlineStr">
        <is>
          <t>BM-21 Grad 122 mm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da_kiem_chung</t>
        </is>
      </c>
      <c r="P348" t="inlineStr">
        <is>
          <t>R_balance;R_full_weapon_audit;W_wikipedia_bm_21_grad;R_machine_brigade_can_bang</t>
        </is>
      </c>
      <c r="Q348" t="inlineStr"/>
      <c r="R34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8" t="n">
        <v>122</v>
      </c>
      <c r="T348" t="inlineStr">
        <is>
          <t>NEED_SOURCE</t>
        </is>
      </c>
      <c r="U348" t="inlineStr">
        <is>
          <t>NEED_SOURCE</t>
        </is>
      </c>
      <c r="V348" t="inlineStr">
        <is>
          <t>NEED_SOURCE</t>
        </is>
      </c>
      <c r="W348" t="inlineStr">
        <is>
          <t>NEED_SOURCE</t>
        </is>
      </c>
      <c r="X348" t="n">
        <v>120</v>
      </c>
      <c r="Y348" t="inlineStr">
        <is>
          <t>NEED_SOURCE</t>
        </is>
      </c>
      <c r="Z348" t="inlineStr">
        <is>
          <t>NEED_SOURCE</t>
        </is>
      </c>
      <c r="AA348" t="inlineStr">
        <is>
          <t>NEED_SOURCE</t>
        </is>
      </c>
      <c r="AB348" t="inlineStr"/>
      <c r="AC348" t="inlineStr">
        <is>
          <t>rocket</t>
        </is>
      </c>
      <c r="AD348" t="inlineStr">
        <is>
          <t>Wikipedia 'BM-21 Grad': 40 rockets in 20 s</t>
        </is>
      </c>
      <c r="AE348" t="inlineStr">
        <is>
          <t>BM-21 Grad: 40 quả trong 20 s</t>
        </is>
      </c>
      <c r="AF348" t="inlineStr">
        <is>
          <t>Tools/balance/full_weapon_audit.py: REAL / WARHEAD; balance.json weapons[id=turret_rockets].real</t>
        </is>
      </c>
      <c r="AG348" t="inlineStr"/>
    </row>
    <row r="349">
      <c r="A349" t="inlineStr">
        <is>
          <t>turret_rockets_cluster</t>
        </is>
      </c>
      <c r="B349" t="inlineStr">
        <is>
          <t>turret_rockets_cluster</t>
        </is>
      </c>
      <c r="C349" t="inlineStr">
        <is>
          <t>BM-21 Grad 122 mm (cluster)</t>
        </is>
      </c>
      <c r="D349" t="inlineStr">
        <is>
          <t>doi_that</t>
        </is>
      </c>
      <c r="E349" t="inlineStr">
        <is>
          <t>BM-21 Grad 122 mm (cluster)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da_kiem_chung</t>
        </is>
      </c>
      <c r="P349" t="inlineStr">
        <is>
          <t>R_balance;R_full_weapon_audit;W_wikipedia_bm_21_grad;R_machine_brigade_can_bang</t>
        </is>
      </c>
      <c r="Q349" t="inlineStr"/>
      <c r="R34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9" t="n">
        <v>122</v>
      </c>
      <c r="T349" t="inlineStr">
        <is>
          <t>NEED_SOURCE</t>
        </is>
      </c>
      <c r="U349" t="inlineStr">
        <is>
          <t>NEED_SOURCE</t>
        </is>
      </c>
      <c r="V349" t="inlineStr">
        <is>
          <t>NEED_SOURCE</t>
        </is>
      </c>
      <c r="W349" t="inlineStr">
        <is>
          <t>NEED_SOURCE</t>
        </is>
      </c>
      <c r="X349" t="n">
        <v>120</v>
      </c>
      <c r="Y349" t="inlineStr">
        <is>
          <t>NEED_SOURCE</t>
        </is>
      </c>
      <c r="Z349" t="inlineStr">
        <is>
          <t>NEED_SOURCE</t>
        </is>
      </c>
      <c r="AA349" t="inlineStr">
        <is>
          <t>NEED_SOURCE</t>
        </is>
      </c>
      <c r="AB349" t="inlineStr"/>
      <c r="AC349" t="inlineStr">
        <is>
          <t>rocket</t>
        </is>
      </c>
      <c r="AD349" t="inlineStr">
        <is>
          <t>Wikipedia 'BM-21 Grad': 40 rockets in 20 s</t>
        </is>
      </c>
      <c r="AE349" t="inlineStr">
        <is>
          <t>BM-21</t>
        </is>
      </c>
      <c r="AF349" t="inlineStr">
        <is>
          <t>Tools/balance/full_weapon_audit.py: REAL / WARHEAD; balance.json weapons[id=turret_rockets_cluster].real</t>
        </is>
      </c>
      <c r="AG349" t="inlineStr"/>
    </row>
    <row r="350">
      <c r="A350" t="inlineStr">
        <is>
          <t>turret_thermobaric</t>
        </is>
      </c>
      <c r="B350" t="inlineStr">
        <is>
          <t>turret_thermobaric</t>
        </is>
      </c>
      <c r="C350" t="inlineStr">
        <is>
          <t>122 mm thermobaric</t>
        </is>
      </c>
      <c r="D350" t="inlineStr">
        <is>
          <t>doi_that</t>
        </is>
      </c>
      <c r="E350" t="inlineStr">
        <is>
          <t>122 mm thermobaric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da_kiem_chung</t>
        </is>
      </c>
      <c r="P350" t="inlineStr">
        <is>
          <t>R_balance;R_full_weapon_audit;W_wikipedia_bm_21_grad</t>
        </is>
      </c>
      <c r="Q350" t="inlineStr"/>
      <c r="R35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0" t="n">
        <v>122</v>
      </c>
      <c r="T350" t="inlineStr">
        <is>
          <t>NEED_SOURCE</t>
        </is>
      </c>
      <c r="U350" t="inlineStr">
        <is>
          <t>NEED_SOURCE</t>
        </is>
      </c>
      <c r="V350" t="inlineStr">
        <is>
          <t>NEED_SOURCE</t>
        </is>
      </c>
      <c r="W350" t="inlineStr">
        <is>
          <t>NEED_SOURCE</t>
        </is>
      </c>
      <c r="X350" t="n">
        <v>120</v>
      </c>
      <c r="Y350" t="inlineStr">
        <is>
          <t>NEED_SOURCE</t>
        </is>
      </c>
      <c r="Z350" t="inlineStr">
        <is>
          <t>NEED_SOURCE</t>
        </is>
      </c>
      <c r="AA350" t="inlineStr">
        <is>
          <t>NEED_SOURCE</t>
        </is>
      </c>
      <c r="AB350" t="inlineStr"/>
      <c r="AC350" t="inlineStr">
        <is>
          <t>rocket</t>
        </is>
      </c>
      <c r="AD350" t="inlineStr">
        <is>
          <t>Wikipedia 'BM-21 Grad': 40 rockets in 20 s</t>
        </is>
      </c>
      <c r="AE350" t="inlineStr"/>
      <c r="AF350" t="inlineStr">
        <is>
          <t>Tools/balance/full_weapon_audit.py: REAL / WARHEAD; balance.json weapons[id=turret_thermobaric].real</t>
        </is>
      </c>
      <c r="AG350" t="inlineStr"/>
    </row>
    <row r="351">
      <c r="A351" t="inlineStr">
        <is>
          <t>twin_30_bmpt</t>
        </is>
      </c>
      <c r="B351" t="inlineStr">
        <is>
          <t>twin_30_bmpt</t>
        </is>
      </c>
      <c r="C351" t="inlineStr">
        <is>
          <t>2A42 30 mm (twin)</t>
        </is>
      </c>
      <c r="D351" t="inlineStr">
        <is>
          <t>doi_that</t>
        </is>
      </c>
      <c r="E351" t="inlineStr">
        <is>
          <t>2A42 30 mm (twin)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da_kiem_chung</t>
        </is>
      </c>
      <c r="P351" t="inlineStr">
        <is>
          <t>R_balance;R_full_weapon_audit;W_wikipedia_2a42;R_machine_brigade_can_bang</t>
        </is>
      </c>
      <c r="Q351" t="inlineStr"/>
      <c r="R35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1" t="n">
        <v>30</v>
      </c>
      <c r="T351" t="inlineStr">
        <is>
          <t>NEED_SOURCE</t>
        </is>
      </c>
      <c r="U351" t="inlineStr">
        <is>
          <t>NEED_SOURCE</t>
        </is>
      </c>
      <c r="V351" t="inlineStr">
        <is>
          <t>NEED_SOURCE</t>
        </is>
      </c>
      <c r="W351" t="inlineStr">
        <is>
          <t>NEED_SOURCE</t>
        </is>
      </c>
      <c r="X351" t="n">
        <v>800</v>
      </c>
      <c r="Y351" t="n">
        <v>300</v>
      </c>
      <c r="Z351" t="inlineStr">
        <is>
          <t>NEED_SOURCE</t>
        </is>
      </c>
      <c r="AA351" t="inlineStr">
        <is>
          <t>NEED_SOURCE</t>
        </is>
      </c>
      <c r="AB351" t="inlineStr"/>
      <c r="AC351" t="inlineStr">
        <is>
          <t>ac</t>
        </is>
      </c>
      <c r="AD351" t="inlineStr">
        <is>
          <t>Wikipedia '2A42': 550-800 high, 200-300 low rpm</t>
        </is>
      </c>
      <c r="AE351" t="inlineStr">
        <is>
          <t>2 × 2A42: tổng ~1.100–1.600 phát/phút</t>
        </is>
      </c>
      <c r="AF351" t="inlineStr">
        <is>
          <t>Tools/balance/full_weapon_audit.py: REAL / WARHEAD; balance.json weapons[id=twin_30_bmpt].real</t>
        </is>
      </c>
      <c r="AG351" t="inlineStr"/>
    </row>
    <row r="352">
      <c r="A352" t="inlineStr">
        <is>
          <t>twin_30_bmpt_flak</t>
        </is>
      </c>
      <c r="B352" t="inlineStr">
        <is>
          <t>twin_30_bmpt_flak</t>
        </is>
      </c>
      <c r="C352" t="inlineStr">
        <is>
          <t>2A42 30 mm air-burst (twin)</t>
        </is>
      </c>
      <c r="D352" t="inlineStr">
        <is>
          <t>doi_that</t>
        </is>
      </c>
      <c r="E352" t="inlineStr">
        <is>
          <t>2A42 30 mm air-burst (twin)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da_kiem_chung</t>
        </is>
      </c>
      <c r="P352" t="inlineStr">
        <is>
          <t>R_balance;R_full_weapon_audit;W_wikipedia_2a42</t>
        </is>
      </c>
      <c r="Q352" t="inlineStr"/>
      <c r="R35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2" t="n">
        <v>30</v>
      </c>
      <c r="T352" t="inlineStr">
        <is>
          <t>NEED_SOURCE</t>
        </is>
      </c>
      <c r="U352" t="inlineStr">
        <is>
          <t>NEED_SOURCE</t>
        </is>
      </c>
      <c r="V352" t="inlineStr">
        <is>
          <t>NEED_SOURCE</t>
        </is>
      </c>
      <c r="W352" t="inlineStr">
        <is>
          <t>NEED_SOURCE</t>
        </is>
      </c>
      <c r="X352" t="n">
        <v>800</v>
      </c>
      <c r="Y352" t="n">
        <v>300</v>
      </c>
      <c r="Z352" t="inlineStr">
        <is>
          <t>NEED_SOURCE</t>
        </is>
      </c>
      <c r="AA352" t="inlineStr">
        <is>
          <t>NEED_SOURCE</t>
        </is>
      </c>
      <c r="AB352" t="inlineStr"/>
      <c r="AC352" t="inlineStr">
        <is>
          <t>ac</t>
        </is>
      </c>
      <c r="AD352" t="inlineStr">
        <is>
          <t>Wikipedia '2A42': 550-800 high, 200-300 low rpm</t>
        </is>
      </c>
      <c r="AE352" t="inlineStr"/>
      <c r="AF352" t="inlineStr">
        <is>
          <t>Tools/balance/full_weapon_audit.py: REAL / WARHEAD; balance.json weapons[id=twin_30_bmpt_flak].real</t>
        </is>
      </c>
      <c r="AG352" t="inlineStr"/>
    </row>
    <row r="353">
      <c r="A353" t="inlineStr">
        <is>
          <t>twin_30_flak</t>
        </is>
      </c>
      <c r="B353" t="inlineStr">
        <is>
          <t>twin_30_flak</t>
        </is>
      </c>
      <c r="C353" t="inlineStr">
        <is>
          <t>2A38 30 mm (twin)</t>
        </is>
      </c>
      <c r="D353" t="inlineStr">
        <is>
          <t>doi_that</t>
        </is>
      </c>
      <c r="E353" t="inlineStr">
        <is>
          <t>2A38 30 mm (twin)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da_kiem_chung</t>
        </is>
      </c>
      <c r="P353" t="inlineStr">
        <is>
          <t>R_balance;R_full_weapon_audit;W_wikipedia_2a38;R_machine_brigade_can_bang</t>
        </is>
      </c>
      <c r="Q353" t="inlineStr"/>
      <c r="R35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3" t="n">
        <v>30</v>
      </c>
      <c r="T353" t="inlineStr">
        <is>
          <t>NEED_SOURCE</t>
        </is>
      </c>
      <c r="U353" t="inlineStr">
        <is>
          <t>NEED_SOURCE</t>
        </is>
      </c>
      <c r="V353" t="inlineStr">
        <is>
          <t>NEED_SOURCE</t>
        </is>
      </c>
      <c r="W353" t="inlineStr">
        <is>
          <t>NEED_SOURCE</t>
        </is>
      </c>
      <c r="X353" t="n">
        <v>2500</v>
      </c>
      <c r="Y353" t="n">
        <v>1000</v>
      </c>
      <c r="Z353" t="inlineStr">
        <is>
          <t>NEED_SOURCE</t>
        </is>
      </c>
      <c r="AA353" t="inlineStr">
        <is>
          <t>NEED_SOURCE</t>
        </is>
      </c>
      <c r="AB353" t="inlineStr"/>
      <c r="AC353" t="inlineStr">
        <is>
          <t>aa</t>
        </is>
      </c>
      <c r="AD353" t="inlineStr">
        <is>
          <t>Wikipedia '2A38': 4,060-5,000 rpm the twin mount</t>
        </is>
      </c>
      <c r="AE353" t="inlineStr">
        <is>
          <t>2A38M (Pantsir/Tunguska): ~5.000 phát/phút cả cặp; tầm ~4 km</t>
        </is>
      </c>
      <c r="AF353" t="inlineStr">
        <is>
          <t>Tools/balance/full_weapon_audit.py: REAL / WARHEAD; balance.json weapons[id=twin_30_flak].real</t>
        </is>
      </c>
      <c r="AG353" t="inlineStr"/>
    </row>
    <row r="354">
      <c r="A354" t="inlineStr">
        <is>
          <t>twin_30_flak_ap</t>
        </is>
      </c>
      <c r="B354" t="inlineStr">
        <is>
          <t>twin_30_flak_ap</t>
        </is>
      </c>
      <c r="C354" t="inlineStr">
        <is>
          <t>2A38 30 mm AP (twin)</t>
        </is>
      </c>
      <c r="D354" t="inlineStr">
        <is>
          <t>doi_that</t>
        </is>
      </c>
      <c r="E354" t="inlineStr">
        <is>
          <t>2A38 30 mm AP (twin)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da_kiem_chung</t>
        </is>
      </c>
      <c r="P354" t="inlineStr">
        <is>
          <t>R_balance;R_full_weapon_audit;W_wikipedia_2a38</t>
        </is>
      </c>
      <c r="Q354" t="inlineStr"/>
      <c r="R35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4" t="n">
        <v>30</v>
      </c>
      <c r="T354" t="inlineStr">
        <is>
          <t>NEED_SOURCE</t>
        </is>
      </c>
      <c r="U354" t="inlineStr">
        <is>
          <t>NEED_SOURCE</t>
        </is>
      </c>
      <c r="V354" t="inlineStr">
        <is>
          <t>NEED_SOURCE</t>
        </is>
      </c>
      <c r="W354" t="inlineStr">
        <is>
          <t>NEED_SOURCE</t>
        </is>
      </c>
      <c r="X354" t="n">
        <v>2500</v>
      </c>
      <c r="Y354" t="n">
        <v>1000</v>
      </c>
      <c r="Z354" t="inlineStr">
        <is>
          <t>NEED_SOURCE</t>
        </is>
      </c>
      <c r="AA354" t="inlineStr">
        <is>
          <t>NEED_SOURCE</t>
        </is>
      </c>
      <c r="AB354" t="inlineStr"/>
      <c r="AC354" t="inlineStr">
        <is>
          <t>aa</t>
        </is>
      </c>
      <c r="AD354" t="inlineStr">
        <is>
          <t>Wikipedia '2A38': 4,060-5,000 rpm the twin mount</t>
        </is>
      </c>
      <c r="AE354" t="inlineStr"/>
      <c r="AF354" t="inlineStr">
        <is>
          <t>Tools/balance/full_weapon_audit.py: REAL / WARHEAD; balance.json weapons[id=twin_30_flak_ap].real</t>
        </is>
      </c>
      <c r="AG354" t="inlineStr"/>
    </row>
    <row r="355">
      <c r="A355" t="inlineStr">
        <is>
          <t>twin_35_ahead</t>
        </is>
      </c>
      <c r="B355" t="inlineStr">
        <is>
          <t>twin_35_ahead</t>
        </is>
      </c>
      <c r="C355" t="inlineStr">
        <is>
          <t>Skyranger 35 mm AHEAD</t>
        </is>
      </c>
      <c r="D355" t="inlineStr">
        <is>
          <t>doi_that</t>
        </is>
      </c>
      <c r="E355" t="inlineStr">
        <is>
          <t>Skyranger 35 mm AHEAD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da_kiem_chung</t>
        </is>
      </c>
      <c r="P355" t="inlineStr">
        <is>
          <t>R_balance;R_full_weapon_audit;D_rheinmetall_skyranger_30_35;R_machine_brigade_can_bang</t>
        </is>
      </c>
      <c r="Q355" t="inlineStr"/>
      <c r="R35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5" t="n">
        <v>35</v>
      </c>
      <c r="T355" t="inlineStr">
        <is>
          <t>NEED_SOURCE</t>
        </is>
      </c>
      <c r="U355" t="inlineStr">
        <is>
          <t>NEED_SOURCE</t>
        </is>
      </c>
      <c r="V355" t="inlineStr">
        <is>
          <t>NEED_SOURCE</t>
        </is>
      </c>
      <c r="W355" t="inlineStr">
        <is>
          <t>NEED_SOURCE</t>
        </is>
      </c>
      <c r="X355" t="n">
        <v>1000</v>
      </c>
      <c r="Y355" t="n">
        <v>400</v>
      </c>
      <c r="Z355" t="inlineStr">
        <is>
          <t>NEED_SOURCE</t>
        </is>
      </c>
      <c r="AA355" t="inlineStr">
        <is>
          <t>NEED_SOURCE</t>
        </is>
      </c>
      <c r="AB355" t="inlineStr"/>
      <c r="AC355" t="inlineStr">
        <is>
          <t>aa</t>
        </is>
      </c>
      <c r="AD355" t="inlineStr">
        <is>
          <t>Rheinmetall Skyranger 30/35: 1,000 rpm, 20-24-round AHEAD bursts</t>
        </is>
      </c>
      <c r="AE355" t="inlineStr">
        <is>
          <t>Skyranger 35: 1.000 phát/phút, đạn AHEAD</t>
        </is>
      </c>
      <c r="AF355" t="inlineStr">
        <is>
          <t>Tools/balance/full_weapon_audit.py: REAL / WARHEAD; balance.json weapons[id=twin_35_ahead].real</t>
        </is>
      </c>
      <c r="AG355" t="inlineStr"/>
    </row>
    <row r="356">
      <c r="A356" t="inlineStr">
        <is>
          <t>twin_35_ahead_ap</t>
        </is>
      </c>
      <c r="B356" t="inlineStr">
        <is>
          <t>twin_35_ahead_ap</t>
        </is>
      </c>
      <c r="C356" t="inlineStr">
        <is>
          <t>Skyranger 35 mm AHEAD AP</t>
        </is>
      </c>
      <c r="D356" t="inlineStr">
        <is>
          <t>doi_that</t>
        </is>
      </c>
      <c r="E356" t="inlineStr">
        <is>
          <t>Skyranger 35 mm AHEAD AP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da_kiem_chung</t>
        </is>
      </c>
      <c r="P356" t="inlineStr">
        <is>
          <t>R_balance;R_full_weapon_audit;D_rheinmetall_skyranger_30_35</t>
        </is>
      </c>
      <c r="Q356" t="inlineStr"/>
      <c r="R35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6" t="n">
        <v>35</v>
      </c>
      <c r="T356" t="inlineStr">
        <is>
          <t>NEED_SOURCE</t>
        </is>
      </c>
      <c r="U356" t="inlineStr">
        <is>
          <t>NEED_SOURCE</t>
        </is>
      </c>
      <c r="V356" t="inlineStr">
        <is>
          <t>NEED_SOURCE</t>
        </is>
      </c>
      <c r="W356" t="inlineStr">
        <is>
          <t>NEED_SOURCE</t>
        </is>
      </c>
      <c r="X356" t="n">
        <v>1000</v>
      </c>
      <c r="Y356" t="n">
        <v>400</v>
      </c>
      <c r="Z356" t="inlineStr">
        <is>
          <t>NEED_SOURCE</t>
        </is>
      </c>
      <c r="AA356" t="inlineStr">
        <is>
          <t>NEED_SOURCE</t>
        </is>
      </c>
      <c r="AB356" t="inlineStr"/>
      <c r="AC356" t="inlineStr">
        <is>
          <t>aa</t>
        </is>
      </c>
      <c r="AD356" t="inlineStr">
        <is>
          <t>Rheinmetall Skyranger 30/35: 1,000 rpm, 20-24-round AHEAD bursts</t>
        </is>
      </c>
      <c r="AE356" t="inlineStr"/>
      <c r="AF356" t="inlineStr">
        <is>
          <t>Tools/balance/full_weapon_audit.py: REAL / WARHEAD; balance.json weapons[id=twin_35_ahead_ap].real</t>
        </is>
      </c>
      <c r="AG356" t="inlineStr"/>
    </row>
    <row r="357">
      <c r="A357" t="inlineStr">
        <is>
          <t>vikhr</t>
        </is>
      </c>
      <c r="B357" t="inlineStr">
        <is>
          <t>vikhr</t>
        </is>
      </c>
      <c r="C357" t="inlineStr">
        <is>
          <t>9K121 Vikhr</t>
        </is>
      </c>
      <c r="D357" t="inlineStr">
        <is>
          <t>doi_that</t>
        </is>
      </c>
      <c r="E357" t="inlineStr">
        <is>
          <t>9K121 Vikhr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uoc_dinh</t>
        </is>
      </c>
      <c r="P357" t="inlineStr">
        <is>
          <t>R_balance;R_full_weapon_audit;W_wikipedia_bai_cua_tung_ten_lua_bang_warhead</t>
        </is>
      </c>
      <c r="Q357" t="inlineStr"/>
      <c r="R35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7" t="inlineStr">
        <is>
          <t>NEED_SOURCE</t>
        </is>
      </c>
      <c r="T357" t="inlineStr">
        <is>
          <t>NEED_SOURCE</t>
        </is>
      </c>
      <c r="U357" t="inlineStr">
        <is>
          <t>NEED_SOURCE</t>
        </is>
      </c>
      <c r="V357" t="inlineStr">
        <is>
          <t>NEED_SOURCE</t>
        </is>
      </c>
      <c r="W357" t="inlineStr">
        <is>
          <t>NEED_SOURCE</t>
        </is>
      </c>
      <c r="X357" t="n">
        <v>4</v>
      </c>
      <c r="Y357" t="n">
        <v>3</v>
      </c>
      <c r="Z357" t="inlineStr">
        <is>
          <t>NEED_SOURCE</t>
        </is>
      </c>
      <c r="AA357" t="inlineStr">
        <is>
          <t>NEED_SOURCE</t>
        </is>
      </c>
      <c r="AB357" t="n">
        <v>8</v>
      </c>
      <c r="AC357" t="inlineStr">
        <is>
          <t>atgm</t>
        </is>
      </c>
      <c r="AD357" t="inlineStr">
        <is>
          <t>Shturm / Ataka / Khrizantema launchers: est. 3-4 rpm a rail</t>
        </is>
      </c>
      <c r="AE357" t="inlineStr"/>
      <c r="AF357" t="inlineStr">
        <is>
          <t>Tools/balance/full_weapon_audit.py: REAL / WARHEAD; balance.json weapons[id=vikhr].real</t>
        </is>
      </c>
      <c r="AG357" t="inlineStr"/>
    </row>
    <row r="358">
      <c r="A358" t="inlineStr">
        <is>
          <t>wvr_aam</t>
        </is>
      </c>
      <c r="B358" t="inlineStr">
        <is>
          <t>wvr_aam</t>
        </is>
      </c>
      <c r="C358" t="inlineStr">
        <is>
          <t>AIM-9X Sidewinder</t>
        </is>
      </c>
      <c r="D358" t="inlineStr">
        <is>
          <t>doi_that</t>
        </is>
      </c>
      <c r="E358" t="inlineStr">
        <is>
          <t>AIM-9X Sidewinder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uoc_dinh</t>
        </is>
      </c>
      <c r="P358" t="inlineStr">
        <is>
          <t>R_balance;R_full_weapon_audit;R_machine_brigade_can_bang</t>
        </is>
      </c>
      <c r="Q358" t="inlineStr"/>
      <c r="R35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8" t="inlineStr">
        <is>
          <t>NEED_SOURCE</t>
        </is>
      </c>
      <c r="T358" t="inlineStr">
        <is>
          <t>NEED_SOURCE</t>
        </is>
      </c>
      <c r="U358" t="inlineStr">
        <is>
          <t>NEED_SOURCE</t>
        </is>
      </c>
      <c r="V358" t="inlineStr">
        <is>
          <t>NEED_SOURCE</t>
        </is>
      </c>
      <c r="W358" t="inlineStr">
        <is>
          <t>NEED_SOURCE</t>
        </is>
      </c>
      <c r="X358" t="n">
        <v>60</v>
      </c>
      <c r="Y358" t="inlineStr">
        <is>
          <t>NEED_SOURCE</t>
        </is>
      </c>
      <c r="Z358" t="inlineStr">
        <is>
          <t>NEED_SOURCE</t>
        </is>
      </c>
      <c r="AA358" t="inlineStr">
        <is>
          <t>NEED_SOURCE</t>
        </is>
      </c>
      <c r="AB358" t="inlineStr">
        <is>
          <t>NEED_SOURCE</t>
        </is>
      </c>
      <c r="AC358" t="inlineStr">
        <is>
          <t>missile</t>
        </is>
      </c>
      <c r="AD358" t="inlineStr">
        <is>
          <t>air-to-air: ~1 s between launches (est.)</t>
        </is>
      </c>
      <c r="AE358" t="inlineStr">
        <is>
          <t>AIM-9X: 35 km, Mach 2,5+</t>
        </is>
      </c>
      <c r="AF358" t="inlineStr">
        <is>
          <t>Tools/balance/full_weapon_audit.py: REAL / WARHEAD; balance.json weapons[id=wvr_aam].real</t>
        </is>
      </c>
      <c r="AG358" t="inlineStr"/>
    </row>
    <row r="359">
      <c r="A359" t="inlineStr">
        <is>
          <t>zu23</t>
        </is>
      </c>
      <c r="B359" t="inlineStr">
        <is>
          <t>zu23</t>
        </is>
      </c>
      <c r="C359" t="inlineStr">
        <is>
          <t>ZU-23-2 23 mm</t>
        </is>
      </c>
      <c r="D359" t="inlineStr">
        <is>
          <t>doi_that</t>
        </is>
      </c>
      <c r="E359" t="inlineStr">
        <is>
          <t>ZU-23-2 23 mm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da_kiem_chung</t>
        </is>
      </c>
      <c r="P359" t="inlineStr">
        <is>
          <t>R_balance;R_full_weapon_audit;W_wikipedia_zu_23_2;R_machine_brigade_can_bang</t>
        </is>
      </c>
      <c r="Q359" t="inlineStr"/>
      <c r="R35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9" t="n">
        <v>23</v>
      </c>
      <c r="T359" t="inlineStr">
        <is>
          <t>NEED_SOURCE</t>
        </is>
      </c>
      <c r="U359" t="inlineStr">
        <is>
          <t>NEED_SOURCE</t>
        </is>
      </c>
      <c r="V359" t="inlineStr">
        <is>
          <t>NEED_SOURCE</t>
        </is>
      </c>
      <c r="W359" t="inlineStr">
        <is>
          <t>NEED_SOURCE</t>
        </is>
      </c>
      <c r="X359" t="n">
        <v>1000</v>
      </c>
      <c r="Y359" t="n">
        <v>400</v>
      </c>
      <c r="Z359" t="inlineStr">
        <is>
          <t>NEED_SOURCE</t>
        </is>
      </c>
      <c r="AA359" t="inlineStr">
        <is>
          <t>NEED_SOURCE</t>
        </is>
      </c>
      <c r="AB359" t="inlineStr"/>
      <c r="AC359" t="inlineStr">
        <is>
          <t>aa</t>
        </is>
      </c>
      <c r="AD359" t="inlineStr">
        <is>
          <t>Wikipedia 'ZU-23-2': 2 x 800-1,000 rpm</t>
        </is>
      </c>
      <c r="AE359" t="inlineStr">
        <is>
          <t>ZU-23-2: 2.000 phát/phút cả cặp; tầm 2,5 km</t>
        </is>
      </c>
      <c r="AF359" t="inlineStr">
        <is>
          <t>Tools/balance/full_weapon_audit.py: REAL / WARHEAD; balance.json weapons[id=zu23].real</t>
        </is>
      </c>
      <c r="AG359" t="inlineStr"/>
    </row>
    <row r="360">
      <c r="A360" t="inlineStr">
        <is>
          <t>zu23_ap</t>
        </is>
      </c>
      <c r="B360" t="inlineStr">
        <is>
          <t>zu23_ap</t>
        </is>
      </c>
      <c r="C360" t="inlineStr">
        <is>
          <t>ZU-23-2 23 mm AP</t>
        </is>
      </c>
      <c r="D360" t="inlineStr">
        <is>
          <t>doi_that</t>
        </is>
      </c>
      <c r="E360" t="inlineStr">
        <is>
          <t>ZU-23-2 23 mm AP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da_kiem_chung</t>
        </is>
      </c>
      <c r="P360" t="inlineStr">
        <is>
          <t>R_balance;R_full_weapon_audit;W_wikipedia_zu_23_2</t>
        </is>
      </c>
      <c r="Q360" t="inlineStr"/>
      <c r="R36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60" t="n">
        <v>23</v>
      </c>
      <c r="T360" t="inlineStr">
        <is>
          <t>NEED_SOURCE</t>
        </is>
      </c>
      <c r="U360" t="inlineStr">
        <is>
          <t>NEED_SOURCE</t>
        </is>
      </c>
      <c r="V360" t="inlineStr">
        <is>
          <t>NEED_SOURCE</t>
        </is>
      </c>
      <c r="W360" t="inlineStr">
        <is>
          <t>NEED_SOURCE</t>
        </is>
      </c>
      <c r="X360" t="n">
        <v>1000</v>
      </c>
      <c r="Y360" t="n">
        <v>400</v>
      </c>
      <c r="Z360" t="inlineStr">
        <is>
          <t>NEED_SOURCE</t>
        </is>
      </c>
      <c r="AA360" t="inlineStr">
        <is>
          <t>NEED_SOURCE</t>
        </is>
      </c>
      <c r="AB360" t="inlineStr"/>
      <c r="AC360" t="inlineStr">
        <is>
          <t>aa</t>
        </is>
      </c>
      <c r="AD360" t="inlineStr">
        <is>
          <t>Wikipedia 'ZU-23-2': 2 x 800-1,000 rpm</t>
        </is>
      </c>
      <c r="AE360" t="inlineStr"/>
      <c r="AF360" t="inlineStr">
        <is>
          <t>Tools/balance/full_weapon_audit.py: REAL / WARHEAD; balance.json weapons[id=zu23_ap].real</t>
        </is>
      </c>
      <c r="AG360" t="inlineStr"/>
    </row>
  </sheetData>
  <autoFilter ref="A1:AG36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37" customWidth="1" min="2" max="2"/>
    <col width="33" customWidth="1" min="3" max="3"/>
    <col width="11" customWidth="1" min="4" max="4"/>
    <col width="60" customWidth="1" min="5" max="5"/>
    <col width="60" customWidth="1" min="6" max="6"/>
    <col width="15" customWidth="1" min="7" max="7"/>
    <col width="12" customWidth="1" min="8" max="8"/>
    <col width="12" customWidth="1" min="9" max="9"/>
    <col width="13" customWidth="1" min="10" max="10"/>
    <col width="60" customWidth="1" min="11" max="11"/>
    <col width="60" customWidth="1" min="12" max="12"/>
    <col width="14" customWidth="1" min="13" max="13"/>
    <col width="60" customWidth="1" min="14" max="14"/>
    <col width="60" customWidth="1" min="15" max="15"/>
    <col width="6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entity_id</t>
        </is>
      </c>
      <c r="C1" s="1" t="inlineStr">
        <is>
          <t>thong_so</t>
        </is>
      </c>
      <c r="D1" s="1" t="inlineStr">
        <is>
          <t>don_vi</t>
        </is>
      </c>
      <c r="E1" s="1" t="inlineStr">
        <is>
          <t>gia_tri_game</t>
        </is>
      </c>
      <c r="F1" s="1" t="inlineStr">
        <is>
          <t>gia_tri_that</t>
        </is>
      </c>
      <c r="G1" s="1" t="inlineStr">
        <is>
          <t>ty_le</t>
        </is>
      </c>
      <c r="H1" s="1" t="inlineStr">
        <is>
          <t>khoang_min</t>
        </is>
      </c>
      <c r="I1" s="1" t="inlineStr">
        <is>
          <t>khoang_max</t>
        </is>
      </c>
      <c r="J1" s="1" t="inlineStr">
        <is>
          <t>co_chu_dich</t>
        </is>
      </c>
      <c r="K1" s="1" t="inlineStr">
        <is>
          <t>ly_do</t>
        </is>
      </c>
      <c r="L1" s="1" t="inlineStr">
        <is>
          <t>co_lech_lon</t>
        </is>
      </c>
      <c r="M1" s="1" t="inlineStr">
        <is>
          <t>cho_quyet_id</t>
        </is>
      </c>
      <c r="N1" s="1" t="inlineStr">
        <is>
          <t>nguon_id</t>
        </is>
      </c>
      <c r="O1" s="1" t="inlineStr">
        <is>
          <t>ghi_chu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aa_25_triple/nhip</t>
        </is>
      </c>
      <c r="B2" t="inlineStr">
        <is>
          <t>aa_25_triple</t>
        </is>
      </c>
      <c r="C2" t="inlineStr">
        <is>
          <t>khe_mot_nong_mot_vien</t>
        </is>
      </c>
      <c r="D2" t="inlineStr">
        <is>
          <t>s</t>
        </is>
      </c>
      <c r="E2" t="n">
        <v>0.620000077</v>
      </c>
      <c r="F2">
        <f>60/INDEX(Vu_khi!$BB$2:$BB$360,MATCH($B$2,Vu_khi!$A$2:$A$360,0))/IF(INDEX(Vu_khi!$BD$2:$BD$360,MATCH($B$2,Vu_khi!$A$2:$A$360,0))="gun",0.7,1)</f>
        <v/>
      </c>
      <c r="G2">
        <f>$E$2/$F$2</f>
        <v/>
      </c>
      <c r="H2" t="n">
        <v>0.6</v>
      </c>
      <c r="I2" t="n">
        <v>2</v>
      </c>
      <c r="J2" t="b">
        <v>1</v>
      </c>
      <c r="K2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">
        <f>IF(ISNUMBER($H$2),AND(NOT($J$2),OR($G$2&lt;$H$2,$G$2&gt;$I$2)),FALSE)</f>
        <v/>
      </c>
      <c r="M2" t="inlineStr"/>
      <c r="N2" t="inlineStr">
        <is>
          <t>R_balance;R_full_weapon_audit;W_wikipedia_type_96_25_mm_at_aa_gun;R_machine_brigade_can_bang</t>
        </is>
      </c>
      <c r="O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" t="inlineStr">
        <is>
          <t>Tools/balance/full_weapon_audit.py (bảng REAL) và 01_chien_dau/Vu_khi_suy_ra</t>
        </is>
      </c>
      <c r="Q2" t="inlineStr"/>
    </row>
    <row r="3">
      <c r="A3" t="inlineStr">
        <is>
          <t>agl_40/nhip</t>
        </is>
      </c>
      <c r="B3" t="inlineStr">
        <is>
          <t>agl_40</t>
        </is>
      </c>
      <c r="C3" t="inlineStr">
        <is>
          <t>khe_mot_nong_mot_vien</t>
        </is>
      </c>
      <c r="D3" t="inlineStr">
        <is>
          <t>s</t>
        </is>
      </c>
      <c r="E3" t="n">
        <v>0.7</v>
      </c>
      <c r="F3">
        <f>60/INDEX(Vu_khi!$BB$2:$BB$360,MATCH($B$3,Vu_khi!$A$2:$A$360,0))/IF(INDEX(Vu_khi!$BD$2:$BD$360,MATCH($B$3,Vu_khi!$A$2:$A$360,0))="gun",0.7,1)</f>
        <v/>
      </c>
      <c r="G3">
        <f>$E$3/$F$3</f>
        <v/>
      </c>
      <c r="H3" t="n">
        <v>0.6</v>
      </c>
      <c r="I3" t="n">
        <v>2</v>
      </c>
      <c r="J3" t="b">
        <v>1</v>
      </c>
      <c r="K3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3">
        <f>IF(ISNUMBER($H$3),AND(NOT($J$3),OR($G$3&lt;$H$3,$G$3&gt;$I$3)),FALSE)</f>
        <v/>
      </c>
      <c r="M3" t="inlineStr"/>
      <c r="N3" t="inlineStr">
        <is>
          <t>R_balance;R_full_weapon_audit;D_us_army_fm_3_22_27;R_machine_brigade_can_bang</t>
        </is>
      </c>
      <c r="O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" t="inlineStr">
        <is>
          <t>Tools/balance/full_weapon_audit.py (bảng REAL) và 01_chien_dau/Vu_khi_suy_ra</t>
        </is>
      </c>
      <c r="Q3" t="inlineStr"/>
    </row>
    <row r="4">
      <c r="A4" t="inlineStr">
        <is>
          <t>airship_flak/nhip</t>
        </is>
      </c>
      <c r="B4" t="inlineStr">
        <is>
          <t>airship_flak</t>
        </is>
      </c>
      <c r="C4" t="inlineStr">
        <is>
          <t>khe_mot_nong_mot_vien</t>
        </is>
      </c>
      <c r="D4" t="inlineStr">
        <is>
          <t>s</t>
        </is>
      </c>
      <c r="E4" t="n">
        <v>0.61</v>
      </c>
      <c r="F4">
        <f>60/INDEX(Vu_khi!$BB$2:$BB$360,MATCH($B$4,Vu_khi!$A$2:$A$360,0))/IF(INDEX(Vu_khi!$BD$2:$BD$360,MATCH($B$4,Vu_khi!$A$2:$A$360,0))="gun",0.7,1)</f>
        <v/>
      </c>
      <c r="G4">
        <f>$E$4/$F$4</f>
        <v/>
      </c>
      <c r="H4" t="n">
        <v>0.6</v>
      </c>
      <c r="I4" t="n">
        <v>2</v>
      </c>
      <c r="J4" t="b">
        <v>0</v>
      </c>
      <c r="K4" t="inlineStr"/>
      <c r="L4">
        <f>IF(ISNUMBER($H$4),AND(NOT($J$4),OR($G$4&lt;$H$4,$G$4&gt;$I$4)),FALSE)</f>
        <v/>
      </c>
      <c r="M4" t="inlineStr"/>
      <c r="N4" t="inlineStr">
        <is>
          <t>R_balance;R_full_weapon_audit;W_wikipedia_azp_s_60;R_machine_brigade_can_bang</t>
        </is>
      </c>
      <c r="O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" t="inlineStr">
        <is>
          <t>Tools/balance/full_weapon_audit.py (bảng REAL) và 01_chien_dau/Vu_khi_suy_ra</t>
        </is>
      </c>
      <c r="Q4" t="inlineStr"/>
    </row>
    <row r="5">
      <c r="A5" t="inlineStr">
        <is>
          <t>amos_120/nhip</t>
        </is>
      </c>
      <c r="B5" t="inlineStr">
        <is>
          <t>amos_120</t>
        </is>
      </c>
      <c r="C5" t="inlineStr">
        <is>
          <t>khe_mot_nong_mot_vien</t>
        </is>
      </c>
      <c r="D5" t="inlineStr">
        <is>
          <t>s</t>
        </is>
      </c>
      <c r="E5" t="n">
        <v>7.678503297</v>
      </c>
      <c r="F5">
        <f>60/INDEX(Vu_khi!$BB$2:$BB$360,MATCH($B$5,Vu_khi!$A$2:$A$360,0))/IF(INDEX(Vu_khi!$BD$2:$BD$360,MATCH($B$5,Vu_khi!$A$2:$A$360,0))="gun",0.7,1)</f>
        <v/>
      </c>
      <c r="G5">
        <f>$E$5/$F$5</f>
        <v/>
      </c>
      <c r="H5" t="n">
        <v>0.6</v>
      </c>
      <c r="I5" t="n">
        <v>2</v>
      </c>
      <c r="J5" t="b">
        <v>0</v>
      </c>
      <c r="K5" t="inlineStr"/>
      <c r="L5">
        <f>IF(ISNUMBER($H$5),AND(NOT($J$5),OR($G$5&lt;$H$5,$G$5&gt;$I$5)),FALSE)</f>
        <v/>
      </c>
      <c r="M5" t="inlineStr"/>
      <c r="N5" t="inlineStr">
        <is>
          <t>R_balance;R_full_weapon_audit;W_wikipedia_amos</t>
        </is>
      </c>
      <c r="O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" t="inlineStr">
        <is>
          <t>Tools/balance/full_weapon_audit.py (bảng REAL) và 01_chien_dau/Vu_khi_suy_ra</t>
        </is>
      </c>
      <c r="Q5" t="inlineStr"/>
    </row>
    <row r="6">
      <c r="A6" t="inlineStr">
        <is>
          <t>anti_ship_missile/loi_no</t>
        </is>
      </c>
      <c r="B6" t="inlineStr">
        <is>
          <t>anti_ship_missile</t>
        </is>
      </c>
      <c r="C6" t="inlineStr">
        <is>
          <t>loi_m_tren_can_bac_ba_kg_dau_dan</t>
        </is>
      </c>
      <c r="D6" t="inlineStr">
        <is>
          <t>m/kg^(1/3)</t>
        </is>
      </c>
      <c r="E6">
        <f>INDEX(Vu_khi!$X$2:$X$360,MATCH($B$6,Vu_khi!$A$2:$A$360,0))</f>
        <v/>
      </c>
      <c r="F6">
        <f>POWER(INDEX(Vu_khi_tham_chieu!$AB$2:$AB$360,MATCH($B$6,Vu_khi_tham_chieu!$A$2:$A$360,0)),1/3)</f>
        <v/>
      </c>
      <c r="G6">
        <f>$E$6/$F$6</f>
        <v/>
      </c>
      <c r="H6" t="inlineStr"/>
      <c r="I6" t="inlineStr"/>
      <c r="J6" t="b">
        <v>0</v>
      </c>
      <c r="K6" t="inlineStr"/>
      <c r="L6">
        <f>IF(ISNUMBER($H$6),AND(NOT($J$6),OR($G$6&lt;$H$6,$G$6&gt;$I$6)),FALSE)</f>
        <v/>
      </c>
      <c r="M6" t="inlineStr"/>
      <c r="N6" t="inlineStr">
        <is>
          <t>R_full_weapon_audit</t>
        </is>
      </c>
      <c r="O6" t="inlineStr">
        <is>
          <t>lõi nổ / căn bậc ba khối lượng đầu đạn (đầu đạn thay cho thuốc nổ: repo không có khối lượng thuốc nổ)</t>
        </is>
      </c>
      <c r="P6" t="inlineStr">
        <is>
          <t>Tools/balance/full_weapon_audit.py WARHEAD</t>
        </is>
      </c>
      <c r="Q6" t="inlineStr"/>
    </row>
    <row r="7">
      <c r="A7" t="inlineStr">
        <is>
          <t>anti_ship_missile/nhip</t>
        </is>
      </c>
      <c r="B7" t="inlineStr">
        <is>
          <t>anti_ship_missile</t>
        </is>
      </c>
      <c r="C7" t="inlineStr">
        <is>
          <t>khe_mot_nong_mot_vien</t>
        </is>
      </c>
      <c r="D7" t="inlineStr">
        <is>
          <t>s</t>
        </is>
      </c>
      <c r="E7" t="n">
        <v>30</v>
      </c>
      <c r="F7">
        <f>60/INDEX(Vu_khi!$BB$2:$BB$360,MATCH($B$7,Vu_khi!$A$2:$A$360,0))/IF(INDEX(Vu_khi!$BD$2:$BD$360,MATCH($B$7,Vu_khi!$A$2:$A$360,0))="gun",0.7,1)</f>
        <v/>
      </c>
      <c r="G7">
        <f>$E$7/$F$7</f>
        <v/>
      </c>
      <c r="H7" t="n">
        <v>0.6</v>
      </c>
      <c r="I7" t="n">
        <v>2</v>
      </c>
      <c r="J7" t="b">
        <v>0</v>
      </c>
      <c r="K7" t="inlineStr"/>
      <c r="L7">
        <f>IF(ISNUMBER($H$7),AND(NOT($J$7),OR($G$7&lt;$H$7,$G$7&gt;$I$7)),FALSE)</f>
        <v/>
      </c>
      <c r="M7" t="inlineStr">
        <is>
          <t>TC0001</t>
        </is>
      </c>
      <c r="N7" t="inlineStr">
        <is>
          <t>R_balance;R_full_weapon_audit;W_wikipedia_bai_cua_tung_ten_lua_bang_warhead</t>
        </is>
      </c>
      <c r="O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" t="inlineStr">
        <is>
          <t>Tools/balance/full_weapon_audit.py (bảng REAL) và 01_chien_dau/Vu_khi_suy_ra</t>
        </is>
      </c>
      <c r="Q7" t="inlineStr"/>
    </row>
    <row r="8">
      <c r="A8" t="inlineStr">
        <is>
          <t>anti_ship_missile/sat_thuong</t>
        </is>
      </c>
      <c r="B8" t="inlineStr">
        <is>
          <t>anti_ship_missile</t>
        </is>
      </c>
      <c r="C8" t="inlineStr">
        <is>
          <t>sat_thuong_tren_kg_dau_dan</t>
        </is>
      </c>
      <c r="D8" t="inlineStr">
        <is>
          <t>hp/kg</t>
        </is>
      </c>
      <c r="E8">
        <f>INDEX(Vu_khi!$W$2:$W$360,MATCH($B$8,Vu_khi!$A$2:$A$360,0))</f>
        <v/>
      </c>
      <c r="F8">
        <f>INDEX(Vu_khi_tham_chieu!$AB$2:$AB$360,MATCH($B$8,Vu_khi_tham_chieu!$A$2:$A$360,0))</f>
        <v/>
      </c>
      <c r="G8">
        <f>$E$8/$F$8</f>
        <v/>
      </c>
      <c r="H8" t="inlineStr"/>
      <c r="I8" t="inlineStr"/>
      <c r="J8" t="b">
        <v>0</v>
      </c>
      <c r="K8" t="inlineStr"/>
      <c r="L8">
        <f>IF(ISNUMBER($H$8),AND(NOT($J$8),OR($G$8&lt;$H$8,$G$8&gt;$I$8)),FALSE)</f>
        <v/>
      </c>
      <c r="M8" t="inlineStr"/>
      <c r="N8" t="inlineStr">
        <is>
          <t>R_full_weapon_audit</t>
        </is>
      </c>
      <c r="O8" t="inlineStr">
        <is>
          <t>sát thương một phát / khối lượng đầu đạn (không bắt buộc 1:1, chỉ ghi ty_le)</t>
        </is>
      </c>
      <c r="P8" t="inlineStr">
        <is>
          <t>Tools/balance/full_weapon_audit.py WARHEAD</t>
        </is>
      </c>
      <c r="Q8" t="inlineStr"/>
    </row>
    <row r="9">
      <c r="A9" t="inlineStr">
        <is>
          <t>apkws_rocket/nhip</t>
        </is>
      </c>
      <c r="B9" t="inlineStr">
        <is>
          <t>apkws_rocket</t>
        </is>
      </c>
      <c r="C9" t="inlineStr">
        <is>
          <t>khe_mot_nong_mot_vien</t>
        </is>
      </c>
      <c r="D9" t="inlineStr">
        <is>
          <t>s</t>
        </is>
      </c>
      <c r="E9" t="n">
        <v>1</v>
      </c>
      <c r="F9">
        <f>60/INDEX(Vu_khi!$BB$2:$BB$360,MATCH($B$9,Vu_khi!$A$2:$A$360,0))/IF(INDEX(Vu_khi!$BD$2:$BD$360,MATCH($B$9,Vu_khi!$A$2:$A$360,0))="gun",0.7,1)</f>
        <v/>
      </c>
      <c r="G9">
        <f>$E$9/$F$9</f>
        <v/>
      </c>
      <c r="H9" t="n">
        <v>0.6</v>
      </c>
      <c r="I9" t="n">
        <v>2</v>
      </c>
      <c r="J9" t="b">
        <v>1</v>
      </c>
      <c r="K9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9">
        <f>IF(ISNUMBER($H$9),AND(NOT($J$9),OR($G$9&lt;$H$9,$G$9&gt;$I$9)),FALSE)</f>
        <v/>
      </c>
      <c r="M9" t="inlineStr"/>
      <c r="N9" t="inlineStr">
        <is>
          <t>R_balance;R_full_weapon_audit;R_decisions</t>
        </is>
      </c>
      <c r="O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" t="inlineStr">
        <is>
          <t>Tools/balance/full_weapon_audit.py (bảng REAL) và 01_chien_dau/Vu_khi_suy_ra</t>
        </is>
      </c>
      <c r="Q9" t="inlineStr"/>
    </row>
    <row r="10">
      <c r="A10" t="inlineStr">
        <is>
          <t>atgm/nhip</t>
        </is>
      </c>
      <c r="B10" t="inlineStr">
        <is>
          <t>atgm</t>
        </is>
      </c>
      <c r="C10" t="inlineStr">
        <is>
          <t>khe_mot_nong_mot_vien</t>
        </is>
      </c>
      <c r="D10" t="inlineStr">
        <is>
          <t>s</t>
        </is>
      </c>
      <c r="E10" t="n">
        <v>12.33</v>
      </c>
      <c r="F10">
        <f>60/INDEX(Vu_khi!$BB$2:$BB$360,MATCH($B$10,Vu_khi!$A$2:$A$360,0))/IF(INDEX(Vu_khi!$BD$2:$BD$360,MATCH($B$10,Vu_khi!$A$2:$A$360,0))="gun",0.7,1)</f>
        <v/>
      </c>
      <c r="G10">
        <f>$E$10/$F$10</f>
        <v/>
      </c>
      <c r="H10" t="n">
        <v>0.6</v>
      </c>
      <c r="I10" t="n">
        <v>2</v>
      </c>
      <c r="J10" t="b">
        <v>0</v>
      </c>
      <c r="K10" t="inlineStr"/>
      <c r="L10">
        <f>IF(ISNUMBER($H$10),AND(NOT($J$10),OR($G$10&lt;$H$10,$G$10&gt;$I$10)),FALSE)</f>
        <v/>
      </c>
      <c r="M10" t="inlineStr"/>
      <c r="N10" t="inlineStr">
        <is>
          <t>R_balance;R_full_weapon_audit;W_wikipedia_bgm_71_tow;W_wikipedia_bai_cua_tung_ten_lua_bang_warhead;R_machine_brigade_can_bang</t>
        </is>
      </c>
      <c r="O1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0" t="inlineStr">
        <is>
          <t>Tools/balance/full_weapon_audit.py (bảng REAL) và 01_chien_dau/Vu_khi_suy_ra</t>
        </is>
      </c>
      <c r="Q10" t="inlineStr"/>
    </row>
    <row r="11">
      <c r="A11" t="inlineStr">
        <is>
          <t>atgm/sat_thuong</t>
        </is>
      </c>
      <c r="B11" t="inlineStr">
        <is>
          <t>atgm</t>
        </is>
      </c>
      <c r="C11" t="inlineStr">
        <is>
          <t>sat_thuong_tren_kg_dau_dan</t>
        </is>
      </c>
      <c r="D11" t="inlineStr">
        <is>
          <t>hp/kg</t>
        </is>
      </c>
      <c r="E11">
        <f>INDEX(Vu_khi!$W$2:$W$360,MATCH($B$11,Vu_khi!$A$2:$A$360,0))</f>
        <v/>
      </c>
      <c r="F11">
        <f>INDEX(Vu_khi_tham_chieu!$AB$2:$AB$360,MATCH($B$11,Vu_khi_tham_chieu!$A$2:$A$360,0))</f>
        <v/>
      </c>
      <c r="G11">
        <f>$E$11/$F$11</f>
        <v/>
      </c>
      <c r="H11" t="inlineStr"/>
      <c r="I11" t="inlineStr"/>
      <c r="J11" t="b">
        <v>0</v>
      </c>
      <c r="K11" t="inlineStr"/>
      <c r="L11">
        <f>IF(ISNUMBER($H$11),AND(NOT($J$11),OR($G$11&lt;$H$11,$G$11&gt;$I$11)),FALSE)</f>
        <v/>
      </c>
      <c r="M11" t="inlineStr"/>
      <c r="N11" t="inlineStr">
        <is>
          <t>R_full_weapon_audit</t>
        </is>
      </c>
      <c r="O11" t="inlineStr">
        <is>
          <t>sát thương một phát / khối lượng đầu đạn (không bắt buộc 1:1, chỉ ghi ty_le)</t>
        </is>
      </c>
      <c r="P11" t="inlineStr">
        <is>
          <t>Tools/balance/full_weapon_audit.py WARHEAD</t>
        </is>
      </c>
      <c r="Q11" t="inlineStr"/>
    </row>
    <row r="12">
      <c r="A12" t="inlineStr">
        <is>
          <t>atgm_heavy/nhip</t>
        </is>
      </c>
      <c r="B12" t="inlineStr">
        <is>
          <t>atgm_heavy</t>
        </is>
      </c>
      <c r="C12" t="inlineStr">
        <is>
          <t>khe_mot_nong_mot_vien</t>
        </is>
      </c>
      <c r="D12" t="inlineStr">
        <is>
          <t>s</t>
        </is>
      </c>
      <c r="E12" t="n">
        <v>7.5</v>
      </c>
      <c r="F12">
        <f>60/INDEX(Vu_khi!$BB$2:$BB$360,MATCH($B$12,Vu_khi!$A$2:$A$360,0))/IF(INDEX(Vu_khi!$BD$2:$BD$360,MATCH($B$12,Vu_khi!$A$2:$A$360,0))="gun",0.7,1)</f>
        <v/>
      </c>
      <c r="G12">
        <f>$E$12/$F$12</f>
        <v/>
      </c>
      <c r="H12" t="n">
        <v>0.6</v>
      </c>
      <c r="I12" t="n">
        <v>2</v>
      </c>
      <c r="J12" t="b">
        <v>0</v>
      </c>
      <c r="K12" t="inlineStr"/>
      <c r="L12">
        <f>IF(ISNUMBER($H$12),AND(NOT($J$12),OR($G$12&lt;$H$12,$G$12&gt;$I$12)),FALSE)</f>
        <v/>
      </c>
      <c r="M12" t="inlineStr">
        <is>
          <t>TC0002</t>
        </is>
      </c>
      <c r="N12" t="inlineStr">
        <is>
          <t>R_balance;R_full_weapon_audit;W_wikipedia_9m133_kornet;W_wikipedia_bai_cua_tung_ten_lua_bang_warhead</t>
        </is>
      </c>
      <c r="O1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" t="inlineStr">
        <is>
          <t>Tools/balance/full_weapon_audit.py (bảng REAL) và 01_chien_dau/Vu_khi_suy_ra</t>
        </is>
      </c>
      <c r="Q12" t="inlineStr"/>
    </row>
    <row r="13">
      <c r="A13" t="inlineStr">
        <is>
          <t>atgm_heavy/sat_thuong</t>
        </is>
      </c>
      <c r="B13" t="inlineStr">
        <is>
          <t>atgm_heavy</t>
        </is>
      </c>
      <c r="C13" t="inlineStr">
        <is>
          <t>sat_thuong_tren_kg_dau_dan</t>
        </is>
      </c>
      <c r="D13" t="inlineStr">
        <is>
          <t>hp/kg</t>
        </is>
      </c>
      <c r="E13">
        <f>INDEX(Vu_khi!$W$2:$W$360,MATCH($B$13,Vu_khi!$A$2:$A$360,0))</f>
        <v/>
      </c>
      <c r="F13">
        <f>INDEX(Vu_khi_tham_chieu!$AB$2:$AB$360,MATCH($B$13,Vu_khi_tham_chieu!$A$2:$A$360,0))</f>
        <v/>
      </c>
      <c r="G13">
        <f>$E$13/$F$13</f>
        <v/>
      </c>
      <c r="H13" t="inlineStr"/>
      <c r="I13" t="inlineStr"/>
      <c r="J13" t="b">
        <v>0</v>
      </c>
      <c r="K13" t="inlineStr"/>
      <c r="L13">
        <f>IF(ISNUMBER($H$13),AND(NOT($J$13),OR($G$13&lt;$H$13,$G$13&gt;$I$13)),FALSE)</f>
        <v/>
      </c>
      <c r="M13" t="inlineStr"/>
      <c r="N13" t="inlineStr">
        <is>
          <t>R_full_weapon_audit</t>
        </is>
      </c>
      <c r="O13" t="inlineStr">
        <is>
          <t>sát thương một phát / khối lượng đầu đạn (không bắt buộc 1:1, chỉ ghi ty_le)</t>
        </is>
      </c>
      <c r="P13" t="inlineStr">
        <is>
          <t>Tools/balance/full_weapon_audit.py WARHEAD</t>
        </is>
      </c>
      <c r="Q13" t="inlineStr"/>
    </row>
    <row r="14">
      <c r="A14" t="inlineStr">
        <is>
          <t>atgm_post/nhip</t>
        </is>
      </c>
      <c r="B14" t="inlineStr">
        <is>
          <t>atgm_post</t>
        </is>
      </c>
      <c r="C14" t="inlineStr">
        <is>
          <t>khe_mot_nong_mot_vien</t>
        </is>
      </c>
      <c r="D14" t="inlineStr">
        <is>
          <t>s</t>
        </is>
      </c>
      <c r="E14" t="n">
        <v>12.1</v>
      </c>
      <c r="F14">
        <f>60/INDEX(Vu_khi!$BB$2:$BB$360,MATCH($B$14,Vu_khi!$A$2:$A$360,0))/IF(INDEX(Vu_khi!$BD$2:$BD$360,MATCH($B$14,Vu_khi!$A$2:$A$360,0))="gun",0.7,1)</f>
        <v/>
      </c>
      <c r="G14">
        <f>$E$14/$F$14</f>
        <v/>
      </c>
      <c r="H14" t="n">
        <v>0.6</v>
      </c>
      <c r="I14" t="n">
        <v>2</v>
      </c>
      <c r="J14" t="b">
        <v>0</v>
      </c>
      <c r="K14" t="inlineStr"/>
      <c r="L14">
        <f>IF(ISNUMBER($H$14),AND(NOT($J$14),OR($G$14&lt;$H$14,$G$14&gt;$I$14)),FALSE)</f>
        <v/>
      </c>
      <c r="M14" t="inlineStr"/>
      <c r="N14" t="inlineStr">
        <is>
          <t>R_balance;R_full_weapon_audit;W_wikipedia_9m113_konkurs;W_wikipedia_bai_cua_tung_ten_lua_bang_warhead</t>
        </is>
      </c>
      <c r="O1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" t="inlineStr">
        <is>
          <t>Tools/balance/full_weapon_audit.py (bảng REAL) và 01_chien_dau/Vu_khi_suy_ra</t>
        </is>
      </c>
      <c r="Q14" t="inlineStr"/>
    </row>
    <row r="15">
      <c r="A15" t="inlineStr">
        <is>
          <t>atgm_post/sat_thuong</t>
        </is>
      </c>
      <c r="B15" t="inlineStr">
        <is>
          <t>atgm_post</t>
        </is>
      </c>
      <c r="C15" t="inlineStr">
        <is>
          <t>sat_thuong_tren_kg_dau_dan</t>
        </is>
      </c>
      <c r="D15" t="inlineStr">
        <is>
          <t>hp/kg</t>
        </is>
      </c>
      <c r="E15">
        <f>INDEX(Vu_khi!$W$2:$W$360,MATCH($B$15,Vu_khi!$A$2:$A$360,0))</f>
        <v/>
      </c>
      <c r="F15">
        <f>INDEX(Vu_khi_tham_chieu!$AB$2:$AB$360,MATCH($B$15,Vu_khi_tham_chieu!$A$2:$A$360,0))</f>
        <v/>
      </c>
      <c r="G15">
        <f>$E$15/$F$15</f>
        <v/>
      </c>
      <c r="H15" t="inlineStr"/>
      <c r="I15" t="inlineStr"/>
      <c r="J15" t="b">
        <v>0</v>
      </c>
      <c r="K15" t="inlineStr"/>
      <c r="L15">
        <f>IF(ISNUMBER($H$15),AND(NOT($J$15),OR($G$15&lt;$H$15,$G$15&gt;$I$15)),FALSE)</f>
        <v/>
      </c>
      <c r="M15" t="inlineStr"/>
      <c r="N15" t="inlineStr">
        <is>
          <t>R_full_weapon_audit</t>
        </is>
      </c>
      <c r="O15" t="inlineStr">
        <is>
          <t>sát thương một phát / khối lượng đầu đạn (không bắt buộc 1:1, chỉ ghi ty_le)</t>
        </is>
      </c>
      <c r="P15" t="inlineStr">
        <is>
          <t>Tools/balance/full_weapon_audit.py WARHEAD</t>
        </is>
      </c>
      <c r="Q15" t="inlineStr"/>
    </row>
    <row r="16">
      <c r="A16" t="inlineStr">
        <is>
          <t>autocannon_25/nhip</t>
        </is>
      </c>
      <c r="B16" t="inlineStr">
        <is>
          <t>autocannon_25</t>
        </is>
      </c>
      <c r="C16" t="inlineStr">
        <is>
          <t>khe_mot_nong_mot_vien</t>
        </is>
      </c>
      <c r="D16" t="inlineStr">
        <is>
          <t>s</t>
        </is>
      </c>
      <c r="E16" t="n">
        <v>0.32919996</v>
      </c>
      <c r="F16">
        <f>60/INDEX(Vu_khi!$BB$2:$BB$360,MATCH($B$16,Vu_khi!$A$2:$A$360,0))/IF(INDEX(Vu_khi!$BD$2:$BD$360,MATCH($B$16,Vu_khi!$A$2:$A$360,0))="gun",0.7,1)</f>
        <v/>
      </c>
      <c r="G16">
        <f>$E$16/$F$16</f>
        <v/>
      </c>
      <c r="H16" t="n">
        <v>0.6</v>
      </c>
      <c r="I16" t="n">
        <v>2</v>
      </c>
      <c r="J16" t="b">
        <v>1</v>
      </c>
      <c r="K16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6">
        <f>IF(ISNUMBER($H$16),AND(NOT($J$16),OR($G$16&lt;$H$16,$G$16&gt;$I$16)),FALSE)</f>
        <v/>
      </c>
      <c r="M16" t="inlineStr"/>
      <c r="N16" t="inlineStr">
        <is>
          <t>R_balance;R_full_weapon_audit;W_wikipedia_m242_bushmaster;R_machine_brigade_can_bang</t>
        </is>
      </c>
      <c r="O1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" t="inlineStr">
        <is>
          <t>Tools/balance/full_weapon_audit.py (bảng REAL) và 01_chien_dau/Vu_khi_suy_ra</t>
        </is>
      </c>
      <c r="Q16" t="inlineStr"/>
    </row>
    <row r="17">
      <c r="A17" t="inlineStr">
        <is>
          <t>autocannon_30/nhip</t>
        </is>
      </c>
      <c r="B17" t="inlineStr">
        <is>
          <t>autocannon_30</t>
        </is>
      </c>
      <c r="C17" t="inlineStr">
        <is>
          <t>khe_mot_nong_mot_vien</t>
        </is>
      </c>
      <c r="D17" t="inlineStr">
        <is>
          <t>s</t>
        </is>
      </c>
      <c r="E17" t="n">
        <v>0.261099975</v>
      </c>
      <c r="F17">
        <f>60/INDEX(Vu_khi!$BB$2:$BB$360,MATCH($B$17,Vu_khi!$A$2:$A$360,0))/IF(INDEX(Vu_khi!$BD$2:$BD$360,MATCH($B$17,Vu_khi!$A$2:$A$360,0))="gun",0.7,1)</f>
        <v/>
      </c>
      <c r="G17">
        <f>$E$17/$F$17</f>
        <v/>
      </c>
      <c r="H17" t="n">
        <v>0.6</v>
      </c>
      <c r="I17" t="n">
        <v>2</v>
      </c>
      <c r="J17" t="b">
        <v>1</v>
      </c>
      <c r="K17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7">
        <f>IF(ISNUMBER($H$17),AND(NOT($J$17),OR($G$17&lt;$H$17,$G$17&gt;$I$17)),FALSE)</f>
        <v/>
      </c>
      <c r="M17" t="inlineStr"/>
      <c r="N17" t="inlineStr">
        <is>
          <t>R_balance;R_full_weapon_audit;W_wikipedia_2a42;R_machine_brigade_can_bang</t>
        </is>
      </c>
      <c r="O1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" t="inlineStr">
        <is>
          <t>Tools/balance/full_weapon_audit.py (bảng REAL) và 01_chien_dau/Vu_khi_suy_ra</t>
        </is>
      </c>
      <c r="Q17" t="inlineStr"/>
    </row>
    <row r="18">
      <c r="A18" t="inlineStr">
        <is>
          <t>autocannon_40/nhip</t>
        </is>
      </c>
      <c r="B18" t="inlineStr">
        <is>
          <t>autocannon_40</t>
        </is>
      </c>
      <c r="C18" t="inlineStr">
        <is>
          <t>khe_mot_nong_mot_vien</t>
        </is>
      </c>
      <c r="D18" t="inlineStr">
        <is>
          <t>s</t>
        </is>
      </c>
      <c r="E18" t="n">
        <v>0.352</v>
      </c>
      <c r="F18">
        <f>60/INDEX(Vu_khi!$BB$2:$BB$360,MATCH($B$18,Vu_khi!$A$2:$A$360,0))/IF(INDEX(Vu_khi!$BD$2:$BD$360,MATCH($B$18,Vu_khi!$A$2:$A$360,0))="gun",0.7,1)</f>
        <v/>
      </c>
      <c r="G18">
        <f>$E$18/$F$18</f>
        <v/>
      </c>
      <c r="H18" t="n">
        <v>0.6</v>
      </c>
      <c r="I18" t="n">
        <v>2</v>
      </c>
      <c r="J18" t="b">
        <v>0</v>
      </c>
      <c r="K18" t="inlineStr"/>
      <c r="L18">
        <f>IF(ISNUMBER($H$18),AND(NOT($J$18),OR($G$18&lt;$H$18,$G$18&gt;$I$18)),FALSE)</f>
        <v/>
      </c>
      <c r="M18" t="inlineStr"/>
      <c r="N18" t="inlineStr">
        <is>
          <t>R_balance;R_full_weapon_audit;W_wikipedia_bofors_40_mm_l_70;R_machine_brigade_can_bang</t>
        </is>
      </c>
      <c r="O1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" t="inlineStr">
        <is>
          <t>Tools/balance/full_weapon_audit.py (bảng REAL) và 01_chien_dau/Vu_khi_suy_ra</t>
        </is>
      </c>
      <c r="Q18" t="inlineStr"/>
    </row>
    <row r="19">
      <c r="A19" t="inlineStr">
        <is>
          <t>ballistic_missile/nhip</t>
        </is>
      </c>
      <c r="B19" t="inlineStr">
        <is>
          <t>ballistic_missile</t>
        </is>
      </c>
      <c r="C19" t="inlineStr">
        <is>
          <t>khe_mot_nong_mot_vien</t>
        </is>
      </c>
      <c r="D19" t="inlineStr">
        <is>
          <t>s</t>
        </is>
      </c>
      <c r="E19" t="n">
        <v>12.105</v>
      </c>
      <c r="F19">
        <f>60/INDEX(Vu_khi!$BB$2:$BB$360,MATCH($B$19,Vu_khi!$A$2:$A$360,0))/IF(INDEX(Vu_khi!$BD$2:$BD$360,MATCH($B$19,Vu_khi!$A$2:$A$360,0))="gun",0.7,1)</f>
        <v/>
      </c>
      <c r="G19">
        <f>$E$19/$F$19</f>
        <v/>
      </c>
      <c r="H19" t="n">
        <v>0.6</v>
      </c>
      <c r="I19" t="n">
        <v>2</v>
      </c>
      <c r="J19" t="b">
        <v>0</v>
      </c>
      <c r="K19" t="inlineStr"/>
      <c r="L19">
        <f>IF(ISNUMBER($H$19),AND(NOT($J$19),OR($G$19&lt;$H$19,$G$19&gt;$I$19)),FALSE)</f>
        <v/>
      </c>
      <c r="M19" t="inlineStr">
        <is>
          <t>TC0003</t>
        </is>
      </c>
      <c r="N19" t="inlineStr">
        <is>
          <t>R_balance;R_full_weapon_audit;W_wikipedia_9k720_iskander;R_machine_brigade_can_bang</t>
        </is>
      </c>
      <c r="O1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" t="inlineStr">
        <is>
          <t>Tools/balance/full_weapon_audit.py (bảng REAL) và 01_chien_dau/Vu_khi_suy_ra</t>
        </is>
      </c>
      <c r="Q19" t="inlineStr"/>
    </row>
    <row r="20">
      <c r="A20" t="inlineStr">
        <is>
          <t>bastion_gun/nhip</t>
        </is>
      </c>
      <c r="B20" t="inlineStr">
        <is>
          <t>bastion_gun</t>
        </is>
      </c>
      <c r="C20" t="inlineStr">
        <is>
          <t>khe_mot_nong_mot_vien</t>
        </is>
      </c>
      <c r="D20" t="inlineStr">
        <is>
          <t>s</t>
        </is>
      </c>
      <c r="E20" t="n">
        <v>7.443</v>
      </c>
      <c r="F20">
        <f>60/INDEX(Vu_khi!$BB$2:$BB$360,MATCH($B$20,Vu_khi!$A$2:$A$360,0))/IF(INDEX(Vu_khi!$BD$2:$BD$360,MATCH($B$20,Vu_khi!$A$2:$A$360,0))="gun",0.7,1)</f>
        <v/>
      </c>
      <c r="G20">
        <f>$E$20/$F$20</f>
        <v/>
      </c>
      <c r="H20" t="n">
        <v>0.6</v>
      </c>
      <c r="I20" t="n">
        <v>2</v>
      </c>
      <c r="J20" t="b">
        <v>0</v>
      </c>
      <c r="K20" t="inlineStr"/>
      <c r="L20">
        <f>IF(ISNUMBER($H$20),AND(NOT($J$20),OR($G$20&lt;$H$20,$G$20&gt;$I$20)),FALSE)</f>
        <v/>
      </c>
      <c r="M20" t="inlineStr"/>
      <c r="N20" t="inlineStr">
        <is>
          <t>R_balance;R_full_weapon_audit;R_machine_brigade_can_bang</t>
        </is>
      </c>
      <c r="O2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" t="inlineStr">
        <is>
          <t>Tools/balance/full_weapon_audit.py (bảng REAL) và 01_chien_dau/Vu_khi_suy_ra</t>
        </is>
      </c>
      <c r="Q20" t="inlineStr"/>
    </row>
    <row r="21">
      <c r="A21" t="inlineStr">
        <is>
          <t>boat_rockets/nhip</t>
        </is>
      </c>
      <c r="B21" t="inlineStr">
        <is>
          <t>boat_rockets</t>
        </is>
      </c>
      <c r="C21" t="inlineStr">
        <is>
          <t>khe_mot_nong_mot_vien</t>
        </is>
      </c>
      <c r="D21" t="inlineStr">
        <is>
          <t>s</t>
        </is>
      </c>
      <c r="E21" t="n">
        <v>0.12</v>
      </c>
      <c r="F21">
        <f>60/INDEX(Vu_khi!$BB$2:$BB$360,MATCH($B$21,Vu_khi!$A$2:$A$360,0))/IF(INDEX(Vu_khi!$BD$2:$BD$360,MATCH($B$21,Vu_khi!$A$2:$A$360,0))="gun",0.7,1)</f>
        <v/>
      </c>
      <c r="G21">
        <f>$E$21/$F$21</f>
        <v/>
      </c>
      <c r="H21" t="n">
        <v>0.6</v>
      </c>
      <c r="I21" t="n">
        <v>2</v>
      </c>
      <c r="J21" t="b">
        <v>0</v>
      </c>
      <c r="K21" t="inlineStr"/>
      <c r="L21">
        <f>IF(ISNUMBER($H$21),AND(NOT($J$21),OR($G$21&lt;$H$21,$G$21&gt;$I$21)),FALSE)</f>
        <v/>
      </c>
      <c r="M21" t="inlineStr"/>
      <c r="N21" t="inlineStr">
        <is>
          <t>R_balance;R_full_weapon_audit;R_decisions;R_machine_brigade_can_bang</t>
        </is>
      </c>
      <c r="O2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" t="inlineStr">
        <is>
          <t>Tools/balance/full_weapon_audit.py (bảng REAL) và 01_chien_dau/Vu_khi_suy_ra</t>
        </is>
      </c>
      <c r="Q21" t="inlineStr"/>
    </row>
    <row r="22">
      <c r="A22" t="inlineStr">
        <is>
          <t>bofors_l70/nhip</t>
        </is>
      </c>
      <c r="B22" t="inlineStr">
        <is>
          <t>bofors_l70</t>
        </is>
      </c>
      <c r="C22" t="inlineStr">
        <is>
          <t>khe_mot_nong_mot_vien</t>
        </is>
      </c>
      <c r="D22" t="inlineStr">
        <is>
          <t>s</t>
        </is>
      </c>
      <c r="E22" t="n">
        <v>0.3875</v>
      </c>
      <c r="F22">
        <f>60/INDEX(Vu_khi!$BB$2:$BB$360,MATCH($B$22,Vu_khi!$A$2:$A$360,0))/IF(INDEX(Vu_khi!$BD$2:$BD$360,MATCH($B$22,Vu_khi!$A$2:$A$360,0))="gun",0.7,1)</f>
        <v/>
      </c>
      <c r="G22">
        <f>$E$22/$F$22</f>
        <v/>
      </c>
      <c r="H22" t="n">
        <v>0.6</v>
      </c>
      <c r="I22" t="n">
        <v>2</v>
      </c>
      <c r="J22" t="b">
        <v>1</v>
      </c>
      <c r="K22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2">
        <f>IF(ISNUMBER($H$22),AND(NOT($J$22),OR($G$22&lt;$H$22,$G$22&gt;$I$22)),FALSE)</f>
        <v/>
      </c>
      <c r="M22" t="inlineStr"/>
      <c r="N22" t="inlineStr">
        <is>
          <t>R_balance;R_full_weapon_audit;W_wikipedia_bofors_40_mm_l_70</t>
        </is>
      </c>
      <c r="O2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" t="inlineStr">
        <is>
          <t>Tools/balance/full_weapon_audit.py (bảng REAL) và 01_chien_dau/Vu_khi_suy_ra</t>
        </is>
      </c>
      <c r="Q22" t="inlineStr"/>
    </row>
    <row r="23">
      <c r="A23" t="inlineStr">
        <is>
          <t>bomber_payload/nhip</t>
        </is>
      </c>
      <c r="B23" t="inlineStr">
        <is>
          <t>bomber_payload</t>
        </is>
      </c>
      <c r="C23" t="inlineStr">
        <is>
          <t>khe_mot_nong_mot_vien</t>
        </is>
      </c>
      <c r="D23" t="inlineStr">
        <is>
          <t>s</t>
        </is>
      </c>
      <c r="E23" t="n">
        <v>0.2</v>
      </c>
      <c r="F23">
        <f>60/INDEX(Vu_khi!$BB$2:$BB$360,MATCH($B$23,Vu_khi!$A$2:$A$360,0))/IF(INDEX(Vu_khi!$BD$2:$BD$360,MATCH($B$23,Vu_khi!$A$2:$A$360,0))="gun",0.7,1)</f>
        <v/>
      </c>
      <c r="G23">
        <f>$E$23/$F$23</f>
        <v/>
      </c>
      <c r="H23" t="n">
        <v>0.6</v>
      </c>
      <c r="I23" t="n">
        <v>2</v>
      </c>
      <c r="J23" t="b">
        <v>0</v>
      </c>
      <c r="K23" t="inlineStr"/>
      <c r="L23">
        <f>IF(ISNUMBER($H$23),AND(NOT($J$23),OR($G$23&lt;$H$23,$G$23&gt;$I$23)),FALSE)</f>
        <v/>
      </c>
      <c r="M23" t="inlineStr"/>
      <c r="N23" t="inlineStr">
        <is>
          <t>R_balance;R_full_weapon_audit;R_machine_brigade_can_bang</t>
        </is>
      </c>
      <c r="O2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" t="inlineStr">
        <is>
          <t>Tools/balance/full_weapon_audit.py (bảng REAL) và 01_chien_dau/Vu_khi_suy_ra</t>
        </is>
      </c>
      <c r="Q23" t="inlineStr"/>
    </row>
    <row r="24">
      <c r="A24" t="inlineStr">
        <is>
          <t>bomber_tail_guns/nhip</t>
        </is>
      </c>
      <c r="B24" t="inlineStr">
        <is>
          <t>bomber_tail_guns</t>
        </is>
      </c>
      <c r="C24" t="inlineStr">
        <is>
          <t>khe_mot_nong_mot_vien</t>
        </is>
      </c>
      <c r="D24" t="inlineStr">
        <is>
          <t>s</t>
        </is>
      </c>
      <c r="E24" t="n">
        <v>0.4919231</v>
      </c>
      <c r="F24">
        <f>60/INDEX(Vu_khi!$BB$2:$BB$360,MATCH($B$24,Vu_khi!$A$2:$A$360,0))/IF(INDEX(Vu_khi!$BD$2:$BD$360,MATCH($B$24,Vu_khi!$A$2:$A$360,0))="gun",0.7,1)</f>
        <v/>
      </c>
      <c r="G24">
        <f>$E$24/$F$24</f>
        <v/>
      </c>
      <c r="H24" t="n">
        <v>0.6</v>
      </c>
      <c r="I24" t="n">
        <v>2</v>
      </c>
      <c r="J24" t="b">
        <v>1</v>
      </c>
      <c r="K24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4">
        <f>IF(ISNUMBER($H$24),AND(NOT($J$24),OR($G$24&lt;$H$24,$G$24&gt;$I$24)),FALSE)</f>
        <v/>
      </c>
      <c r="M24" t="inlineStr"/>
      <c r="N24" t="inlineStr">
        <is>
          <t>R_balance;R_full_weapon_audit;W_wikipedia_m3_browning;R_machine_brigade_can_bang</t>
        </is>
      </c>
      <c r="O2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" t="inlineStr">
        <is>
          <t>Tools/balance/full_weapon_audit.py (bảng REAL) và 01_chien_dau/Vu_khi_suy_ra</t>
        </is>
      </c>
      <c r="Q24" t="inlineStr"/>
    </row>
    <row r="25">
      <c r="A25" t="inlineStr">
        <is>
          <t>borer_cannon/nhip</t>
        </is>
      </c>
      <c r="B25" t="inlineStr">
        <is>
          <t>borer_cannon</t>
        </is>
      </c>
      <c r="C25" t="inlineStr">
        <is>
          <t>khe_mot_nong_mot_vien</t>
        </is>
      </c>
      <c r="D25" t="inlineStr">
        <is>
          <t>s</t>
        </is>
      </c>
      <c r="E25" t="n">
        <v>6</v>
      </c>
      <c r="F25">
        <f>60/INDEX(Vu_khi!$BB$2:$BB$360,MATCH($B$25,Vu_khi!$A$2:$A$360,0))/IF(INDEX(Vu_khi!$BD$2:$BD$360,MATCH($B$25,Vu_khi!$A$2:$A$360,0))="gun",0.7,1)</f>
        <v/>
      </c>
      <c r="G25">
        <f>$E$25/$F$25</f>
        <v/>
      </c>
      <c r="H25" t="n">
        <v>0.6</v>
      </c>
      <c r="I25" t="n">
        <v>2</v>
      </c>
      <c r="J25" t="b">
        <v>0</v>
      </c>
      <c r="K25" t="inlineStr"/>
      <c r="L25">
        <f>IF(ISNUMBER($H$25),AND(NOT($J$25),OR($G$25&lt;$H$25,$G$25&gt;$I$25)),FALSE)</f>
        <v/>
      </c>
      <c r="M25" t="inlineStr"/>
      <c r="N25" t="inlineStr">
        <is>
          <t>R_balance;R_full_weapon_audit;W_wikipedia_2a70</t>
        </is>
      </c>
      <c r="O2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" t="inlineStr">
        <is>
          <t>Tools/balance/full_weapon_audit.py (bảng REAL) và 01_chien_dau/Vu_khi_suy_ra</t>
        </is>
      </c>
      <c r="Q25" t="inlineStr"/>
    </row>
    <row r="26">
      <c r="A26" t="inlineStr">
        <is>
          <t>boss_flak/nhip</t>
        </is>
      </c>
      <c r="B26" t="inlineStr">
        <is>
          <t>boss_flak</t>
        </is>
      </c>
      <c r="C26" t="inlineStr">
        <is>
          <t>khe_mot_nong_mot_vien</t>
        </is>
      </c>
      <c r="D26" t="inlineStr">
        <is>
          <t>s</t>
        </is>
      </c>
      <c r="E26" t="n">
        <v>0.262439018</v>
      </c>
      <c r="F26">
        <f>60/INDEX(Vu_khi!$BB$2:$BB$360,MATCH($B$26,Vu_khi!$A$2:$A$360,0))/IF(INDEX(Vu_khi!$BD$2:$BD$360,MATCH($B$26,Vu_khi!$A$2:$A$360,0))="gun",0.7,1)</f>
        <v/>
      </c>
      <c r="G26">
        <f>$E$26/$F$26</f>
        <v/>
      </c>
      <c r="H26" t="n">
        <v>0.6</v>
      </c>
      <c r="I26" t="n">
        <v>2</v>
      </c>
      <c r="J26" t="b">
        <v>1</v>
      </c>
      <c r="K26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6">
        <f>IF(ISNUMBER($H$26),AND(NOT($J$26),OR($G$26&lt;$H$26,$G$26&gt;$I$26)),FALSE)</f>
        <v/>
      </c>
      <c r="M26" t="inlineStr"/>
      <c r="N26" t="inlineStr">
        <is>
          <t>R_balance;R_full_weapon_audit;W_wikipedia_oerlikon_gdf;R_machine_brigade_can_bang</t>
        </is>
      </c>
      <c r="O2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6" t="inlineStr">
        <is>
          <t>Tools/balance/full_weapon_audit.py (bảng REAL) và 01_chien_dau/Vu_khi_suy_ra</t>
        </is>
      </c>
      <c r="Q26" t="inlineStr"/>
    </row>
    <row r="27">
      <c r="A27" t="inlineStr">
        <is>
          <t>boss_heli_gun/nhip</t>
        </is>
      </c>
      <c r="B27" t="inlineStr">
        <is>
          <t>boss_heli_gun</t>
        </is>
      </c>
      <c r="C27" t="inlineStr">
        <is>
          <t>khe_mot_nong_mot_vien</t>
        </is>
      </c>
      <c r="D27" t="inlineStr">
        <is>
          <t>s</t>
        </is>
      </c>
      <c r="E27" t="n">
        <v>0.241707456</v>
      </c>
      <c r="F27">
        <f>60/INDEX(Vu_khi!$BB$2:$BB$360,MATCH($B$27,Vu_khi!$A$2:$A$360,0))/IF(INDEX(Vu_khi!$BD$2:$BD$360,MATCH($B$27,Vu_khi!$A$2:$A$360,0))="gun",0.7,1)</f>
        <v/>
      </c>
      <c r="G27">
        <f>$E$27/$F$27</f>
        <v/>
      </c>
      <c r="H27" t="n">
        <v>0.6</v>
      </c>
      <c r="I27" t="n">
        <v>2</v>
      </c>
      <c r="J27" t="b">
        <v>1</v>
      </c>
      <c r="K27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7">
        <f>IF(ISNUMBER($H$27),AND(NOT($J$27),OR($G$27&lt;$H$27,$G$27&gt;$I$27)),FALSE)</f>
        <v/>
      </c>
      <c r="M27" t="inlineStr"/>
      <c r="N27" t="inlineStr">
        <is>
          <t>R_balance;R_full_weapon_audit;W_wikipedia_m230_chain_gun;R_machine_brigade_can_bang</t>
        </is>
      </c>
      <c r="O2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7" t="inlineStr">
        <is>
          <t>Tools/balance/full_weapon_audit.py (bảng REAL) và 01_chien_dau/Vu_khi_suy_ra</t>
        </is>
      </c>
      <c r="Q27" t="inlineStr"/>
    </row>
    <row r="28">
      <c r="A28" t="inlineStr">
        <is>
          <t>boss_hmg/nhip</t>
        </is>
      </c>
      <c r="B28" t="inlineStr">
        <is>
          <t>boss_hmg</t>
        </is>
      </c>
      <c r="C28" t="inlineStr">
        <is>
          <t>khe_mot_nong_mot_vien</t>
        </is>
      </c>
      <c r="D28" t="inlineStr">
        <is>
          <t>s</t>
        </is>
      </c>
      <c r="E28" t="n">
        <v>0.132467025</v>
      </c>
      <c r="F28">
        <f>60/INDEX(Vu_khi!$BB$2:$BB$360,MATCH($B$28,Vu_khi!$A$2:$A$360,0))/IF(INDEX(Vu_khi!$BD$2:$BD$360,MATCH($B$28,Vu_khi!$A$2:$A$360,0))="gun",0.7,1)</f>
        <v/>
      </c>
      <c r="G28">
        <f>$E$28/$F$28</f>
        <v/>
      </c>
      <c r="H28" t="n">
        <v>0.6</v>
      </c>
      <c r="I28" t="n">
        <v>2</v>
      </c>
      <c r="J28" t="b">
        <v>0</v>
      </c>
      <c r="K28" t="inlineStr"/>
      <c r="L28">
        <f>IF(ISNUMBER($H$28),AND(NOT($J$28),OR($G$28&lt;$H$28,$G$28&gt;$I$28)),FALSE)</f>
        <v/>
      </c>
      <c r="M28" t="inlineStr"/>
      <c r="N28" t="inlineStr">
        <is>
          <t>R_balance;R_full_weapon_audit;W_wikipedia_nsv_machine_gun;R_machine_brigade_can_bang</t>
        </is>
      </c>
      <c r="O2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8" t="inlineStr">
        <is>
          <t>Tools/balance/full_weapon_audit.py (bảng REAL) và 01_chien_dau/Vu_khi_suy_ra</t>
        </is>
      </c>
      <c r="Q28" t="inlineStr"/>
    </row>
    <row r="29">
      <c r="A29" t="inlineStr">
        <is>
          <t>boss_howitzer/nhip</t>
        </is>
      </c>
      <c r="B29" t="inlineStr">
        <is>
          <t>boss_howitzer</t>
        </is>
      </c>
      <c r="C29" t="inlineStr">
        <is>
          <t>khe_mot_nong_mot_vien</t>
        </is>
      </c>
      <c r="D29" t="inlineStr">
        <is>
          <t>s</t>
        </is>
      </c>
      <c r="E29" t="n">
        <v>9.439988571000001</v>
      </c>
      <c r="F29">
        <f>60/INDEX(Vu_khi!$BB$2:$BB$360,MATCH($B$29,Vu_khi!$A$2:$A$360,0))/IF(INDEX(Vu_khi!$BD$2:$BD$360,MATCH($B$29,Vu_khi!$A$2:$A$360,0))="gun",0.7,1)</f>
        <v/>
      </c>
      <c r="G29">
        <f>$E$29/$F$29</f>
        <v/>
      </c>
      <c r="H29" t="n">
        <v>0.6</v>
      </c>
      <c r="I29" t="n">
        <v>2</v>
      </c>
      <c r="J29" t="b">
        <v>0</v>
      </c>
      <c r="K29" t="inlineStr"/>
      <c r="L29">
        <f>IF(ISNUMBER($H$29),AND(NOT($J$29),OR($G$29&lt;$H$29,$G$29&gt;$I$29)),FALSE)</f>
        <v/>
      </c>
      <c r="M29" t="inlineStr">
        <is>
          <t>TC0004</t>
        </is>
      </c>
      <c r="N29" t="inlineStr">
        <is>
          <t>R_balance;R_full_weapon_audit;W_wikipedia_2s7_pion;R_machine_brigade_can_bang</t>
        </is>
      </c>
      <c r="O2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9" t="inlineStr">
        <is>
          <t>Tools/balance/full_weapon_audit.py (bảng REAL) và 01_chien_dau/Vu_khi_suy_ra</t>
        </is>
      </c>
      <c r="Q29" t="inlineStr"/>
    </row>
    <row r="30">
      <c r="A30" t="inlineStr">
        <is>
          <t>boss_minigun/nhip</t>
        </is>
      </c>
      <c r="B30" t="inlineStr">
        <is>
          <t>boss_minigun</t>
        </is>
      </c>
      <c r="C30" t="inlineStr">
        <is>
          <t>khe_mot_nong_mot_vien</t>
        </is>
      </c>
      <c r="D30" t="inlineStr">
        <is>
          <t>s</t>
        </is>
      </c>
      <c r="E30" t="n">
        <v>0.16902</v>
      </c>
      <c r="F30">
        <f>60/INDEX(Vu_khi!$BB$2:$BB$360,MATCH($B$30,Vu_khi!$A$2:$A$360,0))/IF(INDEX(Vu_khi!$BD$2:$BD$360,MATCH($B$30,Vu_khi!$A$2:$A$360,0))="gun",0.7,1)</f>
        <v/>
      </c>
      <c r="G30">
        <f>$E$30/$F$30</f>
        <v/>
      </c>
      <c r="H30" t="n">
        <v>0.6</v>
      </c>
      <c r="I30" t="n">
        <v>2</v>
      </c>
      <c r="J30" t="b">
        <v>1</v>
      </c>
      <c r="K30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30">
        <f>IF(ISNUMBER($H$30),AND(NOT($J$30),OR($G$30&lt;$H$30,$G$30&gt;$I$30)),FALSE)</f>
        <v/>
      </c>
      <c r="M30" t="inlineStr"/>
      <c r="N30" t="inlineStr">
        <is>
          <t>R_balance;R_full_weapon_audit;W_wikipedia_gshg_7_62;R_machine_brigade_can_bang</t>
        </is>
      </c>
      <c r="O3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0" t="inlineStr">
        <is>
          <t>Tools/balance/full_weapon_audit.py (bảng REAL) và 01_chien_dau/Vu_khi_suy_ra</t>
        </is>
      </c>
      <c r="Q30" t="inlineStr"/>
    </row>
    <row r="31">
      <c r="A31" t="inlineStr">
        <is>
          <t>boss_missiles/nhip</t>
        </is>
      </c>
      <c r="B31" t="inlineStr">
        <is>
          <t>boss_missiles</t>
        </is>
      </c>
      <c r="C31" t="inlineStr">
        <is>
          <t>khe_mot_nong_mot_vien</t>
        </is>
      </c>
      <c r="D31" t="inlineStr">
        <is>
          <t>s</t>
        </is>
      </c>
      <c r="E31" t="n">
        <v>6.39</v>
      </c>
      <c r="F31">
        <f>60/INDEX(Vu_khi!$BB$2:$BB$360,MATCH($B$31,Vu_khi!$A$2:$A$360,0))/IF(INDEX(Vu_khi!$BD$2:$BD$360,MATCH($B$31,Vu_khi!$A$2:$A$360,0))="gun",0.7,1)</f>
        <v/>
      </c>
      <c r="G31">
        <f>$E$31/$F$31</f>
        <v/>
      </c>
      <c r="H31" t="n">
        <v>0.6</v>
      </c>
      <c r="I31" t="n">
        <v>2</v>
      </c>
      <c r="J31" t="b">
        <v>0</v>
      </c>
      <c r="K31" t="inlineStr"/>
      <c r="L31">
        <f>IF(ISNUMBER($H$31),AND(NOT($J$31),OR($G$31&lt;$H$31,$G$31&gt;$I$31)),FALSE)</f>
        <v/>
      </c>
      <c r="M31" t="inlineStr">
        <is>
          <t>TC0005</t>
        </is>
      </c>
      <c r="N31" t="inlineStr">
        <is>
          <t>R_balance;R_full_weapon_audit;W_wikipedia_9m133_kornet;W_wikipedia_bai_cua_tung_ten_lua_bang_warhead;R_machine_brigade_can_bang</t>
        </is>
      </c>
      <c r="O3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1" t="inlineStr">
        <is>
          <t>Tools/balance/full_weapon_audit.py (bảng REAL) và 01_chien_dau/Vu_khi_suy_ra</t>
        </is>
      </c>
      <c r="Q31" t="inlineStr"/>
    </row>
    <row r="32">
      <c r="A32" t="inlineStr">
        <is>
          <t>boss_missiles/sat_thuong</t>
        </is>
      </c>
      <c r="B32" t="inlineStr">
        <is>
          <t>boss_missiles</t>
        </is>
      </c>
      <c r="C32" t="inlineStr">
        <is>
          <t>sat_thuong_tren_kg_dau_dan</t>
        </is>
      </c>
      <c r="D32" t="inlineStr">
        <is>
          <t>hp/kg</t>
        </is>
      </c>
      <c r="E32">
        <f>INDEX(Vu_khi!$W$2:$W$360,MATCH($B$32,Vu_khi!$A$2:$A$360,0))</f>
        <v/>
      </c>
      <c r="F32">
        <f>INDEX(Vu_khi_tham_chieu!$AB$2:$AB$360,MATCH($B$32,Vu_khi_tham_chieu!$A$2:$A$360,0))</f>
        <v/>
      </c>
      <c r="G32">
        <f>$E$32/$F$32</f>
        <v/>
      </c>
      <c r="H32" t="inlineStr"/>
      <c r="I32" t="inlineStr"/>
      <c r="J32" t="b">
        <v>0</v>
      </c>
      <c r="K32" t="inlineStr"/>
      <c r="L32">
        <f>IF(ISNUMBER($H$32),AND(NOT($J$32),OR($G$32&lt;$H$32,$G$32&gt;$I$32)),FALSE)</f>
        <v/>
      </c>
      <c r="M32" t="inlineStr"/>
      <c r="N32" t="inlineStr">
        <is>
          <t>R_full_weapon_audit</t>
        </is>
      </c>
      <c r="O32" t="inlineStr">
        <is>
          <t>sát thương một phát / khối lượng đầu đạn (không bắt buộc 1:1, chỉ ghi ty_le)</t>
        </is>
      </c>
      <c r="P32" t="inlineStr">
        <is>
          <t>Tools/balance/full_weapon_audit.py WARHEAD</t>
        </is>
      </c>
      <c r="Q32" t="inlineStr"/>
    </row>
    <row r="33">
      <c r="A33" t="inlineStr">
        <is>
          <t>boss_mortar/nhip</t>
        </is>
      </c>
      <c r="B33" t="inlineStr">
        <is>
          <t>boss_mortar</t>
        </is>
      </c>
      <c r="C33" t="inlineStr">
        <is>
          <t>khe_mot_nong_mot_vien</t>
        </is>
      </c>
      <c r="D33" t="inlineStr">
        <is>
          <t>s</t>
        </is>
      </c>
      <c r="E33" t="n">
        <v>9.779999999999999</v>
      </c>
      <c r="F33">
        <f>60/INDEX(Vu_khi!$BB$2:$BB$360,MATCH($B$33,Vu_khi!$A$2:$A$360,0))/IF(INDEX(Vu_khi!$BD$2:$BD$360,MATCH($B$33,Vu_khi!$A$2:$A$360,0))="gun",0.7,1)</f>
        <v/>
      </c>
      <c r="G33">
        <f>$E$33/$F$33</f>
        <v/>
      </c>
      <c r="H33" t="n">
        <v>0.6</v>
      </c>
      <c r="I33" t="n">
        <v>2</v>
      </c>
      <c r="J33" t="b">
        <v>0</v>
      </c>
      <c r="K33" t="inlineStr"/>
      <c r="L33">
        <f>IF(ISNUMBER($H$33),AND(NOT($J$33),OR($G$33&lt;$H$33,$G$33&gt;$I$33)),FALSE)</f>
        <v/>
      </c>
      <c r="M33" t="inlineStr">
        <is>
          <t>TC0006</t>
        </is>
      </c>
      <c r="N33" t="inlineStr">
        <is>
          <t>R_balance;R_full_weapon_audit;W_wikipedia_2s4_tyulpan;R_machine_brigade_can_bang</t>
        </is>
      </c>
      <c r="O3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3" t="inlineStr">
        <is>
          <t>Tools/balance/full_weapon_audit.py (bảng REAL) và 01_chien_dau/Vu_khi_suy_ra</t>
        </is>
      </c>
      <c r="Q33" t="inlineStr"/>
    </row>
    <row r="34">
      <c r="A34" t="inlineStr">
        <is>
          <t>boss_rockets/nhip</t>
        </is>
      </c>
      <c r="B34" t="inlineStr">
        <is>
          <t>boss_rockets</t>
        </is>
      </c>
      <c r="C34" t="inlineStr">
        <is>
          <t>khe_mot_nong_mot_vien</t>
        </is>
      </c>
      <c r="D34" t="inlineStr">
        <is>
          <t>s</t>
        </is>
      </c>
      <c r="E34" t="n">
        <v>0.5</v>
      </c>
      <c r="F34">
        <f>60/INDEX(Vu_khi!$BB$2:$BB$360,MATCH($B$34,Vu_khi!$A$2:$A$360,0))/IF(INDEX(Vu_khi!$BD$2:$BD$360,MATCH($B$34,Vu_khi!$A$2:$A$360,0))="gun",0.7,1)</f>
        <v/>
      </c>
      <c r="G34">
        <f>$E$34/$F$34</f>
        <v/>
      </c>
      <c r="H34" t="n">
        <v>0.6</v>
      </c>
      <c r="I34" t="n">
        <v>2</v>
      </c>
      <c r="J34" t="b">
        <v>0</v>
      </c>
      <c r="K34" t="inlineStr"/>
      <c r="L34">
        <f>IF(ISNUMBER($H$34),AND(NOT($J$34),OR($G$34&lt;$H$34,$G$34&gt;$I$34)),FALSE)</f>
        <v/>
      </c>
      <c r="M34" t="inlineStr"/>
      <c r="N34" t="inlineStr">
        <is>
          <t>R_balance;R_full_weapon_audit;W_wikipedia_bm_21_grad;R_machine_brigade_can_bang</t>
        </is>
      </c>
      <c r="O3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4" t="inlineStr">
        <is>
          <t>Tools/balance/full_weapon_audit.py (bảng REAL) và 01_chien_dau/Vu_khi_suy_ra</t>
        </is>
      </c>
      <c r="Q34" t="inlineStr"/>
    </row>
    <row r="35">
      <c r="A35" t="inlineStr">
        <is>
          <t>boss_thermo/nhip</t>
        </is>
      </c>
      <c r="B35" t="inlineStr">
        <is>
          <t>boss_thermo</t>
        </is>
      </c>
      <c r="C35" t="inlineStr">
        <is>
          <t>khe_mot_nong_mot_vien</t>
        </is>
      </c>
      <c r="D35" t="inlineStr">
        <is>
          <t>s</t>
        </is>
      </c>
      <c r="E35" t="n">
        <v>6.255</v>
      </c>
      <c r="F35">
        <f>60/INDEX(Vu_khi!$BB$2:$BB$360,MATCH($B$35,Vu_khi!$A$2:$A$360,0))/IF(INDEX(Vu_khi!$BD$2:$BD$360,MATCH($B$35,Vu_khi!$A$2:$A$360,0))="gun",0.7,1)</f>
        <v/>
      </c>
      <c r="G35">
        <f>$E$35/$F$35</f>
        <v/>
      </c>
      <c r="H35" t="n">
        <v>0.6</v>
      </c>
      <c r="I35" t="n">
        <v>2</v>
      </c>
      <c r="J35" t="b">
        <v>0</v>
      </c>
      <c r="K35" t="inlineStr"/>
      <c r="L35">
        <f>IF(ISNUMBER($H$35),AND(NOT($J$35),OR($G$35&lt;$H$35,$G$35&gt;$I$35)),FALSE)</f>
        <v/>
      </c>
      <c r="M35" t="inlineStr">
        <is>
          <t>TC0007</t>
        </is>
      </c>
      <c r="N35" t="inlineStr">
        <is>
          <t>R_balance;R_full_weapon_audit;W_wikipedia_2a46;R_machine_brigade_can_bang</t>
        </is>
      </c>
      <c r="O3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5" t="inlineStr">
        <is>
          <t>Tools/balance/full_weapon_audit.py (bảng REAL) và 01_chien_dau/Vu_khi_suy_ra</t>
        </is>
      </c>
      <c r="Q35" t="inlineStr"/>
    </row>
    <row r="36">
      <c r="A36" t="inlineStr">
        <is>
          <t>buk_launcher/nhip</t>
        </is>
      </c>
      <c r="B36" t="inlineStr">
        <is>
          <t>buk_launcher</t>
        </is>
      </c>
      <c r="C36" t="inlineStr">
        <is>
          <t>khe_mot_nong_mot_vien</t>
        </is>
      </c>
      <c r="D36" t="inlineStr">
        <is>
          <t>s</t>
        </is>
      </c>
      <c r="E36" t="n">
        <v>1.65</v>
      </c>
      <c r="F36">
        <f>60/INDEX(Vu_khi!$BB$2:$BB$360,MATCH($B$36,Vu_khi!$A$2:$A$360,0))/IF(INDEX(Vu_khi!$BD$2:$BD$360,MATCH($B$36,Vu_khi!$A$2:$A$360,0))="gun",0.7,1)</f>
        <v/>
      </c>
      <c r="G36">
        <f>$E$36/$F$36</f>
        <v/>
      </c>
      <c r="H36" t="n">
        <v>0.6</v>
      </c>
      <c r="I36" t="n">
        <v>2</v>
      </c>
      <c r="J36" t="b">
        <v>0</v>
      </c>
      <c r="K36" t="inlineStr"/>
      <c r="L36">
        <f>IF(ISNUMBER($H$36),AND(NOT($J$36),OR($G$36&lt;$H$36,$G$36&gt;$I$36)),FALSE)</f>
        <v/>
      </c>
      <c r="M36" t="inlineStr">
        <is>
          <t>TC0008</t>
        </is>
      </c>
      <c r="N36" t="inlineStr">
        <is>
          <t>R_balance;R_full_weapon_audit;W_wikipedia_buk_missile_system;R_machine_brigade_can_bang</t>
        </is>
      </c>
      <c r="O3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6" t="inlineStr">
        <is>
          <t>Tools/balance/full_weapon_audit.py (bảng REAL) và 01_chien_dau/Vu_khi_suy_ra</t>
        </is>
      </c>
      <c r="Q36" t="inlineStr"/>
    </row>
    <row r="37">
      <c r="A37" t="inlineStr">
        <is>
          <t>bunker_hmg/nhip</t>
        </is>
      </c>
      <c r="B37" t="inlineStr">
        <is>
          <t>bunker_hmg</t>
        </is>
      </c>
      <c r="C37" t="inlineStr">
        <is>
          <t>khe_mot_nong_mot_vien</t>
        </is>
      </c>
      <c r="D37" t="inlineStr">
        <is>
          <t>s</t>
        </is>
      </c>
      <c r="E37" t="n">
        <v>0.08866665</v>
      </c>
      <c r="F37">
        <f>60/INDEX(Vu_khi!$BB$2:$BB$360,MATCH($B$37,Vu_khi!$A$2:$A$360,0))/IF(INDEX(Vu_khi!$BD$2:$BD$360,MATCH($B$37,Vu_khi!$A$2:$A$360,0))="gun",0.7,1)</f>
        <v/>
      </c>
      <c r="G37">
        <f>$E$37/$F$37</f>
        <v/>
      </c>
      <c r="H37" t="n">
        <v>0.6</v>
      </c>
      <c r="I37" t="n">
        <v>2</v>
      </c>
      <c r="J37" t="b">
        <v>0</v>
      </c>
      <c r="K37" t="inlineStr"/>
      <c r="L37">
        <f>IF(ISNUMBER($H$37),AND(NOT($J$37),OR($G$37&lt;$H$37,$G$37&gt;$I$37)),FALSE)</f>
        <v/>
      </c>
      <c r="M37" t="inlineStr"/>
      <c r="N37" t="inlineStr">
        <is>
          <t>R_balance;R_full_weapon_audit;W_wikipedia_nsv_machine_gun;R_machine_brigade_can_bang</t>
        </is>
      </c>
      <c r="O3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7" t="inlineStr">
        <is>
          <t>Tools/balance/full_weapon_audit.py (bảng REAL) và 01_chien_dau/Vu_khi_suy_ra</t>
        </is>
      </c>
      <c r="Q37" t="inlineStr"/>
    </row>
    <row r="38">
      <c r="A38" t="inlineStr">
        <is>
          <t>bunker_hmg_twin/nhip</t>
        </is>
      </c>
      <c r="B38" t="inlineStr">
        <is>
          <t>bunker_hmg_twin</t>
        </is>
      </c>
      <c r="C38" t="inlineStr">
        <is>
          <t>khe_mot_nong_mot_vien</t>
        </is>
      </c>
      <c r="D38" t="inlineStr">
        <is>
          <t>s</t>
        </is>
      </c>
      <c r="E38" t="n">
        <v>0.1533333</v>
      </c>
      <c r="F38">
        <f>60/INDEX(Vu_khi!$BB$2:$BB$360,MATCH($B$38,Vu_khi!$A$2:$A$360,0))/IF(INDEX(Vu_khi!$BD$2:$BD$360,MATCH($B$38,Vu_khi!$A$2:$A$360,0))="gun",0.7,1)</f>
        <v/>
      </c>
      <c r="G38">
        <f>$E$38/$F$38</f>
        <v/>
      </c>
      <c r="H38" t="n">
        <v>0.6</v>
      </c>
      <c r="I38" t="n">
        <v>2</v>
      </c>
      <c r="J38" t="b">
        <v>1</v>
      </c>
      <c r="K38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38">
        <f>IF(ISNUMBER($H$38),AND(NOT($J$38),OR($G$38&lt;$H$38,$G$38&gt;$I$38)),FALSE)</f>
        <v/>
      </c>
      <c r="M38" t="inlineStr"/>
      <c r="N38" t="inlineStr">
        <is>
          <t>R_balance;R_full_weapon_audit;W_wikipedia_nsv_machine_gun;R_machine_brigade_can_bang</t>
        </is>
      </c>
      <c r="O3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8" t="inlineStr">
        <is>
          <t>Tools/balance/full_weapon_audit.py (bảng REAL) và 01_chien_dau/Vu_khi_suy_ra</t>
        </is>
      </c>
      <c r="Q38" t="inlineStr"/>
    </row>
    <row r="39">
      <c r="A39" t="inlineStr">
        <is>
          <t>c_ram_gatling/nhip</t>
        </is>
      </c>
      <c r="B39" t="inlineStr">
        <is>
          <t>c_ram_gatling</t>
        </is>
      </c>
      <c r="C39" t="inlineStr">
        <is>
          <t>khe_mot_nong_mot_vien</t>
        </is>
      </c>
      <c r="D39" t="inlineStr">
        <is>
          <t>s</t>
        </is>
      </c>
      <c r="E39" t="n">
        <v>0.035</v>
      </c>
      <c r="F39">
        <f>60/INDEX(Vu_khi!$BB$2:$BB$360,MATCH($B$39,Vu_khi!$A$2:$A$360,0))/IF(INDEX(Vu_khi!$BD$2:$BD$360,MATCH($B$39,Vu_khi!$A$2:$A$360,0))="gun",0.7,1)</f>
        <v/>
      </c>
      <c r="G39">
        <f>$E$39/$F$39</f>
        <v/>
      </c>
      <c r="H39" t="n">
        <v>0.6</v>
      </c>
      <c r="I39" t="n">
        <v>2</v>
      </c>
      <c r="J39" t="b">
        <v>1</v>
      </c>
      <c r="K39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39">
        <f>IF(ISNUMBER($H$39),AND(NOT($J$39),OR($G$39&lt;$H$39,$G$39&gt;$I$39)),FALSE)</f>
        <v/>
      </c>
      <c r="M39" t="inlineStr"/>
      <c r="N39" t="inlineStr">
        <is>
          <t>R_balance;R_full_weapon_audit;W_wikipedia_phalanx_ciws;R_machine_brigade_can_bang</t>
        </is>
      </c>
      <c r="O3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39" t="inlineStr">
        <is>
          <t>Tools/balance/full_weapon_audit.py (bảng REAL) và 01_chien_dau/Vu_khi_suy_ra</t>
        </is>
      </c>
      <c r="Q39" t="inlineStr"/>
    </row>
    <row r="40">
      <c r="A40" t="inlineStr">
        <is>
          <t>casemate_155/nhip</t>
        </is>
      </c>
      <c r="B40" t="inlineStr">
        <is>
          <t>casemate_155</t>
        </is>
      </c>
      <c r="C40" t="inlineStr">
        <is>
          <t>khe_mot_nong_mot_vien</t>
        </is>
      </c>
      <c r="D40" t="inlineStr">
        <is>
          <t>s</t>
        </is>
      </c>
      <c r="E40" t="n">
        <v>12.81</v>
      </c>
      <c r="F40">
        <f>60/INDEX(Vu_khi!$BB$2:$BB$360,MATCH($B$40,Vu_khi!$A$2:$A$360,0))/IF(INDEX(Vu_khi!$BD$2:$BD$360,MATCH($B$40,Vu_khi!$A$2:$A$360,0))="gun",0.7,1)</f>
        <v/>
      </c>
      <c r="G40">
        <f>$E$40/$F$40</f>
        <v/>
      </c>
      <c r="H40" t="n">
        <v>0.6</v>
      </c>
      <c r="I40" t="n">
        <v>2</v>
      </c>
      <c r="J40" t="b">
        <v>0</v>
      </c>
      <c r="K40" t="inlineStr"/>
      <c r="L40">
        <f>IF(ISNUMBER($H$40),AND(NOT($J$40),OR($G$40&lt;$H$40,$G$40&gt;$I$40)),FALSE)</f>
        <v/>
      </c>
      <c r="M40" t="inlineStr">
        <is>
          <t>TC0009</t>
        </is>
      </c>
      <c r="N40" t="inlineStr">
        <is>
          <t>R_balance;R_full_weapon_audit;D_us_army_m109a7_fact_file;R_machine_brigade_can_bang</t>
        </is>
      </c>
      <c r="O4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0" t="inlineStr">
        <is>
          <t>Tools/balance/full_weapon_audit.py (bảng REAL) và 01_chien_dau/Vu_khi_suy_ra</t>
        </is>
      </c>
      <c r="Q40" t="inlineStr"/>
    </row>
    <row r="41">
      <c r="A41" t="inlineStr">
        <is>
          <t>ciws_aa/nhip</t>
        </is>
      </c>
      <c r="B41" t="inlineStr">
        <is>
          <t>ciws_aa</t>
        </is>
      </c>
      <c r="C41" t="inlineStr">
        <is>
          <t>khe_mot_nong_mot_vien</t>
        </is>
      </c>
      <c r="D41" t="inlineStr">
        <is>
          <t>s</t>
        </is>
      </c>
      <c r="E41" t="n">
        <v>0.100033332</v>
      </c>
      <c r="F41">
        <f>60/INDEX(Vu_khi!$BB$2:$BB$360,MATCH($B$41,Vu_khi!$A$2:$A$360,0))/IF(INDEX(Vu_khi!$BD$2:$BD$360,MATCH($B$41,Vu_khi!$A$2:$A$360,0))="gun",0.7,1)</f>
        <v/>
      </c>
      <c r="G41">
        <f>$E$41/$F$41</f>
        <v/>
      </c>
      <c r="H41" t="n">
        <v>0.6</v>
      </c>
      <c r="I41" t="n">
        <v>2</v>
      </c>
      <c r="J41" t="b">
        <v>1</v>
      </c>
      <c r="K41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41">
        <f>IF(ISNUMBER($H$41),AND(NOT($J$41),OR($G$41&lt;$H$41,$G$41&gt;$I$41)),FALSE)</f>
        <v/>
      </c>
      <c r="M41" t="inlineStr"/>
      <c r="N41" t="inlineStr">
        <is>
          <t>R_balance;R_full_weapon_audit;W_wikipedia_ak_630;R_machine_brigade_can_bang</t>
        </is>
      </c>
      <c r="O4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1" t="inlineStr">
        <is>
          <t>Tools/balance/full_weapon_audit.py (bảng REAL) và 01_chien_dau/Vu_khi_suy_ra</t>
        </is>
      </c>
      <c r="Q41" t="inlineStr"/>
    </row>
    <row r="42">
      <c r="A42" t="inlineStr">
        <is>
          <t>cruise_missile_ground/nhip</t>
        </is>
      </c>
      <c r="B42" t="inlineStr">
        <is>
          <t>cruise_missile_ground</t>
        </is>
      </c>
      <c r="C42" t="inlineStr">
        <is>
          <t>khe_mot_nong_mot_vien</t>
        </is>
      </c>
      <c r="D42" t="inlineStr">
        <is>
          <t>s</t>
        </is>
      </c>
      <c r="E42" t="n">
        <v>22.5</v>
      </c>
      <c r="F42">
        <f>60/INDEX(Vu_khi!$BB$2:$BB$360,MATCH($B$42,Vu_khi!$A$2:$A$360,0))/IF(INDEX(Vu_khi!$BD$2:$BD$360,MATCH($B$42,Vu_khi!$A$2:$A$360,0))="gun",0.7,1)</f>
        <v/>
      </c>
      <c r="G42">
        <f>$E$42/$F$42</f>
        <v/>
      </c>
      <c r="H42" t="n">
        <v>0.6</v>
      </c>
      <c r="I42" t="n">
        <v>2</v>
      </c>
      <c r="J42" t="b">
        <v>0</v>
      </c>
      <c r="K42" t="inlineStr"/>
      <c r="L42">
        <f>IF(ISNUMBER($H$42),AND(NOT($J$42),OR($G$42&lt;$H$42,$G$42&gt;$I$42)),FALSE)</f>
        <v/>
      </c>
      <c r="M42" t="inlineStr">
        <is>
          <t>TC0010</t>
        </is>
      </c>
      <c r="N42" t="inlineStr">
        <is>
          <t>R_balance;R_full_weapon_audit</t>
        </is>
      </c>
      <c r="O4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2" t="inlineStr">
        <is>
          <t>Tools/balance/full_weapon_audit.py (bảng REAL) và 01_chien_dau/Vu_khi_suy_ra</t>
        </is>
      </c>
      <c r="Q42" t="inlineStr"/>
    </row>
    <row r="43">
      <c r="A43" t="inlineStr">
        <is>
          <t>cruiser_203/nhip</t>
        </is>
      </c>
      <c r="B43" t="inlineStr">
        <is>
          <t>cruiser_203</t>
        </is>
      </c>
      <c r="C43" t="inlineStr">
        <is>
          <t>khe_mot_nong_mot_vien</t>
        </is>
      </c>
      <c r="D43" t="inlineStr">
        <is>
          <t>s</t>
        </is>
      </c>
      <c r="E43" t="n">
        <v>16.857</v>
      </c>
      <c r="F43">
        <f>60/INDEX(Vu_khi!$BB$2:$BB$360,MATCH($B$43,Vu_khi!$A$2:$A$360,0))/IF(INDEX(Vu_khi!$BD$2:$BD$360,MATCH($B$43,Vu_khi!$A$2:$A$360,0))="gun",0.7,1)</f>
        <v/>
      </c>
      <c r="G43">
        <f>$E$43/$F$43</f>
        <v/>
      </c>
      <c r="H43" t="n">
        <v>0.6</v>
      </c>
      <c r="I43" t="n">
        <v>2</v>
      </c>
      <c r="J43" t="b">
        <v>0</v>
      </c>
      <c r="K43" t="inlineStr"/>
      <c r="L43">
        <f>IF(ISNUMBER($H$43),AND(NOT($J$43),OR($G$43&lt;$H$43,$G$43&gt;$I$43)),FALSE)</f>
        <v/>
      </c>
      <c r="M43" t="inlineStr">
        <is>
          <t>TC0011</t>
        </is>
      </c>
      <c r="N43" t="inlineStr">
        <is>
          <t>R_balance;R_full_weapon_audit;W_wikipedia_8_55_caliber_mark_71;R_machine_brigade_can_bang</t>
        </is>
      </c>
      <c r="O4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3" t="inlineStr">
        <is>
          <t>Tools/balance/full_weapon_audit.py (bảng REAL) và 01_chien_dau/Vu_khi_suy_ra</t>
        </is>
      </c>
      <c r="Q43" t="inlineStr"/>
    </row>
    <row r="44">
      <c r="A44" t="inlineStr">
        <is>
          <t>drone_gun/nhip</t>
        </is>
      </c>
      <c r="B44" t="inlineStr">
        <is>
          <t>drone_gun</t>
        </is>
      </c>
      <c r="C44" t="inlineStr">
        <is>
          <t>khe_mot_nong_mot_vien</t>
        </is>
      </c>
      <c r="D44" t="inlineStr">
        <is>
          <t>s</t>
        </is>
      </c>
      <c r="E44" t="n">
        <v>0.158</v>
      </c>
      <c r="F44">
        <f>60/INDEX(Vu_khi!$BB$2:$BB$360,MATCH($B$44,Vu_khi!$A$2:$A$360,0))/IF(INDEX(Vu_khi!$BD$2:$BD$360,MATCH($B$44,Vu_khi!$A$2:$A$360,0))="gun",0.7,1)</f>
        <v/>
      </c>
      <c r="G44">
        <f>$E$44/$F$44</f>
        <v/>
      </c>
      <c r="H44" t="n">
        <v>0.6</v>
      </c>
      <c r="I44" t="n">
        <v>2</v>
      </c>
      <c r="J44" t="b">
        <v>1</v>
      </c>
      <c r="K44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44">
        <f>IF(ISNUMBER($H$44),AND(NOT($J$44),OR($G$44&lt;$H$44,$G$44&gt;$I$44)),FALSE)</f>
        <v/>
      </c>
      <c r="M44" t="inlineStr"/>
      <c r="N44" t="inlineStr">
        <is>
          <t>R_balance;R_full_weapon_audit;W_wikipedia_m3_browning</t>
        </is>
      </c>
      <c r="O4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4" t="inlineStr">
        <is>
          <t>Tools/balance/full_weapon_audit.py (bảng REAL) và 01_chien_dau/Vu_khi_suy_ra</t>
        </is>
      </c>
      <c r="Q44" t="inlineStr"/>
    </row>
    <row r="45">
      <c r="A45" t="inlineStr">
        <is>
          <t>drone_missile/sat_thuong</t>
        </is>
      </c>
      <c r="B45" t="inlineStr">
        <is>
          <t>drone_missile</t>
        </is>
      </c>
      <c r="C45" t="inlineStr">
        <is>
          <t>sat_thuong_tren_kg_dau_dan</t>
        </is>
      </c>
      <c r="D45" t="inlineStr">
        <is>
          <t>hp/kg</t>
        </is>
      </c>
      <c r="E45">
        <f>INDEX(Vu_khi!$W$2:$W$360,MATCH($B$45,Vu_khi!$A$2:$A$360,0))</f>
        <v/>
      </c>
      <c r="F45">
        <f>INDEX(Vu_khi_tham_chieu!$AB$2:$AB$360,MATCH($B$45,Vu_khi_tham_chieu!$A$2:$A$360,0))</f>
        <v/>
      </c>
      <c r="G45">
        <f>$E$45/$F$45</f>
        <v/>
      </c>
      <c r="H45" t="inlineStr"/>
      <c r="I45" t="inlineStr"/>
      <c r="J45" t="b">
        <v>0</v>
      </c>
      <c r="K45" t="inlineStr"/>
      <c r="L45">
        <f>IF(ISNUMBER($H$45),AND(NOT($J$45),OR($G$45&lt;$H$45,$G$45&gt;$I$45)),FALSE)</f>
        <v/>
      </c>
      <c r="M45" t="inlineStr"/>
      <c r="N45" t="inlineStr">
        <is>
          <t>R_full_weapon_audit</t>
        </is>
      </c>
      <c r="O45" t="inlineStr">
        <is>
          <t>sát thương một phát / khối lượng đầu đạn (không bắt buộc 1:1, chỉ ghi ty_le)</t>
        </is>
      </c>
      <c r="P45" t="inlineStr">
        <is>
          <t>Tools/balance/full_weapon_audit.py WARHEAD</t>
        </is>
      </c>
      <c r="Q45" t="inlineStr"/>
    </row>
    <row r="46">
      <c r="A46" t="inlineStr">
        <is>
          <t>fighter_cannon/nhip</t>
        </is>
      </c>
      <c r="B46" t="inlineStr">
        <is>
          <t>fighter_cannon</t>
        </is>
      </c>
      <c r="C46" t="inlineStr">
        <is>
          <t>khe_mot_nong_mot_vien</t>
        </is>
      </c>
      <c r="D46" t="inlineStr">
        <is>
          <t>s</t>
        </is>
      </c>
      <c r="E46" t="n">
        <v>0.135211364</v>
      </c>
      <c r="F46">
        <f>60/INDEX(Vu_khi!$BB$2:$BB$360,MATCH($B$46,Vu_khi!$A$2:$A$360,0))/IF(INDEX(Vu_khi!$BD$2:$BD$360,MATCH($B$46,Vu_khi!$A$2:$A$360,0))="gun",0.7,1)</f>
        <v/>
      </c>
      <c r="G46">
        <f>$E$46/$F$46</f>
        <v/>
      </c>
      <c r="H46" t="n">
        <v>0.6</v>
      </c>
      <c r="I46" t="n">
        <v>2</v>
      </c>
      <c r="J46" t="b">
        <v>1</v>
      </c>
      <c r="K46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46">
        <f>IF(ISNUMBER($H$46),AND(NOT($J$46),OR($G$46&lt;$H$46,$G$46&gt;$I$46)),FALSE)</f>
        <v/>
      </c>
      <c r="M46" t="inlineStr"/>
      <c r="N46" t="inlineStr">
        <is>
          <t>R_balance;R_full_weapon_audit;W_wikipedia_gau_22_a;R_machine_brigade_can_bang</t>
        </is>
      </c>
      <c r="O4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6" t="inlineStr">
        <is>
          <t>Tools/balance/full_weapon_audit.py (bảng REAL) và 01_chien_dau/Vu_khi_suy_ra</t>
        </is>
      </c>
      <c r="Q46" t="inlineStr"/>
    </row>
    <row r="47">
      <c r="A47" t="inlineStr">
        <is>
          <t>flak_35/nhip</t>
        </is>
      </c>
      <c r="B47" t="inlineStr">
        <is>
          <t>flak_35</t>
        </is>
      </c>
      <c r="C47" t="inlineStr">
        <is>
          <t>khe_mot_nong_mot_vien</t>
        </is>
      </c>
      <c r="D47" t="inlineStr">
        <is>
          <t>s</t>
        </is>
      </c>
      <c r="E47" t="n">
        <v>0.590909127</v>
      </c>
      <c r="F47">
        <f>60/INDEX(Vu_khi!$BB$2:$BB$360,MATCH($B$47,Vu_khi!$A$2:$A$360,0))/IF(INDEX(Vu_khi!$BD$2:$BD$360,MATCH($B$47,Vu_khi!$A$2:$A$360,0))="gun",0.7,1)</f>
        <v/>
      </c>
      <c r="G47">
        <f>$E$47/$F$47</f>
        <v/>
      </c>
      <c r="H47" t="n">
        <v>0.6</v>
      </c>
      <c r="I47" t="n">
        <v>2</v>
      </c>
      <c r="J47" t="b">
        <v>0</v>
      </c>
      <c r="K47" t="inlineStr"/>
      <c r="L47">
        <f>IF(ISNUMBER($H$47),AND(NOT($J$47),OR($G$47&lt;$H$47,$G$47&gt;$I$47)),FALSE)</f>
        <v/>
      </c>
      <c r="M47" t="inlineStr">
        <is>
          <t>TC0012</t>
        </is>
      </c>
      <c r="N47" t="inlineStr">
        <is>
          <t>R_balance;R_full_weapon_audit;W_wikipedia_oerlikon_gdf;R_machine_brigade_can_bang</t>
        </is>
      </c>
      <c r="O4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7" t="inlineStr">
        <is>
          <t>Tools/balance/full_weapon_audit.py (bảng REAL) và 01_chien_dau/Vu_khi_suy_ra</t>
        </is>
      </c>
      <c r="Q47" t="inlineStr"/>
    </row>
    <row r="48">
      <c r="A48" t="inlineStr">
        <is>
          <t>flak_quad/nhip</t>
        </is>
      </c>
      <c r="B48" t="inlineStr">
        <is>
          <t>flak_quad</t>
        </is>
      </c>
      <c r="C48" t="inlineStr">
        <is>
          <t>khe_mot_nong_mot_vien</t>
        </is>
      </c>
      <c r="D48" t="inlineStr">
        <is>
          <t>s</t>
        </is>
      </c>
      <c r="E48" t="n">
        <v>0.23831112</v>
      </c>
      <c r="F48">
        <f>60/INDEX(Vu_khi!$BB$2:$BB$360,MATCH($B$48,Vu_khi!$A$2:$A$360,0))/IF(INDEX(Vu_khi!$BD$2:$BD$360,MATCH($B$48,Vu_khi!$A$2:$A$360,0))="gun",0.7,1)</f>
        <v/>
      </c>
      <c r="G48">
        <f>$E$48/$F$48</f>
        <v/>
      </c>
      <c r="H48" t="n">
        <v>0.6</v>
      </c>
      <c r="I48" t="n">
        <v>2</v>
      </c>
      <c r="J48" t="b">
        <v>1</v>
      </c>
      <c r="K48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48">
        <f>IF(ISNUMBER($H$48),AND(NOT($J$48),OR($G$48&lt;$H$48,$G$48&gt;$I$48)),FALSE)</f>
        <v/>
      </c>
      <c r="M48" t="inlineStr"/>
      <c r="N48" t="inlineStr">
        <is>
          <t>R_balance;R_full_weapon_audit;W_wikipedia_zsu_23_4_shilka;R_machine_brigade_can_bang</t>
        </is>
      </c>
      <c r="O4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8" t="inlineStr">
        <is>
          <t>Tools/balance/full_weapon_audit.py (bảng REAL) và 01_chien_dau/Vu_khi_suy_ra</t>
        </is>
      </c>
      <c r="Q48" t="inlineStr"/>
    </row>
    <row r="49">
      <c r="A49" t="inlineStr">
        <is>
          <t>gau_gatling/nhip</t>
        </is>
      </c>
      <c r="B49" t="inlineStr">
        <is>
          <t>gau_gatling</t>
        </is>
      </c>
      <c r="C49" t="inlineStr">
        <is>
          <t>khe_mot_nong_mot_vien</t>
        </is>
      </c>
      <c r="D49" t="inlineStr">
        <is>
          <t>s</t>
        </is>
      </c>
      <c r="E49" t="n">
        <v>0.041242477</v>
      </c>
      <c r="F49">
        <f>60/INDEX(Vu_khi!$BB$2:$BB$360,MATCH($B$49,Vu_khi!$A$2:$A$360,0))/IF(INDEX(Vu_khi!$BD$2:$BD$360,MATCH($B$49,Vu_khi!$A$2:$A$360,0))="gun",0.7,1)</f>
        <v/>
      </c>
      <c r="G49">
        <f>$E$49/$F$49</f>
        <v/>
      </c>
      <c r="H49" t="n">
        <v>0.6</v>
      </c>
      <c r="I49" t="n">
        <v>2</v>
      </c>
      <c r="J49" t="b">
        <v>1</v>
      </c>
      <c r="K49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49">
        <f>IF(ISNUMBER($H$49),AND(NOT($J$49),OR($G$49&lt;$H$49,$G$49&gt;$I$49)),FALSE)</f>
        <v/>
      </c>
      <c r="M49" t="inlineStr"/>
      <c r="N49" t="inlineStr">
        <is>
          <t>R_balance;R_full_weapon_audit;W_wikipedia_gau_8_avenger</t>
        </is>
      </c>
      <c r="O4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49" t="inlineStr">
        <is>
          <t>Tools/balance/full_weapon_audit.py (bảng REAL) và 01_chien_dau/Vu_khi_suy_ra</t>
        </is>
      </c>
      <c r="Q49" t="inlineStr"/>
    </row>
    <row r="50">
      <c r="A50" t="inlineStr">
        <is>
          <t>grad_cluster/nhip</t>
        </is>
      </c>
      <c r="B50" t="inlineStr">
        <is>
          <t>grad_cluster</t>
        </is>
      </c>
      <c r="C50" t="inlineStr">
        <is>
          <t>khe_mot_nong_mot_vien</t>
        </is>
      </c>
      <c r="D50" t="inlineStr">
        <is>
          <t>s</t>
        </is>
      </c>
      <c r="E50" t="n">
        <v>0.5</v>
      </c>
      <c r="F50">
        <f>60/INDEX(Vu_khi!$BB$2:$BB$360,MATCH($B$50,Vu_khi!$A$2:$A$360,0))/IF(INDEX(Vu_khi!$BD$2:$BD$360,MATCH($B$50,Vu_khi!$A$2:$A$360,0))="gun",0.7,1)</f>
        <v/>
      </c>
      <c r="G50">
        <f>$E$50/$F$50</f>
        <v/>
      </c>
      <c r="H50" t="n">
        <v>0.6</v>
      </c>
      <c r="I50" t="n">
        <v>2</v>
      </c>
      <c r="J50" t="b">
        <v>0</v>
      </c>
      <c r="K50" t="inlineStr"/>
      <c r="L50">
        <f>IF(ISNUMBER($H$50),AND(NOT($J$50),OR($G$50&lt;$H$50,$G$50&gt;$I$50)),FALSE)</f>
        <v/>
      </c>
      <c r="M50" t="inlineStr"/>
      <c r="N50" t="inlineStr">
        <is>
          <t>R_balance;R_full_weapon_audit;W_wikipedia_bm_21_grad;R_machine_brigade_can_bang</t>
        </is>
      </c>
      <c r="O5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0" t="inlineStr">
        <is>
          <t>Tools/balance/full_weapon_audit.py (bảng REAL) và 01_chien_dau/Vu_khi_suy_ra</t>
        </is>
      </c>
      <c r="Q50" t="inlineStr"/>
    </row>
    <row r="51">
      <c r="A51" t="inlineStr">
        <is>
          <t>grad_rockets/nhip</t>
        </is>
      </c>
      <c r="B51" t="inlineStr">
        <is>
          <t>grad_rockets</t>
        </is>
      </c>
      <c r="C51" t="inlineStr">
        <is>
          <t>khe_mot_nong_mot_vien</t>
        </is>
      </c>
      <c r="D51" t="inlineStr">
        <is>
          <t>s</t>
        </is>
      </c>
      <c r="E51" t="n">
        <v>0.5</v>
      </c>
      <c r="F51">
        <f>60/INDEX(Vu_khi!$BB$2:$BB$360,MATCH($B$51,Vu_khi!$A$2:$A$360,0))/IF(INDEX(Vu_khi!$BD$2:$BD$360,MATCH($B$51,Vu_khi!$A$2:$A$360,0))="gun",0.7,1)</f>
        <v/>
      </c>
      <c r="G51">
        <f>$E$51/$F$51</f>
        <v/>
      </c>
      <c r="H51" t="n">
        <v>0.6</v>
      </c>
      <c r="I51" t="n">
        <v>2</v>
      </c>
      <c r="J51" t="b">
        <v>0</v>
      </c>
      <c r="K51" t="inlineStr"/>
      <c r="L51">
        <f>IF(ISNUMBER($H$51),AND(NOT($J$51),OR($G$51&lt;$H$51,$G$51&gt;$I$51)),FALSE)</f>
        <v/>
      </c>
      <c r="M51" t="inlineStr"/>
      <c r="N51" t="inlineStr">
        <is>
          <t>R_balance;R_full_weapon_audit;W_wikipedia_bm_21_grad</t>
        </is>
      </c>
      <c r="O5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1" t="inlineStr">
        <is>
          <t>Tools/balance/full_weapon_audit.py (bảng REAL) và 01_chien_dau/Vu_khi_suy_ra</t>
        </is>
      </c>
      <c r="Q51" t="inlineStr"/>
    </row>
    <row r="52">
      <c r="A52" t="inlineStr">
        <is>
          <t>gsh_23v/nhip</t>
        </is>
      </c>
      <c r="B52" t="inlineStr">
        <is>
          <t>gsh_23v</t>
        </is>
      </c>
      <c r="C52" t="inlineStr">
        <is>
          <t>khe_mot_nong_mot_vien</t>
        </is>
      </c>
      <c r="D52" t="inlineStr">
        <is>
          <t>s</t>
        </is>
      </c>
      <c r="E52" t="n">
        <v>0.145059088</v>
      </c>
      <c r="F52">
        <f>60/INDEX(Vu_khi!$BB$2:$BB$360,MATCH($B$52,Vu_khi!$A$2:$A$360,0))/IF(INDEX(Vu_khi!$BD$2:$BD$360,MATCH($B$52,Vu_khi!$A$2:$A$360,0))="gun",0.7,1)</f>
        <v/>
      </c>
      <c r="G52">
        <f>$E$52/$F$52</f>
        <v/>
      </c>
      <c r="H52" t="n">
        <v>0.6</v>
      </c>
      <c r="I52" t="n">
        <v>2</v>
      </c>
      <c r="J52" t="b">
        <v>1</v>
      </c>
      <c r="K52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52">
        <f>IF(ISNUMBER($H$52),AND(NOT($J$52),OR($G$52&lt;$H$52,$G$52&gt;$I$52)),FALSE)</f>
        <v/>
      </c>
      <c r="M52" t="inlineStr"/>
      <c r="N52" t="inlineStr">
        <is>
          <t>R_balance;R_full_weapon_audit;W_wikipedia_gryazev_shipunov_gsh_23</t>
        </is>
      </c>
      <c r="O5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2" t="inlineStr">
        <is>
          <t>Tools/balance/full_weapon_audit.py (bảng REAL) và 01_chien_dau/Vu_khi_suy_ra</t>
        </is>
      </c>
      <c r="Q52" t="inlineStr"/>
    </row>
    <row r="53">
      <c r="A53" t="inlineStr">
        <is>
          <t>gun_57_air/nhip</t>
        </is>
      </c>
      <c r="B53" t="inlineStr">
        <is>
          <t>gun_57_air</t>
        </is>
      </c>
      <c r="C53" t="inlineStr">
        <is>
          <t>khe_mot_nong_mot_vien</t>
        </is>
      </c>
      <c r="D53" t="inlineStr">
        <is>
          <t>s</t>
        </is>
      </c>
      <c r="E53" t="n">
        <v>0.8166665</v>
      </c>
      <c r="F53">
        <f>60/INDEX(Vu_khi!$BB$2:$BB$360,MATCH($B$53,Vu_khi!$A$2:$A$360,0))/IF(INDEX(Vu_khi!$BD$2:$BD$360,MATCH($B$53,Vu_khi!$A$2:$A$360,0))="gun",0.7,1)</f>
        <v/>
      </c>
      <c r="G53">
        <f>$E$53/$F$53</f>
        <v/>
      </c>
      <c r="H53" t="n">
        <v>0.6</v>
      </c>
      <c r="I53" t="n">
        <v>2</v>
      </c>
      <c r="J53" t="b">
        <v>0</v>
      </c>
      <c r="K53" t="inlineStr"/>
      <c r="L53">
        <f>IF(ISNUMBER($H$53),AND(NOT($J$53),OR($G$53&lt;$H$53,$G$53&gt;$I$53)),FALSE)</f>
        <v/>
      </c>
      <c r="M53" t="inlineStr"/>
      <c r="N53" t="inlineStr">
        <is>
          <t>R_balance;R_full_weapon_audit;W_wikipedia_au_220m</t>
        </is>
      </c>
      <c r="O5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3" t="inlineStr">
        <is>
          <t>Tools/balance/full_weapon_audit.py (bảng REAL) và 01_chien_dau/Vu_khi_suy_ra</t>
        </is>
      </c>
      <c r="Q53" t="inlineStr"/>
    </row>
    <row r="54">
      <c r="A54" t="inlineStr">
        <is>
          <t>gun_57_auto/nhip</t>
        </is>
      </c>
      <c r="B54" t="inlineStr">
        <is>
          <t>gun_57_auto</t>
        </is>
      </c>
      <c r="C54" t="inlineStr">
        <is>
          <t>khe_mot_nong_mot_vien</t>
        </is>
      </c>
      <c r="D54" t="inlineStr">
        <is>
          <t>s</t>
        </is>
      </c>
      <c r="E54" t="n">
        <v>0.9</v>
      </c>
      <c r="F54">
        <f>60/INDEX(Vu_khi!$BB$2:$BB$360,MATCH($B$54,Vu_khi!$A$2:$A$360,0))/IF(INDEX(Vu_khi!$BD$2:$BD$360,MATCH($B$54,Vu_khi!$A$2:$A$360,0))="gun",0.7,1)</f>
        <v/>
      </c>
      <c r="G54">
        <f>$E$54/$F$54</f>
        <v/>
      </c>
      <c r="H54" t="n">
        <v>0.6</v>
      </c>
      <c r="I54" t="n">
        <v>2</v>
      </c>
      <c r="J54" t="b">
        <v>0</v>
      </c>
      <c r="K54" t="inlineStr"/>
      <c r="L54">
        <f>IF(ISNUMBER($H$54),AND(NOT($J$54),OR($G$54&lt;$H$54,$G$54&gt;$I$54)),FALSE)</f>
        <v/>
      </c>
      <c r="M54" t="inlineStr"/>
      <c r="N54" t="inlineStr">
        <is>
          <t>R_balance;R_full_weapon_audit;W_wikipedia_au_220m;R_machine_brigade_can_bang</t>
        </is>
      </c>
      <c r="O5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4" t="inlineStr">
        <is>
          <t>Tools/balance/full_weapon_audit.py (bảng REAL) và 01_chien_dau/Vu_khi_suy_ra</t>
        </is>
      </c>
      <c r="Q54" t="inlineStr"/>
    </row>
    <row r="55">
      <c r="A55" t="inlineStr">
        <is>
          <t>gun_57mm/nhip</t>
        </is>
      </c>
      <c r="B55" t="inlineStr">
        <is>
          <t>gun_57mm</t>
        </is>
      </c>
      <c r="C55" t="inlineStr">
        <is>
          <t>khe_mot_nong_mot_vien</t>
        </is>
      </c>
      <c r="D55" t="inlineStr">
        <is>
          <t>s</t>
        </is>
      </c>
      <c r="E55" t="n">
        <v>3.2145</v>
      </c>
      <c r="F55">
        <f>60/INDEX(Vu_khi!$BB$2:$BB$360,MATCH($B$55,Vu_khi!$A$2:$A$360,0))/IF(INDEX(Vu_khi!$BD$2:$BD$360,MATCH($B$55,Vu_khi!$A$2:$A$360,0))="gun",0.7,1)</f>
        <v/>
      </c>
      <c r="G55">
        <f>$E$55/$F$55</f>
        <v/>
      </c>
      <c r="H55" t="n">
        <v>0.6</v>
      </c>
      <c r="I55" t="n">
        <v>2</v>
      </c>
      <c r="J55" t="b">
        <v>0</v>
      </c>
      <c r="K55" t="inlineStr"/>
      <c r="L55">
        <f>IF(ISNUMBER($H$55),AND(NOT($J$55),OR($G$55&lt;$H$55,$G$55&gt;$I$55)),FALSE)</f>
        <v/>
      </c>
      <c r="M55" t="inlineStr">
        <is>
          <t>TC0025</t>
        </is>
      </c>
      <c r="N55" t="inlineStr">
        <is>
          <t>R_balance;R_full_weapon_audit;W_wikipedia_au_220m;R_machine_brigade_can_bang</t>
        </is>
      </c>
      <c r="O5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5" t="inlineStr">
        <is>
          <t>Tools/balance/full_weapon_audit.py (bảng REAL) và 01_chien_dau/Vu_khi_suy_ra</t>
        </is>
      </c>
      <c r="Q55" t="inlineStr"/>
    </row>
    <row r="56">
      <c r="A56" t="inlineStr">
        <is>
          <t>gun_100_river/nhip</t>
        </is>
      </c>
      <c r="B56" t="inlineStr">
        <is>
          <t>gun_100_river</t>
        </is>
      </c>
      <c r="C56" t="inlineStr">
        <is>
          <t>khe_mot_nong_mot_vien</t>
        </is>
      </c>
      <c r="D56" t="inlineStr">
        <is>
          <t>s</t>
        </is>
      </c>
      <c r="E56" t="n">
        <v>4.286000357</v>
      </c>
      <c r="F56">
        <f>60/INDEX(Vu_khi!$BB$2:$BB$360,MATCH($B$56,Vu_khi!$A$2:$A$360,0))/IF(INDEX(Vu_khi!$BD$2:$BD$360,MATCH($B$56,Vu_khi!$A$2:$A$360,0))="gun",0.7,1)</f>
        <v/>
      </c>
      <c r="G56">
        <f>$E$56/$F$56</f>
        <v/>
      </c>
      <c r="H56" t="n">
        <v>0.6</v>
      </c>
      <c r="I56" t="n">
        <v>2</v>
      </c>
      <c r="J56" t="b">
        <v>0</v>
      </c>
      <c r="K56" t="inlineStr"/>
      <c r="L56">
        <f>IF(ISNUMBER($H$56),AND(NOT($J$56),OR($G$56&lt;$H$56,$G$56&gt;$I$56)),FALSE)</f>
        <v/>
      </c>
      <c r="M56" t="inlineStr">
        <is>
          <t>TC0013</t>
        </is>
      </c>
      <c r="N56" t="inlineStr">
        <is>
          <t>R_balance;R_full_weapon_audit;W_wikipedia_a_190</t>
        </is>
      </c>
      <c r="O5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6" t="inlineStr">
        <is>
          <t>Tools/balance/full_weapon_audit.py (bảng REAL) và 01_chien_dau/Vu_khi_suy_ra</t>
        </is>
      </c>
      <c r="Q56" t="inlineStr"/>
    </row>
    <row r="57">
      <c r="A57" t="inlineStr">
        <is>
          <t>gun_105_apfsds/nhip</t>
        </is>
      </c>
      <c r="B57" t="inlineStr">
        <is>
          <t>gun_105_apfsds</t>
        </is>
      </c>
      <c r="C57" t="inlineStr">
        <is>
          <t>khe_mot_nong_mot_vien</t>
        </is>
      </c>
      <c r="D57" t="inlineStr">
        <is>
          <t>s</t>
        </is>
      </c>
      <c r="E57" t="n">
        <v>5.583</v>
      </c>
      <c r="F57">
        <f>60/INDEX(Vu_khi!$BB$2:$BB$360,MATCH($B$57,Vu_khi!$A$2:$A$360,0))/IF(INDEX(Vu_khi!$BD$2:$BD$360,MATCH($B$57,Vu_khi!$A$2:$A$360,0))="gun",0.7,1)</f>
        <v/>
      </c>
      <c r="G57">
        <f>$E$57/$F$57</f>
        <v/>
      </c>
      <c r="H57" t="n">
        <v>0.6</v>
      </c>
      <c r="I57" t="n">
        <v>2</v>
      </c>
      <c r="J57" t="b">
        <v>0</v>
      </c>
      <c r="K57" t="inlineStr"/>
      <c r="L57">
        <f>IF(ISNUMBER($H$57),AND(NOT($J$57),OR($G$57&lt;$H$57,$G$57&gt;$I$57)),FALSE)</f>
        <v/>
      </c>
      <c r="M57" t="inlineStr">
        <is>
          <t>TC0014</t>
        </is>
      </c>
      <c r="N57" t="inlineStr">
        <is>
          <t>R_balance;R_full_weapon_audit;W_wikipedia_2s25_sprut_sd;R_machine_brigade_can_bang</t>
        </is>
      </c>
      <c r="O5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7" t="inlineStr">
        <is>
          <t>Tools/balance/full_weapon_audit.py (bảng REAL) và 01_chien_dau/Vu_khi_suy_ra</t>
        </is>
      </c>
      <c r="Q57" t="inlineStr"/>
    </row>
    <row r="58">
      <c r="A58" t="inlineStr">
        <is>
          <t>gun_105_bunker/nhip</t>
        </is>
      </c>
      <c r="B58" t="inlineStr">
        <is>
          <t>gun_105_bunker</t>
        </is>
      </c>
      <c r="C58" t="inlineStr">
        <is>
          <t>khe_mot_nong_mot_vien</t>
        </is>
      </c>
      <c r="D58" t="inlineStr">
        <is>
          <t>s</t>
        </is>
      </c>
      <c r="E58" t="n">
        <v>4.536</v>
      </c>
      <c r="F58">
        <f>60/INDEX(Vu_khi!$BB$2:$BB$360,MATCH($B$58,Vu_khi!$A$2:$A$360,0))/IF(INDEX(Vu_khi!$BD$2:$BD$360,MATCH($B$58,Vu_khi!$A$2:$A$360,0))="gun",0.7,1)</f>
        <v/>
      </c>
      <c r="G58">
        <f>$E$58/$F$58</f>
        <v/>
      </c>
      <c r="H58" t="n">
        <v>0.6</v>
      </c>
      <c r="I58" t="n">
        <v>2</v>
      </c>
      <c r="J58" t="b">
        <v>0</v>
      </c>
      <c r="K58" t="inlineStr"/>
      <c r="L58">
        <f>IF(ISNUMBER($H$58),AND(NOT($J$58),OR($G$58&lt;$H$58,$G$58&gt;$I$58)),FALSE)</f>
        <v/>
      </c>
      <c r="M58" t="inlineStr">
        <is>
          <t>TC0015</t>
        </is>
      </c>
      <c r="N58" t="inlineStr">
        <is>
          <t>R_balance;R_full_weapon_audit;W_wikipedia_royal_ordnance_l7;R_machine_brigade_can_bang</t>
        </is>
      </c>
      <c r="O5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8" t="inlineStr">
        <is>
          <t>Tools/balance/full_weapon_audit.py (bảng REAL) và 01_chien_dau/Vu_khi_suy_ra</t>
        </is>
      </c>
      <c r="Q58" t="inlineStr"/>
    </row>
    <row r="59">
      <c r="A59" t="inlineStr">
        <is>
          <t>gun_105_long/nhip</t>
        </is>
      </c>
      <c r="B59" t="inlineStr">
        <is>
          <t>gun_105_long</t>
        </is>
      </c>
      <c r="C59" t="inlineStr">
        <is>
          <t>khe_mot_nong_mot_vien</t>
        </is>
      </c>
      <c r="D59" t="inlineStr">
        <is>
          <t>s</t>
        </is>
      </c>
      <c r="E59" t="n">
        <v>4.762004082</v>
      </c>
      <c r="F59">
        <f>60/INDEX(Vu_khi!$BB$2:$BB$360,MATCH($B$59,Vu_khi!$A$2:$A$360,0))/IF(INDEX(Vu_khi!$BD$2:$BD$360,MATCH($B$59,Vu_khi!$A$2:$A$360,0))="gun",0.7,1)</f>
        <v/>
      </c>
      <c r="G59">
        <f>$E$59/$F$59</f>
        <v/>
      </c>
      <c r="H59" t="n">
        <v>0.6</v>
      </c>
      <c r="I59" t="n">
        <v>2</v>
      </c>
      <c r="J59" t="b">
        <v>0</v>
      </c>
      <c r="K59" t="inlineStr"/>
      <c r="L59">
        <f>IF(ISNUMBER($H$59),AND(NOT($J$59),OR($G$59&lt;$H$59,$G$59&gt;$I$59)),FALSE)</f>
        <v/>
      </c>
      <c r="M59" t="inlineStr">
        <is>
          <t>TC0016</t>
        </is>
      </c>
      <c r="N59" t="inlineStr">
        <is>
          <t>R_balance;R_full_weapon_audit;W_wikipedia_2s25_sprut_sd;R_machine_brigade_can_bang</t>
        </is>
      </c>
      <c r="O5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59" t="inlineStr">
        <is>
          <t>Tools/balance/full_weapon_audit.py (bảng REAL) và 01_chien_dau/Vu_khi_suy_ra</t>
        </is>
      </c>
      <c r="Q59" t="inlineStr"/>
    </row>
    <row r="60">
      <c r="A60" t="inlineStr">
        <is>
          <t>gun_105_twin/nhip</t>
        </is>
      </c>
      <c r="B60" t="inlineStr">
        <is>
          <t>gun_105_twin</t>
        </is>
      </c>
      <c r="C60" t="inlineStr">
        <is>
          <t>khe_mot_nong_mot_vien</t>
        </is>
      </c>
      <c r="D60" t="inlineStr">
        <is>
          <t>s</t>
        </is>
      </c>
      <c r="E60" t="n">
        <v>5.740002857</v>
      </c>
      <c r="F60">
        <f>60/INDEX(Vu_khi!$BB$2:$BB$360,MATCH($B$60,Vu_khi!$A$2:$A$360,0))/IF(INDEX(Vu_khi!$BD$2:$BD$360,MATCH($B$60,Vu_khi!$A$2:$A$360,0))="gun",0.7,1)</f>
        <v/>
      </c>
      <c r="G60">
        <f>$E$60/$F$60</f>
        <v/>
      </c>
      <c r="H60" t="n">
        <v>0.6</v>
      </c>
      <c r="I60" t="n">
        <v>2</v>
      </c>
      <c r="J60" t="b">
        <v>0</v>
      </c>
      <c r="K60" t="inlineStr"/>
      <c r="L60">
        <f>IF(ISNUMBER($H$60),AND(NOT($J$60),OR($G$60&lt;$H$60,$G$60&gt;$I$60)),FALSE)</f>
        <v/>
      </c>
      <c r="M60" t="inlineStr"/>
      <c r="N60" t="inlineStr">
        <is>
          <t>R_balance;R_full_weapon_audit;W_wikipedia_royal_ordnance_l7</t>
        </is>
      </c>
      <c r="O6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0" t="inlineStr">
        <is>
          <t>Tools/balance/full_weapon_audit.py (bảng REAL) và 01_chien_dau/Vu_khi_suy_ra</t>
        </is>
      </c>
      <c r="Q60" t="inlineStr"/>
    </row>
    <row r="61">
      <c r="A61" t="inlineStr">
        <is>
          <t>gun_105_wheeled/nhip</t>
        </is>
      </c>
      <c r="B61" t="inlineStr">
        <is>
          <t>gun_105_wheeled</t>
        </is>
      </c>
      <c r="C61" t="inlineStr">
        <is>
          <t>khe_mot_nong_mot_vien</t>
        </is>
      </c>
      <c r="D61" t="inlineStr">
        <is>
          <t>s</t>
        </is>
      </c>
      <c r="E61" t="n">
        <v>5.291003571</v>
      </c>
      <c r="F61">
        <f>60/INDEX(Vu_khi!$BB$2:$BB$360,MATCH($B$61,Vu_khi!$A$2:$A$360,0))/IF(INDEX(Vu_khi!$BD$2:$BD$360,MATCH($B$61,Vu_khi!$A$2:$A$360,0))="gun",0.7,1)</f>
        <v/>
      </c>
      <c r="G61">
        <f>$E$61/$F$61</f>
        <v/>
      </c>
      <c r="H61" t="n">
        <v>0.6</v>
      </c>
      <c r="I61" t="n">
        <v>2</v>
      </c>
      <c r="J61" t="b">
        <v>0</v>
      </c>
      <c r="K61" t="inlineStr"/>
      <c r="L61">
        <f>IF(ISNUMBER($H$61),AND(NOT($J$61),OR($G$61&lt;$H$61,$G$61&gt;$I$61)),FALSE)</f>
        <v/>
      </c>
      <c r="M61" t="inlineStr">
        <is>
          <t>TC0017</t>
        </is>
      </c>
      <c r="N61" t="inlineStr">
        <is>
          <t>R_balance;R_full_weapon_audit;R_machine_brigade_can_bang</t>
        </is>
      </c>
      <c r="O6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1" t="inlineStr">
        <is>
          <t>Tools/balance/full_weapon_audit.py (bảng REAL) và 01_chien_dau/Vu_khi_suy_ra</t>
        </is>
      </c>
      <c r="Q61" t="inlineStr"/>
    </row>
    <row r="62">
      <c r="A62" t="inlineStr">
        <is>
          <t>gun_120_twin/nhip</t>
        </is>
      </c>
      <c r="B62" t="inlineStr">
        <is>
          <t>gun_120_twin</t>
        </is>
      </c>
      <c r="C62" t="inlineStr">
        <is>
          <t>khe_mot_nong_mot_vien</t>
        </is>
      </c>
      <c r="D62" t="inlineStr">
        <is>
          <t>s</t>
        </is>
      </c>
      <c r="E62" t="n">
        <v>7.376003571</v>
      </c>
      <c r="F62">
        <f>60/INDEX(Vu_khi!$BB$2:$BB$360,MATCH($B$62,Vu_khi!$A$2:$A$360,0))/IF(INDEX(Vu_khi!$BD$2:$BD$360,MATCH($B$62,Vu_khi!$A$2:$A$360,0))="gun",0.7,1)</f>
        <v/>
      </c>
      <c r="G62">
        <f>$E$62/$F$62</f>
        <v/>
      </c>
      <c r="H62" t="n">
        <v>0.6</v>
      </c>
      <c r="I62" t="n">
        <v>2</v>
      </c>
      <c r="J62" t="b">
        <v>0</v>
      </c>
      <c r="K62" t="inlineStr"/>
      <c r="L62">
        <f>IF(ISNUMBER($H$62),AND(NOT($J$62),OR($G$62&lt;$H$62,$G$62&gt;$I$62)),FALSE)</f>
        <v/>
      </c>
      <c r="M62" t="inlineStr"/>
      <c r="N62" t="inlineStr">
        <is>
          <t>R_balance;R_full_weapon_audit;W_wikipedia_rheinmetall_120_mm_gun;R_machine_brigade_can_bang</t>
        </is>
      </c>
      <c r="O6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2" t="inlineStr">
        <is>
          <t>Tools/balance/full_weapon_audit.py (bảng REAL) và 01_chien_dau/Vu_khi_suy_ra</t>
        </is>
      </c>
      <c r="Q62" t="inlineStr"/>
    </row>
    <row r="63">
      <c r="A63" t="inlineStr">
        <is>
          <t>gun_120mm/nhip</t>
        </is>
      </c>
      <c r="B63" t="inlineStr">
        <is>
          <t>gun_120mm</t>
        </is>
      </c>
      <c r="C63" t="inlineStr">
        <is>
          <t>khe_mot_nong_mot_vien</t>
        </is>
      </c>
      <c r="D63" t="inlineStr">
        <is>
          <t>s</t>
        </is>
      </c>
      <c r="E63" t="n">
        <v>7.283003571</v>
      </c>
      <c r="F63">
        <f>60/INDEX(Vu_khi!$BB$2:$BB$360,MATCH($B$63,Vu_khi!$A$2:$A$360,0))/IF(INDEX(Vu_khi!$BD$2:$BD$360,MATCH($B$63,Vu_khi!$A$2:$A$360,0))="gun",0.7,1)</f>
        <v/>
      </c>
      <c r="G63">
        <f>$E$63/$F$63</f>
        <v/>
      </c>
      <c r="H63" t="n">
        <v>0.6</v>
      </c>
      <c r="I63" t="n">
        <v>2</v>
      </c>
      <c r="J63" t="b">
        <v>0</v>
      </c>
      <c r="K63" t="inlineStr"/>
      <c r="L63">
        <f>IF(ISNUMBER($H$63),AND(NOT($J$63),OR($G$63&lt;$H$63,$G$63&gt;$I$63)),FALSE)</f>
        <v/>
      </c>
      <c r="M63" t="inlineStr"/>
      <c r="N63" t="inlineStr">
        <is>
          <t>R_balance;R_full_weapon_audit;W_wikipedia_rheinmetall_120_mm_gun;R_machine_brigade_can_bang</t>
        </is>
      </c>
      <c r="O6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3" t="inlineStr">
        <is>
          <t>Tools/balance/full_weapon_audit.py (bảng REAL) và 01_chien_dau/Vu_khi_suy_ra</t>
        </is>
      </c>
      <c r="Q63" t="inlineStr"/>
    </row>
    <row r="64">
      <c r="A64" t="inlineStr">
        <is>
          <t>gun_125_armata_ke/nhip</t>
        </is>
      </c>
      <c r="B64" t="inlineStr">
        <is>
          <t>gun_125_armata_ke</t>
        </is>
      </c>
      <c r="C64" t="inlineStr">
        <is>
          <t>khe_mot_nong_mot_vien</t>
        </is>
      </c>
      <c r="D64" t="inlineStr">
        <is>
          <t>s</t>
        </is>
      </c>
      <c r="E64" t="n">
        <v>7.143</v>
      </c>
      <c r="F64">
        <f>60/INDEX(Vu_khi!$BB$2:$BB$360,MATCH($B$64,Vu_khi!$A$2:$A$360,0))/IF(INDEX(Vu_khi!$BD$2:$BD$360,MATCH($B$64,Vu_khi!$A$2:$A$360,0))="gun",0.7,1)</f>
        <v/>
      </c>
      <c r="G64">
        <f>$E$64/$F$64</f>
        <v/>
      </c>
      <c r="H64" t="n">
        <v>0.6</v>
      </c>
      <c r="I64" t="n">
        <v>2</v>
      </c>
      <c r="J64" t="b">
        <v>0</v>
      </c>
      <c r="K64" t="inlineStr"/>
      <c r="L64">
        <f>IF(ISNUMBER($H$64),AND(NOT($J$64),OR($G$64&lt;$H$64,$G$64&gt;$I$64)),FALSE)</f>
        <v/>
      </c>
      <c r="M64" t="inlineStr"/>
      <c r="N64" t="inlineStr">
        <is>
          <t>R_balance;R_full_weapon_audit;W_wikipedia_2a46</t>
        </is>
      </c>
      <c r="O6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4" t="inlineStr">
        <is>
          <t>Tools/balance/full_weapon_audit.py (bảng REAL) và 01_chien_dau/Vu_khi_suy_ra</t>
        </is>
      </c>
      <c r="Q64" t="inlineStr"/>
    </row>
    <row r="65">
      <c r="A65" t="inlineStr">
        <is>
          <t>gun_125_elite/nhip</t>
        </is>
      </c>
      <c r="B65" t="inlineStr">
        <is>
          <t>gun_125_elite</t>
        </is>
      </c>
      <c r="C65" t="inlineStr">
        <is>
          <t>khe_mot_nong_mot_vien</t>
        </is>
      </c>
      <c r="D65" t="inlineStr">
        <is>
          <t>s</t>
        </is>
      </c>
      <c r="E65" t="n">
        <v>8.085996429</v>
      </c>
      <c r="F65">
        <f>60/INDEX(Vu_khi!$BB$2:$BB$360,MATCH($B$65,Vu_khi!$A$2:$A$360,0))/IF(INDEX(Vu_khi!$BD$2:$BD$360,MATCH($B$65,Vu_khi!$A$2:$A$360,0))="gun",0.7,1)</f>
        <v/>
      </c>
      <c r="G65">
        <f>$E$65/$F$65</f>
        <v/>
      </c>
      <c r="H65" t="n">
        <v>0.6</v>
      </c>
      <c r="I65" t="n">
        <v>2</v>
      </c>
      <c r="J65" t="b">
        <v>0</v>
      </c>
      <c r="K65" t="inlineStr"/>
      <c r="L65">
        <f>IF(ISNUMBER($H$65),AND(NOT($J$65),OR($G$65&lt;$H$65,$G$65&gt;$I$65)),FALSE)</f>
        <v/>
      </c>
      <c r="M65" t="inlineStr"/>
      <c r="N65" t="inlineStr">
        <is>
          <t>R_balance;R_full_weapon_audit;W_wikipedia_2a46;R_machine_brigade_can_bang</t>
        </is>
      </c>
      <c r="O6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5" t="inlineStr">
        <is>
          <t>Tools/balance/full_weapon_audit.py (bảng REAL) và 01_chien_dau/Vu_khi_suy_ra</t>
        </is>
      </c>
      <c r="Q65" t="inlineStr"/>
    </row>
    <row r="66">
      <c r="A66" t="inlineStr">
        <is>
          <t>gun_140_twin/nhip</t>
        </is>
      </c>
      <c r="B66" t="inlineStr">
        <is>
          <t>gun_140_twin</t>
        </is>
      </c>
      <c r="C66" t="inlineStr">
        <is>
          <t>khe_mot_nong_mot_vien</t>
        </is>
      </c>
      <c r="D66" t="inlineStr">
        <is>
          <t>s</t>
        </is>
      </c>
      <c r="E66" t="n">
        <v>6.481002857</v>
      </c>
      <c r="F66">
        <f>60/INDEX(Vu_khi!$BB$2:$BB$360,MATCH($B$66,Vu_khi!$A$2:$A$360,0))/IF(INDEX(Vu_khi!$BD$2:$BD$360,MATCH($B$66,Vu_khi!$A$2:$A$360,0))="gun",0.7,1)</f>
        <v/>
      </c>
      <c r="G66">
        <f>$E$66/$F$66</f>
        <v/>
      </c>
      <c r="H66" t="n">
        <v>0.6</v>
      </c>
      <c r="I66" t="n">
        <v>2</v>
      </c>
      <c r="J66" t="b">
        <v>0</v>
      </c>
      <c r="K66" t="inlineStr"/>
      <c r="L66">
        <f>IF(ISNUMBER($H$66),AND(NOT($J$66),OR($G$66&lt;$H$66,$G$66&gt;$I$66)),FALSE)</f>
        <v/>
      </c>
      <c r="M66" t="inlineStr"/>
      <c r="N66" t="inlineStr">
        <is>
          <t>R_balance;R_full_weapon_audit;R_machine_brigade_can_bang</t>
        </is>
      </c>
      <c r="O6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6" t="inlineStr">
        <is>
          <t>Tools/balance/full_weapon_audit.py (bảng REAL) và 01_chien_dau/Vu_khi_suy_ra</t>
        </is>
      </c>
      <c r="Q66" t="inlineStr"/>
    </row>
    <row r="67">
      <c r="A67" t="inlineStr">
        <is>
          <t>gun_152/nhip</t>
        </is>
      </c>
      <c r="B67" t="inlineStr">
        <is>
          <t>gun_152</t>
        </is>
      </c>
      <c r="C67" t="inlineStr">
        <is>
          <t>khe_mot_nong_mot_vien</t>
        </is>
      </c>
      <c r="D67" t="inlineStr">
        <is>
          <t>s</t>
        </is>
      </c>
      <c r="E67" t="n">
        <v>8.163</v>
      </c>
      <c r="F67">
        <f>60/INDEX(Vu_khi!$BB$2:$BB$360,MATCH($B$67,Vu_khi!$A$2:$A$360,0))/IF(INDEX(Vu_khi!$BD$2:$BD$360,MATCH($B$67,Vu_khi!$A$2:$A$360,0))="gun",0.7,1)</f>
        <v/>
      </c>
      <c r="G67">
        <f>$E$67/$F$67</f>
        <v/>
      </c>
      <c r="H67" t="n">
        <v>0.6</v>
      </c>
      <c r="I67" t="n">
        <v>2</v>
      </c>
      <c r="J67" t="b">
        <v>0</v>
      </c>
      <c r="K67" t="inlineStr"/>
      <c r="L67">
        <f>IF(ISNUMBER($H$67),AND(NOT($J$67),OR($G$67&lt;$H$67,$G$67&gt;$I$67)),FALSE)</f>
        <v/>
      </c>
      <c r="M67" t="inlineStr"/>
      <c r="N67" t="inlineStr">
        <is>
          <t>R_balance;R_full_weapon_audit;R_machine_brigade_can_bang</t>
        </is>
      </c>
      <c r="O6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7" t="inlineStr">
        <is>
          <t>Tools/balance/full_weapon_audit.py (bảng REAL) và 01_chien_dau/Vu_khi_suy_ra</t>
        </is>
      </c>
      <c r="Q67" t="inlineStr"/>
    </row>
    <row r="68">
      <c r="A68" t="inlineStr">
        <is>
          <t>gun_152_he/nhip</t>
        </is>
      </c>
      <c r="B68" t="inlineStr">
        <is>
          <t>gun_152_he</t>
        </is>
      </c>
      <c r="C68" t="inlineStr">
        <is>
          <t>khe_mot_nong_mot_vien</t>
        </is>
      </c>
      <c r="D68" t="inlineStr">
        <is>
          <t>s</t>
        </is>
      </c>
      <c r="E68" t="n">
        <v>8.571</v>
      </c>
      <c r="F68">
        <f>60/INDEX(Vu_khi!$BB$2:$BB$360,MATCH($B$68,Vu_khi!$A$2:$A$360,0))/IF(INDEX(Vu_khi!$BD$2:$BD$360,MATCH($B$68,Vu_khi!$A$2:$A$360,0))="gun",0.7,1)</f>
        <v/>
      </c>
      <c r="G68">
        <f>$E$68/$F$68</f>
        <v/>
      </c>
      <c r="H68" t="n">
        <v>0.6</v>
      </c>
      <c r="I68" t="n">
        <v>2</v>
      </c>
      <c r="J68" t="b">
        <v>0</v>
      </c>
      <c r="K68" t="inlineStr"/>
      <c r="L68">
        <f>IF(ISNUMBER($H$68),AND(NOT($J$68),OR($G$68&lt;$H$68,$G$68&gt;$I$68)),FALSE)</f>
        <v/>
      </c>
      <c r="M68" t="inlineStr"/>
      <c r="N68" t="inlineStr">
        <is>
          <t>R_balance;R_full_weapon_audit;R_machine_brigade_can_bang</t>
        </is>
      </c>
      <c r="O6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8" t="inlineStr">
        <is>
          <t>Tools/balance/full_weapon_audit.py (bảng REAL) và 01_chien_dau/Vu_khi_suy_ra</t>
        </is>
      </c>
      <c r="Q68" t="inlineStr"/>
    </row>
    <row r="69">
      <c r="A69" t="inlineStr">
        <is>
          <t>gun_152_heat/nhip</t>
        </is>
      </c>
      <c r="B69" t="inlineStr">
        <is>
          <t>gun_152_heat</t>
        </is>
      </c>
      <c r="C69" t="inlineStr">
        <is>
          <t>khe_mot_nong_mot_vien</t>
        </is>
      </c>
      <c r="D69" t="inlineStr">
        <is>
          <t>s</t>
        </is>
      </c>
      <c r="E69" t="n">
        <v>9.043002856999999</v>
      </c>
      <c r="F69">
        <f>60/INDEX(Vu_khi!$BB$2:$BB$360,MATCH($B$69,Vu_khi!$A$2:$A$360,0))/IF(INDEX(Vu_khi!$BD$2:$BD$360,MATCH($B$69,Vu_khi!$A$2:$A$360,0))="gun",0.7,1)</f>
        <v/>
      </c>
      <c r="G69">
        <f>$E$69/$F$69</f>
        <v/>
      </c>
      <c r="H69" t="n">
        <v>0.6</v>
      </c>
      <c r="I69" t="n">
        <v>2</v>
      </c>
      <c r="J69" t="b">
        <v>0</v>
      </c>
      <c r="K69" t="inlineStr"/>
      <c r="L69">
        <f>IF(ISNUMBER($H$69),AND(NOT($J$69),OR($G$69&lt;$H$69,$G$69&gt;$I$69)),FALSE)</f>
        <v/>
      </c>
      <c r="M69" t="inlineStr"/>
      <c r="N69" t="inlineStr">
        <is>
          <t>R_balance;R_full_weapon_audit;R_machine_brigade_can_bang</t>
        </is>
      </c>
      <c r="O6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69" t="inlineStr">
        <is>
          <t>Tools/balance/full_weapon_audit.py (bảng REAL) và 01_chien_dau/Vu_khi_suy_ra</t>
        </is>
      </c>
      <c r="Q69" t="inlineStr"/>
    </row>
    <row r="70">
      <c r="A70" t="inlineStr">
        <is>
          <t>gun_155_coastal/nhip</t>
        </is>
      </c>
      <c r="B70" t="inlineStr">
        <is>
          <t>gun_155_coastal</t>
        </is>
      </c>
      <c r="C70" t="inlineStr">
        <is>
          <t>khe_mot_nong_mot_vien</t>
        </is>
      </c>
      <c r="D70" t="inlineStr">
        <is>
          <t>s</t>
        </is>
      </c>
      <c r="E70" t="n">
        <v>6.314507143</v>
      </c>
      <c r="F70">
        <f>60/INDEX(Vu_khi!$BB$2:$BB$360,MATCH($B$70,Vu_khi!$A$2:$A$360,0))/IF(INDEX(Vu_khi!$BD$2:$BD$360,MATCH($B$70,Vu_khi!$A$2:$A$360,0))="gun",0.7,1)</f>
        <v/>
      </c>
      <c r="G70">
        <f>$E$70/$F$70</f>
        <v/>
      </c>
      <c r="H70" t="n">
        <v>0.6</v>
      </c>
      <c r="I70" t="n">
        <v>2</v>
      </c>
      <c r="J70" t="b">
        <v>0</v>
      </c>
      <c r="K70" t="inlineStr"/>
      <c r="L70">
        <f>IF(ISNUMBER($H$70),AND(NOT($J$70),OR($G$70&lt;$H$70,$G$70&gt;$I$70)),FALSE)</f>
        <v/>
      </c>
      <c r="M70" t="inlineStr">
        <is>
          <t>TC0018</t>
        </is>
      </c>
      <c r="N70" t="inlineStr">
        <is>
          <t>R_balance;R_full_weapon_audit;D_us_army_m109a7_fact_file;R_machine_brigade_can_bang</t>
        </is>
      </c>
      <c r="O7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0" t="inlineStr">
        <is>
          <t>Tools/balance/full_weapon_audit.py (bảng REAL) và 01_chien_dau/Vu_khi_suy_ra</t>
        </is>
      </c>
      <c r="Q70" t="inlineStr"/>
    </row>
    <row r="71">
      <c r="A71" t="inlineStr">
        <is>
          <t>gun_155_sph/nhip</t>
        </is>
      </c>
      <c r="B71" t="inlineStr">
        <is>
          <t>gun_155_sph</t>
        </is>
      </c>
      <c r="C71" t="inlineStr">
        <is>
          <t>khe_mot_nong_mot_vien</t>
        </is>
      </c>
      <c r="D71" t="inlineStr">
        <is>
          <t>s</t>
        </is>
      </c>
      <c r="E71" t="n">
        <v>15.428742857</v>
      </c>
      <c r="F71">
        <f>60/INDEX(Vu_khi!$BB$2:$BB$360,MATCH($B$71,Vu_khi!$A$2:$A$360,0))/IF(INDEX(Vu_khi!$BD$2:$BD$360,MATCH($B$71,Vu_khi!$A$2:$A$360,0))="gun",0.7,1)</f>
        <v/>
      </c>
      <c r="G71">
        <f>$E$71/$F$71</f>
        <v/>
      </c>
      <c r="H71" t="n">
        <v>0.6</v>
      </c>
      <c r="I71" t="n">
        <v>2</v>
      </c>
      <c r="J71" t="b">
        <v>0</v>
      </c>
      <c r="K71" t="inlineStr"/>
      <c r="L71">
        <f>IF(ISNUMBER($H$71),AND(NOT($J$71),OR($G$71&lt;$H$71,$G$71&gt;$I$71)),FALSE)</f>
        <v/>
      </c>
      <c r="M71" t="inlineStr"/>
      <c r="N71" t="inlineStr">
        <is>
          <t>R_balance;R_full_weapon_audit;D_us_army_m109a7_fact_file</t>
        </is>
      </c>
      <c r="O7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1" t="inlineStr">
        <is>
          <t>Tools/balance/full_weapon_audit.py (bảng REAL) và 01_chien_dau/Vu_khi_suy_ra</t>
        </is>
      </c>
      <c r="Q71" t="inlineStr"/>
    </row>
    <row r="72">
      <c r="A72" t="inlineStr">
        <is>
          <t>gun_155_twin/nhip</t>
        </is>
      </c>
      <c r="B72" t="inlineStr">
        <is>
          <t>gun_155_twin</t>
        </is>
      </c>
      <c r="C72" t="inlineStr">
        <is>
          <t>khe_mot_nong_mot_vien</t>
        </is>
      </c>
      <c r="D72" t="inlineStr">
        <is>
          <t>s</t>
        </is>
      </c>
      <c r="E72" t="n">
        <v>8.839992857</v>
      </c>
      <c r="F72">
        <f>60/INDEX(Vu_khi!$BB$2:$BB$360,MATCH($B$72,Vu_khi!$A$2:$A$360,0))/IF(INDEX(Vu_khi!$BD$2:$BD$360,MATCH($B$72,Vu_khi!$A$2:$A$360,0))="gun",0.7,1)</f>
        <v/>
      </c>
      <c r="G72">
        <f>$E$72/$F$72</f>
        <v/>
      </c>
      <c r="H72" t="n">
        <v>0.6</v>
      </c>
      <c r="I72" t="n">
        <v>2</v>
      </c>
      <c r="J72" t="b">
        <v>0</v>
      </c>
      <c r="K72" t="inlineStr"/>
      <c r="L72">
        <f>IF(ISNUMBER($H$72),AND(NOT($J$72),OR($G$72&lt;$H$72,$G$72&gt;$I$72)),FALSE)</f>
        <v/>
      </c>
      <c r="M72" t="inlineStr">
        <is>
          <t>TC0019</t>
        </is>
      </c>
      <c r="N72" t="inlineStr">
        <is>
          <t>R_balance;R_full_weapon_audit;D_us_army_m109a7_fact_file</t>
        </is>
      </c>
      <c r="O7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2" t="inlineStr">
        <is>
          <t>Tools/balance/full_weapon_audit.py (bảng REAL) và 01_chien_dau/Vu_khi_suy_ra</t>
        </is>
      </c>
      <c r="Q72" t="inlineStr"/>
    </row>
    <row r="73">
      <c r="A73" t="inlineStr">
        <is>
          <t>gun_155_twin_ap/nhip</t>
        </is>
      </c>
      <c r="B73" t="inlineStr">
        <is>
          <t>gun_155_twin_ap</t>
        </is>
      </c>
      <c r="C73" t="inlineStr">
        <is>
          <t>khe_mot_nong_mot_vien</t>
        </is>
      </c>
      <c r="D73" t="inlineStr">
        <is>
          <t>s</t>
        </is>
      </c>
      <c r="E73" t="n">
        <v>7.929</v>
      </c>
      <c r="F73">
        <f>60/INDEX(Vu_khi!$BB$2:$BB$360,MATCH($B$73,Vu_khi!$A$2:$A$360,0))/IF(INDEX(Vu_khi!$BD$2:$BD$360,MATCH($B$73,Vu_khi!$A$2:$A$360,0))="gun",0.7,1)</f>
        <v/>
      </c>
      <c r="G73">
        <f>$E$73/$F$73</f>
        <v/>
      </c>
      <c r="H73" t="n">
        <v>0.6</v>
      </c>
      <c r="I73" t="n">
        <v>2</v>
      </c>
      <c r="J73" t="b">
        <v>0</v>
      </c>
      <c r="K73" t="inlineStr"/>
      <c r="L73">
        <f>IF(ISNUMBER($H$73),AND(NOT($J$73),OR($G$73&lt;$H$73,$G$73&gt;$I$73)),FALSE)</f>
        <v/>
      </c>
      <c r="M73" t="inlineStr">
        <is>
          <t>TC0020</t>
        </is>
      </c>
      <c r="N73" t="inlineStr">
        <is>
          <t>R_balance;R_full_weapon_audit;D_us_army_m109a7_fact_file</t>
        </is>
      </c>
      <c r="O7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3" t="inlineStr">
        <is>
          <t>Tools/balance/full_weapon_audit.py (bảng REAL) và 01_chien_dau/Vu_khi_suy_ra</t>
        </is>
      </c>
      <c r="Q73" t="inlineStr"/>
    </row>
    <row r="74">
      <c r="A74" t="inlineStr">
        <is>
          <t>gun_155_twin_coastlr/nhip</t>
        </is>
      </c>
      <c r="B74" t="inlineStr">
        <is>
          <t>gun_155_twin_coastlr</t>
        </is>
      </c>
      <c r="C74" t="inlineStr">
        <is>
          <t>khe_mot_nong_mot_vien</t>
        </is>
      </c>
      <c r="D74" t="inlineStr">
        <is>
          <t>s</t>
        </is>
      </c>
      <c r="E74" t="n">
        <v>7.929</v>
      </c>
      <c r="F74">
        <f>60/INDEX(Vu_khi!$BB$2:$BB$360,MATCH($B$74,Vu_khi!$A$2:$A$360,0))/IF(INDEX(Vu_khi!$BD$2:$BD$360,MATCH($B$74,Vu_khi!$A$2:$A$360,0))="gun",0.7,1)</f>
        <v/>
      </c>
      <c r="G74">
        <f>$E$74/$F$74</f>
        <v/>
      </c>
      <c r="H74" t="n">
        <v>0.6</v>
      </c>
      <c r="I74" t="n">
        <v>2</v>
      </c>
      <c r="J74" t="b">
        <v>0</v>
      </c>
      <c r="K74" t="inlineStr"/>
      <c r="L74">
        <f>IF(ISNUMBER($H$74),AND(NOT($J$74),OR($G$74&lt;$H$74,$G$74&gt;$I$74)),FALSE)</f>
        <v/>
      </c>
      <c r="M74" t="inlineStr">
        <is>
          <t>TC0021</t>
        </is>
      </c>
      <c r="N74" t="inlineStr">
        <is>
          <t>R_balance;R_full_weapon_audit;D_us_army_m109a7_fact_file;R_machine_brigade_can_bang</t>
        </is>
      </c>
      <c r="O7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4" t="inlineStr">
        <is>
          <t>Tools/balance/full_weapon_audit.py (bảng REAL) và 01_chien_dau/Vu_khi_suy_ra</t>
        </is>
      </c>
      <c r="Q74" t="inlineStr"/>
    </row>
    <row r="75">
      <c r="A75" t="inlineStr">
        <is>
          <t>gun_155_twin_fort/nhip</t>
        </is>
      </c>
      <c r="B75" t="inlineStr">
        <is>
          <t>gun_155_twin_fort</t>
        </is>
      </c>
      <c r="C75" t="inlineStr">
        <is>
          <t>khe_mot_nong_mot_vien</t>
        </is>
      </c>
      <c r="D75" t="inlineStr">
        <is>
          <t>s</t>
        </is>
      </c>
      <c r="E75" t="n">
        <v>7.929</v>
      </c>
      <c r="F75">
        <f>60/INDEX(Vu_khi!$BB$2:$BB$360,MATCH($B$75,Vu_khi!$A$2:$A$360,0))/IF(INDEX(Vu_khi!$BD$2:$BD$360,MATCH($B$75,Vu_khi!$A$2:$A$360,0))="gun",0.7,1)</f>
        <v/>
      </c>
      <c r="G75">
        <f>$E$75/$F$75</f>
        <v/>
      </c>
      <c r="H75" t="n">
        <v>0.6</v>
      </c>
      <c r="I75" t="n">
        <v>2</v>
      </c>
      <c r="J75" t="b">
        <v>0</v>
      </c>
      <c r="K75" t="inlineStr"/>
      <c r="L75">
        <f>IF(ISNUMBER($H$75),AND(NOT($J$75),OR($G$75&lt;$H$75,$G$75&gt;$I$75)),FALSE)</f>
        <v/>
      </c>
      <c r="M75" t="inlineStr">
        <is>
          <t>TC0022</t>
        </is>
      </c>
      <c r="N75" t="inlineStr">
        <is>
          <t>R_balance;R_full_weapon_audit;D_us_army_m109a7_fact_file;R_machine_brigade_can_bang</t>
        </is>
      </c>
      <c r="O7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5" t="inlineStr">
        <is>
          <t>Tools/balance/full_weapon_audit.py (bảng REAL) và 01_chien_dau/Vu_khi_suy_ra</t>
        </is>
      </c>
      <c r="Q75" t="inlineStr"/>
    </row>
    <row r="76">
      <c r="A76" t="inlineStr">
        <is>
          <t>gun_155_twin_long/nhip</t>
        </is>
      </c>
      <c r="B76" t="inlineStr">
        <is>
          <t>gun_155_twin_long</t>
        </is>
      </c>
      <c r="C76" t="inlineStr">
        <is>
          <t>khe_mot_nong_mot_vien</t>
        </is>
      </c>
      <c r="D76" t="inlineStr">
        <is>
          <t>s</t>
        </is>
      </c>
      <c r="E76" t="n">
        <v>8.839992857</v>
      </c>
      <c r="F76">
        <f>60/INDEX(Vu_khi!$BB$2:$BB$360,MATCH($B$76,Vu_khi!$A$2:$A$360,0))/IF(INDEX(Vu_khi!$BD$2:$BD$360,MATCH($B$76,Vu_khi!$A$2:$A$360,0))="gun",0.7,1)</f>
        <v/>
      </c>
      <c r="G76">
        <f>$E$76/$F$76</f>
        <v/>
      </c>
      <c r="H76" t="n">
        <v>0.6</v>
      </c>
      <c r="I76" t="n">
        <v>2</v>
      </c>
      <c r="J76" t="b">
        <v>0</v>
      </c>
      <c r="K76" t="inlineStr"/>
      <c r="L76">
        <f>IF(ISNUMBER($H$76),AND(NOT($J$76),OR($G$76&lt;$H$76,$G$76&gt;$I$76)),FALSE)</f>
        <v/>
      </c>
      <c r="M76" t="inlineStr">
        <is>
          <t>TC0023</t>
        </is>
      </c>
      <c r="N76" t="inlineStr">
        <is>
          <t>R_balance;R_full_weapon_audit;D_us_army_m109a7_fact_file</t>
        </is>
      </c>
      <c r="O7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6" t="inlineStr">
        <is>
          <t>Tools/balance/full_weapon_audit.py (bảng REAL) và 01_chien_dau/Vu_khi_suy_ra</t>
        </is>
      </c>
      <c r="Q76" t="inlineStr"/>
    </row>
    <row r="77">
      <c r="A77" t="inlineStr">
        <is>
          <t>gun_203_siege/nhip</t>
        </is>
      </c>
      <c r="B77" t="inlineStr">
        <is>
          <t>gun_203_siege</t>
        </is>
      </c>
      <c r="C77" t="inlineStr">
        <is>
          <t>khe_mot_nong_mot_vien</t>
        </is>
      </c>
      <c r="D77" t="inlineStr">
        <is>
          <t>s</t>
        </is>
      </c>
      <c r="E77" t="n">
        <v>12.200014286</v>
      </c>
      <c r="F77">
        <f>60/INDEX(Vu_khi!$BB$2:$BB$360,MATCH($B$77,Vu_khi!$A$2:$A$360,0))/IF(INDEX(Vu_khi!$BD$2:$BD$360,MATCH($B$77,Vu_khi!$A$2:$A$360,0))="gun",0.7,1)</f>
        <v/>
      </c>
      <c r="G77">
        <f>$E$77/$F$77</f>
        <v/>
      </c>
      <c r="H77" t="n">
        <v>0.6</v>
      </c>
      <c r="I77" t="n">
        <v>2</v>
      </c>
      <c r="J77" t="b">
        <v>0</v>
      </c>
      <c r="K77" t="inlineStr"/>
      <c r="L77">
        <f>IF(ISNUMBER($H$77),AND(NOT($J$77),OR($G$77&lt;$H$77,$G$77&gt;$I$77)),FALSE)</f>
        <v/>
      </c>
      <c r="M77" t="inlineStr">
        <is>
          <t>TC0024</t>
        </is>
      </c>
      <c r="N77" t="inlineStr">
        <is>
          <t>R_balance;R_full_weapon_audit;W_wikipedia_m110_howitzer</t>
        </is>
      </c>
      <c r="O7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7" t="inlineStr">
        <is>
          <t>Tools/balance/full_weapon_audit.py (bảng REAL) và 01_chien_dau/Vu_khi_suy_ra</t>
        </is>
      </c>
      <c r="Q77" t="inlineStr"/>
    </row>
    <row r="78">
      <c r="A78" t="inlineStr">
        <is>
          <t>gun_behemoth/nhip</t>
        </is>
      </c>
      <c r="B78" t="inlineStr">
        <is>
          <t>gun_behemoth</t>
        </is>
      </c>
      <c r="C78" t="inlineStr">
        <is>
          <t>khe_mot_nong_mot_vien</t>
        </is>
      </c>
      <c r="D78" t="inlineStr">
        <is>
          <t>s</t>
        </is>
      </c>
      <c r="E78" t="n">
        <v>8.979996429</v>
      </c>
      <c r="F78">
        <f>60/INDEX(Vu_khi!$BB$2:$BB$360,MATCH($B$78,Vu_khi!$A$2:$A$360,0))/IF(INDEX(Vu_khi!$BD$2:$BD$360,MATCH($B$78,Vu_khi!$A$2:$A$360,0))="gun",0.7,1)</f>
        <v/>
      </c>
      <c r="G78">
        <f>$E$78/$F$78</f>
        <v/>
      </c>
      <c r="H78" t="n">
        <v>0.6</v>
      </c>
      <c r="I78" t="n">
        <v>2</v>
      </c>
      <c r="J78" t="b">
        <v>0</v>
      </c>
      <c r="K78" t="inlineStr"/>
      <c r="L78">
        <f>IF(ISNUMBER($H$78),AND(NOT($J$78),OR($G$78&lt;$H$78,$G$78&gt;$I$78)),FALSE)</f>
        <v/>
      </c>
      <c r="M78" t="inlineStr"/>
      <c r="N78" t="inlineStr">
        <is>
          <t>R_balance;R_full_weapon_audit;W_wikipedia_2a65_msta_b</t>
        </is>
      </c>
      <c r="O7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8" t="inlineStr">
        <is>
          <t>Tools/balance/full_weapon_audit.py (bảng REAL) và 01_chien_dau/Vu_khi_suy_ra</t>
        </is>
      </c>
      <c r="Q78" t="inlineStr"/>
    </row>
    <row r="79">
      <c r="A79" t="inlineStr">
        <is>
          <t>gun_launched_atgm/nhip</t>
        </is>
      </c>
      <c r="B79" t="inlineStr">
        <is>
          <t>gun_launched_atgm</t>
        </is>
      </c>
      <c r="C79" t="inlineStr">
        <is>
          <t>khe_mot_nong_mot_vien</t>
        </is>
      </c>
      <c r="D79" t="inlineStr">
        <is>
          <t>s</t>
        </is>
      </c>
      <c r="E79" t="n">
        <v>19.999995</v>
      </c>
      <c r="F79">
        <f>60/INDEX(Vu_khi!$BB$2:$BB$360,MATCH($B$79,Vu_khi!$A$2:$A$360,0))/IF(INDEX(Vu_khi!$BD$2:$BD$360,MATCH($B$79,Vu_khi!$A$2:$A$360,0))="gun",0.7,1)</f>
        <v/>
      </c>
      <c r="G79">
        <f>$E$79/$F$79</f>
        <v/>
      </c>
      <c r="H79" t="n">
        <v>0.6</v>
      </c>
      <c r="I79" t="n">
        <v>2</v>
      </c>
      <c r="J79" t="b">
        <v>0</v>
      </c>
      <c r="K79" t="inlineStr"/>
      <c r="L79">
        <f>IF(ISNUMBER($H$79),AND(NOT($J$79),OR($G$79&lt;$H$79,$G$79&gt;$I$79)),FALSE)</f>
        <v/>
      </c>
      <c r="M79" t="inlineStr"/>
      <c r="N79" t="inlineStr">
        <is>
          <t>R_balance;R_full_weapon_audit</t>
        </is>
      </c>
      <c r="O7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79" t="inlineStr">
        <is>
          <t>Tools/balance/full_weapon_audit.py (bảng REAL) và 01_chien_dau/Vu_khi_suy_ra</t>
        </is>
      </c>
      <c r="Q79" t="inlineStr"/>
    </row>
    <row r="80">
      <c r="A80" t="inlineStr">
        <is>
          <t>gun_pit_105/nhip</t>
        </is>
      </c>
      <c r="B80" t="inlineStr">
        <is>
          <t>gun_pit_105</t>
        </is>
      </c>
      <c r="C80" t="inlineStr">
        <is>
          <t>khe_mot_nong_mot_vien</t>
        </is>
      </c>
      <c r="D80" t="inlineStr">
        <is>
          <t>s</t>
        </is>
      </c>
      <c r="E80" t="n">
        <v>4.629996429</v>
      </c>
      <c r="F80">
        <f>60/INDEX(Vu_khi!$BB$2:$BB$360,MATCH($B$80,Vu_khi!$A$2:$A$360,0))/IF(INDEX(Vu_khi!$BD$2:$BD$360,MATCH($B$80,Vu_khi!$A$2:$A$360,0))="gun",0.7,1)</f>
        <v/>
      </c>
      <c r="G80">
        <f>$E$80/$F$80</f>
        <v/>
      </c>
      <c r="H80" t="n">
        <v>0.6</v>
      </c>
      <c r="I80" t="n">
        <v>2</v>
      </c>
      <c r="J80" t="b">
        <v>0</v>
      </c>
      <c r="K80" t="inlineStr"/>
      <c r="L80">
        <f>IF(ISNUMBER($H$80),AND(NOT($J$80),OR($G$80&lt;$H$80,$G$80&gt;$I$80)),FALSE)</f>
        <v/>
      </c>
      <c r="M80" t="inlineStr">
        <is>
          <t>TC0026</t>
        </is>
      </c>
      <c r="N80" t="inlineStr">
        <is>
          <t>R_balance;R_full_weapon_audit;W_wikipedia_rheinmetall_120_mm_gun;R_machine_brigade_can_bang</t>
        </is>
      </c>
      <c r="O8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80" t="inlineStr">
        <is>
          <t>Tools/balance/full_weapon_audit.py (bảng REAL) và 01_chien_dau/Vu_khi_suy_ra</t>
        </is>
      </c>
      <c r="Q80" t="inlineStr"/>
    </row>
    <row r="81">
      <c r="A81" t="inlineStr">
        <is>
          <t>gunship_25mm/nhip</t>
        </is>
      </c>
      <c r="B81" t="inlineStr">
        <is>
          <t>gunship_25mm</t>
        </is>
      </c>
      <c r="C81" t="inlineStr">
        <is>
          <t>khe_mot_nong_mot_vien</t>
        </is>
      </c>
      <c r="D81" t="inlineStr">
        <is>
          <t>s</t>
        </is>
      </c>
      <c r="E81" t="n">
        <v>0.107330357</v>
      </c>
      <c r="F81">
        <f>60/INDEX(Vu_khi!$BB$2:$BB$360,MATCH($B$81,Vu_khi!$A$2:$A$360,0))/IF(INDEX(Vu_khi!$BD$2:$BD$360,MATCH($B$81,Vu_khi!$A$2:$A$360,0))="gun",0.7,1)</f>
        <v/>
      </c>
      <c r="G81">
        <f>$E$81/$F$81</f>
        <v/>
      </c>
      <c r="H81" t="n">
        <v>0.6</v>
      </c>
      <c r="I81" t="n">
        <v>2</v>
      </c>
      <c r="J81" t="b">
        <v>1</v>
      </c>
      <c r="K81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81">
        <f>IF(ISNUMBER($H$81),AND(NOT($J$81),OR($G$81&lt;$H$81,$G$81&gt;$I$81)),FALSE)</f>
        <v/>
      </c>
      <c r="M81" t="inlineStr"/>
      <c r="N81" t="inlineStr">
        <is>
          <t>R_balance;R_full_weapon_audit;W_wikipedia_gau_12_equalizer;R_machine_brigade_can_bang</t>
        </is>
      </c>
      <c r="O8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81" t="inlineStr">
        <is>
          <t>Tools/balance/full_weapon_audit.py (bảng REAL) và 01_chien_dau/Vu_khi_suy_ra</t>
        </is>
      </c>
      <c r="Q81" t="inlineStr"/>
    </row>
    <row r="82">
      <c r="A82" t="inlineStr">
        <is>
          <t>gunship_40mm/nhip</t>
        </is>
      </c>
      <c r="B82" t="inlineStr">
        <is>
          <t>gunship_40mm</t>
        </is>
      </c>
      <c r="C82" t="inlineStr">
        <is>
          <t>khe_mot_nong_mot_vien</t>
        </is>
      </c>
      <c r="D82" t="inlineStr">
        <is>
          <t>s</t>
        </is>
      </c>
      <c r="E82" t="n">
        <v>0.2066345</v>
      </c>
      <c r="F82">
        <f>60/INDEX(Vu_khi!$BB$2:$BB$360,MATCH($B$82,Vu_khi!$A$2:$A$360,0))/IF(INDEX(Vu_khi!$BD$2:$BD$360,MATCH($B$82,Vu_khi!$A$2:$A$360,0))="gun",0.7,1)</f>
        <v/>
      </c>
      <c r="G82">
        <f>$E$82/$F$82</f>
        <v/>
      </c>
      <c r="H82" t="n">
        <v>0.6</v>
      </c>
      <c r="I82" t="n">
        <v>2</v>
      </c>
      <c r="J82" t="b">
        <v>0</v>
      </c>
      <c r="K82" t="inlineStr"/>
      <c r="L82">
        <f>IF(ISNUMBER($H$82),AND(NOT($J$82),OR($G$82&lt;$H$82,$G$82&gt;$I$82)),FALSE)</f>
        <v/>
      </c>
      <c r="M82" t="inlineStr">
        <is>
          <t>TC0027</t>
        </is>
      </c>
      <c r="N82" t="inlineStr">
        <is>
          <t>R_balance;R_full_weapon_audit;W_wikipedia_bofors_40_mm_l_60;R_machine_brigade_can_bang</t>
        </is>
      </c>
      <c r="O8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82" t="inlineStr">
        <is>
          <t>Tools/balance/full_weapon_audit.py (bảng REAL) và 01_chien_dau/Vu_khi_suy_ra</t>
        </is>
      </c>
      <c r="Q82" t="inlineStr"/>
    </row>
    <row r="83">
      <c r="A83" t="inlineStr">
        <is>
          <t>gunship_105/nhip</t>
        </is>
      </c>
      <c r="B83" t="inlineStr">
        <is>
          <t>gunship_105</t>
        </is>
      </c>
      <c r="C83" t="inlineStr">
        <is>
          <t>khe_mot_nong_mot_vien</t>
        </is>
      </c>
      <c r="D83" t="inlineStr">
        <is>
          <t>s</t>
        </is>
      </c>
      <c r="E83" t="n">
        <v>3.919002857</v>
      </c>
      <c r="F83">
        <f>60/INDEX(Vu_khi!$BB$2:$BB$360,MATCH($B$83,Vu_khi!$A$2:$A$360,0))/IF(INDEX(Vu_khi!$BD$2:$BD$360,MATCH($B$83,Vu_khi!$A$2:$A$360,0))="gun",0.7,1)</f>
        <v/>
      </c>
      <c r="G83">
        <f>$E$83/$F$83</f>
        <v/>
      </c>
      <c r="H83" t="n">
        <v>0.6</v>
      </c>
      <c r="I83" t="n">
        <v>2</v>
      </c>
      <c r="J83" t="b">
        <v>1</v>
      </c>
      <c r="K83" t="inlineStr">
        <is>
          <t>fix_weapon_reasons.json: shared with the player's AC-130: the player rule (Docs/balance/player_weapon_waitlist.md)</t>
        </is>
      </c>
      <c r="L83">
        <f>IF(ISNUMBER($H$83),AND(NOT($J$83),OR($G$83&lt;$H$83,$G$83&gt;$I$83)),FALSE)</f>
        <v/>
      </c>
      <c r="M83" t="inlineStr"/>
      <c r="N83" t="inlineStr">
        <is>
          <t>R_balance;R_full_weapon_audit;W_wikipedia_m102_howitzer;R_machine_brigade_can_bang</t>
        </is>
      </c>
      <c r="O8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83" t="inlineStr">
        <is>
          <t>Tools/balance/full_weapon_audit.py (bảng REAL) và 01_chien_dau/Vu_khi_suy_ra</t>
        </is>
      </c>
      <c r="Q83" t="inlineStr"/>
    </row>
    <row r="84">
      <c r="A84" t="inlineStr">
        <is>
          <t>gunship_rockets/nhip</t>
        </is>
      </c>
      <c r="B84" t="inlineStr">
        <is>
          <t>gunship_rockets</t>
        </is>
      </c>
      <c r="C84" t="inlineStr">
        <is>
          <t>khe_mot_nong_mot_vien</t>
        </is>
      </c>
      <c r="D84" t="inlineStr">
        <is>
          <t>s</t>
        </is>
      </c>
      <c r="E84" t="n">
        <v>0.1</v>
      </c>
      <c r="F84">
        <f>60/INDEX(Vu_khi!$BB$2:$BB$360,MATCH($B$84,Vu_khi!$A$2:$A$360,0))/IF(INDEX(Vu_khi!$BD$2:$BD$360,MATCH($B$84,Vu_khi!$A$2:$A$360,0))="gun",0.7,1)</f>
        <v/>
      </c>
      <c r="G84">
        <f>$E$84/$F$84</f>
        <v/>
      </c>
      <c r="H84" t="n">
        <v>0.6</v>
      </c>
      <c r="I84" t="n">
        <v>2</v>
      </c>
      <c r="J84" t="b">
        <v>0</v>
      </c>
      <c r="K84" t="inlineStr"/>
      <c r="L84">
        <f>IF(ISNUMBER($H$84),AND(NOT($J$84),OR($G$84&lt;$H$84,$G$84&gt;$I$84)),FALSE)</f>
        <v/>
      </c>
      <c r="M84" t="inlineStr"/>
      <c r="N84" t="inlineStr">
        <is>
          <t>R_balance;R_full_weapon_audit;R_decisions;R_machine_brigade_can_bang</t>
        </is>
      </c>
      <c r="O8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84" t="inlineStr">
        <is>
          <t>Tools/balance/full_weapon_audit.py (bảng REAL) và 01_chien_dau/Vu_khi_suy_ra</t>
        </is>
      </c>
      <c r="Q84" t="inlineStr"/>
    </row>
    <row r="85">
      <c r="A85" t="inlineStr">
        <is>
          <t>heli_gun/nhip</t>
        </is>
      </c>
      <c r="B85" t="inlineStr">
        <is>
          <t>heli_gun</t>
        </is>
      </c>
      <c r="C85" t="inlineStr">
        <is>
          <t>khe_mot_nong_mot_vien</t>
        </is>
      </c>
      <c r="D85" t="inlineStr">
        <is>
          <t>s</t>
        </is>
      </c>
      <c r="E85" t="n">
        <v>0.241699968</v>
      </c>
      <c r="F85">
        <f>60/INDEX(Vu_khi!$BB$2:$BB$360,MATCH($B$85,Vu_khi!$A$2:$A$360,0))/IF(INDEX(Vu_khi!$BD$2:$BD$360,MATCH($B$85,Vu_khi!$A$2:$A$360,0))="gun",0.7,1)</f>
        <v/>
      </c>
      <c r="G85">
        <f>$E$85/$F$85</f>
        <v/>
      </c>
      <c r="H85" t="n">
        <v>0.6</v>
      </c>
      <c r="I85" t="n">
        <v>2</v>
      </c>
      <c r="J85" t="b">
        <v>1</v>
      </c>
      <c r="K85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85">
        <f>IF(ISNUMBER($H$85),AND(NOT($J$85),OR($G$85&lt;$H$85,$G$85&gt;$I$85)),FALSE)</f>
        <v/>
      </c>
      <c r="M85" t="inlineStr"/>
      <c r="N85" t="inlineStr">
        <is>
          <t>R_balance;R_full_weapon_audit;W_wikipedia_m230_chain_gun;R_machine_brigade_can_bang</t>
        </is>
      </c>
      <c r="O8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85" t="inlineStr">
        <is>
          <t>Tools/balance/full_weapon_audit.py (bảng REAL) và 01_chien_dau/Vu_khi_suy_ra</t>
        </is>
      </c>
      <c r="Q85" t="inlineStr"/>
    </row>
    <row r="86">
      <c r="A86" t="inlineStr">
        <is>
          <t>heli_rockets/nhip</t>
        </is>
      </c>
      <c r="B86" t="inlineStr">
        <is>
          <t>heli_rockets</t>
        </is>
      </c>
      <c r="C86" t="inlineStr">
        <is>
          <t>khe_mot_nong_mot_vien</t>
        </is>
      </c>
      <c r="D86" t="inlineStr">
        <is>
          <t>s</t>
        </is>
      </c>
      <c r="E86" t="n">
        <v>0.12</v>
      </c>
      <c r="F86">
        <f>60/INDEX(Vu_khi!$BB$2:$BB$360,MATCH($B$86,Vu_khi!$A$2:$A$360,0))/IF(INDEX(Vu_khi!$BD$2:$BD$360,MATCH($B$86,Vu_khi!$A$2:$A$360,0))="gun",0.7,1)</f>
        <v/>
      </c>
      <c r="G86">
        <f>$E$86/$F$86</f>
        <v/>
      </c>
      <c r="H86" t="n">
        <v>0.6</v>
      </c>
      <c r="I86" t="n">
        <v>2</v>
      </c>
      <c r="J86" t="b">
        <v>0</v>
      </c>
      <c r="K86" t="inlineStr"/>
      <c r="L86">
        <f>IF(ISNUMBER($H$86),AND(NOT($J$86),OR($G$86&lt;$H$86,$G$86&gt;$I$86)),FALSE)</f>
        <v/>
      </c>
      <c r="M86" t="inlineStr"/>
      <c r="N86" t="inlineStr">
        <is>
          <t>R_balance;R_full_weapon_audit;R_decisions;R_machine_brigade_can_bang</t>
        </is>
      </c>
      <c r="O8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86" t="inlineStr">
        <is>
          <t>Tools/balance/full_weapon_audit.py (bảng REAL) và 01_chien_dau/Vu_khi_suy_ra</t>
        </is>
      </c>
      <c r="Q86" t="inlineStr"/>
    </row>
    <row r="87">
      <c r="A87" t="inlineStr">
        <is>
          <t>hellfire_standoff/sat_thuong</t>
        </is>
      </c>
      <c r="B87" t="inlineStr">
        <is>
          <t>hellfire_standoff</t>
        </is>
      </c>
      <c r="C87" t="inlineStr">
        <is>
          <t>sat_thuong_tren_kg_dau_dan</t>
        </is>
      </c>
      <c r="D87" t="inlineStr">
        <is>
          <t>hp/kg</t>
        </is>
      </c>
      <c r="E87">
        <f>INDEX(Vu_khi!$W$2:$W$360,MATCH($B$87,Vu_khi!$A$2:$A$360,0))</f>
        <v/>
      </c>
      <c r="F87">
        <f>INDEX(Vu_khi_tham_chieu!$AB$2:$AB$360,MATCH($B$87,Vu_khi_tham_chieu!$A$2:$A$360,0))</f>
        <v/>
      </c>
      <c r="G87">
        <f>$E$87/$F$87</f>
        <v/>
      </c>
      <c r="H87" t="inlineStr"/>
      <c r="I87" t="inlineStr"/>
      <c r="J87" t="b">
        <v>0</v>
      </c>
      <c r="K87" t="inlineStr"/>
      <c r="L87">
        <f>IF(ISNUMBER($H$87),AND(NOT($J$87),OR($G$87&lt;$H$87,$G$87&gt;$I$87)),FALSE)</f>
        <v/>
      </c>
      <c r="M87" t="inlineStr"/>
      <c r="N87" t="inlineStr">
        <is>
          <t>R_full_weapon_audit</t>
        </is>
      </c>
      <c r="O87" t="inlineStr">
        <is>
          <t>sát thương một phát / khối lượng đầu đạn (không bắt buộc 1:1, chỉ ghi ty_le)</t>
        </is>
      </c>
      <c r="P87" t="inlineStr">
        <is>
          <t>Tools/balance/full_weapon_audit.py WARHEAD</t>
        </is>
      </c>
      <c r="Q87" t="inlineStr"/>
    </row>
    <row r="88">
      <c r="A88" t="inlineStr">
        <is>
          <t>hellfire_volley/sat_thuong</t>
        </is>
      </c>
      <c r="B88" t="inlineStr">
        <is>
          <t>hellfire_volley</t>
        </is>
      </c>
      <c r="C88" t="inlineStr">
        <is>
          <t>sat_thuong_tren_kg_dau_dan</t>
        </is>
      </c>
      <c r="D88" t="inlineStr">
        <is>
          <t>hp/kg</t>
        </is>
      </c>
      <c r="E88">
        <f>INDEX(Vu_khi!$W$2:$W$360,MATCH($B$88,Vu_khi!$A$2:$A$360,0))</f>
        <v/>
      </c>
      <c r="F88">
        <f>INDEX(Vu_khi_tham_chieu!$AB$2:$AB$360,MATCH($B$88,Vu_khi_tham_chieu!$A$2:$A$360,0))</f>
        <v/>
      </c>
      <c r="G88">
        <f>$E$88/$F$88</f>
        <v/>
      </c>
      <c r="H88" t="inlineStr"/>
      <c r="I88" t="inlineStr"/>
      <c r="J88" t="b">
        <v>0</v>
      </c>
      <c r="K88" t="inlineStr"/>
      <c r="L88">
        <f>IF(ISNUMBER($H$88),AND(NOT($J$88),OR($G$88&lt;$H$88,$G$88&gt;$I$88)),FALSE)</f>
        <v/>
      </c>
      <c r="M88" t="inlineStr"/>
      <c r="N88" t="inlineStr">
        <is>
          <t>R_full_weapon_audit</t>
        </is>
      </c>
      <c r="O88" t="inlineStr">
        <is>
          <t>sát thương một phát / khối lượng đầu đạn (không bắt buộc 1:1, chỉ ghi ty_le)</t>
        </is>
      </c>
      <c r="P88" t="inlineStr">
        <is>
          <t>Tools/balance/full_weapon_audit.py WARHEAD</t>
        </is>
      </c>
      <c r="Q88" t="inlineStr"/>
    </row>
    <row r="89">
      <c r="A89" t="inlineStr">
        <is>
          <t>hind_rockets/nhip</t>
        </is>
      </c>
      <c r="B89" t="inlineStr">
        <is>
          <t>hind_rockets</t>
        </is>
      </c>
      <c r="C89" t="inlineStr">
        <is>
          <t>khe_mot_nong_mot_vien</t>
        </is>
      </c>
      <c r="D89" t="inlineStr">
        <is>
          <t>s</t>
        </is>
      </c>
      <c r="E89" t="n">
        <v>0.07000000000000001</v>
      </c>
      <c r="F89">
        <f>60/INDEX(Vu_khi!$BB$2:$BB$360,MATCH($B$89,Vu_khi!$A$2:$A$360,0))/IF(INDEX(Vu_khi!$BD$2:$BD$360,MATCH($B$89,Vu_khi!$A$2:$A$360,0))="gun",0.7,1)</f>
        <v/>
      </c>
      <c r="G89">
        <f>$E$89/$F$89</f>
        <v/>
      </c>
      <c r="H89" t="n">
        <v>0.6</v>
      </c>
      <c r="I89" t="n">
        <v>2</v>
      </c>
      <c r="J89" t="b">
        <v>0</v>
      </c>
      <c r="K89" t="inlineStr"/>
      <c r="L89">
        <f>IF(ISNUMBER($H$89),AND(NOT($J$89),OR($G$89&lt;$H$89,$G$89&gt;$I$89)),FALSE)</f>
        <v/>
      </c>
      <c r="M89" t="inlineStr"/>
      <c r="N89" t="inlineStr">
        <is>
          <t>R_balance;R_full_weapon_audit;R_decisions</t>
        </is>
      </c>
      <c r="O8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89" t="inlineStr">
        <is>
          <t>Tools/balance/full_weapon_audit.py (bảng REAL) và 01_chien_dau/Vu_khi_suy_ra</t>
        </is>
      </c>
      <c r="Q89" t="inlineStr"/>
    </row>
    <row r="90">
      <c r="A90" t="inlineStr">
        <is>
          <t>hmg_roof/nhip</t>
        </is>
      </c>
      <c r="B90" t="inlineStr">
        <is>
          <t>hmg_roof</t>
        </is>
      </c>
      <c r="C90" t="inlineStr">
        <is>
          <t>khe_mot_nong_mot_vien</t>
        </is>
      </c>
      <c r="D90" t="inlineStr">
        <is>
          <t>s</t>
        </is>
      </c>
      <c r="E90" t="n">
        <v>0.1611</v>
      </c>
      <c r="F90">
        <f>60/INDEX(Vu_khi!$BB$2:$BB$360,MATCH($B$90,Vu_khi!$A$2:$A$360,0))/IF(INDEX(Vu_khi!$BD$2:$BD$360,MATCH($B$90,Vu_khi!$A$2:$A$360,0))="gun",0.7,1)</f>
        <v/>
      </c>
      <c r="G90">
        <f>$E$90/$F$90</f>
        <v/>
      </c>
      <c r="H90" t="n">
        <v>0.6</v>
      </c>
      <c r="I90" t="n">
        <v>2</v>
      </c>
      <c r="J90" t="b">
        <v>0</v>
      </c>
      <c r="K90" t="inlineStr"/>
      <c r="L90">
        <f>IF(ISNUMBER($H$90),AND(NOT($J$90),OR($G$90&lt;$H$90,$G$90&gt;$I$90)),FALSE)</f>
        <v/>
      </c>
      <c r="M90" t="inlineStr"/>
      <c r="N90" t="inlineStr">
        <is>
          <t>R_balance;R_full_weapon_audit;D_us_army_fm_3_22_65;R_machine_brigade_can_bang</t>
        </is>
      </c>
      <c r="O9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0" t="inlineStr">
        <is>
          <t>Tools/balance/full_weapon_audit.py (bảng REAL) và 01_chien_dau/Vu_khi_suy_ra</t>
        </is>
      </c>
      <c r="Q90" t="inlineStr"/>
    </row>
    <row r="91">
      <c r="A91" t="inlineStr">
        <is>
          <t>hmg_selfdef_15/nhip</t>
        </is>
      </c>
      <c r="B91" t="inlineStr">
        <is>
          <t>hmg_selfdef_15</t>
        </is>
      </c>
      <c r="C91" t="inlineStr">
        <is>
          <t>khe_mot_nong_mot_vien</t>
        </is>
      </c>
      <c r="D91" t="inlineStr">
        <is>
          <t>s</t>
        </is>
      </c>
      <c r="E91" t="n">
        <v>0.1611</v>
      </c>
      <c r="F91">
        <f>60/INDEX(Vu_khi!$BB$2:$BB$360,MATCH($B$91,Vu_khi!$A$2:$A$360,0))/IF(INDEX(Vu_khi!$BD$2:$BD$360,MATCH($B$91,Vu_khi!$A$2:$A$360,0))="gun",0.7,1)</f>
        <v/>
      </c>
      <c r="G91">
        <f>$E$91/$F$91</f>
        <v/>
      </c>
      <c r="H91" t="n">
        <v>0.6</v>
      </c>
      <c r="I91" t="n">
        <v>2</v>
      </c>
      <c r="J91" t="b">
        <v>0</v>
      </c>
      <c r="K91" t="inlineStr"/>
      <c r="L91">
        <f>IF(ISNUMBER($H$91),AND(NOT($J$91),OR($G$91&lt;$H$91,$G$91&gt;$I$91)),FALSE)</f>
        <v/>
      </c>
      <c r="M91" t="inlineStr"/>
      <c r="N91" t="inlineStr">
        <is>
          <t>R_balance;R_full_weapon_audit;D_us_army_fm_3_22_65</t>
        </is>
      </c>
      <c r="O9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1" t="inlineStr">
        <is>
          <t>Tools/balance/full_weapon_audit.py (bảng REAL) và 01_chien_dau/Vu_khi_suy_ra</t>
        </is>
      </c>
      <c r="Q91" t="inlineStr"/>
    </row>
    <row r="92">
      <c r="A92" t="inlineStr">
        <is>
          <t>hmg_selfdef_18/nhip</t>
        </is>
      </c>
      <c r="B92" t="inlineStr">
        <is>
          <t>hmg_selfdef_18</t>
        </is>
      </c>
      <c r="C92" t="inlineStr">
        <is>
          <t>khe_mot_nong_mot_vien</t>
        </is>
      </c>
      <c r="D92" t="inlineStr">
        <is>
          <t>s</t>
        </is>
      </c>
      <c r="E92" t="n">
        <v>0.1611</v>
      </c>
      <c r="F92">
        <f>60/INDEX(Vu_khi!$BB$2:$BB$360,MATCH($B$92,Vu_khi!$A$2:$A$360,0))/IF(INDEX(Vu_khi!$BD$2:$BD$360,MATCH($B$92,Vu_khi!$A$2:$A$360,0))="gun",0.7,1)</f>
        <v/>
      </c>
      <c r="G92">
        <f>$E$92/$F$92</f>
        <v/>
      </c>
      <c r="H92" t="n">
        <v>0.6</v>
      </c>
      <c r="I92" t="n">
        <v>2</v>
      </c>
      <c r="J92" t="b">
        <v>0</v>
      </c>
      <c r="K92" t="inlineStr"/>
      <c r="L92">
        <f>IF(ISNUMBER($H$92),AND(NOT($J$92),OR($G$92&lt;$H$92,$G$92&gt;$I$92)),FALSE)</f>
        <v/>
      </c>
      <c r="M92" t="inlineStr"/>
      <c r="N92" t="inlineStr">
        <is>
          <t>R_balance;R_full_weapon_audit;D_us_army_fm_3_22_65</t>
        </is>
      </c>
      <c r="O9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2" t="inlineStr">
        <is>
          <t>Tools/balance/full_weapon_audit.py (bảng REAL) và 01_chien_dau/Vu_khi_suy_ra</t>
        </is>
      </c>
      <c r="Q92" t="inlineStr"/>
    </row>
    <row r="93">
      <c r="A93" t="inlineStr">
        <is>
          <t>hmg_selfdef_21/nhip</t>
        </is>
      </c>
      <c r="B93" t="inlineStr">
        <is>
          <t>hmg_selfdef_21</t>
        </is>
      </c>
      <c r="C93" t="inlineStr">
        <is>
          <t>khe_mot_nong_mot_vien</t>
        </is>
      </c>
      <c r="D93" t="inlineStr">
        <is>
          <t>s</t>
        </is>
      </c>
      <c r="E93" t="n">
        <v>0.1611</v>
      </c>
      <c r="F93">
        <f>60/INDEX(Vu_khi!$BB$2:$BB$360,MATCH($B$93,Vu_khi!$A$2:$A$360,0))/IF(INDEX(Vu_khi!$BD$2:$BD$360,MATCH($B$93,Vu_khi!$A$2:$A$360,0))="gun",0.7,1)</f>
        <v/>
      </c>
      <c r="G93">
        <f>$E$93/$F$93</f>
        <v/>
      </c>
      <c r="H93" t="n">
        <v>0.6</v>
      </c>
      <c r="I93" t="n">
        <v>2</v>
      </c>
      <c r="J93" t="b">
        <v>0</v>
      </c>
      <c r="K93" t="inlineStr"/>
      <c r="L93">
        <f>IF(ISNUMBER($H$93),AND(NOT($J$93),OR($G$93&lt;$H$93,$G$93&gt;$I$93)),FALSE)</f>
        <v/>
      </c>
      <c r="M93" t="inlineStr"/>
      <c r="N93" t="inlineStr">
        <is>
          <t>R_balance;R_full_weapon_audit;D_us_army_fm_3_22_65</t>
        </is>
      </c>
      <c r="O9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3" t="inlineStr">
        <is>
          <t>Tools/balance/full_weapon_audit.py (bảng REAL) và 01_chien_dau/Vu_khi_suy_ra</t>
        </is>
      </c>
      <c r="Q93" t="inlineStr"/>
    </row>
    <row r="94">
      <c r="A94" t="inlineStr">
        <is>
          <t>hover_ciws/nhip</t>
        </is>
      </c>
      <c r="B94" t="inlineStr">
        <is>
          <t>hover_ciws</t>
        </is>
      </c>
      <c r="C94" t="inlineStr">
        <is>
          <t>khe_mot_nong_mot_vien</t>
        </is>
      </c>
      <c r="D94" t="inlineStr">
        <is>
          <t>s</t>
        </is>
      </c>
      <c r="E94" t="n">
        <v>0.100033332</v>
      </c>
      <c r="F94">
        <f>60/INDEX(Vu_khi!$BB$2:$BB$360,MATCH($B$94,Vu_khi!$A$2:$A$360,0))/IF(INDEX(Vu_khi!$BD$2:$BD$360,MATCH($B$94,Vu_khi!$A$2:$A$360,0))="gun",0.7,1)</f>
        <v/>
      </c>
      <c r="G94">
        <f>$E$94/$F$94</f>
        <v/>
      </c>
      <c r="H94" t="n">
        <v>0.6</v>
      </c>
      <c r="I94" t="n">
        <v>2</v>
      </c>
      <c r="J94" t="b">
        <v>1</v>
      </c>
      <c r="K94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94">
        <f>IF(ISNUMBER($H$94),AND(NOT($J$94),OR($G$94&lt;$H$94,$G$94&gt;$I$94)),FALSE)</f>
        <v/>
      </c>
      <c r="M94" t="inlineStr"/>
      <c r="N94" t="inlineStr">
        <is>
          <t>R_balance;R_full_weapon_audit;W_wikipedia_ak_630;R_machine_brigade_can_bang</t>
        </is>
      </c>
      <c r="O9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4" t="inlineStr">
        <is>
          <t>Tools/balance/full_weapon_audit.py (bảng REAL) và 01_chien_dau/Vu_khi_suy_ra</t>
        </is>
      </c>
      <c r="Q94" t="inlineStr"/>
    </row>
    <row r="95">
      <c r="A95" t="inlineStr">
        <is>
          <t>hover_rockets/nhip</t>
        </is>
      </c>
      <c r="B95" t="inlineStr">
        <is>
          <t>hover_rockets</t>
        </is>
      </c>
      <c r="C95" t="inlineStr">
        <is>
          <t>khe_mot_nong_mot_vien</t>
        </is>
      </c>
      <c r="D95" t="inlineStr">
        <is>
          <t>s</t>
        </is>
      </c>
      <c r="E95" t="n">
        <v>0.5</v>
      </c>
      <c r="F95">
        <f>60/INDEX(Vu_khi!$BB$2:$BB$360,MATCH($B$95,Vu_khi!$A$2:$A$360,0))/IF(INDEX(Vu_khi!$BD$2:$BD$360,MATCH($B$95,Vu_khi!$A$2:$A$360,0))="gun",0.7,1)</f>
        <v/>
      </c>
      <c r="G95">
        <f>$E$95/$F$95</f>
        <v/>
      </c>
      <c r="H95" t="n">
        <v>0.6</v>
      </c>
      <c r="I95" t="n">
        <v>2</v>
      </c>
      <c r="J95" t="b">
        <v>0</v>
      </c>
      <c r="K95" t="inlineStr"/>
      <c r="L95">
        <f>IF(ISNUMBER($H$95),AND(NOT($J$95),OR($G$95&lt;$H$95,$G$95&gt;$I$95)),FALSE)</f>
        <v/>
      </c>
      <c r="M95" t="inlineStr"/>
      <c r="N95" t="inlineStr">
        <is>
          <t>R_balance;R_full_weapon_audit;R_machine_brigade_can_bang</t>
        </is>
      </c>
      <c r="O9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5" t="inlineStr">
        <is>
          <t>Tools/balance/full_weapon_audit.py (bảng REAL) và 01_chien_dau/Vu_khi_suy_ra</t>
        </is>
      </c>
      <c r="Q95" t="inlineStr"/>
    </row>
    <row r="96">
      <c r="A96" t="inlineStr">
        <is>
          <t>howitzer/nhip</t>
        </is>
      </c>
      <c r="B96" t="inlineStr">
        <is>
          <t>howitzer</t>
        </is>
      </c>
      <c r="C96" t="inlineStr">
        <is>
          <t>khe_mot_nong_mot_vien</t>
        </is>
      </c>
      <c r="D96" t="inlineStr">
        <is>
          <t>s</t>
        </is>
      </c>
      <c r="E96" t="n">
        <v>11.8785</v>
      </c>
      <c r="F96">
        <f>60/INDEX(Vu_khi!$BB$2:$BB$360,MATCH($B$96,Vu_khi!$A$2:$A$360,0))/IF(INDEX(Vu_khi!$BD$2:$BD$360,MATCH($B$96,Vu_khi!$A$2:$A$360,0))="gun",0.7,1)</f>
        <v/>
      </c>
      <c r="G96">
        <f>$E$96/$F$96</f>
        <v/>
      </c>
      <c r="H96" t="n">
        <v>0.6</v>
      </c>
      <c r="I96" t="n">
        <v>2</v>
      </c>
      <c r="J96" t="b">
        <v>0</v>
      </c>
      <c r="K96" t="inlineStr"/>
      <c r="L96">
        <f>IF(ISNUMBER($H$96),AND(NOT($J$96),OR($G$96&lt;$H$96,$G$96&gt;$I$96)),FALSE)</f>
        <v/>
      </c>
      <c r="M96" t="inlineStr">
        <is>
          <t>TC0028</t>
        </is>
      </c>
      <c r="N96" t="inlineStr">
        <is>
          <t>R_balance;R_full_weapon_audit;D_us_army_m109a7_fact_file;R_machine_brigade_can_bang</t>
        </is>
      </c>
      <c r="O9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6" t="inlineStr">
        <is>
          <t>Tools/balance/full_weapon_audit.py (bảng REAL) và 01_chien_dau/Vu_khi_suy_ra</t>
        </is>
      </c>
      <c r="Q96" t="inlineStr"/>
    </row>
    <row r="97">
      <c r="A97" t="inlineStr">
        <is>
          <t>howitzer_ext/nhip</t>
        </is>
      </c>
      <c r="B97" t="inlineStr">
        <is>
          <t>howitzer_ext</t>
        </is>
      </c>
      <c r="C97" t="inlineStr">
        <is>
          <t>khe_mot_nong_mot_vien</t>
        </is>
      </c>
      <c r="D97" t="inlineStr">
        <is>
          <t>s</t>
        </is>
      </c>
      <c r="E97" t="n">
        <v>8.620992856999999</v>
      </c>
      <c r="F97">
        <f>60/INDEX(Vu_khi!$BB$2:$BB$360,MATCH($B$97,Vu_khi!$A$2:$A$360,0))/IF(INDEX(Vu_khi!$BD$2:$BD$360,MATCH($B$97,Vu_khi!$A$2:$A$360,0))="gun",0.7,1)</f>
        <v/>
      </c>
      <c r="G97">
        <f>$E$97/$F$97</f>
        <v/>
      </c>
      <c r="H97" t="n">
        <v>0.6</v>
      </c>
      <c r="I97" t="n">
        <v>2</v>
      </c>
      <c r="J97" t="b">
        <v>0</v>
      </c>
      <c r="K97" t="inlineStr"/>
      <c r="L97">
        <f>IF(ISNUMBER($H$97),AND(NOT($J$97),OR($G$97&lt;$H$97,$G$97&gt;$I$97)),FALSE)</f>
        <v/>
      </c>
      <c r="M97" t="inlineStr">
        <is>
          <t>TC0029</t>
        </is>
      </c>
      <c r="N97" t="inlineStr">
        <is>
          <t>R_balance;R_full_weapon_audit;D_us_army_m109a7_fact_file</t>
        </is>
      </c>
      <c r="O9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7" t="inlineStr">
        <is>
          <t>Tools/balance/full_weapon_audit.py (bảng REAL) và 01_chien_dau/Vu_khi_suy_ra</t>
        </is>
      </c>
      <c r="Q97" t="inlineStr"/>
    </row>
    <row r="98">
      <c r="A98" t="inlineStr">
        <is>
          <t>howitzer_fixed/nhip</t>
        </is>
      </c>
      <c r="B98" t="inlineStr">
        <is>
          <t>howitzer_fixed</t>
        </is>
      </c>
      <c r="C98" t="inlineStr">
        <is>
          <t>khe_mot_nong_mot_vien</t>
        </is>
      </c>
      <c r="D98" t="inlineStr">
        <is>
          <t>s</t>
        </is>
      </c>
      <c r="E98" t="n">
        <v>10.65</v>
      </c>
      <c r="F98">
        <f>60/INDEX(Vu_khi!$BB$2:$BB$360,MATCH($B$98,Vu_khi!$A$2:$A$360,0))/IF(INDEX(Vu_khi!$BD$2:$BD$360,MATCH($B$98,Vu_khi!$A$2:$A$360,0))="gun",0.7,1)</f>
        <v/>
      </c>
      <c r="G98">
        <f>$E$98/$F$98</f>
        <v/>
      </c>
      <c r="H98" t="n">
        <v>0.6</v>
      </c>
      <c r="I98" t="n">
        <v>2</v>
      </c>
      <c r="J98" t="b">
        <v>0</v>
      </c>
      <c r="K98" t="inlineStr"/>
      <c r="L98">
        <f>IF(ISNUMBER($H$98),AND(NOT($J$98),OR($G$98&lt;$H$98,$G$98&gt;$I$98)),FALSE)</f>
        <v/>
      </c>
      <c r="M98" t="inlineStr">
        <is>
          <t>TC0030</t>
        </is>
      </c>
      <c r="N98" t="inlineStr">
        <is>
          <t>R_balance;R_full_weapon_audit;D_us_army_m109a7_fact_file;R_machine_brigade_can_bang</t>
        </is>
      </c>
      <c r="O9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8" t="inlineStr">
        <is>
          <t>Tools/balance/full_weapon_audit.py (bảng REAL) và 01_chien_dau/Vu_khi_suy_ra</t>
        </is>
      </c>
      <c r="Q98" t="inlineStr"/>
    </row>
    <row r="99">
      <c r="A99" t="inlineStr">
        <is>
          <t>hq_flak/nhip</t>
        </is>
      </c>
      <c r="B99" t="inlineStr">
        <is>
          <t>hq_flak</t>
        </is>
      </c>
      <c r="C99" t="inlineStr">
        <is>
          <t>khe_mot_nong_mot_vien</t>
        </is>
      </c>
      <c r="D99" t="inlineStr">
        <is>
          <t>s</t>
        </is>
      </c>
      <c r="E99" t="n">
        <v>0.107200008</v>
      </c>
      <c r="F99">
        <f>60/INDEX(Vu_khi!$BB$2:$BB$360,MATCH($B$99,Vu_khi!$A$2:$A$360,0))/IF(INDEX(Vu_khi!$BD$2:$BD$360,MATCH($B$99,Vu_khi!$A$2:$A$360,0))="gun",0.7,1)</f>
        <v/>
      </c>
      <c r="G99">
        <f>$E$99/$F$99</f>
        <v/>
      </c>
      <c r="H99" t="n">
        <v>0.6</v>
      </c>
      <c r="I99" t="n">
        <v>2</v>
      </c>
      <c r="J99" t="b">
        <v>1</v>
      </c>
      <c r="K99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99">
        <f>IF(ISNUMBER($H$99),AND(NOT($J$99),OR($G$99&lt;$H$99,$G$99&gt;$I$99)),FALSE)</f>
        <v/>
      </c>
      <c r="M99" t="inlineStr"/>
      <c r="N99" t="inlineStr">
        <is>
          <t>R_balance;R_full_weapon_audit;W_wikipedia_2a38;R_machine_brigade_can_bang</t>
        </is>
      </c>
      <c r="O9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99" t="inlineStr">
        <is>
          <t>Tools/balance/full_weapon_audit.py (bảng REAL) và 01_chien_dau/Vu_khi_suy_ra</t>
        </is>
      </c>
      <c r="Q99" t="inlineStr"/>
    </row>
    <row r="100">
      <c r="A100" t="inlineStr">
        <is>
          <t>ifv_30/nhip</t>
        </is>
      </c>
      <c r="B100" t="inlineStr">
        <is>
          <t>ifv_30</t>
        </is>
      </c>
      <c r="C100" t="inlineStr">
        <is>
          <t>khe_mot_nong_mot_vien</t>
        </is>
      </c>
      <c r="D100" t="inlineStr">
        <is>
          <t>s</t>
        </is>
      </c>
      <c r="E100" t="n">
        <v>0.261099975</v>
      </c>
      <c r="F100">
        <f>60/INDEX(Vu_khi!$BB$2:$BB$360,MATCH($B$100,Vu_khi!$A$2:$A$360,0))/IF(INDEX(Vu_khi!$BD$2:$BD$360,MATCH($B$100,Vu_khi!$A$2:$A$360,0))="gun",0.7,1)</f>
        <v/>
      </c>
      <c r="G100">
        <f>$E$100/$F$100</f>
        <v/>
      </c>
      <c r="H100" t="n">
        <v>0.6</v>
      </c>
      <c r="I100" t="n">
        <v>2</v>
      </c>
      <c r="J100" t="b">
        <v>1</v>
      </c>
      <c r="K100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00">
        <f>IF(ISNUMBER($H$100),AND(NOT($J$100),OR($G$100&lt;$H$100,$G$100&gt;$I$100)),FALSE)</f>
        <v/>
      </c>
      <c r="M100" t="inlineStr"/>
      <c r="N100" t="inlineStr">
        <is>
          <t>R_balance;R_full_weapon_audit;W_wikipedia_2a42;R_machine_brigade_can_bang</t>
        </is>
      </c>
      <c r="O10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00" t="inlineStr">
        <is>
          <t>Tools/balance/full_weapon_audit.py (bảng REAL) và 01_chien_dau/Vu_khi_suy_ra</t>
        </is>
      </c>
      <c r="Q100" t="inlineStr"/>
    </row>
    <row r="101">
      <c r="A101" t="inlineStr">
        <is>
          <t>igla_v/loi_no</t>
        </is>
      </c>
      <c r="B101" t="inlineStr">
        <is>
          <t>igla_v</t>
        </is>
      </c>
      <c r="C101" t="inlineStr">
        <is>
          <t>loi_m_tren_can_bac_ba_kg_dau_dan</t>
        </is>
      </c>
      <c r="D101" t="inlineStr">
        <is>
          <t>m/kg^(1/3)</t>
        </is>
      </c>
      <c r="E101">
        <f>INDEX(Vu_khi!$X$2:$X$360,MATCH($B$101,Vu_khi!$A$2:$A$360,0))</f>
        <v/>
      </c>
      <c r="F101">
        <f>POWER(INDEX(Vu_khi_tham_chieu!$AB$2:$AB$360,MATCH($B$101,Vu_khi_tham_chieu!$A$2:$A$360,0)),1/3)</f>
        <v/>
      </c>
      <c r="G101">
        <f>$E$101/$F$101</f>
        <v/>
      </c>
      <c r="H101" t="inlineStr"/>
      <c r="I101" t="inlineStr"/>
      <c r="J101" t="b">
        <v>0</v>
      </c>
      <c r="K101" t="inlineStr"/>
      <c r="L101">
        <f>IF(ISNUMBER($H$101),AND(NOT($J$101),OR($G$101&lt;$H$101,$G$101&gt;$I$101)),FALSE)</f>
        <v/>
      </c>
      <c r="M101" t="inlineStr"/>
      <c r="N101" t="inlineStr">
        <is>
          <t>R_full_weapon_audit</t>
        </is>
      </c>
      <c r="O101" t="inlineStr">
        <is>
          <t>lõi nổ / căn bậc ba khối lượng đầu đạn (đầu đạn thay cho thuốc nổ: repo không có khối lượng thuốc nổ)</t>
        </is>
      </c>
      <c r="P101" t="inlineStr">
        <is>
          <t>Tools/balance/full_weapon_audit.py WARHEAD</t>
        </is>
      </c>
      <c r="Q101" t="inlineStr"/>
    </row>
    <row r="102">
      <c r="A102" t="inlineStr">
        <is>
          <t>igla_v/sat_thuong</t>
        </is>
      </c>
      <c r="B102" t="inlineStr">
        <is>
          <t>igla_v</t>
        </is>
      </c>
      <c r="C102" t="inlineStr">
        <is>
          <t>sat_thuong_tren_kg_dau_dan</t>
        </is>
      </c>
      <c r="D102" t="inlineStr">
        <is>
          <t>hp/kg</t>
        </is>
      </c>
      <c r="E102">
        <f>INDEX(Vu_khi!$W$2:$W$360,MATCH($B$102,Vu_khi!$A$2:$A$360,0))</f>
        <v/>
      </c>
      <c r="F102">
        <f>INDEX(Vu_khi_tham_chieu!$AB$2:$AB$360,MATCH($B$102,Vu_khi_tham_chieu!$A$2:$A$360,0))</f>
        <v/>
      </c>
      <c r="G102">
        <f>$E$102/$F$102</f>
        <v/>
      </c>
      <c r="H102" t="inlineStr"/>
      <c r="I102" t="inlineStr"/>
      <c r="J102" t="b">
        <v>0</v>
      </c>
      <c r="K102" t="inlineStr"/>
      <c r="L102">
        <f>IF(ISNUMBER($H$102),AND(NOT($J$102),OR($G$102&lt;$H$102,$G$102&gt;$I$102)),FALSE)</f>
        <v/>
      </c>
      <c r="M102" t="inlineStr"/>
      <c r="N102" t="inlineStr">
        <is>
          <t>R_full_weapon_audit</t>
        </is>
      </c>
      <c r="O102" t="inlineStr">
        <is>
          <t>sát thương một phát / khối lượng đầu đạn (không bắt buộc 1:1, chỉ ghi ty_le)</t>
        </is>
      </c>
      <c r="P102" t="inlineStr">
        <is>
          <t>Tools/balance/full_weapon_audit.py WARHEAD</t>
        </is>
      </c>
      <c r="Q102" t="inlineStr"/>
    </row>
    <row r="103">
      <c r="A103" t="inlineStr">
        <is>
          <t>jassm/nhip</t>
        </is>
      </c>
      <c r="B103" t="inlineStr">
        <is>
          <t>jassm</t>
        </is>
      </c>
      <c r="C103" t="inlineStr">
        <is>
          <t>khe_mot_nong_mot_vien</t>
        </is>
      </c>
      <c r="D103" t="inlineStr">
        <is>
          <t>s</t>
        </is>
      </c>
      <c r="E103" t="n">
        <v>0.6</v>
      </c>
      <c r="F103">
        <f>60/INDEX(Vu_khi!$BB$2:$BB$360,MATCH($B$103,Vu_khi!$A$2:$A$360,0))/IF(INDEX(Vu_khi!$BD$2:$BD$360,MATCH($B$103,Vu_khi!$A$2:$A$360,0))="gun",0.7,1)</f>
        <v/>
      </c>
      <c r="G103">
        <f>$E$103/$F$103</f>
        <v/>
      </c>
      <c r="H103" t="n">
        <v>0.6</v>
      </c>
      <c r="I103" t="n">
        <v>2</v>
      </c>
      <c r="J103" t="b">
        <v>0</v>
      </c>
      <c r="K103" t="inlineStr"/>
      <c r="L103">
        <f>IF(ISNUMBER($H$103),AND(NOT($J$103),OR($G$103&lt;$H$103,$G$103&gt;$I$103)),FALSE)</f>
        <v/>
      </c>
      <c r="M103" t="inlineStr">
        <is>
          <t>TC0031</t>
        </is>
      </c>
      <c r="N103" t="inlineStr">
        <is>
          <t>R_balance;R_full_weapon_audit;R_machine_brigade_can_bang</t>
        </is>
      </c>
      <c r="O10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03" t="inlineStr">
        <is>
          <t>Tools/balance/full_weapon_audit.py (bảng REAL) và 01_chien_dau/Vu_khi_suy_ra</t>
        </is>
      </c>
      <c r="Q103" t="inlineStr"/>
    </row>
    <row r="104">
      <c r="A104" t="inlineStr">
        <is>
          <t>jet_bombs/nhip</t>
        </is>
      </c>
      <c r="B104" t="inlineStr">
        <is>
          <t>jet_bombs</t>
        </is>
      </c>
      <c r="C104" t="inlineStr">
        <is>
          <t>khe_mot_nong_mot_vien</t>
        </is>
      </c>
      <c r="D104" t="inlineStr">
        <is>
          <t>s</t>
        </is>
      </c>
      <c r="E104" t="n">
        <v>0.25</v>
      </c>
      <c r="F104">
        <f>60/INDEX(Vu_khi!$BB$2:$BB$360,MATCH($B$104,Vu_khi!$A$2:$A$360,0))/IF(INDEX(Vu_khi!$BD$2:$BD$360,MATCH($B$104,Vu_khi!$A$2:$A$360,0))="gun",0.7,1)</f>
        <v/>
      </c>
      <c r="G104">
        <f>$E$104/$F$104</f>
        <v/>
      </c>
      <c r="H104" t="n">
        <v>0.6</v>
      </c>
      <c r="I104" t="n">
        <v>2</v>
      </c>
      <c r="J104" t="b">
        <v>1</v>
      </c>
      <c r="K104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04">
        <f>IF(ISNUMBER($H$104),AND(NOT($J$104),OR($G$104&lt;$H$104,$G$104&gt;$I$104)),FALSE)</f>
        <v/>
      </c>
      <c r="M104" t="inlineStr"/>
      <c r="N104" t="inlineStr">
        <is>
          <t>R_balance;R_full_weapon_audit;R_machine_brigade_can_bang</t>
        </is>
      </c>
      <c r="O10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04" t="inlineStr">
        <is>
          <t>Tools/balance/full_weapon_audit.py (bảng REAL) và 01_chien_dau/Vu_khi_suy_ra</t>
        </is>
      </c>
      <c r="Q104" t="inlineStr"/>
    </row>
    <row r="105">
      <c r="A105" t="inlineStr">
        <is>
          <t>jet_cannon/nhip</t>
        </is>
      </c>
      <c r="B105" t="inlineStr">
        <is>
          <t>jet_cannon</t>
        </is>
      </c>
      <c r="C105" t="inlineStr">
        <is>
          <t>khe_mot_nong_mot_vien</t>
        </is>
      </c>
      <c r="D105" t="inlineStr">
        <is>
          <t>s</t>
        </is>
      </c>
      <c r="E105" t="n">
        <v>0.07402858</v>
      </c>
      <c r="F105">
        <f>60/INDEX(Vu_khi!$BB$2:$BB$360,MATCH($B$105,Vu_khi!$A$2:$A$360,0))/IF(INDEX(Vu_khi!$BD$2:$BD$360,MATCH($B$105,Vu_khi!$A$2:$A$360,0))="gun",0.7,1)</f>
        <v/>
      </c>
      <c r="G105">
        <f>$E$105/$F$105</f>
        <v/>
      </c>
      <c r="H105" t="n">
        <v>0.6</v>
      </c>
      <c r="I105" t="n">
        <v>2</v>
      </c>
      <c r="J105" t="b">
        <v>1</v>
      </c>
      <c r="K105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05">
        <f>IF(ISNUMBER($H$105),AND(NOT($J$105),OR($G$105&lt;$H$105,$G$105&gt;$I$105)),FALSE)</f>
        <v/>
      </c>
      <c r="M105" t="inlineStr"/>
      <c r="N105" t="inlineStr">
        <is>
          <t>R_balance;R_full_weapon_audit;W_wikipedia_gsh_30_2;R_machine_brigade_can_bang</t>
        </is>
      </c>
      <c r="O10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05" t="inlineStr">
        <is>
          <t>Tools/balance/full_weapon_audit.py (bảng REAL) và 01_chien_dau/Vu_khi_suy_ra</t>
        </is>
      </c>
      <c r="Q105" t="inlineStr"/>
    </row>
    <row r="106">
      <c r="A106" t="inlineStr">
        <is>
          <t>jet_rockets/nhip</t>
        </is>
      </c>
      <c r="B106" t="inlineStr">
        <is>
          <t>jet_rockets</t>
        </is>
      </c>
      <c r="C106" t="inlineStr">
        <is>
          <t>khe_mot_nong_mot_vien</t>
        </is>
      </c>
      <c r="D106" t="inlineStr">
        <is>
          <t>s</t>
        </is>
      </c>
      <c r="E106" t="n">
        <v>0.08</v>
      </c>
      <c r="F106">
        <f>60/INDEX(Vu_khi!$BB$2:$BB$360,MATCH($B$106,Vu_khi!$A$2:$A$360,0))/IF(INDEX(Vu_khi!$BD$2:$BD$360,MATCH($B$106,Vu_khi!$A$2:$A$360,0))="gun",0.7,1)</f>
        <v/>
      </c>
      <c r="G106">
        <f>$E$106/$F$106</f>
        <v/>
      </c>
      <c r="H106" t="n">
        <v>0.6</v>
      </c>
      <c r="I106" t="n">
        <v>2</v>
      </c>
      <c r="J106" t="b">
        <v>0</v>
      </c>
      <c r="K106" t="inlineStr"/>
      <c r="L106">
        <f>IF(ISNUMBER($H$106),AND(NOT($J$106),OR($G$106&lt;$H$106,$G$106&gt;$I$106)),FALSE)</f>
        <v/>
      </c>
      <c r="M106" t="inlineStr"/>
      <c r="N106" t="inlineStr">
        <is>
          <t>R_balance;R_full_weapon_audit;R_decisions</t>
        </is>
      </c>
      <c r="O10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06" t="inlineStr">
        <is>
          <t>Tools/balance/full_weapon_audit.py (bảng REAL) và 01_chien_dau/Vu_khi_suy_ra</t>
        </is>
      </c>
      <c r="Q106" t="inlineStr"/>
    </row>
    <row r="107">
      <c r="A107" t="inlineStr">
        <is>
          <t>kh29/sat_thuong</t>
        </is>
      </c>
      <c r="B107" t="inlineStr">
        <is>
          <t>kh29</t>
        </is>
      </c>
      <c r="C107" t="inlineStr">
        <is>
          <t>sat_thuong_tren_kg_dau_dan</t>
        </is>
      </c>
      <c r="D107" t="inlineStr">
        <is>
          <t>hp/kg</t>
        </is>
      </c>
      <c r="E107">
        <f>INDEX(Vu_khi!$W$2:$W$360,MATCH($B$107,Vu_khi!$A$2:$A$360,0))</f>
        <v/>
      </c>
      <c r="F107">
        <f>INDEX(Vu_khi_tham_chieu!$AB$2:$AB$360,MATCH($B$107,Vu_khi_tham_chieu!$A$2:$A$360,0))</f>
        <v/>
      </c>
      <c r="G107">
        <f>$E$107/$F$107</f>
        <v/>
      </c>
      <c r="H107" t="inlineStr"/>
      <c r="I107" t="inlineStr"/>
      <c r="J107" t="b">
        <v>0</v>
      </c>
      <c r="K107" t="inlineStr"/>
      <c r="L107">
        <f>IF(ISNUMBER($H$107),AND(NOT($J$107),OR($G$107&lt;$H$107,$G$107&gt;$I$107)),FALSE)</f>
        <v/>
      </c>
      <c r="M107" t="inlineStr"/>
      <c r="N107" t="inlineStr">
        <is>
          <t>R_full_weapon_audit</t>
        </is>
      </c>
      <c r="O107" t="inlineStr">
        <is>
          <t>sát thương một phát / khối lượng đầu đạn (không bắt buộc 1:1, chỉ ghi ty_le)</t>
        </is>
      </c>
      <c r="P107" t="inlineStr">
        <is>
          <t>Tools/balance/full_weapon_audit.py WARHEAD</t>
        </is>
      </c>
      <c r="Q107" t="inlineStr"/>
    </row>
    <row r="108">
      <c r="A108" t="inlineStr">
        <is>
          <t>kornet_multi/nhip</t>
        </is>
      </c>
      <c r="B108" t="inlineStr">
        <is>
          <t>kornet_multi</t>
        </is>
      </c>
      <c r="C108" t="inlineStr">
        <is>
          <t>khe_mot_nong_mot_vien</t>
        </is>
      </c>
      <c r="D108" t="inlineStr">
        <is>
          <t>s</t>
        </is>
      </c>
      <c r="E108" t="n">
        <v>5.55</v>
      </c>
      <c r="F108">
        <f>60/INDEX(Vu_khi!$BB$2:$BB$360,MATCH($B$108,Vu_khi!$A$2:$A$360,0))/IF(INDEX(Vu_khi!$BD$2:$BD$360,MATCH($B$108,Vu_khi!$A$2:$A$360,0))="gun",0.7,1)</f>
        <v/>
      </c>
      <c r="G108">
        <f>$E$108/$F$108</f>
        <v/>
      </c>
      <c r="H108" t="n">
        <v>0.6</v>
      </c>
      <c r="I108" t="n">
        <v>2</v>
      </c>
      <c r="J108" t="b">
        <v>0</v>
      </c>
      <c r="K108" t="inlineStr"/>
      <c r="L108">
        <f>IF(ISNUMBER($H$108),AND(NOT($J$108),OR($G$108&lt;$H$108,$G$108&gt;$I$108)),FALSE)</f>
        <v/>
      </c>
      <c r="M108" t="inlineStr">
        <is>
          <t>TC0032</t>
        </is>
      </c>
      <c r="N108" t="inlineStr">
        <is>
          <t>R_balance;R_full_weapon_audit;W_wikipedia_9m133_kornet;W_wikipedia_bai_cua_tung_ten_lua_bang_warhead;R_machine_brigade_can_bang</t>
        </is>
      </c>
      <c r="O10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08" t="inlineStr">
        <is>
          <t>Tools/balance/full_weapon_audit.py (bảng REAL) và 01_chien_dau/Vu_khi_suy_ra</t>
        </is>
      </c>
      <c r="Q108" t="inlineStr"/>
    </row>
    <row r="109">
      <c r="A109" t="inlineStr">
        <is>
          <t>kornet_multi/sat_thuong</t>
        </is>
      </c>
      <c r="B109" t="inlineStr">
        <is>
          <t>kornet_multi</t>
        </is>
      </c>
      <c r="C109" t="inlineStr">
        <is>
          <t>sat_thuong_tren_kg_dau_dan</t>
        </is>
      </c>
      <c r="D109" t="inlineStr">
        <is>
          <t>hp/kg</t>
        </is>
      </c>
      <c r="E109">
        <f>INDEX(Vu_khi!$W$2:$W$360,MATCH($B$109,Vu_khi!$A$2:$A$360,0))</f>
        <v/>
      </c>
      <c r="F109">
        <f>INDEX(Vu_khi_tham_chieu!$AB$2:$AB$360,MATCH($B$109,Vu_khi_tham_chieu!$A$2:$A$360,0))</f>
        <v/>
      </c>
      <c r="G109">
        <f>$E$109/$F$109</f>
        <v/>
      </c>
      <c r="H109" t="inlineStr"/>
      <c r="I109" t="inlineStr"/>
      <c r="J109" t="b">
        <v>0</v>
      </c>
      <c r="K109" t="inlineStr"/>
      <c r="L109">
        <f>IF(ISNUMBER($H$109),AND(NOT($J$109),OR($G$109&lt;$H$109,$G$109&gt;$I$109)),FALSE)</f>
        <v/>
      </c>
      <c r="M109" t="inlineStr"/>
      <c r="N109" t="inlineStr">
        <is>
          <t>R_full_weapon_audit</t>
        </is>
      </c>
      <c r="O109" t="inlineStr">
        <is>
          <t>sát thương một phát / khối lượng đầu đạn (không bắt buộc 1:1, chỉ ghi ty_le)</t>
        </is>
      </c>
      <c r="P109" t="inlineStr">
        <is>
          <t>Tools/balance/full_weapon_audit.py WARHEAD</t>
        </is>
      </c>
      <c r="Q109" t="inlineStr"/>
    </row>
    <row r="110">
      <c r="A110" t="inlineStr">
        <is>
          <t>kornet_top/nhip</t>
        </is>
      </c>
      <c r="B110" t="inlineStr">
        <is>
          <t>kornet_top</t>
        </is>
      </c>
      <c r="C110" t="inlineStr">
        <is>
          <t>khe_mot_nong_mot_vien</t>
        </is>
      </c>
      <c r="D110" t="inlineStr">
        <is>
          <t>s</t>
        </is>
      </c>
      <c r="E110" t="n">
        <v>5.2</v>
      </c>
      <c r="F110">
        <f>60/INDEX(Vu_khi!$BB$2:$BB$360,MATCH($B$110,Vu_khi!$A$2:$A$360,0))/IF(INDEX(Vu_khi!$BD$2:$BD$360,MATCH($B$110,Vu_khi!$A$2:$A$360,0))="gun",0.7,1)</f>
        <v/>
      </c>
      <c r="G110">
        <f>$E$110/$F$110</f>
        <v/>
      </c>
      <c r="H110" t="n">
        <v>0.6</v>
      </c>
      <c r="I110" t="n">
        <v>2</v>
      </c>
      <c r="J110" t="b">
        <v>0</v>
      </c>
      <c r="K110" t="inlineStr"/>
      <c r="L110">
        <f>IF(ISNUMBER($H$110),AND(NOT($J$110),OR($G$110&lt;$H$110,$G$110&gt;$I$110)),FALSE)</f>
        <v/>
      </c>
      <c r="M110" t="inlineStr">
        <is>
          <t>TC0033</t>
        </is>
      </c>
      <c r="N110" t="inlineStr">
        <is>
          <t>R_balance;R_full_weapon_audit;W_wikipedia_9m133_kornet;W_wikipedia_bai_cua_tung_ten_lua_bang_warhead;R_machine_brigade_can_bang</t>
        </is>
      </c>
      <c r="O11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10" t="inlineStr">
        <is>
          <t>Tools/balance/full_weapon_audit.py (bảng REAL) và 01_chien_dau/Vu_khi_suy_ra</t>
        </is>
      </c>
      <c r="Q110" t="inlineStr"/>
    </row>
    <row r="111">
      <c r="A111" t="inlineStr">
        <is>
          <t>kornet_top/sat_thuong</t>
        </is>
      </c>
      <c r="B111" t="inlineStr">
        <is>
          <t>kornet_top</t>
        </is>
      </c>
      <c r="C111" t="inlineStr">
        <is>
          <t>sat_thuong_tren_kg_dau_dan</t>
        </is>
      </c>
      <c r="D111" t="inlineStr">
        <is>
          <t>hp/kg</t>
        </is>
      </c>
      <c r="E111">
        <f>INDEX(Vu_khi!$W$2:$W$360,MATCH($B$111,Vu_khi!$A$2:$A$360,0))</f>
        <v/>
      </c>
      <c r="F111">
        <f>INDEX(Vu_khi_tham_chieu!$AB$2:$AB$360,MATCH($B$111,Vu_khi_tham_chieu!$A$2:$A$360,0))</f>
        <v/>
      </c>
      <c r="G111">
        <f>$E$111/$F$111</f>
        <v/>
      </c>
      <c r="H111" t="inlineStr"/>
      <c r="I111" t="inlineStr"/>
      <c r="J111" t="b">
        <v>0</v>
      </c>
      <c r="K111" t="inlineStr"/>
      <c r="L111">
        <f>IF(ISNUMBER($H$111),AND(NOT($J$111),OR($G$111&lt;$H$111,$G$111&gt;$I$111)),FALSE)</f>
        <v/>
      </c>
      <c r="M111" t="inlineStr"/>
      <c r="N111" t="inlineStr">
        <is>
          <t>R_full_weapon_audit</t>
        </is>
      </c>
      <c r="O111" t="inlineStr">
        <is>
          <t>sát thương một phát / khối lượng đầu đạn (không bắt buộc 1:1, chỉ ghi ty_le)</t>
        </is>
      </c>
      <c r="P111" t="inlineStr">
        <is>
          <t>Tools/balance/full_weapon_audit.py WARHEAD</t>
        </is>
      </c>
      <c r="Q111" t="inlineStr"/>
    </row>
    <row r="112">
      <c r="A112" t="inlineStr">
        <is>
          <t>kornet_twin/nhip</t>
        </is>
      </c>
      <c r="B112" t="inlineStr">
        <is>
          <t>kornet_twin</t>
        </is>
      </c>
      <c r="C112" t="inlineStr">
        <is>
          <t>khe_mot_nong_mot_vien</t>
        </is>
      </c>
      <c r="D112" t="inlineStr">
        <is>
          <t>s</t>
        </is>
      </c>
      <c r="E112" t="n">
        <v>11.11</v>
      </c>
      <c r="F112">
        <f>60/INDEX(Vu_khi!$BB$2:$BB$360,MATCH($B$112,Vu_khi!$A$2:$A$360,0))/IF(INDEX(Vu_khi!$BD$2:$BD$360,MATCH($B$112,Vu_khi!$A$2:$A$360,0))="gun",0.7,1)</f>
        <v/>
      </c>
      <c r="G112">
        <f>$E$112/$F$112</f>
        <v/>
      </c>
      <c r="H112" t="n">
        <v>0.6</v>
      </c>
      <c r="I112" t="n">
        <v>2</v>
      </c>
      <c r="J112" t="b">
        <v>0</v>
      </c>
      <c r="K112" t="inlineStr"/>
      <c r="L112">
        <f>IF(ISNUMBER($H$112),AND(NOT($J$112),OR($G$112&lt;$H$112,$G$112&gt;$I$112)),FALSE)</f>
        <v/>
      </c>
      <c r="M112" t="inlineStr">
        <is>
          <t>TC0034</t>
        </is>
      </c>
      <c r="N112" t="inlineStr">
        <is>
          <t>R_balance;R_full_weapon_audit;W_wikipedia_9m133_kornet;W_wikipedia_bai_cua_tung_ten_lua_bang_warhead;R_machine_brigade_can_bang</t>
        </is>
      </c>
      <c r="O11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12" t="inlineStr">
        <is>
          <t>Tools/balance/full_weapon_audit.py (bảng REAL) và 01_chien_dau/Vu_khi_suy_ra</t>
        </is>
      </c>
      <c r="Q112" t="inlineStr"/>
    </row>
    <row r="113">
      <c r="A113" t="inlineStr">
        <is>
          <t>kornet_twin/sat_thuong</t>
        </is>
      </c>
      <c r="B113" t="inlineStr">
        <is>
          <t>kornet_twin</t>
        </is>
      </c>
      <c r="C113" t="inlineStr">
        <is>
          <t>sat_thuong_tren_kg_dau_dan</t>
        </is>
      </c>
      <c r="D113" t="inlineStr">
        <is>
          <t>hp/kg</t>
        </is>
      </c>
      <c r="E113">
        <f>INDEX(Vu_khi!$W$2:$W$360,MATCH($B$113,Vu_khi!$A$2:$A$360,0))</f>
        <v/>
      </c>
      <c r="F113">
        <f>INDEX(Vu_khi_tham_chieu!$AB$2:$AB$360,MATCH($B$113,Vu_khi_tham_chieu!$A$2:$A$360,0))</f>
        <v/>
      </c>
      <c r="G113">
        <f>$E$113/$F$113</f>
        <v/>
      </c>
      <c r="H113" t="inlineStr"/>
      <c r="I113" t="inlineStr"/>
      <c r="J113" t="b">
        <v>0</v>
      </c>
      <c r="K113" t="inlineStr"/>
      <c r="L113">
        <f>IF(ISNUMBER($H$113),AND(NOT($J$113),OR($G$113&lt;$H$113,$G$113&gt;$I$113)),FALSE)</f>
        <v/>
      </c>
      <c r="M113" t="inlineStr"/>
      <c r="N113" t="inlineStr">
        <is>
          <t>R_full_weapon_audit</t>
        </is>
      </c>
      <c r="O113" t="inlineStr">
        <is>
          <t>sát thương một phát / khối lượng đầu đạn (không bắt buộc 1:1, chỉ ghi ty_le)</t>
        </is>
      </c>
      <c r="P113" t="inlineStr">
        <is>
          <t>Tools/balance/full_weapon_audit.py WARHEAD</t>
        </is>
      </c>
      <c r="Q113" t="inlineStr"/>
    </row>
    <row r="114">
      <c r="A114" t="inlineStr">
        <is>
          <t>leviathan_460/nhip</t>
        </is>
      </c>
      <c r="B114" t="inlineStr">
        <is>
          <t>leviathan_460</t>
        </is>
      </c>
      <c r="C114" t="inlineStr">
        <is>
          <t>khe_mot_nong_mot_vien</t>
        </is>
      </c>
      <c r="D114" t="inlineStr">
        <is>
          <t>s</t>
        </is>
      </c>
      <c r="E114" t="n">
        <v>42</v>
      </c>
      <c r="F114">
        <f>60/INDEX(Vu_khi!$BB$2:$BB$360,MATCH($B$114,Vu_khi!$A$2:$A$360,0))/IF(INDEX(Vu_khi!$BD$2:$BD$360,MATCH($B$114,Vu_khi!$A$2:$A$360,0))="gun",0.7,1)</f>
        <v/>
      </c>
      <c r="G114">
        <f>$E$114/$F$114</f>
        <v/>
      </c>
      <c r="H114" t="n">
        <v>0.6</v>
      </c>
      <c r="I114" t="n">
        <v>2</v>
      </c>
      <c r="J114" t="b">
        <v>0</v>
      </c>
      <c r="K114" t="inlineStr"/>
      <c r="L114">
        <f>IF(ISNUMBER($H$114),AND(NOT($J$114),OR($G$114&lt;$H$114,$G$114&gt;$I$114)),FALSE)</f>
        <v/>
      </c>
      <c r="M114" t="inlineStr"/>
      <c r="N114" t="inlineStr">
        <is>
          <t>R_balance;R_full_weapon_audit;W_wikipedia_16_50_caliber_mark_7;R_machine_brigade_can_bang</t>
        </is>
      </c>
      <c r="O11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14" t="inlineStr">
        <is>
          <t>Tools/balance/full_weapon_audit.py (bảng REAL) và 01_chien_dau/Vu_khi_suy_ra</t>
        </is>
      </c>
      <c r="Q114" t="inlineStr"/>
    </row>
    <row r="115">
      <c r="A115" t="inlineStr">
        <is>
          <t>leviathan_cruise/loi_no</t>
        </is>
      </c>
      <c r="B115" t="inlineStr">
        <is>
          <t>leviathan_cruise</t>
        </is>
      </c>
      <c r="C115" t="inlineStr">
        <is>
          <t>loi_m_tren_can_bac_ba_kg_dau_dan</t>
        </is>
      </c>
      <c r="D115" t="inlineStr">
        <is>
          <t>m/kg^(1/3)</t>
        </is>
      </c>
      <c r="E115">
        <f>INDEX(Vu_khi!$X$2:$X$360,MATCH($B$115,Vu_khi!$A$2:$A$360,0))</f>
        <v/>
      </c>
      <c r="F115">
        <f>POWER(INDEX(Vu_khi_tham_chieu!$AB$2:$AB$360,MATCH($B$115,Vu_khi_tham_chieu!$A$2:$A$360,0)),1/3)</f>
        <v/>
      </c>
      <c r="G115">
        <f>$E$115/$F$115</f>
        <v/>
      </c>
      <c r="H115" t="inlineStr"/>
      <c r="I115" t="inlineStr"/>
      <c r="J115" t="b">
        <v>0</v>
      </c>
      <c r="K115" t="inlineStr"/>
      <c r="L115">
        <f>IF(ISNUMBER($H$115),AND(NOT($J$115),OR($G$115&lt;$H$115,$G$115&gt;$I$115)),FALSE)</f>
        <v/>
      </c>
      <c r="M115" t="inlineStr"/>
      <c r="N115" t="inlineStr">
        <is>
          <t>R_full_weapon_audit</t>
        </is>
      </c>
      <c r="O115" t="inlineStr">
        <is>
          <t>lõi nổ / căn bậc ba khối lượng đầu đạn (đầu đạn thay cho thuốc nổ: repo không có khối lượng thuốc nổ)</t>
        </is>
      </c>
      <c r="P115" t="inlineStr">
        <is>
          <t>Tools/balance/full_weapon_audit.py WARHEAD</t>
        </is>
      </c>
      <c r="Q115" t="inlineStr"/>
    </row>
    <row r="116">
      <c r="A116" t="inlineStr">
        <is>
          <t>leviathan_cruise/sat_thuong</t>
        </is>
      </c>
      <c r="B116" t="inlineStr">
        <is>
          <t>leviathan_cruise</t>
        </is>
      </c>
      <c r="C116" t="inlineStr">
        <is>
          <t>sat_thuong_tren_kg_dau_dan</t>
        </is>
      </c>
      <c r="D116" t="inlineStr">
        <is>
          <t>hp/kg</t>
        </is>
      </c>
      <c r="E116">
        <f>INDEX(Vu_khi!$W$2:$W$360,MATCH($B$116,Vu_khi!$A$2:$A$360,0))</f>
        <v/>
      </c>
      <c r="F116">
        <f>INDEX(Vu_khi_tham_chieu!$AB$2:$AB$360,MATCH($B$116,Vu_khi_tham_chieu!$A$2:$A$360,0))</f>
        <v/>
      </c>
      <c r="G116">
        <f>$E$116/$F$116</f>
        <v/>
      </c>
      <c r="H116" t="inlineStr"/>
      <c r="I116" t="inlineStr"/>
      <c r="J116" t="b">
        <v>0</v>
      </c>
      <c r="K116" t="inlineStr"/>
      <c r="L116">
        <f>IF(ISNUMBER($H$116),AND(NOT($J$116),OR($G$116&lt;$H$116,$G$116&gt;$I$116)),FALSE)</f>
        <v/>
      </c>
      <c r="M116" t="inlineStr"/>
      <c r="N116" t="inlineStr">
        <is>
          <t>R_full_weapon_audit</t>
        </is>
      </c>
      <c r="O116" t="inlineStr">
        <is>
          <t>sát thương một phát / khối lượng đầu đạn (không bắt buộc 1:1, chỉ ghi ty_le)</t>
        </is>
      </c>
      <c r="P116" t="inlineStr">
        <is>
          <t>Tools/balance/full_weapon_audit.py WARHEAD</t>
        </is>
      </c>
      <c r="Q116" t="inlineStr"/>
    </row>
    <row r="117">
      <c r="A117" t="inlineStr">
        <is>
          <t>maverick/sat_thuong</t>
        </is>
      </c>
      <c r="B117" t="inlineStr">
        <is>
          <t>maverick</t>
        </is>
      </c>
      <c r="C117" t="inlineStr">
        <is>
          <t>sat_thuong_tren_kg_dau_dan</t>
        </is>
      </c>
      <c r="D117" t="inlineStr">
        <is>
          <t>hp/kg</t>
        </is>
      </c>
      <c r="E117">
        <f>INDEX(Vu_khi!$W$2:$W$360,MATCH($B$117,Vu_khi!$A$2:$A$360,0))</f>
        <v/>
      </c>
      <c r="F117">
        <f>INDEX(Vu_khi_tham_chieu!$AB$2:$AB$360,MATCH($B$117,Vu_khi_tham_chieu!$A$2:$A$360,0))</f>
        <v/>
      </c>
      <c r="G117">
        <f>$E$117/$F$117</f>
        <v/>
      </c>
      <c r="H117" t="inlineStr"/>
      <c r="I117" t="inlineStr"/>
      <c r="J117" t="b">
        <v>0</v>
      </c>
      <c r="K117" t="inlineStr"/>
      <c r="L117">
        <f>IF(ISNUMBER($H$117),AND(NOT($J$117),OR($G$117&lt;$H$117,$G$117&gt;$I$117)),FALSE)</f>
        <v/>
      </c>
      <c r="M117" t="inlineStr"/>
      <c r="N117" t="inlineStr">
        <is>
          <t>R_full_weapon_audit</t>
        </is>
      </c>
      <c r="O117" t="inlineStr">
        <is>
          <t>sát thương một phát / khối lượng đầu đạn (không bắt buộc 1:1, chỉ ghi ty_le)</t>
        </is>
      </c>
      <c r="P117" t="inlineStr">
        <is>
          <t>Tools/balance/full_weapon_audit.py WARHEAD</t>
        </is>
      </c>
      <c r="Q117" t="inlineStr"/>
    </row>
    <row r="118">
      <c r="A118" t="inlineStr">
        <is>
          <t>mg_coax/nhip</t>
        </is>
      </c>
      <c r="B118" t="inlineStr">
        <is>
          <t>mg_coax</t>
        </is>
      </c>
      <c r="C118" t="inlineStr">
        <is>
          <t>khe_mot_nong_mot_vien</t>
        </is>
      </c>
      <c r="D118" t="inlineStr">
        <is>
          <t>s</t>
        </is>
      </c>
      <c r="E118" t="n">
        <v>0.1233</v>
      </c>
      <c r="F118">
        <f>60/INDEX(Vu_khi!$BB$2:$BB$360,MATCH($B$118,Vu_khi!$A$2:$A$360,0))/IF(INDEX(Vu_khi!$BD$2:$BD$360,MATCH($B$118,Vu_khi!$A$2:$A$360,0))="gun",0.7,1)</f>
        <v/>
      </c>
      <c r="G118">
        <f>$E$118/$F$118</f>
        <v/>
      </c>
      <c r="H118" t="n">
        <v>0.6</v>
      </c>
      <c r="I118" t="n">
        <v>2</v>
      </c>
      <c r="J118" t="b">
        <v>0</v>
      </c>
      <c r="K118" t="inlineStr"/>
      <c r="L118">
        <f>IF(ISNUMBER($H$118),AND(NOT($J$118),OR($G$118&lt;$H$118,$G$118&gt;$I$118)),FALSE)</f>
        <v/>
      </c>
      <c r="M118" t="inlineStr"/>
      <c r="N118" t="inlineStr">
        <is>
          <t>R_balance;R_full_weapon_audit;W_wikipedia_pk_machine_gun;R_machine_brigade_can_bang</t>
        </is>
      </c>
      <c r="O11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18" t="inlineStr">
        <is>
          <t>Tools/balance/full_weapon_audit.py (bảng REAL) và 01_chien_dau/Vu_khi_suy_ra</t>
        </is>
      </c>
      <c r="Q118" t="inlineStr"/>
    </row>
    <row r="119">
      <c r="A119" t="inlineStr">
        <is>
          <t>mg_coax_long/nhip</t>
        </is>
      </c>
      <c r="B119" t="inlineStr">
        <is>
          <t>mg_coax_long</t>
        </is>
      </c>
      <c r="C119" t="inlineStr">
        <is>
          <t>khe_mot_nong_mot_vien</t>
        </is>
      </c>
      <c r="D119" t="inlineStr">
        <is>
          <t>s</t>
        </is>
      </c>
      <c r="E119" t="n">
        <v>0.1233</v>
      </c>
      <c r="F119">
        <f>60/INDEX(Vu_khi!$BB$2:$BB$360,MATCH($B$119,Vu_khi!$A$2:$A$360,0))/IF(INDEX(Vu_khi!$BD$2:$BD$360,MATCH($B$119,Vu_khi!$A$2:$A$360,0))="gun",0.7,1)</f>
        <v/>
      </c>
      <c r="G119">
        <f>$E$119/$F$119</f>
        <v/>
      </c>
      <c r="H119" t="n">
        <v>0.6</v>
      </c>
      <c r="I119" t="n">
        <v>2</v>
      </c>
      <c r="J119" t="b">
        <v>0</v>
      </c>
      <c r="K119" t="inlineStr"/>
      <c r="L119">
        <f>IF(ISNUMBER($H$119),AND(NOT($J$119),OR($G$119&lt;$H$119,$G$119&gt;$I$119)),FALSE)</f>
        <v/>
      </c>
      <c r="M119" t="inlineStr"/>
      <c r="N119" t="inlineStr">
        <is>
          <t>R_balance;R_full_weapon_audit;W_wikipedia_pk_machine_gun</t>
        </is>
      </c>
      <c r="O11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19" t="inlineStr">
        <is>
          <t>Tools/balance/full_weapon_audit.py (bảng REAL) và 01_chien_dau/Vu_khi_suy_ra</t>
        </is>
      </c>
      <c r="Q119" t="inlineStr"/>
    </row>
    <row r="120">
      <c r="A120" t="inlineStr">
        <is>
          <t>mg_jeep/nhip</t>
        </is>
      </c>
      <c r="B120" t="inlineStr">
        <is>
          <t>mg_jeep</t>
        </is>
      </c>
      <c r="C120" t="inlineStr">
        <is>
          <t>khe_mot_nong_mot_vien</t>
        </is>
      </c>
      <c r="D120" t="inlineStr">
        <is>
          <t>s</t>
        </is>
      </c>
      <c r="E120" t="n">
        <v>0.1611</v>
      </c>
      <c r="F120">
        <f>60/INDEX(Vu_khi!$BB$2:$BB$360,MATCH($B$120,Vu_khi!$A$2:$A$360,0))/IF(INDEX(Vu_khi!$BD$2:$BD$360,MATCH($B$120,Vu_khi!$A$2:$A$360,0))="gun",0.7,1)</f>
        <v/>
      </c>
      <c r="G120">
        <f>$E$120/$F$120</f>
        <v/>
      </c>
      <c r="H120" t="n">
        <v>0.6</v>
      </c>
      <c r="I120" t="n">
        <v>2</v>
      </c>
      <c r="J120" t="b">
        <v>0</v>
      </c>
      <c r="K120" t="inlineStr"/>
      <c r="L120">
        <f>IF(ISNUMBER($H$120),AND(NOT($J$120),OR($G$120&lt;$H$120,$G$120&gt;$I$120)),FALSE)</f>
        <v/>
      </c>
      <c r="M120" t="inlineStr"/>
      <c r="N120" t="inlineStr">
        <is>
          <t>R_balance;R_full_weapon_audit;D_us_army_fm_3_22_65;R_machine_brigade_can_bang</t>
        </is>
      </c>
      <c r="O12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0" t="inlineStr">
        <is>
          <t>Tools/balance/full_weapon_audit.py (bảng REAL) và 01_chien_dau/Vu_khi_suy_ra</t>
        </is>
      </c>
      <c r="Q120" t="inlineStr"/>
    </row>
    <row r="121">
      <c r="A121" t="inlineStr">
        <is>
          <t>mg_jeep_selfdef/nhip</t>
        </is>
      </c>
      <c r="B121" t="inlineStr">
        <is>
          <t>mg_jeep_selfdef</t>
        </is>
      </c>
      <c r="C121" t="inlineStr">
        <is>
          <t>khe_mot_nong_mot_vien</t>
        </is>
      </c>
      <c r="D121" t="inlineStr">
        <is>
          <t>s</t>
        </is>
      </c>
      <c r="E121" t="n">
        <v>0.1611</v>
      </c>
      <c r="F121">
        <f>60/INDEX(Vu_khi!$BB$2:$BB$360,MATCH($B$121,Vu_khi!$A$2:$A$360,0))/IF(INDEX(Vu_khi!$BD$2:$BD$360,MATCH($B$121,Vu_khi!$A$2:$A$360,0))="gun",0.7,1)</f>
        <v/>
      </c>
      <c r="G121">
        <f>$E$121/$F$121</f>
        <v/>
      </c>
      <c r="H121" t="n">
        <v>0.6</v>
      </c>
      <c r="I121" t="n">
        <v>2</v>
      </c>
      <c r="J121" t="b">
        <v>0</v>
      </c>
      <c r="K121" t="inlineStr"/>
      <c r="L121">
        <f>IF(ISNUMBER($H$121),AND(NOT($J$121),OR($G$121&lt;$H$121,$G$121&gt;$I$121)),FALSE)</f>
        <v/>
      </c>
      <c r="M121" t="inlineStr"/>
      <c r="N121" t="inlineStr">
        <is>
          <t>R_balance;R_full_weapon_audit;D_us_army_fm_3_22_65</t>
        </is>
      </c>
      <c r="O12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1" t="inlineStr">
        <is>
          <t>Tools/balance/full_weapon_audit.py (bảng REAL) và 01_chien_dau/Vu_khi_suy_ra</t>
        </is>
      </c>
      <c r="Q121" t="inlineStr"/>
    </row>
    <row r="122">
      <c r="A122" t="inlineStr">
        <is>
          <t>minigun/nhip</t>
        </is>
      </c>
      <c r="B122" t="inlineStr">
        <is>
          <t>minigun</t>
        </is>
      </c>
      <c r="C122" t="inlineStr">
        <is>
          <t>khe_mot_nong_mot_vien</t>
        </is>
      </c>
      <c r="D122" t="inlineStr">
        <is>
          <t>s</t>
        </is>
      </c>
      <c r="E122" t="n">
        <v>0.04</v>
      </c>
      <c r="F122">
        <f>60/INDEX(Vu_khi!$BB$2:$BB$360,MATCH($B$122,Vu_khi!$A$2:$A$360,0))/IF(INDEX(Vu_khi!$BD$2:$BD$360,MATCH($B$122,Vu_khi!$A$2:$A$360,0))="gun",0.7,1)</f>
        <v/>
      </c>
      <c r="G122">
        <f>$E$122/$F$122</f>
        <v/>
      </c>
      <c r="H122" t="n">
        <v>0.6</v>
      </c>
      <c r="I122" t="n">
        <v>2</v>
      </c>
      <c r="J122" t="b">
        <v>1</v>
      </c>
      <c r="K122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22">
        <f>IF(ISNUMBER($H$122),AND(NOT($J$122),OR($G$122&lt;$H$122,$G$122&gt;$I$122)),FALSE)</f>
        <v/>
      </c>
      <c r="M122" t="inlineStr"/>
      <c r="N122" t="inlineStr">
        <is>
          <t>R_balance;R_full_weapon_audit;W_wikipedia_m134_minigun;R_machine_brigade_can_bang</t>
        </is>
      </c>
      <c r="O12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2" t="inlineStr">
        <is>
          <t>Tools/balance/full_weapon_audit.py (bảng REAL) và 01_chien_dau/Vu_khi_suy_ra</t>
        </is>
      </c>
      <c r="Q122" t="inlineStr"/>
    </row>
    <row r="123">
      <c r="A123" t="inlineStr">
        <is>
          <t>missile_57e6/nhip</t>
        </is>
      </c>
      <c r="B123" t="inlineStr">
        <is>
          <t>missile_57e6</t>
        </is>
      </c>
      <c r="C123" t="inlineStr">
        <is>
          <t>khe_mot_nong_mot_vien</t>
        </is>
      </c>
      <c r="D123" t="inlineStr">
        <is>
          <t>s</t>
        </is>
      </c>
      <c r="E123" t="n">
        <v>4.452</v>
      </c>
      <c r="F123">
        <f>60/INDEX(Vu_khi!$BB$2:$BB$360,MATCH($B$123,Vu_khi!$A$2:$A$360,0))/IF(INDEX(Vu_khi!$BD$2:$BD$360,MATCH($B$123,Vu_khi!$A$2:$A$360,0))="gun",0.7,1)</f>
        <v/>
      </c>
      <c r="G123">
        <f>$E$123/$F$123</f>
        <v/>
      </c>
      <c r="H123" t="n">
        <v>0.6</v>
      </c>
      <c r="I123" t="n">
        <v>2</v>
      </c>
      <c r="J123" t="b">
        <v>1</v>
      </c>
      <c r="K123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23">
        <f>IF(ISNUMBER($H$123),AND(NOT($J$123),OR($G$123&lt;$H$123,$G$123&gt;$I$123)),FALSE)</f>
        <v/>
      </c>
      <c r="M123" t="inlineStr"/>
      <c r="N123" t="inlineStr">
        <is>
          <t>R_balance;R_full_weapon_audit;W_wikipedia_pantsir</t>
        </is>
      </c>
      <c r="O12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3" t="inlineStr">
        <is>
          <t>Tools/balance/full_weapon_audit.py (bảng REAL) và 01_chien_dau/Vu_khi_suy_ra</t>
        </is>
      </c>
      <c r="Q123" t="inlineStr"/>
    </row>
    <row r="124">
      <c r="A124" t="inlineStr">
        <is>
          <t>mlrs_elite/nhip</t>
        </is>
      </c>
      <c r="B124" t="inlineStr">
        <is>
          <t>mlrs_elite</t>
        </is>
      </c>
      <c r="C124" t="inlineStr">
        <is>
          <t>khe_mot_nong_mot_vien</t>
        </is>
      </c>
      <c r="D124" t="inlineStr">
        <is>
          <t>s</t>
        </is>
      </c>
      <c r="E124" t="n">
        <v>0.14</v>
      </c>
      <c r="F124">
        <f>60/INDEX(Vu_khi!$BB$2:$BB$360,MATCH($B$124,Vu_khi!$A$2:$A$360,0))/IF(INDEX(Vu_khi!$BD$2:$BD$360,MATCH($B$124,Vu_khi!$A$2:$A$360,0))="gun",0.7,1)</f>
        <v/>
      </c>
      <c r="G124">
        <f>$E$124/$F$124</f>
        <v/>
      </c>
      <c r="H124" t="n">
        <v>0.6</v>
      </c>
      <c r="I124" t="n">
        <v>2</v>
      </c>
      <c r="J124" t="b">
        <v>0</v>
      </c>
      <c r="K124" t="inlineStr"/>
      <c r="L124">
        <f>IF(ISNUMBER($H$124),AND(NOT($J$124),OR($G$124&lt;$H$124,$G$124&gt;$I$124)),FALSE)</f>
        <v/>
      </c>
      <c r="M124" t="inlineStr">
        <is>
          <t>TC0035</t>
        </is>
      </c>
      <c r="N124" t="inlineStr">
        <is>
          <t>R_balance;R_full_weapon_audit;W_wikipedia_m270_mlrs;R_machine_brigade_can_bang</t>
        </is>
      </c>
      <c r="O12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4" t="inlineStr">
        <is>
          <t>Tools/balance/full_weapon_audit.py (bảng REAL) và 01_chien_dau/Vu_khi_suy_ra</t>
        </is>
      </c>
      <c r="Q124" t="inlineStr"/>
    </row>
    <row r="125">
      <c r="A125" t="inlineStr">
        <is>
          <t>mlrs_rockets/nhip</t>
        </is>
      </c>
      <c r="B125" t="inlineStr">
        <is>
          <t>mlrs_rockets</t>
        </is>
      </c>
      <c r="C125" t="inlineStr">
        <is>
          <t>khe_mot_nong_mot_vien</t>
        </is>
      </c>
      <c r="D125" t="inlineStr">
        <is>
          <t>s</t>
        </is>
      </c>
      <c r="E125" t="n">
        <v>0.3</v>
      </c>
      <c r="F125">
        <f>60/INDEX(Vu_khi!$BB$2:$BB$360,MATCH($B$125,Vu_khi!$A$2:$A$360,0))/IF(INDEX(Vu_khi!$BD$2:$BD$360,MATCH($B$125,Vu_khi!$A$2:$A$360,0))="gun",0.7,1)</f>
        <v/>
      </c>
      <c r="G125">
        <f>$E$125/$F$125</f>
        <v/>
      </c>
      <c r="H125" t="n">
        <v>0.6</v>
      </c>
      <c r="I125" t="n">
        <v>2</v>
      </c>
      <c r="J125" t="b">
        <v>0</v>
      </c>
      <c r="K125" t="inlineStr"/>
      <c r="L125">
        <f>IF(ISNUMBER($H$125),AND(NOT($J$125),OR($G$125&lt;$H$125,$G$125&gt;$I$125)),FALSE)</f>
        <v/>
      </c>
      <c r="M125" t="inlineStr">
        <is>
          <t>TC0036</t>
        </is>
      </c>
      <c r="N125" t="inlineStr">
        <is>
          <t>R_balance;R_full_weapon_audit;W_wikipedia_m270_mlrs;R_machine_brigade_can_bang</t>
        </is>
      </c>
      <c r="O12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5" t="inlineStr">
        <is>
          <t>Tools/balance/full_weapon_audit.py (bảng REAL) và 01_chien_dau/Vu_khi_suy_ra</t>
        </is>
      </c>
      <c r="Q125" t="inlineStr"/>
    </row>
    <row r="126">
      <c r="A126" t="inlineStr">
        <is>
          <t>mortar_120/nhip</t>
        </is>
      </c>
      <c r="B126" t="inlineStr">
        <is>
          <t>mortar_120</t>
        </is>
      </c>
      <c r="C126" t="inlineStr">
        <is>
          <t>khe_mot_nong_mot_vien</t>
        </is>
      </c>
      <c r="D126" t="inlineStr">
        <is>
          <t>s</t>
        </is>
      </c>
      <c r="E126" t="n">
        <v>9.128</v>
      </c>
      <c r="F126">
        <f>60/INDEX(Vu_khi!$BB$2:$BB$360,MATCH($B$126,Vu_khi!$A$2:$A$360,0))/IF(INDEX(Vu_khi!$BD$2:$BD$360,MATCH($B$126,Vu_khi!$A$2:$A$360,0))="gun",0.7,1)</f>
        <v/>
      </c>
      <c r="G126">
        <f>$E$126/$F$126</f>
        <v/>
      </c>
      <c r="H126" t="n">
        <v>0.6</v>
      </c>
      <c r="I126" t="n">
        <v>2</v>
      </c>
      <c r="J126" t="b">
        <v>0</v>
      </c>
      <c r="K126" t="inlineStr"/>
      <c r="L126">
        <f>IF(ISNUMBER($H$126),AND(NOT($J$126),OR($G$126&lt;$H$126,$G$126&gt;$I$126)),FALSE)</f>
        <v/>
      </c>
      <c r="M126" t="inlineStr"/>
      <c r="N126" t="inlineStr">
        <is>
          <t>R_balance;R_full_weapon_audit;W_wikipedia_2b11;R_machine_brigade_can_bang</t>
        </is>
      </c>
      <c r="O12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6" t="inlineStr">
        <is>
          <t>Tools/balance/full_weapon_audit.py (bảng REAL) và 01_chien_dau/Vu_khi_suy_ra</t>
        </is>
      </c>
      <c r="Q126" t="inlineStr"/>
    </row>
    <row r="127">
      <c r="A127" t="inlineStr">
        <is>
          <t>mortar_240/nhip</t>
        </is>
      </c>
      <c r="B127" t="inlineStr">
        <is>
          <t>mortar_240</t>
        </is>
      </c>
      <c r="C127" t="inlineStr">
        <is>
          <t>khe_mot_nong_mot_vien</t>
        </is>
      </c>
      <c r="D127" t="inlineStr">
        <is>
          <t>s</t>
        </is>
      </c>
      <c r="E127" t="n">
        <v>17.1</v>
      </c>
      <c r="F127">
        <f>60/INDEX(Vu_khi!$BB$2:$BB$360,MATCH($B$127,Vu_khi!$A$2:$A$360,0))/IF(INDEX(Vu_khi!$BD$2:$BD$360,MATCH($B$127,Vu_khi!$A$2:$A$360,0))="gun",0.7,1)</f>
        <v/>
      </c>
      <c r="G127">
        <f>$E$127/$F$127</f>
        <v/>
      </c>
      <c r="H127" t="n">
        <v>0.6</v>
      </c>
      <c r="I127" t="n">
        <v>2</v>
      </c>
      <c r="J127" t="b">
        <v>0</v>
      </c>
      <c r="K127" t="inlineStr"/>
      <c r="L127">
        <f>IF(ISNUMBER($H$127),AND(NOT($J$127),OR($G$127&lt;$H$127,$G$127&gt;$I$127)),FALSE)</f>
        <v/>
      </c>
      <c r="M127" t="inlineStr">
        <is>
          <t>TC0037</t>
        </is>
      </c>
      <c r="N127" t="inlineStr">
        <is>
          <t>R_balance;R_full_weapon_audit;W_wikipedia_2s4_tyulpan</t>
        </is>
      </c>
      <c r="O12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7" t="inlineStr">
        <is>
          <t>Tools/balance/full_weapon_audit.py (bảng REAL) và 01_chien_dau/Vu_khi_suy_ra</t>
        </is>
      </c>
      <c r="Q127" t="inlineStr"/>
    </row>
    <row r="128">
      <c r="A128" t="inlineStr">
        <is>
          <t>mothership_cannon/nhip</t>
        </is>
      </c>
      <c r="B128" t="inlineStr">
        <is>
          <t>mothership_cannon</t>
        </is>
      </c>
      <c r="C128" t="inlineStr">
        <is>
          <t>khe_mot_nong_mot_vien</t>
        </is>
      </c>
      <c r="D128" t="inlineStr">
        <is>
          <t>s</t>
        </is>
      </c>
      <c r="E128" t="n">
        <v>1.1975</v>
      </c>
      <c r="F128">
        <f>60/INDEX(Vu_khi!$BB$2:$BB$360,MATCH($B$128,Vu_khi!$A$2:$A$360,0))/IF(INDEX(Vu_khi!$BD$2:$BD$360,MATCH($B$128,Vu_khi!$A$2:$A$360,0))="gun",0.7,1)</f>
        <v/>
      </c>
      <c r="G128">
        <f>$E$128/$F$128</f>
        <v/>
      </c>
      <c r="H128" t="n">
        <v>0.6</v>
      </c>
      <c r="I128" t="n">
        <v>2</v>
      </c>
      <c r="J128" t="b">
        <v>1</v>
      </c>
      <c r="K128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28">
        <f>IF(ISNUMBER($H$128),AND(NOT($J$128),OR($G$128&lt;$H$128,$G$128&gt;$I$128)),FALSE)</f>
        <v/>
      </c>
      <c r="M128" t="inlineStr"/>
      <c r="N128" t="inlineStr">
        <is>
          <t>R_balance;R_full_weapon_audit;W_wikipedia_au_220m;R_machine_brigade_can_bang</t>
        </is>
      </c>
      <c r="O12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8" t="inlineStr">
        <is>
          <t>Tools/balance/full_weapon_audit.py (bảng REAL) và 01_chien_dau/Vu_khi_suy_ra</t>
        </is>
      </c>
      <c r="Q128" t="inlineStr"/>
    </row>
    <row r="129">
      <c r="A129" t="inlineStr">
        <is>
          <t>naval_76/nhip</t>
        </is>
      </c>
      <c r="B129" t="inlineStr">
        <is>
          <t>naval_76</t>
        </is>
      </c>
      <c r="C129" t="inlineStr">
        <is>
          <t>khe_mot_nong_mot_vien</t>
        </is>
      </c>
      <c r="D129" t="inlineStr">
        <is>
          <t>s</t>
        </is>
      </c>
      <c r="E129" t="n">
        <v>2.5715</v>
      </c>
      <c r="F129">
        <f>60/INDEX(Vu_khi!$BB$2:$BB$360,MATCH($B$129,Vu_khi!$A$2:$A$360,0))/IF(INDEX(Vu_khi!$BD$2:$BD$360,MATCH($B$129,Vu_khi!$A$2:$A$360,0))="gun",0.7,1)</f>
        <v/>
      </c>
      <c r="G129">
        <f>$E$129/$F$129</f>
        <v/>
      </c>
      <c r="H129" t="n">
        <v>0.6</v>
      </c>
      <c r="I129" t="n">
        <v>2</v>
      </c>
      <c r="J129" t="b">
        <v>0</v>
      </c>
      <c r="K129" t="inlineStr"/>
      <c r="L129">
        <f>IF(ISNUMBER($H$129),AND(NOT($J$129),OR($G$129&lt;$H$129,$G$129&gt;$I$129)),FALSE)</f>
        <v/>
      </c>
      <c r="M129" t="inlineStr">
        <is>
          <t>TC0038</t>
        </is>
      </c>
      <c r="N129" t="inlineStr">
        <is>
          <t>R_balance;R_full_weapon_audit;W_wikipedia_oto_melara_76_mm;R_machine_brigade_can_bang</t>
        </is>
      </c>
      <c r="O12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29" t="inlineStr">
        <is>
          <t>Tools/balance/full_weapon_audit.py (bảng REAL) và 01_chien_dau/Vu_khi_suy_ra</t>
        </is>
      </c>
      <c r="Q129" t="inlineStr"/>
    </row>
    <row r="130">
      <c r="A130" t="inlineStr">
        <is>
          <t>naval_100/nhip</t>
        </is>
      </c>
      <c r="B130" t="inlineStr">
        <is>
          <t>naval_100</t>
        </is>
      </c>
      <c r="C130" t="inlineStr">
        <is>
          <t>khe_mot_nong_mot_vien</t>
        </is>
      </c>
      <c r="D130" t="inlineStr">
        <is>
          <t>s</t>
        </is>
      </c>
      <c r="E130" t="n">
        <v>2.75</v>
      </c>
      <c r="F130">
        <f>60/INDEX(Vu_khi!$BB$2:$BB$360,MATCH($B$130,Vu_khi!$A$2:$A$360,0))/IF(INDEX(Vu_khi!$BD$2:$BD$360,MATCH($B$130,Vu_khi!$A$2:$A$360,0))="gun",0.7,1)</f>
        <v/>
      </c>
      <c r="G130">
        <f>$E$130/$F$130</f>
        <v/>
      </c>
      <c r="H130" t="n">
        <v>0.6</v>
      </c>
      <c r="I130" t="n">
        <v>2</v>
      </c>
      <c r="J130" t="b">
        <v>0</v>
      </c>
      <c r="K130" t="inlineStr"/>
      <c r="L130">
        <f>IF(ISNUMBER($H$130),AND(NOT($J$130),OR($G$130&lt;$H$130,$G$130&gt;$I$130)),FALSE)</f>
        <v/>
      </c>
      <c r="M130" t="inlineStr"/>
      <c r="N130" t="inlineStr">
        <is>
          <t>R_balance;R_full_weapon_audit;W_wikipedia_ak_100_naval_gun;R_machine_brigade_can_bang</t>
        </is>
      </c>
      <c r="O13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0" t="inlineStr">
        <is>
          <t>Tools/balance/full_weapon_audit.py (bảng REAL) và 01_chien_dau/Vu_khi_suy_ra</t>
        </is>
      </c>
      <c r="Q130" t="inlineStr"/>
    </row>
    <row r="131">
      <c r="A131" t="inlineStr">
        <is>
          <t>naval_127/nhip</t>
        </is>
      </c>
      <c r="B131" t="inlineStr">
        <is>
          <t>naval_127</t>
        </is>
      </c>
      <c r="C131" t="inlineStr">
        <is>
          <t>khe_mot_nong_mot_vien</t>
        </is>
      </c>
      <c r="D131" t="inlineStr">
        <is>
          <t>s</t>
        </is>
      </c>
      <c r="E131" t="n">
        <v>2.8215</v>
      </c>
      <c r="F131">
        <f>60/INDEX(Vu_khi!$BB$2:$BB$360,MATCH($B$131,Vu_khi!$A$2:$A$360,0))/IF(INDEX(Vu_khi!$BD$2:$BD$360,MATCH($B$131,Vu_khi!$A$2:$A$360,0))="gun",0.7,1)</f>
        <v/>
      </c>
      <c r="G131">
        <f>$E$131/$F$131</f>
        <v/>
      </c>
      <c r="H131" t="n">
        <v>0.6</v>
      </c>
      <c r="I131" t="n">
        <v>2</v>
      </c>
      <c r="J131" t="b">
        <v>0</v>
      </c>
      <c r="K131" t="inlineStr"/>
      <c r="L131">
        <f>IF(ISNUMBER($H$131),AND(NOT($J$131),OR($G$131&lt;$H$131,$G$131&gt;$I$131)),FALSE)</f>
        <v/>
      </c>
      <c r="M131" t="inlineStr"/>
      <c r="N131" t="inlineStr">
        <is>
          <t>R_balance;R_full_weapon_audit;W_wikipedia_5_54_caliber_mark_45</t>
        </is>
      </c>
      <c r="O13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1" t="inlineStr">
        <is>
          <t>Tools/balance/full_weapon_audit.py (bảng REAL) và 01_chien_dau/Vu_khi_suy_ra</t>
        </is>
      </c>
      <c r="Q131" t="inlineStr"/>
    </row>
    <row r="132">
      <c r="A132" t="inlineStr">
        <is>
          <t>naval_130_twin/nhip</t>
        </is>
      </c>
      <c r="B132" t="inlineStr">
        <is>
          <t>naval_130_twin</t>
        </is>
      </c>
      <c r="C132" t="inlineStr">
        <is>
          <t>khe_mot_nong_mot_vien</t>
        </is>
      </c>
      <c r="D132" t="inlineStr">
        <is>
          <t>s</t>
        </is>
      </c>
      <c r="E132" t="n">
        <v>4.285999286</v>
      </c>
      <c r="F132">
        <f>60/INDEX(Vu_khi!$BB$2:$BB$360,MATCH($B$132,Vu_khi!$A$2:$A$360,0))/IF(INDEX(Vu_khi!$BD$2:$BD$360,MATCH($B$132,Vu_khi!$A$2:$A$360,0))="gun",0.7,1)</f>
        <v/>
      </c>
      <c r="G132">
        <f>$E$132/$F$132</f>
        <v/>
      </c>
      <c r="H132" t="n">
        <v>0.6</v>
      </c>
      <c r="I132" t="n">
        <v>2</v>
      </c>
      <c r="J132" t="b">
        <v>1</v>
      </c>
      <c r="K132" t="inlineStr">
        <is>
          <t>fix_weapon_reasons.json: real AK-130 10-40 rpm a barrel: 20 rpm (3 s), practical; 4.75 s was too slow</t>
        </is>
      </c>
      <c r="L132">
        <f>IF(ISNUMBER($H$132),AND(NOT($J$132),OR($G$132&lt;$H$132,$G$132&gt;$I$132)),FALSE)</f>
        <v/>
      </c>
      <c r="M132" t="inlineStr"/>
      <c r="N132" t="inlineStr">
        <is>
          <t>R_balance;R_full_weapon_audit;W_wikipedia_ak_130</t>
        </is>
      </c>
      <c r="O13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2" t="inlineStr">
        <is>
          <t>Tools/balance/full_weapon_audit.py (bảng REAL) và 01_chien_dau/Vu_khi_suy_ra</t>
        </is>
      </c>
      <c r="Q132" t="inlineStr"/>
    </row>
    <row r="133">
      <c r="A133" t="inlineStr">
        <is>
          <t>naval_155_triple/nhip</t>
        </is>
      </c>
      <c r="B133" t="inlineStr">
        <is>
          <t>naval_155_triple</t>
        </is>
      </c>
      <c r="C133" t="inlineStr">
        <is>
          <t>khe_mot_nong_mot_vien</t>
        </is>
      </c>
      <c r="D133" t="inlineStr">
        <is>
          <t>s</t>
        </is>
      </c>
      <c r="E133" t="n">
        <v>10.5</v>
      </c>
      <c r="F133">
        <f>60/INDEX(Vu_khi!$BB$2:$BB$360,MATCH($B$133,Vu_khi!$A$2:$A$360,0))/IF(INDEX(Vu_khi!$BD$2:$BD$360,MATCH($B$133,Vu_khi!$A$2:$A$360,0))="gun",0.7,1)</f>
        <v/>
      </c>
      <c r="G133">
        <f>$E$133/$F$133</f>
        <v/>
      </c>
      <c r="H133" t="n">
        <v>0.6</v>
      </c>
      <c r="I133" t="n">
        <v>2</v>
      </c>
      <c r="J133" t="b">
        <v>0</v>
      </c>
      <c r="K133" t="inlineStr"/>
      <c r="L133">
        <f>IF(ISNUMBER($H$133),AND(NOT($J$133),OR($G$133&lt;$H$133,$G$133&gt;$I$133)),FALSE)</f>
        <v/>
      </c>
      <c r="M133" t="inlineStr"/>
      <c r="N133" t="inlineStr">
        <is>
          <t>R_balance;R_full_weapon_audit;W_wikipedia_15_5_cm_60_3rd_year_type;R_machine_brigade_can_bang</t>
        </is>
      </c>
      <c r="O13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3" t="inlineStr">
        <is>
          <t>Tools/balance/full_weapon_audit.py (bảng REAL) và 01_chien_dau/Vu_khi_suy_ra</t>
        </is>
      </c>
      <c r="Q133" t="inlineStr"/>
    </row>
    <row r="134">
      <c r="A134" t="inlineStr">
        <is>
          <t>nyx_tomahawk/nhip</t>
        </is>
      </c>
      <c r="B134" t="inlineStr">
        <is>
          <t>nyx_tomahawk</t>
        </is>
      </c>
      <c r="C134" t="inlineStr">
        <is>
          <t>khe_mot_nong_mot_vien</t>
        </is>
      </c>
      <c r="D134" t="inlineStr">
        <is>
          <t>s</t>
        </is>
      </c>
      <c r="E134" t="n">
        <v>27</v>
      </c>
      <c r="F134">
        <f>60/INDEX(Vu_khi!$BB$2:$BB$360,MATCH($B$134,Vu_khi!$A$2:$A$360,0))/IF(INDEX(Vu_khi!$BD$2:$BD$360,MATCH($B$134,Vu_khi!$A$2:$A$360,0))="gun",0.7,1)</f>
        <v/>
      </c>
      <c r="G134">
        <f>$E$134/$F$134</f>
        <v/>
      </c>
      <c r="H134" t="n">
        <v>0.6</v>
      </c>
      <c r="I134" t="n">
        <v>2</v>
      </c>
      <c r="J134" t="b">
        <v>0</v>
      </c>
      <c r="K134" t="inlineStr"/>
      <c r="L134">
        <f>IF(ISNUMBER($H$134),AND(NOT($J$134),OR($G$134&lt;$H$134,$G$134&gt;$I$134)),FALSE)</f>
        <v/>
      </c>
      <c r="M134" t="inlineStr">
        <is>
          <t>TC0039</t>
        </is>
      </c>
      <c r="N134" t="inlineStr">
        <is>
          <t>R_balance;R_full_weapon_audit</t>
        </is>
      </c>
      <c r="O13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4" t="inlineStr">
        <is>
          <t>Tools/balance/full_weapon_audit.py (bảng REAL) và 01_chien_dau/Vu_khi_suy_ra</t>
        </is>
      </c>
      <c r="Q134" t="inlineStr"/>
    </row>
    <row r="135">
      <c r="A135" t="inlineStr">
        <is>
          <t>one_shot_kornet/nhip</t>
        </is>
      </c>
      <c r="B135" t="inlineStr">
        <is>
          <t>one_shot_kornet</t>
        </is>
      </c>
      <c r="C135" t="inlineStr">
        <is>
          <t>khe_mot_nong_mot_vien</t>
        </is>
      </c>
      <c r="D135" t="inlineStr">
        <is>
          <t>s</t>
        </is>
      </c>
      <c r="E135" t="n">
        <v>1.2</v>
      </c>
      <c r="F135">
        <f>60/INDEX(Vu_khi!$BB$2:$BB$360,MATCH($B$135,Vu_khi!$A$2:$A$360,0))/IF(INDEX(Vu_khi!$BD$2:$BD$360,MATCH($B$135,Vu_khi!$A$2:$A$360,0))="gun",0.7,1)</f>
        <v/>
      </c>
      <c r="G135">
        <f>$E$135/$F$135</f>
        <v/>
      </c>
      <c r="H135" t="n">
        <v>0.6</v>
      </c>
      <c r="I135" t="n">
        <v>2</v>
      </c>
      <c r="J135" t="b">
        <v>0</v>
      </c>
      <c r="K135" t="inlineStr"/>
      <c r="L135">
        <f>IF(ISNUMBER($H$135),AND(NOT($J$135),OR($G$135&lt;$H$135,$G$135&gt;$I$135)),FALSE)</f>
        <v/>
      </c>
      <c r="M135" t="inlineStr">
        <is>
          <t>TC0040</t>
        </is>
      </c>
      <c r="N135" t="inlineStr">
        <is>
          <t>R_balance;R_full_weapon_audit;W_wikipedia_9m133_kornet;W_wikipedia_bai_cua_tung_ten_lua_bang_warhead</t>
        </is>
      </c>
      <c r="O13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5" t="inlineStr">
        <is>
          <t>Tools/balance/full_weapon_audit.py (bảng REAL) và 01_chien_dau/Vu_khi_suy_ra</t>
        </is>
      </c>
      <c r="Q135" t="inlineStr"/>
    </row>
    <row r="136">
      <c r="A136" t="inlineStr">
        <is>
          <t>one_shot_kornet/sat_thuong</t>
        </is>
      </c>
      <c r="B136" t="inlineStr">
        <is>
          <t>one_shot_kornet</t>
        </is>
      </c>
      <c r="C136" t="inlineStr">
        <is>
          <t>sat_thuong_tren_kg_dau_dan</t>
        </is>
      </c>
      <c r="D136" t="inlineStr">
        <is>
          <t>hp/kg</t>
        </is>
      </c>
      <c r="E136">
        <f>INDEX(Vu_khi!$W$2:$W$360,MATCH($B$136,Vu_khi!$A$2:$A$360,0))</f>
        <v/>
      </c>
      <c r="F136">
        <f>INDEX(Vu_khi_tham_chieu!$AB$2:$AB$360,MATCH($B$136,Vu_khi_tham_chieu!$A$2:$A$360,0))</f>
        <v/>
      </c>
      <c r="G136">
        <f>$E$136/$F$136</f>
        <v/>
      </c>
      <c r="H136" t="inlineStr"/>
      <c r="I136" t="inlineStr"/>
      <c r="J136" t="b">
        <v>0</v>
      </c>
      <c r="K136" t="inlineStr"/>
      <c r="L136">
        <f>IF(ISNUMBER($H$136),AND(NOT($J$136),OR($G$136&lt;$H$136,$G$136&gt;$I$136)),FALSE)</f>
        <v/>
      </c>
      <c r="M136" t="inlineStr"/>
      <c r="N136" t="inlineStr">
        <is>
          <t>R_full_weapon_audit</t>
        </is>
      </c>
      <c r="O136" t="inlineStr">
        <is>
          <t>sát thương một phát / khối lượng đầu đạn (không bắt buộc 1:1, chỉ ghi ty_le)</t>
        </is>
      </c>
      <c r="P136" t="inlineStr">
        <is>
          <t>Tools/balance/full_weapon_audit.py WARHEAD</t>
        </is>
      </c>
      <c r="Q136" t="inlineStr"/>
    </row>
    <row r="137">
      <c r="A137" t="inlineStr">
        <is>
          <t>p26_bastion_b100/nhip</t>
        </is>
      </c>
      <c r="B137" t="inlineStr">
        <is>
          <t>p26_bastion_b100</t>
        </is>
      </c>
      <c r="C137" t="inlineStr">
        <is>
          <t>khe_mot_nong_mot_vien</t>
        </is>
      </c>
      <c r="D137" t="inlineStr">
        <is>
          <t>s</t>
        </is>
      </c>
      <c r="E137" t="n">
        <v>4.000004082</v>
      </c>
      <c r="F137">
        <f>60/INDEX(Vu_khi!$BB$2:$BB$360,MATCH($B$137,Vu_khi!$A$2:$A$360,0))/IF(INDEX(Vu_khi!$BD$2:$BD$360,MATCH($B$137,Vu_khi!$A$2:$A$360,0))="gun",0.7,1)</f>
        <v/>
      </c>
      <c r="G137">
        <f>$E$137/$F$137</f>
        <v/>
      </c>
      <c r="H137" t="n">
        <v>0.6</v>
      </c>
      <c r="I137" t="n">
        <v>2</v>
      </c>
      <c r="J137" t="b">
        <v>0</v>
      </c>
      <c r="K137" t="inlineStr"/>
      <c r="L137">
        <f>IF(ISNUMBER($H$137),AND(NOT($J$137),OR($G$137&lt;$H$137,$G$137&gt;$I$137)),FALSE)</f>
        <v/>
      </c>
      <c r="M137" t="inlineStr">
        <is>
          <t>TC0041</t>
        </is>
      </c>
      <c r="N137" t="inlineStr">
        <is>
          <t>R_balance;R_full_weapon_audit;W_wikipedia_d_10_tank_gun</t>
        </is>
      </c>
      <c r="O13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7" t="inlineStr">
        <is>
          <t>Tools/balance/full_weapon_audit.py (bảng REAL) và 01_chien_dau/Vu_khi_suy_ra</t>
        </is>
      </c>
      <c r="Q137" t="inlineStr"/>
    </row>
    <row r="138">
      <c r="A138" t="inlineStr">
        <is>
          <t>p26_bastion_b155/nhip</t>
        </is>
      </c>
      <c r="B138" t="inlineStr">
        <is>
          <t>p26_bastion_b155</t>
        </is>
      </c>
      <c r="C138" t="inlineStr">
        <is>
          <t>khe_mot_nong_mot_vien</t>
        </is>
      </c>
      <c r="D138" t="inlineStr">
        <is>
          <t>s</t>
        </is>
      </c>
      <c r="E138" t="n">
        <v>15</v>
      </c>
      <c r="F138">
        <f>60/INDEX(Vu_khi!$BB$2:$BB$360,MATCH($B$138,Vu_khi!$A$2:$A$360,0))/IF(INDEX(Vu_khi!$BD$2:$BD$360,MATCH($B$138,Vu_khi!$A$2:$A$360,0))="gun",0.7,1)</f>
        <v/>
      </c>
      <c r="G138">
        <f>$E$138/$F$138</f>
        <v/>
      </c>
      <c r="H138" t="n">
        <v>0.6</v>
      </c>
      <c r="I138" t="n">
        <v>2</v>
      </c>
      <c r="J138" t="b">
        <v>0</v>
      </c>
      <c r="K138" t="inlineStr"/>
      <c r="L138">
        <f>IF(ISNUMBER($H$138),AND(NOT($J$138),OR($G$138&lt;$H$138,$G$138&gt;$I$138)),FALSE)</f>
        <v/>
      </c>
      <c r="M138" t="inlineStr"/>
      <c r="N138" t="inlineStr">
        <is>
          <t>R_balance;R_full_weapon_audit;D_us_army_m109a7_fact_file</t>
        </is>
      </c>
      <c r="O13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8" t="inlineStr">
        <is>
          <t>Tools/balance/full_weapon_audit.py (bảng REAL) và 01_chien_dau/Vu_khi_suy_ra</t>
        </is>
      </c>
      <c r="Q138" t="inlineStr"/>
    </row>
    <row r="139">
      <c r="A139" t="inlineStr">
        <is>
          <t>p26_bastion_b240/nhip</t>
        </is>
      </c>
      <c r="B139" t="inlineStr">
        <is>
          <t>p26_bastion_b240</t>
        </is>
      </c>
      <c r="C139" t="inlineStr">
        <is>
          <t>khe_mot_nong_mot_vien</t>
        </is>
      </c>
      <c r="D139" t="inlineStr">
        <is>
          <t>s</t>
        </is>
      </c>
      <c r="E139" t="n">
        <v>30</v>
      </c>
      <c r="F139">
        <f>60/INDEX(Vu_khi!$BB$2:$BB$360,MATCH($B$139,Vu_khi!$A$2:$A$360,0))/IF(INDEX(Vu_khi!$BD$2:$BD$360,MATCH($B$139,Vu_khi!$A$2:$A$360,0))="gun",0.7,1)</f>
        <v/>
      </c>
      <c r="G139">
        <f>$E$139/$F$139</f>
        <v/>
      </c>
      <c r="H139" t="n">
        <v>0.6</v>
      </c>
      <c r="I139" t="n">
        <v>2</v>
      </c>
      <c r="J139" t="b">
        <v>0</v>
      </c>
      <c r="K139" t="inlineStr"/>
      <c r="L139">
        <f>IF(ISNUMBER($H$139),AND(NOT($J$139),OR($G$139&lt;$H$139,$G$139&gt;$I$139)),FALSE)</f>
        <v/>
      </c>
      <c r="M139" t="inlineStr">
        <is>
          <t>TC0042</t>
        </is>
      </c>
      <c r="N139" t="inlineStr">
        <is>
          <t>R_balance;R_full_weapon_audit;W_wikipedia_2s4_tyulpan</t>
        </is>
      </c>
      <c r="O13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39" t="inlineStr">
        <is>
          <t>Tools/balance/full_weapon_audit.py (bảng REAL) và 01_chien_dau/Vu_khi_suy_ra</t>
        </is>
      </c>
      <c r="Q139" t="inlineStr"/>
    </row>
    <row r="140">
      <c r="A140" t="inlineStr">
        <is>
          <t>p26_bastion_close_boss_hmg/nhip</t>
        </is>
      </c>
      <c r="B140" t="inlineStr">
        <is>
          <t>p26_bastion_close_boss_hmg</t>
        </is>
      </c>
      <c r="C140" t="inlineStr">
        <is>
          <t>khe_mot_nong_mot_vien</t>
        </is>
      </c>
      <c r="D140" t="inlineStr">
        <is>
          <t>s</t>
        </is>
      </c>
      <c r="E140" t="n">
        <v>0.132467025</v>
      </c>
      <c r="F140">
        <f>60/INDEX(Vu_khi!$BB$2:$BB$360,MATCH($B$140,Vu_khi!$A$2:$A$360,0))/IF(INDEX(Vu_khi!$BD$2:$BD$360,MATCH($B$140,Vu_khi!$A$2:$A$360,0))="gun",0.7,1)</f>
        <v/>
      </c>
      <c r="G140">
        <f>$E$140/$F$140</f>
        <v/>
      </c>
      <c r="H140" t="n">
        <v>0.6</v>
      </c>
      <c r="I140" t="n">
        <v>2</v>
      </c>
      <c r="J140" t="b">
        <v>0</v>
      </c>
      <c r="K140" t="inlineStr"/>
      <c r="L140">
        <f>IF(ISNUMBER($H$140),AND(NOT($J$140),OR($G$140&lt;$H$140,$G$140&gt;$I$140)),FALSE)</f>
        <v/>
      </c>
      <c r="M140" t="inlineStr"/>
      <c r="N140" t="inlineStr">
        <is>
          <t>R_balance;R_full_weapon_audit;W_wikipedia_nsv_machine_gun</t>
        </is>
      </c>
      <c r="O14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0" t="inlineStr">
        <is>
          <t>Tools/balance/full_weapon_audit.py (bảng REAL) và 01_chien_dau/Vu_khi_suy_ra</t>
        </is>
      </c>
      <c r="Q140" t="inlineStr"/>
    </row>
    <row r="141">
      <c r="A141" t="inlineStr">
        <is>
          <t>p26_bastion_direct_b100/nhip</t>
        </is>
      </c>
      <c r="B141" t="inlineStr">
        <is>
          <t>p26_bastion_direct_b100</t>
        </is>
      </c>
      <c r="C141" t="inlineStr">
        <is>
          <t>khe_mot_nong_mot_vien</t>
        </is>
      </c>
      <c r="D141" t="inlineStr">
        <is>
          <t>s</t>
        </is>
      </c>
      <c r="E141" t="n">
        <v>8.599995917999999</v>
      </c>
      <c r="F141">
        <f>60/INDEX(Vu_khi!$BB$2:$BB$360,MATCH($B$141,Vu_khi!$A$2:$A$360,0))/IF(INDEX(Vu_khi!$BD$2:$BD$360,MATCH($B$141,Vu_khi!$A$2:$A$360,0))="gun",0.7,1)</f>
        <v/>
      </c>
      <c r="G141">
        <f>$E$141/$F$141</f>
        <v/>
      </c>
      <c r="H141" t="n">
        <v>0.6</v>
      </c>
      <c r="I141" t="n">
        <v>2</v>
      </c>
      <c r="J141" t="b">
        <v>0</v>
      </c>
      <c r="K141" t="inlineStr"/>
      <c r="L141">
        <f>IF(ISNUMBER($H$141),AND(NOT($J$141),OR($G$141&lt;$H$141,$G$141&gt;$I$141)),FALSE)</f>
        <v/>
      </c>
      <c r="M141" t="inlineStr"/>
      <c r="N141" t="inlineStr">
        <is>
          <t>R_balance;R_full_weapon_audit;W_wikipedia_d_10_tank_gun</t>
        </is>
      </c>
      <c r="O14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1" t="inlineStr">
        <is>
          <t>Tools/balance/full_weapon_audit.py (bảng REAL) và 01_chien_dau/Vu_khi_suy_ra</t>
        </is>
      </c>
      <c r="Q141" t="inlineStr"/>
    </row>
    <row r="142">
      <c r="A142" t="inlineStr">
        <is>
          <t>p26_bastion_main_b155/nhip</t>
        </is>
      </c>
      <c r="B142" t="inlineStr">
        <is>
          <t>p26_bastion_main_b155</t>
        </is>
      </c>
      <c r="C142" t="inlineStr">
        <is>
          <t>khe_mot_nong_mot_vien</t>
        </is>
      </c>
      <c r="D142" t="inlineStr">
        <is>
          <t>s</t>
        </is>
      </c>
      <c r="E142" t="n">
        <v>15</v>
      </c>
      <c r="F142">
        <f>60/INDEX(Vu_khi!$BB$2:$BB$360,MATCH($B$142,Vu_khi!$A$2:$A$360,0))/IF(INDEX(Vu_khi!$BD$2:$BD$360,MATCH($B$142,Vu_khi!$A$2:$A$360,0))="gun",0.7,1)</f>
        <v/>
      </c>
      <c r="G142">
        <f>$E$142/$F$142</f>
        <v/>
      </c>
      <c r="H142" t="n">
        <v>0.6</v>
      </c>
      <c r="I142" t="n">
        <v>2</v>
      </c>
      <c r="J142" t="b">
        <v>0</v>
      </c>
      <c r="K142" t="inlineStr"/>
      <c r="L142">
        <f>IF(ISNUMBER($H$142),AND(NOT($J$142),OR($G$142&lt;$H$142,$G$142&gt;$I$142)),FALSE)</f>
        <v/>
      </c>
      <c r="M142" t="inlineStr"/>
      <c r="N142" t="inlineStr">
        <is>
          <t>R_balance;R_full_weapon_audit;D_us_army_m109a7_fact_file</t>
        </is>
      </c>
      <c r="O14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2" t="inlineStr">
        <is>
          <t>Tools/balance/full_weapon_audit.py (bảng REAL) và 01_chien_dau/Vu_khi_suy_ra</t>
        </is>
      </c>
      <c r="Q142" t="inlineStr"/>
    </row>
    <row r="143">
      <c r="A143" t="inlineStr">
        <is>
          <t>p26_bastion_sec_b240/nhip</t>
        </is>
      </c>
      <c r="B143" t="inlineStr">
        <is>
          <t>p26_bastion_sec_b240</t>
        </is>
      </c>
      <c r="C143" t="inlineStr">
        <is>
          <t>khe_mot_nong_mot_vien</t>
        </is>
      </c>
      <c r="D143" t="inlineStr">
        <is>
          <t>s</t>
        </is>
      </c>
      <c r="E143" t="n">
        <v>60</v>
      </c>
      <c r="F143">
        <f>60/INDEX(Vu_khi!$BB$2:$BB$360,MATCH($B$143,Vu_khi!$A$2:$A$360,0))/IF(INDEX(Vu_khi!$BD$2:$BD$360,MATCH($B$143,Vu_khi!$A$2:$A$360,0))="gun",0.7,1)</f>
        <v/>
      </c>
      <c r="G143">
        <f>$E$143/$F$143</f>
        <v/>
      </c>
      <c r="H143" t="n">
        <v>0.6</v>
      </c>
      <c r="I143" t="n">
        <v>2</v>
      </c>
      <c r="J143" t="b">
        <v>0</v>
      </c>
      <c r="K143" t="inlineStr"/>
      <c r="L143">
        <f>IF(ISNUMBER($H$143),AND(NOT($J$143),OR($G$143&lt;$H$143,$G$143&gt;$I$143)),FALSE)</f>
        <v/>
      </c>
      <c r="M143" t="inlineStr"/>
      <c r="N143" t="inlineStr">
        <is>
          <t>R_balance;R_full_weapon_audit;W_wikipedia_2s4_tyulpan</t>
        </is>
      </c>
      <c r="O14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3" t="inlineStr">
        <is>
          <t>Tools/balance/full_weapon_audit.py (bảng REAL) và 01_chien_dau/Vu_khi_suy_ra</t>
        </is>
      </c>
      <c r="Q143" t="inlineStr"/>
    </row>
    <row r="144">
      <c r="A144" t="inlineStr">
        <is>
          <t>p26_bastion_tiny_autocannon_40/nhip</t>
        </is>
      </c>
      <c r="B144" t="inlineStr">
        <is>
          <t>p26_bastion_tiny_autocannon_40</t>
        </is>
      </c>
      <c r="C144" t="inlineStr">
        <is>
          <t>khe_mot_nong_mot_vien</t>
        </is>
      </c>
      <c r="D144" t="inlineStr">
        <is>
          <t>s</t>
        </is>
      </c>
      <c r="E144" t="n">
        <v>0.332</v>
      </c>
      <c r="F144">
        <f>60/INDEX(Vu_khi!$BB$2:$BB$360,MATCH($B$144,Vu_khi!$A$2:$A$360,0))/IF(INDEX(Vu_khi!$BD$2:$BD$360,MATCH($B$144,Vu_khi!$A$2:$A$360,0))="gun",0.7,1)</f>
        <v/>
      </c>
      <c r="G144">
        <f>$E$144/$F$144</f>
        <v/>
      </c>
      <c r="H144" t="n">
        <v>0.6</v>
      </c>
      <c r="I144" t="n">
        <v>2</v>
      </c>
      <c r="J144" t="b">
        <v>0</v>
      </c>
      <c r="K144" t="inlineStr"/>
      <c r="L144">
        <f>IF(ISNUMBER($H$144),AND(NOT($J$144),OR($G$144&lt;$H$144,$G$144&gt;$I$144)),FALSE)</f>
        <v/>
      </c>
      <c r="M144" t="inlineStr"/>
      <c r="N144" t="inlineStr">
        <is>
          <t>R_balance;R_full_weapon_audit;W_wikipedia_bofors_40_mm_l_70</t>
        </is>
      </c>
      <c r="O14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4" t="inlineStr">
        <is>
          <t>Tools/balance/full_weapon_audit.py (bảng REAL) và 01_chien_dau/Vu_khi_suy_ra</t>
        </is>
      </c>
      <c r="Q144" t="inlineStr"/>
    </row>
    <row r="145">
      <c r="A145" t="inlineStr">
        <is>
          <t>p26_bastion_tiny_kornet_twin/nhip</t>
        </is>
      </c>
      <c r="B145" t="inlineStr">
        <is>
          <t>p26_bastion_tiny_kornet_twin</t>
        </is>
      </c>
      <c r="C145" t="inlineStr">
        <is>
          <t>khe_mot_nong_mot_vien</t>
        </is>
      </c>
      <c r="D145" t="inlineStr">
        <is>
          <t>s</t>
        </is>
      </c>
      <c r="E145" t="n">
        <v>20</v>
      </c>
      <c r="F145">
        <f>60/INDEX(Vu_khi!$BB$2:$BB$360,MATCH($B$145,Vu_khi!$A$2:$A$360,0))/IF(INDEX(Vu_khi!$BD$2:$BD$360,MATCH($B$145,Vu_khi!$A$2:$A$360,0))="gun",0.7,1)</f>
        <v/>
      </c>
      <c r="G145">
        <f>$E$145/$F$145</f>
        <v/>
      </c>
      <c r="H145" t="n">
        <v>0.6</v>
      </c>
      <c r="I145" t="n">
        <v>2</v>
      </c>
      <c r="J145" t="b">
        <v>0</v>
      </c>
      <c r="K145" t="inlineStr"/>
      <c r="L145">
        <f>IF(ISNUMBER($H$145),AND(NOT($J$145),OR($G$145&lt;$H$145,$G$145&gt;$I$145)),FALSE)</f>
        <v/>
      </c>
      <c r="M145" t="inlineStr"/>
      <c r="N145" t="inlineStr">
        <is>
          <t>R_balance;R_full_weapon_audit;W_wikipedia_9m133_kornet;W_wikipedia_bai_cua_tung_ten_lua_bang_warhead</t>
        </is>
      </c>
      <c r="O14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5" t="inlineStr">
        <is>
          <t>Tools/balance/full_weapon_audit.py (bảng REAL) và 01_chien_dau/Vu_khi_suy_ra</t>
        </is>
      </c>
      <c r="Q145" t="inlineStr"/>
    </row>
    <row r="146">
      <c r="A146" t="inlineStr">
        <is>
          <t>p26_bastion_tiny_kornet_twin/sat_thuong</t>
        </is>
      </c>
      <c r="B146" t="inlineStr">
        <is>
          <t>p26_bastion_tiny_kornet_twin</t>
        </is>
      </c>
      <c r="C146" t="inlineStr">
        <is>
          <t>sat_thuong_tren_kg_dau_dan</t>
        </is>
      </c>
      <c r="D146" t="inlineStr">
        <is>
          <t>hp/kg</t>
        </is>
      </c>
      <c r="E146">
        <f>INDEX(Vu_khi!$W$2:$W$360,MATCH($B$146,Vu_khi!$A$2:$A$360,0))</f>
        <v/>
      </c>
      <c r="F146">
        <f>INDEX(Vu_khi_tham_chieu!$AB$2:$AB$360,MATCH($B$146,Vu_khi_tham_chieu!$A$2:$A$360,0))</f>
        <v/>
      </c>
      <c r="G146">
        <f>$E$146/$F$146</f>
        <v/>
      </c>
      <c r="H146" t="inlineStr"/>
      <c r="I146" t="inlineStr"/>
      <c r="J146" t="b">
        <v>0</v>
      </c>
      <c r="K146" t="inlineStr"/>
      <c r="L146">
        <f>IF(ISNUMBER($H$146),AND(NOT($J$146),OR($G$146&lt;$H$146,$G$146&gt;$I$146)),FALSE)</f>
        <v/>
      </c>
      <c r="M146" t="inlineStr"/>
      <c r="N146" t="inlineStr">
        <is>
          <t>R_full_weapon_audit</t>
        </is>
      </c>
      <c r="O146" t="inlineStr">
        <is>
          <t>sát thương một phát / khối lượng đầu đạn (không bắt buộc 1:1, chỉ ghi ty_le)</t>
        </is>
      </c>
      <c r="P146" t="inlineStr">
        <is>
          <t>Tools/balance/full_weapon_audit.py WARHEAD</t>
        </is>
      </c>
      <c r="Q146" t="inlineStr"/>
    </row>
    <row r="147">
      <c r="A147" t="inlineStr">
        <is>
          <t>p26_bastion_tiny_zu23/nhip</t>
        </is>
      </c>
      <c r="B147" t="inlineStr">
        <is>
          <t>p26_bastion_tiny_zu23</t>
        </is>
      </c>
      <c r="C147" t="inlineStr">
        <is>
          <t>khe_mot_nong_mot_vien</t>
        </is>
      </c>
      <c r="D147" t="inlineStr">
        <is>
          <t>s</t>
        </is>
      </c>
      <c r="E147" t="n">
        <v>0.09919997999999999</v>
      </c>
      <c r="F147">
        <f>60/INDEX(Vu_khi!$BB$2:$BB$360,MATCH($B$147,Vu_khi!$A$2:$A$360,0))/IF(INDEX(Vu_khi!$BD$2:$BD$360,MATCH($B$147,Vu_khi!$A$2:$A$360,0))="gun",0.7,1)</f>
        <v/>
      </c>
      <c r="G147">
        <f>$E$147/$F$147</f>
        <v/>
      </c>
      <c r="H147" t="n">
        <v>0.6</v>
      </c>
      <c r="I147" t="n">
        <v>2</v>
      </c>
      <c r="J147" t="b">
        <v>0</v>
      </c>
      <c r="K147" t="inlineStr"/>
      <c r="L147">
        <f>IF(ISNUMBER($H$147),AND(NOT($J$147),OR($G$147&lt;$H$147,$G$147&gt;$I$147)),FALSE)</f>
        <v/>
      </c>
      <c r="M147" t="inlineStr"/>
      <c r="N147" t="inlineStr">
        <is>
          <t>R_balance;R_full_weapon_audit;W_wikipedia_zu_23_2</t>
        </is>
      </c>
      <c r="O14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7" t="inlineStr">
        <is>
          <t>Tools/balance/full_weapon_audit.py (bảng REAL) và 01_chien_dau/Vu_khi_suy_ra</t>
        </is>
      </c>
      <c r="Q147" t="inlineStr"/>
    </row>
    <row r="148">
      <c r="A148" t="inlineStr">
        <is>
          <t>p26_behemoth_be120/nhip</t>
        </is>
      </c>
      <c r="B148" t="inlineStr">
        <is>
          <t>p26_behemoth_be120</t>
        </is>
      </c>
      <c r="C148" t="inlineStr">
        <is>
          <t>khe_mot_nong_mot_vien</t>
        </is>
      </c>
      <c r="D148" t="inlineStr">
        <is>
          <t>s</t>
        </is>
      </c>
      <c r="E148" t="n">
        <v>3.999996429</v>
      </c>
      <c r="F148">
        <f>60/INDEX(Vu_khi!$BB$2:$BB$360,MATCH($B$148,Vu_khi!$A$2:$A$360,0))/IF(INDEX(Vu_khi!$BD$2:$BD$360,MATCH($B$148,Vu_khi!$A$2:$A$360,0))="gun",0.7,1)</f>
        <v/>
      </c>
      <c r="G148">
        <f>$E$148/$F$148</f>
        <v/>
      </c>
      <c r="H148" t="n">
        <v>0.6</v>
      </c>
      <c r="I148" t="n">
        <v>2</v>
      </c>
      <c r="J148" t="b">
        <v>0</v>
      </c>
      <c r="K148" t="inlineStr"/>
      <c r="L148">
        <f>IF(ISNUMBER($H$148),AND(NOT($J$148),OR($G$148&lt;$H$148,$G$148&gt;$I$148)),FALSE)</f>
        <v/>
      </c>
      <c r="M148" t="inlineStr">
        <is>
          <t>TC0043</t>
        </is>
      </c>
      <c r="N148" t="inlineStr">
        <is>
          <t>R_balance;R_full_weapon_audit;W_wikipedia_rheinmetall_120_mm_gun;R_machine_brigade_can_bang</t>
        </is>
      </c>
      <c r="O14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8" t="inlineStr">
        <is>
          <t>Tools/balance/full_weapon_audit.py (bảng REAL) và 01_chien_dau/Vu_khi_suy_ra</t>
        </is>
      </c>
      <c r="Q148" t="inlineStr"/>
    </row>
    <row r="149">
      <c r="A149" t="inlineStr">
        <is>
          <t>p26_behemoth_be152/nhip</t>
        </is>
      </c>
      <c r="B149" t="inlineStr">
        <is>
          <t>p26_behemoth_be152</t>
        </is>
      </c>
      <c r="C149" t="inlineStr">
        <is>
          <t>khe_mot_nong_mot_vien</t>
        </is>
      </c>
      <c r="D149" t="inlineStr">
        <is>
          <t>s</t>
        </is>
      </c>
      <c r="E149" t="n">
        <v>2.000003571</v>
      </c>
      <c r="F149">
        <f>60/INDEX(Vu_khi!$BB$2:$BB$360,MATCH($B$149,Vu_khi!$A$2:$A$360,0))/IF(INDEX(Vu_khi!$BD$2:$BD$360,MATCH($B$149,Vu_khi!$A$2:$A$360,0))="gun",0.7,1)</f>
        <v/>
      </c>
      <c r="G149">
        <f>$E$149/$F$149</f>
        <v/>
      </c>
      <c r="H149" t="n">
        <v>0.6</v>
      </c>
      <c r="I149" t="n">
        <v>2</v>
      </c>
      <c r="J149" t="b">
        <v>0</v>
      </c>
      <c r="K149" t="inlineStr"/>
      <c r="L149">
        <f>IF(ISNUMBER($H$149),AND(NOT($J$149),OR($G$149&lt;$H$149,$G$149&gt;$I$149)),FALSE)</f>
        <v/>
      </c>
      <c r="M149" t="inlineStr">
        <is>
          <t>TC0044</t>
        </is>
      </c>
      <c r="N149" t="inlineStr">
        <is>
          <t>R_balance;R_full_weapon_audit;W_wikipedia_2a65_msta_b</t>
        </is>
      </c>
      <c r="O14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49" t="inlineStr">
        <is>
          <t>Tools/balance/full_weapon_audit.py (bảng REAL) và 01_chien_dau/Vu_khi_suy_ra</t>
        </is>
      </c>
      <c r="Q149" t="inlineStr"/>
    </row>
    <row r="150">
      <c r="A150" t="inlineStr">
        <is>
          <t>p26_behemoth_be_rockets/nhip</t>
        </is>
      </c>
      <c r="B150" t="inlineStr">
        <is>
          <t>p26_behemoth_be_rockets</t>
        </is>
      </c>
      <c r="C150" t="inlineStr">
        <is>
          <t>khe_mot_nong_mot_vien</t>
        </is>
      </c>
      <c r="D150" t="inlineStr">
        <is>
          <t>s</t>
        </is>
      </c>
      <c r="E150" t="n">
        <v>0.3</v>
      </c>
      <c r="F150">
        <f>60/INDEX(Vu_khi!$BB$2:$BB$360,MATCH($B$150,Vu_khi!$A$2:$A$360,0))/IF(INDEX(Vu_khi!$BD$2:$BD$360,MATCH($B$150,Vu_khi!$A$2:$A$360,0))="gun",0.7,1)</f>
        <v/>
      </c>
      <c r="G150">
        <f>$E$150/$F$150</f>
        <v/>
      </c>
      <c r="H150" t="n">
        <v>0.6</v>
      </c>
      <c r="I150" t="n">
        <v>2</v>
      </c>
      <c r="J150" t="b">
        <v>0</v>
      </c>
      <c r="K150" t="inlineStr"/>
      <c r="L150">
        <f>IF(ISNUMBER($H$150),AND(NOT($J$150),OR($G$150&lt;$H$150,$G$150&gt;$I$150)),FALSE)</f>
        <v/>
      </c>
      <c r="M150" t="inlineStr"/>
      <c r="N150" t="inlineStr">
        <is>
          <t>R_balance;R_full_weapon_audit;W_wikipedia_bm_21_grad</t>
        </is>
      </c>
      <c r="O15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0" t="inlineStr">
        <is>
          <t>Tools/balance/full_weapon_audit.py (bảng REAL) và 01_chien_dau/Vu_khi_suy_ra</t>
        </is>
      </c>
      <c r="Q150" t="inlineStr"/>
    </row>
    <row r="151">
      <c r="A151" t="inlineStr">
        <is>
          <t>p26_behemoth_close_boss_flak/nhip</t>
        </is>
      </c>
      <c r="B151" t="inlineStr">
        <is>
          <t>p26_behemoth_close_boss_flak</t>
        </is>
      </c>
      <c r="C151" t="inlineStr">
        <is>
          <t>khe_mot_nong_mot_vien</t>
        </is>
      </c>
      <c r="D151" t="inlineStr">
        <is>
          <t>s</t>
        </is>
      </c>
      <c r="E151" t="n">
        <v>0.262439018</v>
      </c>
      <c r="F151">
        <f>60/INDEX(Vu_khi!$BB$2:$BB$360,MATCH($B$151,Vu_khi!$A$2:$A$360,0))/IF(INDEX(Vu_khi!$BD$2:$BD$360,MATCH($B$151,Vu_khi!$A$2:$A$360,0))="gun",0.7,1)</f>
        <v/>
      </c>
      <c r="G151">
        <f>$E$151/$F$151</f>
        <v/>
      </c>
      <c r="H151" t="n">
        <v>0.6</v>
      </c>
      <c r="I151" t="n">
        <v>2</v>
      </c>
      <c r="J151" t="b">
        <v>1</v>
      </c>
      <c r="K151" t="inlineStr">
        <is>
          <t>fix_weapon_reasons.json: wave 1 boss_flak: 41 rounds at 1,200 rpm, changed in 3.38 s (twin Oerlikon GDF 2 x 550 rpm)</t>
        </is>
      </c>
      <c r="L151">
        <f>IF(ISNUMBER($H$151),AND(NOT($J$151),OR($G$151&lt;$H$151,$G$151&gt;$I$151)),FALSE)</f>
        <v/>
      </c>
      <c r="M151" t="inlineStr"/>
      <c r="N151" t="inlineStr">
        <is>
          <t>R_balance;R_full_weapon_audit;W_wikipedia_oerlikon_gdf</t>
        </is>
      </c>
      <c r="O15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1" t="inlineStr">
        <is>
          <t>Tools/balance/full_weapon_audit.py (bảng REAL) và 01_chien_dau/Vu_khi_suy_ra</t>
        </is>
      </c>
      <c r="Q151" t="inlineStr"/>
    </row>
    <row r="152">
      <c r="A152" t="inlineStr">
        <is>
          <t>p26_behemoth_direct_be120/nhip</t>
        </is>
      </c>
      <c r="B152" t="inlineStr">
        <is>
          <t>p26_behemoth_direct_be120</t>
        </is>
      </c>
      <c r="C152" t="inlineStr">
        <is>
          <t>khe_mot_nong_mot_vien</t>
        </is>
      </c>
      <c r="D152" t="inlineStr">
        <is>
          <t>s</t>
        </is>
      </c>
      <c r="E152" t="n">
        <v>7.5</v>
      </c>
      <c r="F152">
        <f>60/INDEX(Vu_khi!$BB$2:$BB$360,MATCH($B$152,Vu_khi!$A$2:$A$360,0))/IF(INDEX(Vu_khi!$BD$2:$BD$360,MATCH($B$152,Vu_khi!$A$2:$A$360,0))="gun",0.7,1)</f>
        <v/>
      </c>
      <c r="G152">
        <f>$E$152/$F$152</f>
        <v/>
      </c>
      <c r="H152" t="n">
        <v>0.6</v>
      </c>
      <c r="I152" t="n">
        <v>2</v>
      </c>
      <c r="J152" t="b">
        <v>0</v>
      </c>
      <c r="K152" t="inlineStr"/>
      <c r="L152">
        <f>IF(ISNUMBER($H$152),AND(NOT($J$152),OR($G$152&lt;$H$152,$G$152&gt;$I$152)),FALSE)</f>
        <v/>
      </c>
      <c r="M152" t="inlineStr"/>
      <c r="N152" t="inlineStr">
        <is>
          <t>R_balance;R_full_weapon_audit;W_wikipedia_rheinmetall_120_mm_gun;R_machine_brigade_can_bang</t>
        </is>
      </c>
      <c r="O15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2" t="inlineStr">
        <is>
          <t>Tools/balance/full_weapon_audit.py (bảng REAL) và 01_chien_dau/Vu_khi_suy_ra</t>
        </is>
      </c>
      <c r="Q152" t="inlineStr"/>
    </row>
    <row r="153">
      <c r="A153" t="inlineStr">
        <is>
          <t>p26_behemoth_main_be152/nhip</t>
        </is>
      </c>
      <c r="B153" t="inlineStr">
        <is>
          <t>p26_behemoth_main_be152</t>
        </is>
      </c>
      <c r="C153" t="inlineStr">
        <is>
          <t>khe_mot_nong_mot_vien</t>
        </is>
      </c>
      <c r="D153" t="inlineStr">
        <is>
          <t>s</t>
        </is>
      </c>
      <c r="E153" t="n">
        <v>8.979996429</v>
      </c>
      <c r="F153">
        <f>60/INDEX(Vu_khi!$BB$2:$BB$360,MATCH($B$153,Vu_khi!$A$2:$A$360,0))/IF(INDEX(Vu_khi!$BD$2:$BD$360,MATCH($B$153,Vu_khi!$A$2:$A$360,0))="gun",0.7,1)</f>
        <v/>
      </c>
      <c r="G153">
        <f>$E$153/$F$153</f>
        <v/>
      </c>
      <c r="H153" t="n">
        <v>0.6</v>
      </c>
      <c r="I153" t="n">
        <v>2</v>
      </c>
      <c r="J153" t="b">
        <v>0</v>
      </c>
      <c r="K153" t="inlineStr"/>
      <c r="L153">
        <f>IF(ISNUMBER($H$153),AND(NOT($J$153),OR($G$153&lt;$H$153,$G$153&gt;$I$153)),FALSE)</f>
        <v/>
      </c>
      <c r="M153" t="inlineStr"/>
      <c r="N153" t="inlineStr">
        <is>
          <t>R_balance;R_full_weapon_audit;W_wikipedia_2a65_msta_b</t>
        </is>
      </c>
      <c r="O15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3" t="inlineStr">
        <is>
          <t>Tools/balance/full_weapon_audit.py (bảng REAL) và 01_chien_dau/Vu_khi_suy_ra</t>
        </is>
      </c>
      <c r="Q153" t="inlineStr"/>
    </row>
    <row r="154">
      <c r="A154" t="inlineStr">
        <is>
          <t>p26_behemoth_sec_be_rockets/nhip</t>
        </is>
      </c>
      <c r="B154" t="inlineStr">
        <is>
          <t>p26_behemoth_sec_be_rockets</t>
        </is>
      </c>
      <c r="C154" t="inlineStr">
        <is>
          <t>khe_mot_nong_mot_vien</t>
        </is>
      </c>
      <c r="D154" t="inlineStr">
        <is>
          <t>s</t>
        </is>
      </c>
      <c r="E154" t="n">
        <v>0.5</v>
      </c>
      <c r="F154">
        <f>60/INDEX(Vu_khi!$BB$2:$BB$360,MATCH($B$154,Vu_khi!$A$2:$A$360,0))/IF(INDEX(Vu_khi!$BD$2:$BD$360,MATCH($B$154,Vu_khi!$A$2:$A$360,0))="gun",0.7,1)</f>
        <v/>
      </c>
      <c r="G154">
        <f>$E$154/$F$154</f>
        <v/>
      </c>
      <c r="H154" t="n">
        <v>0.6</v>
      </c>
      <c r="I154" t="n">
        <v>2</v>
      </c>
      <c r="J154" t="b">
        <v>0</v>
      </c>
      <c r="K154" t="inlineStr"/>
      <c r="L154">
        <f>IF(ISNUMBER($H$154),AND(NOT($J$154),OR($G$154&lt;$H$154,$G$154&gt;$I$154)),FALSE)</f>
        <v/>
      </c>
      <c r="M154" t="inlineStr"/>
      <c r="N154" t="inlineStr">
        <is>
          <t>R_balance;R_full_weapon_audit;W_wikipedia_bm_21_grad</t>
        </is>
      </c>
      <c r="O15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4" t="inlineStr">
        <is>
          <t>Tools/balance/full_weapon_audit.py (bảng REAL) và 01_chien_dau/Vu_khi_suy_ra</t>
        </is>
      </c>
      <c r="Q154" t="inlineStr"/>
    </row>
    <row r="155">
      <c r="A155" t="inlineStr">
        <is>
          <t>p26_behemoth_tiny_be120/nhip</t>
        </is>
      </c>
      <c r="B155" t="inlineStr">
        <is>
          <t>p26_behemoth_tiny_be120</t>
        </is>
      </c>
      <c r="C155" t="inlineStr">
        <is>
          <t>khe_mot_nong_mot_vien</t>
        </is>
      </c>
      <c r="D155" t="inlineStr">
        <is>
          <t>s</t>
        </is>
      </c>
      <c r="E155" t="n">
        <v>7.5</v>
      </c>
      <c r="F155">
        <f>60/INDEX(Vu_khi!$BB$2:$BB$360,MATCH($B$155,Vu_khi!$A$2:$A$360,0))/IF(INDEX(Vu_khi!$BD$2:$BD$360,MATCH($B$155,Vu_khi!$A$2:$A$360,0))="gun",0.7,1)</f>
        <v/>
      </c>
      <c r="G155">
        <f>$E$155/$F$155</f>
        <v/>
      </c>
      <c r="H155" t="n">
        <v>0.6</v>
      </c>
      <c r="I155" t="n">
        <v>2</v>
      </c>
      <c r="J155" t="b">
        <v>0</v>
      </c>
      <c r="K155" t="inlineStr"/>
      <c r="L155">
        <f>IF(ISNUMBER($H$155),AND(NOT($J$155),OR($G$155&lt;$H$155,$G$155&gt;$I$155)),FALSE)</f>
        <v/>
      </c>
      <c r="M155" t="inlineStr"/>
      <c r="N155" t="inlineStr">
        <is>
          <t>R_balance;R_full_weapon_audit;W_wikipedia_rheinmetall_120_mm_gun;R_machine_brigade_can_bang</t>
        </is>
      </c>
      <c r="O15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5" t="inlineStr">
        <is>
          <t>Tools/balance/full_weapon_audit.py (bảng REAL) và 01_chien_dau/Vu_khi_suy_ra</t>
        </is>
      </c>
      <c r="Q155" t="inlineStr"/>
    </row>
    <row r="156">
      <c r="A156" t="inlineStr">
        <is>
          <t>p26_behemoth_tiny_boss_missiles/nhip</t>
        </is>
      </c>
      <c r="B156" t="inlineStr">
        <is>
          <t>p26_behemoth_tiny_boss_missiles</t>
        </is>
      </c>
      <c r="C156" t="inlineStr">
        <is>
          <t>khe_mot_nong_mot_vien</t>
        </is>
      </c>
      <c r="D156" t="inlineStr">
        <is>
          <t>s</t>
        </is>
      </c>
      <c r="E156" t="n">
        <v>20</v>
      </c>
      <c r="F156">
        <f>60/INDEX(Vu_khi!$BB$2:$BB$360,MATCH($B$156,Vu_khi!$A$2:$A$360,0))/IF(INDEX(Vu_khi!$BD$2:$BD$360,MATCH($B$156,Vu_khi!$A$2:$A$360,0))="gun",0.7,1)</f>
        <v/>
      </c>
      <c r="G156">
        <f>$E$156/$F$156</f>
        <v/>
      </c>
      <c r="H156" t="n">
        <v>0.6</v>
      </c>
      <c r="I156" t="n">
        <v>2</v>
      </c>
      <c r="J156" t="b">
        <v>0</v>
      </c>
      <c r="K156" t="inlineStr"/>
      <c r="L156">
        <f>IF(ISNUMBER($H$156),AND(NOT($J$156),OR($G$156&lt;$H$156,$G$156&gt;$I$156)),FALSE)</f>
        <v/>
      </c>
      <c r="M156" t="inlineStr"/>
      <c r="N156" t="inlineStr">
        <is>
          <t>R_balance;R_full_weapon_audit;W_wikipedia_9m133_kornet;W_wikipedia_bai_cua_tung_ten_lua_bang_warhead</t>
        </is>
      </c>
      <c r="O15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6" t="inlineStr">
        <is>
          <t>Tools/balance/full_weapon_audit.py (bảng REAL) và 01_chien_dau/Vu_khi_suy_ra</t>
        </is>
      </c>
      <c r="Q156" t="inlineStr"/>
    </row>
    <row r="157">
      <c r="A157" t="inlineStr">
        <is>
          <t>p26_behemoth_tiny_boss_missiles/sat_thuong</t>
        </is>
      </c>
      <c r="B157" t="inlineStr">
        <is>
          <t>p26_behemoth_tiny_boss_missiles</t>
        </is>
      </c>
      <c r="C157" t="inlineStr">
        <is>
          <t>sat_thuong_tren_kg_dau_dan</t>
        </is>
      </c>
      <c r="D157" t="inlineStr">
        <is>
          <t>hp/kg</t>
        </is>
      </c>
      <c r="E157">
        <f>INDEX(Vu_khi!$W$2:$W$360,MATCH($B$157,Vu_khi!$A$2:$A$360,0))</f>
        <v/>
      </c>
      <c r="F157">
        <f>INDEX(Vu_khi_tham_chieu!$AB$2:$AB$360,MATCH($B$157,Vu_khi_tham_chieu!$A$2:$A$360,0))</f>
        <v/>
      </c>
      <c r="G157">
        <f>$E$157/$F$157</f>
        <v/>
      </c>
      <c r="H157" t="inlineStr"/>
      <c r="I157" t="inlineStr"/>
      <c r="J157" t="b">
        <v>0</v>
      </c>
      <c r="K157" t="inlineStr"/>
      <c r="L157">
        <f>IF(ISNUMBER($H$157),AND(NOT($J$157),OR($G$157&lt;$H$157,$G$157&gt;$I$157)),FALSE)</f>
        <v/>
      </c>
      <c r="M157" t="inlineStr"/>
      <c r="N157" t="inlineStr">
        <is>
          <t>R_full_weapon_audit</t>
        </is>
      </c>
      <c r="O157" t="inlineStr">
        <is>
          <t>sát thương một phát / khối lượng đầu đạn (không bắt buộc 1:1, chỉ ghi ty_le)</t>
        </is>
      </c>
      <c r="P157" t="inlineStr">
        <is>
          <t>Tools/balance/full_weapon_audit.py WARHEAD</t>
        </is>
      </c>
      <c r="Q157" t="inlineStr"/>
    </row>
    <row r="158">
      <c r="A158" t="inlineStr">
        <is>
          <t>p26_behemoth_tiny_kornet_twin/nhip</t>
        </is>
      </c>
      <c r="B158" t="inlineStr">
        <is>
          <t>p26_behemoth_tiny_kornet_twin</t>
        </is>
      </c>
      <c r="C158" t="inlineStr">
        <is>
          <t>khe_mot_nong_mot_vien</t>
        </is>
      </c>
      <c r="D158" t="inlineStr">
        <is>
          <t>s</t>
        </is>
      </c>
      <c r="E158" t="n">
        <v>9.699996429</v>
      </c>
      <c r="F158">
        <f>60/INDEX(Vu_khi!$BB$2:$BB$360,MATCH($B$158,Vu_khi!$A$2:$A$360,0))/IF(INDEX(Vu_khi!$BD$2:$BD$360,MATCH($B$158,Vu_khi!$A$2:$A$360,0))="gun",0.7,1)</f>
        <v/>
      </c>
      <c r="G158">
        <f>$E$158/$F$158</f>
        <v/>
      </c>
      <c r="H158" t="n">
        <v>0.6</v>
      </c>
      <c r="I158" t="n">
        <v>2</v>
      </c>
      <c r="J158" t="b">
        <v>0</v>
      </c>
      <c r="K158" t="inlineStr"/>
      <c r="L158">
        <f>IF(ISNUMBER($H$158),AND(NOT($J$158),OR($G$158&lt;$H$158,$G$158&gt;$I$158)),FALSE)</f>
        <v/>
      </c>
      <c r="M158" t="inlineStr"/>
      <c r="N158" t="inlineStr">
        <is>
          <t>R_balance;R_full_weapon_audit;W_wikipedia_rheinmetall_120_mm_gun;R_machine_brigade_can_bang</t>
        </is>
      </c>
      <c r="O15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8" t="inlineStr">
        <is>
          <t>Tools/balance/full_weapon_audit.py (bảng REAL) và 01_chien_dau/Vu_khi_suy_ra</t>
        </is>
      </c>
      <c r="Q158" t="inlineStr"/>
    </row>
    <row r="159">
      <c r="A159" t="inlineStr">
        <is>
          <t>p26_daedalus_dae57/nhip</t>
        </is>
      </c>
      <c r="B159" t="inlineStr">
        <is>
          <t>p26_daedalus_dae57</t>
        </is>
      </c>
      <c r="C159" t="inlineStr">
        <is>
          <t>khe_mot_nong_mot_vien</t>
        </is>
      </c>
      <c r="D159" t="inlineStr">
        <is>
          <t>s</t>
        </is>
      </c>
      <c r="E159" t="n">
        <v>1.25</v>
      </c>
      <c r="F159">
        <f>60/INDEX(Vu_khi!$BB$2:$BB$360,MATCH($B$159,Vu_khi!$A$2:$A$360,0))/IF(INDEX(Vu_khi!$BD$2:$BD$360,MATCH($B$159,Vu_khi!$A$2:$A$360,0))="gun",0.7,1)</f>
        <v/>
      </c>
      <c r="G159">
        <f>$E$159/$F$159</f>
        <v/>
      </c>
      <c r="H159" t="n">
        <v>0.6</v>
      </c>
      <c r="I159" t="n">
        <v>2</v>
      </c>
      <c r="J159" t="b">
        <v>0</v>
      </c>
      <c r="K159" t="inlineStr"/>
      <c r="L159">
        <f>IF(ISNUMBER($H$159),AND(NOT($J$159),OR($G$159&lt;$H$159,$G$159&gt;$I$159)),FALSE)</f>
        <v/>
      </c>
      <c r="M159" t="inlineStr">
        <is>
          <t>TC0045</t>
        </is>
      </c>
      <c r="N159" t="inlineStr">
        <is>
          <t>R_balance;R_full_weapon_audit;W_wikipedia_au_220m</t>
        </is>
      </c>
      <c r="O15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59" t="inlineStr">
        <is>
          <t>Tools/balance/full_weapon_audit.py (bảng REAL) và 01_chien_dau/Vu_khi_suy_ra</t>
        </is>
      </c>
      <c r="Q159" t="inlineStr"/>
    </row>
    <row r="160">
      <c r="A160" t="inlineStr">
        <is>
          <t>p26_daedalus_sec_dae57/nhip</t>
        </is>
      </c>
      <c r="B160" t="inlineStr">
        <is>
          <t>p26_daedalus_sec_dae57</t>
        </is>
      </c>
      <c r="C160" t="inlineStr">
        <is>
          <t>khe_mot_nong_mot_vien</t>
        </is>
      </c>
      <c r="D160" t="inlineStr">
        <is>
          <t>s</t>
        </is>
      </c>
      <c r="E160" t="n">
        <v>1.0725</v>
      </c>
      <c r="F160">
        <f>60/INDEX(Vu_khi!$BB$2:$BB$360,MATCH($B$160,Vu_khi!$A$2:$A$360,0))/IF(INDEX(Vu_khi!$BD$2:$BD$360,MATCH($B$160,Vu_khi!$A$2:$A$360,0))="gun",0.7,1)</f>
        <v/>
      </c>
      <c r="G160">
        <f>$E$160/$F$160</f>
        <v/>
      </c>
      <c r="H160" t="n">
        <v>0.6</v>
      </c>
      <c r="I160" t="n">
        <v>2</v>
      </c>
      <c r="J160" t="b">
        <v>1</v>
      </c>
      <c r="K160" t="inlineStr">
        <is>
          <t>fix_weapon_reasons.json: wave 1 mothership_cannon: 4 rounds 0.5 s apart every 4.29 s (AU-220M 120 rpm); made up: a twin 57 mm deck mount (as the real AK-725 twin 57 mm); made up: a twin 57 mm belly mount (as the real AK-725 twin 57 mm)</t>
        </is>
      </c>
      <c r="L160">
        <f>IF(ISNUMBER($H$160),AND(NOT($J$160),OR($G$160&lt;$H$160,$G$160&gt;$I$160)),FALSE)</f>
        <v/>
      </c>
      <c r="M160" t="inlineStr"/>
      <c r="N160" t="inlineStr">
        <is>
          <t>R_balance;R_full_weapon_audit;W_wikipedia_au_220m</t>
        </is>
      </c>
      <c r="O16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0" t="inlineStr">
        <is>
          <t>Tools/balance/full_weapon_audit.py (bảng REAL) và 01_chien_dau/Vu_khi_suy_ra</t>
        </is>
      </c>
      <c r="Q160" t="inlineStr"/>
    </row>
    <row r="161">
      <c r="A161" t="inlineStr">
        <is>
          <t>p26_icarus_close_autocannon_40/nhip</t>
        </is>
      </c>
      <c r="B161" t="inlineStr">
        <is>
          <t>p26_icarus_close_autocannon_40</t>
        </is>
      </c>
      <c r="C161" t="inlineStr">
        <is>
          <t>khe_mot_nong_mot_vien</t>
        </is>
      </c>
      <c r="D161" t="inlineStr">
        <is>
          <t>s</t>
        </is>
      </c>
      <c r="E161" t="n">
        <v>0.332</v>
      </c>
      <c r="F161">
        <f>60/INDEX(Vu_khi!$BB$2:$BB$360,MATCH($B$161,Vu_khi!$A$2:$A$360,0))/IF(INDEX(Vu_khi!$BD$2:$BD$360,MATCH($B$161,Vu_khi!$A$2:$A$360,0))="gun",0.7,1)</f>
        <v/>
      </c>
      <c r="G161">
        <f>$E$161/$F$161</f>
        <v/>
      </c>
      <c r="H161" t="n">
        <v>0.6</v>
      </c>
      <c r="I161" t="n">
        <v>2</v>
      </c>
      <c r="J161" t="b">
        <v>0</v>
      </c>
      <c r="K161" t="inlineStr"/>
      <c r="L161">
        <f>IF(ISNUMBER($H$161),AND(NOT($J$161),OR($G$161&lt;$H$161,$G$161&gt;$I$161)),FALSE)</f>
        <v/>
      </c>
      <c r="M161" t="inlineStr"/>
      <c r="N161" t="inlineStr">
        <is>
          <t>R_balance;R_full_weapon_audit;W_wikipedia_bofors_40_mm_l_70</t>
        </is>
      </c>
      <c r="O16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1" t="inlineStr">
        <is>
          <t>Tools/balance/full_weapon_audit.py (bảng REAL) và 01_chien_dau/Vu_khi_suy_ra</t>
        </is>
      </c>
      <c r="Q161" t="inlineStr"/>
    </row>
    <row r="162">
      <c r="A162" t="inlineStr">
        <is>
          <t>p26_ixion_125/nhip</t>
        </is>
      </c>
      <c r="B162" t="inlineStr">
        <is>
          <t>p26_ixion_125</t>
        </is>
      </c>
      <c r="C162" t="inlineStr">
        <is>
          <t>khe_mot_nong_mot_vien</t>
        </is>
      </c>
      <c r="D162" t="inlineStr">
        <is>
          <t>s</t>
        </is>
      </c>
      <c r="E162" t="n">
        <v>7.5</v>
      </c>
      <c r="F162">
        <f>60/INDEX(Vu_khi!$BB$2:$BB$360,MATCH($B$162,Vu_khi!$A$2:$A$360,0))/IF(INDEX(Vu_khi!$BD$2:$BD$360,MATCH($B$162,Vu_khi!$A$2:$A$360,0))="gun",0.7,1)</f>
        <v/>
      </c>
      <c r="G162">
        <f>$E$162/$F$162</f>
        <v/>
      </c>
      <c r="H162" t="n">
        <v>0.6</v>
      </c>
      <c r="I162" t="n">
        <v>2</v>
      </c>
      <c r="J162" t="b">
        <v>0</v>
      </c>
      <c r="K162" t="inlineStr"/>
      <c r="L162">
        <f>IF(ISNUMBER($H$162),AND(NOT($J$162),OR($G$162&lt;$H$162,$G$162&gt;$I$162)),FALSE)</f>
        <v/>
      </c>
      <c r="M162" t="inlineStr"/>
      <c r="N162" t="inlineStr">
        <is>
          <t>R_balance;R_full_weapon_audit;W_wikipedia_2a46</t>
        </is>
      </c>
      <c r="O16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2" t="inlineStr">
        <is>
          <t>Tools/balance/full_weapon_audit.py (bảng REAL) và 01_chien_dau/Vu_khi_suy_ra</t>
        </is>
      </c>
      <c r="Q162" t="inlineStr"/>
    </row>
    <row r="163">
      <c r="A163" t="inlineStr">
        <is>
          <t>p26_ixion_mg/nhip</t>
        </is>
      </c>
      <c r="B163" t="inlineStr">
        <is>
          <t>p26_ixion_mg</t>
        </is>
      </c>
      <c r="C163" t="inlineStr">
        <is>
          <t>khe_mot_nong_mot_vien</t>
        </is>
      </c>
      <c r="D163" t="inlineStr">
        <is>
          <t>s</t>
        </is>
      </c>
      <c r="E163" t="n">
        <v>0.132467025</v>
      </c>
      <c r="F163">
        <f>60/INDEX(Vu_khi!$BB$2:$BB$360,MATCH($B$163,Vu_khi!$A$2:$A$360,0))/IF(INDEX(Vu_khi!$BD$2:$BD$360,MATCH($B$163,Vu_khi!$A$2:$A$360,0))="gun",0.7,1)</f>
        <v/>
      </c>
      <c r="G163">
        <f>$E$163/$F$163</f>
        <v/>
      </c>
      <c r="H163" t="n">
        <v>0.6</v>
      </c>
      <c r="I163" t="n">
        <v>2</v>
      </c>
      <c r="J163" t="b">
        <v>0</v>
      </c>
      <c r="K163" t="inlineStr"/>
      <c r="L163">
        <f>IF(ISNUMBER($H$163),AND(NOT($J$163),OR($G$163&lt;$H$163,$G$163&gt;$I$163)),FALSE)</f>
        <v/>
      </c>
      <c r="M163" t="inlineStr"/>
      <c r="N163" t="inlineStr">
        <is>
          <t>R_balance;R_full_weapon_audit;W_wikipedia_nsv_machine_gun</t>
        </is>
      </c>
      <c r="O16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3" t="inlineStr">
        <is>
          <t>Tools/balance/full_weapon_audit.py (bảng REAL) và 01_chien_dau/Vu_khi_suy_ra</t>
        </is>
      </c>
      <c r="Q163" t="inlineStr"/>
    </row>
    <row r="164">
      <c r="A164" t="inlineStr">
        <is>
          <t>p26_jotunn_close_boss_flak/nhip</t>
        </is>
      </c>
      <c r="B164" t="inlineStr">
        <is>
          <t>p26_jotunn_close_boss_flak</t>
        </is>
      </c>
      <c r="C164" t="inlineStr">
        <is>
          <t>khe_mot_nong_mot_vien</t>
        </is>
      </c>
      <c r="D164" t="inlineStr">
        <is>
          <t>s</t>
        </is>
      </c>
      <c r="E164" t="n">
        <v>0.262439018</v>
      </c>
      <c r="F164">
        <f>60/INDEX(Vu_khi!$BB$2:$BB$360,MATCH($B$164,Vu_khi!$A$2:$A$360,0))/IF(INDEX(Vu_khi!$BD$2:$BD$360,MATCH($B$164,Vu_khi!$A$2:$A$360,0))="gun",0.7,1)</f>
        <v/>
      </c>
      <c r="G164">
        <f>$E$164/$F$164</f>
        <v/>
      </c>
      <c r="H164" t="n">
        <v>0.6</v>
      </c>
      <c r="I164" t="n">
        <v>2</v>
      </c>
      <c r="J164" t="b">
        <v>1</v>
      </c>
      <c r="K164" t="inlineStr">
        <is>
          <t>fix_weapon_reasons.json: wave 1 boss_flak: 41 rounds at 1,200 rpm, changed in 3.38 s (twin Oerlikon GDF 2 x 550 rpm)</t>
        </is>
      </c>
      <c r="L164">
        <f>IF(ISNUMBER($H$164),AND(NOT($J$164),OR($G$164&lt;$H$164,$G$164&gt;$I$164)),FALSE)</f>
        <v/>
      </c>
      <c r="M164" t="inlineStr"/>
      <c r="N164" t="inlineStr">
        <is>
          <t>R_balance;R_full_weapon_audit;W_wikipedia_oerlikon_gdf</t>
        </is>
      </c>
      <c r="O16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4" t="inlineStr">
        <is>
          <t>Tools/balance/full_weapon_audit.py (bảng REAL) và 01_chien_dau/Vu_khi_suy_ra</t>
        </is>
      </c>
      <c r="Q164" t="inlineStr"/>
    </row>
    <row r="165">
      <c r="A165" t="inlineStr">
        <is>
          <t>p26_jotunn_direct_jo125/nhip</t>
        </is>
      </c>
      <c r="B165" t="inlineStr">
        <is>
          <t>p26_jotunn_direct_jo125</t>
        </is>
      </c>
      <c r="C165" t="inlineStr">
        <is>
          <t>khe_mot_nong_mot_vien</t>
        </is>
      </c>
      <c r="D165" t="inlineStr">
        <is>
          <t>s</t>
        </is>
      </c>
      <c r="E165" t="n">
        <v>7.5</v>
      </c>
      <c r="F165">
        <f>60/INDEX(Vu_khi!$BB$2:$BB$360,MATCH($B$165,Vu_khi!$A$2:$A$360,0))/IF(INDEX(Vu_khi!$BD$2:$BD$360,MATCH($B$165,Vu_khi!$A$2:$A$360,0))="gun",0.7,1)</f>
        <v/>
      </c>
      <c r="G165">
        <f>$E$165/$F$165</f>
        <v/>
      </c>
      <c r="H165" t="n">
        <v>0.6</v>
      </c>
      <c r="I165" t="n">
        <v>2</v>
      </c>
      <c r="J165" t="b">
        <v>0</v>
      </c>
      <c r="K165" t="inlineStr"/>
      <c r="L165">
        <f>IF(ISNUMBER($H$165),AND(NOT($J$165),OR($G$165&lt;$H$165,$G$165&gt;$I$165)),FALSE)</f>
        <v/>
      </c>
      <c r="M165" t="inlineStr"/>
      <c r="N165" t="inlineStr">
        <is>
          <t>R_balance;R_full_weapon_audit;W_wikipedia_2a46</t>
        </is>
      </c>
      <c r="O16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5" t="inlineStr">
        <is>
          <t>Tools/balance/full_weapon_audit.py (bảng REAL) và 01_chien_dau/Vu_khi_suy_ra</t>
        </is>
      </c>
      <c r="Q165" t="inlineStr"/>
    </row>
    <row r="166">
      <c r="A166" t="inlineStr">
        <is>
          <t>p26_jotunn_jo125/nhip</t>
        </is>
      </c>
      <c r="B166" t="inlineStr">
        <is>
          <t>p26_jotunn_jo125</t>
        </is>
      </c>
      <c r="C166" t="inlineStr">
        <is>
          <t>khe_mot_nong_mot_vien</t>
        </is>
      </c>
      <c r="D166" t="inlineStr">
        <is>
          <t>s</t>
        </is>
      </c>
      <c r="E166" t="n">
        <v>2.000003571</v>
      </c>
      <c r="F166">
        <f>60/INDEX(Vu_khi!$BB$2:$BB$360,MATCH($B$166,Vu_khi!$A$2:$A$360,0))/IF(INDEX(Vu_khi!$BD$2:$BD$360,MATCH($B$166,Vu_khi!$A$2:$A$360,0))="gun",0.7,1)</f>
        <v/>
      </c>
      <c r="G166">
        <f>$E$166/$F$166</f>
        <v/>
      </c>
      <c r="H166" t="n">
        <v>0.6</v>
      </c>
      <c r="I166" t="n">
        <v>2</v>
      </c>
      <c r="J166" t="b">
        <v>0</v>
      </c>
      <c r="K166" t="inlineStr"/>
      <c r="L166">
        <f>IF(ISNUMBER($H$166),AND(NOT($J$166),OR($G$166&lt;$H$166,$G$166&gt;$I$166)),FALSE)</f>
        <v/>
      </c>
      <c r="M166" t="inlineStr">
        <is>
          <t>TC0046</t>
        </is>
      </c>
      <c r="N166" t="inlineStr">
        <is>
          <t>R_balance;R_full_weapon_audit;W_wikipedia_2a46</t>
        </is>
      </c>
      <c r="O16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6" t="inlineStr">
        <is>
          <t>Tools/balance/full_weapon_audit.py (bảng REAL) và 01_chien_dau/Vu_khi_suy_ra</t>
        </is>
      </c>
      <c r="Q166" t="inlineStr"/>
    </row>
    <row r="167">
      <c r="A167" t="inlineStr">
        <is>
          <t>p26_jotunn_jo203/nhip</t>
        </is>
      </c>
      <c r="B167" t="inlineStr">
        <is>
          <t>p26_jotunn_jo203</t>
        </is>
      </c>
      <c r="C167" t="inlineStr">
        <is>
          <t>khe_mot_nong_mot_vien</t>
        </is>
      </c>
      <c r="D167" t="inlineStr">
        <is>
          <t>s</t>
        </is>
      </c>
      <c r="E167" t="n">
        <v>24</v>
      </c>
      <c r="F167">
        <f>60/INDEX(Vu_khi!$BB$2:$BB$360,MATCH($B$167,Vu_khi!$A$2:$A$360,0))/IF(INDEX(Vu_khi!$BD$2:$BD$360,MATCH($B$167,Vu_khi!$A$2:$A$360,0))="gun",0.7,1)</f>
        <v/>
      </c>
      <c r="G167">
        <f>$E$167/$F$167</f>
        <v/>
      </c>
      <c r="H167" t="n">
        <v>0.6</v>
      </c>
      <c r="I167" t="n">
        <v>2</v>
      </c>
      <c r="J167" t="b">
        <v>0</v>
      </c>
      <c r="K167" t="inlineStr"/>
      <c r="L167">
        <f>IF(ISNUMBER($H$167),AND(NOT($J$167),OR($G$167&lt;$H$167,$G$167&gt;$I$167)),FALSE)</f>
        <v/>
      </c>
      <c r="M167" t="inlineStr"/>
      <c r="N167" t="inlineStr">
        <is>
          <t>R_balance;R_full_weapon_audit;W_wikipedia_2s7_pion</t>
        </is>
      </c>
      <c r="O16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7" t="inlineStr">
        <is>
          <t>Tools/balance/full_weapon_audit.py (bảng REAL) và 01_chien_dau/Vu_khi_suy_ra</t>
        </is>
      </c>
      <c r="Q167" t="inlineStr"/>
    </row>
    <row r="168">
      <c r="A168" t="inlineStr">
        <is>
          <t>p26_jotunn_jo_rockets/nhip</t>
        </is>
      </c>
      <c r="B168" t="inlineStr">
        <is>
          <t>p26_jotunn_jo_rockets</t>
        </is>
      </c>
      <c r="C168" t="inlineStr">
        <is>
          <t>khe_mot_nong_mot_vien</t>
        </is>
      </c>
      <c r="D168" t="inlineStr">
        <is>
          <t>s</t>
        </is>
      </c>
      <c r="E168" t="n">
        <v>0.3</v>
      </c>
      <c r="F168">
        <f>60/INDEX(Vu_khi!$BB$2:$BB$360,MATCH($B$168,Vu_khi!$A$2:$A$360,0))/IF(INDEX(Vu_khi!$BD$2:$BD$360,MATCH($B$168,Vu_khi!$A$2:$A$360,0))="gun",0.7,1)</f>
        <v/>
      </c>
      <c r="G168">
        <f>$E$168/$F$168</f>
        <v/>
      </c>
      <c r="H168" t="n">
        <v>0.6</v>
      </c>
      <c r="I168" t="n">
        <v>2</v>
      </c>
      <c r="J168" t="b">
        <v>0</v>
      </c>
      <c r="K168" t="inlineStr"/>
      <c r="L168">
        <f>IF(ISNUMBER($H$168),AND(NOT($J$168),OR($G$168&lt;$H$168,$G$168&gt;$I$168)),FALSE)</f>
        <v/>
      </c>
      <c r="M168" t="inlineStr">
        <is>
          <t>TC0047</t>
        </is>
      </c>
      <c r="N168" t="inlineStr">
        <is>
          <t>R_balance;R_full_weapon_audit;W_wikipedia_bm_30_smerch</t>
        </is>
      </c>
      <c r="O16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8" t="inlineStr">
        <is>
          <t>Tools/balance/full_weapon_audit.py (bảng REAL) và 01_chien_dau/Vu_khi_suy_ra</t>
        </is>
      </c>
      <c r="Q168" t="inlineStr"/>
    </row>
    <row r="169">
      <c r="A169" t="inlineStr">
        <is>
          <t>p26_jotunn_sec_jo_rockets/nhip</t>
        </is>
      </c>
      <c r="B169" t="inlineStr">
        <is>
          <t>p26_jotunn_sec_jo_rockets</t>
        </is>
      </c>
      <c r="C169" t="inlineStr">
        <is>
          <t>khe_mot_nong_mot_vien</t>
        </is>
      </c>
      <c r="D169" t="inlineStr">
        <is>
          <t>s</t>
        </is>
      </c>
      <c r="E169" t="n">
        <v>3.169998947</v>
      </c>
      <c r="F169">
        <f>60/INDEX(Vu_khi!$BB$2:$BB$360,MATCH($B$169,Vu_khi!$A$2:$A$360,0))/IF(INDEX(Vu_khi!$BD$2:$BD$360,MATCH($B$169,Vu_khi!$A$2:$A$360,0))="gun",0.7,1)</f>
        <v/>
      </c>
      <c r="G169">
        <f>$E$169/$F$169</f>
        <v/>
      </c>
      <c r="H169" t="n">
        <v>0.6</v>
      </c>
      <c r="I169" t="n">
        <v>2</v>
      </c>
      <c r="J169" t="b">
        <v>0</v>
      </c>
      <c r="K169" t="inlineStr"/>
      <c r="L169">
        <f>IF(ISNUMBER($H$169),AND(NOT($J$169),OR($G$169&lt;$H$169,$G$169&gt;$I$169)),FALSE)</f>
        <v/>
      </c>
      <c r="M169" t="inlineStr"/>
      <c r="N169" t="inlineStr">
        <is>
          <t>R_balance;R_full_weapon_audit;W_wikipedia_bm_30_smerch</t>
        </is>
      </c>
      <c r="O16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69" t="inlineStr">
        <is>
          <t>Tools/balance/full_weapon_audit.py (bảng REAL) và 01_chien_dau/Vu_khi_suy_ra</t>
        </is>
      </c>
      <c r="Q169" t="inlineStr"/>
    </row>
    <row r="170">
      <c r="A170" t="inlineStr">
        <is>
          <t>p26_jotunn_tiny_twin_30_flak/nhip</t>
        </is>
      </c>
      <c r="B170" t="inlineStr">
        <is>
          <t>p26_jotunn_tiny_twin_30_flak</t>
        </is>
      </c>
      <c r="C170" t="inlineStr">
        <is>
          <t>khe_mot_nong_mot_vien</t>
        </is>
      </c>
      <c r="D170" t="inlineStr">
        <is>
          <t>s</t>
        </is>
      </c>
      <c r="E170" t="n">
        <v>0.08718748799999999</v>
      </c>
      <c r="F170">
        <f>60/INDEX(Vu_khi!$BB$2:$BB$360,MATCH($B$170,Vu_khi!$A$2:$A$360,0))/IF(INDEX(Vu_khi!$BD$2:$BD$360,MATCH($B$170,Vu_khi!$A$2:$A$360,0))="gun",0.7,1)</f>
        <v/>
      </c>
      <c r="G170">
        <f>$E$170/$F$170</f>
        <v/>
      </c>
      <c r="H170" t="n">
        <v>0.6</v>
      </c>
      <c r="I170" t="n">
        <v>2</v>
      </c>
      <c r="J170" t="b">
        <v>1</v>
      </c>
      <c r="K170" t="inlineStr">
        <is>
          <t>fix_weapon_reasons.json: wave 1 twin_30_flak: 160 rounds at 2,400 rpm, changed in 3 s (2A38M 4,060-5,000 rpm the pair)</t>
        </is>
      </c>
      <c r="L170">
        <f>IF(ISNUMBER($H$170),AND(NOT($J$170),OR($G$170&lt;$H$170,$G$170&gt;$I$170)),FALSE)</f>
        <v/>
      </c>
      <c r="M170" t="inlineStr"/>
      <c r="N170" t="inlineStr">
        <is>
          <t>R_balance;R_full_weapon_audit;W_wikipedia_2a38</t>
        </is>
      </c>
      <c r="O17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0" t="inlineStr">
        <is>
          <t>Tools/balance/full_weapon_audit.py (bảng REAL) và 01_chien_dau/Vu_khi_suy_ra</t>
        </is>
      </c>
      <c r="Q170" t="inlineStr"/>
    </row>
    <row r="171">
      <c r="A171" t="inlineStr">
        <is>
          <t>p26_leviathan_direct_lev127/nhip</t>
        </is>
      </c>
      <c r="B171" t="inlineStr">
        <is>
          <t>p26_leviathan_direct_lev127</t>
        </is>
      </c>
      <c r="C171" t="inlineStr">
        <is>
          <t>khe_mot_nong_mot_vien</t>
        </is>
      </c>
      <c r="D171" t="inlineStr">
        <is>
          <t>s</t>
        </is>
      </c>
      <c r="E171" t="n">
        <v>3</v>
      </c>
      <c r="F171">
        <f>60/INDEX(Vu_khi!$BB$2:$BB$360,MATCH($B$171,Vu_khi!$A$2:$A$360,0))/IF(INDEX(Vu_khi!$BD$2:$BD$360,MATCH($B$171,Vu_khi!$A$2:$A$360,0))="gun",0.7,1)</f>
        <v/>
      </c>
      <c r="G171">
        <f>$E$171/$F$171</f>
        <v/>
      </c>
      <c r="H171" t="n">
        <v>0.6</v>
      </c>
      <c r="I171" t="n">
        <v>2</v>
      </c>
      <c r="J171" t="b">
        <v>0</v>
      </c>
      <c r="K171" t="inlineStr"/>
      <c r="L171">
        <f>IF(ISNUMBER($H$171),AND(NOT($J$171),OR($G$171&lt;$H$171,$G$171&gt;$I$171)),FALSE)</f>
        <v/>
      </c>
      <c r="M171" t="inlineStr"/>
      <c r="N171" t="inlineStr">
        <is>
          <t>R_balance;R_full_weapon_audit;W_wikipedia_a_192</t>
        </is>
      </c>
      <c r="O17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1" t="inlineStr">
        <is>
          <t>Tools/balance/full_weapon_audit.py (bảng REAL) và 01_chien_dau/Vu_khi_suy_ra</t>
        </is>
      </c>
      <c r="Q171" t="inlineStr"/>
    </row>
    <row r="172">
      <c r="A172" t="inlineStr">
        <is>
          <t>p26_leviathan_lev127/nhip</t>
        </is>
      </c>
      <c r="B172" t="inlineStr">
        <is>
          <t>p26_leviathan_lev127</t>
        </is>
      </c>
      <c r="C172" t="inlineStr">
        <is>
          <t>khe_mot_nong_mot_vien</t>
        </is>
      </c>
      <c r="D172" t="inlineStr">
        <is>
          <t>s</t>
        </is>
      </c>
      <c r="E172" t="n">
        <v>2</v>
      </c>
      <c r="F172">
        <f>60/INDEX(Vu_khi!$BB$2:$BB$360,MATCH($B$172,Vu_khi!$A$2:$A$360,0))/IF(INDEX(Vu_khi!$BD$2:$BD$360,MATCH($B$172,Vu_khi!$A$2:$A$360,0))="gun",0.7,1)</f>
        <v/>
      </c>
      <c r="G172">
        <f>$E$172/$F$172</f>
        <v/>
      </c>
      <c r="H172" t="n">
        <v>0.6</v>
      </c>
      <c r="I172" t="n">
        <v>2</v>
      </c>
      <c r="J172" t="b">
        <v>0</v>
      </c>
      <c r="K172" t="inlineStr"/>
      <c r="L172">
        <f>IF(ISNUMBER($H$172),AND(NOT($J$172),OR($G$172&lt;$H$172,$G$172&gt;$I$172)),FALSE)</f>
        <v/>
      </c>
      <c r="M172" t="inlineStr"/>
      <c r="N172" t="inlineStr">
        <is>
          <t>R_balance;R_full_weapon_audit;W_wikipedia_a_192</t>
        </is>
      </c>
      <c r="O17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2" t="inlineStr">
        <is>
          <t>Tools/balance/full_weapon_audit.py (bảng REAL) và 01_chien_dau/Vu_khi_suy_ra</t>
        </is>
      </c>
      <c r="Q172" t="inlineStr"/>
    </row>
    <row r="173">
      <c r="A173" t="inlineStr">
        <is>
          <t>p26_leviathan_lev155/nhip</t>
        </is>
      </c>
      <c r="B173" t="inlineStr">
        <is>
          <t>p26_leviathan_lev155</t>
        </is>
      </c>
      <c r="C173" t="inlineStr">
        <is>
          <t>khe_mot_nong_mot_vien</t>
        </is>
      </c>
      <c r="D173" t="inlineStr">
        <is>
          <t>s</t>
        </is>
      </c>
      <c r="E173" t="n">
        <v>5.000005714</v>
      </c>
      <c r="F173">
        <f>60/INDEX(Vu_khi!$BB$2:$BB$360,MATCH($B$173,Vu_khi!$A$2:$A$360,0))/IF(INDEX(Vu_khi!$BD$2:$BD$360,MATCH($B$173,Vu_khi!$A$2:$A$360,0))="gun",0.7,1)</f>
        <v/>
      </c>
      <c r="G173">
        <f>$E$173/$F$173</f>
        <v/>
      </c>
      <c r="H173" t="n">
        <v>0.6</v>
      </c>
      <c r="I173" t="n">
        <v>2</v>
      </c>
      <c r="J173" t="b">
        <v>0</v>
      </c>
      <c r="K173" t="inlineStr"/>
      <c r="L173">
        <f>IF(ISNUMBER($H$173),AND(NOT($J$173),OR($G$173&lt;$H$173,$G$173&gt;$I$173)),FALSE)</f>
        <v/>
      </c>
      <c r="M173" t="inlineStr">
        <is>
          <t>TC0048</t>
        </is>
      </c>
      <c r="N173" t="inlineStr">
        <is>
          <t>R_balance;R_full_weapon_audit;W_wikipedia_15_5_cm_60_3rd_year_type</t>
        </is>
      </c>
      <c r="O17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3" t="inlineStr">
        <is>
          <t>Tools/balance/full_weapon_audit.py (bảng REAL) và 01_chien_dau/Vu_khi_suy_ra</t>
        </is>
      </c>
      <c r="Q173" t="inlineStr"/>
    </row>
    <row r="174">
      <c r="A174" t="inlineStr">
        <is>
          <t>p26_leviathan_lev406/nhip</t>
        </is>
      </c>
      <c r="B174" t="inlineStr">
        <is>
          <t>p26_leviathan_lev406</t>
        </is>
      </c>
      <c r="C174" t="inlineStr">
        <is>
          <t>khe_mot_nong_mot_vien</t>
        </is>
      </c>
      <c r="D174" t="inlineStr">
        <is>
          <t>s</t>
        </is>
      </c>
      <c r="E174" t="n">
        <v>60</v>
      </c>
      <c r="F174">
        <f>60/INDEX(Vu_khi!$BB$2:$BB$360,MATCH($B$174,Vu_khi!$A$2:$A$360,0))/IF(INDEX(Vu_khi!$BD$2:$BD$360,MATCH($B$174,Vu_khi!$A$2:$A$360,0))="gun",0.7,1)</f>
        <v/>
      </c>
      <c r="G174">
        <f>$E$174/$F$174</f>
        <v/>
      </c>
      <c r="H174" t="n">
        <v>0.6</v>
      </c>
      <c r="I174" t="n">
        <v>2</v>
      </c>
      <c r="J174" t="b">
        <v>0</v>
      </c>
      <c r="K174" t="inlineStr"/>
      <c r="L174">
        <f>IF(ISNUMBER($H$174),AND(NOT($J$174),OR($G$174&lt;$H$174,$G$174&gt;$I$174)),FALSE)</f>
        <v/>
      </c>
      <c r="M174" t="inlineStr"/>
      <c r="N174" t="inlineStr">
        <is>
          <t>R_balance;R_full_weapon_audit;W_wikipedia_16_50_caliber_mark_7</t>
        </is>
      </c>
      <c r="O17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4" t="inlineStr">
        <is>
          <t>Tools/balance/full_weapon_audit.py (bảng REAL) và 01_chien_dau/Vu_khi_suy_ra</t>
        </is>
      </c>
      <c r="Q174" t="inlineStr"/>
    </row>
    <row r="175">
      <c r="A175" t="inlineStr">
        <is>
          <t>p26_leviathan_sec_lev155/nhip</t>
        </is>
      </c>
      <c r="B175" t="inlineStr">
        <is>
          <t>p26_leviathan_sec_lev155</t>
        </is>
      </c>
      <c r="C175" t="inlineStr">
        <is>
          <t>khe_mot_nong_mot_vien</t>
        </is>
      </c>
      <c r="D175" t="inlineStr">
        <is>
          <t>s</t>
        </is>
      </c>
      <c r="E175" t="n">
        <v>10.5</v>
      </c>
      <c r="F175">
        <f>60/INDEX(Vu_khi!$BB$2:$BB$360,MATCH($B$175,Vu_khi!$A$2:$A$360,0))/IF(INDEX(Vu_khi!$BD$2:$BD$360,MATCH($B$175,Vu_khi!$A$2:$A$360,0))="gun",0.7,1)</f>
        <v/>
      </c>
      <c r="G175">
        <f>$E$175/$F$175</f>
        <v/>
      </c>
      <c r="H175" t="n">
        <v>0.6</v>
      </c>
      <c r="I175" t="n">
        <v>2</v>
      </c>
      <c r="J175" t="b">
        <v>0</v>
      </c>
      <c r="K175" t="inlineStr"/>
      <c r="L175">
        <f>IF(ISNUMBER($H$175),AND(NOT($J$175),OR($G$175&lt;$H$175,$G$175&gt;$I$175)),FALSE)</f>
        <v/>
      </c>
      <c r="M175" t="inlineStr"/>
      <c r="N175" t="inlineStr">
        <is>
          <t>R_balance;R_full_weapon_audit;W_wikipedia_15_5_cm_60_3rd_year_type</t>
        </is>
      </c>
      <c r="O17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5" t="inlineStr">
        <is>
          <t>Tools/balance/full_weapon_audit.py (bảng REAL) và 01_chien_dau/Vu_khi_suy_ra</t>
        </is>
      </c>
      <c r="Q175" t="inlineStr"/>
    </row>
    <row r="176">
      <c r="A176" t="inlineStr">
        <is>
          <t>p26_matriarch_close_boss_flak/nhip</t>
        </is>
      </c>
      <c r="B176" t="inlineStr">
        <is>
          <t>p26_matriarch_close_boss_flak</t>
        </is>
      </c>
      <c r="C176" t="inlineStr">
        <is>
          <t>khe_mot_nong_mot_vien</t>
        </is>
      </c>
      <c r="D176" t="inlineStr">
        <is>
          <t>s</t>
        </is>
      </c>
      <c r="E176" t="n">
        <v>0.262439018</v>
      </c>
      <c r="F176">
        <f>60/INDEX(Vu_khi!$BB$2:$BB$360,MATCH($B$176,Vu_khi!$A$2:$A$360,0))/IF(INDEX(Vu_khi!$BD$2:$BD$360,MATCH($B$176,Vu_khi!$A$2:$A$360,0))="gun",0.7,1)</f>
        <v/>
      </c>
      <c r="G176">
        <f>$E$176/$F$176</f>
        <v/>
      </c>
      <c r="H176" t="n">
        <v>0.6</v>
      </c>
      <c r="I176" t="n">
        <v>2</v>
      </c>
      <c r="J176" t="b">
        <v>1</v>
      </c>
      <c r="K176" t="inlineStr">
        <is>
          <t>fix_weapon_reasons.json: wave 1 boss_flak: 41 rounds at 1,200 rpm, changed in 3.38 s (twin Oerlikon GDF 2 x 550 rpm)</t>
        </is>
      </c>
      <c r="L176">
        <f>IF(ISNUMBER($H$176),AND(NOT($J$176),OR($G$176&lt;$H$176,$G$176&gt;$I$176)),FALSE)</f>
        <v/>
      </c>
      <c r="M176" t="inlineStr"/>
      <c r="N176" t="inlineStr">
        <is>
          <t>R_balance;R_full_weapon_audit;W_wikipedia_oerlikon_gdf</t>
        </is>
      </c>
      <c r="O17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6" t="inlineStr">
        <is>
          <t>Tools/balance/full_weapon_audit.py (bảng REAL) và 01_chien_dau/Vu_khi_suy_ra</t>
        </is>
      </c>
      <c r="Q176" t="inlineStr"/>
    </row>
    <row r="177">
      <c r="A177" t="inlineStr">
        <is>
          <t>p26_matriarch_direct_ma_atgm/nhip</t>
        </is>
      </c>
      <c r="B177" t="inlineStr">
        <is>
          <t>p26_matriarch_direct_ma_atgm</t>
        </is>
      </c>
      <c r="C177" t="inlineStr">
        <is>
          <t>khe_mot_nong_mot_vien</t>
        </is>
      </c>
      <c r="D177" t="inlineStr">
        <is>
          <t>s</t>
        </is>
      </c>
      <c r="E177" t="n">
        <v>20</v>
      </c>
      <c r="F177">
        <f>60/INDEX(Vu_khi!$BB$2:$BB$360,MATCH($B$177,Vu_khi!$A$2:$A$360,0))/IF(INDEX(Vu_khi!$BD$2:$BD$360,MATCH($B$177,Vu_khi!$A$2:$A$360,0))="gun",0.7,1)</f>
        <v/>
      </c>
      <c r="G177">
        <f>$E$177/$F$177</f>
        <v/>
      </c>
      <c r="H177" t="n">
        <v>0.6</v>
      </c>
      <c r="I177" t="n">
        <v>2</v>
      </c>
      <c r="J177" t="b">
        <v>0</v>
      </c>
      <c r="K177" t="inlineStr"/>
      <c r="L177">
        <f>IF(ISNUMBER($H$177),AND(NOT($J$177),OR($G$177&lt;$H$177,$G$177&gt;$I$177)),FALSE)</f>
        <v/>
      </c>
      <c r="M177" t="inlineStr"/>
      <c r="N177" t="inlineStr">
        <is>
          <t>R_balance;R_full_weapon_audit;W_wikipedia_9m133_kornet;W_wikipedia_bai_cua_tung_ten_lua_bang_warhead</t>
        </is>
      </c>
      <c r="O17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7" t="inlineStr">
        <is>
          <t>Tools/balance/full_weapon_audit.py (bảng REAL) và 01_chien_dau/Vu_khi_suy_ra</t>
        </is>
      </c>
      <c r="Q177" t="inlineStr"/>
    </row>
    <row r="178">
      <c r="A178" t="inlineStr">
        <is>
          <t>p26_matriarch_direct_ma_atgm/sat_thuong</t>
        </is>
      </c>
      <c r="B178" t="inlineStr">
        <is>
          <t>p26_matriarch_direct_ma_atgm</t>
        </is>
      </c>
      <c r="C178" t="inlineStr">
        <is>
          <t>sat_thuong_tren_kg_dau_dan</t>
        </is>
      </c>
      <c r="D178" t="inlineStr">
        <is>
          <t>hp/kg</t>
        </is>
      </c>
      <c r="E178">
        <f>INDEX(Vu_khi!$W$2:$W$360,MATCH($B$178,Vu_khi!$A$2:$A$360,0))</f>
        <v/>
      </c>
      <c r="F178">
        <f>INDEX(Vu_khi_tham_chieu!$AB$2:$AB$360,MATCH($B$178,Vu_khi_tham_chieu!$A$2:$A$360,0))</f>
        <v/>
      </c>
      <c r="G178">
        <f>$E$178/$F$178</f>
        <v/>
      </c>
      <c r="H178" t="inlineStr"/>
      <c r="I178" t="inlineStr"/>
      <c r="J178" t="b">
        <v>0</v>
      </c>
      <c r="K178" t="inlineStr"/>
      <c r="L178">
        <f>IF(ISNUMBER($H$178),AND(NOT($J$178),OR($G$178&lt;$H$178,$G$178&gt;$I$178)),FALSE)</f>
        <v/>
      </c>
      <c r="M178" t="inlineStr"/>
      <c r="N178" t="inlineStr">
        <is>
          <t>R_full_weapon_audit</t>
        </is>
      </c>
      <c r="O178" t="inlineStr">
        <is>
          <t>sát thương một phát / khối lượng đầu đạn (không bắt buộc 1:1, chỉ ghi ty_le)</t>
        </is>
      </c>
      <c r="P178" t="inlineStr">
        <is>
          <t>Tools/balance/full_weapon_audit.py WARHEAD</t>
        </is>
      </c>
      <c r="Q178" t="inlineStr"/>
    </row>
    <row r="179">
      <c r="A179" t="inlineStr">
        <is>
          <t>p26_matriarch_ma_atgm/nhip</t>
        </is>
      </c>
      <c r="B179" t="inlineStr">
        <is>
          <t>p26_matriarch_ma_atgm</t>
        </is>
      </c>
      <c r="C179" t="inlineStr">
        <is>
          <t>khe_mot_nong_mot_vien</t>
        </is>
      </c>
      <c r="D179" t="inlineStr">
        <is>
          <t>s</t>
        </is>
      </c>
      <c r="E179" t="n">
        <v>2</v>
      </c>
      <c r="F179">
        <f>60/INDEX(Vu_khi!$BB$2:$BB$360,MATCH($B$179,Vu_khi!$A$2:$A$360,0))/IF(INDEX(Vu_khi!$BD$2:$BD$360,MATCH($B$179,Vu_khi!$A$2:$A$360,0))="gun",0.7,1)</f>
        <v/>
      </c>
      <c r="G179">
        <f>$E$179/$F$179</f>
        <v/>
      </c>
      <c r="H179" t="n">
        <v>0.6</v>
      </c>
      <c r="I179" t="n">
        <v>2</v>
      </c>
      <c r="J179" t="b">
        <v>0</v>
      </c>
      <c r="K179" t="inlineStr"/>
      <c r="L179">
        <f>IF(ISNUMBER($H$179),AND(NOT($J$179),OR($G$179&lt;$H$179,$G$179&gt;$I$179)),FALSE)</f>
        <v/>
      </c>
      <c r="M179" t="inlineStr">
        <is>
          <t>TC0049</t>
        </is>
      </c>
      <c r="N179" t="inlineStr">
        <is>
          <t>R_balance;R_full_weapon_audit;W_wikipedia_9m133_kornet;W_wikipedia_bai_cua_tung_ten_lua_bang_warhead</t>
        </is>
      </c>
      <c r="O17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79" t="inlineStr">
        <is>
          <t>Tools/balance/full_weapon_audit.py (bảng REAL) và 01_chien_dau/Vu_khi_suy_ra</t>
        </is>
      </c>
      <c r="Q179" t="inlineStr"/>
    </row>
    <row r="180">
      <c r="A180" t="inlineStr">
        <is>
          <t>p26_matriarch_ma_atgm/sat_thuong</t>
        </is>
      </c>
      <c r="B180" t="inlineStr">
        <is>
          <t>p26_matriarch_ma_atgm</t>
        </is>
      </c>
      <c r="C180" t="inlineStr">
        <is>
          <t>sat_thuong_tren_kg_dau_dan</t>
        </is>
      </c>
      <c r="D180" t="inlineStr">
        <is>
          <t>hp/kg</t>
        </is>
      </c>
      <c r="E180">
        <f>INDEX(Vu_khi!$W$2:$W$360,MATCH($B$180,Vu_khi!$A$2:$A$360,0))</f>
        <v/>
      </c>
      <c r="F180">
        <f>INDEX(Vu_khi_tham_chieu!$AB$2:$AB$360,MATCH($B$180,Vu_khi_tham_chieu!$A$2:$A$360,0))</f>
        <v/>
      </c>
      <c r="G180">
        <f>$E$180/$F$180</f>
        <v/>
      </c>
      <c r="H180" t="inlineStr"/>
      <c r="I180" t="inlineStr"/>
      <c r="J180" t="b">
        <v>0</v>
      </c>
      <c r="K180" t="inlineStr"/>
      <c r="L180">
        <f>IF(ISNUMBER($H$180),AND(NOT($J$180),OR($G$180&lt;$H$180,$G$180&gt;$I$180)),FALSE)</f>
        <v/>
      </c>
      <c r="M180" t="inlineStr"/>
      <c r="N180" t="inlineStr">
        <is>
          <t>R_full_weapon_audit</t>
        </is>
      </c>
      <c r="O180" t="inlineStr">
        <is>
          <t>sát thương một phát / khối lượng đầu đạn (không bắt buộc 1:1, chỉ ghi ty_le)</t>
        </is>
      </c>
      <c r="P180" t="inlineStr">
        <is>
          <t>Tools/balance/full_weapon_audit.py WARHEAD</t>
        </is>
      </c>
      <c r="Q180" t="inlineStr"/>
    </row>
    <row r="181">
      <c r="A181" t="inlineStr">
        <is>
          <t>p26_matriarch_sec_autocannon_30/nhip</t>
        </is>
      </c>
      <c r="B181" t="inlineStr">
        <is>
          <t>p26_matriarch_sec_autocannon_30</t>
        </is>
      </c>
      <c r="C181" t="inlineStr">
        <is>
          <t>khe_mot_nong_mot_vien</t>
        </is>
      </c>
      <c r="D181" t="inlineStr">
        <is>
          <t>s</t>
        </is>
      </c>
      <c r="E181" t="n">
        <v>0.24999</v>
      </c>
      <c r="F181">
        <f>60/INDEX(Vu_khi!$BB$2:$BB$360,MATCH($B$181,Vu_khi!$A$2:$A$360,0))/IF(INDEX(Vu_khi!$BD$2:$BD$360,MATCH($B$181,Vu_khi!$A$2:$A$360,0))="gun",0.7,1)</f>
        <v/>
      </c>
      <c r="G181">
        <f>$E$181/$F$181</f>
        <v/>
      </c>
      <c r="H181" t="n">
        <v>0.6</v>
      </c>
      <c r="I181" t="n">
        <v>2</v>
      </c>
      <c r="J181" t="b">
        <v>1</v>
      </c>
      <c r="K181" t="inlineStr">
        <is>
          <t>fix_weapon_reasons.json: wave 1 autocannon_30: 10 rounds at 540 rpm every 2.5 s (2A42 550-800 rpm)</t>
        </is>
      </c>
      <c r="L181">
        <f>IF(ISNUMBER($H$181),AND(NOT($J$181),OR($G$181&lt;$H$181,$G$181&gt;$I$181)),FALSE)</f>
        <v/>
      </c>
      <c r="M181" t="inlineStr"/>
      <c r="N181" t="inlineStr">
        <is>
          <t>R_balance;R_full_weapon_audit;W_wikipedia_2a42</t>
        </is>
      </c>
      <c r="O18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1" t="inlineStr">
        <is>
          <t>Tools/balance/full_weapon_audit.py (bảng REAL) và 01_chien_dau/Vu_khi_suy_ra</t>
        </is>
      </c>
      <c r="Q181" t="inlineStr"/>
    </row>
    <row r="182">
      <c r="A182" t="inlineStr">
        <is>
          <t>p26_matriarch_tiny_mothership_cannon/nhip</t>
        </is>
      </c>
      <c r="B182" t="inlineStr">
        <is>
          <t>p26_matriarch_tiny_mothership_cannon</t>
        </is>
      </c>
      <c r="C182" t="inlineStr">
        <is>
          <t>khe_mot_nong_mot_vien</t>
        </is>
      </c>
      <c r="D182" t="inlineStr">
        <is>
          <t>s</t>
        </is>
      </c>
      <c r="E182" t="n">
        <v>1.0725</v>
      </c>
      <c r="F182">
        <f>60/INDEX(Vu_khi!$BB$2:$BB$360,MATCH($B$182,Vu_khi!$A$2:$A$360,0))/IF(INDEX(Vu_khi!$BD$2:$BD$360,MATCH($B$182,Vu_khi!$A$2:$A$360,0))="gun",0.7,1)</f>
        <v/>
      </c>
      <c r="G182">
        <f>$E$182/$F$182</f>
        <v/>
      </c>
      <c r="H182" t="n">
        <v>0.6</v>
      </c>
      <c r="I182" t="n">
        <v>2</v>
      </c>
      <c r="J182" t="b">
        <v>1</v>
      </c>
      <c r="K182" t="inlineStr">
        <is>
          <t>fix_weapon_reasons.json: wave 1 mothership_cannon: 4 rounds 0.5 s apart every 4.29 s (AU-220M 120 rpm); made up: a twin 57 mm deck mount (as the real AK-725 twin 57 mm); made up: a twin 57 mm belly mount (as the real AK-725 twin 57 mm)</t>
        </is>
      </c>
      <c r="L182">
        <f>IF(ISNUMBER($H$182),AND(NOT($J$182),OR($G$182&lt;$H$182,$G$182&gt;$I$182)),FALSE)</f>
        <v/>
      </c>
      <c r="M182" t="inlineStr"/>
      <c r="N182" t="inlineStr">
        <is>
          <t>R_balance;R_full_weapon_audit;W_wikipedia_au_220m</t>
        </is>
      </c>
      <c r="O18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2" t="inlineStr">
        <is>
          <t>Tools/balance/full_weapon_audit.py (bảng REAL) và 01_chien_dau/Vu_khi_suy_ra</t>
        </is>
      </c>
      <c r="Q182" t="inlineStr"/>
    </row>
    <row r="183">
      <c r="A183" t="inlineStr">
        <is>
          <t>p26_moloch_close_boss_flak/nhip</t>
        </is>
      </c>
      <c r="B183" t="inlineStr">
        <is>
          <t>p26_moloch_close_boss_flak</t>
        </is>
      </c>
      <c r="C183" t="inlineStr">
        <is>
          <t>khe_mot_nong_mot_vien</t>
        </is>
      </c>
      <c r="D183" t="inlineStr">
        <is>
          <t>s</t>
        </is>
      </c>
      <c r="E183" t="n">
        <v>0.262439018</v>
      </c>
      <c r="F183">
        <f>60/INDEX(Vu_khi!$BB$2:$BB$360,MATCH($B$183,Vu_khi!$A$2:$A$360,0))/IF(INDEX(Vu_khi!$BD$2:$BD$360,MATCH($B$183,Vu_khi!$A$2:$A$360,0))="gun",0.7,1)</f>
        <v/>
      </c>
      <c r="G183">
        <f>$E$183/$F$183</f>
        <v/>
      </c>
      <c r="H183" t="n">
        <v>0.6</v>
      </c>
      <c r="I183" t="n">
        <v>2</v>
      </c>
      <c r="J183" t="b">
        <v>1</v>
      </c>
      <c r="K183" t="inlineStr">
        <is>
          <t>fix_weapon_reasons.json: wave 1 boss_flak: 41 rounds at 1,200 rpm, changed in 3.38 s (twin Oerlikon GDF 2 x 550 rpm)</t>
        </is>
      </c>
      <c r="L183">
        <f>IF(ISNUMBER($H$183),AND(NOT($J$183),OR($G$183&lt;$H$183,$G$183&gt;$I$183)),FALSE)</f>
        <v/>
      </c>
      <c r="M183" t="inlineStr"/>
      <c r="N183" t="inlineStr">
        <is>
          <t>R_balance;R_full_weapon_audit;W_wikipedia_oerlikon_gdf</t>
        </is>
      </c>
      <c r="O18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3" t="inlineStr">
        <is>
          <t>Tools/balance/full_weapon_audit.py (bảng REAL) và 01_chien_dau/Vu_khi_suy_ra</t>
        </is>
      </c>
      <c r="Q183" t="inlineStr"/>
    </row>
    <row r="184">
      <c r="A184" t="inlineStr">
        <is>
          <t>p26_moloch_direct_mo120ap/nhip</t>
        </is>
      </c>
      <c r="B184" t="inlineStr">
        <is>
          <t>p26_moloch_direct_mo120ap</t>
        </is>
      </c>
      <c r="C184" t="inlineStr">
        <is>
          <t>khe_mot_nong_mot_vien</t>
        </is>
      </c>
      <c r="D184" t="inlineStr">
        <is>
          <t>s</t>
        </is>
      </c>
      <c r="E184" t="n">
        <v>7.5</v>
      </c>
      <c r="F184">
        <f>60/INDEX(Vu_khi!$BB$2:$BB$360,MATCH($B$184,Vu_khi!$A$2:$A$360,0))/IF(INDEX(Vu_khi!$BD$2:$BD$360,MATCH($B$184,Vu_khi!$A$2:$A$360,0))="gun",0.7,1)</f>
        <v/>
      </c>
      <c r="G184">
        <f>$E$184/$F$184</f>
        <v/>
      </c>
      <c r="H184" t="n">
        <v>0.6</v>
      </c>
      <c r="I184" t="n">
        <v>2</v>
      </c>
      <c r="J184" t="b">
        <v>0</v>
      </c>
      <c r="K184" t="inlineStr"/>
      <c r="L184">
        <f>IF(ISNUMBER($H$184),AND(NOT($J$184),OR($G$184&lt;$H$184,$G$184&gt;$I$184)),FALSE)</f>
        <v/>
      </c>
      <c r="M184" t="inlineStr"/>
      <c r="N184" t="inlineStr">
        <is>
          <t>R_balance;R_full_weapon_audit;W_wikipedia_rheinmetall_120_mm_gun;R_machine_brigade_can_bang</t>
        </is>
      </c>
      <c r="O18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4" t="inlineStr">
        <is>
          <t>Tools/balance/full_weapon_audit.py (bảng REAL) và 01_chien_dau/Vu_khi_suy_ra</t>
        </is>
      </c>
      <c r="Q184" t="inlineStr"/>
    </row>
    <row r="185">
      <c r="A185" t="inlineStr">
        <is>
          <t>p26_moloch_main_mo120/nhip</t>
        </is>
      </c>
      <c r="B185" t="inlineStr">
        <is>
          <t>p26_moloch_main_mo120</t>
        </is>
      </c>
      <c r="C185" t="inlineStr">
        <is>
          <t>khe_mot_nong_mot_vien</t>
        </is>
      </c>
      <c r="D185" t="inlineStr">
        <is>
          <t>s</t>
        </is>
      </c>
      <c r="E185" t="n">
        <v>7.5</v>
      </c>
      <c r="F185">
        <f>60/INDEX(Vu_khi!$BB$2:$BB$360,MATCH($B$185,Vu_khi!$A$2:$A$360,0))/IF(INDEX(Vu_khi!$BD$2:$BD$360,MATCH($B$185,Vu_khi!$A$2:$A$360,0))="gun",0.7,1)</f>
        <v/>
      </c>
      <c r="G185">
        <f>$E$185/$F$185</f>
        <v/>
      </c>
      <c r="H185" t="n">
        <v>0.6</v>
      </c>
      <c r="I185" t="n">
        <v>2</v>
      </c>
      <c r="J185" t="b">
        <v>0</v>
      </c>
      <c r="K185" t="inlineStr"/>
      <c r="L185">
        <f>IF(ISNUMBER($H$185),AND(NOT($J$185),OR($G$185&lt;$H$185,$G$185&gt;$I$185)),FALSE)</f>
        <v/>
      </c>
      <c r="M185" t="inlineStr"/>
      <c r="N185" t="inlineStr">
        <is>
          <t>R_balance;R_full_weapon_audit;W_wikipedia_rheinmetall_120_mm_gun;R_machine_brigade_can_bang</t>
        </is>
      </c>
      <c r="O18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5" t="inlineStr">
        <is>
          <t>Tools/balance/full_weapon_audit.py (bảng REAL) và 01_chien_dau/Vu_khi_suy_ra</t>
        </is>
      </c>
      <c r="Q185" t="inlineStr"/>
    </row>
    <row r="186">
      <c r="A186" t="inlineStr">
        <is>
          <t>p26_moloch_mo120/nhip</t>
        </is>
      </c>
      <c r="B186" t="inlineStr">
        <is>
          <t>p26_moloch_mo120</t>
        </is>
      </c>
      <c r="C186" t="inlineStr">
        <is>
          <t>khe_mot_nong_mot_vien</t>
        </is>
      </c>
      <c r="D186" t="inlineStr">
        <is>
          <t>s</t>
        </is>
      </c>
      <c r="E186" t="n">
        <v>2.000003571</v>
      </c>
      <c r="F186">
        <f>60/INDEX(Vu_khi!$BB$2:$BB$360,MATCH($B$186,Vu_khi!$A$2:$A$360,0))/IF(INDEX(Vu_khi!$BD$2:$BD$360,MATCH($B$186,Vu_khi!$A$2:$A$360,0))="gun",0.7,1)</f>
        <v/>
      </c>
      <c r="G186">
        <f>$E$186/$F$186</f>
        <v/>
      </c>
      <c r="H186" t="n">
        <v>0.6</v>
      </c>
      <c r="I186" t="n">
        <v>2</v>
      </c>
      <c r="J186" t="b">
        <v>0</v>
      </c>
      <c r="K186" t="inlineStr"/>
      <c r="L186">
        <f>IF(ISNUMBER($H$186),AND(NOT($J$186),OR($G$186&lt;$H$186,$G$186&gt;$I$186)),FALSE)</f>
        <v/>
      </c>
      <c r="M186" t="inlineStr">
        <is>
          <t>TC0050</t>
        </is>
      </c>
      <c r="N186" t="inlineStr">
        <is>
          <t>R_balance;R_full_weapon_audit;W_wikipedia_rheinmetall_120_mm_gun;R_machine_brigade_can_bang</t>
        </is>
      </c>
      <c r="O18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6" t="inlineStr">
        <is>
          <t>Tools/balance/full_weapon_audit.py (bảng REAL) và 01_chien_dau/Vu_khi_suy_ra</t>
        </is>
      </c>
      <c r="Q186" t="inlineStr"/>
    </row>
    <row r="187">
      <c r="A187" t="inlineStr">
        <is>
          <t>p26_moloch_mo120ap/nhip</t>
        </is>
      </c>
      <c r="B187" t="inlineStr">
        <is>
          <t>p26_moloch_mo120ap</t>
        </is>
      </c>
      <c r="C187" t="inlineStr">
        <is>
          <t>khe_mot_nong_mot_vien</t>
        </is>
      </c>
      <c r="D187" t="inlineStr">
        <is>
          <t>s</t>
        </is>
      </c>
      <c r="E187" t="n">
        <v>2.000003571</v>
      </c>
      <c r="F187">
        <f>60/INDEX(Vu_khi!$BB$2:$BB$360,MATCH($B$187,Vu_khi!$A$2:$A$360,0))/IF(INDEX(Vu_khi!$BD$2:$BD$360,MATCH($B$187,Vu_khi!$A$2:$A$360,0))="gun",0.7,1)</f>
        <v/>
      </c>
      <c r="G187">
        <f>$E$187/$F$187</f>
        <v/>
      </c>
      <c r="H187" t="n">
        <v>0.6</v>
      </c>
      <c r="I187" t="n">
        <v>2</v>
      </c>
      <c r="J187" t="b">
        <v>0</v>
      </c>
      <c r="K187" t="inlineStr"/>
      <c r="L187">
        <f>IF(ISNUMBER($H$187),AND(NOT($J$187),OR($G$187&lt;$H$187,$G$187&gt;$I$187)),FALSE)</f>
        <v/>
      </c>
      <c r="M187" t="inlineStr">
        <is>
          <t>TC0051</t>
        </is>
      </c>
      <c r="N187" t="inlineStr">
        <is>
          <t>R_balance;R_full_weapon_audit;W_wikipedia_rheinmetall_120_mm_gun;R_machine_brigade_can_bang</t>
        </is>
      </c>
      <c r="O18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7" t="inlineStr">
        <is>
          <t>Tools/balance/full_weapon_audit.py (bảng REAL) và 01_chien_dau/Vu_khi_suy_ra</t>
        </is>
      </c>
      <c r="Q187" t="inlineStr"/>
    </row>
    <row r="188">
      <c r="A188" t="inlineStr">
        <is>
          <t>p26_moloch_tiny_zu23/nhip</t>
        </is>
      </c>
      <c r="B188" t="inlineStr">
        <is>
          <t>p26_moloch_tiny_zu23</t>
        </is>
      </c>
      <c r="C188" t="inlineStr">
        <is>
          <t>khe_mot_nong_mot_vien</t>
        </is>
      </c>
      <c r="D188" t="inlineStr">
        <is>
          <t>s</t>
        </is>
      </c>
      <c r="E188" t="n">
        <v>0.09919997999999999</v>
      </c>
      <c r="F188">
        <f>60/INDEX(Vu_khi!$BB$2:$BB$360,MATCH($B$188,Vu_khi!$A$2:$A$360,0))/IF(INDEX(Vu_khi!$BD$2:$BD$360,MATCH($B$188,Vu_khi!$A$2:$A$360,0))="gun",0.7,1)</f>
        <v/>
      </c>
      <c r="G188">
        <f>$E$188/$F$188</f>
        <v/>
      </c>
      <c r="H188" t="n">
        <v>0.6</v>
      </c>
      <c r="I188" t="n">
        <v>2</v>
      </c>
      <c r="J188" t="b">
        <v>0</v>
      </c>
      <c r="K188" t="inlineStr"/>
      <c r="L188">
        <f>IF(ISNUMBER($H$188),AND(NOT($J$188),OR($G$188&lt;$H$188,$G$188&gt;$I$188)),FALSE)</f>
        <v/>
      </c>
      <c r="M188" t="inlineStr"/>
      <c r="N188" t="inlineStr">
        <is>
          <t>R_balance;R_full_weapon_audit;W_wikipedia_zu_23_2</t>
        </is>
      </c>
      <c r="O18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8" t="inlineStr">
        <is>
          <t>Tools/balance/full_weapon_audit.py (bảng REAL) và 01_chien_dau/Vu_khi_suy_ra</t>
        </is>
      </c>
      <c r="Q188" t="inlineStr"/>
    </row>
    <row r="189">
      <c r="A189" t="inlineStr">
        <is>
          <t>p26_nemesis_close_boss_flak/nhip</t>
        </is>
      </c>
      <c r="B189" t="inlineStr">
        <is>
          <t>p26_nemesis_close_boss_flak</t>
        </is>
      </c>
      <c r="C189" t="inlineStr">
        <is>
          <t>khe_mot_nong_mot_vien</t>
        </is>
      </c>
      <c r="D189" t="inlineStr">
        <is>
          <t>s</t>
        </is>
      </c>
      <c r="E189" t="n">
        <v>0.262439018</v>
      </c>
      <c r="F189">
        <f>60/INDEX(Vu_khi!$BB$2:$BB$360,MATCH($B$189,Vu_khi!$A$2:$A$360,0))/IF(INDEX(Vu_khi!$BD$2:$BD$360,MATCH($B$189,Vu_khi!$A$2:$A$360,0))="gun",0.7,1)</f>
        <v/>
      </c>
      <c r="G189">
        <f>$E$189/$F$189</f>
        <v/>
      </c>
      <c r="H189" t="n">
        <v>0.6</v>
      </c>
      <c r="I189" t="n">
        <v>2</v>
      </c>
      <c r="J189" t="b">
        <v>1</v>
      </c>
      <c r="K189" t="inlineStr">
        <is>
          <t>fix_weapon_reasons.json: wave 1 boss_flak: 41 rounds at 1,200 rpm, changed in 3.38 s (twin Oerlikon GDF 2 x 550 rpm)</t>
        </is>
      </c>
      <c r="L189">
        <f>IF(ISNUMBER($H$189),AND(NOT($J$189),OR($G$189&lt;$H$189,$G$189&gt;$I$189)),FALSE)</f>
        <v/>
      </c>
      <c r="M189" t="inlineStr"/>
      <c r="N189" t="inlineStr">
        <is>
          <t>R_balance;R_full_weapon_audit;W_wikipedia_oerlikon_gdf</t>
        </is>
      </c>
      <c r="O18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89" t="inlineStr">
        <is>
          <t>Tools/balance/full_weapon_audit.py (bảng REAL) và 01_chien_dau/Vu_khi_suy_ra</t>
        </is>
      </c>
      <c r="Q189" t="inlineStr"/>
    </row>
    <row r="190">
      <c r="A190" t="inlineStr">
        <is>
          <t>p26_nemesis_direct_ne125/nhip</t>
        </is>
      </c>
      <c r="B190" t="inlineStr">
        <is>
          <t>p26_nemesis_direct_ne125</t>
        </is>
      </c>
      <c r="C190" t="inlineStr">
        <is>
          <t>khe_mot_nong_mot_vien</t>
        </is>
      </c>
      <c r="D190" t="inlineStr">
        <is>
          <t>s</t>
        </is>
      </c>
      <c r="E190" t="n">
        <v>7.5</v>
      </c>
      <c r="F190">
        <f>60/INDEX(Vu_khi!$BB$2:$BB$360,MATCH($B$190,Vu_khi!$A$2:$A$360,0))/IF(INDEX(Vu_khi!$BD$2:$BD$360,MATCH($B$190,Vu_khi!$A$2:$A$360,0))="gun",0.7,1)</f>
        <v/>
      </c>
      <c r="G190">
        <f>$E$190/$F$190</f>
        <v/>
      </c>
      <c r="H190" t="n">
        <v>0.6</v>
      </c>
      <c r="I190" t="n">
        <v>2</v>
      </c>
      <c r="J190" t="b">
        <v>0</v>
      </c>
      <c r="K190" t="inlineStr"/>
      <c r="L190">
        <f>IF(ISNUMBER($H$190),AND(NOT($J$190),OR($G$190&lt;$H$190,$G$190&gt;$I$190)),FALSE)</f>
        <v/>
      </c>
      <c r="M190" t="inlineStr"/>
      <c r="N190" t="inlineStr">
        <is>
          <t>R_balance;R_full_weapon_audit;W_wikipedia_2a46</t>
        </is>
      </c>
      <c r="O19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0" t="inlineStr">
        <is>
          <t>Tools/balance/full_weapon_audit.py (bảng REAL) và 01_chien_dau/Vu_khi_suy_ra</t>
        </is>
      </c>
      <c r="Q190" t="inlineStr"/>
    </row>
    <row r="191">
      <c r="A191" t="inlineStr">
        <is>
          <t>p26_nemesis_main_ne152/nhip</t>
        </is>
      </c>
      <c r="B191" t="inlineStr">
        <is>
          <t>p26_nemesis_main_ne152</t>
        </is>
      </c>
      <c r="C191" t="inlineStr">
        <is>
          <t>khe_mot_nong_mot_vien</t>
        </is>
      </c>
      <c r="D191" t="inlineStr">
        <is>
          <t>s</t>
        </is>
      </c>
      <c r="E191" t="n">
        <v>7.5</v>
      </c>
      <c r="F191">
        <f>60/INDEX(Vu_khi!$BB$2:$BB$360,MATCH($B$191,Vu_khi!$A$2:$A$360,0))/IF(INDEX(Vu_khi!$BD$2:$BD$360,MATCH($B$191,Vu_khi!$A$2:$A$360,0))="gun",0.7,1)</f>
        <v/>
      </c>
      <c r="G191">
        <f>$E$191/$F$191</f>
        <v/>
      </c>
      <c r="H191" t="n">
        <v>0.6</v>
      </c>
      <c r="I191" t="n">
        <v>2</v>
      </c>
      <c r="J191" t="b">
        <v>0</v>
      </c>
      <c r="K191" t="inlineStr"/>
      <c r="L191">
        <f>IF(ISNUMBER($H$191),AND(NOT($J$191),OR($G$191&lt;$H$191,$G$191&gt;$I$191)),FALSE)</f>
        <v/>
      </c>
      <c r="M191" t="inlineStr"/>
      <c r="N191" t="inlineStr">
        <is>
          <t>R_balance;R_full_weapon_audit</t>
        </is>
      </c>
      <c r="O19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1" t="inlineStr">
        <is>
          <t>Tools/balance/full_weapon_audit.py (bảng REAL) và 01_chien_dau/Vu_khi_suy_ra</t>
        </is>
      </c>
      <c r="Q191" t="inlineStr"/>
    </row>
    <row r="192">
      <c r="A192" t="inlineStr">
        <is>
          <t>p26_nemesis_ne125/nhip</t>
        </is>
      </c>
      <c r="B192" t="inlineStr">
        <is>
          <t>p26_nemesis_ne125</t>
        </is>
      </c>
      <c r="C192" t="inlineStr">
        <is>
          <t>khe_mot_nong_mot_vien</t>
        </is>
      </c>
      <c r="D192" t="inlineStr">
        <is>
          <t>s</t>
        </is>
      </c>
      <c r="E192" t="n">
        <v>2.000003571</v>
      </c>
      <c r="F192">
        <f>60/INDEX(Vu_khi!$BB$2:$BB$360,MATCH($B$192,Vu_khi!$A$2:$A$360,0))/IF(INDEX(Vu_khi!$BD$2:$BD$360,MATCH($B$192,Vu_khi!$A$2:$A$360,0))="gun",0.7,1)</f>
        <v/>
      </c>
      <c r="G192">
        <f>$E$192/$F$192</f>
        <v/>
      </c>
      <c r="H192" t="n">
        <v>0.6</v>
      </c>
      <c r="I192" t="n">
        <v>2</v>
      </c>
      <c r="J192" t="b">
        <v>0</v>
      </c>
      <c r="K192" t="inlineStr"/>
      <c r="L192">
        <f>IF(ISNUMBER($H$192),AND(NOT($J$192),OR($G$192&lt;$H$192,$G$192&gt;$I$192)),FALSE)</f>
        <v/>
      </c>
      <c r="M192" t="inlineStr">
        <is>
          <t>TC0052</t>
        </is>
      </c>
      <c r="N192" t="inlineStr">
        <is>
          <t>R_balance;R_full_weapon_audit;W_wikipedia_2a46</t>
        </is>
      </c>
      <c r="O19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2" t="inlineStr">
        <is>
          <t>Tools/balance/full_weapon_audit.py (bảng REAL) và 01_chien_dau/Vu_khi_suy_ra</t>
        </is>
      </c>
      <c r="Q192" t="inlineStr"/>
    </row>
    <row r="193">
      <c r="A193" t="inlineStr">
        <is>
          <t>p26_nemesis_ne152/nhip</t>
        </is>
      </c>
      <c r="B193" t="inlineStr">
        <is>
          <t>p26_nemesis_ne152</t>
        </is>
      </c>
      <c r="C193" t="inlineStr">
        <is>
          <t>khe_mot_nong_mot_vien</t>
        </is>
      </c>
      <c r="D193" t="inlineStr">
        <is>
          <t>s</t>
        </is>
      </c>
      <c r="E193" t="n">
        <v>1.250003571</v>
      </c>
      <c r="F193">
        <f>60/INDEX(Vu_khi!$BB$2:$BB$360,MATCH($B$193,Vu_khi!$A$2:$A$360,0))/IF(INDEX(Vu_khi!$BD$2:$BD$360,MATCH($B$193,Vu_khi!$A$2:$A$360,0))="gun",0.7,1)</f>
        <v/>
      </c>
      <c r="G193">
        <f>$E$193/$F$193</f>
        <v/>
      </c>
      <c r="H193" t="n">
        <v>0.6</v>
      </c>
      <c r="I193" t="n">
        <v>2</v>
      </c>
      <c r="J193" t="b">
        <v>0</v>
      </c>
      <c r="K193" t="inlineStr"/>
      <c r="L193">
        <f>IF(ISNUMBER($H$193),AND(NOT($J$193),OR($G$193&lt;$H$193,$G$193&gt;$I$193)),FALSE)</f>
        <v/>
      </c>
      <c r="M193" t="inlineStr">
        <is>
          <t>TC0053</t>
        </is>
      </c>
      <c r="N193" t="inlineStr">
        <is>
          <t>R_balance;R_full_weapon_audit</t>
        </is>
      </c>
      <c r="O19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3" t="inlineStr">
        <is>
          <t>Tools/balance/full_weapon_audit.py (bảng REAL) và 01_chien_dau/Vu_khi_suy_ra</t>
        </is>
      </c>
      <c r="Q193" t="inlineStr"/>
    </row>
    <row r="194">
      <c r="A194" t="inlineStr">
        <is>
          <t>p26_nemesis_sec_boss_rockets/nhip</t>
        </is>
      </c>
      <c r="B194" t="inlineStr">
        <is>
          <t>p26_nemesis_sec_boss_rockets</t>
        </is>
      </c>
      <c r="C194" t="inlineStr">
        <is>
          <t>khe_mot_nong_mot_vien</t>
        </is>
      </c>
      <c r="D194" t="inlineStr">
        <is>
          <t>s</t>
        </is>
      </c>
      <c r="E194" t="n">
        <v>0.5</v>
      </c>
      <c r="F194">
        <f>60/INDEX(Vu_khi!$BB$2:$BB$360,MATCH($B$194,Vu_khi!$A$2:$A$360,0))/IF(INDEX(Vu_khi!$BD$2:$BD$360,MATCH($B$194,Vu_khi!$A$2:$A$360,0))="gun",0.7,1)</f>
        <v/>
      </c>
      <c r="G194">
        <f>$E$194/$F$194</f>
        <v/>
      </c>
      <c r="H194" t="n">
        <v>0.6</v>
      </c>
      <c r="I194" t="n">
        <v>2</v>
      </c>
      <c r="J194" t="b">
        <v>0</v>
      </c>
      <c r="K194" t="inlineStr"/>
      <c r="L194">
        <f>IF(ISNUMBER($H$194),AND(NOT($J$194),OR($G$194&lt;$H$194,$G$194&gt;$I$194)),FALSE)</f>
        <v/>
      </c>
      <c r="M194" t="inlineStr"/>
      <c r="N194" t="inlineStr">
        <is>
          <t>R_balance;R_full_weapon_audit;W_wikipedia_bm_21_grad</t>
        </is>
      </c>
      <c r="O19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4" t="inlineStr">
        <is>
          <t>Tools/balance/full_weapon_audit.py (bảng REAL) và 01_chien_dau/Vu_khi_suy_ra</t>
        </is>
      </c>
      <c r="Q194" t="inlineStr"/>
    </row>
    <row r="195">
      <c r="A195" t="inlineStr">
        <is>
          <t>p26_roc_close_twin_30_bmpt/nhip</t>
        </is>
      </c>
      <c r="B195" t="inlineStr">
        <is>
          <t>p26_roc_close_twin_30_bmpt</t>
        </is>
      </c>
      <c r="C195" t="inlineStr">
        <is>
          <t>khe_mot_nong_mot_vien</t>
        </is>
      </c>
      <c r="D195" t="inlineStr">
        <is>
          <t>s</t>
        </is>
      </c>
      <c r="E195" t="n">
        <v>0.3943833</v>
      </c>
      <c r="F195">
        <f>60/INDEX(Vu_khi!$BB$2:$BB$360,MATCH($B$195,Vu_khi!$A$2:$A$360,0))/IF(INDEX(Vu_khi!$BD$2:$BD$360,MATCH($B$195,Vu_khi!$A$2:$A$360,0))="gun",0.7,1)</f>
        <v/>
      </c>
      <c r="G195">
        <f>$E$195/$F$195</f>
        <v/>
      </c>
      <c r="H195" t="n">
        <v>0.6</v>
      </c>
      <c r="I195" t="n">
        <v>2</v>
      </c>
      <c r="J195" t="b">
        <v>1</v>
      </c>
      <c r="K195" t="inlineStr">
        <is>
          <t>fix_weapon_reasons.json: wave 1 twin_30_bmpt: 12 rounds at 720 rpm, 1.45 s after (wave 1's 1.5 s is a hair over 2 x the practical rate)</t>
        </is>
      </c>
      <c r="L195">
        <f>IF(ISNUMBER($H$195),AND(NOT($J$195),OR($G$195&lt;$H$195,$G$195&gt;$I$195)),FALSE)</f>
        <v/>
      </c>
      <c r="M195" t="inlineStr"/>
      <c r="N195" t="inlineStr">
        <is>
          <t>R_balance;R_full_weapon_audit;W_wikipedia_2a42</t>
        </is>
      </c>
      <c r="O19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5" t="inlineStr">
        <is>
          <t>Tools/balance/full_weapon_audit.py (bảng REAL) và 01_chien_dau/Vu_khi_suy_ra</t>
        </is>
      </c>
      <c r="Q195" t="inlineStr"/>
    </row>
    <row r="196">
      <c r="A196" t="inlineStr">
        <is>
          <t>p26_roc_direct_roc_atgm/nhip</t>
        </is>
      </c>
      <c r="B196" t="inlineStr">
        <is>
          <t>p26_roc_direct_roc_atgm</t>
        </is>
      </c>
      <c r="C196" t="inlineStr">
        <is>
          <t>khe_mot_nong_mot_vien</t>
        </is>
      </c>
      <c r="D196" t="inlineStr">
        <is>
          <t>s</t>
        </is>
      </c>
      <c r="E196" t="n">
        <v>20</v>
      </c>
      <c r="F196">
        <f>60/INDEX(Vu_khi!$BB$2:$BB$360,MATCH($B$196,Vu_khi!$A$2:$A$360,0))/IF(INDEX(Vu_khi!$BD$2:$BD$360,MATCH($B$196,Vu_khi!$A$2:$A$360,0))="gun",0.7,1)</f>
        <v/>
      </c>
      <c r="G196">
        <f>$E$196/$F$196</f>
        <v/>
      </c>
      <c r="H196" t="n">
        <v>0.6</v>
      </c>
      <c r="I196" t="n">
        <v>2</v>
      </c>
      <c r="J196" t="b">
        <v>0</v>
      </c>
      <c r="K196" t="inlineStr"/>
      <c r="L196">
        <f>IF(ISNUMBER($H$196),AND(NOT($J$196),OR($G$196&lt;$H$196,$G$196&gt;$I$196)),FALSE)</f>
        <v/>
      </c>
      <c r="M196" t="inlineStr"/>
      <c r="N196" t="inlineStr">
        <is>
          <t>R_balance;R_full_weapon_audit;W_wikipedia_9m133_kornet</t>
        </is>
      </c>
      <c r="O19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6" t="inlineStr">
        <is>
          <t>Tools/balance/full_weapon_audit.py (bảng REAL) và 01_chien_dau/Vu_khi_suy_ra</t>
        </is>
      </c>
      <c r="Q196" t="inlineStr"/>
    </row>
    <row r="197">
      <c r="A197" t="inlineStr">
        <is>
          <t>p26_roc_main_roc_bombs/nhip</t>
        </is>
      </c>
      <c r="B197" t="inlineStr">
        <is>
          <t>p26_roc_main_roc_bombs</t>
        </is>
      </c>
      <c r="C197" t="inlineStr">
        <is>
          <t>khe_mot_nong_mot_vien</t>
        </is>
      </c>
      <c r="D197" t="inlineStr">
        <is>
          <t>s</t>
        </is>
      </c>
      <c r="E197" t="n">
        <v>0.3</v>
      </c>
      <c r="F197">
        <f>60/INDEX(Vu_khi!$BB$2:$BB$360,MATCH($B$197,Vu_khi!$A$2:$A$360,0))/IF(INDEX(Vu_khi!$BD$2:$BD$360,MATCH($B$197,Vu_khi!$A$2:$A$360,0))="gun",0.7,1)</f>
        <v/>
      </c>
      <c r="G197">
        <f>$E$197/$F$197</f>
        <v/>
      </c>
      <c r="H197" t="n">
        <v>0.6</v>
      </c>
      <c r="I197" t="n">
        <v>2</v>
      </c>
      <c r="J197" t="b">
        <v>1</v>
      </c>
      <c r="K197" t="inlineStr">
        <is>
          <t>fix_weapon_reasons.json: a 400 kg bomb stick from an airship's bay: no real rate for the bay's reload; the 35.4 s cycle kept</t>
        </is>
      </c>
      <c r="L197">
        <f>IF(ISNUMBER($H$197),AND(NOT($J$197),OR($G$197&lt;$H$197,$G$197&gt;$I$197)),FALSE)</f>
        <v/>
      </c>
      <c r="M197" t="inlineStr"/>
      <c r="N197" t="inlineStr">
        <is>
          <t>R_balance;R_full_weapon_audit</t>
        </is>
      </c>
      <c r="O19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7" t="inlineStr">
        <is>
          <t>Tools/balance/full_weapon_audit.py (bảng REAL) và 01_chien_dau/Vu_khi_suy_ra</t>
        </is>
      </c>
      <c r="Q197" t="inlineStr"/>
    </row>
    <row r="198">
      <c r="A198" t="inlineStr">
        <is>
          <t>p26_roc_roc105/nhip</t>
        </is>
      </c>
      <c r="B198" t="inlineStr">
        <is>
          <t>p26_roc_roc105</t>
        </is>
      </c>
      <c r="C198" t="inlineStr">
        <is>
          <t>khe_mot_nong_mot_vien</t>
        </is>
      </c>
      <c r="D198" t="inlineStr">
        <is>
          <t>s</t>
        </is>
      </c>
      <c r="E198" t="n">
        <v>6</v>
      </c>
      <c r="F198">
        <f>60/INDEX(Vu_khi!$BB$2:$BB$360,MATCH($B$198,Vu_khi!$A$2:$A$360,0))/IF(INDEX(Vu_khi!$BD$2:$BD$360,MATCH($B$198,Vu_khi!$A$2:$A$360,0))="gun",0.7,1)</f>
        <v/>
      </c>
      <c r="G198">
        <f>$E$198/$F$198</f>
        <v/>
      </c>
      <c r="H198" t="n">
        <v>0.6</v>
      </c>
      <c r="I198" t="n">
        <v>2</v>
      </c>
      <c r="J198" t="b">
        <v>0</v>
      </c>
      <c r="K198" t="inlineStr"/>
      <c r="L198">
        <f>IF(ISNUMBER($H$198),AND(NOT($J$198),OR($G$198&lt;$H$198,$G$198&gt;$I$198)),FALSE)</f>
        <v/>
      </c>
      <c r="M198" t="inlineStr"/>
      <c r="N198" t="inlineStr">
        <is>
          <t>R_balance;R_full_weapon_audit;W_wikipedia_m102_howitzer;R_machine_brigade_can_bang</t>
        </is>
      </c>
      <c r="O19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8" t="inlineStr">
        <is>
          <t>Tools/balance/full_weapon_audit.py (bảng REAL) và 01_chien_dau/Vu_khi_suy_ra</t>
        </is>
      </c>
      <c r="Q198" t="inlineStr"/>
    </row>
    <row r="199">
      <c r="A199" t="inlineStr">
        <is>
          <t>p26_roc_roc_atgm/nhip</t>
        </is>
      </c>
      <c r="B199" t="inlineStr">
        <is>
          <t>p26_roc_roc_atgm</t>
        </is>
      </c>
      <c r="C199" t="inlineStr">
        <is>
          <t>khe_mot_nong_mot_vien</t>
        </is>
      </c>
      <c r="D199" t="inlineStr">
        <is>
          <t>s</t>
        </is>
      </c>
      <c r="E199" t="n">
        <v>2</v>
      </c>
      <c r="F199">
        <f>60/INDEX(Vu_khi!$BB$2:$BB$360,MATCH($B$199,Vu_khi!$A$2:$A$360,0))/IF(INDEX(Vu_khi!$BD$2:$BD$360,MATCH($B$199,Vu_khi!$A$2:$A$360,0))="gun",0.7,1)</f>
        <v/>
      </c>
      <c r="G199">
        <f>$E$199/$F$199</f>
        <v/>
      </c>
      <c r="H199" t="n">
        <v>0.6</v>
      </c>
      <c r="I199" t="n">
        <v>2</v>
      </c>
      <c r="J199" t="b">
        <v>0</v>
      </c>
      <c r="K199" t="inlineStr"/>
      <c r="L199">
        <f>IF(ISNUMBER($H$199),AND(NOT($J$199),OR($G$199&lt;$H$199,$G$199&gt;$I$199)),FALSE)</f>
        <v/>
      </c>
      <c r="M199" t="inlineStr">
        <is>
          <t>TC0054</t>
        </is>
      </c>
      <c r="N199" t="inlineStr">
        <is>
          <t>R_balance;R_full_weapon_audit;W_wikipedia_9m133_kornet</t>
        </is>
      </c>
      <c r="O19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199" t="inlineStr">
        <is>
          <t>Tools/balance/full_weapon_audit.py (bảng REAL) và 01_chien_dau/Vu_khi_suy_ra</t>
        </is>
      </c>
      <c r="Q199" t="inlineStr"/>
    </row>
    <row r="200">
      <c r="A200" t="inlineStr">
        <is>
          <t>p26_roc_roc_bombs/nhip</t>
        </is>
      </c>
      <c r="B200" t="inlineStr">
        <is>
          <t>p26_roc_roc_bombs</t>
        </is>
      </c>
      <c r="C200" t="inlineStr">
        <is>
          <t>khe_mot_nong_mot_vien</t>
        </is>
      </c>
      <c r="D200" t="inlineStr">
        <is>
          <t>s</t>
        </is>
      </c>
      <c r="E200" t="n">
        <v>0.3</v>
      </c>
      <c r="F200">
        <f>60/INDEX(Vu_khi!$BB$2:$BB$360,MATCH($B$200,Vu_khi!$A$2:$A$360,0))/IF(INDEX(Vu_khi!$BD$2:$BD$360,MATCH($B$200,Vu_khi!$A$2:$A$360,0))="gun",0.7,1)</f>
        <v/>
      </c>
      <c r="G200">
        <f>$E$200/$F$200</f>
        <v/>
      </c>
      <c r="H200" t="n">
        <v>0.6</v>
      </c>
      <c r="I200" t="n">
        <v>2</v>
      </c>
      <c r="J200" t="b">
        <v>1</v>
      </c>
      <c r="K200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00">
        <f>IF(ISNUMBER($H$200),AND(NOT($J$200),OR($G$200&lt;$H$200,$G$200&gt;$I$200)),FALSE)</f>
        <v/>
      </c>
      <c r="M200" t="inlineStr"/>
      <c r="N200" t="inlineStr">
        <is>
          <t>R_balance;R_full_weapon_audit</t>
        </is>
      </c>
      <c r="O20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0" t="inlineStr">
        <is>
          <t>Tools/balance/full_weapon_audit.py (bảng REAL) và 01_chien_dau/Vu_khi_suy_ra</t>
        </is>
      </c>
      <c r="Q200" t="inlineStr"/>
    </row>
    <row r="201">
      <c r="A201" t="inlineStr">
        <is>
          <t>p26_typhon_direct_ty100/nhip</t>
        </is>
      </c>
      <c r="B201" t="inlineStr">
        <is>
          <t>p26_typhon_direct_ty100</t>
        </is>
      </c>
      <c r="C201" t="inlineStr">
        <is>
          <t>khe_mot_nong_mot_vien</t>
        </is>
      </c>
      <c r="D201" t="inlineStr">
        <is>
          <t>s</t>
        </is>
      </c>
      <c r="E201" t="n">
        <v>1.75</v>
      </c>
      <c r="F201">
        <f>60/INDEX(Vu_khi!$BB$2:$BB$360,MATCH($B$201,Vu_khi!$A$2:$A$360,0))/IF(INDEX(Vu_khi!$BD$2:$BD$360,MATCH($B$201,Vu_khi!$A$2:$A$360,0))="gun",0.7,1)</f>
        <v/>
      </c>
      <c r="G201">
        <f>$E$201/$F$201</f>
        <v/>
      </c>
      <c r="H201" t="n">
        <v>0.6</v>
      </c>
      <c r="I201" t="n">
        <v>2</v>
      </c>
      <c r="J201" t="b">
        <v>0</v>
      </c>
      <c r="K201" t="inlineStr"/>
      <c r="L201">
        <f>IF(ISNUMBER($H$201),AND(NOT($J$201),OR($G$201&lt;$H$201,$G$201&gt;$I$201)),FALSE)</f>
        <v/>
      </c>
      <c r="M201" t="inlineStr"/>
      <c r="N201" t="inlineStr">
        <is>
          <t>R_balance;R_full_weapon_audit;W_wikipedia_ak_100_naval_gun</t>
        </is>
      </c>
      <c r="O20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1" t="inlineStr">
        <is>
          <t>Tools/balance/full_weapon_audit.py (bảng REAL) và 01_chien_dau/Vu_khi_suy_ra</t>
        </is>
      </c>
      <c r="Q201" t="inlineStr"/>
    </row>
    <row r="202">
      <c r="A202" t="inlineStr">
        <is>
          <t>p26_typhon_sec_ty57/nhip</t>
        </is>
      </c>
      <c r="B202" t="inlineStr">
        <is>
          <t>p26_typhon_sec_ty57</t>
        </is>
      </c>
      <c r="C202" t="inlineStr">
        <is>
          <t>khe_mot_nong_mot_vien</t>
        </is>
      </c>
      <c r="D202" t="inlineStr">
        <is>
          <t>s</t>
        </is>
      </c>
      <c r="E202" t="n">
        <v>1.0725</v>
      </c>
      <c r="F202">
        <f>60/INDEX(Vu_khi!$BB$2:$BB$360,MATCH($B$202,Vu_khi!$A$2:$A$360,0))/IF(INDEX(Vu_khi!$BD$2:$BD$360,MATCH($B$202,Vu_khi!$A$2:$A$360,0))="gun",0.7,1)</f>
        <v/>
      </c>
      <c r="G202">
        <f>$E$202/$F$202</f>
        <v/>
      </c>
      <c r="H202" t="n">
        <v>0.6</v>
      </c>
      <c r="I202" t="n">
        <v>2</v>
      </c>
      <c r="J202" t="b">
        <v>1</v>
      </c>
      <c r="K202" t="inlineStr">
        <is>
          <t>fix_weapon_reasons.json: wave 1 mothership_cannon: 4 rounds 0.5 s apart every 4.29 s (AU-220M 120 rpm); made up: a twin 57 mm deck mount (as the real AK-725 twin 57 mm)</t>
        </is>
      </c>
      <c r="L202">
        <f>IF(ISNUMBER($H$202),AND(NOT($J$202),OR($G$202&lt;$H$202,$G$202&gt;$I$202)),FALSE)</f>
        <v/>
      </c>
      <c r="M202" t="inlineStr"/>
      <c r="N202" t="inlineStr">
        <is>
          <t>R_balance;R_full_weapon_audit;W_wikipedia_au_220m</t>
        </is>
      </c>
      <c r="O20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2" t="inlineStr">
        <is>
          <t>Tools/balance/full_weapon_audit.py (bảng REAL) và 01_chien_dau/Vu_khi_suy_ra</t>
        </is>
      </c>
      <c r="Q202" t="inlineStr"/>
    </row>
    <row r="203">
      <c r="A203" t="inlineStr">
        <is>
          <t>p26_typhon_ty57/nhip</t>
        </is>
      </c>
      <c r="B203" t="inlineStr">
        <is>
          <t>p26_typhon_ty57</t>
        </is>
      </c>
      <c r="C203" t="inlineStr">
        <is>
          <t>khe_mot_nong_mot_vien</t>
        </is>
      </c>
      <c r="D203" t="inlineStr">
        <is>
          <t>s</t>
        </is>
      </c>
      <c r="E203" t="n">
        <v>0.75</v>
      </c>
      <c r="F203">
        <f>60/INDEX(Vu_khi!$BB$2:$BB$360,MATCH($B$203,Vu_khi!$A$2:$A$360,0))/IF(INDEX(Vu_khi!$BD$2:$BD$360,MATCH($B$203,Vu_khi!$A$2:$A$360,0))="gun",0.7,1)</f>
        <v/>
      </c>
      <c r="G203">
        <f>$E$203/$F$203</f>
        <v/>
      </c>
      <c r="H203" t="n">
        <v>0.6</v>
      </c>
      <c r="I203" t="n">
        <v>2</v>
      </c>
      <c r="J203" t="b">
        <v>0</v>
      </c>
      <c r="K203" t="inlineStr"/>
      <c r="L203">
        <f>IF(ISNUMBER($H$203),AND(NOT($J$203),OR($G$203&lt;$H$203,$G$203&gt;$I$203)),FALSE)</f>
        <v/>
      </c>
      <c r="M203" t="inlineStr"/>
      <c r="N203" t="inlineStr">
        <is>
          <t>R_balance;R_full_weapon_audit;W_wikipedia_au_220m</t>
        </is>
      </c>
      <c r="O20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3" t="inlineStr">
        <is>
          <t>Tools/balance/full_weapon_audit.py (bảng REAL) và 01_chien_dau/Vu_khi_suy_ra</t>
        </is>
      </c>
      <c r="Q203" t="inlineStr"/>
    </row>
    <row r="204">
      <c r="A204" t="inlineStr">
        <is>
          <t>p26_typhon_ty100/nhip</t>
        </is>
      </c>
      <c r="B204" t="inlineStr">
        <is>
          <t>p26_typhon_ty100</t>
        </is>
      </c>
      <c r="C204" t="inlineStr">
        <is>
          <t>khe_mot_nong_mot_vien</t>
        </is>
      </c>
      <c r="D204" t="inlineStr">
        <is>
          <t>s</t>
        </is>
      </c>
      <c r="E204" t="n">
        <v>2.5</v>
      </c>
      <c r="F204">
        <f>60/INDEX(Vu_khi!$BB$2:$BB$360,MATCH($B$204,Vu_khi!$A$2:$A$360,0))/IF(INDEX(Vu_khi!$BD$2:$BD$360,MATCH($B$204,Vu_khi!$A$2:$A$360,0))="gun",0.7,1)</f>
        <v/>
      </c>
      <c r="G204">
        <f>$E$204/$F$204</f>
        <v/>
      </c>
      <c r="H204" t="n">
        <v>0.6</v>
      </c>
      <c r="I204" t="n">
        <v>2</v>
      </c>
      <c r="J204" t="b">
        <v>0</v>
      </c>
      <c r="K204" t="inlineStr"/>
      <c r="L204">
        <f>IF(ISNUMBER($H$204),AND(NOT($J$204),OR($G$204&lt;$H$204,$G$204&gt;$I$204)),FALSE)</f>
        <v/>
      </c>
      <c r="M204" t="inlineStr"/>
      <c r="N204" t="inlineStr">
        <is>
          <t>R_balance;R_full_weapon_audit;W_wikipedia_ak_100_naval_gun</t>
        </is>
      </c>
      <c r="O20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4" t="inlineStr">
        <is>
          <t>Tools/balance/full_weapon_audit.py (bảng REAL) và 01_chien_dau/Vu_khi_suy_ra</t>
        </is>
      </c>
      <c r="Q204" t="inlineStr"/>
    </row>
    <row r="205">
      <c r="A205" t="inlineStr">
        <is>
          <t>patriot/nhip</t>
        </is>
      </c>
      <c r="B205" t="inlineStr">
        <is>
          <t>patriot</t>
        </is>
      </c>
      <c r="C205" t="inlineStr">
        <is>
          <t>khe_mot_nong_mot_vien</t>
        </is>
      </c>
      <c r="D205" t="inlineStr">
        <is>
          <t>s</t>
        </is>
      </c>
      <c r="E205" t="n">
        <v>1.599999</v>
      </c>
      <c r="F205">
        <f>60/INDEX(Vu_khi!$BB$2:$BB$360,MATCH($B$205,Vu_khi!$A$2:$A$360,0))/IF(INDEX(Vu_khi!$BD$2:$BD$360,MATCH($B$205,Vu_khi!$A$2:$A$360,0))="gun",0.7,1)</f>
        <v/>
      </c>
      <c r="G205">
        <f>$E$205/$F$205</f>
        <v/>
      </c>
      <c r="H205" t="n">
        <v>0.6</v>
      </c>
      <c r="I205" t="n">
        <v>2</v>
      </c>
      <c r="J205" t="b">
        <v>0</v>
      </c>
      <c r="K205" t="inlineStr"/>
      <c r="L205">
        <f>IF(ISNUMBER($H$205),AND(NOT($J$205),OR($G$205&lt;$H$205,$G$205&gt;$I$205)),FALSE)</f>
        <v/>
      </c>
      <c r="M205" t="inlineStr">
        <is>
          <t>TC0055</t>
        </is>
      </c>
      <c r="N205" t="inlineStr">
        <is>
          <t>R_balance;R_full_weapon_audit;W_wikipedia_mim_104_patriot;R_machine_brigade_can_bang</t>
        </is>
      </c>
      <c r="O20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5" t="inlineStr">
        <is>
          <t>Tools/balance/full_weapon_audit.py (bảng REAL) và 01_chien_dau/Vu_khi_suy_ra</t>
        </is>
      </c>
      <c r="Q205" t="inlineStr"/>
    </row>
    <row r="206">
      <c r="A206" t="inlineStr">
        <is>
          <t>pt14_co_203/nhip</t>
        </is>
      </c>
      <c r="B206" t="inlineStr">
        <is>
          <t>pt14_co_203</t>
        </is>
      </c>
      <c r="C206" t="inlineStr">
        <is>
          <t>khe_mot_nong_mot_vien</t>
        </is>
      </c>
      <c r="D206" t="inlineStr">
        <is>
          <t>s</t>
        </is>
      </c>
      <c r="E206" t="n">
        <v>21</v>
      </c>
      <c r="F206">
        <f>60/INDEX(Vu_khi!$BB$2:$BB$360,MATCH($B$206,Vu_khi!$A$2:$A$360,0))/IF(INDEX(Vu_khi!$BD$2:$BD$360,MATCH($B$206,Vu_khi!$A$2:$A$360,0))="gun",0.7,1)</f>
        <v/>
      </c>
      <c r="G206">
        <f>$E$206/$F$206</f>
        <v/>
      </c>
      <c r="H206" t="n">
        <v>0.6</v>
      </c>
      <c r="I206" t="n">
        <v>2</v>
      </c>
      <c r="J206" t="b">
        <v>0</v>
      </c>
      <c r="K206" t="inlineStr"/>
      <c r="L206">
        <f>IF(ISNUMBER($H$206),AND(NOT($J$206),OR($G$206&lt;$H$206,$G$206&gt;$I$206)),FALSE)</f>
        <v/>
      </c>
      <c r="M206" t="inlineStr">
        <is>
          <t>TC0056</t>
        </is>
      </c>
      <c r="N206" t="inlineStr">
        <is>
          <t>R_balance;R_full_weapon_audit;W_wikipedia_8_55_caliber_mark_71</t>
        </is>
      </c>
      <c r="O20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6" t="inlineStr">
        <is>
          <t>Tools/balance/full_weapon_audit.py (bảng REAL) và 01_chien_dau/Vu_khi_suy_ra</t>
        </is>
      </c>
      <c r="Q206" t="inlineStr"/>
    </row>
    <row r="207">
      <c r="A207" t="inlineStr">
        <is>
          <t>pt14_co_v76/nhip</t>
        </is>
      </c>
      <c r="B207" t="inlineStr">
        <is>
          <t>pt14_co_v76</t>
        </is>
      </c>
      <c r="C207" t="inlineStr">
        <is>
          <t>khe_mot_nong_mot_vien</t>
        </is>
      </c>
      <c r="D207" t="inlineStr">
        <is>
          <t>s</t>
        </is>
      </c>
      <c r="E207" t="n">
        <v>2.05</v>
      </c>
      <c r="F207">
        <f>60/INDEX(Vu_khi!$BB$2:$BB$360,MATCH($B$207,Vu_khi!$A$2:$A$360,0))/IF(INDEX(Vu_khi!$BD$2:$BD$360,MATCH($B$207,Vu_khi!$A$2:$A$360,0))="gun",0.7,1)</f>
        <v/>
      </c>
      <c r="G207">
        <f>$E$207/$F$207</f>
        <v/>
      </c>
      <c r="H207" t="n">
        <v>0.6</v>
      </c>
      <c r="I207" t="n">
        <v>2</v>
      </c>
      <c r="J207" t="b">
        <v>0</v>
      </c>
      <c r="K207" t="inlineStr"/>
      <c r="L207">
        <f>IF(ISNUMBER($H$207),AND(NOT($J$207),OR($G$207&lt;$H$207,$G$207&gt;$I$207)),FALSE)</f>
        <v/>
      </c>
      <c r="M207" t="inlineStr">
        <is>
          <t>TC0057</t>
        </is>
      </c>
      <c r="N207" t="inlineStr">
        <is>
          <t>R_balance;R_full_weapon_audit;W_wikipedia_oto_melara_76_mm</t>
        </is>
      </c>
      <c r="O20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7" t="inlineStr">
        <is>
          <t>Tools/balance/full_weapon_audit.py (bảng REAL) và 01_chien_dau/Vu_khi_suy_ra</t>
        </is>
      </c>
      <c r="Q207" t="inlineStr"/>
    </row>
    <row r="208">
      <c r="A208" t="inlineStr">
        <is>
          <t>pt14_dd_v25/nhip</t>
        </is>
      </c>
      <c r="B208" t="inlineStr">
        <is>
          <t>pt14_dd_v25</t>
        </is>
      </c>
      <c r="C208" t="inlineStr">
        <is>
          <t>khe_mot_nong_mot_vien</t>
        </is>
      </c>
      <c r="D208" t="inlineStr">
        <is>
          <t>s</t>
        </is>
      </c>
      <c r="E208" t="n">
        <v>0.203571429</v>
      </c>
      <c r="F208">
        <f>60/INDEX(Vu_khi!$BB$2:$BB$360,MATCH($B$208,Vu_khi!$A$2:$A$360,0))/IF(INDEX(Vu_khi!$BD$2:$BD$360,MATCH($B$208,Vu_khi!$A$2:$A$360,0))="gun",0.7,1)</f>
        <v/>
      </c>
      <c r="G208">
        <f>$E$208/$F$208</f>
        <v/>
      </c>
      <c r="H208" t="n">
        <v>0.6</v>
      </c>
      <c r="I208" t="n">
        <v>2</v>
      </c>
      <c r="J208" t="b">
        <v>1</v>
      </c>
      <c r="K208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08">
        <f>IF(ISNUMBER($H$208),AND(NOT($J$208),OR($G$208&lt;$H$208,$G$208&gt;$I$208)),FALSE)</f>
        <v/>
      </c>
      <c r="M208" t="inlineStr"/>
      <c r="N208" t="inlineStr">
        <is>
          <t>R_balance;R_full_weapon_audit;W_wikipedia_gau_12_equalizer</t>
        </is>
      </c>
      <c r="O20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8" t="inlineStr">
        <is>
          <t>Tools/balance/full_weapon_audit.py (bảng REAL) và 01_chien_dau/Vu_khi_suy_ra</t>
        </is>
      </c>
      <c r="Q208" t="inlineStr"/>
    </row>
    <row r="209">
      <c r="A209" t="inlineStr">
        <is>
          <t>pt14_dd_v57/nhip</t>
        </is>
      </c>
      <c r="B209" t="inlineStr">
        <is>
          <t>pt14_dd_v57</t>
        </is>
      </c>
      <c r="C209" t="inlineStr">
        <is>
          <t>khe_mot_nong_mot_vien</t>
        </is>
      </c>
      <c r="D209" t="inlineStr">
        <is>
          <t>s</t>
        </is>
      </c>
      <c r="E209" t="n">
        <v>1.0725</v>
      </c>
      <c r="F209">
        <f>60/INDEX(Vu_khi!$BB$2:$BB$360,MATCH($B$209,Vu_khi!$A$2:$A$360,0))/IF(INDEX(Vu_khi!$BD$2:$BD$360,MATCH($B$209,Vu_khi!$A$2:$A$360,0))="gun",0.7,1)</f>
        <v/>
      </c>
      <c r="G209">
        <f>$E$209/$F$209</f>
        <v/>
      </c>
      <c r="H209" t="n">
        <v>0.6</v>
      </c>
      <c r="I209" t="n">
        <v>2</v>
      </c>
      <c r="J209" t="b">
        <v>1</v>
      </c>
      <c r="K209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09">
        <f>IF(ISNUMBER($H$209),AND(NOT($J$209),OR($G$209&lt;$H$209,$G$209&gt;$I$209)),FALSE)</f>
        <v/>
      </c>
      <c r="M209" t="inlineStr"/>
      <c r="N209" t="inlineStr">
        <is>
          <t>R_balance;R_full_weapon_audit;W_wikipedia_au_220m</t>
        </is>
      </c>
      <c r="O20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09" t="inlineStr">
        <is>
          <t>Tools/balance/full_weapon_audit.py (bảng REAL) và 01_chien_dau/Vu_khi_suy_ra</t>
        </is>
      </c>
      <c r="Q209" t="inlineStr"/>
    </row>
    <row r="210">
      <c r="A210" t="inlineStr">
        <is>
          <t>pt14_hp_155/nhip</t>
        </is>
      </c>
      <c r="B210" t="inlineStr">
        <is>
          <t>pt14_hp_155</t>
        </is>
      </c>
      <c r="C210" t="inlineStr">
        <is>
          <t>khe_mot_nong_mot_vien</t>
        </is>
      </c>
      <c r="D210" t="inlineStr">
        <is>
          <t>s</t>
        </is>
      </c>
      <c r="E210" t="n">
        <v>13.899994286</v>
      </c>
      <c r="F210">
        <f>60/INDEX(Vu_khi!$BB$2:$BB$360,MATCH($B$210,Vu_khi!$A$2:$A$360,0))/IF(INDEX(Vu_khi!$BD$2:$BD$360,MATCH($B$210,Vu_khi!$A$2:$A$360,0))="gun",0.7,1)</f>
        <v/>
      </c>
      <c r="G210">
        <f>$E$210/$F$210</f>
        <v/>
      </c>
      <c r="H210" t="n">
        <v>0.6</v>
      </c>
      <c r="I210" t="n">
        <v>2</v>
      </c>
      <c r="J210" t="b">
        <v>0</v>
      </c>
      <c r="K210" t="inlineStr"/>
      <c r="L210">
        <f>IF(ISNUMBER($H$210),AND(NOT($J$210),OR($G$210&lt;$H$210,$G$210&gt;$I$210)),FALSE)</f>
        <v/>
      </c>
      <c r="M210" t="inlineStr"/>
      <c r="N210" t="inlineStr">
        <is>
          <t>R_balance;R_full_weapon_audit;W_wikipedia_15_5_cm_60_3rd_year_type</t>
        </is>
      </c>
      <c r="O21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0" t="inlineStr">
        <is>
          <t>Tools/balance/full_weapon_audit.py (bảng REAL) và 01_chien_dau/Vu_khi_suy_ra</t>
        </is>
      </c>
      <c r="Q210" t="inlineStr"/>
    </row>
    <row r="211">
      <c r="A211" t="inlineStr">
        <is>
          <t>pt14_hp_nsm/nhip</t>
        </is>
      </c>
      <c r="B211" t="inlineStr">
        <is>
          <t>pt14_hp_nsm</t>
        </is>
      </c>
      <c r="C211" t="inlineStr">
        <is>
          <t>khe_mot_nong_mot_vien</t>
        </is>
      </c>
      <c r="D211" t="inlineStr">
        <is>
          <t>s</t>
        </is>
      </c>
      <c r="E211" t="n">
        <v>7.299999</v>
      </c>
      <c r="F211">
        <f>60/INDEX(Vu_khi!$BB$2:$BB$360,MATCH($B$211,Vu_khi!$A$2:$A$360,0))/IF(INDEX(Vu_khi!$BD$2:$BD$360,MATCH($B$211,Vu_khi!$A$2:$A$360,0))="gun",0.7,1)</f>
        <v/>
      </c>
      <c r="G211">
        <f>$E$211/$F$211</f>
        <v/>
      </c>
      <c r="H211" t="n">
        <v>0.6</v>
      </c>
      <c r="I211" t="n">
        <v>2</v>
      </c>
      <c r="J211" t="b">
        <v>0</v>
      </c>
      <c r="K211" t="inlineStr"/>
      <c r="L211">
        <f>IF(ISNUMBER($H$211),AND(NOT($J$211),OR($G$211&lt;$H$211,$G$211&gt;$I$211)),FALSE)</f>
        <v/>
      </c>
      <c r="M211" t="inlineStr">
        <is>
          <t>TC0058</t>
        </is>
      </c>
      <c r="N211" t="inlineStr">
        <is>
          <t>R_balance;R_full_weapon_audit</t>
        </is>
      </c>
      <c r="O21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1" t="inlineStr">
        <is>
          <t>Tools/balance/full_weapon_audit.py (bảng REAL) và 01_chien_dau/Vu_khi_suy_ra</t>
        </is>
      </c>
      <c r="Q211" t="inlineStr"/>
    </row>
    <row r="212">
      <c r="A212" t="inlineStr">
        <is>
          <t>pt14_hp_v127/nhip</t>
        </is>
      </c>
      <c r="B212" t="inlineStr">
        <is>
          <t>pt14_hp_v127</t>
        </is>
      </c>
      <c r="C212" t="inlineStr">
        <is>
          <t>khe_mot_nong_mot_vien</t>
        </is>
      </c>
      <c r="D212" t="inlineStr">
        <is>
          <t>s</t>
        </is>
      </c>
      <c r="E212" t="n">
        <v>2.499998571</v>
      </c>
      <c r="F212">
        <f>60/INDEX(Vu_khi!$BB$2:$BB$360,MATCH($B$212,Vu_khi!$A$2:$A$360,0))/IF(INDEX(Vu_khi!$BD$2:$BD$360,MATCH($B$212,Vu_khi!$A$2:$A$360,0))="gun",0.7,1)</f>
        <v/>
      </c>
      <c r="G212">
        <f>$E$212/$F$212</f>
        <v/>
      </c>
      <c r="H212" t="n">
        <v>0.6</v>
      </c>
      <c r="I212" t="n">
        <v>2</v>
      </c>
      <c r="J212" t="b">
        <v>0</v>
      </c>
      <c r="K212" t="inlineStr"/>
      <c r="L212">
        <f>IF(ISNUMBER($H$212),AND(NOT($J$212),OR($G$212&lt;$H$212,$G$212&gt;$I$212)),FALSE)</f>
        <v/>
      </c>
      <c r="M212" t="inlineStr">
        <is>
          <t>TC0059</t>
        </is>
      </c>
      <c r="N212" t="inlineStr">
        <is>
          <t>R_balance;R_full_weapon_audit;W_wikipedia_5_54_caliber_mark_45</t>
        </is>
      </c>
      <c r="O21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2" t="inlineStr">
        <is>
          <t>Tools/balance/full_weapon_audit.py (bảng REAL) và 01_chien_dau/Vu_khi_suy_ra</t>
        </is>
      </c>
      <c r="Q212" t="inlineStr"/>
    </row>
    <row r="213">
      <c r="A213" t="inlineStr">
        <is>
          <t>pt14_ixion_30/nhip</t>
        </is>
      </c>
      <c r="B213" t="inlineStr">
        <is>
          <t>pt14_ixion_30</t>
        </is>
      </c>
      <c r="C213" t="inlineStr">
        <is>
          <t>khe_mot_nong_mot_vien</t>
        </is>
      </c>
      <c r="D213" t="inlineStr">
        <is>
          <t>s</t>
        </is>
      </c>
      <c r="E213" t="n">
        <v>0.5347125</v>
      </c>
      <c r="F213">
        <f>60/INDEX(Vu_khi!$BB$2:$BB$360,MATCH($B$213,Vu_khi!$A$2:$A$360,0))/IF(INDEX(Vu_khi!$BD$2:$BD$360,MATCH($B$213,Vu_khi!$A$2:$A$360,0))="gun",0.7,1)</f>
        <v/>
      </c>
      <c r="G213">
        <f>$E$213/$F$213</f>
        <v/>
      </c>
      <c r="H213" t="n">
        <v>0.6</v>
      </c>
      <c r="I213" t="n">
        <v>2</v>
      </c>
      <c r="J213" t="b">
        <v>0</v>
      </c>
      <c r="K213" t="inlineStr"/>
      <c r="L213">
        <f>IF(ISNUMBER($H$213),AND(NOT($J$213),OR($G$213&lt;$H$213,$G$213&gt;$I$213)),FALSE)</f>
        <v/>
      </c>
      <c r="M213" t="inlineStr">
        <is>
          <t>TC0060</t>
        </is>
      </c>
      <c r="N213" t="inlineStr">
        <is>
          <t>R_balance;R_full_weapon_audit;W_wikipedia_2a42</t>
        </is>
      </c>
      <c r="O21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3" t="inlineStr">
        <is>
          <t>Tools/balance/full_weapon_audit.py (bảng REAL) và 01_chien_dau/Vu_khi_suy_ra</t>
        </is>
      </c>
      <c r="Q213" t="inlineStr"/>
    </row>
    <row r="214">
      <c r="A214" t="inlineStr">
        <is>
          <t>pt14_ixion_grad/nhip</t>
        </is>
      </c>
      <c r="B214" t="inlineStr">
        <is>
          <t>pt14_ixion_grad</t>
        </is>
      </c>
      <c r="C214" t="inlineStr">
        <is>
          <t>khe_mot_nong_mot_vien</t>
        </is>
      </c>
      <c r="D214" t="inlineStr">
        <is>
          <t>s</t>
        </is>
      </c>
      <c r="E214" t="n">
        <v>0.5</v>
      </c>
      <c r="F214">
        <f>60/INDEX(Vu_khi!$BB$2:$BB$360,MATCH($B$214,Vu_khi!$A$2:$A$360,0))/IF(INDEX(Vu_khi!$BD$2:$BD$360,MATCH($B$214,Vu_khi!$A$2:$A$360,0))="gun",0.7,1)</f>
        <v/>
      </c>
      <c r="G214">
        <f>$E$214/$F$214</f>
        <v/>
      </c>
      <c r="H214" t="n">
        <v>0.6</v>
      </c>
      <c r="I214" t="n">
        <v>2</v>
      </c>
      <c r="J214" t="b">
        <v>0</v>
      </c>
      <c r="K214" t="inlineStr"/>
      <c r="L214">
        <f>IF(ISNUMBER($H$214),AND(NOT($J$214),OR($G$214&lt;$H$214,$G$214&gt;$I$214)),FALSE)</f>
        <v/>
      </c>
      <c r="M214" t="inlineStr"/>
      <c r="N214" t="inlineStr">
        <is>
          <t>R_balance;R_full_weapon_audit;W_wikipedia_bm_21_grad</t>
        </is>
      </c>
      <c r="O21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4" t="inlineStr">
        <is>
          <t>Tools/balance/full_weapon_audit.py (bảng REAL) và 01_chien_dau/Vu_khi_suy_ra</t>
        </is>
      </c>
      <c r="Q214" t="inlineStr"/>
    </row>
    <row r="215">
      <c r="A215" t="inlineStr">
        <is>
          <t>pt14_ixion_kornet/nhip</t>
        </is>
      </c>
      <c r="B215" t="inlineStr">
        <is>
          <t>pt14_ixion_kornet</t>
        </is>
      </c>
      <c r="C215" t="inlineStr">
        <is>
          <t>khe_mot_nong_mot_vien</t>
        </is>
      </c>
      <c r="D215" t="inlineStr">
        <is>
          <t>s</t>
        </is>
      </c>
      <c r="E215" t="n">
        <v>24</v>
      </c>
      <c r="F215">
        <f>60/INDEX(Vu_khi!$BB$2:$BB$360,MATCH($B$215,Vu_khi!$A$2:$A$360,0))/IF(INDEX(Vu_khi!$BD$2:$BD$360,MATCH($B$215,Vu_khi!$A$2:$A$360,0))="gun",0.7,1)</f>
        <v/>
      </c>
      <c r="G215">
        <f>$E$215/$F$215</f>
        <v/>
      </c>
      <c r="H215" t="n">
        <v>0.6</v>
      </c>
      <c r="I215" t="n">
        <v>2</v>
      </c>
      <c r="J215" t="b">
        <v>0</v>
      </c>
      <c r="K215" t="inlineStr"/>
      <c r="L215">
        <f>IF(ISNUMBER($H$215),AND(NOT($J$215),OR($G$215&lt;$H$215,$G$215&gt;$I$215)),FALSE)</f>
        <v/>
      </c>
      <c r="M215" t="inlineStr"/>
      <c r="N215" t="inlineStr">
        <is>
          <t>R_balance;R_full_weapon_audit;W_wikipedia_9m133_kornet</t>
        </is>
      </c>
      <c r="O21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5" t="inlineStr">
        <is>
          <t>Tools/balance/full_weapon_audit.py (bảng REAL) và 01_chien_dau/Vu_khi_suy_ra</t>
        </is>
      </c>
      <c r="Q215" t="inlineStr"/>
    </row>
    <row r="216">
      <c r="A216" t="inlineStr">
        <is>
          <t>pt14_mk0_v40/nhip</t>
        </is>
      </c>
      <c r="B216" t="inlineStr">
        <is>
          <t>pt14_mk0_v40</t>
        </is>
      </c>
      <c r="C216" t="inlineStr">
        <is>
          <t>khe_mot_nong_mot_vien</t>
        </is>
      </c>
      <c r="D216" t="inlineStr">
        <is>
          <t>s</t>
        </is>
      </c>
      <c r="E216" t="n">
        <v>0.5375</v>
      </c>
      <c r="F216">
        <f>60/INDEX(Vu_khi!$BB$2:$BB$360,MATCH($B$216,Vu_khi!$A$2:$A$360,0))/IF(INDEX(Vu_khi!$BD$2:$BD$360,MATCH($B$216,Vu_khi!$A$2:$A$360,0))="gun",0.7,1)</f>
        <v/>
      </c>
      <c r="G216">
        <f>$E$216/$F$216</f>
        <v/>
      </c>
      <c r="H216" t="n">
        <v>0.6</v>
      </c>
      <c r="I216" t="n">
        <v>2</v>
      </c>
      <c r="J216" t="b">
        <v>0</v>
      </c>
      <c r="K216" t="inlineStr"/>
      <c r="L216">
        <f>IF(ISNUMBER($H$216),AND(NOT($J$216),OR($G$216&lt;$H$216,$G$216&gt;$I$216)),FALSE)</f>
        <v/>
      </c>
      <c r="M216" t="inlineStr"/>
      <c r="N216" t="inlineStr">
        <is>
          <t>R_balance;R_full_weapon_audit;W_wikipedia_bofors_40_mm_l_60</t>
        </is>
      </c>
      <c r="O21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6" t="inlineStr">
        <is>
          <t>Tools/balance/full_weapon_audit.py (bảng REAL) và 01_chien_dau/Vu_khi_suy_ra</t>
        </is>
      </c>
      <c r="Q216" t="inlineStr"/>
    </row>
    <row r="217">
      <c r="A217" t="inlineStr">
        <is>
          <t>pt14_sb_v105/nhip</t>
        </is>
      </c>
      <c r="B217" t="inlineStr">
        <is>
          <t>pt14_sb_v105</t>
        </is>
      </c>
      <c r="C217" t="inlineStr">
        <is>
          <t>khe_mot_nong_mot_vien</t>
        </is>
      </c>
      <c r="D217" t="inlineStr">
        <is>
          <t>s</t>
        </is>
      </c>
      <c r="E217" t="n">
        <v>6</v>
      </c>
      <c r="F217">
        <f>60/INDEX(Vu_khi!$BB$2:$BB$360,MATCH($B$217,Vu_khi!$A$2:$A$360,0))/IF(INDEX(Vu_khi!$BD$2:$BD$360,MATCH($B$217,Vu_khi!$A$2:$A$360,0))="gun",0.7,1)</f>
        <v/>
      </c>
      <c r="G217">
        <f>$E$217/$F$217</f>
        <v/>
      </c>
      <c r="H217" t="n">
        <v>0.6</v>
      </c>
      <c r="I217" t="n">
        <v>2</v>
      </c>
      <c r="J217" t="b">
        <v>0</v>
      </c>
      <c r="K217" t="inlineStr"/>
      <c r="L217">
        <f>IF(ISNUMBER($H$217),AND(NOT($J$217),OR($G$217&lt;$H$217,$G$217&gt;$I$217)),FALSE)</f>
        <v/>
      </c>
      <c r="M217" t="inlineStr"/>
      <c r="N217" t="inlineStr">
        <is>
          <t>R_balance;R_full_weapon_audit;W_wikipedia_m102_howitzer;R_machine_brigade_can_bang</t>
        </is>
      </c>
      <c r="O21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7" t="inlineStr">
        <is>
          <t>Tools/balance/full_weapon_audit.py (bảng REAL) và 01_chien_dau/Vu_khi_suy_ra</t>
        </is>
      </c>
      <c r="Q217" t="inlineStr"/>
    </row>
    <row r="218">
      <c r="A218" t="inlineStr">
        <is>
          <t>pt14_th_v35/nhip</t>
        </is>
      </c>
      <c r="B218" t="inlineStr">
        <is>
          <t>pt14_th_v35</t>
        </is>
      </c>
      <c r="C218" t="inlineStr">
        <is>
          <t>khe_mot_nong_mot_vien</t>
        </is>
      </c>
      <c r="D218" t="inlineStr">
        <is>
          <t>s</t>
        </is>
      </c>
      <c r="E218" t="n">
        <v>0.69375</v>
      </c>
      <c r="F218">
        <f>60/INDEX(Vu_khi!$BB$2:$BB$360,MATCH($B$218,Vu_khi!$A$2:$A$360,0))/IF(INDEX(Vu_khi!$BD$2:$BD$360,MATCH($B$218,Vu_khi!$A$2:$A$360,0))="gun",0.7,1)</f>
        <v/>
      </c>
      <c r="G218">
        <f>$E$218/$F$218</f>
        <v/>
      </c>
      <c r="H218" t="n">
        <v>0.6</v>
      </c>
      <c r="I218" t="n">
        <v>2</v>
      </c>
      <c r="J218" t="b">
        <v>0</v>
      </c>
      <c r="K218" t="inlineStr"/>
      <c r="L218">
        <f>IF(ISNUMBER($H$218),AND(NOT($J$218),OR($G$218&lt;$H$218,$G$218&gt;$I$218)),FALSE)</f>
        <v/>
      </c>
      <c r="M218" t="inlineStr">
        <is>
          <t>TC0061</t>
        </is>
      </c>
      <c r="N218" t="inlineStr">
        <is>
          <t>R_balance;R_full_weapon_audit;W_wikipedia_oerlikon_gdf</t>
        </is>
      </c>
      <c r="O21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8" t="inlineStr">
        <is>
          <t>Tools/balance/full_weapon_audit.py (bảng REAL) và 01_chien_dau/Vu_khi_suy_ra</t>
        </is>
      </c>
      <c r="Q218" t="inlineStr"/>
    </row>
    <row r="219">
      <c r="A219" t="inlineStr">
        <is>
          <t>pt14_train_grad/nhip</t>
        </is>
      </c>
      <c r="B219" t="inlineStr">
        <is>
          <t>pt14_train_grad</t>
        </is>
      </c>
      <c r="C219" t="inlineStr">
        <is>
          <t>khe_mot_nong_mot_vien</t>
        </is>
      </c>
      <c r="D219" t="inlineStr">
        <is>
          <t>s</t>
        </is>
      </c>
      <c r="E219" t="n">
        <v>0.5</v>
      </c>
      <c r="F219">
        <f>60/INDEX(Vu_khi!$BB$2:$BB$360,MATCH($B$219,Vu_khi!$A$2:$A$360,0))/IF(INDEX(Vu_khi!$BD$2:$BD$360,MATCH($B$219,Vu_khi!$A$2:$A$360,0))="gun",0.7,1)</f>
        <v/>
      </c>
      <c r="G219">
        <f>$E$219/$F$219</f>
        <v/>
      </c>
      <c r="H219" t="n">
        <v>0.6</v>
      </c>
      <c r="I219" t="n">
        <v>2</v>
      </c>
      <c r="J219" t="b">
        <v>0</v>
      </c>
      <c r="K219" t="inlineStr"/>
      <c r="L219">
        <f>IF(ISNUMBER($H$219),AND(NOT($J$219),OR($G$219&lt;$H$219,$G$219&gt;$I$219)),FALSE)</f>
        <v/>
      </c>
      <c r="M219" t="inlineStr"/>
      <c r="N219" t="inlineStr">
        <is>
          <t>R_balance;R_full_weapon_audit;W_wikipedia_bm_21_grad</t>
        </is>
      </c>
      <c r="O21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19" t="inlineStr">
        <is>
          <t>Tools/balance/full_weapon_audit.py (bảng REAL) và 01_chien_dau/Vu_khi_suy_ra</t>
        </is>
      </c>
      <c r="Q219" t="inlineStr"/>
    </row>
    <row r="220">
      <c r="A220" t="inlineStr">
        <is>
          <t>recoilless_106/nhip</t>
        </is>
      </c>
      <c r="B220" t="inlineStr">
        <is>
          <t>recoilless_106</t>
        </is>
      </c>
      <c r="C220" t="inlineStr">
        <is>
          <t>khe_mot_nong_mot_vien</t>
        </is>
      </c>
      <c r="D220" t="inlineStr">
        <is>
          <t>s</t>
        </is>
      </c>
      <c r="E220" t="n">
        <v>9.524005713999999</v>
      </c>
      <c r="F220">
        <f>60/INDEX(Vu_khi!$BB$2:$BB$360,MATCH($B$220,Vu_khi!$A$2:$A$360,0))/IF(INDEX(Vu_khi!$BD$2:$BD$360,MATCH($B$220,Vu_khi!$A$2:$A$360,0))="gun",0.7,1)</f>
        <v/>
      </c>
      <c r="G220">
        <f>$E$220/$F$220</f>
        <v/>
      </c>
      <c r="H220" t="n">
        <v>0.6</v>
      </c>
      <c r="I220" t="n">
        <v>2</v>
      </c>
      <c r="J220" t="b">
        <v>0</v>
      </c>
      <c r="K220" t="inlineStr"/>
      <c r="L220">
        <f>IF(ISNUMBER($H$220),AND(NOT($J$220),OR($G$220&lt;$H$220,$G$220&gt;$I$220)),FALSE)</f>
        <v/>
      </c>
      <c r="M220" t="inlineStr">
        <is>
          <t>TC0062</t>
        </is>
      </c>
      <c r="N220" t="inlineStr">
        <is>
          <t>R_balance;R_full_weapon_audit;W_wikipedia_m40_recoilless_rifle</t>
        </is>
      </c>
      <c r="O22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0" t="inlineStr">
        <is>
          <t>Tools/balance/full_weapon_audit.py (bảng REAL) và 01_chien_dau/Vu_khi_suy_ra</t>
        </is>
      </c>
      <c r="Q220" t="inlineStr"/>
    </row>
    <row r="221">
      <c r="A221" t="inlineStr">
        <is>
          <t>rockets_300mm/nhip</t>
        </is>
      </c>
      <c r="B221" t="inlineStr">
        <is>
          <t>rockets_300mm</t>
        </is>
      </c>
      <c r="C221" t="inlineStr">
        <is>
          <t>khe_mot_nong_mot_vien</t>
        </is>
      </c>
      <c r="D221" t="inlineStr">
        <is>
          <t>s</t>
        </is>
      </c>
      <c r="E221" t="n">
        <v>0.250001053</v>
      </c>
      <c r="F221">
        <f>60/INDEX(Vu_khi!$BB$2:$BB$360,MATCH($B$221,Vu_khi!$A$2:$A$360,0))/IF(INDEX(Vu_khi!$BD$2:$BD$360,MATCH($B$221,Vu_khi!$A$2:$A$360,0))="gun",0.7,1)</f>
        <v/>
      </c>
      <c r="G221">
        <f>$E$221/$F$221</f>
        <v/>
      </c>
      <c r="H221" t="n">
        <v>0.6</v>
      </c>
      <c r="I221" t="n">
        <v>2</v>
      </c>
      <c r="J221" t="b">
        <v>0</v>
      </c>
      <c r="K221" t="inlineStr"/>
      <c r="L221">
        <f>IF(ISNUMBER($H$221),AND(NOT($J$221),OR($G$221&lt;$H$221,$G$221&gt;$I$221)),FALSE)</f>
        <v/>
      </c>
      <c r="M221" t="inlineStr">
        <is>
          <t>TC0063</t>
        </is>
      </c>
      <c r="N221" t="inlineStr">
        <is>
          <t>R_balance;R_full_weapon_audit;W_wikipedia_bm_30_smerch;R_machine_brigade_can_bang</t>
        </is>
      </c>
      <c r="O22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1" t="inlineStr">
        <is>
          <t>Tools/balance/full_weapon_audit.py (bảng REAL) và 01_chien_dau/Vu_khi_suy_ra</t>
        </is>
      </c>
      <c r="Q221" t="inlineStr"/>
    </row>
    <row r="222">
      <c r="A222" t="inlineStr">
        <is>
          <t>s8_pods/nhip</t>
        </is>
      </c>
      <c r="B222" t="inlineStr">
        <is>
          <t>s8_pods</t>
        </is>
      </c>
      <c r="C222" t="inlineStr">
        <is>
          <t>khe_mot_nong_mot_vien</t>
        </is>
      </c>
      <c r="D222" t="inlineStr">
        <is>
          <t>s</t>
        </is>
      </c>
      <c r="E222" t="n">
        <v>0.05</v>
      </c>
      <c r="F222">
        <f>60/INDEX(Vu_khi!$BB$2:$BB$360,MATCH($B$222,Vu_khi!$A$2:$A$360,0))/IF(INDEX(Vu_khi!$BD$2:$BD$360,MATCH($B$222,Vu_khi!$A$2:$A$360,0))="gun",0.7,1)</f>
        <v/>
      </c>
      <c r="G222">
        <f>$E$222/$F$222</f>
        <v/>
      </c>
      <c r="H222" t="n">
        <v>0.6</v>
      </c>
      <c r="I222" t="n">
        <v>2</v>
      </c>
      <c r="J222" t="b">
        <v>0</v>
      </c>
      <c r="K222" t="inlineStr"/>
      <c r="L222">
        <f>IF(ISNUMBER($H$222),AND(NOT($J$222),OR($G$222&lt;$H$222,$G$222&gt;$I$222)),FALSE)</f>
        <v/>
      </c>
      <c r="M222" t="inlineStr"/>
      <c r="N222" t="inlineStr">
        <is>
          <t>R_balance;R_full_weapon_audit;R_decisions;R_machine_brigade_can_bang</t>
        </is>
      </c>
      <c r="O22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2" t="inlineStr">
        <is>
          <t>Tools/balance/full_weapon_audit.py (bảng REAL) và 01_chien_dau/Vu_khi_suy_ra</t>
        </is>
      </c>
      <c r="Q222" t="inlineStr"/>
    </row>
    <row r="223">
      <c r="A223" t="inlineStr">
        <is>
          <t>sam/loi_no</t>
        </is>
      </c>
      <c r="B223" t="inlineStr">
        <is>
          <t>sam</t>
        </is>
      </c>
      <c r="C223" t="inlineStr">
        <is>
          <t>loi_m_tren_can_bac_ba_kg_dau_dan</t>
        </is>
      </c>
      <c r="D223" t="inlineStr">
        <is>
          <t>m/kg^(1/3)</t>
        </is>
      </c>
      <c r="E223">
        <f>INDEX(Vu_khi!$X$2:$X$360,MATCH($B$223,Vu_khi!$A$2:$A$360,0))</f>
        <v/>
      </c>
      <c r="F223">
        <f>POWER(INDEX(Vu_khi_tham_chieu!$AB$2:$AB$360,MATCH($B$223,Vu_khi_tham_chieu!$A$2:$A$360,0)),1/3)</f>
        <v/>
      </c>
      <c r="G223">
        <f>$E$223/$F$223</f>
        <v/>
      </c>
      <c r="H223" t="inlineStr"/>
      <c r="I223" t="inlineStr"/>
      <c r="J223" t="b">
        <v>0</v>
      </c>
      <c r="K223" t="inlineStr"/>
      <c r="L223">
        <f>IF(ISNUMBER($H$223),AND(NOT($J$223),OR($G$223&lt;$H$223,$G$223&gt;$I$223)),FALSE)</f>
        <v/>
      </c>
      <c r="M223" t="inlineStr"/>
      <c r="N223" t="inlineStr">
        <is>
          <t>R_full_weapon_audit</t>
        </is>
      </c>
      <c r="O223" t="inlineStr">
        <is>
          <t>lõi nổ / căn bậc ba khối lượng đầu đạn (đầu đạn thay cho thuốc nổ: repo không có khối lượng thuốc nổ)</t>
        </is>
      </c>
      <c r="P223" t="inlineStr">
        <is>
          <t>Tools/balance/full_weapon_audit.py WARHEAD</t>
        </is>
      </c>
      <c r="Q223" t="inlineStr"/>
    </row>
    <row r="224">
      <c r="A224" t="inlineStr">
        <is>
          <t>sam/nhip</t>
        </is>
      </c>
      <c r="B224" t="inlineStr">
        <is>
          <t>sam</t>
        </is>
      </c>
      <c r="C224" t="inlineStr">
        <is>
          <t>khe_mot_nong_mot_vien</t>
        </is>
      </c>
      <c r="D224" t="inlineStr">
        <is>
          <t>s</t>
        </is>
      </c>
      <c r="E224" t="n">
        <v>4.452</v>
      </c>
      <c r="F224">
        <f>60/INDEX(Vu_khi!$BB$2:$BB$360,MATCH($B$224,Vu_khi!$A$2:$A$360,0))/IF(INDEX(Vu_khi!$BD$2:$BD$360,MATCH($B$224,Vu_khi!$A$2:$A$360,0))="gun",0.7,1)</f>
        <v/>
      </c>
      <c r="G224">
        <f>$E$224/$F$224</f>
        <v/>
      </c>
      <c r="H224" t="n">
        <v>0.6</v>
      </c>
      <c r="I224" t="n">
        <v>2</v>
      </c>
      <c r="J224" t="b">
        <v>0</v>
      </c>
      <c r="K224" t="inlineStr"/>
      <c r="L224">
        <f>IF(ISNUMBER($H$224),AND(NOT($J$224),OR($G$224&lt;$H$224,$G$224&gt;$I$224)),FALSE)</f>
        <v/>
      </c>
      <c r="M224" t="inlineStr"/>
      <c r="N224" t="inlineStr">
        <is>
          <t>R_balance;R_full_weapon_audit;W_wikipedia_bai_cua_tung_ten_lua_bang_warhead;R_machine_brigade_can_bang</t>
        </is>
      </c>
      <c r="O22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4" t="inlineStr">
        <is>
          <t>Tools/balance/full_weapon_audit.py (bảng REAL) và 01_chien_dau/Vu_khi_suy_ra</t>
        </is>
      </c>
      <c r="Q224" t="inlineStr"/>
    </row>
    <row r="225">
      <c r="A225" t="inlineStr">
        <is>
          <t>sam/sat_thuong</t>
        </is>
      </c>
      <c r="B225" t="inlineStr">
        <is>
          <t>sam</t>
        </is>
      </c>
      <c r="C225" t="inlineStr">
        <is>
          <t>sat_thuong_tren_kg_dau_dan</t>
        </is>
      </c>
      <c r="D225" t="inlineStr">
        <is>
          <t>hp/kg</t>
        </is>
      </c>
      <c r="E225">
        <f>INDEX(Vu_khi!$W$2:$W$360,MATCH($B$225,Vu_khi!$A$2:$A$360,0))</f>
        <v/>
      </c>
      <c r="F225">
        <f>INDEX(Vu_khi_tham_chieu!$AB$2:$AB$360,MATCH($B$225,Vu_khi_tham_chieu!$A$2:$A$360,0))</f>
        <v/>
      </c>
      <c r="G225">
        <f>$E$225/$F$225</f>
        <v/>
      </c>
      <c r="H225" t="inlineStr"/>
      <c r="I225" t="inlineStr"/>
      <c r="J225" t="b">
        <v>0</v>
      </c>
      <c r="K225" t="inlineStr"/>
      <c r="L225">
        <f>IF(ISNUMBER($H$225),AND(NOT($J$225),OR($G$225&lt;$H$225,$G$225&gt;$I$225)),FALSE)</f>
        <v/>
      </c>
      <c r="M225" t="inlineStr"/>
      <c r="N225" t="inlineStr">
        <is>
          <t>R_full_weapon_audit</t>
        </is>
      </c>
      <c r="O225" t="inlineStr">
        <is>
          <t>sát thương một phát / khối lượng đầu đạn (không bắt buộc 1:1, chỉ ghi ty_le)</t>
        </is>
      </c>
      <c r="P225" t="inlineStr">
        <is>
          <t>Tools/balance/full_weapon_audit.py WARHEAD</t>
        </is>
      </c>
      <c r="Q225" t="inlineStr"/>
    </row>
    <row r="226">
      <c r="A226" t="inlineStr">
        <is>
          <t>sam_48n6/nhip</t>
        </is>
      </c>
      <c r="B226" t="inlineStr">
        <is>
          <t>sam_48n6</t>
        </is>
      </c>
      <c r="C226" t="inlineStr">
        <is>
          <t>khe_mot_nong_mot_vien</t>
        </is>
      </c>
      <c r="D226" t="inlineStr">
        <is>
          <t>s</t>
        </is>
      </c>
      <c r="E226" t="n">
        <v>7.2</v>
      </c>
      <c r="F226">
        <f>60/INDEX(Vu_khi!$BB$2:$BB$360,MATCH($B$226,Vu_khi!$A$2:$A$360,0))/IF(INDEX(Vu_khi!$BD$2:$BD$360,MATCH($B$226,Vu_khi!$A$2:$A$360,0))="gun",0.7,1)</f>
        <v/>
      </c>
      <c r="G226">
        <f>$E$226/$F$226</f>
        <v/>
      </c>
      <c r="H226" t="n">
        <v>0.6</v>
      </c>
      <c r="I226" t="n">
        <v>2</v>
      </c>
      <c r="J226" t="b">
        <v>1</v>
      </c>
      <c r="K226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26">
        <f>IF(ISNUMBER($H$226),AND(NOT($J$226),OR($G$226&lt;$H$226,$G$226&gt;$I$226)),FALSE)</f>
        <v/>
      </c>
      <c r="M226" t="inlineStr"/>
      <c r="N226" t="inlineStr">
        <is>
          <t>R_balance;R_full_weapon_audit;W_wikipedia_s_400;R_machine_brigade_can_bang</t>
        </is>
      </c>
      <c r="O22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6" t="inlineStr">
        <is>
          <t>Tools/balance/full_weapon_audit.py (bảng REAL) và 01_chien_dau/Vu_khi_suy_ra</t>
        </is>
      </c>
      <c r="Q226" t="inlineStr"/>
    </row>
    <row r="227">
      <c r="A227" t="inlineStr">
        <is>
          <t>sam_battery/nhip</t>
        </is>
      </c>
      <c r="B227" t="inlineStr">
        <is>
          <t>sam_battery</t>
        </is>
      </c>
      <c r="C227" t="inlineStr">
        <is>
          <t>khe_mot_nong_mot_vien</t>
        </is>
      </c>
      <c r="D227" t="inlineStr">
        <is>
          <t>s</t>
        </is>
      </c>
      <c r="E227" t="n">
        <v>5.499999</v>
      </c>
      <c r="F227">
        <f>60/INDEX(Vu_khi!$BB$2:$BB$360,MATCH($B$227,Vu_khi!$A$2:$A$360,0))/IF(INDEX(Vu_khi!$BD$2:$BD$360,MATCH($B$227,Vu_khi!$A$2:$A$360,0))="gun",0.7,1)</f>
        <v/>
      </c>
      <c r="G227">
        <f>$E$227/$F$227</f>
        <v/>
      </c>
      <c r="H227" t="n">
        <v>0.6</v>
      </c>
      <c r="I227" t="n">
        <v>2</v>
      </c>
      <c r="J227" t="b">
        <v>0</v>
      </c>
      <c r="K227" t="inlineStr"/>
      <c r="L227">
        <f>IF(ISNUMBER($H$227),AND(NOT($J$227),OR($G$227&lt;$H$227,$G$227&gt;$I$227)),FALSE)</f>
        <v/>
      </c>
      <c r="M227" t="inlineStr"/>
      <c r="N227" t="inlineStr">
        <is>
          <t>R_balance;R_full_weapon_audit;W_wikipedia_mim_104_patriot;R_machine_brigade_can_bang</t>
        </is>
      </c>
      <c r="O22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7" t="inlineStr">
        <is>
          <t>Tools/balance/full_weapon_audit.py (bảng REAL) và 01_chien_dau/Vu_khi_suy_ra</t>
        </is>
      </c>
      <c r="Q227" t="inlineStr"/>
    </row>
    <row r="228">
      <c r="A228" t="inlineStr">
        <is>
          <t>sam_battery_lrr/nhip</t>
        </is>
      </c>
      <c r="B228" t="inlineStr">
        <is>
          <t>sam_battery_lrr</t>
        </is>
      </c>
      <c r="C228" t="inlineStr">
        <is>
          <t>khe_mot_nong_mot_vien</t>
        </is>
      </c>
      <c r="D228" t="inlineStr">
        <is>
          <t>s</t>
        </is>
      </c>
      <c r="E228" t="n">
        <v>1.95</v>
      </c>
      <c r="F228">
        <f>60/INDEX(Vu_khi!$BB$2:$BB$360,MATCH($B$228,Vu_khi!$A$2:$A$360,0))/IF(INDEX(Vu_khi!$BD$2:$BD$360,MATCH($B$228,Vu_khi!$A$2:$A$360,0))="gun",0.7,1)</f>
        <v/>
      </c>
      <c r="G228">
        <f>$E$228/$F$228</f>
        <v/>
      </c>
      <c r="H228" t="n">
        <v>0.6</v>
      </c>
      <c r="I228" t="n">
        <v>2</v>
      </c>
      <c r="J228" t="b">
        <v>0</v>
      </c>
      <c r="K228" t="inlineStr"/>
      <c r="L228">
        <f>IF(ISNUMBER($H$228),AND(NOT($J$228),OR($G$228&lt;$H$228,$G$228&gt;$I$228)),FALSE)</f>
        <v/>
      </c>
      <c r="M228" t="inlineStr"/>
      <c r="N228" t="inlineStr">
        <is>
          <t>R_balance;R_full_weapon_audit;W_wikipedia_mim_104_patriot;R_machine_brigade_can_bang</t>
        </is>
      </c>
      <c r="O22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8" t="inlineStr">
        <is>
          <t>Tools/balance/full_weapon_audit.py (bảng REAL) và 01_chien_dau/Vu_khi_suy_ra</t>
        </is>
      </c>
      <c r="Q228" t="inlineStr"/>
    </row>
    <row r="229">
      <c r="A229" t="inlineStr">
        <is>
          <t>sam_long/nhip</t>
        </is>
      </c>
      <c r="B229" t="inlineStr">
        <is>
          <t>sam_long</t>
        </is>
      </c>
      <c r="C229" t="inlineStr">
        <is>
          <t>khe_mot_nong_mot_vien</t>
        </is>
      </c>
      <c r="D229" t="inlineStr">
        <is>
          <t>s</t>
        </is>
      </c>
      <c r="E229" t="n">
        <v>3.115</v>
      </c>
      <c r="F229">
        <f>60/INDEX(Vu_khi!$BB$2:$BB$360,MATCH($B$229,Vu_khi!$A$2:$A$360,0))/IF(INDEX(Vu_khi!$BD$2:$BD$360,MATCH($B$229,Vu_khi!$A$2:$A$360,0))="gun",0.7,1)</f>
        <v/>
      </c>
      <c r="G229">
        <f>$E$229/$F$229</f>
        <v/>
      </c>
      <c r="H229" t="n">
        <v>0.6</v>
      </c>
      <c r="I229" t="n">
        <v>2</v>
      </c>
      <c r="J229" t="b">
        <v>0</v>
      </c>
      <c r="K229" t="inlineStr"/>
      <c r="L229">
        <f>IF(ISNUMBER($H$229),AND(NOT($J$229),OR($G$229&lt;$H$229,$G$229&gt;$I$229)),FALSE)</f>
        <v/>
      </c>
      <c r="M229" t="inlineStr"/>
      <c r="N229" t="inlineStr">
        <is>
          <t>R_balance;R_full_weapon_audit;W_wikipedia_buk_missile_system</t>
        </is>
      </c>
      <c r="O22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29" t="inlineStr">
        <is>
          <t>Tools/balance/full_weapon_audit.py (bảng REAL) và 01_chien_dau/Vu_khi_suy_ra</t>
        </is>
      </c>
      <c r="Q229" t="inlineStr"/>
    </row>
    <row r="230">
      <c r="A230" t="inlineStr">
        <is>
          <t>sam_pac3/loi_no</t>
        </is>
      </c>
      <c r="B230" t="inlineStr">
        <is>
          <t>sam_pac3</t>
        </is>
      </c>
      <c r="C230" t="inlineStr">
        <is>
          <t>loi_m_tren_can_bac_ba_kg_dau_dan</t>
        </is>
      </c>
      <c r="D230" t="inlineStr">
        <is>
          <t>m/kg^(1/3)</t>
        </is>
      </c>
      <c r="E230">
        <f>INDEX(Vu_khi!$X$2:$X$360,MATCH($B$230,Vu_khi!$A$2:$A$360,0))</f>
        <v/>
      </c>
      <c r="F230">
        <f>POWER(INDEX(Vu_khi_tham_chieu!$AB$2:$AB$360,MATCH($B$230,Vu_khi_tham_chieu!$A$2:$A$360,0)),1/3)</f>
        <v/>
      </c>
      <c r="G230">
        <f>$E$230/$F$230</f>
        <v/>
      </c>
      <c r="H230" t="inlineStr"/>
      <c r="I230" t="inlineStr"/>
      <c r="J230" t="b">
        <v>0</v>
      </c>
      <c r="K230" t="inlineStr"/>
      <c r="L230">
        <f>IF(ISNUMBER($H$230),AND(NOT($J$230),OR($G$230&lt;$H$230,$G$230&gt;$I$230)),FALSE)</f>
        <v/>
      </c>
      <c r="M230" t="inlineStr"/>
      <c r="N230" t="inlineStr">
        <is>
          <t>R_full_weapon_audit</t>
        </is>
      </c>
      <c r="O230" t="inlineStr">
        <is>
          <t>lõi nổ / căn bậc ba khối lượng đầu đạn (đầu đạn thay cho thuốc nổ: repo không có khối lượng thuốc nổ)</t>
        </is>
      </c>
      <c r="P230" t="inlineStr">
        <is>
          <t>Tools/balance/full_weapon_audit.py WARHEAD</t>
        </is>
      </c>
      <c r="Q230" t="inlineStr"/>
    </row>
    <row r="231">
      <c r="A231" t="inlineStr">
        <is>
          <t>sam_pac3/nhip</t>
        </is>
      </c>
      <c r="B231" t="inlineStr">
        <is>
          <t>sam_pac3</t>
        </is>
      </c>
      <c r="C231" t="inlineStr">
        <is>
          <t>khe_mot_nong_mot_vien</t>
        </is>
      </c>
      <c r="D231" t="inlineStr">
        <is>
          <t>s</t>
        </is>
      </c>
      <c r="E231" t="n">
        <v>3.350001</v>
      </c>
      <c r="F231">
        <f>60/INDEX(Vu_khi!$BB$2:$BB$360,MATCH($B$231,Vu_khi!$A$2:$A$360,0))/IF(INDEX(Vu_khi!$BD$2:$BD$360,MATCH($B$231,Vu_khi!$A$2:$A$360,0))="gun",0.7,1)</f>
        <v/>
      </c>
      <c r="G231">
        <f>$E$231/$F$231</f>
        <v/>
      </c>
      <c r="H231" t="n">
        <v>0.6</v>
      </c>
      <c r="I231" t="n">
        <v>2</v>
      </c>
      <c r="J231" t="b">
        <v>0</v>
      </c>
      <c r="K231" t="inlineStr"/>
      <c r="L231">
        <f>IF(ISNUMBER($H$231),AND(NOT($J$231),OR($G$231&lt;$H$231,$G$231&gt;$I$231)),FALSE)</f>
        <v/>
      </c>
      <c r="M231" t="inlineStr"/>
      <c r="N231" t="inlineStr">
        <is>
          <t>R_balance;R_full_weapon_audit;W_wikipedia_mim_104_patriot;W_wikipedia_bai_cua_tung_ten_lua_bang_warhead;R_machine_brigade_can_bang</t>
        </is>
      </c>
      <c r="O23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1" t="inlineStr">
        <is>
          <t>Tools/balance/full_weapon_audit.py (bảng REAL) và 01_chien_dau/Vu_khi_suy_ra</t>
        </is>
      </c>
      <c r="Q231" t="inlineStr"/>
    </row>
    <row r="232">
      <c r="A232" t="inlineStr">
        <is>
          <t>sam_pac3/sat_thuong</t>
        </is>
      </c>
      <c r="B232" t="inlineStr">
        <is>
          <t>sam_pac3</t>
        </is>
      </c>
      <c r="C232" t="inlineStr">
        <is>
          <t>sat_thuong_tren_kg_dau_dan</t>
        </is>
      </c>
      <c r="D232" t="inlineStr">
        <is>
          <t>hp/kg</t>
        </is>
      </c>
      <c r="E232">
        <f>INDEX(Vu_khi!$W$2:$W$360,MATCH($B$232,Vu_khi!$A$2:$A$360,0))</f>
        <v/>
      </c>
      <c r="F232">
        <f>INDEX(Vu_khi_tham_chieu!$AB$2:$AB$360,MATCH($B$232,Vu_khi_tham_chieu!$A$2:$A$360,0))</f>
        <v/>
      </c>
      <c r="G232">
        <f>$E$232/$F$232</f>
        <v/>
      </c>
      <c r="H232" t="inlineStr"/>
      <c r="I232" t="inlineStr"/>
      <c r="J232" t="b">
        <v>0</v>
      </c>
      <c r="K232" t="inlineStr"/>
      <c r="L232">
        <f>IF(ISNUMBER($H$232),AND(NOT($J$232),OR($G$232&lt;$H$232,$G$232&gt;$I$232)),FALSE)</f>
        <v/>
      </c>
      <c r="M232" t="inlineStr"/>
      <c r="N232" t="inlineStr">
        <is>
          <t>R_full_weapon_audit</t>
        </is>
      </c>
      <c r="O232" t="inlineStr">
        <is>
          <t>sát thương một phát / khối lượng đầu đạn (không bắt buộc 1:1, chỉ ghi ty_le)</t>
        </is>
      </c>
      <c r="P232" t="inlineStr">
        <is>
          <t>Tools/balance/full_weapon_audit.py WARHEAD</t>
        </is>
      </c>
      <c r="Q232" t="inlineStr"/>
    </row>
    <row r="233">
      <c r="A233" t="inlineStr">
        <is>
          <t>sam_post/nhip</t>
        </is>
      </c>
      <c r="B233" t="inlineStr">
        <is>
          <t>sam_post</t>
        </is>
      </c>
      <c r="C233" t="inlineStr">
        <is>
          <t>khe_mot_nong_mot_vien</t>
        </is>
      </c>
      <c r="D233" t="inlineStr">
        <is>
          <t>s</t>
        </is>
      </c>
      <c r="E233" t="n">
        <v>2.2</v>
      </c>
      <c r="F233">
        <f>60/INDEX(Vu_khi!$BB$2:$BB$360,MATCH($B$233,Vu_khi!$A$2:$A$360,0))/IF(INDEX(Vu_khi!$BD$2:$BD$360,MATCH($B$233,Vu_khi!$A$2:$A$360,0))="gun",0.7,1)</f>
        <v/>
      </c>
      <c r="G233">
        <f>$E$233/$F$233</f>
        <v/>
      </c>
      <c r="H233" t="n">
        <v>0.6</v>
      </c>
      <c r="I233" t="n">
        <v>2</v>
      </c>
      <c r="J233" t="b">
        <v>0</v>
      </c>
      <c r="K233" t="inlineStr"/>
      <c r="L233">
        <f>IF(ISNUMBER($H$233),AND(NOT($J$233),OR($G$233&lt;$H$233,$G$233&gt;$I$233)),FALSE)</f>
        <v/>
      </c>
      <c r="M233" t="inlineStr">
        <is>
          <t>TC0064</t>
        </is>
      </c>
      <c r="N233" t="inlineStr">
        <is>
          <t>R_balance;R_full_weapon_audit;W_wikipedia_buk_missile_system;R_machine_brigade_can_bang</t>
        </is>
      </c>
      <c r="O23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3" t="inlineStr">
        <is>
          <t>Tools/balance/full_weapon_audit.py (bảng REAL) và 01_chien_dau/Vu_khi_suy_ra</t>
        </is>
      </c>
      <c r="Q233" t="inlineStr"/>
    </row>
    <row r="234">
      <c r="A234" t="inlineStr">
        <is>
          <t>scout_rockets/nhip</t>
        </is>
      </c>
      <c r="B234" t="inlineStr">
        <is>
          <t>scout_rockets</t>
        </is>
      </c>
      <c r="C234" t="inlineStr">
        <is>
          <t>khe_mot_nong_mot_vien</t>
        </is>
      </c>
      <c r="D234" t="inlineStr">
        <is>
          <t>s</t>
        </is>
      </c>
      <c r="E234" t="n">
        <v>0.11</v>
      </c>
      <c r="F234">
        <f>60/INDEX(Vu_khi!$BB$2:$BB$360,MATCH($B$234,Vu_khi!$A$2:$A$360,0))/IF(INDEX(Vu_khi!$BD$2:$BD$360,MATCH($B$234,Vu_khi!$A$2:$A$360,0))="gun",0.7,1)</f>
        <v/>
      </c>
      <c r="G234">
        <f>$E$234/$F$234</f>
        <v/>
      </c>
      <c r="H234" t="n">
        <v>0.6</v>
      </c>
      <c r="I234" t="n">
        <v>2</v>
      </c>
      <c r="J234" t="b">
        <v>0</v>
      </c>
      <c r="K234" t="inlineStr"/>
      <c r="L234">
        <f>IF(ISNUMBER($H$234),AND(NOT($J$234),OR($G$234&lt;$H$234,$G$234&gt;$I$234)),FALSE)</f>
        <v/>
      </c>
      <c r="M234" t="inlineStr"/>
      <c r="N234" t="inlineStr">
        <is>
          <t>R_balance;R_full_weapon_audit;R_decisions;R_machine_brigade_can_bang</t>
        </is>
      </c>
      <c r="O23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4" t="inlineStr">
        <is>
          <t>Tools/balance/full_weapon_audit.py (bảng REAL) và 01_chien_dau/Vu_khi_suy_ra</t>
        </is>
      </c>
      <c r="Q234" t="inlineStr"/>
    </row>
    <row r="235">
      <c r="A235" t="inlineStr">
        <is>
          <t>siege_gun_105/nhip</t>
        </is>
      </c>
      <c r="B235" t="inlineStr">
        <is>
          <t>siege_gun_105</t>
        </is>
      </c>
      <c r="C235" t="inlineStr">
        <is>
          <t>khe_mot_nong_mot_vien</t>
        </is>
      </c>
      <c r="D235" t="inlineStr">
        <is>
          <t>s</t>
        </is>
      </c>
      <c r="E235" t="n">
        <v>6.571002857</v>
      </c>
      <c r="F235">
        <f>60/INDEX(Vu_khi!$BB$2:$BB$360,MATCH($B$235,Vu_khi!$A$2:$A$360,0))/IF(INDEX(Vu_khi!$BD$2:$BD$360,MATCH($B$235,Vu_khi!$A$2:$A$360,0))="gun",0.7,1)</f>
        <v/>
      </c>
      <c r="G235">
        <f>$E$235/$F$235</f>
        <v/>
      </c>
      <c r="H235" t="n">
        <v>0.6</v>
      </c>
      <c r="I235" t="n">
        <v>2</v>
      </c>
      <c r="J235" t="b">
        <v>0</v>
      </c>
      <c r="K235" t="inlineStr"/>
      <c r="L235">
        <f>IF(ISNUMBER($H$235),AND(NOT($J$235),OR($G$235&lt;$H$235,$G$235&gt;$I$235)),FALSE)</f>
        <v/>
      </c>
      <c r="M235" t="inlineStr"/>
      <c r="N235" t="inlineStr">
        <is>
          <t>R_balance;R_full_weapon_audit;W_wikipedia_royal_ordnance_l7;R_machine_brigade_can_bang</t>
        </is>
      </c>
      <c r="O23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5" t="inlineStr">
        <is>
          <t>Tools/balance/full_weapon_audit.py (bảng REAL) và 01_chien_dau/Vu_khi_suy_ra</t>
        </is>
      </c>
      <c r="Q235" t="inlineStr"/>
    </row>
    <row r="236">
      <c r="A236" t="inlineStr">
        <is>
          <t>siege_mortar_240/nhip</t>
        </is>
      </c>
      <c r="B236" t="inlineStr">
        <is>
          <t>siege_mortar_240</t>
        </is>
      </c>
      <c r="C236" t="inlineStr">
        <is>
          <t>khe_mot_nong_mot_vien</t>
        </is>
      </c>
      <c r="D236" t="inlineStr">
        <is>
          <t>s</t>
        </is>
      </c>
      <c r="E236" t="n">
        <v>13.741028571</v>
      </c>
      <c r="F236">
        <f>60/INDEX(Vu_khi!$BB$2:$BB$360,MATCH($B$236,Vu_khi!$A$2:$A$360,0))/IF(INDEX(Vu_khi!$BD$2:$BD$360,MATCH($B$236,Vu_khi!$A$2:$A$360,0))="gun",0.7,1)</f>
        <v/>
      </c>
      <c r="G236">
        <f>$E$236/$F$236</f>
        <v/>
      </c>
      <c r="H236" t="n">
        <v>0.6</v>
      </c>
      <c r="I236" t="n">
        <v>2</v>
      </c>
      <c r="J236" t="b">
        <v>0</v>
      </c>
      <c r="K236" t="inlineStr"/>
      <c r="L236">
        <f>IF(ISNUMBER($H$236),AND(NOT($J$236),OR($G$236&lt;$H$236,$G$236&gt;$I$236)),FALSE)</f>
        <v/>
      </c>
      <c r="M236" t="inlineStr">
        <is>
          <t>TC0065</t>
        </is>
      </c>
      <c r="N236" t="inlineStr">
        <is>
          <t>R_balance;R_full_weapon_audit;W_wikipedia_2s4_tyulpan;R_machine_brigade_can_bang</t>
        </is>
      </c>
      <c r="O23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6" t="inlineStr">
        <is>
          <t>Tools/balance/full_weapon_audit.py (bảng REAL) và 01_chien_dau/Vu_khi_suy_ra</t>
        </is>
      </c>
      <c r="Q236" t="inlineStr"/>
    </row>
    <row r="237">
      <c r="A237" t="inlineStr">
        <is>
          <t>spg9_73mm/nhip</t>
        </is>
      </c>
      <c r="B237" t="inlineStr">
        <is>
          <t>spg9_73mm</t>
        </is>
      </c>
      <c r="C237" t="inlineStr">
        <is>
          <t>khe_mot_nong_mot_vien</t>
        </is>
      </c>
      <c r="D237" t="inlineStr">
        <is>
          <t>s</t>
        </is>
      </c>
      <c r="E237" t="n">
        <v>9.529</v>
      </c>
      <c r="F237">
        <f>60/INDEX(Vu_khi!$BB$2:$BB$360,MATCH($B$237,Vu_khi!$A$2:$A$360,0))/IF(INDEX(Vu_khi!$BD$2:$BD$360,MATCH($B$237,Vu_khi!$A$2:$A$360,0))="gun",0.7,1)</f>
        <v/>
      </c>
      <c r="G237">
        <f>$E$237/$F$237</f>
        <v/>
      </c>
      <c r="H237" t="n">
        <v>0.6</v>
      </c>
      <c r="I237" t="n">
        <v>2</v>
      </c>
      <c r="J237" t="b">
        <v>0</v>
      </c>
      <c r="K237" t="inlineStr"/>
      <c r="L237">
        <f>IF(ISNUMBER($H$237),AND(NOT($J$237),OR($G$237&lt;$H$237,$G$237&gt;$I$237)),FALSE)</f>
        <v/>
      </c>
      <c r="M237" t="inlineStr"/>
      <c r="N237" t="inlineStr">
        <is>
          <t>R_balance;R_full_weapon_audit;W_wikipedia_spg_9</t>
        </is>
      </c>
      <c r="O23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7" t="inlineStr">
        <is>
          <t>Tools/balance/full_weapon_audit.py (bảng REAL) và 01_chien_dau/Vu_khi_suy_ra</t>
        </is>
      </c>
      <c r="Q237" t="inlineStr"/>
    </row>
    <row r="238">
      <c r="A238" t="inlineStr">
        <is>
          <t>stealth_payload/nhip</t>
        </is>
      </c>
      <c r="B238" t="inlineStr">
        <is>
          <t>stealth_payload</t>
        </is>
      </c>
      <c r="C238" t="inlineStr">
        <is>
          <t>khe_mot_nong_mot_vien</t>
        </is>
      </c>
      <c r="D238" t="inlineStr">
        <is>
          <t>s</t>
        </is>
      </c>
      <c r="E238" t="n">
        <v>0.3</v>
      </c>
      <c r="F238">
        <f>60/INDEX(Vu_khi!$BB$2:$BB$360,MATCH($B$238,Vu_khi!$A$2:$A$360,0))/IF(INDEX(Vu_khi!$BD$2:$BD$360,MATCH($B$238,Vu_khi!$A$2:$A$360,0))="gun",0.7,1)</f>
        <v/>
      </c>
      <c r="G238">
        <f>$E$238/$F$238</f>
        <v/>
      </c>
      <c r="H238" t="n">
        <v>0.6</v>
      </c>
      <c r="I238" t="n">
        <v>2</v>
      </c>
      <c r="J238" t="b">
        <v>1</v>
      </c>
      <c r="K238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38">
        <f>IF(ISNUMBER($H$238),AND(NOT($J$238),OR($G$238&lt;$H$238,$G$238&gt;$I$238)),FALSE)</f>
        <v/>
      </c>
      <c r="M238" t="inlineStr"/>
      <c r="N238" t="inlineStr">
        <is>
          <t>R_balance;R_full_weapon_audit;R_machine_brigade_can_bang</t>
        </is>
      </c>
      <c r="O23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8" t="inlineStr">
        <is>
          <t>Tools/balance/full_weapon_audit.py (bảng REAL) và 01_chien_dau/Vu_khi_suy_ra</t>
        </is>
      </c>
      <c r="Q238" t="inlineStr"/>
    </row>
    <row r="239">
      <c r="A239" t="inlineStr">
        <is>
          <t>stinger_post/nhip</t>
        </is>
      </c>
      <c r="B239" t="inlineStr">
        <is>
          <t>stinger_post</t>
        </is>
      </c>
      <c r="C239" t="inlineStr">
        <is>
          <t>khe_mot_nong_mot_vien</t>
        </is>
      </c>
      <c r="D239" t="inlineStr">
        <is>
          <t>s</t>
        </is>
      </c>
      <c r="E239" t="n">
        <v>4.452</v>
      </c>
      <c r="F239">
        <f>60/INDEX(Vu_khi!$BB$2:$BB$360,MATCH($B$239,Vu_khi!$A$2:$A$360,0))/IF(INDEX(Vu_khi!$BD$2:$BD$360,MATCH($B$239,Vu_khi!$A$2:$A$360,0))="gun",0.7,1)</f>
        <v/>
      </c>
      <c r="G239">
        <f>$E$239/$F$239</f>
        <v/>
      </c>
      <c r="H239" t="n">
        <v>0.6</v>
      </c>
      <c r="I239" t="n">
        <v>2</v>
      </c>
      <c r="J239" t="b">
        <v>0</v>
      </c>
      <c r="K239" t="inlineStr"/>
      <c r="L239">
        <f>IF(ISNUMBER($H$239),AND(NOT($J$239),OR($G$239&lt;$H$239,$G$239&gt;$I$239)),FALSE)</f>
        <v/>
      </c>
      <c r="M239" t="inlineStr"/>
      <c r="N239" t="inlineStr">
        <is>
          <t>R_balance;R_full_weapon_audit</t>
        </is>
      </c>
      <c r="O23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39" t="inlineStr">
        <is>
          <t>Tools/balance/full_weapon_audit.py (bảng REAL) và 01_chien_dau/Vu_khi_suy_ra</t>
        </is>
      </c>
      <c r="Q239" t="inlineStr"/>
    </row>
    <row r="240">
      <c r="A240" t="inlineStr">
        <is>
          <t>tamir/nhip</t>
        </is>
      </c>
      <c r="B240" t="inlineStr">
        <is>
          <t>tamir</t>
        </is>
      </c>
      <c r="C240" t="inlineStr">
        <is>
          <t>khe_mot_nong_mot_vien</t>
        </is>
      </c>
      <c r="D240" t="inlineStr">
        <is>
          <t>s</t>
        </is>
      </c>
      <c r="E240" t="n">
        <v>6.833333</v>
      </c>
      <c r="F240">
        <f>60/INDEX(Vu_khi!$BB$2:$BB$360,MATCH($B$240,Vu_khi!$A$2:$A$360,0))/IF(INDEX(Vu_khi!$BD$2:$BD$360,MATCH($B$240,Vu_khi!$A$2:$A$360,0))="gun",0.7,1)</f>
        <v/>
      </c>
      <c r="G240">
        <f>$E$240/$F$240</f>
        <v/>
      </c>
      <c r="H240" t="n">
        <v>0.6</v>
      </c>
      <c r="I240" t="n">
        <v>2</v>
      </c>
      <c r="J240" t="b">
        <v>0</v>
      </c>
      <c r="K240" t="inlineStr"/>
      <c r="L240">
        <f>IF(ISNUMBER($H$240),AND(NOT($J$240),OR($G$240&lt;$H$240,$G$240&gt;$I$240)),FALSE)</f>
        <v/>
      </c>
      <c r="M240" t="inlineStr">
        <is>
          <t>TC0066</t>
        </is>
      </c>
      <c r="N240" t="inlineStr">
        <is>
          <t>R_balance;R_full_weapon_audit;R_decisions;R_machine_brigade_can_bang</t>
        </is>
      </c>
      <c r="O24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0" t="inlineStr">
        <is>
          <t>Tools/balance/full_weapon_audit.py (bảng REAL) và 01_chien_dau/Vu_khi_suy_ra</t>
        </is>
      </c>
      <c r="Q240" t="inlineStr"/>
    </row>
    <row r="241">
      <c r="A241" t="inlineStr">
        <is>
          <t>technical_rockets/nhip</t>
        </is>
      </c>
      <c r="B241" t="inlineStr">
        <is>
          <t>technical_rockets</t>
        </is>
      </c>
      <c r="C241" t="inlineStr">
        <is>
          <t>khe_mot_nong_mot_vien</t>
        </is>
      </c>
      <c r="D241" t="inlineStr">
        <is>
          <t>s</t>
        </is>
      </c>
      <c r="E241" t="n">
        <v>0.4999998</v>
      </c>
      <c r="F241">
        <f>60/INDEX(Vu_khi!$BB$2:$BB$360,MATCH($B$241,Vu_khi!$A$2:$A$360,0))/IF(INDEX(Vu_khi!$BD$2:$BD$360,MATCH($B$241,Vu_khi!$A$2:$A$360,0))="gun",0.7,1)</f>
        <v/>
      </c>
      <c r="G241">
        <f>$E$241/$F$241</f>
        <v/>
      </c>
      <c r="H241" t="n">
        <v>0.6</v>
      </c>
      <c r="I241" t="n">
        <v>2</v>
      </c>
      <c r="J241" t="b">
        <v>0</v>
      </c>
      <c r="K241" t="inlineStr"/>
      <c r="L241">
        <f>IF(ISNUMBER($H$241),AND(NOT($J$241),OR($G$241&lt;$H$241,$G$241&gt;$I$241)),FALSE)</f>
        <v/>
      </c>
      <c r="M241" t="inlineStr"/>
      <c r="N241" t="inlineStr">
        <is>
          <t>R_balance;R_full_weapon_audit;W_wikipedia_type_63_mrl;R_machine_brigade_can_bang</t>
        </is>
      </c>
      <c r="O24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1" t="inlineStr">
        <is>
          <t>Tools/balance/full_weapon_audit.py (bảng REAL) và 01_chien_dau/Vu_khi_suy_ra</t>
        </is>
      </c>
      <c r="Q241" t="inlineStr"/>
    </row>
    <row r="242">
      <c r="A242" t="inlineStr">
        <is>
          <t>thermobaric_rockets/nhip</t>
        </is>
      </c>
      <c r="B242" t="inlineStr">
        <is>
          <t>thermobaric_rockets</t>
        </is>
      </c>
      <c r="C242" t="inlineStr">
        <is>
          <t>khe_mot_nong_mot_vien</t>
        </is>
      </c>
      <c r="D242" t="inlineStr">
        <is>
          <t>s</t>
        </is>
      </c>
      <c r="E242" t="n">
        <v>0.3</v>
      </c>
      <c r="F242">
        <f>60/INDEX(Vu_khi!$BB$2:$BB$360,MATCH($B$242,Vu_khi!$A$2:$A$360,0))/IF(INDEX(Vu_khi!$BD$2:$BD$360,MATCH($B$242,Vu_khi!$A$2:$A$360,0))="gun",0.7,1)</f>
        <v/>
      </c>
      <c r="G242">
        <f>$E$242/$F$242</f>
        <v/>
      </c>
      <c r="H242" t="n">
        <v>0.6</v>
      </c>
      <c r="I242" t="n">
        <v>2</v>
      </c>
      <c r="J242" t="b">
        <v>0</v>
      </c>
      <c r="K242" t="inlineStr"/>
      <c r="L242">
        <f>IF(ISNUMBER($H$242),AND(NOT($J$242),OR($G$242&lt;$H$242,$G$242&gt;$I$242)),FALSE)</f>
        <v/>
      </c>
      <c r="M242" t="inlineStr"/>
      <c r="N242" t="inlineStr">
        <is>
          <t>R_balance;R_full_weapon_audit;W_wikipedia_tos_1;R_machine_brigade_can_bang</t>
        </is>
      </c>
      <c r="O24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2" t="inlineStr">
        <is>
          <t>Tools/balance/full_weapon_audit.py (bảng REAL) và 01_chien_dau/Vu_khi_suy_ra</t>
        </is>
      </c>
      <c r="Q242" t="inlineStr"/>
    </row>
    <row r="243">
      <c r="A243" t="inlineStr">
        <is>
          <t>tower_ac25/nhip</t>
        </is>
      </c>
      <c r="B243" t="inlineStr">
        <is>
          <t>tower_ac25</t>
        </is>
      </c>
      <c r="C243" t="inlineStr">
        <is>
          <t>khe_mot_nong_mot_vien</t>
        </is>
      </c>
      <c r="D243" t="inlineStr">
        <is>
          <t>s</t>
        </is>
      </c>
      <c r="E243" t="n">
        <v>0.255</v>
      </c>
      <c r="F243">
        <f>60/INDEX(Vu_khi!$BB$2:$BB$360,MATCH($B$243,Vu_khi!$A$2:$A$360,0))/IF(INDEX(Vu_khi!$BD$2:$BD$360,MATCH($B$243,Vu_khi!$A$2:$A$360,0))="gun",0.7,1)</f>
        <v/>
      </c>
      <c r="G243">
        <f>$E$243/$F$243</f>
        <v/>
      </c>
      <c r="H243" t="n">
        <v>0.6</v>
      </c>
      <c r="I243" t="n">
        <v>2</v>
      </c>
      <c r="J243" t="b">
        <v>1</v>
      </c>
      <c r="K243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43">
        <f>IF(ISNUMBER($H$243),AND(NOT($J$243),OR($G$243&lt;$H$243,$G$243&gt;$I$243)),FALSE)</f>
        <v/>
      </c>
      <c r="M243" t="inlineStr"/>
      <c r="N243" t="inlineStr">
        <is>
          <t>R_balance;R_full_weapon_audit;W_wikipedia_m242_bushmaster;R_machine_brigade_can_bang</t>
        </is>
      </c>
      <c r="O24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3" t="inlineStr">
        <is>
          <t>Tools/balance/full_weapon_audit.py (bảng REAL) và 01_chien_dau/Vu_khi_suy_ra</t>
        </is>
      </c>
      <c r="Q243" t="inlineStr"/>
    </row>
    <row r="244">
      <c r="A244" t="inlineStr">
        <is>
          <t>tower_agl/nhip</t>
        </is>
      </c>
      <c r="B244" t="inlineStr">
        <is>
          <t>tower_agl</t>
        </is>
      </c>
      <c r="C244" t="inlineStr">
        <is>
          <t>khe_mot_nong_mot_vien</t>
        </is>
      </c>
      <c r="D244" t="inlineStr">
        <is>
          <t>s</t>
        </is>
      </c>
      <c r="E244" t="n">
        <v>0.88333328</v>
      </c>
      <c r="F244">
        <f>60/INDEX(Vu_khi!$BB$2:$BB$360,MATCH($B$244,Vu_khi!$A$2:$A$360,0))/IF(INDEX(Vu_khi!$BD$2:$BD$360,MATCH($B$244,Vu_khi!$A$2:$A$360,0))="gun",0.7,1)</f>
        <v/>
      </c>
      <c r="G244">
        <f>$E$244/$F$244</f>
        <v/>
      </c>
      <c r="H244" t="n">
        <v>0.6</v>
      </c>
      <c r="I244" t="n">
        <v>2</v>
      </c>
      <c r="J244" t="b">
        <v>1</v>
      </c>
      <c r="K244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44">
        <f>IF(ISNUMBER($H$244),AND(NOT($J$244),OR($G$244&lt;$H$244,$G$244&gt;$I$244)),FALSE)</f>
        <v/>
      </c>
      <c r="M244" t="inlineStr"/>
      <c r="N244" t="inlineStr">
        <is>
          <t>R_balance;R_full_weapon_audit;D_us_army_fm_3_22_27</t>
        </is>
      </c>
      <c r="O24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4" t="inlineStr">
        <is>
          <t>Tools/balance/full_weapon_audit.py (bảng REAL) và 01_chien_dau/Vu_khi_suy_ra</t>
        </is>
      </c>
      <c r="Q244" t="inlineStr"/>
    </row>
    <row r="245">
      <c r="A245" t="inlineStr">
        <is>
          <t>tower_flak_30/nhip</t>
        </is>
      </c>
      <c r="B245" t="inlineStr">
        <is>
          <t>tower_flak_30</t>
        </is>
      </c>
      <c r="C245" t="inlineStr">
        <is>
          <t>khe_mot_nong_mot_vien</t>
        </is>
      </c>
      <c r="D245" t="inlineStr">
        <is>
          <t>s</t>
        </is>
      </c>
      <c r="E245" t="n">
        <v>0.107200008</v>
      </c>
      <c r="F245">
        <f>60/INDEX(Vu_khi!$BB$2:$BB$360,MATCH($B$245,Vu_khi!$A$2:$A$360,0))/IF(INDEX(Vu_khi!$BD$2:$BD$360,MATCH($B$245,Vu_khi!$A$2:$A$360,0))="gun",0.7,1)</f>
        <v/>
      </c>
      <c r="G245">
        <f>$E$245/$F$245</f>
        <v/>
      </c>
      <c r="H245" t="n">
        <v>0.6</v>
      </c>
      <c r="I245" t="n">
        <v>2</v>
      </c>
      <c r="J245" t="b">
        <v>1</v>
      </c>
      <c r="K245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45">
        <f>IF(ISNUMBER($H$245),AND(NOT($J$245),OR($G$245&lt;$H$245,$G$245&gt;$I$245)),FALSE)</f>
        <v/>
      </c>
      <c r="M245" t="inlineStr"/>
      <c r="N245" t="inlineStr">
        <is>
          <t>R_balance;R_full_weapon_audit;W_wikipedia_2a38;R_machine_brigade_can_bang</t>
        </is>
      </c>
      <c r="O24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5" t="inlineStr">
        <is>
          <t>Tools/balance/full_weapon_audit.py (bảng REAL) và 01_chien_dau/Vu_khi_suy_ra</t>
        </is>
      </c>
      <c r="Q245" t="inlineStr"/>
    </row>
    <row r="246">
      <c r="A246" t="inlineStr">
        <is>
          <t>tower_hmg/nhip</t>
        </is>
      </c>
      <c r="B246" t="inlineStr">
        <is>
          <t>tower_hmg</t>
        </is>
      </c>
      <c r="C246" t="inlineStr">
        <is>
          <t>khe_mot_nong_mot_vien</t>
        </is>
      </c>
      <c r="D246" t="inlineStr">
        <is>
          <t>s</t>
        </is>
      </c>
      <c r="E246" t="n">
        <v>0.125</v>
      </c>
      <c r="F246">
        <f>60/INDEX(Vu_khi!$BB$2:$BB$360,MATCH($B$246,Vu_khi!$A$2:$A$360,0))/IF(INDEX(Vu_khi!$BD$2:$BD$360,MATCH($B$246,Vu_khi!$A$2:$A$360,0))="gun",0.7,1)</f>
        <v/>
      </c>
      <c r="G246">
        <f>$E$246/$F$246</f>
        <v/>
      </c>
      <c r="H246" t="n">
        <v>0.6</v>
      </c>
      <c r="I246" t="n">
        <v>2</v>
      </c>
      <c r="J246" t="b">
        <v>0</v>
      </c>
      <c r="K246" t="inlineStr"/>
      <c r="L246">
        <f>IF(ISNUMBER($H$246),AND(NOT($J$246),OR($G$246&lt;$H$246,$G$246&gt;$I$246)),FALSE)</f>
        <v/>
      </c>
      <c r="M246" t="inlineStr"/>
      <c r="N246" t="inlineStr">
        <is>
          <t>R_balance;R_full_weapon_audit;D_us_army_fm_3_22_65;R_machine_brigade_can_bang</t>
        </is>
      </c>
      <c r="O24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6" t="inlineStr">
        <is>
          <t>Tools/balance/full_weapon_audit.py (bảng REAL) và 01_chien_dau/Vu_khi_suy_ra</t>
        </is>
      </c>
      <c r="Q246" t="inlineStr"/>
    </row>
    <row r="247">
      <c r="A247" t="inlineStr">
        <is>
          <t>tower_kornet/nhip</t>
        </is>
      </c>
      <c r="B247" t="inlineStr">
        <is>
          <t>tower_kornet</t>
        </is>
      </c>
      <c r="C247" t="inlineStr">
        <is>
          <t>khe_mot_nong_mot_vien</t>
        </is>
      </c>
      <c r="D247" t="inlineStr">
        <is>
          <t>s</t>
        </is>
      </c>
      <c r="E247" t="n">
        <v>5.55</v>
      </c>
      <c r="F247">
        <f>60/INDEX(Vu_khi!$BB$2:$BB$360,MATCH($B$247,Vu_khi!$A$2:$A$360,0))/IF(INDEX(Vu_khi!$BD$2:$BD$360,MATCH($B$247,Vu_khi!$A$2:$A$360,0))="gun",0.7,1)</f>
        <v/>
      </c>
      <c r="G247">
        <f>$E$247/$F$247</f>
        <v/>
      </c>
      <c r="H247" t="n">
        <v>0.6</v>
      </c>
      <c r="I247" t="n">
        <v>2</v>
      </c>
      <c r="J247" t="b">
        <v>0</v>
      </c>
      <c r="K247" t="inlineStr"/>
      <c r="L247">
        <f>IF(ISNUMBER($H$247),AND(NOT($J$247),OR($G$247&lt;$H$247,$G$247&gt;$I$247)),FALSE)</f>
        <v/>
      </c>
      <c r="M247" t="inlineStr">
        <is>
          <t>TC0067</t>
        </is>
      </c>
      <c r="N247" t="inlineStr">
        <is>
          <t>R_balance;R_full_weapon_audit;W_wikipedia_9m133_kornet;W_wikipedia_bai_cua_tung_ten_lua_bang_warhead;R_machine_brigade_can_bang</t>
        </is>
      </c>
      <c r="O24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7" t="inlineStr">
        <is>
          <t>Tools/balance/full_weapon_audit.py (bảng REAL) và 01_chien_dau/Vu_khi_suy_ra</t>
        </is>
      </c>
      <c r="Q247" t="inlineStr"/>
    </row>
    <row r="248">
      <c r="A248" t="inlineStr">
        <is>
          <t>tower_kornet/sat_thuong</t>
        </is>
      </c>
      <c r="B248" t="inlineStr">
        <is>
          <t>tower_kornet</t>
        </is>
      </c>
      <c r="C248" t="inlineStr">
        <is>
          <t>sat_thuong_tren_kg_dau_dan</t>
        </is>
      </c>
      <c r="D248" t="inlineStr">
        <is>
          <t>hp/kg</t>
        </is>
      </c>
      <c r="E248">
        <f>INDEX(Vu_khi!$W$2:$W$360,MATCH($B$248,Vu_khi!$A$2:$A$360,0))</f>
        <v/>
      </c>
      <c r="F248">
        <f>INDEX(Vu_khi_tham_chieu!$AB$2:$AB$360,MATCH($B$248,Vu_khi_tham_chieu!$A$2:$A$360,0))</f>
        <v/>
      </c>
      <c r="G248">
        <f>$E$248/$F$248</f>
        <v/>
      </c>
      <c r="H248" t="inlineStr"/>
      <c r="I248" t="inlineStr"/>
      <c r="J248" t="b">
        <v>0</v>
      </c>
      <c r="K248" t="inlineStr"/>
      <c r="L248">
        <f>IF(ISNUMBER($H$248),AND(NOT($J$248),OR($G$248&lt;$H$248,$G$248&gt;$I$248)),FALSE)</f>
        <v/>
      </c>
      <c r="M248" t="inlineStr"/>
      <c r="N248" t="inlineStr">
        <is>
          <t>R_full_weapon_audit</t>
        </is>
      </c>
      <c r="O248" t="inlineStr">
        <is>
          <t>sát thương một phát / khối lượng đầu đạn (không bắt buộc 1:1, chỉ ghi ty_le)</t>
        </is>
      </c>
      <c r="P248" t="inlineStr">
        <is>
          <t>Tools/balance/full_weapon_audit.py WARHEAD</t>
        </is>
      </c>
      <c r="Q248" t="inlineStr"/>
    </row>
    <row r="249">
      <c r="A249" t="inlineStr">
        <is>
          <t>train_gun/nhip</t>
        </is>
      </c>
      <c r="B249" t="inlineStr">
        <is>
          <t>train_gun</t>
        </is>
      </c>
      <c r="C249" t="inlineStr">
        <is>
          <t>khe_mot_nong_mot_vien</t>
        </is>
      </c>
      <c r="D249" t="inlineStr">
        <is>
          <t>s</t>
        </is>
      </c>
      <c r="E249" t="n">
        <v>8</v>
      </c>
      <c r="F249">
        <f>60/INDEX(Vu_khi!$BB$2:$BB$360,MATCH($B$249,Vu_khi!$A$2:$A$360,0))/IF(INDEX(Vu_khi!$BD$2:$BD$360,MATCH($B$249,Vu_khi!$A$2:$A$360,0))="gun",0.7,1)</f>
        <v/>
      </c>
      <c r="G249">
        <f>$E$249/$F$249</f>
        <v/>
      </c>
      <c r="H249" t="n">
        <v>0.6</v>
      </c>
      <c r="I249" t="n">
        <v>2</v>
      </c>
      <c r="J249" t="b">
        <v>0</v>
      </c>
      <c r="K249" t="inlineStr"/>
      <c r="L249">
        <f>IF(ISNUMBER($H$249),AND(NOT($J$249),OR($G$249&lt;$H$249,$G$249&gt;$I$249)),FALSE)</f>
        <v/>
      </c>
      <c r="M249" t="inlineStr"/>
      <c r="N249" t="inlineStr">
        <is>
          <t>R_balance;R_full_weapon_audit;W_wikipedia_15_2_cm_57_b_38</t>
        </is>
      </c>
      <c r="O24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49" t="inlineStr">
        <is>
          <t>Tools/balance/full_weapon_audit.py (bảng REAL) và 01_chien_dau/Vu_khi_suy_ra</t>
        </is>
      </c>
      <c r="Q249" t="inlineStr"/>
    </row>
    <row r="250">
      <c r="A250" t="inlineStr">
        <is>
          <t>train_mortar/nhip</t>
        </is>
      </c>
      <c r="B250" t="inlineStr">
        <is>
          <t>train_mortar</t>
        </is>
      </c>
      <c r="C250" t="inlineStr">
        <is>
          <t>khe_mot_nong_mot_vien</t>
        </is>
      </c>
      <c r="D250" t="inlineStr">
        <is>
          <t>s</t>
        </is>
      </c>
      <c r="E250" t="n">
        <v>8.300000000000001</v>
      </c>
      <c r="F250">
        <f>60/INDEX(Vu_khi!$BB$2:$BB$360,MATCH($B$250,Vu_khi!$A$2:$A$360,0))/IF(INDEX(Vu_khi!$BD$2:$BD$360,MATCH($B$250,Vu_khi!$A$2:$A$360,0))="gun",0.7,1)</f>
        <v/>
      </c>
      <c r="G250">
        <f>$E$250/$F$250</f>
        <v/>
      </c>
      <c r="H250" t="n">
        <v>0.6</v>
      </c>
      <c r="I250" t="n">
        <v>2</v>
      </c>
      <c r="J250" t="b">
        <v>0</v>
      </c>
      <c r="K250" t="inlineStr"/>
      <c r="L250">
        <f>IF(ISNUMBER($H$250),AND(NOT($J$250),OR($G$250&lt;$H$250,$G$250&gt;$I$250)),FALSE)</f>
        <v/>
      </c>
      <c r="M250" t="inlineStr"/>
      <c r="N250" t="inlineStr">
        <is>
          <t>R_balance;R_full_weapon_audit;W_wikipedia_2b11</t>
        </is>
      </c>
      <c r="O25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0" t="inlineStr">
        <is>
          <t>Tools/balance/full_weapon_audit.py (bảng REAL) và 01_chien_dau/Vu_khi_suy_ra</t>
        </is>
      </c>
      <c r="Q250" t="inlineStr"/>
    </row>
    <row r="251">
      <c r="A251" t="inlineStr">
        <is>
          <t>turret_gmlrs/nhip</t>
        </is>
      </c>
      <c r="B251" t="inlineStr">
        <is>
          <t>turret_gmlrs</t>
        </is>
      </c>
      <c r="C251" t="inlineStr">
        <is>
          <t>khe_mot_nong_mot_vien</t>
        </is>
      </c>
      <c r="D251" t="inlineStr">
        <is>
          <t>s</t>
        </is>
      </c>
      <c r="E251" t="n">
        <v>0.5</v>
      </c>
      <c r="F251">
        <f>60/INDEX(Vu_khi!$BB$2:$BB$360,MATCH($B$251,Vu_khi!$A$2:$A$360,0))/IF(INDEX(Vu_khi!$BD$2:$BD$360,MATCH($B$251,Vu_khi!$A$2:$A$360,0))="gun",0.7,1)</f>
        <v/>
      </c>
      <c r="G251">
        <f>$E$251/$F$251</f>
        <v/>
      </c>
      <c r="H251" t="n">
        <v>0.6</v>
      </c>
      <c r="I251" t="n">
        <v>2</v>
      </c>
      <c r="J251" t="b">
        <v>0</v>
      </c>
      <c r="K251" t="inlineStr"/>
      <c r="L251">
        <f>IF(ISNUMBER($H$251),AND(NOT($J$251),OR($G$251&lt;$H$251,$G$251&gt;$I$251)),FALSE)</f>
        <v/>
      </c>
      <c r="M251" t="inlineStr">
        <is>
          <t>TC0068</t>
        </is>
      </c>
      <c r="N251" t="inlineStr">
        <is>
          <t>R_balance;R_full_weapon_audit;W_wikipedia_m270_mlrs;R_machine_brigade_can_bang</t>
        </is>
      </c>
      <c r="O251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1" t="inlineStr">
        <is>
          <t>Tools/balance/full_weapon_audit.py (bảng REAL) và 01_chien_dau/Vu_khi_suy_ra</t>
        </is>
      </c>
      <c r="Q251" t="inlineStr"/>
    </row>
    <row r="252">
      <c r="A252" t="inlineStr">
        <is>
          <t>turret_gun_120/nhip</t>
        </is>
      </c>
      <c r="B252" t="inlineStr">
        <is>
          <t>turret_gun_120</t>
        </is>
      </c>
      <c r="C252" t="inlineStr">
        <is>
          <t>khe_mot_nong_mot_vien</t>
        </is>
      </c>
      <c r="D252" t="inlineStr">
        <is>
          <t>s</t>
        </is>
      </c>
      <c r="E252" t="n">
        <v>4.113996429</v>
      </c>
      <c r="F252">
        <f>60/INDEX(Vu_khi!$BB$2:$BB$360,MATCH($B$252,Vu_khi!$A$2:$A$360,0))/IF(INDEX(Vu_khi!$BD$2:$BD$360,MATCH($B$252,Vu_khi!$A$2:$A$360,0))="gun",0.7,1)</f>
        <v/>
      </c>
      <c r="G252">
        <f>$E$252/$F$252</f>
        <v/>
      </c>
      <c r="H252" t="n">
        <v>0.6</v>
      </c>
      <c r="I252" t="n">
        <v>2</v>
      </c>
      <c r="J252" t="b">
        <v>0</v>
      </c>
      <c r="K252" t="inlineStr"/>
      <c r="L252">
        <f>IF(ISNUMBER($H$252),AND(NOT($J$252),OR($G$252&lt;$H$252,$G$252&gt;$I$252)),FALSE)</f>
        <v/>
      </c>
      <c r="M252" t="inlineStr">
        <is>
          <t>TC0069</t>
        </is>
      </c>
      <c r="N252" t="inlineStr">
        <is>
          <t>R_balance;R_full_weapon_audit;W_wikipedia_rheinmetall_120_mm_gun;R_machine_brigade_can_bang</t>
        </is>
      </c>
      <c r="O25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2" t="inlineStr">
        <is>
          <t>Tools/balance/full_weapon_audit.py (bảng REAL) và 01_chien_dau/Vu_khi_suy_ra</t>
        </is>
      </c>
      <c r="Q252" t="inlineStr"/>
    </row>
    <row r="253">
      <c r="A253" t="inlineStr">
        <is>
          <t>turret_gun_120_auto/nhip</t>
        </is>
      </c>
      <c r="B253" t="inlineStr">
        <is>
          <t>turret_gun_120_auto</t>
        </is>
      </c>
      <c r="C253" t="inlineStr">
        <is>
          <t>khe_mot_nong_mot_vien</t>
        </is>
      </c>
      <c r="D253" t="inlineStr">
        <is>
          <t>s</t>
        </is>
      </c>
      <c r="E253" t="n">
        <v>3.614003571</v>
      </c>
      <c r="F253">
        <f>60/INDEX(Vu_khi!$BB$2:$BB$360,MATCH($B$253,Vu_khi!$A$2:$A$360,0))/IF(INDEX(Vu_khi!$BD$2:$BD$360,MATCH($B$253,Vu_khi!$A$2:$A$360,0))="gun",0.7,1)</f>
        <v/>
      </c>
      <c r="G253">
        <f>$E$253/$F$253</f>
        <v/>
      </c>
      <c r="H253" t="n">
        <v>0.6</v>
      </c>
      <c r="I253" t="n">
        <v>2</v>
      </c>
      <c r="J253" t="b">
        <v>0</v>
      </c>
      <c r="K253" t="inlineStr"/>
      <c r="L253">
        <f>IF(ISNUMBER($H$253),AND(NOT($J$253),OR($G$253&lt;$H$253,$G$253&gt;$I$253)),FALSE)</f>
        <v/>
      </c>
      <c r="M253" t="inlineStr">
        <is>
          <t>TC0070</t>
        </is>
      </c>
      <c r="N253" t="inlineStr">
        <is>
          <t>R_balance;R_full_weapon_audit;W_wikipedia_rheinmetall_120_mm_gun;R_machine_brigade_can_bang</t>
        </is>
      </c>
      <c r="O253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3" t="inlineStr">
        <is>
          <t>Tools/balance/full_weapon_audit.py (bảng REAL) và 01_chien_dau/Vu_khi_suy_ra</t>
        </is>
      </c>
      <c r="Q253" t="inlineStr"/>
    </row>
    <row r="254">
      <c r="A254" t="inlineStr">
        <is>
          <t>turret_gun_120_long/nhip</t>
        </is>
      </c>
      <c r="B254" t="inlineStr">
        <is>
          <t>turret_gun_120_long</t>
        </is>
      </c>
      <c r="C254" t="inlineStr">
        <is>
          <t>khe_mot_nong_mot_vien</t>
        </is>
      </c>
      <c r="D254" t="inlineStr">
        <is>
          <t>s</t>
        </is>
      </c>
      <c r="E254" t="n">
        <v>5.571</v>
      </c>
      <c r="F254">
        <f>60/INDEX(Vu_khi!$BB$2:$BB$360,MATCH($B$254,Vu_khi!$A$2:$A$360,0))/IF(INDEX(Vu_khi!$BD$2:$BD$360,MATCH($B$254,Vu_khi!$A$2:$A$360,0))="gun",0.7,1)</f>
        <v/>
      </c>
      <c r="G254">
        <f>$E$254/$F$254</f>
        <v/>
      </c>
      <c r="H254" t="n">
        <v>0.6</v>
      </c>
      <c r="I254" t="n">
        <v>2</v>
      </c>
      <c r="J254" t="b">
        <v>0</v>
      </c>
      <c r="K254" t="inlineStr"/>
      <c r="L254">
        <f>IF(ISNUMBER($H$254),AND(NOT($J$254),OR($G$254&lt;$H$254,$G$254&gt;$I$254)),FALSE)</f>
        <v/>
      </c>
      <c r="M254" t="inlineStr">
        <is>
          <t>TC0071</t>
        </is>
      </c>
      <c r="N254" t="inlineStr">
        <is>
          <t>R_balance;R_full_weapon_audit;W_wikipedia_rheinmetall_120_mm_gun;R_machine_brigade_can_bang</t>
        </is>
      </c>
      <c r="O254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4" t="inlineStr">
        <is>
          <t>Tools/balance/full_weapon_audit.py (bảng REAL) và 01_chien_dau/Vu_khi_suy_ra</t>
        </is>
      </c>
      <c r="Q254" t="inlineStr"/>
    </row>
    <row r="255">
      <c r="A255" t="inlineStr">
        <is>
          <t>turret_rockets/nhip</t>
        </is>
      </c>
      <c r="B255" t="inlineStr">
        <is>
          <t>turret_rockets</t>
        </is>
      </c>
      <c r="C255" t="inlineStr">
        <is>
          <t>khe_mot_nong_mot_vien</t>
        </is>
      </c>
      <c r="D255" t="inlineStr">
        <is>
          <t>s</t>
        </is>
      </c>
      <c r="E255" t="n">
        <v>0.5</v>
      </c>
      <c r="F255">
        <f>60/INDEX(Vu_khi!$BB$2:$BB$360,MATCH($B$255,Vu_khi!$A$2:$A$360,0))/IF(INDEX(Vu_khi!$BD$2:$BD$360,MATCH($B$255,Vu_khi!$A$2:$A$360,0))="gun",0.7,1)</f>
        <v/>
      </c>
      <c r="G255">
        <f>$E$255/$F$255</f>
        <v/>
      </c>
      <c r="H255" t="n">
        <v>0.6</v>
      </c>
      <c r="I255" t="n">
        <v>2</v>
      </c>
      <c r="J255" t="b">
        <v>0</v>
      </c>
      <c r="K255" t="inlineStr"/>
      <c r="L255">
        <f>IF(ISNUMBER($H$255),AND(NOT($J$255),OR($G$255&lt;$H$255,$G$255&gt;$I$255)),FALSE)</f>
        <v/>
      </c>
      <c r="M255" t="inlineStr"/>
      <c r="N255" t="inlineStr">
        <is>
          <t>R_balance;R_full_weapon_audit;W_wikipedia_bm_21_grad;R_machine_brigade_can_bang</t>
        </is>
      </c>
      <c r="O255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5" t="inlineStr">
        <is>
          <t>Tools/balance/full_weapon_audit.py (bảng REAL) và 01_chien_dau/Vu_khi_suy_ra</t>
        </is>
      </c>
      <c r="Q255" t="inlineStr"/>
    </row>
    <row r="256">
      <c r="A256" t="inlineStr">
        <is>
          <t>turret_rockets_cluster/nhip</t>
        </is>
      </c>
      <c r="B256" t="inlineStr">
        <is>
          <t>turret_rockets_cluster</t>
        </is>
      </c>
      <c r="C256" t="inlineStr">
        <is>
          <t>khe_mot_nong_mot_vien</t>
        </is>
      </c>
      <c r="D256" t="inlineStr">
        <is>
          <t>s</t>
        </is>
      </c>
      <c r="E256" t="n">
        <v>0.5</v>
      </c>
      <c r="F256">
        <f>60/INDEX(Vu_khi!$BB$2:$BB$360,MATCH($B$256,Vu_khi!$A$2:$A$360,0))/IF(INDEX(Vu_khi!$BD$2:$BD$360,MATCH($B$256,Vu_khi!$A$2:$A$360,0))="gun",0.7,1)</f>
        <v/>
      </c>
      <c r="G256">
        <f>$E$256/$F$256</f>
        <v/>
      </c>
      <c r="H256" t="n">
        <v>0.6</v>
      </c>
      <c r="I256" t="n">
        <v>2</v>
      </c>
      <c r="J256" t="b">
        <v>0</v>
      </c>
      <c r="K256" t="inlineStr"/>
      <c r="L256">
        <f>IF(ISNUMBER($H$256),AND(NOT($J$256),OR($G$256&lt;$H$256,$G$256&gt;$I$256)),FALSE)</f>
        <v/>
      </c>
      <c r="M256" t="inlineStr"/>
      <c r="N256" t="inlineStr">
        <is>
          <t>R_balance;R_full_weapon_audit;W_wikipedia_bm_21_grad;R_machine_brigade_can_bang</t>
        </is>
      </c>
      <c r="O256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6" t="inlineStr">
        <is>
          <t>Tools/balance/full_weapon_audit.py (bảng REAL) và 01_chien_dau/Vu_khi_suy_ra</t>
        </is>
      </c>
      <c r="Q256" t="inlineStr"/>
    </row>
    <row r="257">
      <c r="A257" t="inlineStr">
        <is>
          <t>turret_thermobaric/nhip</t>
        </is>
      </c>
      <c r="B257" t="inlineStr">
        <is>
          <t>turret_thermobaric</t>
        </is>
      </c>
      <c r="C257" t="inlineStr">
        <is>
          <t>khe_mot_nong_mot_vien</t>
        </is>
      </c>
      <c r="D257" t="inlineStr">
        <is>
          <t>s</t>
        </is>
      </c>
      <c r="E257" t="n">
        <v>0.12</v>
      </c>
      <c r="F257">
        <f>60/INDEX(Vu_khi!$BB$2:$BB$360,MATCH($B$257,Vu_khi!$A$2:$A$360,0))/IF(INDEX(Vu_khi!$BD$2:$BD$360,MATCH($B$257,Vu_khi!$A$2:$A$360,0))="gun",0.7,1)</f>
        <v/>
      </c>
      <c r="G257">
        <f>$E$257/$F$257</f>
        <v/>
      </c>
      <c r="H257" t="n">
        <v>0.6</v>
      </c>
      <c r="I257" t="n">
        <v>2</v>
      </c>
      <c r="J257" t="b">
        <v>0</v>
      </c>
      <c r="K257" t="inlineStr"/>
      <c r="L257">
        <f>IF(ISNUMBER($H$257),AND(NOT($J$257),OR($G$257&lt;$H$257,$G$257&gt;$I$257)),FALSE)</f>
        <v/>
      </c>
      <c r="M257" t="inlineStr">
        <is>
          <t>TC0072</t>
        </is>
      </c>
      <c r="N257" t="inlineStr">
        <is>
          <t>R_balance;R_full_weapon_audit;W_wikipedia_bm_21_grad</t>
        </is>
      </c>
      <c r="O257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7" t="inlineStr">
        <is>
          <t>Tools/balance/full_weapon_audit.py (bảng REAL) và 01_chien_dau/Vu_khi_suy_ra</t>
        </is>
      </c>
      <c r="Q257" t="inlineStr"/>
    </row>
    <row r="258">
      <c r="A258" t="inlineStr">
        <is>
          <t>twin_30_bmpt/nhip</t>
        </is>
      </c>
      <c r="B258" t="inlineStr">
        <is>
          <t>twin_30_bmpt</t>
        </is>
      </c>
      <c r="C258" t="inlineStr">
        <is>
          <t>khe_mot_nong_mot_vien</t>
        </is>
      </c>
      <c r="D258" t="inlineStr">
        <is>
          <t>s</t>
        </is>
      </c>
      <c r="E258" t="n">
        <v>0.416600025</v>
      </c>
      <c r="F258">
        <f>60/INDEX(Vu_khi!$BB$2:$BB$360,MATCH($B$258,Vu_khi!$A$2:$A$360,0))/IF(INDEX(Vu_khi!$BD$2:$BD$360,MATCH($B$258,Vu_khi!$A$2:$A$360,0))="gun",0.7,1)</f>
        <v/>
      </c>
      <c r="G258">
        <f>$E$258/$F$258</f>
        <v/>
      </c>
      <c r="H258" t="n">
        <v>0.6</v>
      </c>
      <c r="I258" t="n">
        <v>2</v>
      </c>
      <c r="J258" t="b">
        <v>0</v>
      </c>
      <c r="K258" t="inlineStr"/>
      <c r="L258">
        <f>IF(ISNUMBER($H$258),AND(NOT($J$258),OR($G$258&lt;$H$258,$G$258&gt;$I$258)),FALSE)</f>
        <v/>
      </c>
      <c r="M258" t="inlineStr">
        <is>
          <t>TC0073</t>
        </is>
      </c>
      <c r="N258" t="inlineStr">
        <is>
          <t>R_balance;R_full_weapon_audit;W_wikipedia_2a42;R_machine_brigade_can_bang</t>
        </is>
      </c>
      <c r="O258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8" t="inlineStr">
        <is>
          <t>Tools/balance/full_weapon_audit.py (bảng REAL) và 01_chien_dau/Vu_khi_suy_ra</t>
        </is>
      </c>
      <c r="Q258" t="inlineStr"/>
    </row>
    <row r="259">
      <c r="A259" t="inlineStr">
        <is>
          <t>twin_30_flak/nhip</t>
        </is>
      </c>
      <c r="B259" t="inlineStr">
        <is>
          <t>twin_30_flak</t>
        </is>
      </c>
      <c r="C259" t="inlineStr">
        <is>
          <t>khe_mot_nong_mot_vien</t>
        </is>
      </c>
      <c r="D259" t="inlineStr">
        <is>
          <t>s</t>
        </is>
      </c>
      <c r="E259" t="n">
        <v>0.087499992</v>
      </c>
      <c r="F259">
        <f>60/INDEX(Vu_khi!$BB$2:$BB$360,MATCH($B$259,Vu_khi!$A$2:$A$360,0))/IF(INDEX(Vu_khi!$BD$2:$BD$360,MATCH($B$259,Vu_khi!$A$2:$A$360,0))="gun",0.7,1)</f>
        <v/>
      </c>
      <c r="G259">
        <f>$E$259/$F$259</f>
        <v/>
      </c>
      <c r="H259" t="n">
        <v>0.6</v>
      </c>
      <c r="I259" t="n">
        <v>2</v>
      </c>
      <c r="J259" t="b">
        <v>1</v>
      </c>
      <c r="K259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59">
        <f>IF(ISNUMBER($H$259),AND(NOT($J$259),OR($G$259&lt;$H$259,$G$259&gt;$I$259)),FALSE)</f>
        <v/>
      </c>
      <c r="M259" t="inlineStr"/>
      <c r="N259" t="inlineStr">
        <is>
          <t>R_balance;R_full_weapon_audit;W_wikipedia_2a38;R_machine_brigade_can_bang</t>
        </is>
      </c>
      <c r="O259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59" t="inlineStr">
        <is>
          <t>Tools/balance/full_weapon_audit.py (bảng REAL) và 01_chien_dau/Vu_khi_suy_ra</t>
        </is>
      </c>
      <c r="Q259" t="inlineStr"/>
    </row>
    <row r="260">
      <c r="A260" t="inlineStr">
        <is>
          <t>twin_35_ahead/nhip</t>
        </is>
      </c>
      <c r="B260" t="inlineStr">
        <is>
          <t>twin_35_ahead</t>
        </is>
      </c>
      <c r="C260" t="inlineStr">
        <is>
          <t>khe_mot_nong_mot_vien</t>
        </is>
      </c>
      <c r="D260" t="inlineStr">
        <is>
          <t>s</t>
        </is>
      </c>
      <c r="E260" t="n">
        <v>0.25536666</v>
      </c>
      <c r="F260">
        <f>60/INDEX(Vu_khi!$BB$2:$BB$360,MATCH($B$260,Vu_khi!$A$2:$A$360,0))/IF(INDEX(Vu_khi!$BD$2:$BD$360,MATCH($B$260,Vu_khi!$A$2:$A$360,0))="gun",0.7,1)</f>
        <v/>
      </c>
      <c r="G260">
        <f>$E$260/$F$260</f>
        <v/>
      </c>
      <c r="H260" t="n">
        <v>0.6</v>
      </c>
      <c r="I260" t="n">
        <v>2</v>
      </c>
      <c r="J260" t="b">
        <v>1</v>
      </c>
      <c r="K260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60">
        <f>IF(ISNUMBER($H$260),AND(NOT($J$260),OR($G$260&lt;$H$260,$G$260&gt;$I$260)),FALSE)</f>
        <v/>
      </c>
      <c r="M260" t="inlineStr"/>
      <c r="N260" t="inlineStr">
        <is>
          <t>R_balance;R_full_weapon_audit;D_rheinmetall_skyranger_30_35;R_machine_brigade_can_bang</t>
        </is>
      </c>
      <c r="O260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60" t="inlineStr">
        <is>
          <t>Tools/balance/full_weapon_audit.py (bảng REAL) và 01_chien_dau/Vu_khi_suy_ra</t>
        </is>
      </c>
      <c r="Q260" t="inlineStr"/>
    </row>
    <row r="261">
      <c r="A261" t="inlineStr">
        <is>
          <t>vikhr/sat_thuong</t>
        </is>
      </c>
      <c r="B261" t="inlineStr">
        <is>
          <t>vikhr</t>
        </is>
      </c>
      <c r="C261" t="inlineStr">
        <is>
          <t>sat_thuong_tren_kg_dau_dan</t>
        </is>
      </c>
      <c r="D261" t="inlineStr">
        <is>
          <t>hp/kg</t>
        </is>
      </c>
      <c r="E261">
        <f>INDEX(Vu_khi!$W$2:$W$360,MATCH($B$261,Vu_khi!$A$2:$A$360,0))</f>
        <v/>
      </c>
      <c r="F261">
        <f>INDEX(Vu_khi_tham_chieu!$AB$2:$AB$360,MATCH($B$261,Vu_khi_tham_chieu!$A$2:$A$360,0))</f>
        <v/>
      </c>
      <c r="G261">
        <f>$E$261/$F$261</f>
        <v/>
      </c>
      <c r="H261" t="inlineStr"/>
      <c r="I261" t="inlineStr"/>
      <c r="J261" t="b">
        <v>0</v>
      </c>
      <c r="K261" t="inlineStr"/>
      <c r="L261">
        <f>IF(ISNUMBER($H$261),AND(NOT($J$261),OR($G$261&lt;$H$261,$G$261&gt;$I$261)),FALSE)</f>
        <v/>
      </c>
      <c r="M261" t="inlineStr"/>
      <c r="N261" t="inlineStr">
        <is>
          <t>R_full_weapon_audit</t>
        </is>
      </c>
      <c r="O261" t="inlineStr">
        <is>
          <t>sát thương một phát / khối lượng đầu đạn (không bắt buộc 1:1, chỉ ghi ty_le)</t>
        </is>
      </c>
      <c r="P261" t="inlineStr">
        <is>
          <t>Tools/balance/full_weapon_audit.py WARHEAD</t>
        </is>
      </c>
      <c r="Q261" t="inlineStr"/>
    </row>
    <row r="262">
      <c r="A262" t="inlineStr">
        <is>
          <t>zu23/nhip</t>
        </is>
      </c>
      <c r="B262" t="inlineStr">
        <is>
          <t>zu23</t>
        </is>
      </c>
      <c r="C262" t="inlineStr">
        <is>
          <t>khe_mot_nong_mot_vien</t>
        </is>
      </c>
      <c r="D262" t="inlineStr">
        <is>
          <t>s</t>
        </is>
      </c>
      <c r="E262" t="n">
        <v>0.10000002</v>
      </c>
      <c r="F262">
        <f>60/INDEX(Vu_khi!$BB$2:$BB$360,MATCH($B$262,Vu_khi!$A$2:$A$360,0))/IF(INDEX(Vu_khi!$BD$2:$BD$360,MATCH($B$262,Vu_khi!$A$2:$A$360,0))="gun",0.7,1)</f>
        <v/>
      </c>
      <c r="G262">
        <f>$E$262/$F$262</f>
        <v/>
      </c>
      <c r="H262" t="n">
        <v>0.6</v>
      </c>
      <c r="I262" t="n">
        <v>2</v>
      </c>
      <c r="J262" t="b">
        <v>0</v>
      </c>
      <c r="K262" t="inlineStr"/>
      <c r="L262">
        <f>IF(ISNUMBER($H$262),AND(NOT($J$262),OR($G$262&lt;$H$262,$G$262&gt;$I$262)),FALSE)</f>
        <v/>
      </c>
      <c r="M262" t="inlineStr"/>
      <c r="N262" t="inlineStr">
        <is>
          <t>R_balance;R_full_weapon_audit;W_wikipedia_zu_23_2;R_machine_brigade_can_bang</t>
        </is>
      </c>
      <c r="O262" t="inlineStr">
        <is>
          <t>game: chu kỳ × số nòng / số viên của bản kiểm L1 (rốc-két, đồ treo: khoảng trong loạt); thật: 60 / nhịp tối đa (súng: chia 0,7, luật chậm hơn 30 %); ty_le = Vu_khi_suy_ra.ty_le_chu_ky_so_voi_ngoai_doi</t>
        </is>
      </c>
      <c r="P262" t="inlineStr">
        <is>
          <t>Tools/balance/full_weapon_audit.py (bảng REAL) và 01_chien_dau/Vu_khi_suy_ra</t>
        </is>
      </c>
      <c r="Q262" t="inlineStr"/>
    </row>
  </sheetData>
  <autoFilter ref="A1:Q26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36" customWidth="1" min="3" max="3"/>
    <col width="39" customWidth="1" min="4" max="4"/>
    <col width="20" customWidth="1" min="5" max="5"/>
    <col width="11" customWidth="1" min="6" max="6"/>
    <col width="10" customWidth="1" min="7" max="7"/>
    <col width="12" customWidth="1" min="8" max="8"/>
    <col width="9" customWidth="1" min="9" max="9"/>
    <col width="8" customWidth="1" min="10" max="10"/>
    <col width="19" customWidth="1" min="11" max="11"/>
    <col width="12" customWidth="1" min="12" max="12"/>
    <col width="11" customWidth="1" min="13" max="13"/>
    <col width="10" customWidth="1" min="14" max="14"/>
    <col width="10" customWidth="1" min="15" max="15"/>
    <col width="12" customWidth="1" min="16" max="16"/>
    <col width="12" customWidth="1" min="17" max="17"/>
    <col width="17" customWidth="1" min="18" max="18"/>
    <col width="17" customWidth="1" min="19" max="19"/>
    <col width="12" customWidth="1" min="20" max="20"/>
    <col width="12" customWidth="1" min="21" max="21"/>
    <col width="8" customWidth="1" min="22" max="22"/>
    <col width="8" customWidth="1" min="23" max="23"/>
    <col width="8" customWidth="1" min="24" max="24"/>
    <col width="10" customWidth="1" min="25" max="25"/>
    <col width="10" customWidth="1" min="26" max="26"/>
    <col width="14" customWidth="1" min="27" max="27"/>
    <col width="14" customWidth="1" min="28" max="28"/>
    <col width="10" customWidth="1" min="29" max="29"/>
    <col width="21" customWidth="1" min="30" max="30"/>
    <col width="22" customWidth="1" min="31" max="31"/>
    <col width="58" customWidth="1" min="32" max="32"/>
    <col width="27" customWidth="1" min="33" max="33"/>
    <col width="8" customWidth="1" min="34" max="34"/>
    <col width="14" customWidth="1" min="35" max="35"/>
    <col width="13" customWidth="1" min="36" max="36"/>
    <col width="30" customWidth="1" min="37" max="37"/>
    <col width="16" customWidth="1" min="38" max="38"/>
    <col width="15" customWidth="1" min="39" max="39"/>
    <col width="13" customWidth="1" min="40" max="40"/>
    <col width="14" customWidth="1" min="41" max="41"/>
    <col width="12" customWidth="1" min="42" max="42"/>
    <col width="18" customWidth="1" min="43" max="43"/>
    <col width="16" customWidth="1" min="44" max="44"/>
    <col width="17" customWidth="1" min="45" max="45"/>
    <col width="15" customWidth="1" min="46" max="46"/>
    <col width="16" customWidth="1" min="47" max="47"/>
    <col width="14" customWidth="1" min="48" max="48"/>
    <col width="16" customWidth="1" min="49" max="49"/>
    <col width="14" customWidth="1" min="50" max="50"/>
    <col width="18" customWidth="1" min="51" max="51"/>
    <col width="16" customWidth="1" min="52" max="52"/>
    <col width="18" customWidth="1" min="53" max="53"/>
    <col width="16" customWidth="1" min="54" max="54"/>
    <col width="20" customWidth="1" min="55" max="55"/>
    <col width="18" customWidth="1" min="56" max="56"/>
    <col width="18" customWidth="1" min="57" max="57"/>
    <col width="16" customWidth="1" min="58" max="58"/>
    <col width="27" customWidth="1" min="59" max="59"/>
    <col width="25" customWidth="1" min="60" max="60"/>
    <col width="13" customWidth="1" min="61" max="61"/>
    <col width="10" customWidth="1" min="62" max="62"/>
    <col width="18" customWidth="1" min="63" max="63"/>
    <col width="24" customWidth="1" min="64" max="64"/>
    <col width="16" customWidth="1" min="65" max="65"/>
    <col width="52" customWidth="1" min="66" max="66"/>
    <col width="20" customWidth="1" min="67" max="67"/>
    <col width="16" customWidth="1" min="68" max="68"/>
    <col width="18" customWidth="1" min="69" max="69"/>
    <col width="12" customWidth="1" min="70" max="70"/>
    <col width="8" customWidth="1" min="71" max="71"/>
    <col width="14" customWidth="1" min="72" max="72"/>
    <col width="13" customWidth="1" min="73" max="73"/>
    <col width="13" customWidth="1" min="74" max="74"/>
    <col width="12" customWidth="1" min="75" max="75"/>
    <col width="15" customWidth="1" min="76" max="76"/>
    <col width="10" customWidth="1" min="77" max="77"/>
    <col width="14" customWidth="1" min="78" max="78"/>
    <col width="8" customWidth="1" min="79" max="79"/>
    <col width="11" customWidth="1" min="80" max="80"/>
    <col width="11" customWidth="1" min="81" max="81"/>
    <col width="24" customWidth="1" min="82" max="82"/>
    <col width="23" customWidth="1" min="83" max="83"/>
    <col width="8" customWidth="1" min="84" max="84"/>
    <col width="14" customWidth="1" min="85" max="85"/>
    <col width="24" customWidth="1" min="86" max="86"/>
    <col width="25" customWidth="1" min="87" max="87"/>
    <col width="26" customWidth="1" min="88" max="88"/>
    <col width="22" customWidth="1" min="89" max="89"/>
    <col width="16" customWidth="1" min="90" max="90"/>
    <col width="14" customWidth="1" min="91" max="91"/>
    <col width="16" customWidth="1" min="92" max="92"/>
    <col width="18" customWidth="1" min="93" max="93"/>
    <col width="14" customWidth="1" min="94" max="94"/>
    <col width="19" customWidth="1" min="95" max="95"/>
    <col width="9" customWidth="1" min="96" max="96"/>
    <col width="15" customWidth="1" min="97" max="97"/>
    <col width="17" customWidth="1" min="98" max="98"/>
    <col width="8" customWidth="1" min="99" max="99"/>
    <col width="14" customWidth="1" min="100" max="100"/>
    <col width="8" customWidth="1" min="101" max="101"/>
    <col width="18" customWidth="1" min="102" max="102"/>
    <col width="15" customWidth="1" min="103" max="103"/>
    <col width="20" customWidth="1" min="104" max="104"/>
    <col width="12" customWidth="1" min="105" max="105"/>
    <col width="8" customWidth="1" min="106" max="106"/>
    <col width="14" customWidth="1" min="107" max="107"/>
    <col width="8" customWidth="1" min="108" max="108"/>
    <col width="12" customWidth="1" min="109" max="109"/>
    <col width="13" customWidth="1" min="110" max="110"/>
    <col width="8" customWidth="1" min="111" max="111"/>
    <col width="10" customWidth="1" min="112" max="112"/>
    <col width="10" customWidth="1" min="113" max="113"/>
    <col width="18" customWidth="1" min="114" max="114"/>
    <col width="13" customWidth="1" min="115" max="115"/>
    <col width="17" customWidth="1" min="116" max="116"/>
    <col width="10" customWidth="1" min="117" max="117"/>
    <col width="11" customWidth="1" min="118" max="118"/>
    <col width="8" customWidth="1" min="119" max="119"/>
    <col width="15" customWidth="1" min="120" max="120"/>
    <col width="14" customWidth="1" min="121" max="121"/>
    <col width="12" customWidth="1" min="122" max="122"/>
    <col width="12" customWidth="1" min="123" max="123"/>
    <col width="14" customWidth="1" min="124" max="124"/>
    <col width="18" customWidth="1" min="125" max="125"/>
    <col width="11" customWidth="1" min="126" max="126"/>
    <col width="16" customWidth="1" min="127" max="127"/>
    <col width="12" customWidth="1" min="128" max="128"/>
    <col width="15" customWidth="1" min="129" max="129"/>
    <col width="30" customWidth="1" min="130" max="130"/>
    <col width="21" customWidth="1" min="131" max="131"/>
    <col width="21" customWidth="1" min="132" max="132"/>
    <col width="20" customWidth="1" min="133" max="133"/>
    <col width="18" customWidth="1" min="134" max="134"/>
    <col width="17" customWidth="1" min="135" max="135"/>
    <col width="14" customWidth="1" min="136" max="136"/>
    <col width="12" customWidth="1" min="137" max="137"/>
    <col width="15" customWidth="1" min="138" max="138"/>
    <col width="8" customWidth="1" min="139" max="139"/>
    <col width="16" customWidth="1" min="140" max="140"/>
    <col width="22" customWidth="1" min="141" max="141"/>
    <col width="10" customWidth="1" min="142" max="142"/>
    <col width="16" customWidth="1" min="143" max="143"/>
    <col width="12" customWidth="1" min="144" max="144"/>
    <col width="14" customWidth="1" min="145" max="145"/>
    <col width="17" customWidth="1" min="146" max="146"/>
    <col width="13" customWidth="1" min="147" max="147"/>
    <col width="8" customWidth="1" min="148" max="148"/>
    <col width="11" customWidth="1" min="149" max="149"/>
    <col width="11" customWidth="1" min="150" max="150"/>
    <col width="13" customWidth="1" min="151" max="151"/>
    <col width="8" customWidth="1" min="152" max="152"/>
    <col width="11" customWidth="1" min="153" max="153"/>
    <col width="20" customWidth="1" min="154" max="154"/>
    <col width="27" customWidth="1" min="155" max="155"/>
    <col width="11" customWidth="1" min="156" max="156"/>
    <col width="12" customWidth="1" min="157" max="157"/>
    <col width="9" customWidth="1" min="158" max="158"/>
    <col width="12" customWidth="1" min="159" max="159"/>
    <col width="12" customWidth="1" min="160" max="160"/>
    <col width="35" customWidth="1" min="161" max="161"/>
    <col width="14" customWidth="1" min="162" max="162"/>
    <col width="17" customWidth="1" min="163" max="163"/>
    <col width="24" customWidth="1" min="164" max="164"/>
    <col width="8" customWidth="1" min="165" max="165"/>
    <col width="10" customWidth="1" min="166" max="166"/>
    <col width="8" customWidth="1" min="167" max="167"/>
    <col width="22" customWidth="1" min="168" max="168"/>
    <col width="9" customWidth="1" min="169" max="169"/>
    <col width="60" customWidth="1" min="170" max="170"/>
    <col width="60" customWidth="1" min="171" max="171"/>
  </cols>
  <sheetData>
    <row r="1">
      <c r="A1" s="1" t="inlineStr">
        <is>
          <t>id</t>
        </is>
      </c>
      <c r="B1" s="1" t="inlineStr">
        <is>
          <t>loai_thuc_the</t>
        </is>
      </c>
      <c r="C1" s="1" t="inlineStr">
        <is>
          <t>ten_en</t>
        </is>
      </c>
      <c r="D1" s="1" t="inlineStr">
        <is>
          <t>ten_vi</t>
        </is>
      </c>
      <c r="E1" s="1" t="inlineStr">
        <is>
          <t>ten_ngan_vi</t>
        </is>
      </c>
      <c r="F1" s="1" t="inlineStr">
        <is>
          <t>lop</t>
        </is>
      </c>
      <c r="G1" s="1" t="inlineStr">
        <is>
          <t>nhanh</t>
        </is>
      </c>
      <c r="H1" s="1" t="inlineStr">
        <is>
          <t>ke_thua_tu</t>
        </is>
      </c>
      <c r="I1" s="1" t="inlineStr">
        <is>
          <t>base_cp</t>
        </is>
      </c>
      <c r="J1" s="1" t="inlineStr">
        <is>
          <t>mau_hp</t>
        </is>
      </c>
      <c r="K1" s="1" t="inlineStr">
        <is>
          <t>mau_trong_tran_hp</t>
        </is>
      </c>
      <c r="L1" s="1" t="inlineStr">
        <is>
          <t>giap_truoc</t>
        </is>
      </c>
      <c r="M1" s="1" t="inlineStr">
        <is>
          <t>giap_hong</t>
        </is>
      </c>
      <c r="N1" s="1" t="inlineStr">
        <is>
          <t>giap_sau</t>
        </is>
      </c>
      <c r="O1" s="1" t="inlineStr">
        <is>
          <t>giap_noc</t>
        </is>
      </c>
      <c r="P1" s="1" t="inlineStr">
        <is>
          <t>cong_trinh</t>
        </is>
      </c>
      <c r="Q1" s="1" t="inlineStr">
        <is>
          <t>toc_do_m_s</t>
        </is>
      </c>
      <c r="R1" s="1" t="inlineStr">
        <is>
          <t>xoay_than_deg_s</t>
        </is>
      </c>
      <c r="S1" s="1" t="inlineStr">
        <is>
          <t>xoay_thap_deg_s</t>
        </is>
      </c>
      <c r="T1" s="1" t="inlineStr">
        <is>
          <t>tam_nhin_m</t>
        </is>
      </c>
      <c r="U1" s="1" t="inlineStr">
        <is>
          <t>ban_kinh_m</t>
        </is>
      </c>
      <c r="V1" s="1" t="inlineStr">
        <is>
          <t>dai_m</t>
        </is>
      </c>
      <c r="W1" s="1" t="inlineStr">
        <is>
          <t>rong_m</t>
        </is>
      </c>
      <c r="X1" s="1" t="inlineStr">
        <is>
          <t>bay</t>
        </is>
      </c>
      <c r="Y1" s="1" t="inlineStr">
        <is>
          <t>do_cao_m</t>
        </is>
      </c>
      <c r="Z1" s="1" t="inlineStr">
        <is>
          <t>dung_yen</t>
        </is>
      </c>
      <c r="AA1" s="1" t="inlineStr">
        <is>
          <t>ban_khi_chay</t>
        </is>
      </c>
      <c r="AB1" s="1" t="inlineStr">
        <is>
          <t>toc_do_chiem</t>
        </is>
      </c>
      <c r="AC1" s="1" t="inlineStr">
        <is>
          <t>tha_du_s</t>
        </is>
      </c>
      <c r="AD1" s="1" t="inlineStr">
        <is>
          <t>he_so_sat_thuong_ra</t>
        </is>
      </c>
      <c r="AE1" s="1" t="inlineStr">
        <is>
          <t>vu_khi_chinh</t>
        </is>
      </c>
      <c r="AF1" s="1" t="inlineStr">
        <is>
          <t>vu_khi_phu</t>
        </is>
      </c>
      <c r="AG1" s="1" t="inlineStr">
        <is>
          <t>noi_tai</t>
        </is>
      </c>
      <c r="AH1" s="1" t="inlineStr">
        <is>
          <t>tu_ve</t>
        </is>
      </c>
      <c r="AI1" s="1" t="inlineStr">
        <is>
          <t>so_lan_tu_ve</t>
        </is>
      </c>
      <c r="AJ1" s="1" t="inlineStr">
        <is>
          <t>hoi_tu_ve_s</t>
        </is>
      </c>
      <c r="AK1" s="1" t="inlineStr">
        <is>
          <t>mo_hinh</t>
        </is>
      </c>
      <c r="AL1" s="1" t="inlineStr">
        <is>
          <t>so_voi_ban_goc</t>
        </is>
      </c>
      <c r="AM1" s="1" t="inlineStr">
        <is>
          <t>base_cp_truoc</t>
        </is>
      </c>
      <c r="AN1" s="1" t="inlineStr">
        <is>
          <t>base_cp_sau</t>
        </is>
      </c>
      <c r="AO1" s="1" t="inlineStr">
        <is>
          <t>mau_hp_truoc</t>
        </is>
      </c>
      <c r="AP1" s="1" t="inlineStr">
        <is>
          <t>mau_hp_sau</t>
        </is>
      </c>
      <c r="AQ1" s="1" t="inlineStr">
        <is>
          <t>giap_truoc_truoc</t>
        </is>
      </c>
      <c r="AR1" s="1" t="inlineStr">
        <is>
          <t>giap_truoc_sau</t>
        </is>
      </c>
      <c r="AS1" s="1" t="inlineStr">
        <is>
          <t>giap_hong_truoc</t>
        </is>
      </c>
      <c r="AT1" s="1" t="inlineStr">
        <is>
          <t>giap_hong_sau</t>
        </is>
      </c>
      <c r="AU1" s="1" t="inlineStr">
        <is>
          <t>giap_sau_truoc</t>
        </is>
      </c>
      <c r="AV1" s="1" t="inlineStr">
        <is>
          <t>giap_sau_sau</t>
        </is>
      </c>
      <c r="AW1" s="1" t="inlineStr">
        <is>
          <t>giap_noc_truoc</t>
        </is>
      </c>
      <c r="AX1" s="1" t="inlineStr">
        <is>
          <t>giap_noc_sau</t>
        </is>
      </c>
      <c r="AY1" s="1" t="inlineStr">
        <is>
          <t>toc_do_m_s_truoc</t>
        </is>
      </c>
      <c r="AZ1" s="1" t="inlineStr">
        <is>
          <t>toc_do_m_s_sau</t>
        </is>
      </c>
      <c r="BA1" s="1" t="inlineStr">
        <is>
          <t>tam_nhin_m_truoc</t>
        </is>
      </c>
      <c r="BB1" s="1" t="inlineStr">
        <is>
          <t>tam_nhin_m_sau</t>
        </is>
      </c>
      <c r="BC1" s="1" t="inlineStr">
        <is>
          <t>vu_khi_chinh_truoc</t>
        </is>
      </c>
      <c r="BD1" s="1" t="inlineStr">
        <is>
          <t>vu_khi_chinh_sau</t>
        </is>
      </c>
      <c r="BE1" s="1" t="inlineStr">
        <is>
          <t>vu_khi_phu_truoc</t>
        </is>
      </c>
      <c r="BF1" s="1" t="inlineStr">
        <is>
          <t>vu_khi_phu_sau</t>
        </is>
      </c>
      <c r="BG1" s="1" t="inlineStr">
        <is>
          <t>he_so_sat_thuong_ra_truoc</t>
        </is>
      </c>
      <c r="BH1" s="1" t="inlineStr">
        <is>
          <t>he_so_sat_thuong_ra_sau</t>
        </is>
      </c>
      <c r="BI1" s="1" t="inlineStr">
        <is>
          <t>gia_quan_cp</t>
        </is>
      </c>
      <c r="BJ1" s="1" t="inlineStr">
        <is>
          <t>nhom_gia</t>
        </is>
      </c>
      <c r="BK1" s="1" t="inlineStr">
        <is>
          <t>tinh_nhue_cua</t>
        </is>
      </c>
      <c r="BL1" s="1" t="inlineStr">
        <is>
          <t>ban_tinh_nhue</t>
        </is>
      </c>
      <c r="BM1" s="1" t="inlineStr">
        <is>
          <t>vai_tro_mo_man</t>
        </is>
      </c>
      <c r="BN1" s="1" t="inlineStr">
        <is>
          <t>mo_khoa</t>
        </is>
      </c>
      <c r="BO1" s="1" t="inlineStr">
        <is>
          <t>air_rearm_radius_m</t>
        </is>
      </c>
      <c r="BP1" s="1" t="inlineStr">
        <is>
          <t>air_rearm_rate</t>
        </is>
      </c>
      <c r="BQ1" s="1" t="inlineStr">
        <is>
          <t>alt_models</t>
        </is>
      </c>
      <c r="BR1" s="1" t="inlineStr">
        <is>
          <t>altitude_m</t>
        </is>
      </c>
      <c r="BS1" s="1" t="inlineStr">
        <is>
          <t>armour</t>
        </is>
      </c>
      <c r="BT1" s="1" t="inlineStr">
        <is>
          <t>armour_front</t>
        </is>
      </c>
      <c r="BU1" s="1" t="inlineStr">
        <is>
          <t>armour_rear</t>
        </is>
      </c>
      <c r="BV1" s="1" t="inlineStr">
        <is>
          <t>armour_side</t>
        </is>
      </c>
      <c r="BW1" s="1" t="inlineStr">
        <is>
          <t>armour_top</t>
        </is>
      </c>
      <c r="BX1" s="1" t="inlineStr">
        <is>
          <t>attack_hold_s</t>
        </is>
      </c>
      <c r="BY1" s="1" t="inlineStr">
        <is>
          <t>breacher</t>
        </is>
      </c>
      <c r="BZ1" s="1" t="inlineStr">
        <is>
          <t>capture_rate</t>
        </is>
      </c>
      <c r="CA1" s="1" t="inlineStr">
        <is>
          <t>card</t>
        </is>
      </c>
      <c r="CB1" s="1" t="inlineStr">
        <is>
          <t>ceiling_m</t>
        </is>
      </c>
      <c r="CC1" s="1" t="inlineStr">
        <is>
          <t>class</t>
        </is>
      </c>
      <c r="CD1" s="1" t="inlineStr">
        <is>
          <t>command_aura_fire_rate</t>
        </is>
      </c>
      <c r="CE1" s="1" t="inlineStr">
        <is>
          <t>command_aura_radius_m</t>
        </is>
      </c>
      <c r="CF1" s="1" t="inlineStr">
        <is>
          <t>cp</t>
        </is>
      </c>
      <c r="CG1" s="1" t="inlineStr">
        <is>
          <t>damage_scale</t>
        </is>
      </c>
      <c r="CH1" s="1" t="inlineStr">
        <is>
          <t>death_explosion_damage</t>
        </is>
      </c>
      <c r="CI1" s="1" t="inlineStr">
        <is>
          <t>death_explosion_delay_s</t>
        </is>
      </c>
      <c r="CJ1" s="1" t="inlineStr">
        <is>
          <t>death_explosion_radius_m</t>
        </is>
      </c>
      <c r="CK1" s="1" t="inlineStr">
        <is>
          <t>death_explosion_tier</t>
        </is>
      </c>
      <c r="CL1" s="1" t="inlineStr">
        <is>
          <t>deploy_arc_deg</t>
        </is>
      </c>
      <c r="CM1" s="1" t="inlineStr">
        <is>
          <t>deploy_front</t>
        </is>
      </c>
      <c r="CN1" s="1" t="inlineStr">
        <is>
          <t>deploy_range_m</t>
        </is>
      </c>
      <c r="CO1" s="1" t="inlineStr">
        <is>
          <t>deploy_seconds_s</t>
        </is>
      </c>
      <c r="CP1" s="1" t="inlineStr">
        <is>
          <t>deploy_siege</t>
        </is>
      </c>
      <c r="CQ1" s="1" t="inlineStr">
        <is>
          <t>deploy_tank_mount</t>
        </is>
      </c>
      <c r="CR1" s="1" t="inlineStr">
        <is>
          <t>dome_hp</t>
        </is>
      </c>
      <c r="CS1" s="1" t="inlineStr">
        <is>
          <t>dome_radius_m</t>
        </is>
      </c>
      <c r="CT1" s="1" t="inlineStr">
        <is>
          <t>dome_recharge_s</t>
        </is>
      </c>
      <c r="CU1" s="1" t="inlineStr">
        <is>
          <t>drone</t>
        </is>
      </c>
      <c r="CV1" s="1" t="inlineStr">
        <is>
          <t>drop_delay_s</t>
        </is>
      </c>
      <c r="CW1" s="1" t="inlineStr">
        <is>
          <t>elite</t>
        </is>
      </c>
      <c r="CX1" s="1" t="inlineStr">
        <is>
          <t>elite_of</t>
        </is>
      </c>
      <c r="CY1" s="1" t="inlineStr">
        <is>
          <t>erect_seconds</t>
        </is>
      </c>
      <c r="CZ1" s="1" t="inlineStr">
        <is>
          <t>fires_while_moving</t>
        </is>
      </c>
      <c r="DA1" s="1" t="inlineStr">
        <is>
          <t>fixed_wing</t>
        </is>
      </c>
      <c r="DB1" s="1" t="inlineStr">
        <is>
          <t>flying</t>
        </is>
      </c>
      <c r="DC1" s="1" t="inlineStr">
        <is>
          <t>forward_drop</t>
        </is>
      </c>
      <c r="DD1" s="1" t="inlineStr">
        <is>
          <t>hp</t>
        </is>
      </c>
      <c r="DE1" s="1" t="inlineStr">
        <is>
          <t>inherits</t>
        </is>
      </c>
      <c r="DF1" s="1" t="inlineStr">
        <is>
          <t>interceptor</t>
        </is>
      </c>
      <c r="DG1" s="1" t="inlineStr">
        <is>
          <t>jammer</t>
        </is>
      </c>
      <c r="DH1" s="1" t="inlineStr">
        <is>
          <t>kamikaze</t>
        </is>
      </c>
      <c r="DI1" s="1" t="inlineStr">
        <is>
          <t>length_m</t>
        </is>
      </c>
      <c r="DJ1" s="1" t="inlineStr">
        <is>
          <t>loads_air_to_air</t>
        </is>
      </c>
      <c r="DK1" s="1" t="inlineStr">
        <is>
          <t>loads_jassm</t>
        </is>
      </c>
      <c r="DL1" s="1" t="inlineStr">
        <is>
          <t>loads_jet_bombs</t>
        </is>
      </c>
      <c r="DM1" s="1" t="inlineStr">
        <is>
          <t>main_aim</t>
        </is>
      </c>
      <c r="DN1" s="1" t="inlineStr">
        <is>
          <t>main_slot</t>
        </is>
      </c>
      <c r="DO1" s="1" t="inlineStr">
        <is>
          <t>mark</t>
        </is>
      </c>
      <c r="DP1" s="1" t="inlineStr">
        <is>
          <t>marked_spread</t>
        </is>
      </c>
      <c r="DQ1" s="1" t="inlineStr">
        <is>
          <t>max_per_side</t>
        </is>
      </c>
      <c r="DR1" s="1" t="inlineStr">
        <is>
          <t>mine_armor</t>
        </is>
      </c>
      <c r="DS1" s="1" t="inlineStr">
        <is>
          <t>mine_proof</t>
        </is>
      </c>
      <c r="DT1" s="1" t="inlineStr">
        <is>
          <t>mines_damage</t>
        </is>
      </c>
      <c r="DU1" s="1" t="inlineStr">
        <is>
          <t>mines_interval_s</t>
        </is>
      </c>
      <c r="DV1" s="1" t="inlineStr">
        <is>
          <t>mines_max</t>
        </is>
      </c>
      <c r="DW1" s="1" t="inlineStr">
        <is>
          <t>mines_radius_m</t>
        </is>
      </c>
      <c r="DX1" s="1" t="inlineStr">
        <is>
          <t>mines_tier</t>
        </is>
      </c>
      <c r="DY1" s="1" t="inlineStr">
        <is>
          <t>mines_trigger</t>
        </is>
      </c>
      <c r="DZ1" s="1" t="inlineStr">
        <is>
          <t>model</t>
        </is>
      </c>
      <c r="EA1" s="1" t="inlineStr">
        <is>
          <t>model_size_height_m</t>
        </is>
      </c>
      <c r="EB1" s="1" t="inlineStr">
        <is>
          <t>model_size_length_m</t>
        </is>
      </c>
      <c r="EC1" s="1" t="inlineStr">
        <is>
          <t>model_size_width_m</t>
        </is>
      </c>
      <c r="ED1" s="1" t="inlineStr">
        <is>
          <t>naval_dash_every</t>
        </is>
      </c>
      <c r="EE1" s="1" t="inlineStr">
        <is>
          <t>naval_dash_hold</t>
        </is>
      </c>
      <c r="EF1" s="1" t="inlineStr">
        <is>
          <t>naval_dash_w</t>
        </is>
      </c>
      <c r="EG1" s="1" t="inlineStr">
        <is>
          <t>naval_role</t>
        </is>
      </c>
      <c r="EH1" s="1" t="inlineStr">
        <is>
          <t>naval_station</t>
        </is>
      </c>
      <c r="EI1" s="1" t="inlineStr">
        <is>
          <t>orbit</t>
        </is>
      </c>
      <c r="EJ1" s="1" t="inlineStr">
        <is>
          <t>orbit_radius_m</t>
        </is>
      </c>
      <c r="EK1" s="1" t="inlineStr">
        <is>
          <t>outgoing_damage_mult</t>
        </is>
      </c>
      <c r="EL1" s="1" t="inlineStr">
        <is>
          <t>radius_m</t>
        </is>
      </c>
      <c r="EM1" s="1" t="inlineStr">
        <is>
          <t>rearm_radius_m</t>
        </is>
      </c>
      <c r="EN1" s="1" t="inlineStr">
        <is>
          <t>rearm_rate</t>
        </is>
      </c>
      <c r="EO1" s="1" t="inlineStr">
        <is>
          <t>rearm_time_s</t>
        </is>
      </c>
      <c r="EP1" s="1" t="inlineStr">
        <is>
          <t>repair_radius_m</t>
        </is>
      </c>
      <c r="EQ1" s="1" t="inlineStr">
        <is>
          <t>repair_rate</t>
        </is>
      </c>
      <c r="ER1" s="1" t="inlineStr">
        <is>
          <t>scale</t>
        </is>
      </c>
      <c r="ES1" s="1" t="inlineStr">
        <is>
          <t>scoot_max</t>
        </is>
      </c>
      <c r="ET1" s="1" t="inlineStr">
        <is>
          <t>scoot_min</t>
        </is>
      </c>
      <c r="EU1" s="1" t="inlineStr">
        <is>
          <t>scoot_shots</t>
        </is>
      </c>
      <c r="EV1" s="1" t="inlineStr">
        <is>
          <t>sead</t>
        </is>
      </c>
      <c r="EW1" s="1" t="inlineStr">
        <is>
          <t>secondary</t>
        </is>
      </c>
      <c r="EX1" s="1" t="inlineStr">
        <is>
          <t>side_erect_seconds</t>
        </is>
      </c>
      <c r="EY1" s="1" t="inlineStr">
        <is>
          <t>skills</t>
        </is>
      </c>
      <c r="EZ1" s="1" t="inlineStr">
        <is>
          <t>speed_m_s</t>
        </is>
      </c>
      <c r="FA1" s="1" t="inlineStr">
        <is>
          <t>standoff_m</t>
        </is>
      </c>
      <c r="FB1" s="1" t="inlineStr">
        <is>
          <t>stealth</t>
        </is>
      </c>
      <c r="FC1" s="1" t="inlineStr">
        <is>
          <t>still_camo</t>
        </is>
      </c>
      <c r="FD1" s="1" t="inlineStr">
        <is>
          <t>story_only</t>
        </is>
      </c>
      <c r="FE1" s="1" t="inlineStr">
        <is>
          <t>strong_vs</t>
        </is>
      </c>
      <c r="FF1" s="1" t="inlineStr">
        <is>
          <t>tint</t>
        </is>
      </c>
      <c r="FG1" s="1" t="inlineStr">
        <is>
          <t>turn_rate_deg_s</t>
        </is>
      </c>
      <c r="FH1" s="1" t="inlineStr">
        <is>
          <t>turret_turn_rate_deg_s</t>
        </is>
      </c>
      <c r="FI1" s="1" t="inlineStr">
        <is>
          <t>value</t>
        </is>
      </c>
      <c r="FJ1" s="1" t="inlineStr">
        <is>
          <t>vision_m</t>
        </is>
      </c>
      <c r="FK1" s="1" t="inlineStr">
        <is>
          <t>vtol</t>
        </is>
      </c>
      <c r="FL1" s="1" t="inlineStr">
        <is>
          <t>weapon</t>
        </is>
      </c>
      <c r="FM1" s="1" t="inlineStr">
        <is>
          <t>width_m</t>
        </is>
      </c>
      <c r="FN1" s="1" t="inlineStr">
        <is>
          <t>nguon</t>
        </is>
      </c>
      <c r="FO1" s="1" t="inlineStr">
        <is>
          <t>raw_json</t>
        </is>
      </c>
    </row>
    <row r="2">
      <c r="A2" t="inlineStr">
        <is>
          <t>aa_gun_vehicle</t>
        </is>
      </c>
      <c r="B2" t="inlineStr">
        <is>
          <t>xe</t>
        </is>
      </c>
      <c r="C2" t="inlineStr">
        <is>
          <t>40 mm AA gun vehicle</t>
        </is>
      </c>
      <c r="D2" t="inlineStr">
        <is>
          <t>Xe cao xạ 40 mm</t>
        </is>
      </c>
      <c r="E2" t="inlineStr">
        <is>
          <t>Cao xạ 40 mm</t>
        </is>
      </c>
      <c r="F2" t="inlineStr">
        <is>
          <t>AntiAir</t>
        </is>
      </c>
      <c r="G2" t="inlineStr">
        <is>
          <t>Light</t>
        </is>
      </c>
      <c r="H2" t="inlineStr"/>
      <c r="I2" t="n">
        <v>6</v>
      </c>
      <c r="J2" t="n">
        <v>559</v>
      </c>
      <c r="K2" t="n">
        <v>1229.8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n">
        <v>8</v>
      </c>
      <c r="R2" t="n">
        <v>90</v>
      </c>
      <c r="S2" t="n">
        <v>150</v>
      </c>
      <c r="T2" t="n">
        <v>45</v>
      </c>
      <c r="U2" t="n">
        <v>2</v>
      </c>
      <c r="V2" t="n">
        <v>5</v>
      </c>
      <c r="W2" t="n">
        <v>2.5</v>
      </c>
      <c r="X2" t="b">
        <v>0</v>
      </c>
      <c r="Y2" t="n">
        <v>0</v>
      </c>
      <c r="Z2" t="b">
        <v>0</v>
      </c>
      <c r="AA2" t="b">
        <v>1</v>
      </c>
      <c r="AB2" t="n">
        <v>1</v>
      </c>
      <c r="AC2" t="n">
        <v>3.5</v>
      </c>
      <c r="AD2" t="n">
        <v>1.2</v>
      </c>
      <c r="AE2" t="inlineStr">
        <is>
          <t>bofors_l70</t>
        </is>
      </c>
      <c r="AF2" t="inlineStr"/>
      <c r="AG2" t="inlineStr"/>
      <c r="AH2" t="inlineStr">
        <is>
          <t>none</t>
        </is>
      </c>
      <c r="AI2" t="inlineStr"/>
      <c r="AJ2" t="inlineStr"/>
      <c r="AK2" t="inlineStr">
        <is>
          <t>aa_gun_vehicle</t>
        </is>
      </c>
      <c r="AL2" t="inlineStr">
        <is>
          <t>doi</t>
        </is>
      </c>
      <c r="AM2" t="n">
        <v>5</v>
      </c>
      <c r="AN2" t="n">
        <v>6</v>
      </c>
      <c r="AO2" t="n">
        <v>455</v>
      </c>
      <c r="AP2" t="n">
        <v>559</v>
      </c>
      <c r="BG2" t="n">
        <v>1</v>
      </c>
      <c r="BH2" t="n">
        <v>1.2</v>
      </c>
      <c r="BI2" t="n">
        <v>6</v>
      </c>
      <c r="BJ2" t="n">
        <v>2</v>
      </c>
      <c r="BK2" t="inlineStr"/>
      <c r="BL2" t="inlineStr"/>
      <c r="BM2" t="inlineStr"/>
      <c r="BN2" t="inlineStr">
        <is>
          <t>Premium; 1500 xu</t>
        </is>
      </c>
      <c r="BS2" t="n">
        <v>1</v>
      </c>
      <c r="CC2" t="inlineStr">
        <is>
          <t>AntiAir</t>
        </is>
      </c>
      <c r="CF2" t="n">
        <v>6</v>
      </c>
      <c r="CH2" t="n">
        <v>60</v>
      </c>
      <c r="CI2" t="n">
        <v>0.25</v>
      </c>
      <c r="CJ2" t="n">
        <v>5</v>
      </c>
      <c r="CK2" t="inlineStr">
        <is>
          <t>Large</t>
        </is>
      </c>
      <c r="CZ2" t="b">
        <v>1</v>
      </c>
      <c r="DD2" t="n">
        <v>559</v>
      </c>
      <c r="DI2" t="n">
        <v>5</v>
      </c>
      <c r="EA2" t="n">
        <v>2.7</v>
      </c>
      <c r="EB2" t="n">
        <v>5.9</v>
      </c>
      <c r="EC2" t="n">
        <v>2.5</v>
      </c>
      <c r="EK2" t="n">
        <v>1.2</v>
      </c>
      <c r="EL2" t="n">
        <v>2</v>
      </c>
      <c r="EZ2" t="n">
        <v>8</v>
      </c>
      <c r="FG2" t="n">
        <v>90</v>
      </c>
      <c r="FH2" t="n">
        <v>150</v>
      </c>
      <c r="FJ2" t="n">
        <v>45</v>
      </c>
      <c r="FL2" t="inlineStr">
        <is>
          <t>bofors_l70</t>
        </is>
      </c>
      <c r="FM2" t="n">
        <v>2.5</v>
      </c>
      <c r="FN2" t="inlineStr">
        <is>
          <t>Assets/MachineBrigade/Resources/Data/balance.json: vehicles[112]</t>
        </is>
      </c>
      <c r="FO2" t="inlineStr">
        <is>
          <t>{"id":"aa_gun_vehicle","outgoingDamageMult":1.2,"modelSize":[5.9,2.5,2.7],"class":"AntiAir","armour":1,"hp":559,"speed":8,"turnRate":90,"turretTurnRate":150,"radius":2.0,"length":5.0,"width":2.5,"cp":6,"vision":45,"firesWhileMoving":true,"weapon":"bofors_l70","deathExplosion":{"damage":60,"radius":5,"delay":0.25,"tier":"Large"}}</t>
        </is>
      </c>
    </row>
    <row r="3">
      <c r="A3" t="inlineStr">
        <is>
          <t>aa_vehicle</t>
        </is>
      </c>
      <c r="B3" t="inlineStr">
        <is>
          <t>xe</t>
        </is>
      </c>
      <c r="C3" t="inlineStr">
        <is>
          <t>Self-propelled AA gun</t>
        </is>
      </c>
      <c r="D3" t="inlineStr">
        <is>
          <t>Pháo cao xạ tự hành</t>
        </is>
      </c>
      <c r="E3" t="inlineStr">
        <is>
          <t>Cao xạ</t>
        </is>
      </c>
      <c r="F3" t="inlineStr"/>
      <c r="G3" t="inlineStr"/>
      <c r="H3" t="inlineStr"/>
      <c r="I3" t="n">
        <v>4</v>
      </c>
      <c r="J3" t="n">
        <v>350</v>
      </c>
      <c r="K3" t="n">
        <v>770</v>
      </c>
      <c r="L3" t="n">
        <v>2</v>
      </c>
      <c r="M3" t="n">
        <v>1</v>
      </c>
      <c r="N3" t="n">
        <v>1</v>
      </c>
      <c r="O3" t="n">
        <v>0</v>
      </c>
      <c r="P3" t="b">
        <v>0</v>
      </c>
      <c r="Q3" t="n">
        <v>8</v>
      </c>
      <c r="R3" t="n">
        <v>100</v>
      </c>
      <c r="S3" t="n">
        <v>200</v>
      </c>
      <c r="T3" t="n">
        <v>42</v>
      </c>
      <c r="U3" t="n">
        <v>1.8</v>
      </c>
      <c r="V3" t="n">
        <v>5.85</v>
      </c>
      <c r="W3" t="n">
        <v>3.06</v>
      </c>
      <c r="X3" t="b">
        <v>0</v>
      </c>
      <c r="Y3" t="n">
        <v>0</v>
      </c>
      <c r="Z3" t="b">
        <v>0</v>
      </c>
      <c r="AA3" t="b">
        <v>1</v>
      </c>
      <c r="AB3" t="n">
        <v>1</v>
      </c>
      <c r="AC3" t="n">
        <v>2.5</v>
      </c>
      <c r="AD3" t="n">
        <v>1</v>
      </c>
      <c r="AE3" t="inlineStr">
        <is>
          <t>flak_35</t>
        </is>
      </c>
      <c r="AF3" t="inlineStr">
        <is>
          <t>sam</t>
        </is>
      </c>
      <c r="AG3" t="inlineStr"/>
      <c r="AH3" t="inlineStr">
        <is>
          <t>none</t>
        </is>
      </c>
      <c r="AI3" t="inlineStr"/>
      <c r="AJ3" t="inlineStr"/>
      <c r="AK3" t="inlineStr">
        <is>
          <t>aa_vehicle</t>
        </is>
      </c>
      <c r="AL3" t="inlineStr">
        <is>
          <t>giong</t>
        </is>
      </c>
      <c r="BI3" t="n">
        <v>4</v>
      </c>
      <c r="BJ3" t="n">
        <v>1</v>
      </c>
      <c r="BK3" t="inlineStr"/>
      <c r="BL3" t="inlineStr">
        <is>
          <t>elite_aa</t>
        </is>
      </c>
      <c r="BM3" t="inlineStr"/>
      <c r="BN3" t="inlineStr">
        <is>
          <t>Campaign; nhiệm vụ c2m01; mua sớm; 300 xu</t>
        </is>
      </c>
      <c r="BT3" t="n">
        <v>2</v>
      </c>
      <c r="BU3" t="n">
        <v>1</v>
      </c>
      <c r="BV3" t="n">
        <v>1</v>
      </c>
      <c r="BW3" t="n">
        <v>0</v>
      </c>
      <c r="CF3" t="n">
        <v>4</v>
      </c>
      <c r="CH3" t="n">
        <v>60</v>
      </c>
      <c r="CI3" t="n">
        <v>0.25</v>
      </c>
      <c r="CJ3" t="n">
        <v>5</v>
      </c>
      <c r="CK3" t="inlineStr">
        <is>
          <t>Large</t>
        </is>
      </c>
      <c r="CV3" t="n">
        <v>2.5</v>
      </c>
      <c r="CZ3" t="b">
        <v>1</v>
      </c>
      <c r="DD3" t="n">
        <v>350</v>
      </c>
      <c r="DI3" t="n">
        <v>5.85</v>
      </c>
      <c r="EA3" t="n">
        <v>2.92</v>
      </c>
      <c r="EB3" t="n">
        <v>6.44</v>
      </c>
      <c r="EC3" t="n">
        <v>3.06</v>
      </c>
      <c r="EL3" t="n">
        <v>1.8</v>
      </c>
      <c r="ER3" t="n">
        <v>1</v>
      </c>
      <c r="EZ3" t="n">
        <v>8</v>
      </c>
      <c r="FG3" t="n">
        <v>100</v>
      </c>
      <c r="FH3" t="n">
        <v>200</v>
      </c>
      <c r="FI3" t="n">
        <v>1.16</v>
      </c>
      <c r="FJ3" t="n">
        <v>42</v>
      </c>
      <c r="FL3" t="inlineStr">
        <is>
          <t>flak_35</t>
        </is>
      </c>
      <c r="FM3" t="n">
        <v>3.06</v>
      </c>
      <c r="FN3" t="inlineStr">
        <is>
          <t>Assets/MachineBrigade/Resources/Data/balance.json: vehicles[6]</t>
        </is>
      </c>
      <c r="FO3" t="inlineStr">
        <is>
          <t>{"id":"aa_vehicle","dropDelay":2.5,"value":1.16,"scale":1,"modelSize":[6.44,3.06,2.92],"armour":[2,1,1,0],"hp":350,"speed":8,"turnRate":100,"turretTurnRate":200,"radius":1.8,"length":5.85,"width":3.06,"cp":4,"vision":42,"firesWhileMoving":true,"weapon":"flak_35","secondary":[{"weapon":"sam","slot":"missile","model":"stinger","aim":"Free"}],"deathExplosion":{"damage":60,"radius":5,"delay":0.25,"tier":"Large"}}</t>
        </is>
      </c>
    </row>
    <row r="4">
      <c r="A4" t="inlineStr">
        <is>
          <t>ammo_carrier</t>
        </is>
      </c>
      <c r="B4" t="inlineStr">
        <is>
          <t>xe</t>
        </is>
      </c>
      <c r="C4" t="inlineStr">
        <is>
          <t>Ammo carrier</t>
        </is>
      </c>
      <c r="D4" t="inlineStr">
        <is>
          <t>Xe tiếp đạn</t>
        </is>
      </c>
      <c r="E4" t="inlineStr">
        <is>
          <t>Tiếp đạn</t>
        </is>
      </c>
      <c r="F4" t="inlineStr">
        <is>
          <t>Support</t>
        </is>
      </c>
      <c r="G4" t="inlineStr">
        <is>
          <t>Light</t>
        </is>
      </c>
      <c r="H4" t="inlineStr"/>
      <c r="I4" t="n">
        <v>4</v>
      </c>
      <c r="J4" t="n">
        <v>520</v>
      </c>
      <c r="K4" t="n">
        <v>1144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8.5</v>
      </c>
      <c r="R4" t="n">
        <v>90</v>
      </c>
      <c r="S4" t="n">
        <v>200</v>
      </c>
      <c r="T4" t="n">
        <v>30</v>
      </c>
      <c r="U4" t="n">
        <v>2</v>
      </c>
      <c r="V4" t="n">
        <v>8.359999999999999</v>
      </c>
      <c r="W4" t="n">
        <v>2.02</v>
      </c>
      <c r="X4" t="b">
        <v>0</v>
      </c>
      <c r="Y4" t="n">
        <v>0</v>
      </c>
      <c r="Z4" t="b">
        <v>0</v>
      </c>
      <c r="AA4" t="b">
        <v>1</v>
      </c>
      <c r="AB4" t="n">
        <v>1</v>
      </c>
      <c r="AC4" t="n">
        <v>2.5</v>
      </c>
      <c r="AD4" t="n">
        <v>1</v>
      </c>
      <c r="AE4" t="inlineStr">
        <is>
          <t>hmg_selfdef_15</t>
        </is>
      </c>
      <c r="AF4" t="inlineStr"/>
      <c r="AG4" t="inlineStr"/>
      <c r="AH4" t="inlineStr">
        <is>
          <t>none</t>
        </is>
      </c>
      <c r="AI4" t="inlineStr"/>
      <c r="AJ4" t="inlineStr"/>
      <c r="AK4" t="inlineStr">
        <is>
          <t>ammo_carrier</t>
        </is>
      </c>
      <c r="AL4" t="inlineStr">
        <is>
          <t>giong</t>
        </is>
      </c>
      <c r="BI4" t="n">
        <v>4</v>
      </c>
      <c r="BJ4" t="n">
        <v>1</v>
      </c>
      <c r="BK4" t="inlineStr"/>
      <c r="BL4" t="inlineStr"/>
      <c r="BM4" t="inlineStr">
        <is>
          <t>repair</t>
        </is>
      </c>
      <c r="BN4" t="inlineStr">
        <is>
          <t>Campaign; nhiệm vụ c2m05; mua sớm; 300 xu</t>
        </is>
      </c>
      <c r="BO4" t="n">
        <v>12</v>
      </c>
      <c r="BP4" t="n">
        <v>2</v>
      </c>
      <c r="BS4" t="n">
        <v>0</v>
      </c>
      <c r="BZ4" t="n">
        <v>1</v>
      </c>
      <c r="CC4" t="inlineStr">
        <is>
          <t>Support</t>
        </is>
      </c>
      <c r="CF4" t="n">
        <v>4</v>
      </c>
      <c r="CH4" t="n">
        <v>90</v>
      </c>
      <c r="CI4" t="n">
        <v>0.35</v>
      </c>
      <c r="CJ4" t="n">
        <v>7</v>
      </c>
      <c r="CK4" t="inlineStr">
        <is>
          <t>Huge</t>
        </is>
      </c>
      <c r="CV4" t="n">
        <v>2.5</v>
      </c>
      <c r="CZ4" t="b">
        <v>1</v>
      </c>
      <c r="DD4" t="n">
        <v>520</v>
      </c>
      <c r="DI4" t="n">
        <v>8.359999999999999</v>
      </c>
      <c r="EA4" t="n">
        <v>2.46</v>
      </c>
      <c r="EB4" t="n">
        <v>8.359999999999999</v>
      </c>
      <c r="EC4" t="n">
        <v>2.02</v>
      </c>
      <c r="EL4" t="n">
        <v>2</v>
      </c>
      <c r="EM4" t="n">
        <v>14</v>
      </c>
      <c r="EN4" t="n">
        <v>4</v>
      </c>
      <c r="ER4" t="n">
        <v>1</v>
      </c>
      <c r="EZ4" t="n">
        <v>8.5</v>
      </c>
      <c r="FG4" t="n">
        <v>90</v>
      </c>
      <c r="FH4" t="n">
        <v>200</v>
      </c>
      <c r="FI4" t="n">
        <v>1</v>
      </c>
      <c r="FJ4" t="n">
        <v>30</v>
      </c>
      <c r="FL4" t="inlineStr">
        <is>
          <t>hmg_selfdef_15</t>
        </is>
      </c>
      <c r="FM4" t="n">
        <v>2.02</v>
      </c>
      <c r="FN4" t="inlineStr">
        <is>
          <t>Assets/MachineBrigade/Resources/Data/balance.json: vehicles[29]</t>
        </is>
      </c>
      <c r="FO4" t="inlineStr">
        <is>
          <t>{"id":"ammo_carrier","dropDelay":2.5,"value":1,"scale":1,"modelSize":[8.36,2.02,2.46],"class":"Support","armour":0,"hp":520,"speed":8.5,"turnRate":90,"turretTurnRate":200,"radius":2.0,"length":8.36,"width":2.02,"cp":4,"vision":30,"firesWhileMoving":true,"weapon":"hmg_selfdef_15","captureRate":1,"rearm":{"radius":14,"rate":4},"airRearm":{"radius":12,"rate":2},"deathExplosion":{"damage":90,"radius":7,"delay":0.35,"tier":"Huge"}}</t>
        </is>
      </c>
    </row>
    <row r="5">
      <c r="A5" t="inlineStr">
        <is>
          <t>armored_bulldozer</t>
        </is>
      </c>
      <c r="B5" t="inlineStr">
        <is>
          <t>xe</t>
        </is>
      </c>
      <c r="C5" t="inlineStr">
        <is>
          <t>Armoured bulldozer</t>
        </is>
      </c>
      <c r="D5" t="inlineStr">
        <is>
          <t>Xe ủi bọc thép</t>
        </is>
      </c>
      <c r="E5" t="inlineStr">
        <is>
          <t>Xe ủi</t>
        </is>
      </c>
      <c r="F5" t="inlineStr">
        <is>
          <t>Heavy</t>
        </is>
      </c>
      <c r="G5" t="inlineStr">
        <is>
          <t>Armor</t>
        </is>
      </c>
      <c r="H5" t="inlineStr"/>
      <c r="I5" t="n">
        <v>8</v>
      </c>
      <c r="J5" t="n">
        <v>1514</v>
      </c>
      <c r="K5" t="n">
        <v>3330.8</v>
      </c>
      <c r="L5" t="n">
        <v>3</v>
      </c>
      <c r="M5" t="n">
        <v>3</v>
      </c>
      <c r="N5" t="n">
        <v>2</v>
      </c>
      <c r="O5" t="n">
        <v>2</v>
      </c>
      <c r="P5" t="b">
        <v>0</v>
      </c>
      <c r="Q5" t="n">
        <v>4</v>
      </c>
      <c r="R5" t="n">
        <v>55</v>
      </c>
      <c r="S5" t="n">
        <v>200</v>
      </c>
      <c r="T5" t="n">
        <v>30</v>
      </c>
      <c r="U5" t="n">
        <v>3.4</v>
      </c>
      <c r="V5" t="n">
        <v>6.13</v>
      </c>
      <c r="W5" t="n">
        <v>3.7</v>
      </c>
      <c r="X5" t="b">
        <v>0</v>
      </c>
      <c r="Y5" t="n">
        <v>0</v>
      </c>
      <c r="Z5" t="b">
        <v>0</v>
      </c>
      <c r="AA5" t="b">
        <v>1</v>
      </c>
      <c r="AB5" t="n">
        <v>1</v>
      </c>
      <c r="AC5" t="n">
        <v>3.5</v>
      </c>
      <c r="AD5" t="n">
        <v>1.1429</v>
      </c>
      <c r="AE5" t="inlineStr">
        <is>
          <t>dozer_blade</t>
        </is>
      </c>
      <c r="AF5" t="inlineStr">
        <is>
          <t>hmg_roof</t>
        </is>
      </c>
      <c r="AG5" t="inlineStr"/>
      <c r="AH5" t="inlineStr">
        <is>
          <t>none</t>
        </is>
      </c>
      <c r="AI5" t="inlineStr"/>
      <c r="AJ5" t="inlineStr"/>
      <c r="AK5" t="inlineStr">
        <is>
          <t>armored_bulldozer</t>
        </is>
      </c>
      <c r="AL5" t="inlineStr">
        <is>
          <t>doi</t>
        </is>
      </c>
      <c r="AM5" t="n">
        <v>7</v>
      </c>
      <c r="AN5" t="n">
        <v>8</v>
      </c>
      <c r="AO5" t="n">
        <v>1300</v>
      </c>
      <c r="AP5" t="n">
        <v>1514</v>
      </c>
      <c r="BG5" t="n">
        <v>1</v>
      </c>
      <c r="BH5" t="n">
        <v>1.1429</v>
      </c>
      <c r="BI5" t="n">
        <v>8</v>
      </c>
      <c r="BJ5" t="n">
        <v>2</v>
      </c>
      <c r="BK5" t="inlineStr"/>
      <c r="BL5" t="inlineStr"/>
      <c r="BM5" t="inlineStr">
        <is>
          <t>heavy</t>
        </is>
      </c>
      <c r="BN5" t="inlineStr">
        <is>
          <t>Campaign; nhiệm vụ c4m16; mua sớm; 800 xu</t>
        </is>
      </c>
      <c r="BT5" t="n">
        <v>3</v>
      </c>
      <c r="BU5" t="n">
        <v>2</v>
      </c>
      <c r="BV5" t="n">
        <v>3</v>
      </c>
      <c r="BW5" t="n">
        <v>2</v>
      </c>
      <c r="BY5" t="b">
        <v>1</v>
      </c>
      <c r="BZ5" t="n">
        <v>1</v>
      </c>
      <c r="CC5" t="inlineStr">
        <is>
          <t>Heavy</t>
        </is>
      </c>
      <c r="CF5" t="n">
        <v>8</v>
      </c>
      <c r="CH5" t="n">
        <v>90</v>
      </c>
      <c r="CI5" t="n">
        <v>0.4</v>
      </c>
      <c r="CJ5" t="n">
        <v>6</v>
      </c>
      <c r="CK5" t="inlineStr">
        <is>
          <t>Huge</t>
        </is>
      </c>
      <c r="CZ5" t="b">
        <v>1</v>
      </c>
      <c r="DD5" t="n">
        <v>1514</v>
      </c>
      <c r="DI5" t="n">
        <v>6.13</v>
      </c>
      <c r="DM5" t="inlineStr">
        <is>
          <t>Hull</t>
        </is>
      </c>
      <c r="DN5" t="inlineStr">
        <is>
          <t>blade</t>
        </is>
      </c>
      <c r="DR5" t="n">
        <v>0.5</v>
      </c>
      <c r="EA5" t="n">
        <v>3.53</v>
      </c>
      <c r="EB5" t="n">
        <v>6.13</v>
      </c>
      <c r="EC5" t="n">
        <v>3.7</v>
      </c>
      <c r="EK5" t="n">
        <v>1.1429</v>
      </c>
      <c r="EL5" t="n">
        <v>3.4</v>
      </c>
      <c r="ER5" t="n">
        <v>1</v>
      </c>
      <c r="EZ5" t="n">
        <v>4</v>
      </c>
      <c r="FG5" t="n">
        <v>55</v>
      </c>
      <c r="FH5" t="n">
        <v>200</v>
      </c>
      <c r="FI5" t="n">
        <v>1</v>
      </c>
      <c r="FJ5" t="n">
        <v>30</v>
      </c>
      <c r="FL5" t="inlineStr">
        <is>
          <t>dozer_blade</t>
        </is>
      </c>
      <c r="FM5" t="n">
        <v>3.7</v>
      </c>
      <c r="FN5" t="inlineStr">
        <is>
          <t>Assets/MachineBrigade/Resources/Data/balance.json: vehicles[40]</t>
        </is>
      </c>
      <c r="FO5" t="inlineStr">
        <is>
          <t>{"id":"armored_bulldozer","outgoingDamageMult":1.1429,"value":1,"scale":1,"modelSize":[6.13,3.7,3.53],"class":"Heavy","armour":[3,3,2,2],"hp":1514,"speed":4,"turnRate":55,"turretTurnRate":200,"radius":3.4,"length":6.13,"width":3.7,"cp":8,"vision":30,"captureRate":1,"firesWhileMoving":true,"weapon":"dozer_blade","mainAim":"Hull","mainSlot":"blade","breacher":true,"mineArmor":0.5,"secondary":[{"weapon":"hmg_roof","slot":"mg","aim":"Free"}],"deathExplosion":{"damage":90,"radius":6,"delay":0.4,"tier":"Huge"}}</t>
        </is>
      </c>
    </row>
    <row r="6">
      <c r="A6" t="inlineStr">
        <is>
          <t>armored_car</t>
        </is>
      </c>
      <c r="B6" t="inlineStr">
        <is>
          <t>xe</t>
        </is>
      </c>
      <c r="C6" t="inlineStr">
        <is>
          <t>Armoured car</t>
        </is>
      </c>
      <c r="D6" t="inlineStr">
        <is>
          <t>Xe bọc thép bánh lốp</t>
        </is>
      </c>
      <c r="E6" t="inlineStr">
        <is>
          <t>Bánh lốp</t>
        </is>
      </c>
      <c r="F6" t="inlineStr">
        <is>
          <t>Light</t>
        </is>
      </c>
      <c r="G6" t="inlineStr">
        <is>
          <t>Light</t>
        </is>
      </c>
      <c r="H6" t="inlineStr"/>
      <c r="I6" t="n">
        <v>3</v>
      </c>
      <c r="J6" t="n">
        <v>300</v>
      </c>
      <c r="K6" t="n">
        <v>660</v>
      </c>
      <c r="L6" t="n">
        <v>1</v>
      </c>
      <c r="M6" t="n">
        <v>0</v>
      </c>
      <c r="N6" t="n">
        <v>0</v>
      </c>
      <c r="O6" t="n">
        <v>0</v>
      </c>
      <c r="P6" t="b">
        <v>0</v>
      </c>
      <c r="Q6" t="n">
        <v>11.5</v>
      </c>
      <c r="R6" t="n">
        <v>150</v>
      </c>
      <c r="S6" t="n">
        <v>220</v>
      </c>
      <c r="T6" t="n">
        <v>46</v>
      </c>
      <c r="U6" t="n">
        <v>2.1</v>
      </c>
      <c r="V6" t="n">
        <v>4.44</v>
      </c>
      <c r="W6" t="n">
        <v>2.08</v>
      </c>
      <c r="X6" t="b">
        <v>0</v>
      </c>
      <c r="Y6" t="n">
        <v>0</v>
      </c>
      <c r="Z6" t="b">
        <v>0</v>
      </c>
      <c r="AA6" t="b">
        <v>1</v>
      </c>
      <c r="AB6" t="n">
        <v>2</v>
      </c>
      <c r="AC6" t="n">
        <v>2.5</v>
      </c>
      <c r="AD6" t="n">
        <v>1</v>
      </c>
      <c r="AE6" t="inlineStr">
        <is>
          <t>autocannon_25</t>
        </is>
      </c>
      <c r="AF6" t="inlineStr">
        <is>
          <t>mg_coax_long</t>
        </is>
      </c>
      <c r="AG6" t="inlineStr"/>
      <c r="AH6" t="inlineStr">
        <is>
          <t>none</t>
        </is>
      </c>
      <c r="AI6" t="inlineStr"/>
      <c r="AJ6" t="inlineStr"/>
      <c r="AK6" t="inlineStr">
        <is>
          <t>armored_car</t>
        </is>
      </c>
      <c r="AL6" t="inlineStr">
        <is>
          <t>doi</t>
        </is>
      </c>
      <c r="BE6" t="inlineStr">
        <is>
          <t>mg_coax</t>
        </is>
      </c>
      <c r="BF6" t="inlineStr">
        <is>
          <t>mg_coax_long</t>
        </is>
      </c>
      <c r="BI6" t="n">
        <v>3</v>
      </c>
      <c r="BJ6" t="n">
        <v>1</v>
      </c>
      <c r="BK6" t="inlineStr"/>
      <c r="BL6" t="inlineStr"/>
      <c r="BM6" t="inlineStr">
        <is>
          <t>light;wheeled</t>
        </is>
      </c>
      <c r="BN6" t="inlineStr">
        <is>
          <t>Starter; 750 xu</t>
        </is>
      </c>
      <c r="BS6" t="n">
        <v>1</v>
      </c>
      <c r="BZ6" t="n">
        <v>2</v>
      </c>
      <c r="CC6" t="inlineStr">
        <is>
          <t>Light</t>
        </is>
      </c>
      <c r="CF6" t="n">
        <v>3</v>
      </c>
      <c r="CH6" t="n">
        <v>50</v>
      </c>
      <c r="CI6" t="n">
        <v>0.2</v>
      </c>
      <c r="CJ6" t="n">
        <v>5</v>
      </c>
      <c r="CK6" t="inlineStr">
        <is>
          <t>Large</t>
        </is>
      </c>
      <c r="CV6" t="n">
        <v>2.5</v>
      </c>
      <c r="CZ6" t="b">
        <v>1</v>
      </c>
      <c r="DD6" t="n">
        <v>300</v>
      </c>
      <c r="DI6" t="n">
        <v>4.44</v>
      </c>
      <c r="EA6" t="n">
        <v>1.49</v>
      </c>
      <c r="EB6" t="n">
        <v>4.78</v>
      </c>
      <c r="EC6" t="n">
        <v>2.08</v>
      </c>
      <c r="EL6" t="n">
        <v>2.1</v>
      </c>
      <c r="ER6" t="n">
        <v>1</v>
      </c>
      <c r="EZ6" t="n">
        <v>11.5</v>
      </c>
      <c r="FG6" t="n">
        <v>150</v>
      </c>
      <c r="FH6" t="n">
        <v>220</v>
      </c>
      <c r="FI6" t="n">
        <v>0.9399999999999999</v>
      </c>
      <c r="FJ6" t="n">
        <v>46</v>
      </c>
      <c r="FL6" t="inlineStr">
        <is>
          <t>autocannon_25</t>
        </is>
      </c>
      <c r="FM6" t="n">
        <v>2.08</v>
      </c>
      <c r="FN6" t="inlineStr">
        <is>
          <t>Assets/MachineBrigade/Resources/Data/balance.json: vehicles[8]</t>
        </is>
      </c>
      <c r="FO6" t="inlineStr">
        <is>
          <t>{"id":"armored_car","dropDelay":2.5,"value":0.94,"scale":1,"modelSize":[4.78,2.08,1.49],"class":"Light","armour":1,"hp":300,"speed":11.5,"turnRate":150,"turretTurnRate":220,"radius":2.1,"length":4.44,"width":2.08,"cp":3,"vision":46,"firesWhileMoving":true,"weapon":"autocannon_25","captureRate":2,"secondary":[{"weapon":"mg_coax_long","slot":"coax","aim":"Turret"}],"deathExplosion":{"damage":50,"radius":5,"delay":0.2,"tier":"Large"}}</t>
        </is>
      </c>
    </row>
    <row r="7">
      <c r="A7" t="inlineStr">
        <is>
          <t>artillery</t>
        </is>
      </c>
      <c r="B7" t="inlineStr">
        <is>
          <t>xe</t>
        </is>
      </c>
      <c r="C7" t="inlineStr">
        <is>
          <t>SP howitzer</t>
        </is>
      </c>
      <c r="D7" t="inlineStr">
        <is>
          <t>Lựu pháo tự hành</t>
        </is>
      </c>
      <c r="E7" t="inlineStr">
        <is>
          <t>Lựu pháo</t>
        </is>
      </c>
      <c r="F7" t="inlineStr"/>
      <c r="G7" t="inlineStr"/>
      <c r="H7" t="inlineStr"/>
      <c r="I7" t="n">
        <v>7</v>
      </c>
      <c r="J7" t="n">
        <v>359</v>
      </c>
      <c r="K7" t="n">
        <v>789.8</v>
      </c>
      <c r="L7" t="n">
        <v>2</v>
      </c>
      <c r="M7" t="n">
        <v>1</v>
      </c>
      <c r="N7" t="n">
        <v>1</v>
      </c>
      <c r="O7" t="n">
        <v>0</v>
      </c>
      <c r="P7" t="b">
        <v>0</v>
      </c>
      <c r="Q7" t="n">
        <v>6</v>
      </c>
      <c r="R7" t="n">
        <v>60</v>
      </c>
      <c r="S7" t="n">
        <v>45</v>
      </c>
      <c r="T7" t="n">
        <v>30</v>
      </c>
      <c r="U7" t="n">
        <v>2</v>
      </c>
      <c r="V7" t="n">
        <v>5.12</v>
      </c>
      <c r="W7" t="n">
        <v>3.13</v>
      </c>
      <c r="X7" t="b">
        <v>0</v>
      </c>
      <c r="Y7" t="n">
        <v>0</v>
      </c>
      <c r="Z7" t="b">
        <v>0</v>
      </c>
      <c r="AA7" t="b">
        <v>0</v>
      </c>
      <c r="AB7" t="n">
        <v>1</v>
      </c>
      <c r="AC7" t="n">
        <v>3.5</v>
      </c>
      <c r="AD7" t="n">
        <v>1.1667</v>
      </c>
      <c r="AE7" t="inlineStr">
        <is>
          <t>howitzer</t>
        </is>
      </c>
      <c r="AF7" t="inlineStr">
        <is>
          <t>hmg_selfdef_15</t>
        </is>
      </c>
      <c r="AG7" t="inlineStr"/>
      <c r="AH7" t="inlineStr">
        <is>
          <t>none</t>
        </is>
      </c>
      <c r="AI7" t="inlineStr"/>
      <c r="AJ7" t="inlineStr"/>
      <c r="AK7" t="inlineStr">
        <is>
          <t>artillery</t>
        </is>
      </c>
      <c r="AL7" t="inlineStr">
        <is>
          <t>doi</t>
        </is>
      </c>
      <c r="AM7" t="n">
        <v>6</v>
      </c>
      <c r="AN7" t="n">
        <v>7</v>
      </c>
      <c r="AO7" t="n">
        <v>300</v>
      </c>
      <c r="AP7" t="n">
        <v>359</v>
      </c>
      <c r="BG7" t="n">
        <v>1</v>
      </c>
      <c r="BH7" t="n">
        <v>1.1667</v>
      </c>
      <c r="BI7" t="n">
        <v>7</v>
      </c>
      <c r="BJ7" t="n">
        <v>2</v>
      </c>
      <c r="BK7" t="inlineStr"/>
      <c r="BL7" t="inlineStr">
        <is>
          <t>elite_artillery</t>
        </is>
      </c>
      <c r="BM7" t="inlineStr">
        <is>
          <t>artillery</t>
        </is>
      </c>
      <c r="BN7" t="inlineStr">
        <is>
          <t>Campaign; nhiệm vụ c2m02; mua sớm; 300 xu</t>
        </is>
      </c>
      <c r="BT7" t="n">
        <v>2</v>
      </c>
      <c r="BU7" t="n">
        <v>1</v>
      </c>
      <c r="BV7" t="n">
        <v>1</v>
      </c>
      <c r="BW7" t="n">
        <v>0</v>
      </c>
      <c r="CF7" t="n">
        <v>7</v>
      </c>
      <c r="CH7" t="n">
        <v>80</v>
      </c>
      <c r="CI7" t="n">
        <v>0.3</v>
      </c>
      <c r="CJ7" t="n">
        <v>10</v>
      </c>
      <c r="CK7" t="inlineStr">
        <is>
          <t>Large</t>
        </is>
      </c>
      <c r="CZ7" t="b">
        <v>0</v>
      </c>
      <c r="DD7" t="n">
        <v>359</v>
      </c>
      <c r="DI7" t="n">
        <v>5.12</v>
      </c>
      <c r="DP7" t="n">
        <v>0.15</v>
      </c>
      <c r="EA7" t="n">
        <v>2.88</v>
      </c>
      <c r="EB7" t="n">
        <v>7.86</v>
      </c>
      <c r="EC7" t="n">
        <v>3.14</v>
      </c>
      <c r="EK7" t="n">
        <v>1.1667</v>
      </c>
      <c r="EL7" t="n">
        <v>2</v>
      </c>
      <c r="ER7" t="n">
        <v>1</v>
      </c>
      <c r="ES7" t="n">
        <v>20</v>
      </c>
      <c r="ET7" t="n">
        <v>15</v>
      </c>
      <c r="EU7" t="n">
        <v>3</v>
      </c>
      <c r="EZ7" t="n">
        <v>6</v>
      </c>
      <c r="FG7" t="n">
        <v>60</v>
      </c>
      <c r="FH7" t="n">
        <v>45</v>
      </c>
      <c r="FI7" t="n">
        <v>0.82</v>
      </c>
      <c r="FJ7" t="n">
        <v>30</v>
      </c>
      <c r="FL7" t="inlineStr">
        <is>
          <t>howitzer</t>
        </is>
      </c>
      <c r="FM7" t="n">
        <v>3.13</v>
      </c>
      <c r="FN7" t="inlineStr">
        <is>
          <t>Assets/MachineBrigade/Resources/Data/balance.json: vehicles[4]</t>
        </is>
      </c>
      <c r="FO7" t="inlineStr">
        <is>
          <t>{"id":"artillery","outgoingDamageMult":1.1667,"value":0.82,"scale":1,"modelSize":[7.86,3.14,2.88],"armour":[2,1,1,0],"hp":359,"speed":6,"turnRate":60,"turretTurnRate":45,"radius":2.0,"length":5.12,"width":3.13,"cp":7,"vision":30,"scoot":{"shots":3,"min":15,"max":20},"markedSpread":0.15,"firesWhileMoving":false,"weapon":"howitzer","secondary":[{"weapon":"hmg_selfdef_15","slot":"mg","aim":"Free"}],"deathExplosion":{"damage":80,"radius":10,"delay":0.3,"tier":"Large"}}</t>
        </is>
      </c>
    </row>
    <row r="8">
      <c r="A8" t="inlineStr">
        <is>
          <t>attack_helicopter</t>
        </is>
      </c>
      <c r="B8" t="inlineStr">
        <is>
          <t>xe</t>
        </is>
      </c>
      <c r="C8" t="inlineStr">
        <is>
          <t>Attack helicopter</t>
        </is>
      </c>
      <c r="D8" t="inlineStr">
        <is>
          <t>Trực thăng tấn công</t>
        </is>
      </c>
      <c r="E8" t="inlineStr">
        <is>
          <t>TT tấn công</t>
        </is>
      </c>
      <c r="F8" t="inlineStr"/>
      <c r="G8" t="inlineStr"/>
      <c r="H8" t="inlineStr"/>
      <c r="I8" t="n">
        <v>11</v>
      </c>
      <c r="J8" t="n">
        <v>700</v>
      </c>
      <c r="K8" t="n">
        <v>1540</v>
      </c>
      <c r="L8" t="n">
        <v>1</v>
      </c>
      <c r="M8" t="n">
        <v>1</v>
      </c>
      <c r="N8" t="n">
        <v>1</v>
      </c>
      <c r="O8" t="n">
        <v>1</v>
      </c>
      <c r="P8" t="b">
        <v>0</v>
      </c>
      <c r="Q8" t="n">
        <v>13</v>
      </c>
      <c r="R8" t="n">
        <v>110</v>
      </c>
      <c r="S8" t="n">
        <v>360</v>
      </c>
      <c r="T8" t="n">
        <v>40</v>
      </c>
      <c r="U8" t="n">
        <v>3.2</v>
      </c>
      <c r="V8" t="inlineStr"/>
      <c r="W8" t="inlineStr"/>
      <c r="X8" t="b">
        <v>1</v>
      </c>
      <c r="Y8" t="n">
        <v>15</v>
      </c>
      <c r="Z8" t="b">
        <v>0</v>
      </c>
      <c r="AA8" t="b">
        <v>1</v>
      </c>
      <c r="AB8" t="n">
        <v>0</v>
      </c>
      <c r="AC8" t="n">
        <v>3.5</v>
      </c>
      <c r="AD8" t="n">
        <v>1.2681</v>
      </c>
      <c r="AE8" t="inlineStr">
        <is>
          <t>hellfire_standoff</t>
        </is>
      </c>
      <c r="AF8" t="inlineStr">
        <is>
          <t>heli_gun;heli_rockets;stinger_atas;apkws_rocket</t>
        </is>
      </c>
      <c r="AG8" t="inlineStr">
        <is>
          <t>heli_flares</t>
        </is>
      </c>
      <c r="AH8" t="inlineStr">
        <is>
          <t>flare</t>
        </is>
      </c>
      <c r="AI8" t="n">
        <v>2</v>
      </c>
      <c r="AJ8" t="n">
        <v>20</v>
      </c>
      <c r="AK8" t="inlineStr">
        <is>
          <t>attack_helicopter</t>
        </is>
      </c>
      <c r="AL8" t="inlineStr">
        <is>
          <t>doi</t>
        </is>
      </c>
      <c r="AM8" t="n">
        <v>9</v>
      </c>
      <c r="AN8" t="n">
        <v>11</v>
      </c>
      <c r="AO8" t="n">
        <v>800</v>
      </c>
      <c r="AP8" t="n">
        <v>700</v>
      </c>
      <c r="BG8" t="n">
        <v>1</v>
      </c>
      <c r="BH8" t="n">
        <v>1.2681</v>
      </c>
      <c r="BI8" t="n">
        <v>11</v>
      </c>
      <c r="BJ8" t="n">
        <v>3</v>
      </c>
      <c r="BK8" t="inlineStr"/>
      <c r="BL8" t="inlineStr">
        <is>
          <t>elite_attack_helicopter</t>
        </is>
      </c>
      <c r="BM8" t="inlineStr">
        <is>
          <t>heli</t>
        </is>
      </c>
      <c r="BN8" t="inlineStr">
        <is>
          <t>Campaign; nhiệm vụ c3m02; mua sớm; 300 xu</t>
        </is>
      </c>
      <c r="BQ8" t="inlineStr">
        <is>
          <t>heavy_attack_heli</t>
        </is>
      </c>
      <c r="BR8" t="n">
        <v>15</v>
      </c>
      <c r="BS8" t="n">
        <v>1</v>
      </c>
      <c r="BZ8" t="n">
        <v>0</v>
      </c>
      <c r="CF8" t="n">
        <v>11</v>
      </c>
      <c r="CH8" t="n">
        <v>80</v>
      </c>
      <c r="CI8" t="n">
        <v>0.6</v>
      </c>
      <c r="CJ8" t="n">
        <v>6</v>
      </c>
      <c r="CK8" t="inlineStr">
        <is>
          <t>Large</t>
        </is>
      </c>
      <c r="CZ8" t="b">
        <v>1</v>
      </c>
      <c r="DB8" t="b">
        <v>1</v>
      </c>
      <c r="DD8" t="n">
        <v>700</v>
      </c>
      <c r="DN8" t="inlineStr">
        <is>
          <t>missile</t>
        </is>
      </c>
      <c r="EA8" t="n">
        <v>2.02</v>
      </c>
      <c r="EB8" t="n">
        <v>6.35</v>
      </c>
      <c r="EC8" t="n">
        <v>4.44</v>
      </c>
      <c r="EK8" t="n">
        <v>1.2681</v>
      </c>
      <c r="EL8" t="n">
        <v>3.2</v>
      </c>
      <c r="EO8" t="n">
        <v>9</v>
      </c>
      <c r="ER8" t="n">
        <v>1.1765</v>
      </c>
      <c r="EY8" t="inlineStr">
        <is>
          <t>heli_flares</t>
        </is>
      </c>
      <c r="EZ8" t="n">
        <v>13</v>
      </c>
      <c r="FA8" t="b">
        <v>1</v>
      </c>
      <c r="FE8" t="inlineStr">
        <is>
          <t>Tank;Heavy;Artillery</t>
        </is>
      </c>
      <c r="FG8" t="n">
        <v>110</v>
      </c>
      <c r="FH8" t="n">
        <v>360</v>
      </c>
      <c r="FI8" t="n">
        <v>1.05</v>
      </c>
      <c r="FJ8" t="n">
        <v>40</v>
      </c>
      <c r="FL8" t="inlineStr">
        <is>
          <t>hellfire_standoff</t>
        </is>
      </c>
      <c r="FN8" t="inlineStr">
        <is>
          <t>Assets/MachineBrigade/Resources/Data/balance.json: vehicles[7]</t>
        </is>
      </c>
      <c r="FO8" t="inlineStr">
        <is>
          <t>{"id":"attack_helicopter","flareCharges":2,"outgoingDamageMult":1.2681,"value":1.05,"altModels":["heavy_attack_heli"],"rearmTime":9,"strongVs":["Tank","Heavy","Artillery"],"scale":1.1765,"modelSize":[6.35,4.44,2.02],"armour":1,"hp":700,"speed":13,"turnRate":110,"turretTurnRate":360,"radius":3.2,"cp":11,"vision":40,"firesWhileMoving":true,"weapon":"hellfire_standoff","mainSlot":"missile","flying":true,"standoff":true,"altitude":15,"captureRate":0,"secondary":[{"weapon":"heli_gun","slot":"gun","aim":"Free"},{"weapon":"heli_rockets","slot":"rocket","aim":"Hull"},{"weapon":"stinger_atas","slot":"aam","aim":"Free"},{"weapon":"apkws_rocket","slot":"rocket2","aim":"Free"}],"skills":["heli_flares"],"deathExplosion":{"damage":80,"radius":6,"delay":0.6,"tier":"Large"}}</t>
        </is>
      </c>
    </row>
    <row r="9">
      <c r="A9" t="inlineStr">
        <is>
          <t>attack_jet</t>
        </is>
      </c>
      <c r="B9" t="inlineStr">
        <is>
          <t>xe</t>
        </is>
      </c>
      <c r="C9" t="inlineStr">
        <is>
          <t>Attack jet</t>
        </is>
      </c>
      <c r="D9" t="inlineStr">
        <is>
          <t>Máy bay cường kích</t>
        </is>
      </c>
      <c r="E9" t="inlineStr">
        <is>
          <t>Cường kích</t>
        </is>
      </c>
      <c r="F9" t="inlineStr"/>
      <c r="G9" t="inlineStr"/>
      <c r="H9" t="inlineStr"/>
      <c r="I9" t="n">
        <v>23</v>
      </c>
      <c r="J9" t="n">
        <v>650</v>
      </c>
      <c r="K9" t="n">
        <v>1430</v>
      </c>
      <c r="L9" t="n">
        <v>2</v>
      </c>
      <c r="M9" t="n">
        <v>2</v>
      </c>
      <c r="N9" t="n">
        <v>2</v>
      </c>
      <c r="O9" t="n">
        <v>2</v>
      </c>
      <c r="P9" t="b">
        <v>0</v>
      </c>
      <c r="Q9" t="n">
        <v>32</v>
      </c>
      <c r="R9" t="n">
        <v>104</v>
      </c>
      <c r="S9" t="n">
        <v>360</v>
      </c>
      <c r="T9" t="n">
        <v>50</v>
      </c>
      <c r="U9" t="n">
        <v>3.2</v>
      </c>
      <c r="V9" t="inlineStr"/>
      <c r="W9" t="inlineStr"/>
      <c r="X9" t="b">
        <v>1</v>
      </c>
      <c r="Y9" t="n">
        <v>30</v>
      </c>
      <c r="Z9" t="b">
        <v>0</v>
      </c>
      <c r="AA9" t="b">
        <v>1</v>
      </c>
      <c r="AB9" t="n">
        <v>0</v>
      </c>
      <c r="AC9" t="n">
        <v>5</v>
      </c>
      <c r="AD9" t="n">
        <v>1.4694</v>
      </c>
      <c r="AE9" t="inlineStr">
        <is>
          <t>jet_cannon</t>
        </is>
      </c>
      <c r="AF9" t="inlineStr">
        <is>
          <t>s8_pods;jet_bombs;kh29;r60</t>
        </is>
      </c>
      <c r="AG9" t="inlineStr">
        <is>
          <t>jet_flares</t>
        </is>
      </c>
      <c r="AH9" t="inlineStr">
        <is>
          <t>flare</t>
        </is>
      </c>
      <c r="AI9" t="n">
        <v>2</v>
      </c>
      <c r="AJ9" t="n">
        <v>16</v>
      </c>
      <c r="AK9" t="inlineStr">
        <is>
          <t>attack_jet</t>
        </is>
      </c>
      <c r="AL9" t="inlineStr">
        <is>
          <t>doi</t>
        </is>
      </c>
      <c r="AM9" t="n">
        <v>18</v>
      </c>
      <c r="AN9" t="n">
        <v>23</v>
      </c>
      <c r="AO9" t="n">
        <v>850</v>
      </c>
      <c r="AP9" t="n">
        <v>650</v>
      </c>
      <c r="BG9" t="n">
        <v>1</v>
      </c>
      <c r="BH9" t="n">
        <v>1.4694</v>
      </c>
      <c r="BI9" t="n">
        <v>23</v>
      </c>
      <c r="BJ9" t="n">
        <v>4</v>
      </c>
      <c r="BK9" t="inlineStr"/>
      <c r="BL9" t="inlineStr">
        <is>
          <t>elite_attack_jet</t>
        </is>
      </c>
      <c r="BM9" t="inlineStr"/>
      <c r="BN9" t="inlineStr">
        <is>
          <t>Campaign; nhiệm vụ c7m01; mua sớm; 1500 xu</t>
        </is>
      </c>
      <c r="BQ9" t="inlineStr">
        <is>
          <t>tank_buster</t>
        </is>
      </c>
      <c r="BR9" t="n">
        <v>30</v>
      </c>
      <c r="BS9" t="n">
        <v>2</v>
      </c>
      <c r="BX9" t="n">
        <v>3.8</v>
      </c>
      <c r="BZ9" t="n">
        <v>0</v>
      </c>
      <c r="CF9" t="n">
        <v>23</v>
      </c>
      <c r="CH9" t="n">
        <v>95</v>
      </c>
      <c r="CI9" t="n">
        <v>0.6</v>
      </c>
      <c r="CJ9" t="n">
        <v>7</v>
      </c>
      <c r="CK9" t="inlineStr">
        <is>
          <t>Huge</t>
        </is>
      </c>
      <c r="CV9" t="n">
        <v>5</v>
      </c>
      <c r="CZ9" t="b">
        <v>1</v>
      </c>
      <c r="DA9" t="b">
        <v>1</v>
      </c>
      <c r="DB9" t="b">
        <v>1</v>
      </c>
      <c r="DD9" t="n">
        <v>650</v>
      </c>
      <c r="DL9" t="n">
        <v>1</v>
      </c>
      <c r="DN9" t="inlineStr">
        <is>
          <t>gun</t>
        </is>
      </c>
      <c r="EA9" t="n">
        <v>1.84</v>
      </c>
      <c r="EB9" t="n">
        <v>6.15</v>
      </c>
      <c r="EC9" t="n">
        <v>6.04</v>
      </c>
      <c r="EK9" t="n">
        <v>1.4694</v>
      </c>
      <c r="EL9" t="n">
        <v>3.2</v>
      </c>
      <c r="EO9" t="n">
        <v>14</v>
      </c>
      <c r="ER9" t="n">
        <v>1</v>
      </c>
      <c r="EY9" t="inlineStr">
        <is>
          <t>jet_flares</t>
        </is>
      </c>
      <c r="EZ9" t="n">
        <v>32</v>
      </c>
      <c r="FE9" t="inlineStr">
        <is>
          <t>Light;Tank;Heavy;Artillery;Defense</t>
        </is>
      </c>
      <c r="FG9" t="n">
        <v>104</v>
      </c>
      <c r="FH9" t="n">
        <v>360</v>
      </c>
      <c r="FI9" t="n">
        <v>1.11</v>
      </c>
      <c r="FJ9" t="n">
        <v>50</v>
      </c>
      <c r="FL9" t="inlineStr">
        <is>
          <t>jet_cannon</t>
        </is>
      </c>
      <c r="FN9" t="inlineStr">
        <is>
          <t>Assets/MachineBrigade/Resources/Data/balance.json: vehicles[15]</t>
        </is>
      </c>
      <c r="FO9" t="inlineStr">
        <is>
          <t>{"id":"attack_jet","flareCharges":2,"dropDelay":5,"outgoingDamageMult":1.4694,"loads":{"jet_bombs":1},"value":1.11,"altModels":["tank_buster"],"rearmTime":14,"strongVs":["Light","Tank","Heavy","Artillery","Defense"],"scale":1,"modelSize":[6.15,6.04,1.84],"armour":2,"hp":650,"speed":32,"turnRate":104,"turretTurnRate":360,"radius":3.2,"cp":23,"vision":50,"firesWhileMoving":true,"weapon":"jet_cannon","mainSlot":"gun","flying":true,"fixedWing":true,"altitude":30,"captureRate":0,"attackHold":3.8,"secondary":[{"weapon":"s8_pods","slot":"rocket","aim":"Hull"},{"weapon":"jet_bombs","slot":"missile","aim":"Hull"},{"weapon":"kh29","slot":"missile","aim":"Hull"},{"weapon":"r60","slot":"aam","aim":"Free"}],"skills":["jet_flares"],"deathExplosion":{"damage":95,"radius":7,"delay":0.6,"tier":"Huge"}}</t>
        </is>
      </c>
    </row>
    <row r="10">
      <c r="A10" t="inlineStr">
        <is>
          <t>ballistic_launcher</t>
        </is>
      </c>
      <c r="B10" t="inlineStr">
        <is>
          <t>xe</t>
        </is>
      </c>
      <c r="C10" t="inlineStr">
        <is>
          <t>Tactical ballistic launcher</t>
        </is>
      </c>
      <c r="D10" t="inlineStr">
        <is>
          <t>Xe phóng tên lửa chiến thuật</t>
        </is>
      </c>
      <c r="E10" t="inlineStr">
        <is>
          <t>TL chiến thuật</t>
        </is>
      </c>
      <c r="F10" t="inlineStr"/>
      <c r="G10" t="inlineStr"/>
      <c r="H10" t="inlineStr"/>
      <c r="I10" t="n">
        <v>14</v>
      </c>
      <c r="J10" t="n">
        <v>595</v>
      </c>
      <c r="K10" t="n">
        <v>1309</v>
      </c>
      <c r="L10" t="n">
        <v>1</v>
      </c>
      <c r="M10" t="n">
        <v>0</v>
      </c>
      <c r="N10" t="n">
        <v>0</v>
      </c>
      <c r="O10" t="n">
        <v>0</v>
      </c>
      <c r="P10" t="b">
        <v>0</v>
      </c>
      <c r="Q10" t="n">
        <v>6.5</v>
      </c>
      <c r="R10" t="n">
        <v>55</v>
      </c>
      <c r="S10" t="n">
        <v>35</v>
      </c>
      <c r="T10" t="n">
        <v>26</v>
      </c>
      <c r="U10" t="n">
        <v>2.6</v>
      </c>
      <c r="V10" t="n">
        <v>10.7</v>
      </c>
      <c r="W10" t="n">
        <v>2.53</v>
      </c>
      <c r="X10" t="b">
        <v>0</v>
      </c>
      <c r="Y10" t="n">
        <v>0</v>
      </c>
      <c r="Z10" t="b">
        <v>0</v>
      </c>
      <c r="AA10" t="b">
        <v>0</v>
      </c>
      <c r="AB10" t="n">
        <v>1</v>
      </c>
      <c r="AC10" t="n">
        <v>3.5</v>
      </c>
      <c r="AD10" t="n">
        <v>1.2727</v>
      </c>
      <c r="AE10" t="inlineStr">
        <is>
          <t>ballistic_missile</t>
        </is>
      </c>
      <c r="AF10" t="inlineStr"/>
      <c r="AG10" t="inlineStr"/>
      <c r="AH10" t="inlineStr">
        <is>
          <t>none</t>
        </is>
      </c>
      <c r="AI10" t="inlineStr"/>
      <c r="AJ10" t="inlineStr"/>
      <c r="AK10" t="inlineStr">
        <is>
          <t>ballistic_launcher</t>
        </is>
      </c>
      <c r="AL10" t="inlineStr">
        <is>
          <t>doi</t>
        </is>
      </c>
      <c r="AM10" t="n">
        <v>11</v>
      </c>
      <c r="AN10" t="n">
        <v>14</v>
      </c>
      <c r="AO10" t="n">
        <v>450</v>
      </c>
      <c r="AP10" t="n">
        <v>595</v>
      </c>
      <c r="BG10" t="n">
        <v>1</v>
      </c>
      <c r="BH10" t="n">
        <v>1.2727</v>
      </c>
      <c r="BI10" t="n">
        <v>14</v>
      </c>
      <c r="BJ10" t="n">
        <v>4</v>
      </c>
      <c r="BK10" t="inlineStr"/>
      <c r="BL10" t="inlineStr"/>
      <c r="BM10" t="inlineStr"/>
      <c r="BN10" t="inlineStr">
        <is>
          <t>Campaign; nhiệm vụ c8m11; mua sớm; 1500 xu</t>
        </is>
      </c>
      <c r="BS10" t="n">
        <v>1</v>
      </c>
      <c r="CF10" t="n">
        <v>14</v>
      </c>
      <c r="CH10" t="n">
        <v>260</v>
      </c>
      <c r="CI10" t="n">
        <v>0.4</v>
      </c>
      <c r="CJ10" t="n">
        <v>13</v>
      </c>
      <c r="CK10" t="inlineStr">
        <is>
          <t>Ultimate</t>
        </is>
      </c>
      <c r="CY10" t="n">
        <v>2.2</v>
      </c>
      <c r="CZ10" t="b">
        <v>0</v>
      </c>
      <c r="DD10" t="n">
        <v>595</v>
      </c>
      <c r="DI10" t="n">
        <v>10.7</v>
      </c>
      <c r="DM10" t="inlineStr">
        <is>
          <t>Hull</t>
        </is>
      </c>
      <c r="EA10" t="n">
        <v>4.18</v>
      </c>
      <c r="EB10" t="n">
        <v>10.7</v>
      </c>
      <c r="EC10" t="n">
        <v>2.53</v>
      </c>
      <c r="EK10" t="n">
        <v>1.2727</v>
      </c>
      <c r="EL10" t="n">
        <v>2.6</v>
      </c>
      <c r="ER10" t="n">
        <v>1</v>
      </c>
      <c r="EW10" t="inlineStr"/>
      <c r="EZ10" t="n">
        <v>6.5</v>
      </c>
      <c r="FG10" t="n">
        <v>55</v>
      </c>
      <c r="FH10" t="n">
        <v>35</v>
      </c>
      <c r="FI10" t="n">
        <v>1.18</v>
      </c>
      <c r="FJ10" t="n">
        <v>26</v>
      </c>
      <c r="FL10" t="inlineStr">
        <is>
          <t>ballistic_missile</t>
        </is>
      </c>
      <c r="FM10" t="n">
        <v>2.53</v>
      </c>
      <c r="FN10" t="inlineStr">
        <is>
          <t>Assets/MachineBrigade/Resources/Data/balance.json: vehicles[27]</t>
        </is>
      </c>
      <c r="FO10" t="inlineStr">
        <is>
          <t>{"id":"ballistic_launcher","erectSeconds":2.2,"mainAim":"Hull","outgoingDamageMult":1.2727,"value":1.18,"scale":1,"modelSize":[10.7,2.53,4.18],"armour":1,"hp":595,"speed":6.5,"turnRate":55,"turretTurnRate":35,"radius":2.6,"length":10.7,"width":2.53,"cp":14,"vision":26,"firesWhileMoving":false,"weapon":"ballistic_missile","secondary":[],"deathExplosion":{"damage":260,"radius":13,"delay":0.4,"tier":"Ultimate"}}</t>
        </is>
      </c>
    </row>
    <row r="11">
      <c r="A11" t="inlineStr">
        <is>
          <t>command_vehicle</t>
        </is>
      </c>
      <c r="B11" t="inlineStr">
        <is>
          <t>xe</t>
        </is>
      </c>
      <c r="C11" t="inlineStr">
        <is>
          <t>Command vehicle</t>
        </is>
      </c>
      <c r="D11" t="inlineStr">
        <is>
          <t>Xe chỉ huy</t>
        </is>
      </c>
      <c r="E11" t="inlineStr">
        <is>
          <t>Chỉ huy</t>
        </is>
      </c>
      <c r="F11" t="inlineStr">
        <is>
          <t>Support</t>
        </is>
      </c>
      <c r="G11" t="inlineStr">
        <is>
          <t>Light</t>
        </is>
      </c>
      <c r="H11" t="inlineStr"/>
      <c r="I11" t="n">
        <v>7</v>
      </c>
      <c r="J11" t="n">
        <v>668</v>
      </c>
      <c r="K11" t="n">
        <v>1469.6</v>
      </c>
      <c r="L11" t="n">
        <v>1</v>
      </c>
      <c r="M11" t="n">
        <v>1</v>
      </c>
      <c r="N11" t="n">
        <v>0</v>
      </c>
      <c r="O11" t="n">
        <v>0</v>
      </c>
      <c r="P11" t="b">
        <v>0</v>
      </c>
      <c r="Q11" t="n">
        <v>8</v>
      </c>
      <c r="R11" t="n">
        <v>90</v>
      </c>
      <c r="S11" t="n">
        <v>200</v>
      </c>
      <c r="T11" t="n">
        <v>44</v>
      </c>
      <c r="U11" t="n">
        <v>2.3</v>
      </c>
      <c r="V11" t="n">
        <v>5.64</v>
      </c>
      <c r="W11" t="n">
        <v>2.08</v>
      </c>
      <c r="X11" t="b">
        <v>0</v>
      </c>
      <c r="Y11" t="n">
        <v>0</v>
      </c>
      <c r="Z11" t="b">
        <v>0</v>
      </c>
      <c r="AA11" t="b">
        <v>1</v>
      </c>
      <c r="AB11" t="n">
        <v>1</v>
      </c>
      <c r="AC11" t="n">
        <v>3.5</v>
      </c>
      <c r="AD11" t="n">
        <v>1.1667</v>
      </c>
      <c r="AE11" t="inlineStr">
        <is>
          <t>hmg_selfdef_15</t>
        </is>
      </c>
      <c r="AF11" t="inlineStr"/>
      <c r="AG11" t="inlineStr"/>
      <c r="AH11" t="inlineStr">
        <is>
          <t>none</t>
        </is>
      </c>
      <c r="AI11" t="inlineStr"/>
      <c r="AJ11" t="inlineStr"/>
      <c r="AK11" t="inlineStr">
        <is>
          <t>command_vehicle</t>
        </is>
      </c>
      <c r="AL11" t="inlineStr">
        <is>
          <t>doi</t>
        </is>
      </c>
      <c r="AM11" t="n">
        <v>6</v>
      </c>
      <c r="AN11" t="n">
        <v>7</v>
      </c>
      <c r="AO11" t="n">
        <v>560</v>
      </c>
      <c r="AP11" t="n">
        <v>668</v>
      </c>
      <c r="BG11" t="n">
        <v>1</v>
      </c>
      <c r="BH11" t="n">
        <v>1.1667</v>
      </c>
      <c r="BI11" t="n">
        <v>7</v>
      </c>
      <c r="BJ11" t="n">
        <v>2</v>
      </c>
      <c r="BK11" t="inlineStr"/>
      <c r="BL11" t="inlineStr"/>
      <c r="BM11" t="inlineStr"/>
      <c r="BN11" t="inlineStr">
        <is>
          <t>Campaign; nhiệm vụ c4m01; mua sớm; 800 xu</t>
        </is>
      </c>
      <c r="BT11" t="n">
        <v>1</v>
      </c>
      <c r="BU11" t="n">
        <v>0</v>
      </c>
      <c r="BV11" t="n">
        <v>1</v>
      </c>
      <c r="BW11" t="n">
        <v>0</v>
      </c>
      <c r="BZ11" t="n">
        <v>1</v>
      </c>
      <c r="CC11" t="inlineStr">
        <is>
          <t>Support</t>
        </is>
      </c>
      <c r="CD11" t="n">
        <v>0.1</v>
      </c>
      <c r="CE11" t="n">
        <v>25</v>
      </c>
      <c r="CF11" t="n">
        <v>7</v>
      </c>
      <c r="CH11" t="n">
        <v>70</v>
      </c>
      <c r="CI11" t="n">
        <v>0.3</v>
      </c>
      <c r="CJ11" t="n">
        <v>6</v>
      </c>
      <c r="CK11" t="inlineStr">
        <is>
          <t>Large</t>
        </is>
      </c>
      <c r="CZ11" t="b">
        <v>1</v>
      </c>
      <c r="DC11" t="n">
        <v>5</v>
      </c>
      <c r="DD11" t="n">
        <v>668</v>
      </c>
      <c r="DI11" t="n">
        <v>5.64</v>
      </c>
      <c r="DM11" t="inlineStr">
        <is>
          <t>Free</t>
        </is>
      </c>
      <c r="DN11" t="inlineStr">
        <is>
          <t>mg</t>
        </is>
      </c>
      <c r="DQ11" t="n">
        <v>1</v>
      </c>
      <c r="EA11" t="n">
        <v>2.14</v>
      </c>
      <c r="EB11" t="n">
        <v>5.64</v>
      </c>
      <c r="EC11" t="n">
        <v>2.08</v>
      </c>
      <c r="EK11" t="n">
        <v>1.1667</v>
      </c>
      <c r="EL11" t="n">
        <v>2.3</v>
      </c>
      <c r="ER11" t="n">
        <v>1</v>
      </c>
      <c r="EZ11" t="n">
        <v>8</v>
      </c>
      <c r="FG11" t="n">
        <v>90</v>
      </c>
      <c r="FH11" t="n">
        <v>200</v>
      </c>
      <c r="FI11" t="n">
        <v>1</v>
      </c>
      <c r="FJ11" t="n">
        <v>44</v>
      </c>
      <c r="FL11" t="inlineStr">
        <is>
          <t>hmg_selfdef_15</t>
        </is>
      </c>
      <c r="FM11" t="n">
        <v>2.08</v>
      </c>
      <c r="FN11" t="inlineStr">
        <is>
          <t>Assets/MachineBrigade/Resources/Data/balance.json: vehicles[41]</t>
        </is>
      </c>
      <c r="FO11" t="inlineStr">
        <is>
          <t>{"id":"command_vehicle","outgoingDamageMult":1.1667,"value":1,"scale":1,"modelSize":[5.64,2.08,2.14],"class":"Support","armour":[1,1,0,0],"hp":668,"speed":8,"turnRate":90,"turretTurnRate":200,"radius":2.3,"length":5.64,"width":2.08,"cp":7,"vision":44,"firesWhileMoving":true,"weapon":"hmg_selfdef_15","mainSlot":"mg","mainAim":"Free","captureRate":1,"commandAura":{"radius":25,"fireRate":0.1},"forwardDrop":5,"maxPerSide":1,"deathExplosion":{"damage":70,"radius":6,"delay":0.3,"tier":"Large"}}</t>
        </is>
      </c>
    </row>
    <row r="12">
      <c r="A12" t="inlineStr">
        <is>
          <t>demolition_line_vehicle</t>
        </is>
      </c>
      <c r="B12" t="inlineStr">
        <is>
          <t>xe</t>
        </is>
      </c>
      <c r="C12" t="inlineStr">
        <is>
          <t>Demolition-line vehicle</t>
        </is>
      </c>
      <c r="D12" t="inlineStr">
        <is>
          <t>Xe phá mìn bằng dây nổ</t>
        </is>
      </c>
      <c r="E12" t="inlineStr">
        <is>
          <t>Phá mìn</t>
        </is>
      </c>
      <c r="F12" t="inlineStr">
        <is>
          <t>Support</t>
        </is>
      </c>
      <c r="G12" t="inlineStr">
        <is>
          <t>Light</t>
        </is>
      </c>
      <c r="H12" t="inlineStr"/>
      <c r="I12" t="n">
        <v>4</v>
      </c>
      <c r="J12" t="n">
        <v>545</v>
      </c>
      <c r="K12" t="n">
        <v>1199</v>
      </c>
      <c r="L12" t="n">
        <v>2</v>
      </c>
      <c r="M12" t="n">
        <v>1</v>
      </c>
      <c r="N12" t="n">
        <v>0</v>
      </c>
      <c r="O12" t="n">
        <v>0</v>
      </c>
      <c r="P12" t="b">
        <v>0</v>
      </c>
      <c r="Q12" t="n">
        <v>4.4</v>
      </c>
      <c r="R12" t="n">
        <v>80</v>
      </c>
      <c r="S12" t="n">
        <v>200</v>
      </c>
      <c r="T12" t="n">
        <v>30</v>
      </c>
      <c r="U12" t="n">
        <v>2.2</v>
      </c>
      <c r="V12" t="n">
        <v>6.45</v>
      </c>
      <c r="W12" t="n">
        <v>3.02</v>
      </c>
      <c r="X12" t="b">
        <v>0</v>
      </c>
      <c r="Y12" t="n">
        <v>0</v>
      </c>
      <c r="Z12" t="b">
        <v>0</v>
      </c>
      <c r="AA12" t="b">
        <v>1</v>
      </c>
      <c r="AB12" t="n">
        <v>1</v>
      </c>
      <c r="AC12" t="n">
        <v>2.5</v>
      </c>
      <c r="AD12" t="n">
        <v>1</v>
      </c>
      <c r="AE12" t="inlineStr">
        <is>
          <t>hmg_selfdef_15</t>
        </is>
      </c>
      <c r="AF12" t="inlineStr"/>
      <c r="AG12" t="inlineStr"/>
      <c r="AH12" t="inlineStr">
        <is>
          <t>none</t>
        </is>
      </c>
      <c r="AI12" t="inlineStr"/>
      <c r="AJ12" t="inlineStr"/>
      <c r="AK12" t="inlineStr">
        <is>
          <t>demolition_line_vehicle</t>
        </is>
      </c>
      <c r="AL12" t="inlineStr">
        <is>
          <t>giong</t>
        </is>
      </c>
      <c r="BI12" t="n">
        <v>4</v>
      </c>
      <c r="BJ12" t="n">
        <v>1</v>
      </c>
      <c r="BK12" t="inlineStr"/>
      <c r="BL12" t="inlineStr"/>
      <c r="BM12" t="inlineStr">
        <is>
          <t>engineer</t>
        </is>
      </c>
      <c r="BN12" t="inlineStr">
        <is>
          <t>Premium; 1500 xu</t>
        </is>
      </c>
      <c r="BS12" t="n">
        <v>2</v>
      </c>
      <c r="CC12" t="inlineStr">
        <is>
          <t>Support</t>
        </is>
      </c>
      <c r="CF12" t="n">
        <v>4</v>
      </c>
      <c r="CH12" t="n">
        <v>70</v>
      </c>
      <c r="CI12" t="n">
        <v>0.35</v>
      </c>
      <c r="CJ12" t="n">
        <v>6</v>
      </c>
      <c r="CK12" t="inlineStr">
        <is>
          <t>Large</t>
        </is>
      </c>
      <c r="CV12" t="n">
        <v>2.5</v>
      </c>
      <c r="CZ12" t="b">
        <v>1</v>
      </c>
      <c r="DD12" t="n">
        <v>545</v>
      </c>
      <c r="DI12" t="n">
        <v>6.45</v>
      </c>
      <c r="DS12" t="b">
        <v>1</v>
      </c>
      <c r="DZ12" t="inlineStr">
        <is>
          <t>demolition_line_vehicle</t>
        </is>
      </c>
      <c r="EA12" t="n">
        <v>2.02</v>
      </c>
      <c r="EB12" t="n">
        <v>6.45</v>
      </c>
      <c r="EC12" t="n">
        <v>3.02</v>
      </c>
      <c r="EL12" t="n">
        <v>2.2</v>
      </c>
      <c r="EZ12" t="n">
        <v>4.4</v>
      </c>
      <c r="FG12" t="n">
        <v>80</v>
      </c>
      <c r="FH12" t="n">
        <v>200</v>
      </c>
      <c r="FJ12" t="n">
        <v>30</v>
      </c>
      <c r="FL12" t="inlineStr">
        <is>
          <t>hmg_selfdef_15</t>
        </is>
      </c>
      <c r="FM12" t="n">
        <v>3.02</v>
      </c>
      <c r="FN12" t="inlineStr">
        <is>
          <t>Assets/MachineBrigade/Resources/Data/balance.json: vehicles[123]</t>
        </is>
      </c>
      <c r="FO12" t="inlineStr">
        <is>
          <t>{"id":"demolition_line_vehicle","dropDelay":2.5,"model":"demolition_line_vehicle","modelSize":[6.45,3.02,2.02],"class":"Support","armour":2,"hp":545,"speed":4.4,"turnRate":80,"turretTurnRate":200,"radius":2.2,"length":6.45,"width":3.02,"cp":4,"vision":30,"firesWhileMoving":true,"weapon":"hmg_selfdef_15","mineProof":true,"deathExplosion":{"damage":70,"radius":6,"delay":0.35,"tier":"Large"}}</t>
        </is>
      </c>
    </row>
    <row r="13">
      <c r="A13" t="inlineStr">
        <is>
          <t>drop_pod</t>
        </is>
      </c>
      <c r="B13" t="inlineStr">
        <is>
          <t>vat_pham</t>
        </is>
      </c>
      <c r="C13" t="inlineStr">
        <is>
          <t>Drop pod</t>
        </is>
      </c>
      <c r="D13" t="inlineStr">
        <is>
          <t>Khoang đổ bộ</t>
        </is>
      </c>
      <c r="E13" t="inlineStr">
        <is>
          <t>Khoang đổ bộ</t>
        </is>
      </c>
      <c r="F13" t="inlineStr"/>
      <c r="G13" t="inlineStr"/>
      <c r="H13" t="inlineStr"/>
      <c r="I13" t="n">
        <v>0</v>
      </c>
      <c r="J13" t="n">
        <v>160</v>
      </c>
      <c r="K13" t="n">
        <v>352</v>
      </c>
      <c r="L13" t="n">
        <v>1</v>
      </c>
      <c r="M13" t="n">
        <v>1</v>
      </c>
      <c r="N13" t="n">
        <v>1</v>
      </c>
      <c r="O13" t="n">
        <v>1</v>
      </c>
      <c r="P13" t="b">
        <v>0</v>
      </c>
      <c r="Q13" t="n">
        <v>1</v>
      </c>
      <c r="R13" t="n">
        <v>1</v>
      </c>
      <c r="S13" t="n">
        <v>1</v>
      </c>
      <c r="T13" t="n">
        <v>12</v>
      </c>
      <c r="U13" t="n">
        <v>1.8</v>
      </c>
      <c r="V13" t="inlineStr"/>
      <c r="W13" t="inlineStr"/>
      <c r="X13" t="b">
        <v>1</v>
      </c>
      <c r="Y13" t="n">
        <v>30</v>
      </c>
      <c r="Z13" t="b">
        <v>0</v>
      </c>
      <c r="AA13" t="b">
        <v>1</v>
      </c>
      <c r="AB13" t="n">
        <v>0</v>
      </c>
      <c r="AC13" t="n">
        <v>3.5</v>
      </c>
      <c r="AD13" t="n">
        <v>1</v>
      </c>
      <c r="AE13" t="inlineStr">
        <is>
          <t>none</t>
        </is>
      </c>
      <c r="AF13" t="inlineStr"/>
      <c r="AG13" t="inlineStr"/>
      <c r="AH13" t="inlineStr">
        <is>
          <t>none</t>
        </is>
      </c>
      <c r="AI13" t="inlineStr"/>
      <c r="AJ13" t="inlineStr"/>
      <c r="AK13" t="inlineStr">
        <is>
          <t>drop_pod</t>
        </is>
      </c>
      <c r="AL13" t="inlineStr">
        <is>
          <t>giong</t>
        </is>
      </c>
      <c r="BI13" t="n">
        <v>0</v>
      </c>
      <c r="BJ13" t="n">
        <v>1</v>
      </c>
      <c r="BK13" t="inlineStr"/>
      <c r="BL13" t="inlineStr"/>
      <c r="BM13" t="inlineStr"/>
      <c r="BN13" t="inlineStr">
        <is>
          <t>Campaign; mua sớm; 300 xu</t>
        </is>
      </c>
      <c r="BR13" t="n">
        <v>30</v>
      </c>
      <c r="BS13" t="n">
        <v>1</v>
      </c>
      <c r="BZ13" t="n">
        <v>0</v>
      </c>
      <c r="CA13" t="b">
        <v>0</v>
      </c>
      <c r="CF13" t="n">
        <v>0</v>
      </c>
      <c r="CZ13" t="b">
        <v>1</v>
      </c>
      <c r="DB13" t="b">
        <v>1</v>
      </c>
      <c r="DD13" t="n">
        <v>160</v>
      </c>
      <c r="EL13" t="n">
        <v>1.8</v>
      </c>
      <c r="EZ13" t="n">
        <v>1</v>
      </c>
      <c r="FG13" t="n">
        <v>1</v>
      </c>
      <c r="FH13" t="n">
        <v>1</v>
      </c>
      <c r="FJ13" t="n">
        <v>12</v>
      </c>
      <c r="FL13" t="inlineStr">
        <is>
          <t>none</t>
        </is>
      </c>
      <c r="FN13" t="inlineStr">
        <is>
          <t>Assets/MachineBrigade/Resources/Data/balance.json: vehicles[145]</t>
        </is>
      </c>
      <c r="FO13" t="inlineStr">
        <is>
          <t>{"id":"drop_pod","card":false,"armour":1,"hp":160,"speed":1,"turnRate":1,"turretTurnRate":1,"radius":1.8,"cp":0,"vision":12,"firesWhileMoving":true,"weapon":"none","flying":true,"altitude":30,"captureRate":0}</t>
        </is>
      </c>
    </row>
    <row r="14">
      <c r="A14" t="inlineStr">
        <is>
          <t>elite_aa</t>
        </is>
      </c>
      <c r="B14" t="inlineStr">
        <is>
          <t>tinh_nhue</t>
        </is>
      </c>
      <c r="C14" t="inlineStr">
        <is>
          <t>Elite anti-air</t>
        </is>
      </c>
      <c r="D14" t="inlineStr">
        <is>
          <t>Phòng không tinh nhuệ</t>
        </is>
      </c>
      <c r="E14" t="inlineStr">
        <is>
          <t>Phòng không TN</t>
        </is>
      </c>
      <c r="F14" t="inlineStr">
        <is>
          <t>AntiAir</t>
        </is>
      </c>
      <c r="G14" t="inlineStr">
        <is>
          <t>Light</t>
        </is>
      </c>
      <c r="H14" t="inlineStr"/>
      <c r="I14" t="n">
        <v>0</v>
      </c>
      <c r="J14" t="n">
        <v>473</v>
      </c>
      <c r="K14" t="n">
        <v>1040.6</v>
      </c>
      <c r="L14" t="n">
        <v>2</v>
      </c>
      <c r="M14" t="n">
        <v>0</v>
      </c>
      <c r="N14" t="n">
        <v>0</v>
      </c>
      <c r="O14" t="n">
        <v>0</v>
      </c>
      <c r="P14" t="b">
        <v>0</v>
      </c>
      <c r="Q14" t="n">
        <v>8.5</v>
      </c>
      <c r="R14" t="n">
        <v>90</v>
      </c>
      <c r="S14" t="n">
        <v>240</v>
      </c>
      <c r="T14" t="n">
        <v>60</v>
      </c>
      <c r="U14" t="n">
        <v>2.3</v>
      </c>
      <c r="V14" t="n">
        <v>6.73</v>
      </c>
      <c r="W14" t="n">
        <v>3.52</v>
      </c>
      <c r="X14" t="b">
        <v>0</v>
      </c>
      <c r="Y14" t="n">
        <v>0</v>
      </c>
      <c r="Z14" t="b">
        <v>0</v>
      </c>
      <c r="AA14" t="b">
        <v>1</v>
      </c>
      <c r="AB14" t="n">
        <v>1</v>
      </c>
      <c r="AC14" t="n">
        <v>3.5</v>
      </c>
      <c r="AD14" t="n">
        <v>1</v>
      </c>
      <c r="AE14" t="inlineStr">
        <is>
          <t>twin_35_ahead</t>
        </is>
      </c>
      <c r="AF14" t="inlineStr">
        <is>
          <t>sam</t>
        </is>
      </c>
      <c r="AG14" t="inlineStr">
        <is>
          <t>elite_overdrive</t>
        </is>
      </c>
      <c r="AH14" t="inlineStr">
        <is>
          <t>none</t>
        </is>
      </c>
      <c r="AI14" t="inlineStr"/>
      <c r="AJ14" t="inlineStr"/>
      <c r="AK14" t="inlineStr">
        <is>
          <t>elite_aa</t>
        </is>
      </c>
      <c r="AL14" t="inlineStr">
        <is>
          <t>giong</t>
        </is>
      </c>
      <c r="BI14" t="n">
        <v>6</v>
      </c>
      <c r="BJ14" t="n">
        <v>1</v>
      </c>
      <c r="BK14" t="inlineStr">
        <is>
          <t>aa_vehicle</t>
        </is>
      </c>
      <c r="BL14" t="inlineStr"/>
      <c r="BM14" t="inlineStr"/>
      <c r="BN14" t="inlineStr">
        <is>
          <t>KHONG_AP_DUNG</t>
        </is>
      </c>
      <c r="BT14" t="n">
        <v>2</v>
      </c>
      <c r="BU14" t="n">
        <v>0</v>
      </c>
      <c r="BV14" t="n">
        <v>0</v>
      </c>
      <c r="BW14" t="n">
        <v>0</v>
      </c>
      <c r="CC14" t="inlineStr">
        <is>
          <t>AntiAir</t>
        </is>
      </c>
      <c r="CF14" t="n">
        <v>0</v>
      </c>
      <c r="CH14" t="n">
        <v>110</v>
      </c>
      <c r="CI14" t="n">
        <v>0.35</v>
      </c>
      <c r="CJ14" t="n">
        <v>7</v>
      </c>
      <c r="CK14" t="inlineStr">
        <is>
          <t>Huge</t>
        </is>
      </c>
      <c r="CW14" t="b">
        <v>1</v>
      </c>
      <c r="CX14" t="inlineStr">
        <is>
          <t>aa_vehicle</t>
        </is>
      </c>
      <c r="CZ14" t="b">
        <v>1</v>
      </c>
      <c r="DD14" t="n">
        <v>473</v>
      </c>
      <c r="DI14" t="n">
        <v>6.73</v>
      </c>
      <c r="EA14" t="n">
        <v>3.36</v>
      </c>
      <c r="EB14" t="n">
        <v>7.41</v>
      </c>
      <c r="EC14" t="n">
        <v>3.52</v>
      </c>
      <c r="EL14" t="n">
        <v>2.3</v>
      </c>
      <c r="ER14" t="n">
        <v>1</v>
      </c>
      <c r="EY14" t="inlineStr">
        <is>
          <t>elite_overdrive</t>
        </is>
      </c>
      <c r="EZ14" t="n">
        <v>8.5</v>
      </c>
      <c r="FG14" t="n">
        <v>90</v>
      </c>
      <c r="FH14" t="n">
        <v>240</v>
      </c>
      <c r="FJ14" t="n">
        <v>60</v>
      </c>
      <c r="FL14" t="inlineStr">
        <is>
          <t>twin_35_ahead</t>
        </is>
      </c>
      <c r="FM14" t="n">
        <v>3.52</v>
      </c>
      <c r="FN14" t="inlineStr">
        <is>
          <t>Assets/MachineBrigade/Resources/Data/balance.json: vehicles[53]</t>
        </is>
      </c>
      <c r="FO14" t="inlineStr">
        <is>
          <t>{"id":"elite_aa","modelSize":[7.41,3.52,3.36],"scale":1,"class":"AntiAir","elite":true,"eliteOf":"aa_vehicle","armour":[2,0,0,0],"hp":473,"speed":8.5,"turnRate":90,"turretTurnRate":240,"radius":2.3,"length":6.73,"width":3.52,"cp":0,"vision":60,"firesWhileMoving":true,"weapon":"twin_35_ahead","skills":["elite_overdrive"],"secondary":[{"weapon":"sam","slot":"missile","aim":"Turret"}],"deathExplosion":{"damage":110,"radius":7,"delay":0.35,"tier":"Huge"}}</t>
        </is>
      </c>
    </row>
    <row r="15">
      <c r="A15" t="inlineStr">
        <is>
          <t>elite_apc</t>
        </is>
      </c>
      <c r="B15" t="inlineStr">
        <is>
          <t>tinh_nhue</t>
        </is>
      </c>
      <c r="C15" t="inlineStr">
        <is>
          <t>Elite EW carrier</t>
        </is>
      </c>
      <c r="D15" t="inlineStr">
        <is>
          <t>Xe bọc thép tinh nhuệ</t>
        </is>
      </c>
      <c r="E15" t="inlineStr">
        <is>
          <t>Bọc thép TN</t>
        </is>
      </c>
      <c r="F15" t="inlineStr">
        <is>
          <t>Light</t>
        </is>
      </c>
      <c r="G15" t="inlineStr">
        <is>
          <t>Light</t>
        </is>
      </c>
      <c r="H15" t="inlineStr"/>
      <c r="I15" t="n">
        <v>0</v>
      </c>
      <c r="J15" t="n">
        <v>702</v>
      </c>
      <c r="K15" t="n">
        <v>1544.4</v>
      </c>
      <c r="L15" t="n">
        <v>3</v>
      </c>
      <c r="M15" t="n">
        <v>1</v>
      </c>
      <c r="N15" t="n">
        <v>0</v>
      </c>
      <c r="O15" t="n">
        <v>0</v>
      </c>
      <c r="P15" t="b">
        <v>0</v>
      </c>
      <c r="Q15" t="n">
        <v>9</v>
      </c>
      <c r="R15" t="n">
        <v>110</v>
      </c>
      <c r="S15" t="n">
        <v>160</v>
      </c>
      <c r="T15" t="n">
        <v>34</v>
      </c>
      <c r="U15" t="n">
        <v>2.5</v>
      </c>
      <c r="V15" t="n">
        <v>6.11</v>
      </c>
      <c r="W15" t="n">
        <v>3.47</v>
      </c>
      <c r="X15" t="b">
        <v>0</v>
      </c>
      <c r="Y15" t="n">
        <v>0</v>
      </c>
      <c r="Z15" t="b">
        <v>0</v>
      </c>
      <c r="AA15" t="b">
        <v>1</v>
      </c>
      <c r="AB15" t="n">
        <v>1</v>
      </c>
      <c r="AC15" t="n">
        <v>3.5</v>
      </c>
      <c r="AD15" t="n">
        <v>1</v>
      </c>
      <c r="AE15" t="inlineStr">
        <is>
          <t>autocannon_30</t>
        </is>
      </c>
      <c r="AF15" t="inlineStr">
        <is>
          <t>mg_coax;atgm</t>
        </is>
      </c>
      <c r="AG15" t="inlineStr">
        <is>
          <t>elite_emp</t>
        </is>
      </c>
      <c r="AH15" t="inlineStr">
        <is>
          <t>none</t>
        </is>
      </c>
      <c r="AI15" t="inlineStr"/>
      <c r="AJ15" t="inlineStr"/>
      <c r="AK15" t="inlineStr">
        <is>
          <t>elite_apc</t>
        </is>
      </c>
      <c r="AL15" t="inlineStr">
        <is>
          <t>giong</t>
        </is>
      </c>
      <c r="BI15" t="n">
        <v>11</v>
      </c>
      <c r="BJ15" t="n">
        <v>1</v>
      </c>
      <c r="BK15" t="inlineStr">
        <is>
          <t>ifv</t>
        </is>
      </c>
      <c r="BL15" t="inlineStr"/>
      <c r="BM15" t="inlineStr"/>
      <c r="BN15" t="inlineStr">
        <is>
          <t>KHONG_AP_DUNG</t>
        </is>
      </c>
      <c r="BT15" t="n">
        <v>3</v>
      </c>
      <c r="BU15" t="n">
        <v>0</v>
      </c>
      <c r="BV15" t="n">
        <v>1</v>
      </c>
      <c r="BW15" t="n">
        <v>0</v>
      </c>
      <c r="CC15" t="inlineStr">
        <is>
          <t>Light</t>
        </is>
      </c>
      <c r="CF15" t="n">
        <v>0</v>
      </c>
      <c r="CH15" t="n">
        <v>100</v>
      </c>
      <c r="CI15" t="n">
        <v>0.35</v>
      </c>
      <c r="CJ15" t="n">
        <v>7</v>
      </c>
      <c r="CK15" t="inlineStr">
        <is>
          <t>Huge</t>
        </is>
      </c>
      <c r="CW15" t="b">
        <v>1</v>
      </c>
      <c r="CX15" t="inlineStr">
        <is>
          <t>ifv</t>
        </is>
      </c>
      <c r="CZ15" t="b">
        <v>1</v>
      </c>
      <c r="DD15" t="n">
        <v>702</v>
      </c>
      <c r="DI15" t="n">
        <v>6.11</v>
      </c>
      <c r="EA15" t="n">
        <v>3.02</v>
      </c>
      <c r="EB15" t="n">
        <v>6.31</v>
      </c>
      <c r="EC15" t="n">
        <v>3.47</v>
      </c>
      <c r="EL15" t="n">
        <v>2.5</v>
      </c>
      <c r="ER15" t="n">
        <v>1</v>
      </c>
      <c r="EX15" t="n">
        <v>0.6</v>
      </c>
      <c r="EY15" t="inlineStr">
        <is>
          <t>elite_emp</t>
        </is>
      </c>
      <c r="EZ15" t="n">
        <v>9</v>
      </c>
      <c r="FG15" t="n">
        <v>110</v>
      </c>
      <c r="FH15" t="n">
        <v>160</v>
      </c>
      <c r="FJ15" t="n">
        <v>34</v>
      </c>
      <c r="FL15" t="inlineStr">
        <is>
          <t>autocannon_30</t>
        </is>
      </c>
      <c r="FM15" t="n">
        <v>3.47</v>
      </c>
      <c r="FN15" t="inlineStr">
        <is>
          <t>Assets/MachineBrigade/Resources/Data/balance.json: vehicles[54]</t>
        </is>
      </c>
      <c r="FO15" t="inlineStr">
        <is>
          <t>{"id":"elite_apc","sideErectSeconds":0.6,"modelSize":[6.31,3.47,3.02],"scale":1,"class":"Light","elite":true,"eliteOf":"ifv","armour":[3,1,0,0],"hp":702,"speed":9,"turnRate":110,"turretTurnRate":160,"radius":2.5,"length":6.11,"width":3.47,"cp":0,"vision":34,"firesWhileMoving":true,"weapon":"autocannon_30","skills":["elite_emp"],"secondary":[{"weapon":"mg_coax","slot":"coax","aim":"Turret"},{"weapon":"atgm","slot":"missile","aim":"Turret"}],"deathExplosion":{"damage":100,"radius":7,"delay":0.35,"tier":"Huge"}}</t>
        </is>
      </c>
    </row>
    <row r="16">
      <c r="A16" t="inlineStr">
        <is>
          <t>elite_artillery</t>
        </is>
      </c>
      <c r="B16" t="inlineStr">
        <is>
          <t>tinh_nhue</t>
        </is>
      </c>
      <c r="C16" t="inlineStr">
        <is>
          <t>Elite SP howitzer</t>
        </is>
      </c>
      <c r="D16" t="inlineStr">
        <is>
          <t>Pháo tự hành tinh nhuệ</t>
        </is>
      </c>
      <c r="E16" t="inlineStr">
        <is>
          <t>Lựu pháo TN</t>
        </is>
      </c>
      <c r="F16" t="inlineStr"/>
      <c r="G16" t="inlineStr"/>
      <c r="H16" t="inlineStr">
        <is>
          <t>artillery</t>
        </is>
      </c>
      <c r="I16" t="n">
        <v>0</v>
      </c>
      <c r="J16" t="n">
        <v>405</v>
      </c>
      <c r="K16" t="n">
        <v>891</v>
      </c>
      <c r="L16" t="n">
        <v>2</v>
      </c>
      <c r="M16" t="n">
        <v>0</v>
      </c>
      <c r="N16" t="n">
        <v>0</v>
      </c>
      <c r="O16" t="n">
        <v>0</v>
      </c>
      <c r="P16" t="b">
        <v>0</v>
      </c>
      <c r="Q16" t="n">
        <v>6</v>
      </c>
      <c r="R16" t="n">
        <v>60</v>
      </c>
      <c r="S16" t="n">
        <v>45</v>
      </c>
      <c r="T16" t="n">
        <v>30</v>
      </c>
      <c r="U16" t="n">
        <v>2</v>
      </c>
      <c r="V16" t="n">
        <v>5.12</v>
      </c>
      <c r="W16" t="n">
        <v>3.13</v>
      </c>
      <c r="X16" t="b">
        <v>0</v>
      </c>
      <c r="Y16" t="n">
        <v>0</v>
      </c>
      <c r="Z16" t="b">
        <v>0</v>
      </c>
      <c r="AA16" t="b">
        <v>0</v>
      </c>
      <c r="AB16" t="n">
        <v>1</v>
      </c>
      <c r="AC16" t="n">
        <v>3.5</v>
      </c>
      <c r="AD16" t="n">
        <v>1.1667</v>
      </c>
      <c r="AE16" t="inlineStr">
        <is>
          <t>howitzer</t>
        </is>
      </c>
      <c r="AF16" t="inlineStr">
        <is>
          <t>hmg_selfdef_15</t>
        </is>
      </c>
      <c r="AG16" t="inlineStr">
        <is>
          <t>elite_barrage</t>
        </is>
      </c>
      <c r="AH16" t="inlineStr">
        <is>
          <t>none</t>
        </is>
      </c>
      <c r="AI16" t="inlineStr"/>
      <c r="AJ16" t="inlineStr"/>
      <c r="AK16" t="inlineStr">
        <is>
          <t>artillery</t>
        </is>
      </c>
      <c r="AL16" t="inlineStr">
        <is>
          <t>doi</t>
        </is>
      </c>
      <c r="BG16" t="n">
        <v>1</v>
      </c>
      <c r="BH16" t="n">
        <v>1.1667</v>
      </c>
      <c r="BI16" t="n">
        <v>11</v>
      </c>
      <c r="BJ16" t="n">
        <v>1</v>
      </c>
      <c r="BK16" t="inlineStr">
        <is>
          <t>artillery</t>
        </is>
      </c>
      <c r="BL16" t="inlineStr"/>
      <c r="BM16" t="inlineStr"/>
      <c r="BN16" t="inlineStr">
        <is>
          <t>KHONG_AP_DUNG</t>
        </is>
      </c>
      <c r="BT16" t="n">
        <v>2</v>
      </c>
      <c r="BU16" t="n">
        <v>0</v>
      </c>
      <c r="BV16" t="n">
        <v>0</v>
      </c>
      <c r="BW16" t="n">
        <v>0</v>
      </c>
      <c r="CF16" t="n">
        <v>0</v>
      </c>
      <c r="CG16" t="n">
        <v>1.15</v>
      </c>
      <c r="CW16" t="b">
        <v>1</v>
      </c>
      <c r="CX16" t="inlineStr">
        <is>
          <t>artillery</t>
        </is>
      </c>
      <c r="DD16" t="n">
        <v>405</v>
      </c>
      <c r="DE16" t="inlineStr">
        <is>
          <t>artillery</t>
        </is>
      </c>
      <c r="EY16" t="inlineStr">
        <is>
          <t>elite_barrage</t>
        </is>
      </c>
      <c r="FN16" t="inlineStr">
        <is>
          <t>Assets/MachineBrigade/Resources/Data/balance.json: vehicles[59]</t>
        </is>
      </c>
      <c r="FO16" t="inlineStr">
        <is>
          <t>{"id":"elite_artillery","armour":[2,0,0,0],"inherits":"artillery","elite":true,"eliteOf":"artillery","cp":0,"hp":405,"skills":["elite_barrage"],"damageScale":1.15}</t>
        </is>
      </c>
    </row>
    <row r="17">
      <c r="A17" t="inlineStr">
        <is>
          <t>elite_attack_helicopter</t>
        </is>
      </c>
      <c r="B17" t="inlineStr">
        <is>
          <t>tinh_nhue</t>
        </is>
      </c>
      <c r="C17" t="inlineStr">
        <is>
          <t>Elite attack helicopter</t>
        </is>
      </c>
      <c r="D17" t="inlineStr">
        <is>
          <t>Trực thăng tinh nhuệ</t>
        </is>
      </c>
      <c r="E17" t="inlineStr">
        <is>
          <t>Trực thăng TN</t>
        </is>
      </c>
      <c r="F17" t="inlineStr"/>
      <c r="G17" t="inlineStr"/>
      <c r="H17" t="inlineStr"/>
      <c r="I17" t="n">
        <v>0</v>
      </c>
      <c r="J17" t="n">
        <v>675</v>
      </c>
      <c r="K17" t="n">
        <v>1485</v>
      </c>
      <c r="L17" t="n">
        <v>2</v>
      </c>
      <c r="M17" t="n">
        <v>2</v>
      </c>
      <c r="N17" t="n">
        <v>2</v>
      </c>
      <c r="O17" t="n">
        <v>2</v>
      </c>
      <c r="P17" t="b">
        <v>0</v>
      </c>
      <c r="Q17" t="n">
        <v>15</v>
      </c>
      <c r="R17" t="n">
        <v>120</v>
      </c>
      <c r="S17" t="n">
        <v>360</v>
      </c>
      <c r="T17" t="n">
        <v>42</v>
      </c>
      <c r="U17" t="n">
        <v>3.5</v>
      </c>
      <c r="V17" t="inlineStr"/>
      <c r="W17" t="inlineStr"/>
      <c r="X17" t="b">
        <v>1</v>
      </c>
      <c r="Y17" t="n">
        <v>15</v>
      </c>
      <c r="Z17" t="b">
        <v>0</v>
      </c>
      <c r="AA17" t="b">
        <v>1</v>
      </c>
      <c r="AB17" t="n">
        <v>0</v>
      </c>
      <c r="AC17" t="n">
        <v>3.5</v>
      </c>
      <c r="AD17" t="n">
        <v>1</v>
      </c>
      <c r="AE17" t="inlineStr">
        <is>
          <t>hellfire_volley</t>
        </is>
      </c>
      <c r="AF17" t="inlineStr">
        <is>
          <t>heli_gun;heli_rockets;stinger_atas</t>
        </is>
      </c>
      <c r="AG17" t="inlineStr">
        <is>
          <t>elite_flares;elite_barrage</t>
        </is>
      </c>
      <c r="AH17" t="inlineStr">
        <is>
          <t>none</t>
        </is>
      </c>
      <c r="AI17" t="inlineStr"/>
      <c r="AJ17" t="inlineStr"/>
      <c r="AK17" t="inlineStr">
        <is>
          <t>elite_attack_helicopter</t>
        </is>
      </c>
      <c r="AL17" t="inlineStr">
        <is>
          <t>giong</t>
        </is>
      </c>
      <c r="BI17" t="n">
        <v>18</v>
      </c>
      <c r="BJ17" t="n">
        <v>1</v>
      </c>
      <c r="BK17" t="inlineStr">
        <is>
          <t>attack_helicopter</t>
        </is>
      </c>
      <c r="BL17" t="inlineStr"/>
      <c r="BM17" t="inlineStr"/>
      <c r="BN17" t="inlineStr">
        <is>
          <t>KHONG_AP_DUNG</t>
        </is>
      </c>
      <c r="BR17" t="n">
        <v>15</v>
      </c>
      <c r="BS17" t="n">
        <v>2</v>
      </c>
      <c r="BZ17" t="n">
        <v>0</v>
      </c>
      <c r="CF17" t="n">
        <v>0</v>
      </c>
      <c r="CH17" t="n">
        <v>90</v>
      </c>
      <c r="CI17" t="n">
        <v>0.6</v>
      </c>
      <c r="CJ17" t="n">
        <v>7</v>
      </c>
      <c r="CK17" t="inlineStr">
        <is>
          <t>Huge</t>
        </is>
      </c>
      <c r="CW17" t="b">
        <v>1</v>
      </c>
      <c r="CX17" t="inlineStr">
        <is>
          <t>attack_helicopter</t>
        </is>
      </c>
      <c r="CZ17" t="b">
        <v>1</v>
      </c>
      <c r="DB17" t="b">
        <v>1</v>
      </c>
      <c r="DD17" t="n">
        <v>675</v>
      </c>
      <c r="DN17" t="inlineStr">
        <is>
          <t>missile</t>
        </is>
      </c>
      <c r="EA17" t="n">
        <v>2.22</v>
      </c>
      <c r="EB17" t="n">
        <v>6.98</v>
      </c>
      <c r="EC17" t="n">
        <v>4.88</v>
      </c>
      <c r="EL17" t="n">
        <v>3.5</v>
      </c>
      <c r="EO17" t="n">
        <v>8.5</v>
      </c>
      <c r="ER17" t="n">
        <v>1</v>
      </c>
      <c r="EY17" t="inlineStr">
        <is>
          <t>elite_flares;elite_barrage</t>
        </is>
      </c>
      <c r="EZ17" t="n">
        <v>15</v>
      </c>
      <c r="FG17" t="n">
        <v>120</v>
      </c>
      <c r="FH17" t="n">
        <v>360</v>
      </c>
      <c r="FJ17" t="n">
        <v>42</v>
      </c>
      <c r="FL17" t="inlineStr">
        <is>
          <t>hellfire_volley</t>
        </is>
      </c>
      <c r="FN17" t="inlineStr">
        <is>
          <t>Assets/MachineBrigade/Resources/Data/balance.json: vehicles[51]</t>
        </is>
      </c>
      <c r="FO17" t="inlineStr">
        <is>
          <t>{"id":"elite_attack_helicopter","modelSize":[6.98,4.88,2.22],"rearmTime":8.5,"scale":1,"elite":true,"eliteOf":"attack_helicopter","armour":2,"hp":675,"speed":15,"turnRate":120,"turretTurnRate":360,"radius":3.5,"cp":0,"vision":42,"firesWhileMoving":true,"weapon":"hellfire_volley","mainSlot":"missile","flying":true,"altitude":15,"captureRate":0,"skills":["elite_flares","elite_barrage"],"secondary":[{"weapon":"heli_gun","slot":"gun","aim":"Free"},{"weapon":"heli_rockets","slot":"rocket","aim":"Hull"},{"weapon":"stinger_atas","slot":"aam","aim":"Free"}],"deathExplosion":{"damage":90,"radius":7,"delay":0.6,"tier":"Huge"}}</t>
        </is>
      </c>
    </row>
    <row r="18">
      <c r="A18" t="inlineStr">
        <is>
          <t>elite_attack_jet</t>
        </is>
      </c>
      <c r="B18" t="inlineStr">
        <is>
          <t>tinh_nhue</t>
        </is>
      </c>
      <c r="C18" t="inlineStr">
        <is>
          <t>Elite attack jet</t>
        </is>
      </c>
      <c r="D18" t="inlineStr">
        <is>
          <t>Cường kích tinh nhuệ</t>
        </is>
      </c>
      <c r="E18" t="inlineStr">
        <is>
          <t>Cường kích TN</t>
        </is>
      </c>
      <c r="F18" t="inlineStr"/>
      <c r="G18" t="inlineStr"/>
      <c r="H18" t="inlineStr">
        <is>
          <t>attack_jet</t>
        </is>
      </c>
      <c r="I18" t="n">
        <v>0</v>
      </c>
      <c r="J18" t="n">
        <v>621</v>
      </c>
      <c r="K18" t="n">
        <v>1366.2001</v>
      </c>
      <c r="L18" t="n">
        <v>2</v>
      </c>
      <c r="M18" t="n">
        <v>2</v>
      </c>
      <c r="N18" t="n">
        <v>2</v>
      </c>
      <c r="O18" t="n">
        <v>2</v>
      </c>
      <c r="P18" t="b">
        <v>0</v>
      </c>
      <c r="Q18" t="n">
        <v>32</v>
      </c>
      <c r="R18" t="n">
        <v>104</v>
      </c>
      <c r="S18" t="n">
        <v>360</v>
      </c>
      <c r="T18" t="n">
        <v>50</v>
      </c>
      <c r="U18" t="n">
        <v>3.2</v>
      </c>
      <c r="V18" t="inlineStr"/>
      <c r="W18" t="inlineStr"/>
      <c r="X18" t="b">
        <v>1</v>
      </c>
      <c r="Y18" t="n">
        <v>30</v>
      </c>
      <c r="Z18" t="b">
        <v>0</v>
      </c>
      <c r="AA18" t="b">
        <v>1</v>
      </c>
      <c r="AB18" t="n">
        <v>0</v>
      </c>
      <c r="AC18" t="n">
        <v>5</v>
      </c>
      <c r="AD18" t="n">
        <v>1.4694</v>
      </c>
      <c r="AE18" t="inlineStr">
        <is>
          <t>jet_cannon</t>
        </is>
      </c>
      <c r="AF18" t="inlineStr">
        <is>
          <t>s8_pods;jet_bombs;kh29;r60</t>
        </is>
      </c>
      <c r="AG18" t="inlineStr">
        <is>
          <t>elite_flares</t>
        </is>
      </c>
      <c r="AH18" t="inlineStr">
        <is>
          <t>flare</t>
        </is>
      </c>
      <c r="AI18" t="n">
        <v>2</v>
      </c>
      <c r="AJ18" t="n">
        <v>14</v>
      </c>
      <c r="AK18" t="inlineStr">
        <is>
          <t>attack_jet</t>
        </is>
      </c>
      <c r="AL18" t="inlineStr">
        <is>
          <t>doi</t>
        </is>
      </c>
      <c r="BG18" t="n">
        <v>1</v>
      </c>
      <c r="BH18" t="n">
        <v>1.4694</v>
      </c>
      <c r="BI18" t="n">
        <v>37</v>
      </c>
      <c r="BJ18" t="n">
        <v>1</v>
      </c>
      <c r="BK18" t="inlineStr">
        <is>
          <t>attack_jet</t>
        </is>
      </c>
      <c r="BL18" t="inlineStr"/>
      <c r="BM18" t="inlineStr"/>
      <c r="BN18" t="inlineStr">
        <is>
          <t>KHONG_AP_DUNG</t>
        </is>
      </c>
      <c r="BS18" t="n">
        <v>2</v>
      </c>
      <c r="CF18" t="n">
        <v>0</v>
      </c>
      <c r="CG18" t="n">
        <v>1</v>
      </c>
      <c r="CW18" t="b">
        <v>1</v>
      </c>
      <c r="CX18" t="inlineStr">
        <is>
          <t>attack_jet</t>
        </is>
      </c>
      <c r="DD18" t="n">
        <v>621</v>
      </c>
      <c r="DE18" t="inlineStr">
        <is>
          <t>attack_jet</t>
        </is>
      </c>
      <c r="EO18" t="n">
        <v>14</v>
      </c>
      <c r="EY18" t="inlineStr">
        <is>
          <t>elite_flares</t>
        </is>
      </c>
      <c r="FN18" t="inlineStr">
        <is>
          <t>Assets/MachineBrigade/Resources/Data/balance.json: vehicles[57]</t>
        </is>
      </c>
      <c r="FO18" t="inlineStr">
        <is>
          <t>{"id":"elite_attack_jet","armour":2,"rearmTime":14,"inherits":"attack_jet","elite":true,"eliteOf":"attack_jet","cp":0,"hp":621,"skills":["elite_flares"],"damageScale":1.0}</t>
        </is>
      </c>
    </row>
    <row r="19">
      <c r="A19" t="inlineStr">
        <is>
          <t>elite_fpv_carrier</t>
        </is>
      </c>
      <c r="B19" t="inlineStr">
        <is>
          <t>tinh_nhue</t>
        </is>
      </c>
      <c r="C19" t="inlineStr">
        <is>
          <t>Elite FPV carrier</t>
        </is>
      </c>
      <c r="D19" t="inlineStr">
        <is>
          <t>Xe phóng drone FPV tinh nhuệ</t>
        </is>
      </c>
      <c r="E19" t="inlineStr">
        <is>
          <t>Drone FPV TN</t>
        </is>
      </c>
      <c r="F19" t="inlineStr">
        <is>
          <t>TankHunter</t>
        </is>
      </c>
      <c r="G19" t="inlineStr">
        <is>
          <t>Armor</t>
        </is>
      </c>
      <c r="H19" t="inlineStr">
        <is>
          <t>fpv_carrier</t>
        </is>
      </c>
      <c r="I19" t="n">
        <v>0</v>
      </c>
      <c r="J19" t="n">
        <v>567</v>
      </c>
      <c r="K19" t="n">
        <v>1247.4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n">
        <v>9</v>
      </c>
      <c r="R19" t="n">
        <v>90</v>
      </c>
      <c r="S19" t="n">
        <v>90</v>
      </c>
      <c r="T19" t="n">
        <v>48</v>
      </c>
      <c r="U19" t="n">
        <v>2.3</v>
      </c>
      <c r="V19" t="n">
        <v>7.41</v>
      </c>
      <c r="W19" t="n">
        <v>2.04</v>
      </c>
      <c r="X19" t="b">
        <v>0</v>
      </c>
      <c r="Y19" t="n">
        <v>0</v>
      </c>
      <c r="Z19" t="b">
        <v>0</v>
      </c>
      <c r="AA19" t="b">
        <v>0</v>
      </c>
      <c r="AB19" t="n">
        <v>1</v>
      </c>
      <c r="AC19" t="n">
        <v>3.5</v>
      </c>
      <c r="AD19" t="n">
        <v>1.1667</v>
      </c>
      <c r="AE19" t="inlineStr">
        <is>
          <t>fpv_swarm</t>
        </is>
      </c>
      <c r="AF19" t="inlineStr">
        <is>
          <t>hmg_selfdef_18</t>
        </is>
      </c>
      <c r="AG19" t="inlineStr">
        <is>
          <t>elite_barrage</t>
        </is>
      </c>
      <c r="AH19" t="inlineStr">
        <is>
          <t>none</t>
        </is>
      </c>
      <c r="AI19" t="inlineStr"/>
      <c r="AJ19" t="inlineStr"/>
      <c r="AK19" t="inlineStr">
        <is>
          <t>fpv_carrier</t>
        </is>
      </c>
      <c r="AL19" t="inlineStr">
        <is>
          <t>doi</t>
        </is>
      </c>
      <c r="BG19" t="n">
        <v>1</v>
      </c>
      <c r="BH19" t="n">
        <v>1.1667</v>
      </c>
      <c r="BI19" t="n">
        <v>11</v>
      </c>
      <c r="BJ19" t="n">
        <v>1</v>
      </c>
      <c r="BK19" t="inlineStr">
        <is>
          <t>fpv_carrier</t>
        </is>
      </c>
      <c r="BL19" t="inlineStr"/>
      <c r="BM19" t="inlineStr"/>
      <c r="BN19" t="inlineStr">
        <is>
          <t>KHONG_AP_DUNG</t>
        </is>
      </c>
      <c r="BT19" t="n">
        <v>2</v>
      </c>
      <c r="BU19" t="n">
        <v>0</v>
      </c>
      <c r="BV19" t="n">
        <v>0</v>
      </c>
      <c r="BW19" t="n">
        <v>0</v>
      </c>
      <c r="CF19" t="n">
        <v>0</v>
      </c>
      <c r="CG19" t="n">
        <v>1.1</v>
      </c>
      <c r="CW19" t="b">
        <v>1</v>
      </c>
      <c r="CX19" t="inlineStr">
        <is>
          <t>fpv_carrier</t>
        </is>
      </c>
      <c r="DD19" t="n">
        <v>567</v>
      </c>
      <c r="DE19" t="inlineStr">
        <is>
          <t>fpv_carrier</t>
        </is>
      </c>
      <c r="EY19" t="inlineStr">
        <is>
          <t>elite_barrage</t>
        </is>
      </c>
      <c r="FN19" t="inlineStr">
        <is>
          <t>Assets/MachineBrigade/Resources/Data/balance.json: vehicles[56]</t>
        </is>
      </c>
      <c r="FO19" t="inlineStr">
        <is>
          <t>{"id":"elite_fpv_carrier","armour":[2,0,0,0],"inherits":"fpv_carrier","elite":true,"eliteOf":"fpv_carrier","cp":0,"hp":567,"skills":["elite_barrage"],"damageScale":1.1}</t>
        </is>
      </c>
    </row>
    <row r="20">
      <c r="A20" t="inlineStr">
        <is>
          <t>elite_grad</t>
        </is>
      </c>
      <c r="B20" t="inlineStr">
        <is>
          <t>tinh_nhue</t>
        </is>
      </c>
      <c r="C20" t="inlineStr">
        <is>
          <t>Elite Grad</t>
        </is>
      </c>
      <c r="D20" t="inlineStr">
        <is>
          <t>Grad tinh nhuệ</t>
        </is>
      </c>
      <c r="E20" t="inlineStr">
        <is>
          <t>Grad TN</t>
        </is>
      </c>
      <c r="F20" t="inlineStr">
        <is>
          <t>Artillery</t>
        </is>
      </c>
      <c r="G20" t="inlineStr">
        <is>
          <t>Artillery</t>
        </is>
      </c>
      <c r="H20" t="inlineStr"/>
      <c r="I20" t="n">
        <v>0</v>
      </c>
      <c r="J20" t="n">
        <v>432</v>
      </c>
      <c r="K20" t="n">
        <v>950.4</v>
      </c>
      <c r="L20" t="n">
        <v>2</v>
      </c>
      <c r="M20" t="n">
        <v>0</v>
      </c>
      <c r="N20" t="n">
        <v>0</v>
      </c>
      <c r="O20" t="n">
        <v>0</v>
      </c>
      <c r="P20" t="b">
        <v>0</v>
      </c>
      <c r="Q20" t="n">
        <v>8.5</v>
      </c>
      <c r="R20" t="n">
        <v>70</v>
      </c>
      <c r="S20" t="n">
        <v>60</v>
      </c>
      <c r="T20" t="n">
        <v>30</v>
      </c>
      <c r="U20" t="n">
        <v>2.4</v>
      </c>
      <c r="V20" t="n">
        <v>7.144</v>
      </c>
      <c r="W20" t="n">
        <v>2.4225</v>
      </c>
      <c r="X20" t="b">
        <v>0</v>
      </c>
      <c r="Y20" t="n">
        <v>0</v>
      </c>
      <c r="Z20" t="b">
        <v>0</v>
      </c>
      <c r="AA20" t="b">
        <v>0</v>
      </c>
      <c r="AB20" t="n">
        <v>1</v>
      </c>
      <c r="AC20" t="n">
        <v>3.5</v>
      </c>
      <c r="AD20" t="n">
        <v>1</v>
      </c>
      <c r="AE20" t="inlineStr">
        <is>
          <t>grad_cluster</t>
        </is>
      </c>
      <c r="AF20" t="inlineStr">
        <is>
          <t>hmg_selfdef_15</t>
        </is>
      </c>
      <c r="AG20" t="inlineStr">
        <is>
          <t>elite_barrage</t>
        </is>
      </c>
      <c r="AH20" t="inlineStr">
        <is>
          <t>none</t>
        </is>
      </c>
      <c r="AI20" t="inlineStr"/>
      <c r="AJ20" t="inlineStr"/>
      <c r="AK20" t="inlineStr">
        <is>
          <t>grad_truck</t>
        </is>
      </c>
      <c r="AL20" t="inlineStr">
        <is>
          <t>giong</t>
        </is>
      </c>
      <c r="BI20" t="n">
        <v>13</v>
      </c>
      <c r="BJ20" t="n">
        <v>1</v>
      </c>
      <c r="BK20" t="inlineStr">
        <is>
          <t>mlrs</t>
        </is>
      </c>
      <c r="BL20" t="inlineStr"/>
      <c r="BM20" t="inlineStr"/>
      <c r="BN20" t="inlineStr">
        <is>
          <t>KHONG_AP_DUNG</t>
        </is>
      </c>
      <c r="BT20" t="n">
        <v>2</v>
      </c>
      <c r="BU20" t="n">
        <v>0</v>
      </c>
      <c r="BV20" t="n">
        <v>0</v>
      </c>
      <c r="BW20" t="n">
        <v>0</v>
      </c>
      <c r="CC20" t="inlineStr">
        <is>
          <t>Artillery</t>
        </is>
      </c>
      <c r="CF20" t="n">
        <v>0</v>
      </c>
      <c r="CH20" t="n">
        <v>150</v>
      </c>
      <c r="CI20" t="n">
        <v>0.35</v>
      </c>
      <c r="CJ20" t="n">
        <v>10</v>
      </c>
      <c r="CK20" t="inlineStr">
        <is>
          <t>Ultimate</t>
        </is>
      </c>
      <c r="CW20" t="b">
        <v>1</v>
      </c>
      <c r="CX20" t="inlineStr">
        <is>
          <t>mlrs</t>
        </is>
      </c>
      <c r="CY20" t="n">
        <v>1</v>
      </c>
      <c r="CZ20" t="b">
        <v>0</v>
      </c>
      <c r="DD20" t="n">
        <v>432</v>
      </c>
      <c r="DI20" t="n">
        <v>7.52</v>
      </c>
      <c r="DZ20" t="inlineStr">
        <is>
          <t>grad_truck</t>
        </is>
      </c>
      <c r="EL20" t="n">
        <v>2.4</v>
      </c>
      <c r="ER20" t="n">
        <v>0.95</v>
      </c>
      <c r="EY20" t="inlineStr">
        <is>
          <t>elite_barrage</t>
        </is>
      </c>
      <c r="EZ20" t="n">
        <v>8.5</v>
      </c>
      <c r="FG20" t="n">
        <v>70</v>
      </c>
      <c r="FH20" t="n">
        <v>60</v>
      </c>
      <c r="FJ20" t="n">
        <v>30</v>
      </c>
      <c r="FL20" t="inlineStr">
        <is>
          <t>grad_cluster</t>
        </is>
      </c>
      <c r="FM20" t="n">
        <v>2.55</v>
      </c>
      <c r="FN20" t="inlineStr">
        <is>
          <t>Assets/MachineBrigade/Resources/Data/balance.json: vehicles[55]</t>
        </is>
      </c>
      <c r="FO20" t="inlineStr">
        <is>
          <t>{"id":"elite_grad","erectSeconds":1.0,"scale":0.95,"class":"Artillery","elite":true,"eliteOf":"mlrs","model":"grad_truck","armour":[2,0,0,0],"hp":432,"speed":8.5,"turnRate":70,"turretTurnRate":60,"radius":2.4,"length":7.52,"width":2.55,"cp":0,"vision":30,"firesWhileMoving":false,"weapon":"grad_cluster","secondary":[{"weapon":"hmg_selfdef_15","slot":"mg","aim":"Free"}],"skills":["elite_barrage"],"deathExplosion":{"damage":150,"radius":10,"delay":0.35,"tier":"Ultimate"}}</t>
        </is>
      </c>
    </row>
    <row r="21">
      <c r="A21" t="inlineStr">
        <is>
          <t>elite_heavy_tank</t>
        </is>
      </c>
      <c r="B21" t="inlineStr">
        <is>
          <t>tinh_nhue</t>
        </is>
      </c>
      <c r="C21" t="inlineStr">
        <is>
          <t>Elite heavy tank</t>
        </is>
      </c>
      <c r="D21" t="inlineStr">
        <is>
          <t>Tăng hạng nặng tinh nhuệ</t>
        </is>
      </c>
      <c r="E21" t="inlineStr">
        <is>
          <t>Tăng nặng TN</t>
        </is>
      </c>
      <c r="F21" t="inlineStr">
        <is>
          <t>Heavy</t>
        </is>
      </c>
      <c r="G21" t="inlineStr">
        <is>
          <t>Armor</t>
        </is>
      </c>
      <c r="H21" t="inlineStr"/>
      <c r="I21" t="n">
        <v>0</v>
      </c>
      <c r="J21" t="n">
        <v>2560</v>
      </c>
      <c r="K21" t="n">
        <v>5632</v>
      </c>
      <c r="L21" t="n">
        <v>4</v>
      </c>
      <c r="M21" t="n">
        <v>3</v>
      </c>
      <c r="N21" t="n">
        <v>2</v>
      </c>
      <c r="O21" t="n">
        <v>2</v>
      </c>
      <c r="P21" t="b">
        <v>0</v>
      </c>
      <c r="Q21" t="n">
        <v>4.6</v>
      </c>
      <c r="R21" t="n">
        <v>45</v>
      </c>
      <c r="S21" t="n">
        <v>45</v>
      </c>
      <c r="T21" t="n">
        <v>36</v>
      </c>
      <c r="U21" t="n">
        <v>2.9</v>
      </c>
      <c r="V21" t="n">
        <v>7.53</v>
      </c>
      <c r="W21" t="n">
        <v>3.46</v>
      </c>
      <c r="X21" t="b">
        <v>0</v>
      </c>
      <c r="Y21" t="n">
        <v>0</v>
      </c>
      <c r="Z21" t="b">
        <v>0</v>
      </c>
      <c r="AA21" t="b">
        <v>1</v>
      </c>
      <c r="AB21" t="n">
        <v>1</v>
      </c>
      <c r="AC21" t="n">
        <v>3.5</v>
      </c>
      <c r="AD21" t="n">
        <v>1</v>
      </c>
      <c r="AE21" t="inlineStr">
        <is>
          <t>gun_152_heat</t>
        </is>
      </c>
      <c r="AF21" t="inlineStr">
        <is>
          <t>autocannon_30;hmg_roof</t>
        </is>
      </c>
      <c r="AG21" t="inlineStr">
        <is>
          <t>elite_overdrive</t>
        </is>
      </c>
      <c r="AH21" t="inlineStr">
        <is>
          <t>none</t>
        </is>
      </c>
      <c r="AI21" t="inlineStr"/>
      <c r="AJ21" t="inlineStr"/>
      <c r="AK21" t="inlineStr">
        <is>
          <t>elite_heavy_tank</t>
        </is>
      </c>
      <c r="AL21" t="inlineStr">
        <is>
          <t>giong</t>
        </is>
      </c>
      <c r="BI21" t="n">
        <v>26</v>
      </c>
      <c r="BJ21" t="n">
        <v>1</v>
      </c>
      <c r="BK21" t="inlineStr">
        <is>
          <t>heavy_tank</t>
        </is>
      </c>
      <c r="BL21" t="inlineStr"/>
      <c r="BM21" t="inlineStr"/>
      <c r="BN21" t="inlineStr">
        <is>
          <t>KHONG_AP_DUNG</t>
        </is>
      </c>
      <c r="BS21" t="n">
        <v>4</v>
      </c>
      <c r="CC21" t="inlineStr">
        <is>
          <t>Heavy</t>
        </is>
      </c>
      <c r="CF21" t="n">
        <v>0</v>
      </c>
      <c r="CH21" t="n">
        <v>200</v>
      </c>
      <c r="CI21" t="n">
        <v>0.5</v>
      </c>
      <c r="CJ21" t="n">
        <v>10</v>
      </c>
      <c r="CK21" t="inlineStr">
        <is>
          <t>Ultimate</t>
        </is>
      </c>
      <c r="CW21" t="b">
        <v>1</v>
      </c>
      <c r="CX21" t="inlineStr">
        <is>
          <t>heavy_tank</t>
        </is>
      </c>
      <c r="CZ21" t="b">
        <v>1</v>
      </c>
      <c r="DD21" t="n">
        <v>2560</v>
      </c>
      <c r="DI21" t="n">
        <v>7.53</v>
      </c>
      <c r="EA21" t="n">
        <v>2.53</v>
      </c>
      <c r="EB21" t="n">
        <v>9.640000000000001</v>
      </c>
      <c r="EC21" t="n">
        <v>3.46</v>
      </c>
      <c r="EL21" t="n">
        <v>2.9</v>
      </c>
      <c r="ER21" t="n">
        <v>1</v>
      </c>
      <c r="EY21" t="inlineStr">
        <is>
          <t>elite_overdrive</t>
        </is>
      </c>
      <c r="EZ21" t="n">
        <v>4.6</v>
      </c>
      <c r="FG21" t="n">
        <v>45</v>
      </c>
      <c r="FH21" t="n">
        <v>45</v>
      </c>
      <c r="FJ21" t="n">
        <v>36</v>
      </c>
      <c r="FL21" t="inlineStr">
        <is>
          <t>gun_152_heat</t>
        </is>
      </c>
      <c r="FM21" t="n">
        <v>3.46</v>
      </c>
      <c r="FN21" t="inlineStr">
        <is>
          <t>Assets/MachineBrigade/Resources/Data/balance.json: vehicles[49]</t>
        </is>
      </c>
      <c r="FO21" t="inlineStr">
        <is>
          <t>{"id":"elite_heavy_tank","modelSize":[9.64,3.46,2.53],"scale":1,"class":"Heavy","elite":true,"eliteOf":"heavy_tank","armour":4,"hp":2560,"speed":4.6,"turnRate":45,"turretTurnRate":45,"radius":2.9,"length":7.53,"width":3.46,"cp":0,"vision":36,"firesWhileMoving":true,"weapon":"gun_152_heat","skills":["elite_overdrive"],"secondary":[{"weapon":"autocannon_30","slot":"coax","aim":"Turret"},{"weapon":"hmg_roof","slot":"mg","aim":"Free"}],"deathExplosion":{"damage":200,"radius":10,"delay":0.5,"tier":"Ultimate"}}</t>
        </is>
      </c>
    </row>
    <row r="22">
      <c r="A22" t="inlineStr">
        <is>
          <t>elite_long_sam</t>
        </is>
      </c>
      <c r="B22" t="inlineStr">
        <is>
          <t>tinh_nhue</t>
        </is>
      </c>
      <c r="C22" t="inlineStr">
        <is>
          <t>Elite long-range SAM</t>
        </is>
      </c>
      <c r="D22" t="inlineStr">
        <is>
          <t>Tên lửa phòng không tầm xa tinh nhuệ</t>
        </is>
      </c>
      <c r="E22" t="inlineStr">
        <is>
          <t>SAM tầm xa TN</t>
        </is>
      </c>
      <c r="F22" t="inlineStr">
        <is>
          <t>AntiAir</t>
        </is>
      </c>
      <c r="G22" t="inlineStr">
        <is>
          <t>Light</t>
        </is>
      </c>
      <c r="H22" t="inlineStr">
        <is>
          <t>long_sam</t>
        </is>
      </c>
      <c r="I22" t="n">
        <v>0</v>
      </c>
      <c r="J22" t="n">
        <v>594</v>
      </c>
      <c r="K22" t="n">
        <v>1306.8</v>
      </c>
      <c r="L22" t="n">
        <v>2</v>
      </c>
      <c r="M22" t="n">
        <v>0</v>
      </c>
      <c r="N22" t="n">
        <v>0</v>
      </c>
      <c r="O22" t="n">
        <v>0</v>
      </c>
      <c r="P22" t="b">
        <v>0</v>
      </c>
      <c r="Q22" t="n">
        <v>6</v>
      </c>
      <c r="R22" t="n">
        <v>60</v>
      </c>
      <c r="S22" t="n">
        <v>60</v>
      </c>
      <c r="T22" t="n">
        <v>80</v>
      </c>
      <c r="U22" t="n">
        <v>2.8</v>
      </c>
      <c r="V22" t="n">
        <v>11.02</v>
      </c>
      <c r="W22" t="n">
        <v>2.44</v>
      </c>
      <c r="X22" t="b">
        <v>0</v>
      </c>
      <c r="Y22" t="n">
        <v>0</v>
      </c>
      <c r="Z22" t="b">
        <v>0</v>
      </c>
      <c r="AA22" t="b">
        <v>0</v>
      </c>
      <c r="AB22" t="n">
        <v>0</v>
      </c>
      <c r="AC22" t="n">
        <v>5</v>
      </c>
      <c r="AD22" t="n">
        <v>1.4464</v>
      </c>
      <c r="AE22" t="inlineStr">
        <is>
          <t>sam_48n6</t>
        </is>
      </c>
      <c r="AF22" t="inlineStr"/>
      <c r="AG22" t="inlineStr">
        <is>
          <t>elite_overdrive</t>
        </is>
      </c>
      <c r="AH22" t="inlineStr">
        <is>
          <t>none</t>
        </is>
      </c>
      <c r="AI22" t="inlineStr"/>
      <c r="AJ22" t="inlineStr"/>
      <c r="AK22" t="inlineStr">
        <is>
          <t>long_sam</t>
        </is>
      </c>
      <c r="AL22" t="inlineStr">
        <is>
          <t>doi</t>
        </is>
      </c>
      <c r="BG22" t="n">
        <v>1</v>
      </c>
      <c r="BH22" t="n">
        <v>1.4464</v>
      </c>
      <c r="BI22" t="n">
        <v>29</v>
      </c>
      <c r="BJ22" t="n">
        <v>1</v>
      </c>
      <c r="BK22" t="inlineStr">
        <is>
          <t>long_sam</t>
        </is>
      </c>
      <c r="BL22" t="inlineStr"/>
      <c r="BM22" t="inlineStr"/>
      <c r="BN22" t="inlineStr">
        <is>
          <t>KHONG_AP_DUNG</t>
        </is>
      </c>
      <c r="BT22" t="n">
        <v>2</v>
      </c>
      <c r="BU22" t="n">
        <v>0</v>
      </c>
      <c r="BV22" t="n">
        <v>0</v>
      </c>
      <c r="BW22" t="n">
        <v>0</v>
      </c>
      <c r="CF22" t="n">
        <v>0</v>
      </c>
      <c r="CG22" t="n">
        <v>1.2</v>
      </c>
      <c r="CW22" t="b">
        <v>1</v>
      </c>
      <c r="CX22" t="inlineStr">
        <is>
          <t>long_sam</t>
        </is>
      </c>
      <c r="CY22" t="n">
        <v>1.6</v>
      </c>
      <c r="DD22" t="n">
        <v>594</v>
      </c>
      <c r="DE22" t="inlineStr">
        <is>
          <t>long_sam</t>
        </is>
      </c>
      <c r="EY22" t="inlineStr">
        <is>
          <t>elite_overdrive</t>
        </is>
      </c>
      <c r="FN22" t="inlineStr">
        <is>
          <t>Assets/MachineBrigade/Resources/Data/balance.json: vehicles[58]</t>
        </is>
      </c>
      <c r="FO22" t="inlineStr">
        <is>
          <t>{"id":"elite_long_sam","erectSeconds":1.6,"armour":[2,0,0,0],"inherits":"long_sam","elite":true,"eliteOf":"long_sam","cp":0,"hp":594,"skills":["elite_overdrive"],"damageScale":1.2}</t>
        </is>
      </c>
    </row>
    <row r="23">
      <c r="A23" t="inlineStr">
        <is>
          <t>elite_mbt</t>
        </is>
      </c>
      <c r="B23" t="inlineStr">
        <is>
          <t>tinh_nhue</t>
        </is>
      </c>
      <c r="C23" t="inlineStr">
        <is>
          <t>Elite battle tank</t>
        </is>
      </c>
      <c r="D23" t="inlineStr">
        <is>
          <t>Tăng chủ lực tinh nhuệ</t>
        </is>
      </c>
      <c r="E23" t="inlineStr">
        <is>
          <t>Tăng tinh nhuệ</t>
        </is>
      </c>
      <c r="F23" t="inlineStr">
        <is>
          <t>Tank</t>
        </is>
      </c>
      <c r="G23" t="inlineStr">
        <is>
          <t>Armor</t>
        </is>
      </c>
      <c r="H23" t="inlineStr"/>
      <c r="I23" t="n">
        <v>0</v>
      </c>
      <c r="J23" t="n">
        <v>1215</v>
      </c>
      <c r="K23" t="n">
        <v>2673</v>
      </c>
      <c r="L23" t="n">
        <v>4</v>
      </c>
      <c r="M23" t="n">
        <v>2</v>
      </c>
      <c r="N23" t="n">
        <v>1</v>
      </c>
      <c r="O23" t="n">
        <v>1</v>
      </c>
      <c r="P23" t="b">
        <v>0</v>
      </c>
      <c r="Q23" t="n">
        <v>6.2</v>
      </c>
      <c r="R23" t="n">
        <v>60</v>
      </c>
      <c r="S23" t="n">
        <v>75</v>
      </c>
      <c r="T23" t="n">
        <v>34</v>
      </c>
      <c r="U23" t="n">
        <v>2.5</v>
      </c>
      <c r="V23" t="n">
        <v>7.02</v>
      </c>
      <c r="W23" t="n">
        <v>3.53</v>
      </c>
      <c r="X23" t="b">
        <v>0</v>
      </c>
      <c r="Y23" t="n">
        <v>0</v>
      </c>
      <c r="Z23" t="b">
        <v>0</v>
      </c>
      <c r="AA23" t="b">
        <v>1</v>
      </c>
      <c r="AB23" t="n">
        <v>1</v>
      </c>
      <c r="AC23" t="n">
        <v>3.5</v>
      </c>
      <c r="AD23" t="n">
        <v>1</v>
      </c>
      <c r="AE23" t="inlineStr">
        <is>
          <t>gun_125_elite</t>
        </is>
      </c>
      <c r="AF23" t="inlineStr">
        <is>
          <t>mg_coax;hmg_roof</t>
        </is>
      </c>
      <c r="AG23" t="inlineStr">
        <is>
          <t>elite_shield</t>
        </is>
      </c>
      <c r="AH23" t="inlineStr">
        <is>
          <t>none</t>
        </is>
      </c>
      <c r="AI23" t="inlineStr"/>
      <c r="AJ23" t="inlineStr"/>
      <c r="AK23" t="inlineStr">
        <is>
          <t>elite_mbt</t>
        </is>
      </c>
      <c r="AL23" t="inlineStr">
        <is>
          <t>giong</t>
        </is>
      </c>
      <c r="BI23" t="n">
        <v>13</v>
      </c>
      <c r="BJ23" t="n">
        <v>1</v>
      </c>
      <c r="BK23" t="inlineStr">
        <is>
          <t>main_battle_tank</t>
        </is>
      </c>
      <c r="BL23" t="inlineStr"/>
      <c r="BM23" t="inlineStr"/>
      <c r="BN23" t="inlineStr">
        <is>
          <t>KHONG_AP_DUNG</t>
        </is>
      </c>
      <c r="BT23" t="n">
        <v>4</v>
      </c>
      <c r="BU23" t="n">
        <v>1</v>
      </c>
      <c r="BV23" t="n">
        <v>2</v>
      </c>
      <c r="BW23" t="n">
        <v>1</v>
      </c>
      <c r="CC23" t="inlineStr">
        <is>
          <t>Tank</t>
        </is>
      </c>
      <c r="CF23" t="n">
        <v>0</v>
      </c>
      <c r="CH23" t="n">
        <v>140</v>
      </c>
      <c r="CI23" t="n">
        <v>0.4</v>
      </c>
      <c r="CJ23" t="n">
        <v>8</v>
      </c>
      <c r="CK23" t="inlineStr">
        <is>
          <t>Huge</t>
        </is>
      </c>
      <c r="CW23" t="b">
        <v>1</v>
      </c>
      <c r="CX23" t="inlineStr">
        <is>
          <t>main_battle_tank</t>
        </is>
      </c>
      <c r="CZ23" t="b">
        <v>1</v>
      </c>
      <c r="DD23" t="n">
        <v>1215</v>
      </c>
      <c r="DI23" t="n">
        <v>7.02</v>
      </c>
      <c r="EA23" t="n">
        <v>2.64</v>
      </c>
      <c r="EB23" t="n">
        <v>8.960000000000001</v>
      </c>
      <c r="EC23" t="n">
        <v>3.53</v>
      </c>
      <c r="EL23" t="n">
        <v>2.5</v>
      </c>
      <c r="ER23" t="n">
        <v>1</v>
      </c>
      <c r="EY23" t="inlineStr">
        <is>
          <t>elite_shield</t>
        </is>
      </c>
      <c r="EZ23" t="n">
        <v>6.2</v>
      </c>
      <c r="FG23" t="n">
        <v>60</v>
      </c>
      <c r="FH23" t="n">
        <v>75</v>
      </c>
      <c r="FJ23" t="n">
        <v>34</v>
      </c>
      <c r="FL23" t="inlineStr">
        <is>
          <t>gun_125_elite</t>
        </is>
      </c>
      <c r="FM23" t="n">
        <v>3.53</v>
      </c>
      <c r="FN23" t="inlineStr">
        <is>
          <t>Assets/MachineBrigade/Resources/Data/balance.json: vehicles[48]</t>
        </is>
      </c>
      <c r="FO23" t="inlineStr">
        <is>
          <t>{"id":"elite_mbt","modelSize":[8.96,3.53,2.64],"scale":1,"class":"Tank","elite":true,"eliteOf":"main_battle_tank","armour":[4,2,1,1],"hp":1215,"speed":6.2,"turnRate":60,"turretTurnRate":75,"radius":2.5,"length":7.02,"width":3.53,"cp":0,"vision":34,"firesWhileMoving":true,"weapon":"gun_125_elite","skills":["elite_shield"],"secondary":[{"weapon":"mg_coax","slot":"coax","aim":"Turret"},{"weapon":"hmg_roof","slot":"mg","aim":"Free"}],"deathExplosion":{"damage":140,"radius":8,"delay":0.4,"tier":"Huge"}}</t>
        </is>
      </c>
    </row>
    <row r="24">
      <c r="A24" t="inlineStr">
        <is>
          <t>elite_mlrs</t>
        </is>
      </c>
      <c r="B24" t="inlineStr">
        <is>
          <t>tinh_nhue</t>
        </is>
      </c>
      <c r="C24" t="inlineStr">
        <is>
          <t>Elite rocket launcher</t>
        </is>
      </c>
      <c r="D24" t="inlineStr">
        <is>
          <t>Pháo phản lực tinh nhuệ</t>
        </is>
      </c>
      <c r="E24" t="inlineStr">
        <is>
          <t>Phản lực TN</t>
        </is>
      </c>
      <c r="F24" t="inlineStr">
        <is>
          <t>Artillery</t>
        </is>
      </c>
      <c r="G24" t="inlineStr">
        <is>
          <t>Artillery</t>
        </is>
      </c>
      <c r="H24" t="inlineStr"/>
      <c r="I24" t="n">
        <v>0</v>
      </c>
      <c r="J24" t="n">
        <v>432</v>
      </c>
      <c r="K24" t="n">
        <v>950.4</v>
      </c>
      <c r="L24" t="n">
        <v>2</v>
      </c>
      <c r="M24" t="n">
        <v>0</v>
      </c>
      <c r="N24" t="n">
        <v>0</v>
      </c>
      <c r="O24" t="n">
        <v>0</v>
      </c>
      <c r="P24" t="b">
        <v>0</v>
      </c>
      <c r="Q24" t="n">
        <v>6.5</v>
      </c>
      <c r="R24" t="n">
        <v>60</v>
      </c>
      <c r="S24" t="n">
        <v>40</v>
      </c>
      <c r="T24" t="n">
        <v>30</v>
      </c>
      <c r="U24" t="n">
        <v>2.5</v>
      </c>
      <c r="V24" t="n">
        <v>6.68</v>
      </c>
      <c r="W24" t="n">
        <v>2.3</v>
      </c>
      <c r="X24" t="b">
        <v>0</v>
      </c>
      <c r="Y24" t="n">
        <v>0</v>
      </c>
      <c r="Z24" t="b">
        <v>0</v>
      </c>
      <c r="AA24" t="b">
        <v>0</v>
      </c>
      <c r="AB24" t="n">
        <v>1</v>
      </c>
      <c r="AC24" t="n">
        <v>3.5</v>
      </c>
      <c r="AD24" t="n">
        <v>1</v>
      </c>
      <c r="AE24" t="inlineStr">
        <is>
          <t>mlrs_elite</t>
        </is>
      </c>
      <c r="AF24" t="inlineStr">
        <is>
          <t>hmg_selfdef_15</t>
        </is>
      </c>
      <c r="AG24" t="inlineStr">
        <is>
          <t>elite_barrage</t>
        </is>
      </c>
      <c r="AH24" t="inlineStr">
        <is>
          <t>none</t>
        </is>
      </c>
      <c r="AI24" t="inlineStr"/>
      <c r="AJ24" t="inlineStr"/>
      <c r="AK24" t="inlineStr">
        <is>
          <t>elite_mlrs</t>
        </is>
      </c>
      <c r="AL24" t="inlineStr">
        <is>
          <t>giong</t>
        </is>
      </c>
      <c r="BI24" t="n">
        <v>13</v>
      </c>
      <c r="BJ24" t="n">
        <v>1</v>
      </c>
      <c r="BK24" t="inlineStr">
        <is>
          <t>mlrs</t>
        </is>
      </c>
      <c r="BL24" t="inlineStr"/>
      <c r="BM24" t="inlineStr"/>
      <c r="BN24" t="inlineStr">
        <is>
          <t>KHONG_AP_DUNG</t>
        </is>
      </c>
      <c r="BT24" t="n">
        <v>2</v>
      </c>
      <c r="BU24" t="n">
        <v>0</v>
      </c>
      <c r="BV24" t="n">
        <v>0</v>
      </c>
      <c r="BW24" t="n">
        <v>0</v>
      </c>
      <c r="CC24" t="inlineStr">
        <is>
          <t>Artillery</t>
        </is>
      </c>
      <c r="CF24" t="n">
        <v>0</v>
      </c>
      <c r="CH24" t="n">
        <v>160</v>
      </c>
      <c r="CI24" t="n">
        <v>0.4</v>
      </c>
      <c r="CJ24" t="n">
        <v>10</v>
      </c>
      <c r="CK24" t="inlineStr">
        <is>
          <t>Ultimate</t>
        </is>
      </c>
      <c r="CW24" t="b">
        <v>1</v>
      </c>
      <c r="CX24" t="inlineStr">
        <is>
          <t>mlrs</t>
        </is>
      </c>
      <c r="CY24" t="n">
        <v>1.1</v>
      </c>
      <c r="CZ24" t="b">
        <v>0</v>
      </c>
      <c r="DD24" t="n">
        <v>432</v>
      </c>
      <c r="DI24" t="n">
        <v>6.68</v>
      </c>
      <c r="EA24" t="n">
        <v>2.99</v>
      </c>
      <c r="EB24" t="n">
        <v>7.01</v>
      </c>
      <c r="EC24" t="n">
        <v>2.3</v>
      </c>
      <c r="EL24" t="n">
        <v>2.5</v>
      </c>
      <c r="ER24" t="n">
        <v>1</v>
      </c>
      <c r="EY24" t="inlineStr">
        <is>
          <t>elite_barrage</t>
        </is>
      </c>
      <c r="EZ24" t="n">
        <v>6.5</v>
      </c>
      <c r="FG24" t="n">
        <v>60</v>
      </c>
      <c r="FH24" t="n">
        <v>40</v>
      </c>
      <c r="FJ24" t="n">
        <v>30</v>
      </c>
      <c r="FL24" t="inlineStr">
        <is>
          <t>mlrs_elite</t>
        </is>
      </c>
      <c r="FM24" t="n">
        <v>2.3</v>
      </c>
      <c r="FN24" t="inlineStr">
        <is>
          <t>Assets/MachineBrigade/Resources/Data/balance.json: vehicles[52]</t>
        </is>
      </c>
      <c r="FO24" t="inlineStr">
        <is>
          <t>{"id":"elite_mlrs","erectSeconds":1.1,"modelSize":[7.01,2.3,2.99],"scale":1,"class":"Artillery","elite":true,"eliteOf":"mlrs","armour":[2,0,0,0],"hp":432,"speed":6.5,"turnRate":60,"turretTurnRate":40,"radius":2.5,"length":6.68,"width":2.3,"cp":0,"vision":30,"firesWhileMoving":false,"weapon":"mlrs_elite","secondary":[{"weapon":"hmg_selfdef_15","slot":"mg","aim":"Free"}],"skills":["elite_barrage"],"deathExplosion":{"damage":160,"radius":10,"delay":0.4,"tier":"Ultimate"}}</t>
        </is>
      </c>
    </row>
    <row r="25">
      <c r="A25" t="inlineStr">
        <is>
          <t>elite_tank_destroyer</t>
        </is>
      </c>
      <c r="B25" t="inlineStr">
        <is>
          <t>tinh_nhue</t>
        </is>
      </c>
      <c r="C25" t="inlineStr">
        <is>
          <t>Elite tank destroyer</t>
        </is>
      </c>
      <c r="D25" t="inlineStr">
        <is>
          <t>Pháo chống tăng tinh nhuệ</t>
        </is>
      </c>
      <c r="E25" t="inlineStr">
        <is>
          <t>Chống tăng TN</t>
        </is>
      </c>
      <c r="F25" t="inlineStr">
        <is>
          <t>TankHunter</t>
        </is>
      </c>
      <c r="G25" t="inlineStr">
        <is>
          <t>Armor</t>
        </is>
      </c>
      <c r="H25" t="inlineStr"/>
      <c r="I25" t="n">
        <v>0</v>
      </c>
      <c r="J25" t="n">
        <v>837</v>
      </c>
      <c r="K25" t="n">
        <v>1841.4</v>
      </c>
      <c r="L25" t="n">
        <v>4</v>
      </c>
      <c r="M25" t="n">
        <v>2</v>
      </c>
      <c r="N25" t="n">
        <v>1</v>
      </c>
      <c r="O25" t="n">
        <v>1</v>
      </c>
      <c r="P25" t="b">
        <v>0</v>
      </c>
      <c r="Q25" t="n">
        <v>7.5</v>
      </c>
      <c r="R25" t="n">
        <v>70</v>
      </c>
      <c r="S25" t="n">
        <v>60</v>
      </c>
      <c r="T25" t="n">
        <v>40</v>
      </c>
      <c r="U25" t="n">
        <v>2.7</v>
      </c>
      <c r="V25" t="n">
        <v>6.58</v>
      </c>
      <c r="W25" t="n">
        <v>3.01</v>
      </c>
      <c r="X25" t="b">
        <v>0</v>
      </c>
      <c r="Y25" t="n">
        <v>0</v>
      </c>
      <c r="Z25" t="b">
        <v>0</v>
      </c>
      <c r="AA25" t="b">
        <v>1</v>
      </c>
      <c r="AB25" t="n">
        <v>1</v>
      </c>
      <c r="AC25" t="n">
        <v>3.5</v>
      </c>
      <c r="AD25" t="n">
        <v>1</v>
      </c>
      <c r="AE25" t="inlineStr">
        <is>
          <t>gun_105_apfsds</t>
        </is>
      </c>
      <c r="AF25" t="inlineStr">
        <is>
          <t>hmg_roof</t>
        </is>
      </c>
      <c r="AG25" t="inlineStr">
        <is>
          <t>elite_barrage</t>
        </is>
      </c>
      <c r="AH25" t="inlineStr">
        <is>
          <t>none</t>
        </is>
      </c>
      <c r="AI25" t="inlineStr"/>
      <c r="AJ25" t="inlineStr"/>
      <c r="AK25" t="inlineStr">
        <is>
          <t>elite_tank_destroyer</t>
        </is>
      </c>
      <c r="AL25" t="inlineStr">
        <is>
          <t>giong</t>
        </is>
      </c>
      <c r="BI25" t="n">
        <v>11</v>
      </c>
      <c r="BJ25" t="n">
        <v>1</v>
      </c>
      <c r="BK25" t="inlineStr">
        <is>
          <t>tank_destroyer</t>
        </is>
      </c>
      <c r="BL25" t="inlineStr"/>
      <c r="BM25" t="inlineStr"/>
      <c r="BN25" t="inlineStr">
        <is>
          <t>KHONG_AP_DUNG</t>
        </is>
      </c>
      <c r="BT25" t="n">
        <v>4</v>
      </c>
      <c r="BU25" t="n">
        <v>1</v>
      </c>
      <c r="BV25" t="n">
        <v>2</v>
      </c>
      <c r="BW25" t="n">
        <v>1</v>
      </c>
      <c r="CC25" t="inlineStr">
        <is>
          <t>TankHunter</t>
        </is>
      </c>
      <c r="CF25" t="n">
        <v>0</v>
      </c>
      <c r="CH25" t="n">
        <v>120</v>
      </c>
      <c r="CI25" t="n">
        <v>0.4</v>
      </c>
      <c r="CJ25" t="n">
        <v>8</v>
      </c>
      <c r="CK25" t="inlineStr">
        <is>
          <t>Huge</t>
        </is>
      </c>
      <c r="CW25" t="b">
        <v>1</v>
      </c>
      <c r="CX25" t="inlineStr">
        <is>
          <t>tank_destroyer</t>
        </is>
      </c>
      <c r="CZ25" t="b">
        <v>1</v>
      </c>
      <c r="DD25" t="n">
        <v>837</v>
      </c>
      <c r="DI25" t="n">
        <v>6.58</v>
      </c>
      <c r="EA25" t="n">
        <v>2.34</v>
      </c>
      <c r="EB25" t="n">
        <v>9.08</v>
      </c>
      <c r="EC25" t="n">
        <v>3.01</v>
      </c>
      <c r="EL25" t="n">
        <v>2.7</v>
      </c>
      <c r="ER25" t="n">
        <v>1</v>
      </c>
      <c r="EY25" t="inlineStr">
        <is>
          <t>elite_barrage</t>
        </is>
      </c>
      <c r="EZ25" t="n">
        <v>7.5</v>
      </c>
      <c r="FG25" t="n">
        <v>70</v>
      </c>
      <c r="FH25" t="n">
        <v>60</v>
      </c>
      <c r="FJ25" t="n">
        <v>40</v>
      </c>
      <c r="FL25" t="inlineStr">
        <is>
          <t>gun_105_apfsds</t>
        </is>
      </c>
      <c r="FM25" t="n">
        <v>3.01</v>
      </c>
      <c r="FN25" t="inlineStr">
        <is>
          <t>Assets/MachineBrigade/Resources/Data/balance.json: vehicles[50]</t>
        </is>
      </c>
      <c r="FO25" t="inlineStr">
        <is>
          <t>{"id":"elite_tank_destroyer","modelSize":[9.08,3.01,2.34],"scale":1,"class":"TankHunter","elite":true,"eliteOf":"tank_destroyer","armour":[4,2,1,1],"hp":837,"speed":7.5,"turnRate":70,"turretTurnRate":60,"radius":2.7,"length":6.58,"width":3.01,"cp":0,"vision":40,"firesWhileMoving":true,"weapon":"gun_105_apfsds","skills":["elite_barrage"],"secondary":[{"weapon":"hmg_roof","slot":"mg","aim":"Free"}],"deathExplosion":{"damage":120,"radius":8,"delay":0.4,"tier":"Huge"}}</t>
        </is>
      </c>
    </row>
    <row r="26">
      <c r="A26" t="inlineStr">
        <is>
          <t>engineer_vehicle</t>
        </is>
      </c>
      <c r="B26" t="inlineStr">
        <is>
          <t>xe</t>
        </is>
      </c>
      <c r="C26" t="inlineStr">
        <is>
          <t>Engineering vehicle</t>
        </is>
      </c>
      <c r="D26" t="inlineStr">
        <is>
          <t>Xe công binh</t>
        </is>
      </c>
      <c r="E26" t="inlineStr">
        <is>
          <t>Công binh</t>
        </is>
      </c>
      <c r="F26" t="inlineStr">
        <is>
          <t>Support</t>
        </is>
      </c>
      <c r="G26" t="inlineStr">
        <is>
          <t>Light</t>
        </is>
      </c>
      <c r="H26" t="inlineStr"/>
      <c r="I26" t="n">
        <v>3</v>
      </c>
      <c r="J26" t="n">
        <v>800</v>
      </c>
      <c r="K26" t="n">
        <v>1760</v>
      </c>
      <c r="L26" t="n">
        <v>2</v>
      </c>
      <c r="M26" t="n">
        <v>1</v>
      </c>
      <c r="N26" t="n">
        <v>1</v>
      </c>
      <c r="O26" t="n">
        <v>0</v>
      </c>
      <c r="P26" t="b">
        <v>0</v>
      </c>
      <c r="Q26" t="n">
        <v>7</v>
      </c>
      <c r="R26" t="n">
        <v>80</v>
      </c>
      <c r="S26" t="n">
        <v>200</v>
      </c>
      <c r="T26" t="n">
        <v>30</v>
      </c>
      <c r="U26" t="n">
        <v>2.2</v>
      </c>
      <c r="V26" t="n">
        <v>6.45</v>
      </c>
      <c r="W26" t="n">
        <v>3.02</v>
      </c>
      <c r="X26" t="b">
        <v>0</v>
      </c>
      <c r="Y26" t="n">
        <v>0</v>
      </c>
      <c r="Z26" t="b">
        <v>0</v>
      </c>
      <c r="AA26" t="b">
        <v>1</v>
      </c>
      <c r="AB26" t="n">
        <v>1</v>
      </c>
      <c r="AC26" t="n">
        <v>2.5</v>
      </c>
      <c r="AD26" t="n">
        <v>1</v>
      </c>
      <c r="AE26" t="inlineStr">
        <is>
          <t>hmg_selfdef_15</t>
        </is>
      </c>
      <c r="AF26" t="inlineStr"/>
      <c r="AG26" t="inlineStr"/>
      <c r="AH26" t="inlineStr">
        <is>
          <t>none</t>
        </is>
      </c>
      <c r="AI26" t="inlineStr"/>
      <c r="AJ26" t="inlineStr"/>
      <c r="AK26" t="inlineStr">
        <is>
          <t>engineer_vehicle</t>
        </is>
      </c>
      <c r="AL26" t="inlineStr">
        <is>
          <t>doi</t>
        </is>
      </c>
      <c r="AY26" t="n">
        <v>4.4</v>
      </c>
      <c r="AZ26" t="n">
        <v>7</v>
      </c>
      <c r="BI26" t="n">
        <v>3</v>
      </c>
      <c r="BJ26" t="n">
        <v>1</v>
      </c>
      <c r="BK26" t="inlineStr"/>
      <c r="BL26" t="inlineStr"/>
      <c r="BM26" t="inlineStr">
        <is>
          <t>engineer</t>
        </is>
      </c>
      <c r="BN26" t="inlineStr">
        <is>
          <t>Campaign; nhiệm vụ c1m05; mua sớm; 300 xu</t>
        </is>
      </c>
      <c r="BQ26" t="inlineStr">
        <is>
          <t>sapper</t>
        </is>
      </c>
      <c r="BT26" t="n">
        <v>2</v>
      </c>
      <c r="BU26" t="n">
        <v>1</v>
      </c>
      <c r="BV26" t="n">
        <v>1</v>
      </c>
      <c r="BW26" t="n">
        <v>0</v>
      </c>
      <c r="CC26" t="inlineStr">
        <is>
          <t>Support</t>
        </is>
      </c>
      <c r="CF26" t="n">
        <v>3</v>
      </c>
      <c r="CH26" t="n">
        <v>70</v>
      </c>
      <c r="CI26" t="n">
        <v>0.35</v>
      </c>
      <c r="CJ26" t="n">
        <v>6</v>
      </c>
      <c r="CK26" t="inlineStr">
        <is>
          <t>Large</t>
        </is>
      </c>
      <c r="CV26" t="n">
        <v>2.5</v>
      </c>
      <c r="CZ26" t="b">
        <v>1</v>
      </c>
      <c r="DD26" t="n">
        <v>800</v>
      </c>
      <c r="DI26" t="n">
        <v>6.45</v>
      </c>
      <c r="EA26" t="n">
        <v>2.2</v>
      </c>
      <c r="EB26" t="n">
        <v>6.45</v>
      </c>
      <c r="EC26" t="n">
        <v>3.02</v>
      </c>
      <c r="EL26" t="n">
        <v>2.2</v>
      </c>
      <c r="EP26" t="n">
        <v>14</v>
      </c>
      <c r="EQ26" t="n">
        <v>0.025</v>
      </c>
      <c r="ER26" t="n">
        <v>1</v>
      </c>
      <c r="EZ26" t="n">
        <v>7</v>
      </c>
      <c r="FG26" t="n">
        <v>80</v>
      </c>
      <c r="FH26" t="n">
        <v>200</v>
      </c>
      <c r="FI26" t="n">
        <v>1</v>
      </c>
      <c r="FJ26" t="n">
        <v>30</v>
      </c>
      <c r="FL26" t="inlineStr">
        <is>
          <t>hmg_selfdef_15</t>
        </is>
      </c>
      <c r="FM26" t="n">
        <v>3.02</v>
      </c>
      <c r="FN26" t="inlineStr">
        <is>
          <t>Assets/MachineBrigade/Resources/Data/balance.json: vehicles[28]</t>
        </is>
      </c>
      <c r="FO26" t="inlineStr">
        <is>
          <t>{"id":"engineer_vehicle","dropDelay":2.5,"value":1,"altModels":["sapper"],"scale":1,"modelSize":[6.45,3.02,2.2],"class":"Support","armour":[2,1,1,0],"hp":800,"speed":7,"turnRate":80,"turretTurnRate":200,"radius":2.2,"length":6.45,"width":3.02,"cp":3,"vision":30,"firesWhileMoving":true,"weapon":"hmg_selfdef_15","repair":{"radius":14,"rate":0.025},"deathExplosion":{"damage":70,"radius":6,"delay":0.35,"tier":"Large"}}</t>
        </is>
      </c>
    </row>
    <row r="27">
      <c r="A27" t="inlineStr">
        <is>
          <t>ew_jammer</t>
        </is>
      </c>
      <c r="B27" t="inlineStr">
        <is>
          <t>xe</t>
        </is>
      </c>
      <c r="C27" t="inlineStr">
        <is>
          <t>EW jammer</t>
        </is>
      </c>
      <c r="D27" t="inlineStr">
        <is>
          <t>Xe gây nhiễu điện tử</t>
        </is>
      </c>
      <c r="E27" t="inlineStr">
        <is>
          <t>Gây nhiễu</t>
        </is>
      </c>
      <c r="F27" t="inlineStr">
        <is>
          <t>Support</t>
        </is>
      </c>
      <c r="G27" t="inlineStr">
        <is>
          <t>Light</t>
        </is>
      </c>
      <c r="H27" t="inlineStr"/>
      <c r="I27" t="n">
        <v>6</v>
      </c>
      <c r="J27" t="n">
        <v>468</v>
      </c>
      <c r="K27" t="n">
        <v>1029.6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n">
        <v>8</v>
      </c>
      <c r="R27" t="n">
        <v>90</v>
      </c>
      <c r="S27" t="n">
        <v>200</v>
      </c>
      <c r="T27" t="n">
        <v>40</v>
      </c>
      <c r="U27" t="n">
        <v>2.2</v>
      </c>
      <c r="V27" t="n">
        <v>9.01</v>
      </c>
      <c r="W27" t="n">
        <v>2.38</v>
      </c>
      <c r="X27" t="b">
        <v>0</v>
      </c>
      <c r="Y27" t="n">
        <v>0</v>
      </c>
      <c r="Z27" t="b">
        <v>0</v>
      </c>
      <c r="AA27" t="b">
        <v>1</v>
      </c>
      <c r="AB27" t="n">
        <v>1</v>
      </c>
      <c r="AC27" t="n">
        <v>3.5</v>
      </c>
      <c r="AD27" t="n">
        <v>1.2</v>
      </c>
      <c r="AE27" t="inlineStr">
        <is>
          <t>hmg_selfdef_15</t>
        </is>
      </c>
      <c r="AF27" t="inlineStr"/>
      <c r="AG27" t="inlineStr"/>
      <c r="AH27" t="inlineStr">
        <is>
          <t>none</t>
        </is>
      </c>
      <c r="AI27" t="inlineStr"/>
      <c r="AJ27" t="inlineStr"/>
      <c r="AK27" t="inlineStr">
        <is>
          <t>ew_jammer</t>
        </is>
      </c>
      <c r="AL27" t="inlineStr">
        <is>
          <t>doi</t>
        </is>
      </c>
      <c r="AM27" t="n">
        <v>5</v>
      </c>
      <c r="AN27" t="n">
        <v>6</v>
      </c>
      <c r="AO27" t="n">
        <v>380</v>
      </c>
      <c r="AP27" t="n">
        <v>468</v>
      </c>
      <c r="BG27" t="n">
        <v>1</v>
      </c>
      <c r="BH27" t="n">
        <v>1.2</v>
      </c>
      <c r="BI27" t="n">
        <v>6</v>
      </c>
      <c r="BJ27" t="n">
        <v>2</v>
      </c>
      <c r="BK27" t="inlineStr"/>
      <c r="BL27" t="inlineStr"/>
      <c r="BM27" t="inlineStr"/>
      <c r="BN27" t="inlineStr">
        <is>
          <t>Campaign; nhiệm vụ c5m08; mua sớm; 800 xu</t>
        </is>
      </c>
      <c r="BS27" t="n">
        <v>1</v>
      </c>
      <c r="CC27" t="inlineStr">
        <is>
          <t>Support</t>
        </is>
      </c>
      <c r="CF27" t="n">
        <v>6</v>
      </c>
      <c r="CH27" t="n">
        <v>80</v>
      </c>
      <c r="CI27" t="n">
        <v>0.35</v>
      </c>
      <c r="CJ27" t="n">
        <v>7</v>
      </c>
      <c r="CK27" t="inlineStr">
        <is>
          <t>Large</t>
        </is>
      </c>
      <c r="CZ27" t="b">
        <v>1</v>
      </c>
      <c r="DD27" t="n">
        <v>468</v>
      </c>
      <c r="DG27" t="n">
        <v>32</v>
      </c>
      <c r="DI27" t="n">
        <v>9.01</v>
      </c>
      <c r="EA27" t="n">
        <v>3.83</v>
      </c>
      <c r="EB27" t="n">
        <v>9.01</v>
      </c>
      <c r="EC27" t="n">
        <v>2.76</v>
      </c>
      <c r="EK27" t="n">
        <v>1.2</v>
      </c>
      <c r="EL27" t="n">
        <v>2.2</v>
      </c>
      <c r="ER27" t="n">
        <v>1</v>
      </c>
      <c r="EZ27" t="n">
        <v>8</v>
      </c>
      <c r="FG27" t="n">
        <v>90</v>
      </c>
      <c r="FH27" t="n">
        <v>200</v>
      </c>
      <c r="FI27" t="n">
        <v>1</v>
      </c>
      <c r="FJ27" t="n">
        <v>40</v>
      </c>
      <c r="FL27" t="inlineStr">
        <is>
          <t>hmg_selfdef_15</t>
        </is>
      </c>
      <c r="FM27" t="n">
        <v>2.38</v>
      </c>
      <c r="FN27" t="inlineStr">
        <is>
          <t>Assets/MachineBrigade/Resources/Data/balance.json: vehicles[30]</t>
        </is>
      </c>
      <c r="FO27" t="inlineStr">
        <is>
          <t>{"id":"ew_jammer","outgoingDamageMult":1.2,"value":1,"scale":1,"modelSize":[9.01,2.76,3.83],"class":"Support","armour":1,"hp":468,"speed":8,"turnRate":90,"turretTurnRate":200,"radius":2.2,"length":9.01,"width":2.38,"cp":6,"vision":40,"firesWhileMoving":true,"weapon":"hmg_selfdef_15","jammer":32,"deathExplosion":{"damage":80,"radius":7,"delay":0.35,"tier":"Large"}}</t>
        </is>
      </c>
    </row>
    <row r="28">
      <c r="A28" t="inlineStr">
        <is>
          <t>fighter_jet</t>
        </is>
      </c>
      <c r="B28" t="inlineStr">
        <is>
          <t>xe</t>
        </is>
      </c>
      <c r="C28" t="inlineStr">
        <is>
          <t>Fighter</t>
        </is>
      </c>
      <c r="D28" t="inlineStr">
        <is>
          <t>Tiêm kích</t>
        </is>
      </c>
      <c r="E28" t="inlineStr">
        <is>
          <t>Tiêm kích</t>
        </is>
      </c>
      <c r="F28" t="inlineStr"/>
      <c r="G28" t="inlineStr"/>
      <c r="H28" t="inlineStr"/>
      <c r="I28" t="n">
        <v>15</v>
      </c>
      <c r="J28" t="n">
        <v>600</v>
      </c>
      <c r="K28" t="n">
        <v>1320</v>
      </c>
      <c r="L28" t="n">
        <v>0</v>
      </c>
      <c r="M28" t="n">
        <v>0</v>
      </c>
      <c r="N28" t="n">
        <v>0</v>
      </c>
      <c r="O28" t="n">
        <v>0</v>
      </c>
      <c r="P28" t="b">
        <v>0</v>
      </c>
      <c r="Q28" t="n">
        <v>40</v>
      </c>
      <c r="R28" t="n">
        <v>129</v>
      </c>
      <c r="S28" t="n">
        <v>360</v>
      </c>
      <c r="T28" t="n">
        <v>72</v>
      </c>
      <c r="U28" t="n">
        <v>3.4</v>
      </c>
      <c r="V28" t="inlineStr"/>
      <c r="W28" t="inlineStr"/>
      <c r="X28" t="b">
        <v>1</v>
      </c>
      <c r="Y28" t="n">
        <v>34</v>
      </c>
      <c r="Z28" t="b">
        <v>0</v>
      </c>
      <c r="AA28" t="b">
        <v>1</v>
      </c>
      <c r="AB28" t="n">
        <v>0</v>
      </c>
      <c r="AC28" t="n">
        <v>5</v>
      </c>
      <c r="AD28" t="n">
        <v>1.3594</v>
      </c>
      <c r="AE28" t="inlineStr">
        <is>
          <t>air_to_air</t>
        </is>
      </c>
      <c r="AF28" t="inlineStr">
        <is>
          <t>wvr_aam;fighter_cannon</t>
        </is>
      </c>
      <c r="AG28" t="inlineStr">
        <is>
          <t>jet_flares</t>
        </is>
      </c>
      <c r="AH28" t="inlineStr">
        <is>
          <t>flare</t>
        </is>
      </c>
      <c r="AI28" t="n">
        <v>2</v>
      </c>
      <c r="AJ28" t="n">
        <v>16</v>
      </c>
      <c r="AK28" t="inlineStr">
        <is>
          <t>fighter_jet</t>
        </is>
      </c>
      <c r="AL28" t="inlineStr">
        <is>
          <t>doi</t>
        </is>
      </c>
      <c r="AM28" t="n">
        <v>12</v>
      </c>
      <c r="AN28" t="n">
        <v>15</v>
      </c>
      <c r="AO28" t="n">
        <v>520</v>
      </c>
      <c r="AP28" t="n">
        <v>600</v>
      </c>
      <c r="BG28" t="n">
        <v>1</v>
      </c>
      <c r="BH28" t="n">
        <v>1.3594</v>
      </c>
      <c r="BI28" t="n">
        <v>15</v>
      </c>
      <c r="BJ28" t="n">
        <v>4</v>
      </c>
      <c r="BK28" t="inlineStr"/>
      <c r="BL28" t="inlineStr"/>
      <c r="BM28" t="inlineStr"/>
      <c r="BN28" t="inlineStr">
        <is>
          <t>Campaign; nhiệm vụ c3m11; mua sớm; 300 xu</t>
        </is>
      </c>
      <c r="BR28" t="n">
        <v>34</v>
      </c>
      <c r="BS28" t="n">
        <v>0</v>
      </c>
      <c r="BX28" t="n">
        <v>4</v>
      </c>
      <c r="BZ28" t="n">
        <v>0</v>
      </c>
      <c r="CB28" t="inlineStr">
        <is>
          <t>high</t>
        </is>
      </c>
      <c r="CF28" t="n">
        <v>15</v>
      </c>
      <c r="CH28" t="n">
        <v>80</v>
      </c>
      <c r="CI28" t="n">
        <v>0.6</v>
      </c>
      <c r="CJ28" t="n">
        <v>7</v>
      </c>
      <c r="CK28" t="inlineStr">
        <is>
          <t>Huge</t>
        </is>
      </c>
      <c r="CV28" t="n">
        <v>5</v>
      </c>
      <c r="CZ28" t="b">
        <v>1</v>
      </c>
      <c r="DA28" t="b">
        <v>1</v>
      </c>
      <c r="DB28" t="b">
        <v>1</v>
      </c>
      <c r="DD28" t="n">
        <v>600</v>
      </c>
      <c r="DF28" t="b">
        <v>1</v>
      </c>
      <c r="DN28" t="inlineStr">
        <is>
          <t>missile</t>
        </is>
      </c>
      <c r="EA28" t="n">
        <v>2.15</v>
      </c>
      <c r="EB28" t="n">
        <v>8.640000000000001</v>
      </c>
      <c r="EC28" t="n">
        <v>5.85</v>
      </c>
      <c r="EK28" t="n">
        <v>1.3594</v>
      </c>
      <c r="EL28" t="n">
        <v>3.4</v>
      </c>
      <c r="EO28" t="n">
        <v>11</v>
      </c>
      <c r="ER28" t="n">
        <v>1.1765</v>
      </c>
      <c r="EY28" t="inlineStr">
        <is>
          <t>jet_flares</t>
        </is>
      </c>
      <c r="EZ28" t="n">
        <v>40</v>
      </c>
      <c r="FE28" t="inlineStr">
        <is>
          <t>Plane;Helicopter</t>
        </is>
      </c>
      <c r="FG28" t="n">
        <v>129</v>
      </c>
      <c r="FH28" t="n">
        <v>360</v>
      </c>
      <c r="FI28" t="n">
        <v>1.5</v>
      </c>
      <c r="FJ28" t="n">
        <v>72</v>
      </c>
      <c r="FK28" t="b">
        <v>1</v>
      </c>
      <c r="FL28" t="inlineStr">
        <is>
          <t>air_to_air</t>
        </is>
      </c>
      <c r="FN28" t="inlineStr">
        <is>
          <t>Assets/MachineBrigade/Resources/Data/balance.json: vehicles[33]</t>
        </is>
      </c>
      <c r="FO28" t="inlineStr">
        <is>
          <t>{"id":"fighter_jet","flareCharges":2,"dropDelay":5,"outgoingDamageMult":1.3594,"ceiling":"high","value":1.5,"rearmTime":11,"strongVs":["Plane","Helicopter"],"scale":1.1765,"modelSize":[8.64,5.85,2.15],"armour":0,"hp":600,"speed":40,"turnRate":129,"turretTurnRate":360,"radius":3.4,"cp":15,"vision":72,"firesWhileMoving":true,"weapon":"air_to_air","mainSlot":"missile","flying":true,"fixedWing":true,"altitude":34,"captureRate":0,"attackHold":4.0,"secondary":[{"weapon":"wvr_aam","slot":"aam","aim":"Free"},{"weapon":"fighter_cannon","slot":"gun","aim":"Hull"}],"interceptor":true,"vtol":true,"skills":["jet_flares"],"deathExplosion":{"damage":80,"radius":7,"delay":0.6,"tier":"Huge"}}</t>
        </is>
      </c>
    </row>
    <row r="29">
      <c r="A29" t="inlineStr">
        <is>
          <t>flame_tank</t>
        </is>
      </c>
      <c r="B29" t="inlineStr">
        <is>
          <t>xe</t>
        </is>
      </c>
      <c r="C29" t="inlineStr">
        <is>
          <t>Flame tank</t>
        </is>
      </c>
      <c r="D29" t="inlineStr">
        <is>
          <t>Tăng phun lửa</t>
        </is>
      </c>
      <c r="E29" t="inlineStr">
        <is>
          <t>Phun lửa</t>
        </is>
      </c>
      <c r="F29" t="inlineStr"/>
      <c r="G29" t="inlineStr"/>
      <c r="H29" t="inlineStr"/>
      <c r="I29" t="n">
        <v>6</v>
      </c>
      <c r="J29" t="n">
        <v>741</v>
      </c>
      <c r="K29" t="n">
        <v>1630.2</v>
      </c>
      <c r="L29" t="n">
        <v>3</v>
      </c>
      <c r="M29" t="n">
        <v>2</v>
      </c>
      <c r="N29" t="n">
        <v>1</v>
      </c>
      <c r="O29" t="n">
        <v>1</v>
      </c>
      <c r="P29" t="b">
        <v>0</v>
      </c>
      <c r="Q29" t="n">
        <v>6.5</v>
      </c>
      <c r="R29" t="n">
        <v>80</v>
      </c>
      <c r="S29" t="n">
        <v>110</v>
      </c>
      <c r="T29" t="n">
        <v>26</v>
      </c>
      <c r="U29" t="n">
        <v>1.9</v>
      </c>
      <c r="V29" t="n">
        <v>5.75</v>
      </c>
      <c r="W29" t="n">
        <v>2.66</v>
      </c>
      <c r="X29" t="b">
        <v>0</v>
      </c>
      <c r="Y29" t="n">
        <v>0</v>
      </c>
      <c r="Z29" t="b">
        <v>0</v>
      </c>
      <c r="AA29" t="b">
        <v>1</v>
      </c>
      <c r="AB29" t="n">
        <v>1</v>
      </c>
      <c r="AC29" t="n">
        <v>3.5</v>
      </c>
      <c r="AD29" t="n">
        <v>1.2</v>
      </c>
      <c r="AE29" t="inlineStr">
        <is>
          <t>flamethrower</t>
        </is>
      </c>
      <c r="AF29" t="inlineStr">
        <is>
          <t>mg_coax</t>
        </is>
      </c>
      <c r="AG29" t="inlineStr"/>
      <c r="AH29" t="inlineStr">
        <is>
          <t>none</t>
        </is>
      </c>
      <c r="AI29" t="inlineStr"/>
      <c r="AJ29" t="inlineStr"/>
      <c r="AK29" t="inlineStr">
        <is>
          <t>flame_tank</t>
        </is>
      </c>
      <c r="AL29" t="inlineStr">
        <is>
          <t>doi</t>
        </is>
      </c>
      <c r="AM29" t="n">
        <v>5</v>
      </c>
      <c r="AN29" t="n">
        <v>6</v>
      </c>
      <c r="AO29" t="n">
        <v>600</v>
      </c>
      <c r="AP29" t="n">
        <v>741</v>
      </c>
      <c r="AY29" t="n">
        <v>4.6</v>
      </c>
      <c r="AZ29" t="n">
        <v>6.5</v>
      </c>
      <c r="BG29" t="n">
        <v>1</v>
      </c>
      <c r="BH29" t="n">
        <v>1.2</v>
      </c>
      <c r="BI29" t="n">
        <v>6</v>
      </c>
      <c r="BJ29" t="n">
        <v>2</v>
      </c>
      <c r="BK29" t="inlineStr"/>
      <c r="BL29" t="inlineStr"/>
      <c r="BM29" t="inlineStr"/>
      <c r="BN29" t="inlineStr">
        <is>
          <t>Campaign; nhiệm vụ c2m03; mua sớm; 300 xu</t>
        </is>
      </c>
      <c r="BS29" t="n">
        <v>3</v>
      </c>
      <c r="CF29" t="n">
        <v>6</v>
      </c>
      <c r="CH29" t="n">
        <v>140</v>
      </c>
      <c r="CI29" t="n">
        <v>0.3</v>
      </c>
      <c r="CJ29" t="n">
        <v>5</v>
      </c>
      <c r="CK29" t="inlineStr">
        <is>
          <t>Huge</t>
        </is>
      </c>
      <c r="CZ29" t="b">
        <v>1</v>
      </c>
      <c r="DD29" t="n">
        <v>741</v>
      </c>
      <c r="DI29" t="n">
        <v>5.75</v>
      </c>
      <c r="EA29" t="n">
        <v>1.87</v>
      </c>
      <c r="EB29" t="n">
        <v>7.12</v>
      </c>
      <c r="EC29" t="n">
        <v>2.66</v>
      </c>
      <c r="EK29" t="n">
        <v>1.2</v>
      </c>
      <c r="EL29" t="n">
        <v>1.9</v>
      </c>
      <c r="ER29" t="n">
        <v>1</v>
      </c>
      <c r="EZ29" t="n">
        <v>6.5</v>
      </c>
      <c r="FG29" t="n">
        <v>80</v>
      </c>
      <c r="FH29" t="n">
        <v>110</v>
      </c>
      <c r="FI29" t="n">
        <v>0.73</v>
      </c>
      <c r="FJ29" t="n">
        <v>26</v>
      </c>
      <c r="FL29" t="inlineStr">
        <is>
          <t>flamethrower</t>
        </is>
      </c>
      <c r="FM29" t="n">
        <v>2.66</v>
      </c>
      <c r="FN29" t="inlineStr">
        <is>
          <t>Assets/MachineBrigade/Resources/Data/balance.json: vehicles[3]</t>
        </is>
      </c>
      <c r="FO29" t="inlineStr">
        <is>
          <t>{"id":"flame_tank","outgoingDamageMult":1.2,"value":0.73,"scale":1,"modelSize":[7.12,2.66,1.87],"armour":3,"hp":741,"speed":6.5,"turnRate":80,"turretTurnRate":110,"radius":1.9,"length":5.75,"width":2.66,"cp":6,"vision":26,"firesWhileMoving":true,"weapon":"flamethrower","secondary":[{"weapon":"mg_coax","slot":"coax","aim":"Turret"}],"deathExplosion":{"damage":140,"radius":5,"delay":0.3,"tier":"Huge"}}</t>
        </is>
      </c>
    </row>
    <row r="30">
      <c r="A30" t="inlineStr">
        <is>
          <t>fpv_carrier</t>
        </is>
      </c>
      <c r="B30" t="inlineStr">
        <is>
          <t>xe</t>
        </is>
      </c>
      <c r="C30" t="inlineStr">
        <is>
          <t>FPV drone carrier</t>
        </is>
      </c>
      <c r="D30" t="inlineStr">
        <is>
          <t>Xe phóng drone FPV</t>
        </is>
      </c>
      <c r="E30" t="inlineStr">
        <is>
          <t>Drone FPV</t>
        </is>
      </c>
      <c r="F30" t="inlineStr">
        <is>
          <t>TankHunter</t>
        </is>
      </c>
      <c r="G30" t="inlineStr">
        <is>
          <t>Armor</t>
        </is>
      </c>
      <c r="H30" t="inlineStr"/>
      <c r="I30" t="n">
        <v>7</v>
      </c>
      <c r="J30" t="n">
        <v>500</v>
      </c>
      <c r="K30" t="n">
        <v>1100</v>
      </c>
      <c r="L30" t="n">
        <v>1</v>
      </c>
      <c r="M30" t="n">
        <v>0</v>
      </c>
      <c r="N30" t="n">
        <v>0</v>
      </c>
      <c r="O30" t="n">
        <v>0</v>
      </c>
      <c r="P30" t="b">
        <v>0</v>
      </c>
      <c r="Q30" t="n">
        <v>9</v>
      </c>
      <c r="R30" t="n">
        <v>90</v>
      </c>
      <c r="S30" t="n">
        <v>90</v>
      </c>
      <c r="T30" t="n">
        <v>48</v>
      </c>
      <c r="U30" t="n">
        <v>2.3</v>
      </c>
      <c r="V30" t="n">
        <v>7.41</v>
      </c>
      <c r="W30" t="n">
        <v>2.04</v>
      </c>
      <c r="X30" t="b">
        <v>0</v>
      </c>
      <c r="Y30" t="n">
        <v>0</v>
      </c>
      <c r="Z30" t="b">
        <v>0</v>
      </c>
      <c r="AA30" t="b">
        <v>0</v>
      </c>
      <c r="AB30" t="n">
        <v>1</v>
      </c>
      <c r="AC30" t="n">
        <v>3.5</v>
      </c>
      <c r="AD30" t="n">
        <v>1.1667</v>
      </c>
      <c r="AE30" t="inlineStr">
        <is>
          <t>fpv_swarm</t>
        </is>
      </c>
      <c r="AF30" t="inlineStr">
        <is>
          <t>hmg_selfdef_18</t>
        </is>
      </c>
      <c r="AG30" t="inlineStr"/>
      <c r="AH30" t="inlineStr">
        <is>
          <t>none</t>
        </is>
      </c>
      <c r="AI30" t="inlineStr"/>
      <c r="AJ30" t="inlineStr"/>
      <c r="AK30" t="inlineStr">
        <is>
          <t>fpv_carrier</t>
        </is>
      </c>
      <c r="AL30" t="inlineStr">
        <is>
          <t>doi</t>
        </is>
      </c>
      <c r="AM30" t="n">
        <v>6</v>
      </c>
      <c r="AN30" t="n">
        <v>7</v>
      </c>
      <c r="AO30" t="n">
        <v>420</v>
      </c>
      <c r="AP30" t="n">
        <v>500</v>
      </c>
      <c r="BG30" t="n">
        <v>1</v>
      </c>
      <c r="BH30" t="n">
        <v>1.1667</v>
      </c>
      <c r="BI30" t="n">
        <v>7</v>
      </c>
      <c r="BJ30" t="n">
        <v>2</v>
      </c>
      <c r="BK30" t="inlineStr"/>
      <c r="BL30" t="inlineStr">
        <is>
          <t>elite_fpv_carrier</t>
        </is>
      </c>
      <c r="BM30" t="inlineStr">
        <is>
          <t>drone;fpv</t>
        </is>
      </c>
      <c r="BN30" t="inlineStr">
        <is>
          <t>Campaign; nhiệm vụ c5m02; mua sớm; 800 xu</t>
        </is>
      </c>
      <c r="BS30" t="n">
        <v>1</v>
      </c>
      <c r="CC30" t="inlineStr">
        <is>
          <t>TankHunter</t>
        </is>
      </c>
      <c r="CF30" t="n">
        <v>7</v>
      </c>
      <c r="CH30" t="n">
        <v>100</v>
      </c>
      <c r="CI30" t="n">
        <v>0.35</v>
      </c>
      <c r="CJ30" t="n">
        <v>7</v>
      </c>
      <c r="CK30" t="inlineStr">
        <is>
          <t>Huge</t>
        </is>
      </c>
      <c r="CZ30" t="b">
        <v>0</v>
      </c>
      <c r="DD30" t="n">
        <v>500</v>
      </c>
      <c r="DI30" t="n">
        <v>7.41</v>
      </c>
      <c r="EA30" t="n">
        <v>2.88</v>
      </c>
      <c r="EB30" t="n">
        <v>7.41</v>
      </c>
      <c r="EC30" t="n">
        <v>2.04</v>
      </c>
      <c r="EK30" t="n">
        <v>1.1667</v>
      </c>
      <c r="EL30" t="n">
        <v>2.3</v>
      </c>
      <c r="ER30" t="n">
        <v>1</v>
      </c>
      <c r="EZ30" t="n">
        <v>9</v>
      </c>
      <c r="FG30" t="n">
        <v>90</v>
      </c>
      <c r="FH30" t="n">
        <v>90</v>
      </c>
      <c r="FI30" t="n">
        <v>1.17</v>
      </c>
      <c r="FJ30" t="n">
        <v>48</v>
      </c>
      <c r="FL30" t="inlineStr">
        <is>
          <t>fpv_swarm</t>
        </is>
      </c>
      <c r="FM30" t="n">
        <v>2.04</v>
      </c>
      <c r="FN30" t="inlineStr">
        <is>
          <t>Assets/MachineBrigade/Resources/Data/balance.json: vehicles[31]</t>
        </is>
      </c>
      <c r="FO30" t="inlineStr">
        <is>
          <t>{"id":"fpv_carrier","outgoingDamageMult":1.1667,"value":1.17,"scale":1,"modelSize":[7.41,2.04,2.88],"class":"TankHunter","armour":1,"hp":500,"speed":9,"turnRate":90,"turretTurnRate":90,"radius":2.3,"length":7.41,"width":2.04,"cp":7,"vision":48,"firesWhileMoving":false,"weapon":"fpv_swarm","secondary":[{"weapon":"hmg_selfdef_18","slot":"mg","aim":"Free"}],"deathExplosion":{"damage":100,"radius":7,"delay":0.35,"tier":"Huge"}}</t>
        </is>
      </c>
    </row>
    <row r="31">
      <c r="A31" t="inlineStr">
        <is>
          <t>gps_jammer_vehicle</t>
        </is>
      </c>
      <c r="B31" t="inlineStr">
        <is>
          <t>xe</t>
        </is>
      </c>
      <c r="C31" t="inlineStr">
        <is>
          <t>GPS jammer vehicle</t>
        </is>
      </c>
      <c r="D31" t="inlineStr">
        <is>
          <t>Xe gây nhiễu định vị</t>
        </is>
      </c>
      <c r="E31" t="inlineStr">
        <is>
          <t>Nhiễu định vị</t>
        </is>
      </c>
      <c r="F31" t="inlineStr">
        <is>
          <t>Support</t>
        </is>
      </c>
      <c r="G31" t="inlineStr">
        <is>
          <t>Light</t>
        </is>
      </c>
      <c r="H31" t="inlineStr"/>
      <c r="I31" t="n">
        <v>6</v>
      </c>
      <c r="J31" t="n">
        <v>450</v>
      </c>
      <c r="K31" t="n">
        <v>990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n">
        <v>8</v>
      </c>
      <c r="R31" t="n">
        <v>90</v>
      </c>
      <c r="S31" t="n">
        <v>200</v>
      </c>
      <c r="T31" t="n">
        <v>35</v>
      </c>
      <c r="U31" t="n">
        <v>2.2</v>
      </c>
      <c r="V31" t="n">
        <v>9.01</v>
      </c>
      <c r="W31" t="n">
        <v>2.38</v>
      </c>
      <c r="X31" t="b">
        <v>0</v>
      </c>
      <c r="Y31" t="n">
        <v>0</v>
      </c>
      <c r="Z31" t="b">
        <v>0</v>
      </c>
      <c r="AA31" t="b">
        <v>1</v>
      </c>
      <c r="AB31" t="n">
        <v>1</v>
      </c>
      <c r="AC31" t="n">
        <v>3.5</v>
      </c>
      <c r="AD31" t="n">
        <v>1.2</v>
      </c>
      <c r="AE31" t="inlineStr">
        <is>
          <t>hmg_selfdef_15</t>
        </is>
      </c>
      <c r="AF31" t="inlineStr"/>
      <c r="AG31" t="inlineStr"/>
      <c r="AH31" t="inlineStr">
        <is>
          <t>none</t>
        </is>
      </c>
      <c r="AI31" t="inlineStr"/>
      <c r="AJ31" t="inlineStr"/>
      <c r="AK31" t="inlineStr">
        <is>
          <t>gps_jammer_vehicle</t>
        </is>
      </c>
      <c r="AL31" t="inlineStr">
        <is>
          <t>doi</t>
        </is>
      </c>
      <c r="AM31" t="n">
        <v>5</v>
      </c>
      <c r="AN31" t="n">
        <v>6</v>
      </c>
      <c r="AO31" t="n">
        <v>364</v>
      </c>
      <c r="AP31" t="n">
        <v>450</v>
      </c>
      <c r="BG31" t="n">
        <v>1</v>
      </c>
      <c r="BH31" t="n">
        <v>1.2</v>
      </c>
      <c r="BI31" t="n">
        <v>6</v>
      </c>
      <c r="BJ31" t="n">
        <v>2</v>
      </c>
      <c r="BK31" t="inlineStr"/>
      <c r="BL31" t="inlineStr"/>
      <c r="BM31" t="inlineStr"/>
      <c r="BN31" t="inlineStr">
        <is>
          <t>Premium; 1500 xu</t>
        </is>
      </c>
      <c r="BS31" t="n">
        <v>1</v>
      </c>
      <c r="CC31" t="inlineStr">
        <is>
          <t>Support</t>
        </is>
      </c>
      <c r="CF31" t="n">
        <v>6</v>
      </c>
      <c r="CH31" t="n">
        <v>60</v>
      </c>
      <c r="CI31" t="n">
        <v>0.3</v>
      </c>
      <c r="CJ31" t="n">
        <v>5</v>
      </c>
      <c r="CK31" t="inlineStr">
        <is>
          <t>Large</t>
        </is>
      </c>
      <c r="CZ31" t="b">
        <v>1</v>
      </c>
      <c r="DD31" t="n">
        <v>450</v>
      </c>
      <c r="DG31" t="n">
        <v>28</v>
      </c>
      <c r="DI31" t="n">
        <v>9.01</v>
      </c>
      <c r="DZ31" t="inlineStr">
        <is>
          <t>gps_jammer_vehicle</t>
        </is>
      </c>
      <c r="EA31" t="n">
        <v>3.83</v>
      </c>
      <c r="EB31" t="n">
        <v>9.01</v>
      </c>
      <c r="EC31" t="n">
        <v>2.76</v>
      </c>
      <c r="EK31" t="n">
        <v>1.2</v>
      </c>
      <c r="EL31" t="n">
        <v>2.2</v>
      </c>
      <c r="EZ31" t="n">
        <v>8</v>
      </c>
      <c r="FG31" t="n">
        <v>90</v>
      </c>
      <c r="FH31" t="n">
        <v>200</v>
      </c>
      <c r="FJ31" t="n">
        <v>35</v>
      </c>
      <c r="FL31" t="inlineStr">
        <is>
          <t>hmg_selfdef_15</t>
        </is>
      </c>
      <c r="FM31" t="n">
        <v>2.38</v>
      </c>
      <c r="FN31" t="inlineStr">
        <is>
          <t>Assets/MachineBrigade/Resources/Data/balance.json: vehicles[132]</t>
        </is>
      </c>
      <c r="FO31" t="inlineStr">
        <is>
          <t>{"id":"gps_jammer_vehicle","outgoingDamageMult":1.2,"model":"gps_jammer_vehicle","modelSize":[9.01,2.76,3.83],"class":"Support","armour":1,"hp":450,"speed":8,"turnRate":90,"turretTurnRate":200,"radius":2.2,"length":9.01,"width":2.38,"cp":6,"vision":35,"firesWhileMoving":true,"weapon":"hmg_selfdef_15","jammer":28,"deathExplosion":{"damage":60,"radius":5,"delay":0.3,"tier":"Large"}}</t>
        </is>
      </c>
    </row>
    <row r="32">
      <c r="A32" t="inlineStr">
        <is>
          <t>ground_cruise_missile_vehicle</t>
        </is>
      </c>
      <c r="B32" t="inlineStr">
        <is>
          <t>xe</t>
        </is>
      </c>
      <c r="C32" t="inlineStr">
        <is>
          <t>Ground cruise missile vehicle</t>
        </is>
      </c>
      <c r="D32" t="inlineStr">
        <is>
          <t>Xe phóng tên lửa hành trình</t>
        </is>
      </c>
      <c r="E32" t="inlineStr">
        <is>
          <t>Tên lửa HT</t>
        </is>
      </c>
      <c r="F32" t="inlineStr"/>
      <c r="G32" t="inlineStr"/>
      <c r="H32" t="inlineStr"/>
      <c r="I32" t="n">
        <v>15</v>
      </c>
      <c r="J32" t="n">
        <v>586</v>
      </c>
      <c r="K32" t="n">
        <v>1289.2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n">
        <v>6.5</v>
      </c>
      <c r="R32" t="n">
        <v>80</v>
      </c>
      <c r="S32" t="n">
        <v>100</v>
      </c>
      <c r="T32" t="n">
        <v>35</v>
      </c>
      <c r="U32" t="n">
        <v>2.3</v>
      </c>
      <c r="V32" t="n">
        <v>7.18</v>
      </c>
      <c r="W32" t="n">
        <v>2.7</v>
      </c>
      <c r="X32" t="b">
        <v>0</v>
      </c>
      <c r="Y32" t="n">
        <v>0</v>
      </c>
      <c r="Z32" t="b">
        <v>0</v>
      </c>
      <c r="AA32" t="b">
        <v>1</v>
      </c>
      <c r="AB32" t="n">
        <v>1</v>
      </c>
      <c r="AC32" t="n">
        <v>5</v>
      </c>
      <c r="AD32" t="n">
        <v>1.25</v>
      </c>
      <c r="AE32" t="inlineStr">
        <is>
          <t>cruise_missile_ground</t>
        </is>
      </c>
      <c r="AF32" t="inlineStr"/>
      <c r="AG32" t="inlineStr"/>
      <c r="AH32" t="inlineStr">
        <is>
          <t>none</t>
        </is>
      </c>
      <c r="AI32" t="inlineStr"/>
      <c r="AJ32" t="inlineStr"/>
      <c r="AK32" t="inlineStr">
        <is>
          <t>ground_cruise_missile_vehicle</t>
        </is>
      </c>
      <c r="AL32" t="inlineStr">
        <is>
          <t>doi</t>
        </is>
      </c>
      <c r="AM32" t="n">
        <v>12</v>
      </c>
      <c r="AN32" t="n">
        <v>15</v>
      </c>
      <c r="AO32" t="n">
        <v>455</v>
      </c>
      <c r="AP32" t="n">
        <v>586</v>
      </c>
      <c r="BG32" t="n">
        <v>1</v>
      </c>
      <c r="BH32" t="n">
        <v>1.25</v>
      </c>
      <c r="BI32" t="n">
        <v>15</v>
      </c>
      <c r="BJ32" t="n">
        <v>4</v>
      </c>
      <c r="BK32" t="inlineStr"/>
      <c r="BL32" t="inlineStr"/>
      <c r="BM32" t="inlineStr"/>
      <c r="BN32" t="inlineStr">
        <is>
          <t>Premium; 5000 xu</t>
        </is>
      </c>
      <c r="BS32" t="n">
        <v>1</v>
      </c>
      <c r="CF32" t="n">
        <v>15</v>
      </c>
      <c r="CH32" t="n">
        <v>100</v>
      </c>
      <c r="CI32" t="n">
        <v>0.4</v>
      </c>
      <c r="CJ32" t="n">
        <v>7</v>
      </c>
      <c r="CK32" t="inlineStr">
        <is>
          <t>Huge</t>
        </is>
      </c>
      <c r="CV32" t="n">
        <v>5</v>
      </c>
      <c r="CY32" t="n">
        <v>2.2</v>
      </c>
      <c r="DD32" t="n">
        <v>586</v>
      </c>
      <c r="DI32" t="n">
        <v>7.18</v>
      </c>
      <c r="DM32" t="inlineStr">
        <is>
          <t>Hull</t>
        </is>
      </c>
      <c r="DZ32" t="inlineStr">
        <is>
          <t>ground_cruise_missile_vehicle</t>
        </is>
      </c>
      <c r="EA32" t="n">
        <v>2.97</v>
      </c>
      <c r="EB32" t="n">
        <v>7.18</v>
      </c>
      <c r="EC32" t="n">
        <v>2.7</v>
      </c>
      <c r="EK32" t="n">
        <v>1.25</v>
      </c>
      <c r="EL32" t="n">
        <v>2.3</v>
      </c>
      <c r="EZ32" t="n">
        <v>6.5</v>
      </c>
      <c r="FG32" t="n">
        <v>80</v>
      </c>
      <c r="FH32" t="n">
        <v>100</v>
      </c>
      <c r="FJ32" t="n">
        <v>35</v>
      </c>
      <c r="FL32" t="inlineStr">
        <is>
          <t>cruise_missile_ground</t>
        </is>
      </c>
      <c r="FM32" t="n">
        <v>2.7</v>
      </c>
      <c r="FN32" t="inlineStr">
        <is>
          <t>Assets/MachineBrigade/Resources/Data/balance.json: vehicles[131]</t>
        </is>
      </c>
      <c r="FO32" t="inlineStr">
        <is>
          <t>{"id":"ground_cruise_missile_vehicle","erectSeconds":2.2,"mainAim":"Hull","dropDelay":5,"outgoingDamageMult":1.25,"model":"ground_cruise_missile_vehicle","modelSize":[7.18,2.7,2.97],"armour":1,"hp":586,"speed":6.5,"turnRate":80,"turretTurnRate":100,"radius":2.3,"length":7.18,"width":2.7,"cp":15,"vision":35,"weapon":"cruise_missile_ground","deathExplosion":{"damage":100,"radius":7,"delay":0.4,"tier":"Huge"}}</t>
        </is>
      </c>
    </row>
    <row r="33">
      <c r="A33" t="inlineStr">
        <is>
          <t>heavy_aa</t>
        </is>
      </c>
      <c r="B33" t="inlineStr">
        <is>
          <t>xe</t>
        </is>
      </c>
      <c r="C33" t="inlineStr">
        <is>
          <t>Gun–missile AA</t>
        </is>
      </c>
      <c r="D33" t="inlineStr">
        <is>
          <t>Xe phòng không pháo – tên lửa</t>
        </is>
      </c>
      <c r="E33" t="inlineStr">
        <is>
          <t>PK hỗn hợp</t>
        </is>
      </c>
      <c r="F33" t="inlineStr"/>
      <c r="G33" t="inlineStr"/>
      <c r="H33" t="inlineStr"/>
      <c r="I33" t="n">
        <v>8</v>
      </c>
      <c r="J33" t="n">
        <v>632</v>
      </c>
      <c r="K33" t="n">
        <v>1390.4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n">
        <v>8.5</v>
      </c>
      <c r="R33" t="n">
        <v>90</v>
      </c>
      <c r="S33" t="n">
        <v>220</v>
      </c>
      <c r="T33" t="n">
        <v>60</v>
      </c>
      <c r="U33" t="n">
        <v>2.1</v>
      </c>
      <c r="V33" t="n">
        <v>9.800000000000001</v>
      </c>
      <c r="W33" t="n">
        <v>2.18</v>
      </c>
      <c r="X33" t="b">
        <v>0</v>
      </c>
      <c r="Y33" t="n">
        <v>0</v>
      </c>
      <c r="Z33" t="b">
        <v>0</v>
      </c>
      <c r="AA33" t="b">
        <v>1</v>
      </c>
      <c r="AB33" t="n">
        <v>1</v>
      </c>
      <c r="AC33" t="n">
        <v>3.5</v>
      </c>
      <c r="AD33" t="n">
        <v>1.1429</v>
      </c>
      <c r="AE33" t="inlineStr">
        <is>
          <t>twin_30_flak</t>
        </is>
      </c>
      <c r="AF33" t="inlineStr">
        <is>
          <t>missile_57e6</t>
        </is>
      </c>
      <c r="AG33" t="inlineStr"/>
      <c r="AH33" t="inlineStr">
        <is>
          <t>none</t>
        </is>
      </c>
      <c r="AI33" t="inlineStr"/>
      <c r="AJ33" t="inlineStr"/>
      <c r="AK33" t="inlineStr">
        <is>
          <t>heavy_aa</t>
        </is>
      </c>
      <c r="AL33" t="inlineStr">
        <is>
          <t>doi</t>
        </is>
      </c>
      <c r="AM33" t="n">
        <v>7</v>
      </c>
      <c r="AN33" t="n">
        <v>8</v>
      </c>
      <c r="AO33" t="n">
        <v>540</v>
      </c>
      <c r="AP33" t="n">
        <v>632</v>
      </c>
      <c r="BG33" t="n">
        <v>1</v>
      </c>
      <c r="BH33" t="n">
        <v>1.1429</v>
      </c>
      <c r="BI33" t="n">
        <v>8</v>
      </c>
      <c r="BJ33" t="n">
        <v>2</v>
      </c>
      <c r="BK33" t="inlineStr"/>
      <c r="BL33" t="inlineStr"/>
      <c r="BM33" t="inlineStr"/>
      <c r="BN33" t="inlineStr">
        <is>
          <t>Campaign; nhiệm vụ c4m07; mua sớm; 800 xu</t>
        </is>
      </c>
      <c r="BS33" t="n">
        <v>1</v>
      </c>
      <c r="CF33" t="n">
        <v>8</v>
      </c>
      <c r="CH33" t="n">
        <v>100</v>
      </c>
      <c r="CI33" t="n">
        <v>0.35</v>
      </c>
      <c r="CJ33" t="n">
        <v>7</v>
      </c>
      <c r="CK33" t="inlineStr">
        <is>
          <t>Huge</t>
        </is>
      </c>
      <c r="CZ33" t="b">
        <v>1</v>
      </c>
      <c r="DD33" t="n">
        <v>632</v>
      </c>
      <c r="DI33" t="n">
        <v>9.800000000000001</v>
      </c>
      <c r="EA33" t="n">
        <v>2.83</v>
      </c>
      <c r="EB33" t="n">
        <v>9.800000000000001</v>
      </c>
      <c r="EC33" t="n">
        <v>2.68</v>
      </c>
      <c r="EK33" t="n">
        <v>1.1429</v>
      </c>
      <c r="EL33" t="n">
        <v>2.1</v>
      </c>
      <c r="ER33" t="n">
        <v>1</v>
      </c>
      <c r="EZ33" t="n">
        <v>8.5</v>
      </c>
      <c r="FG33" t="n">
        <v>90</v>
      </c>
      <c r="FH33" t="n">
        <v>220</v>
      </c>
      <c r="FI33" t="n">
        <v>1</v>
      </c>
      <c r="FJ33" t="n">
        <v>60</v>
      </c>
      <c r="FL33" t="inlineStr">
        <is>
          <t>twin_30_flak</t>
        </is>
      </c>
      <c r="FM33" t="n">
        <v>2.18</v>
      </c>
      <c r="FN33" t="inlineStr">
        <is>
          <t>Assets/MachineBrigade/Resources/Data/balance.json: vehicles[19]</t>
        </is>
      </c>
      <c r="FO33" t="inlineStr">
        <is>
          <t>{"id":"heavy_aa","outgoingDamageMult":1.1429,"value":1,"scale":1,"modelSize":[9.8,2.68,2.83],"armour":1,"hp":632,"speed":8.5,"turnRate":90,"turretTurnRate":220,"radius":2.1,"length":9.8,"width":2.18,"cp":8,"vision":60,"firesWhileMoving":true,"weapon":"twin_30_flak","secondary":[{"weapon":"missile_57e6","slot":"missile","aim":"Turret"}],"deathExplosion":{"damage":100,"radius":7,"delay":0.35,"tier":"Huge"}}</t>
        </is>
      </c>
    </row>
    <row r="34">
      <c r="A34" t="inlineStr">
        <is>
          <t>heavy_bomber</t>
        </is>
      </c>
      <c r="B34" t="inlineStr">
        <is>
          <t>xe</t>
        </is>
      </c>
      <c r="C34" t="inlineStr">
        <is>
          <t>Strategic bomber</t>
        </is>
      </c>
      <c r="D34" t="inlineStr">
        <is>
          <t>Oanh tạc cơ chiến lược</t>
        </is>
      </c>
      <c r="E34" t="inlineStr">
        <is>
          <t>Oanh tạc cơ</t>
        </is>
      </c>
      <c r="F34" t="inlineStr"/>
      <c r="G34" t="inlineStr"/>
      <c r="H34" t="inlineStr"/>
      <c r="I34" t="n">
        <v>29</v>
      </c>
      <c r="J34" t="n">
        <v>1400</v>
      </c>
      <c r="K34" t="n">
        <v>3080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n">
        <v>22</v>
      </c>
      <c r="R34" t="n">
        <v>68</v>
      </c>
      <c r="S34" t="n">
        <v>360</v>
      </c>
      <c r="T34" t="n">
        <v>50</v>
      </c>
      <c r="U34" t="n">
        <v>7.5</v>
      </c>
      <c r="V34" t="inlineStr"/>
      <c r="W34" t="inlineStr"/>
      <c r="X34" t="b">
        <v>1</v>
      </c>
      <c r="Y34" t="n">
        <v>42</v>
      </c>
      <c r="Z34" t="b">
        <v>0</v>
      </c>
      <c r="AA34" t="b">
        <v>1</v>
      </c>
      <c r="AB34" t="n">
        <v>0</v>
      </c>
      <c r="AC34" t="n">
        <v>5</v>
      </c>
      <c r="AD34" t="n">
        <v>1.3182</v>
      </c>
      <c r="AE34" t="inlineStr">
        <is>
          <t>bomber_payload</t>
        </is>
      </c>
      <c r="AF34" t="inlineStr">
        <is>
          <t>bomber_tail_guns;air_cruise_missile</t>
        </is>
      </c>
      <c r="AG34" t="inlineStr">
        <is>
          <t>bomber_flares</t>
        </is>
      </c>
      <c r="AH34" t="inlineStr">
        <is>
          <t>flare</t>
        </is>
      </c>
      <c r="AI34" t="n">
        <v>3</v>
      </c>
      <c r="AJ34" t="n">
        <v>11</v>
      </c>
      <c r="AK34" t="inlineStr">
        <is>
          <t>heavy_bomber</t>
        </is>
      </c>
      <c r="AL34" t="inlineStr">
        <is>
          <t>doi</t>
        </is>
      </c>
      <c r="AM34" t="n">
        <v>22</v>
      </c>
      <c r="AN34" t="n">
        <v>29</v>
      </c>
      <c r="AO34" t="n">
        <v>1500</v>
      </c>
      <c r="AP34" t="n">
        <v>1400</v>
      </c>
      <c r="BG34" t="n">
        <v>1</v>
      </c>
      <c r="BH34" t="n">
        <v>1.3182</v>
      </c>
      <c r="BI34" t="n">
        <v>29</v>
      </c>
      <c r="BJ34" t="n">
        <v>4</v>
      </c>
      <c r="BK34" t="inlineStr"/>
      <c r="BL34" t="inlineStr"/>
      <c r="BM34" t="inlineStr"/>
      <c r="BN34" t="inlineStr">
        <is>
          <t>Campaign; nhiệm vụ c9m03; mua sớm; 1500 xu</t>
        </is>
      </c>
      <c r="BR34" t="n">
        <v>42</v>
      </c>
      <c r="BS34" t="n">
        <v>0</v>
      </c>
      <c r="BZ34" t="n">
        <v>0</v>
      </c>
      <c r="CF34" t="n">
        <v>29</v>
      </c>
      <c r="CH34" t="n">
        <v>200</v>
      </c>
      <c r="CI34" t="n">
        <v>0.6</v>
      </c>
      <c r="CJ34" t="n">
        <v>10</v>
      </c>
      <c r="CK34" t="inlineStr">
        <is>
          <t>Ultimate</t>
        </is>
      </c>
      <c r="CV34" t="n">
        <v>5</v>
      </c>
      <c r="CZ34" t="b">
        <v>1</v>
      </c>
      <c r="DA34" t="b">
        <v>1</v>
      </c>
      <c r="DB34" t="b">
        <v>1</v>
      </c>
      <c r="DD34" t="n">
        <v>1400</v>
      </c>
      <c r="DN34" t="inlineStr">
        <is>
          <t>missile</t>
        </is>
      </c>
      <c r="EA34" t="n">
        <v>5.7</v>
      </c>
      <c r="EB34" t="n">
        <v>19.8</v>
      </c>
      <c r="EC34" t="n">
        <v>22.62</v>
      </c>
      <c r="EK34" t="n">
        <v>1.3182</v>
      </c>
      <c r="EL34" t="n">
        <v>7.5</v>
      </c>
      <c r="EO34" t="n">
        <v>16</v>
      </c>
      <c r="ER34" t="n">
        <v>1</v>
      </c>
      <c r="EY34" t="inlineStr">
        <is>
          <t>bomber_flares</t>
        </is>
      </c>
      <c r="EZ34" t="n">
        <v>22</v>
      </c>
      <c r="FE34" t="inlineStr">
        <is>
          <t>Defense;Artillery;Light</t>
        </is>
      </c>
      <c r="FG34" t="n">
        <v>68</v>
      </c>
      <c r="FH34" t="n">
        <v>360</v>
      </c>
      <c r="FI34" t="n">
        <v>1.03</v>
      </c>
      <c r="FJ34" t="n">
        <v>50</v>
      </c>
      <c r="FL34" t="inlineStr">
        <is>
          <t>bomber_payload</t>
        </is>
      </c>
      <c r="FN34" t="inlineStr">
        <is>
          <t>Assets/MachineBrigade/Resources/Data/balance.json: vehicles[21]</t>
        </is>
      </c>
      <c r="FO34" t="inlineStr">
        <is>
          <t>{"id":"heavy_bomber","flareCharges":3,"dropDelay":5,"outgoingDamageMult":1.3182,"value":1.03,"rearmTime":16,"strongVs":["Defense","Artillery","Light"],"scale":1,"modelSize":[19.8,22.62,5.7],"armour":0,"hp":1400,"speed":22,"turnRate":68,"turretTurnRate":360,"radius":7.5,"cp":29,"vision":50,"firesWhileMoving":true,"weapon":"bomber_payload","mainSlot":"missile","flying":true,"fixedWing":true,"altitude":42,"captureRate":0,"secondary":[{"weapon":"bomber_tail_guns","slot":"gun","aim":"Free"},{"weapon":"air_cruise_missile","slot":"rocket","aim":"Hull"}],"skills":["bomber_flares"],"deathExplosion":{"damage":200,"radius":10,"delay":0.6,"tier":"Ultimate"}}</t>
        </is>
      </c>
    </row>
    <row r="35">
      <c r="A35" t="inlineStr">
        <is>
          <t>heavy_rocket_artillery</t>
        </is>
      </c>
      <c r="B35" t="inlineStr">
        <is>
          <t>xe</t>
        </is>
      </c>
      <c r="C35" t="inlineStr">
        <is>
          <t>Heavy MLRS</t>
        </is>
      </c>
      <c r="D35" t="inlineStr">
        <is>
          <t>Pháo phản lực hạng nặng</t>
        </is>
      </c>
      <c r="E35" t="inlineStr">
        <is>
          <t>Phản lực nặng</t>
        </is>
      </c>
      <c r="F35" t="inlineStr"/>
      <c r="G35" t="inlineStr"/>
      <c r="H35" t="inlineStr"/>
      <c r="I35" t="n">
        <v>15</v>
      </c>
      <c r="J35" t="n">
        <v>541</v>
      </c>
      <c r="K35" t="n">
        <v>1190.2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n">
        <v>6.5</v>
      </c>
      <c r="R35" t="n">
        <v>55</v>
      </c>
      <c r="S35" t="n">
        <v>40</v>
      </c>
      <c r="T35" t="n">
        <v>30</v>
      </c>
      <c r="U35" t="n">
        <v>2.6</v>
      </c>
      <c r="V35" t="n">
        <v>10</v>
      </c>
      <c r="W35" t="n">
        <v>2.44</v>
      </c>
      <c r="X35" t="b">
        <v>0</v>
      </c>
      <c r="Y35" t="n">
        <v>0</v>
      </c>
      <c r="Z35" t="b">
        <v>0</v>
      </c>
      <c r="AA35" t="b">
        <v>0</v>
      </c>
      <c r="AB35" t="n">
        <v>1</v>
      </c>
      <c r="AC35" t="n">
        <v>5</v>
      </c>
      <c r="AD35" t="n">
        <v>1.25</v>
      </c>
      <c r="AE35" t="inlineStr">
        <is>
          <t>rockets_300mm</t>
        </is>
      </c>
      <c r="AF35" t="inlineStr"/>
      <c r="AG35" t="inlineStr"/>
      <c r="AH35" t="inlineStr">
        <is>
          <t>none</t>
        </is>
      </c>
      <c r="AI35" t="inlineStr"/>
      <c r="AJ35" t="inlineStr"/>
      <c r="AK35" t="inlineStr">
        <is>
          <t>heavy_rocket_artillery</t>
        </is>
      </c>
      <c r="AL35" t="inlineStr">
        <is>
          <t>doi</t>
        </is>
      </c>
      <c r="AM35" t="n">
        <v>12</v>
      </c>
      <c r="AN35" t="n">
        <v>15</v>
      </c>
      <c r="AO35" t="n">
        <v>420</v>
      </c>
      <c r="AP35" t="n">
        <v>541</v>
      </c>
      <c r="BG35" t="n">
        <v>1</v>
      </c>
      <c r="BH35" t="n">
        <v>1.25</v>
      </c>
      <c r="BI35" t="n">
        <v>15</v>
      </c>
      <c r="BJ35" t="n">
        <v>4</v>
      </c>
      <c r="BK35" t="inlineStr"/>
      <c r="BL35" t="inlineStr"/>
      <c r="BM35" t="inlineStr"/>
      <c r="BN35" t="inlineStr">
        <is>
          <t>Campaign; nhiệm vụ c8m02; mua sớm; 1500 xu</t>
        </is>
      </c>
      <c r="BS35" t="n">
        <v>1</v>
      </c>
      <c r="CF35" t="n">
        <v>15</v>
      </c>
      <c r="CH35" t="n">
        <v>200</v>
      </c>
      <c r="CI35" t="n">
        <v>0.4</v>
      </c>
      <c r="CJ35" t="n">
        <v>11</v>
      </c>
      <c r="CK35" t="inlineStr">
        <is>
          <t>Ultimate</t>
        </is>
      </c>
      <c r="CV35" t="n">
        <v>5</v>
      </c>
      <c r="CY35" t="n">
        <v>1.3</v>
      </c>
      <c r="CZ35" t="b">
        <v>0</v>
      </c>
      <c r="DD35" t="n">
        <v>541</v>
      </c>
      <c r="DI35" t="n">
        <v>10</v>
      </c>
      <c r="EA35" t="n">
        <v>3.03</v>
      </c>
      <c r="EB35" t="n">
        <v>10</v>
      </c>
      <c r="EC35" t="n">
        <v>2.44</v>
      </c>
      <c r="EK35" t="n">
        <v>1.25</v>
      </c>
      <c r="EL35" t="n">
        <v>2.6</v>
      </c>
      <c r="ER35" t="n">
        <v>1</v>
      </c>
      <c r="EW35" t="inlineStr"/>
      <c r="EZ35" t="n">
        <v>6.5</v>
      </c>
      <c r="FG35" t="n">
        <v>55</v>
      </c>
      <c r="FH35" t="n">
        <v>40</v>
      </c>
      <c r="FI35" t="n">
        <v>1.26</v>
      </c>
      <c r="FJ35" t="n">
        <v>30</v>
      </c>
      <c r="FL35" t="inlineStr">
        <is>
          <t>rockets_300mm</t>
        </is>
      </c>
      <c r="FM35" t="n">
        <v>2.44</v>
      </c>
      <c r="FN35" t="inlineStr">
        <is>
          <t>Assets/MachineBrigade/Resources/Data/balance.json: vehicles[26]</t>
        </is>
      </c>
      <c r="FO35" t="inlineStr">
        <is>
          <t>{"id":"heavy_rocket_artillery","erectSeconds":1.3,"dropDelay":5,"outgoingDamageMult":1.25,"value":1.26,"scale":1,"modelSize":[10,2.44,3.03],"armour":1,"hp":541,"speed":6.5,"turnRate":55,"turretTurnRate":40,"radius":2.6,"length":10,"width":2.44,"cp":15,"vision":30,"firesWhileMoving":false,"weapon":"rockets_300mm","secondary":[],"deathExplosion":{"damage":200,"radius":11,"delay":0.4,"tier":"Ultimate"}}</t>
        </is>
      </c>
    </row>
    <row r="36">
      <c r="A36" t="inlineStr">
        <is>
          <t>heavy_tank</t>
        </is>
      </c>
      <c r="B36" t="inlineStr">
        <is>
          <t>xe</t>
        </is>
      </c>
      <c r="C36" t="inlineStr">
        <is>
          <t>Heavy tank</t>
        </is>
      </c>
      <c r="D36" t="inlineStr">
        <is>
          <t>Tăng hạng nặng</t>
        </is>
      </c>
      <c r="E36" t="inlineStr">
        <is>
          <t>Tăng nặng</t>
        </is>
      </c>
      <c r="F36" t="inlineStr"/>
      <c r="G36" t="inlineStr"/>
      <c r="H36" t="inlineStr"/>
      <c r="I36" t="n">
        <v>16</v>
      </c>
      <c r="J36" t="n">
        <v>2032</v>
      </c>
      <c r="K36" t="n">
        <v>4470.4</v>
      </c>
      <c r="L36" t="n">
        <v>4</v>
      </c>
      <c r="M36" t="n">
        <v>3</v>
      </c>
      <c r="N36" t="n">
        <v>2</v>
      </c>
      <c r="O36" t="n">
        <v>2</v>
      </c>
      <c r="P36" t="b">
        <v>0</v>
      </c>
      <c r="Q36" t="n">
        <v>4.2</v>
      </c>
      <c r="R36" t="n">
        <v>45</v>
      </c>
      <c r="S36" t="n">
        <v>115</v>
      </c>
      <c r="T36" t="n">
        <v>30</v>
      </c>
      <c r="U36" t="n">
        <v>2.6</v>
      </c>
      <c r="V36" t="n">
        <v>6.55</v>
      </c>
      <c r="W36" t="n">
        <v>3.01</v>
      </c>
      <c r="X36" t="b">
        <v>0</v>
      </c>
      <c r="Y36" t="n">
        <v>0</v>
      </c>
      <c r="Z36" t="b">
        <v>0</v>
      </c>
      <c r="AA36" t="b">
        <v>1</v>
      </c>
      <c r="AB36" t="n">
        <v>1</v>
      </c>
      <c r="AC36" t="n">
        <v>5</v>
      </c>
      <c r="AD36" t="n">
        <v>1.3538</v>
      </c>
      <c r="AE36" t="inlineStr">
        <is>
          <t>gun_152</t>
        </is>
      </c>
      <c r="AF36" t="inlineStr">
        <is>
          <t>autocannon_30;hmg_roof</t>
        </is>
      </c>
      <c r="AG36" t="inlineStr"/>
      <c r="AH36" t="inlineStr">
        <is>
          <t>none</t>
        </is>
      </c>
      <c r="AI36" t="inlineStr"/>
      <c r="AJ36" t="inlineStr"/>
      <c r="AK36" t="inlineStr">
        <is>
          <t>heavy_tank</t>
        </is>
      </c>
      <c r="AL36" t="inlineStr">
        <is>
          <t>doi</t>
        </is>
      </c>
      <c r="AM36" t="n">
        <v>13</v>
      </c>
      <c r="AN36" t="n">
        <v>16</v>
      </c>
      <c r="AO36" t="n">
        <v>1600</v>
      </c>
      <c r="AP36" t="n">
        <v>2032</v>
      </c>
      <c r="BG36" t="n">
        <v>1</v>
      </c>
      <c r="BH36" t="n">
        <v>1.3538</v>
      </c>
      <c r="BI36" t="n">
        <v>16</v>
      </c>
      <c r="BJ36" t="n">
        <v>4</v>
      </c>
      <c r="BK36" t="inlineStr"/>
      <c r="BL36" t="inlineStr">
        <is>
          <t>elite_heavy_tank</t>
        </is>
      </c>
      <c r="BM36" t="inlineStr">
        <is>
          <t>heavy;tank</t>
        </is>
      </c>
      <c r="BN36" t="inlineStr">
        <is>
          <t>Campaign; nhiệm vụ c6m01; mua sớm; 800 xu</t>
        </is>
      </c>
      <c r="BT36" t="n">
        <v>4</v>
      </c>
      <c r="BU36" t="n">
        <v>2</v>
      </c>
      <c r="BV36" t="n">
        <v>3</v>
      </c>
      <c r="BW36" t="n">
        <v>2</v>
      </c>
      <c r="CF36" t="n">
        <v>16</v>
      </c>
      <c r="CH36" t="n">
        <v>200</v>
      </c>
      <c r="CI36" t="n">
        <v>0.5</v>
      </c>
      <c r="CJ36" t="n">
        <v>9</v>
      </c>
      <c r="CK36" t="inlineStr">
        <is>
          <t>Huge</t>
        </is>
      </c>
      <c r="CV36" t="n">
        <v>5</v>
      </c>
      <c r="CZ36" t="b">
        <v>1</v>
      </c>
      <c r="DD36" t="n">
        <v>2032</v>
      </c>
      <c r="DI36" t="n">
        <v>6.55</v>
      </c>
      <c r="EA36" t="n">
        <v>2.2</v>
      </c>
      <c r="EB36" t="n">
        <v>8.390000000000001</v>
      </c>
      <c r="EC36" t="n">
        <v>3.01</v>
      </c>
      <c r="EK36" t="n">
        <v>1.3538</v>
      </c>
      <c r="EL36" t="n">
        <v>2.6</v>
      </c>
      <c r="ER36" t="n">
        <v>1</v>
      </c>
      <c r="EZ36" t="n">
        <v>4.2</v>
      </c>
      <c r="FG36" t="n">
        <v>45</v>
      </c>
      <c r="FH36" t="n">
        <v>115</v>
      </c>
      <c r="FI36" t="n">
        <v>1.18</v>
      </c>
      <c r="FJ36" t="n">
        <v>30</v>
      </c>
      <c r="FL36" t="inlineStr">
        <is>
          <t>gun_152</t>
        </is>
      </c>
      <c r="FM36" t="n">
        <v>3.01</v>
      </c>
      <c r="FN36" t="inlineStr">
        <is>
          <t>Assets/MachineBrigade/Resources/Data/balance.json: vehicles[10]</t>
        </is>
      </c>
      <c r="FO36" t="inlineStr">
        <is>
          <t>{"id":"heavy_tank","dropDelay":5,"outgoingDamageMult":1.3538,"value":1.18,"scale":1,"modelSize":[8.39,3.01,2.2],"armour":[4,3,2,2],"hp":2032,"speed":4.2,"turnRate":45,"turretTurnRate":115,"radius":2.6,"length":6.55,"width":3.01,"cp":16,"vision":30,"firesWhileMoving":true,"weapon":"gun_152","secondary":[{"weapon":"autocannon_30","slot":"coax","aim":"Turret"},{"weapon":"hmg_roof","slot":"mg","aim":"Free"}],"deathExplosion":{"damage":200,"radius":9,"delay":0.5,"tier":"Huge"}}</t>
        </is>
      </c>
    </row>
    <row r="37">
      <c r="A37" t="inlineStr">
        <is>
          <t>hover_gunboat</t>
        </is>
      </c>
      <c r="B37" t="inlineStr">
        <is>
          <t>xe</t>
        </is>
      </c>
      <c r="C37" t="inlineStr">
        <is>
          <t>Escort hovercraft</t>
        </is>
      </c>
      <c r="D37" t="inlineStr">
        <is>
          <t>Xuồng đệm khí hộ tống</t>
        </is>
      </c>
      <c r="E37" t="inlineStr">
        <is>
          <t>Xuồng hộ tống</t>
        </is>
      </c>
      <c r="F37" t="inlineStr">
        <is>
          <t>Light</t>
        </is>
      </c>
      <c r="G37" t="inlineStr">
        <is>
          <t>Light</t>
        </is>
      </c>
      <c r="H37" t="inlineStr"/>
      <c r="I37" t="n">
        <v>0</v>
      </c>
      <c r="J37" t="n">
        <v>520</v>
      </c>
      <c r="K37" t="n">
        <v>1144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n">
        <v>8.5</v>
      </c>
      <c r="R37" t="n">
        <v>70</v>
      </c>
      <c r="S37" t="n">
        <v>160</v>
      </c>
      <c r="T37" t="n">
        <v>46</v>
      </c>
      <c r="U37" t="n">
        <v>3.2</v>
      </c>
      <c r="V37" t="n">
        <v>14</v>
      </c>
      <c r="W37" t="n">
        <v>3.92</v>
      </c>
      <c r="X37" t="b">
        <v>0</v>
      </c>
      <c r="Y37" t="n">
        <v>0</v>
      </c>
      <c r="Z37" t="b">
        <v>0</v>
      </c>
      <c r="AA37" t="b">
        <v>1</v>
      </c>
      <c r="AB37" t="n">
        <v>0</v>
      </c>
      <c r="AC37" t="n">
        <v>3.5</v>
      </c>
      <c r="AD37" t="n">
        <v>1</v>
      </c>
      <c r="AE37" t="inlineStr">
        <is>
          <t>hover_ciws</t>
        </is>
      </c>
      <c r="AF37" t="inlineStr"/>
      <c r="AG37" t="inlineStr"/>
      <c r="AH37" t="inlineStr">
        <is>
          <t>none</t>
        </is>
      </c>
      <c r="AI37" t="inlineStr"/>
      <c r="AJ37" t="inlineStr"/>
      <c r="AK37" t="inlineStr">
        <is>
          <t>hover_gunboat</t>
        </is>
      </c>
      <c r="AL37" t="inlineStr">
        <is>
          <t>giong</t>
        </is>
      </c>
      <c r="BI37" t="n">
        <v>0</v>
      </c>
      <c r="BJ37" t="n">
        <v>1</v>
      </c>
      <c r="BK37" t="inlineStr"/>
      <c r="BL37" t="inlineStr"/>
      <c r="BM37" t="inlineStr"/>
      <c r="BN37" t="inlineStr">
        <is>
          <t>Campaign; mua sớm; 300 xu</t>
        </is>
      </c>
      <c r="BS37" t="n">
        <v>1</v>
      </c>
      <c r="BZ37" t="n">
        <v>0</v>
      </c>
      <c r="CC37" t="inlineStr">
        <is>
          <t>Light</t>
        </is>
      </c>
      <c r="CF37" t="n">
        <v>0</v>
      </c>
      <c r="CH37" t="n">
        <v>70</v>
      </c>
      <c r="CI37" t="n">
        <v>0.4</v>
      </c>
      <c r="CJ37" t="n">
        <v>9</v>
      </c>
      <c r="CK37" t="inlineStr">
        <is>
          <t>Huge</t>
        </is>
      </c>
      <c r="CZ37" t="b">
        <v>1</v>
      </c>
      <c r="DD37" t="n">
        <v>520</v>
      </c>
      <c r="DI37" t="n">
        <v>14</v>
      </c>
      <c r="DM37" t="inlineStr">
        <is>
          <t>Free</t>
        </is>
      </c>
      <c r="DN37" t="inlineStr">
        <is>
          <t>mg</t>
        </is>
      </c>
      <c r="EA37" t="n">
        <v>3.67</v>
      </c>
      <c r="EB37" t="n">
        <v>14</v>
      </c>
      <c r="EC37" t="n">
        <v>3.92</v>
      </c>
      <c r="EL37" t="n">
        <v>3.2</v>
      </c>
      <c r="ER37" t="n">
        <v>1</v>
      </c>
      <c r="EZ37" t="n">
        <v>8.5</v>
      </c>
      <c r="FG37" t="n">
        <v>70</v>
      </c>
      <c r="FH37" t="n">
        <v>160</v>
      </c>
      <c r="FJ37" t="n">
        <v>46</v>
      </c>
      <c r="FL37" t="inlineStr">
        <is>
          <t>hover_ciws</t>
        </is>
      </c>
      <c r="FM37" t="n">
        <v>3.92</v>
      </c>
      <c r="FN37" t="inlineStr">
        <is>
          <t>Assets/MachineBrigade/Resources/Data/balance.json: vehicles[136]</t>
        </is>
      </c>
      <c r="FO37" t="inlineStr">
        <is>
          <t>{"id":"hover_gunboat","scale":1,"modelSize":[14,3.92,3.67],"class":"Light","armour":1,"hp":520,"speed":8.5,"turnRate":70,"turretTurnRate":160,"radius":3.2,"length":14,"width":3.92,"cp":0,"vision":46,"firesWhileMoving":true,"weapon":"hover_ciws","mainSlot":"mg","mainAim":"Free","captureRate":0,"deathExplosion":{"damage":70,"radius":9,"delay":0.4,"tier":"Huge"}}</t>
        </is>
      </c>
    </row>
    <row r="38">
      <c r="A38" t="inlineStr">
        <is>
          <t>ifv</t>
        </is>
      </c>
      <c r="B38" t="inlineStr">
        <is>
          <t>xe</t>
        </is>
      </c>
      <c r="C38" t="inlineStr">
        <is>
          <t>Infantry fighting vehicle</t>
        </is>
      </c>
      <c r="D38" t="inlineStr">
        <is>
          <t>Xe chiến đấu bộ binh</t>
        </is>
      </c>
      <c r="E38" t="inlineStr">
        <is>
          <t>Xe bộ binh</t>
        </is>
      </c>
      <c r="F38" t="inlineStr"/>
      <c r="G38" t="inlineStr"/>
      <c r="H38" t="inlineStr"/>
      <c r="I38" t="n">
        <v>7</v>
      </c>
      <c r="J38" t="n">
        <v>623</v>
      </c>
      <c r="K38" t="n">
        <v>1370.6</v>
      </c>
      <c r="L38" t="n">
        <v>2</v>
      </c>
      <c r="M38" t="n">
        <v>1</v>
      </c>
      <c r="N38" t="n">
        <v>0</v>
      </c>
      <c r="O38" t="n">
        <v>0</v>
      </c>
      <c r="P38" t="b">
        <v>0</v>
      </c>
      <c r="Q38" t="n">
        <v>8</v>
      </c>
      <c r="R38" t="n">
        <v>110</v>
      </c>
      <c r="S38" t="n">
        <v>160</v>
      </c>
      <c r="T38" t="n">
        <v>34</v>
      </c>
      <c r="U38" t="n">
        <v>2.3</v>
      </c>
      <c r="V38" t="n">
        <v>5.31</v>
      </c>
      <c r="W38" t="n">
        <v>3.02</v>
      </c>
      <c r="X38" t="b">
        <v>0</v>
      </c>
      <c r="Y38" t="n">
        <v>0</v>
      </c>
      <c r="Z38" t="b">
        <v>0</v>
      </c>
      <c r="AA38" t="b">
        <v>1</v>
      </c>
      <c r="AB38" t="n">
        <v>3</v>
      </c>
      <c r="AC38" t="n">
        <v>3.5</v>
      </c>
      <c r="AD38" t="n">
        <v>1.1667</v>
      </c>
      <c r="AE38" t="inlineStr">
        <is>
          <t>ifv_30</t>
        </is>
      </c>
      <c r="AF38" t="inlineStr">
        <is>
          <t>mg_coax;atgm</t>
        </is>
      </c>
      <c r="AG38" t="inlineStr"/>
      <c r="AH38" t="inlineStr">
        <is>
          <t>none</t>
        </is>
      </c>
      <c r="AI38" t="inlineStr"/>
      <c r="AJ38" t="inlineStr"/>
      <c r="AK38" t="inlineStr">
        <is>
          <t>ifv</t>
        </is>
      </c>
      <c r="AL38" t="inlineStr">
        <is>
          <t>doi</t>
        </is>
      </c>
      <c r="AM38" t="n">
        <v>6</v>
      </c>
      <c r="AN38" t="n">
        <v>7</v>
      </c>
      <c r="AO38" t="n">
        <v>520</v>
      </c>
      <c r="AP38" t="n">
        <v>623</v>
      </c>
      <c r="BG38" t="n">
        <v>1</v>
      </c>
      <c r="BH38" t="n">
        <v>1.1667</v>
      </c>
      <c r="BI38" t="n">
        <v>7</v>
      </c>
      <c r="BJ38" t="n">
        <v>2</v>
      </c>
      <c r="BK38" t="inlineStr"/>
      <c r="BL38" t="inlineStr">
        <is>
          <t>elite_apc</t>
        </is>
      </c>
      <c r="BM38" t="inlineStr">
        <is>
          <t>wheeled</t>
        </is>
      </c>
      <c r="BN38" t="inlineStr">
        <is>
          <t>Starter; 1350 xu</t>
        </is>
      </c>
      <c r="BS38" t="n">
        <v>2</v>
      </c>
      <c r="BZ38" t="n">
        <v>3</v>
      </c>
      <c r="CF38" t="n">
        <v>7</v>
      </c>
      <c r="CH38" t="n">
        <v>80</v>
      </c>
      <c r="CI38" t="n">
        <v>0.35</v>
      </c>
      <c r="CJ38" t="n">
        <v>6</v>
      </c>
      <c r="CK38" t="inlineStr">
        <is>
          <t>Large</t>
        </is>
      </c>
      <c r="CZ38" t="b">
        <v>1</v>
      </c>
      <c r="DD38" t="n">
        <v>623</v>
      </c>
      <c r="DI38" t="n">
        <v>5.31</v>
      </c>
      <c r="EA38" t="n">
        <v>2.5</v>
      </c>
      <c r="EB38" t="n">
        <v>5.48</v>
      </c>
      <c r="EC38" t="n">
        <v>3.02</v>
      </c>
      <c r="EK38" t="n">
        <v>1.1667</v>
      </c>
      <c r="EL38" t="n">
        <v>2.3</v>
      </c>
      <c r="ER38" t="n">
        <v>1</v>
      </c>
      <c r="EX38" t="n">
        <v>0.6</v>
      </c>
      <c r="EY38" t="inlineStr"/>
      <c r="EZ38" t="n">
        <v>8</v>
      </c>
      <c r="FG38" t="n">
        <v>110</v>
      </c>
      <c r="FH38" t="n">
        <v>160</v>
      </c>
      <c r="FI38" t="n">
        <v>1.06</v>
      </c>
      <c r="FJ38" t="n">
        <v>34</v>
      </c>
      <c r="FL38" t="inlineStr">
        <is>
          <t>ifv_30</t>
        </is>
      </c>
      <c r="FM38" t="n">
        <v>3.02</v>
      </c>
      <c r="FN38" t="inlineStr">
        <is>
          <t>Assets/MachineBrigade/Resources/Data/balance.json: vehicles[18]</t>
        </is>
      </c>
      <c r="FO38" t="inlineStr">
        <is>
          <t>{"id":"ifv","sideErectSeconds":0.6,"missiles":[{"weapon":"atgm","ammo":2,"reload":20}],"outgoingDamageMult":1.1667,"value":1.06,"scale":1,"modelSize":[5.48,3.02,2.5],"armour":2,"hp":623,"speed":8,"turnRate":110,"turretTurnRate":160,"radius":2.3,"length":5.31,"width":3.02,"cp":7,"vision":34,"firesWhileMoving":true,"weapon":"ifv_30","captureRate":3,"secondary":[{"weapon":"mg_coax","slot":"coax","aim":"Turret"},{"weapon":"atgm","slot":"missile","aim":"Turret"}],"skills":[],"deathExplosion":{"damage":80,"radius":6,"delay":0.35,"tier":"Large"}}</t>
        </is>
      </c>
    </row>
    <row r="39">
      <c r="A39" t="inlineStr">
        <is>
          <t>iron_beam</t>
        </is>
      </c>
      <c r="B39" t="inlineStr">
        <is>
          <t>xe</t>
        </is>
      </c>
      <c r="C39" t="inlineStr">
        <is>
          <t>Laser AA</t>
        </is>
      </c>
      <c r="D39" t="inlineStr">
        <is>
          <t>Xe la-de phòng không</t>
        </is>
      </c>
      <c r="E39" t="inlineStr">
        <is>
          <t>La-de PK</t>
        </is>
      </c>
      <c r="F39" t="inlineStr">
        <is>
          <t>AntiAir</t>
        </is>
      </c>
      <c r="G39" t="inlineStr">
        <is>
          <t>Light</t>
        </is>
      </c>
      <c r="H39" t="inlineStr"/>
      <c r="I39" t="n">
        <v>7</v>
      </c>
      <c r="J39" t="n">
        <v>536</v>
      </c>
      <c r="K39" t="n">
        <v>1179.2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n">
        <v>7</v>
      </c>
      <c r="R39" t="n">
        <v>70</v>
      </c>
      <c r="S39" t="n">
        <v>180</v>
      </c>
      <c r="T39" t="n">
        <v>56</v>
      </c>
      <c r="U39" t="n">
        <v>2.5</v>
      </c>
      <c r="V39" t="n">
        <v>8.199999999999999</v>
      </c>
      <c r="W39" t="n">
        <v>2.05</v>
      </c>
      <c r="X39" t="b">
        <v>0</v>
      </c>
      <c r="Y39" t="n">
        <v>0</v>
      </c>
      <c r="Z39" t="b">
        <v>0</v>
      </c>
      <c r="AA39" t="b">
        <v>1</v>
      </c>
      <c r="AB39" t="n">
        <v>1</v>
      </c>
      <c r="AC39" t="n">
        <v>3.5</v>
      </c>
      <c r="AD39" t="n">
        <v>1.1667</v>
      </c>
      <c r="AE39" t="inlineStr">
        <is>
          <t>hel_beam</t>
        </is>
      </c>
      <c r="AF39" t="inlineStr"/>
      <c r="AG39" t="inlineStr"/>
      <c r="AH39" t="inlineStr">
        <is>
          <t>aps</t>
        </is>
      </c>
      <c r="AI39" t="n">
        <v>1</v>
      </c>
      <c r="AJ39" t="n">
        <v>0.8</v>
      </c>
      <c r="AK39" t="inlineStr">
        <is>
          <t>iron_beam</t>
        </is>
      </c>
      <c r="AL39" t="inlineStr">
        <is>
          <t>doi</t>
        </is>
      </c>
      <c r="AM39" t="n">
        <v>6</v>
      </c>
      <c r="AN39" t="n">
        <v>7</v>
      </c>
      <c r="AO39" t="n">
        <v>450</v>
      </c>
      <c r="AP39" t="n">
        <v>536</v>
      </c>
      <c r="BG39" t="n">
        <v>1</v>
      </c>
      <c r="BH39" t="n">
        <v>1.1667</v>
      </c>
      <c r="BI39" t="n">
        <v>7</v>
      </c>
      <c r="BJ39" t="n">
        <v>2</v>
      </c>
      <c r="BK39" t="inlineStr"/>
      <c r="BL39" t="inlineStr"/>
      <c r="BM39" t="inlineStr"/>
      <c r="BN39" t="inlineStr">
        <is>
          <t>Campaign; nhiệm vụ c6m16; mua sớm; 800 xu</t>
        </is>
      </c>
      <c r="BS39" t="n">
        <v>1</v>
      </c>
      <c r="BZ39" t="n">
        <v>1</v>
      </c>
      <c r="CC39" t="inlineStr">
        <is>
          <t>AntiAir</t>
        </is>
      </c>
      <c r="CF39" t="n">
        <v>7</v>
      </c>
      <c r="CH39" t="n">
        <v>70</v>
      </c>
      <c r="CI39" t="n">
        <v>0.3</v>
      </c>
      <c r="CJ39" t="n">
        <v>6</v>
      </c>
      <c r="CK39" t="inlineStr">
        <is>
          <t>Large</t>
        </is>
      </c>
      <c r="CZ39" t="b">
        <v>1</v>
      </c>
      <c r="DD39" t="n">
        <v>536</v>
      </c>
      <c r="DI39" t="n">
        <v>8.199999999999999</v>
      </c>
      <c r="EA39" t="n">
        <v>2.86</v>
      </c>
      <c r="EB39" t="n">
        <v>8.199999999999999</v>
      </c>
      <c r="EC39" t="n">
        <v>2.05</v>
      </c>
      <c r="EK39" t="n">
        <v>1.1667</v>
      </c>
      <c r="EL39" t="n">
        <v>2.5</v>
      </c>
      <c r="ER39" t="n">
        <v>1</v>
      </c>
      <c r="EZ39" t="n">
        <v>7</v>
      </c>
      <c r="FG39" t="n">
        <v>70</v>
      </c>
      <c r="FH39" t="n">
        <v>180</v>
      </c>
      <c r="FI39" t="n">
        <v>0.5</v>
      </c>
      <c r="FJ39" t="n">
        <v>56</v>
      </c>
      <c r="FL39" t="inlineStr">
        <is>
          <t>hel_beam</t>
        </is>
      </c>
      <c r="FM39" t="n">
        <v>2.05</v>
      </c>
      <c r="FN39" t="inlineStr">
        <is>
          <t>Assets/MachineBrigade/Resources/Data/balance.json: vehicles[38]</t>
        </is>
      </c>
      <c r="FO39" t="inlineStr">
        <is>
          <t>{"id":"iron_beam","interceptionMode":"PointDefense","outgoingDamageMult":1.1667,"value":0.5,"scale":1,"modelSize":[8.2,2.05,2.86],"class":"AntiAir","armour":1,"hp":536,"speed":7,"turnRate":70,"turretTurnRate":180,"radius":2.5,"length":8.2,"width":2.05,"cp":7,"vision":56,"firesWhileMoving":true,"weapon":"hel_beam","captureRate":1,"aps":{"radius":30,"shells":0,"charges":1,"recharge":0.8,"rockets":true,"laser":true},"deathExplosion":{"damage":70,"radius":6,"delay":0.3,"tier":"Large"}}</t>
        </is>
      </c>
    </row>
    <row r="40">
      <c r="A40" t="inlineStr">
        <is>
          <t>landing_craft</t>
        </is>
      </c>
      <c r="B40" t="inlineStr">
        <is>
          <t>vat_pham</t>
        </is>
      </c>
      <c r="C40" t="inlineStr">
        <is>
          <t>Landing Craft</t>
        </is>
      </c>
      <c r="D40" t="inlineStr">
        <is>
          <t>Tàu đổ bộ</t>
        </is>
      </c>
      <c r="E40" t="inlineStr">
        <is>
          <t>Tàu đổ bộ</t>
        </is>
      </c>
      <c r="F40" t="inlineStr">
        <is>
          <t>Support</t>
        </is>
      </c>
      <c r="G40" t="inlineStr">
        <is>
          <t>Light</t>
        </is>
      </c>
      <c r="H40" t="inlineStr"/>
      <c r="I40" t="n">
        <v>0</v>
      </c>
      <c r="J40" t="n">
        <v>1000</v>
      </c>
      <c r="K40" t="n">
        <v>2200</v>
      </c>
      <c r="L40" t="n">
        <v>2</v>
      </c>
      <c r="M40" t="n">
        <v>2</v>
      </c>
      <c r="N40" t="n">
        <v>2</v>
      </c>
      <c r="O40" t="n">
        <v>1</v>
      </c>
      <c r="P40" t="b">
        <v>0</v>
      </c>
      <c r="Q40" t="n">
        <v>5.5</v>
      </c>
      <c r="R40" t="n">
        <v>30</v>
      </c>
      <c r="S40" t="n">
        <v>120</v>
      </c>
      <c r="T40" t="n">
        <v>50</v>
      </c>
      <c r="U40" t="n">
        <v>4.5</v>
      </c>
      <c r="V40" t="n">
        <v>17</v>
      </c>
      <c r="W40" t="n">
        <v>7</v>
      </c>
      <c r="X40" t="b">
        <v>0</v>
      </c>
      <c r="Y40" t="n">
        <v>0</v>
      </c>
      <c r="Z40" t="b">
        <v>0</v>
      </c>
      <c r="AA40" t="b">
        <v>1</v>
      </c>
      <c r="AB40" t="n">
        <v>0</v>
      </c>
      <c r="AC40" t="n">
        <v>3.5</v>
      </c>
      <c r="AD40" t="n">
        <v>1</v>
      </c>
      <c r="AE40" t="inlineStr">
        <is>
          <t>hmg_roof</t>
        </is>
      </c>
      <c r="AF40" t="inlineStr"/>
      <c r="AG40" t="inlineStr"/>
      <c r="AH40" t="inlineStr">
        <is>
          <t>none</t>
        </is>
      </c>
      <c r="AI40" t="inlineStr"/>
      <c r="AJ40" t="inlineStr"/>
      <c r="AK40" t="inlineStr">
        <is>
          <t>landing_craft</t>
        </is>
      </c>
      <c r="AL40" t="inlineStr">
        <is>
          <t>giong</t>
        </is>
      </c>
      <c r="BI40" t="n">
        <v>0</v>
      </c>
      <c r="BJ40" t="n">
        <v>1</v>
      </c>
      <c r="BK40" t="inlineStr"/>
      <c r="BL40" t="inlineStr"/>
      <c r="BM40" t="inlineStr"/>
      <c r="BN40" t="inlineStr">
        <is>
          <t>Campaign; mua sớm; 300 xu</t>
        </is>
      </c>
      <c r="BT40" t="n">
        <v>2</v>
      </c>
      <c r="BU40" t="n">
        <v>2</v>
      </c>
      <c r="BV40" t="n">
        <v>2</v>
      </c>
      <c r="BW40" t="n">
        <v>1</v>
      </c>
      <c r="BZ40" t="n">
        <v>0</v>
      </c>
      <c r="CA40" t="b">
        <v>0</v>
      </c>
      <c r="CC40" t="inlineStr">
        <is>
          <t>Support</t>
        </is>
      </c>
      <c r="CF40" t="n">
        <v>0</v>
      </c>
      <c r="CH40" t="n">
        <v>120</v>
      </c>
      <c r="CI40" t="n">
        <v>0.5</v>
      </c>
      <c r="CJ40" t="n">
        <v>8</v>
      </c>
      <c r="CK40" t="inlineStr">
        <is>
          <t>Huge</t>
        </is>
      </c>
      <c r="CZ40" t="b">
        <v>1</v>
      </c>
      <c r="DD40" t="n">
        <v>1000</v>
      </c>
      <c r="DI40" t="n">
        <v>17</v>
      </c>
      <c r="DM40" t="inlineStr">
        <is>
          <t>Free</t>
        </is>
      </c>
      <c r="DN40" t="inlineStr">
        <is>
          <t>mg</t>
        </is>
      </c>
      <c r="EG40" t="inlineStr">
        <is>
          <t>Lander</t>
        </is>
      </c>
      <c r="EL40" t="n">
        <v>4.5</v>
      </c>
      <c r="EZ40" t="n">
        <v>5.5</v>
      </c>
      <c r="FG40" t="n">
        <v>30</v>
      </c>
      <c r="FH40" t="n">
        <v>120</v>
      </c>
      <c r="FJ40" t="n">
        <v>50</v>
      </c>
      <c r="FL40" t="inlineStr">
        <is>
          <t>hmg_roof</t>
        </is>
      </c>
      <c r="FM40" t="n">
        <v>7</v>
      </c>
      <c r="FN40" t="inlineStr">
        <is>
          <t>Assets/MachineBrigade/Resources/Data/balance.json: vehicles[157]</t>
        </is>
      </c>
      <c r="FO40" t="inlineStr">
        <is>
          <t>{"id":"landing_craft","class":"Support","card":false,"armour":[2,2,2,1],"hp":1000,"speed":5.5,"turnRate":30,"turretTurnRate":120,"radius":4.5,"length":17,"width":7,"cp":0,"vision":50,"captureRate":0,"firesWhileMoving":true,"weapon":"hmg_roof","mainSlot":"mg","mainAim":"Free","naval":{"role":"Lander"},"deathExplosion":{"damage":120,"radius":8,"delay":0.5,"tier":"Huge"}}</t>
        </is>
      </c>
    </row>
    <row r="41">
      <c r="A41" t="inlineStr">
        <is>
          <t>laser_tank</t>
        </is>
      </c>
      <c r="B41" t="inlineStr">
        <is>
          <t>xe</t>
        </is>
      </c>
      <c r="C41" t="inlineStr">
        <is>
          <t>Laser tank destroyer</t>
        </is>
      </c>
      <c r="D41" t="inlineStr">
        <is>
          <t>Xe la-de diệt tăng</t>
        </is>
      </c>
      <c r="E41" t="inlineStr">
        <is>
          <t>La-de diệt tăng</t>
        </is>
      </c>
      <c r="F41" t="inlineStr">
        <is>
          <t>TankHunter</t>
        </is>
      </c>
      <c r="G41" t="inlineStr">
        <is>
          <t>Armor</t>
        </is>
      </c>
      <c r="H41" t="inlineStr"/>
      <c r="I41" t="n">
        <v>11</v>
      </c>
      <c r="J41" t="n">
        <v>882</v>
      </c>
      <c r="K41" t="n">
        <v>1940.4</v>
      </c>
      <c r="L41" t="n">
        <v>2</v>
      </c>
      <c r="M41" t="n">
        <v>1</v>
      </c>
      <c r="N41" t="n">
        <v>1</v>
      </c>
      <c r="O41" t="n">
        <v>1</v>
      </c>
      <c r="P41" t="b">
        <v>0</v>
      </c>
      <c r="Q41" t="n">
        <v>6.5</v>
      </c>
      <c r="R41" t="n">
        <v>65</v>
      </c>
      <c r="S41" t="n">
        <v>55</v>
      </c>
      <c r="T41" t="n">
        <v>38</v>
      </c>
      <c r="U41" t="n">
        <v>2.4</v>
      </c>
      <c r="V41" t="n">
        <v>6.08</v>
      </c>
      <c r="W41" t="n">
        <v>2.82</v>
      </c>
      <c r="X41" t="b">
        <v>0</v>
      </c>
      <c r="Y41" t="n">
        <v>0</v>
      </c>
      <c r="Z41" t="b">
        <v>0</v>
      </c>
      <c r="AA41" t="b">
        <v>1</v>
      </c>
      <c r="AB41" t="n">
        <v>1</v>
      </c>
      <c r="AC41" t="n">
        <v>3.5</v>
      </c>
      <c r="AD41" t="n">
        <v>1.2681</v>
      </c>
      <c r="AE41" t="inlineStr">
        <is>
          <t>focus_laser</t>
        </is>
      </c>
      <c r="AF41" t="inlineStr"/>
      <c r="AG41" t="inlineStr"/>
      <c r="AH41" t="inlineStr">
        <is>
          <t>none</t>
        </is>
      </c>
      <c r="AI41" t="inlineStr"/>
      <c r="AJ41" t="inlineStr"/>
      <c r="AK41" t="inlineStr">
        <is>
          <t>laser_tank</t>
        </is>
      </c>
      <c r="AL41" t="inlineStr">
        <is>
          <t>doi</t>
        </is>
      </c>
      <c r="AM41" t="n">
        <v>9</v>
      </c>
      <c r="AN41" t="n">
        <v>11</v>
      </c>
      <c r="AO41" t="n">
        <v>700</v>
      </c>
      <c r="AP41" t="n">
        <v>882</v>
      </c>
      <c r="BG41" t="n">
        <v>1</v>
      </c>
      <c r="BH41" t="n">
        <v>1.2681</v>
      </c>
      <c r="BI41" t="n">
        <v>11</v>
      </c>
      <c r="BJ41" t="n">
        <v>3</v>
      </c>
      <c r="BK41" t="inlineStr"/>
      <c r="BL41" t="inlineStr"/>
      <c r="BM41" t="inlineStr"/>
      <c r="BN41" t="inlineStr">
        <is>
          <t>Campaign; nhiệm vụ c9m01; mua sớm; 1500 xu</t>
        </is>
      </c>
      <c r="BT41" t="n">
        <v>2</v>
      </c>
      <c r="BU41" t="n">
        <v>1</v>
      </c>
      <c r="BV41" t="n">
        <v>1</v>
      </c>
      <c r="BW41" t="n">
        <v>1</v>
      </c>
      <c r="CC41" t="inlineStr">
        <is>
          <t>TankHunter</t>
        </is>
      </c>
      <c r="CF41" t="n">
        <v>11</v>
      </c>
      <c r="CH41" t="n">
        <v>110</v>
      </c>
      <c r="CI41" t="n">
        <v>0.4</v>
      </c>
      <c r="CJ41" t="n">
        <v>7</v>
      </c>
      <c r="CK41" t="inlineStr">
        <is>
          <t>Huge</t>
        </is>
      </c>
      <c r="CZ41" t="b">
        <v>1</v>
      </c>
      <c r="DD41" t="n">
        <v>882</v>
      </c>
      <c r="DI41" t="n">
        <v>6.08</v>
      </c>
      <c r="EA41" t="n">
        <v>2.74</v>
      </c>
      <c r="EB41" t="n">
        <v>6.08</v>
      </c>
      <c r="EC41" t="n">
        <v>2.82</v>
      </c>
      <c r="EK41" t="n">
        <v>1.2681</v>
      </c>
      <c r="EL41" t="n">
        <v>2.4</v>
      </c>
      <c r="ER41" t="n">
        <v>1</v>
      </c>
      <c r="EZ41" t="n">
        <v>6.5</v>
      </c>
      <c r="FE41" t="inlineStr">
        <is>
          <t>Heavy;Tank;Boss</t>
        </is>
      </c>
      <c r="FG41" t="n">
        <v>65</v>
      </c>
      <c r="FH41" t="n">
        <v>55</v>
      </c>
      <c r="FI41" t="n">
        <v>1.01</v>
      </c>
      <c r="FJ41" t="n">
        <v>38</v>
      </c>
      <c r="FL41" t="inlineStr">
        <is>
          <t>focus_laser</t>
        </is>
      </c>
      <c r="FM41" t="n">
        <v>2.82</v>
      </c>
      <c r="FN41" t="inlineStr">
        <is>
          <t>Assets/MachineBrigade/Resources/Data/balance.json: vehicles[45]</t>
        </is>
      </c>
      <c r="FO41" t="inlineStr">
        <is>
          <t>{"id":"laser_tank","outgoingDamageMult":1.2681,"value":1.01,"scale":1,"modelSize":[6.08,2.82,2.74],"class":"TankHunter","armour":[2,1,1,1],"hp":882,"speed":6.5,"turnRate":65,"turretTurnRate":55,"radius":2.4,"length":6.08,"width":2.82,"cp":11,"vision":38,"firesWhileMoving":true,"weapon":"focus_laser","strongVs":["Heavy","Tank","Boss"],"deathExplosion":{"damage":110,"radius":7,"delay":0.4,"tier":"Huge"}}</t>
        </is>
      </c>
    </row>
    <row r="42">
      <c r="A42" t="inlineStr">
        <is>
          <t>light_tank</t>
        </is>
      </c>
      <c r="B42" t="inlineStr">
        <is>
          <t>xe</t>
        </is>
      </c>
      <c r="C42" t="inlineStr">
        <is>
          <t>Amphibious light tank</t>
        </is>
      </c>
      <c r="D42" t="inlineStr">
        <is>
          <t>Tăng nhẹ lội nước</t>
        </is>
      </c>
      <c r="E42" t="inlineStr">
        <is>
          <t>Tăng nhẹ</t>
        </is>
      </c>
      <c r="F42" t="inlineStr">
        <is>
          <t>Tank</t>
        </is>
      </c>
      <c r="G42" t="inlineStr">
        <is>
          <t>Armor</t>
        </is>
      </c>
      <c r="H42" t="inlineStr"/>
      <c r="I42" t="n">
        <v>3</v>
      </c>
      <c r="J42" t="n">
        <v>460</v>
      </c>
      <c r="K42" t="n">
        <v>1012</v>
      </c>
      <c r="L42" t="n">
        <v>2</v>
      </c>
      <c r="M42" t="n">
        <v>1</v>
      </c>
      <c r="N42" t="n">
        <v>0</v>
      </c>
      <c r="O42" t="n">
        <v>0</v>
      </c>
      <c r="P42" t="b">
        <v>0</v>
      </c>
      <c r="Q42" t="n">
        <v>9</v>
      </c>
      <c r="R42" t="n">
        <v>90</v>
      </c>
      <c r="S42" t="n">
        <v>120</v>
      </c>
      <c r="T42" t="n">
        <v>40</v>
      </c>
      <c r="U42" t="n">
        <v>1.7</v>
      </c>
      <c r="V42" t="n">
        <v>5.72</v>
      </c>
      <c r="W42" t="n">
        <v>2.61</v>
      </c>
      <c r="X42" t="b">
        <v>0</v>
      </c>
      <c r="Y42" t="n">
        <v>0</v>
      </c>
      <c r="Z42" t="b">
        <v>0</v>
      </c>
      <c r="AA42" t="b">
        <v>1</v>
      </c>
      <c r="AB42" t="n">
        <v>1</v>
      </c>
      <c r="AC42" t="n">
        <v>2.5</v>
      </c>
      <c r="AD42" t="n">
        <v>1</v>
      </c>
      <c r="AE42" t="inlineStr">
        <is>
          <t>gun_57mm</t>
        </is>
      </c>
      <c r="AF42" t="inlineStr">
        <is>
          <t>mg_coax;gun_launched_atgm</t>
        </is>
      </c>
      <c r="AG42" t="inlineStr"/>
      <c r="AH42" t="inlineStr">
        <is>
          <t>none</t>
        </is>
      </c>
      <c r="AI42" t="inlineStr"/>
      <c r="AJ42" t="inlineStr"/>
      <c r="AK42" t="inlineStr">
        <is>
          <t>light_tank</t>
        </is>
      </c>
      <c r="AL42" t="inlineStr">
        <is>
          <t>doi</t>
        </is>
      </c>
      <c r="AY42" t="n">
        <v>4</v>
      </c>
      <c r="AZ42" t="n">
        <v>9</v>
      </c>
      <c r="BI42" t="n">
        <v>3</v>
      </c>
      <c r="BJ42" t="n">
        <v>1</v>
      </c>
      <c r="BK42" t="inlineStr"/>
      <c r="BL42" t="inlineStr"/>
      <c r="BM42" t="inlineStr">
        <is>
          <t>light_tank;tank</t>
        </is>
      </c>
      <c r="BN42" t="inlineStr">
        <is>
          <t>Campaign; nhiệm vụ c1m03; mua sớm; 300 xu</t>
        </is>
      </c>
      <c r="BS42" t="n">
        <v>2</v>
      </c>
      <c r="CC42" t="inlineStr">
        <is>
          <t>Tank</t>
        </is>
      </c>
      <c r="CF42" t="n">
        <v>3</v>
      </c>
      <c r="CH42" t="n">
        <v>60</v>
      </c>
      <c r="CI42" t="n">
        <v>0.25</v>
      </c>
      <c r="CJ42" t="n">
        <v>5</v>
      </c>
      <c r="CK42" t="inlineStr">
        <is>
          <t>Large</t>
        </is>
      </c>
      <c r="CV42" t="n">
        <v>2.5</v>
      </c>
      <c r="CZ42" t="b">
        <v>1</v>
      </c>
      <c r="DD42" t="n">
        <v>460</v>
      </c>
      <c r="DI42" t="n">
        <v>5.72</v>
      </c>
      <c r="EA42" t="n">
        <v>1.89</v>
      </c>
      <c r="EB42" t="n">
        <v>6.39</v>
      </c>
      <c r="EC42" t="n">
        <v>2.61</v>
      </c>
      <c r="EL42" t="n">
        <v>1.7</v>
      </c>
      <c r="ER42" t="n">
        <v>1</v>
      </c>
      <c r="EZ42" t="n">
        <v>9</v>
      </c>
      <c r="FG42" t="n">
        <v>90</v>
      </c>
      <c r="FH42" t="n">
        <v>120</v>
      </c>
      <c r="FI42" t="n">
        <v>0.5</v>
      </c>
      <c r="FJ42" t="n">
        <v>40</v>
      </c>
      <c r="FL42" t="inlineStr">
        <is>
          <t>gun_57mm</t>
        </is>
      </c>
      <c r="FM42" t="n">
        <v>2.61</v>
      </c>
      <c r="FN42" t="inlineStr">
        <is>
          <t>Assets/MachineBrigade/Resources/Data/balance.json: vehicles[1]</t>
        </is>
      </c>
      <c r="FO42" t="inlineStr">
        <is>
          <t>{"id":"light_tank","missiles":[{"weapon":"gun_launched_atgm","ammo":2,"reload":25}],"dropDelay":2.5,"value":0.5,"scale":1,"modelSize":[6.39,2.61,1.89],"class":"Tank","armour":2,"hp":460,"speed":9,"turnRate":90,"turretTurnRate":120,"radius":1.7,"length":5.72,"width":2.61,"cp":3,"vision":40,"firesWhileMoving":true,"weapon":"gun_57mm","secondary":[{"weapon":"mg_coax","slot":"coax","aim":"Turret"},{"weapon":"gun_launched_atgm","slot":"main","aim":"Turret"}],"deathExplosion":{"damage":60,"radius":5,"delay":0.25,"tier":"Large"}}</t>
        </is>
      </c>
    </row>
    <row r="43">
      <c r="A43" t="inlineStr">
        <is>
          <t>long_sam</t>
        </is>
      </c>
      <c r="B43" t="inlineStr">
        <is>
          <t>xe</t>
        </is>
      </c>
      <c r="C43" t="inlineStr">
        <is>
          <t>Long-range SAM</t>
        </is>
      </c>
      <c r="D43" t="inlineStr">
        <is>
          <t>Xe tên lửa phòng không tầm xa</t>
        </is>
      </c>
      <c r="E43" t="inlineStr">
        <is>
          <t>PK tầm xa</t>
        </is>
      </c>
      <c r="F43" t="inlineStr">
        <is>
          <t>AntiAir</t>
        </is>
      </c>
      <c r="G43" t="inlineStr">
        <is>
          <t>Light</t>
        </is>
      </c>
      <c r="H43" t="inlineStr"/>
      <c r="I43" t="n">
        <v>18</v>
      </c>
      <c r="J43" t="n">
        <v>586</v>
      </c>
      <c r="K43" t="n">
        <v>1289.2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n">
        <v>6</v>
      </c>
      <c r="R43" t="n">
        <v>60</v>
      </c>
      <c r="S43" t="n">
        <v>60</v>
      </c>
      <c r="T43" t="n">
        <v>80</v>
      </c>
      <c r="U43" t="n">
        <v>2.8</v>
      </c>
      <c r="V43" t="n">
        <v>11.02</v>
      </c>
      <c r="W43" t="n">
        <v>2.44</v>
      </c>
      <c r="X43" t="b">
        <v>0</v>
      </c>
      <c r="Y43" t="n">
        <v>0</v>
      </c>
      <c r="Z43" t="b">
        <v>0</v>
      </c>
      <c r="AA43" t="b">
        <v>0</v>
      </c>
      <c r="AB43" t="n">
        <v>0</v>
      </c>
      <c r="AC43" t="n">
        <v>5</v>
      </c>
      <c r="AD43" t="n">
        <v>1.4464</v>
      </c>
      <c r="AE43" t="inlineStr">
        <is>
          <t>sam_48n6</t>
        </is>
      </c>
      <c r="AF43" t="inlineStr"/>
      <c r="AG43" t="inlineStr"/>
      <c r="AH43" t="inlineStr">
        <is>
          <t>none</t>
        </is>
      </c>
      <c r="AI43" t="inlineStr"/>
      <c r="AJ43" t="inlineStr"/>
      <c r="AK43" t="inlineStr">
        <is>
          <t>long_sam</t>
        </is>
      </c>
      <c r="AL43" t="inlineStr">
        <is>
          <t>doi</t>
        </is>
      </c>
      <c r="AM43" t="n">
        <v>14</v>
      </c>
      <c r="AN43" t="n">
        <v>18</v>
      </c>
      <c r="AO43" t="n">
        <v>440</v>
      </c>
      <c r="AP43" t="n">
        <v>586</v>
      </c>
      <c r="BG43" t="n">
        <v>1</v>
      </c>
      <c r="BH43" t="n">
        <v>1.4464</v>
      </c>
      <c r="BI43" t="n">
        <v>18</v>
      </c>
      <c r="BJ43" t="n">
        <v>4</v>
      </c>
      <c r="BK43" t="inlineStr"/>
      <c r="BL43" t="inlineStr">
        <is>
          <t>elite_long_sam</t>
        </is>
      </c>
      <c r="BM43" t="inlineStr"/>
      <c r="BN43" t="inlineStr">
        <is>
          <t>Campaign; nhiệm vụ c8m01; mua sớm; 1500 xu</t>
        </is>
      </c>
      <c r="BS43" t="n">
        <v>1</v>
      </c>
      <c r="BZ43" t="n">
        <v>0</v>
      </c>
      <c r="CC43" t="inlineStr">
        <is>
          <t>AntiAir</t>
        </is>
      </c>
      <c r="CF43" t="n">
        <v>18</v>
      </c>
      <c r="CH43" t="n">
        <v>160</v>
      </c>
      <c r="CI43" t="n">
        <v>0.4</v>
      </c>
      <c r="CJ43" t="n">
        <v>10</v>
      </c>
      <c r="CK43" t="inlineStr">
        <is>
          <t>Huge</t>
        </is>
      </c>
      <c r="CV43" t="n">
        <v>5</v>
      </c>
      <c r="CY43" t="n">
        <v>1.6</v>
      </c>
      <c r="CZ43" t="b">
        <v>0</v>
      </c>
      <c r="DD43" t="n">
        <v>586</v>
      </c>
      <c r="DI43" t="n">
        <v>11.02</v>
      </c>
      <c r="DN43" t="inlineStr">
        <is>
          <t>missile</t>
        </is>
      </c>
      <c r="EA43" t="n">
        <v>2.59</v>
      </c>
      <c r="EB43" t="n">
        <v>11.02</v>
      </c>
      <c r="EC43" t="n">
        <v>2.46</v>
      </c>
      <c r="EK43" t="n">
        <v>1.4464</v>
      </c>
      <c r="EL43" t="n">
        <v>2.8</v>
      </c>
      <c r="ER43" t="n">
        <v>1</v>
      </c>
      <c r="EZ43" t="n">
        <v>6</v>
      </c>
      <c r="FG43" t="n">
        <v>60</v>
      </c>
      <c r="FH43" t="n">
        <v>60</v>
      </c>
      <c r="FI43" t="n">
        <v>1.5</v>
      </c>
      <c r="FJ43" t="n">
        <v>80</v>
      </c>
      <c r="FL43" t="inlineStr">
        <is>
          <t>sam_48n6</t>
        </is>
      </c>
      <c r="FM43" t="n">
        <v>2.44</v>
      </c>
      <c r="FN43" t="inlineStr">
        <is>
          <t>Assets/MachineBrigade/Resources/Data/balance.json: vehicles[43]</t>
        </is>
      </c>
      <c r="FO43" t="inlineStr">
        <is>
          <t>{"id":"long_sam","erectSeconds":1.6,"dropDelay":5,"outgoingDamageMult":1.4464,"value":1.5,"scale":1,"modelSize":[11.02,2.46,2.59],"class":"AntiAir","armour":1,"hp":586,"speed":6,"turnRate":60,"turretTurnRate":60,"radius":2.8,"length":11.02,"width":2.44,"cp":18,"vision":80,"firesWhileMoving":false,"weapon":"sam_48n6","mainSlot":"missile","captureRate":0,"deathExplosion":{"damage":160,"radius":10,"delay":0.4,"tier":"Huge"}}</t>
        </is>
      </c>
    </row>
    <row r="44">
      <c r="A44" t="inlineStr">
        <is>
          <t>main_battle_tank</t>
        </is>
      </c>
      <c r="B44" t="inlineStr">
        <is>
          <t>xe</t>
        </is>
      </c>
      <c r="C44" t="inlineStr">
        <is>
          <t>Main battle tank</t>
        </is>
      </c>
      <c r="D44" t="inlineStr">
        <is>
          <t>Tăng chủ lực</t>
        </is>
      </c>
      <c r="E44" t="inlineStr">
        <is>
          <t>Tăng chủ lực</t>
        </is>
      </c>
      <c r="F44" t="inlineStr"/>
      <c r="G44" t="inlineStr"/>
      <c r="H44" t="inlineStr"/>
      <c r="I44" t="n">
        <v>8</v>
      </c>
      <c r="J44" t="n">
        <v>1050</v>
      </c>
      <c r="K44" t="n">
        <v>2310</v>
      </c>
      <c r="L44" t="n">
        <v>4</v>
      </c>
      <c r="M44" t="n">
        <v>2</v>
      </c>
      <c r="N44" t="n">
        <v>1</v>
      </c>
      <c r="O44" t="n">
        <v>1</v>
      </c>
      <c r="P44" t="b">
        <v>0</v>
      </c>
      <c r="Q44" t="n">
        <v>6.5</v>
      </c>
      <c r="R44" t="n">
        <v>60</v>
      </c>
      <c r="S44" t="n">
        <v>115</v>
      </c>
      <c r="T44" t="n">
        <v>30</v>
      </c>
      <c r="U44" t="n">
        <v>2.2</v>
      </c>
      <c r="V44" t="n">
        <v>6.1</v>
      </c>
      <c r="W44" t="n">
        <v>3.07</v>
      </c>
      <c r="X44" t="b">
        <v>0</v>
      </c>
      <c r="Y44" t="n">
        <v>0</v>
      </c>
      <c r="Z44" t="b">
        <v>0</v>
      </c>
      <c r="AA44" t="b">
        <v>1</v>
      </c>
      <c r="AB44" t="n">
        <v>1</v>
      </c>
      <c r="AC44" t="n">
        <v>3.5</v>
      </c>
      <c r="AD44" t="n">
        <v>1.1429</v>
      </c>
      <c r="AE44" t="inlineStr">
        <is>
          <t>gun_120mm</t>
        </is>
      </c>
      <c r="AF44" t="inlineStr">
        <is>
          <t>mg_coax;hmg_roof</t>
        </is>
      </c>
      <c r="AG44" t="inlineStr"/>
      <c r="AH44" t="inlineStr">
        <is>
          <t>none</t>
        </is>
      </c>
      <c r="AI44" t="inlineStr"/>
      <c r="AJ44" t="inlineStr"/>
      <c r="AK44" t="inlineStr">
        <is>
          <t>main_battle_tank</t>
        </is>
      </c>
      <c r="AL44" t="inlineStr">
        <is>
          <t>doi</t>
        </is>
      </c>
      <c r="AM44" t="n">
        <v>7</v>
      </c>
      <c r="AN44" t="n">
        <v>8</v>
      </c>
      <c r="AO44" t="n">
        <v>900</v>
      </c>
      <c r="AP44" t="n">
        <v>1050</v>
      </c>
      <c r="BG44" t="n">
        <v>1</v>
      </c>
      <c r="BH44" t="n">
        <v>1.1429</v>
      </c>
      <c r="BI44" t="n">
        <v>8</v>
      </c>
      <c r="BJ44" t="n">
        <v>2</v>
      </c>
      <c r="BK44" t="inlineStr"/>
      <c r="BL44" t="inlineStr">
        <is>
          <t>elite_mbt</t>
        </is>
      </c>
      <c r="BM44" t="inlineStr">
        <is>
          <t>mbt;tank</t>
        </is>
      </c>
      <c r="BN44" t="inlineStr">
        <is>
          <t>Starter; 1500 xu</t>
        </is>
      </c>
      <c r="BT44" t="n">
        <v>4</v>
      </c>
      <c r="BU44" t="n">
        <v>1</v>
      </c>
      <c r="BV44" t="n">
        <v>2</v>
      </c>
      <c r="BW44" t="n">
        <v>1</v>
      </c>
      <c r="CF44" t="n">
        <v>8</v>
      </c>
      <c r="CH44" t="n">
        <v>150</v>
      </c>
      <c r="CI44" t="n">
        <v>0.45</v>
      </c>
      <c r="CJ44" t="n">
        <v>7</v>
      </c>
      <c r="CK44" t="inlineStr">
        <is>
          <t>Huge</t>
        </is>
      </c>
      <c r="CZ44" t="b">
        <v>1</v>
      </c>
      <c r="DD44" t="n">
        <v>1050</v>
      </c>
      <c r="DI44" t="n">
        <v>6.1</v>
      </c>
      <c r="EA44" t="n">
        <v>2.3</v>
      </c>
      <c r="EB44" t="n">
        <v>7.79</v>
      </c>
      <c r="EC44" t="n">
        <v>3.07</v>
      </c>
      <c r="EK44" t="n">
        <v>1.1429</v>
      </c>
      <c r="EL44" t="n">
        <v>2.2</v>
      </c>
      <c r="ER44" t="n">
        <v>1</v>
      </c>
      <c r="EZ44" t="n">
        <v>6.5</v>
      </c>
      <c r="FG44" t="n">
        <v>60</v>
      </c>
      <c r="FH44" t="n">
        <v>115</v>
      </c>
      <c r="FI44" t="n">
        <v>0.92</v>
      </c>
      <c r="FJ44" t="n">
        <v>30</v>
      </c>
      <c r="FL44" t="inlineStr">
        <is>
          <t>gun_120mm</t>
        </is>
      </c>
      <c r="FM44" t="n">
        <v>3.07</v>
      </c>
      <c r="FN44" t="inlineStr">
        <is>
          <t>Assets/MachineBrigade/Resources/Data/balance.json: vehicles[2]</t>
        </is>
      </c>
      <c r="FO44" t="inlineStr">
        <is>
          <t>{"id":"main_battle_tank","apsCapability":"RetrofitEligible","outgoingDamageMult":1.1429,"value":0.92,"scale":1,"modelSize":[7.79,3.07,2.3],"armour":[4,2,1,1],"hp":1050,"speed":6.5,"turnRate":60,"turretTurnRate":115,"radius":2.2,"length":6.1,"width":3.07,"cp":8,"vision":30,"firesWhileMoving":true,"weapon":"gun_120mm","secondary":[{"weapon":"mg_coax","slot":"coax","aim":"Turret"},{"weapon":"hmg_roof","slot":"mg","aim":"Free"}],"deathExplosion":{"damage":150,"radius":7,"delay":0.45,"tier":"Huge"}}</t>
        </is>
      </c>
    </row>
    <row r="45">
      <c r="A45" t="inlineStr">
        <is>
          <t>mara_behemoth</t>
        </is>
      </c>
      <c r="B45" t="inlineStr">
        <is>
          <t>vat_pham</t>
        </is>
      </c>
      <c r="C45" t="inlineStr">
        <is>
          <t>{@mai}'s Behemoth · Allied Behemoth</t>
        </is>
      </c>
      <c r="D45" t="inlineStr">
        <is>
          <t>{@mai}'s Behemoth · Behemoth đồng minh</t>
        </is>
      </c>
      <c r="E45" t="inlineStr">
        <is>
          <t>Behemoth của {@mai}</t>
        </is>
      </c>
      <c r="F45" t="inlineStr">
        <is>
          <t>Heavy</t>
        </is>
      </c>
      <c r="G45" t="inlineStr">
        <is>
          <t>Armor</t>
        </is>
      </c>
      <c r="H45" t="inlineStr"/>
      <c r="I45" t="n">
        <v>0</v>
      </c>
      <c r="J45" t="n">
        <v>6000</v>
      </c>
      <c r="K45" t="n">
        <v>13200</v>
      </c>
      <c r="L45" t="n">
        <v>4</v>
      </c>
      <c r="M45" t="n">
        <v>3</v>
      </c>
      <c r="N45" t="n">
        <v>3</v>
      </c>
      <c r="O45" t="n">
        <v>2</v>
      </c>
      <c r="P45" t="b">
        <v>0</v>
      </c>
      <c r="Q45" t="n">
        <v>2.6</v>
      </c>
      <c r="R45" t="n">
        <v>25</v>
      </c>
      <c r="S45" t="n">
        <v>30</v>
      </c>
      <c r="T45" t="n">
        <v>55</v>
      </c>
      <c r="U45" t="n">
        <v>6.9</v>
      </c>
      <c r="V45" t="n">
        <v>16.367</v>
      </c>
      <c r="W45" t="n">
        <v>8.449999999999999</v>
      </c>
      <c r="X45" t="b">
        <v>0</v>
      </c>
      <c r="Y45" t="n">
        <v>0</v>
      </c>
      <c r="Z45" t="b">
        <v>0</v>
      </c>
      <c r="AA45" t="b">
        <v>1</v>
      </c>
      <c r="AB45" t="n">
        <v>1</v>
      </c>
      <c r="AC45" t="n">
        <v>3.5</v>
      </c>
      <c r="AD45" t="n">
        <v>1</v>
      </c>
      <c r="AE45" t="inlineStr">
        <is>
          <t>gun_behemoth</t>
        </is>
      </c>
      <c r="AF45" t="inlineStr">
        <is>
          <t>gun_120mm;boss_flak;boss_flak;boss_missiles;boss_missiles</t>
        </is>
      </c>
      <c r="AG45" t="inlineStr"/>
      <c r="AH45" t="inlineStr">
        <is>
          <t>aps</t>
        </is>
      </c>
      <c r="AI45" t="n">
        <v>2</v>
      </c>
      <c r="AJ45" t="n">
        <v>10</v>
      </c>
      <c r="AK45" t="inlineStr">
        <is>
          <t>behemoth</t>
        </is>
      </c>
      <c r="AL45" t="inlineStr">
        <is>
          <t>giong</t>
        </is>
      </c>
      <c r="BI45" t="n">
        <v>0</v>
      </c>
      <c r="BJ45" t="n">
        <v>1</v>
      </c>
      <c r="BK45" t="inlineStr"/>
      <c r="BL45" t="inlineStr"/>
      <c r="BM45" t="inlineStr"/>
      <c r="BN45" t="inlineStr">
        <is>
          <t>Campaign; mua sớm; 300 xu</t>
        </is>
      </c>
      <c r="BT45" t="n">
        <v>4</v>
      </c>
      <c r="BU45" t="n">
        <v>3</v>
      </c>
      <c r="BV45" t="n">
        <v>3</v>
      </c>
      <c r="BW45" t="n">
        <v>2</v>
      </c>
      <c r="BZ45" t="n">
        <v>1</v>
      </c>
      <c r="CA45" t="b">
        <v>0</v>
      </c>
      <c r="CC45" t="inlineStr">
        <is>
          <t>Heavy</t>
        </is>
      </c>
      <c r="CF45" t="n">
        <v>0</v>
      </c>
      <c r="CH45" t="n">
        <v>300</v>
      </c>
      <c r="CI45" t="n">
        <v>2.6</v>
      </c>
      <c r="CJ45" t="n">
        <v>16</v>
      </c>
      <c r="CK45" t="inlineStr">
        <is>
          <t>Ultimate</t>
        </is>
      </c>
      <c r="CZ45" t="b">
        <v>1</v>
      </c>
      <c r="DD45" t="n">
        <v>6000</v>
      </c>
      <c r="DI45" t="n">
        <v>12.59</v>
      </c>
      <c r="DO45" t="inlineStr">
        <is>
          <t>accord</t>
        </is>
      </c>
      <c r="DZ45" t="inlineStr">
        <is>
          <t>behemoth</t>
        </is>
      </c>
      <c r="EL45" t="n">
        <v>6.9</v>
      </c>
      <c r="ER45" t="n">
        <v>1.3</v>
      </c>
      <c r="EZ45" t="n">
        <v>2.6</v>
      </c>
      <c r="FD45" t="b">
        <v>1</v>
      </c>
      <c r="FF45" t="inlineStr">
        <is>
          <t>0.74;0.86;1.0</t>
        </is>
      </c>
      <c r="FG45" t="n">
        <v>25</v>
      </c>
      <c r="FH45" t="n">
        <v>30</v>
      </c>
      <c r="FJ45" t="n">
        <v>55</v>
      </c>
      <c r="FL45" t="inlineStr">
        <is>
          <t>gun_behemoth</t>
        </is>
      </c>
      <c r="FM45" t="n">
        <v>6.5</v>
      </c>
      <c r="FN45" t="inlineStr">
        <is>
          <t>Assets/MachineBrigade/Resources/Data/balance.json: vehicles[178]</t>
        </is>
      </c>
      <c r="FO45" t="inlineStr">
        <is>
          <t>{"id":"mara_behemoth","storyOnly":true,"card":false,"class":"Heavy","model":"behemoth","tint":[0.74,0.86,1.0],"mark":"accord","scale":1.3,"armour":[4,3,3,2],"hp":6000,"speed":2.6,"turnRate":25,"turretTurnRate":30,"radius":6.9,"length":12.59,"width":6.5,"cp":0,"vision":55,"firesWhileMoving":true,"weapon":"gun_behemoth","captureRate":1,"secondary":[{"weapon":"gun_120mm","slot":"gun","aim":"Free"},{"weapon":"boss_flak","slot":"mg","aim":"Free"},{"weapon":"boss_flak","slot":"mg","aim":"Free"},{"weapon":"boss_missiles","slot":"missile","aim":"Hull"},{"weapon":"boss_missiles","slot":"missile","aim":"Hull"}],"aps":{"radius":11,"charges":2,"recharge":10},"deathExplosion":{"damage":300,"radius":16,"delay":2.6,"tier":"Ultimate"}}</t>
        </is>
      </c>
    </row>
    <row r="46">
      <c r="A46" t="inlineStr">
        <is>
          <t>mine_layer</t>
        </is>
      </c>
      <c r="B46" t="inlineStr">
        <is>
          <t>xe</t>
        </is>
      </c>
      <c r="C46" t="inlineStr">
        <is>
          <t>Minelayer</t>
        </is>
      </c>
      <c r="D46" t="inlineStr">
        <is>
          <t>Xe rải mìn</t>
        </is>
      </c>
      <c r="E46" t="inlineStr">
        <is>
          <t>Rải mìn</t>
        </is>
      </c>
      <c r="F46" t="inlineStr">
        <is>
          <t>Support</t>
        </is>
      </c>
      <c r="G46" t="inlineStr">
        <is>
          <t>Light</t>
        </is>
      </c>
      <c r="H46" t="inlineStr"/>
      <c r="I46" t="n">
        <v>6</v>
      </c>
      <c r="J46" t="n">
        <v>518</v>
      </c>
      <c r="K46" t="n">
        <v>1139.6</v>
      </c>
      <c r="L46" t="n">
        <v>1</v>
      </c>
      <c r="M46" t="n">
        <v>1</v>
      </c>
      <c r="N46" t="n">
        <v>0</v>
      </c>
      <c r="O46" t="n">
        <v>0</v>
      </c>
      <c r="P46" t="b">
        <v>0</v>
      </c>
      <c r="Q46" t="n">
        <v>5.5</v>
      </c>
      <c r="R46" t="n">
        <v>90</v>
      </c>
      <c r="S46" t="n">
        <v>200</v>
      </c>
      <c r="T46" t="n">
        <v>30</v>
      </c>
      <c r="U46" t="n">
        <v>2.2</v>
      </c>
      <c r="V46" t="n">
        <v>7.62</v>
      </c>
      <c r="W46" t="n">
        <v>2.7</v>
      </c>
      <c r="X46" t="b">
        <v>0</v>
      </c>
      <c r="Y46" t="n">
        <v>0</v>
      </c>
      <c r="Z46" t="b">
        <v>0</v>
      </c>
      <c r="AA46" t="b">
        <v>1</v>
      </c>
      <c r="AB46" t="n">
        <v>1</v>
      </c>
      <c r="AC46" t="n">
        <v>3.5</v>
      </c>
      <c r="AD46" t="n">
        <v>1.2</v>
      </c>
      <c r="AE46" t="inlineStr">
        <is>
          <t>hmg_selfdef_15</t>
        </is>
      </c>
      <c r="AF46" t="inlineStr"/>
      <c r="AG46" t="inlineStr"/>
      <c r="AH46" t="inlineStr">
        <is>
          <t>none</t>
        </is>
      </c>
      <c r="AI46" t="inlineStr"/>
      <c r="AJ46" t="inlineStr"/>
      <c r="AK46" t="inlineStr">
        <is>
          <t>mine_layer</t>
        </is>
      </c>
      <c r="AL46" t="inlineStr">
        <is>
          <t>doi</t>
        </is>
      </c>
      <c r="AM46" t="n">
        <v>5</v>
      </c>
      <c r="AN46" t="n">
        <v>6</v>
      </c>
      <c r="AO46" t="n">
        <v>420</v>
      </c>
      <c r="AP46" t="n">
        <v>518</v>
      </c>
      <c r="BG46" t="n">
        <v>1</v>
      </c>
      <c r="BH46" t="n">
        <v>1.2</v>
      </c>
      <c r="BI46" t="n">
        <v>6</v>
      </c>
      <c r="BJ46" t="n">
        <v>2</v>
      </c>
      <c r="BK46" t="inlineStr"/>
      <c r="BL46" t="inlineStr"/>
      <c r="BM46" t="inlineStr">
        <is>
          <t>mine_layer</t>
        </is>
      </c>
      <c r="BN46" t="inlineStr">
        <is>
          <t>Campaign; nhiệm vụ c3m06; mua sớm; 300 xu</t>
        </is>
      </c>
      <c r="BT46" t="n">
        <v>1</v>
      </c>
      <c r="BU46" t="n">
        <v>0</v>
      </c>
      <c r="BV46" t="n">
        <v>1</v>
      </c>
      <c r="BW46" t="n">
        <v>0</v>
      </c>
      <c r="CC46" t="inlineStr">
        <is>
          <t>Support</t>
        </is>
      </c>
      <c r="CF46" t="n">
        <v>6</v>
      </c>
      <c r="CH46" t="n">
        <v>140</v>
      </c>
      <c r="CI46" t="n">
        <v>0.35</v>
      </c>
      <c r="CJ46" t="n">
        <v>8</v>
      </c>
      <c r="CK46" t="inlineStr">
        <is>
          <t>Huge</t>
        </is>
      </c>
      <c r="CZ46" t="b">
        <v>1</v>
      </c>
      <c r="DD46" t="n">
        <v>518</v>
      </c>
      <c r="DI46" t="n">
        <v>7.62</v>
      </c>
      <c r="DT46" t="n">
        <v>484</v>
      </c>
      <c r="DU46" t="n">
        <v>6</v>
      </c>
      <c r="DV46" t="n">
        <v>8</v>
      </c>
      <c r="DW46" t="n">
        <v>5</v>
      </c>
      <c r="DX46" t="inlineStr">
        <is>
          <t>Large</t>
        </is>
      </c>
      <c r="DY46" t="n">
        <v>2.2</v>
      </c>
      <c r="EA46" t="n">
        <v>1.97</v>
      </c>
      <c r="EB46" t="n">
        <v>7.62</v>
      </c>
      <c r="EC46" t="n">
        <v>2.7</v>
      </c>
      <c r="EK46" t="n">
        <v>1.2</v>
      </c>
      <c r="EL46" t="n">
        <v>2.2</v>
      </c>
      <c r="ER46" t="n">
        <v>1</v>
      </c>
      <c r="EZ46" t="n">
        <v>5.5</v>
      </c>
      <c r="FG46" t="n">
        <v>90</v>
      </c>
      <c r="FH46" t="n">
        <v>200</v>
      </c>
      <c r="FI46" t="n">
        <v>1</v>
      </c>
      <c r="FJ46" t="n">
        <v>30</v>
      </c>
      <c r="FL46" t="inlineStr">
        <is>
          <t>hmg_selfdef_15</t>
        </is>
      </c>
      <c r="FM46" t="n">
        <v>2.7</v>
      </c>
      <c r="FN46" t="inlineStr">
        <is>
          <t>Assets/MachineBrigade/Resources/Data/balance.json: vehicles[32]</t>
        </is>
      </c>
      <c r="FO46" t="inlineStr">
        <is>
          <t>{"id":"mine_layer","outgoingDamageMult":1.2,"value":1,"scale":1,"modelSize":[7.62,2.7,1.97],"class":"Support","armour":[1,1,0,0],"hp":518,"speed":5.5,"turnRate":90,"turretTurnRate":200,"radius":2.2,"length":7.62,"width":2.7,"cp":6,"vision":30,"firesWhileMoving":true,"weapon":"hmg_selfdef_15","mines":{"interval":6,"max":8,"damage":484,"radius":5,"tier":"Large","trigger":2.2},"deathExplosion":{"damage":140,"radius":8,"delay":0.35,"tier":"Huge"}}</t>
        </is>
      </c>
    </row>
    <row r="47">
      <c r="A47" t="inlineStr">
        <is>
          <t>missile_boat</t>
        </is>
      </c>
      <c r="B47" t="inlineStr">
        <is>
          <t>vat_pham</t>
        </is>
      </c>
      <c r="C47" t="inlineStr">
        <is>
          <t>Missile Boat</t>
        </is>
      </c>
      <c r="D47" t="inlineStr">
        <is>
          <t>Xuồng tên lửa cao tốc</t>
        </is>
      </c>
      <c r="E47" t="inlineStr">
        <is>
          <t>Xuồng tên lửa</t>
        </is>
      </c>
      <c r="F47" t="inlineStr">
        <is>
          <t>Light</t>
        </is>
      </c>
      <c r="G47" t="inlineStr">
        <is>
          <t>Light</t>
        </is>
      </c>
      <c r="H47" t="inlineStr"/>
      <c r="I47" t="n">
        <v>0</v>
      </c>
      <c r="J47" t="n">
        <v>420</v>
      </c>
      <c r="K47" t="n">
        <v>924</v>
      </c>
      <c r="L47" t="n">
        <v>1</v>
      </c>
      <c r="M47" t="n">
        <v>1</v>
      </c>
      <c r="N47" t="n">
        <v>1</v>
      </c>
      <c r="O47" t="n">
        <v>0</v>
      </c>
      <c r="P47" t="b">
        <v>0</v>
      </c>
      <c r="Q47" t="n">
        <v>12</v>
      </c>
      <c r="R47" t="n">
        <v>70</v>
      </c>
      <c r="S47" t="n">
        <v>120</v>
      </c>
      <c r="T47" t="n">
        <v>70</v>
      </c>
      <c r="U47" t="n">
        <v>3.2</v>
      </c>
      <c r="V47" t="n">
        <v>14</v>
      </c>
      <c r="W47" t="n">
        <v>3.8</v>
      </c>
      <c r="X47" t="b">
        <v>0</v>
      </c>
      <c r="Y47" t="n">
        <v>0</v>
      </c>
      <c r="Z47" t="b">
        <v>0</v>
      </c>
      <c r="AA47" t="b">
        <v>1</v>
      </c>
      <c r="AB47" t="n">
        <v>0</v>
      </c>
      <c r="AC47" t="n">
        <v>3.5</v>
      </c>
      <c r="AD47" t="n">
        <v>1</v>
      </c>
      <c r="AE47" t="inlineStr">
        <is>
          <t>boat_rockets</t>
        </is>
      </c>
      <c r="AF47" t="inlineStr">
        <is>
          <t>hmg_roof</t>
        </is>
      </c>
      <c r="AG47" t="inlineStr"/>
      <c r="AH47" t="inlineStr">
        <is>
          <t>none</t>
        </is>
      </c>
      <c r="AI47" t="inlineStr"/>
      <c r="AJ47" t="inlineStr"/>
      <c r="AK47" t="inlineStr">
        <is>
          <t>missile_boat</t>
        </is>
      </c>
      <c r="AL47" t="inlineStr">
        <is>
          <t>giong</t>
        </is>
      </c>
      <c r="BI47" t="n">
        <v>0</v>
      </c>
      <c r="BJ47" t="n">
        <v>1</v>
      </c>
      <c r="BK47" t="inlineStr"/>
      <c r="BL47" t="inlineStr"/>
      <c r="BM47" t="inlineStr"/>
      <c r="BN47" t="inlineStr">
        <is>
          <t>Campaign; mua sớm; 300 xu</t>
        </is>
      </c>
      <c r="BT47" t="n">
        <v>1</v>
      </c>
      <c r="BU47" t="n">
        <v>1</v>
      </c>
      <c r="BV47" t="n">
        <v>1</v>
      </c>
      <c r="BW47" t="n">
        <v>0</v>
      </c>
      <c r="BZ47" t="n">
        <v>0</v>
      </c>
      <c r="CA47" t="b">
        <v>0</v>
      </c>
      <c r="CC47" t="inlineStr">
        <is>
          <t>Light</t>
        </is>
      </c>
      <c r="CF47" t="n">
        <v>0</v>
      </c>
      <c r="CH47" t="n">
        <v>90</v>
      </c>
      <c r="CI47" t="n">
        <v>0.4</v>
      </c>
      <c r="CJ47" t="n">
        <v>7</v>
      </c>
      <c r="CK47" t="inlineStr">
        <is>
          <t>Huge</t>
        </is>
      </c>
      <c r="CZ47" t="b">
        <v>1</v>
      </c>
      <c r="DD47" t="n">
        <v>420</v>
      </c>
      <c r="DI47" t="n">
        <v>14</v>
      </c>
      <c r="DM47" t="inlineStr">
        <is>
          <t>Free</t>
        </is>
      </c>
      <c r="DN47" t="inlineStr">
        <is>
          <t>rocket</t>
        </is>
      </c>
      <c r="ED47" t="n">
        <v>26</v>
      </c>
      <c r="EE47" t="n">
        <v>8</v>
      </c>
      <c r="EF47" t="n">
        <v>20</v>
      </c>
      <c r="EG47" t="inlineStr">
        <is>
          <t>Raider</t>
        </is>
      </c>
      <c r="EL47" t="n">
        <v>3.2</v>
      </c>
      <c r="EZ47" t="n">
        <v>12</v>
      </c>
      <c r="FG47" t="n">
        <v>70</v>
      </c>
      <c r="FH47" t="n">
        <v>120</v>
      </c>
      <c r="FJ47" t="n">
        <v>70</v>
      </c>
      <c r="FL47" t="inlineStr">
        <is>
          <t>boat_rockets</t>
        </is>
      </c>
      <c r="FM47" t="n">
        <v>3.8</v>
      </c>
      <c r="FN47" t="inlineStr">
        <is>
          <t>Assets/MachineBrigade/Resources/Data/balance.json: vehicles[156]</t>
        </is>
      </c>
      <c r="FO47" t="inlineStr">
        <is>
          <t>{"id":"missile_boat","class":"Light","card":false,"armour":[1,1,1,0],"hp":420,"speed":12,"turnRate":70,"turretTurnRate":120,"radius":3.2,"length":14,"width":3.8,"cp":0,"vision":70,"captureRate":0,"firesWhileMoving":true,"weapon":"boat_rockets","mainSlot":"rocket","mainAim":"Free","secondary":[{"weapon":"hmg_roof","slot":"mg","aim":"Free"}],"naval":{"role":"Raider","dashW":20,"dashEvery":26,"dashHold":8},"deathExplosion":{"damage":90,"radius":7,"delay":0.4,"tier":"Huge"}}</t>
        </is>
      </c>
    </row>
    <row r="48">
      <c r="A48" t="inlineStr">
        <is>
          <t>mlrs</t>
        </is>
      </c>
      <c r="B48" t="inlineStr">
        <is>
          <t>xe</t>
        </is>
      </c>
      <c r="C48" t="inlineStr">
        <is>
          <t>Guided MLRS</t>
        </is>
      </c>
      <c r="D48" t="inlineStr">
        <is>
          <t>Pháo phản lực dẫn đường</t>
        </is>
      </c>
      <c r="E48" t="inlineStr">
        <is>
          <t>Phản lực</t>
        </is>
      </c>
      <c r="F48" t="inlineStr"/>
      <c r="G48" t="inlineStr"/>
      <c r="H48" t="inlineStr"/>
      <c r="I48" t="n">
        <v>8</v>
      </c>
      <c r="J48" t="n">
        <v>373</v>
      </c>
      <c r="K48" t="n">
        <v>820.6</v>
      </c>
      <c r="L48" t="n">
        <v>1</v>
      </c>
      <c r="M48" t="n">
        <v>0</v>
      </c>
      <c r="N48" t="n">
        <v>0</v>
      </c>
      <c r="O48" t="n">
        <v>0</v>
      </c>
      <c r="P48" t="b">
        <v>0</v>
      </c>
      <c r="Q48" t="n">
        <v>9.4</v>
      </c>
      <c r="R48" t="n">
        <v>70</v>
      </c>
      <c r="S48" t="n">
        <v>60</v>
      </c>
      <c r="T48" t="n">
        <v>30</v>
      </c>
      <c r="U48" t="n">
        <v>2.4</v>
      </c>
      <c r="V48" t="n">
        <v>5.8</v>
      </c>
      <c r="W48" t="n">
        <v>2</v>
      </c>
      <c r="X48" t="b">
        <v>0</v>
      </c>
      <c r="Y48" t="n">
        <v>0</v>
      </c>
      <c r="Z48" t="b">
        <v>0</v>
      </c>
      <c r="AA48" t="b">
        <v>0</v>
      </c>
      <c r="AB48" t="n">
        <v>1</v>
      </c>
      <c r="AC48" t="n">
        <v>3.5</v>
      </c>
      <c r="AD48" t="n">
        <v>1.1429</v>
      </c>
      <c r="AE48" t="inlineStr">
        <is>
          <t>mlrs_rockets</t>
        </is>
      </c>
      <c r="AF48" t="inlineStr"/>
      <c r="AG48" t="inlineStr"/>
      <c r="AH48" t="inlineStr">
        <is>
          <t>none</t>
        </is>
      </c>
      <c r="AI48" t="inlineStr"/>
      <c r="AJ48" t="inlineStr"/>
      <c r="AK48" t="inlineStr">
        <is>
          <t>mlrs</t>
        </is>
      </c>
      <c r="AL48" t="inlineStr">
        <is>
          <t>doi</t>
        </is>
      </c>
      <c r="AM48" t="n">
        <v>7</v>
      </c>
      <c r="AN48" t="n">
        <v>8</v>
      </c>
      <c r="AO48" t="n">
        <v>320</v>
      </c>
      <c r="AP48" t="n">
        <v>373</v>
      </c>
      <c r="BG48" t="n">
        <v>1</v>
      </c>
      <c r="BH48" t="n">
        <v>1.1429</v>
      </c>
      <c r="BI48" t="n">
        <v>8</v>
      </c>
      <c r="BJ48" t="n">
        <v>2</v>
      </c>
      <c r="BK48" t="inlineStr"/>
      <c r="BL48" t="inlineStr">
        <is>
          <t>elite_grad</t>
        </is>
      </c>
      <c r="BM48" t="inlineStr"/>
      <c r="BN48" t="inlineStr">
        <is>
          <t>Campaign; nhiệm vụ c4m12; mua sớm; 800 xu</t>
        </is>
      </c>
      <c r="BS48" t="n">
        <v>1</v>
      </c>
      <c r="CF48" t="n">
        <v>8</v>
      </c>
      <c r="CH48" t="n">
        <v>110</v>
      </c>
      <c r="CI48" t="n">
        <v>0.3</v>
      </c>
      <c r="CJ48" t="n">
        <v>8</v>
      </c>
      <c r="CK48" t="inlineStr">
        <is>
          <t>Huge</t>
        </is>
      </c>
      <c r="CY48" t="n">
        <v>1.1</v>
      </c>
      <c r="CZ48" t="b">
        <v>0</v>
      </c>
      <c r="DD48" t="n">
        <v>373</v>
      </c>
      <c r="DI48" t="n">
        <v>5.8</v>
      </c>
      <c r="EA48" t="n">
        <v>2.6</v>
      </c>
      <c r="EB48" t="n">
        <v>6.09</v>
      </c>
      <c r="EC48" t="n">
        <v>2</v>
      </c>
      <c r="EK48" t="n">
        <v>1.1429</v>
      </c>
      <c r="EL48" t="n">
        <v>2.4</v>
      </c>
      <c r="ER48" t="n">
        <v>1</v>
      </c>
      <c r="ES48" t="n">
        <v>20</v>
      </c>
      <c r="ET48" t="n">
        <v>15</v>
      </c>
      <c r="EU48" t="n">
        <v>1</v>
      </c>
      <c r="EW48" t="inlineStr"/>
      <c r="EZ48" t="n">
        <v>9.4</v>
      </c>
      <c r="FG48" t="n">
        <v>70</v>
      </c>
      <c r="FH48" t="n">
        <v>60</v>
      </c>
      <c r="FI48" t="n">
        <v>1.31</v>
      </c>
      <c r="FJ48" t="n">
        <v>30</v>
      </c>
      <c r="FL48" t="inlineStr">
        <is>
          <t>mlrs_rockets</t>
        </is>
      </c>
      <c r="FM48" t="n">
        <v>2</v>
      </c>
      <c r="FN48" t="inlineStr">
        <is>
          <t>Assets/MachineBrigade/Resources/Data/balance.json: vehicles[5]</t>
        </is>
      </c>
      <c r="FO48" t="inlineStr">
        <is>
          <t>{"id":"mlrs","erectSeconds":1.1,"outgoingDamageMult":1.1429,"scoot":{"shots":1,"min":15,"max":20},"value":1.31,"scale":1,"modelSize":[6.09,2,2.6],"armour":1,"hp":373,"speed":9.4,"turnRate":70,"turretTurnRate":60,"radius":2.4,"length":5.8,"width":2,"cp":8,"vision":30,"firesWhileMoving":false,"weapon":"mlrs_rockets","secondary":[],"deathExplosion":{"damage":110,"radius":8,"delay":0.3,"tier":"Huge"}}</t>
        </is>
      </c>
    </row>
    <row r="49">
      <c r="A49" t="inlineStr">
        <is>
          <t>mortar_carrier</t>
        </is>
      </c>
      <c r="B49" t="inlineStr">
        <is>
          <t>xe</t>
        </is>
      </c>
      <c r="C49" t="inlineStr">
        <is>
          <t>Mortar carrier</t>
        </is>
      </c>
      <c r="D49" t="inlineStr">
        <is>
          <t>Xe cối tự hành</t>
        </is>
      </c>
      <c r="E49" t="inlineStr">
        <is>
          <t>Xe cối</t>
        </is>
      </c>
      <c r="F49" t="inlineStr"/>
      <c r="G49" t="inlineStr"/>
      <c r="H49" t="inlineStr"/>
      <c r="I49" t="n">
        <v>4</v>
      </c>
      <c r="J49" t="n">
        <v>320</v>
      </c>
      <c r="K49" t="n">
        <v>704</v>
      </c>
      <c r="L49" t="n">
        <v>1</v>
      </c>
      <c r="M49" t="n">
        <v>1</v>
      </c>
      <c r="N49" t="n">
        <v>0</v>
      </c>
      <c r="O49" t="n">
        <v>0</v>
      </c>
      <c r="P49" t="b">
        <v>0</v>
      </c>
      <c r="Q49" t="n">
        <v>5.9</v>
      </c>
      <c r="R49" t="n">
        <v>100</v>
      </c>
      <c r="S49" t="n">
        <v>90</v>
      </c>
      <c r="T49" t="n">
        <v>26</v>
      </c>
      <c r="U49" t="n">
        <v>1.7</v>
      </c>
      <c r="V49" t="n">
        <v>4.21</v>
      </c>
      <c r="W49" t="n">
        <v>2.3</v>
      </c>
      <c r="X49" t="b">
        <v>0</v>
      </c>
      <c r="Y49" t="n">
        <v>0</v>
      </c>
      <c r="Z49" t="b">
        <v>0</v>
      </c>
      <c r="AA49" t="b">
        <v>0</v>
      </c>
      <c r="AB49" t="n">
        <v>1</v>
      </c>
      <c r="AC49" t="n">
        <v>2.5</v>
      </c>
      <c r="AD49" t="n">
        <v>1</v>
      </c>
      <c r="AE49" t="inlineStr">
        <is>
          <t>mortar_120</t>
        </is>
      </c>
      <c r="AF49" t="inlineStr">
        <is>
          <t>hmg_selfdef_18</t>
        </is>
      </c>
      <c r="AG49" t="inlineStr"/>
      <c r="AH49" t="inlineStr">
        <is>
          <t>none</t>
        </is>
      </c>
      <c r="AI49" t="inlineStr"/>
      <c r="AJ49" t="inlineStr"/>
      <c r="AK49" t="inlineStr">
        <is>
          <t>mortar_carrier</t>
        </is>
      </c>
      <c r="AL49" t="inlineStr">
        <is>
          <t>giong</t>
        </is>
      </c>
      <c r="BI49" t="n">
        <v>4</v>
      </c>
      <c r="BJ49" t="n">
        <v>1</v>
      </c>
      <c r="BK49" t="inlineStr"/>
      <c r="BL49" t="inlineStr"/>
      <c r="BM49" t="inlineStr">
        <is>
          <t>artillery</t>
        </is>
      </c>
      <c r="BN49" t="inlineStr">
        <is>
          <t>Campaign; nhiệm vụ c1m02; mua sớm; 300 xu</t>
        </is>
      </c>
      <c r="BT49" t="n">
        <v>1</v>
      </c>
      <c r="BU49" t="n">
        <v>0</v>
      </c>
      <c r="BV49" t="n">
        <v>1</v>
      </c>
      <c r="BW49" t="n">
        <v>0</v>
      </c>
      <c r="CF49" t="n">
        <v>4</v>
      </c>
      <c r="CH49" t="n">
        <v>60</v>
      </c>
      <c r="CI49" t="n">
        <v>0.25</v>
      </c>
      <c r="CJ49" t="n">
        <v>8</v>
      </c>
      <c r="CK49" t="inlineStr">
        <is>
          <t>Large</t>
        </is>
      </c>
      <c r="CV49" t="n">
        <v>2.5</v>
      </c>
      <c r="CZ49" t="b">
        <v>0</v>
      </c>
      <c r="DD49" t="n">
        <v>320</v>
      </c>
      <c r="DI49" t="n">
        <v>4.21</v>
      </c>
      <c r="EA49" t="n">
        <v>3.2</v>
      </c>
      <c r="EB49" t="n">
        <v>4.21</v>
      </c>
      <c r="EC49" t="n">
        <v>2.3</v>
      </c>
      <c r="EL49" t="n">
        <v>1.7</v>
      </c>
      <c r="ER49" t="n">
        <v>1</v>
      </c>
      <c r="EZ49" t="n">
        <v>5.9</v>
      </c>
      <c r="FG49" t="n">
        <v>100</v>
      </c>
      <c r="FH49" t="n">
        <v>90</v>
      </c>
      <c r="FI49" t="n">
        <v>0.88</v>
      </c>
      <c r="FJ49" t="n">
        <v>26</v>
      </c>
      <c r="FL49" t="inlineStr">
        <is>
          <t>mortar_120</t>
        </is>
      </c>
      <c r="FM49" t="n">
        <v>2.3</v>
      </c>
      <c r="FN49" t="inlineStr">
        <is>
          <t>Assets/MachineBrigade/Resources/Data/balance.json: vehicles[12]</t>
        </is>
      </c>
      <c r="FO49" t="inlineStr">
        <is>
          <t>{"id":"mortar_carrier","dropDelay":2.5,"value":0.88,"scale":1,"modelSize":[4.21,2.3,3.2],"armour":[1,1,0,0],"hp":320,"speed":5.9,"turnRate":100,"turretTurnRate":90,"radius":1.7,"length":4.21,"width":2.3,"cp":4,"vision":26,"firesWhileMoving":false,"weapon":"mortar_120","secondary":[{"weapon":"hmg_selfdef_18","slot":"mg","aim":"Free"}],"deathExplosion":{"damage":60,"radius":8,"delay":0.25,"tier":"Large"}}</t>
        </is>
      </c>
    </row>
    <row r="50">
      <c r="A50" t="inlineStr">
        <is>
          <t>next_gen_tank</t>
        </is>
      </c>
      <c r="B50" t="inlineStr">
        <is>
          <t>xe</t>
        </is>
      </c>
      <c r="C50" t="inlineStr">
        <is>
          <t>Next-generation tank</t>
        </is>
      </c>
      <c r="D50" t="inlineStr">
        <is>
          <t>Tăng thế hệ mới</t>
        </is>
      </c>
      <c r="E50" t="inlineStr">
        <is>
          <t>Tăng thế hệ mới</t>
        </is>
      </c>
      <c r="F50" t="inlineStr"/>
      <c r="G50" t="inlineStr"/>
      <c r="H50" t="inlineStr"/>
      <c r="I50" t="n">
        <v>11</v>
      </c>
      <c r="J50" t="n">
        <v>1318</v>
      </c>
      <c r="K50" t="n">
        <v>2899.6</v>
      </c>
      <c r="L50" t="n">
        <v>4</v>
      </c>
      <c r="M50" t="n">
        <v>2</v>
      </c>
      <c r="N50" t="n">
        <v>1</v>
      </c>
      <c r="O50" t="n">
        <v>1</v>
      </c>
      <c r="P50" t="b">
        <v>0</v>
      </c>
      <c r="Q50" t="n">
        <v>6.5</v>
      </c>
      <c r="R50" t="n">
        <v>60</v>
      </c>
      <c r="S50" t="n">
        <v>115</v>
      </c>
      <c r="T50" t="n">
        <v>34</v>
      </c>
      <c r="U50" t="n">
        <v>2.2</v>
      </c>
      <c r="V50" t="n">
        <v>7.79</v>
      </c>
      <c r="W50" t="n">
        <v>3.07</v>
      </c>
      <c r="X50" t="b">
        <v>0</v>
      </c>
      <c r="Y50" t="n">
        <v>0</v>
      </c>
      <c r="Z50" t="b">
        <v>0</v>
      </c>
      <c r="AA50" t="b">
        <v>1</v>
      </c>
      <c r="AB50" t="n">
        <v>1</v>
      </c>
      <c r="AC50" t="n">
        <v>3.5</v>
      </c>
      <c r="AD50" t="n">
        <v>1.2681</v>
      </c>
      <c r="AE50" t="inlineStr">
        <is>
          <t>gun_125_armata_ke</t>
        </is>
      </c>
      <c r="AF50" t="inlineStr"/>
      <c r="AG50" t="inlineStr"/>
      <c r="AH50" t="inlineStr">
        <is>
          <t>aps</t>
        </is>
      </c>
      <c r="AI50" t="n">
        <v>2</v>
      </c>
      <c r="AJ50" t="n">
        <v>10</v>
      </c>
      <c r="AK50" t="inlineStr">
        <is>
          <t>next_gen_tank</t>
        </is>
      </c>
      <c r="AL50" t="inlineStr">
        <is>
          <t>doi</t>
        </is>
      </c>
      <c r="AM50" t="n">
        <v>9</v>
      </c>
      <c r="AN50" t="n">
        <v>11</v>
      </c>
      <c r="AO50" t="n">
        <v>1045</v>
      </c>
      <c r="AP50" t="n">
        <v>1318</v>
      </c>
      <c r="BG50" t="n">
        <v>1</v>
      </c>
      <c r="BH50" t="n">
        <v>1.2681</v>
      </c>
      <c r="BI50" t="n">
        <v>11</v>
      </c>
      <c r="BJ50" t="n">
        <v>3</v>
      </c>
      <c r="BK50" t="inlineStr"/>
      <c r="BL50" t="inlineStr"/>
      <c r="BM50" t="inlineStr">
        <is>
          <t>mbt;tank</t>
        </is>
      </c>
      <c r="BN50" t="inlineStr">
        <is>
          <t>Premium; 3000 xu</t>
        </is>
      </c>
      <c r="BT50" t="n">
        <v>4</v>
      </c>
      <c r="BU50" t="n">
        <v>1</v>
      </c>
      <c r="BV50" t="n">
        <v>2</v>
      </c>
      <c r="BW50" t="n">
        <v>1</v>
      </c>
      <c r="CF50" t="n">
        <v>11</v>
      </c>
      <c r="CH50" t="n">
        <v>110</v>
      </c>
      <c r="CI50" t="n">
        <v>0.4</v>
      </c>
      <c r="CJ50" t="n">
        <v>7</v>
      </c>
      <c r="CK50" t="inlineStr">
        <is>
          <t>Huge</t>
        </is>
      </c>
      <c r="DD50" t="n">
        <v>1318</v>
      </c>
      <c r="DI50" t="n">
        <v>7.79</v>
      </c>
      <c r="DZ50" t="inlineStr">
        <is>
          <t>next_gen_tank</t>
        </is>
      </c>
      <c r="EA50" t="n">
        <v>2.3</v>
      </c>
      <c r="EB50" t="n">
        <v>7.79</v>
      </c>
      <c r="EC50" t="n">
        <v>3.07</v>
      </c>
      <c r="EK50" t="n">
        <v>1.2681</v>
      </c>
      <c r="EL50" t="n">
        <v>2.2</v>
      </c>
      <c r="EZ50" t="n">
        <v>6.5</v>
      </c>
      <c r="FG50" t="n">
        <v>60</v>
      </c>
      <c r="FH50" t="n">
        <v>115</v>
      </c>
      <c r="FJ50" t="n">
        <v>34</v>
      </c>
      <c r="FL50" t="inlineStr">
        <is>
          <t>gun_125_armata_ke</t>
        </is>
      </c>
      <c r="FM50" t="n">
        <v>3.07</v>
      </c>
      <c r="FN50" t="inlineStr">
        <is>
          <t>Assets/MachineBrigade/Resources/Data/balance.json: vehicles[122]</t>
        </is>
      </c>
      <c r="FO50" t="inlineStr">
        <is>
          <t>{"id":"next_gen_tank","apsCapability":"BuiltIn","interceptionMode":"SelfAps","outgoingDamageMult":1.2681,"model":"next_gen_tank","modelSize":[7.79,3.07,2.3],"armour":[4,2,1,1],"hp":1318,"speed":6.5,"turnRate":60,"turretTurnRate":115,"radius":2.2,"length":7.79,"width":3.07,"cp":11,"vision":34,"weapon":"gun_125_armata_ke","aps":{"radius":20,"shells":0,"charges":2,"recharge":10,"rockets":false,"laser":true},"deathExplosion":{"damage":110,"radius":7,"delay":0.4,"tier":"Huge"}}</t>
        </is>
      </c>
    </row>
    <row r="51">
      <c r="A51" t="inlineStr">
        <is>
          <t>railgun_truck</t>
        </is>
      </c>
      <c r="B51" t="inlineStr">
        <is>
          <t>xe</t>
        </is>
      </c>
      <c r="C51" t="inlineStr">
        <is>
          <t>Railgun truck</t>
        </is>
      </c>
      <c r="D51" t="inlineStr">
        <is>
          <t>Xe pháo điện từ</t>
        </is>
      </c>
      <c r="E51" t="inlineStr">
        <is>
          <t>Pháo điện từ</t>
        </is>
      </c>
      <c r="F51" t="inlineStr">
        <is>
          <t>TankHunter</t>
        </is>
      </c>
      <c r="G51" t="inlineStr">
        <is>
          <t>Armor</t>
        </is>
      </c>
      <c r="H51" t="inlineStr"/>
      <c r="I51" t="n">
        <v>13</v>
      </c>
      <c r="J51" t="n">
        <v>568</v>
      </c>
      <c r="K51" t="n">
        <v>1249.6</v>
      </c>
      <c r="L51" t="n">
        <v>1</v>
      </c>
      <c r="M51" t="n">
        <v>0</v>
      </c>
      <c r="N51" t="n">
        <v>0</v>
      </c>
      <c r="O51" t="n">
        <v>0</v>
      </c>
      <c r="P51" t="b">
        <v>0</v>
      </c>
      <c r="Q51" t="n">
        <v>6.5</v>
      </c>
      <c r="R51" t="n">
        <v>60</v>
      </c>
      <c r="S51" t="n">
        <v>45</v>
      </c>
      <c r="T51" t="n">
        <v>40</v>
      </c>
      <c r="U51" t="n">
        <v>2.7</v>
      </c>
      <c r="V51" t="n">
        <v>9.9</v>
      </c>
      <c r="W51" t="n">
        <v>2.48</v>
      </c>
      <c r="X51" t="b">
        <v>0</v>
      </c>
      <c r="Y51" t="n">
        <v>0</v>
      </c>
      <c r="Z51" t="b">
        <v>0</v>
      </c>
      <c r="AA51" t="b">
        <v>0</v>
      </c>
      <c r="AB51" t="n">
        <v>1</v>
      </c>
      <c r="AC51" t="n">
        <v>3.5</v>
      </c>
      <c r="AD51" t="n">
        <v>1.3813</v>
      </c>
      <c r="AE51" t="inlineStr">
        <is>
          <t>railgun</t>
        </is>
      </c>
      <c r="AF51" t="inlineStr"/>
      <c r="AG51" t="inlineStr"/>
      <c r="AH51" t="inlineStr">
        <is>
          <t>none</t>
        </is>
      </c>
      <c r="AI51" t="inlineStr"/>
      <c r="AJ51" t="inlineStr"/>
      <c r="AK51" t="inlineStr">
        <is>
          <t>railgun_truck</t>
        </is>
      </c>
      <c r="AL51" t="inlineStr">
        <is>
          <t>doi</t>
        </is>
      </c>
      <c r="AM51" t="n">
        <v>10</v>
      </c>
      <c r="AN51" t="n">
        <v>13</v>
      </c>
      <c r="AO51" t="n">
        <v>420</v>
      </c>
      <c r="AP51" t="n">
        <v>568</v>
      </c>
      <c r="BG51" t="n">
        <v>1</v>
      </c>
      <c r="BH51" t="n">
        <v>1.3813</v>
      </c>
      <c r="BI51" t="n">
        <v>13</v>
      </c>
      <c r="BJ51" t="n">
        <v>3</v>
      </c>
      <c r="BK51" t="inlineStr"/>
      <c r="BL51" t="inlineStr"/>
      <c r="BM51" t="inlineStr"/>
      <c r="BN51" t="inlineStr">
        <is>
          <t>Campaign; nhiệm vụ c4m10; chiến lợi phẩm cốt truyện</t>
        </is>
      </c>
      <c r="BS51" t="n">
        <v>1</v>
      </c>
      <c r="BZ51" t="n">
        <v>1</v>
      </c>
      <c r="CC51" t="inlineStr">
        <is>
          <t>TankHunter</t>
        </is>
      </c>
      <c r="CF51" t="n">
        <v>13</v>
      </c>
      <c r="CH51" t="n">
        <v>120</v>
      </c>
      <c r="CI51" t="n">
        <v>0.3</v>
      </c>
      <c r="CJ51" t="n">
        <v>7</v>
      </c>
      <c r="CK51" t="inlineStr">
        <is>
          <t>Huge</t>
        </is>
      </c>
      <c r="CZ51" t="b">
        <v>0</v>
      </c>
      <c r="DD51" t="n">
        <v>568</v>
      </c>
      <c r="DI51" t="n">
        <v>9.9</v>
      </c>
      <c r="EA51" t="n">
        <v>2.89</v>
      </c>
      <c r="EB51" t="n">
        <v>9.9</v>
      </c>
      <c r="EC51" t="n">
        <v>2.48</v>
      </c>
      <c r="EK51" t="n">
        <v>1.3813</v>
      </c>
      <c r="EL51" t="n">
        <v>2.7</v>
      </c>
      <c r="ER51" t="n">
        <v>1</v>
      </c>
      <c r="EZ51" t="n">
        <v>6.5</v>
      </c>
      <c r="FG51" t="n">
        <v>60</v>
      </c>
      <c r="FH51" t="n">
        <v>45</v>
      </c>
      <c r="FI51" t="n">
        <v>1.26</v>
      </c>
      <c r="FJ51" t="n">
        <v>40</v>
      </c>
      <c r="FL51" t="inlineStr">
        <is>
          <t>railgun</t>
        </is>
      </c>
      <c r="FM51" t="n">
        <v>2.48</v>
      </c>
      <c r="FN51" t="inlineStr">
        <is>
          <t>Assets/MachineBrigade/Resources/Data/balance.json: vehicles[39]</t>
        </is>
      </c>
      <c r="FO51" t="inlineStr">
        <is>
          <t>{"id":"railgun_truck","outgoingDamageMult":1.3813,"value":1.26,"scale":1,"modelSize":[9.9,2.48,2.89],"class":"TankHunter","armour":1,"hp":568,"speed":6.5,"turnRate":60,"turretTurnRate":45,"radius":2.7,"length":9.9,"width":2.48,"cp":13,"vision":40,"firesWhileMoving":false,"weapon":"railgun","captureRate":1,"deathExplosion":{"damage":120,"radius":7,"delay":0.3,"tier":"Huge"}}</t>
        </is>
      </c>
    </row>
    <row r="52">
      <c r="A52" t="inlineStr">
        <is>
          <t>recoilless_jeep</t>
        </is>
      </c>
      <c r="B52" t="inlineStr">
        <is>
          <t>xe</t>
        </is>
      </c>
      <c r="C52" t="inlineStr">
        <is>
          <t>Recoilless rifle jeep</t>
        </is>
      </c>
      <c r="D52" t="inlineStr">
        <is>
          <t>Xe jeep súng không giật</t>
        </is>
      </c>
      <c r="E52" t="inlineStr">
        <is>
          <t>Súng không giật</t>
        </is>
      </c>
      <c r="F52" t="inlineStr">
        <is>
          <t>TankHunter</t>
        </is>
      </c>
      <c r="G52" t="inlineStr">
        <is>
          <t>Armor</t>
        </is>
      </c>
      <c r="H52" t="inlineStr"/>
      <c r="I52" t="n">
        <v>3</v>
      </c>
      <c r="J52" t="n">
        <v>159</v>
      </c>
      <c r="K52" t="n">
        <v>349.8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n">
        <v>12</v>
      </c>
      <c r="R52" t="n">
        <v>200</v>
      </c>
      <c r="S52" t="n">
        <v>120</v>
      </c>
      <c r="T52" t="n">
        <v>36</v>
      </c>
      <c r="U52" t="n">
        <v>1.3</v>
      </c>
      <c r="V52" t="n">
        <v>3.3</v>
      </c>
      <c r="W52" t="n">
        <v>1.4</v>
      </c>
      <c r="X52" t="b">
        <v>0</v>
      </c>
      <c r="Y52" t="n">
        <v>0</v>
      </c>
      <c r="Z52" t="b">
        <v>0</v>
      </c>
      <c r="AA52" t="b">
        <v>0</v>
      </c>
      <c r="AB52" t="n">
        <v>2</v>
      </c>
      <c r="AC52" t="n">
        <v>2.5</v>
      </c>
      <c r="AD52" t="n">
        <v>1</v>
      </c>
      <c r="AE52" t="inlineStr">
        <is>
          <t>recoilless_106</t>
        </is>
      </c>
      <c r="AF52" t="inlineStr"/>
      <c r="AG52" t="inlineStr"/>
      <c r="AH52" t="inlineStr">
        <is>
          <t>none</t>
        </is>
      </c>
      <c r="AI52" t="inlineStr"/>
      <c r="AJ52" t="inlineStr"/>
      <c r="AK52" t="inlineStr">
        <is>
          <t>recoilless_jeep</t>
        </is>
      </c>
      <c r="AL52" t="inlineStr">
        <is>
          <t>giong</t>
        </is>
      </c>
      <c r="BI52" t="n">
        <v>3</v>
      </c>
      <c r="BJ52" t="n">
        <v>1</v>
      </c>
      <c r="BK52" t="inlineStr"/>
      <c r="BL52" t="inlineStr"/>
      <c r="BM52" t="inlineStr">
        <is>
          <t>light</t>
        </is>
      </c>
      <c r="BN52" t="inlineStr">
        <is>
          <t>Premium; 1500 xu</t>
        </is>
      </c>
      <c r="BS52" t="n">
        <v>0</v>
      </c>
      <c r="BZ52" t="n">
        <v>2</v>
      </c>
      <c r="CC52" t="inlineStr">
        <is>
          <t>TankHunter</t>
        </is>
      </c>
      <c r="CF52" t="n">
        <v>3</v>
      </c>
      <c r="CH52" t="n">
        <v>40</v>
      </c>
      <c r="CI52" t="n">
        <v>0.1</v>
      </c>
      <c r="CJ52" t="n">
        <v>4</v>
      </c>
      <c r="CK52" t="inlineStr">
        <is>
          <t>Large</t>
        </is>
      </c>
      <c r="CV52" t="n">
        <v>2.5</v>
      </c>
      <c r="CZ52" t="b">
        <v>0</v>
      </c>
      <c r="DD52" t="n">
        <v>159</v>
      </c>
      <c r="DI52" t="n">
        <v>3.3</v>
      </c>
      <c r="EA52" t="n">
        <v>1.6</v>
      </c>
      <c r="EB52" t="n">
        <v>3.5</v>
      </c>
      <c r="EC52" t="n">
        <v>1.4</v>
      </c>
      <c r="EL52" t="n">
        <v>1.3</v>
      </c>
      <c r="EZ52" t="n">
        <v>12</v>
      </c>
      <c r="FC52" t="n">
        <v>0.3</v>
      </c>
      <c r="FG52" t="n">
        <v>200</v>
      </c>
      <c r="FH52" t="n">
        <v>120</v>
      </c>
      <c r="FJ52" t="n">
        <v>36</v>
      </c>
      <c r="FL52" t="inlineStr">
        <is>
          <t>recoilless_106</t>
        </is>
      </c>
      <c r="FM52" t="n">
        <v>1.4</v>
      </c>
      <c r="FN52" t="inlineStr">
        <is>
          <t>Assets/MachineBrigade/Resources/Data/balance.json: vehicles[113]</t>
        </is>
      </c>
      <c r="FO52" t="inlineStr">
        <is>
          <t>{"id":"recoilless_jeep","dropDelay":2.5,"modelSize":[3.5,1.4,1.6],"class":"TankHunter","stillCamo":0.3,"armour":0,"hp":159,"speed":12,"turnRate":200,"turretTurnRate":120,"radius":1.3,"length":3.3,"width":1.4,"cp":3,"vision":36,"firesWhileMoving":false,"weapon":"recoilless_106","captureRate":2,"deathExplosion":{"damage":40,"radius":4,"delay":0.1,"tier":"Large"}}</t>
        </is>
      </c>
    </row>
    <row r="53">
      <c r="A53" t="inlineStr">
        <is>
          <t>recon_drone</t>
        </is>
      </c>
      <c r="B53" t="inlineStr">
        <is>
          <t>xe</t>
        </is>
      </c>
      <c r="C53" t="inlineStr">
        <is>
          <t>Recon UAV</t>
        </is>
      </c>
      <c r="D53" t="inlineStr">
        <is>
          <t>UAV trinh sát</t>
        </is>
      </c>
      <c r="E53" t="inlineStr">
        <is>
          <t>UAV trinh sát</t>
        </is>
      </c>
      <c r="F53" t="inlineStr"/>
      <c r="G53" t="inlineStr"/>
      <c r="H53" t="inlineStr"/>
      <c r="I53" t="n">
        <v>7</v>
      </c>
      <c r="J53" t="n">
        <v>382</v>
      </c>
      <c r="K53" t="n">
        <v>840.4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n">
        <v>13</v>
      </c>
      <c r="R53" t="n">
        <v>83</v>
      </c>
      <c r="S53" t="n">
        <v>360</v>
      </c>
      <c r="T53" t="n">
        <v>90</v>
      </c>
      <c r="U53" t="n">
        <v>2.8</v>
      </c>
      <c r="V53" t="inlineStr"/>
      <c r="W53" t="inlineStr"/>
      <c r="X53" t="b">
        <v>1</v>
      </c>
      <c r="Y53" t="n">
        <v>34</v>
      </c>
      <c r="Z53" t="b">
        <v>0</v>
      </c>
      <c r="AA53" t="b">
        <v>1</v>
      </c>
      <c r="AB53" t="n">
        <v>0</v>
      </c>
      <c r="AC53" t="n">
        <v>3.5</v>
      </c>
      <c r="AD53" t="n">
        <v>1.1667</v>
      </c>
      <c r="AE53" t="inlineStr">
        <is>
          <t>recon_missile</t>
        </is>
      </c>
      <c r="AF53" t="inlineStr"/>
      <c r="AG53" t="inlineStr"/>
      <c r="AH53" t="inlineStr">
        <is>
          <t>none</t>
        </is>
      </c>
      <c r="AI53" t="inlineStr"/>
      <c r="AJ53" t="inlineStr"/>
      <c r="AK53" t="inlineStr">
        <is>
          <t>recon_drone</t>
        </is>
      </c>
      <c r="AL53" t="inlineStr">
        <is>
          <t>doi</t>
        </is>
      </c>
      <c r="AM53" t="n">
        <v>6</v>
      </c>
      <c r="AN53" t="n">
        <v>7</v>
      </c>
      <c r="AO53" t="n">
        <v>320</v>
      </c>
      <c r="AP53" t="n">
        <v>382</v>
      </c>
      <c r="BG53" t="n">
        <v>1</v>
      </c>
      <c r="BH53" t="n">
        <v>1.1667</v>
      </c>
      <c r="BI53" t="n">
        <v>7</v>
      </c>
      <c r="BJ53" t="n">
        <v>2</v>
      </c>
      <c r="BK53" t="inlineStr"/>
      <c r="BL53" t="inlineStr"/>
      <c r="BM53" t="inlineStr"/>
      <c r="BN53" t="inlineStr">
        <is>
          <t>Campaign; nhiệm vụ c3m05; mua sớm; 300 xu</t>
        </is>
      </c>
      <c r="BR53" t="n">
        <v>34</v>
      </c>
      <c r="BS53" t="n">
        <v>0</v>
      </c>
      <c r="BZ53" t="n">
        <v>0</v>
      </c>
      <c r="CF53" t="n">
        <v>7</v>
      </c>
      <c r="CH53" t="n">
        <v>40</v>
      </c>
      <c r="CI53" t="n">
        <v>0.5</v>
      </c>
      <c r="CJ53" t="n">
        <v>5</v>
      </c>
      <c r="CK53" t="inlineStr">
        <is>
          <t>Large</t>
        </is>
      </c>
      <c r="CU53" t="b">
        <v>1</v>
      </c>
      <c r="CZ53" t="b">
        <v>1</v>
      </c>
      <c r="DA53" t="b">
        <v>1</v>
      </c>
      <c r="DB53" t="b">
        <v>1</v>
      </c>
      <c r="DD53" t="n">
        <v>382</v>
      </c>
      <c r="DN53" t="inlineStr">
        <is>
          <t>missile</t>
        </is>
      </c>
      <c r="EA53" t="n">
        <v>0.48</v>
      </c>
      <c r="EB53" t="n">
        <v>2.67</v>
      </c>
      <c r="EC53" t="n">
        <v>4.83</v>
      </c>
      <c r="EK53" t="n">
        <v>1.1667</v>
      </c>
      <c r="EL53" t="n">
        <v>2.8</v>
      </c>
      <c r="EO53" t="n">
        <v>8.5</v>
      </c>
      <c r="ER53" t="n">
        <v>1</v>
      </c>
      <c r="EZ53" t="n">
        <v>13</v>
      </c>
      <c r="FE53" t="inlineStr">
        <is>
          <t>Scout;Artillery</t>
        </is>
      </c>
      <c r="FG53" t="n">
        <v>83</v>
      </c>
      <c r="FH53" t="n">
        <v>360</v>
      </c>
      <c r="FI53" t="n">
        <v>0.5</v>
      </c>
      <c r="FJ53" t="n">
        <v>90</v>
      </c>
      <c r="FL53" t="inlineStr">
        <is>
          <t>recon_missile</t>
        </is>
      </c>
      <c r="FN53" t="inlineStr">
        <is>
          <t>Assets/MachineBrigade/Resources/Data/balance.json: vehicles[34]</t>
        </is>
      </c>
      <c r="FO53" t="inlineStr">
        <is>
          <t>{"id":"recon_drone","outgoingDamageMult":1.1667,"value":0.5,"rearmTime":8.5,"strongVs":["Scout","Artillery"],"scale":1,"modelSize":[2.67,4.83,0.48],"drone":true,"armour":0,"hp":382,"speed":13,"turnRate":83,"turretTurnRate":360,"radius":2.8,"cp":7,"vision":90,"firesWhileMoving":true,"weapon":"recon_missile","mainSlot":"missile","flying":true,"fixedWing":true,"altitude":34,"captureRate":0,"deathExplosion":{"damage":40,"radius":5,"delay":0.5,"tier":"Large"}}</t>
        </is>
      </c>
    </row>
    <row r="54">
      <c r="A54" t="inlineStr">
        <is>
          <t>river_gunboat</t>
        </is>
      </c>
      <c r="B54" t="inlineStr">
        <is>
          <t>xe</t>
        </is>
      </c>
      <c r="C54" t="inlineStr">
        <is>
          <t>River gunboat</t>
        </is>
      </c>
      <c r="D54" t="inlineStr">
        <is>
          <t>Pháo hạm sông</t>
        </is>
      </c>
      <c r="E54" t="inlineStr">
        <is>
          <t>Pháo hạm sông</t>
        </is>
      </c>
      <c r="F54" t="inlineStr"/>
      <c r="G54" t="inlineStr"/>
      <c r="H54" t="inlineStr"/>
      <c r="I54" t="n">
        <v>11</v>
      </c>
      <c r="J54" t="n">
        <v>1432</v>
      </c>
      <c r="K54" t="n">
        <v>3150.4</v>
      </c>
      <c r="L54" t="n">
        <v>2</v>
      </c>
      <c r="M54" t="n">
        <v>1</v>
      </c>
      <c r="N54" t="n">
        <v>1</v>
      </c>
      <c r="O54" t="n">
        <v>0</v>
      </c>
      <c r="P54" t="b">
        <v>0</v>
      </c>
      <c r="Q54" t="n">
        <v>6</v>
      </c>
      <c r="R54" t="n">
        <v>50</v>
      </c>
      <c r="S54" t="n">
        <v>45</v>
      </c>
      <c r="T54" t="n">
        <v>34</v>
      </c>
      <c r="U54" t="n">
        <v>2.7</v>
      </c>
      <c r="V54" t="n">
        <v>7.86</v>
      </c>
      <c r="W54" t="n">
        <v>3.14</v>
      </c>
      <c r="X54" t="b">
        <v>0</v>
      </c>
      <c r="Y54" t="n">
        <v>0</v>
      </c>
      <c r="Z54" t="b">
        <v>0</v>
      </c>
      <c r="AA54" t="b">
        <v>1</v>
      </c>
      <c r="AB54" t="n">
        <v>1</v>
      </c>
      <c r="AC54" t="n">
        <v>3.5</v>
      </c>
      <c r="AD54" t="n">
        <v>1.2681</v>
      </c>
      <c r="AE54" t="inlineStr">
        <is>
          <t>gun_100_river</t>
        </is>
      </c>
      <c r="AF54" t="inlineStr"/>
      <c r="AG54" t="inlineStr"/>
      <c r="AH54" t="inlineStr">
        <is>
          <t>none</t>
        </is>
      </c>
      <c r="AI54" t="inlineStr"/>
      <c r="AJ54" t="inlineStr"/>
      <c r="AK54" t="inlineStr">
        <is>
          <t>river_gunboat</t>
        </is>
      </c>
      <c r="AL54" t="inlineStr">
        <is>
          <t>doi</t>
        </is>
      </c>
      <c r="AM54" t="n">
        <v>9</v>
      </c>
      <c r="AN54" t="n">
        <v>11</v>
      </c>
      <c r="AO54" t="n">
        <v>1136</v>
      </c>
      <c r="AP54" t="n">
        <v>1432</v>
      </c>
      <c r="BG54" t="n">
        <v>1</v>
      </c>
      <c r="BH54" t="n">
        <v>1.2681</v>
      </c>
      <c r="BI54" t="n">
        <v>11</v>
      </c>
      <c r="BJ54" t="n">
        <v>3</v>
      </c>
      <c r="BK54" t="inlineStr"/>
      <c r="BL54" t="inlineStr"/>
      <c r="BM54" t="inlineStr"/>
      <c r="BN54" t="inlineStr">
        <is>
          <t>Premium; 3000 xu</t>
        </is>
      </c>
      <c r="BT54" t="n">
        <v>2</v>
      </c>
      <c r="BU54" t="n">
        <v>1</v>
      </c>
      <c r="BV54" t="n">
        <v>1</v>
      </c>
      <c r="BW54" t="n">
        <v>0</v>
      </c>
      <c r="CF54" t="n">
        <v>11</v>
      </c>
      <c r="CH54" t="n">
        <v>130</v>
      </c>
      <c r="CI54" t="n">
        <v>0.4</v>
      </c>
      <c r="CJ54" t="n">
        <v>8</v>
      </c>
      <c r="CK54" t="inlineStr">
        <is>
          <t>Huge</t>
        </is>
      </c>
      <c r="DD54" t="n">
        <v>1432</v>
      </c>
      <c r="DI54" t="n">
        <v>7.86</v>
      </c>
      <c r="DZ54" t="inlineStr">
        <is>
          <t>river_gunboat</t>
        </is>
      </c>
      <c r="EA54" t="n">
        <v>2.88</v>
      </c>
      <c r="EB54" t="n">
        <v>7.86</v>
      </c>
      <c r="EC54" t="n">
        <v>3.14</v>
      </c>
      <c r="EK54" t="n">
        <v>1.2681</v>
      </c>
      <c r="EL54" t="n">
        <v>2.7</v>
      </c>
      <c r="EZ54" t="n">
        <v>6</v>
      </c>
      <c r="FG54" t="n">
        <v>50</v>
      </c>
      <c r="FH54" t="n">
        <v>45</v>
      </c>
      <c r="FJ54" t="n">
        <v>34</v>
      </c>
      <c r="FL54" t="inlineStr">
        <is>
          <t>gun_100_river</t>
        </is>
      </c>
      <c r="FM54" t="n">
        <v>3.14</v>
      </c>
      <c r="FN54" t="inlineStr">
        <is>
          <t>Assets/MachineBrigade/Resources/Data/balance.json: vehicles[125]</t>
        </is>
      </c>
      <c r="FO54" t="inlineStr">
        <is>
          <t>{"id":"river_gunboat","outgoingDamageMult":1.2681,"model":"river_gunboat","modelSize":[7.86,3.14,2.88],"armour":[2,1,1,0],"hp":1432,"speed":6,"turnRate":50,"turretTurnRate":45,"radius":2.7,"length":7.86,"width":3.14,"cp":11,"vision":34,"weapon":"gun_100_river","deathExplosion":{"damage":130,"radius":8,"delay":0.4,"tier":"Huge"}}</t>
        </is>
      </c>
    </row>
    <row r="55">
      <c r="A55" t="inlineStr">
        <is>
          <t>river_patrol_boat</t>
        </is>
      </c>
      <c r="B55" t="inlineStr">
        <is>
          <t>xe</t>
        </is>
      </c>
      <c r="C55" t="inlineStr">
        <is>
          <t>River patrol boat</t>
        </is>
      </c>
      <c r="D55" t="inlineStr">
        <is>
          <t>Tàu tuần tra sông</t>
        </is>
      </c>
      <c r="E55" t="inlineStr">
        <is>
          <t>Tàu tuần tra</t>
        </is>
      </c>
      <c r="F55" t="inlineStr">
        <is>
          <t>Light</t>
        </is>
      </c>
      <c r="G55" t="inlineStr">
        <is>
          <t>Light</t>
        </is>
      </c>
      <c r="H55" t="inlineStr"/>
      <c r="I55" t="n">
        <v>6</v>
      </c>
      <c r="J55" t="n">
        <v>450</v>
      </c>
      <c r="K55" t="n">
        <v>990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n">
        <v>14</v>
      </c>
      <c r="R55" t="n">
        <v>160</v>
      </c>
      <c r="S55" t="n">
        <v>220</v>
      </c>
      <c r="T55" t="n">
        <v>40</v>
      </c>
      <c r="U55" t="n">
        <v>2</v>
      </c>
      <c r="V55" t="n">
        <v>4.44</v>
      </c>
      <c r="W55" t="n">
        <v>2.08</v>
      </c>
      <c r="X55" t="b">
        <v>0</v>
      </c>
      <c r="Y55" t="n">
        <v>0</v>
      </c>
      <c r="Z55" t="b">
        <v>0</v>
      </c>
      <c r="AA55" t="b">
        <v>1</v>
      </c>
      <c r="AB55" t="n">
        <v>1</v>
      </c>
      <c r="AC55" t="n">
        <v>3.5</v>
      </c>
      <c r="AD55" t="n">
        <v>1.2</v>
      </c>
      <c r="AE55" t="inlineStr">
        <is>
          <t>mg_jeep</t>
        </is>
      </c>
      <c r="AF55" t="inlineStr">
        <is>
          <t>agl_40</t>
        </is>
      </c>
      <c r="AG55" t="inlineStr"/>
      <c r="AH55" t="inlineStr">
        <is>
          <t>none</t>
        </is>
      </c>
      <c r="AI55" t="inlineStr"/>
      <c r="AJ55" t="inlineStr"/>
      <c r="AK55" t="inlineStr">
        <is>
          <t>river_patrol_boat</t>
        </is>
      </c>
      <c r="AL55" t="inlineStr">
        <is>
          <t>doi</t>
        </is>
      </c>
      <c r="AM55" t="n">
        <v>5</v>
      </c>
      <c r="AN55" t="n">
        <v>6</v>
      </c>
      <c r="AO55" t="n">
        <v>364</v>
      </c>
      <c r="AP55" t="n">
        <v>450</v>
      </c>
      <c r="BG55" t="n">
        <v>1</v>
      </c>
      <c r="BH55" t="n">
        <v>1.2</v>
      </c>
      <c r="BI55" t="n">
        <v>6</v>
      </c>
      <c r="BJ55" t="n">
        <v>2</v>
      </c>
      <c r="BK55" t="inlineStr"/>
      <c r="BL55" t="inlineStr"/>
      <c r="BM55" t="inlineStr"/>
      <c r="BN55" t="inlineStr">
        <is>
          <t>Premium; 1500 xu</t>
        </is>
      </c>
      <c r="BS55" t="n">
        <v>0</v>
      </c>
      <c r="CC55" t="inlineStr">
        <is>
          <t>Light</t>
        </is>
      </c>
      <c r="CF55" t="n">
        <v>6</v>
      </c>
      <c r="CH55" t="n">
        <v>60</v>
      </c>
      <c r="CI55" t="n">
        <v>0.3</v>
      </c>
      <c r="CJ55" t="n">
        <v>5</v>
      </c>
      <c r="CK55" t="inlineStr">
        <is>
          <t>Large</t>
        </is>
      </c>
      <c r="CZ55" t="b">
        <v>1</v>
      </c>
      <c r="DD55" t="n">
        <v>450</v>
      </c>
      <c r="DI55" t="n">
        <v>4.44</v>
      </c>
      <c r="DZ55" t="inlineStr">
        <is>
          <t>river_patrol_boat</t>
        </is>
      </c>
      <c r="EA55" t="n">
        <v>1.49</v>
      </c>
      <c r="EB55" t="n">
        <v>4.78</v>
      </c>
      <c r="EC55" t="n">
        <v>2.08</v>
      </c>
      <c r="EK55" t="n">
        <v>1.2</v>
      </c>
      <c r="EL55" t="n">
        <v>2</v>
      </c>
      <c r="EZ55" t="n">
        <v>14</v>
      </c>
      <c r="FG55" t="n">
        <v>160</v>
      </c>
      <c r="FH55" t="n">
        <v>220</v>
      </c>
      <c r="FJ55" t="n">
        <v>40</v>
      </c>
      <c r="FL55" t="inlineStr">
        <is>
          <t>mg_jeep</t>
        </is>
      </c>
      <c r="FM55" t="n">
        <v>2.08</v>
      </c>
      <c r="FN55" t="inlineStr">
        <is>
          <t>Assets/MachineBrigade/Resources/Data/balance.json: vehicles[124]</t>
        </is>
      </c>
      <c r="FO55" t="inlineStr">
        <is>
          <t>{"id":"river_patrol_boat","outgoingDamageMult":1.2,"model":"river_patrol_boat","modelSize":[4.78,2.08,1.49],"class":"Light","armour":0,"hp":450,"speed":14,"turnRate":160,"turretTurnRate":220,"radius":2.0,"length":4.44,"width":2.08,"cp":6,"vision":40,"firesWhileMoving":true,"weapon":"mg_jeep","secondary":[{"weapon":"agl_40","slot":"mg","aim":"Free"}],"deathExplosion":{"damage":60,"radius":5,"delay":0.3,"tier":"Large"}}</t>
        </is>
      </c>
    </row>
    <row r="56">
      <c r="A56" t="inlineStr">
        <is>
          <t>rocket_technical</t>
        </is>
      </c>
      <c r="B56" t="inlineStr">
        <is>
          <t>xe</t>
        </is>
      </c>
      <c r="C56" t="inlineStr">
        <is>
          <t>Rocket technical</t>
        </is>
      </c>
      <c r="D56" t="inlineStr">
        <is>
          <t>Bán tải rốc-két</t>
        </is>
      </c>
      <c r="E56" t="inlineStr">
        <is>
          <t>Bán tải rốc-két</t>
        </is>
      </c>
      <c r="F56" t="inlineStr"/>
      <c r="G56" t="inlineStr"/>
      <c r="H56" t="inlineStr"/>
      <c r="I56" t="n">
        <v>3</v>
      </c>
      <c r="J56" t="n">
        <v>230</v>
      </c>
      <c r="K56" t="n">
        <v>506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n">
        <v>13</v>
      </c>
      <c r="R56" t="n">
        <v>180</v>
      </c>
      <c r="S56" t="n">
        <v>200</v>
      </c>
      <c r="T56" t="n">
        <v>30</v>
      </c>
      <c r="U56" t="n">
        <v>1.7</v>
      </c>
      <c r="V56" t="n">
        <v>4.39</v>
      </c>
      <c r="W56" t="n">
        <v>1.5</v>
      </c>
      <c r="X56" t="b">
        <v>0</v>
      </c>
      <c r="Y56" t="n">
        <v>0</v>
      </c>
      <c r="Z56" t="b">
        <v>0</v>
      </c>
      <c r="AA56" t="b">
        <v>0</v>
      </c>
      <c r="AB56" t="n">
        <v>2</v>
      </c>
      <c r="AC56" t="n">
        <v>2.5</v>
      </c>
      <c r="AD56" t="n">
        <v>1</v>
      </c>
      <c r="AE56" t="inlineStr">
        <is>
          <t>technical_rockets</t>
        </is>
      </c>
      <c r="AF56" t="inlineStr">
        <is>
          <t>mg_jeep_selfdef</t>
        </is>
      </c>
      <c r="AG56" t="inlineStr"/>
      <c r="AH56" t="inlineStr">
        <is>
          <t>none</t>
        </is>
      </c>
      <c r="AI56" t="inlineStr"/>
      <c r="AJ56" t="inlineStr"/>
      <c r="AK56" t="inlineStr">
        <is>
          <t>rocket_technical</t>
        </is>
      </c>
      <c r="AL56" t="inlineStr">
        <is>
          <t>giong</t>
        </is>
      </c>
      <c r="BI56" t="n">
        <v>3</v>
      </c>
      <c r="BJ56" t="n">
        <v>1</v>
      </c>
      <c r="BK56" t="inlineStr"/>
      <c r="BL56" t="inlineStr"/>
      <c r="BM56" t="inlineStr">
        <is>
          <t>light</t>
        </is>
      </c>
      <c r="BN56" t="inlineStr">
        <is>
          <t>Campaign; nhiệm vụ c1m01; mua sớm; 300 xu</t>
        </is>
      </c>
      <c r="BS56" t="n">
        <v>0</v>
      </c>
      <c r="BZ56" t="n">
        <v>2</v>
      </c>
      <c r="CF56" t="n">
        <v>3</v>
      </c>
      <c r="CH56" t="n">
        <v>60</v>
      </c>
      <c r="CI56" t="n">
        <v>0.15</v>
      </c>
      <c r="CJ56" t="n">
        <v>6</v>
      </c>
      <c r="CK56" t="inlineStr">
        <is>
          <t>Large</t>
        </is>
      </c>
      <c r="CV56" t="n">
        <v>2.5</v>
      </c>
      <c r="CY56" t="n">
        <v>0.7</v>
      </c>
      <c r="CZ56" t="b">
        <v>0</v>
      </c>
      <c r="DD56" t="n">
        <v>230</v>
      </c>
      <c r="DI56" t="n">
        <v>4.39</v>
      </c>
      <c r="EA56" t="n">
        <v>1.86</v>
      </c>
      <c r="EB56" t="n">
        <v>4.39</v>
      </c>
      <c r="EC56" t="n">
        <v>1.5</v>
      </c>
      <c r="EL56" t="n">
        <v>1.7</v>
      </c>
      <c r="ER56" t="n">
        <v>1</v>
      </c>
      <c r="EZ56" t="n">
        <v>13</v>
      </c>
      <c r="FG56" t="n">
        <v>180</v>
      </c>
      <c r="FH56" t="n">
        <v>200</v>
      </c>
      <c r="FI56" t="n">
        <v>0.61</v>
      </c>
      <c r="FJ56" t="n">
        <v>30</v>
      </c>
      <c r="FL56" t="inlineStr">
        <is>
          <t>technical_rockets</t>
        </is>
      </c>
      <c r="FM56" t="n">
        <v>1.5</v>
      </c>
      <c r="FN56" t="inlineStr">
        <is>
          <t>Assets/MachineBrigade/Resources/Data/balance.json: vehicles[13]</t>
        </is>
      </c>
      <c r="FO56" t="inlineStr">
        <is>
          <t>{"id":"rocket_technical","erectSeconds":0.7,"dropDelay":2.5,"value":0.61,"scale":1,"modelSize":[4.39,1.5,1.86],"armour":0,"hp":230,"speed":13,"turnRate":180,"turretTurnRate":200,"radius":1.7,"length":4.39,"width":1.5,"cp":3,"vision":30,"firesWhileMoving":false,"weapon":"technical_rockets","secondary":[{"weapon":"mg_jeep_selfdef","slot":"mg","aim":"Free"}],"captureRate":2,"deathExplosion":{"damage":60,"radius":6,"delay":0.15,"tier":"Large"}}</t>
        </is>
      </c>
    </row>
    <row r="57">
      <c r="A57" t="inlineStr">
        <is>
          <t>sam_launcher</t>
        </is>
      </c>
      <c r="B57" t="inlineStr">
        <is>
          <t>xe</t>
        </is>
      </c>
      <c r="C57" t="inlineStr">
        <is>
          <t>Medium-range SAM</t>
        </is>
      </c>
      <c r="D57" t="inlineStr">
        <is>
          <t>Xe tên lửa phòng không tầm trung</t>
        </is>
      </c>
      <c r="E57" t="inlineStr">
        <is>
          <t>PK tầm trung</t>
        </is>
      </c>
      <c r="F57" t="inlineStr"/>
      <c r="G57" t="inlineStr"/>
      <c r="H57" t="inlineStr"/>
      <c r="I57" t="n">
        <v>8</v>
      </c>
      <c r="J57" t="n">
        <v>691</v>
      </c>
      <c r="K57" t="n">
        <v>1520.2</v>
      </c>
      <c r="L57" t="n">
        <v>1</v>
      </c>
      <c r="M57" t="n">
        <v>1</v>
      </c>
      <c r="N57" t="n">
        <v>0</v>
      </c>
      <c r="O57" t="n">
        <v>0</v>
      </c>
      <c r="P57" t="b">
        <v>0</v>
      </c>
      <c r="Q57" t="n">
        <v>6.5</v>
      </c>
      <c r="R57" t="n">
        <v>80</v>
      </c>
      <c r="S57" t="n">
        <v>100</v>
      </c>
      <c r="T57" t="n">
        <v>60</v>
      </c>
      <c r="U57" t="n">
        <v>2</v>
      </c>
      <c r="V57" t="n">
        <v>7.18</v>
      </c>
      <c r="W57" t="n">
        <v>2.7</v>
      </c>
      <c r="X57" t="b">
        <v>0</v>
      </c>
      <c r="Y57" t="n">
        <v>0</v>
      </c>
      <c r="Z57" t="b">
        <v>0</v>
      </c>
      <c r="AA57" t="b">
        <v>0</v>
      </c>
      <c r="AB57" t="n">
        <v>1</v>
      </c>
      <c r="AC57" t="n">
        <v>3.5</v>
      </c>
      <c r="AD57" t="n">
        <v>1.1429</v>
      </c>
      <c r="AE57" t="inlineStr">
        <is>
          <t>buk_launcher</t>
        </is>
      </c>
      <c r="AF57" t="inlineStr"/>
      <c r="AG57" t="inlineStr"/>
      <c r="AH57" t="inlineStr">
        <is>
          <t>none</t>
        </is>
      </c>
      <c r="AI57" t="inlineStr"/>
      <c r="AJ57" t="inlineStr"/>
      <c r="AK57" t="inlineStr">
        <is>
          <t>sam_launcher</t>
        </is>
      </c>
      <c r="AL57" t="inlineStr">
        <is>
          <t>doi</t>
        </is>
      </c>
      <c r="AM57" t="n">
        <v>7</v>
      </c>
      <c r="AN57" t="n">
        <v>8</v>
      </c>
      <c r="AO57" t="n">
        <v>591</v>
      </c>
      <c r="AP57" t="n">
        <v>691</v>
      </c>
      <c r="BG57" t="n">
        <v>1</v>
      </c>
      <c r="BH57" t="n">
        <v>1.1429</v>
      </c>
      <c r="BI57" t="n">
        <v>8</v>
      </c>
      <c r="BJ57" t="n">
        <v>2</v>
      </c>
      <c r="BK57" t="inlineStr"/>
      <c r="BL57" t="inlineStr"/>
      <c r="BM57" t="inlineStr"/>
      <c r="BN57" t="inlineStr">
        <is>
          <t>Campaign; nhiệm vụ c3m01; mua sớm; 300 xu</t>
        </is>
      </c>
      <c r="BT57" t="n">
        <v>1</v>
      </c>
      <c r="BU57" t="n">
        <v>0</v>
      </c>
      <c r="BV57" t="n">
        <v>1</v>
      </c>
      <c r="BW57" t="n">
        <v>0</v>
      </c>
      <c r="CF57" t="n">
        <v>8</v>
      </c>
      <c r="CH57" t="n">
        <v>120</v>
      </c>
      <c r="CI57" t="n">
        <v>0.3</v>
      </c>
      <c r="CJ57" t="n">
        <v>8</v>
      </c>
      <c r="CK57" t="inlineStr">
        <is>
          <t>Huge</t>
        </is>
      </c>
      <c r="CY57" t="n">
        <v>0.9</v>
      </c>
      <c r="CZ57" t="b">
        <v>0</v>
      </c>
      <c r="DD57" t="n">
        <v>691</v>
      </c>
      <c r="DI57" t="n">
        <v>7.18</v>
      </c>
      <c r="EA57" t="n">
        <v>2.97</v>
      </c>
      <c r="EB57" t="n">
        <v>7.18</v>
      </c>
      <c r="EC57" t="n">
        <v>2.7</v>
      </c>
      <c r="EK57" t="n">
        <v>1.1429</v>
      </c>
      <c r="EL57" t="n">
        <v>2</v>
      </c>
      <c r="ER57" t="n">
        <v>1</v>
      </c>
      <c r="EW57" t="inlineStr"/>
      <c r="EZ57" t="n">
        <v>6.5</v>
      </c>
      <c r="FG57" t="n">
        <v>80</v>
      </c>
      <c r="FH57" t="n">
        <v>100</v>
      </c>
      <c r="FI57" t="n">
        <v>0.72</v>
      </c>
      <c r="FJ57" t="n">
        <v>60</v>
      </c>
      <c r="FL57" t="inlineStr">
        <is>
          <t>buk_launcher</t>
        </is>
      </c>
      <c r="FM57" t="n">
        <v>2.7</v>
      </c>
      <c r="FN57" t="inlineStr">
        <is>
          <t>Assets/MachineBrigade/Resources/Data/balance.json: vehicles[11]</t>
        </is>
      </c>
      <c r="FO57" t="inlineStr">
        <is>
          <t>{"id":"sam_launcher","erectSeconds":0.9,"outgoingDamageMult":1.1429,"value":0.72,"scale":1,"modelSize":[7.18,2.7,2.97],"armour":[1,1,0,0],"hp":691,"speed":6.5,"turnRate":80,"turretTurnRate":100,"radius":2.0,"length":7.18,"width":2.7,"cp":8,"vision":60,"firesWhileMoving":false,"weapon":"buk_launcher","secondary":[],"deathExplosion":{"damage":120,"radius":8,"delay":0.3,"tier":"Huge"}}</t>
        </is>
      </c>
    </row>
    <row r="58">
      <c r="A58" t="inlineStr">
        <is>
          <t>scout_heli</t>
        </is>
      </c>
      <c r="B58" t="inlineStr">
        <is>
          <t>xe</t>
        </is>
      </c>
      <c r="C58" t="inlineStr">
        <is>
          <t>Armed scout helicopter</t>
        </is>
      </c>
      <c r="D58" t="inlineStr">
        <is>
          <t>Trực thăng trinh sát vũ trang</t>
        </is>
      </c>
      <c r="E58" t="inlineStr">
        <is>
          <t>TT trinh sát</t>
        </is>
      </c>
      <c r="F58" t="inlineStr"/>
      <c r="G58" t="inlineStr"/>
      <c r="H58" t="inlineStr"/>
      <c r="I58" t="n">
        <v>6</v>
      </c>
      <c r="J58" t="n">
        <v>518</v>
      </c>
      <c r="K58" t="n">
        <v>1139.6</v>
      </c>
      <c r="L58" t="n">
        <v>0</v>
      </c>
      <c r="M58" t="n">
        <v>0</v>
      </c>
      <c r="N58" t="n">
        <v>0</v>
      </c>
      <c r="O58" t="n">
        <v>0</v>
      </c>
      <c r="P58" t="b">
        <v>0</v>
      </c>
      <c r="Q58" t="n">
        <v>17</v>
      </c>
      <c r="R58" t="n">
        <v>170</v>
      </c>
      <c r="S58" t="n">
        <v>360</v>
      </c>
      <c r="T58" t="n">
        <v>46</v>
      </c>
      <c r="U58" t="n">
        <v>2.8</v>
      </c>
      <c r="V58" t="inlineStr"/>
      <c r="W58" t="inlineStr"/>
      <c r="X58" t="b">
        <v>1</v>
      </c>
      <c r="Y58" t="n">
        <v>13</v>
      </c>
      <c r="Z58" t="b">
        <v>0</v>
      </c>
      <c r="AA58" t="b">
        <v>1</v>
      </c>
      <c r="AB58" t="n">
        <v>0</v>
      </c>
      <c r="AC58" t="n">
        <v>3.5</v>
      </c>
      <c r="AD58" t="n">
        <v>1.2</v>
      </c>
      <c r="AE58" t="inlineStr">
        <is>
          <t>minigun</t>
        </is>
      </c>
      <c r="AF58" t="inlineStr">
        <is>
          <t>scout_rockets</t>
        </is>
      </c>
      <c r="AG58" t="inlineStr"/>
      <c r="AH58" t="inlineStr">
        <is>
          <t>flare</t>
        </is>
      </c>
      <c r="AI58" t="n">
        <v>2</v>
      </c>
      <c r="AJ58" t="n">
        <v>20</v>
      </c>
      <c r="AK58" t="inlineStr">
        <is>
          <t>scout_heli</t>
        </is>
      </c>
      <c r="AL58" t="inlineStr">
        <is>
          <t>doi</t>
        </is>
      </c>
      <c r="AM58" t="n">
        <v>5</v>
      </c>
      <c r="AN58" t="n">
        <v>6</v>
      </c>
      <c r="AO58" t="n">
        <v>420</v>
      </c>
      <c r="AP58" t="n">
        <v>518</v>
      </c>
      <c r="BG58" t="n">
        <v>1</v>
      </c>
      <c r="BH58" t="n">
        <v>1.2</v>
      </c>
      <c r="BI58" t="n">
        <v>6</v>
      </c>
      <c r="BJ58" t="n">
        <v>2</v>
      </c>
      <c r="BK58" t="inlineStr"/>
      <c r="BL58" t="inlineStr"/>
      <c r="BM58" t="inlineStr">
        <is>
          <t>heli;scout_heli</t>
        </is>
      </c>
      <c r="BN58" t="inlineStr">
        <is>
          <t>Campaign; nhiệm vụ c3m03; mua sớm; 300 xu</t>
        </is>
      </c>
      <c r="BR58" t="n">
        <v>13</v>
      </c>
      <c r="BS58" t="n">
        <v>0</v>
      </c>
      <c r="BZ58" t="n">
        <v>0</v>
      </c>
      <c r="CF58" t="n">
        <v>6</v>
      </c>
      <c r="CH58" t="n">
        <v>40</v>
      </c>
      <c r="CI58" t="n">
        <v>0.5</v>
      </c>
      <c r="CJ58" t="n">
        <v>5</v>
      </c>
      <c r="CK58" t="inlineStr">
        <is>
          <t>Large</t>
        </is>
      </c>
      <c r="CZ58" t="b">
        <v>1</v>
      </c>
      <c r="DB58" t="b">
        <v>1</v>
      </c>
      <c r="DD58" t="n">
        <v>518</v>
      </c>
      <c r="DN58" t="inlineStr">
        <is>
          <t>gun</t>
        </is>
      </c>
      <c r="EA58" t="n">
        <v>1.56</v>
      </c>
      <c r="EB58" t="n">
        <v>3.88</v>
      </c>
      <c r="EC58" t="n">
        <v>3.16</v>
      </c>
      <c r="EK58" t="n">
        <v>1.2</v>
      </c>
      <c r="EL58" t="n">
        <v>2.8</v>
      </c>
      <c r="EO58" t="n">
        <v>8</v>
      </c>
      <c r="ER58" t="n">
        <v>1</v>
      </c>
      <c r="EZ58" t="n">
        <v>17</v>
      </c>
      <c r="FE58" t="inlineStr">
        <is>
          <t>Scout;Light;Support</t>
        </is>
      </c>
      <c r="FG58" t="n">
        <v>170</v>
      </c>
      <c r="FH58" t="n">
        <v>360</v>
      </c>
      <c r="FI58" t="n">
        <v>0.85</v>
      </c>
      <c r="FJ58" t="n">
        <v>46</v>
      </c>
      <c r="FL58" t="inlineStr">
        <is>
          <t>minigun</t>
        </is>
      </c>
      <c r="FN58" t="inlineStr">
        <is>
          <t>Assets/MachineBrigade/Resources/Data/balance.json: vehicles[14]</t>
        </is>
      </c>
      <c r="FO58" t="inlineStr">
        <is>
          <t>{"id":"scout_heli","flareRecharge":20,"flareCharges":2,"outgoingDamageMult":1.2,"value":0.85,"rearmTime":8,"strongVs":["Scout","Light","Support"],"scale":1,"modelSize":[3.88,3.16,1.56],"armour":0,"hp":518,"speed":17,"turnRate":170,"turretTurnRate":360,"radius":2.8,"cp":6,"vision":46,"firesWhileMoving":true,"weapon":"minigun","mainSlot":"gun","flying":true,"altitude":13,"captureRate":0,"secondary":[{"weapon":"scout_rockets","slot":"rocket","aim":"Hull"}],"deathExplosion":{"damage":40,"radius":5,"delay":0.5,"tier":"Large"}}</t>
        </is>
      </c>
    </row>
    <row r="59">
      <c r="A59" t="inlineStr">
        <is>
          <t>scout_jeep</t>
        </is>
      </c>
      <c r="B59" t="inlineStr">
        <is>
          <t>xe</t>
        </is>
      </c>
      <c r="C59" t="inlineStr">
        <is>
          <t>Scout jeep</t>
        </is>
      </c>
      <c r="D59" t="inlineStr">
        <is>
          <t>Xe trinh sát hạng nhẹ</t>
        </is>
      </c>
      <c r="E59" t="inlineStr">
        <is>
          <t>Trinh sát</t>
        </is>
      </c>
      <c r="F59" t="inlineStr"/>
      <c r="G59" t="inlineStr"/>
      <c r="H59" t="inlineStr"/>
      <c r="I59" t="n">
        <v>2</v>
      </c>
      <c r="J59" t="n">
        <v>120</v>
      </c>
      <c r="K59" t="n">
        <v>264</v>
      </c>
      <c r="L59" t="n">
        <v>0</v>
      </c>
      <c r="M59" t="n">
        <v>0</v>
      </c>
      <c r="N59" t="n">
        <v>0</v>
      </c>
      <c r="O59" t="n">
        <v>0</v>
      </c>
      <c r="P59" t="b">
        <v>0</v>
      </c>
      <c r="Q59" t="n">
        <v>12</v>
      </c>
      <c r="R59" t="n">
        <v>200</v>
      </c>
      <c r="S59" t="n">
        <v>360</v>
      </c>
      <c r="T59" t="n">
        <v>60</v>
      </c>
      <c r="U59" t="n">
        <v>1.3</v>
      </c>
      <c r="V59" t="n">
        <v>2.64</v>
      </c>
      <c r="W59" t="n">
        <v>1.4</v>
      </c>
      <c r="X59" t="b">
        <v>0</v>
      </c>
      <c r="Y59" t="n">
        <v>0</v>
      </c>
      <c r="Z59" t="b">
        <v>0</v>
      </c>
      <c r="AA59" t="b">
        <v>1</v>
      </c>
      <c r="AB59" t="n">
        <v>2</v>
      </c>
      <c r="AC59" t="n">
        <v>2.5</v>
      </c>
      <c r="AD59" t="n">
        <v>1</v>
      </c>
      <c r="AE59" t="inlineStr">
        <is>
          <t>mg_jeep</t>
        </is>
      </c>
      <c r="AF59" t="inlineStr"/>
      <c r="AG59" t="inlineStr"/>
      <c r="AH59" t="inlineStr">
        <is>
          <t>none</t>
        </is>
      </c>
      <c r="AI59" t="inlineStr"/>
      <c r="AJ59" t="inlineStr"/>
      <c r="AK59" t="inlineStr">
        <is>
          <t>scout_jeep</t>
        </is>
      </c>
      <c r="AL59" t="inlineStr">
        <is>
          <t>giong</t>
        </is>
      </c>
      <c r="BI59" t="n">
        <v>2</v>
      </c>
      <c r="BJ59" t="n">
        <v>1</v>
      </c>
      <c r="BK59" t="inlineStr"/>
      <c r="BL59" t="inlineStr"/>
      <c r="BM59" t="inlineStr">
        <is>
          <t>scout</t>
        </is>
      </c>
      <c r="BN59" t="inlineStr">
        <is>
          <t>Starter; 600 xu</t>
        </is>
      </c>
      <c r="BS59" t="n">
        <v>0</v>
      </c>
      <c r="BZ59" t="n">
        <v>2</v>
      </c>
      <c r="CF59" t="n">
        <v>2</v>
      </c>
      <c r="CH59" t="n">
        <v>30</v>
      </c>
      <c r="CI59" t="n">
        <v>0.1</v>
      </c>
      <c r="CJ59" t="n">
        <v>4</v>
      </c>
      <c r="CK59" t="inlineStr">
        <is>
          <t>Large</t>
        </is>
      </c>
      <c r="CV59" t="n">
        <v>2.5</v>
      </c>
      <c r="CZ59" t="b">
        <v>1</v>
      </c>
      <c r="DD59" t="n">
        <v>120</v>
      </c>
      <c r="DI59" t="n">
        <v>2.64</v>
      </c>
      <c r="EA59" t="n">
        <v>1.41</v>
      </c>
      <c r="EB59" t="n">
        <v>2.64</v>
      </c>
      <c r="EC59" t="n">
        <v>1.4</v>
      </c>
      <c r="EL59" t="n">
        <v>1.3</v>
      </c>
      <c r="ER59" t="n">
        <v>1</v>
      </c>
      <c r="EZ59" t="n">
        <v>12</v>
      </c>
      <c r="FC59" t="n">
        <v>0.4</v>
      </c>
      <c r="FG59" t="n">
        <v>200</v>
      </c>
      <c r="FH59" t="n">
        <v>360</v>
      </c>
      <c r="FI59" t="n">
        <v>0.5</v>
      </c>
      <c r="FJ59" t="n">
        <v>60</v>
      </c>
      <c r="FL59" t="inlineStr">
        <is>
          <t>mg_jeep</t>
        </is>
      </c>
      <c r="FM59" t="n">
        <v>1.4</v>
      </c>
      <c r="FN59" t="inlineStr">
        <is>
          <t>Assets/MachineBrigade/Resources/Data/balance.json: vehicles[0]</t>
        </is>
      </c>
      <c r="FO59" t="inlineStr">
        <is>
          <t>{"id":"scout_jeep","dropDelay":2.5,"stillCamo":0.4,"value":0.5,"scale":1,"modelSize":[2.64,1.4,1.41],"armour":0,"hp":120,"speed":12,"turnRate":200,"turretTurnRate":360,"radius":1.3,"length":2.64,"width":1.4,"cp":2,"vision":60,"firesWhileMoving":true,"weapon":"mg_jeep","captureRate":2,"deathExplosion":{"damage":30,"radius":4,"delay":0.1,"tier":"Large"}}</t>
        </is>
      </c>
    </row>
    <row r="60">
      <c r="A60" t="inlineStr">
        <is>
          <t>sea_corvette</t>
        </is>
      </c>
      <c r="B60" t="inlineStr">
        <is>
          <t>vat_pham</t>
        </is>
      </c>
      <c r="C60" t="inlineStr">
        <is>
          <t>Escort Corvette</t>
        </is>
      </c>
      <c r="D60" t="inlineStr">
        <is>
          <t>Tàu hộ vệ</t>
        </is>
      </c>
      <c r="E60" t="inlineStr">
        <is>
          <t>Tàu hộ vệ</t>
        </is>
      </c>
      <c r="F60" t="inlineStr">
        <is>
          <t>Heavy</t>
        </is>
      </c>
      <c r="G60" t="inlineStr">
        <is>
          <t>Armor</t>
        </is>
      </c>
      <c r="H60" t="inlineStr"/>
      <c r="I60" t="n">
        <v>0</v>
      </c>
      <c r="J60" t="n">
        <v>1600</v>
      </c>
      <c r="K60" t="n">
        <v>3520</v>
      </c>
      <c r="L60" t="n">
        <v>3</v>
      </c>
      <c r="M60" t="n">
        <v>3</v>
      </c>
      <c r="N60" t="n">
        <v>3</v>
      </c>
      <c r="O60" t="n">
        <v>1</v>
      </c>
      <c r="P60" t="b">
        <v>0</v>
      </c>
      <c r="Q60" t="n">
        <v>3.4</v>
      </c>
      <c r="R60" t="n">
        <v>14</v>
      </c>
      <c r="S60" t="n">
        <v>60</v>
      </c>
      <c r="T60" t="n">
        <v>90</v>
      </c>
      <c r="U60" t="n">
        <v>5.5</v>
      </c>
      <c r="V60" t="n">
        <v>30</v>
      </c>
      <c r="W60" t="n">
        <v>5.6</v>
      </c>
      <c r="X60" t="b">
        <v>0</v>
      </c>
      <c r="Y60" t="n">
        <v>0</v>
      </c>
      <c r="Z60" t="b">
        <v>0</v>
      </c>
      <c r="AA60" t="b">
        <v>1</v>
      </c>
      <c r="AB60" t="n">
        <v>0</v>
      </c>
      <c r="AC60" t="n">
        <v>3.5</v>
      </c>
      <c r="AD60" t="n">
        <v>1</v>
      </c>
      <c r="AE60" t="inlineStr">
        <is>
          <t>naval_76</t>
        </is>
      </c>
      <c r="AF60" t="inlineStr">
        <is>
          <t>hover_ciws</t>
        </is>
      </c>
      <c r="AG60" t="inlineStr"/>
      <c r="AH60" t="inlineStr">
        <is>
          <t>aps</t>
        </is>
      </c>
      <c r="AI60" t="n">
        <v>2</v>
      </c>
      <c r="AJ60" t="n">
        <v>2.5</v>
      </c>
      <c r="AK60" t="inlineStr">
        <is>
          <t>sea_corvette</t>
        </is>
      </c>
      <c r="AL60" t="inlineStr">
        <is>
          <t>giong</t>
        </is>
      </c>
      <c r="BI60" t="n">
        <v>0</v>
      </c>
      <c r="BJ60" t="n">
        <v>1</v>
      </c>
      <c r="BK60" t="inlineStr"/>
      <c r="BL60" t="inlineStr"/>
      <c r="BM60" t="inlineStr"/>
      <c r="BN60" t="inlineStr">
        <is>
          <t>Campaign; mua sớm; 300 xu</t>
        </is>
      </c>
      <c r="BT60" t="n">
        <v>3</v>
      </c>
      <c r="BU60" t="n">
        <v>3</v>
      </c>
      <c r="BV60" t="n">
        <v>3</v>
      </c>
      <c r="BW60" t="n">
        <v>1</v>
      </c>
      <c r="BZ60" t="n">
        <v>0</v>
      </c>
      <c r="CA60" t="b">
        <v>0</v>
      </c>
      <c r="CC60" t="inlineStr">
        <is>
          <t>Heavy</t>
        </is>
      </c>
      <c r="CF60" t="n">
        <v>0</v>
      </c>
      <c r="CH60" t="n">
        <v>200</v>
      </c>
      <c r="CI60" t="n">
        <v>1.2</v>
      </c>
      <c r="CJ60" t="n">
        <v>12</v>
      </c>
      <c r="CK60" t="inlineStr">
        <is>
          <t>Ultimate</t>
        </is>
      </c>
      <c r="CZ60" t="b">
        <v>1</v>
      </c>
      <c r="DD60" t="n">
        <v>1600</v>
      </c>
      <c r="DI60" t="n">
        <v>30</v>
      </c>
      <c r="DM60" t="inlineStr">
        <is>
          <t>Free</t>
        </is>
      </c>
      <c r="DN60" t="inlineStr">
        <is>
          <t>gun</t>
        </is>
      </c>
      <c r="EG60" t="inlineStr">
        <is>
          <t>Escort</t>
        </is>
      </c>
      <c r="EH60" t="n">
        <v>26</v>
      </c>
      <c r="EL60" t="n">
        <v>5.5</v>
      </c>
      <c r="EZ60" t="n">
        <v>3.4</v>
      </c>
      <c r="FG60" t="n">
        <v>14</v>
      </c>
      <c r="FH60" t="n">
        <v>60</v>
      </c>
      <c r="FJ60" t="n">
        <v>90</v>
      </c>
      <c r="FL60" t="inlineStr">
        <is>
          <t>naval_76</t>
        </is>
      </c>
      <c r="FM60" t="n">
        <v>5.6</v>
      </c>
      <c r="FN60" t="inlineStr">
        <is>
          <t>Assets/MachineBrigade/Resources/Data/balance.json: vehicles[154]</t>
        </is>
      </c>
      <c r="FO60" t="inlineStr">
        <is>
          <t>{"id":"sea_corvette","interceptionMode":"PointDefense","class":"Heavy","card":false,"armour":[3,3,3,1],"hp":1600,"speed":3.4,"turnRate":14,"turretTurnRate":60,"radius":5.5,"length":30,"width":5.6,"cp":0,"vision":90,"captureRate":0,"firesWhileMoving":true,"weapon":"naval_76","mainSlot":"gun","mainAim":"Free","secondary":[{"weapon":"hover_ciws","slot":"mg","aim":"Free"}],"aps":{"radius":32,"charges":2,"recharge":2.5,"rockets":true},"naval":{"role":"Escort","station":26},"parts":[{"id":"gun","kind":"gun","hp":0.14,"armour":2,"node":"Part_gun","wreck":"wreck_turret","at":[0,9,4.2],"radius":2.2,"mounts":[0]},{"id":"ciws","kind":"ciws","hp":0.12,"armour":2,"node":"Part_mg","wreck":"wreck_turret","at":[0,-6.5,7.0],"radius":1.8,"mounts":[1],"stops":["aps"]}],"deathExplosion":{"damage":200,"radius":12,"delay":1.2,"tier":"Ultimate"}}</t>
        </is>
      </c>
    </row>
    <row r="61">
      <c r="A61" t="inlineStr">
        <is>
          <t>sea_cruiser</t>
        </is>
      </c>
      <c r="B61" t="inlineStr">
        <is>
          <t>vat_pham</t>
        </is>
      </c>
      <c r="C61" t="inlineStr">
        <is>
          <t>Missile Cruiser</t>
        </is>
      </c>
      <c r="D61" t="inlineStr">
        <is>
          <t>Tuần dương hạm tên lửa</t>
        </is>
      </c>
      <c r="E61" t="inlineStr">
        <is>
          <t>Tuần dương hạm</t>
        </is>
      </c>
      <c r="F61" t="inlineStr">
        <is>
          <t>Heavy</t>
        </is>
      </c>
      <c r="G61" t="inlineStr">
        <is>
          <t>Armor</t>
        </is>
      </c>
      <c r="H61" t="inlineStr"/>
      <c r="I61" t="n">
        <v>0</v>
      </c>
      <c r="J61" t="n">
        <v>2600</v>
      </c>
      <c r="K61" t="n">
        <v>5720</v>
      </c>
      <c r="L61" t="n">
        <v>3</v>
      </c>
      <c r="M61" t="n">
        <v>3</v>
      </c>
      <c r="N61" t="n">
        <v>3</v>
      </c>
      <c r="O61" t="n">
        <v>2</v>
      </c>
      <c r="P61" t="b">
        <v>0</v>
      </c>
      <c r="Q61" t="n">
        <v>3.2</v>
      </c>
      <c r="R61" t="n">
        <v>12</v>
      </c>
      <c r="S61" t="n">
        <v>45</v>
      </c>
      <c r="T61" t="n">
        <v>100</v>
      </c>
      <c r="U61" t="n">
        <v>6.5</v>
      </c>
      <c r="V61" t="n">
        <v>46.08</v>
      </c>
      <c r="W61" t="n">
        <v>7.92</v>
      </c>
      <c r="X61" t="b">
        <v>0</v>
      </c>
      <c r="Y61" t="n">
        <v>0</v>
      </c>
      <c r="Z61" t="b">
        <v>0</v>
      </c>
      <c r="AA61" t="b">
        <v>1</v>
      </c>
      <c r="AB61" t="n">
        <v>0</v>
      </c>
      <c r="AC61" t="n">
        <v>3.5</v>
      </c>
      <c r="AD61" t="n">
        <v>1</v>
      </c>
      <c r="AE61" t="inlineStr">
        <is>
          <t>cruiser_203</t>
        </is>
      </c>
      <c r="AF61" t="inlineStr">
        <is>
          <t>cruiser_203;hover_ciws;hover_ciws</t>
        </is>
      </c>
      <c r="AG61" t="inlineStr"/>
      <c r="AH61" t="inlineStr">
        <is>
          <t>aps</t>
        </is>
      </c>
      <c r="AI61" t="n">
        <v>2</v>
      </c>
      <c r="AJ61" t="n">
        <v>2.4</v>
      </c>
      <c r="AK61" t="inlineStr">
        <is>
          <t>sea_cruiser</t>
        </is>
      </c>
      <c r="AL61" t="inlineStr">
        <is>
          <t>giong</t>
        </is>
      </c>
      <c r="BI61" t="n">
        <v>0</v>
      </c>
      <c r="BJ61" t="n">
        <v>1</v>
      </c>
      <c r="BK61" t="inlineStr"/>
      <c r="BL61" t="inlineStr"/>
      <c r="BM61" t="inlineStr"/>
      <c r="BN61" t="inlineStr">
        <is>
          <t>Campaign; mua sớm; 300 xu</t>
        </is>
      </c>
      <c r="BT61" t="n">
        <v>3</v>
      </c>
      <c r="BU61" t="n">
        <v>3</v>
      </c>
      <c r="BV61" t="n">
        <v>3</v>
      </c>
      <c r="BW61" t="n">
        <v>2</v>
      </c>
      <c r="BZ61" t="n">
        <v>0</v>
      </c>
      <c r="CA61" t="b">
        <v>0</v>
      </c>
      <c r="CC61" t="inlineStr">
        <is>
          <t>Heavy</t>
        </is>
      </c>
      <c r="CF61" t="n">
        <v>0</v>
      </c>
      <c r="CH61" t="n">
        <v>260</v>
      </c>
      <c r="CI61" t="n">
        <v>1.6</v>
      </c>
      <c r="CJ61" t="n">
        <v>14</v>
      </c>
      <c r="CK61" t="inlineStr">
        <is>
          <t>Ultimate</t>
        </is>
      </c>
      <c r="CZ61" t="b">
        <v>1</v>
      </c>
      <c r="DD61" t="n">
        <v>2600</v>
      </c>
      <c r="DI61" t="n">
        <v>64</v>
      </c>
      <c r="DM61" t="inlineStr">
        <is>
          <t>Free</t>
        </is>
      </c>
      <c r="DN61" t="inlineStr">
        <is>
          <t>gun</t>
        </is>
      </c>
      <c r="EG61" t="inlineStr">
        <is>
          <t>Escort</t>
        </is>
      </c>
      <c r="EH61" t="n">
        <v>22</v>
      </c>
      <c r="EL61" t="n">
        <v>6.5</v>
      </c>
      <c r="ER61" t="n">
        <v>0.72</v>
      </c>
      <c r="EZ61" t="n">
        <v>3.2</v>
      </c>
      <c r="FG61" t="n">
        <v>12</v>
      </c>
      <c r="FH61" t="n">
        <v>45</v>
      </c>
      <c r="FJ61" t="n">
        <v>100</v>
      </c>
      <c r="FL61" t="inlineStr">
        <is>
          <t>cruiser_203</t>
        </is>
      </c>
      <c r="FM61" t="n">
        <v>11</v>
      </c>
      <c r="FN61" t="inlineStr">
        <is>
          <t>Assets/MachineBrigade/Resources/Data/balance.json: vehicles[155]</t>
        </is>
      </c>
      <c r="FO61" t="inlineStr">
        <is>
          <t>{"id":"sea_cruiser","interceptionMode":"PointDefense","class":"Heavy","card":false,"scale":0.72,"armour":[3,3,3,2],"hp":2600,"speed":3.2,"turnRate":12,"turretTurnRate":45,"radius":6.5,"length":64,"width":11,"cp":0,"vision":100,"captureRate":0,"firesWhileMoving":true,"weapon":"cruiser_203","mainSlot":"gun","mainAim":"Free","secondary":[{"weapon":"cruiser_203","slot":"gun","aim":"Free","arc":[180,150]},{"weapon":"hover_ciws","slot":"mg","aim":"Free"},{"weapon":"hover_ciws","slot":"mg","aim":"Free"}],"aps":{"radius":30,"charges":2,"recharge":2.4,"rockets":true},"naval":{"role":"Escort","station":22},"parts":[{"id":"turret_fore","kind":"gun","hp":0.12,"armour":3,"node":"Part_gun","wreck":"wreck_turret","at":[0,13.7,4.0],"radius":2.4,"mounts":[0]},{"id":"turret_aft","kind":"gun","hp":0.12,"armour":3,"node":"Part_gun.001","wreck":"wreck_turret","at":[0,-11.5,4.0],"radius":2.4,"mounts":[1]},{"id":"ciws_fore","kind":"ciws","hp":0.1,"armour":2,"node":"Part_mg","wreck":"wreck_turret","at":[2.2,4.3,6.6],"radius":1.6,"mounts":[2],"stops":["aps"]},{"id":"ciws_aft","kind":"ciws","hp":0.1,"armour":2,"node":"Part_mg.001","wreck":"wreck_turret","at":[-2.2,-6.1,5.9],"radius":1.6,"mounts":[3],"stops":["aps"]}],"deathExplosion":{"damage":260,"radius":14,"delay":1.6,"tier":"Ultimate"}}</t>
        </is>
      </c>
    </row>
    <row r="62">
      <c r="A62" t="inlineStr">
        <is>
          <t>shahed_truck</t>
        </is>
      </c>
      <c r="B62" t="inlineStr">
        <is>
          <t>xe</t>
        </is>
      </c>
      <c r="C62" t="inlineStr">
        <is>
          <t>Long-range drone launcher</t>
        </is>
      </c>
      <c r="D62" t="inlineStr">
        <is>
          <t>Xe phóng drone cảm tử tầm xa</t>
        </is>
      </c>
      <c r="E62" t="inlineStr">
        <is>
          <t>Drone cảm tử</t>
        </is>
      </c>
      <c r="F62" t="inlineStr">
        <is>
          <t>Artillery</t>
        </is>
      </c>
      <c r="G62" t="inlineStr">
        <is>
          <t>Artillery</t>
        </is>
      </c>
      <c r="H62" t="inlineStr"/>
      <c r="I62" t="n">
        <v>9</v>
      </c>
      <c r="J62" t="n">
        <v>459</v>
      </c>
      <c r="K62" t="n">
        <v>1009.8</v>
      </c>
      <c r="L62" t="n">
        <v>1</v>
      </c>
      <c r="M62" t="n">
        <v>0</v>
      </c>
      <c r="N62" t="n">
        <v>0</v>
      </c>
      <c r="O62" t="n">
        <v>0</v>
      </c>
      <c r="P62" t="b">
        <v>0</v>
      </c>
      <c r="Q62" t="n">
        <v>8</v>
      </c>
      <c r="R62" t="n">
        <v>80</v>
      </c>
      <c r="S62" t="n">
        <v>60</v>
      </c>
      <c r="T62" t="n">
        <v>30</v>
      </c>
      <c r="U62" t="n">
        <v>2.4</v>
      </c>
      <c r="V62" t="n">
        <v>6.6</v>
      </c>
      <c r="W62" t="n">
        <v>2.04</v>
      </c>
      <c r="X62" t="b">
        <v>0</v>
      </c>
      <c r="Y62" t="n">
        <v>0</v>
      </c>
      <c r="Z62" t="b">
        <v>0</v>
      </c>
      <c r="AA62" t="b">
        <v>0</v>
      </c>
      <c r="AB62" t="n">
        <v>1</v>
      </c>
      <c r="AC62" t="n">
        <v>3.5</v>
      </c>
      <c r="AD62" t="n">
        <v>1.125</v>
      </c>
      <c r="AE62" t="inlineStr">
        <is>
          <t>shahed</t>
        </is>
      </c>
      <c r="AF62" t="inlineStr">
        <is>
          <t>hmg_selfdef_15</t>
        </is>
      </c>
      <c r="AG62" t="inlineStr"/>
      <c r="AH62" t="inlineStr">
        <is>
          <t>none</t>
        </is>
      </c>
      <c r="AI62" t="inlineStr"/>
      <c r="AJ62" t="inlineStr"/>
      <c r="AK62" t="inlineStr">
        <is>
          <t>shahed_truck</t>
        </is>
      </c>
      <c r="AL62" t="inlineStr">
        <is>
          <t>doi</t>
        </is>
      </c>
      <c r="AM62" t="n">
        <v>8</v>
      </c>
      <c r="AN62" t="n">
        <v>9</v>
      </c>
      <c r="AO62" t="n">
        <v>400</v>
      </c>
      <c r="AP62" t="n">
        <v>459</v>
      </c>
      <c r="BG62" t="n">
        <v>1</v>
      </c>
      <c r="BH62" t="n">
        <v>1.125</v>
      </c>
      <c r="BI62" t="n">
        <v>9</v>
      </c>
      <c r="BJ62" t="n">
        <v>3</v>
      </c>
      <c r="BK62" t="inlineStr"/>
      <c r="BL62" t="inlineStr"/>
      <c r="BM62" t="inlineStr"/>
      <c r="BN62" t="inlineStr">
        <is>
          <t>Campaign; nhiệm vụ c5m03; mua sớm; 800 xu</t>
        </is>
      </c>
      <c r="BS62" t="n">
        <v>1</v>
      </c>
      <c r="BZ62" t="n">
        <v>1</v>
      </c>
      <c r="CC62" t="inlineStr">
        <is>
          <t>Artillery</t>
        </is>
      </c>
      <c r="CF62" t="n">
        <v>9</v>
      </c>
      <c r="CH62" t="n">
        <v>90</v>
      </c>
      <c r="CI62" t="n">
        <v>0.3</v>
      </c>
      <c r="CJ62" t="n">
        <v>7</v>
      </c>
      <c r="CK62" t="inlineStr">
        <is>
          <t>Huge</t>
        </is>
      </c>
      <c r="CY62" t="n">
        <v>1</v>
      </c>
      <c r="CZ62" t="b">
        <v>0</v>
      </c>
      <c r="DD62" t="n">
        <v>459</v>
      </c>
      <c r="DI62" t="n">
        <v>6.6</v>
      </c>
      <c r="EA62" t="n">
        <v>2.87</v>
      </c>
      <c r="EB62" t="n">
        <v>6.65</v>
      </c>
      <c r="EC62" t="n">
        <v>2.3</v>
      </c>
      <c r="EK62" t="n">
        <v>1.125</v>
      </c>
      <c r="EL62" t="n">
        <v>2.4</v>
      </c>
      <c r="ER62" t="n">
        <v>1</v>
      </c>
      <c r="EZ62" t="n">
        <v>8</v>
      </c>
      <c r="FG62" t="n">
        <v>80</v>
      </c>
      <c r="FH62" t="n">
        <v>60</v>
      </c>
      <c r="FI62" t="n">
        <v>1.12</v>
      </c>
      <c r="FJ62" t="n">
        <v>30</v>
      </c>
      <c r="FL62" t="inlineStr">
        <is>
          <t>shahed</t>
        </is>
      </c>
      <c r="FM62" t="n">
        <v>2.04</v>
      </c>
      <c r="FN62" t="inlineStr">
        <is>
          <t>Assets/MachineBrigade/Resources/Data/balance.json: vehicles[37]</t>
        </is>
      </c>
      <c r="FO62" t="inlineStr">
        <is>
          <t>{"id":"shahed_truck","erectSeconds":1.0,"outgoingDamageMult":1.125,"value":1.12,"scale":1,"modelSize":[6.65,2.3,2.87],"class":"Artillery","armour":1,"hp":459,"speed":8,"turnRate":80,"turretTurnRate":60,"radius":2.4,"length":6.6,"width":2.04,"cp":9,"vision":30,"firesWhileMoving":false,"weapon":"shahed","captureRate":1,"secondary":[{"weapon":"hmg_selfdef_15","slot":"mg","aim":"Free"}],"deathExplosion":{"damage":90,"radius":7,"delay":0.3,"tier":"Huge"}}</t>
        </is>
      </c>
    </row>
    <row r="63">
      <c r="A63" t="inlineStr">
        <is>
          <t>shield_carrier</t>
        </is>
      </c>
      <c r="B63" t="inlineStr">
        <is>
          <t>xe</t>
        </is>
      </c>
      <c r="C63" t="inlineStr">
        <is>
          <t>Shield carrier</t>
        </is>
      </c>
      <c r="D63" t="inlineStr">
        <is>
          <t>Xe phát khiên</t>
        </is>
      </c>
      <c r="E63" t="inlineStr">
        <is>
          <t>Phát khiên</t>
        </is>
      </c>
      <c r="F63" t="inlineStr">
        <is>
          <t>Support</t>
        </is>
      </c>
      <c r="G63" t="inlineStr">
        <is>
          <t>Light</t>
        </is>
      </c>
      <c r="H63" t="inlineStr"/>
      <c r="I63" t="n">
        <v>8</v>
      </c>
      <c r="J63" t="n">
        <v>559</v>
      </c>
      <c r="K63" t="n">
        <v>1229.8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n">
        <v>8.5</v>
      </c>
      <c r="R63" t="n">
        <v>90</v>
      </c>
      <c r="S63" t="n">
        <v>200</v>
      </c>
      <c r="T63" t="n">
        <v>36</v>
      </c>
      <c r="U63" t="n">
        <v>2.3</v>
      </c>
      <c r="V63" t="n">
        <v>6.29</v>
      </c>
      <c r="W63" t="n">
        <v>2.46</v>
      </c>
      <c r="X63" t="b">
        <v>0</v>
      </c>
      <c r="Y63" t="n">
        <v>0</v>
      </c>
      <c r="Z63" t="b">
        <v>0</v>
      </c>
      <c r="AA63" t="b">
        <v>1</v>
      </c>
      <c r="AB63" t="n">
        <v>1</v>
      </c>
      <c r="AC63" t="n">
        <v>3.5</v>
      </c>
      <c r="AD63" t="n">
        <v>1.1429</v>
      </c>
      <c r="AE63" t="inlineStr">
        <is>
          <t>hmg_selfdef_15</t>
        </is>
      </c>
      <c r="AF63" t="inlineStr"/>
      <c r="AG63" t="inlineStr"/>
      <c r="AH63" t="inlineStr">
        <is>
          <t>none</t>
        </is>
      </c>
      <c r="AI63" t="inlineStr"/>
      <c r="AJ63" t="inlineStr"/>
      <c r="AK63" t="inlineStr">
        <is>
          <t>shield_carrier</t>
        </is>
      </c>
      <c r="AL63" t="inlineStr">
        <is>
          <t>doi</t>
        </is>
      </c>
      <c r="AM63" t="n">
        <v>7</v>
      </c>
      <c r="AN63" t="n">
        <v>8</v>
      </c>
      <c r="AO63" t="n">
        <v>480</v>
      </c>
      <c r="AP63" t="n">
        <v>559</v>
      </c>
      <c r="BG63" t="n">
        <v>1</v>
      </c>
      <c r="BH63" t="n">
        <v>1.1429</v>
      </c>
      <c r="BI63" t="n">
        <v>8</v>
      </c>
      <c r="BJ63" t="n">
        <v>2</v>
      </c>
      <c r="BK63" t="inlineStr"/>
      <c r="BL63" t="inlineStr"/>
      <c r="BM63" t="inlineStr"/>
      <c r="BN63" t="inlineStr">
        <is>
          <t>Campaign; nhiệm vụ i2m01; mua sớm; 1500 xu</t>
        </is>
      </c>
      <c r="BS63" t="n">
        <v>1</v>
      </c>
      <c r="BZ63" t="n">
        <v>1</v>
      </c>
      <c r="CC63" t="inlineStr">
        <is>
          <t>Support</t>
        </is>
      </c>
      <c r="CF63" t="n">
        <v>8</v>
      </c>
      <c r="CH63" t="n">
        <v>90</v>
      </c>
      <c r="CI63" t="n">
        <v>0.35</v>
      </c>
      <c r="CJ63" t="n">
        <v>7</v>
      </c>
      <c r="CK63" t="inlineStr">
        <is>
          <t>Huge</t>
        </is>
      </c>
      <c r="CR63" t="n">
        <v>1000</v>
      </c>
      <c r="CS63" t="n">
        <v>12</v>
      </c>
      <c r="CT63" t="n">
        <v>20</v>
      </c>
      <c r="CZ63" t="b">
        <v>1</v>
      </c>
      <c r="DD63" t="n">
        <v>559</v>
      </c>
      <c r="DI63" t="n">
        <v>6.29</v>
      </c>
      <c r="EA63" t="n">
        <v>2.84</v>
      </c>
      <c r="EB63" t="n">
        <v>6.29</v>
      </c>
      <c r="EC63" t="n">
        <v>2.46</v>
      </c>
      <c r="EK63" t="n">
        <v>1.1429</v>
      </c>
      <c r="EL63" t="n">
        <v>2.3</v>
      </c>
      <c r="ER63" t="n">
        <v>1</v>
      </c>
      <c r="EZ63" t="n">
        <v>8.5</v>
      </c>
      <c r="FG63" t="n">
        <v>90</v>
      </c>
      <c r="FH63" t="n">
        <v>200</v>
      </c>
      <c r="FI63" t="n">
        <v>1</v>
      </c>
      <c r="FJ63" t="n">
        <v>36</v>
      </c>
      <c r="FL63" t="inlineStr">
        <is>
          <t>hmg_selfdef_15</t>
        </is>
      </c>
      <c r="FM63" t="n">
        <v>2.46</v>
      </c>
      <c r="FN63" t="inlineStr">
        <is>
          <t>Assets/MachineBrigade/Resources/Data/balance.json: vehicles[46]</t>
        </is>
      </c>
      <c r="FO63" t="inlineStr">
        <is>
          <t>{"id":"shield_carrier","outgoingDamageMult":1.1429,"value":1,"scale":1,"modelSize":[6.29,2.46,2.84],"class":"Support","armour":1,"hp":559,"speed":8.5,"turnRate":90,"turretTurnRate":200,"radius":2.3,"length":6.29,"width":2.46,"cp":8,"vision":36,"firesWhileMoving":true,"weapon":"hmg_selfdef_15","captureRate":1,"dome":{"radius":12,"hp":1000,"recharge":20},"deathExplosion":{"damage":90,"radius":7,"delay":0.35,"tier":"Huge"}}</t>
        </is>
      </c>
    </row>
    <row r="64">
      <c r="A64" t="inlineStr">
        <is>
          <t>siege_tank</t>
        </is>
      </c>
      <c r="B64" t="inlineStr">
        <is>
          <t>xe</t>
        </is>
      </c>
      <c r="C64" t="inlineStr">
        <is>
          <t>Siege mortar</t>
        </is>
      </c>
      <c r="D64" t="inlineStr">
        <is>
          <t>Pháo cối công thành</t>
        </is>
      </c>
      <c r="E64" t="inlineStr">
        <is>
          <t>Công thành</t>
        </is>
      </c>
      <c r="F64" t="inlineStr">
        <is>
          <t>Artillery</t>
        </is>
      </c>
      <c r="G64" t="inlineStr">
        <is>
          <t>Artillery</t>
        </is>
      </c>
      <c r="H64" t="inlineStr"/>
      <c r="I64" t="n">
        <v>15</v>
      </c>
      <c r="J64" t="n">
        <v>1941</v>
      </c>
      <c r="K64" t="n">
        <v>4270.2</v>
      </c>
      <c r="L64" t="n">
        <v>2</v>
      </c>
      <c r="M64" t="n">
        <v>1</v>
      </c>
      <c r="N64" t="n">
        <v>1</v>
      </c>
      <c r="O64" t="n">
        <v>0</v>
      </c>
      <c r="P64" t="b">
        <v>0</v>
      </c>
      <c r="Q64" t="n">
        <v>5.5</v>
      </c>
      <c r="R64" t="n">
        <v>45</v>
      </c>
      <c r="S64" t="n">
        <v>40</v>
      </c>
      <c r="T64" t="n">
        <v>30</v>
      </c>
      <c r="U64" t="n">
        <v>2.7</v>
      </c>
      <c r="V64" t="n">
        <v>8.25</v>
      </c>
      <c r="W64" t="n">
        <v>3.34</v>
      </c>
      <c r="X64" t="b">
        <v>0</v>
      </c>
      <c r="Y64" t="n">
        <v>0</v>
      </c>
      <c r="Z64" t="b">
        <v>0</v>
      </c>
      <c r="AA64" t="b">
        <v>0</v>
      </c>
      <c r="AB64" t="n">
        <v>1</v>
      </c>
      <c r="AC64" t="n">
        <v>5</v>
      </c>
      <c r="AD64" t="n">
        <v>1.25</v>
      </c>
      <c r="AE64" t="inlineStr">
        <is>
          <t>siege_mortar_240</t>
        </is>
      </c>
      <c r="AF64" t="inlineStr">
        <is>
          <t>siege_gun_105;hmg_selfdef_21</t>
        </is>
      </c>
      <c r="AG64" t="inlineStr"/>
      <c r="AH64" t="inlineStr">
        <is>
          <t>none</t>
        </is>
      </c>
      <c r="AI64" t="inlineStr"/>
      <c r="AJ64" t="inlineStr"/>
      <c r="AK64" t="inlineStr">
        <is>
          <t>siege_tank</t>
        </is>
      </c>
      <c r="AL64" t="inlineStr">
        <is>
          <t>doi</t>
        </is>
      </c>
      <c r="AM64" t="n">
        <v>12</v>
      </c>
      <c r="AN64" t="n">
        <v>15</v>
      </c>
      <c r="AO64" t="n">
        <v>600</v>
      </c>
      <c r="AP64" t="n">
        <v>1941</v>
      </c>
      <c r="BG64" t="n">
        <v>1</v>
      </c>
      <c r="BH64" t="n">
        <v>1.25</v>
      </c>
      <c r="BI64" t="n">
        <v>15</v>
      </c>
      <c r="BJ64" t="n">
        <v>4</v>
      </c>
      <c r="BK64" t="inlineStr"/>
      <c r="BL64" t="inlineStr"/>
      <c r="BM64" t="inlineStr">
        <is>
          <t>bunker;fortify</t>
        </is>
      </c>
      <c r="BN64" t="inlineStr">
        <is>
          <t>Campaign; nhiệm vụ c7m04; mua sớm; 1500 xu</t>
        </is>
      </c>
      <c r="BT64" t="n">
        <v>2</v>
      </c>
      <c r="BU64" t="n">
        <v>1</v>
      </c>
      <c r="BV64" t="n">
        <v>1</v>
      </c>
      <c r="BW64" t="n">
        <v>0</v>
      </c>
      <c r="CC64" t="inlineStr">
        <is>
          <t>Artillery</t>
        </is>
      </c>
      <c r="CF64" t="n">
        <v>15</v>
      </c>
      <c r="CH64" t="n">
        <v>220</v>
      </c>
      <c r="CI64" t="n">
        <v>0.5</v>
      </c>
      <c r="CJ64" t="n">
        <v>11</v>
      </c>
      <c r="CK64" t="inlineStr">
        <is>
          <t>Ultimate</t>
        </is>
      </c>
      <c r="CL64" t="n">
        <v>180</v>
      </c>
      <c r="CM64" t="n">
        <v>0</v>
      </c>
      <c r="CN64" t="n">
        <v>1</v>
      </c>
      <c r="CO64" t="n">
        <v>2.5</v>
      </c>
      <c r="CP64" t="b">
        <v>1</v>
      </c>
      <c r="CQ64" t="n">
        <v>1</v>
      </c>
      <c r="CV64" t="n">
        <v>5</v>
      </c>
      <c r="CZ64" t="b">
        <v>0</v>
      </c>
      <c r="DD64" t="n">
        <v>1941</v>
      </c>
      <c r="DI64" t="n">
        <v>8.25</v>
      </c>
      <c r="EA64" t="n">
        <v>3.44</v>
      </c>
      <c r="EB64" t="n">
        <v>9.130000000000001</v>
      </c>
      <c r="EC64" t="n">
        <v>3.34</v>
      </c>
      <c r="EK64" t="n">
        <v>1.25</v>
      </c>
      <c r="EL64" t="n">
        <v>2.7</v>
      </c>
      <c r="ER64" t="n">
        <v>1</v>
      </c>
      <c r="EZ64" t="n">
        <v>5.5</v>
      </c>
      <c r="FE64" t="inlineStr">
        <is>
          <t>Defense;Heavy;Tank</t>
        </is>
      </c>
      <c r="FG64" t="n">
        <v>45</v>
      </c>
      <c r="FH64" t="n">
        <v>40</v>
      </c>
      <c r="FI64" t="n">
        <v>1.04</v>
      </c>
      <c r="FJ64" t="n">
        <v>30</v>
      </c>
      <c r="FL64" t="inlineStr">
        <is>
          <t>siege_mortar_240</t>
        </is>
      </c>
      <c r="FM64" t="n">
        <v>3.34</v>
      </c>
      <c r="FN64" t="inlineStr">
        <is>
          <t>Assets/MachineBrigade/Resources/Data/balance.json: vehicles[25]</t>
        </is>
      </c>
      <c r="FO64" t="inlineStr">
        <is>
          <t>{"id":"siege_tank","dropDelay":5,"outgoingDamageMult":1.25,"value":1.04,"scale":1,"modelSize":[9.13,3.34,3.44],"class":"Artillery","strongVs":["Defense","Heavy","Tank"],"armour":[2,1,1,0],"hp":1941,"speed":5.5,"turnRate":45,"turretTurnRate":40,"radius":2.7,"length":8.25,"width":3.34,"cp":15,"vision":30,"firesWhileMoving":false,"weapon":"siege_mortar_240","secondary":[{"weapon":"siege_gun_105","slot":"gun","aim":"Turret"},{"weapon":"hmg_selfdef_21","slot":"mg","aim":"Free"}],"deploy":{"seconds":2.5,"front":0,"range":1,"arc":180,"siege":true,"tankMount":1},"deathExplosion":{"damage":220,"radius":11,"delay":0.5,"tier":"Ultimate"}}</t>
        </is>
      </c>
    </row>
    <row r="65">
      <c r="A65" t="inlineStr">
        <is>
          <t>sky_gunship</t>
        </is>
      </c>
      <c r="B65" t="inlineStr">
        <is>
          <t>xe</t>
        </is>
      </c>
      <c r="C65" t="inlineStr">
        <is>
          <t>Airborne gunship</t>
        </is>
      </c>
      <c r="D65" t="inlineStr">
        <is>
          <t>Pháo hạm bay</t>
        </is>
      </c>
      <c r="E65" t="inlineStr">
        <is>
          <t>Pháo hạm</t>
        </is>
      </c>
      <c r="F65" t="inlineStr"/>
      <c r="G65" t="inlineStr"/>
      <c r="H65" t="inlineStr"/>
      <c r="I65" t="n">
        <v>29</v>
      </c>
      <c r="J65" t="n">
        <v>1400</v>
      </c>
      <c r="K65" t="n">
        <v>3080</v>
      </c>
      <c r="L65" t="n">
        <v>0</v>
      </c>
      <c r="M65" t="n">
        <v>0</v>
      </c>
      <c r="N65" t="n">
        <v>0</v>
      </c>
      <c r="O65" t="n">
        <v>0</v>
      </c>
      <c r="P65" t="b">
        <v>0</v>
      </c>
      <c r="Q65" t="n">
        <v>16</v>
      </c>
      <c r="R65" t="n">
        <v>65</v>
      </c>
      <c r="S65" t="n">
        <v>360</v>
      </c>
      <c r="T65" t="n">
        <v>64</v>
      </c>
      <c r="U65" t="n">
        <v>7.5</v>
      </c>
      <c r="V65" t="inlineStr"/>
      <c r="W65" t="inlineStr"/>
      <c r="X65" t="b">
        <v>1</v>
      </c>
      <c r="Y65" t="n">
        <v>26</v>
      </c>
      <c r="Z65" t="b">
        <v>0</v>
      </c>
      <c r="AA65" t="b">
        <v>1</v>
      </c>
      <c r="AB65" t="n">
        <v>0</v>
      </c>
      <c r="AC65" t="n">
        <v>5</v>
      </c>
      <c r="AD65" t="n">
        <v>1.5159</v>
      </c>
      <c r="AE65" t="inlineStr">
        <is>
          <t>gunship_105</t>
        </is>
      </c>
      <c r="AF65" t="inlineStr">
        <is>
          <t>gunship_40mm;gunship_25mm</t>
        </is>
      </c>
      <c r="AG65" t="inlineStr">
        <is>
          <t>bomber_flares</t>
        </is>
      </c>
      <c r="AH65" t="inlineStr">
        <is>
          <t>flare</t>
        </is>
      </c>
      <c r="AI65" t="n">
        <v>3</v>
      </c>
      <c r="AJ65" t="n">
        <v>11</v>
      </c>
      <c r="AK65" t="inlineStr">
        <is>
          <t>sky_gunship</t>
        </is>
      </c>
      <c r="AL65" t="inlineStr">
        <is>
          <t>doi</t>
        </is>
      </c>
      <c r="AM65" t="n">
        <v>22</v>
      </c>
      <c r="AN65" t="n">
        <v>29</v>
      </c>
      <c r="AO65" t="n">
        <v>1069</v>
      </c>
      <c r="AP65" t="n">
        <v>1400</v>
      </c>
      <c r="BG65" t="n">
        <v>1</v>
      </c>
      <c r="BH65" t="n">
        <v>1.5159</v>
      </c>
      <c r="BI65" t="n">
        <v>29</v>
      </c>
      <c r="BJ65" t="n">
        <v>4</v>
      </c>
      <c r="BK65" t="inlineStr"/>
      <c r="BL65" t="inlineStr"/>
      <c r="BM65" t="inlineStr"/>
      <c r="BN65" t="inlineStr">
        <is>
          <t>Campaign; nhiệm vụ c10m02; mua sớm; 2500 xu</t>
        </is>
      </c>
      <c r="BR65" t="n">
        <v>26</v>
      </c>
      <c r="BS65" t="n">
        <v>0</v>
      </c>
      <c r="BZ65" t="n">
        <v>0</v>
      </c>
      <c r="CF65" t="n">
        <v>29</v>
      </c>
      <c r="CH65" t="n">
        <v>220</v>
      </c>
      <c r="CI65" t="n">
        <v>0.6</v>
      </c>
      <c r="CJ65" t="n">
        <v>11</v>
      </c>
      <c r="CK65" t="inlineStr">
        <is>
          <t>Ultimate</t>
        </is>
      </c>
      <c r="CV65" t="n">
        <v>5</v>
      </c>
      <c r="CZ65" t="b">
        <v>1</v>
      </c>
      <c r="DA65" t="b">
        <v>1</v>
      </c>
      <c r="DB65" t="b">
        <v>1</v>
      </c>
      <c r="DD65" t="n">
        <v>1400</v>
      </c>
      <c r="DM65" t="inlineStr">
        <is>
          <t>Left</t>
        </is>
      </c>
      <c r="EA65" t="n">
        <v>4.82</v>
      </c>
      <c r="EB65" t="n">
        <v>11.93</v>
      </c>
      <c r="EC65" t="n">
        <v>16.3</v>
      </c>
      <c r="EI65" t="b">
        <v>1</v>
      </c>
      <c r="EJ65" t="n">
        <v>22</v>
      </c>
      <c r="EK65" t="n">
        <v>1.5159</v>
      </c>
      <c r="EL65" t="n">
        <v>7.5</v>
      </c>
      <c r="EO65" t="n">
        <v>18</v>
      </c>
      <c r="ER65" t="n">
        <v>1.1765</v>
      </c>
      <c r="EY65" t="inlineStr">
        <is>
          <t>bomber_flares</t>
        </is>
      </c>
      <c r="EZ65" t="n">
        <v>16</v>
      </c>
      <c r="FE65" t="inlineStr">
        <is>
          <t>Light;Tank;Artillery</t>
        </is>
      </c>
      <c r="FG65" t="n">
        <v>65</v>
      </c>
      <c r="FH65" t="n">
        <v>360</v>
      </c>
      <c r="FJ65" t="n">
        <v>64</v>
      </c>
      <c r="FL65" t="inlineStr">
        <is>
          <t>gunship_105</t>
        </is>
      </c>
      <c r="FN65" t="inlineStr">
        <is>
          <t>Assets/MachineBrigade/Resources/Data/balance.json: vehicles[23]</t>
        </is>
      </c>
      <c r="FO65" t="inlineStr">
        <is>
          <t>{"id":"sky_gunship","dropDelay":5,"outgoingDamageMult":1.5159,"flareCharges":3,"rearmTime":18,"strongVs":["Light","Tank","Artillery"],"scale":1.1765,"modelSize":[11.93,16.3,4.82],"armour":0,"hp":1400,"speed":16,"turnRate":65,"turretTurnRate":360,"radius":7.5,"cp":29,"vision":64,"firesWhileMoving":true,"weapon":"gunship_105","mainAim":"Left","orbit":true,"orbitRadius":22,"flying":true,"fixedWing":true,"altitude":26,"captureRate":0,"secondary":[{"weapon":"gunship_40mm","slot":"gun","aim":"Left"},{"weapon":"gunship_25mm","slot":"mg","aim":"Left"}],"skills":["bomber_flares"],"deathExplosion":{"damage":220,"radius":11,"delay":0.6,"tier":"Ultimate"}}</t>
        </is>
      </c>
    </row>
    <row r="66">
      <c r="A66" t="inlineStr">
        <is>
          <t>sp_mortar</t>
        </is>
      </c>
      <c r="B66" t="inlineStr">
        <is>
          <t>xe</t>
        </is>
      </c>
      <c r="C66" t="inlineStr">
        <is>
          <t>Turreted SP mortar</t>
        </is>
      </c>
      <c r="D66" t="inlineStr">
        <is>
          <t>Cối tự hành tháp kín</t>
        </is>
      </c>
      <c r="E66" t="inlineStr">
        <is>
          <t>Cối tháp kín</t>
        </is>
      </c>
      <c r="F66" t="inlineStr">
        <is>
          <t>Artillery</t>
        </is>
      </c>
      <c r="G66" t="inlineStr">
        <is>
          <t>Artillery</t>
        </is>
      </c>
      <c r="H66" t="inlineStr"/>
      <c r="I66" t="n">
        <v>6</v>
      </c>
      <c r="J66" t="n">
        <v>673</v>
      </c>
      <c r="K66" t="n">
        <v>1480.6</v>
      </c>
      <c r="L66" t="n">
        <v>2</v>
      </c>
      <c r="M66" t="n">
        <v>1</v>
      </c>
      <c r="N66" t="n">
        <v>0</v>
      </c>
      <c r="O66" t="n">
        <v>0</v>
      </c>
      <c r="P66" t="b">
        <v>0</v>
      </c>
      <c r="Q66" t="n">
        <v>8</v>
      </c>
      <c r="R66" t="n">
        <v>80</v>
      </c>
      <c r="S66" t="n">
        <v>60</v>
      </c>
      <c r="T66" t="n">
        <v>26</v>
      </c>
      <c r="U66" t="n">
        <v>2.1</v>
      </c>
      <c r="V66" t="n">
        <v>6.3</v>
      </c>
      <c r="W66" t="n">
        <v>2.3</v>
      </c>
      <c r="X66" t="b">
        <v>0</v>
      </c>
      <c r="Y66" t="n">
        <v>0</v>
      </c>
      <c r="Z66" t="b">
        <v>0</v>
      </c>
      <c r="AA66" t="b">
        <v>0</v>
      </c>
      <c r="AB66" t="n">
        <v>1</v>
      </c>
      <c r="AC66" t="n">
        <v>3.5</v>
      </c>
      <c r="AD66" t="n">
        <v>1.2</v>
      </c>
      <c r="AE66" t="inlineStr">
        <is>
          <t>amos_120</t>
        </is>
      </c>
      <c r="AF66" t="inlineStr">
        <is>
          <t>hmg_selfdef_18</t>
        </is>
      </c>
      <c r="AG66" t="inlineStr"/>
      <c r="AH66" t="inlineStr">
        <is>
          <t>none</t>
        </is>
      </c>
      <c r="AI66" t="inlineStr"/>
      <c r="AJ66" t="inlineStr"/>
      <c r="AK66" t="inlineStr">
        <is>
          <t>sp_mortar</t>
        </is>
      </c>
      <c r="AL66" t="inlineStr">
        <is>
          <t>doi</t>
        </is>
      </c>
      <c r="AM66" t="n">
        <v>5</v>
      </c>
      <c r="AN66" t="n">
        <v>6</v>
      </c>
      <c r="AO66" t="n">
        <v>545</v>
      </c>
      <c r="AP66" t="n">
        <v>673</v>
      </c>
      <c r="BG66" t="n">
        <v>1</v>
      </c>
      <c r="BH66" t="n">
        <v>1.2</v>
      </c>
      <c r="BI66" t="n">
        <v>6</v>
      </c>
      <c r="BJ66" t="n">
        <v>2</v>
      </c>
      <c r="BK66" t="inlineStr"/>
      <c r="BL66" t="inlineStr"/>
      <c r="BM66" t="inlineStr">
        <is>
          <t>artillery</t>
        </is>
      </c>
      <c r="BN66" t="inlineStr">
        <is>
          <t>Premium; 1500 xu</t>
        </is>
      </c>
      <c r="BS66" t="n">
        <v>2</v>
      </c>
      <c r="CC66" t="inlineStr">
        <is>
          <t>Artillery</t>
        </is>
      </c>
      <c r="CF66" t="n">
        <v>6</v>
      </c>
      <c r="CH66" t="n">
        <v>70</v>
      </c>
      <c r="CI66" t="n">
        <v>0.25</v>
      </c>
      <c r="CJ66" t="n">
        <v>8</v>
      </c>
      <c r="CK66" t="inlineStr">
        <is>
          <t>Large</t>
        </is>
      </c>
      <c r="CZ66" t="b">
        <v>0</v>
      </c>
      <c r="DD66" t="n">
        <v>673</v>
      </c>
      <c r="DI66" t="n">
        <v>6.3</v>
      </c>
      <c r="EA66" t="n">
        <v>2.5</v>
      </c>
      <c r="EB66" t="n">
        <v>6.3</v>
      </c>
      <c r="EC66" t="n">
        <v>2.3</v>
      </c>
      <c r="EK66" t="n">
        <v>1.2</v>
      </c>
      <c r="EL66" t="n">
        <v>2.1</v>
      </c>
      <c r="EZ66" t="n">
        <v>8</v>
      </c>
      <c r="FG66" t="n">
        <v>80</v>
      </c>
      <c r="FH66" t="n">
        <v>60</v>
      </c>
      <c r="FJ66" t="n">
        <v>26</v>
      </c>
      <c r="FL66" t="inlineStr">
        <is>
          <t>amos_120</t>
        </is>
      </c>
      <c r="FM66" t="n">
        <v>2.3</v>
      </c>
      <c r="FN66" t="inlineStr">
        <is>
          <t>Assets/MachineBrigade/Resources/Data/balance.json: vehicles[114]</t>
        </is>
      </c>
      <c r="FO66" t="inlineStr">
        <is>
          <t>{"id":"sp_mortar","outgoingDamageMult":1.2,"modelSize":[6.3,2.3,2.5],"class":"Artillery","armour":2,"hp":673,"speed":8,"turnRate":80,"turretTurnRate":60,"radius":2.1,"length":6.3,"width":2.3,"cp":6,"vision":26,"firesWhileMoving":false,"weapon":"amos_120","secondary":[{"weapon":"hmg_selfdef_18","slot":"mg","aim":"Free"}],"deathExplosion":{"damage":70,"radius":8,"delay":0.25,"tier":"Large"}}</t>
        </is>
      </c>
    </row>
    <row r="67">
      <c r="A67" t="inlineStr">
        <is>
          <t>stealth_bomber</t>
        </is>
      </c>
      <c r="B67" t="inlineStr">
        <is>
          <t>xe</t>
        </is>
      </c>
      <c r="C67" t="inlineStr">
        <is>
          <t>Stealth bomber</t>
        </is>
      </c>
      <c r="D67" t="inlineStr">
        <is>
          <t>Oanh tạc cơ tàng hình</t>
        </is>
      </c>
      <c r="E67" t="inlineStr">
        <is>
          <t>OTC tàng hình</t>
        </is>
      </c>
      <c r="F67" t="inlineStr"/>
      <c r="G67" t="inlineStr"/>
      <c r="H67" t="inlineStr"/>
      <c r="I67" t="n">
        <v>27</v>
      </c>
      <c r="J67" t="n">
        <v>1200</v>
      </c>
      <c r="K67" t="n">
        <v>2640</v>
      </c>
      <c r="L67" t="n">
        <v>0</v>
      </c>
      <c r="M67" t="n">
        <v>0</v>
      </c>
      <c r="N67" t="n">
        <v>0</v>
      </c>
      <c r="O67" t="n">
        <v>0</v>
      </c>
      <c r="P67" t="b">
        <v>0</v>
      </c>
      <c r="Q67" t="n">
        <v>28</v>
      </c>
      <c r="R67" t="n">
        <v>86</v>
      </c>
      <c r="S67" t="n">
        <v>360</v>
      </c>
      <c r="T67" t="n">
        <v>60</v>
      </c>
      <c r="U67" t="n">
        <v>5</v>
      </c>
      <c r="V67" t="inlineStr"/>
      <c r="W67" t="inlineStr"/>
      <c r="X67" t="b">
        <v>1</v>
      </c>
      <c r="Y67" t="n">
        <v>46</v>
      </c>
      <c r="Z67" t="b">
        <v>0</v>
      </c>
      <c r="AA67" t="b">
        <v>1</v>
      </c>
      <c r="AB67" t="n">
        <v>0</v>
      </c>
      <c r="AC67" t="n">
        <v>5</v>
      </c>
      <c r="AD67" t="n">
        <v>1.2857</v>
      </c>
      <c r="AE67" t="inlineStr">
        <is>
          <t>stealth_payload</t>
        </is>
      </c>
      <c r="AF67" t="inlineStr">
        <is>
          <t>jassm</t>
        </is>
      </c>
      <c r="AG67" t="inlineStr"/>
      <c r="AH67" t="inlineStr">
        <is>
          <t>none</t>
        </is>
      </c>
      <c r="AI67" t="inlineStr"/>
      <c r="AJ67" t="inlineStr"/>
      <c r="AK67" t="inlineStr">
        <is>
          <t>stealth_bomber</t>
        </is>
      </c>
      <c r="AL67" t="inlineStr">
        <is>
          <t>doi</t>
        </is>
      </c>
      <c r="AM67" t="n">
        <v>21</v>
      </c>
      <c r="AN67" t="n">
        <v>27</v>
      </c>
      <c r="AO67" t="n">
        <v>900</v>
      </c>
      <c r="AP67" t="n">
        <v>1200</v>
      </c>
      <c r="BG67" t="n">
        <v>1</v>
      </c>
      <c r="BH67" t="n">
        <v>1.2857</v>
      </c>
      <c r="BI67" t="n">
        <v>27</v>
      </c>
      <c r="BJ67" t="n">
        <v>4</v>
      </c>
      <c r="BK67" t="inlineStr"/>
      <c r="BL67" t="inlineStr"/>
      <c r="BM67" t="inlineStr"/>
      <c r="BN67" t="inlineStr">
        <is>
          <t>Campaign; nhiệm vụ c10m01; mua sớm; 2500 xu</t>
        </is>
      </c>
      <c r="BR67" t="n">
        <v>46</v>
      </c>
      <c r="BS67" t="n">
        <v>0</v>
      </c>
      <c r="BZ67" t="n">
        <v>0</v>
      </c>
      <c r="CF67" t="n">
        <v>27</v>
      </c>
      <c r="CH67" t="n">
        <v>150</v>
      </c>
      <c r="CI67" t="n">
        <v>0.6</v>
      </c>
      <c r="CJ67" t="n">
        <v>9</v>
      </c>
      <c r="CK67" t="inlineStr">
        <is>
          <t>Huge</t>
        </is>
      </c>
      <c r="CV67" t="n">
        <v>5</v>
      </c>
      <c r="CZ67" t="b">
        <v>1</v>
      </c>
      <c r="DA67" t="b">
        <v>1</v>
      </c>
      <c r="DB67" t="b">
        <v>1</v>
      </c>
      <c r="DD67" t="n">
        <v>1200</v>
      </c>
      <c r="DN67" t="inlineStr">
        <is>
          <t>missile</t>
        </is>
      </c>
      <c r="EA67" t="n">
        <v>1.5</v>
      </c>
      <c r="EB67" t="n">
        <v>8.4</v>
      </c>
      <c r="EC67" t="n">
        <v>21</v>
      </c>
      <c r="EK67" t="n">
        <v>1.2857</v>
      </c>
      <c r="EL67" t="n">
        <v>5</v>
      </c>
      <c r="EO67" t="n">
        <v>16</v>
      </c>
      <c r="ER67" t="n">
        <v>1</v>
      </c>
      <c r="EY67" t="inlineStr"/>
      <c r="EZ67" t="n">
        <v>28</v>
      </c>
      <c r="FB67" t="b">
        <v>1</v>
      </c>
      <c r="FE67" t="inlineStr">
        <is>
          <t>Defense;Heavy;Artillery</t>
        </is>
      </c>
      <c r="FG67" t="n">
        <v>86</v>
      </c>
      <c r="FH67" t="n">
        <v>360</v>
      </c>
      <c r="FI67" t="n">
        <v>1</v>
      </c>
      <c r="FJ67" t="n">
        <v>60</v>
      </c>
      <c r="FL67" t="inlineStr">
        <is>
          <t>stealth_payload</t>
        </is>
      </c>
      <c r="FN67" t="inlineStr">
        <is>
          <t>Assets/MachineBrigade/Resources/Data/balance.json: vehicles[22]</t>
        </is>
      </c>
      <c r="FO67" t="inlineStr">
        <is>
          <t>{"id":"stealth_bomber","dropDelay":5,"outgoingDamageMult":1.2857,"value":1,"rearmTime":16,"strongVs":["Defense","Heavy","Artillery"],"scale":1,"modelSize":[8.4,21,1.5],"armour":0,"hp":1200,"speed":28,"turnRate":86,"turretTurnRate":360,"radius":5,"cp":27,"vision":60,"firesWhileMoving":true,"weapon":"stealth_payload","secondary":[{"weapon":"jassm","slot":"rocket","aim":"Hull"}],"mainSlot":"missile","flying":true,"fixedWing":true,"altitude":46,"captureRate":0,"stealth":true,"skills":[],"deathExplosion":{"damage":150,"radius":9,"delay":0.6,"tier":"Huge"}}</t>
        </is>
      </c>
    </row>
    <row r="68">
      <c r="A68" t="inlineStr">
        <is>
          <t>stealth_fighter</t>
        </is>
      </c>
      <c r="B68" t="inlineStr">
        <is>
          <t>xe</t>
        </is>
      </c>
      <c r="C68" t="inlineStr">
        <is>
          <t>Stealth fighter</t>
        </is>
      </c>
      <c r="D68" t="inlineStr">
        <is>
          <t>Tiêm kích tàng hình</t>
        </is>
      </c>
      <c r="E68" t="inlineStr">
        <is>
          <t>TK tàng hình</t>
        </is>
      </c>
      <c r="F68" t="inlineStr"/>
      <c r="G68" t="inlineStr"/>
      <c r="H68" t="inlineStr"/>
      <c r="I68" t="n">
        <v>16</v>
      </c>
      <c r="J68" t="n">
        <v>600</v>
      </c>
      <c r="K68" t="n">
        <v>1320</v>
      </c>
      <c r="L68" t="n">
        <v>0</v>
      </c>
      <c r="M68" t="n">
        <v>0</v>
      </c>
      <c r="N68" t="n">
        <v>0</v>
      </c>
      <c r="O68" t="n">
        <v>0</v>
      </c>
      <c r="P68" t="b">
        <v>0</v>
      </c>
      <c r="Q68" t="n">
        <v>44</v>
      </c>
      <c r="R68" t="n">
        <v>125</v>
      </c>
      <c r="S68" t="n">
        <v>360</v>
      </c>
      <c r="T68" t="n">
        <v>76</v>
      </c>
      <c r="U68" t="n">
        <v>3.4</v>
      </c>
      <c r="V68" t="inlineStr"/>
      <c r="W68" t="inlineStr"/>
      <c r="X68" t="b">
        <v>1</v>
      </c>
      <c r="Y68" t="n">
        <v>36</v>
      </c>
      <c r="Z68" t="b">
        <v>0</v>
      </c>
      <c r="AA68" t="b">
        <v>1</v>
      </c>
      <c r="AB68" t="n">
        <v>0</v>
      </c>
      <c r="AC68" t="n">
        <v>5</v>
      </c>
      <c r="AD68" t="n">
        <v>1.3538</v>
      </c>
      <c r="AE68" t="inlineStr">
        <is>
          <t>air_to_air</t>
        </is>
      </c>
      <c r="AF68" t="inlineStr">
        <is>
          <t>guided_bomb;fighter_cannon</t>
        </is>
      </c>
      <c r="AG68" t="inlineStr">
        <is>
          <t>jet_flares</t>
        </is>
      </c>
      <c r="AH68" t="inlineStr">
        <is>
          <t>flare</t>
        </is>
      </c>
      <c r="AI68" t="n">
        <v>2</v>
      </c>
      <c r="AJ68" t="n">
        <v>16</v>
      </c>
      <c r="AK68" t="inlineStr">
        <is>
          <t>stealth_fighter</t>
        </is>
      </c>
      <c r="AL68" t="inlineStr">
        <is>
          <t>doi</t>
        </is>
      </c>
      <c r="AM68" t="n">
        <v>13</v>
      </c>
      <c r="AN68" t="n">
        <v>16</v>
      </c>
      <c r="AO68" t="n">
        <v>480</v>
      </c>
      <c r="AP68" t="n">
        <v>600</v>
      </c>
      <c r="BG68" t="n">
        <v>1</v>
      </c>
      <c r="BH68" t="n">
        <v>1.3538</v>
      </c>
      <c r="BI68" t="n">
        <v>16</v>
      </c>
      <c r="BJ68" t="n">
        <v>4</v>
      </c>
      <c r="BK68" t="inlineStr"/>
      <c r="BL68" t="inlineStr"/>
      <c r="BM68" t="inlineStr"/>
      <c r="BN68" t="inlineStr">
        <is>
          <t>Campaign; nhiệm vụ c7m16; mua sớm; 1500 xu</t>
        </is>
      </c>
      <c r="BR68" t="n">
        <v>36</v>
      </c>
      <c r="BS68" t="n">
        <v>0</v>
      </c>
      <c r="BX68" t="n">
        <v>4</v>
      </c>
      <c r="BZ68" t="n">
        <v>0</v>
      </c>
      <c r="CB68" t="inlineStr">
        <is>
          <t>high</t>
        </is>
      </c>
      <c r="CF68" t="n">
        <v>16</v>
      </c>
      <c r="CH68" t="n">
        <v>80</v>
      </c>
      <c r="CI68" t="n">
        <v>0.6</v>
      </c>
      <c r="CJ68" t="n">
        <v>5</v>
      </c>
      <c r="CK68" t="inlineStr">
        <is>
          <t>Huge</t>
        </is>
      </c>
      <c r="CV68" t="n">
        <v>5</v>
      </c>
      <c r="CZ68" t="b">
        <v>1</v>
      </c>
      <c r="DA68" t="b">
        <v>1</v>
      </c>
      <c r="DB68" t="b">
        <v>1</v>
      </c>
      <c r="DD68" t="n">
        <v>600</v>
      </c>
      <c r="DF68" t="b">
        <v>1</v>
      </c>
      <c r="DJ68" t="n">
        <v>5</v>
      </c>
      <c r="DN68" t="inlineStr">
        <is>
          <t>missile</t>
        </is>
      </c>
      <c r="EA68" t="n">
        <v>1.28</v>
      </c>
      <c r="EB68" t="n">
        <v>7.6</v>
      </c>
      <c r="EC68" t="n">
        <v>5.5</v>
      </c>
      <c r="EK68" t="n">
        <v>1.3538</v>
      </c>
      <c r="EL68" t="n">
        <v>3.4</v>
      </c>
      <c r="EO68" t="n">
        <v>11</v>
      </c>
      <c r="ER68" t="n">
        <v>1</v>
      </c>
      <c r="EV68" t="b">
        <v>1</v>
      </c>
      <c r="EY68" t="inlineStr">
        <is>
          <t>jet_flares</t>
        </is>
      </c>
      <c r="EZ68" t="n">
        <v>44</v>
      </c>
      <c r="FB68" t="b">
        <v>1</v>
      </c>
      <c r="FE68" t="inlineStr">
        <is>
          <t>Plane;Helicopter;AntiAir</t>
        </is>
      </c>
      <c r="FG68" t="n">
        <v>125</v>
      </c>
      <c r="FH68" t="n">
        <v>360</v>
      </c>
      <c r="FI68" t="n">
        <v>0.88</v>
      </c>
      <c r="FJ68" t="n">
        <v>76</v>
      </c>
      <c r="FL68" t="inlineStr">
        <is>
          <t>air_to_air</t>
        </is>
      </c>
      <c r="FN68" t="inlineStr">
        <is>
          <t>Assets/MachineBrigade/Resources/Data/balance.json: vehicles[44]</t>
        </is>
      </c>
      <c r="FO68" t="inlineStr">
        <is>
          <t>{"id":"stealth_fighter","flareCharges":2,"dropDelay":5,"outgoingDamageMult":1.3538,"loads":{"air_to_air":5},"ceiling":"high","value":0.88,"rearmTime":11,"strongVs":["Plane","Helicopter","AntiAir"],"scale":1,"modelSize":[7.6,5.5,1.28],"armour":0,"hp":600,"speed":44,"turnRate":125,"turretTurnRate":360,"radius":3.4,"cp":16,"vision":76,"firesWhileMoving":true,"weapon":"air_to_air","mainSlot":"missile","flying":true,"fixedWing":true,"altitude":36,"captureRate":0,"attackHold":4.0,"secondary":[{"weapon":"guided_bomb","slot":"bomb","aim":"Free"},{"weapon":"fighter_cannon","slot":"gun","aim":"Hull"}],"interceptor":true,"stealth":true,"sead":true,"skills":["jet_flares"],"deathExplosion":{"damage":80,"radius":5,"delay":0.6,"tier":"Huge"}}</t>
        </is>
      </c>
    </row>
    <row r="69">
      <c r="A69" t="inlineStr">
        <is>
          <t>stealth_naval_strike</t>
        </is>
      </c>
      <c r="B69" t="inlineStr">
        <is>
          <t>xe</t>
        </is>
      </c>
      <c r="C69" t="inlineStr">
        <is>
          <t>Stealth carrier strike jet</t>
        </is>
      </c>
      <c r="D69" t="inlineStr">
        <is>
          <t>Cường kích tàng hình trên hạm</t>
        </is>
      </c>
      <c r="E69" t="inlineStr">
        <is>
          <t>Tàng hình hạm</t>
        </is>
      </c>
      <c r="F69" t="inlineStr"/>
      <c r="G69" t="inlineStr"/>
      <c r="H69" t="inlineStr"/>
      <c r="I69" t="n">
        <v>22</v>
      </c>
      <c r="J69" t="n">
        <v>750</v>
      </c>
      <c r="K69" t="n">
        <v>1650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n">
        <v>30</v>
      </c>
      <c r="R69" t="n">
        <v>86</v>
      </c>
      <c r="S69" t="n">
        <v>360</v>
      </c>
      <c r="T69" t="n">
        <v>50</v>
      </c>
      <c r="U69" t="n">
        <v>5</v>
      </c>
      <c r="V69" t="inlineStr"/>
      <c r="W69" t="inlineStr"/>
      <c r="X69" t="b">
        <v>1</v>
      </c>
      <c r="Y69" t="n">
        <v>46</v>
      </c>
      <c r="Z69" t="b">
        <v>0</v>
      </c>
      <c r="AA69" t="b">
        <v>1</v>
      </c>
      <c r="AB69" t="n">
        <v>0</v>
      </c>
      <c r="AC69" t="n">
        <v>5</v>
      </c>
      <c r="AD69" t="n">
        <v>1.4882</v>
      </c>
      <c r="AE69" t="inlineStr">
        <is>
          <t>none</t>
        </is>
      </c>
      <c r="AF69" t="inlineStr">
        <is>
          <t>jet_bombs</t>
        </is>
      </c>
      <c r="AG69" t="inlineStr"/>
      <c r="AH69" t="inlineStr">
        <is>
          <t>none</t>
        </is>
      </c>
      <c r="AI69" t="inlineStr"/>
      <c r="AJ69" t="inlineStr"/>
      <c r="AK69" t="inlineStr">
        <is>
          <t>stealth_naval_strike</t>
        </is>
      </c>
      <c r="AL69" t="inlineStr">
        <is>
          <t>doi</t>
        </is>
      </c>
      <c r="AM69" t="n">
        <v>17</v>
      </c>
      <c r="AN69" t="n">
        <v>22</v>
      </c>
      <c r="AO69" t="n">
        <v>682</v>
      </c>
      <c r="AP69" t="n">
        <v>750</v>
      </c>
      <c r="BG69" t="n">
        <v>1</v>
      </c>
      <c r="BH69" t="n">
        <v>1.4882</v>
      </c>
      <c r="BI69" t="n">
        <v>22</v>
      </c>
      <c r="BJ69" t="n">
        <v>4</v>
      </c>
      <c r="BK69" t="inlineStr"/>
      <c r="BL69" t="inlineStr"/>
      <c r="BM69" t="inlineStr"/>
      <c r="BN69" t="inlineStr">
        <is>
          <t>Premium; 5000 xu</t>
        </is>
      </c>
      <c r="BR69" t="n">
        <v>46</v>
      </c>
      <c r="BS69" t="n">
        <v>0</v>
      </c>
      <c r="BZ69" t="n">
        <v>0</v>
      </c>
      <c r="CF69" t="n">
        <v>22</v>
      </c>
      <c r="CH69" t="n">
        <v>120</v>
      </c>
      <c r="CI69" t="n">
        <v>0.5</v>
      </c>
      <c r="CJ69" t="n">
        <v>8</v>
      </c>
      <c r="CK69" t="inlineStr">
        <is>
          <t>Huge</t>
        </is>
      </c>
      <c r="CV69" t="n">
        <v>5</v>
      </c>
      <c r="CZ69" t="b">
        <v>1</v>
      </c>
      <c r="DA69" t="b">
        <v>1</v>
      </c>
      <c r="DB69" t="b">
        <v>1</v>
      </c>
      <c r="DD69" t="n">
        <v>750</v>
      </c>
      <c r="DN69" t="inlineStr">
        <is>
          <t>missile</t>
        </is>
      </c>
      <c r="DZ69" t="inlineStr">
        <is>
          <t>stealth_naval_strike</t>
        </is>
      </c>
      <c r="EA69" t="n">
        <v>1.5</v>
      </c>
      <c r="EB69" t="n">
        <v>8.4</v>
      </c>
      <c r="EC69" t="n">
        <v>21</v>
      </c>
      <c r="EK69" t="n">
        <v>1.4882</v>
      </c>
      <c r="EL69" t="n">
        <v>5</v>
      </c>
      <c r="EO69" t="n">
        <v>16</v>
      </c>
      <c r="EZ69" t="n">
        <v>30</v>
      </c>
      <c r="FB69" t="b">
        <v>1</v>
      </c>
      <c r="FE69" t="inlineStr">
        <is>
          <t>Defense;Heavy</t>
        </is>
      </c>
      <c r="FG69" t="n">
        <v>86</v>
      </c>
      <c r="FH69" t="n">
        <v>360</v>
      </c>
      <c r="FI69" t="n">
        <v>1</v>
      </c>
      <c r="FJ69" t="n">
        <v>50</v>
      </c>
      <c r="FL69" t="inlineStr">
        <is>
          <t>none</t>
        </is>
      </c>
      <c r="FN69" t="inlineStr">
        <is>
          <t>Assets/MachineBrigade/Resources/Data/balance.json: vehicles[126]</t>
        </is>
      </c>
      <c r="FO69" t="inlineStr">
        <is>
          <t>{"id":"stealth_naval_strike","dropDelay":5,"outgoingDamageMult":1.4882,"model":"stealth_naval_strike","value":1,"rearmTime":16,"strongVs":["Defense","Heavy"],"modelSize":[8.4,21,1.5],"armour":0,"hp":750,"speed":30,"turnRate":86,"turretTurnRate":360,"radius":5,"cp":22,"vision":50,"firesWhileMoving":true,"weapon":"none","secondary":[{"weapon":"jet_bombs","slot":"missile","aim":"Hull"}],"mainSlot":"missile","flying":true,"fixedWing":true,"altitude":46,"captureRate":0,"stealth":true,"deathExplosion":{"damage":120,"radius":8,"delay":0.5,"tier":"Huge"}}</t>
        </is>
      </c>
    </row>
    <row r="70">
      <c r="A70" t="inlineStr">
        <is>
          <t>strike_drone</t>
        </is>
      </c>
      <c r="B70" t="inlineStr">
        <is>
          <t>xe</t>
        </is>
      </c>
      <c r="C70" t="inlineStr">
        <is>
          <t>Strike UAV</t>
        </is>
      </c>
      <c r="D70" t="inlineStr">
        <is>
          <t>UAV tấn công</t>
        </is>
      </c>
      <c r="E70" t="inlineStr">
        <is>
          <t>UAV tấn công</t>
        </is>
      </c>
      <c r="F70" t="inlineStr"/>
      <c r="G70" t="inlineStr"/>
      <c r="H70" t="inlineStr"/>
      <c r="I70" t="n">
        <v>11</v>
      </c>
      <c r="J70" t="n">
        <v>400</v>
      </c>
      <c r="K70" t="n">
        <v>880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n">
        <v>13.9</v>
      </c>
      <c r="R70" t="n">
        <v>81</v>
      </c>
      <c r="S70" t="n">
        <v>360</v>
      </c>
      <c r="T70" t="n">
        <v>62</v>
      </c>
      <c r="U70" t="n">
        <v>2.8</v>
      </c>
      <c r="V70" t="inlineStr"/>
      <c r="W70" t="inlineStr"/>
      <c r="X70" t="b">
        <v>1</v>
      </c>
      <c r="Y70" t="n">
        <v>30</v>
      </c>
      <c r="Z70" t="b">
        <v>0</v>
      </c>
      <c r="AA70" t="b">
        <v>1</v>
      </c>
      <c r="AB70" t="n">
        <v>0</v>
      </c>
      <c r="AC70" t="n">
        <v>3.5</v>
      </c>
      <c r="AD70" t="n">
        <v>1.2681</v>
      </c>
      <c r="AE70" t="inlineStr">
        <is>
          <t>drone_missile</t>
        </is>
      </c>
      <c r="AF70" t="inlineStr">
        <is>
          <t>guided_bomb</t>
        </is>
      </c>
      <c r="AG70" t="inlineStr"/>
      <c r="AH70" t="inlineStr">
        <is>
          <t>none</t>
        </is>
      </c>
      <c r="AI70" t="inlineStr"/>
      <c r="AJ70" t="inlineStr"/>
      <c r="AK70" t="inlineStr">
        <is>
          <t>strike_drone</t>
        </is>
      </c>
      <c r="AL70" t="inlineStr">
        <is>
          <t>doi</t>
        </is>
      </c>
      <c r="AM70" t="n">
        <v>9</v>
      </c>
      <c r="AN70" t="n">
        <v>11</v>
      </c>
      <c r="AO70" t="n">
        <v>480</v>
      </c>
      <c r="AP70" t="n">
        <v>400</v>
      </c>
      <c r="BG70" t="n">
        <v>1</v>
      </c>
      <c r="BH70" t="n">
        <v>1.2681</v>
      </c>
      <c r="BI70" t="n">
        <v>11</v>
      </c>
      <c r="BJ70" t="n">
        <v>3</v>
      </c>
      <c r="BK70" t="inlineStr"/>
      <c r="BL70" t="inlineStr"/>
      <c r="BM70" t="inlineStr"/>
      <c r="BN70" t="inlineStr">
        <is>
          <t>Campaign; nhiệm vụ c5m01; mua sớm; 800 xu</t>
        </is>
      </c>
      <c r="BR70" t="n">
        <v>30</v>
      </c>
      <c r="BS70" t="n">
        <v>0</v>
      </c>
      <c r="BX70" t="n">
        <v>3.5</v>
      </c>
      <c r="BZ70" t="n">
        <v>0</v>
      </c>
      <c r="CF70" t="n">
        <v>11</v>
      </c>
      <c r="CH70" t="n">
        <v>50</v>
      </c>
      <c r="CI70" t="n">
        <v>0.5</v>
      </c>
      <c r="CJ70" t="n">
        <v>5</v>
      </c>
      <c r="CK70" t="inlineStr">
        <is>
          <t>Large</t>
        </is>
      </c>
      <c r="CU70" t="b">
        <v>1</v>
      </c>
      <c r="CZ70" t="b">
        <v>1</v>
      </c>
      <c r="DA70" t="b">
        <v>1</v>
      </c>
      <c r="DB70" t="b">
        <v>1</v>
      </c>
      <c r="DD70" t="n">
        <v>400</v>
      </c>
      <c r="DN70" t="inlineStr">
        <is>
          <t>missile</t>
        </is>
      </c>
      <c r="EA70" t="n">
        <v>1.24</v>
      </c>
      <c r="EB70" t="n">
        <v>4.25</v>
      </c>
      <c r="EC70" t="n">
        <v>8.039999999999999</v>
      </c>
      <c r="EK70" t="n">
        <v>1.2681</v>
      </c>
      <c r="EL70" t="n">
        <v>2.8</v>
      </c>
      <c r="EO70" t="n">
        <v>8.5</v>
      </c>
      <c r="ER70" t="n">
        <v>1</v>
      </c>
      <c r="EZ70" t="n">
        <v>13.9</v>
      </c>
      <c r="FE70" t="inlineStr">
        <is>
          <t>Tank;Heavy;Artillery</t>
        </is>
      </c>
      <c r="FG70" t="n">
        <v>81</v>
      </c>
      <c r="FH70" t="n">
        <v>360</v>
      </c>
      <c r="FI70" t="n">
        <v>0.8100000000000001</v>
      </c>
      <c r="FJ70" t="n">
        <v>62</v>
      </c>
      <c r="FL70" t="inlineStr">
        <is>
          <t>drone_missile</t>
        </is>
      </c>
      <c r="FN70" t="inlineStr">
        <is>
          <t>Assets/MachineBrigade/Resources/Data/balance.json: vehicles[16]</t>
        </is>
      </c>
      <c r="FO70" t="inlineStr">
        <is>
          <t>{"id":"strike_drone","outgoingDamageMult":1.2681,"value":0.81,"rearmTime":8.5,"strongVs":["Tank","Heavy","Artillery"],"scale":1,"modelSize":[4.25,8.04,1.24],"drone":true,"armour":0,"hp":400,"speed":13.9,"turnRate":81,"turretTurnRate":360,"radius":2.8,"cp":11,"vision":62,"firesWhileMoving":true,"weapon":"drone_missile","secondary":[{"weapon":"guided_bomb","slot":"rocket","aim":"Hull"}],"mainSlot":"missile","flying":true,"fixedWing":true,"altitude":30,"captureRate":0,"attackHold":3.5,"deathExplosion":{"damage":50,"radius":5,"delay":0.5,"tier":"Large"}}</t>
        </is>
      </c>
    </row>
    <row r="71">
      <c r="A71" t="inlineStr">
        <is>
          <t>supply_truck</t>
        </is>
      </c>
      <c r="B71" t="inlineStr">
        <is>
          <t>xe</t>
        </is>
      </c>
      <c r="C71" t="inlineStr">
        <is>
          <t>Supply truck</t>
        </is>
      </c>
      <c r="D71" t="inlineStr">
        <is>
          <t>Xe tải tiếp tế</t>
        </is>
      </c>
      <c r="E71" t="inlineStr">
        <is>
          <t>Tiếp tế</t>
        </is>
      </c>
      <c r="F71" t="inlineStr">
        <is>
          <t>Support</t>
        </is>
      </c>
      <c r="G71" t="inlineStr">
        <is>
          <t>Light</t>
        </is>
      </c>
      <c r="H71" t="inlineStr"/>
      <c r="I71" t="n">
        <v>0</v>
      </c>
      <c r="J71" t="n">
        <v>700</v>
      </c>
      <c r="K71" t="n">
        <v>1540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n">
        <v>6</v>
      </c>
      <c r="R71" t="n">
        <v>90</v>
      </c>
      <c r="S71" t="n">
        <v>180</v>
      </c>
      <c r="T71" t="n">
        <v>26</v>
      </c>
      <c r="U71" t="n">
        <v>1.9</v>
      </c>
      <c r="V71" t="n">
        <v>8.369999999999999</v>
      </c>
      <c r="W71" t="n">
        <v>2.02</v>
      </c>
      <c r="X71" t="b">
        <v>0</v>
      </c>
      <c r="Y71" t="n">
        <v>0</v>
      </c>
      <c r="Z71" t="b">
        <v>0</v>
      </c>
      <c r="AA71" t="b">
        <v>1</v>
      </c>
      <c r="AB71" t="n">
        <v>0</v>
      </c>
      <c r="AC71" t="n">
        <v>3.5</v>
      </c>
      <c r="AD71" t="n">
        <v>1</v>
      </c>
      <c r="AE71" t="inlineStr">
        <is>
          <t>mg_jeep</t>
        </is>
      </c>
      <c r="AF71" t="inlineStr"/>
      <c r="AG71" t="inlineStr"/>
      <c r="AH71" t="inlineStr">
        <is>
          <t>none</t>
        </is>
      </c>
      <c r="AI71" t="inlineStr"/>
      <c r="AJ71" t="inlineStr"/>
      <c r="AK71" t="inlineStr">
        <is>
          <t>supply_truck</t>
        </is>
      </c>
      <c r="AL71" t="inlineStr">
        <is>
          <t>giong</t>
        </is>
      </c>
      <c r="BI71" t="n">
        <v>0</v>
      </c>
      <c r="BJ71" t="n">
        <v>1</v>
      </c>
      <c r="BK71" t="inlineStr"/>
      <c r="BL71" t="inlineStr"/>
      <c r="BM71" t="inlineStr"/>
      <c r="BN71" t="inlineStr">
        <is>
          <t>Campaign; mua sớm; 300 xu</t>
        </is>
      </c>
      <c r="BS71" t="n">
        <v>0</v>
      </c>
      <c r="BZ71" t="n">
        <v>0</v>
      </c>
      <c r="CC71" t="inlineStr">
        <is>
          <t>Support</t>
        </is>
      </c>
      <c r="CF71" t="n">
        <v>0</v>
      </c>
      <c r="CH71" t="n">
        <v>60</v>
      </c>
      <c r="CI71" t="n">
        <v>0.4</v>
      </c>
      <c r="CJ71" t="n">
        <v>6</v>
      </c>
      <c r="CK71" t="inlineStr">
        <is>
          <t>Huge</t>
        </is>
      </c>
      <c r="CZ71" t="b">
        <v>1</v>
      </c>
      <c r="DD71" t="n">
        <v>700</v>
      </c>
      <c r="DI71" t="n">
        <v>8.369999999999999</v>
      </c>
      <c r="EA71" t="n">
        <v>2.42</v>
      </c>
      <c r="EB71" t="n">
        <v>8.369999999999999</v>
      </c>
      <c r="EC71" t="n">
        <v>2.02</v>
      </c>
      <c r="EL71" t="n">
        <v>1.9</v>
      </c>
      <c r="ER71" t="n">
        <v>1</v>
      </c>
      <c r="EZ71" t="n">
        <v>6</v>
      </c>
      <c r="FG71" t="n">
        <v>90</v>
      </c>
      <c r="FH71" t="n">
        <v>180</v>
      </c>
      <c r="FJ71" t="n">
        <v>26</v>
      </c>
      <c r="FL71" t="inlineStr">
        <is>
          <t>mg_jeep</t>
        </is>
      </c>
      <c r="FM71" t="n">
        <v>2.02</v>
      </c>
      <c r="FN71" t="inlineStr">
        <is>
          <t>Assets/MachineBrigade/Resources/Data/balance.json: vehicles[137]</t>
        </is>
      </c>
      <c r="FO71" t="inlineStr">
        <is>
          <t>{"id":"supply_truck","scale":1,"modelSize":[8.37,2.02,2.42],"class":"Support","armour":0,"hp":700,"speed":6,"turnRate":90,"turretTurnRate":180,"radius":1.9,"length":8.37,"width":2.02,"cp":0,"vision":26,"firesWhileMoving":true,"weapon":"mg_jeep","captureRate":0,"deathExplosion":{"damage":60,"radius":6,"delay":0.4,"tier":"Huge"}}</t>
        </is>
      </c>
    </row>
    <row r="72">
      <c r="A72" t="inlineStr">
        <is>
          <t>swarm_carrier</t>
        </is>
      </c>
      <c r="B72" t="inlineStr">
        <is>
          <t>xe</t>
        </is>
      </c>
      <c r="C72" t="inlineStr">
        <is>
          <t>Drone mothership aircraft</t>
        </is>
      </c>
      <c r="D72" t="inlineStr">
        <is>
          <t>Máy bay mẹ thả drone</t>
        </is>
      </c>
      <c r="E72" t="inlineStr">
        <is>
          <t>Máy bay mẹ</t>
        </is>
      </c>
      <c r="F72" t="inlineStr"/>
      <c r="G72" t="inlineStr"/>
      <c r="H72" t="inlineStr"/>
      <c r="I72" t="n">
        <v>16</v>
      </c>
      <c r="J72" t="n">
        <v>1091</v>
      </c>
      <c r="K72" t="n">
        <v>2400.2</v>
      </c>
      <c r="L72" t="n">
        <v>1</v>
      </c>
      <c r="M72" t="n">
        <v>1</v>
      </c>
      <c r="N72" t="n">
        <v>1</v>
      </c>
      <c r="O72" t="n">
        <v>1</v>
      </c>
      <c r="P72" t="b">
        <v>0</v>
      </c>
      <c r="Q72" t="n">
        <v>18</v>
      </c>
      <c r="R72" t="n">
        <v>60</v>
      </c>
      <c r="S72" t="n">
        <v>360</v>
      </c>
      <c r="T72" t="n">
        <v>56</v>
      </c>
      <c r="U72" t="n">
        <v>7</v>
      </c>
      <c r="V72" t="inlineStr"/>
      <c r="W72" t="inlineStr"/>
      <c r="X72" t="b">
        <v>1</v>
      </c>
      <c r="Y72" t="n">
        <v>44</v>
      </c>
      <c r="Z72" t="b">
        <v>0</v>
      </c>
      <c r="AA72" t="b">
        <v>1</v>
      </c>
      <c r="AB72" t="n">
        <v>0</v>
      </c>
      <c r="AC72" t="n">
        <v>5</v>
      </c>
      <c r="AD72" t="n">
        <v>1.2308</v>
      </c>
      <c r="AE72" t="inlineStr">
        <is>
          <t>swarm_drones</t>
        </is>
      </c>
      <c r="AF72" t="inlineStr">
        <is>
          <t>jassm</t>
        </is>
      </c>
      <c r="AG72" t="inlineStr">
        <is>
          <t>bomber_flares</t>
        </is>
      </c>
      <c r="AH72" t="inlineStr">
        <is>
          <t>flare</t>
        </is>
      </c>
      <c r="AI72" t="n">
        <v>3</v>
      </c>
      <c r="AJ72" t="n">
        <v>11</v>
      </c>
      <c r="AK72" t="inlineStr">
        <is>
          <t>swarm_carrier</t>
        </is>
      </c>
      <c r="AL72" t="inlineStr">
        <is>
          <t>doi</t>
        </is>
      </c>
      <c r="AM72" t="n">
        <v>13</v>
      </c>
      <c r="AN72" t="n">
        <v>16</v>
      </c>
      <c r="AO72" t="n">
        <v>632</v>
      </c>
      <c r="AP72" t="n">
        <v>1091</v>
      </c>
      <c r="BG72" t="n">
        <v>1</v>
      </c>
      <c r="BH72" t="n">
        <v>1.2308</v>
      </c>
      <c r="BI72" t="n">
        <v>16</v>
      </c>
      <c r="BJ72" t="n">
        <v>4</v>
      </c>
      <c r="BK72" t="inlineStr"/>
      <c r="BL72" t="inlineStr"/>
      <c r="BM72" t="inlineStr"/>
      <c r="BN72" t="inlineStr">
        <is>
          <t>Campaign; nhiệm vụ c5m10; chiến lợi phẩm cốt truyện</t>
        </is>
      </c>
      <c r="BR72" t="n">
        <v>44</v>
      </c>
      <c r="BS72" t="n">
        <v>1</v>
      </c>
      <c r="BZ72" t="n">
        <v>0</v>
      </c>
      <c r="CF72" t="n">
        <v>16</v>
      </c>
      <c r="CH72" t="n">
        <v>140</v>
      </c>
      <c r="CI72" t="n">
        <v>0.6</v>
      </c>
      <c r="CJ72" t="n">
        <v>9</v>
      </c>
      <c r="CK72" t="inlineStr">
        <is>
          <t>Huge</t>
        </is>
      </c>
      <c r="CV72" t="n">
        <v>5</v>
      </c>
      <c r="CZ72" t="b">
        <v>1</v>
      </c>
      <c r="DA72" t="b">
        <v>1</v>
      </c>
      <c r="DB72" t="b">
        <v>1</v>
      </c>
      <c r="DD72" t="n">
        <v>1091</v>
      </c>
      <c r="DK72" t="n">
        <v>2</v>
      </c>
      <c r="DN72" t="inlineStr">
        <is>
          <t>drone</t>
        </is>
      </c>
      <c r="EA72" t="n">
        <v>4.79</v>
      </c>
      <c r="EB72" t="n">
        <v>11.93</v>
      </c>
      <c r="EC72" t="n">
        <v>16.3</v>
      </c>
      <c r="EK72" t="n">
        <v>1.2308</v>
      </c>
      <c r="EL72" t="n">
        <v>7</v>
      </c>
      <c r="EO72" t="n">
        <v>16</v>
      </c>
      <c r="ER72" t="n">
        <v>1.1765</v>
      </c>
      <c r="EY72" t="inlineStr">
        <is>
          <t>bomber_flares</t>
        </is>
      </c>
      <c r="EZ72" t="n">
        <v>18</v>
      </c>
      <c r="FE72" t="inlineStr">
        <is>
          <t>Tank;Heavy;Artillery;Light</t>
        </is>
      </c>
      <c r="FG72" t="n">
        <v>60</v>
      </c>
      <c r="FH72" t="n">
        <v>360</v>
      </c>
      <c r="FI72" t="n">
        <v>0.8100000000000001</v>
      </c>
      <c r="FJ72" t="n">
        <v>56</v>
      </c>
      <c r="FL72" t="inlineStr">
        <is>
          <t>swarm_drones</t>
        </is>
      </c>
      <c r="FN72" t="inlineStr">
        <is>
          <t>Assets/MachineBrigade/Resources/Data/balance.json: vehicles[47]</t>
        </is>
      </c>
      <c r="FO72" t="inlineStr">
        <is>
          <t>{"id":"swarm_carrier","flareCharges":3,"dropDelay":5,"outgoingDamageMult":1.2308,"loads":{"jassm":2},"value":0.81,"rearmTime":16,"strongVs":["Tank","Heavy","Artillery","Light"],"scale":1.1765,"modelSize":[11.93,16.3,4.79],"armour":1,"hp":1091,"speed":18,"turnRate":60,"turretTurnRate":360,"radius":7,"cp":16,"vision":56,"firesWhileMoving":true,"weapon":"swarm_drones","mainSlot":"drone","flying":true,"fixedWing":true,"altitude":44,"captureRate":0,"skills":["bomber_flares"],"secondary":[{"weapon":"jassm","slot":"drone","aim":"Free"}],"deathExplosion":{"damage":140,"radius":9,"delay":0.6,"tier":"Huge"}}</t>
        </is>
      </c>
    </row>
    <row r="73">
      <c r="A73" t="inlineStr">
        <is>
          <t>tank_destroyer</t>
        </is>
      </c>
      <c r="B73" t="inlineStr">
        <is>
          <t>xe</t>
        </is>
      </c>
      <c r="C73" t="inlineStr">
        <is>
          <t>Tank destroyer</t>
        </is>
      </c>
      <c r="D73" t="inlineStr">
        <is>
          <t>Pháo chống tăng tự hành</t>
        </is>
      </c>
      <c r="E73" t="inlineStr">
        <is>
          <t>Chống tăng</t>
        </is>
      </c>
      <c r="F73" t="inlineStr">
        <is>
          <t>TankHunter</t>
        </is>
      </c>
      <c r="G73" t="inlineStr">
        <is>
          <t>Armor</t>
        </is>
      </c>
      <c r="H73" t="inlineStr"/>
      <c r="I73" t="n">
        <v>7</v>
      </c>
      <c r="J73" t="n">
        <v>741</v>
      </c>
      <c r="K73" t="n">
        <v>1630.2</v>
      </c>
      <c r="L73" t="n">
        <v>2</v>
      </c>
      <c r="M73" t="n">
        <v>1</v>
      </c>
      <c r="N73" t="n">
        <v>1</v>
      </c>
      <c r="O73" t="n">
        <v>0</v>
      </c>
      <c r="P73" t="b">
        <v>0</v>
      </c>
      <c r="Q73" t="n">
        <v>7</v>
      </c>
      <c r="R73" t="n">
        <v>70</v>
      </c>
      <c r="S73" t="n">
        <v>55</v>
      </c>
      <c r="T73" t="n">
        <v>34</v>
      </c>
      <c r="U73" t="n">
        <v>2.4</v>
      </c>
      <c r="V73" t="n">
        <v>5.72</v>
      </c>
      <c r="W73" t="n">
        <v>2.62</v>
      </c>
      <c r="X73" t="b">
        <v>0</v>
      </c>
      <c r="Y73" t="n">
        <v>0</v>
      </c>
      <c r="Z73" t="b">
        <v>0</v>
      </c>
      <c r="AA73" t="b">
        <v>1</v>
      </c>
      <c r="AB73" t="n">
        <v>1</v>
      </c>
      <c r="AC73" t="n">
        <v>3.5</v>
      </c>
      <c r="AD73" t="n">
        <v>1.1667</v>
      </c>
      <c r="AE73" t="inlineStr">
        <is>
          <t>gun_105_long</t>
        </is>
      </c>
      <c r="AF73" t="inlineStr">
        <is>
          <t>hmg_roof</t>
        </is>
      </c>
      <c r="AG73" t="inlineStr"/>
      <c r="AH73" t="inlineStr">
        <is>
          <t>none</t>
        </is>
      </c>
      <c r="AI73" t="inlineStr"/>
      <c r="AJ73" t="inlineStr"/>
      <c r="AK73" t="inlineStr">
        <is>
          <t>tank_destroyer</t>
        </is>
      </c>
      <c r="AL73" t="inlineStr">
        <is>
          <t>doi</t>
        </is>
      </c>
      <c r="AM73" t="n">
        <v>6</v>
      </c>
      <c r="AN73" t="n">
        <v>7</v>
      </c>
      <c r="AO73" t="n">
        <v>620</v>
      </c>
      <c r="AP73" t="n">
        <v>741</v>
      </c>
      <c r="BG73" t="n">
        <v>1</v>
      </c>
      <c r="BH73" t="n">
        <v>1.1667</v>
      </c>
      <c r="BI73" t="n">
        <v>7</v>
      </c>
      <c r="BJ73" t="n">
        <v>2</v>
      </c>
      <c r="BK73" t="inlineStr"/>
      <c r="BL73" t="inlineStr">
        <is>
          <t>elite_tank_destroyer</t>
        </is>
      </c>
      <c r="BM73" t="inlineStr"/>
      <c r="BN73" t="inlineStr">
        <is>
          <t>Campaign; nhiệm vụ c4m02; mua sớm; 800 xu</t>
        </is>
      </c>
      <c r="BT73" t="n">
        <v>2</v>
      </c>
      <c r="BU73" t="n">
        <v>1</v>
      </c>
      <c r="BV73" t="n">
        <v>1</v>
      </c>
      <c r="BW73" t="n">
        <v>0</v>
      </c>
      <c r="CC73" t="inlineStr">
        <is>
          <t>TankHunter</t>
        </is>
      </c>
      <c r="CF73" t="n">
        <v>7</v>
      </c>
      <c r="CH73" t="n">
        <v>70</v>
      </c>
      <c r="CI73" t="n">
        <v>0.3</v>
      </c>
      <c r="CJ73" t="n">
        <v>6</v>
      </c>
      <c r="CK73" t="inlineStr">
        <is>
          <t>Large</t>
        </is>
      </c>
      <c r="CZ73" t="b">
        <v>1</v>
      </c>
      <c r="DD73" t="n">
        <v>741</v>
      </c>
      <c r="DI73" t="n">
        <v>5.72</v>
      </c>
      <c r="EA73" t="n">
        <v>2.15</v>
      </c>
      <c r="EB73" t="n">
        <v>7.89</v>
      </c>
      <c r="EC73" t="n">
        <v>2.62</v>
      </c>
      <c r="EK73" t="n">
        <v>1.1667</v>
      </c>
      <c r="EL73" t="n">
        <v>2.4</v>
      </c>
      <c r="ER73" t="n">
        <v>1</v>
      </c>
      <c r="EZ73" t="n">
        <v>7</v>
      </c>
      <c r="FG73" t="n">
        <v>70</v>
      </c>
      <c r="FH73" t="n">
        <v>55</v>
      </c>
      <c r="FI73" t="n">
        <v>1.17</v>
      </c>
      <c r="FJ73" t="n">
        <v>34</v>
      </c>
      <c r="FL73" t="inlineStr">
        <is>
          <t>gun_105_long</t>
        </is>
      </c>
      <c r="FM73" t="n">
        <v>2.62</v>
      </c>
      <c r="FN73" t="inlineStr">
        <is>
          <t>Assets/MachineBrigade/Resources/Data/balance.json: vehicles[9]</t>
        </is>
      </c>
      <c r="FO73" t="inlineStr">
        <is>
          <t>{"id":"tank_destroyer","outgoingDamageMult":1.1667,"value":1.17,"scale":1,"modelSize":[7.89,2.62,2.15],"class":"TankHunter","armour":[2,1,1,0],"hp":741,"speed":7,"turnRate":70,"turretTurnRate":55,"radius":2.4,"length":5.72,"width":2.62,"cp":7,"vision":34,"firesWhileMoving":true,"weapon":"gun_105_long","secondary":[{"weapon":"hmg_roof","slot":"mg","aim":"Free"}],"deathExplosion":{"damage":70,"radius":6,"delay":0.3,"tier":"Large"}}</t>
        </is>
      </c>
    </row>
    <row r="74">
      <c r="A74" t="inlineStr">
        <is>
          <t>thermobaric_launcher</t>
        </is>
      </c>
      <c r="B74" t="inlineStr">
        <is>
          <t>xe</t>
        </is>
      </c>
      <c r="C74" t="inlineStr">
        <is>
          <t>Thermobaric launcher</t>
        </is>
      </c>
      <c r="D74" t="inlineStr">
        <is>
          <t>Pháo phản lực nhiệt áp</t>
        </is>
      </c>
      <c r="E74" t="inlineStr">
        <is>
          <t>Nhiệt áp</t>
        </is>
      </c>
      <c r="F74" t="inlineStr"/>
      <c r="G74" t="inlineStr"/>
      <c r="H74" t="inlineStr"/>
      <c r="I74" t="n">
        <v>11</v>
      </c>
      <c r="J74" t="n">
        <v>1132</v>
      </c>
      <c r="K74" t="n">
        <v>2490.4</v>
      </c>
      <c r="L74" t="n">
        <v>3</v>
      </c>
      <c r="M74" t="n">
        <v>2</v>
      </c>
      <c r="N74" t="n">
        <v>1</v>
      </c>
      <c r="O74" t="n">
        <v>1</v>
      </c>
      <c r="P74" t="b">
        <v>0</v>
      </c>
      <c r="Q74" t="n">
        <v>5.5</v>
      </c>
      <c r="R74" t="n">
        <v>55</v>
      </c>
      <c r="S74" t="n">
        <v>50</v>
      </c>
      <c r="T74" t="n">
        <v>30</v>
      </c>
      <c r="U74" t="n">
        <v>2.5</v>
      </c>
      <c r="V74" t="n">
        <v>6.02</v>
      </c>
      <c r="W74" t="n">
        <v>2.85</v>
      </c>
      <c r="X74" t="b">
        <v>0</v>
      </c>
      <c r="Y74" t="n">
        <v>0</v>
      </c>
      <c r="Z74" t="b">
        <v>0</v>
      </c>
      <c r="AA74" t="b">
        <v>0</v>
      </c>
      <c r="AB74" t="n">
        <v>1</v>
      </c>
      <c r="AC74" t="n">
        <v>3.5</v>
      </c>
      <c r="AD74" t="n">
        <v>1.2222</v>
      </c>
      <c r="AE74" t="inlineStr">
        <is>
          <t>thermobaric_rockets</t>
        </is>
      </c>
      <c r="AF74" t="inlineStr">
        <is>
          <t>hmg_selfdef_18</t>
        </is>
      </c>
      <c r="AG74" t="inlineStr"/>
      <c r="AH74" t="inlineStr">
        <is>
          <t>none</t>
        </is>
      </c>
      <c r="AI74" t="inlineStr"/>
      <c r="AJ74" t="inlineStr"/>
      <c r="AK74" t="inlineStr">
        <is>
          <t>thermobaric_launcher</t>
        </is>
      </c>
      <c r="AL74" t="inlineStr">
        <is>
          <t>doi</t>
        </is>
      </c>
      <c r="AM74" t="n">
        <v>9</v>
      </c>
      <c r="AN74" t="n">
        <v>11</v>
      </c>
      <c r="AO74" t="n">
        <v>450</v>
      </c>
      <c r="AP74" t="n">
        <v>1132</v>
      </c>
      <c r="BG74" t="n">
        <v>1</v>
      </c>
      <c r="BH74" t="n">
        <v>1.2222</v>
      </c>
      <c r="BI74" t="n">
        <v>11</v>
      </c>
      <c r="BJ74" t="n">
        <v>3</v>
      </c>
      <c r="BK74" t="inlineStr"/>
      <c r="BL74" t="inlineStr"/>
      <c r="BM74" t="inlineStr"/>
      <c r="BN74" t="inlineStr">
        <is>
          <t>Campaign; nhiệm vụ c7m03; mua sớm; 1500 xu</t>
        </is>
      </c>
      <c r="BS74" t="n">
        <v>3</v>
      </c>
      <c r="CF74" t="n">
        <v>11</v>
      </c>
      <c r="CH74" t="n">
        <v>180</v>
      </c>
      <c r="CI74" t="n">
        <v>0.4</v>
      </c>
      <c r="CJ74" t="n">
        <v>9</v>
      </c>
      <c r="CK74" t="inlineStr">
        <is>
          <t>Ultimate</t>
        </is>
      </c>
      <c r="CY74" t="n">
        <v>1.2</v>
      </c>
      <c r="CZ74" t="b">
        <v>0</v>
      </c>
      <c r="DD74" t="n">
        <v>1132</v>
      </c>
      <c r="DI74" t="n">
        <v>6.02</v>
      </c>
      <c r="DN74" t="inlineStr">
        <is>
          <t>rocket</t>
        </is>
      </c>
      <c r="EA74" t="n">
        <v>2.79</v>
      </c>
      <c r="EB74" t="n">
        <v>6.7</v>
      </c>
      <c r="EC74" t="n">
        <v>2.85</v>
      </c>
      <c r="EK74" t="n">
        <v>1.2222</v>
      </c>
      <c r="EL74" t="n">
        <v>2.5</v>
      </c>
      <c r="ER74" t="n">
        <v>1</v>
      </c>
      <c r="EZ74" t="n">
        <v>5.5</v>
      </c>
      <c r="FG74" t="n">
        <v>55</v>
      </c>
      <c r="FH74" t="n">
        <v>50</v>
      </c>
      <c r="FI74" t="n">
        <v>0.78</v>
      </c>
      <c r="FJ74" t="n">
        <v>30</v>
      </c>
      <c r="FL74" t="inlineStr">
        <is>
          <t>thermobaric_rockets</t>
        </is>
      </c>
      <c r="FM74" t="n">
        <v>2.85</v>
      </c>
      <c r="FN74" t="inlineStr">
        <is>
          <t>Assets/MachineBrigade/Resources/Data/balance.json: vehicles[17]</t>
        </is>
      </c>
      <c r="FO74" t="inlineStr">
        <is>
          <t>{"id":"thermobaric_launcher","erectSeconds":1.2,"outgoingDamageMult":1.2222,"value":0.78,"scale":1,"modelSize":[6.7,2.85,2.79],"armour":3,"hp":1132,"speed":5.5,"turnRate":55,"turretTurnRate":50,"radius":2.5,"length":6.02,"width":2.85,"cp":11,"vision":30,"firesWhileMoving":false,"weapon":"thermobaric_rockets","secondary":[{"weapon":"hmg_selfdef_18","slot":"mg","aim":"Free"}],"mainSlot":"rocket","deathExplosion":{"damage":180,"radius":9,"delay":0.4,"tier":"Ultimate"}}</t>
        </is>
      </c>
    </row>
    <row r="75">
      <c r="A75" t="inlineStr">
        <is>
          <t>titan_tank</t>
        </is>
      </c>
      <c r="B75" t="inlineStr">
        <is>
          <t>xe</t>
        </is>
      </c>
      <c r="C75" t="inlineStr">
        <is>
          <t>Super-heavy tank</t>
        </is>
      </c>
      <c r="D75" t="inlineStr">
        <is>
          <t>Siêu tăng</t>
        </is>
      </c>
      <c r="E75" t="inlineStr">
        <is>
          <t>Siêu tăng</t>
        </is>
      </c>
      <c r="F75" t="inlineStr"/>
      <c r="G75" t="inlineStr"/>
      <c r="H75" t="inlineStr"/>
      <c r="I75" t="n">
        <v>23</v>
      </c>
      <c r="J75" t="n">
        <v>3445</v>
      </c>
      <c r="K75" t="n">
        <v>7579</v>
      </c>
      <c r="L75" t="n">
        <v>4</v>
      </c>
      <c r="M75" t="n">
        <v>3</v>
      </c>
      <c r="N75" t="n">
        <v>2</v>
      </c>
      <c r="O75" t="n">
        <v>2</v>
      </c>
      <c r="P75" t="b">
        <v>0</v>
      </c>
      <c r="Q75" t="n">
        <v>4</v>
      </c>
      <c r="R75" t="n">
        <v>45</v>
      </c>
      <c r="S75" t="n">
        <v>115</v>
      </c>
      <c r="T75" t="n">
        <v>34</v>
      </c>
      <c r="U75" t="n">
        <v>2.9</v>
      </c>
      <c r="V75" t="n">
        <v>8.140000000000001</v>
      </c>
      <c r="W75" t="n">
        <v>5.3</v>
      </c>
      <c r="X75" t="b">
        <v>0</v>
      </c>
      <c r="Y75" t="n">
        <v>0</v>
      </c>
      <c r="Z75" t="b">
        <v>0</v>
      </c>
      <c r="AA75" t="b">
        <v>1</v>
      </c>
      <c r="AB75" t="n">
        <v>1</v>
      </c>
      <c r="AC75" t="n">
        <v>5</v>
      </c>
      <c r="AD75" t="n">
        <v>1.4694</v>
      </c>
      <c r="AE75" t="inlineStr">
        <is>
          <t>gun_140_twin</t>
        </is>
      </c>
      <c r="AF75" t="inlineStr">
        <is>
          <t>mg_coax;hmg_roof;atgm</t>
        </is>
      </c>
      <c r="AG75" t="inlineStr"/>
      <c r="AH75" t="inlineStr">
        <is>
          <t>aps</t>
        </is>
      </c>
      <c r="AI75" t="n">
        <v>3</v>
      </c>
      <c r="AJ75" t="n">
        <v>10</v>
      </c>
      <c r="AK75" t="inlineStr">
        <is>
          <t>titan_tank</t>
        </is>
      </c>
      <c r="AL75" t="inlineStr">
        <is>
          <t>doi</t>
        </is>
      </c>
      <c r="AM75" t="n">
        <v>18</v>
      </c>
      <c r="AN75" t="n">
        <v>23</v>
      </c>
      <c r="AO75" t="n">
        <v>2600</v>
      </c>
      <c r="AP75" t="n">
        <v>3445</v>
      </c>
      <c r="BG75" t="n">
        <v>1</v>
      </c>
      <c r="BH75" t="n">
        <v>1.4694</v>
      </c>
      <c r="BI75" t="n">
        <v>23</v>
      </c>
      <c r="BJ75" t="n">
        <v>4</v>
      </c>
      <c r="BK75" t="inlineStr"/>
      <c r="BL75" t="inlineStr"/>
      <c r="BM75" t="inlineStr">
        <is>
          <t>heavy</t>
        </is>
      </c>
      <c r="BN75" t="inlineStr">
        <is>
          <t>Campaign; nhiệm vụ c11m01; mua sớm; 2500 xu</t>
        </is>
      </c>
      <c r="BS75" t="n">
        <v>4</v>
      </c>
      <c r="CF75" t="n">
        <v>23</v>
      </c>
      <c r="CH75" t="n">
        <v>260</v>
      </c>
      <c r="CI75" t="n">
        <v>0.5</v>
      </c>
      <c r="CJ75" t="n">
        <v>8</v>
      </c>
      <c r="CK75" t="inlineStr">
        <is>
          <t>Ultimate</t>
        </is>
      </c>
      <c r="CV75" t="n">
        <v>5</v>
      </c>
      <c r="CZ75" t="b">
        <v>1</v>
      </c>
      <c r="DD75" t="n">
        <v>3445</v>
      </c>
      <c r="DI75" t="n">
        <v>8.140000000000001</v>
      </c>
      <c r="EA75" t="n">
        <v>2.84</v>
      </c>
      <c r="EB75" t="n">
        <v>11.3</v>
      </c>
      <c r="EC75" t="n">
        <v>5.3</v>
      </c>
      <c r="EK75" t="n">
        <v>1.4694</v>
      </c>
      <c r="EL75" t="n">
        <v>2.9</v>
      </c>
      <c r="ER75" t="n">
        <v>1</v>
      </c>
      <c r="EZ75" t="n">
        <v>4</v>
      </c>
      <c r="FG75" t="n">
        <v>45</v>
      </c>
      <c r="FH75" t="n">
        <v>115</v>
      </c>
      <c r="FI75" t="n">
        <v>1.33</v>
      </c>
      <c r="FJ75" t="n">
        <v>34</v>
      </c>
      <c r="FL75" t="inlineStr">
        <is>
          <t>gun_140_twin</t>
        </is>
      </c>
      <c r="FM75" t="n">
        <v>5.3</v>
      </c>
      <c r="FN75" t="inlineStr">
        <is>
          <t>Assets/MachineBrigade/Resources/Data/balance.json: vehicles[20]</t>
        </is>
      </c>
      <c r="FO75" t="inlineStr">
        <is>
          <t>{"id":"titan_tank","aps":{"radius":20,"recharge":10,"charges":3},"apsCapability":"BuiltIn","missiles":[{"weapon":"atgm","ammo":4,"reload":30}],"dropDelay":5,"outgoingDamageMult":1.4694,"value":1.33,"scale":1,"modelSize":[11.3,5.3,2.84],"armour":4,"hp":3445,"speed":4,"turnRate":45,"turretTurnRate":115,"radius":2.9,"length":8.14,"width":5.3,"cp":23,"vision":34,"firesWhileMoving":true,"weapon":"gun_140_twin","secondary":[{"weapon":"mg_coax","slot":"coax","aim":"Turret"},{"weapon":"hmg_roof","slot":"mg","aim":"Free"},{"weapon":"atgm","slot":"missile","aim":"Turret"}],"deathExplosion":{"damage":260,"radius":8,"delay":0.5,"tier":"Ultimate"}}</t>
        </is>
      </c>
    </row>
    <row r="76">
      <c r="A76" t="inlineStr">
        <is>
          <t>twin_rotor_gunship</t>
        </is>
      </c>
      <c r="B76" t="inlineStr">
        <is>
          <t>xe</t>
        </is>
      </c>
      <c r="C76" t="inlineStr">
        <is>
          <t>Twin-rotor gunship</t>
        </is>
      </c>
      <c r="D76" t="inlineStr">
        <is>
          <t>Pháo hạm trực thăng hai rô-to</t>
        </is>
      </c>
      <c r="E76" t="inlineStr">
        <is>
          <t>TT hai rô-to</t>
        </is>
      </c>
      <c r="F76" t="inlineStr"/>
      <c r="G76" t="inlineStr"/>
      <c r="H76" t="inlineStr"/>
      <c r="I76" t="n">
        <v>18</v>
      </c>
      <c r="J76" t="n">
        <v>1400</v>
      </c>
      <c r="K76" t="n">
        <v>3080</v>
      </c>
      <c r="L76" t="n">
        <v>1</v>
      </c>
      <c r="M76" t="n">
        <v>1</v>
      </c>
      <c r="N76" t="n">
        <v>1</v>
      </c>
      <c r="O76" t="n">
        <v>1</v>
      </c>
      <c r="P76" t="b">
        <v>0</v>
      </c>
      <c r="Q76" t="n">
        <v>9</v>
      </c>
      <c r="R76" t="n">
        <v>70</v>
      </c>
      <c r="S76" t="n">
        <v>360</v>
      </c>
      <c r="T76" t="n">
        <v>50</v>
      </c>
      <c r="U76" t="n">
        <v>6</v>
      </c>
      <c r="V76" t="inlineStr"/>
      <c r="W76" t="inlineStr"/>
      <c r="X76" t="b">
        <v>1</v>
      </c>
      <c r="Y76" t="n">
        <v>15</v>
      </c>
      <c r="Z76" t="b">
        <v>0</v>
      </c>
      <c r="AA76" t="b">
        <v>1</v>
      </c>
      <c r="AB76" t="n">
        <v>0</v>
      </c>
      <c r="AC76" t="n">
        <v>5</v>
      </c>
      <c r="AD76" t="n">
        <v>1.4464</v>
      </c>
      <c r="AE76" t="inlineStr">
        <is>
          <t>heli_gun</t>
        </is>
      </c>
      <c r="AF76" t="inlineStr">
        <is>
          <t>agl_40</t>
        </is>
      </c>
      <c r="AG76" t="inlineStr"/>
      <c r="AH76" t="inlineStr">
        <is>
          <t>flare</t>
        </is>
      </c>
      <c r="AI76" t="n">
        <v>3</v>
      </c>
      <c r="AJ76" t="n">
        <v>20</v>
      </c>
      <c r="AK76" t="inlineStr">
        <is>
          <t>twin_rotor_gunship</t>
        </is>
      </c>
      <c r="AL76" t="inlineStr">
        <is>
          <t>doi</t>
        </is>
      </c>
      <c r="AM76" t="n">
        <v>14</v>
      </c>
      <c r="AN76" t="n">
        <v>18</v>
      </c>
      <c r="AO76" t="n">
        <v>1591</v>
      </c>
      <c r="AP76" t="n">
        <v>1400</v>
      </c>
      <c r="BG76" t="n">
        <v>1</v>
      </c>
      <c r="BH76" t="n">
        <v>1.4464</v>
      </c>
      <c r="BI76" t="n">
        <v>18</v>
      </c>
      <c r="BJ76" t="n">
        <v>4</v>
      </c>
      <c r="BK76" t="inlineStr"/>
      <c r="BL76" t="inlineStr"/>
      <c r="BM76" t="inlineStr"/>
      <c r="BN76" t="inlineStr">
        <is>
          <t>Premium; 5000 xu</t>
        </is>
      </c>
      <c r="BR76" t="n">
        <v>15</v>
      </c>
      <c r="BS76" t="n">
        <v>1</v>
      </c>
      <c r="BZ76" t="n">
        <v>0</v>
      </c>
      <c r="CF76" t="n">
        <v>18</v>
      </c>
      <c r="CH76" t="n">
        <v>100</v>
      </c>
      <c r="CI76" t="n">
        <v>0.5</v>
      </c>
      <c r="CJ76" t="n">
        <v>7</v>
      </c>
      <c r="CK76" t="inlineStr">
        <is>
          <t>Huge</t>
        </is>
      </c>
      <c r="CV76" t="n">
        <v>5</v>
      </c>
      <c r="CZ76" t="b">
        <v>1</v>
      </c>
      <c r="DB76" t="b">
        <v>1</v>
      </c>
      <c r="DD76" t="n">
        <v>1400</v>
      </c>
      <c r="DN76" t="inlineStr">
        <is>
          <t>gun</t>
        </is>
      </c>
      <c r="DZ76" t="inlineStr">
        <is>
          <t>twin_rotor_gunship</t>
        </is>
      </c>
      <c r="EA76" t="n">
        <v>4.82</v>
      </c>
      <c r="EB76" t="n">
        <v>11.93</v>
      </c>
      <c r="EC76" t="n">
        <v>5.7</v>
      </c>
      <c r="EK76" t="n">
        <v>1.4464</v>
      </c>
      <c r="EL76" t="n">
        <v>6</v>
      </c>
      <c r="EO76" t="n">
        <v>12</v>
      </c>
      <c r="EZ76" t="n">
        <v>9</v>
      </c>
      <c r="FE76" t="inlineStr">
        <is>
          <t>Light;Support</t>
        </is>
      </c>
      <c r="FG76" t="n">
        <v>70</v>
      </c>
      <c r="FH76" t="n">
        <v>360</v>
      </c>
      <c r="FJ76" t="n">
        <v>50</v>
      </c>
      <c r="FL76" t="inlineStr">
        <is>
          <t>heli_gun</t>
        </is>
      </c>
      <c r="FN76" t="inlineStr">
        <is>
          <t>Assets/MachineBrigade/Resources/Data/balance.json: vehicles[127]</t>
        </is>
      </c>
      <c r="FO76" t="inlineStr">
        <is>
          <t>{"id":"twin_rotor_gunship","flareRecharge":20,"flareCharges":3,"dropDelay":5,"outgoingDamageMult":1.4464,"model":"twin_rotor_gunship","rearmTime":12,"strongVs":["Light","Support"],"modelSize":[11.93,5.7,4.82],"armour":1,"hp":1400,"speed":9,"turnRate":70,"turretTurnRate":360,"radius":6,"cp":18,"vision":50,"firesWhileMoving":true,"weapon":"heli_gun","mainSlot":"gun","flying":true,"altitude":15,"captureRate":0,"secondary":[{"weapon":"agl_40","slot":"mg","aim":"Free"}],"deathExplosion":{"damage":100,"radius":7,"delay":0.5,"tier":"Huge"}}</t>
        </is>
      </c>
    </row>
    <row r="77">
      <c r="A77" t="inlineStr">
        <is>
          <t>twin_tank</t>
        </is>
      </c>
      <c r="B77" t="inlineStr">
        <is>
          <t>xe</t>
        </is>
      </c>
      <c r="C77" t="inlineStr">
        <is>
          <t>Twin-gun tank</t>
        </is>
      </c>
      <c r="D77" t="inlineStr">
        <is>
          <t>Tăng hai nòng</t>
        </is>
      </c>
      <c r="E77" t="inlineStr">
        <is>
          <t>Hai nòng</t>
        </is>
      </c>
      <c r="F77" t="inlineStr"/>
      <c r="G77" t="inlineStr"/>
      <c r="H77" t="inlineStr"/>
      <c r="I77" t="n">
        <v>11</v>
      </c>
      <c r="J77" t="n">
        <v>1450</v>
      </c>
      <c r="K77" t="n">
        <v>3190</v>
      </c>
      <c r="L77" t="n">
        <v>3</v>
      </c>
      <c r="M77" t="n">
        <v>2</v>
      </c>
      <c r="N77" t="n">
        <v>1</v>
      </c>
      <c r="O77" t="n">
        <v>1</v>
      </c>
      <c r="P77" t="b">
        <v>0</v>
      </c>
      <c r="Q77" t="n">
        <v>6</v>
      </c>
      <c r="R77" t="n">
        <v>58</v>
      </c>
      <c r="S77" t="n">
        <v>115</v>
      </c>
      <c r="T77" t="n">
        <v>32</v>
      </c>
      <c r="U77" t="n">
        <v>2.5</v>
      </c>
      <c r="V77" t="n">
        <v>7.02</v>
      </c>
      <c r="W77" t="n">
        <v>3.53</v>
      </c>
      <c r="X77" t="b">
        <v>0</v>
      </c>
      <c r="Y77" t="n">
        <v>0</v>
      </c>
      <c r="Z77" t="b">
        <v>0</v>
      </c>
      <c r="AA77" t="b">
        <v>1</v>
      </c>
      <c r="AB77" t="n">
        <v>1</v>
      </c>
      <c r="AC77" t="n">
        <v>3.5</v>
      </c>
      <c r="AD77" t="n">
        <v>1.2681</v>
      </c>
      <c r="AE77" t="inlineStr">
        <is>
          <t>gun_120_twin</t>
        </is>
      </c>
      <c r="AF77" t="inlineStr">
        <is>
          <t>mg_coax;hmg_roof</t>
        </is>
      </c>
      <c r="AG77" t="inlineStr"/>
      <c r="AH77" t="inlineStr">
        <is>
          <t>none</t>
        </is>
      </c>
      <c r="AI77" t="inlineStr"/>
      <c r="AJ77" t="inlineStr"/>
      <c r="AK77" t="inlineStr">
        <is>
          <t>twin_tank</t>
        </is>
      </c>
      <c r="AL77" t="inlineStr">
        <is>
          <t>doi</t>
        </is>
      </c>
      <c r="AM77" t="n">
        <v>9</v>
      </c>
      <c r="AN77" t="n">
        <v>11</v>
      </c>
      <c r="AO77" t="n">
        <v>1150</v>
      </c>
      <c r="AP77" t="n">
        <v>1450</v>
      </c>
      <c r="BG77" t="n">
        <v>1</v>
      </c>
      <c r="BH77" t="n">
        <v>1.2681</v>
      </c>
      <c r="BI77" t="n">
        <v>11</v>
      </c>
      <c r="BJ77" t="n">
        <v>3</v>
      </c>
      <c r="BK77" t="inlineStr"/>
      <c r="BL77" t="inlineStr"/>
      <c r="BM77" t="inlineStr">
        <is>
          <t>heavy;mbt;tank</t>
        </is>
      </c>
      <c r="BN77" t="inlineStr">
        <is>
          <t>Campaign; nhiệm vụ c6m13; mua sớm; 800 xu</t>
        </is>
      </c>
      <c r="BT77" t="n">
        <v>3</v>
      </c>
      <c r="BU77" t="n">
        <v>1</v>
      </c>
      <c r="BV77" t="n">
        <v>2</v>
      </c>
      <c r="BW77" t="n">
        <v>1</v>
      </c>
      <c r="CF77" t="n">
        <v>11</v>
      </c>
      <c r="CH77" t="n">
        <v>130</v>
      </c>
      <c r="CI77" t="n">
        <v>0.4</v>
      </c>
      <c r="CJ77" t="n">
        <v>8</v>
      </c>
      <c r="CK77" t="inlineStr">
        <is>
          <t>Huge</t>
        </is>
      </c>
      <c r="CZ77" t="b">
        <v>1</v>
      </c>
      <c r="DD77" t="n">
        <v>1450</v>
      </c>
      <c r="DI77" t="n">
        <v>7.02</v>
      </c>
      <c r="EA77" t="n">
        <v>2.64</v>
      </c>
      <c r="EB77" t="n">
        <v>8.960000000000001</v>
      </c>
      <c r="EC77" t="n">
        <v>3.53</v>
      </c>
      <c r="EK77" t="n">
        <v>1.2681</v>
      </c>
      <c r="EL77" t="n">
        <v>2.5</v>
      </c>
      <c r="ER77" t="n">
        <v>1</v>
      </c>
      <c r="EZ77" t="n">
        <v>6</v>
      </c>
      <c r="FG77" t="n">
        <v>58</v>
      </c>
      <c r="FH77" t="n">
        <v>115</v>
      </c>
      <c r="FI77" t="n">
        <v>1.09</v>
      </c>
      <c r="FJ77" t="n">
        <v>32</v>
      </c>
      <c r="FL77" t="inlineStr">
        <is>
          <t>gun_120_twin</t>
        </is>
      </c>
      <c r="FM77" t="n">
        <v>3.53</v>
      </c>
      <c r="FN77" t="inlineStr">
        <is>
          <t>Assets/MachineBrigade/Resources/Data/balance.json: vehicles[24]</t>
        </is>
      </c>
      <c r="FO77" t="inlineStr">
        <is>
          <t>{"id":"twin_tank","outgoingDamageMult":1.2681,"value":1.09,"scale":1,"modelSize":[8.96,3.53,2.64],"armour":[3,2,1,1],"hp":1450,"speed":6,"turnRate":58,"turretTurnRate":115,"radius":2.5,"length":7.02,"width":3.53,"cp":11,"vision":32,"firesWhileMoving":true,"weapon":"gun_120_twin","secondary":[{"weapon":"mg_coax","slot":"coax","aim":"Turret"},{"weapon":"hmg_roof","slot":"mg","aim":"Free"}],"deathExplosion":{"damage":130,"radius":8,"delay":0.4,"tier":"Huge"}}</t>
        </is>
      </c>
    </row>
    <row r="78">
      <c r="A78" t="inlineStr">
        <is>
          <t>vbied</t>
        </is>
      </c>
      <c r="B78" t="inlineStr">
        <is>
          <t>xe</t>
        </is>
      </c>
      <c r="C78" t="inlineStr">
        <is>
          <t>Armoured car bomb</t>
        </is>
      </c>
      <c r="D78" t="inlineStr">
        <is>
          <t>Xe bom bọc thép</t>
        </is>
      </c>
      <c r="E78" t="inlineStr">
        <is>
          <t>Xe bom</t>
        </is>
      </c>
      <c r="F78" t="inlineStr">
        <is>
          <t>Scout</t>
        </is>
      </c>
      <c r="G78" t="inlineStr">
        <is>
          <t>Light</t>
        </is>
      </c>
      <c r="H78" t="inlineStr"/>
      <c r="I78" t="n">
        <v>3</v>
      </c>
      <c r="J78" t="n">
        <v>364</v>
      </c>
      <c r="K78" t="n">
        <v>800.8</v>
      </c>
      <c r="L78" t="n">
        <v>2</v>
      </c>
      <c r="M78" t="n">
        <v>1</v>
      </c>
      <c r="N78" t="n">
        <v>0</v>
      </c>
      <c r="O78" t="n">
        <v>0</v>
      </c>
      <c r="P78" t="b">
        <v>0</v>
      </c>
      <c r="Q78" t="n">
        <v>13</v>
      </c>
      <c r="R78" t="n">
        <v>150</v>
      </c>
      <c r="S78" t="n">
        <v>360</v>
      </c>
      <c r="T78" t="n">
        <v>30</v>
      </c>
      <c r="U78" t="n">
        <v>1.8</v>
      </c>
      <c r="V78" t="n">
        <v>4.58</v>
      </c>
      <c r="W78" t="n">
        <v>1.68</v>
      </c>
      <c r="X78" t="b">
        <v>0</v>
      </c>
      <c r="Y78" t="n">
        <v>0</v>
      </c>
      <c r="Z78" t="b">
        <v>0</v>
      </c>
      <c r="AA78" t="b">
        <v>1</v>
      </c>
      <c r="AB78" t="n">
        <v>1</v>
      </c>
      <c r="AC78" t="n">
        <v>2.5</v>
      </c>
      <c r="AD78" t="n">
        <v>1</v>
      </c>
      <c r="AE78" t="inlineStr">
        <is>
          <t>detonator</t>
        </is>
      </c>
      <c r="AF78" t="inlineStr"/>
      <c r="AG78" t="inlineStr"/>
      <c r="AH78" t="inlineStr">
        <is>
          <t>none</t>
        </is>
      </c>
      <c r="AI78" t="inlineStr"/>
      <c r="AJ78" t="inlineStr"/>
      <c r="AK78" t="inlineStr">
        <is>
          <t>vbied</t>
        </is>
      </c>
      <c r="AL78" t="inlineStr">
        <is>
          <t>doi</t>
        </is>
      </c>
      <c r="AY78" t="n">
        <v>6.7</v>
      </c>
      <c r="AZ78" t="n">
        <v>13</v>
      </c>
      <c r="BI78" t="n">
        <v>3</v>
      </c>
      <c r="BJ78" t="n">
        <v>1</v>
      </c>
      <c r="BK78" t="inlineStr"/>
      <c r="BL78" t="inlineStr"/>
      <c r="BM78" t="inlineStr"/>
      <c r="BN78" t="inlineStr">
        <is>
          <t>Campaign; nhiệm vụ c2m07; mua sớm; 300 xu</t>
        </is>
      </c>
      <c r="BT78" t="n">
        <v>2</v>
      </c>
      <c r="BU78" t="n">
        <v>0</v>
      </c>
      <c r="BV78" t="n">
        <v>1</v>
      </c>
      <c r="BW78" t="n">
        <v>0</v>
      </c>
      <c r="BZ78" t="n">
        <v>1</v>
      </c>
      <c r="CC78" t="inlineStr">
        <is>
          <t>Scout</t>
        </is>
      </c>
      <c r="CF78" t="n">
        <v>3</v>
      </c>
      <c r="CH78" t="n">
        <v>300</v>
      </c>
      <c r="CI78" t="n">
        <v>0.1</v>
      </c>
      <c r="CJ78" t="n">
        <v>6</v>
      </c>
      <c r="CK78" t="inlineStr">
        <is>
          <t>Huge</t>
        </is>
      </c>
      <c r="CV78" t="n">
        <v>2.5</v>
      </c>
      <c r="CZ78" t="b">
        <v>1</v>
      </c>
      <c r="DD78" t="n">
        <v>364</v>
      </c>
      <c r="DH78" t="b">
        <v>1</v>
      </c>
      <c r="DI78" t="n">
        <v>4.58</v>
      </c>
      <c r="DM78" t="inlineStr">
        <is>
          <t>Hull</t>
        </is>
      </c>
      <c r="EA78" t="n">
        <v>1.6</v>
      </c>
      <c r="EB78" t="n">
        <v>4.58</v>
      </c>
      <c r="EC78" t="n">
        <v>1.68</v>
      </c>
      <c r="EL78" t="n">
        <v>1.8</v>
      </c>
      <c r="ER78" t="n">
        <v>1</v>
      </c>
      <c r="EZ78" t="n">
        <v>13</v>
      </c>
      <c r="FG78" t="n">
        <v>150</v>
      </c>
      <c r="FH78" t="n">
        <v>360</v>
      </c>
      <c r="FI78" t="n">
        <v>1.5</v>
      </c>
      <c r="FJ78" t="n">
        <v>30</v>
      </c>
      <c r="FL78" t="inlineStr">
        <is>
          <t>detonator</t>
        </is>
      </c>
      <c r="FM78" t="n">
        <v>1.68</v>
      </c>
      <c r="FN78" t="inlineStr">
        <is>
          <t>Assets/MachineBrigade/Resources/Data/balance.json: vehicles[35]</t>
        </is>
      </c>
      <c r="FO78" t="inlineStr">
        <is>
          <t>{"id":"vbied","dropDelay":2.5,"value":1.5,"scale":1,"modelSize":[4.58,1.68,1.6],"class":"Scout","armour":[2,1,0,0],"hp":364,"speed":13,"turnRate":150,"turretTurnRate":360,"radius":1.8,"length":4.58,"width":1.68,"cp":3,"vision":30,"firesWhileMoving":true,"weapon":"detonator","mainAim":"Hull","kamikaze":true,"captureRate":1,"deathExplosion":{"damage":300,"radius":6,"delay":0.1,"tier":"Huge"}}</t>
        </is>
      </c>
    </row>
    <row r="79">
      <c r="A79" t="inlineStr">
        <is>
          <t>wheeled_gun</t>
        </is>
      </c>
      <c r="B79" t="inlineStr">
        <is>
          <t>xe</t>
        </is>
      </c>
      <c r="C79" t="inlineStr">
        <is>
          <t>Wheeled tank destroyer</t>
        </is>
      </c>
      <c r="D79" t="inlineStr">
        <is>
          <t>Pháo xung kích bánh lốp</t>
        </is>
      </c>
      <c r="E79" t="inlineStr">
        <is>
          <t>Pháo xung kích</t>
        </is>
      </c>
      <c r="F79" t="inlineStr">
        <is>
          <t>TankHunter</t>
        </is>
      </c>
      <c r="G79" t="inlineStr">
        <is>
          <t>Armor</t>
        </is>
      </c>
      <c r="H79" t="inlineStr"/>
      <c r="I79" t="n">
        <v>7</v>
      </c>
      <c r="J79" t="n">
        <v>814</v>
      </c>
      <c r="K79" t="n">
        <v>1790.8</v>
      </c>
      <c r="L79" t="n">
        <v>2</v>
      </c>
      <c r="M79" t="n">
        <v>1</v>
      </c>
      <c r="N79" t="n">
        <v>0</v>
      </c>
      <c r="O79" t="n">
        <v>0</v>
      </c>
      <c r="P79" t="b">
        <v>0</v>
      </c>
      <c r="Q79" t="n">
        <v>12</v>
      </c>
      <c r="R79" t="n">
        <v>100</v>
      </c>
      <c r="S79" t="n">
        <v>90</v>
      </c>
      <c r="T79" t="n">
        <v>38</v>
      </c>
      <c r="U79" t="n">
        <v>2.3</v>
      </c>
      <c r="V79" t="n">
        <v>5.97</v>
      </c>
      <c r="W79" t="n">
        <v>2.36</v>
      </c>
      <c r="X79" t="b">
        <v>0</v>
      </c>
      <c r="Y79" t="n">
        <v>0</v>
      </c>
      <c r="Z79" t="b">
        <v>0</v>
      </c>
      <c r="AA79" t="b">
        <v>1</v>
      </c>
      <c r="AB79" t="n">
        <v>1</v>
      </c>
      <c r="AC79" t="n">
        <v>3.5</v>
      </c>
      <c r="AD79" t="n">
        <v>1.1667</v>
      </c>
      <c r="AE79" t="inlineStr">
        <is>
          <t>gun_105_wheeled</t>
        </is>
      </c>
      <c r="AF79" t="inlineStr">
        <is>
          <t>mg_coax;hmg_roof</t>
        </is>
      </c>
      <c r="AG79" t="inlineStr"/>
      <c r="AH79" t="inlineStr">
        <is>
          <t>none</t>
        </is>
      </c>
      <c r="AI79" t="inlineStr"/>
      <c r="AJ79" t="inlineStr"/>
      <c r="AK79" t="inlineStr">
        <is>
          <t>wheeled_gun</t>
        </is>
      </c>
      <c r="AL79" t="inlineStr">
        <is>
          <t>doi</t>
        </is>
      </c>
      <c r="AM79" t="n">
        <v>6</v>
      </c>
      <c r="AN79" t="n">
        <v>7</v>
      </c>
      <c r="AO79" t="n">
        <v>682</v>
      </c>
      <c r="AP79" t="n">
        <v>814</v>
      </c>
      <c r="BG79" t="n">
        <v>1</v>
      </c>
      <c r="BH79" t="n">
        <v>1.1667</v>
      </c>
      <c r="BI79" t="n">
        <v>7</v>
      </c>
      <c r="BJ79" t="n">
        <v>2</v>
      </c>
      <c r="BK79" t="inlineStr"/>
      <c r="BL79" t="inlineStr"/>
      <c r="BM79" t="inlineStr">
        <is>
          <t>wheeled</t>
        </is>
      </c>
      <c r="BN79" t="inlineStr">
        <is>
          <t>Campaign; nhiệm vụ c4m03; mua sớm; 800 xu</t>
        </is>
      </c>
      <c r="BS79" t="n">
        <v>2</v>
      </c>
      <c r="BZ79" t="n">
        <v>1</v>
      </c>
      <c r="CC79" t="inlineStr">
        <is>
          <t>TankHunter</t>
        </is>
      </c>
      <c r="CF79" t="n">
        <v>7</v>
      </c>
      <c r="CH79" t="n">
        <v>100</v>
      </c>
      <c r="CI79" t="n">
        <v>0.35</v>
      </c>
      <c r="CJ79" t="n">
        <v>7</v>
      </c>
      <c r="CK79" t="inlineStr">
        <is>
          <t>Large</t>
        </is>
      </c>
      <c r="CZ79" t="b">
        <v>1</v>
      </c>
      <c r="DD79" t="n">
        <v>814</v>
      </c>
      <c r="DI79" t="n">
        <v>5.97</v>
      </c>
      <c r="EA79" t="n">
        <v>2.31</v>
      </c>
      <c r="EB79" t="n">
        <v>8.970000000000001</v>
      </c>
      <c r="EC79" t="n">
        <v>2.39</v>
      </c>
      <c r="EK79" t="n">
        <v>1.1667</v>
      </c>
      <c r="EL79" t="n">
        <v>2.3</v>
      </c>
      <c r="ER79" t="n">
        <v>1</v>
      </c>
      <c r="EZ79" t="n">
        <v>12</v>
      </c>
      <c r="FG79" t="n">
        <v>100</v>
      </c>
      <c r="FH79" t="n">
        <v>90</v>
      </c>
      <c r="FI79" t="n">
        <v>0.8100000000000001</v>
      </c>
      <c r="FJ79" t="n">
        <v>38</v>
      </c>
      <c r="FL79" t="inlineStr">
        <is>
          <t>gun_105_wheeled</t>
        </is>
      </c>
      <c r="FM79" t="n">
        <v>2.36</v>
      </c>
      <c r="FN79" t="inlineStr">
        <is>
          <t>Assets/MachineBrigade/Resources/Data/balance.json: vehicles[42]</t>
        </is>
      </c>
      <c r="FO79" t="inlineStr">
        <is>
          <t>{"id":"wheeled_gun","outgoingDamageMult":1.1667,"value":0.81,"scale":1,"modelSize":[8.97,2.39,2.31],"class":"TankHunter","armour":2,"hp":814,"speed":12,"turnRate":100,"turretTurnRate":90,"radius":2.3,"length":5.97,"width":2.36,"cp":7,"vision":38,"firesWhileMoving":true,"weapon":"gun_105_wheeled","captureRate":1,"secondary":[{"weapon":"mg_coax","slot":"coax","aim":"Turret"},{"weapon":"hmg_roof","slot":"mg","aim":"Free"}],"deathExplosion":{"damage":100,"radius":7,"delay":0.35,"tier":"Large"}}</t>
        </is>
      </c>
    </row>
    <row r="80">
      <c r="A80" t="inlineStr">
        <is>
          <t>zu23_technical</t>
        </is>
      </c>
      <c r="B80" t="inlineStr">
        <is>
          <t>xe</t>
        </is>
      </c>
      <c r="C80" t="inlineStr">
        <is>
          <t>Flak technical</t>
        </is>
      </c>
      <c r="D80" t="inlineStr">
        <is>
          <t>Bán tải cao xạ</t>
        </is>
      </c>
      <c r="E80" t="inlineStr">
        <is>
          <t>Cao xạ bán tải</t>
        </is>
      </c>
      <c r="F80" t="inlineStr">
        <is>
          <t>AntiAir</t>
        </is>
      </c>
      <c r="G80" t="inlineStr">
        <is>
          <t>Light</t>
        </is>
      </c>
      <c r="H80" t="inlineStr"/>
      <c r="I80" t="n">
        <v>3</v>
      </c>
      <c r="J80" t="n">
        <v>210</v>
      </c>
      <c r="K80" t="n">
        <v>462</v>
      </c>
      <c r="L80" t="n">
        <v>0</v>
      </c>
      <c r="M80" t="n">
        <v>0</v>
      </c>
      <c r="N80" t="n">
        <v>0</v>
      </c>
      <c r="O80" t="n">
        <v>0</v>
      </c>
      <c r="P80" t="b">
        <v>0</v>
      </c>
      <c r="Q80" t="n">
        <v>12</v>
      </c>
      <c r="R80" t="n">
        <v>180</v>
      </c>
      <c r="S80" t="n">
        <v>240</v>
      </c>
      <c r="T80" t="n">
        <v>40</v>
      </c>
      <c r="U80" t="n">
        <v>1.5</v>
      </c>
      <c r="V80" t="n">
        <v>4.39</v>
      </c>
      <c r="W80" t="n">
        <v>1.5</v>
      </c>
      <c r="X80" t="b">
        <v>0</v>
      </c>
      <c r="Y80" t="n">
        <v>0</v>
      </c>
      <c r="Z80" t="b">
        <v>0</v>
      </c>
      <c r="AA80" t="b">
        <v>1</v>
      </c>
      <c r="AB80" t="n">
        <v>2</v>
      </c>
      <c r="AC80" t="n">
        <v>2.5</v>
      </c>
      <c r="AD80" t="n">
        <v>1</v>
      </c>
      <c r="AE80" t="inlineStr">
        <is>
          <t>zu23</t>
        </is>
      </c>
      <c r="AF80" t="inlineStr"/>
      <c r="AG80" t="inlineStr"/>
      <c r="AH80" t="inlineStr">
        <is>
          <t>none</t>
        </is>
      </c>
      <c r="AI80" t="inlineStr"/>
      <c r="AJ80" t="inlineStr"/>
      <c r="AK80" t="inlineStr">
        <is>
          <t>zu23_technical</t>
        </is>
      </c>
      <c r="AL80" t="inlineStr">
        <is>
          <t>giong</t>
        </is>
      </c>
      <c r="BI80" t="n">
        <v>3</v>
      </c>
      <c r="BJ80" t="n">
        <v>1</v>
      </c>
      <c r="BK80" t="inlineStr"/>
      <c r="BL80" t="inlineStr"/>
      <c r="BM80" t="inlineStr">
        <is>
          <t>light</t>
        </is>
      </c>
      <c r="BN80" t="inlineStr">
        <is>
          <t>Campaign; nhiệm vụ c1m06; mua sớm; 300 xu</t>
        </is>
      </c>
      <c r="BS80" t="n">
        <v>0</v>
      </c>
      <c r="BZ80" t="n">
        <v>2</v>
      </c>
      <c r="CC80" t="inlineStr">
        <is>
          <t>AntiAir</t>
        </is>
      </c>
      <c r="CF80" t="n">
        <v>3</v>
      </c>
      <c r="CH80" t="n">
        <v>30</v>
      </c>
      <c r="CI80" t="n">
        <v>0.1</v>
      </c>
      <c r="CJ80" t="n">
        <v>4</v>
      </c>
      <c r="CK80" t="inlineStr">
        <is>
          <t>Large</t>
        </is>
      </c>
      <c r="CV80" t="n">
        <v>2.5</v>
      </c>
      <c r="CZ80" t="b">
        <v>1</v>
      </c>
      <c r="DD80" t="n">
        <v>210</v>
      </c>
      <c r="DI80" t="n">
        <v>4.39</v>
      </c>
      <c r="EA80" t="n">
        <v>1.56</v>
      </c>
      <c r="EB80" t="n">
        <v>4.39</v>
      </c>
      <c r="EC80" t="n">
        <v>1.5</v>
      </c>
      <c r="EL80" t="n">
        <v>1.5</v>
      </c>
      <c r="ER80" t="n">
        <v>1</v>
      </c>
      <c r="EZ80" t="n">
        <v>12</v>
      </c>
      <c r="FG80" t="n">
        <v>180</v>
      </c>
      <c r="FH80" t="n">
        <v>240</v>
      </c>
      <c r="FI80" t="n">
        <v>0.5</v>
      </c>
      <c r="FJ80" t="n">
        <v>40</v>
      </c>
      <c r="FL80" t="inlineStr">
        <is>
          <t>zu23</t>
        </is>
      </c>
      <c r="FM80" t="n">
        <v>1.5</v>
      </c>
      <c r="FN80" t="inlineStr">
        <is>
          <t>Assets/MachineBrigade/Resources/Data/balance.json: vehicles[36]</t>
        </is>
      </c>
      <c r="FO80" t="inlineStr">
        <is>
          <t>{"id":"zu23_technical","dropDelay":2.5,"value":0.5,"scale":1,"modelSize":[4.39,1.5,1.56],"class":"AntiAir","armour":0,"hp":210,"speed":12,"turnRate":180,"turretTurnRate":240,"radius":1.5,"length":4.39,"width":1.5,"cp":3,"vision":40,"firesWhileMoving":true,"weapon":"zu23","captureRate":2,"deathExplosion":{"damage":30,"radius":4,"delay":0.1,"tier":"Large"}}</t>
        </is>
      </c>
    </row>
  </sheetData>
  <autoFilter ref="A1:FO8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8" customWidth="1" min="3" max="3"/>
    <col width="19" customWidth="1" min="4" max="4"/>
    <col width="8" customWidth="1" min="5" max="5"/>
    <col width="20" customWidth="1" min="6" max="6"/>
    <col width="18" customWidth="1" min="7" max="7"/>
    <col width="8" customWidth="1" min="8" max="8"/>
    <col width="8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xe_id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aim</t>
        </is>
      </c>
      <c r="F1" s="1" t="inlineStr">
        <is>
          <t>arc_deg_center_deg</t>
        </is>
      </c>
      <c r="G1" s="1" t="inlineStr">
        <is>
          <t>arc_deg_half_deg</t>
        </is>
      </c>
      <c r="H1" s="1" t="inlineStr">
        <is>
          <t>model</t>
        </is>
      </c>
      <c r="I1" s="1" t="inlineStr">
        <is>
          <t>slot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aa_vehicle/0</t>
        </is>
      </c>
      <c r="B2" t="inlineStr">
        <is>
          <t>aa_vehicle</t>
        </is>
      </c>
      <c r="C2" t="n">
        <v>0</v>
      </c>
      <c r="D2" t="inlineStr">
        <is>
          <t>sam</t>
        </is>
      </c>
      <c r="E2" t="inlineStr">
        <is>
          <t>Free</t>
        </is>
      </c>
      <c r="H2" t="inlineStr">
        <is>
          <t>stinger</t>
        </is>
      </c>
      <c r="I2" t="inlineStr">
        <is>
          <t>missile</t>
        </is>
      </c>
      <c r="J2" t="inlineStr">
        <is>
          <t>Assets/MachineBrigade/Resources/Data/balance.json: vehicles[6].secondary[0]</t>
        </is>
      </c>
      <c r="K2" t="inlineStr">
        <is>
          <t>{"weapon":"sam","slot":"missile","model":"stinger","aim":"Free"}</t>
        </is>
      </c>
    </row>
    <row r="3">
      <c r="A3" t="inlineStr">
        <is>
          <t>armored_bulldozer/0</t>
        </is>
      </c>
      <c r="B3" t="inlineStr">
        <is>
          <t>armored_bulldozer</t>
        </is>
      </c>
      <c r="C3" t="n">
        <v>0</v>
      </c>
      <c r="D3" t="inlineStr">
        <is>
          <t>hmg_roof</t>
        </is>
      </c>
      <c r="E3" t="inlineStr">
        <is>
          <t>Free</t>
        </is>
      </c>
      <c r="I3" t="inlineStr">
        <is>
          <t>mg</t>
        </is>
      </c>
      <c r="J3" t="inlineStr">
        <is>
          <t>Assets/MachineBrigade/Resources/Data/balance.json: vehicles[40].secondary[0]</t>
        </is>
      </c>
      <c r="K3" t="inlineStr">
        <is>
          <t>{"weapon":"hmg_roof","slot":"mg","aim":"Free"}</t>
        </is>
      </c>
    </row>
    <row r="4">
      <c r="A4" t="inlineStr">
        <is>
          <t>armored_car/0</t>
        </is>
      </c>
      <c r="B4" t="inlineStr">
        <is>
          <t>armored_car</t>
        </is>
      </c>
      <c r="C4" t="n">
        <v>0</v>
      </c>
      <c r="D4" t="inlineStr">
        <is>
          <t>mg_coax_long</t>
        </is>
      </c>
      <c r="E4" t="inlineStr">
        <is>
          <t>Turret</t>
        </is>
      </c>
      <c r="I4" t="inlineStr">
        <is>
          <t>coax</t>
        </is>
      </c>
      <c r="J4" t="inlineStr">
        <is>
          <t>Assets/MachineBrigade/Resources/Data/balance.json: vehicles[8].secondary[0]</t>
        </is>
      </c>
      <c r="K4" t="inlineStr">
        <is>
          <t>{"weapon":"mg_coax_long","slot":"coax","aim":"Turret"}</t>
        </is>
      </c>
    </row>
    <row r="5">
      <c r="A5" t="inlineStr">
        <is>
          <t>artillery/0</t>
        </is>
      </c>
      <c r="B5" t="inlineStr">
        <is>
          <t>artillery</t>
        </is>
      </c>
      <c r="C5" t="n">
        <v>0</v>
      </c>
      <c r="D5" t="inlineStr">
        <is>
          <t>hmg_selfdef_15</t>
        </is>
      </c>
      <c r="E5" t="inlineStr">
        <is>
          <t>Free</t>
        </is>
      </c>
      <c r="I5" t="inlineStr">
        <is>
          <t>mg</t>
        </is>
      </c>
      <c r="J5" t="inlineStr">
        <is>
          <t>Assets/MachineBrigade/Resources/Data/balance.json: vehicles[4].secondary[0]</t>
        </is>
      </c>
      <c r="K5" t="inlineStr">
        <is>
          <t>{"weapon":"hmg_selfdef_15","slot":"mg","aim":"Free"}</t>
        </is>
      </c>
    </row>
    <row r="6">
      <c r="A6" t="inlineStr">
        <is>
          <t>attack_helicopter/0</t>
        </is>
      </c>
      <c r="B6" t="inlineStr">
        <is>
          <t>attack_helicopter</t>
        </is>
      </c>
      <c r="C6" t="n">
        <v>0</v>
      </c>
      <c r="D6" t="inlineStr">
        <is>
          <t>heli_gun</t>
        </is>
      </c>
      <c r="E6" t="inlineStr">
        <is>
          <t>Free</t>
        </is>
      </c>
      <c r="I6" t="inlineStr">
        <is>
          <t>gun</t>
        </is>
      </c>
      <c r="J6" t="inlineStr">
        <is>
          <t>Assets/MachineBrigade/Resources/Data/balance.json: vehicles[7].secondary[0]</t>
        </is>
      </c>
      <c r="K6" t="inlineStr">
        <is>
          <t>{"weapon":"heli_gun","slot":"gun","aim":"Free"}</t>
        </is>
      </c>
    </row>
    <row r="7">
      <c r="A7" t="inlineStr">
        <is>
          <t>attack_helicopter/1</t>
        </is>
      </c>
      <c r="B7" t="inlineStr">
        <is>
          <t>attack_helicopter</t>
        </is>
      </c>
      <c r="C7" t="n">
        <v>1</v>
      </c>
      <c r="D7" t="inlineStr">
        <is>
          <t>heli_rockets</t>
        </is>
      </c>
      <c r="E7" t="inlineStr">
        <is>
          <t>Hull</t>
        </is>
      </c>
      <c r="I7" t="inlineStr">
        <is>
          <t>rocket</t>
        </is>
      </c>
      <c r="J7" t="inlineStr">
        <is>
          <t>Assets/MachineBrigade/Resources/Data/balance.json: vehicles[7].secondary[1]</t>
        </is>
      </c>
      <c r="K7" t="inlineStr">
        <is>
          <t>{"weapon":"heli_rockets","slot":"rocket","aim":"Hull"}</t>
        </is>
      </c>
    </row>
    <row r="8">
      <c r="A8" t="inlineStr">
        <is>
          <t>attack_helicopter/2</t>
        </is>
      </c>
      <c r="B8" t="inlineStr">
        <is>
          <t>attack_helicopter</t>
        </is>
      </c>
      <c r="C8" t="n">
        <v>2</v>
      </c>
      <c r="D8" t="inlineStr">
        <is>
          <t>stinger_atas</t>
        </is>
      </c>
      <c r="E8" t="inlineStr">
        <is>
          <t>Free</t>
        </is>
      </c>
      <c r="I8" t="inlineStr">
        <is>
          <t>aam</t>
        </is>
      </c>
      <c r="J8" t="inlineStr">
        <is>
          <t>Assets/MachineBrigade/Resources/Data/balance.json: vehicles[7].secondary[2]</t>
        </is>
      </c>
      <c r="K8" t="inlineStr">
        <is>
          <t>{"weapon":"stinger_atas","slot":"aam","aim":"Free"}</t>
        </is>
      </c>
    </row>
    <row r="9">
      <c r="A9" t="inlineStr">
        <is>
          <t>attack_helicopter/3</t>
        </is>
      </c>
      <c r="B9" t="inlineStr">
        <is>
          <t>attack_helicopter</t>
        </is>
      </c>
      <c r="C9" t="n">
        <v>3</v>
      </c>
      <c r="D9" t="inlineStr">
        <is>
          <t>apkws_rocket</t>
        </is>
      </c>
      <c r="E9" t="inlineStr">
        <is>
          <t>Free</t>
        </is>
      </c>
      <c r="I9" t="inlineStr">
        <is>
          <t>rocket2</t>
        </is>
      </c>
      <c r="J9" t="inlineStr">
        <is>
          <t>Assets/MachineBrigade/Resources/Data/balance.json: vehicles[7].secondary[3]</t>
        </is>
      </c>
      <c r="K9" t="inlineStr">
        <is>
          <t>{"weapon":"apkws_rocket","slot":"rocket2","aim":"Free"}</t>
        </is>
      </c>
    </row>
    <row r="10">
      <c r="A10" t="inlineStr">
        <is>
          <t>attack_jet/0</t>
        </is>
      </c>
      <c r="B10" t="inlineStr">
        <is>
          <t>attack_jet</t>
        </is>
      </c>
      <c r="C10" t="n">
        <v>0</v>
      </c>
      <c r="D10" t="inlineStr">
        <is>
          <t>s8_pods</t>
        </is>
      </c>
      <c r="E10" t="inlineStr">
        <is>
          <t>Hull</t>
        </is>
      </c>
      <c r="I10" t="inlineStr">
        <is>
          <t>rocket</t>
        </is>
      </c>
      <c r="J10" t="inlineStr">
        <is>
          <t>Assets/MachineBrigade/Resources/Data/balance.json: vehicles[15].secondary[0]</t>
        </is>
      </c>
      <c r="K10" t="inlineStr">
        <is>
          <t>{"weapon":"s8_pods","slot":"rocket","aim":"Hull"}</t>
        </is>
      </c>
    </row>
    <row r="11">
      <c r="A11" t="inlineStr">
        <is>
          <t>attack_jet/1</t>
        </is>
      </c>
      <c r="B11" t="inlineStr">
        <is>
          <t>attack_jet</t>
        </is>
      </c>
      <c r="C11" t="n">
        <v>1</v>
      </c>
      <c r="D11" t="inlineStr">
        <is>
          <t>jet_bombs</t>
        </is>
      </c>
      <c r="E11" t="inlineStr">
        <is>
          <t>Hull</t>
        </is>
      </c>
      <c r="I11" t="inlineStr">
        <is>
          <t>missile</t>
        </is>
      </c>
      <c r="J11" t="inlineStr">
        <is>
          <t>Assets/MachineBrigade/Resources/Data/balance.json: vehicles[15].secondary[1]</t>
        </is>
      </c>
      <c r="K11" t="inlineStr">
        <is>
          <t>{"weapon":"jet_bombs","slot":"missile","aim":"Hull"}</t>
        </is>
      </c>
    </row>
    <row r="12">
      <c r="A12" t="inlineStr">
        <is>
          <t>attack_jet/2</t>
        </is>
      </c>
      <c r="B12" t="inlineStr">
        <is>
          <t>attack_jet</t>
        </is>
      </c>
      <c r="C12" t="n">
        <v>2</v>
      </c>
      <c r="D12" t="inlineStr">
        <is>
          <t>kh29</t>
        </is>
      </c>
      <c r="E12" t="inlineStr">
        <is>
          <t>Hull</t>
        </is>
      </c>
      <c r="I12" t="inlineStr">
        <is>
          <t>missile</t>
        </is>
      </c>
      <c r="J12" t="inlineStr">
        <is>
          <t>Assets/MachineBrigade/Resources/Data/balance.json: vehicles[15].secondary[2]</t>
        </is>
      </c>
      <c r="K12" t="inlineStr">
        <is>
          <t>{"weapon":"kh29","slot":"missile","aim":"Hull"}</t>
        </is>
      </c>
    </row>
    <row r="13">
      <c r="A13" t="inlineStr">
        <is>
          <t>attack_jet/3</t>
        </is>
      </c>
      <c r="B13" t="inlineStr">
        <is>
          <t>attack_jet</t>
        </is>
      </c>
      <c r="C13" t="n">
        <v>3</v>
      </c>
      <c r="D13" t="inlineStr">
        <is>
          <t>r60</t>
        </is>
      </c>
      <c r="E13" t="inlineStr">
        <is>
          <t>Free</t>
        </is>
      </c>
      <c r="I13" t="inlineStr">
        <is>
          <t>aam</t>
        </is>
      </c>
      <c r="J13" t="inlineStr">
        <is>
          <t>Assets/MachineBrigade/Resources/Data/balance.json: vehicles[15].secondary[3]</t>
        </is>
      </c>
      <c r="K13" t="inlineStr">
        <is>
          <t>{"weapon":"r60","slot":"aam","aim":"Free"}</t>
        </is>
      </c>
    </row>
    <row r="14">
      <c r="A14" t="inlineStr">
        <is>
          <t>elite_aa/0</t>
        </is>
      </c>
      <c r="B14" t="inlineStr">
        <is>
          <t>elite_aa</t>
        </is>
      </c>
      <c r="C14" t="n">
        <v>0</v>
      </c>
      <c r="D14" t="inlineStr">
        <is>
          <t>sam</t>
        </is>
      </c>
      <c r="E14" t="inlineStr">
        <is>
          <t>Turret</t>
        </is>
      </c>
      <c r="I14" t="inlineStr">
        <is>
          <t>missile</t>
        </is>
      </c>
      <c r="J14" t="inlineStr">
        <is>
          <t>Assets/MachineBrigade/Resources/Data/balance.json: vehicles[53].secondary[0]</t>
        </is>
      </c>
      <c r="K14" t="inlineStr">
        <is>
          <t>{"weapon":"sam","slot":"missile","aim":"Turret"}</t>
        </is>
      </c>
    </row>
    <row r="15">
      <c r="A15" t="inlineStr">
        <is>
          <t>elite_apc/0</t>
        </is>
      </c>
      <c r="B15" t="inlineStr">
        <is>
          <t>elite_apc</t>
        </is>
      </c>
      <c r="C15" t="n">
        <v>0</v>
      </c>
      <c r="D15" t="inlineStr">
        <is>
          <t>mg_coax</t>
        </is>
      </c>
      <c r="E15" t="inlineStr">
        <is>
          <t>Turret</t>
        </is>
      </c>
      <c r="I15" t="inlineStr">
        <is>
          <t>coax</t>
        </is>
      </c>
      <c r="J15" t="inlineStr">
        <is>
          <t>Assets/MachineBrigade/Resources/Data/balance.json: vehicles[54].secondary[0]</t>
        </is>
      </c>
      <c r="K15" t="inlineStr">
        <is>
          <t>{"weapon":"mg_coax","slot":"coax","aim":"Turret"}</t>
        </is>
      </c>
    </row>
    <row r="16">
      <c r="A16" t="inlineStr">
        <is>
          <t>elite_apc/1</t>
        </is>
      </c>
      <c r="B16" t="inlineStr">
        <is>
          <t>elite_apc</t>
        </is>
      </c>
      <c r="C16" t="n">
        <v>1</v>
      </c>
      <c r="D16" t="inlineStr">
        <is>
          <t>atgm</t>
        </is>
      </c>
      <c r="E16" t="inlineStr">
        <is>
          <t>Turret</t>
        </is>
      </c>
      <c r="I16" t="inlineStr">
        <is>
          <t>missile</t>
        </is>
      </c>
      <c r="J16" t="inlineStr">
        <is>
          <t>Assets/MachineBrigade/Resources/Data/balance.json: vehicles[54].secondary[1]</t>
        </is>
      </c>
      <c r="K16" t="inlineStr">
        <is>
          <t>{"weapon":"atgm","slot":"missile","aim":"Turret"}</t>
        </is>
      </c>
    </row>
    <row r="17">
      <c r="A17" t="inlineStr">
        <is>
          <t>elite_attack_helicopter/0</t>
        </is>
      </c>
      <c r="B17" t="inlineStr">
        <is>
          <t>elite_attack_helicopter</t>
        </is>
      </c>
      <c r="C17" t="n">
        <v>0</v>
      </c>
      <c r="D17" t="inlineStr">
        <is>
          <t>heli_gun</t>
        </is>
      </c>
      <c r="E17" t="inlineStr">
        <is>
          <t>Free</t>
        </is>
      </c>
      <c r="I17" t="inlineStr">
        <is>
          <t>gun</t>
        </is>
      </c>
      <c r="J17" t="inlineStr">
        <is>
          <t>Assets/MachineBrigade/Resources/Data/balance.json: vehicles[51].secondary[0]</t>
        </is>
      </c>
      <c r="K17" t="inlineStr">
        <is>
          <t>{"weapon":"heli_gun","slot":"gun","aim":"Free"}</t>
        </is>
      </c>
    </row>
    <row r="18">
      <c r="A18" t="inlineStr">
        <is>
          <t>elite_attack_helicopter/1</t>
        </is>
      </c>
      <c r="B18" t="inlineStr">
        <is>
          <t>elite_attack_helicopter</t>
        </is>
      </c>
      <c r="C18" t="n">
        <v>1</v>
      </c>
      <c r="D18" t="inlineStr">
        <is>
          <t>heli_rockets</t>
        </is>
      </c>
      <c r="E18" t="inlineStr">
        <is>
          <t>Hull</t>
        </is>
      </c>
      <c r="I18" t="inlineStr">
        <is>
          <t>rocket</t>
        </is>
      </c>
      <c r="J18" t="inlineStr">
        <is>
          <t>Assets/MachineBrigade/Resources/Data/balance.json: vehicles[51].secondary[1]</t>
        </is>
      </c>
      <c r="K18" t="inlineStr">
        <is>
          <t>{"weapon":"heli_rockets","slot":"rocket","aim":"Hull"}</t>
        </is>
      </c>
    </row>
    <row r="19">
      <c r="A19" t="inlineStr">
        <is>
          <t>elite_attack_helicopter/2</t>
        </is>
      </c>
      <c r="B19" t="inlineStr">
        <is>
          <t>elite_attack_helicopter</t>
        </is>
      </c>
      <c r="C19" t="n">
        <v>2</v>
      </c>
      <c r="D19" t="inlineStr">
        <is>
          <t>stinger_atas</t>
        </is>
      </c>
      <c r="E19" t="inlineStr">
        <is>
          <t>Free</t>
        </is>
      </c>
      <c r="I19" t="inlineStr">
        <is>
          <t>aam</t>
        </is>
      </c>
      <c r="J19" t="inlineStr">
        <is>
          <t>Assets/MachineBrigade/Resources/Data/balance.json: vehicles[51].secondary[2]</t>
        </is>
      </c>
      <c r="K19" t="inlineStr">
        <is>
          <t>{"weapon":"stinger_atas","slot":"aam","aim":"Free"}</t>
        </is>
      </c>
    </row>
    <row r="20">
      <c r="A20" t="inlineStr">
        <is>
          <t>elite_grad/0</t>
        </is>
      </c>
      <c r="B20" t="inlineStr">
        <is>
          <t>elite_grad</t>
        </is>
      </c>
      <c r="C20" t="n">
        <v>0</v>
      </c>
      <c r="D20" t="inlineStr">
        <is>
          <t>hmg_selfdef_15</t>
        </is>
      </c>
      <c r="E20" t="inlineStr">
        <is>
          <t>Free</t>
        </is>
      </c>
      <c r="I20" t="inlineStr">
        <is>
          <t>mg</t>
        </is>
      </c>
      <c r="J20" t="inlineStr">
        <is>
          <t>Assets/MachineBrigade/Resources/Data/balance.json: vehicles[55].secondary[0]</t>
        </is>
      </c>
      <c r="K20" t="inlineStr">
        <is>
          <t>{"weapon":"hmg_selfdef_15","slot":"mg","aim":"Free"}</t>
        </is>
      </c>
    </row>
    <row r="21">
      <c r="A21" t="inlineStr">
        <is>
          <t>elite_heavy_tank/0</t>
        </is>
      </c>
      <c r="B21" t="inlineStr">
        <is>
          <t>elite_heavy_tank</t>
        </is>
      </c>
      <c r="C21" t="n">
        <v>0</v>
      </c>
      <c r="D21" t="inlineStr">
        <is>
          <t>autocannon_30</t>
        </is>
      </c>
      <c r="E21" t="inlineStr">
        <is>
          <t>Turret</t>
        </is>
      </c>
      <c r="I21" t="inlineStr">
        <is>
          <t>coax</t>
        </is>
      </c>
      <c r="J21" t="inlineStr">
        <is>
          <t>Assets/MachineBrigade/Resources/Data/balance.json: vehicles[49].secondary[0]</t>
        </is>
      </c>
      <c r="K21" t="inlineStr">
        <is>
          <t>{"weapon":"autocannon_30","slot":"coax","aim":"Turret"}</t>
        </is>
      </c>
    </row>
    <row r="22">
      <c r="A22" t="inlineStr">
        <is>
          <t>elite_heavy_tank/1</t>
        </is>
      </c>
      <c r="B22" t="inlineStr">
        <is>
          <t>elite_heavy_tank</t>
        </is>
      </c>
      <c r="C22" t="n">
        <v>1</v>
      </c>
      <c r="D22" t="inlineStr">
        <is>
          <t>hmg_roof</t>
        </is>
      </c>
      <c r="E22" t="inlineStr">
        <is>
          <t>Free</t>
        </is>
      </c>
      <c r="I22" t="inlineStr">
        <is>
          <t>mg</t>
        </is>
      </c>
      <c r="J22" t="inlineStr">
        <is>
          <t>Assets/MachineBrigade/Resources/Data/balance.json: vehicles[49].secondary[1]</t>
        </is>
      </c>
      <c r="K22" t="inlineStr">
        <is>
          <t>{"weapon":"hmg_roof","slot":"mg","aim":"Free"}</t>
        </is>
      </c>
    </row>
    <row r="23">
      <c r="A23" t="inlineStr">
        <is>
          <t>elite_mbt/0</t>
        </is>
      </c>
      <c r="B23" t="inlineStr">
        <is>
          <t>elite_mbt</t>
        </is>
      </c>
      <c r="C23" t="n">
        <v>0</v>
      </c>
      <c r="D23" t="inlineStr">
        <is>
          <t>mg_coax</t>
        </is>
      </c>
      <c r="E23" t="inlineStr">
        <is>
          <t>Turret</t>
        </is>
      </c>
      <c r="I23" t="inlineStr">
        <is>
          <t>coax</t>
        </is>
      </c>
      <c r="J23" t="inlineStr">
        <is>
          <t>Assets/MachineBrigade/Resources/Data/balance.json: vehicles[48].secondary[0]</t>
        </is>
      </c>
      <c r="K23" t="inlineStr">
        <is>
          <t>{"weapon":"mg_coax","slot":"coax","aim":"Turret"}</t>
        </is>
      </c>
    </row>
    <row r="24">
      <c r="A24" t="inlineStr">
        <is>
          <t>elite_mbt/1</t>
        </is>
      </c>
      <c r="B24" t="inlineStr">
        <is>
          <t>elite_mbt</t>
        </is>
      </c>
      <c r="C24" t="n">
        <v>1</v>
      </c>
      <c r="D24" t="inlineStr">
        <is>
          <t>hmg_roof</t>
        </is>
      </c>
      <c r="E24" t="inlineStr">
        <is>
          <t>Free</t>
        </is>
      </c>
      <c r="I24" t="inlineStr">
        <is>
          <t>mg</t>
        </is>
      </c>
      <c r="J24" t="inlineStr">
        <is>
          <t>Assets/MachineBrigade/Resources/Data/balance.json: vehicles[48].secondary[1]</t>
        </is>
      </c>
      <c r="K24" t="inlineStr">
        <is>
          <t>{"weapon":"hmg_roof","slot":"mg","aim":"Free"}</t>
        </is>
      </c>
    </row>
    <row r="25">
      <c r="A25" t="inlineStr">
        <is>
          <t>elite_mlrs/0</t>
        </is>
      </c>
      <c r="B25" t="inlineStr">
        <is>
          <t>elite_mlrs</t>
        </is>
      </c>
      <c r="C25" t="n">
        <v>0</v>
      </c>
      <c r="D25" t="inlineStr">
        <is>
          <t>hmg_selfdef_15</t>
        </is>
      </c>
      <c r="E25" t="inlineStr">
        <is>
          <t>Free</t>
        </is>
      </c>
      <c r="I25" t="inlineStr">
        <is>
          <t>mg</t>
        </is>
      </c>
      <c r="J25" t="inlineStr">
        <is>
          <t>Assets/MachineBrigade/Resources/Data/balance.json: vehicles[52].secondary[0]</t>
        </is>
      </c>
      <c r="K25" t="inlineStr">
        <is>
          <t>{"weapon":"hmg_selfdef_15","slot":"mg","aim":"Free"}</t>
        </is>
      </c>
    </row>
    <row r="26">
      <c r="A26" t="inlineStr">
        <is>
          <t>elite_tank_destroyer/0</t>
        </is>
      </c>
      <c r="B26" t="inlineStr">
        <is>
          <t>elite_tank_destroyer</t>
        </is>
      </c>
      <c r="C26" t="n">
        <v>0</v>
      </c>
      <c r="D26" t="inlineStr">
        <is>
          <t>hmg_roof</t>
        </is>
      </c>
      <c r="E26" t="inlineStr">
        <is>
          <t>Free</t>
        </is>
      </c>
      <c r="I26" t="inlineStr">
        <is>
          <t>mg</t>
        </is>
      </c>
      <c r="J26" t="inlineStr">
        <is>
          <t>Assets/MachineBrigade/Resources/Data/balance.json: vehicles[50].secondary[0]</t>
        </is>
      </c>
      <c r="K26" t="inlineStr">
        <is>
          <t>{"weapon":"hmg_roof","slot":"mg","aim":"Free"}</t>
        </is>
      </c>
    </row>
    <row r="27">
      <c r="A27" t="inlineStr">
        <is>
          <t>fighter_jet/0</t>
        </is>
      </c>
      <c r="B27" t="inlineStr">
        <is>
          <t>fighter_jet</t>
        </is>
      </c>
      <c r="C27" t="n">
        <v>0</v>
      </c>
      <c r="D27" t="inlineStr">
        <is>
          <t>wvr_aam</t>
        </is>
      </c>
      <c r="E27" t="inlineStr">
        <is>
          <t>Free</t>
        </is>
      </c>
      <c r="I27" t="inlineStr">
        <is>
          <t>aam</t>
        </is>
      </c>
      <c r="J27" t="inlineStr">
        <is>
          <t>Assets/MachineBrigade/Resources/Data/balance.json: vehicles[33].secondary[0]</t>
        </is>
      </c>
      <c r="K27" t="inlineStr">
        <is>
          <t>{"weapon":"wvr_aam","slot":"aam","aim":"Free"}</t>
        </is>
      </c>
    </row>
    <row r="28">
      <c r="A28" t="inlineStr">
        <is>
          <t>fighter_jet/1</t>
        </is>
      </c>
      <c r="B28" t="inlineStr">
        <is>
          <t>fighter_jet</t>
        </is>
      </c>
      <c r="C28" t="n">
        <v>1</v>
      </c>
      <c r="D28" t="inlineStr">
        <is>
          <t>fighter_cannon</t>
        </is>
      </c>
      <c r="E28" t="inlineStr">
        <is>
          <t>Hull</t>
        </is>
      </c>
      <c r="I28" t="inlineStr">
        <is>
          <t>gun</t>
        </is>
      </c>
      <c r="J28" t="inlineStr">
        <is>
          <t>Assets/MachineBrigade/Resources/Data/balance.json: vehicles[33].secondary[1]</t>
        </is>
      </c>
      <c r="K28" t="inlineStr">
        <is>
          <t>{"weapon":"fighter_cannon","slot":"gun","aim":"Hull"}</t>
        </is>
      </c>
    </row>
    <row r="29">
      <c r="A29" t="inlineStr">
        <is>
          <t>flame_tank/0</t>
        </is>
      </c>
      <c r="B29" t="inlineStr">
        <is>
          <t>flame_tank</t>
        </is>
      </c>
      <c r="C29" t="n">
        <v>0</v>
      </c>
      <c r="D29" t="inlineStr">
        <is>
          <t>mg_coax</t>
        </is>
      </c>
      <c r="E29" t="inlineStr">
        <is>
          <t>Turret</t>
        </is>
      </c>
      <c r="I29" t="inlineStr">
        <is>
          <t>coax</t>
        </is>
      </c>
      <c r="J29" t="inlineStr">
        <is>
          <t>Assets/MachineBrigade/Resources/Data/balance.json: vehicles[3].secondary[0]</t>
        </is>
      </c>
      <c r="K29" t="inlineStr">
        <is>
          <t>{"weapon":"mg_coax","slot":"coax","aim":"Turret"}</t>
        </is>
      </c>
    </row>
    <row r="30">
      <c r="A30" t="inlineStr">
        <is>
          <t>fpv_carrier/0</t>
        </is>
      </c>
      <c r="B30" t="inlineStr">
        <is>
          <t>fpv_carrier</t>
        </is>
      </c>
      <c r="C30" t="n">
        <v>0</v>
      </c>
      <c r="D30" t="inlineStr">
        <is>
          <t>hmg_selfdef_18</t>
        </is>
      </c>
      <c r="E30" t="inlineStr">
        <is>
          <t>Free</t>
        </is>
      </c>
      <c r="I30" t="inlineStr">
        <is>
          <t>mg</t>
        </is>
      </c>
      <c r="J30" t="inlineStr">
        <is>
          <t>Assets/MachineBrigade/Resources/Data/balance.json: vehicles[31].secondary[0]</t>
        </is>
      </c>
      <c r="K30" t="inlineStr">
        <is>
          <t>{"weapon":"hmg_selfdef_18","slot":"mg","aim":"Free"}</t>
        </is>
      </c>
    </row>
    <row r="31">
      <c r="A31" t="inlineStr">
        <is>
          <t>heavy_aa/0</t>
        </is>
      </c>
      <c r="B31" t="inlineStr">
        <is>
          <t>heavy_aa</t>
        </is>
      </c>
      <c r="C31" t="n">
        <v>0</v>
      </c>
      <c r="D31" t="inlineStr">
        <is>
          <t>missile_57e6</t>
        </is>
      </c>
      <c r="E31" t="inlineStr">
        <is>
          <t>Turret</t>
        </is>
      </c>
      <c r="I31" t="inlineStr">
        <is>
          <t>missile</t>
        </is>
      </c>
      <c r="J31" t="inlineStr">
        <is>
          <t>Assets/MachineBrigade/Resources/Data/balance.json: vehicles[19].secondary[0]</t>
        </is>
      </c>
      <c r="K31" t="inlineStr">
        <is>
          <t>{"weapon":"missile_57e6","slot":"missile","aim":"Turret"}</t>
        </is>
      </c>
    </row>
    <row r="32">
      <c r="A32" t="inlineStr">
        <is>
          <t>heavy_bomber/0</t>
        </is>
      </c>
      <c r="B32" t="inlineStr">
        <is>
          <t>heavy_bomber</t>
        </is>
      </c>
      <c r="C32" t="n">
        <v>0</v>
      </c>
      <c r="D32" t="inlineStr">
        <is>
          <t>bomber_tail_guns</t>
        </is>
      </c>
      <c r="E32" t="inlineStr">
        <is>
          <t>Free</t>
        </is>
      </c>
      <c r="I32" t="inlineStr">
        <is>
          <t>gun</t>
        </is>
      </c>
      <c r="J32" t="inlineStr">
        <is>
          <t>Assets/MachineBrigade/Resources/Data/balance.json: vehicles[21].secondary[0]</t>
        </is>
      </c>
      <c r="K32" t="inlineStr">
        <is>
          <t>{"weapon":"bomber_tail_guns","slot":"gun","aim":"Free"}</t>
        </is>
      </c>
    </row>
    <row r="33">
      <c r="A33" t="inlineStr">
        <is>
          <t>heavy_bomber/1</t>
        </is>
      </c>
      <c r="B33" t="inlineStr">
        <is>
          <t>heavy_bomber</t>
        </is>
      </c>
      <c r="C33" t="n">
        <v>1</v>
      </c>
      <c r="D33" t="inlineStr">
        <is>
          <t>air_cruise_missile</t>
        </is>
      </c>
      <c r="E33" t="inlineStr">
        <is>
          <t>Hull</t>
        </is>
      </c>
      <c r="I33" t="inlineStr">
        <is>
          <t>rocket</t>
        </is>
      </c>
      <c r="J33" t="inlineStr">
        <is>
          <t>Assets/MachineBrigade/Resources/Data/balance.json: vehicles[21].secondary[1]</t>
        </is>
      </c>
      <c r="K33" t="inlineStr">
        <is>
          <t>{"weapon":"air_cruise_missile","slot":"rocket","aim":"Hull"}</t>
        </is>
      </c>
    </row>
    <row r="34">
      <c r="A34" t="inlineStr">
        <is>
          <t>heavy_tank/0</t>
        </is>
      </c>
      <c r="B34" t="inlineStr">
        <is>
          <t>heavy_tank</t>
        </is>
      </c>
      <c r="C34" t="n">
        <v>0</v>
      </c>
      <c r="D34" t="inlineStr">
        <is>
          <t>autocannon_30</t>
        </is>
      </c>
      <c r="E34" t="inlineStr">
        <is>
          <t>Turret</t>
        </is>
      </c>
      <c r="I34" t="inlineStr">
        <is>
          <t>coax</t>
        </is>
      </c>
      <c r="J34" t="inlineStr">
        <is>
          <t>Assets/MachineBrigade/Resources/Data/balance.json: vehicles[10].secondary[0]</t>
        </is>
      </c>
      <c r="K34" t="inlineStr">
        <is>
          <t>{"weapon":"autocannon_30","slot":"coax","aim":"Turret"}</t>
        </is>
      </c>
    </row>
    <row r="35">
      <c r="A35" t="inlineStr">
        <is>
          <t>heavy_tank/1</t>
        </is>
      </c>
      <c r="B35" t="inlineStr">
        <is>
          <t>heavy_tank</t>
        </is>
      </c>
      <c r="C35" t="n">
        <v>1</v>
      </c>
      <c r="D35" t="inlineStr">
        <is>
          <t>hmg_roof</t>
        </is>
      </c>
      <c r="E35" t="inlineStr">
        <is>
          <t>Free</t>
        </is>
      </c>
      <c r="I35" t="inlineStr">
        <is>
          <t>mg</t>
        </is>
      </c>
      <c r="J35" t="inlineStr">
        <is>
          <t>Assets/MachineBrigade/Resources/Data/balance.json: vehicles[10].secondary[1]</t>
        </is>
      </c>
      <c r="K35" t="inlineStr">
        <is>
          <t>{"weapon":"hmg_roof","slot":"mg","aim":"Free"}</t>
        </is>
      </c>
    </row>
    <row r="36">
      <c r="A36" t="inlineStr">
        <is>
          <t>ifv/0</t>
        </is>
      </c>
      <c r="B36" t="inlineStr">
        <is>
          <t>ifv</t>
        </is>
      </c>
      <c r="C36" t="n">
        <v>0</v>
      </c>
      <c r="D36" t="inlineStr">
        <is>
          <t>mg_coax</t>
        </is>
      </c>
      <c r="E36" t="inlineStr">
        <is>
          <t>Turret</t>
        </is>
      </c>
      <c r="I36" t="inlineStr">
        <is>
          <t>coax</t>
        </is>
      </c>
      <c r="J36" t="inlineStr">
        <is>
          <t>Assets/MachineBrigade/Resources/Data/balance.json: vehicles[18].secondary[0]</t>
        </is>
      </c>
      <c r="K36" t="inlineStr">
        <is>
          <t>{"weapon":"mg_coax","slot":"coax","aim":"Turret"}</t>
        </is>
      </c>
    </row>
    <row r="37">
      <c r="A37" t="inlineStr">
        <is>
          <t>ifv/1</t>
        </is>
      </c>
      <c r="B37" t="inlineStr">
        <is>
          <t>ifv</t>
        </is>
      </c>
      <c r="C37" t="n">
        <v>1</v>
      </c>
      <c r="D37" t="inlineStr">
        <is>
          <t>atgm</t>
        </is>
      </c>
      <c r="E37" t="inlineStr">
        <is>
          <t>Turret</t>
        </is>
      </c>
      <c r="I37" t="inlineStr">
        <is>
          <t>missile</t>
        </is>
      </c>
      <c r="J37" t="inlineStr">
        <is>
          <t>Assets/MachineBrigade/Resources/Data/balance.json: vehicles[18].secondary[1]</t>
        </is>
      </c>
      <c r="K37" t="inlineStr">
        <is>
          <t>{"weapon":"atgm","slot":"missile","aim":"Turret"}</t>
        </is>
      </c>
    </row>
    <row r="38">
      <c r="A38" t="inlineStr">
        <is>
          <t>light_tank/0</t>
        </is>
      </c>
      <c r="B38" t="inlineStr">
        <is>
          <t>light_tank</t>
        </is>
      </c>
      <c r="C38" t="n">
        <v>0</v>
      </c>
      <c r="D38" t="inlineStr">
        <is>
          <t>mg_coax</t>
        </is>
      </c>
      <c r="E38" t="inlineStr">
        <is>
          <t>Turret</t>
        </is>
      </c>
      <c r="I38" t="inlineStr">
        <is>
          <t>coax</t>
        </is>
      </c>
      <c r="J38" t="inlineStr">
        <is>
          <t>Assets/MachineBrigade/Resources/Data/balance.json: vehicles[1].secondary[0]</t>
        </is>
      </c>
      <c r="K38" t="inlineStr">
        <is>
          <t>{"weapon":"mg_coax","slot":"coax","aim":"Turret"}</t>
        </is>
      </c>
    </row>
    <row r="39">
      <c r="A39" t="inlineStr">
        <is>
          <t>light_tank/1</t>
        </is>
      </c>
      <c r="B39" t="inlineStr">
        <is>
          <t>light_tank</t>
        </is>
      </c>
      <c r="C39" t="n">
        <v>1</v>
      </c>
      <c r="D39" t="inlineStr">
        <is>
          <t>gun_launched_atgm</t>
        </is>
      </c>
      <c r="E39" t="inlineStr">
        <is>
          <t>Turret</t>
        </is>
      </c>
      <c r="I39" t="inlineStr">
        <is>
          <t>main</t>
        </is>
      </c>
      <c r="J39" t="inlineStr">
        <is>
          <t>Assets/MachineBrigade/Resources/Data/balance.json: vehicles[1].secondary[1]</t>
        </is>
      </c>
      <c r="K39" t="inlineStr">
        <is>
          <t>{"weapon":"gun_launched_atgm","slot":"main","aim":"Turret"}</t>
        </is>
      </c>
    </row>
    <row r="40">
      <c r="A40" t="inlineStr">
        <is>
          <t>main_battle_tank/0</t>
        </is>
      </c>
      <c r="B40" t="inlineStr">
        <is>
          <t>main_battle_tank</t>
        </is>
      </c>
      <c r="C40" t="n">
        <v>0</v>
      </c>
      <c r="D40" t="inlineStr">
        <is>
          <t>mg_coax</t>
        </is>
      </c>
      <c r="E40" t="inlineStr">
        <is>
          <t>Turret</t>
        </is>
      </c>
      <c r="I40" t="inlineStr">
        <is>
          <t>coax</t>
        </is>
      </c>
      <c r="J40" t="inlineStr">
        <is>
          <t>Assets/MachineBrigade/Resources/Data/balance.json: vehicles[2].secondary[0]</t>
        </is>
      </c>
      <c r="K40" t="inlineStr">
        <is>
          <t>{"weapon":"mg_coax","slot":"coax","aim":"Turret"}</t>
        </is>
      </c>
    </row>
    <row r="41">
      <c r="A41" t="inlineStr">
        <is>
          <t>main_battle_tank/1</t>
        </is>
      </c>
      <c r="B41" t="inlineStr">
        <is>
          <t>main_battle_tank</t>
        </is>
      </c>
      <c r="C41" t="n">
        <v>1</v>
      </c>
      <c r="D41" t="inlineStr">
        <is>
          <t>hmg_roof</t>
        </is>
      </c>
      <c r="E41" t="inlineStr">
        <is>
          <t>Free</t>
        </is>
      </c>
      <c r="I41" t="inlineStr">
        <is>
          <t>mg</t>
        </is>
      </c>
      <c r="J41" t="inlineStr">
        <is>
          <t>Assets/MachineBrigade/Resources/Data/balance.json: vehicles[2].secondary[1]</t>
        </is>
      </c>
      <c r="K41" t="inlineStr">
        <is>
          <t>{"weapon":"hmg_roof","slot":"mg","aim":"Free"}</t>
        </is>
      </c>
    </row>
    <row r="42">
      <c r="A42" t="inlineStr">
        <is>
          <t>mara_behemoth/0</t>
        </is>
      </c>
      <c r="B42" t="inlineStr">
        <is>
          <t>mara_behemoth</t>
        </is>
      </c>
      <c r="C42" t="n">
        <v>0</v>
      </c>
      <c r="D42" t="inlineStr">
        <is>
          <t>gun_120mm</t>
        </is>
      </c>
      <c r="E42" t="inlineStr">
        <is>
          <t>Free</t>
        </is>
      </c>
      <c r="I42" t="inlineStr">
        <is>
          <t>gun</t>
        </is>
      </c>
      <c r="J42" t="inlineStr">
        <is>
          <t>Assets/MachineBrigade/Resources/Data/balance.json: vehicles[178].secondary[0]</t>
        </is>
      </c>
      <c r="K42" t="inlineStr">
        <is>
          <t>{"weapon":"gun_120mm","slot":"gun","aim":"Free"}</t>
        </is>
      </c>
    </row>
    <row r="43">
      <c r="A43" t="inlineStr">
        <is>
          <t>mara_behemoth/1</t>
        </is>
      </c>
      <c r="B43" t="inlineStr">
        <is>
          <t>mara_behemoth</t>
        </is>
      </c>
      <c r="C43" t="n">
        <v>1</v>
      </c>
      <c r="D43" t="inlineStr">
        <is>
          <t>boss_flak</t>
        </is>
      </c>
      <c r="E43" t="inlineStr">
        <is>
          <t>Free</t>
        </is>
      </c>
      <c r="I43" t="inlineStr">
        <is>
          <t>mg</t>
        </is>
      </c>
      <c r="J43" t="inlineStr">
        <is>
          <t>Assets/MachineBrigade/Resources/Data/balance.json: vehicles[178].secondary[1]</t>
        </is>
      </c>
      <c r="K43" t="inlineStr">
        <is>
          <t>{"weapon":"boss_flak","slot":"mg","aim":"Free"}</t>
        </is>
      </c>
    </row>
    <row r="44">
      <c r="A44" t="inlineStr">
        <is>
          <t>mara_behemoth/2</t>
        </is>
      </c>
      <c r="B44" t="inlineStr">
        <is>
          <t>mara_behemoth</t>
        </is>
      </c>
      <c r="C44" t="n">
        <v>2</v>
      </c>
      <c r="D44" t="inlineStr">
        <is>
          <t>boss_flak</t>
        </is>
      </c>
      <c r="E44" t="inlineStr">
        <is>
          <t>Free</t>
        </is>
      </c>
      <c r="I44" t="inlineStr">
        <is>
          <t>mg</t>
        </is>
      </c>
      <c r="J44" t="inlineStr">
        <is>
          <t>Assets/MachineBrigade/Resources/Data/balance.json: vehicles[178].secondary[2]</t>
        </is>
      </c>
      <c r="K44" t="inlineStr">
        <is>
          <t>{"weapon":"boss_flak","slot":"mg","aim":"Free"}</t>
        </is>
      </c>
    </row>
    <row r="45">
      <c r="A45" t="inlineStr">
        <is>
          <t>mara_behemoth/3</t>
        </is>
      </c>
      <c r="B45" t="inlineStr">
        <is>
          <t>mara_behemoth</t>
        </is>
      </c>
      <c r="C45" t="n">
        <v>3</v>
      </c>
      <c r="D45" t="inlineStr">
        <is>
          <t>boss_missiles</t>
        </is>
      </c>
      <c r="E45" t="inlineStr">
        <is>
          <t>Hull</t>
        </is>
      </c>
      <c r="I45" t="inlineStr">
        <is>
          <t>missile</t>
        </is>
      </c>
      <c r="J45" t="inlineStr">
        <is>
          <t>Assets/MachineBrigade/Resources/Data/balance.json: vehicles[178].secondary[3]</t>
        </is>
      </c>
      <c r="K45" t="inlineStr">
        <is>
          <t>{"weapon":"boss_missiles","slot":"missile","aim":"Hull"}</t>
        </is>
      </c>
    </row>
    <row r="46">
      <c r="A46" t="inlineStr">
        <is>
          <t>mara_behemoth/4</t>
        </is>
      </c>
      <c r="B46" t="inlineStr">
        <is>
          <t>mara_behemoth</t>
        </is>
      </c>
      <c r="C46" t="n">
        <v>4</v>
      </c>
      <c r="D46" t="inlineStr">
        <is>
          <t>boss_missiles</t>
        </is>
      </c>
      <c r="E46" t="inlineStr">
        <is>
          <t>Hull</t>
        </is>
      </c>
      <c r="I46" t="inlineStr">
        <is>
          <t>missile</t>
        </is>
      </c>
      <c r="J46" t="inlineStr">
        <is>
          <t>Assets/MachineBrigade/Resources/Data/balance.json: vehicles[178].secondary[4]</t>
        </is>
      </c>
      <c r="K46" t="inlineStr">
        <is>
          <t>{"weapon":"boss_missiles","slot":"missile","aim":"Hull"}</t>
        </is>
      </c>
    </row>
    <row r="47">
      <c r="A47" t="inlineStr">
        <is>
          <t>missile_boat/0</t>
        </is>
      </c>
      <c r="B47" t="inlineStr">
        <is>
          <t>missile_boat</t>
        </is>
      </c>
      <c r="C47" t="n">
        <v>0</v>
      </c>
      <c r="D47" t="inlineStr">
        <is>
          <t>hmg_roof</t>
        </is>
      </c>
      <c r="E47" t="inlineStr">
        <is>
          <t>Free</t>
        </is>
      </c>
      <c r="I47" t="inlineStr">
        <is>
          <t>mg</t>
        </is>
      </c>
      <c r="J47" t="inlineStr">
        <is>
          <t>Assets/MachineBrigade/Resources/Data/balance.json: vehicles[156].secondary[0]</t>
        </is>
      </c>
      <c r="K47" t="inlineStr">
        <is>
          <t>{"weapon":"hmg_roof","slot":"mg","aim":"Free"}</t>
        </is>
      </c>
    </row>
    <row r="48">
      <c r="A48" t="inlineStr">
        <is>
          <t>mortar_carrier/0</t>
        </is>
      </c>
      <c r="B48" t="inlineStr">
        <is>
          <t>mortar_carrier</t>
        </is>
      </c>
      <c r="C48" t="n">
        <v>0</v>
      </c>
      <c r="D48" t="inlineStr">
        <is>
          <t>hmg_selfdef_18</t>
        </is>
      </c>
      <c r="E48" t="inlineStr">
        <is>
          <t>Free</t>
        </is>
      </c>
      <c r="I48" t="inlineStr">
        <is>
          <t>mg</t>
        </is>
      </c>
      <c r="J48" t="inlineStr">
        <is>
          <t>Assets/MachineBrigade/Resources/Data/balance.json: vehicles[12].secondary[0]</t>
        </is>
      </c>
      <c r="K48" t="inlineStr">
        <is>
          <t>{"weapon":"hmg_selfdef_18","slot":"mg","aim":"Free"}</t>
        </is>
      </c>
    </row>
    <row r="49">
      <c r="A49" t="inlineStr">
        <is>
          <t>river_patrol_boat/0</t>
        </is>
      </c>
      <c r="B49" t="inlineStr">
        <is>
          <t>river_patrol_boat</t>
        </is>
      </c>
      <c r="C49" t="n">
        <v>0</v>
      </c>
      <c r="D49" t="inlineStr">
        <is>
          <t>agl_40</t>
        </is>
      </c>
      <c r="E49" t="inlineStr">
        <is>
          <t>Free</t>
        </is>
      </c>
      <c r="I49" t="inlineStr">
        <is>
          <t>mg</t>
        </is>
      </c>
      <c r="J49" t="inlineStr">
        <is>
          <t>Assets/MachineBrigade/Resources/Data/balance.json: vehicles[124].secondary[0]</t>
        </is>
      </c>
      <c r="K49" t="inlineStr">
        <is>
          <t>{"weapon":"agl_40","slot":"mg","aim":"Free"}</t>
        </is>
      </c>
    </row>
    <row r="50">
      <c r="A50" t="inlineStr">
        <is>
          <t>rocket_technical/0</t>
        </is>
      </c>
      <c r="B50" t="inlineStr">
        <is>
          <t>rocket_technical</t>
        </is>
      </c>
      <c r="C50" t="n">
        <v>0</v>
      </c>
      <c r="D50" t="inlineStr">
        <is>
          <t>mg_jeep_selfdef</t>
        </is>
      </c>
      <c r="E50" t="inlineStr">
        <is>
          <t>Free</t>
        </is>
      </c>
      <c r="I50" t="inlineStr">
        <is>
          <t>mg</t>
        </is>
      </c>
      <c r="J50" t="inlineStr">
        <is>
          <t>Assets/MachineBrigade/Resources/Data/balance.json: vehicles[13].secondary[0]</t>
        </is>
      </c>
      <c r="K50" t="inlineStr">
        <is>
          <t>{"weapon":"mg_jeep_selfdef","slot":"mg","aim":"Free"}</t>
        </is>
      </c>
    </row>
    <row r="51">
      <c r="A51" t="inlineStr">
        <is>
          <t>scout_heli/0</t>
        </is>
      </c>
      <c r="B51" t="inlineStr">
        <is>
          <t>scout_heli</t>
        </is>
      </c>
      <c r="C51" t="n">
        <v>0</v>
      </c>
      <c r="D51" t="inlineStr">
        <is>
          <t>scout_rockets</t>
        </is>
      </c>
      <c r="E51" t="inlineStr">
        <is>
          <t>Hull</t>
        </is>
      </c>
      <c r="I51" t="inlineStr">
        <is>
          <t>rocket</t>
        </is>
      </c>
      <c r="J51" t="inlineStr">
        <is>
          <t>Assets/MachineBrigade/Resources/Data/balance.json: vehicles[14].secondary[0]</t>
        </is>
      </c>
      <c r="K51" t="inlineStr">
        <is>
          <t>{"weapon":"scout_rockets","slot":"rocket","aim":"Hull"}</t>
        </is>
      </c>
    </row>
    <row r="52">
      <c r="A52" t="inlineStr">
        <is>
          <t>sea_corvette/0</t>
        </is>
      </c>
      <c r="B52" t="inlineStr">
        <is>
          <t>sea_corvette</t>
        </is>
      </c>
      <c r="C52" t="n">
        <v>0</v>
      </c>
      <c r="D52" t="inlineStr">
        <is>
          <t>hover_ciws</t>
        </is>
      </c>
      <c r="E52" t="inlineStr">
        <is>
          <t>Free</t>
        </is>
      </c>
      <c r="I52" t="inlineStr">
        <is>
          <t>mg</t>
        </is>
      </c>
      <c r="J52" t="inlineStr">
        <is>
          <t>Assets/MachineBrigade/Resources/Data/balance.json: vehicles[154].secondary[0]</t>
        </is>
      </c>
      <c r="K52" t="inlineStr">
        <is>
          <t>{"weapon":"hover_ciws","slot":"mg","aim":"Free"}</t>
        </is>
      </c>
    </row>
    <row r="53">
      <c r="A53" t="inlineStr">
        <is>
          <t>sea_cruiser/0</t>
        </is>
      </c>
      <c r="B53" t="inlineStr">
        <is>
          <t>sea_cruiser</t>
        </is>
      </c>
      <c r="C53" t="n">
        <v>0</v>
      </c>
      <c r="D53" t="inlineStr">
        <is>
          <t>cruiser_203</t>
        </is>
      </c>
      <c r="E53" t="inlineStr">
        <is>
          <t>Free</t>
        </is>
      </c>
      <c r="F53" t="n">
        <v>180</v>
      </c>
      <c r="G53" t="n">
        <v>150</v>
      </c>
      <c r="I53" t="inlineStr">
        <is>
          <t>gun</t>
        </is>
      </c>
      <c r="J53" t="inlineStr">
        <is>
          <t>Assets/MachineBrigade/Resources/Data/balance.json: vehicles[155].secondary[0]</t>
        </is>
      </c>
      <c r="K53" t="inlineStr">
        <is>
          <t>{"weapon":"cruiser_203","slot":"gun","aim":"Free","arc":[180,150]}</t>
        </is>
      </c>
    </row>
    <row r="54">
      <c r="A54" t="inlineStr">
        <is>
          <t>sea_cruiser/1</t>
        </is>
      </c>
      <c r="B54" t="inlineStr">
        <is>
          <t>sea_cruiser</t>
        </is>
      </c>
      <c r="C54" t="n">
        <v>1</v>
      </c>
      <c r="D54" t="inlineStr">
        <is>
          <t>hover_ciws</t>
        </is>
      </c>
      <c r="E54" t="inlineStr">
        <is>
          <t>Free</t>
        </is>
      </c>
      <c r="I54" t="inlineStr">
        <is>
          <t>mg</t>
        </is>
      </c>
      <c r="J54" t="inlineStr">
        <is>
          <t>Assets/MachineBrigade/Resources/Data/balance.json: vehicles[155].secondary[1]</t>
        </is>
      </c>
      <c r="K54" t="inlineStr">
        <is>
          <t>{"weapon":"hover_ciws","slot":"mg","aim":"Free"}</t>
        </is>
      </c>
    </row>
    <row r="55">
      <c r="A55" t="inlineStr">
        <is>
          <t>sea_cruiser/2</t>
        </is>
      </c>
      <c r="B55" t="inlineStr">
        <is>
          <t>sea_cruiser</t>
        </is>
      </c>
      <c r="C55" t="n">
        <v>2</v>
      </c>
      <c r="D55" t="inlineStr">
        <is>
          <t>hover_ciws</t>
        </is>
      </c>
      <c r="E55" t="inlineStr">
        <is>
          <t>Free</t>
        </is>
      </c>
      <c r="I55" t="inlineStr">
        <is>
          <t>mg</t>
        </is>
      </c>
      <c r="J55" t="inlineStr">
        <is>
          <t>Assets/MachineBrigade/Resources/Data/balance.json: vehicles[155].secondary[2]</t>
        </is>
      </c>
      <c r="K55" t="inlineStr">
        <is>
          <t>{"weapon":"hover_ciws","slot":"mg","aim":"Free"}</t>
        </is>
      </c>
    </row>
    <row r="56">
      <c r="A56" t="inlineStr">
        <is>
          <t>shahed_truck/0</t>
        </is>
      </c>
      <c r="B56" t="inlineStr">
        <is>
          <t>shahed_truck</t>
        </is>
      </c>
      <c r="C56" t="n">
        <v>0</v>
      </c>
      <c r="D56" t="inlineStr">
        <is>
          <t>hmg_selfdef_15</t>
        </is>
      </c>
      <c r="E56" t="inlineStr">
        <is>
          <t>Free</t>
        </is>
      </c>
      <c r="I56" t="inlineStr">
        <is>
          <t>mg</t>
        </is>
      </c>
      <c r="J56" t="inlineStr">
        <is>
          <t>Assets/MachineBrigade/Resources/Data/balance.json: vehicles[37].secondary[0]</t>
        </is>
      </c>
      <c r="K56" t="inlineStr">
        <is>
          <t>{"weapon":"hmg_selfdef_15","slot":"mg","aim":"Free"}</t>
        </is>
      </c>
    </row>
    <row r="57">
      <c r="A57" t="inlineStr">
        <is>
          <t>siege_tank/0</t>
        </is>
      </c>
      <c r="B57" t="inlineStr">
        <is>
          <t>siege_tank</t>
        </is>
      </c>
      <c r="C57" t="n">
        <v>0</v>
      </c>
      <c r="D57" t="inlineStr">
        <is>
          <t>siege_gun_105</t>
        </is>
      </c>
      <c r="E57" t="inlineStr">
        <is>
          <t>Turret</t>
        </is>
      </c>
      <c r="I57" t="inlineStr">
        <is>
          <t>gun</t>
        </is>
      </c>
      <c r="J57" t="inlineStr">
        <is>
          <t>Assets/MachineBrigade/Resources/Data/balance.json: vehicles[25].secondary[0]</t>
        </is>
      </c>
      <c r="K57" t="inlineStr">
        <is>
          <t>{"weapon":"siege_gun_105","slot":"gun","aim":"Turret"}</t>
        </is>
      </c>
    </row>
    <row r="58">
      <c r="A58" t="inlineStr">
        <is>
          <t>siege_tank/1</t>
        </is>
      </c>
      <c r="B58" t="inlineStr">
        <is>
          <t>siege_tank</t>
        </is>
      </c>
      <c r="C58" t="n">
        <v>1</v>
      </c>
      <c r="D58" t="inlineStr">
        <is>
          <t>hmg_selfdef_21</t>
        </is>
      </c>
      <c r="E58" t="inlineStr">
        <is>
          <t>Free</t>
        </is>
      </c>
      <c r="I58" t="inlineStr">
        <is>
          <t>mg</t>
        </is>
      </c>
      <c r="J58" t="inlineStr">
        <is>
          <t>Assets/MachineBrigade/Resources/Data/balance.json: vehicles[25].secondary[1]</t>
        </is>
      </c>
      <c r="K58" t="inlineStr">
        <is>
          <t>{"weapon":"hmg_selfdef_21","slot":"mg","aim":"Free"}</t>
        </is>
      </c>
    </row>
    <row r="59">
      <c r="A59" t="inlineStr">
        <is>
          <t>sky_gunship/0</t>
        </is>
      </c>
      <c r="B59" t="inlineStr">
        <is>
          <t>sky_gunship</t>
        </is>
      </c>
      <c r="C59" t="n">
        <v>0</v>
      </c>
      <c r="D59" t="inlineStr">
        <is>
          <t>gunship_40mm</t>
        </is>
      </c>
      <c r="E59" t="inlineStr">
        <is>
          <t>Left</t>
        </is>
      </c>
      <c r="I59" t="inlineStr">
        <is>
          <t>gun</t>
        </is>
      </c>
      <c r="J59" t="inlineStr">
        <is>
          <t>Assets/MachineBrigade/Resources/Data/balance.json: vehicles[23].secondary[0]</t>
        </is>
      </c>
      <c r="K59" t="inlineStr">
        <is>
          <t>{"weapon":"gunship_40mm","slot":"gun","aim":"Left"}</t>
        </is>
      </c>
    </row>
    <row r="60">
      <c r="A60" t="inlineStr">
        <is>
          <t>sky_gunship/1</t>
        </is>
      </c>
      <c r="B60" t="inlineStr">
        <is>
          <t>sky_gunship</t>
        </is>
      </c>
      <c r="C60" t="n">
        <v>1</v>
      </c>
      <c r="D60" t="inlineStr">
        <is>
          <t>gunship_25mm</t>
        </is>
      </c>
      <c r="E60" t="inlineStr">
        <is>
          <t>Left</t>
        </is>
      </c>
      <c r="I60" t="inlineStr">
        <is>
          <t>mg</t>
        </is>
      </c>
      <c r="J60" t="inlineStr">
        <is>
          <t>Assets/MachineBrigade/Resources/Data/balance.json: vehicles[23].secondary[1]</t>
        </is>
      </c>
      <c r="K60" t="inlineStr">
        <is>
          <t>{"weapon":"gunship_25mm","slot":"mg","aim":"Left"}</t>
        </is>
      </c>
    </row>
    <row r="61">
      <c r="A61" t="inlineStr">
        <is>
          <t>sp_mortar/0</t>
        </is>
      </c>
      <c r="B61" t="inlineStr">
        <is>
          <t>sp_mortar</t>
        </is>
      </c>
      <c r="C61" t="n">
        <v>0</v>
      </c>
      <c r="D61" t="inlineStr">
        <is>
          <t>hmg_selfdef_18</t>
        </is>
      </c>
      <c r="E61" t="inlineStr">
        <is>
          <t>Free</t>
        </is>
      </c>
      <c r="I61" t="inlineStr">
        <is>
          <t>mg</t>
        </is>
      </c>
      <c r="J61" t="inlineStr">
        <is>
          <t>Assets/MachineBrigade/Resources/Data/balance.json: vehicles[114].secondary[0]</t>
        </is>
      </c>
      <c r="K61" t="inlineStr">
        <is>
          <t>{"weapon":"hmg_selfdef_18","slot":"mg","aim":"Free"}</t>
        </is>
      </c>
    </row>
    <row r="62">
      <c r="A62" t="inlineStr">
        <is>
          <t>stealth_bomber/0</t>
        </is>
      </c>
      <c r="B62" t="inlineStr">
        <is>
          <t>stealth_bomber</t>
        </is>
      </c>
      <c r="C62" t="n">
        <v>0</v>
      </c>
      <c r="D62" t="inlineStr">
        <is>
          <t>jassm</t>
        </is>
      </c>
      <c r="E62" t="inlineStr">
        <is>
          <t>Hull</t>
        </is>
      </c>
      <c r="I62" t="inlineStr">
        <is>
          <t>rocket</t>
        </is>
      </c>
      <c r="J62" t="inlineStr">
        <is>
          <t>Assets/MachineBrigade/Resources/Data/balance.json: vehicles[22].secondary[0]</t>
        </is>
      </c>
      <c r="K62" t="inlineStr">
        <is>
          <t>{"weapon":"jassm","slot":"rocket","aim":"Hull"}</t>
        </is>
      </c>
    </row>
    <row r="63">
      <c r="A63" t="inlineStr">
        <is>
          <t>stealth_fighter/0</t>
        </is>
      </c>
      <c r="B63" t="inlineStr">
        <is>
          <t>stealth_fighter</t>
        </is>
      </c>
      <c r="C63" t="n">
        <v>0</v>
      </c>
      <c r="D63" t="inlineStr">
        <is>
          <t>guided_bomb</t>
        </is>
      </c>
      <c r="E63" t="inlineStr">
        <is>
          <t>Free</t>
        </is>
      </c>
      <c r="I63" t="inlineStr">
        <is>
          <t>bomb</t>
        </is>
      </c>
      <c r="J63" t="inlineStr">
        <is>
          <t>Assets/MachineBrigade/Resources/Data/balance.json: vehicles[44].secondary[0]</t>
        </is>
      </c>
      <c r="K63" t="inlineStr">
        <is>
          <t>{"weapon":"guided_bomb","slot":"bomb","aim":"Free"}</t>
        </is>
      </c>
    </row>
    <row r="64">
      <c r="A64" t="inlineStr">
        <is>
          <t>stealth_fighter/1</t>
        </is>
      </c>
      <c r="B64" t="inlineStr">
        <is>
          <t>stealth_fighter</t>
        </is>
      </c>
      <c r="C64" t="n">
        <v>1</v>
      </c>
      <c r="D64" t="inlineStr">
        <is>
          <t>fighter_cannon</t>
        </is>
      </c>
      <c r="E64" t="inlineStr">
        <is>
          <t>Hull</t>
        </is>
      </c>
      <c r="I64" t="inlineStr">
        <is>
          <t>gun</t>
        </is>
      </c>
      <c r="J64" t="inlineStr">
        <is>
          <t>Assets/MachineBrigade/Resources/Data/balance.json: vehicles[44].secondary[1]</t>
        </is>
      </c>
      <c r="K64" t="inlineStr">
        <is>
          <t>{"weapon":"fighter_cannon","slot":"gun","aim":"Hull"}</t>
        </is>
      </c>
    </row>
    <row r="65">
      <c r="A65" t="inlineStr">
        <is>
          <t>stealth_naval_strike/0</t>
        </is>
      </c>
      <c r="B65" t="inlineStr">
        <is>
          <t>stealth_naval_strike</t>
        </is>
      </c>
      <c r="C65" t="n">
        <v>0</v>
      </c>
      <c r="D65" t="inlineStr">
        <is>
          <t>jet_bombs</t>
        </is>
      </c>
      <c r="E65" t="inlineStr">
        <is>
          <t>Hull</t>
        </is>
      </c>
      <c r="I65" t="inlineStr">
        <is>
          <t>missile</t>
        </is>
      </c>
      <c r="J65" t="inlineStr">
        <is>
          <t>Assets/MachineBrigade/Resources/Data/balance.json: vehicles[126].secondary[0]</t>
        </is>
      </c>
      <c r="K65" t="inlineStr">
        <is>
          <t>{"weapon":"jet_bombs","slot":"missile","aim":"Hull"}</t>
        </is>
      </c>
    </row>
    <row r="66">
      <c r="A66" t="inlineStr">
        <is>
          <t>strike_drone/0</t>
        </is>
      </c>
      <c r="B66" t="inlineStr">
        <is>
          <t>strike_drone</t>
        </is>
      </c>
      <c r="C66" t="n">
        <v>0</v>
      </c>
      <c r="D66" t="inlineStr">
        <is>
          <t>guided_bomb</t>
        </is>
      </c>
      <c r="E66" t="inlineStr">
        <is>
          <t>Hull</t>
        </is>
      </c>
      <c r="I66" t="inlineStr">
        <is>
          <t>rocket</t>
        </is>
      </c>
      <c r="J66" t="inlineStr">
        <is>
          <t>Assets/MachineBrigade/Resources/Data/balance.json: vehicles[16].secondary[0]</t>
        </is>
      </c>
      <c r="K66" t="inlineStr">
        <is>
          <t>{"weapon":"guided_bomb","slot":"rocket","aim":"Hull"}</t>
        </is>
      </c>
    </row>
    <row r="67">
      <c r="A67" t="inlineStr">
        <is>
          <t>swarm_carrier/0</t>
        </is>
      </c>
      <c r="B67" t="inlineStr">
        <is>
          <t>swarm_carrier</t>
        </is>
      </c>
      <c r="C67" t="n">
        <v>0</v>
      </c>
      <c r="D67" t="inlineStr">
        <is>
          <t>jassm</t>
        </is>
      </c>
      <c r="E67" t="inlineStr">
        <is>
          <t>Free</t>
        </is>
      </c>
      <c r="I67" t="inlineStr">
        <is>
          <t>drone</t>
        </is>
      </c>
      <c r="J67" t="inlineStr">
        <is>
          <t>Assets/MachineBrigade/Resources/Data/balance.json: vehicles[47].secondary[0]</t>
        </is>
      </c>
      <c r="K67" t="inlineStr">
        <is>
          <t>{"weapon":"jassm","slot":"drone","aim":"Free"}</t>
        </is>
      </c>
    </row>
    <row r="68">
      <c r="A68" t="inlineStr">
        <is>
          <t>tank_destroyer/0</t>
        </is>
      </c>
      <c r="B68" t="inlineStr">
        <is>
          <t>tank_destroyer</t>
        </is>
      </c>
      <c r="C68" t="n">
        <v>0</v>
      </c>
      <c r="D68" t="inlineStr">
        <is>
          <t>hmg_roof</t>
        </is>
      </c>
      <c r="E68" t="inlineStr">
        <is>
          <t>Free</t>
        </is>
      </c>
      <c r="I68" t="inlineStr">
        <is>
          <t>mg</t>
        </is>
      </c>
      <c r="J68" t="inlineStr">
        <is>
          <t>Assets/MachineBrigade/Resources/Data/balance.json: vehicles[9].secondary[0]</t>
        </is>
      </c>
      <c r="K68" t="inlineStr">
        <is>
          <t>{"weapon":"hmg_roof","slot":"mg","aim":"Free"}</t>
        </is>
      </c>
    </row>
    <row r="69">
      <c r="A69" t="inlineStr">
        <is>
          <t>thermobaric_launcher/0</t>
        </is>
      </c>
      <c r="B69" t="inlineStr">
        <is>
          <t>thermobaric_launcher</t>
        </is>
      </c>
      <c r="C69" t="n">
        <v>0</v>
      </c>
      <c r="D69" t="inlineStr">
        <is>
          <t>hmg_selfdef_18</t>
        </is>
      </c>
      <c r="E69" t="inlineStr">
        <is>
          <t>Free</t>
        </is>
      </c>
      <c r="I69" t="inlineStr">
        <is>
          <t>mg</t>
        </is>
      </c>
      <c r="J69" t="inlineStr">
        <is>
          <t>Assets/MachineBrigade/Resources/Data/balance.json: vehicles[17].secondary[0]</t>
        </is>
      </c>
      <c r="K69" t="inlineStr">
        <is>
          <t>{"weapon":"hmg_selfdef_18","slot":"mg","aim":"Free"}</t>
        </is>
      </c>
    </row>
    <row r="70">
      <c r="A70" t="inlineStr">
        <is>
          <t>titan_tank/0</t>
        </is>
      </c>
      <c r="B70" t="inlineStr">
        <is>
          <t>titan_tank</t>
        </is>
      </c>
      <c r="C70" t="n">
        <v>0</v>
      </c>
      <c r="D70" t="inlineStr">
        <is>
          <t>mg_coax</t>
        </is>
      </c>
      <c r="E70" t="inlineStr">
        <is>
          <t>Turret</t>
        </is>
      </c>
      <c r="I70" t="inlineStr">
        <is>
          <t>coax</t>
        </is>
      </c>
      <c r="J70" t="inlineStr">
        <is>
          <t>Assets/MachineBrigade/Resources/Data/balance.json: vehicles[20].secondary[0]</t>
        </is>
      </c>
      <c r="K70" t="inlineStr">
        <is>
          <t>{"weapon":"mg_coax","slot":"coax","aim":"Turret"}</t>
        </is>
      </c>
    </row>
    <row r="71">
      <c r="A71" t="inlineStr">
        <is>
          <t>titan_tank/1</t>
        </is>
      </c>
      <c r="B71" t="inlineStr">
        <is>
          <t>titan_tank</t>
        </is>
      </c>
      <c r="C71" t="n">
        <v>1</v>
      </c>
      <c r="D71" t="inlineStr">
        <is>
          <t>hmg_roof</t>
        </is>
      </c>
      <c r="E71" t="inlineStr">
        <is>
          <t>Free</t>
        </is>
      </c>
      <c r="I71" t="inlineStr">
        <is>
          <t>mg</t>
        </is>
      </c>
      <c r="J71" t="inlineStr">
        <is>
          <t>Assets/MachineBrigade/Resources/Data/balance.json: vehicles[20].secondary[1]</t>
        </is>
      </c>
      <c r="K71" t="inlineStr">
        <is>
          <t>{"weapon":"hmg_roof","slot":"mg","aim":"Free"}</t>
        </is>
      </c>
    </row>
    <row r="72">
      <c r="A72" t="inlineStr">
        <is>
          <t>titan_tank/2</t>
        </is>
      </c>
      <c r="B72" t="inlineStr">
        <is>
          <t>titan_tank</t>
        </is>
      </c>
      <c r="C72" t="n">
        <v>2</v>
      </c>
      <c r="D72" t="inlineStr">
        <is>
          <t>atgm</t>
        </is>
      </c>
      <c r="E72" t="inlineStr">
        <is>
          <t>Turret</t>
        </is>
      </c>
      <c r="I72" t="inlineStr">
        <is>
          <t>missile</t>
        </is>
      </c>
      <c r="J72" t="inlineStr">
        <is>
          <t>Assets/MachineBrigade/Resources/Data/balance.json: vehicles[20].secondary[2]</t>
        </is>
      </c>
      <c r="K72" t="inlineStr">
        <is>
          <t>{"weapon":"atgm","slot":"missile","aim":"Turret"}</t>
        </is>
      </c>
    </row>
    <row r="73">
      <c r="A73" t="inlineStr">
        <is>
          <t>twin_rotor_gunship/0</t>
        </is>
      </c>
      <c r="B73" t="inlineStr">
        <is>
          <t>twin_rotor_gunship</t>
        </is>
      </c>
      <c r="C73" t="n">
        <v>0</v>
      </c>
      <c r="D73" t="inlineStr">
        <is>
          <t>agl_40</t>
        </is>
      </c>
      <c r="E73" t="inlineStr">
        <is>
          <t>Free</t>
        </is>
      </c>
      <c r="I73" t="inlineStr">
        <is>
          <t>mg</t>
        </is>
      </c>
      <c r="J73" t="inlineStr">
        <is>
          <t>Assets/MachineBrigade/Resources/Data/balance.json: vehicles[127].secondary[0]</t>
        </is>
      </c>
      <c r="K73" t="inlineStr">
        <is>
          <t>{"weapon":"agl_40","slot":"mg","aim":"Free"}</t>
        </is>
      </c>
    </row>
    <row r="74">
      <c r="A74" t="inlineStr">
        <is>
          <t>twin_tank/0</t>
        </is>
      </c>
      <c r="B74" t="inlineStr">
        <is>
          <t>twin_tank</t>
        </is>
      </c>
      <c r="C74" t="n">
        <v>0</v>
      </c>
      <c r="D74" t="inlineStr">
        <is>
          <t>mg_coax</t>
        </is>
      </c>
      <c r="E74" t="inlineStr">
        <is>
          <t>Turret</t>
        </is>
      </c>
      <c r="I74" t="inlineStr">
        <is>
          <t>coax</t>
        </is>
      </c>
      <c r="J74" t="inlineStr">
        <is>
          <t>Assets/MachineBrigade/Resources/Data/balance.json: vehicles[24].secondary[0]</t>
        </is>
      </c>
      <c r="K74" t="inlineStr">
        <is>
          <t>{"weapon":"mg_coax","slot":"coax","aim":"Turret"}</t>
        </is>
      </c>
    </row>
    <row r="75">
      <c r="A75" t="inlineStr">
        <is>
          <t>twin_tank/1</t>
        </is>
      </c>
      <c r="B75" t="inlineStr">
        <is>
          <t>twin_tank</t>
        </is>
      </c>
      <c r="C75" t="n">
        <v>1</v>
      </c>
      <c r="D75" t="inlineStr">
        <is>
          <t>hmg_roof</t>
        </is>
      </c>
      <c r="E75" t="inlineStr">
        <is>
          <t>Free</t>
        </is>
      </c>
      <c r="I75" t="inlineStr">
        <is>
          <t>mg</t>
        </is>
      </c>
      <c r="J75" t="inlineStr">
        <is>
          <t>Assets/MachineBrigade/Resources/Data/balance.json: vehicles[24].secondary[1]</t>
        </is>
      </c>
      <c r="K75" t="inlineStr">
        <is>
          <t>{"weapon":"hmg_roof","slot":"mg","aim":"Free"}</t>
        </is>
      </c>
    </row>
    <row r="76">
      <c r="A76" t="inlineStr">
        <is>
          <t>wheeled_gun/0</t>
        </is>
      </c>
      <c r="B76" t="inlineStr">
        <is>
          <t>wheeled_gun</t>
        </is>
      </c>
      <c r="C76" t="n">
        <v>0</v>
      </c>
      <c r="D76" t="inlineStr">
        <is>
          <t>mg_coax</t>
        </is>
      </c>
      <c r="E76" t="inlineStr">
        <is>
          <t>Turret</t>
        </is>
      </c>
      <c r="I76" t="inlineStr">
        <is>
          <t>coax</t>
        </is>
      </c>
      <c r="J76" t="inlineStr">
        <is>
          <t>Assets/MachineBrigade/Resources/Data/balance.json: vehicles[42].secondary[0]</t>
        </is>
      </c>
      <c r="K76" t="inlineStr">
        <is>
          <t>{"weapon":"mg_coax","slot":"coax","aim":"Turret"}</t>
        </is>
      </c>
    </row>
    <row r="77">
      <c r="A77" t="inlineStr">
        <is>
          <t>wheeled_gun/1</t>
        </is>
      </c>
      <c r="B77" t="inlineStr">
        <is>
          <t>wheeled_gun</t>
        </is>
      </c>
      <c r="C77" t="n">
        <v>1</v>
      </c>
      <c r="D77" t="inlineStr">
        <is>
          <t>hmg_roof</t>
        </is>
      </c>
      <c r="E77" t="inlineStr">
        <is>
          <t>Free</t>
        </is>
      </c>
      <c r="I77" t="inlineStr">
        <is>
          <t>mg</t>
        </is>
      </c>
      <c r="J77" t="inlineStr">
        <is>
          <t>Assets/MachineBrigade/Resources/Data/balance.json: vehicles[42].secondary[1]</t>
        </is>
      </c>
      <c r="K77" t="inlineStr">
        <is>
          <t>{"weapon":"hmg_roof","slot":"mg","aim":"Free"}</t>
        </is>
      </c>
    </row>
  </sheetData>
  <autoFilter ref="A1:K7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10" customWidth="1" min="5" max="5"/>
    <col width="18" customWidth="1" min="6" max="6"/>
    <col width="60" customWidth="1" min="7" max="7"/>
    <col width="52" customWidth="1" min="8" max="8"/>
  </cols>
  <sheetData>
    <row r="1">
      <c r="A1" s="1" t="inlineStr">
        <is>
          <t>id</t>
        </is>
      </c>
      <c r="B1" s="1" t="inlineStr">
        <is>
          <t>xe_id</t>
        </is>
      </c>
      <c r="C1" s="1" t="inlineStr">
        <is>
          <t>thu_tu</t>
        </is>
      </c>
      <c r="D1" s="1" t="inlineStr">
        <is>
          <t>ammo</t>
        </is>
      </c>
      <c r="E1" s="1" t="inlineStr">
        <is>
          <t>reload_s</t>
        </is>
      </c>
      <c r="F1" s="1" t="inlineStr">
        <is>
          <t>weapon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ifv/0</t>
        </is>
      </c>
      <c r="B2" t="inlineStr">
        <is>
          <t>ifv</t>
        </is>
      </c>
      <c r="C2" t="n">
        <v>0</v>
      </c>
      <c r="D2" t="n">
        <v>2</v>
      </c>
      <c r="E2" t="n">
        <v>20</v>
      </c>
      <c r="F2" t="inlineStr">
        <is>
          <t>atgm</t>
        </is>
      </c>
      <c r="G2" t="inlineStr">
        <is>
          <t>Assets/MachineBrigade/Resources/Data/balance.json: vehicles[18].missiles[0]</t>
        </is>
      </c>
      <c r="H2" t="inlineStr">
        <is>
          <t>{"weapon":"atgm","ammo":2,"reload":20}</t>
        </is>
      </c>
    </row>
    <row r="3">
      <c r="A3" t="inlineStr">
        <is>
          <t>light_tank/0</t>
        </is>
      </c>
      <c r="B3" t="inlineStr">
        <is>
          <t>light_tank</t>
        </is>
      </c>
      <c r="C3" t="n">
        <v>0</v>
      </c>
      <c r="D3" t="n">
        <v>2</v>
      </c>
      <c r="E3" t="n">
        <v>25</v>
      </c>
      <c r="F3" t="inlineStr">
        <is>
          <t>gun_launched_atgm</t>
        </is>
      </c>
      <c r="G3" t="inlineStr">
        <is>
          <t>Assets/MachineBrigade/Resources/Data/balance.json: vehicles[1].missiles[0]</t>
        </is>
      </c>
      <c r="H3" t="inlineStr">
        <is>
          <t>{"weapon":"gun_launched_atgm","ammo":2,"reload":25}</t>
        </is>
      </c>
    </row>
    <row r="4">
      <c r="A4" t="inlineStr">
        <is>
          <t>titan_tank/0</t>
        </is>
      </c>
      <c r="B4" t="inlineStr">
        <is>
          <t>titan_tank</t>
        </is>
      </c>
      <c r="C4" t="n">
        <v>0</v>
      </c>
      <c r="D4" t="n">
        <v>4</v>
      </c>
      <c r="E4" t="n">
        <v>30</v>
      </c>
      <c r="F4" t="inlineStr">
        <is>
          <t>atgm</t>
        </is>
      </c>
      <c r="G4" t="inlineStr">
        <is>
          <t>Assets/MachineBrigade/Resources/Data/balance.json: vehicles[20].missiles[0]</t>
        </is>
      </c>
      <c r="H4" t="inlineStr">
        <is>
          <t>{"weapon":"atgm","ammo":4,"reload":30}</t>
        </is>
      </c>
    </row>
  </sheetData>
  <autoFilter ref="A1:H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8" customWidth="1" min="10" max="10"/>
    <col width="8" customWidth="1" min="11" max="11"/>
    <col width="13" customWidth="1" min="12" max="12"/>
    <col width="10" customWidth="1" min="13" max="13"/>
    <col width="8" customWidth="1" min="14" max="14"/>
    <col width="13" customWidth="1" min="15" max="15"/>
    <col width="60" customWidth="1" min="16" max="16"/>
    <col width="60" customWidth="1" min="17" max="17"/>
  </cols>
  <sheetData>
    <row r="1">
      <c r="A1" s="1" t="inlineStr">
        <is>
          <t>id</t>
        </is>
      </c>
      <c r="B1" s="1" t="inlineStr">
        <is>
          <t>xe_id</t>
        </is>
      </c>
      <c r="C1" s="1" t="inlineStr">
        <is>
          <t>thu_tu</t>
        </is>
      </c>
      <c r="D1" s="1" t="inlineStr">
        <is>
          <t>armour</t>
        </is>
      </c>
      <c r="E1" s="1" t="inlineStr">
        <is>
          <t>at_x_m</t>
        </is>
      </c>
      <c r="F1" s="1" t="inlineStr">
        <is>
          <t>at_y_m</t>
        </is>
      </c>
      <c r="G1" s="1" t="inlineStr">
        <is>
          <t>at_z_m</t>
        </is>
      </c>
      <c r="H1" s="1" t="inlineStr">
        <is>
          <t>hp</t>
        </is>
      </c>
      <c r="I1" s="1" t="inlineStr">
        <is>
          <t>id_goc</t>
        </is>
      </c>
      <c r="J1" s="1" t="inlineStr">
        <is>
          <t>kind</t>
        </is>
      </c>
      <c r="K1" s="1" t="inlineStr">
        <is>
          <t>mounts</t>
        </is>
      </c>
      <c r="L1" s="1" t="inlineStr">
        <is>
          <t>node</t>
        </is>
      </c>
      <c r="M1" s="1" t="inlineStr">
        <is>
          <t>radius_m</t>
        </is>
      </c>
      <c r="N1" s="1" t="inlineStr">
        <is>
          <t>stops</t>
        </is>
      </c>
      <c r="O1" s="1" t="inlineStr">
        <is>
          <t>wreck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sea_corvette/ciws</t>
        </is>
      </c>
      <c r="B2" t="inlineStr">
        <is>
          <t>sea_corvette</t>
        </is>
      </c>
      <c r="C2" t="n">
        <v>1</v>
      </c>
      <c r="D2" t="n">
        <v>2</v>
      </c>
      <c r="E2" t="n">
        <v>0</v>
      </c>
      <c r="F2" t="n">
        <v>-6.5</v>
      </c>
      <c r="G2" t="n">
        <v>7</v>
      </c>
      <c r="H2" t="n">
        <v>0.12</v>
      </c>
      <c r="I2" t="inlineStr">
        <is>
          <t>ciws</t>
        </is>
      </c>
      <c r="J2" t="inlineStr">
        <is>
          <t>ciws</t>
        </is>
      </c>
      <c r="K2" t="inlineStr">
        <is>
          <t>1</t>
        </is>
      </c>
      <c r="L2" t="inlineStr">
        <is>
          <t>Part_mg</t>
        </is>
      </c>
      <c r="M2" t="n">
        <v>1.8</v>
      </c>
      <c r="N2" t="inlineStr">
        <is>
          <t>aps</t>
        </is>
      </c>
      <c r="O2" t="inlineStr">
        <is>
          <t>wreck_turret</t>
        </is>
      </c>
      <c r="P2" t="inlineStr">
        <is>
          <t>Assets/MachineBrigade/Resources/Data/balance.json: vehicles[154].parts[1]</t>
        </is>
      </c>
      <c r="Q2" t="inlineStr">
        <is>
          <t>{"id":"ciws","kind":"ciws","hp":0.12,"armour":2,"node":"Part_mg","wreck":"wreck_turret","at":[0,-6.5,7.0],"radius":1.8,"mounts":[1],"stops":["aps"]}</t>
        </is>
      </c>
    </row>
    <row r="3">
      <c r="A3" t="inlineStr">
        <is>
          <t>sea_corvette/gun</t>
        </is>
      </c>
      <c r="B3" t="inlineStr">
        <is>
          <t>sea_corvette</t>
        </is>
      </c>
      <c r="C3" t="n">
        <v>0</v>
      </c>
      <c r="D3" t="n">
        <v>2</v>
      </c>
      <c r="E3" t="n">
        <v>0</v>
      </c>
      <c r="F3" t="n">
        <v>9</v>
      </c>
      <c r="G3" t="n">
        <v>4.2</v>
      </c>
      <c r="H3" t="n">
        <v>0.14</v>
      </c>
      <c r="I3" t="inlineStr">
        <is>
          <t>gun</t>
        </is>
      </c>
      <c r="J3" t="inlineStr">
        <is>
          <t>gun</t>
        </is>
      </c>
      <c r="K3" t="inlineStr">
        <is>
          <t>0</t>
        </is>
      </c>
      <c r="L3" t="inlineStr">
        <is>
          <t>Part_gun</t>
        </is>
      </c>
      <c r="M3" t="n">
        <v>2.2</v>
      </c>
      <c r="O3" t="inlineStr">
        <is>
          <t>wreck_turret</t>
        </is>
      </c>
      <c r="P3" t="inlineStr">
        <is>
          <t>Assets/MachineBrigade/Resources/Data/balance.json: vehicles[154].parts[0]</t>
        </is>
      </c>
      <c r="Q3" t="inlineStr">
        <is>
          <t>{"id":"gun","kind":"gun","hp":0.14,"armour":2,"node":"Part_gun","wreck":"wreck_turret","at":[0,9,4.2],"radius":2.2,"mounts":[0]}</t>
        </is>
      </c>
    </row>
    <row r="4">
      <c r="A4" t="inlineStr">
        <is>
          <t>sea_cruiser/ciws_aft</t>
        </is>
      </c>
      <c r="B4" t="inlineStr">
        <is>
          <t>sea_cruiser</t>
        </is>
      </c>
      <c r="C4" t="n">
        <v>3</v>
      </c>
      <c r="D4" t="n">
        <v>2</v>
      </c>
      <c r="E4" t="n">
        <v>-2.2</v>
      </c>
      <c r="F4" t="n">
        <v>-6.1</v>
      </c>
      <c r="G4" t="n">
        <v>5.9</v>
      </c>
      <c r="H4" t="n">
        <v>0.1</v>
      </c>
      <c r="I4" t="inlineStr">
        <is>
          <t>ciws_aft</t>
        </is>
      </c>
      <c r="J4" t="inlineStr">
        <is>
          <t>ciws</t>
        </is>
      </c>
      <c r="K4" t="inlineStr">
        <is>
          <t>3</t>
        </is>
      </c>
      <c r="L4" t="inlineStr">
        <is>
          <t>Part_mg.001</t>
        </is>
      </c>
      <c r="M4" t="n">
        <v>1.6</v>
      </c>
      <c r="N4" t="inlineStr">
        <is>
          <t>aps</t>
        </is>
      </c>
      <c r="O4" t="inlineStr">
        <is>
          <t>wreck_turret</t>
        </is>
      </c>
      <c r="P4" t="inlineStr">
        <is>
          <t>Assets/MachineBrigade/Resources/Data/balance.json: vehicles[155].parts[3]</t>
        </is>
      </c>
      <c r="Q4" t="inlineStr">
        <is>
          <t>{"id":"ciws_aft","kind":"ciws","hp":0.1,"armour":2,"node":"Part_mg.001","wreck":"wreck_turret","at":[-2.2,-6.1,5.9],"radius":1.6,"mounts":[3],"stops":["aps"]}</t>
        </is>
      </c>
    </row>
    <row r="5">
      <c r="A5" t="inlineStr">
        <is>
          <t>sea_cruiser/ciws_fore</t>
        </is>
      </c>
      <c r="B5" t="inlineStr">
        <is>
          <t>sea_cruiser</t>
        </is>
      </c>
      <c r="C5" t="n">
        <v>2</v>
      </c>
      <c r="D5" t="n">
        <v>2</v>
      </c>
      <c r="E5" t="n">
        <v>2.2</v>
      </c>
      <c r="F5" t="n">
        <v>4.3</v>
      </c>
      <c r="G5" t="n">
        <v>6.6</v>
      </c>
      <c r="H5" t="n">
        <v>0.1</v>
      </c>
      <c r="I5" t="inlineStr">
        <is>
          <t>ciws_fore</t>
        </is>
      </c>
      <c r="J5" t="inlineStr">
        <is>
          <t>ciws</t>
        </is>
      </c>
      <c r="K5" t="inlineStr">
        <is>
          <t>2</t>
        </is>
      </c>
      <c r="L5" t="inlineStr">
        <is>
          <t>Part_mg</t>
        </is>
      </c>
      <c r="M5" t="n">
        <v>1.6</v>
      </c>
      <c r="N5" t="inlineStr">
        <is>
          <t>aps</t>
        </is>
      </c>
      <c r="O5" t="inlineStr">
        <is>
          <t>wreck_turret</t>
        </is>
      </c>
      <c r="P5" t="inlineStr">
        <is>
          <t>Assets/MachineBrigade/Resources/Data/balance.json: vehicles[155].parts[2]</t>
        </is>
      </c>
      <c r="Q5" t="inlineStr">
        <is>
          <t>{"id":"ciws_fore","kind":"ciws","hp":0.1,"armour":2,"node":"Part_mg","wreck":"wreck_turret","at":[2.2,4.3,6.6],"radius":1.6,"mounts":[2],"stops":["aps"]}</t>
        </is>
      </c>
    </row>
    <row r="6">
      <c r="A6" t="inlineStr">
        <is>
          <t>sea_cruiser/turret_aft</t>
        </is>
      </c>
      <c r="B6" t="inlineStr">
        <is>
          <t>sea_cruiser</t>
        </is>
      </c>
      <c r="C6" t="n">
        <v>1</v>
      </c>
      <c r="D6" t="n">
        <v>3</v>
      </c>
      <c r="E6" t="n">
        <v>0</v>
      </c>
      <c r="F6" t="n">
        <v>-11.5</v>
      </c>
      <c r="G6" t="n">
        <v>4</v>
      </c>
      <c r="H6" t="n">
        <v>0.12</v>
      </c>
      <c r="I6" t="inlineStr">
        <is>
          <t>turret_aft</t>
        </is>
      </c>
      <c r="J6" t="inlineStr">
        <is>
          <t>gun</t>
        </is>
      </c>
      <c r="K6" t="inlineStr">
        <is>
          <t>1</t>
        </is>
      </c>
      <c r="L6" t="inlineStr">
        <is>
          <t>Part_gun.001</t>
        </is>
      </c>
      <c r="M6" t="n">
        <v>2.4</v>
      </c>
      <c r="O6" t="inlineStr">
        <is>
          <t>wreck_turret</t>
        </is>
      </c>
      <c r="P6" t="inlineStr">
        <is>
          <t>Assets/MachineBrigade/Resources/Data/balance.json: vehicles[155].parts[1]</t>
        </is>
      </c>
      <c r="Q6" t="inlineStr">
        <is>
          <t>{"id":"turret_aft","kind":"gun","hp":0.12,"armour":3,"node":"Part_gun.001","wreck":"wreck_turret","at":[0,-11.5,4.0],"radius":2.4,"mounts":[1]}</t>
        </is>
      </c>
    </row>
    <row r="7">
      <c r="A7" t="inlineStr">
        <is>
          <t>sea_cruiser/turret_fore</t>
        </is>
      </c>
      <c r="B7" t="inlineStr">
        <is>
          <t>sea_cruiser</t>
        </is>
      </c>
      <c r="C7" t="n">
        <v>0</v>
      </c>
      <c r="D7" t="n">
        <v>3</v>
      </c>
      <c r="E7" t="n">
        <v>0</v>
      </c>
      <c r="F7" t="n">
        <v>13.7</v>
      </c>
      <c r="G7" t="n">
        <v>4</v>
      </c>
      <c r="H7" t="n">
        <v>0.12</v>
      </c>
      <c r="I7" t="inlineStr">
        <is>
          <t>turret_fore</t>
        </is>
      </c>
      <c r="J7" t="inlineStr">
        <is>
          <t>gun</t>
        </is>
      </c>
      <c r="K7" t="inlineStr">
        <is>
          <t>0</t>
        </is>
      </c>
      <c r="L7" t="inlineStr">
        <is>
          <t>Part_gun</t>
        </is>
      </c>
      <c r="M7" t="n">
        <v>2.4</v>
      </c>
      <c r="O7" t="inlineStr">
        <is>
          <t>wreck_turret</t>
        </is>
      </c>
      <c r="P7" t="inlineStr">
        <is>
          <t>Assets/MachineBrigade/Resources/Data/balance.json: vehicles[155].parts[0]</t>
        </is>
      </c>
      <c r="Q7" t="inlineStr">
        <is>
          <t>{"id":"turret_fore","kind":"gun","hp":0.12,"armour":3,"node":"Part_gun","wreck":"wreck_turret","at":[0,13.7,4.0],"radius":2.4,"mounts":[0]}</t>
        </is>
      </c>
    </row>
  </sheetData>
  <autoFilter ref="A1:Q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7" customWidth="1" min="2" max="2"/>
    <col width="29" customWidth="1" min="3" max="3"/>
    <col width="38" customWidth="1" min="4" max="4"/>
    <col width="16" customWidth="1" min="5" max="5"/>
    <col width="10" customWidth="1" min="6" max="6"/>
    <col width="8" customWidth="1" min="7" max="7"/>
    <col width="18" customWidth="1" min="8" max="8"/>
    <col width="16" customWidth="1" min="9" max="9"/>
    <col width="14" customWidth="1" min="10" max="10"/>
    <col width="12" customWidth="1" min="11" max="11"/>
    <col width="16" customWidth="1" min="12" max="12"/>
    <col width="14" customWidth="1" min="13" max="13"/>
    <col width="13" customWidth="1" min="14" max="14"/>
    <col width="11" customWidth="1" min="15" max="15"/>
    <col width="9" customWidth="1" min="16" max="16"/>
    <col width="60" customWidth="1" min="17" max="17"/>
    <col width="13" customWidth="1" min="18" max="18"/>
    <col width="18" customWidth="1" min="19" max="19"/>
    <col width="12" customWidth="1" min="20" max="20"/>
    <col width="12" customWidth="1" min="21" max="21"/>
    <col width="8" customWidth="1" min="22" max="22"/>
    <col width="8" customWidth="1" min="23" max="23"/>
    <col width="8" customWidth="1" min="24" max="24"/>
    <col width="13" customWidth="1" min="25" max="25"/>
    <col width="9" customWidth="1" min="26" max="26"/>
    <col width="12" customWidth="1" min="27" max="27"/>
    <col width="8" customWidth="1" min="28" max="28"/>
    <col width="14" customWidth="1" min="29" max="29"/>
    <col width="10" customWidth="1" min="30" max="30"/>
    <col width="8" customWidth="1" min="31" max="31"/>
    <col width="10" customWidth="1" min="32" max="32"/>
    <col width="16" customWidth="1" min="33" max="33"/>
    <col width="17" customWidth="1" min="34" max="34"/>
    <col width="9" customWidth="1" min="35" max="35"/>
    <col width="11" customWidth="1" min="36" max="36"/>
    <col width="60" customWidth="1" min="37" max="37"/>
    <col width="60" customWidth="1" min="38" max="38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units</t>
        </is>
      </c>
      <c r="E1" s="1" t="inlineStr">
        <is>
          <t>so_voi_ban_goc</t>
        </is>
      </c>
      <c r="F1" s="1" t="inlineStr">
        <is>
          <t>cp_truoc</t>
        </is>
      </c>
      <c r="G1" s="1" t="inlineStr">
        <is>
          <t>cp_sau</t>
        </is>
      </c>
      <c r="H1" s="1" t="inlineStr">
        <is>
          <t>cooldown_s_truoc</t>
        </is>
      </c>
      <c r="I1" s="1" t="inlineStr">
        <is>
          <t>cooldown_s_sau</t>
        </is>
      </c>
      <c r="J1" s="1" t="inlineStr">
        <is>
          <t>damage_truoc</t>
        </is>
      </c>
      <c r="K1" s="1" t="inlineStr">
        <is>
          <t>damage_sau</t>
        </is>
      </c>
      <c r="L1" s="1" t="inlineStr">
        <is>
          <t>radius_m_truoc</t>
        </is>
      </c>
      <c r="M1" s="1" t="inlineStr">
        <is>
          <t>radius_m_sau</t>
        </is>
      </c>
      <c r="N1" s="1" t="inlineStr">
        <is>
          <t>count_truoc</t>
        </is>
      </c>
      <c r="O1" s="1" t="inlineStr">
        <is>
          <t>count_sau</t>
        </is>
      </c>
      <c r="P1" s="1" t="inlineStr">
        <is>
          <t>blast_m</t>
        </is>
      </c>
      <c r="Q1" s="1" t="inlineStr">
        <is>
          <t>call_choices</t>
        </is>
      </c>
      <c r="R1" s="1" t="inlineStr">
        <is>
          <t>call_max_cp</t>
        </is>
      </c>
      <c r="S1" s="1" t="inlineStr">
        <is>
          <t>call_price_scale</t>
        </is>
      </c>
      <c r="T1" s="1" t="inlineStr">
        <is>
          <t>consumable</t>
        </is>
      </c>
      <c r="U1" s="1" t="inlineStr">
        <is>
          <t>cooldown_s</t>
        </is>
      </c>
      <c r="V1" s="1" t="inlineStr">
        <is>
          <t>count</t>
        </is>
      </c>
      <c r="W1" s="1" t="inlineStr">
        <is>
          <t>cp</t>
        </is>
      </c>
      <c r="X1" s="1" t="inlineStr">
        <is>
          <t>damage</t>
        </is>
      </c>
      <c r="Y1" s="1" t="inlineStr">
        <is>
          <t>damage_type</t>
        </is>
      </c>
      <c r="Z1" s="1" t="inlineStr">
        <is>
          <t>delay_s</t>
        </is>
      </c>
      <c r="AA1" s="1" t="inlineStr">
        <is>
          <t>duration_s</t>
        </is>
      </c>
      <c r="AB1" s="1" t="inlineStr">
        <is>
          <t>event</t>
        </is>
      </c>
      <c r="AC1" s="1" t="inlineStr">
        <is>
          <t>kind</t>
        </is>
      </c>
      <c r="AD1" s="1" t="inlineStr">
        <is>
          <t>length_m</t>
        </is>
      </c>
      <c r="AE1" s="1" t="inlineStr">
        <is>
          <t>pen</t>
        </is>
      </c>
      <c r="AF1" s="1" t="inlineStr">
        <is>
          <t>radius_m</t>
        </is>
      </c>
      <c r="AG1" s="1" t="inlineStr">
        <is>
          <t>rank_line_rank</t>
        </is>
      </c>
      <c r="AH1" s="1" t="inlineStr">
        <is>
          <t>rank_line_scale</t>
        </is>
      </c>
      <c r="AI1" s="1" t="inlineStr">
        <is>
          <t>tier</t>
        </is>
      </c>
      <c r="AJ1" s="1" t="inlineStr">
        <is>
          <t>unit_rank</t>
        </is>
      </c>
      <c r="AK1" s="1" t="inlineStr">
        <is>
          <t>nguon</t>
        </is>
      </c>
      <c r="AL1" s="1" t="inlineStr">
        <is>
          <t>raw_json</t>
        </is>
      </c>
    </row>
    <row r="2">
      <c r="A2" t="inlineStr">
        <is>
          <t>air_raid</t>
        </is>
      </c>
      <c r="B2" t="inlineStr">
        <is>
          <t>Air raid</t>
        </is>
      </c>
      <c r="C2" t="inlineStr">
        <is>
          <t>Không kích bất ngờ</t>
        </is>
      </c>
      <c r="E2" t="inlineStr">
        <is>
          <t>giong</t>
        </is>
      </c>
      <c r="P2" t="n">
        <v>8</v>
      </c>
      <c r="U2" t="n">
        <v>0</v>
      </c>
      <c r="V2" t="n">
        <v>10</v>
      </c>
      <c r="X2" t="n">
        <v>200</v>
      </c>
      <c r="Z2" t="n">
        <v>4</v>
      </c>
      <c r="AA2" t="n">
        <v>2.4</v>
      </c>
      <c r="AB2" t="b">
        <v>1</v>
      </c>
      <c r="AC2" t="inlineStr">
        <is>
          <t>Airstrike</t>
        </is>
      </c>
      <c r="AD2" t="n">
        <v>70</v>
      </c>
      <c r="AE2" t="n">
        <v>3</v>
      </c>
      <c r="AF2" t="n">
        <v>6</v>
      </c>
      <c r="AI2" t="inlineStr">
        <is>
          <t>Huge</t>
        </is>
      </c>
      <c r="AK2" t="inlineStr">
        <is>
          <t>Assets/MachineBrigade/Resources/Data/balance.json: supports[12]</t>
        </is>
      </c>
      <c r="AL2" t="inlineStr">
        <is>
          <t>{"id":"air_raid","kind":"Airstrike","pen":3,"event":true,"cooldown":0,"delay":4.0,"radius":6,"count":10,"duration":2.4,"damage":200,"blast":8,"tier":"Huge","length":70}</t>
        </is>
      </c>
    </row>
    <row r="3">
      <c r="A3" t="inlineStr">
        <is>
          <t>airstrike</t>
        </is>
      </c>
      <c r="B3" t="inlineStr">
        <is>
          <t>Airstrike</t>
        </is>
      </c>
      <c r="C3" t="inlineStr">
        <is>
          <t>Không kích</t>
        </is>
      </c>
      <c r="E3" t="inlineStr">
        <is>
          <t>giong</t>
        </is>
      </c>
      <c r="P3" t="n">
        <v>10</v>
      </c>
      <c r="U3" t="n">
        <v>90</v>
      </c>
      <c r="V3" t="n">
        <v>4</v>
      </c>
      <c r="W3" t="n">
        <v>9</v>
      </c>
      <c r="X3" t="n">
        <v>210</v>
      </c>
      <c r="Z3" t="n">
        <v>2</v>
      </c>
      <c r="AA3" t="n">
        <v>1.2</v>
      </c>
      <c r="AC3" t="inlineStr">
        <is>
          <t>Airstrike</t>
        </is>
      </c>
      <c r="AD3" t="n">
        <v>60</v>
      </c>
      <c r="AE3" t="n">
        <v>3</v>
      </c>
      <c r="AF3" t="n">
        <v>6</v>
      </c>
      <c r="AG3" t="n">
        <v>7</v>
      </c>
      <c r="AH3" t="n">
        <v>1.4</v>
      </c>
      <c r="AI3" t="inlineStr">
        <is>
          <t>Huge</t>
        </is>
      </c>
      <c r="AK3" t="inlineStr">
        <is>
          <t>Assets/MachineBrigade/Resources/Data/balance.json: supports[1]</t>
        </is>
      </c>
      <c r="AL3" t="inlineStr">
        <is>
          <t>{"id":"airstrike","kind":"Airstrike","pen":3,"cp":9,"cooldown":90,"delay":2.0,"radius":6,"count":4,"duration":1.2,"damage":210,"blast":10,"tier":"Huge","length":60,"rankLine":{"rank":7,"scale":1.4}}</t>
        </is>
      </c>
    </row>
    <row r="4">
      <c r="A4" t="inlineStr">
        <is>
          <t>artillery_barrage</t>
        </is>
      </c>
      <c r="B4" t="inlineStr">
        <is>
          <t>Barrage</t>
        </is>
      </c>
      <c r="C4" t="inlineStr">
        <is>
          <t>Pháo kích</t>
        </is>
      </c>
      <c r="E4" t="inlineStr">
        <is>
          <t>giong</t>
        </is>
      </c>
      <c r="P4" t="n">
        <v>7</v>
      </c>
      <c r="U4" t="n">
        <v>60</v>
      </c>
      <c r="V4" t="n">
        <v>6</v>
      </c>
      <c r="W4" t="n">
        <v>5</v>
      </c>
      <c r="X4" t="n">
        <v>160</v>
      </c>
      <c r="Z4" t="n">
        <v>1.5</v>
      </c>
      <c r="AA4" t="n">
        <v>4</v>
      </c>
      <c r="AC4" t="inlineStr">
        <is>
          <t>Barrage</t>
        </is>
      </c>
      <c r="AE4" t="n">
        <v>3</v>
      </c>
      <c r="AF4" t="n">
        <v>10</v>
      </c>
      <c r="AI4" t="inlineStr">
        <is>
          <t>Large</t>
        </is>
      </c>
      <c r="AK4" t="inlineStr">
        <is>
          <t>Assets/MachineBrigade/Resources/Data/balance.json: supports[0]</t>
        </is>
      </c>
      <c r="AL4" t="inlineStr">
        <is>
          <t>{"id":"artillery_barrage","kind":"Barrage","pen":3,"cp":5,"cooldown":60,"delay":1.5,"radius":10,"count":6,"duration":4,"damage":160,"blast":7,"tier":"Large"}</t>
        </is>
      </c>
    </row>
    <row r="5">
      <c r="A5" t="inlineStr">
        <is>
          <t>bug_crash</t>
        </is>
      </c>
      <c r="B5" t="inlineStr">
        <is>
          <t>Icarus crashing</t>
        </is>
      </c>
      <c r="C5" t="inlineStr">
        <is>
          <t>Icarus rơi</t>
        </is>
      </c>
      <c r="E5" t="inlineStr">
        <is>
          <t>giong</t>
        </is>
      </c>
      <c r="P5" t="n">
        <v>16</v>
      </c>
      <c r="U5" t="n">
        <v>0</v>
      </c>
      <c r="V5" t="n">
        <v>1</v>
      </c>
      <c r="X5" t="n">
        <v>0</v>
      </c>
      <c r="Z5" t="n">
        <v>6</v>
      </c>
      <c r="AA5" t="n">
        <v>0</v>
      </c>
      <c r="AB5" t="b">
        <v>1</v>
      </c>
      <c r="AC5" t="inlineStr">
        <is>
          <t>Barrage</t>
        </is>
      </c>
      <c r="AE5" t="n">
        <v>0</v>
      </c>
      <c r="AF5" t="n">
        <v>18</v>
      </c>
      <c r="AI5" t="inlineStr">
        <is>
          <t>Ultimate</t>
        </is>
      </c>
      <c r="AK5" t="inlineStr">
        <is>
          <t>Assets/MachineBrigade/Resources/Data/balance.json: supports[10]</t>
        </is>
      </c>
      <c r="AL5" t="inlineStr">
        <is>
          <t>{"id":"bug_crash","kind":"Barrage","pen":0,"event":true,"cooldown":0,"delay":6.0,"radius":18,"count":1,"duration":0,"damage":0,"blast":16,"tier":"Ultimate"}</t>
        </is>
      </c>
    </row>
    <row r="6">
      <c r="A6" t="inlineStr">
        <is>
          <t>cluster_strike</t>
        </is>
      </c>
      <c r="B6" t="inlineStr">
        <is>
          <t>Cluster bombs</t>
        </is>
      </c>
      <c r="C6" t="inlineStr">
        <is>
          <t>Bom chùm</t>
        </is>
      </c>
      <c r="E6" t="inlineStr">
        <is>
          <t>giong</t>
        </is>
      </c>
      <c r="P6" t="n">
        <v>5.5</v>
      </c>
      <c r="T6" t="b">
        <v>1</v>
      </c>
      <c r="U6" t="n">
        <v>15</v>
      </c>
      <c r="V6" t="n">
        <v>30</v>
      </c>
      <c r="X6" t="n">
        <v>90</v>
      </c>
      <c r="Z6" t="n">
        <v>2.5</v>
      </c>
      <c r="AA6" t="n">
        <v>2.2</v>
      </c>
      <c r="AC6" t="inlineStr">
        <is>
          <t>Airstrike</t>
        </is>
      </c>
      <c r="AD6" t="n">
        <v>60</v>
      </c>
      <c r="AE6" t="n">
        <v>2</v>
      </c>
      <c r="AF6" t="n">
        <v>10</v>
      </c>
      <c r="AI6" t="inlineStr">
        <is>
          <t>Large</t>
        </is>
      </c>
      <c r="AK6" t="inlineStr">
        <is>
          <t>Assets/MachineBrigade/Resources/Data/balance.json: supports[16]</t>
        </is>
      </c>
      <c r="AL6" t="inlineStr">
        <is>
          <t>{"id":"cluster_strike","kind":"Airstrike","pen":2,"consumable":true,"cooldown":15,"delay":2.5,"radius":10,"count":30,"duration":2.2,"damage":90,"blast":5.5,"tier":"Large","length":60}</t>
        </is>
      </c>
    </row>
    <row r="7">
      <c r="A7" t="inlineStr">
        <is>
          <t>cruise_missile</t>
        </is>
      </c>
      <c r="B7" t="inlineStr">
        <is>
          <t>Cruise missile</t>
        </is>
      </c>
      <c r="C7" t="inlineStr">
        <is>
          <t>Tên lửa hành trình</t>
        </is>
      </c>
      <c r="E7" t="inlineStr">
        <is>
          <t>giong</t>
        </is>
      </c>
      <c r="P7" t="n">
        <v>9</v>
      </c>
      <c r="U7" t="n">
        <v>120</v>
      </c>
      <c r="V7" t="n">
        <v>1</v>
      </c>
      <c r="W7" t="n">
        <v>14</v>
      </c>
      <c r="X7" t="n">
        <v>450</v>
      </c>
      <c r="Z7" t="n">
        <v>3</v>
      </c>
      <c r="AC7" t="inlineStr">
        <is>
          <t>CruiseMissile</t>
        </is>
      </c>
      <c r="AE7" t="n">
        <v>3</v>
      </c>
      <c r="AF7" t="n">
        <v>10</v>
      </c>
      <c r="AI7" t="inlineStr">
        <is>
          <t>Ultimate</t>
        </is>
      </c>
      <c r="AK7" t="inlineStr">
        <is>
          <t>Assets/MachineBrigade/Resources/Data/balance.json: supports[2]</t>
        </is>
      </c>
      <c r="AL7" t="inlineStr">
        <is>
          <t>{"id":"cruise_missile","kind":"CruiseMissile","pen":3,"cp":14,"cooldown":120,"delay":3.0,"radius":10,"count":1,"damage":450,"blast":9,"tier":"Ultimate"}</t>
        </is>
      </c>
    </row>
    <row r="8">
      <c r="A8" t="inlineStr">
        <is>
          <t>emp_blast</t>
        </is>
      </c>
      <c r="B8" t="inlineStr">
        <is>
          <t>EMP blast</t>
        </is>
      </c>
      <c r="C8" t="inlineStr">
        <is>
          <t>Bom EMP</t>
        </is>
      </c>
      <c r="E8" t="inlineStr">
        <is>
          <t>giong</t>
        </is>
      </c>
      <c r="T8" t="b">
        <v>1</v>
      </c>
      <c r="U8" t="n">
        <v>20</v>
      </c>
      <c r="V8" t="n">
        <v>1</v>
      </c>
      <c r="Z8" t="n">
        <v>2</v>
      </c>
      <c r="AA8" t="n">
        <v>6</v>
      </c>
      <c r="AC8" t="inlineStr">
        <is>
          <t>Emp</t>
        </is>
      </c>
      <c r="AF8" t="n">
        <v>20</v>
      </c>
      <c r="AI8" t="inlineStr">
        <is>
          <t>Huge</t>
        </is>
      </c>
      <c r="AK8" t="inlineStr">
        <is>
          <t>Assets/MachineBrigade/Resources/Data/balance.json: supports[19]</t>
        </is>
      </c>
      <c r="AL8" t="inlineStr">
        <is>
          <t>{"id":"emp_blast","kind":"Emp","consumable":true,"cooldown":20,"delay":2.0,"radius":20,"count":1,"duration":6,"tier":"Huge"}</t>
        </is>
      </c>
    </row>
    <row r="9">
      <c r="A9" t="inlineStr">
        <is>
          <t>escort_drop.aa_vehicle</t>
        </is>
      </c>
      <c r="B9" t="inlineStr"/>
      <c r="C9" t="inlineStr"/>
      <c r="D9" t="inlineStr">
        <is>
          <t>aa_vehicle</t>
        </is>
      </c>
      <c r="E9" t="inlineStr">
        <is>
          <t>giong</t>
        </is>
      </c>
      <c r="U9" t="n">
        <v>0</v>
      </c>
      <c r="V9" t="n">
        <v>1</v>
      </c>
      <c r="Z9" t="n">
        <v>3</v>
      </c>
      <c r="AB9" t="b">
        <v>1</v>
      </c>
      <c r="AC9" t="inlineStr">
        <is>
          <t>Reinforce</t>
        </is>
      </c>
      <c r="AF9" t="n">
        <v>5</v>
      </c>
      <c r="AI9" t="inlineStr">
        <is>
          <t>Large</t>
        </is>
      </c>
      <c r="AK9" t="inlineStr">
        <is>
          <t>Assets/MachineBrigade/Resources/Data/balance.json: supports[6]</t>
        </is>
      </c>
      <c r="AL9" t="inlineStr">
        <is>
          <t>{"id":"escort_drop.aa_vehicle","kind":"Reinforce","event":true,"cooldown":0,"delay":3.0,"radius":5,"count":1,"tier":"Large","units":["aa_vehicle"]}</t>
        </is>
      </c>
    </row>
    <row r="10">
      <c r="A10" t="inlineStr">
        <is>
          <t>escort_drop.engineer_vehicle</t>
        </is>
      </c>
      <c r="B10" t="inlineStr"/>
      <c r="C10" t="inlineStr"/>
      <c r="D10" t="inlineStr">
        <is>
          <t>engineer_vehicle</t>
        </is>
      </c>
      <c r="E10" t="inlineStr">
        <is>
          <t>giong</t>
        </is>
      </c>
      <c r="U10" t="n">
        <v>0</v>
      </c>
      <c r="V10" t="n">
        <v>1</v>
      </c>
      <c r="Z10" t="n">
        <v>3</v>
      </c>
      <c r="AB10" t="b">
        <v>1</v>
      </c>
      <c r="AC10" t="inlineStr">
        <is>
          <t>Reinforce</t>
        </is>
      </c>
      <c r="AF10" t="n">
        <v>5</v>
      </c>
      <c r="AI10" t="inlineStr">
        <is>
          <t>Large</t>
        </is>
      </c>
      <c r="AK10" t="inlineStr">
        <is>
          <t>Assets/MachineBrigade/Resources/Data/balance.json: supports[7]</t>
        </is>
      </c>
      <c r="AL10" t="inlineStr">
        <is>
          <t>{"id":"escort_drop.engineer_vehicle","kind":"Reinforce","event":true,"cooldown":0,"delay":3.0,"radius":5,"count":1,"tier":"Large","units":["engineer_vehicle"]}</t>
        </is>
      </c>
    </row>
    <row r="11">
      <c r="A11" t="inlineStr">
        <is>
          <t>escort_drop.ifv</t>
        </is>
      </c>
      <c r="B11" t="inlineStr"/>
      <c r="C11" t="inlineStr"/>
      <c r="D11" t="inlineStr">
        <is>
          <t>ifv</t>
        </is>
      </c>
      <c r="E11" t="inlineStr">
        <is>
          <t>giong</t>
        </is>
      </c>
      <c r="U11" t="n">
        <v>0</v>
      </c>
      <c r="V11" t="n">
        <v>1</v>
      </c>
      <c r="Z11" t="n">
        <v>3</v>
      </c>
      <c r="AB11" t="b">
        <v>1</v>
      </c>
      <c r="AC11" t="inlineStr">
        <is>
          <t>Reinforce</t>
        </is>
      </c>
      <c r="AF11" t="n">
        <v>5</v>
      </c>
      <c r="AI11" t="inlineStr">
        <is>
          <t>Large</t>
        </is>
      </c>
      <c r="AK11" t="inlineStr">
        <is>
          <t>Assets/MachineBrigade/Resources/Data/balance.json: supports[5]</t>
        </is>
      </c>
      <c r="AL11" t="inlineStr">
        <is>
          <t>{"id":"escort_drop.ifv","kind":"Reinforce","event":true,"cooldown":0,"delay":3.0,"radius":5,"count":1,"tier":"Large","units":["ifv"]}</t>
        </is>
      </c>
    </row>
    <row r="12">
      <c r="A12" t="inlineStr">
        <is>
          <t>field_repair</t>
        </is>
      </c>
      <c r="B12" t="inlineStr">
        <is>
          <t>Field repair</t>
        </is>
      </c>
      <c r="C12" t="inlineStr">
        <is>
          <t>Sửa chữa toàn quân</t>
        </is>
      </c>
      <c r="E12" t="inlineStr">
        <is>
          <t>giong</t>
        </is>
      </c>
      <c r="T12" t="b">
        <v>1</v>
      </c>
      <c r="U12" t="n">
        <v>30</v>
      </c>
      <c r="V12" t="n">
        <v>5</v>
      </c>
      <c r="X12" t="n">
        <v>0.5</v>
      </c>
      <c r="Z12" t="n">
        <v>1</v>
      </c>
      <c r="AA12" t="n">
        <v>5</v>
      </c>
      <c r="AC12" t="inlineStr">
        <is>
          <t>Repair</t>
        </is>
      </c>
      <c r="AF12" t="n">
        <v>500</v>
      </c>
      <c r="AI12" t="inlineStr">
        <is>
          <t>Small</t>
        </is>
      </c>
      <c r="AK12" t="inlineStr">
        <is>
          <t>Assets/MachineBrigade/Resources/Data/balance.json: supports[18]</t>
        </is>
      </c>
      <c r="AL12" t="inlineStr">
        <is>
          <t>{"id":"field_repair","kind":"Repair","consumable":true,"cooldown":30,"delay":1.0,"radius":500,"count":5,"duration":5,"damage":0.5,"tier":"Small"}</t>
        </is>
      </c>
    </row>
    <row r="13">
      <c r="A13" t="inlineStr">
        <is>
          <t>field_tower</t>
        </is>
      </c>
      <c r="B13" t="inlineStr">
        <is>
          <t>Field tower</t>
        </is>
      </c>
      <c r="C13" t="inlineStr">
        <is>
          <t>Tháp dã chiến</t>
        </is>
      </c>
      <c r="D13" t="inlineStr">
        <is>
          <t>guard_tower;atgm_tower</t>
        </is>
      </c>
      <c r="E13" t="inlineStr">
        <is>
          <t>giong</t>
        </is>
      </c>
      <c r="U13" t="n">
        <v>90</v>
      </c>
      <c r="V13" t="n">
        <v>1</v>
      </c>
      <c r="W13" t="n">
        <v>6</v>
      </c>
      <c r="Z13" t="n">
        <v>4</v>
      </c>
      <c r="AA13" t="n">
        <v>60</v>
      </c>
      <c r="AC13" t="inlineStr">
        <is>
          <t>Tower</t>
        </is>
      </c>
      <c r="AF13" t="n">
        <v>4</v>
      </c>
      <c r="AI13" t="inlineStr">
        <is>
          <t>Small</t>
        </is>
      </c>
      <c r="AJ13" t="n">
        <v>5</v>
      </c>
      <c r="AK13" t="inlineStr">
        <is>
          <t>Assets/MachineBrigade/Resources/Data/balance.json: supports[22]</t>
        </is>
      </c>
      <c r="AL13" t="inlineStr">
        <is>
          <t>{"id":"field_tower","kind":"Tower","cp":6,"cooldown":90,"delay":4.0,"radius":4,"count":1,"duration":60,"tier":"Small","units":["guard_tower","atgm_tower"],"unitRank":5}</t>
        </is>
      </c>
    </row>
    <row r="14">
      <c r="A14" t="inlineStr">
        <is>
          <t>glide_bomb_strike</t>
        </is>
      </c>
      <c r="B14" t="inlineStr">
        <is>
          <t>Glide bomb strike</t>
        </is>
      </c>
      <c r="C14" t="inlineStr">
        <is>
          <t>Đòn bom lượn</t>
        </is>
      </c>
      <c r="E14" t="inlineStr">
        <is>
          <t>giong</t>
        </is>
      </c>
      <c r="P14" t="n">
        <v>10</v>
      </c>
      <c r="U14" t="n">
        <v>90</v>
      </c>
      <c r="V14" t="n">
        <v>2</v>
      </c>
      <c r="W14" t="n">
        <v>8</v>
      </c>
      <c r="X14" t="n">
        <v>420</v>
      </c>
      <c r="Z14" t="n">
        <v>3</v>
      </c>
      <c r="AC14" t="inlineStr">
        <is>
          <t>CruiseMissile</t>
        </is>
      </c>
      <c r="AE14" t="n">
        <v>3</v>
      </c>
      <c r="AF14" t="n">
        <v>10</v>
      </c>
      <c r="AI14" t="inlineStr">
        <is>
          <t>Huge</t>
        </is>
      </c>
      <c r="AK14" t="inlineStr">
        <is>
          <t>Assets/MachineBrigade/Resources/Data/balance.json: supports[23]</t>
        </is>
      </c>
      <c r="AL14" t="inlineStr">
        <is>
          <t>{"id":"glide_bomb_strike","kind":"CruiseMissile","pen":3,"cp":8,"cooldown":90,"delay":3.0,"radius":10,"count":2,"damage":420,"blast":10,"tier":"Huge"}</t>
        </is>
      </c>
    </row>
    <row r="15">
      <c r="A15" t="inlineStr">
        <is>
          <t>hq_barrage</t>
        </is>
      </c>
      <c r="B15" t="inlineStr"/>
      <c r="C15" t="inlineStr"/>
      <c r="E15" t="inlineStr">
        <is>
          <t>moi</t>
        </is>
      </c>
      <c r="P15" t="n">
        <v>8</v>
      </c>
      <c r="U15" t="n">
        <v>0</v>
      </c>
      <c r="V15" t="n">
        <v>3</v>
      </c>
      <c r="X15" t="n">
        <v>450</v>
      </c>
      <c r="Z15" t="n">
        <v>1.5</v>
      </c>
      <c r="AA15" t="n">
        <v>1.5</v>
      </c>
      <c r="AB15" t="b">
        <v>1</v>
      </c>
      <c r="AC15" t="inlineStr">
        <is>
          <t>Barrage</t>
        </is>
      </c>
      <c r="AE15" t="n">
        <v>4</v>
      </c>
      <c r="AF15" t="n">
        <v>4</v>
      </c>
      <c r="AI15" t="inlineStr">
        <is>
          <t>Huge</t>
        </is>
      </c>
      <c r="AK15" t="inlineStr">
        <is>
          <t>Assets/MachineBrigade/Resources/Data/balance.json: supports[8]</t>
        </is>
      </c>
      <c r="AL15" t="inlineStr">
        <is>
          <t>{"id":"hq_barrage","kind":"Barrage","pen":4,"event":true,"cooldown":0,"delay":1.5,"radius":4,"count":3,"duration":1.5,"damage":450,"blast":8,"tier":"Huge"}</t>
        </is>
      </c>
    </row>
    <row r="16">
      <c r="A16" t="inlineStr">
        <is>
          <t>leviathan_cruise_mark</t>
        </is>
      </c>
      <c r="B16" t="inlineStr">
        <is>
          <t>Leviathan's cruise missile</t>
        </is>
      </c>
      <c r="C16" t="inlineStr">
        <is>
          <t>Tên lửa hành trình Leviathan</t>
        </is>
      </c>
      <c r="E16" t="inlineStr">
        <is>
          <t>doi</t>
        </is>
      </c>
      <c r="L16" t="n">
        <v>12</v>
      </c>
      <c r="M16" t="n">
        <v>20</v>
      </c>
      <c r="P16" t="n">
        <v>10</v>
      </c>
      <c r="U16" t="n">
        <v>0</v>
      </c>
      <c r="V16" t="n">
        <v>1</v>
      </c>
      <c r="X16" t="n">
        <v>0</v>
      </c>
      <c r="Z16" t="n">
        <v>5</v>
      </c>
      <c r="AA16" t="n">
        <v>0</v>
      </c>
      <c r="AB16" t="b">
        <v>1</v>
      </c>
      <c r="AC16" t="inlineStr">
        <is>
          <t>Barrage</t>
        </is>
      </c>
      <c r="AE16" t="n">
        <v>3</v>
      </c>
      <c r="AF16" t="n">
        <v>20</v>
      </c>
      <c r="AI16" t="inlineStr">
        <is>
          <t>Ultimate</t>
        </is>
      </c>
      <c r="AK16" t="inlineStr">
        <is>
          <t>Assets/MachineBrigade/Resources/Data/balance.json: supports[14]</t>
        </is>
      </c>
      <c r="AL16" t="inlineStr">
        <is>
          <t>{"id":"leviathan_cruise_mark","kind":"Barrage","pen":3,"event":true,"cooldown":0,"delay":5.0,"radius":20,"count":1,"duration":0,"damage":0,"blast":10,"tier":"Ultimate"}</t>
        </is>
      </c>
    </row>
    <row r="17">
      <c r="A17" t="inlineStr">
        <is>
          <t>leviathan_shell</t>
        </is>
      </c>
      <c r="B17" t="inlineStr">
        <is>
          <t>Leviathan's shell</t>
        </is>
      </c>
      <c r="C17" t="inlineStr">
        <is>
          <t>Đạn pháo Leviathan</t>
        </is>
      </c>
      <c r="E17" t="inlineStr">
        <is>
          <t>doi</t>
        </is>
      </c>
      <c r="L17" t="n">
        <v>8</v>
      </c>
      <c r="M17" t="n">
        <v>24</v>
      </c>
      <c r="P17" t="n">
        <v>14</v>
      </c>
      <c r="U17" t="n">
        <v>0</v>
      </c>
      <c r="V17" t="n">
        <v>1</v>
      </c>
      <c r="X17" t="n">
        <v>0</v>
      </c>
      <c r="Z17" t="n">
        <v>2.8</v>
      </c>
      <c r="AA17" t="n">
        <v>0</v>
      </c>
      <c r="AB17" t="b">
        <v>1</v>
      </c>
      <c r="AC17" t="inlineStr">
        <is>
          <t>Barrage</t>
        </is>
      </c>
      <c r="AE17" t="n">
        <v>4</v>
      </c>
      <c r="AF17" t="n">
        <v>24</v>
      </c>
      <c r="AI17" t="inlineStr">
        <is>
          <t>Huge</t>
        </is>
      </c>
      <c r="AK17" t="inlineStr">
        <is>
          <t>Assets/MachineBrigade/Resources/Data/balance.json: supports[13]</t>
        </is>
      </c>
      <c r="AL17" t="inlineStr">
        <is>
          <t>{"id":"leviathan_shell","kind":"Barrage","pen":4,"event":true,"cooldown":0,"delay":2.8,"radius":24,"count":1,"duration":0,"damage":0,"blast":14,"tier":"Huge"}</t>
        </is>
      </c>
    </row>
    <row r="18">
      <c r="A18" t="inlineStr">
        <is>
          <t>moab</t>
        </is>
      </c>
      <c r="B18" t="inlineStr">
        <is>
          <t>MOAB</t>
        </is>
      </c>
      <c r="C18" t="inlineStr">
        <is>
          <t>Bom MOAB</t>
        </is>
      </c>
      <c r="E18" t="inlineStr">
        <is>
          <t>giong</t>
        </is>
      </c>
      <c r="P18" t="n">
        <v>27</v>
      </c>
      <c r="T18" t="b">
        <v>1</v>
      </c>
      <c r="U18" t="n">
        <v>20</v>
      </c>
      <c r="V18" t="n">
        <v>1</v>
      </c>
      <c r="X18" t="n">
        <v>4000</v>
      </c>
      <c r="Z18" t="n">
        <v>4</v>
      </c>
      <c r="AC18" t="inlineStr">
        <is>
          <t>CruiseMissile</t>
        </is>
      </c>
      <c r="AE18" t="n">
        <v>4</v>
      </c>
      <c r="AF18" t="n">
        <v>24</v>
      </c>
      <c r="AI18" t="inlineStr">
        <is>
          <t>Ultimate</t>
        </is>
      </c>
      <c r="AK18" t="inlineStr">
        <is>
          <t>Assets/MachineBrigade/Resources/Data/balance.json: supports[15]</t>
        </is>
      </c>
      <c r="AL18" t="inlineStr">
        <is>
          <t>{"id":"moab","kind":"CruiseMissile","pen":4,"consumable":true,"cooldown":20,"delay":4.0,"radius":24,"count":1,"damage":4000,"blast":27,"tier":"Ultimate"}</t>
        </is>
      </c>
    </row>
    <row r="19">
      <c r="A19" t="inlineStr">
        <is>
          <t>napalm_strike</t>
        </is>
      </c>
      <c r="B19" t="inlineStr">
        <is>
          <t>Napalm strike</t>
        </is>
      </c>
      <c r="C19" t="inlineStr">
        <is>
          <t>Bom napalm</t>
        </is>
      </c>
      <c r="E19" t="inlineStr">
        <is>
          <t>giong</t>
        </is>
      </c>
      <c r="P19" t="n">
        <v>9</v>
      </c>
      <c r="U19" t="n">
        <v>90</v>
      </c>
      <c r="V19" t="n">
        <v>8</v>
      </c>
      <c r="W19" t="n">
        <v>9</v>
      </c>
      <c r="X19" t="n">
        <v>150</v>
      </c>
      <c r="Y19" t="inlineStr">
        <is>
          <t>Fire</t>
        </is>
      </c>
      <c r="Z19" t="n">
        <v>2</v>
      </c>
      <c r="AA19" t="n">
        <v>1.4</v>
      </c>
      <c r="AC19" t="inlineStr">
        <is>
          <t>Airstrike</t>
        </is>
      </c>
      <c r="AD19" t="n">
        <v>55</v>
      </c>
      <c r="AE19" t="n">
        <v>1</v>
      </c>
      <c r="AF19" t="n">
        <v>5</v>
      </c>
      <c r="AI19" t="inlineStr">
        <is>
          <t>Huge</t>
        </is>
      </c>
      <c r="AK19" t="inlineStr">
        <is>
          <t>Assets/MachineBrigade/Resources/Data/balance.json: supports[4]</t>
        </is>
      </c>
      <c r="AL19" t="inlineStr">
        <is>
          <t>{"id":"napalm_strike","kind":"Airstrike","pen":1,"cp":9,"cooldown":90,"delay":2.0,"radius":5,"count":8,"duration":1.4,"damage":150,"blast":9,"tier":"Huge","length":55,"damageType":"Fire"}</t>
        </is>
      </c>
    </row>
    <row r="20">
      <c r="A20" t="inlineStr">
        <is>
          <t>pod_drop</t>
        </is>
      </c>
      <c r="B20" t="inlineStr">
        <is>
          <t>Drop pod</t>
        </is>
      </c>
      <c r="C20" t="inlineStr">
        <is>
          <t>Khoang đổ bộ</t>
        </is>
      </c>
      <c r="E20" t="inlineStr">
        <is>
          <t>giong</t>
        </is>
      </c>
      <c r="P20" t="n">
        <v>4</v>
      </c>
      <c r="U20" t="n">
        <v>0</v>
      </c>
      <c r="V20" t="n">
        <v>1</v>
      </c>
      <c r="X20" t="n">
        <v>0</v>
      </c>
      <c r="Z20" t="n">
        <v>6</v>
      </c>
      <c r="AA20" t="n">
        <v>0</v>
      </c>
      <c r="AB20" t="b">
        <v>1</v>
      </c>
      <c r="AC20" t="inlineStr">
        <is>
          <t>Barrage</t>
        </is>
      </c>
      <c r="AE20" t="n">
        <v>0</v>
      </c>
      <c r="AF20" t="n">
        <v>5</v>
      </c>
      <c r="AI20" t="inlineStr">
        <is>
          <t>Large</t>
        </is>
      </c>
      <c r="AK20" t="inlineStr">
        <is>
          <t>Assets/MachineBrigade/Resources/Data/balance.json: supports[9]</t>
        </is>
      </c>
      <c r="AL20" t="inlineStr">
        <is>
          <t>{"id":"pod_drop","kind":"Barrage","pen":0,"event":true,"cooldown":0,"delay":6.0,"radius":5,"count":1,"duration":0,"damage":0,"blast":4,"tier":"Large"}</t>
        </is>
      </c>
    </row>
    <row r="21">
      <c r="A21" t="inlineStr">
        <is>
          <t>reinforcements</t>
        </is>
      </c>
      <c r="B21" t="inlineStr">
        <is>
          <t>Airdropped armour</t>
        </is>
      </c>
      <c r="C21" t="inlineStr">
        <is>
          <t>Tiếp viện thả dù</t>
        </is>
      </c>
      <c r="D21" t="inlineStr">
        <is>
          <t>main_battle_tank;main_battle_tank;ifv</t>
        </is>
      </c>
      <c r="E21" t="inlineStr">
        <is>
          <t>giong</t>
        </is>
      </c>
      <c r="Q21" t="inlineStr">
        <is>
          <t>scout_jeep;armored_car;ifv;light_tank;main_battle_tank;tank_destroyer;aa_vehicle;heavy_tank</t>
        </is>
      </c>
      <c r="R21" t="n">
        <v>20</v>
      </c>
      <c r="S21" t="n">
        <v>1.5</v>
      </c>
      <c r="U21" t="n">
        <v>30</v>
      </c>
      <c r="V21" t="n">
        <v>3</v>
      </c>
      <c r="Z21" t="n">
        <v>3</v>
      </c>
      <c r="AC21" t="inlineStr">
        <is>
          <t>Reinforce</t>
        </is>
      </c>
      <c r="AF21" t="n">
        <v>8</v>
      </c>
      <c r="AI21" t="inlineStr">
        <is>
          <t>Large</t>
        </is>
      </c>
      <c r="AK21" t="inlineStr">
        <is>
          <t>Assets/MachineBrigade/Resources/Data/balance.json: supports[17]</t>
        </is>
      </c>
      <c r="AL21" t="inlineStr">
        <is>
          <t>{"id":"reinforcements","kind":"Reinforce","cooldown":30,"delay":3.0,"radius":8,"count":3,"tier":"Large","units":["main_battle_tank","main_battle_tank","ifv"],"call":{"maxCp":20,"priceScale":1.5,"choices":["scout_jeep","armored_car","ifv","light_tank","main_battle_tank","tank_destroyer","aa_vehicle","heavy_tank"]}}</t>
        </is>
      </c>
    </row>
    <row r="22">
      <c r="A22" t="inlineStr">
        <is>
          <t>remote_mines</t>
        </is>
      </c>
      <c r="B22" t="inlineStr">
        <is>
          <t>Remote mines</t>
        </is>
      </c>
      <c r="C22" t="inlineStr">
        <is>
          <t>Mìn rải từ xa</t>
        </is>
      </c>
      <c r="E22" t="inlineStr">
        <is>
          <t>giong</t>
        </is>
      </c>
      <c r="P22" t="n">
        <v>4</v>
      </c>
      <c r="U22" t="n">
        <v>60</v>
      </c>
      <c r="V22" t="n">
        <v>8</v>
      </c>
      <c r="W22" t="n">
        <v>5</v>
      </c>
      <c r="X22" t="n">
        <v>300</v>
      </c>
      <c r="Y22" t="inlineStr">
        <is>
          <t>ShapedCharge</t>
        </is>
      </c>
      <c r="Z22" t="n">
        <v>2</v>
      </c>
      <c r="AA22" t="n">
        <v>60</v>
      </c>
      <c r="AC22" t="inlineStr">
        <is>
          <t>Minefield</t>
        </is>
      </c>
      <c r="AE22" t="n">
        <v>4</v>
      </c>
      <c r="AF22" t="n">
        <v>12</v>
      </c>
      <c r="AI22" t="inlineStr">
        <is>
          <t>Large</t>
        </is>
      </c>
      <c r="AK22" t="inlineStr">
        <is>
          <t>Assets/MachineBrigade/Resources/Data/balance.json: supports[21]</t>
        </is>
      </c>
      <c r="AL22" t="inlineStr">
        <is>
          <t>{"id":"remote_mines","kind":"Minefield","pen":4,"cp":5,"cooldown":60,"delay":2.0,"radius":12,"count":8,"duration":60,"damage":300,"blast":4,"tier":"Large","damageType":"ShapedCharge"}</t>
        </is>
      </c>
    </row>
    <row r="23">
      <c r="A23" t="inlineStr">
        <is>
          <t>repair_drop</t>
        </is>
      </c>
      <c r="B23" t="inlineStr">
        <is>
          <t>Repair</t>
        </is>
      </c>
      <c r="C23" t="inlineStr">
        <is>
          <t>Sửa chữa</t>
        </is>
      </c>
      <c r="E23" t="inlineStr">
        <is>
          <t>giong</t>
        </is>
      </c>
      <c r="U23" t="n">
        <v>60</v>
      </c>
      <c r="V23" t="n">
        <v>6</v>
      </c>
      <c r="W23" t="n">
        <v>4</v>
      </c>
      <c r="X23" t="n">
        <v>0.4</v>
      </c>
      <c r="Z23" t="n">
        <v>1.5</v>
      </c>
      <c r="AA23" t="n">
        <v>6</v>
      </c>
      <c r="AC23" t="inlineStr">
        <is>
          <t>Repair</t>
        </is>
      </c>
      <c r="AF23" t="n">
        <v>12</v>
      </c>
      <c r="AI23" t="inlineStr">
        <is>
          <t>Small</t>
        </is>
      </c>
      <c r="AK23" t="inlineStr">
        <is>
          <t>Assets/MachineBrigade/Resources/Data/balance.json: supports[3]</t>
        </is>
      </c>
      <c r="AL23" t="inlineStr">
        <is>
          <t>{"id":"repair_drop","kind":"Repair","cp":4,"cooldown":60,"delay":1.5,"radius":12,"count":6,"duration":6,"damage":0.4,"tier":"Small"}</t>
        </is>
      </c>
    </row>
    <row r="24">
      <c r="A24" t="inlineStr">
        <is>
          <t>shield_dome</t>
        </is>
      </c>
      <c r="B24" t="inlineStr">
        <is>
          <t>Shield dome</t>
        </is>
      </c>
      <c r="C24" t="inlineStr">
        <is>
          <t>Khiên vòm</t>
        </is>
      </c>
      <c r="E24" t="inlineStr">
        <is>
          <t>giong</t>
        </is>
      </c>
      <c r="T24" t="b">
        <v>1</v>
      </c>
      <c r="U24" t="n">
        <v>20</v>
      </c>
      <c r="V24" t="n">
        <v>1</v>
      </c>
      <c r="X24" t="n">
        <v>0.7</v>
      </c>
      <c r="Z24" t="n">
        <v>0.5</v>
      </c>
      <c r="AA24" t="n">
        <v>10</v>
      </c>
      <c r="AC24" t="inlineStr">
        <is>
          <t>ShieldDome</t>
        </is>
      </c>
      <c r="AF24" t="n">
        <v>16</v>
      </c>
      <c r="AI24" t="inlineStr">
        <is>
          <t>Medium</t>
        </is>
      </c>
      <c r="AK24" t="inlineStr">
        <is>
          <t>Assets/MachineBrigade/Resources/Data/balance.json: supports[20]</t>
        </is>
      </c>
      <c r="AL24" t="inlineStr">
        <is>
          <t>{"id":"shield_dome","kind":"ShieldDome","consumable":true,"cooldown":20,"delay":0.5,"radius":16,"count":1,"duration":10,"damage":0.7,"tier":"Medium"}</t>
        </is>
      </c>
    </row>
    <row r="25">
      <c r="A25" t="inlineStr">
        <is>
          <t>super_gun_shell</t>
        </is>
      </c>
      <c r="B25" t="inlineStr">
        <is>
          <t>Super-gun shell</t>
        </is>
      </c>
      <c r="C25" t="inlineStr">
        <is>
          <t>Đạn siêu pháo</t>
        </is>
      </c>
      <c r="E25" t="inlineStr">
        <is>
          <t>giong</t>
        </is>
      </c>
      <c r="P25" t="n">
        <v>15</v>
      </c>
      <c r="U25" t="n">
        <v>0</v>
      </c>
      <c r="V25" t="n">
        <v>1</v>
      </c>
      <c r="X25" t="n">
        <v>450</v>
      </c>
      <c r="Z25" t="n">
        <v>4</v>
      </c>
      <c r="AA25" t="n">
        <v>0.1</v>
      </c>
      <c r="AB25" t="b">
        <v>1</v>
      </c>
      <c r="AC25" t="inlineStr">
        <is>
          <t>Barrage</t>
        </is>
      </c>
      <c r="AE25" t="n">
        <v>4</v>
      </c>
      <c r="AF25" t="n">
        <v>4</v>
      </c>
      <c r="AI25" t="inlineStr">
        <is>
          <t>Ultimate</t>
        </is>
      </c>
      <c r="AK25" t="inlineStr">
        <is>
          <t>Assets/MachineBrigade/Resources/Data/balance.json: supports[11]</t>
        </is>
      </c>
      <c r="AL25" t="inlineStr">
        <is>
          <t>{"id":"super_gun_shell","kind":"Barrage","pen":4,"event":true,"cooldown":0,"delay":4.0,"radius":4,"count":1,"duration":0.1,"damage":450,"blast":15,"tier":"Ultimate"}</t>
        </is>
      </c>
    </row>
  </sheetData>
  <autoFilter ref="A1:AL2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8" customWidth="1" min="3" max="3"/>
    <col width="12" customWidth="1" min="4" max="4"/>
    <col width="8" customWidth="1" min="5" max="5"/>
    <col width="12" customWidth="1" min="6" max="6"/>
    <col width="10" customWidth="1" min="7" max="7"/>
    <col width="8" customWidth="1" min="8" max="8"/>
    <col width="8" customWidth="1" min="9" max="9"/>
    <col width="10" customWidth="1" min="10" max="10"/>
    <col width="11" customWidth="1" min="11" max="11"/>
    <col width="16" customWidth="1" min="12" max="12"/>
    <col width="21" customWidth="1" min="13" max="13"/>
    <col width="60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dung_boi</t>
        </is>
      </c>
      <c r="C1" s="1" t="inlineStr">
        <is>
          <t>amount</t>
        </is>
      </c>
      <c r="D1" s="1" t="inlineStr">
        <is>
          <t>cooldown_s</t>
        </is>
      </c>
      <c r="E1" s="1" t="inlineStr">
        <is>
          <t>count</t>
        </is>
      </c>
      <c r="F1" s="1" t="inlineStr">
        <is>
          <t>duration_s</t>
        </is>
      </c>
      <c r="G1" s="1" t="inlineStr">
        <is>
          <t>kind</t>
        </is>
      </c>
      <c r="H1" s="1" t="inlineStr">
        <is>
          <t>max</t>
        </is>
      </c>
      <c r="I1" s="1" t="inlineStr">
        <is>
          <t>once</t>
        </is>
      </c>
      <c r="J1" s="1" t="inlineStr">
        <is>
          <t>radius_m</t>
        </is>
      </c>
      <c r="K1" s="1" t="inlineStr">
        <is>
          <t>threshold</t>
        </is>
      </c>
      <c r="L1" s="1" t="inlineStr">
        <is>
          <t>trigger</t>
        </is>
      </c>
      <c r="M1" s="1" t="inlineStr">
        <is>
          <t>unit</t>
        </is>
      </c>
      <c r="N1" s="1" t="inlineStr">
        <is>
          <t>nguon</t>
        </is>
      </c>
      <c r="O1" s="1" t="inlineStr">
        <is>
          <t>raw_json</t>
        </is>
      </c>
    </row>
    <row r="2">
      <c r="A2" t="inlineStr">
        <is>
          <t>airship_launch_l</t>
        </is>
      </c>
      <c r="B2" t="inlineStr">
        <is>
          <t>command_airship</t>
        </is>
      </c>
      <c r="D2" t="n">
        <v>30</v>
      </c>
      <c r="E2" t="n">
        <v>1</v>
      </c>
      <c r="G2" t="inlineStr">
        <is>
          <t>Summon</t>
        </is>
      </c>
      <c r="J2" t="n">
        <v>80</v>
      </c>
      <c r="L2" t="inlineStr">
        <is>
          <t>EnemyInRange</t>
        </is>
      </c>
      <c r="M2" t="inlineStr">
        <is>
          <t>strike_drone</t>
        </is>
      </c>
      <c r="N2" t="inlineStr">
        <is>
          <t>Assets/MachineBrigade/Resources/Data/balance.json: skills[17]</t>
        </is>
      </c>
      <c r="O2" t="inlineStr">
        <is>
          <t>{"id":"airship_launch_l","kind":"Summon","trigger":"EnemyInRange","radius":80,"cooldown":30,"count":1,"unit":"strike_drone"}</t>
        </is>
      </c>
    </row>
    <row r="3">
      <c r="A3" t="inlineStr">
        <is>
          <t>airship_launch_r</t>
        </is>
      </c>
      <c r="B3" t="inlineStr">
        <is>
          <t>command_airship</t>
        </is>
      </c>
      <c r="D3" t="n">
        <v>30</v>
      </c>
      <c r="E3" t="n">
        <v>1</v>
      </c>
      <c r="G3" t="inlineStr">
        <is>
          <t>Summon</t>
        </is>
      </c>
      <c r="J3" t="n">
        <v>80</v>
      </c>
      <c r="L3" t="inlineStr">
        <is>
          <t>EnemyInRange</t>
        </is>
      </c>
      <c r="M3" t="inlineStr">
        <is>
          <t>strike_drone</t>
        </is>
      </c>
      <c r="N3" t="inlineStr">
        <is>
          <t>Assets/MachineBrigade/Resources/Data/balance.json: skills[18]</t>
        </is>
      </c>
      <c r="O3" t="inlineStr">
        <is>
          <t>{"id":"airship_launch_r","kind":"Summon","trigger":"EnemyInRange","radius":80,"cooldown":30,"count":1,"unit":"strike_drone"}</t>
        </is>
      </c>
    </row>
    <row r="4">
      <c r="A4" t="inlineStr">
        <is>
          <t>bomber_flares</t>
        </is>
      </c>
      <c r="B4" t="inlineStr">
        <is>
          <t>heavy_bomber;sky_gunship;swarm_carrier</t>
        </is>
      </c>
      <c r="D4" t="n">
        <v>11</v>
      </c>
      <c r="F4" t="n">
        <v>3</v>
      </c>
      <c r="G4" t="inlineStr">
        <is>
          <t>Flares</t>
        </is>
      </c>
      <c r="L4" t="inlineStr">
        <is>
          <t>MissileIncoming</t>
        </is>
      </c>
      <c r="N4" t="inlineStr">
        <is>
          <t>Assets/MachineBrigade/Resources/Data/balance.json: skills[7]</t>
        </is>
      </c>
      <c r="O4" t="inlineStr">
        <is>
          <t>{"id":"bomber_flares","kind":"Flares","trigger":"MissileIncoming","cooldown":11,"duration":3}</t>
        </is>
      </c>
    </row>
    <row r="5">
      <c r="A5" t="inlineStr">
        <is>
          <t>boss_bulwark</t>
        </is>
      </c>
      <c r="B5" t="inlineStr">
        <is>
          <t>bastion_mk0;behemoth;behemoth_mk0;behemoth_mk2;behemoth_tempest;fortress_bastion;moloch;monster</t>
        </is>
      </c>
      <c r="C5" t="n">
        <v>0.5</v>
      </c>
      <c r="D5" t="n">
        <v>30</v>
      </c>
      <c r="F5" t="n">
        <v>6</v>
      </c>
      <c r="G5" t="inlineStr">
        <is>
          <t>Shield</t>
        </is>
      </c>
      <c r="K5" t="n">
        <v>0.35</v>
      </c>
      <c r="L5" t="inlineStr">
        <is>
          <t>HpBelow</t>
        </is>
      </c>
      <c r="N5" t="inlineStr">
        <is>
          <t>Assets/MachineBrigade/Resources/Data/balance.json: skills[10]</t>
        </is>
      </c>
      <c r="O5" t="inlineStr">
        <is>
          <t>{"id":"boss_bulwark","kind":"Shield","trigger":"HpBelow","threshold":0.35,"cooldown":30,"duration":6,"amount":0.5}</t>
        </is>
      </c>
    </row>
    <row r="6">
      <c r="A6" t="inlineStr">
        <is>
          <t>boss_emp</t>
        </is>
      </c>
      <c r="B6" t="inlineStr">
        <is>
          <t>behemoth_tempest;fenrir;mobile_fortress</t>
        </is>
      </c>
      <c r="D6" t="n">
        <v>35</v>
      </c>
      <c r="F6" t="n">
        <v>4</v>
      </c>
      <c r="G6" t="inlineStr">
        <is>
          <t>Emp</t>
        </is>
      </c>
      <c r="J6" t="n">
        <v>22</v>
      </c>
      <c r="L6" t="inlineStr">
        <is>
          <t>EnemyInRange</t>
        </is>
      </c>
      <c r="N6" t="inlineStr">
        <is>
          <t>Assets/MachineBrigade/Resources/Data/balance.json: skills[12]</t>
        </is>
      </c>
      <c r="O6" t="inlineStr">
        <is>
          <t>{"id":"boss_emp","kind":"Emp","trigger":"EnemyInRange","radius":22,"cooldown":35,"duration":4}</t>
        </is>
      </c>
    </row>
    <row r="7">
      <c r="A7" t="inlineStr">
        <is>
          <t>boss_flares</t>
        </is>
      </c>
      <c r="B7" t="inlineStr">
        <is>
          <t>drone_mothership;locust;mega_gunship</t>
        </is>
      </c>
      <c r="D7" t="n">
        <v>10</v>
      </c>
      <c r="F7" t="n">
        <v>3</v>
      </c>
      <c r="G7" t="inlineStr">
        <is>
          <t>Flares</t>
        </is>
      </c>
      <c r="L7" t="inlineStr">
        <is>
          <t>MissileIncoming</t>
        </is>
      </c>
      <c r="N7" t="inlineStr">
        <is>
          <t>Assets/MachineBrigade/Resources/Data/balance.json: skills[11]</t>
        </is>
      </c>
      <c r="O7" t="inlineStr">
        <is>
          <t>{"id":"boss_flares","kind":"Flares","trigger":"MissileIncoming","cooldown":10,"duration":3}</t>
        </is>
      </c>
    </row>
    <row r="8">
      <c r="A8" t="inlineStr">
        <is>
          <t>boss_rage</t>
        </is>
      </c>
      <c r="B8" t="inlineStr">
        <is>
          <t>behemoth;behemoth_inferno;behemoth_mk2;coeus;daedalus;earth_borer;hyperion;icarus_mk0;mega_gunship;silver_bug;theia</t>
        </is>
      </c>
      <c r="C8" t="n">
        <v>1.2</v>
      </c>
      <c r="F8" t="n">
        <v>9999</v>
      </c>
      <c r="G8" t="inlineStr">
        <is>
          <t>Overdrive</t>
        </is>
      </c>
      <c r="I8" t="b">
        <v>1</v>
      </c>
      <c r="K8" t="n">
        <v>0.5</v>
      </c>
      <c r="L8" t="inlineStr">
        <is>
          <t>HpBelow</t>
        </is>
      </c>
      <c r="N8" t="inlineStr">
        <is>
          <t>Assets/MachineBrigade/Resources/Data/balance.json: skills[9]</t>
        </is>
      </c>
      <c r="O8" t="inlineStr">
        <is>
          <t>{"id":"boss_rage","kind":"Overdrive","trigger":"HpBelow","threshold":0.5,"once":true,"duration":9999,"amount":1.2}</t>
        </is>
      </c>
    </row>
    <row r="9">
      <c r="A9" t="inlineStr">
        <is>
          <t>elite_barrage</t>
        </is>
      </c>
      <c r="B9" t="inlineStr">
        <is>
          <t>elite_artillery;elite_attack_helicopter;elite_fpv_carrier;elite_grad;elite_mlrs;elite_tank_destroyer</t>
        </is>
      </c>
      <c r="C9" t="n">
        <v>2.2</v>
      </c>
      <c r="D9" t="n">
        <v>28</v>
      </c>
      <c r="F9" t="n">
        <v>6</v>
      </c>
      <c r="G9" t="inlineStr">
        <is>
          <t>Barrage</t>
        </is>
      </c>
      <c r="L9" t="inlineStr">
        <is>
          <t>EnemyInRange</t>
        </is>
      </c>
      <c r="N9" t="inlineStr">
        <is>
          <t>Assets/MachineBrigade/Resources/Data/balance.json: skills[3]</t>
        </is>
      </c>
      <c r="O9" t="inlineStr">
        <is>
          <t>{"id":"elite_barrage","kind":"Barrage","trigger":"EnemyInRange","cooldown":28,"duration":6,"amount":2.2}</t>
        </is>
      </c>
    </row>
    <row r="10">
      <c r="A10" t="inlineStr">
        <is>
          <t>elite_emp</t>
        </is>
      </c>
      <c r="B10" t="inlineStr">
        <is>
          <t>elite_apc</t>
        </is>
      </c>
      <c r="D10" t="n">
        <v>30</v>
      </c>
      <c r="F10" t="n">
        <v>3.5</v>
      </c>
      <c r="G10" t="inlineStr">
        <is>
          <t>Emp</t>
        </is>
      </c>
      <c r="J10" t="n">
        <v>14</v>
      </c>
      <c r="L10" t="inlineStr">
        <is>
          <t>EnemyInRange</t>
        </is>
      </c>
      <c r="N10" t="inlineStr">
        <is>
          <t>Assets/MachineBrigade/Resources/Data/balance.json: skills[8]</t>
        </is>
      </c>
      <c r="O10" t="inlineStr">
        <is>
          <t>{"id":"elite_emp","kind":"Emp","trigger":"EnemyInRange","radius":14,"cooldown":30,"duration":3.5}</t>
        </is>
      </c>
    </row>
    <row r="11">
      <c r="A11" t="inlineStr">
        <is>
          <t>elite_flares</t>
        </is>
      </c>
      <c r="B11" t="inlineStr">
        <is>
          <t>elite_attack_helicopter;elite_attack_jet</t>
        </is>
      </c>
      <c r="D11" t="n">
        <v>14</v>
      </c>
      <c r="F11" t="n">
        <v>3</v>
      </c>
      <c r="G11" t="inlineStr">
        <is>
          <t>Flares</t>
        </is>
      </c>
      <c r="L11" t="inlineStr">
        <is>
          <t>MissileIncoming</t>
        </is>
      </c>
      <c r="N11" t="inlineStr">
        <is>
          <t>Assets/MachineBrigade/Resources/Data/balance.json: skills[4]</t>
        </is>
      </c>
      <c r="O11" t="inlineStr">
        <is>
          <t>{"id":"elite_flares","kind":"Flares","trigger":"MissileIncoming","cooldown":14,"duration":3}</t>
        </is>
      </c>
    </row>
    <row r="12">
      <c r="A12" t="inlineStr">
        <is>
          <t>elite_overdrive</t>
        </is>
      </c>
      <c r="B12" t="inlineStr">
        <is>
          <t>elite_aa;elite_heavy_tank;elite_long_sam</t>
        </is>
      </c>
      <c r="C12" t="n">
        <v>1.5</v>
      </c>
      <c r="D12" t="n">
        <v>25</v>
      </c>
      <c r="F12" t="n">
        <v>6</v>
      </c>
      <c r="G12" t="inlineStr">
        <is>
          <t>Overdrive</t>
        </is>
      </c>
      <c r="L12" t="inlineStr">
        <is>
          <t>EnemyInRange</t>
        </is>
      </c>
      <c r="N12" t="inlineStr">
        <is>
          <t>Assets/MachineBrigade/Resources/Data/balance.json: skills[2]</t>
        </is>
      </c>
      <c r="O12" t="inlineStr">
        <is>
          <t>{"id":"elite_overdrive","kind":"Overdrive","trigger":"EnemyInRange","cooldown":25,"duration":6,"amount":1.5}</t>
        </is>
      </c>
    </row>
    <row r="13">
      <c r="A13" t="inlineStr">
        <is>
          <t>elite_repair</t>
        </is>
      </c>
      <c r="B13" t="inlineStr"/>
      <c r="C13" t="n">
        <v>0.3</v>
      </c>
      <c r="D13" t="n">
        <v>30</v>
      </c>
      <c r="F13" t="n">
        <v>8</v>
      </c>
      <c r="G13" t="inlineStr">
        <is>
          <t>Repair</t>
        </is>
      </c>
      <c r="K13" t="n">
        <v>0.5</v>
      </c>
      <c r="L13" t="inlineStr">
        <is>
          <t>HpBelow</t>
        </is>
      </c>
      <c r="N13" t="inlineStr">
        <is>
          <t>Assets/MachineBrigade/Resources/Data/balance.json: skills[1]</t>
        </is>
      </c>
      <c r="O13" t="inlineStr">
        <is>
          <t>{"id":"elite_repair","kind":"Repair","trigger":"HpBelow","threshold":0.5,"cooldown":30,"duration":8,"amount":0.3}</t>
        </is>
      </c>
    </row>
    <row r="14">
      <c r="A14" t="inlineStr">
        <is>
          <t>elite_shield</t>
        </is>
      </c>
      <c r="B14" t="inlineStr">
        <is>
          <t>elite_mbt</t>
        </is>
      </c>
      <c r="C14" t="n">
        <v>0.3</v>
      </c>
      <c r="D14" t="n">
        <v>20</v>
      </c>
      <c r="F14" t="n">
        <v>5</v>
      </c>
      <c r="G14" t="inlineStr">
        <is>
          <t>Shield</t>
        </is>
      </c>
      <c r="L14" t="inlineStr">
        <is>
          <t>UnderFire</t>
        </is>
      </c>
      <c r="N14" t="inlineStr">
        <is>
          <t>Assets/MachineBrigade/Resources/Data/balance.json: skills[0]</t>
        </is>
      </c>
      <c r="O14" t="inlineStr">
        <is>
          <t>{"id":"elite_shield","kind":"Shield","trigger":"UnderFire","cooldown":20,"duration":5,"amount":0.3}</t>
        </is>
      </c>
    </row>
    <row r="15">
      <c r="A15" t="inlineStr">
        <is>
          <t>fortress_barrage</t>
        </is>
      </c>
      <c r="B15" t="inlineStr">
        <is>
          <t>bastion_mk0;fenrir;fortress_bastion;mobile_fortress;monster</t>
        </is>
      </c>
      <c r="C15" t="n">
        <v>2</v>
      </c>
      <c r="D15" t="n">
        <v>25</v>
      </c>
      <c r="F15" t="n">
        <v>8</v>
      </c>
      <c r="G15" t="inlineStr">
        <is>
          <t>Barrage</t>
        </is>
      </c>
      <c r="K15" t="n">
        <v>0.4</v>
      </c>
      <c r="L15" t="inlineStr">
        <is>
          <t>HpBelow</t>
        </is>
      </c>
      <c r="N15" t="inlineStr">
        <is>
          <t>Assets/MachineBrigade/Resources/Data/balance.json: skills[13]</t>
        </is>
      </c>
      <c r="O15" t="inlineStr">
        <is>
          <t>{"id":"fortress_barrage","kind":"Barrage","trigger":"HpBelow","threshold":0.4,"cooldown":25,"duration":8,"amount":2}</t>
        </is>
      </c>
    </row>
    <row r="16">
      <c r="A16" t="inlineStr">
        <is>
          <t>heli_flares</t>
        </is>
      </c>
      <c r="B16" t="inlineStr">
        <is>
          <t>attack_helicopter</t>
        </is>
      </c>
      <c r="D16" t="n">
        <v>20</v>
      </c>
      <c r="F16" t="n">
        <v>1.5</v>
      </c>
      <c r="G16" t="inlineStr">
        <is>
          <t>Flares</t>
        </is>
      </c>
      <c r="L16" t="inlineStr">
        <is>
          <t>MissileIncoming</t>
        </is>
      </c>
      <c r="N16" t="inlineStr">
        <is>
          <t>Assets/MachineBrigade/Resources/Data/balance.json: skills[5]</t>
        </is>
      </c>
      <c r="O16" t="inlineStr">
        <is>
          <t>{"id":"heli_flares","kind":"Flares","trigger":"MissileIncoming","cooldown":20,"duration":1.5}</t>
        </is>
      </c>
    </row>
    <row r="17">
      <c r="A17" t="inlineStr">
        <is>
          <t>jet_flares</t>
        </is>
      </c>
      <c r="B17" t="inlineStr">
        <is>
          <t>attack_jet;fighter_jet;stealth_fighter</t>
        </is>
      </c>
      <c r="D17" t="n">
        <v>16</v>
      </c>
      <c r="F17" t="n">
        <v>1.5</v>
      </c>
      <c r="G17" t="inlineStr">
        <is>
          <t>Flares</t>
        </is>
      </c>
      <c r="L17" t="inlineStr">
        <is>
          <t>MissileIncoming</t>
        </is>
      </c>
      <c r="N17" t="inlineStr">
        <is>
          <t>Assets/MachineBrigade/Resources/Data/balance.json: skills[6]</t>
        </is>
      </c>
      <c r="O17" t="inlineStr">
        <is>
          <t>{"id":"jet_flares","kind":"Flares","trigger":"MissileIncoming","cooldown":16,"duration":1.5}</t>
        </is>
      </c>
    </row>
    <row r="18">
      <c r="A18" t="inlineStr">
        <is>
          <t>kraken_jets</t>
        </is>
      </c>
      <c r="B18" t="inlineStr">
        <is>
          <t>kraken</t>
        </is>
      </c>
      <c r="D18" t="n">
        <v>40</v>
      </c>
      <c r="E18" t="n">
        <v>2</v>
      </c>
      <c r="G18" t="inlineStr">
        <is>
          <t>Summon</t>
        </is>
      </c>
      <c r="H18" t="n">
        <v>4</v>
      </c>
      <c r="J18" t="n">
        <v>110</v>
      </c>
      <c r="L18" t="inlineStr">
        <is>
          <t>EnemyInRange</t>
        </is>
      </c>
      <c r="M18" t="inlineStr">
        <is>
          <t>stealth_naval_strike</t>
        </is>
      </c>
      <c r="N18" t="inlineStr">
        <is>
          <t>Assets/MachineBrigade/Resources/Data/balance.json: skills[20]</t>
        </is>
      </c>
      <c r="O18" t="inlineStr">
        <is>
          <t>{"id":"kraken_jets","kind":"Summon","trigger":"EnemyInRange","radius":110,"cooldown":40,"count":2,"max":4,"unit":"stealth_naval_strike"}</t>
        </is>
      </c>
    </row>
    <row r="19">
      <c r="A19" t="inlineStr">
        <is>
          <t>leviathan_helos</t>
        </is>
      </c>
      <c r="B19" t="inlineStr">
        <is>
          <t>kraken;leviathan;nyx;scylla</t>
        </is>
      </c>
      <c r="D19" t="n">
        <v>55</v>
      </c>
      <c r="E19" t="n">
        <v>1</v>
      </c>
      <c r="G19" t="inlineStr">
        <is>
          <t>Summon</t>
        </is>
      </c>
      <c r="K19" t="n">
        <v>0.7</v>
      </c>
      <c r="L19" t="inlineStr">
        <is>
          <t>HpBelow</t>
        </is>
      </c>
      <c r="M19" t="inlineStr">
        <is>
          <t>attack_helicopter</t>
        </is>
      </c>
      <c r="N19" t="inlineStr">
        <is>
          <t>Assets/MachineBrigade/Resources/Data/balance.json: skills[19]</t>
        </is>
      </c>
      <c r="O19" t="inlineStr">
        <is>
          <t>{"id":"leviathan_helos","kind":"Summon","trigger":"HpBelow","threshold":0.7,"cooldown":55,"count":1,"unit":"attack_helicopter"}</t>
        </is>
      </c>
    </row>
    <row r="20">
      <c r="A20" t="inlineStr">
        <is>
          <t>mothership_launch</t>
        </is>
      </c>
      <c r="B20" t="inlineStr">
        <is>
          <t>drone_mothership;locust</t>
        </is>
      </c>
      <c r="D20" t="n">
        <v>30</v>
      </c>
      <c r="E20" t="n">
        <v>3</v>
      </c>
      <c r="G20" t="inlineStr">
        <is>
          <t>Summon</t>
        </is>
      </c>
      <c r="J20" t="n">
        <v>70</v>
      </c>
      <c r="L20" t="inlineStr">
        <is>
          <t>EnemyInRange</t>
        </is>
      </c>
      <c r="M20" t="inlineStr">
        <is>
          <t>strike_drone</t>
        </is>
      </c>
      <c r="N20" t="inlineStr">
        <is>
          <t>Assets/MachineBrigade/Resources/Data/balance.json: skills[15]</t>
        </is>
      </c>
      <c r="O20" t="inlineStr">
        <is>
          <t>{"id":"mothership_launch","kind":"Summon","trigger":"EnemyInRange","radius":70,"cooldown":30,"count":3,"unit":"strike_drone"}</t>
        </is>
      </c>
    </row>
    <row r="21">
      <c r="A21" t="inlineStr">
        <is>
          <t>mothership_shield</t>
        </is>
      </c>
      <c r="B21" t="inlineStr">
        <is>
          <t>behemoth_tempest;drone_mothership;locust</t>
        </is>
      </c>
      <c r="C21" t="n">
        <v>0.5</v>
      </c>
      <c r="D21" t="n">
        <v>30</v>
      </c>
      <c r="F21" t="n">
        <v>8</v>
      </c>
      <c r="G21" t="inlineStr">
        <is>
          <t>Shield</t>
        </is>
      </c>
      <c r="K21" t="n">
        <v>0.5</v>
      </c>
      <c r="L21" t="inlineStr">
        <is>
          <t>HpBelow</t>
        </is>
      </c>
      <c r="N21" t="inlineStr">
        <is>
          <t>Assets/MachineBrigade/Resources/Data/balance.json: skills[16]</t>
        </is>
      </c>
      <c r="O21" t="inlineStr">
        <is>
          <t>{"id":"mothership_shield","kind":"Shield","trigger":"HpBelow","threshold":0.5,"cooldown":30,"duration":8,"amount":0.5}</t>
        </is>
      </c>
    </row>
    <row r="22">
      <c r="A22" t="inlineStr">
        <is>
          <t>train_patch</t>
        </is>
      </c>
      <c r="B22" t="inlineStr">
        <is>
          <t>armored_train;bastion_mk0;fortress_bastion;monster</t>
        </is>
      </c>
      <c r="C22" t="n">
        <v>0.5</v>
      </c>
      <c r="G22" t="inlineStr">
        <is>
          <t>Patch</t>
        </is>
      </c>
      <c r="I22" t="b">
        <v>1</v>
      </c>
      <c r="L22" t="inlineStr">
        <is>
          <t>PartBroken</t>
        </is>
      </c>
      <c r="N22" t="inlineStr">
        <is>
          <t>Assets/MachineBrigade/Resources/Data/balance.json: skills[14]</t>
        </is>
      </c>
      <c r="O22" t="inlineStr">
        <is>
          <t>{"id":"train_patch","kind":"Patch","trigger":"PartBroken","once":true,"amount":0.5}</t>
        </is>
      </c>
    </row>
  </sheetData>
  <autoFilter ref="A1:O2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blueprintChance</t>
        </is>
      </c>
      <c r="B2" t="inlineStr">
        <is>
          <t>elites</t>
        </is>
      </c>
      <c r="C2" t="inlineStr">
        <is>
          <t>blueprintChance</t>
        </is>
      </c>
      <c r="D2" t="n">
        <v>0.06</v>
      </c>
      <c r="F2" t="inlineStr"/>
      <c r="G2" t="inlineStr">
        <is>
          <t>Assets/MachineBrigade/Resources/Data/balance.json: elites.blueprintChance</t>
        </is>
      </c>
      <c r="H2" t="inlineStr">
        <is>
          <t>0.06</t>
        </is>
      </c>
    </row>
    <row r="3">
      <c r="A3" t="inlineStr">
        <is>
          <t>bountyCap</t>
        </is>
      </c>
      <c r="B3" t="inlineStr">
        <is>
          <t>elites</t>
        </is>
      </c>
      <c r="C3" t="inlineStr">
        <is>
          <t>bountyCap</t>
        </is>
      </c>
      <c r="D3" t="n">
        <v>4</v>
      </c>
      <c r="F3" t="inlineStr"/>
      <c r="G3" t="inlineStr">
        <is>
          <t>Assets/MachineBrigade/Resources/Data/balance.json: elites.bountyCap</t>
        </is>
      </c>
      <c r="H3" t="inlineStr">
        <is>
          <t>4</t>
        </is>
      </c>
    </row>
    <row r="4">
      <c r="A4" t="inlineStr">
        <is>
          <t>budget.Easy</t>
        </is>
      </c>
      <c r="B4" t="inlineStr">
        <is>
          <t>elites</t>
        </is>
      </c>
      <c r="C4" t="inlineStr">
        <is>
          <t>Easy</t>
        </is>
      </c>
      <c r="D4" t="n">
        <v>0.05</v>
      </c>
      <c r="F4" t="inlineStr"/>
      <c r="G4" t="inlineStr">
        <is>
          <t>Assets/MachineBrigade/Resources/Data/balance.json: elites.budget.Easy</t>
        </is>
      </c>
      <c r="H4" t="inlineStr">
        <is>
          <t>0.05</t>
        </is>
      </c>
    </row>
    <row r="5">
      <c r="A5" t="inlineStr">
        <is>
          <t>budget.Hard</t>
        </is>
      </c>
      <c r="B5" t="inlineStr">
        <is>
          <t>elites</t>
        </is>
      </c>
      <c r="C5" t="inlineStr">
        <is>
          <t>Hard</t>
        </is>
      </c>
      <c r="D5" t="n">
        <v>0.15</v>
      </c>
      <c r="F5" t="inlineStr"/>
      <c r="G5" t="inlineStr">
        <is>
          <t>Assets/MachineBrigade/Resources/Data/balance.json: elites.budget.Hard</t>
        </is>
      </c>
      <c r="H5" t="inlineStr">
        <is>
          <t>0.15</t>
        </is>
      </c>
    </row>
    <row r="6">
      <c r="A6" t="inlineStr">
        <is>
          <t>budget.Heroic</t>
        </is>
      </c>
      <c r="B6" t="inlineStr">
        <is>
          <t>elites</t>
        </is>
      </c>
      <c r="C6" t="inlineStr">
        <is>
          <t>Heroic</t>
        </is>
      </c>
      <c r="D6" t="n">
        <v>0.2</v>
      </c>
      <c r="F6" t="inlineStr"/>
      <c r="G6" t="inlineStr">
        <is>
          <t>Assets/MachineBrigade/Resources/Data/balance.json: elites.budget.Heroic</t>
        </is>
      </c>
      <c r="H6" t="inlineStr">
        <is>
          <t>0.2</t>
        </is>
      </c>
    </row>
    <row r="7">
      <c r="A7" t="inlineStr">
        <is>
          <t>budget.Iron</t>
        </is>
      </c>
      <c r="B7" t="inlineStr">
        <is>
          <t>elites</t>
        </is>
      </c>
      <c r="C7" t="inlineStr">
        <is>
          <t>Iron</t>
        </is>
      </c>
      <c r="D7" t="n">
        <v>0.25</v>
      </c>
      <c r="F7" t="inlineStr"/>
      <c r="G7" t="inlineStr">
        <is>
          <t>Assets/MachineBrigade/Resources/Data/balance.json: elites.budget.Iron</t>
        </is>
      </c>
      <c r="H7" t="inlineStr">
        <is>
          <t>0.25</t>
        </is>
      </c>
    </row>
    <row r="8">
      <c r="A8" t="inlineStr">
        <is>
          <t>budget.Normal</t>
        </is>
      </c>
      <c r="B8" t="inlineStr">
        <is>
          <t>elites</t>
        </is>
      </c>
      <c r="C8" t="inlineStr">
        <is>
          <t>Normal</t>
        </is>
      </c>
      <c r="D8" t="n">
        <v>0.1</v>
      </c>
      <c r="F8" t="inlineStr"/>
      <c r="G8" t="inlineStr">
        <is>
          <t>Assets/MachineBrigade/Resources/Data/balance.json: elites.budget.Normal</t>
        </is>
      </c>
      <c r="H8" t="inlineStr">
        <is>
          <t>0.1</t>
        </is>
      </c>
    </row>
    <row r="9">
      <c r="A9" t="inlineStr">
        <is>
          <t>budget.VeryHard</t>
        </is>
      </c>
      <c r="B9" t="inlineStr">
        <is>
          <t>elites</t>
        </is>
      </c>
      <c r="C9" t="inlineStr">
        <is>
          <t>VeryHard</t>
        </is>
      </c>
      <c r="D9" t="n">
        <v>0.3</v>
      </c>
      <c r="F9" t="inlineStr"/>
      <c r="G9" t="inlineStr">
        <is>
          <t>Assets/MachineBrigade/Resources/Data/balance.json: elites.budget.VeryHard</t>
        </is>
      </c>
      <c r="H9" t="inlineStr">
        <is>
          <t>0.3</t>
        </is>
      </c>
    </row>
    <row r="10">
      <c r="A10" t="inlineStr">
        <is>
          <t>cap.Easy</t>
        </is>
      </c>
      <c r="B10" t="inlineStr">
        <is>
          <t>elites</t>
        </is>
      </c>
      <c r="C10" t="inlineStr">
        <is>
          <t>Easy</t>
        </is>
      </c>
      <c r="D10" t="n">
        <v>1</v>
      </c>
      <c r="F10" t="inlineStr"/>
      <c r="G10" t="inlineStr">
        <is>
          <t>Assets/MachineBrigade/Resources/Data/balance.json: elites.cap.Easy</t>
        </is>
      </c>
      <c r="H10" t="inlineStr">
        <is>
          <t>1</t>
        </is>
      </c>
    </row>
    <row r="11">
      <c r="A11" t="inlineStr">
        <is>
          <t>cap.Hard</t>
        </is>
      </c>
      <c r="B11" t="inlineStr">
        <is>
          <t>elites</t>
        </is>
      </c>
      <c r="C11" t="inlineStr">
        <is>
          <t>Hard</t>
        </is>
      </c>
      <c r="D11" t="n">
        <v>3</v>
      </c>
      <c r="F11" t="inlineStr"/>
      <c r="G11" t="inlineStr">
        <is>
          <t>Assets/MachineBrigade/Resources/Data/balance.json: elites.cap.Hard</t>
        </is>
      </c>
      <c r="H11" t="inlineStr">
        <is>
          <t>3</t>
        </is>
      </c>
    </row>
    <row r="12">
      <c r="A12" t="inlineStr">
        <is>
          <t>cap.Heroic</t>
        </is>
      </c>
      <c r="B12" t="inlineStr">
        <is>
          <t>elites</t>
        </is>
      </c>
      <c r="C12" t="inlineStr">
        <is>
          <t>Heroic</t>
        </is>
      </c>
      <c r="D12" t="n">
        <v>4</v>
      </c>
      <c r="F12" t="inlineStr"/>
      <c r="G12" t="inlineStr">
        <is>
          <t>Assets/MachineBrigade/Resources/Data/balance.json: elites.cap.Heroic</t>
        </is>
      </c>
      <c r="H12" t="inlineStr">
        <is>
          <t>4</t>
        </is>
      </c>
    </row>
    <row r="13">
      <c r="A13" t="inlineStr">
        <is>
          <t>cap.Iron</t>
        </is>
      </c>
      <c r="B13" t="inlineStr">
        <is>
          <t>elites</t>
        </is>
      </c>
      <c r="C13" t="inlineStr">
        <is>
          <t>Iron</t>
        </is>
      </c>
      <c r="D13" t="n">
        <v>5</v>
      </c>
      <c r="F13" t="inlineStr"/>
      <c r="G13" t="inlineStr">
        <is>
          <t>Assets/MachineBrigade/Resources/Data/balance.json: elites.cap.Iron</t>
        </is>
      </c>
      <c r="H13" t="inlineStr">
        <is>
          <t>5</t>
        </is>
      </c>
    </row>
    <row r="14">
      <c r="A14" t="inlineStr">
        <is>
          <t>cap.Normal</t>
        </is>
      </c>
      <c r="B14" t="inlineStr">
        <is>
          <t>elites</t>
        </is>
      </c>
      <c r="C14" t="inlineStr">
        <is>
          <t>Normal</t>
        </is>
      </c>
      <c r="D14" t="n">
        <v>2</v>
      </c>
      <c r="F14" t="inlineStr"/>
      <c r="G14" t="inlineStr">
        <is>
          <t>Assets/MachineBrigade/Resources/Data/balance.json: elites.cap.Normal</t>
        </is>
      </c>
      <c r="H14" t="inlineStr">
        <is>
          <t>2</t>
        </is>
      </c>
    </row>
    <row r="15">
      <c r="A15" t="inlineStr">
        <is>
          <t>cap.VeryHard</t>
        </is>
      </c>
      <c r="B15" t="inlineStr">
        <is>
          <t>elites</t>
        </is>
      </c>
      <c r="C15" t="inlineStr">
        <is>
          <t>VeryHard</t>
        </is>
      </c>
      <c r="D15" t="n">
        <v>6</v>
      </c>
      <c r="F15" t="inlineStr"/>
      <c r="G15" t="inlineStr">
        <is>
          <t>Assets/MachineBrigade/Resources/Data/balance.json: elites.cap.VeryHard</t>
        </is>
      </c>
      <c r="H15" t="inlineStr">
        <is>
          <t>6</t>
        </is>
      </c>
    </row>
    <row r="16">
      <c r="A16" t="inlineStr">
        <is>
          <t>coins</t>
        </is>
      </c>
      <c r="B16" t="inlineStr">
        <is>
          <t>elites</t>
        </is>
      </c>
      <c r="C16" t="inlineStr">
        <is>
          <t>coins</t>
        </is>
      </c>
      <c r="D16" t="n">
        <v>10</v>
      </c>
      <c r="F16" t="inlineStr"/>
      <c r="G16" t="inlineStr">
        <is>
          <t>Assets/MachineBrigade/Resources/Data/balance.json: elites.coins</t>
        </is>
      </c>
      <c r="H16" t="inlineStr">
        <is>
          <t>10</t>
        </is>
      </c>
    </row>
    <row r="17">
      <c r="A17" t="inlineStr">
        <is>
          <t>costScale</t>
        </is>
      </c>
      <c r="B17" t="inlineStr">
        <is>
          <t>elites</t>
        </is>
      </c>
      <c r="C17" t="inlineStr">
        <is>
          <t>costScale</t>
        </is>
      </c>
      <c r="D17" t="n">
        <v>1.6</v>
      </c>
      <c r="F17" t="inlineStr"/>
      <c r="G17" t="inlineStr">
        <is>
          <t>Assets/MachineBrigade/Resources/Data/balance.json: elites.costScale</t>
        </is>
      </c>
      <c r="H17" t="inlineStr">
        <is>
          <t>1.6</t>
        </is>
      </c>
    </row>
    <row r="18">
      <c r="A18" t="inlineStr">
        <is>
          <t>damageScale</t>
        </is>
      </c>
      <c r="B18" t="inlineStr">
        <is>
          <t>elites</t>
        </is>
      </c>
      <c r="C18" t="inlineStr">
        <is>
          <t>damageScale</t>
        </is>
      </c>
      <c r="D18" t="n">
        <v>1.25</v>
      </c>
      <c r="F18" t="inlineStr"/>
      <c r="G18" t="inlineStr">
        <is>
          <t>Assets/MachineBrigade/Resources/Data/balance.json: elites.damageScale</t>
        </is>
      </c>
      <c r="H18" t="inlineStr">
        <is>
          <t>1.25</t>
        </is>
      </c>
    </row>
    <row r="19">
      <c r="A19" t="inlineStr">
        <is>
          <t>hpScale</t>
        </is>
      </c>
      <c r="B19" t="inlineStr">
        <is>
          <t>elites</t>
        </is>
      </c>
      <c r="C19" t="inlineStr">
        <is>
          <t>hpScale</t>
        </is>
      </c>
      <c r="D19" t="n">
        <v>1.6</v>
      </c>
      <c r="F19" t="inlineStr"/>
      <c r="G19" t="inlineStr">
        <is>
          <t>Assets/MachineBrigade/Resources/Data/balance.json: elites.hpScale</t>
        </is>
      </c>
      <c r="H19" t="inlineStr">
        <is>
          <t>1.6</t>
        </is>
      </c>
    </row>
    <row r="20">
      <c r="A20" t="inlineStr">
        <is>
          <t>otherShare</t>
        </is>
      </c>
      <c r="B20" t="inlineStr">
        <is>
          <t>elites</t>
        </is>
      </c>
      <c r="C20" t="inlineStr">
        <is>
          <t>otherShare</t>
        </is>
      </c>
      <c r="D20" t="n">
        <v>0.5</v>
      </c>
      <c r="F20" t="inlineStr"/>
      <c r="G20" t="inlineStr">
        <is>
          <t>Assets/MachineBrigade/Resources/Data/balance.json: elites.otherShare</t>
        </is>
      </c>
      <c r="H20" t="inlineStr">
        <is>
          <t>0.5</t>
        </is>
      </c>
    </row>
    <row r="21">
      <c r="A21" t="inlineStr">
        <is>
          <t>powerRatio</t>
        </is>
      </c>
      <c r="B21" t="inlineStr">
        <is>
          <t>elites</t>
        </is>
      </c>
      <c r="C21" t="inlineStr">
        <is>
          <t>powerRatio</t>
        </is>
      </c>
      <c r="D21" t="n">
        <v>2</v>
      </c>
      <c r="F21" t="inlineStr"/>
      <c r="G21" t="inlineStr">
        <is>
          <t>Assets/MachineBrigade/Resources/Data/balance.json: elites.powerRatio</t>
        </is>
      </c>
      <c r="H21" t="inlineStr">
        <is>
          <t>2.0</t>
        </is>
      </c>
    </row>
  </sheetData>
  <autoFilter ref="A1:H2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38" customWidth="1" min="4" max="4"/>
  </cols>
  <sheetData>
    <row r="1">
      <c r="A1" s="1" t="inlineStr">
        <is>
          <t>id</t>
        </is>
      </c>
      <c r="B1" s="1" t="inlineStr">
        <is>
          <t>lop</t>
        </is>
      </c>
      <c r="C1" s="1" t="inlineStr">
        <is>
          <t>nguon</t>
        </is>
      </c>
      <c r="D1" s="1" t="inlineStr">
        <is>
          <t>raw_json</t>
        </is>
      </c>
    </row>
    <row r="2">
      <c r="A2" t="inlineStr">
        <is>
          <t>Air</t>
        </is>
      </c>
      <c r="B2" t="inlineStr">
        <is>
          <t>Helicopter;Plane</t>
        </is>
      </c>
      <c r="C2" t="inlineStr">
        <is>
          <t>Assets/MachineBrigade/Resources/Data/balance.json: branches.Air</t>
        </is>
      </c>
      <c r="D2" t="inlineStr">
        <is>
          <t>["Helicopter","Plane"]</t>
        </is>
      </c>
    </row>
    <row r="3">
      <c r="A3" t="inlineStr">
        <is>
          <t>Armor</t>
        </is>
      </c>
      <c r="B3" t="inlineStr">
        <is>
          <t>Tank;Heavy;TankHunter</t>
        </is>
      </c>
      <c r="C3" t="inlineStr">
        <is>
          <t>Assets/MachineBrigade/Resources/Data/balance.json: branches.Armor</t>
        </is>
      </c>
      <c r="D3" t="inlineStr">
        <is>
          <t>["Tank","Heavy","TankHunter"]</t>
        </is>
      </c>
    </row>
    <row r="4">
      <c r="A4" t="inlineStr">
        <is>
          <t>Artillery</t>
        </is>
      </c>
      <c r="B4" t="inlineStr">
        <is>
          <t>Artillery</t>
        </is>
      </c>
      <c r="C4" t="inlineStr">
        <is>
          <t>Assets/MachineBrigade/Resources/Data/balance.json: branches.Artillery</t>
        </is>
      </c>
      <c r="D4" t="inlineStr">
        <is>
          <t>["Artillery"]</t>
        </is>
      </c>
    </row>
    <row r="5">
      <c r="A5" t="inlineStr">
        <is>
          <t>Light</t>
        </is>
      </c>
      <c r="B5" t="inlineStr">
        <is>
          <t>Light;Scout;AntiAir;Support</t>
        </is>
      </c>
      <c r="C5" t="inlineStr">
        <is>
          <t>Assets/MachineBrigade/Resources/Data/balance.json: branches.Light</t>
        </is>
      </c>
      <c r="D5" t="inlineStr">
        <is>
          <t>["Light","Scout","AntiAir","Support"]</t>
        </is>
      </c>
    </row>
  </sheetData>
  <autoFilter ref="A1:D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bosses</t>
        </is>
      </c>
      <c r="B2" t="inlineStr">
        <is>
          <t>toughness</t>
        </is>
      </c>
      <c r="C2" t="inlineStr">
        <is>
          <t>bosses</t>
        </is>
      </c>
      <c r="D2" t="n">
        <v>0.85</v>
      </c>
      <c r="F2" t="inlineStr"/>
      <c r="G2" t="inlineStr">
        <is>
          <t>Assets/MachineBrigade/Resources/Data/balance.json: toughness.bosses</t>
        </is>
      </c>
      <c r="H2" t="inlineStr">
        <is>
          <t>0.85</t>
        </is>
      </c>
    </row>
    <row r="3">
      <c r="A3" t="inlineStr">
        <is>
          <t>vehicles</t>
        </is>
      </c>
      <c r="B3" t="inlineStr">
        <is>
          <t>toughness</t>
        </is>
      </c>
      <c r="C3" t="inlineStr">
        <is>
          <t>vehicles</t>
        </is>
      </c>
      <c r="D3" t="n">
        <v>2.2</v>
      </c>
      <c r="F3" t="inlineStr"/>
      <c r="G3" t="inlineStr">
        <is>
          <t>Assets/MachineBrigade/Resources/Data/balance.json: toughness.vehicles</t>
        </is>
      </c>
      <c r="H3" t="inlineStr">
        <is>
          <t>2.2</t>
        </is>
      </c>
    </row>
  </sheetData>
  <autoFilter ref="A1:H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8" customWidth="1" min="4" max="4"/>
    <col width="11" customWidth="1" min="5" max="5"/>
    <col width="20" customWidth="1" min="6" max="6"/>
    <col width="12" customWidth="1" min="7" max="7"/>
    <col width="12" customWidth="1" min="8" max="8"/>
    <col width="9" customWidth="1" min="9" max="9"/>
    <col width="9" customWidth="1" min="10" max="10"/>
    <col width="22" customWidth="1" min="11" max="11"/>
    <col width="9" customWidth="1" min="12" max="12"/>
    <col width="8" customWidth="1" min="13" max="13"/>
    <col width="25" customWidth="1" min="14" max="14"/>
    <col width="24" customWidth="1" min="15" max="15"/>
    <col width="60" customWidth="1" min="16" max="16"/>
    <col width="60" customWidth="1" min="17" max="17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flat</t>
        </is>
      </c>
      <c r="D1" s="1" t="inlineStr">
        <is>
          <t>hidden</t>
        </is>
      </c>
      <c r="E1" s="1" t="inlineStr">
        <is>
          <t>implicit2</t>
        </is>
      </c>
      <c r="F1" s="1" t="inlineStr">
        <is>
          <t>implicit_stat</t>
        </is>
      </c>
      <c r="G1" s="1" t="inlineStr">
        <is>
          <t>main_scale</t>
        </is>
      </c>
      <c r="H1" s="1" t="inlineStr">
        <is>
          <t>min_rarity</t>
        </is>
      </c>
      <c r="I1" s="1" t="inlineStr">
        <is>
          <t>no_subs</t>
        </is>
      </c>
      <c r="J1" s="1" t="inlineStr">
        <is>
          <t>penalty</t>
        </is>
      </c>
      <c r="K1" s="1" t="inlineStr">
        <is>
          <t>penalty_top</t>
        </is>
      </c>
      <c r="L1" s="1" t="inlineStr">
        <is>
          <t>plating</t>
        </is>
      </c>
      <c r="M1" s="1" t="inlineStr">
        <is>
          <t>slot</t>
        </is>
      </c>
      <c r="N1" s="1" t="inlineStr">
        <is>
          <t>top</t>
        </is>
      </c>
      <c r="O1" s="1" t="inlineStr">
        <is>
          <t>top2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airburst_rounds</t>
        </is>
      </c>
      <c r="B2" t="inlineStr">
        <is>
          <t>Đạn nổ trên không</t>
        </is>
      </c>
      <c r="F2" t="inlineStr">
        <is>
          <t>DamageVsDrone</t>
        </is>
      </c>
      <c r="M2" t="inlineStr">
        <is>
          <t>Weapon</t>
        </is>
      </c>
      <c r="N2" t="inlineStr">
        <is>
          <t>0.08;0.12;0.18;0.24;0.3</t>
        </is>
      </c>
      <c r="P2" t="inlineStr">
        <is>
          <t>Assets/MachineBrigade/Scripts/Game/Match/GearCatalog.cs:269 (Bases[7])</t>
        </is>
      </c>
      <c r="Q2" t="inlineStr">
        <is>
          <t>{"id":"airburst_rounds","slot":"Weapon","implicitStat":"DamageVsDrone","top":[0.08,0.12,0.18,0.24,0.3]}</t>
        </is>
      </c>
    </row>
    <row r="3">
      <c r="A3" t="inlineStr">
        <is>
          <t>applique_steel</t>
        </is>
      </c>
      <c r="B3" t="inlineStr">
        <is>
          <t>Thép ốp tăng cường</t>
        </is>
      </c>
      <c r="F3" t="inlineStr">
        <is>
          <t>ArmourSide</t>
        </is>
      </c>
      <c r="M3" t="inlineStr">
        <is>
          <t>Armor</t>
        </is>
      </c>
      <c r="N3" t="inlineStr">
        <is>
          <t>0.4;0.55;0.7;0.85;1</t>
        </is>
      </c>
      <c r="P3" t="inlineStr">
        <is>
          <t>Assets/MachineBrigade/Scripts/Game/Match/GearCatalog.cs:285 (Bases[16])</t>
        </is>
      </c>
      <c r="Q3" t="inlineStr">
        <is>
          <t>{"id":"applique_steel","slot":"Armor","implicitStat":"ArmourSide","top":[0.4,0.55,0.7,0.85,1]}</t>
        </is>
      </c>
    </row>
    <row r="4">
      <c r="A4" t="inlineStr">
        <is>
          <t>armoured_tub</t>
        </is>
      </c>
      <c r="B4" t="inlineStr">
        <is>
          <t>Buồng lái bọc giáp</t>
        </is>
      </c>
      <c r="F4" t="inlineStr">
        <is>
          <t>ArmourAll</t>
        </is>
      </c>
      <c r="M4" t="inlineStr">
        <is>
          <t>Armor</t>
        </is>
      </c>
      <c r="N4" t="inlineStr">
        <is>
          <t>0.4;0.55;0.7;0.85;1</t>
        </is>
      </c>
      <c r="P4" t="inlineStr">
        <is>
          <t>Assets/MachineBrigade/Scripts/Game/Match/GearCatalog.cs:288 (Bases[18])</t>
        </is>
      </c>
      <c r="Q4" t="inlineStr">
        <is>
          <t>{"id":"armoured_tub","slot":"Armor","implicitStat":"ArmourAll","top":[0.4,0.55,0.7,0.85,1]}</t>
        </is>
      </c>
    </row>
    <row r="5">
      <c r="A5" t="inlineStr">
        <is>
          <t>belt_feed</t>
        </is>
      </c>
      <c r="B5" t="inlineStr">
        <is>
          <t>Tiếp đạn dây</t>
        </is>
      </c>
      <c r="F5" t="inlineStr">
        <is>
          <t>SecondaryFireRate</t>
        </is>
      </c>
      <c r="M5" t="inlineStr">
        <is>
          <t>Loader</t>
        </is>
      </c>
      <c r="N5" t="inlineStr">
        <is>
          <t>0.08;0.12;0.16;0.2;0.25</t>
        </is>
      </c>
      <c r="P5" t="inlineStr">
        <is>
          <t>Assets/MachineBrigade/Scripts/Game/Match/GearCatalog.cs:274 (Bases[10])</t>
        </is>
      </c>
      <c r="Q5" t="inlineStr">
        <is>
          <t>{"id":"belt_feed","slot":"Loader","implicitStat":"SecondaryFireRate","top":[0.08,0.12,0.16,0.2,0.25]}</t>
        </is>
      </c>
    </row>
    <row r="6">
      <c r="A6" t="inlineStr">
        <is>
          <t>bunker_buster</t>
        </is>
      </c>
      <c r="B6" t="inlineStr">
        <is>
          <t>Đạn phá boong-ke</t>
        </is>
      </c>
      <c r="F6" t="inlineStr">
        <is>
          <t>DamageVsStructure</t>
        </is>
      </c>
      <c r="M6" t="inlineStr">
        <is>
          <t>Weapon</t>
        </is>
      </c>
      <c r="N6" t="inlineStr">
        <is>
          <t>0.06;0.09;0.13;0.18;0.24</t>
        </is>
      </c>
      <c r="P6" t="inlineStr">
        <is>
          <t>Assets/MachineBrigade/Scripts/Game/Match/GearCatalog.cs:263 (Bases[4])</t>
        </is>
      </c>
      <c r="Q6" t="inlineStr">
        <is>
          <t>{"id":"bunker_buster","slot":"Weapon","implicitStat":"DamageVsStructure","top":[0.06,0.09,0.13,0.18,0.24]}</t>
        </is>
      </c>
    </row>
    <row r="7">
      <c r="A7" t="inlineStr">
        <is>
          <t>camouflage_net</t>
        </is>
      </c>
      <c r="B7" t="inlineStr">
        <is>
          <t>Lưới ngụy trang</t>
        </is>
      </c>
      <c r="F7" t="inlineStr">
        <is>
          <t>Camouflage</t>
        </is>
      </c>
      <c r="M7" t="inlineStr">
        <is>
          <t>Optics</t>
        </is>
      </c>
      <c r="N7" t="inlineStr">
        <is>
          <t>0.05;0.08;0.11;0.15;0.18</t>
        </is>
      </c>
      <c r="P7" t="inlineStr">
        <is>
          <t>Assets/MachineBrigade/Scripts/Game/Match/GearCatalog.cs:320 (Bases[35])</t>
        </is>
      </c>
      <c r="Q7" t="inlineStr">
        <is>
          <t>{"id":"camouflage_net","slot":"Optics","implicitStat":"Camouflage","top":[0.05,0.08,0.11,0.15,0.18]}</t>
        </is>
      </c>
    </row>
    <row r="8">
      <c r="A8" t="inlineStr">
        <is>
          <t>carousel_autoloader</t>
        </is>
      </c>
      <c r="B8" t="inlineStr">
        <is>
          <t>Nạp đạn băng chuyền</t>
        </is>
      </c>
      <c r="F8" t="inlineStr">
        <is>
          <t>MagazineReload</t>
        </is>
      </c>
      <c r="M8" t="inlineStr">
        <is>
          <t>Loader</t>
        </is>
      </c>
      <c r="N8" t="inlineStr">
        <is>
          <t>0.05;0.08;0.12;0.16;0.2</t>
        </is>
      </c>
      <c r="P8" t="inlineStr">
        <is>
          <t>Assets/MachineBrigade/Scripts/Game/Match/GearCatalog.cs:272 (Bases[8])</t>
        </is>
      </c>
      <c r="Q8" t="inlineStr">
        <is>
          <t>{"id":"carousel_autoloader","slot":"Loader","implicitStat":"MagazineReload","top":[0.05,0.08,0.12,0.16,0.2]}</t>
        </is>
      </c>
    </row>
    <row r="9">
      <c r="A9" t="inlineStr">
        <is>
          <t>commanders_periscope</t>
        </is>
      </c>
      <c r="B9" t="inlineStr">
        <is>
          <t>Kính tiềm vọng chỉ huy</t>
        </is>
      </c>
      <c r="F9" t="inlineStr">
        <is>
          <t>StillVision</t>
        </is>
      </c>
      <c r="M9" t="inlineStr">
        <is>
          <t>Optics</t>
        </is>
      </c>
      <c r="N9" t="inlineStr">
        <is>
          <t>0.05;0.08;0.12;0.16;0.2</t>
        </is>
      </c>
      <c r="P9" t="inlineStr">
        <is>
          <t>Assets/MachineBrigade/Scripts/Game/Match/GearCatalog.cs:319 (Bases[34])</t>
        </is>
      </c>
      <c r="Q9" t="inlineStr">
        <is>
          <t>{"id":"commanders_periscope","slot":"Optics","implicitStat":"StillVision","top":[0.05,0.08,0.12,0.16,0.2]}</t>
        </is>
      </c>
    </row>
    <row r="10">
      <c r="A10" t="inlineStr">
        <is>
          <t>composite_addon</t>
        </is>
      </c>
      <c r="B10" t="inlineStr">
        <is>
          <t>Giáp tổng hợp gắn thêm</t>
        </is>
      </c>
      <c r="F10" t="inlineStr">
        <is>
          <t>ResistShapedCharge</t>
        </is>
      </c>
      <c r="M10" t="inlineStr">
        <is>
          <t>Armor</t>
        </is>
      </c>
      <c r="N10" t="inlineStr">
        <is>
          <t>0.04;0.06;0.09;0.12;0.15</t>
        </is>
      </c>
      <c r="P10" t="inlineStr">
        <is>
          <t>Assets/MachineBrigade/Scripts/Game/Match/GearCatalog.cs:282 (Bases[14])</t>
        </is>
      </c>
      <c r="Q10" t="inlineStr">
        <is>
          <t>{"id":"composite_addon","slot":"Armor","implicitStat":"ResistShapedCharge","top":[0.04,0.06,0.09,0.12,0.15]}</t>
        </is>
      </c>
    </row>
    <row r="11">
      <c r="A11" t="inlineStr">
        <is>
          <t>crew_drills</t>
        </is>
      </c>
      <c r="B11" t="inlineStr">
        <is>
          <t>Huấn luyện kíp lái</t>
        </is>
      </c>
      <c r="F11" t="inlineStr">
        <is>
          <t>Cooldowns</t>
        </is>
      </c>
      <c r="M11" t="inlineStr">
        <is>
          <t>Repair</t>
        </is>
      </c>
      <c r="N11" t="inlineStr">
        <is>
          <t>0.04;0.06;0.09;0.12;0.15</t>
        </is>
      </c>
      <c r="P11" t="inlineStr">
        <is>
          <t>Assets/MachineBrigade/Scripts/Game/Match/GearCatalog.cs:313 (Bases[30])</t>
        </is>
      </c>
      <c r="Q11" t="inlineStr">
        <is>
          <t>{"id":"crew_drills","slot":"Repair","implicitStat":"Cooldowns","top":[0.04,0.06,0.09,0.12,0.15]}</t>
        </is>
      </c>
    </row>
    <row r="12">
      <c r="A12" t="inlineStr">
        <is>
          <t>drivetrain</t>
        </is>
      </c>
      <c r="B12" t="inlineStr">
        <is>
          <t>Hệ truyền động</t>
        </is>
      </c>
      <c r="E12" t="inlineStr">
        <is>
          <t>TurretRate</t>
        </is>
      </c>
      <c r="F12" t="inlineStr">
        <is>
          <t>TurnRate</t>
        </is>
      </c>
      <c r="M12" t="inlineStr">
        <is>
          <t>Engine</t>
        </is>
      </c>
      <c r="N12" t="inlineStr">
        <is>
          <t>0.05;0.08;0.12;0.16;0.2</t>
        </is>
      </c>
      <c r="O12" t="inlineStr">
        <is>
          <t>0.08;0.12;0.16;0.2;0.25</t>
        </is>
      </c>
      <c r="P12" t="inlineStr">
        <is>
          <t>Assets/MachineBrigade/Scripts/Game/Match/GearCatalog.cs:303 (Bases[25])</t>
        </is>
      </c>
      <c r="Q12" t="inlineStr">
        <is>
          <t>{"id":"drivetrain","slot":"Engine","implicitStat":"TurnRate","top":[0.05,0.08,0.12,0.16,0.2],"Implicit2":"TurretRate","Top2":[0.08,0.12,0.16,0.2,0.25]}</t>
        </is>
      </c>
    </row>
    <row r="13">
      <c r="A13" t="inlineStr">
        <is>
          <t>extended_ammo_rack</t>
        </is>
      </c>
      <c r="B13" t="inlineStr">
        <is>
          <t>Giá đạn mở rộng</t>
        </is>
      </c>
      <c r="F13" t="inlineStr">
        <is>
          <t>Magazine</t>
        </is>
      </c>
      <c r="M13" t="inlineStr">
        <is>
          <t>Loader</t>
        </is>
      </c>
      <c r="N13" t="inlineStr">
        <is>
          <t>0.1;0.15;0.2;0.25;0.3</t>
        </is>
      </c>
      <c r="P13" t="inlineStr">
        <is>
          <t>Assets/MachineBrigade/Scripts/Game/Match/GearCatalog.cs:273 (Bases[9])</t>
        </is>
      </c>
      <c r="Q13" t="inlineStr">
        <is>
          <t>{"id":"extended_ammo_rack","slot":"Loader","implicitStat":"Magazine","top":[0.1,0.15,0.2,0.25,0.3]}</t>
        </is>
      </c>
    </row>
    <row r="14">
      <c r="A14" t="inlineStr">
        <is>
          <t>fire_extinguisher</t>
        </is>
      </c>
      <c r="B14" t="inlineStr">
        <is>
          <t>Bình chữa cháy</t>
        </is>
      </c>
      <c r="F14" t="inlineStr">
        <is>
          <t>StatusDuration</t>
        </is>
      </c>
      <c r="M14" t="inlineStr">
        <is>
          <t>Repair</t>
        </is>
      </c>
      <c r="N14" t="inlineStr">
        <is>
          <t>0.1;0.18;0.26;0.34;0.42</t>
        </is>
      </c>
      <c r="P14" t="inlineStr">
        <is>
          <t>Assets/MachineBrigade/Scripts/Game/Match/GearCatalog.cs:314 (Bases[31])</t>
        </is>
      </c>
      <c r="Q14" t="inlineStr">
        <is>
          <t>{"id":"fire_extinguisher","slot":"Repair","implicitStat":"StatusDuration","top":[0.1,0.18,0.26,0.34,0.42]}</t>
        </is>
      </c>
    </row>
    <row r="15">
      <c r="A15" t="inlineStr">
        <is>
          <t>fire_retardant_hull</t>
        </is>
      </c>
      <c r="B15" t="inlineStr">
        <is>
          <t>Thân xe chống cháy</t>
        </is>
      </c>
      <c r="F15" t="inlineStr">
        <is>
          <t>ResistFire</t>
        </is>
      </c>
      <c r="M15" t="inlineStr">
        <is>
          <t>Armor</t>
        </is>
      </c>
      <c r="N15" t="inlineStr">
        <is>
          <t>0.08;0.12;0.16;0.2;0.25</t>
        </is>
      </c>
      <c r="P15" t="inlineStr">
        <is>
          <t>Assets/MachineBrigade/Scripts/Game/Match/GearCatalog.cs:286 (Bases[17])</t>
        </is>
      </c>
      <c r="Q15" t="inlineStr">
        <is>
          <t>{"id":"fire_retardant_hull","slot":"Armor","implicitStat":"ResistFire","top":[0.08,0.12,0.16,0.2,0.25]}</t>
        </is>
      </c>
    </row>
    <row r="16">
      <c r="A16" t="inlineStr">
        <is>
          <t>flanking_rounds</t>
        </is>
      </c>
      <c r="B16" t="inlineStr">
        <is>
          <t>Đạn đánh hông</t>
        </is>
      </c>
      <c r="F16" t="inlineStr">
        <is>
          <t>DamageFlank</t>
        </is>
      </c>
      <c r="M16" t="inlineStr">
        <is>
          <t>Weapon</t>
        </is>
      </c>
      <c r="N16" t="inlineStr">
        <is>
          <t>0.05;0.08;0.12;0.16;0.2</t>
        </is>
      </c>
      <c r="P16" t="inlineStr">
        <is>
          <t>Assets/MachineBrigade/Scripts/Game/Match/GearCatalog.cs:268 (Bases[6])</t>
        </is>
      </c>
      <c r="Q16" t="inlineStr">
        <is>
          <t>{"id":"flanking_rounds","slot":"Weapon","implicitStat":"DamageFlank","top":[0.05,0.08,0.12,0.16,0.2]}</t>
        </is>
      </c>
    </row>
    <row r="17">
      <c r="A17" t="inlineStr">
        <is>
          <t>frontal_wedge</t>
        </is>
      </c>
      <c r="B17" t="inlineStr">
        <is>
          <t>Giáp nêm mặt trước</t>
        </is>
      </c>
      <c r="F17" t="inlineStr">
        <is>
          <t>ResistFrontal</t>
        </is>
      </c>
      <c r="L17" t="b">
        <v>1</v>
      </c>
      <c r="M17" t="inlineStr">
        <is>
          <t>Armor</t>
        </is>
      </c>
      <c r="N17" t="inlineStr">
        <is>
          <t>0.05;0.08;0.11;0.15;0.18</t>
        </is>
      </c>
      <c r="P17" t="inlineStr">
        <is>
          <t>Assets/MachineBrigade/Scripts/Game/Match/GearCatalog.cs:295 (Bases[21])</t>
        </is>
      </c>
      <c r="Q17" t="inlineStr">
        <is>
          <t>{"id":"frontal_wedge","slot":"Armor","implicitStat":"ResistFrontal","top":[0.05,0.08,0.11,0.15,0.18],"Plating":true}</t>
        </is>
      </c>
    </row>
    <row r="18">
      <c r="A18" t="inlineStr">
        <is>
          <t>gun_stabiliser</t>
        </is>
      </c>
      <c r="B18" t="inlineStr">
        <is>
          <t>Bộ ổn định pháo</t>
        </is>
      </c>
      <c r="F18" t="inlineStr">
        <is>
          <t>SpreadMoving</t>
        </is>
      </c>
      <c r="M18" t="inlineStr">
        <is>
          <t>Optics</t>
        </is>
      </c>
      <c r="N18" t="inlineStr">
        <is>
          <t>0.1;0.15;0.2;0.25;0.3</t>
        </is>
      </c>
      <c r="P18" t="inlineStr">
        <is>
          <t>Assets/MachineBrigade/Scripts/Game/Match/GearCatalog.cs:318 (Bases[33])</t>
        </is>
      </c>
      <c r="Q18" t="inlineStr">
        <is>
          <t>{"id":"gun_stabiliser","slot":"Optics","implicitStat":"SpreadMoving","top":[0.1,0.15,0.2,0.25,0.3]}</t>
        </is>
      </c>
    </row>
    <row r="19">
      <c r="A19" t="inlineStr">
        <is>
          <t>hair_trigger</t>
        </is>
      </c>
      <c r="B19" t="inlineStr">
        <is>
          <t>Cò nhạy</t>
        </is>
      </c>
      <c r="F19" t="inlineStr">
        <is>
          <t>FireRate</t>
        </is>
      </c>
      <c r="H19" t="n">
        <v>2</v>
      </c>
      <c r="J19" t="inlineStr">
        <is>
          <t>Spread</t>
        </is>
      </c>
      <c r="K19" t="inlineStr">
        <is>
          <t>0;0;-0.1;-0.12;-0.14</t>
        </is>
      </c>
      <c r="M19" t="inlineStr">
        <is>
          <t>Loader</t>
        </is>
      </c>
      <c r="N19" t="inlineStr">
        <is>
          <t>0;0;0.1;0.12;0.15</t>
        </is>
      </c>
      <c r="P19" t="inlineStr">
        <is>
          <t>Assets/MachineBrigade/Scripts/Game/Match/GearCatalog.cs:276 (Bases[12])</t>
        </is>
      </c>
      <c r="Q19" t="inlineStr">
        <is>
          <t>{"id":"hair_trigger","slot":"Loader","implicitStat":"FireRate","top":[0,0,0.1,0.12,0.15],"Penalty":"Spread","PenaltyTop":[0,0,-0.1,-0.12,-0.14],"MinRarity":2}</t>
        </is>
      </c>
    </row>
    <row r="20">
      <c r="A20" t="inlineStr">
        <is>
          <t>he_frag_filler</t>
        </is>
      </c>
      <c r="B20" t="inlineStr">
        <is>
          <t>Thuốc nổ phá mảnh</t>
        </is>
      </c>
      <c r="F20" t="inlineStr">
        <is>
          <t>Splash</t>
        </is>
      </c>
      <c r="M20" t="inlineStr">
        <is>
          <t>Weapon</t>
        </is>
      </c>
      <c r="N20" t="inlineStr">
        <is>
          <t>0.05;0.08;0.12;0.16;0.2</t>
        </is>
      </c>
      <c r="P20" t="inlineStr">
        <is>
          <t>Assets/MachineBrigade/Scripts/Game/Match/GearCatalog.cs:261 (Bases[2])</t>
        </is>
      </c>
      <c r="Q20" t="inlineStr">
        <is>
          <t>{"id":"he_frag_filler","slot":"Weapon","implicitStat":"Splash","top":[0.05,0.08,0.12,0.16,0.2]}</t>
        </is>
      </c>
    </row>
    <row r="21">
      <c r="A21" t="inlineStr">
        <is>
          <t>heavy_barrel</t>
        </is>
      </c>
      <c r="B21" t="inlineStr">
        <is>
          <t>Nòng nặng</t>
        </is>
      </c>
      <c r="F21" t="inlineStr">
        <is>
          <t>Range</t>
        </is>
      </c>
      <c r="H21" t="n">
        <v>2</v>
      </c>
      <c r="J21" t="inlineStr">
        <is>
          <t>Speed</t>
        </is>
      </c>
      <c r="K21" t="inlineStr">
        <is>
          <t>0;0;-0.05;-0.06;-0.07</t>
        </is>
      </c>
      <c r="M21" t="inlineStr">
        <is>
          <t>Weapon</t>
        </is>
      </c>
      <c r="N21" t="inlineStr">
        <is>
          <t>0;0;0.08;0.1;0.12</t>
        </is>
      </c>
      <c r="P21" t="inlineStr">
        <is>
          <t>Assets/MachineBrigade/Scripts/Game/Match/GearCatalog.cs:264 (Bases[5])</t>
        </is>
      </c>
      <c r="Q21" t="inlineStr">
        <is>
          <t>{"id":"heavy_barrel","slot":"Weapon","implicitStat":"Range","top":[0,0,0.08,0.1,0.12],"Penalty":"Speed","PenaltyTop":[0,0,-0.05,-0.06,-0.07],"MinRarity":2}</t>
        </is>
      </c>
    </row>
    <row r="22">
      <c r="A22" t="inlineStr">
        <is>
          <t>laser_rangefinder</t>
        </is>
      </c>
      <c r="B22" t="inlineStr">
        <is>
          <t>Máy đo xa la-de</t>
        </is>
      </c>
      <c r="F22" t="inlineStr">
        <is>
          <t>SpreadLong</t>
        </is>
      </c>
      <c r="M22" t="inlineStr">
        <is>
          <t>Optics</t>
        </is>
      </c>
      <c r="N22" t="inlineStr">
        <is>
          <t>0.08;0.12;0.16;0.2;0.25</t>
        </is>
      </c>
      <c r="P22" t="inlineStr">
        <is>
          <t>Assets/MachineBrigade/Scripts/Game/Match/GearCatalog.cs:317 (Bases[32])</t>
        </is>
      </c>
      <c r="Q22" t="inlineStr">
        <is>
          <t>{"id":"laser_rangefinder","slot":"Optics","implicitStat":"SpreadLong","top":[0.08,0.12,0.16,0.2,0.25]}</t>
        </is>
      </c>
    </row>
    <row r="23">
      <c r="A23" t="inlineStr">
        <is>
          <t>laser_warning</t>
        </is>
      </c>
      <c r="B23" t="inlineStr">
        <is>
          <t>Cảnh báo la-de</t>
        </is>
      </c>
      <c r="C23" t="b">
        <v>1</v>
      </c>
      <c r="D23" t="b">
        <v>1</v>
      </c>
      <c r="F23" t="inlineStr">
        <is>
          <t>LaserWarning</t>
        </is>
      </c>
      <c r="M23" t="inlineStr">
        <is>
          <t>Optics</t>
        </is>
      </c>
      <c r="N23" t="inlineStr">
        <is>
          <t>6;6.5;7;7.5;8</t>
        </is>
      </c>
      <c r="P23" t="inlineStr">
        <is>
          <t>Assets/MachineBrigade/Scripts/Game/Match/GearCatalog.cs:326 (Bases[37])</t>
        </is>
      </c>
      <c r="Q23" t="inlineStr">
        <is>
          <t>{"id":"laser_warning","slot":"Optics","implicitStat":"LaserWarning","top":[6,6.5,7,7.5,8],"Flat":true,"Hidden":true}</t>
        </is>
      </c>
    </row>
    <row r="24">
      <c r="A24" t="inlineStr">
        <is>
          <t>long_barrel</t>
        </is>
      </c>
      <c r="B24" t="inlineStr">
        <is>
          <t>Nòng dài</t>
        </is>
      </c>
      <c r="F24" t="inlineStr">
        <is>
          <t>Range</t>
        </is>
      </c>
      <c r="M24" t="inlineStr">
        <is>
          <t>Weapon</t>
        </is>
      </c>
      <c r="N24" t="inlineStr">
        <is>
          <t>0.02;0.03;0.04;0.06;0.08</t>
        </is>
      </c>
      <c r="P24" t="inlineStr">
        <is>
          <t>Assets/MachineBrigade/Scripts/Game/Match/GearCatalog.cs:258 (Bases[0])</t>
        </is>
      </c>
      <c r="Q24" t="inlineStr">
        <is>
          <t>{"id":"long_barrel","slot":"Weapon","implicitStat":"Range","top":[0.02,0.03,0.04,0.06,0.08]}</t>
        </is>
      </c>
    </row>
    <row r="25">
      <c r="A25" t="inlineStr">
        <is>
          <t>monolith_plate</t>
        </is>
      </c>
      <c r="B25" t="inlineStr">
        <is>
          <t>Tấm giáp nguyên khối</t>
        </is>
      </c>
      <c r="F25" t="inlineStr">
        <is>
          <t>Count</t>
        </is>
      </c>
      <c r="G25" t="n">
        <v>1.8</v>
      </c>
      <c r="H25" t="n">
        <v>2</v>
      </c>
      <c r="I25" t="b">
        <v>1</v>
      </c>
      <c r="J25" t="inlineStr">
        <is>
          <t>Speed</t>
        </is>
      </c>
      <c r="K25" t="inlineStr">
        <is>
          <t>0;0;-0.04;-0.05;-0.06</t>
        </is>
      </c>
      <c r="M25" t="inlineStr">
        <is>
          <t>Armor</t>
        </is>
      </c>
      <c r="N25" t="inlineStr">
        <is>
          <t>0;0;0;0;0</t>
        </is>
      </c>
      <c r="P25" t="inlineStr">
        <is>
          <t>Assets/MachineBrigade/Scripts/Game/Match/GearCatalog.cs:289 (Bases[19])</t>
        </is>
      </c>
      <c r="Q25" t="inlineStr">
        <is>
          <t>{"id":"monolith_plate","slot":"Armor","implicitStat":"Count","top":[0,0,0,0,0],"Penalty":"Speed","PenaltyTop":[0,0,-0.04,-0.05,-0.06],"MinRarity":2,"MainScale":1.8,"NoSubs":true}</t>
        </is>
      </c>
    </row>
    <row r="26">
      <c r="A26" t="inlineStr">
        <is>
          <t>overhead_screen</t>
        </is>
      </c>
      <c r="B26" t="inlineStr">
        <is>
          <t>Mái che chống pháo</t>
        </is>
      </c>
      <c r="F26" t="inlineStr">
        <is>
          <t>ResistIndirect</t>
        </is>
      </c>
      <c r="L26" t="b">
        <v>1</v>
      </c>
      <c r="M26" t="inlineStr">
        <is>
          <t>Armor</t>
        </is>
      </c>
      <c r="N26" t="inlineStr">
        <is>
          <t>0.06;0.09;0.13;0.17;0.22</t>
        </is>
      </c>
      <c r="P26" t="inlineStr">
        <is>
          <t>Assets/MachineBrigade/Scripts/Game/Match/GearCatalog.cs:297 (Bases[23])</t>
        </is>
      </c>
      <c r="Q26" t="inlineStr">
        <is>
          <t>{"id":"overhead_screen","slot":"Armor","implicitStat":"ResistIndirect","top":[0.06,0.09,0.13,0.17,0.22],"Plating":true}</t>
        </is>
      </c>
    </row>
    <row r="27">
      <c r="A27" t="inlineStr">
        <is>
          <t>overtuned_engine</t>
        </is>
      </c>
      <c r="B27" t="inlineStr">
        <is>
          <t>Động cơ độ quá mức</t>
        </is>
      </c>
      <c r="F27" t="inlineStr">
        <is>
          <t>Speed</t>
        </is>
      </c>
      <c r="H27" t="n">
        <v>2</v>
      </c>
      <c r="J27" t="inlineStr">
        <is>
          <t>Health</t>
        </is>
      </c>
      <c r="K27" t="inlineStr">
        <is>
          <t>0;0;-0.04;-0.05;-0.06</t>
        </is>
      </c>
      <c r="M27" t="inlineStr">
        <is>
          <t>Engine</t>
        </is>
      </c>
      <c r="N27" t="inlineStr">
        <is>
          <t>0;0;0.1;0.12;0.15</t>
        </is>
      </c>
      <c r="P27" t="inlineStr">
        <is>
          <t>Assets/MachineBrigade/Scripts/Game/Match/GearCatalog.cs:306 (Bases[27])</t>
        </is>
      </c>
      <c r="Q27" t="inlineStr">
        <is>
          <t>{"id":"overtuned_engine","slot":"Engine","implicitStat":"Speed","top":[0,0,0.1,0.12,0.15],"Penalty":"Health","PenaltyTop":[0,0,-0.04,-0.05,-0.06],"MinRarity":2}</t>
        </is>
      </c>
    </row>
    <row r="28">
      <c r="A28" t="inlineStr">
        <is>
          <t>proximity_fuze</t>
        </is>
      </c>
      <c r="B28" t="inlineStr">
        <is>
          <t>Ngòi nổ cận đích</t>
        </is>
      </c>
      <c r="F28" t="inlineStr">
        <is>
          <t>DamageVsAir</t>
        </is>
      </c>
      <c r="M28" t="inlineStr">
        <is>
          <t>Weapon</t>
        </is>
      </c>
      <c r="N28" t="inlineStr">
        <is>
          <t>0.05;0.08;0.12;0.16;0.2</t>
        </is>
      </c>
      <c r="P28" t="inlineStr">
        <is>
          <t>Assets/MachineBrigade/Scripts/Game/Match/GearCatalog.cs:262 (Bases[3])</t>
        </is>
      </c>
      <c r="Q28" t="inlineStr">
        <is>
          <t>{"id":"proximity_fuze","slot":"Weapon","implicitStat":"DamageVsAir","top":[0.05,0.08,0.12,0.16,0.2]}</t>
        </is>
      </c>
    </row>
    <row r="29">
      <c r="A29" t="inlineStr">
        <is>
          <t>radar_absorbent_coating</t>
        </is>
      </c>
      <c r="B29" t="inlineStr">
        <is>
          <t>Lớp phủ chống radar</t>
        </is>
      </c>
      <c r="F29" t="inlineStr">
        <is>
          <t>LockRange</t>
        </is>
      </c>
      <c r="M29" t="inlineStr">
        <is>
          <t>Armor</t>
        </is>
      </c>
      <c r="N29" t="inlineStr">
        <is>
          <t>0.06;0.09;0.13;0.16;0.2</t>
        </is>
      </c>
      <c r="P29" t="inlineStr">
        <is>
          <t>Assets/MachineBrigade/Scripts/Game/Match/GearCatalog.cs:292 (Bases[20])</t>
        </is>
      </c>
      <c r="Q29" t="inlineStr">
        <is>
          <t>{"id":"radar_absorbent_coating","slot":"Armor","implicitStat":"LockRange","top":[0.06,0.09,0.13,0.16,0.2]}</t>
        </is>
      </c>
    </row>
    <row r="30">
      <c r="A30" t="inlineStr">
        <is>
          <t>reverse_gearbox</t>
        </is>
      </c>
      <c r="B30" t="inlineStr">
        <is>
          <t>Hộp số lùi</t>
        </is>
      </c>
      <c r="F30" t="inlineStr">
        <is>
          <t>ReverseSpeed</t>
        </is>
      </c>
      <c r="M30" t="inlineStr">
        <is>
          <t>Engine</t>
        </is>
      </c>
      <c r="N30" t="inlineStr">
        <is>
          <t>0.15;0.2;0.28;0.34;0.4</t>
        </is>
      </c>
      <c r="P30" t="inlineStr">
        <is>
          <t>Assets/MachineBrigade/Scripts/Game/Match/GearCatalog.cs:309 (Bases[28])</t>
        </is>
      </c>
      <c r="Q30" t="inlineStr">
        <is>
          <t>{"id":"reverse_gearbox","slot":"Engine","implicitStat":"ReverseSpeed","top":[0.15,0.2,0.28,0.34,0.4]}</t>
        </is>
      </c>
    </row>
    <row r="31">
      <c r="A31" t="inlineStr">
        <is>
          <t>salvo_rack</t>
        </is>
      </c>
      <c r="B31" t="inlineStr">
        <is>
          <t>Giá phóng loạt</t>
        </is>
      </c>
      <c r="F31" t="inlineStr">
        <is>
          <t>SalvoInterval</t>
        </is>
      </c>
      <c r="M31" t="inlineStr">
        <is>
          <t>Loader</t>
        </is>
      </c>
      <c r="N31" t="inlineStr">
        <is>
          <t>0.1;0.15;0.2;0.25;0.3</t>
        </is>
      </c>
      <c r="P31" t="inlineStr">
        <is>
          <t>Assets/MachineBrigade/Scripts/Game/Match/GearCatalog.cs:275 (Bases[11])</t>
        </is>
      </c>
      <c r="Q31" t="inlineStr">
        <is>
          <t>{"id":"salvo_rack","slot":"Loader","implicitStat":"SalvoInterval","top":[0.1,0.15,0.2,0.25,0.3]}</t>
        </is>
      </c>
    </row>
    <row r="32">
      <c r="A32" t="inlineStr">
        <is>
          <t>signal_relay</t>
        </is>
      </c>
      <c r="B32" t="inlineStr">
        <is>
          <t>Trạm chuyển tiếp tín hiệu</t>
        </is>
      </c>
      <c r="E32" t="inlineStr">
        <is>
          <t>Vision</t>
        </is>
      </c>
      <c r="F32" t="inlineStr">
        <is>
          <t>CaptureRate</t>
        </is>
      </c>
      <c r="M32" t="inlineStr">
        <is>
          <t>Optics</t>
        </is>
      </c>
      <c r="N32" t="inlineStr">
        <is>
          <t>0.1;0.15;0.2;0.25;0.3</t>
        </is>
      </c>
      <c r="O32" t="inlineStr">
        <is>
          <t>0.03;0.04;0.06;0.08;0.1</t>
        </is>
      </c>
      <c r="P32" t="inlineStr">
        <is>
          <t>Assets/MachineBrigade/Scripts/Game/Match/GearCatalog.cs:322 (Bases[36])</t>
        </is>
      </c>
      <c r="Q32" t="inlineStr">
        <is>
          <t>{"id":"signal_relay","slot":"Optics","implicitStat":"CaptureRate","top":[0.1,0.15,0.2,0.25,0.3],"Implicit2":"Vision","Top2":[0.03,0.04,0.06,0.08,0.1]}</t>
        </is>
      </c>
    </row>
    <row r="33">
      <c r="A33" t="inlineStr">
        <is>
          <t>slat_cage</t>
        </is>
      </c>
      <c r="B33" t="inlineStr">
        <is>
          <t>Lồng chống rốc-két</t>
        </is>
      </c>
      <c r="F33" t="inlineStr">
        <is>
          <t>ResistRocket</t>
        </is>
      </c>
      <c r="L33" t="b">
        <v>1</v>
      </c>
      <c r="M33" t="inlineStr">
        <is>
          <t>Armor</t>
        </is>
      </c>
      <c r="N33" t="inlineStr">
        <is>
          <t>0.06;0.09;0.13;0.17;0.22</t>
        </is>
      </c>
      <c r="P33" t="inlineStr">
        <is>
          <t>Assets/MachineBrigade/Scripts/Game/Match/GearCatalog.cs:296 (Bases[22])</t>
        </is>
      </c>
      <c r="Q33" t="inlineStr">
        <is>
          <t>{"id":"slat_cage","slot":"Armor","implicitStat":"ResistRocket","top":[0.06,0.09,0.13,0.17,0.22],"Plating":true}</t>
        </is>
      </c>
    </row>
    <row r="34">
      <c r="A34" t="inlineStr">
        <is>
          <t>spall_liner</t>
        </is>
      </c>
      <c r="B34" t="inlineStr">
        <is>
          <t>Lớp lót chống mảnh</t>
        </is>
      </c>
      <c r="F34" t="inlineStr">
        <is>
          <t>ResistHighExplosive</t>
        </is>
      </c>
      <c r="M34" t="inlineStr">
        <is>
          <t>Armor</t>
        </is>
      </c>
      <c r="N34" t="inlineStr">
        <is>
          <t>0.04;0.06;0.09;0.12;0.15</t>
        </is>
      </c>
      <c r="P34" t="inlineStr">
        <is>
          <t>Assets/MachineBrigade/Scripts/Game/Match/GearCatalog.cs:283 (Bases[15])</t>
        </is>
      </c>
      <c r="Q34" t="inlineStr">
        <is>
          <t>{"id":"spall_liner","slot":"Armor","implicitStat":"ResistHighExplosive","top":[0.04,0.06,0.09,0.12,0.15]}</t>
        </is>
      </c>
    </row>
    <row r="35">
      <c r="A35" t="inlineStr">
        <is>
          <t>spare_magazine</t>
        </is>
      </c>
      <c r="B35" t="inlineStr">
        <is>
          <t>Băng đạn dự phòng</t>
        </is>
      </c>
      <c r="C35" t="b">
        <v>1</v>
      </c>
      <c r="F35" t="inlineStr">
        <is>
          <t>SpareMagazine</t>
        </is>
      </c>
      <c r="M35" t="inlineStr">
        <is>
          <t>Loader</t>
        </is>
      </c>
      <c r="N35" t="inlineStr">
        <is>
          <t>0.4;0.55;0.7;0.85;1</t>
        </is>
      </c>
      <c r="P35" t="inlineStr">
        <is>
          <t>Assets/MachineBrigade/Scripts/Game/Match/GearCatalog.cs:279 (Bases[13])</t>
        </is>
      </c>
      <c r="Q35" t="inlineStr">
        <is>
          <t>{"id":"spare_magazine","slot":"Loader","implicitStat":"SpareMagazine","top":[0.4,0.55,0.7,0.85,1],"Flat":true}</t>
        </is>
      </c>
    </row>
    <row r="36">
      <c r="A36" t="inlineStr">
        <is>
          <t>toolbox</t>
        </is>
      </c>
      <c r="B36" t="inlineStr">
        <is>
          <t>Hộp dụng cụ</t>
        </is>
      </c>
      <c r="F36" t="inlineStr">
        <is>
          <t>RegenDelay</t>
        </is>
      </c>
      <c r="M36" t="inlineStr">
        <is>
          <t>Repair</t>
        </is>
      </c>
      <c r="N36" t="inlineStr">
        <is>
          <t>1;1.5;2;2.5;3</t>
        </is>
      </c>
      <c r="P36" t="inlineStr">
        <is>
          <t>Assets/MachineBrigade/Scripts/Game/Match/GearCatalog.cs:312 (Bases[29])</t>
        </is>
      </c>
      <c r="Q36" t="inlineStr">
        <is>
          <t>{"id":"toolbox","slot":"Repair","implicitStat":"RegenDelay","top":[1,1.5,2,2.5,3]}</t>
        </is>
      </c>
    </row>
    <row r="37">
      <c r="A37" t="inlineStr">
        <is>
          <t>transit_gearbox</t>
        </is>
      </c>
      <c r="B37" t="inlineStr">
        <is>
          <t>Hộp số hành quân</t>
        </is>
      </c>
      <c r="F37" t="inlineStr">
        <is>
          <t>TransitSpeed</t>
        </is>
      </c>
      <c r="M37" t="inlineStr">
        <is>
          <t>Engine</t>
        </is>
      </c>
      <c r="N37" t="inlineStr">
        <is>
          <t>0.05;0.08;0.12;0.16;0.2</t>
        </is>
      </c>
      <c r="P37" t="inlineStr">
        <is>
          <t>Assets/MachineBrigade/Scripts/Game/Match/GearCatalog.cs:305 (Bases[26])</t>
        </is>
      </c>
      <c r="Q37" t="inlineStr">
        <is>
          <t>{"id":"transit_gearbox","slot":"Engine","implicitStat":"TransitSpeed","top":[0.05,0.08,0.12,0.16,0.2]}</t>
        </is>
      </c>
    </row>
    <row r="38">
      <c r="A38" t="inlineStr">
        <is>
          <t>tungsten_penetrator</t>
        </is>
      </c>
      <c r="B38" t="inlineStr">
        <is>
          <t>Lõi xuyên vonfram</t>
        </is>
      </c>
      <c r="F38" t="inlineStr">
        <is>
          <t>Penetration</t>
        </is>
      </c>
      <c r="M38" t="inlineStr">
        <is>
          <t>Weapon</t>
        </is>
      </c>
      <c r="N38" t="inlineStr">
        <is>
          <t>0.4;0.55;0.7;0.85;1</t>
        </is>
      </c>
      <c r="P38" t="inlineStr">
        <is>
          <t>Assets/MachineBrigade/Scripts/Game/Match/GearCatalog.cs:260 (Bases[1])</t>
        </is>
      </c>
      <c r="Q38" t="inlineStr">
        <is>
          <t>{"id":"tungsten_penetrator","slot":"Weapon","implicitStat":"Penetration","top":[0.4,0.55,0.7,0.85,1]}</t>
        </is>
      </c>
    </row>
    <row r="39">
      <c r="A39" t="inlineStr">
        <is>
          <t>underbelly_armor</t>
        </is>
      </c>
      <c r="B39" t="inlineStr">
        <is>
          <t>Giáp gầm</t>
        </is>
      </c>
      <c r="F39" t="inlineStr">
        <is>
          <t>ResistBlast</t>
        </is>
      </c>
      <c r="L39" t="b">
        <v>1</v>
      </c>
      <c r="M39" t="inlineStr">
        <is>
          <t>Armor</t>
        </is>
      </c>
      <c r="N39" t="inlineStr">
        <is>
          <t>0.05;0.08;0.11;0.15;0.18</t>
        </is>
      </c>
      <c r="P39" t="inlineStr">
        <is>
          <t>Assets/MachineBrigade/Scripts/Game/Match/GearCatalog.cs:299 (Bases[24])</t>
        </is>
      </c>
      <c r="Q39" t="inlineStr">
        <is>
          <t>{"id":"underbelly_armor","slot":"Armor","implicitStat":"ResistBlast","top":[0.05,0.08,0.11,0.15,0.18],"Plating":true}</t>
        </is>
      </c>
    </row>
  </sheetData>
  <autoFilter ref="A1:Q3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12" customWidth="1" min="7" max="7"/>
    <col width="16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epic</t>
        </is>
      </c>
      <c r="D1" s="1" t="inlineStr">
        <is>
          <t>epic2</t>
        </is>
      </c>
      <c r="E1" s="1" t="inlineStr">
        <is>
          <t>hidden</t>
        </is>
      </c>
      <c r="F1" s="1" t="inlineStr">
        <is>
          <t>legendary</t>
        </is>
      </c>
      <c r="G1" s="1" t="inlineStr">
        <is>
          <t>legendary2</t>
        </is>
      </c>
      <c r="H1" s="1" t="inlineStr">
        <is>
          <t>need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AegisDome</t>
        </is>
      </c>
      <c r="B2" t="inlineStr"/>
      <c r="C2" t="n">
        <v>2</v>
      </c>
      <c r="F2" t="n">
        <v>3</v>
      </c>
      <c r="H2" t="inlineStr">
        <is>
          <t>Any</t>
        </is>
      </c>
      <c r="I2" t="inlineStr">
        <is>
          <t>Assets/MachineBrigade/Scripts/Game/Match/GearCatalog.cs:350 (Modules[11])</t>
        </is>
      </c>
      <c r="J2" t="inlineStr">
        <is>
          <t>{"module":"AegisDome","need":"Any","epic":2,"legendary":3}</t>
        </is>
      </c>
    </row>
    <row r="3">
      <c r="A3" t="inlineStr">
        <is>
          <t>AutoRepair</t>
        </is>
      </c>
      <c r="B3" t="inlineStr"/>
      <c r="C3" t="n">
        <v>0.012</v>
      </c>
      <c r="F3" t="n">
        <v>0.018</v>
      </c>
      <c r="H3" t="inlineStr">
        <is>
          <t>Any</t>
        </is>
      </c>
      <c r="I3" t="inlineStr">
        <is>
          <t>Assets/MachineBrigade/Scripts/Game/Match/GearCatalog.cs:337 (Modules[1])</t>
        </is>
      </c>
      <c r="J3" t="inlineStr">
        <is>
          <t>{"module":"AutoRepair","need":"Any","epic":0.012,"legendary":0.018}</t>
        </is>
      </c>
    </row>
    <row r="4">
      <c r="A4" t="inlineStr">
        <is>
          <t>DecoyLauncher</t>
        </is>
      </c>
      <c r="B4" t="inlineStr"/>
      <c r="C4" t="n">
        <v>4</v>
      </c>
      <c r="D4" t="n">
        <v>35</v>
      </c>
      <c r="F4" t="n">
        <v>6</v>
      </c>
      <c r="G4" t="n">
        <v>25</v>
      </c>
      <c r="H4" t="inlineStr">
        <is>
          <t>Ground</t>
        </is>
      </c>
      <c r="I4" t="inlineStr">
        <is>
          <t>Assets/MachineBrigade/Scripts/Game/Match/GearCatalog.cs:351 (Modules[12])</t>
        </is>
      </c>
      <c r="J4" t="inlineStr">
        <is>
          <t>{"module":"DecoyLauncher","need":"Ground","epic":4,"legendary":6,"epic2":35,"legendary2":25}</t>
        </is>
      </c>
    </row>
    <row r="5">
      <c r="A5" t="inlineStr">
        <is>
          <t>DroneEscort</t>
        </is>
      </c>
      <c r="B5" t="inlineStr"/>
      <c r="C5" t="n">
        <v>1</v>
      </c>
      <c r="D5" t="n">
        <v>25</v>
      </c>
      <c r="F5" t="n">
        <v>2</v>
      </c>
      <c r="G5" t="n">
        <v>20</v>
      </c>
      <c r="H5" t="inlineStr">
        <is>
          <t>Any</t>
        </is>
      </c>
      <c r="I5" t="inlineStr">
        <is>
          <t>Assets/MachineBrigade/Scripts/Game/Match/GearCatalog.cs:345 (Modules[6])</t>
        </is>
      </c>
      <c r="J5" t="inlineStr">
        <is>
          <t>{"module":"DroneEscort","need":"Any","epic":1,"legendary":2,"epic2":25,"legendary2":20}</t>
        </is>
      </c>
    </row>
    <row r="6">
      <c r="A6" t="inlineStr">
        <is>
          <t>EmpPayload</t>
        </is>
      </c>
      <c r="B6" t="inlineStr"/>
      <c r="C6" t="n">
        <v>2</v>
      </c>
      <c r="D6" t="n">
        <v>10</v>
      </c>
      <c r="F6" t="n">
        <v>3</v>
      </c>
      <c r="G6" t="n">
        <v>14</v>
      </c>
      <c r="H6" t="inlineStr">
        <is>
          <t>Any</t>
        </is>
      </c>
      <c r="I6" t="inlineStr">
        <is>
          <t>Assets/MachineBrigade/Scripts/Game/Match/GearCatalog.cs:346 (Modules[7])</t>
        </is>
      </c>
      <c r="J6" t="inlineStr">
        <is>
          <t>{"module":"EmpPayload","need":"Any","epic":2,"legendary":3,"epic2":10,"legendary2":14}</t>
        </is>
      </c>
    </row>
    <row r="7">
      <c r="A7" t="inlineStr">
        <is>
          <t>FlareDispenser</t>
        </is>
      </c>
      <c r="B7" t="inlineStr"/>
      <c r="C7" t="n">
        <v>3</v>
      </c>
      <c r="D7" t="n">
        <v>25</v>
      </c>
      <c r="F7" t="n">
        <v>4</v>
      </c>
      <c r="G7" t="n">
        <v>18</v>
      </c>
      <c r="H7" t="inlineStr">
        <is>
          <t>Flying|Flares</t>
        </is>
      </c>
      <c r="I7" t="inlineStr">
        <is>
          <t>Assets/MachineBrigade/Scripts/Game/Match/GearCatalog.cs:344 (Modules[5])</t>
        </is>
      </c>
      <c r="J7" t="inlineStr">
        <is>
          <t>{"module":"FlareDispenser","need":"Flying|Flares","epic":3,"legendary":4,"epic2":25,"legendary2":18}</t>
        </is>
      </c>
    </row>
    <row r="8">
      <c r="A8" t="inlineStr">
        <is>
          <t>MineDispenser</t>
        </is>
      </c>
      <c r="B8" t="inlineStr"/>
      <c r="C8" t="n">
        <v>2</v>
      </c>
      <c r="D8" t="n">
        <v>20</v>
      </c>
      <c r="F8" t="n">
        <v>3</v>
      </c>
      <c r="G8" t="n">
        <v>15</v>
      </c>
      <c r="H8" t="inlineStr">
        <is>
          <t>Ground</t>
        </is>
      </c>
      <c r="I8" t="inlineStr">
        <is>
          <t>Assets/MachineBrigade/Scripts/Game/Match/GearCatalog.cs:347 (Modules[8])</t>
        </is>
      </c>
      <c r="J8" t="inlineStr">
        <is>
          <t>{"module":"MineDispenser","need":"Ground","epic":2,"legendary":3,"epic2":20,"legendary2":15}</t>
        </is>
      </c>
    </row>
    <row r="9">
      <c r="A9" t="inlineStr">
        <is>
          <t>RallyHorn</t>
        </is>
      </c>
      <c r="B9" t="inlineStr"/>
      <c r="C9" t="n">
        <v>0.06</v>
      </c>
      <c r="D9" t="n">
        <v>12</v>
      </c>
      <c r="F9" t="n">
        <v>0.1</v>
      </c>
      <c r="G9" t="n">
        <v>15</v>
      </c>
      <c r="H9" t="inlineStr">
        <is>
          <t>Any</t>
        </is>
      </c>
      <c r="I9" t="inlineStr">
        <is>
          <t>Assets/MachineBrigade/Scripts/Game/Match/GearCatalog.cs:349 (Modules[10])</t>
        </is>
      </c>
      <c r="J9" t="inlineStr">
        <is>
          <t>{"module":"RallyHorn","need":"Any","epic":0.06,"legendary":0.1,"epic2":12,"legendary2":15}</t>
        </is>
      </c>
    </row>
    <row r="10">
      <c r="A10" t="inlineStr">
        <is>
          <t>ReactiveArmor</t>
        </is>
      </c>
      <c r="B10" t="inlineStr"/>
      <c r="C10" t="n">
        <v>0.4</v>
      </c>
      <c r="F10" t="n">
        <v>0.55</v>
      </c>
      <c r="H10" t="inlineStr">
        <is>
          <t>Ground</t>
        </is>
      </c>
      <c r="I10" t="inlineStr">
        <is>
          <t>Assets/MachineBrigade/Scripts/Game/Match/GearCatalog.cs:336 (Modules[0])</t>
        </is>
      </c>
      <c r="J10" t="inlineStr">
        <is>
          <t>{"module":"ReactiveArmor","need":"Ground","epic":0.4,"legendary":0.55}</t>
        </is>
      </c>
    </row>
    <row r="11">
      <c r="A11" t="inlineStr">
        <is>
          <t>SmokeDischarger</t>
        </is>
      </c>
      <c r="B11" t="inlineStr"/>
      <c r="C11" t="n">
        <v>8</v>
      </c>
      <c r="D11" t="n">
        <v>0</v>
      </c>
      <c r="E11" t="b">
        <v>1</v>
      </c>
      <c r="F11" t="n">
        <v>10</v>
      </c>
      <c r="G11" t="n">
        <v>1</v>
      </c>
      <c r="H11" t="inlineStr">
        <is>
          <t>Ground</t>
        </is>
      </c>
      <c r="I11" t="inlineStr">
        <is>
          <t>Assets/MachineBrigade/Scripts/Game/Match/GearCatalog.cs:340 (Modules[3])</t>
        </is>
      </c>
      <c r="J11" t="inlineStr">
        <is>
          <t>{"module":"SmokeDischarger","need":"Ground","epic":8,"legendary":10,"epic2":0,"legendary2":1,"Hidden":true}</t>
        </is>
      </c>
    </row>
    <row r="12">
      <c r="A12" t="inlineStr">
        <is>
          <t>TrophyAps</t>
        </is>
      </c>
      <c r="B12" t="inlineStr"/>
      <c r="C12" t="n">
        <v>1</v>
      </c>
      <c r="D12" t="n">
        <v>25</v>
      </c>
      <c r="F12" t="n">
        <v>2</v>
      </c>
      <c r="G12" t="n">
        <v>20</v>
      </c>
      <c r="H12" t="inlineStr">
        <is>
          <t>Ground|ApsMount</t>
        </is>
      </c>
      <c r="I12" t="inlineStr">
        <is>
          <t>Assets/MachineBrigade/Scripts/Game/Match/GearCatalog.cs:343 (Modules[4])</t>
        </is>
      </c>
      <c r="J12" t="inlineStr">
        <is>
          <t>{"module":"TrophyAps","need":"Ground|ApsMount","epic":1,"legendary":2,"epic2":25,"legendary2":20}</t>
        </is>
      </c>
    </row>
    <row r="13">
      <c r="A13" t="inlineStr">
        <is>
          <t>UplinkBarrage</t>
        </is>
      </c>
      <c r="B13" t="inlineStr"/>
      <c r="C13" t="n">
        <v>3</v>
      </c>
      <c r="D13" t="n">
        <v>45</v>
      </c>
      <c r="F13" t="n">
        <v>5</v>
      </c>
      <c r="G13" t="n">
        <v>35</v>
      </c>
      <c r="H13" t="inlineStr">
        <is>
          <t>HitsGround</t>
        </is>
      </c>
      <c r="I13" t="inlineStr">
        <is>
          <t>Assets/MachineBrigade/Scripts/Game/Match/GearCatalog.cs:352 (Modules[13])</t>
        </is>
      </c>
      <c r="J13" t="inlineStr">
        <is>
          <t>{"module":"UplinkBarrage","need":"HitsGround","epic":3,"legendary":5,"epic2":45,"legendary2":35}</t>
        </is>
      </c>
    </row>
    <row r="14">
      <c r="A14" t="inlineStr">
        <is>
          <t>VeteranCrew</t>
        </is>
      </c>
      <c r="B14" t="inlineStr"/>
      <c r="C14" t="n">
        <v>0.08</v>
      </c>
      <c r="F14" t="n">
        <v>0.12</v>
      </c>
      <c r="H14" t="inlineStr">
        <is>
          <t>Armed</t>
        </is>
      </c>
      <c r="I14" t="inlineStr">
        <is>
          <t>Assets/MachineBrigade/Scripts/Game/Match/GearCatalog.cs:338 (Modules[2])</t>
        </is>
      </c>
      <c r="J14" t="inlineStr">
        <is>
          <t>{"module":"VeteranCrew","need":"Armed","epic":0.08,"legendary":0.12}</t>
        </is>
      </c>
    </row>
    <row r="15">
      <c r="A15" t="inlineStr">
        <is>
          <t>WarProfiteer</t>
        </is>
      </c>
      <c r="B15" t="inlineStr"/>
      <c r="C15" t="n">
        <v>0.5</v>
      </c>
      <c r="F15" t="n">
        <v>0.8</v>
      </c>
      <c r="H15" t="inlineStr">
        <is>
          <t>Armed</t>
        </is>
      </c>
      <c r="I15" t="inlineStr">
        <is>
          <t>Assets/MachineBrigade/Scripts/Game/Match/GearCatalog.cs:348 (Modules[9])</t>
        </is>
      </c>
      <c r="J15" t="inlineStr">
        <is>
          <t>{"module":"WarProfiteer","need":"Armed","epic":0.5,"legendary":0.8}</t>
        </is>
      </c>
    </row>
  </sheetData>
  <autoFilter ref="A1:J1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0" customWidth="1" min="4" max="4"/>
    <col width="11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branches</t>
        </is>
      </c>
      <c r="D1" s="1" t="inlineStr">
        <is>
          <t>epic</t>
        </is>
      </c>
      <c r="E1" s="1" t="inlineStr">
        <is>
          <t>legendary</t>
        </is>
      </c>
      <c r="F1" s="1" t="inlineStr">
        <is>
          <t>slot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AblativeLayer</t>
        </is>
      </c>
      <c r="B2" t="inlineStr">
        <is>
          <t>Lớp giáp hy sinh</t>
        </is>
      </c>
      <c r="C2" t="inlineStr">
        <is>
          <t>Any</t>
        </is>
      </c>
      <c r="D2" t="inlineStr">
        <is>
          <t>0.2</t>
        </is>
      </c>
      <c r="E2" t="inlineStr">
        <is>
          <t>0.3</t>
        </is>
      </c>
      <c r="F2" t="inlineStr">
        <is>
          <t>Armor</t>
        </is>
      </c>
      <c r="G2" t="inlineStr">
        <is>
          <t>Assets/MachineBrigade/Scripts/Game/Match/GearCatalog.cs:384 (Traits[24])</t>
        </is>
      </c>
      <c r="H2" t="inlineStr">
        <is>
          <t>{"id":"AblativeLayer","slot":"Armor","branches":"Any","epic":[0.2],"legendary":[0.3]}</t>
        </is>
      </c>
    </row>
    <row r="3">
      <c r="A3" t="inlineStr">
        <is>
          <t>AdaptivePlating</t>
        </is>
      </c>
      <c r="B3" t="inlineStr">
        <is>
          <t>Giáp thích ứng</t>
        </is>
      </c>
      <c r="C3" t="inlineStr">
        <is>
          <t>Any</t>
        </is>
      </c>
      <c r="D3" t="inlineStr">
        <is>
          <t>0.05</t>
        </is>
      </c>
      <c r="E3" t="inlineStr">
        <is>
          <t>0.06</t>
        </is>
      </c>
      <c r="F3" t="inlineStr">
        <is>
          <t>Armor</t>
        </is>
      </c>
      <c r="G3" t="inlineStr">
        <is>
          <t>Assets/MachineBrigade/Scripts/Game/Match/GearCatalog.cs:382 (Traits[22])</t>
        </is>
      </c>
      <c r="H3" t="inlineStr">
        <is>
          <t>{"id":"AdaptivePlating","slot":"Armor","branches":"Any","epic":[0.05],"legendary":[0.06]}</t>
        </is>
      </c>
    </row>
    <row r="4">
      <c r="A4" t="inlineStr">
        <is>
          <t>AegisBarrier</t>
        </is>
      </c>
      <c r="B4" t="inlineStr">
        <is>
          <t>Khiên Aegis</t>
        </is>
      </c>
      <c r="C4" t="inlineStr">
        <is>
          <t>Any</t>
        </is>
      </c>
      <c r="D4" t="inlineStr">
        <is>
          <t>0.1;20</t>
        </is>
      </c>
      <c r="E4" t="inlineStr">
        <is>
          <t>0.15;16</t>
        </is>
      </c>
      <c r="F4" t="inlineStr">
        <is>
          <t>Armor</t>
        </is>
      </c>
      <c r="G4" t="inlineStr">
        <is>
          <t>Assets/MachineBrigade/Scripts/Game/Match/GearCatalog.cs:378 (Traits[18])</t>
        </is>
      </c>
      <c r="H4" t="inlineStr">
        <is>
          <t>{"id":"AegisBarrier","slot":"Armor","branches":"Any","epic":[0.1,20],"legendary":[0.15,16]}</t>
        </is>
      </c>
    </row>
    <row r="5">
      <c r="A5" t="inlineStr">
        <is>
          <t>AfterburnerReserve</t>
        </is>
      </c>
      <c r="B5" t="inlineStr">
        <is>
          <t>Đốt sau dự phòng</t>
        </is>
      </c>
      <c r="C5" t="inlineStr">
        <is>
          <t>Flying</t>
        </is>
      </c>
      <c r="D5" t="inlineStr">
        <is>
          <t>0.5</t>
        </is>
      </c>
      <c r="E5" t="inlineStr">
        <is>
          <t>0.7</t>
        </is>
      </c>
      <c r="F5" t="inlineStr">
        <is>
          <t>Engine</t>
        </is>
      </c>
      <c r="G5" t="inlineStr">
        <is>
          <t>Assets/MachineBrigade/Scripts/Game/Match/GearCatalog.cs:392 (Traits[31])</t>
        </is>
      </c>
      <c r="H5" t="inlineStr">
        <is>
          <t>{"id":"AfterburnerReserve","slot":"Engine","branches":"Flying","epic":[0.5],"legendary":[0.7]}</t>
        </is>
      </c>
    </row>
    <row r="6">
      <c r="A6" t="inlineStr">
        <is>
          <t>AmmoCarrier</t>
        </is>
      </c>
      <c r="B6" t="inlineStr">
        <is>
          <t>Xe chở đạn</t>
        </is>
      </c>
      <c r="C6" t="inlineStr">
        <is>
          <t>Any</t>
        </is>
      </c>
      <c r="D6" t="inlineStr">
        <is>
          <t>0.3;12</t>
        </is>
      </c>
      <c r="E6" t="inlineStr">
        <is>
          <t>0.5;16</t>
        </is>
      </c>
      <c r="F6" t="inlineStr">
        <is>
          <t>Repair</t>
        </is>
      </c>
      <c r="G6" t="inlineStr">
        <is>
          <t>Assets/MachineBrigade/Scripts/Game/Match/GearCatalog.cs:399 (Traits[37])</t>
        </is>
      </c>
      <c r="H6" t="inlineStr">
        <is>
          <t>{"id":"AmmoCarrier","slot":"Repair","branches":"Any","epic":[0.3,12],"legendary":[0.5,16]}</t>
        </is>
      </c>
    </row>
    <row r="7">
      <c r="A7" t="inlineStr">
        <is>
          <t>AngledGlacis</t>
        </is>
      </c>
      <c r="B7" t="inlineStr">
        <is>
          <t>Giáp nghiêng</t>
        </is>
      </c>
      <c r="C7" t="inlineStr">
        <is>
          <t>Ground</t>
        </is>
      </c>
      <c r="D7" t="inlineStr">
        <is>
          <t>6</t>
        </is>
      </c>
      <c r="E7" t="inlineStr">
        <is>
          <t>5</t>
        </is>
      </c>
      <c r="F7" t="inlineStr">
        <is>
          <t>Armor</t>
        </is>
      </c>
      <c r="G7" t="inlineStr">
        <is>
          <t>Assets/MachineBrigade/Scripts/Game/Match/GearCatalog.cs:385 (Traits[25])</t>
        </is>
      </c>
      <c r="H7" t="inlineStr">
        <is>
          <t>{"id":"AngledGlacis","slot":"Armor","branches":"Ground","epic":[6],"legendary":[5]}</t>
        </is>
      </c>
    </row>
    <row r="8">
      <c r="A8" t="inlineStr">
        <is>
          <t>ClusterWarhead</t>
        </is>
      </c>
      <c r="B8" t="inlineStr">
        <is>
          <t>Đầu đạn chùm</t>
        </is>
      </c>
      <c r="C8" t="inlineStr">
        <is>
          <t>Lobs</t>
        </is>
      </c>
      <c r="D8" t="inlineStr">
        <is>
          <t>5</t>
        </is>
      </c>
      <c r="E8" t="inlineStr">
        <is>
          <t>8</t>
        </is>
      </c>
      <c r="F8" t="inlineStr">
        <is>
          <t>Weapon</t>
        </is>
      </c>
      <c r="G8" t="inlineStr">
        <is>
          <t>Assets/MachineBrigade/Scripts/Game/Match/GearCatalog.cs:361 (Traits[3])</t>
        </is>
      </c>
      <c r="H8" t="inlineStr">
        <is>
          <t>{"id":"ClusterWarhead","slot":"Weapon","branches":"Lobs","epic":[5],"legendary":[8]}</t>
        </is>
      </c>
    </row>
    <row r="9">
      <c r="A9" t="inlineStr">
        <is>
          <t>CombatWelder</t>
        </is>
      </c>
      <c r="B9" t="inlineStr">
        <is>
          <t>Thợ hàn chiến trường</t>
        </is>
      </c>
      <c r="C9" t="inlineStr">
        <is>
          <t>Any</t>
        </is>
      </c>
      <c r="D9" t="inlineStr">
        <is>
          <t>0.4</t>
        </is>
      </c>
      <c r="E9" t="inlineStr">
        <is>
          <t>0.6</t>
        </is>
      </c>
      <c r="F9" t="inlineStr">
        <is>
          <t>Repair</t>
        </is>
      </c>
      <c r="G9" t="inlineStr">
        <is>
          <t>Assets/MachineBrigade/Scripts/Game/Match/GearCatalog.cs:397 (Traits[35])</t>
        </is>
      </c>
      <c r="H9" t="inlineStr">
        <is>
          <t>{"id":"CombatWelder","slot":"Repair","branches":"Any","epic":[0.4],"legendary":[0.6]}</t>
        </is>
      </c>
    </row>
    <row r="10">
      <c r="A10" t="inlineStr">
        <is>
          <t>CounterBatteryRadar</t>
        </is>
      </c>
      <c r="B10" t="inlineStr">
        <is>
          <t>Radar phản pháo</t>
        </is>
      </c>
      <c r="C10" t="inlineStr">
        <is>
          <t>Any</t>
        </is>
      </c>
      <c r="D10" t="inlineStr">
        <is>
          <t>0.15;80;5</t>
        </is>
      </c>
      <c r="E10" t="inlineStr">
        <is>
          <t>0.25;100;8</t>
        </is>
      </c>
      <c r="F10" t="inlineStr">
        <is>
          <t>Optics</t>
        </is>
      </c>
      <c r="G10" t="inlineStr">
        <is>
          <t>Assets/MachineBrigade/Scripts/Game/Match/GearCatalog.cs:405 (Traits[42])</t>
        </is>
      </c>
      <c r="H10" t="inlineStr">
        <is>
          <t>{"id":"CounterBatteryRadar","slot":"Optics","branches":"Any","epic":[0.15,80,5],"legendary":[0.25,100,8]}</t>
        </is>
      </c>
    </row>
    <row r="11">
      <c r="A11" t="inlineStr">
        <is>
          <t>DamageControl</t>
        </is>
      </c>
      <c r="B11" t="inlineStr">
        <is>
          <t>Kiểm soát hư hại</t>
        </is>
      </c>
      <c r="C11" t="inlineStr">
        <is>
          <t>Any</t>
        </is>
      </c>
      <c r="D11" t="inlineStr">
        <is>
          <t>15</t>
        </is>
      </c>
      <c r="E11" t="inlineStr">
        <is>
          <t>10</t>
        </is>
      </c>
      <c r="F11" t="inlineStr">
        <is>
          <t>Repair</t>
        </is>
      </c>
      <c r="G11" t="inlineStr">
        <is>
          <t>Assets/MachineBrigade/Scripts/Game/Match/GearCatalog.cs:400 (Traits[38])</t>
        </is>
      </c>
      <c r="H11" t="inlineStr">
        <is>
          <t>{"id":"DamageControl","slot":"Repair","branches":"Any","epic":[15],"legendary":[10]}</t>
        </is>
      </c>
    </row>
    <row r="12">
      <c r="A12" t="inlineStr">
        <is>
          <t>DarkCrown</t>
        </is>
      </c>
      <c r="B12" t="inlineStr">
        <is>
          <t>Vương miện bóng tối</t>
        </is>
      </c>
      <c r="C12" t="inlineStr">
        <is>
          <t>Any</t>
        </is>
      </c>
      <c r="D12" t="inlineStr">
        <is>
          <t>0.03;0.02</t>
        </is>
      </c>
      <c r="E12" t="inlineStr">
        <is>
          <t>0.04;0.03</t>
        </is>
      </c>
      <c r="F12" t="inlineStr">
        <is>
          <t>Armor</t>
        </is>
      </c>
      <c r="G12" t="inlineStr">
        <is>
          <t>Assets/MachineBrigade/Scripts/Game/Match/GearCatalog.cs:381 (Traits[21])</t>
        </is>
      </c>
      <c r="H12" t="inlineStr">
        <is>
          <t>{"id":"DarkCrown","slot":"Armor","branches":"Any","epic":[0.03,0.02],"legendary":[0.04,0.03]}</t>
        </is>
      </c>
    </row>
    <row r="13">
      <c r="A13" t="inlineStr">
        <is>
          <t>EmergencyRepairKit</t>
        </is>
      </c>
      <c r="B13" t="inlineStr">
        <is>
          <t>Bộ sửa khẩn cấp</t>
        </is>
      </c>
      <c r="C13" t="inlineStr">
        <is>
          <t>Any</t>
        </is>
      </c>
      <c r="D13" t="inlineStr">
        <is>
          <t>0.2</t>
        </is>
      </c>
      <c r="E13" t="inlineStr">
        <is>
          <t>0.3</t>
        </is>
      </c>
      <c r="F13" t="inlineStr">
        <is>
          <t>Repair</t>
        </is>
      </c>
      <c r="G13" t="inlineStr">
        <is>
          <t>Assets/MachineBrigade/Scripts/Game/Match/GearCatalog.cs:396 (Traits[34])</t>
        </is>
      </c>
      <c r="H13" t="inlineStr">
        <is>
          <t>{"id":"EmergencyRepairKit","slot":"Repair","branches":"Any","epic":[0.2],"legendary":[0.3]}</t>
        </is>
      </c>
    </row>
    <row r="14">
      <c r="A14" t="inlineStr">
        <is>
          <t>EwJammer</t>
        </is>
      </c>
      <c r="B14" t="inlineStr">
        <is>
          <t>Gây nhiễu điện tử</t>
        </is>
      </c>
      <c r="C14" t="inlineStr">
        <is>
          <t>Any</t>
        </is>
      </c>
      <c r="D14" t="inlineStr">
        <is>
          <t>2;15;12</t>
        </is>
      </c>
      <c r="E14" t="inlineStr">
        <is>
          <t>3;12;16</t>
        </is>
      </c>
      <c r="F14" t="inlineStr">
        <is>
          <t>Optics</t>
        </is>
      </c>
      <c r="G14" t="inlineStr">
        <is>
          <t>Assets/MachineBrigade/Scripts/Game/Match/GearCatalog.cs:406 (Traits[43])</t>
        </is>
      </c>
      <c r="H14" t="inlineStr">
        <is>
          <t>{"id":"EwJammer","slot":"Optics","branches":"Any","epic":[2,15,12],"legendary":[3,12,16]}</t>
        </is>
      </c>
    </row>
    <row r="15">
      <c r="A15" t="inlineStr">
        <is>
          <t>Executioner</t>
        </is>
      </c>
      <c r="B15" t="inlineStr">
        <is>
          <t>Đao phủ</t>
        </is>
      </c>
      <c r="C15" t="inlineStr">
        <is>
          <t>Armed</t>
        </is>
      </c>
      <c r="D15" t="inlineStr">
        <is>
          <t>0.4</t>
        </is>
      </c>
      <c r="E15" t="inlineStr">
        <is>
          <t>0.6</t>
        </is>
      </c>
      <c r="F15" t="inlineStr">
        <is>
          <t>Weapon</t>
        </is>
      </c>
      <c r="G15" t="inlineStr">
        <is>
          <t>Assets/MachineBrigade/Scripts/Game/Match/GearCatalog.cs:365 (Traits[7])</t>
        </is>
      </c>
      <c r="H15" t="inlineStr">
        <is>
          <t>{"id":"Executioner","slot":"Weapon","branches":"Armed","epic":[0.4],"legendary":[0.6]}</t>
        </is>
      </c>
    </row>
    <row r="16">
      <c r="A16" t="inlineStr">
        <is>
          <t>FieldMechanics</t>
        </is>
      </c>
      <c r="B16" t="inlineStr">
        <is>
          <t>Thợ máy dã chiến</t>
        </is>
      </c>
      <c r="C16" t="inlineStr">
        <is>
          <t>Any</t>
        </is>
      </c>
      <c r="D16" t="inlineStr">
        <is>
          <t>0.006;12</t>
        </is>
      </c>
      <c r="E16" t="inlineStr">
        <is>
          <t>0.01;15</t>
        </is>
      </c>
      <c r="F16" t="inlineStr">
        <is>
          <t>Repair</t>
        </is>
      </c>
      <c r="G16" t="inlineStr">
        <is>
          <t>Assets/MachineBrigade/Scripts/Game/Match/GearCatalog.cs:395 (Traits[33])</t>
        </is>
      </c>
      <c r="H16" t="inlineStr">
        <is>
          <t>{"id":"FieldMechanics","slot":"Repair","branches":"Any","epic":[0.006,12],"legendary":[0.01,15]}</t>
        </is>
      </c>
    </row>
    <row r="17">
      <c r="A17" t="inlineStr">
        <is>
          <t>FireControlComputer</t>
        </is>
      </c>
      <c r="B17" t="inlineStr">
        <is>
          <t>Máy tính điều khiển hỏa lực</t>
        </is>
      </c>
      <c r="C17" t="inlineStr">
        <is>
          <t>Unguided</t>
        </is>
      </c>
      <c r="D17" t="inlineStr">
        <is>
          <t>0.5</t>
        </is>
      </c>
      <c r="E17" t="inlineStr">
        <is>
          <t>0.75</t>
        </is>
      </c>
      <c r="F17" t="inlineStr">
        <is>
          <t>Optics</t>
        </is>
      </c>
      <c r="G17" t="inlineStr">
        <is>
          <t>Assets/MachineBrigade/Scripts/Game/Match/GearCatalog.cs:408 (Traits[44])</t>
        </is>
      </c>
      <c r="H17" t="inlineStr">
        <is>
          <t>{"id":"FireControlComputer","slot":"Optics","branches":"Unguided","epic":[0.5],"legendary":[0.75]}</t>
        </is>
      </c>
    </row>
    <row r="18">
      <c r="A18" t="inlineStr">
        <is>
          <t>GhillieMode</t>
        </is>
      </c>
      <c r="B18" t="inlineStr">
        <is>
          <t>Chế độ ngụy trang</t>
        </is>
      </c>
      <c r="C18" t="inlineStr">
        <is>
          <t>Armed|Ground</t>
        </is>
      </c>
      <c r="D18" t="inlineStr">
        <is>
          <t>0.25;4</t>
        </is>
      </c>
      <c r="E18" t="inlineStr">
        <is>
          <t>0.4;3</t>
        </is>
      </c>
      <c r="F18" t="inlineStr">
        <is>
          <t>Optics</t>
        </is>
      </c>
      <c r="G18" t="inlineStr">
        <is>
          <t>Assets/MachineBrigade/Scripts/Game/Match/GearCatalog.cs:404 (Traits[41])</t>
        </is>
      </c>
      <c r="H18" t="inlineStr">
        <is>
          <t>{"id":"GhillieMode","slot":"Optics","branches":"Armed|Ground","epic":[0.25,4],"legendary":[0.4,3]}</t>
        </is>
      </c>
    </row>
    <row r="19">
      <c r="A19" t="inlineStr">
        <is>
          <t>GuardianLink</t>
        </is>
      </c>
      <c r="B19" t="inlineStr">
        <is>
          <t>Liên kết hộ vệ</t>
        </is>
      </c>
      <c r="C19" t="inlineStr">
        <is>
          <t>Heavy|Ground</t>
        </is>
      </c>
      <c r="D19" t="inlineStr">
        <is>
          <t>0.15</t>
        </is>
      </c>
      <c r="E19" t="inlineStr">
        <is>
          <t>0.25</t>
        </is>
      </c>
      <c r="F19" t="inlineStr">
        <is>
          <t>Armor</t>
        </is>
      </c>
      <c r="G19" t="inlineStr">
        <is>
          <t>Assets/MachineBrigade/Scripts/Game/Match/GearCatalog.cs:380 (Traits[20])</t>
        </is>
      </c>
      <c r="H19" t="inlineStr">
        <is>
          <t>{"id":"GuardianLink","slot":"Armor","branches":"Heavy|Ground","epic":[0.15],"legendary":[0.25]}</t>
        </is>
      </c>
    </row>
    <row r="20">
      <c r="A20" t="inlineStr">
        <is>
          <t>HotSwap</t>
        </is>
      </c>
      <c r="B20" t="inlineStr">
        <is>
          <t>Thay băng nóng</t>
        </is>
      </c>
      <c r="C20" t="inlineStr">
        <is>
          <t>Magazine</t>
        </is>
      </c>
      <c r="D20" t="inlineStr">
        <is>
          <t>0.25</t>
        </is>
      </c>
      <c r="E20" t="inlineStr">
        <is>
          <t>0.4</t>
        </is>
      </c>
      <c r="F20" t="inlineStr">
        <is>
          <t>Loader</t>
        </is>
      </c>
      <c r="G20" t="inlineStr">
        <is>
          <t>Assets/MachineBrigade/Scripts/Game/Match/GearCatalog.cs:374 (Traits[15])</t>
        </is>
      </c>
      <c r="H20" t="inlineStr">
        <is>
          <t>{"id":"HotSwap","slot":"Loader","branches":"Magazine","epic":[0.25],"legendary":[0.4]}</t>
        </is>
      </c>
    </row>
    <row r="21">
      <c r="A21" t="inlineStr">
        <is>
          <t>HullDownCrew</t>
        </is>
      </c>
      <c r="B21" t="inlineStr">
        <is>
          <t>Kíp ẩn thân</t>
        </is>
      </c>
      <c r="C21" t="inlineStr">
        <is>
          <t>Armed|Ground</t>
        </is>
      </c>
      <c r="D21" t="inlineStr">
        <is>
          <t>0.1</t>
        </is>
      </c>
      <c r="E21" t="inlineStr">
        <is>
          <t>0.15</t>
        </is>
      </c>
      <c r="F21" t="inlineStr">
        <is>
          <t>Loader</t>
        </is>
      </c>
      <c r="G21" t="inlineStr">
        <is>
          <t>Assets/MachineBrigade/Scripts/Game/Match/GearCatalog.cs:370 (Traits[11])</t>
        </is>
      </c>
      <c r="H21" t="inlineStr">
        <is>
          <t>{"id":"HullDownCrew","slot":"Loader","branches":"Armed|Ground","epic":[0.1],"legendary":[0.15]}</t>
        </is>
      </c>
    </row>
    <row r="22">
      <c r="A22" t="inlineStr">
        <is>
          <t>IncendiaryRounds</t>
        </is>
      </c>
      <c r="B22" t="inlineStr">
        <is>
          <t>Đạn cháy</t>
        </is>
      </c>
      <c r="C22" t="inlineStr">
        <is>
          <t>Armed</t>
        </is>
      </c>
      <c r="D22" t="inlineStr">
        <is>
          <t>0.18</t>
        </is>
      </c>
      <c r="E22" t="inlineStr">
        <is>
          <t>0.25</t>
        </is>
      </c>
      <c r="F22" t="inlineStr">
        <is>
          <t>Weapon</t>
        </is>
      </c>
      <c r="G22" t="inlineStr">
        <is>
          <t>Assets/MachineBrigade/Scripts/Game/Match/GearCatalog.cs:359 (Traits[1])</t>
        </is>
      </c>
      <c r="H22" t="inlineStr">
        <is>
          <t>{"id":"IncendiaryRounds","slot":"Weapon","branches":"Armed","epic":[0.18],"legendary":[0.25]}</t>
        </is>
      </c>
    </row>
    <row r="23">
      <c r="A23" t="inlineStr">
        <is>
          <t>KillReload</t>
        </is>
      </c>
      <c r="B23" t="inlineStr">
        <is>
          <t>Hạ là nạp</t>
        </is>
      </c>
      <c r="C23" t="inlineStr">
        <is>
          <t>Armed</t>
        </is>
      </c>
      <c r="D23" t="inlineStr">
        <is>
          <t>0.25</t>
        </is>
      </c>
      <c r="E23" t="inlineStr">
        <is>
          <t>0.4</t>
        </is>
      </c>
      <c r="F23" t="inlineStr">
        <is>
          <t>Loader</t>
        </is>
      </c>
      <c r="G23" t="inlineStr">
        <is>
          <t>Assets/MachineBrigade/Scripts/Game/Match/GearCatalog.cs:371 (Traits[12])</t>
        </is>
      </c>
      <c r="H23" t="inlineStr">
        <is>
          <t>{"id":"KillReload","slot":"Loader","branches":"Armed","epic":[0.25],"legendary":[0.4]}</t>
        </is>
      </c>
    </row>
    <row r="24">
      <c r="A24" t="inlineStr">
        <is>
          <t>LaserDesignator</t>
        </is>
      </c>
      <c r="B24" t="inlineStr">
        <is>
          <t>Chỉ thị la-de</t>
        </is>
      </c>
      <c r="C24" t="inlineStr">
        <is>
          <t>HitsGround</t>
        </is>
      </c>
      <c r="D24" t="inlineStr">
        <is>
          <t>0.08;4</t>
        </is>
      </c>
      <c r="E24" t="inlineStr">
        <is>
          <t>0.12;6</t>
        </is>
      </c>
      <c r="F24" t="inlineStr">
        <is>
          <t>Optics</t>
        </is>
      </c>
      <c r="G24" t="inlineStr">
        <is>
          <t>Assets/MachineBrigade/Scripts/Game/Match/GearCatalog.cs:403 (Traits[40])</t>
        </is>
      </c>
      <c r="H24" t="inlineStr">
        <is>
          <t>{"id":"LaserDesignator","slot":"Optics","branches":"HitsGround","epic":[0.08,4],"legendary":[0.12,6]}</t>
        </is>
      </c>
    </row>
    <row r="25">
      <c r="A25" t="inlineStr">
        <is>
          <t>MomentumGun</t>
        </is>
      </c>
      <c r="B25" t="inlineStr">
        <is>
          <t>Pháo tích đà</t>
        </is>
      </c>
      <c r="C25" t="inlineStr">
        <is>
          <t>Armed</t>
        </is>
      </c>
      <c r="D25" t="inlineStr">
        <is>
          <t>0.05</t>
        </is>
      </c>
      <c r="E25" t="inlineStr">
        <is>
          <t>0.07</t>
        </is>
      </c>
      <c r="F25" t="inlineStr">
        <is>
          <t>Weapon</t>
        </is>
      </c>
      <c r="G25" t="inlineStr">
        <is>
          <t>Assets/MachineBrigade/Scripts/Game/Match/GearCatalog.cs:364 (Traits[6])</t>
        </is>
      </c>
      <c r="H25" t="inlineStr">
        <is>
          <t>{"id":"MomentumGun","slot":"Weapon","branches":"Armed","epic":[0.05],"legendary":[0.07]}</t>
        </is>
      </c>
    </row>
    <row r="26">
      <c r="A26" t="inlineStr">
        <is>
          <t>NitroDash</t>
        </is>
      </c>
      <c r="B26" t="inlineStr">
        <is>
          <t>Bứt tốc</t>
        </is>
      </c>
      <c r="C26" t="inlineStr">
        <is>
          <t>Any</t>
        </is>
      </c>
      <c r="D26" t="inlineStr">
        <is>
          <t>1.6;25</t>
        </is>
      </c>
      <c r="E26" t="inlineStr">
        <is>
          <t>1.8;18</t>
        </is>
      </c>
      <c r="F26" t="inlineStr">
        <is>
          <t>Engine</t>
        </is>
      </c>
      <c r="G26" t="inlineStr">
        <is>
          <t>Assets/MachineBrigade/Scripts/Game/Match/GearCatalog.cs:388 (Traits[27])</t>
        </is>
      </c>
      <c r="H26" t="inlineStr">
        <is>
          <t>{"id":"NitroDash","slot":"Engine","branches":"Any","epic":[1.6,25],"legendary":[1.8,18]}</t>
        </is>
      </c>
    </row>
    <row r="27">
      <c r="A27" t="inlineStr">
        <is>
          <t>OpeningSalvo</t>
        </is>
      </c>
      <c r="B27" t="inlineStr">
        <is>
          <t>Loạt mở màn</t>
        </is>
      </c>
      <c r="C27" t="inlineStr">
        <is>
          <t>Armed</t>
        </is>
      </c>
      <c r="D27" t="inlineStr">
        <is>
          <t>0.35</t>
        </is>
      </c>
      <c r="E27" t="inlineStr">
        <is>
          <t>0.5</t>
        </is>
      </c>
      <c r="F27" t="inlineStr">
        <is>
          <t>Weapon</t>
        </is>
      </c>
      <c r="G27" t="inlineStr">
        <is>
          <t>Assets/MachineBrigade/Scripts/Game/Match/GearCatalog.cs:363 (Traits[5])</t>
        </is>
      </c>
      <c r="H27" t="inlineStr">
        <is>
          <t>{"id":"OpeningSalvo","slot":"Weapon","branches":"Armed","epic":[0.35],"legendary":[0.5]}</t>
        </is>
      </c>
    </row>
    <row r="28">
      <c r="A28" t="inlineStr">
        <is>
          <t>OverpressureChamber</t>
        </is>
      </c>
      <c r="B28" t="inlineStr">
        <is>
          <t>Buồng quá áp</t>
        </is>
      </c>
      <c r="C28" t="inlineStr">
        <is>
          <t>Armed</t>
        </is>
      </c>
      <c r="D28" t="inlineStr">
        <is>
          <t>5</t>
        </is>
      </c>
      <c r="E28" t="inlineStr">
        <is>
          <t>4</t>
        </is>
      </c>
      <c r="F28" t="inlineStr">
        <is>
          <t>Loader</t>
        </is>
      </c>
      <c r="G28" t="inlineStr">
        <is>
          <t>Assets/MachineBrigade/Scripts/Game/Match/GearCatalog.cs:373 (Traits[14])</t>
        </is>
      </c>
      <c r="H28" t="inlineStr">
        <is>
          <t>{"id":"OverpressureChamber","slot":"Loader","branches":"Armed","epic":[5],"legendary":[4]}</t>
        </is>
      </c>
    </row>
    <row r="29">
      <c r="A29" t="inlineStr">
        <is>
          <t>RapidDeployment</t>
        </is>
      </c>
      <c r="B29" t="inlineStr">
        <is>
          <t>Triển khai nhanh</t>
        </is>
      </c>
      <c r="C29" t="inlineStr">
        <is>
          <t>Any</t>
        </is>
      </c>
      <c r="D29" t="inlineStr">
        <is>
          <t>10</t>
        </is>
      </c>
      <c r="E29" t="inlineStr">
        <is>
          <t>15</t>
        </is>
      </c>
      <c r="F29" t="inlineStr">
        <is>
          <t>Engine</t>
        </is>
      </c>
      <c r="G29" t="inlineStr">
        <is>
          <t>Assets/MachineBrigade/Scripts/Game/Match/GearCatalog.cs:390 (Traits[29])</t>
        </is>
      </c>
      <c r="H29" t="inlineStr">
        <is>
          <t>{"id":"RapidDeployment","slot":"Engine","branches":"Any","epic":[10],"legendary":[15]}</t>
        </is>
      </c>
    </row>
    <row r="30">
      <c r="A30" t="inlineStr">
        <is>
          <t>RapidResponse</t>
        </is>
      </c>
      <c r="B30" t="inlineStr">
        <is>
          <t>Phản ứng nhanh</t>
        </is>
      </c>
      <c r="C30" t="inlineStr">
        <is>
          <t>Armed</t>
        </is>
      </c>
      <c r="D30" t="inlineStr">
        <is>
          <t>1.4;18</t>
        </is>
      </c>
      <c r="E30" t="inlineStr">
        <is>
          <t>1.6;14</t>
        </is>
      </c>
      <c r="F30" t="inlineStr">
        <is>
          <t>Loader</t>
        </is>
      </c>
      <c r="G30" t="inlineStr">
        <is>
          <t>Assets/MachineBrigade/Scripts/Game/Match/GearCatalog.cs:372 (Traits[13])</t>
        </is>
      </c>
      <c r="H30" t="inlineStr">
        <is>
          <t>{"id":"RapidResponse","slot":"Loader","branches":"Armed","epic":[1.4,18],"legendary":[1.6,14]}</t>
        </is>
      </c>
    </row>
    <row r="31">
      <c r="A31" t="inlineStr">
        <is>
          <t>ReactiveBlocks</t>
        </is>
      </c>
      <c r="B31" t="inlineStr">
        <is>
          <t>Khối giáp phản ứng</t>
        </is>
      </c>
      <c r="C31" t="inlineStr">
        <is>
          <t>Ground</t>
        </is>
      </c>
      <c r="D31" t="inlineStr">
        <is>
          <t>3;20</t>
        </is>
      </c>
      <c r="E31" t="inlineStr">
        <is>
          <t>4;15</t>
        </is>
      </c>
      <c r="F31" t="inlineStr">
        <is>
          <t>Armor</t>
        </is>
      </c>
      <c r="G31" t="inlineStr">
        <is>
          <t>Assets/MachineBrigade/Scripts/Game/Match/GearCatalog.cs:383 (Traits[23])</t>
        </is>
      </c>
      <c r="H31" t="inlineStr">
        <is>
          <t>{"id":"ReactiveBlocks","slot":"Armor","branches":"Ground","epic":[3,20],"legendary":[4,15]}</t>
        </is>
      </c>
    </row>
    <row r="32">
      <c r="A32" t="inlineStr">
        <is>
          <t>Rearguard</t>
        </is>
      </c>
      <c r="B32" t="inlineStr">
        <is>
          <t>Chặn hậu</t>
        </is>
      </c>
      <c r="C32" t="inlineStr">
        <is>
          <t>Any</t>
        </is>
      </c>
      <c r="D32" t="inlineStr">
        <is>
          <t>0.15</t>
        </is>
      </c>
      <c r="E32" t="inlineStr">
        <is>
          <t>0.2</t>
        </is>
      </c>
      <c r="F32" t="inlineStr">
        <is>
          <t>Engine</t>
        </is>
      </c>
      <c r="G32" t="inlineStr">
        <is>
          <t>Assets/MachineBrigade/Scripts/Game/Match/GearCatalog.cs:393 (Traits[32])</t>
        </is>
      </c>
      <c r="H32" t="inlineStr">
        <is>
          <t>{"id":"Rearguard","slot":"Engine","branches":"Any","epic":[0.15],"legendary":[0.2]}</t>
        </is>
      </c>
    </row>
    <row r="33">
      <c r="A33" t="inlineStr">
        <is>
          <t>RicochetShells</t>
        </is>
      </c>
      <c r="B33" t="inlineStr">
        <is>
          <t>Đạn nảy</t>
        </is>
      </c>
      <c r="C33" t="inlineStr">
        <is>
          <t>HitsGround</t>
        </is>
      </c>
      <c r="D33" t="inlineStr">
        <is>
          <t>0.35;8</t>
        </is>
      </c>
      <c r="E33" t="inlineStr">
        <is>
          <t>0.5;10</t>
        </is>
      </c>
      <c r="F33" t="inlineStr">
        <is>
          <t>Weapon</t>
        </is>
      </c>
      <c r="G33" t="inlineStr">
        <is>
          <t>Assets/MachineBrigade/Scripts/Game/Match/GearCatalog.cs:360 (Traits[2])</t>
        </is>
      </c>
      <c r="H33" t="inlineStr">
        <is>
          <t>{"id":"RicochetShells","slot":"Weapon","branches":"HitsGround","epic":[0.35,8],"legendary":[0.5,10]}</t>
        </is>
      </c>
    </row>
    <row r="34">
      <c r="A34" t="inlineStr">
        <is>
          <t>SalvageTeam</t>
        </is>
      </c>
      <c r="B34" t="inlineStr">
        <is>
          <t>Đội thu hồi</t>
        </is>
      </c>
      <c r="C34" t="inlineStr">
        <is>
          <t>Armed</t>
        </is>
      </c>
      <c r="D34" t="inlineStr">
        <is>
          <t>0.08</t>
        </is>
      </c>
      <c r="E34" t="inlineStr">
        <is>
          <t>0.12</t>
        </is>
      </c>
      <c r="F34" t="inlineStr">
        <is>
          <t>Repair</t>
        </is>
      </c>
      <c r="G34" t="inlineStr">
        <is>
          <t>Assets/MachineBrigade/Scripts/Game/Match/GearCatalog.cs:398 (Traits[36])</t>
        </is>
      </c>
      <c r="H34" t="inlineStr">
        <is>
          <t>{"id":"SalvageTeam","slot":"Repair","branches":"Armed","epic":[0.08],"legendary":[0.12]}</t>
        </is>
      </c>
    </row>
    <row r="35">
      <c r="A35" t="inlineStr">
        <is>
          <t>ShootAndScoot</t>
        </is>
      </c>
      <c r="B35" t="inlineStr">
        <is>
          <t>Bắn rồi chạy</t>
        </is>
      </c>
      <c r="C35" t="inlineStr">
        <is>
          <t>Armed|Ground</t>
        </is>
      </c>
      <c r="D35" t="inlineStr">
        <is>
          <t>0.4;0.15</t>
        </is>
      </c>
      <c r="E35" t="inlineStr">
        <is>
          <t>0.6;0.25</t>
        </is>
      </c>
      <c r="F35" t="inlineStr">
        <is>
          <t>Engine</t>
        </is>
      </c>
      <c r="G35" t="inlineStr">
        <is>
          <t>Assets/MachineBrigade/Scripts/Game/Match/GearCatalog.cs:389 (Traits[28])</t>
        </is>
      </c>
      <c r="H35" t="inlineStr">
        <is>
          <t>{"id":"ShootAndScoot","slot":"Engine","branches":"Armed|Ground","epic":[0.4,0.15],"legendary":[0.6,0.25]}</t>
        </is>
      </c>
    </row>
    <row r="36">
      <c r="A36" t="inlineStr">
        <is>
          <t>ShredderRounds</t>
        </is>
      </c>
      <c r="B36" t="inlineStr">
        <is>
          <t>Đạn xé giáp</t>
        </is>
      </c>
      <c r="C36" t="inlineStr">
        <is>
          <t>Armed</t>
        </is>
      </c>
      <c r="D36" t="inlineStr">
        <is>
          <t>0.03</t>
        </is>
      </c>
      <c r="E36" t="inlineStr">
        <is>
          <t>0.04</t>
        </is>
      </c>
      <c r="F36" t="inlineStr">
        <is>
          <t>Weapon</t>
        </is>
      </c>
      <c r="G36" t="inlineStr">
        <is>
          <t>Assets/MachineBrigade/Scripts/Game/Match/GearCatalog.cs:362 (Traits[4])</t>
        </is>
      </c>
      <c r="H36" t="inlineStr">
        <is>
          <t>{"id":"ShredderRounds","slot":"Weapon","branches":"Armed","epic":[0.03],"legendary":[0.04]}</t>
        </is>
      </c>
    </row>
    <row r="37">
      <c r="A37" t="inlineStr">
        <is>
          <t>SiegeAnchor</t>
        </is>
      </c>
      <c r="B37" t="inlineStr">
        <is>
          <t>Neo công thành</t>
        </is>
      </c>
      <c r="C37" t="inlineStr">
        <is>
          <t>Ground</t>
        </is>
      </c>
      <c r="D37" t="inlineStr">
        <is>
          <t>0.15;0.08</t>
        </is>
      </c>
      <c r="E37" t="inlineStr">
        <is>
          <t>0.2;0.12</t>
        </is>
      </c>
      <c r="F37" t="inlineStr">
        <is>
          <t>Armor</t>
        </is>
      </c>
      <c r="G37" t="inlineStr">
        <is>
          <t>Assets/MachineBrigade/Scripts/Game/Match/GearCatalog.cs:386 (Traits[26])</t>
        </is>
      </c>
      <c r="H37" t="inlineStr">
        <is>
          <t>{"id":"SiegeAnchor","slot":"Armor","branches":"Ground","epic":[0.15,0.08],"legendary":[0.2,0.12]}</t>
        </is>
      </c>
    </row>
    <row r="38">
      <c r="A38" t="inlineStr">
        <is>
          <t>SkywardPintle</t>
        </is>
      </c>
      <c r="B38" t="inlineStr">
        <is>
          <t>Giá súng phòng không</t>
        </is>
      </c>
      <c r="C38" t="inlineStr">
        <is>
          <t>SecondaryGun|Ground</t>
        </is>
      </c>
      <c r="D38" t="inlineStr">
        <is>
          <t>0.6</t>
        </is>
      </c>
      <c r="E38" t="inlineStr">
        <is>
          <t>0.8</t>
        </is>
      </c>
      <c r="F38" t="inlineStr">
        <is>
          <t>Loader</t>
        </is>
      </c>
      <c r="G38" t="inlineStr">
        <is>
          <t>Assets/MachineBrigade/Scripts/Game/Match/GearCatalog.cs:375 (Traits[16])</t>
        </is>
      </c>
      <c r="H38" t="inlineStr">
        <is>
          <t>{"id":"SkywardPintle","slot":"Loader","branches":"SecondaryGun|Ground","epic":[0.6],"legendary":[0.8]}</t>
        </is>
      </c>
    </row>
    <row r="39">
      <c r="A39" t="inlineStr">
        <is>
          <t>SuppressionRounds</t>
        </is>
      </c>
      <c r="B39" t="inlineStr">
        <is>
          <t>Đạn áp chế</t>
        </is>
      </c>
      <c r="C39" t="inlineStr">
        <is>
          <t>Armed</t>
        </is>
      </c>
      <c r="D39" t="inlineStr">
        <is>
          <t>0.15</t>
        </is>
      </c>
      <c r="E39" t="inlineStr">
        <is>
          <t>0.25</t>
        </is>
      </c>
      <c r="F39" t="inlineStr">
        <is>
          <t>Weapon</t>
        </is>
      </c>
      <c r="G39" t="inlineStr">
        <is>
          <t>Assets/MachineBrigade/Scripts/Game/Match/GearCatalog.cs:367 (Traits[9])</t>
        </is>
      </c>
      <c r="H39" t="inlineStr">
        <is>
          <t>{"id":"SuppressionRounds","slot":"Weapon","branches":"Armed","epic":[0.15],"legendary":[0.25]}</t>
        </is>
      </c>
    </row>
    <row r="40">
      <c r="A40" t="inlineStr">
        <is>
          <t>SuppressiveFire</t>
        </is>
      </c>
      <c r="B40" t="inlineStr">
        <is>
          <t>Hỏa lực chế áp</t>
        </is>
      </c>
      <c r="C40" t="inlineStr">
        <is>
          <t>Armed</t>
        </is>
      </c>
      <c r="D40" t="inlineStr">
        <is>
          <t>0.1</t>
        </is>
      </c>
      <c r="E40" t="inlineStr">
        <is>
          <t>0.15</t>
        </is>
      </c>
      <c r="F40" t="inlineStr">
        <is>
          <t>Weapon</t>
        </is>
      </c>
      <c r="G40" t="inlineStr">
        <is>
          <t>Assets/MachineBrigade/Scripts/Game/Match/GearCatalog.cs:368 (Traits[10])</t>
        </is>
      </c>
      <c r="H40" t="inlineStr">
        <is>
          <t>{"id":"SuppressiveFire","slot":"Weapon","branches":"Armed","epic":[0.1],"legendary":[0.15]}</t>
        </is>
      </c>
    </row>
    <row r="41">
      <c r="A41" t="inlineStr">
        <is>
          <t>TandemWarhead</t>
        </is>
      </c>
      <c r="B41" t="inlineStr">
        <is>
          <t>Đầu nổ kép</t>
        </is>
      </c>
      <c r="C41" t="inlineStr">
        <is>
          <t>RocketLike</t>
        </is>
      </c>
      <c r="D41" t="inlineStr">
        <is>
          <t>0.1</t>
        </is>
      </c>
      <c r="E41" t="inlineStr">
        <is>
          <t>0.15</t>
        </is>
      </c>
      <c r="F41" t="inlineStr">
        <is>
          <t>Weapon</t>
        </is>
      </c>
      <c r="G41" t="inlineStr">
        <is>
          <t>Assets/MachineBrigade/Scripts/Game/Match/GearCatalog.cs:366 (Traits[8])</t>
        </is>
      </c>
      <c r="H41" t="inlineStr">
        <is>
          <t>{"id":"TandemWarhead","slot":"Weapon","branches":"RocketLike","epic":[0.1],"legendary":[0.15]}</t>
        </is>
      </c>
    </row>
    <row r="42">
      <c r="A42" t="inlineStr">
        <is>
          <t>ThermalImager</t>
        </is>
      </c>
      <c r="B42" t="inlineStr">
        <is>
          <t>Kính ảnh nhiệt</t>
        </is>
      </c>
      <c r="C42" t="inlineStr">
        <is>
          <t>Any</t>
        </is>
      </c>
      <c r="D42" t="inlineStr">
        <is>
          <t>0.6</t>
        </is>
      </c>
      <c r="E42" t="inlineStr">
        <is>
          <t>1</t>
        </is>
      </c>
      <c r="F42" t="inlineStr">
        <is>
          <t>Optics</t>
        </is>
      </c>
      <c r="G42" t="inlineStr">
        <is>
          <t>Assets/MachineBrigade/Scripts/Game/Match/GearCatalog.cs:402 (Traits[39])</t>
        </is>
      </c>
      <c r="H42" t="inlineStr">
        <is>
          <t>{"id":"ThermalImager","slot":"Optics","branches":"Any","epic":[0.6],"legendary":[1]}</t>
        </is>
      </c>
    </row>
    <row r="43">
      <c r="A43" t="inlineStr">
        <is>
          <t>TwinFeed</t>
        </is>
      </c>
      <c r="B43" t="inlineStr">
        <is>
          <t>Nạp kép</t>
        </is>
      </c>
      <c r="C43" t="inlineStr">
        <is>
          <t>Armed</t>
        </is>
      </c>
      <c r="D43" t="inlineStr">
        <is>
          <t>0.15;0.15</t>
        </is>
      </c>
      <c r="E43" t="inlineStr">
        <is>
          <t>0.2;0.2</t>
        </is>
      </c>
      <c r="F43" t="inlineStr">
        <is>
          <t>Weapon</t>
        </is>
      </c>
      <c r="G43" t="inlineStr">
        <is>
          <t>Assets/MachineBrigade/Scripts/Game/Match/GearCatalog.cs:358 (Traits[0])</t>
        </is>
      </c>
      <c r="H43" t="inlineStr">
        <is>
          <t>{"id":"TwinFeed","slot":"Weapon","branches":"Armed","epic":[0.15,0.15],"legendary":[0.2,0.2]}</t>
        </is>
      </c>
    </row>
    <row r="44">
      <c r="A44" t="inlineStr">
        <is>
          <t>Unbreakable</t>
        </is>
      </c>
      <c r="B44" t="inlineStr">
        <is>
          <t>Bất khuất</t>
        </is>
      </c>
      <c r="C44" t="inlineStr">
        <is>
          <t>Any</t>
        </is>
      </c>
      <c r="D44" t="inlineStr">
        <is>
          <t>1.5</t>
        </is>
      </c>
      <c r="E44" t="inlineStr">
        <is>
          <t>2.5</t>
        </is>
      </c>
      <c r="F44" t="inlineStr">
        <is>
          <t>Armor</t>
        </is>
      </c>
      <c r="G44" t="inlineStr">
        <is>
          <t>Assets/MachineBrigade/Scripts/Game/Match/GearCatalog.cs:379 (Traits[19])</t>
        </is>
      </c>
      <c r="H44" t="inlineStr">
        <is>
          <t>{"id":"Unbreakable","slot":"Armor","branches":"Any","epic":[1.5],"legendary":[2.5]}</t>
        </is>
      </c>
    </row>
    <row r="45">
      <c r="A45" t="inlineStr">
        <is>
          <t>Vengeance</t>
        </is>
      </c>
      <c r="B45" t="inlineStr">
        <is>
          <t>Trả thù</t>
        </is>
      </c>
      <c r="C45" t="inlineStr">
        <is>
          <t>Armed</t>
        </is>
      </c>
      <c r="D45" t="inlineStr">
        <is>
          <t>0.15;15;5</t>
        </is>
      </c>
      <c r="E45" t="inlineStr">
        <is>
          <t>0.2;15;5</t>
        </is>
      </c>
      <c r="F45" t="inlineStr">
        <is>
          <t>Loader</t>
        </is>
      </c>
      <c r="G45" t="inlineStr">
        <is>
          <t>Assets/MachineBrigade/Scripts/Game/Match/GearCatalog.cs:376 (Traits[17])</t>
        </is>
      </c>
      <c r="H45" t="inlineStr">
        <is>
          <t>{"id":"Vengeance","slot":"Loader","branches":"Armed","epic":[0.15,15,5],"legendary":[0.2,15,5]}</t>
        </is>
      </c>
    </row>
    <row r="46">
      <c r="A46" t="inlineStr">
        <is>
          <t>VolatileFuelTanks</t>
        </is>
      </c>
      <c r="B46" t="inlineStr">
        <is>
          <t>Bình xăng dễ nổ</t>
        </is>
      </c>
      <c r="C46" t="inlineStr">
        <is>
          <t>Any</t>
        </is>
      </c>
      <c r="D46" t="inlineStr">
        <is>
          <t>0.3;8</t>
        </is>
      </c>
      <c r="E46" t="inlineStr">
        <is>
          <t>0.45;10</t>
        </is>
      </c>
      <c r="F46" t="inlineStr">
        <is>
          <t>Engine</t>
        </is>
      </c>
      <c r="G46" t="inlineStr">
        <is>
          <t>Assets/MachineBrigade/Scripts/Game/Match/GearCatalog.cs:391 (Traits[30])</t>
        </is>
      </c>
      <c r="H46" t="inlineStr">
        <is>
          <t>{"id":"VolatileFuelTanks","slot":"Engine","branches":"Any","epic":[0.3,8],"legendary":[0.45,10]}</t>
        </is>
      </c>
    </row>
  </sheetData>
  <autoFilter ref="A1:H4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21" customWidth="1" min="3" max="3"/>
    <col width="26" customWidth="1" min="4" max="4"/>
    <col width="8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slots</t>
        </is>
      </c>
      <c r="D1" s="1" t="inlineStr">
        <is>
          <t>values</t>
        </is>
      </c>
      <c r="E1" s="1" t="inlineStr">
        <is>
          <t>weight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CaptureRate</t>
        </is>
      </c>
      <c r="B2" t="inlineStr"/>
      <c r="C2" t="inlineStr">
        <is>
          <t>Engine;Optics</t>
        </is>
      </c>
      <c r="D2" t="inlineStr">
        <is>
          <t>0.05;0.08;0.1;0.12</t>
        </is>
      </c>
      <c r="F2" t="inlineStr">
        <is>
          <t>Assets/MachineBrigade/Scripts/Game/Match/GearCatalog.cs:433 (Subs[20])</t>
        </is>
      </c>
      <c r="G2" t="inlineStr">
        <is>
          <t>{"stat":"CaptureRate","values":[0.05,0.08,0.1,0.12],"slots":["Engine","Optics"]}</t>
        </is>
      </c>
    </row>
    <row r="3">
      <c r="A3" t="inlineStr">
        <is>
          <t>Cooldowns</t>
        </is>
      </c>
      <c r="B3" t="inlineStr"/>
      <c r="C3" t="inlineStr">
        <is>
          <t>Repair;Optics</t>
        </is>
      </c>
      <c r="D3" t="inlineStr">
        <is>
          <t>0.03;0.05;0.07;0.09</t>
        </is>
      </c>
      <c r="F3" t="inlineStr">
        <is>
          <t>Assets/MachineBrigade/Scripts/Game/Match/GearCatalog.cs:434 (Subs[21])</t>
        </is>
      </c>
      <c r="G3" t="inlineStr">
        <is>
          <t>{"stat":"Cooldowns","values":[0.03,0.05,0.07,0.09],"slots":["Repair","Optics"]}</t>
        </is>
      </c>
    </row>
    <row r="4">
      <c r="A4" t="inlineStr">
        <is>
          <t>Damage</t>
        </is>
      </c>
      <c r="B4" t="inlineStr"/>
      <c r="C4" t="inlineStr">
        <is>
          <t>Loader;Optics</t>
        </is>
      </c>
      <c r="D4" t="inlineStr">
        <is>
          <t>0.015;0.02;0.03;0.04</t>
        </is>
      </c>
      <c r="F4" t="inlineStr">
        <is>
          <t>Assets/MachineBrigade/Scripts/Game/Match/GearCatalog.cs:418 (Subs[5])</t>
        </is>
      </c>
      <c r="G4" t="inlineStr">
        <is>
          <t>{"stat":"Damage","values":[0.015,0.02,0.03,0.04],"slots":["Loader","Optics"]}</t>
        </is>
      </c>
    </row>
    <row r="5">
      <c r="A5" t="inlineStr">
        <is>
          <t>DamageVsAir</t>
        </is>
      </c>
      <c r="B5" t="inlineStr"/>
      <c r="C5" t="inlineStr">
        <is>
          <t>Weapon;Loader;Optics</t>
        </is>
      </c>
      <c r="D5" t="inlineStr">
        <is>
          <t>0.04;0.05;0.06;0.08</t>
        </is>
      </c>
      <c r="F5" t="inlineStr">
        <is>
          <t>Assets/MachineBrigade/Scripts/Game/Match/GearCatalog.cs:415 (Subs[2])</t>
        </is>
      </c>
      <c r="G5" t="inlineStr">
        <is>
          <t>{"stat":"DamageVsAir","values":[0.04,0.05,0.06,0.08],"slots":["Weapon","Loader","Optics"]}</t>
        </is>
      </c>
    </row>
    <row r="6">
      <c r="A6" t="inlineStr">
        <is>
          <t>DamageVsHeavy</t>
        </is>
      </c>
      <c r="B6" t="inlineStr"/>
      <c r="C6" t="inlineStr">
        <is>
          <t>Weapon;Loader;Optics</t>
        </is>
      </c>
      <c r="D6" t="inlineStr">
        <is>
          <t>0.03;0.04;0.05;0.06</t>
        </is>
      </c>
      <c r="F6" t="inlineStr">
        <is>
          <t>Assets/MachineBrigade/Scripts/Game/Match/GearCatalog.cs:414 (Subs[1])</t>
        </is>
      </c>
      <c r="G6" t="inlineStr">
        <is>
          <t>{"stat":"DamageVsHeavy","values":[0.03,0.04,0.05,0.06],"slots":["Weapon","Loader","Optics"]}</t>
        </is>
      </c>
    </row>
    <row r="7">
      <c r="A7" t="inlineStr">
        <is>
          <t>DamageVsLight</t>
        </is>
      </c>
      <c r="B7" t="inlineStr"/>
      <c r="C7" t="inlineStr">
        <is>
          <t>Weapon;Loader;Optics</t>
        </is>
      </c>
      <c r="D7" t="inlineStr">
        <is>
          <t>0.03;0.04;0.05;0.06</t>
        </is>
      </c>
      <c r="F7" t="inlineStr">
        <is>
          <t>Assets/MachineBrigade/Scripts/Game/Match/GearCatalog.cs:413 (Subs[0])</t>
        </is>
      </c>
      <c r="G7" t="inlineStr">
        <is>
          <t>{"stat":"DamageVsLight","values":[0.03,0.04,0.05,0.06],"slots":["Weapon","Loader","Optics"]}</t>
        </is>
      </c>
    </row>
    <row r="8">
      <c r="A8" t="inlineStr">
        <is>
          <t>DamageVsStructure</t>
        </is>
      </c>
      <c r="B8" t="inlineStr"/>
      <c r="C8" t="inlineStr">
        <is>
          <t>Weapon;Loader</t>
        </is>
      </c>
      <c r="D8" t="inlineStr">
        <is>
          <t>0.04;0.06;0.08;0.1</t>
        </is>
      </c>
      <c r="F8" t="inlineStr">
        <is>
          <t>Assets/MachineBrigade/Scripts/Game/Match/GearCatalog.cs:416 (Subs[3])</t>
        </is>
      </c>
      <c r="G8" t="inlineStr">
        <is>
          <t>{"stat":"DamageVsStructure","values":[0.04,0.06,0.08,0.1],"slots":["Weapon","Loader"]}</t>
        </is>
      </c>
    </row>
    <row r="9">
      <c r="A9" t="inlineStr">
        <is>
          <t>FireRate</t>
        </is>
      </c>
      <c r="B9" t="inlineStr"/>
      <c r="C9" t="inlineStr">
        <is>
          <t>Weapon</t>
        </is>
      </c>
      <c r="D9" t="inlineStr">
        <is>
          <t>0.015;0.02;0.03;0.04</t>
        </is>
      </c>
      <c r="F9" t="inlineStr">
        <is>
          <t>Assets/MachineBrigade/Scripts/Game/Match/GearCatalog.cs:417 (Subs[4])</t>
        </is>
      </c>
      <c r="G9" t="inlineStr">
        <is>
          <t>{"stat":"FireRate","values":[0.015,0.02,0.03,0.04],"slots":["Weapon"]}</t>
        </is>
      </c>
    </row>
    <row r="10">
      <c r="A10" t="inlineStr">
        <is>
          <t>Health</t>
        </is>
      </c>
      <c r="B10" t="inlineStr"/>
      <c r="C10" t="inlineStr">
        <is>
          <t>Armor;Repair;Engine</t>
        </is>
      </c>
      <c r="D10" t="inlineStr">
        <is>
          <t>0.02;0.03;0.04;0.05</t>
        </is>
      </c>
      <c r="F10" t="inlineStr">
        <is>
          <t>Assets/MachineBrigade/Scripts/Game/Match/GearCatalog.cs:425 (Subs[12])</t>
        </is>
      </c>
      <c r="G10" t="inlineStr">
        <is>
          <t>{"stat":"Health","values":[0.02,0.03,0.04,0.05],"slots":["Armor","Repair","Engine"]}</t>
        </is>
      </c>
    </row>
    <row r="11">
      <c r="A11" t="inlineStr">
        <is>
          <t>Magazine</t>
        </is>
      </c>
      <c r="B11" t="inlineStr"/>
      <c r="C11" t="inlineStr">
        <is>
          <t>Loader</t>
        </is>
      </c>
      <c r="D11" t="inlineStr">
        <is>
          <t>0.05;0.08;0.1;0.12</t>
        </is>
      </c>
      <c r="F11" t="inlineStr">
        <is>
          <t>Assets/MachineBrigade/Scripts/Game/Match/GearCatalog.cs:423 (Subs[10])</t>
        </is>
      </c>
      <c r="G11" t="inlineStr">
        <is>
          <t>{"stat":"Magazine","values":[0.05,0.08,0.1,0.12],"slots":["Loader"]}</t>
        </is>
      </c>
    </row>
    <row r="12">
      <c r="A12" t="inlineStr">
        <is>
          <t>MagazineReload</t>
        </is>
      </c>
      <c r="B12" t="inlineStr"/>
      <c r="C12" t="inlineStr">
        <is>
          <t>Loader;Repair</t>
        </is>
      </c>
      <c r="D12" t="inlineStr">
        <is>
          <t>0.04;0.06;0.08;0.1</t>
        </is>
      </c>
      <c r="F12" t="inlineStr">
        <is>
          <t>Assets/MachineBrigade/Scripts/Game/Match/GearCatalog.cs:424 (Subs[11])</t>
        </is>
      </c>
      <c r="G12" t="inlineStr">
        <is>
          <t>{"stat":"MagazineReload","values":[0.04,0.06,0.08,0.1],"slots":["Loader","Repair"]}</t>
        </is>
      </c>
    </row>
    <row r="13">
      <c r="A13" t="inlineStr">
        <is>
          <t>ProjectileSpeed</t>
        </is>
      </c>
      <c r="B13" t="inlineStr"/>
      <c r="C13" t="inlineStr">
        <is>
          <t>Weapon;Loader</t>
        </is>
      </c>
      <c r="D13" t="inlineStr">
        <is>
          <t>0.04;0.06;0.08;0.1</t>
        </is>
      </c>
      <c r="F13" t="inlineStr">
        <is>
          <t>Assets/MachineBrigade/Scripts/Game/Match/GearCatalog.cs:422 (Subs[9])</t>
        </is>
      </c>
      <c r="G13" t="inlineStr">
        <is>
          <t>{"stat":"ProjectileSpeed","values":[0.04,0.06,0.08,0.1],"slots":["Weapon","Loader"]}</t>
        </is>
      </c>
    </row>
    <row r="14">
      <c r="A14" t="inlineStr">
        <is>
          <t>Range</t>
        </is>
      </c>
      <c r="B14" t="inlineStr"/>
      <c r="C14" t="inlineStr">
        <is>
          <t>Weapon;Optics</t>
        </is>
      </c>
      <c r="D14" t="inlineStr">
        <is>
          <t>0.02;0.025;0.03;0.04</t>
        </is>
      </c>
      <c r="F14" t="inlineStr">
        <is>
          <t>Assets/MachineBrigade/Scripts/Game/Match/GearCatalog.cs:419 (Subs[6])</t>
        </is>
      </c>
      <c r="G14" t="inlineStr">
        <is>
          <t>{"stat":"Range","values":[0.02,0.025,0.03,0.04],"slots":["Weapon","Optics"]}</t>
        </is>
      </c>
    </row>
    <row r="15">
      <c r="A15" t="inlineStr">
        <is>
          <t>Regen</t>
        </is>
      </c>
      <c r="B15" t="inlineStr"/>
      <c r="C15" t="inlineStr">
        <is>
          <t>Repair;Armor</t>
        </is>
      </c>
      <c r="D15" t="inlineStr">
        <is>
          <t>0.001;0.0015;0.002;0.0025</t>
        </is>
      </c>
      <c r="F15" t="inlineStr">
        <is>
          <t>Assets/MachineBrigade/Scripts/Game/Match/GearCatalog.cs:435 (Subs[22])</t>
        </is>
      </c>
      <c r="G15" t="inlineStr">
        <is>
          <t>{"stat":"Regen","values":[0.001,0.0015,0.002,0.0025],"slots":["Repair","Armor"]}</t>
        </is>
      </c>
    </row>
    <row r="16">
      <c r="A16" t="inlineStr">
        <is>
          <t>ResistFire</t>
        </is>
      </c>
      <c r="B16" t="inlineStr"/>
      <c r="C16" t="inlineStr">
        <is>
          <t>Armor</t>
        </is>
      </c>
      <c r="D16" t="inlineStr">
        <is>
          <t>0.03;0.04;0.06;0.08</t>
        </is>
      </c>
      <c r="E16" t="n">
        <v>0.2</v>
      </c>
      <c r="F16" t="inlineStr">
        <is>
          <t>Assets/MachineBrigade/Scripts/Game/Match/GearCatalog.cs:429 (Subs[16])</t>
        </is>
      </c>
      <c r="G16" t="inlineStr">
        <is>
          <t>{"stat":"ResistFire","values":[0.03,0.04,0.06,0.08],"slots":["Armor"],"weight":0.2}</t>
        </is>
      </c>
    </row>
    <row r="17">
      <c r="A17" t="inlineStr">
        <is>
          <t>ResistFragmentation</t>
        </is>
      </c>
      <c r="B17" t="inlineStr"/>
      <c r="C17" t="inlineStr">
        <is>
          <t>Armor</t>
        </is>
      </c>
      <c r="D17" t="inlineStr">
        <is>
          <t>0.03;0.04;0.06;0.08</t>
        </is>
      </c>
      <c r="E17" t="n">
        <v>0.2</v>
      </c>
      <c r="F17" t="inlineStr">
        <is>
          <t>Assets/MachineBrigade/Scripts/Game/Match/GearCatalog.cs:430 (Subs[17])</t>
        </is>
      </c>
      <c r="G17" t="inlineStr">
        <is>
          <t>{"stat":"ResistFragmentation","values":[0.03,0.04,0.06,0.08],"slots":["Armor"],"weight":0.2}</t>
        </is>
      </c>
    </row>
    <row r="18">
      <c r="A18" t="inlineStr">
        <is>
          <t>ResistHighExplosive</t>
        </is>
      </c>
      <c r="B18" t="inlineStr"/>
      <c r="C18" t="inlineStr">
        <is>
          <t>Armor</t>
        </is>
      </c>
      <c r="D18" t="inlineStr">
        <is>
          <t>0.03;0.04;0.06;0.08</t>
        </is>
      </c>
      <c r="E18" t="n">
        <v>0.2</v>
      </c>
      <c r="F18" t="inlineStr">
        <is>
          <t>Assets/MachineBrigade/Scripts/Game/Match/GearCatalog.cs:428 (Subs[15])</t>
        </is>
      </c>
      <c r="G18" t="inlineStr">
        <is>
          <t>{"stat":"ResistHighExplosive","values":[0.03,0.04,0.06,0.08],"slots":["Armor"],"weight":0.2}</t>
        </is>
      </c>
    </row>
    <row r="19">
      <c r="A19" t="inlineStr">
        <is>
          <t>ResistKinetic</t>
        </is>
      </c>
      <c r="B19" t="inlineStr"/>
      <c r="C19" t="inlineStr">
        <is>
          <t>Armor</t>
        </is>
      </c>
      <c r="D19" t="inlineStr">
        <is>
          <t>0.03;0.04;0.06;0.08</t>
        </is>
      </c>
      <c r="E19" t="n">
        <v>0.2</v>
      </c>
      <c r="F19" t="inlineStr">
        <is>
          <t>Assets/MachineBrigade/Scripts/Game/Match/GearCatalog.cs:426 (Subs[13])</t>
        </is>
      </c>
      <c r="G19" t="inlineStr">
        <is>
          <t>{"stat":"ResistKinetic","values":[0.03,0.04,0.06,0.08],"slots":["Armor"],"weight":0.2}</t>
        </is>
      </c>
    </row>
    <row r="20">
      <c r="A20" t="inlineStr">
        <is>
          <t>ResistShapedCharge</t>
        </is>
      </c>
      <c r="B20" t="inlineStr"/>
      <c r="C20" t="inlineStr">
        <is>
          <t>Armor</t>
        </is>
      </c>
      <c r="D20" t="inlineStr">
        <is>
          <t>0.03;0.04;0.06;0.08</t>
        </is>
      </c>
      <c r="E20" t="n">
        <v>0.2</v>
      </c>
      <c r="F20" t="inlineStr">
        <is>
          <t>Assets/MachineBrigade/Scripts/Game/Match/GearCatalog.cs:427 (Subs[14])</t>
        </is>
      </c>
      <c r="G20" t="inlineStr">
        <is>
          <t>{"stat":"ResistShapedCharge","values":[0.03,0.04,0.06,0.08],"slots":["Armor"],"weight":0.2}</t>
        </is>
      </c>
    </row>
    <row r="21">
      <c r="A21" t="inlineStr">
        <is>
          <t>Speed</t>
        </is>
      </c>
      <c r="B21" t="inlineStr"/>
      <c r="C21" t="inlineStr">
        <is>
          <t>Engine;Armor</t>
        </is>
      </c>
      <c r="D21" t="inlineStr">
        <is>
          <t>0.015;0.02;0.03;0.04</t>
        </is>
      </c>
      <c r="F21" t="inlineStr">
        <is>
          <t>Assets/MachineBrigade/Scripts/Game/Match/GearCatalog.cs:431 (Subs[18])</t>
        </is>
      </c>
      <c r="G21" t="inlineStr">
        <is>
          <t>{"stat":"Speed","values":[0.015,0.02,0.03,0.04],"slots":["Engine","Armor"]}</t>
        </is>
      </c>
    </row>
    <row r="22">
      <c r="A22" t="inlineStr">
        <is>
          <t>Spread</t>
        </is>
      </c>
      <c r="B22" t="inlineStr"/>
      <c r="C22" t="inlineStr">
        <is>
          <t>Weapon;Optics</t>
        </is>
      </c>
      <c r="D22" t="inlineStr">
        <is>
          <t>0.04;0.06;0.08;0.1</t>
        </is>
      </c>
      <c r="F22" t="inlineStr">
        <is>
          <t>Assets/MachineBrigade/Scripts/Game/Match/GearCatalog.cs:421 (Subs[8])</t>
        </is>
      </c>
      <c r="G22" t="inlineStr">
        <is>
          <t>{"stat":"Spread","values":[0.04,0.06,0.08,0.1],"slots":["Weapon","Optics"]}</t>
        </is>
      </c>
    </row>
    <row r="23">
      <c r="A23" t="inlineStr">
        <is>
          <t>TurretRate</t>
        </is>
      </c>
      <c r="B23" t="inlineStr"/>
      <c r="C23" t="inlineStr">
        <is>
          <t>Engine;Optics</t>
        </is>
      </c>
      <c r="D23" t="inlineStr">
        <is>
          <t>0.05;0.08;0.1;0.12</t>
        </is>
      </c>
      <c r="F23" t="inlineStr">
        <is>
          <t>Assets/MachineBrigade/Scripts/Game/Match/GearCatalog.cs:432 (Subs[19])</t>
        </is>
      </c>
      <c r="G23" t="inlineStr">
        <is>
          <t>{"stat":"TurretRate","values":[0.05,0.08,0.1,0.12],"slots":["Engine","Optics"]}</t>
        </is>
      </c>
    </row>
    <row r="24">
      <c r="A24" t="inlineStr">
        <is>
          <t>Vision</t>
        </is>
      </c>
      <c r="B24" t="inlineStr"/>
      <c r="C24" t="inlineStr">
        <is>
          <t>Optics;Engine</t>
        </is>
      </c>
      <c r="D24" t="inlineStr">
        <is>
          <t>0.03;0.04;0.05;0.06</t>
        </is>
      </c>
      <c r="F24" t="inlineStr">
        <is>
          <t>Assets/MachineBrigade/Scripts/Game/Match/GearCatalog.cs:420 (Subs[7])</t>
        </is>
      </c>
      <c r="G24" t="inlineStr">
        <is>
          <t>{"stat":"Vision","values":[0.03,0.04,0.05,0.06],"slots":["Optics","Engine"]}</t>
        </is>
      </c>
    </row>
  </sheetData>
  <autoFilter ref="A1:G2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17" customWidth="1" min="4" max="4"/>
    <col width="17" customWidth="1" min="5" max="5"/>
    <col width="17" customWidth="1" min="6" max="6"/>
    <col width="13" customWidth="1" min="7" max="7"/>
    <col width="20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8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four_piece_arg0</t>
        </is>
      </c>
      <c r="D1" s="1" t="inlineStr">
        <is>
          <t>four_piece_arg1</t>
        </is>
      </c>
      <c r="E1" s="1" t="inlineStr">
        <is>
          <t>four_piece_arg2</t>
        </is>
      </c>
      <c r="F1" s="1" t="inlineStr">
        <is>
          <t>four_piece_arg3</t>
        </is>
      </c>
      <c r="G1" s="1" t="inlineStr">
        <is>
          <t>index</t>
        </is>
      </c>
      <c r="H1" s="1" t="inlineStr">
        <is>
          <t>stat</t>
        </is>
      </c>
      <c r="I1" s="1" t="inlineStr">
        <is>
          <t>tower_only</t>
        </is>
      </c>
      <c r="J1" s="1" t="inlineStr">
        <is>
          <t>two_piece_arg0</t>
        </is>
      </c>
      <c r="K1" s="1" t="inlineStr">
        <is>
          <t>two_piece_arg1</t>
        </is>
      </c>
      <c r="L1" s="1" t="inlineStr">
        <is>
          <t>two_piece_arg2</t>
        </is>
      </c>
      <c r="M1" s="1" t="inlineStr">
        <is>
          <t>two_piece_arg3</t>
        </is>
      </c>
      <c r="N1" s="1" t="inlineStr">
        <is>
          <t>value</t>
        </is>
      </c>
      <c r="O1" s="1" t="inlineStr">
        <is>
          <t>nguon</t>
        </is>
      </c>
      <c r="P1" s="1" t="inlineStr">
        <is>
          <t>raw_json</t>
        </is>
      </c>
    </row>
    <row r="2">
      <c r="A2" t="inlineStr">
        <is>
          <t>aegis</t>
        </is>
      </c>
      <c r="B2" t="inlineStr"/>
      <c r="C2" t="inlineStr">
        <is>
          <t>SetSharedShield</t>
        </is>
      </c>
      <c r="D2" t="n">
        <v>0.12</v>
      </c>
      <c r="E2" t="n">
        <v>25</v>
      </c>
      <c r="F2" t="n">
        <v>12</v>
      </c>
      <c r="G2" t="n">
        <v>5</v>
      </c>
      <c r="H2" t="inlineStr">
        <is>
          <t>DamageTaken</t>
        </is>
      </c>
      <c r="N2" t="n">
        <v>0.05</v>
      </c>
      <c r="O2" t="inlineStr">
        <is>
          <t>Assets/MachineBrigade/Scripts/Game/Match/GearCatalog.cs:447 (Brands[4])</t>
        </is>
      </c>
      <c r="P2" t="inlineStr">
        <is>
          <t>{"index":5,"id":"aegis","stat":"DamageTaken","value":0.05,"fourPiece":{"arg0":"SetSharedShield","arg1":0.12,"arg2":25,"arg3":12}}</t>
        </is>
      </c>
    </row>
    <row r="3">
      <c r="A3" t="inlineStr">
        <is>
          <t>bulwark</t>
        </is>
      </c>
      <c r="B3" t="inlineStr"/>
      <c r="C3" t="inlineStr">
        <is>
          <t>SetBulwarkPost</t>
        </is>
      </c>
      <c r="D3" t="n">
        <v>20</v>
      </c>
      <c r="G3" t="inlineStr">
        <is>
          <t>BulwarkBrand</t>
        </is>
      </c>
      <c r="H3" t="inlineStr">
        <is>
          <t>Health</t>
        </is>
      </c>
      <c r="I3" t="b">
        <v>1</v>
      </c>
      <c r="N3" t="n">
        <v>0.1</v>
      </c>
      <c r="O3" t="inlineStr">
        <is>
          <t>Assets/MachineBrigade/Scripts/Game/Match/GearCatalog.cs:457 (Brands[12])</t>
        </is>
      </c>
      <c r="P3" t="inlineStr">
        <is>
          <t>{"index":"BulwarkBrand","id":"bulwark","stat":"Health","value":0.1,"fourPiece":{"arg0":"SetBulwarkPost","arg1":20},"TowerOnly":true}</t>
        </is>
      </c>
    </row>
    <row r="4">
      <c r="A4" t="inlineStr">
        <is>
          <t>hammerfall</t>
        </is>
      </c>
      <c r="B4" t="inlineStr"/>
      <c r="C4" t="inlineStr">
        <is>
          <t>SetHeavyRound</t>
        </is>
      </c>
      <c r="D4" t="n">
        <v>5</v>
      </c>
      <c r="E4" t="n">
        <v>1</v>
      </c>
      <c r="G4" t="n">
        <v>10</v>
      </c>
      <c r="H4" t="inlineStr">
        <is>
          <t>DamageVsStructure</t>
        </is>
      </c>
      <c r="N4" t="n">
        <v>0.08</v>
      </c>
      <c r="O4" t="inlineStr">
        <is>
          <t>Assets/MachineBrigade/Scripts/Game/Match/GearCatalog.cs:452 (Brands[9])</t>
        </is>
      </c>
      <c r="P4" t="inlineStr">
        <is>
          <t>{"index":10,"id":"hammerfall","stat":"DamageVsStructure","value":0.08,"fourPiece":{"arg0":"SetHeavyRound","arg1":5,"arg2":1}}</t>
        </is>
      </c>
    </row>
    <row r="5">
      <c r="A5" t="inlineStr">
        <is>
          <t>hivemind</t>
        </is>
      </c>
      <c r="B5" t="inlineStr"/>
      <c r="C5" t="inlineStr">
        <is>
          <t>SetSwarm</t>
        </is>
      </c>
      <c r="D5" t="n">
        <v>10</v>
      </c>
      <c r="G5" t="n">
        <v>7</v>
      </c>
      <c r="H5" t="inlineStr">
        <is>
          <t>SummonPower</t>
        </is>
      </c>
      <c r="N5" t="n">
        <v>0.15</v>
      </c>
      <c r="O5" t="inlineStr">
        <is>
          <t>Assets/MachineBrigade/Scripts/Game/Match/GearCatalog.cs:449 (Brands[6])</t>
        </is>
      </c>
      <c r="P5" t="inlineStr">
        <is>
          <t>{"index":7,"id":"hivemind","stat":"SummonPower","value":0.15,"fourPiece":{"arg0":"SetSwarm","arg1":10}}</t>
        </is>
      </c>
    </row>
    <row r="6">
      <c r="A6" t="inlineStr">
        <is>
          <t>ironclad</t>
        </is>
      </c>
      <c r="B6" t="inlineStr"/>
      <c r="C6" t="inlineStr">
        <is>
          <t>SetBulwark</t>
        </is>
      </c>
      <c r="D6" t="n">
        <v>0.15</v>
      </c>
      <c r="G6" t="n">
        <v>1</v>
      </c>
      <c r="H6" t="inlineStr">
        <is>
          <t>Health</t>
        </is>
      </c>
      <c r="N6" t="n">
        <v>0.06</v>
      </c>
      <c r="O6" t="inlineStr">
        <is>
          <t>Assets/MachineBrigade/Scripts/Game/Match/GearCatalog.cs:443 (Brands[0])</t>
        </is>
      </c>
      <c r="P6" t="inlineStr">
        <is>
          <t>{"index":1,"id":"ironclad","stat":"Health","value":0.06,"fourPiece":{"arg0":"SetBulwark","arg1":0.15}}</t>
        </is>
      </c>
    </row>
    <row r="7">
      <c r="A7" t="inlineStr">
        <is>
          <t>kestrel</t>
        </is>
      </c>
      <c r="B7" t="inlineStr"/>
      <c r="C7" t="inlineStr">
        <is>
          <t>SetHitAndRun</t>
        </is>
      </c>
      <c r="D7" t="n">
        <v>0.2</v>
      </c>
      <c r="E7" t="n">
        <v>0.5</v>
      </c>
      <c r="G7" t="n">
        <v>2</v>
      </c>
      <c r="H7" t="inlineStr">
        <is>
          <t>Speed</t>
        </is>
      </c>
      <c r="N7" t="n">
        <v>0.05</v>
      </c>
      <c r="O7" t="inlineStr">
        <is>
          <t>Assets/MachineBrigade/Scripts/Game/Match/GearCatalog.cs:444 (Brands[1])</t>
        </is>
      </c>
      <c r="P7" t="inlineStr">
        <is>
          <t>{"index":2,"id":"kestrel","stat":"Speed","value":0.05,"fourPiece":{"arg0":"SetHitAndRun","arg1":0.2,"arg2":0.5}}</t>
        </is>
      </c>
    </row>
    <row r="8">
      <c r="A8" t="inlineStr">
        <is>
          <t>longbow</t>
        </is>
      </c>
      <c r="B8" t="inlineStr"/>
      <c r="C8" t="inlineStr">
        <is>
          <t>SetDeepStrike</t>
        </is>
      </c>
      <c r="D8" t="n">
        <v>0.15</v>
      </c>
      <c r="G8" t="n">
        <v>4</v>
      </c>
      <c r="H8" t="inlineStr">
        <is>
          <t>Range</t>
        </is>
      </c>
      <c r="N8" t="n">
        <v>0.05</v>
      </c>
      <c r="O8" t="inlineStr">
        <is>
          <t>Assets/MachineBrigade/Scripts/Game/Match/GearCatalog.cs:446 (Brands[3])</t>
        </is>
      </c>
      <c r="P8" t="inlineStr">
        <is>
          <t>{"index":4,"id":"longbow","stat":"Range","value":0.05,"fourPiece":{"arg0":"SetDeepStrike","arg1":0.15}}</t>
        </is>
      </c>
    </row>
    <row r="9">
      <c r="A9" t="inlineStr">
        <is>
          <t>phoenix</t>
        </is>
      </c>
      <c r="B9" t="inlineStr"/>
      <c r="C9" t="inlineStr">
        <is>
          <t>SetPhoenix</t>
        </is>
      </c>
      <c r="D9" t="n">
        <v>0.1</v>
      </c>
      <c r="E9" t="n">
        <v>8</v>
      </c>
      <c r="G9" t="n">
        <v>11</v>
      </c>
      <c r="H9" t="inlineStr">
        <is>
          <t>RepairReceived</t>
        </is>
      </c>
      <c r="N9" t="n">
        <v>0.1</v>
      </c>
      <c r="O9" t="inlineStr">
        <is>
          <t>Assets/MachineBrigade/Scripts/Game/Match/GearCatalog.cs:454 (Brands[10])</t>
        </is>
      </c>
      <c r="P9" t="inlineStr">
        <is>
          <t>{"index":11,"id":"phoenix","stat":"RepairReceived","value":0.1,"fourPiece":{"arg0":"SetPhoenix","arg1":0.1,"arg2":8}}</t>
        </is>
      </c>
    </row>
    <row r="10">
      <c r="A10" t="inlineStr">
        <is>
          <t>quartermaster</t>
        </is>
      </c>
      <c r="B10" t="inlineStr"/>
      <c r="C10" t="inlineStr">
        <is>
          <t>SetSalvageRights</t>
        </is>
      </c>
      <c r="D10" t="n">
        <v>0.2</v>
      </c>
      <c r="E10" t="n">
        <v>0.1</v>
      </c>
      <c r="G10" t="n">
        <v>8</v>
      </c>
      <c r="H10" t="inlineStr">
        <is>
          <t>RepairReceived</t>
        </is>
      </c>
      <c r="N10" t="n">
        <v>0.1</v>
      </c>
      <c r="O10" t="inlineStr">
        <is>
          <t>Assets/MachineBrigade/Scripts/Game/Match/GearCatalog.cs:450 (Brands[7])</t>
        </is>
      </c>
      <c r="P10" t="inlineStr">
        <is>
          <t>{"index":8,"id":"quartermaster","stat":"RepairReceived","value":0.1,"fourPiece":{"arg0":"SetSalvageRights","arg1":0.2,"arg2":0.1}}</t>
        </is>
      </c>
    </row>
    <row r="11">
      <c r="A11" t="inlineStr">
        <is>
          <t>spectre</t>
        </is>
      </c>
      <c r="B11" t="inlineStr"/>
      <c r="C11" t="inlineStr">
        <is>
          <t>SetGhostNet</t>
        </is>
      </c>
      <c r="D11" t="n">
        <v>0.15</v>
      </c>
      <c r="G11" t="n">
        <v>9</v>
      </c>
      <c r="H11" t="inlineStr">
        <is>
          <t>Vision</t>
        </is>
      </c>
      <c r="N11" t="n">
        <v>0.08</v>
      </c>
      <c r="O11" t="inlineStr">
        <is>
          <t>Assets/MachineBrigade/Scripts/Game/Match/GearCatalog.cs:451 (Brands[8])</t>
        </is>
      </c>
      <c r="P11" t="inlineStr">
        <is>
          <t>{"index":9,"id":"spectre","stat":"Vision","value":0.08,"fourPiece":{"arg0":"SetGhostNet","arg1":0.15}}</t>
        </is>
      </c>
    </row>
    <row r="12">
      <c r="A12" t="inlineStr">
        <is>
          <t>stormfront</t>
        </is>
      </c>
      <c r="B12" t="inlineStr"/>
      <c r="C12" t="inlineStr">
        <is>
          <t>SetStrafingRun</t>
        </is>
      </c>
      <c r="D12" t="n">
        <v>4</v>
      </c>
      <c r="E12" t="n">
        <v>30</v>
      </c>
      <c r="G12" t="n">
        <v>6</v>
      </c>
      <c r="H12" t="inlineStr">
        <is>
          <t>ResistFragmentation</t>
        </is>
      </c>
      <c r="N12" t="n">
        <v>0.1</v>
      </c>
      <c r="O12" t="inlineStr">
        <is>
          <t>Assets/MachineBrigade/Scripts/Game/Match/GearCatalog.cs:448 (Brands[5])</t>
        </is>
      </c>
      <c r="P12" t="inlineStr">
        <is>
          <t>{"index":6,"id":"stormfront","stat":"ResistFragmentation","value":0.1,"fourPiece":{"arg0":"SetStrafingRun","arg1":4,"arg2":30}}</t>
        </is>
      </c>
    </row>
    <row r="13">
      <c r="A13" t="inlineStr">
        <is>
          <t>vulcan</t>
        </is>
      </c>
      <c r="B13" t="inlineStr"/>
      <c r="C13" t="inlineStr">
        <is>
          <t>SetFirestorm</t>
        </is>
      </c>
      <c r="D13" t="n">
        <v>0.1</v>
      </c>
      <c r="E13" t="n">
        <v>6</v>
      </c>
      <c r="G13" t="n">
        <v>3</v>
      </c>
      <c r="H13" t="inlineStr">
        <is>
          <t>BurnDamage</t>
        </is>
      </c>
      <c r="N13" t="n">
        <v>0.25</v>
      </c>
      <c r="O13" t="inlineStr">
        <is>
          <t>Assets/MachineBrigade/Scripts/Game/Match/GearCatalog.cs:445 (Brands[2])</t>
        </is>
      </c>
      <c r="P13" t="inlineStr">
        <is>
          <t>{"index":3,"id":"vulcan","stat":"BurnDamage","value":0.25,"fourPiece":{"arg0":"SetFirestorm","arg1":0.1,"arg2":6}}</t>
        </is>
      </c>
    </row>
    <row r="14">
      <c r="A14" t="inlineStr">
        <is>
          <t>wolfpack</t>
        </is>
      </c>
      <c r="B14" t="inlineStr"/>
      <c r="C14" t="inlineStr">
        <is>
          <t>SetPackFocus</t>
        </is>
      </c>
      <c r="D14" t="n">
        <v>0.15</v>
      </c>
      <c r="G14" t="n">
        <v>12</v>
      </c>
      <c r="H14" t="inlineStr">
        <is>
          <t>Count</t>
        </is>
      </c>
      <c r="J14" t="inlineStr">
        <is>
          <t>SetPackHunt</t>
        </is>
      </c>
      <c r="K14" t="n">
        <v>0.04</v>
      </c>
      <c r="L14" t="n">
        <v>15</v>
      </c>
      <c r="M14" t="n">
        <v>3</v>
      </c>
      <c r="N14" t="n">
        <v>0</v>
      </c>
      <c r="O14" t="inlineStr">
        <is>
          <t>Assets/MachineBrigade/Scripts/Game/Match/GearCatalog.cs:455 (Brands[11])</t>
        </is>
      </c>
      <c r="P14" t="inlineStr">
        <is>
          <t>{"index":12,"id":"wolfpack","stat":"Count","value":0,"fourPiece":{"arg0":"SetPackFocus","arg1":0.15},"TwoPiece":{"arg0":"SetPackHunt","arg1":0.04,"arg2":15,"arg3":3}}</t>
        </is>
      </c>
    </row>
  </sheetData>
  <autoFilter ref="A1:P1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7" customWidth="1" min="4" max="4"/>
    <col width="19" customWidth="1" min="5" max="5"/>
    <col width="9" customWidth="1" min="6" max="6"/>
    <col width="11" customWidth="1" min="7" max="7"/>
    <col width="12" customWidth="1" min="8" max="8"/>
    <col width="10" customWidth="1" min="9" max="9"/>
    <col width="14" customWidth="1" min="10" max="10"/>
    <col width="15" customWidth="1" min="11" max="11"/>
    <col width="15" customWidth="1" min="12" max="12"/>
    <col width="8" customWidth="1" min="13" max="13"/>
    <col width="9" customWidth="1" min="14" max="14"/>
    <col width="8" customWidth="1" min="15" max="15"/>
    <col width="12" customWidth="1" min="16" max="16"/>
    <col width="13" customWidth="1" min="17" max="17"/>
    <col width="13" customWidth="1" min="18" max="18"/>
    <col width="15" customWidth="1" min="19" max="19"/>
    <col width="18" customWidth="1" min="20" max="20"/>
    <col width="14" customWidth="1" min="21" max="21"/>
    <col width="10" customWidth="1" min="22" max="22"/>
    <col width="8" customWidth="1" min="23" max="23"/>
    <col width="9" customWidth="1" min="24" max="24"/>
    <col width="13" customWidth="1" min="25" max="25"/>
    <col width="15" customWidth="1" min="26" max="26"/>
    <col width="17" customWidth="1" min="27" max="27"/>
    <col width="10" customWidth="1" min="28" max="28"/>
    <col width="8" customWidth="1" min="29" max="29"/>
    <col width="8" customWidth="1" min="30" max="30"/>
    <col width="60" customWidth="1" min="31" max="31"/>
    <col width="60" customWidth="1" min="32" max="32"/>
  </cols>
  <sheetData>
    <row r="1">
      <c r="A1" s="1" t="inlineStr">
        <is>
          <t>id</t>
        </is>
      </c>
      <c r="B1" s="1" t="inlineStr">
        <is>
          <t>ho</t>
        </is>
      </c>
      <c r="C1" s="1" t="inlineStr">
        <is>
          <t>ten_vi</t>
        </is>
      </c>
      <c r="D1" s="1" t="inlineStr">
        <is>
          <t>khai_bao_qua</t>
        </is>
      </c>
      <c r="E1" s="1" t="inlineStr">
        <is>
          <t>commander_noi_tai</t>
        </is>
      </c>
      <c r="F1" s="1" t="inlineStr">
        <is>
          <t>air_cap</t>
        </is>
      </c>
      <c r="G1" s="1" t="inlineStr">
        <is>
          <t>air_rearm</t>
        </is>
      </c>
      <c r="H1" s="1" t="inlineStr">
        <is>
          <t>bank_bonus</t>
        </is>
      </c>
      <c r="I1" s="1" t="inlineStr">
        <is>
          <t>delivery</t>
        </is>
      </c>
      <c r="J1" s="1" t="inlineStr">
        <is>
          <t>early_income</t>
        </is>
      </c>
      <c r="K1" s="1" t="inlineStr">
        <is>
          <t>early_seconds</t>
        </is>
      </c>
      <c r="L1" s="1" t="inlineStr">
        <is>
          <t>exposed_taken</t>
        </is>
      </c>
      <c r="M1" s="1" t="inlineStr">
        <is>
          <t>family</t>
        </is>
      </c>
      <c r="N1" s="1" t="inlineStr">
        <is>
          <t>general</t>
        </is>
      </c>
      <c r="O1" s="1" t="inlineStr">
        <is>
          <t>income</t>
        </is>
      </c>
      <c r="P1" s="1" t="inlineStr">
        <is>
          <t>jam_resist</t>
        </is>
      </c>
      <c r="Q1" s="1" t="inlineStr">
        <is>
          <t>kill_refund</t>
        </is>
      </c>
      <c r="R1" s="1" t="inlineStr">
        <is>
          <t>loss_refund</t>
        </is>
      </c>
      <c r="S1" s="1" t="inlineStr">
        <is>
          <t>low_hp_damage</t>
        </is>
      </c>
      <c r="T1" s="1" t="inlineStr">
        <is>
          <t>no_points_income</t>
        </is>
      </c>
      <c r="U1" s="1" t="inlineStr">
        <is>
          <t>point_income</t>
        </is>
      </c>
      <c r="V1" s="1" t="inlineStr">
        <is>
          <t>portrait</t>
        </is>
      </c>
      <c r="W1" s="1" t="inlineStr">
        <is>
          <t>repair</t>
        </is>
      </c>
      <c r="X1" s="1" t="inlineStr">
        <is>
          <t>rich_at</t>
        </is>
      </c>
      <c r="Y1" s="1" t="inlineStr">
        <is>
          <t>rich_income</t>
        </is>
      </c>
      <c r="Z1" s="1" t="inlineStr">
        <is>
          <t>stealth_sight</t>
        </is>
      </c>
      <c r="AA1" s="1" t="inlineStr">
        <is>
          <t>strike_cooldown</t>
        </is>
      </c>
      <c r="AB1" s="1" t="inlineStr">
        <is>
          <t>style</t>
        </is>
      </c>
      <c r="AC1" s="1" t="inlineStr">
        <is>
          <t>supply</t>
        </is>
      </c>
      <c r="AD1" s="1" t="inlineStr">
        <is>
          <t>unlock</t>
        </is>
      </c>
      <c r="AE1" s="1" t="inlineStr">
        <is>
          <t>nguon</t>
        </is>
      </c>
      <c r="AF1" s="1" t="inlineStr">
        <is>
          <t>raw_json</t>
        </is>
      </c>
    </row>
    <row r="2">
      <c r="A2" t="inlineStr">
        <is>
          <t>adler</t>
        </is>
      </c>
      <c r="B2" t="inlineStr">
        <is>
          <t>Economy</t>
        </is>
      </c>
      <c r="C2" t="inlineStr">
        <is>
          <t>Đại úy {@adler}</t>
        </is>
      </c>
      <c r="D2" t="inlineStr">
        <is>
          <t>new CommanderDef</t>
        </is>
      </c>
      <c r="M2" t="inlineStr">
        <is>
          <t>Economy</t>
        </is>
      </c>
      <c r="T2" t="n">
        <v>0.95</v>
      </c>
      <c r="U2" t="n">
        <v>1.75</v>
      </c>
      <c r="V2" t="inlineStr">
        <is>
          <t>adler</t>
        </is>
      </c>
      <c r="AB2" t="inlineStr">
        <is>
          <t>Points</t>
        </is>
      </c>
      <c r="AD2" t="inlineStr">
        <is>
          <t>c4</t>
        </is>
      </c>
      <c r="AE2" t="inlineStr">
        <is>
          <t>Assets/MachineBrigade/Scripts/Sim/Content/Commanders.cs:107 (All[9])</t>
        </is>
      </c>
      <c r="AF2" t="inlineStr">
        <is>
          <t>{"Id":"adler","Family":"Economy","Portrait":"adler","Unlock":"c4","Style":"Points","PointIncome":1.75,"NoPointsIncome":0.95,"Lines":[{"stat":"CaptureRate","value":0.3,"reach":"Vehicles"}]}</t>
        </is>
      </c>
    </row>
    <row r="3">
      <c r="A3" t="inlineStr">
        <is>
          <t>brandt</t>
        </is>
      </c>
      <c r="B3" t="inlineStr">
        <is>
          <t>Combat</t>
        </is>
      </c>
      <c r="C3" t="inlineStr"/>
      <c r="D3" t="inlineStr">
        <is>
          <t>new CommanderDef</t>
        </is>
      </c>
      <c r="M3" t="inlineStr">
        <is>
          <t>Combat</t>
        </is>
      </c>
      <c r="V3" t="inlineStr">
        <is>
          <t>brandt</t>
        </is>
      </c>
      <c r="AB3" t="inlineStr">
        <is>
          <t>Fortress</t>
        </is>
      </c>
      <c r="AD3" t="inlineStr">
        <is>
          <t>c6</t>
        </is>
      </c>
      <c r="AE3" t="inlineStr">
        <is>
          <t>Assets/MachineBrigade/Scripts/Sim/Content/Commanders.cs:82 (All[6])</t>
        </is>
      </c>
      <c r="AF3" t="inlineStr">
        <is>
          <t>{"Id":"brandt","Family":"Combat","Portrait":"brandt","Unlock":"c6","Style":"Fortress","Prices":[{"reach":"AirdropTowers","scale":0.8}],"Lines":[{"stat":"Health","value":0.15,"reach":"Towers"},{"stat":"Damage","value":0.1,"reach":"Towers"},{"stat":"Speed","value":-0.05,"reach":"Vehicles"}]}</t>
        </is>
      </c>
    </row>
    <row r="4">
      <c r="A4" t="inlineStr">
        <is>
          <t>brenn</t>
        </is>
      </c>
      <c r="B4" t="inlineStr">
        <is>
          <t>Economy</t>
        </is>
      </c>
      <c r="C4" t="inlineStr">
        <is>
          <t>Thiếu tá {@brenn}</t>
        </is>
      </c>
      <c r="D4" t="inlineStr">
        <is>
          <t>new CommanderDef</t>
        </is>
      </c>
      <c r="M4" t="inlineStr">
        <is>
          <t>Economy</t>
        </is>
      </c>
      <c r="O4" t="n">
        <v>1.15</v>
      </c>
      <c r="V4" t="inlineStr">
        <is>
          <t>brenn</t>
        </is>
      </c>
      <c r="AB4" t="inlineStr">
        <is>
          <t>LongGame</t>
        </is>
      </c>
      <c r="AC4" t="n">
        <v>1.1</v>
      </c>
      <c r="AD4" t="inlineStr">
        <is>
          <t>i1</t>
        </is>
      </c>
      <c r="AE4" t="inlineStr">
        <is>
          <t>Assets/MachineBrigade/Scripts/Sim/Content/Commanders.cs:99 (All[8])</t>
        </is>
      </c>
      <c r="AF4" t="inlineStr">
        <is>
          <t>{"Id":"brenn","Family":"Economy","Portrait":"brenn","Unlock":"i1","Style":"LongGame","Income":1.15,"Supply":1.1,"Lines":[{"stat":"Damage","value":-0.05,"reach":"Army"}]}</t>
        </is>
      </c>
    </row>
    <row r="5">
      <c r="A5" t="inlineStr">
        <is>
          <t>dahl</t>
        </is>
      </c>
      <c r="B5" t="inlineStr">
        <is>
          <t>Combat</t>
        </is>
      </c>
      <c r="C5" t="inlineStr">
        <is>
          <t>Thiếu tá {@dahl}</t>
        </is>
      </c>
      <c r="D5" t="inlineStr">
        <is>
          <t>Combat</t>
        </is>
      </c>
      <c r="V5" t="inlineStr">
        <is>
          <t>dahl</t>
        </is>
      </c>
      <c r="AA5" t="n">
        <v>0.75</v>
      </c>
      <c r="AB5" t="inlineStr">
        <is>
          <t>Artillery</t>
        </is>
      </c>
      <c r="AD5" t="inlineStr">
        <is>
          <t>c7</t>
        </is>
      </c>
      <c r="AE5" t="inlineStr">
        <is>
          <t>Assets/MachineBrigade/Scripts/Sim/Content/Commanders.cs:93 (All[7])</t>
        </is>
      </c>
      <c r="AF5" t="inlineStr">
        <is>
          <t>{"_via":"Combat","id":"dahl","portrait":"dahl","unlock":"c7","style":"Artillery","lines":[{"stat":"Damage","value":0.15,"reach":"Artillery"},{"stat":"Range","value":0.1,"reach":"Artillery"},{"stat":"Health","value":0.25,"reach":"Artillery"},{"stat":"Damage","value":-0.1,"reach":"DirectFire"}],"StrikeCooldown":0.75}</t>
        </is>
      </c>
    </row>
    <row r="6">
      <c r="A6" t="inlineStr">
        <is>
          <t>gen.aurel</t>
        </is>
      </c>
      <c r="B6" t="inlineStr">
        <is>
          <t>General</t>
        </is>
      </c>
      <c r="C6" t="inlineStr"/>
      <c r="D6" t="inlineStr">
        <is>
          <t>Gen</t>
        </is>
      </c>
      <c r="N6" t="inlineStr">
        <is>
          <t>aurel</t>
        </is>
      </c>
      <c r="AE6" t="inlineStr">
        <is>
          <t>Assets/MachineBrigade/Scripts/Sim/Content/Commanders.cs:155 (Generals[7])</t>
        </is>
      </c>
      <c r="AF6" t="inlineStr">
        <is>
          <t>{"_via":"Gen","general":"aurel","lines":[{"stat":"Damage","value":0.15,"reach":"Energy"},{"stat":"Health","value":0.1,"reach":"Shielded"},{"stat":"Health","value":-0.05,"reach":"Light"}]}</t>
        </is>
      </c>
    </row>
    <row r="7">
      <c r="A7" t="inlineStr">
        <is>
          <t>gen.brandt</t>
        </is>
      </c>
      <c r="B7" t="inlineStr">
        <is>
          <t>General</t>
        </is>
      </c>
      <c r="C7" t="inlineStr"/>
      <c r="D7" t="inlineStr">
        <is>
          <t>Gen</t>
        </is>
      </c>
      <c r="N7" t="inlineStr">
        <is>
          <t>brandt</t>
        </is>
      </c>
      <c r="AE7" t="inlineStr">
        <is>
          <t>Assets/MachineBrigade/Scripts/Sim/Content/Commanders.cs:146 (Generals[0])</t>
        </is>
      </c>
      <c r="AF7" t="inlineStr">
        <is>
          <t>{"_via":"Gen","general":"brandt","lines":[{"stat":"Health","value":0.15,"reach":"Towers"},{"stat":"Speed","value":-0.05,"reach":"Vehicles"}]}</t>
        </is>
      </c>
    </row>
    <row r="8">
      <c r="A8" t="inlineStr">
        <is>
          <t>gen.hung</t>
        </is>
      </c>
      <c r="B8" t="inlineStr">
        <is>
          <t>General</t>
        </is>
      </c>
      <c r="C8" t="inlineStr"/>
      <c r="D8" t="inlineStr">
        <is>
          <t>Gen</t>
        </is>
      </c>
      <c r="N8" t="inlineStr">
        <is>
          <t>hung</t>
        </is>
      </c>
      <c r="S8" t="n">
        <v>1.1</v>
      </c>
      <c r="AE8" t="inlineStr">
        <is>
          <t>Assets/MachineBrigade/Scripts/Sim/Content/Commanders.cs:154 (Generals[6])</t>
        </is>
      </c>
      <c r="AF8" t="inlineStr">
        <is>
          <t>{"_via":"Gen","general":"hung","lines":[{"stat":"Damage","value":0.05,"reach":"Army"}],"LowHpDamage":1.1}</t>
        </is>
      </c>
    </row>
    <row r="9">
      <c r="A9" t="inlineStr">
        <is>
          <t>gen.kessler</t>
        </is>
      </c>
      <c r="B9" t="inlineStr">
        <is>
          <t>General</t>
        </is>
      </c>
      <c r="C9" t="inlineStr"/>
      <c r="D9" t="inlineStr">
        <is>
          <t>Gen</t>
        </is>
      </c>
      <c r="N9" t="inlineStr">
        <is>
          <t>kessler</t>
        </is>
      </c>
      <c r="AE9" t="inlineStr">
        <is>
          <t>Assets/MachineBrigade/Scripts/Sim/Content/Commanders.cs:150 (Generals[3])</t>
        </is>
      </c>
      <c r="AF9" t="inlineStr">
        <is>
          <t>{"_via":"Gen","general":"kessler","lines":[{"stat":"Health","value":0.1,"reach":"Ships"},{"stat":"Health","value":-0.05,"reach":"Towers"}],"Prices":[{"reach":"Vehicles","scale":0.9}]}</t>
        </is>
      </c>
    </row>
    <row r="10">
      <c r="A10" t="inlineStr">
        <is>
          <t>gen.orlov</t>
        </is>
      </c>
      <c r="B10" t="inlineStr">
        <is>
          <t>General</t>
        </is>
      </c>
      <c r="C10" t="inlineStr"/>
      <c r="D10" t="inlineStr">
        <is>
          <t>Gen</t>
        </is>
      </c>
      <c r="N10" t="inlineStr">
        <is>
          <t>orlov</t>
        </is>
      </c>
      <c r="AE10" t="inlineStr">
        <is>
          <t>Assets/MachineBrigade/Scripts/Sim/Content/Commanders.cs:148 (Generals[2])</t>
        </is>
      </c>
      <c r="AF10" t="inlineStr">
        <is>
          <t>{"_via":"Gen","general":"orlov","lines":[{"stat":"Range","value":0.15,"reach":"Artillery"},{"stat":"Spread","value":0.2,"reach":"Artillery"},{"stat":"Health","value":-0.05,"reach":"Light"}]}</t>
        </is>
      </c>
    </row>
    <row r="11">
      <c r="A11" t="inlineStr">
        <is>
          <t>gen.quaden</t>
        </is>
      </c>
      <c r="B11" t="inlineStr">
        <is>
          <t>General</t>
        </is>
      </c>
      <c r="C11" t="inlineStr"/>
      <c r="D11" t="inlineStr">
        <is>
          <t>Gen</t>
        </is>
      </c>
      <c r="F11" t="n">
        <v>1</v>
      </c>
      <c r="N11" t="inlineStr">
        <is>
          <t>quaden</t>
        </is>
      </c>
      <c r="AE11" t="inlineStr">
        <is>
          <t>Assets/MachineBrigade/Scripts/Sim/Content/Commanders.cs:153 (Generals[5])</t>
        </is>
      </c>
      <c r="AF11" t="inlineStr">
        <is>
          <t>{"_via":"Gen","general":"quaden","lines":[{"stat":"Damage","value":0.1,"reach":"Aircraft"},{"stat":"Damage","value":-0.05,"reach":"Ground"}],"AirCap":1}</t>
        </is>
      </c>
    </row>
    <row r="12">
      <c r="A12" t="inlineStr">
        <is>
          <t>gen.sen</t>
        </is>
      </c>
      <c r="B12" t="inlineStr">
        <is>
          <t>General</t>
        </is>
      </c>
      <c r="C12" t="inlineStr"/>
      <c r="D12" t="inlineStr">
        <is>
          <t>Gen</t>
        </is>
      </c>
      <c r="N12" t="inlineStr">
        <is>
          <t>sen</t>
        </is>
      </c>
      <c r="AE12" t="inlineStr">
        <is>
          <t>Assets/MachineBrigade/Scripts/Sim/Content/Commanders.cs:152 (Generals[4])</t>
        </is>
      </c>
      <c r="AF12" t="inlineStr">
        <is>
          <t>{"_via":"Gen","general":"sen","lines":[{"stat":"Health","value":0.15,"reach":"DroneUnits"},{"stat":"Damage","value":-0.05,"reach":"Tanks"}]}</t>
        </is>
      </c>
    </row>
    <row r="13">
      <c r="A13" t="inlineStr">
        <is>
          <t>gen.varga</t>
        </is>
      </c>
      <c r="B13" t="inlineStr">
        <is>
          <t>General</t>
        </is>
      </c>
      <c r="C13" t="inlineStr"/>
      <c r="D13" t="inlineStr">
        <is>
          <t>Gen</t>
        </is>
      </c>
      <c r="N13" t="inlineStr">
        <is>
          <t>varga</t>
        </is>
      </c>
      <c r="AE13" t="inlineStr">
        <is>
          <t>Assets/MachineBrigade/Scripts/Sim/Content/Commanders.cs:147 (Generals[1])</t>
        </is>
      </c>
      <c r="AF13" t="inlineStr">
        <is>
          <t>{"_via":"Gen","general":"varga","lines":[{"stat":"Health","value":0.1,"reach":"Armour"},{"stat":"Damage","value":-0.1,"reach":"Aircraft"}]}</t>
        </is>
      </c>
    </row>
    <row r="14">
      <c r="A14" t="inlineStr">
        <is>
          <t>kade</t>
        </is>
      </c>
      <c r="B14" t="inlineStr">
        <is>
          <t>Combat</t>
        </is>
      </c>
      <c r="C14" t="inlineStr"/>
      <c r="D14" t="inlineStr">
        <is>
          <t>Combat</t>
        </is>
      </c>
      <c r="V14" t="inlineStr">
        <is>
          <t>khai</t>
        </is>
      </c>
      <c r="AB14" t="inlineStr">
        <is>
          <t>Balanced</t>
        </is>
      </c>
      <c r="AD14" t="inlineStr">
        <is>
          <t>c1</t>
        </is>
      </c>
      <c r="AE14" t="inlineStr">
        <is>
          <t>Assets/MachineBrigade/Scripts/Sim/Content/Commanders.cs:35 (All[0])</t>
        </is>
      </c>
      <c r="AF14" t="inlineStr">
        <is>
          <t>{"_via":"Combat","id":"kade","portrait":"khai","unlock":"c1","style":"Balanced","lines":[{"stat":"Damage","value":0.05,"reach":"Army"},{"stat":"Health","value":0.05,"reach":"Army"}]}</t>
        </is>
      </c>
    </row>
    <row r="15">
      <c r="A15" t="inlineStr">
        <is>
          <t>kerr</t>
        </is>
      </c>
      <c r="B15" t="inlineStr">
        <is>
          <t>Combat</t>
        </is>
      </c>
      <c r="C15" t="inlineStr"/>
      <c r="D15" t="inlineStr">
        <is>
          <t>new CommanderDef</t>
        </is>
      </c>
      <c r="L15" t="n">
        <v>1.05</v>
      </c>
      <c r="M15" t="inlineStr">
        <is>
          <t>Combat</t>
        </is>
      </c>
      <c r="V15" t="inlineStr">
        <is>
          <t>linh</t>
        </is>
      </c>
      <c r="Z15" t="n">
        <v>1.25</v>
      </c>
      <c r="AB15" t="inlineStr">
        <is>
          <t>Recon</t>
        </is>
      </c>
      <c r="AD15" t="inlineStr">
        <is>
          <t>c4</t>
        </is>
      </c>
      <c r="AE15" t="inlineStr">
        <is>
          <t>Assets/MachineBrigade/Scripts/Sim/Content/Commanders.cs:55 (All[3])</t>
        </is>
      </c>
      <c r="AF15" t="inlineStr">
        <is>
          <t>{"Id":"kerr","Family":"Combat","Portrait":"linh","Unlock":"c4","Style":"Recon","StealthSight":1.25,"ExposedTaken":1.05,"Lines":[{"stat":"Vision","value":0.15,"reach":"Army"},{"stat":"Health","value":-0.05,"reach":"Heavy"}]}</t>
        </is>
      </c>
    </row>
    <row r="16">
      <c r="A16" t="inlineStr">
        <is>
          <t>lind</t>
        </is>
      </c>
      <c r="B16" t="inlineStr">
        <is>
          <t>Combat</t>
        </is>
      </c>
      <c r="C16" t="inlineStr"/>
      <c r="D16" t="inlineStr">
        <is>
          <t>new CommanderDef</t>
        </is>
      </c>
      <c r="M16" t="inlineStr">
        <is>
          <t>Combat</t>
        </is>
      </c>
      <c r="V16" t="inlineStr">
        <is>
          <t>mai</t>
        </is>
      </c>
      <c r="W16" t="n">
        <v>1.25</v>
      </c>
      <c r="AB16" t="inlineStr">
        <is>
          <t>Sustain</t>
        </is>
      </c>
      <c r="AD16" t="inlineStr">
        <is>
          <t>c2</t>
        </is>
      </c>
      <c r="AE16" t="inlineStr">
        <is>
          <t>Assets/MachineBrigade/Scripts/Sim/Content/Commanders.cs:37 (All[1])</t>
        </is>
      </c>
      <c r="AF16" t="inlineStr">
        <is>
          <t>{"Id":"lind","Family":"Combat","Portrait":"mai","Unlock":"c2","Style":"Sustain","Repair":1.25,"Prices":[{"reach":"Engineers","scale":0.8}],"Lines":[{"stat":"Damage","value":-0.1,"reach":"Aircraft"}]}</t>
        </is>
      </c>
    </row>
    <row r="17">
      <c r="A17" t="inlineStr">
        <is>
          <t>mendez</t>
        </is>
      </c>
      <c r="B17" t="inlineStr">
        <is>
          <t>Combat</t>
        </is>
      </c>
      <c r="C17" t="inlineStr">
        <is>
          <t>Đại úy {@mendez}</t>
        </is>
      </c>
      <c r="D17" t="inlineStr">
        <is>
          <t>new CommanderDef</t>
        </is>
      </c>
      <c r="I17" t="n">
        <v>0.75</v>
      </c>
      <c r="M17" t="inlineStr">
        <is>
          <t>Combat</t>
        </is>
      </c>
      <c r="V17" t="inlineStr">
        <is>
          <t>mendez</t>
        </is>
      </c>
      <c r="AB17" t="inlineStr">
        <is>
          <t>Blitz</t>
        </is>
      </c>
      <c r="AD17" t="inlineStr">
        <is>
          <t>i2</t>
        </is>
      </c>
      <c r="AE17" t="inlineStr">
        <is>
          <t>Assets/MachineBrigade/Scripts/Sim/Content/Commanders.cs:71 (All[5])</t>
        </is>
      </c>
      <c r="AF17" t="inlineStr">
        <is>
          <t>{"Id":"mendez","Family":"Combat","Portrait":"mendez","Unlock":"i2","Style":"Blitz","Delivery":0.75,"Lines":[{"stat":"Speed","value":0.15,"reach":"Vehicles"},{"stat":"Health","value":0.15,"reach":"Light"},{"stat":"Health","value":-0.05,"reach":"Army"}]}</t>
        </is>
      </c>
    </row>
    <row r="18">
      <c r="A18" t="inlineStr">
        <is>
          <t>okoye</t>
        </is>
      </c>
      <c r="B18" t="inlineStr">
        <is>
          <t>Economy</t>
        </is>
      </c>
      <c r="C18" t="inlineStr">
        <is>
          <t>Đại úy {@okoye}</t>
        </is>
      </c>
      <c r="D18" t="inlineStr">
        <is>
          <t>Econ</t>
        </is>
      </c>
      <c r="E18" t="inlineStr"/>
      <c r="H18" t="n">
        <v>15</v>
      </c>
      <c r="J18" t="n">
        <v>0.9</v>
      </c>
      <c r="K18" t="n">
        <v>90</v>
      </c>
      <c r="X18" t="n">
        <v>20</v>
      </c>
      <c r="Y18" t="n">
        <v>1.1</v>
      </c>
      <c r="AB18" t="inlineStr">
        <is>
          <t>Hoard</t>
        </is>
      </c>
      <c r="AD18" t="inlineStr">
        <is>
          <t>c10</t>
        </is>
      </c>
      <c r="AE18" t="inlineStr">
        <is>
          <t>Assets/MachineBrigade/Scripts/Sim/Content/Commanders.cs:133 (All[13])</t>
        </is>
      </c>
      <c r="AF18" t="inlineStr">
        <is>
          <t>{"_via":"Econ","id":"okoye","unlock":"c10","style":"Hoard","lines":[],"BankBonus":15,"RichIncome":1.1,"RichAt":20,"EarlyIncome":0.9,"EarlySeconds":90}</t>
        </is>
      </c>
    </row>
    <row r="19">
      <c r="A19" t="inlineStr">
        <is>
          <t>quist</t>
        </is>
      </c>
      <c r="B19" t="inlineStr">
        <is>
          <t>Economy</t>
        </is>
      </c>
      <c r="C19" t="inlineStr">
        <is>
          <t>Thượng sĩ nhất {@quist}</t>
        </is>
      </c>
      <c r="D19" t="inlineStr">
        <is>
          <t>Econ</t>
        </is>
      </c>
      <c r="E19" t="inlineStr"/>
      <c r="Q19" t="n">
        <v>0.35</v>
      </c>
      <c r="R19" t="b">
        <v>0</v>
      </c>
      <c r="AB19" t="inlineStr">
        <is>
          <t>Attrition</t>
        </is>
      </c>
      <c r="AD19" t="inlineStr">
        <is>
          <t>c8</t>
        </is>
      </c>
      <c r="AE19" t="inlineStr">
        <is>
          <t>Assets/MachineBrigade/Scripts/Sim/Content/Commanders.cs:128 (All[12])</t>
        </is>
      </c>
      <c r="AF19" t="inlineStr">
        <is>
          <t>{"_via":"Econ","id":"quist","unlock":"c8","style":"Attrition","lines":[],"KillRefund":0.35,"LossRefund":false}</t>
        </is>
      </c>
    </row>
    <row r="20">
      <c r="A20" t="inlineStr">
        <is>
          <t>reyes</t>
        </is>
      </c>
      <c r="B20" t="inlineStr">
        <is>
          <t>Combat</t>
        </is>
      </c>
      <c r="C20" t="inlineStr"/>
      <c r="D20" t="inlineStr">
        <is>
          <t>new CommanderDef</t>
        </is>
      </c>
      <c r="F20" t="n">
        <v>1</v>
      </c>
      <c r="G20" t="n">
        <v>1.15</v>
      </c>
      <c r="M20" t="inlineStr">
        <is>
          <t>Combat</t>
        </is>
      </c>
      <c r="V20" t="inlineStr">
        <is>
          <t>dieuhau</t>
        </is>
      </c>
      <c r="AA20" t="n">
        <v>0.85</v>
      </c>
      <c r="AB20" t="inlineStr">
        <is>
          <t>Air</t>
        </is>
      </c>
      <c r="AD20" t="inlineStr">
        <is>
          <t>c3</t>
        </is>
      </c>
      <c r="AE20" t="inlineStr">
        <is>
          <t>Assets/MachineBrigade/Scripts/Sim/Content/Commanders.cs:43 (All[2])</t>
        </is>
      </c>
      <c r="AF20" t="inlineStr">
        <is>
          <t>{"Id":"reyes","Family":"Combat","Portrait":"dieuhau","Unlock":"c3","Style":"Air","AirRearm":1.15,"AirCap":1,"StrikeCooldown":0.85,"Lines":[{"stat":"Damage","value":0.1,"reach":"Aircraft"},{"stat":"Health","value":0.2,"reach":"Aircraft"},{"stat":"MagazineReload","value":0.15,"reach":"Aircraft"},{"stat":"Health","value":-0.1,"reach":"Towers"}]}</t>
        </is>
      </c>
    </row>
    <row r="21">
      <c r="A21" t="inlineStr">
        <is>
          <t>reyn</t>
        </is>
      </c>
      <c r="B21" t="inlineStr">
        <is>
          <t>Economy</t>
        </is>
      </c>
      <c r="C21" t="inlineStr">
        <is>
          <t>Đại tá {@reyn}</t>
        </is>
      </c>
      <c r="D21" t="inlineStr">
        <is>
          <t>new CommanderDef</t>
        </is>
      </c>
      <c r="M21" t="inlineStr">
        <is>
          <t>Economy</t>
        </is>
      </c>
      <c r="V21" t="inlineStr">
        <is>
          <t>reyn</t>
        </is>
      </c>
      <c r="AB21" t="inlineStr">
        <is>
          <t>Heavy</t>
        </is>
      </c>
      <c r="AD21" t="inlineStr">
        <is>
          <t>i3</t>
        </is>
      </c>
      <c r="AE21" t="inlineStr">
        <is>
          <t>Assets/MachineBrigade/Scripts/Sim/Content/Commanders.cs:120 (All[11])</t>
        </is>
      </c>
      <c r="AF21" t="inlineStr">
        <is>
          <t>{"Id":"reyn","Family":"Economy","Portrait":"reyn","Unlock":"i3","Style":"Heavy","Prices":[{"reach":"Vehicles","scale":1.1}],"Lines":[{"stat":"Health","value":0.2,"reach":"ArmourOrDear"},{"stat":"Damage","value":0.15,"reach":"Dear"}]}</t>
        </is>
      </c>
    </row>
    <row r="22">
      <c r="A22" t="inlineStr">
        <is>
          <t>varro</t>
        </is>
      </c>
      <c r="B22" t="inlineStr">
        <is>
          <t>Economy</t>
        </is>
      </c>
      <c r="C22" t="inlineStr">
        <is>
          <t>Đại úy {@varro}</t>
        </is>
      </c>
      <c r="D22" t="inlineStr">
        <is>
          <t>new CommanderDef</t>
        </is>
      </c>
      <c r="M22" t="inlineStr">
        <is>
          <t>Economy</t>
        </is>
      </c>
      <c r="V22" t="inlineStr">
        <is>
          <t>varro</t>
        </is>
      </c>
      <c r="AB22" t="inlineStr">
        <is>
          <t>Swarm</t>
        </is>
      </c>
      <c r="AC22" t="n">
        <v>1.15</v>
      </c>
      <c r="AD22" t="inlineStr">
        <is>
          <t>c8</t>
        </is>
      </c>
      <c r="AE22" t="inlineStr">
        <is>
          <t>Assets/MachineBrigade/Scripts/Sim/Content/Commanders.cs:113 (All[10])</t>
        </is>
      </c>
      <c r="AF22" t="inlineStr">
        <is>
          <t>{"Id":"varro","Family":"Economy","Portrait":"varro","Unlock":"c8","Style":"Swarm","Supply":1.15,"Prices":[{"reach":"Cheap","scale":0.85}],"Lines":[{"stat":"Health","value":-0.05,"reach":"Army"}]}</t>
        </is>
      </c>
    </row>
    <row r="23">
      <c r="A23" t="inlineStr">
        <is>
          <t>venn</t>
        </is>
      </c>
      <c r="B23" t="inlineStr">
        <is>
          <t>Combat</t>
        </is>
      </c>
      <c r="C23" t="inlineStr"/>
      <c r="D23" t="inlineStr">
        <is>
          <t>new CommanderDef</t>
        </is>
      </c>
      <c r="M23" t="inlineStr">
        <is>
          <t>Combat</t>
        </is>
      </c>
      <c r="P23" t="n">
        <v>0.3</v>
      </c>
      <c r="V23" t="inlineStr">
        <is>
          <t>sen</t>
        </is>
      </c>
      <c r="AB23" t="inlineStr">
        <is>
          <t>Drones</t>
        </is>
      </c>
      <c r="AD23" t="inlineStr">
        <is>
          <t>c5+</t>
        </is>
      </c>
      <c r="AE23" t="inlineStr">
        <is>
          <t>Assets/MachineBrigade/Scripts/Sim/Content/Commanders.cs:60 (All[4])</t>
        </is>
      </c>
      <c r="AF23" t="inlineStr">
        <is>
          <t>{"Id":"venn","Family":"Combat","Portrait":"sen","Unlock":"c5+","Style":"Drones","JamResist":0.3,"Lines":[{"stat":"Health","value":0.15,"reach":"DroneUnits"},{"stat":"Damage","value":0.1,"reach":"Drones"},{"stat":"SummonPower","value":0.1,"reach":"Army"},{"stat":"Damage","value":-0.05,"reach":"Tanks"}]}</t>
        </is>
      </c>
    </row>
  </sheetData>
  <autoFilter ref="A1:AF2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3" customWidth="1" min="4" max="4"/>
    <col width="15" customWidth="1" min="5" max="5"/>
    <col width="8" customWidth="1" min="6" max="6"/>
    <col width="60" customWidth="1" min="7" max="7"/>
    <col width="58" customWidth="1" min="8" max="8"/>
  </cols>
  <sheetData>
    <row r="1">
      <c r="A1" s="1" t="inlineStr">
        <is>
          <t>id</t>
        </is>
      </c>
      <c r="B1" s="1" t="inlineStr">
        <is>
          <t>commander_id</t>
        </is>
      </c>
      <c r="C1" s="1" t="inlineStr">
        <is>
          <t>thu_tu</t>
        </is>
      </c>
      <c r="D1" s="1" t="inlineStr">
        <is>
          <t>reach_m</t>
        </is>
      </c>
      <c r="E1" s="1" t="inlineStr">
        <is>
          <t>stat</t>
        </is>
      </c>
      <c r="F1" s="1" t="inlineStr">
        <is>
          <t>value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adler/0</t>
        </is>
      </c>
      <c r="B2" t="inlineStr">
        <is>
          <t>adler</t>
        </is>
      </c>
      <c r="C2" t="n">
        <v>0</v>
      </c>
      <c r="D2" t="inlineStr">
        <is>
          <t>Vehicles</t>
        </is>
      </c>
      <c r="E2" t="inlineStr">
        <is>
          <t>CaptureRate</t>
        </is>
      </c>
      <c r="F2" t="n">
        <v>0.3</v>
      </c>
      <c r="G2" t="inlineStr">
        <is>
          <t>Assets/MachineBrigade/Scripts/Sim/Content/Commanders.cs#All (9.Lines[0])</t>
        </is>
      </c>
      <c r="H2" t="inlineStr">
        <is>
          <t>{"stat":"CaptureRate","value":0.3,"reach":"Vehicles"}</t>
        </is>
      </c>
    </row>
    <row r="3">
      <c r="A3" t="inlineStr">
        <is>
          <t>brandt/0</t>
        </is>
      </c>
      <c r="B3" t="inlineStr">
        <is>
          <t>brandt</t>
        </is>
      </c>
      <c r="C3" t="n">
        <v>0</v>
      </c>
      <c r="D3" t="inlineStr">
        <is>
          <t>Towers</t>
        </is>
      </c>
      <c r="E3" t="inlineStr">
        <is>
          <t>Health</t>
        </is>
      </c>
      <c r="F3" t="n">
        <v>0.15</v>
      </c>
      <c r="G3" t="inlineStr">
        <is>
          <t>Assets/MachineBrigade/Scripts/Sim/Content/Commanders.cs#All (6.Lines[0])</t>
        </is>
      </c>
      <c r="H3" t="inlineStr">
        <is>
          <t>{"stat":"Health","value":0.15,"reach":"Towers"}</t>
        </is>
      </c>
    </row>
    <row r="4">
      <c r="A4" t="inlineStr">
        <is>
          <t>brandt/1</t>
        </is>
      </c>
      <c r="B4" t="inlineStr">
        <is>
          <t>brandt</t>
        </is>
      </c>
      <c r="C4" t="n">
        <v>1</v>
      </c>
      <c r="D4" t="inlineStr">
        <is>
          <t>Towers</t>
        </is>
      </c>
      <c r="E4" t="inlineStr">
        <is>
          <t>Damage</t>
        </is>
      </c>
      <c r="F4" t="n">
        <v>0.1</v>
      </c>
      <c r="G4" t="inlineStr">
        <is>
          <t>Assets/MachineBrigade/Scripts/Sim/Content/Commanders.cs#All (6.Lines[1])</t>
        </is>
      </c>
      <c r="H4" t="inlineStr">
        <is>
          <t>{"stat":"Damage","value":0.1,"reach":"Towers"}</t>
        </is>
      </c>
    </row>
    <row r="5">
      <c r="A5" t="inlineStr">
        <is>
          <t>brandt/2</t>
        </is>
      </c>
      <c r="B5" t="inlineStr">
        <is>
          <t>brandt</t>
        </is>
      </c>
      <c r="C5" t="n">
        <v>2</v>
      </c>
      <c r="D5" t="inlineStr">
        <is>
          <t>Vehicles</t>
        </is>
      </c>
      <c r="E5" t="inlineStr">
        <is>
          <t>Speed</t>
        </is>
      </c>
      <c r="F5" t="n">
        <v>-0.05</v>
      </c>
      <c r="G5" t="inlineStr">
        <is>
          <t>Assets/MachineBrigade/Scripts/Sim/Content/Commanders.cs#All (6.Lines[2])</t>
        </is>
      </c>
      <c r="H5" t="inlineStr">
        <is>
          <t>{"stat":"Speed","value":-0.05,"reach":"Vehicles"}</t>
        </is>
      </c>
    </row>
    <row r="6">
      <c r="A6" t="inlineStr">
        <is>
          <t>brenn/0</t>
        </is>
      </c>
      <c r="B6" t="inlineStr">
        <is>
          <t>brenn</t>
        </is>
      </c>
      <c r="C6" t="n">
        <v>0</v>
      </c>
      <c r="D6" t="inlineStr">
        <is>
          <t>Army</t>
        </is>
      </c>
      <c r="E6" t="inlineStr">
        <is>
          <t>Damage</t>
        </is>
      </c>
      <c r="F6" t="n">
        <v>-0.05</v>
      </c>
      <c r="G6" t="inlineStr">
        <is>
          <t>Assets/MachineBrigade/Scripts/Sim/Content/Commanders.cs#All (8.Lines[0])</t>
        </is>
      </c>
      <c r="H6" t="inlineStr">
        <is>
          <t>{"stat":"Damage","value":-0.05,"reach":"Army"}</t>
        </is>
      </c>
    </row>
    <row r="7">
      <c r="A7" t="inlineStr">
        <is>
          <t>dahl/0</t>
        </is>
      </c>
      <c r="B7" t="inlineStr">
        <is>
          <t>dahl</t>
        </is>
      </c>
      <c r="C7" t="n">
        <v>0</v>
      </c>
      <c r="D7" t="inlineStr">
        <is>
          <t>Artillery</t>
        </is>
      </c>
      <c r="E7" t="inlineStr">
        <is>
          <t>Damage</t>
        </is>
      </c>
      <c r="F7" t="n">
        <v>0.15</v>
      </c>
      <c r="G7" t="inlineStr">
        <is>
          <t>Assets/MachineBrigade/Scripts/Sim/Content/Commanders.cs#All (7.lines[0])</t>
        </is>
      </c>
      <c r="H7" t="inlineStr">
        <is>
          <t>{"stat":"Damage","value":0.15,"reach":"Artillery"}</t>
        </is>
      </c>
    </row>
    <row r="8">
      <c r="A8" t="inlineStr">
        <is>
          <t>dahl/1</t>
        </is>
      </c>
      <c r="B8" t="inlineStr">
        <is>
          <t>dahl</t>
        </is>
      </c>
      <c r="C8" t="n">
        <v>1</v>
      </c>
      <c r="D8" t="inlineStr">
        <is>
          <t>Artillery</t>
        </is>
      </c>
      <c r="E8" t="inlineStr">
        <is>
          <t>Range</t>
        </is>
      </c>
      <c r="F8" t="n">
        <v>0.1</v>
      </c>
      <c r="G8" t="inlineStr">
        <is>
          <t>Assets/MachineBrigade/Scripts/Sim/Content/Commanders.cs#All (7.lines[1])</t>
        </is>
      </c>
      <c r="H8" t="inlineStr">
        <is>
          <t>{"stat":"Range","value":0.1,"reach":"Artillery"}</t>
        </is>
      </c>
    </row>
    <row r="9">
      <c r="A9" t="inlineStr">
        <is>
          <t>dahl/2</t>
        </is>
      </c>
      <c r="B9" t="inlineStr">
        <is>
          <t>dahl</t>
        </is>
      </c>
      <c r="C9" t="n">
        <v>2</v>
      </c>
      <c r="D9" t="inlineStr">
        <is>
          <t>Artillery</t>
        </is>
      </c>
      <c r="E9" t="inlineStr">
        <is>
          <t>Health</t>
        </is>
      </c>
      <c r="F9" t="n">
        <v>0.25</v>
      </c>
      <c r="G9" t="inlineStr">
        <is>
          <t>Assets/MachineBrigade/Scripts/Sim/Content/Commanders.cs#All (7.lines[2])</t>
        </is>
      </c>
      <c r="H9" t="inlineStr">
        <is>
          <t>{"stat":"Health","value":0.25,"reach":"Artillery"}</t>
        </is>
      </c>
    </row>
    <row r="10">
      <c r="A10" t="inlineStr">
        <is>
          <t>dahl/3</t>
        </is>
      </c>
      <c r="B10" t="inlineStr">
        <is>
          <t>dahl</t>
        </is>
      </c>
      <c r="C10" t="n">
        <v>3</v>
      </c>
      <c r="D10" t="inlineStr">
        <is>
          <t>DirectFire</t>
        </is>
      </c>
      <c r="E10" t="inlineStr">
        <is>
          <t>Damage</t>
        </is>
      </c>
      <c r="F10" t="n">
        <v>-0.1</v>
      </c>
      <c r="G10" t="inlineStr">
        <is>
          <t>Assets/MachineBrigade/Scripts/Sim/Content/Commanders.cs#All (7.lines[3])</t>
        </is>
      </c>
      <c r="H10" t="inlineStr">
        <is>
          <t>{"stat":"Damage","value":-0.1,"reach":"DirectFire"}</t>
        </is>
      </c>
    </row>
    <row r="11">
      <c r="A11" t="inlineStr">
        <is>
          <t>gen.aurel/0</t>
        </is>
      </c>
      <c r="B11" t="inlineStr">
        <is>
          <t>gen.aurel</t>
        </is>
      </c>
      <c r="C11" t="n">
        <v>0</v>
      </c>
      <c r="D11" t="inlineStr">
        <is>
          <t>Energy</t>
        </is>
      </c>
      <c r="E11" t="inlineStr">
        <is>
          <t>Damage</t>
        </is>
      </c>
      <c r="F11" t="n">
        <v>0.15</v>
      </c>
      <c r="G11" t="inlineStr">
        <is>
          <t>Assets/MachineBrigade/Scripts/Sim/Content/Commanders.cs#Generals (7.lines[0])</t>
        </is>
      </c>
      <c r="H11" t="inlineStr">
        <is>
          <t>{"stat":"Damage","value":0.15,"reach":"Energy"}</t>
        </is>
      </c>
    </row>
    <row r="12">
      <c r="A12" t="inlineStr">
        <is>
          <t>gen.aurel/1</t>
        </is>
      </c>
      <c r="B12" t="inlineStr">
        <is>
          <t>gen.aurel</t>
        </is>
      </c>
      <c r="C12" t="n">
        <v>1</v>
      </c>
      <c r="D12" t="inlineStr">
        <is>
          <t>Shielded</t>
        </is>
      </c>
      <c r="E12" t="inlineStr">
        <is>
          <t>Health</t>
        </is>
      </c>
      <c r="F12" t="n">
        <v>0.1</v>
      </c>
      <c r="G12" t="inlineStr">
        <is>
          <t>Assets/MachineBrigade/Scripts/Sim/Content/Commanders.cs#Generals (7.lines[1])</t>
        </is>
      </c>
      <c r="H12" t="inlineStr">
        <is>
          <t>{"stat":"Health","value":0.1,"reach":"Shielded"}</t>
        </is>
      </c>
    </row>
    <row r="13">
      <c r="A13" t="inlineStr">
        <is>
          <t>gen.aurel/2</t>
        </is>
      </c>
      <c r="B13" t="inlineStr">
        <is>
          <t>gen.aurel</t>
        </is>
      </c>
      <c r="C13" t="n">
        <v>2</v>
      </c>
      <c r="D13" t="inlineStr">
        <is>
          <t>Light</t>
        </is>
      </c>
      <c r="E13" t="inlineStr">
        <is>
          <t>Health</t>
        </is>
      </c>
      <c r="F13" t="n">
        <v>-0.05</v>
      </c>
      <c r="G13" t="inlineStr">
        <is>
          <t>Assets/MachineBrigade/Scripts/Sim/Content/Commanders.cs#Generals (7.lines[2])</t>
        </is>
      </c>
      <c r="H13" t="inlineStr">
        <is>
          <t>{"stat":"Health","value":-0.05,"reach":"Light"}</t>
        </is>
      </c>
    </row>
    <row r="14">
      <c r="A14" t="inlineStr">
        <is>
          <t>gen.brandt/0</t>
        </is>
      </c>
      <c r="B14" t="inlineStr">
        <is>
          <t>gen.brandt</t>
        </is>
      </c>
      <c r="C14" t="n">
        <v>0</v>
      </c>
      <c r="D14" t="inlineStr">
        <is>
          <t>Towers</t>
        </is>
      </c>
      <c r="E14" t="inlineStr">
        <is>
          <t>Health</t>
        </is>
      </c>
      <c r="F14" t="n">
        <v>0.15</v>
      </c>
      <c r="G14" t="inlineStr">
        <is>
          <t>Assets/MachineBrigade/Scripts/Sim/Content/Commanders.cs#Generals (0.lines[0])</t>
        </is>
      </c>
      <c r="H14" t="inlineStr">
        <is>
          <t>{"stat":"Health","value":0.15,"reach":"Towers"}</t>
        </is>
      </c>
    </row>
    <row r="15">
      <c r="A15" t="inlineStr">
        <is>
          <t>gen.brandt/1</t>
        </is>
      </c>
      <c r="B15" t="inlineStr">
        <is>
          <t>gen.brandt</t>
        </is>
      </c>
      <c r="C15" t="n">
        <v>1</v>
      </c>
      <c r="D15" t="inlineStr">
        <is>
          <t>Vehicles</t>
        </is>
      </c>
      <c r="E15" t="inlineStr">
        <is>
          <t>Speed</t>
        </is>
      </c>
      <c r="F15" t="n">
        <v>-0.05</v>
      </c>
      <c r="G15" t="inlineStr">
        <is>
          <t>Assets/MachineBrigade/Scripts/Sim/Content/Commanders.cs#Generals (0.lines[1])</t>
        </is>
      </c>
      <c r="H15" t="inlineStr">
        <is>
          <t>{"stat":"Speed","value":-0.05,"reach":"Vehicles"}</t>
        </is>
      </c>
    </row>
    <row r="16">
      <c r="A16" t="inlineStr">
        <is>
          <t>gen.hung/0</t>
        </is>
      </c>
      <c r="B16" t="inlineStr">
        <is>
          <t>gen.hung</t>
        </is>
      </c>
      <c r="C16" t="n">
        <v>0</v>
      </c>
      <c r="D16" t="inlineStr">
        <is>
          <t>Army</t>
        </is>
      </c>
      <c r="E16" t="inlineStr">
        <is>
          <t>Damage</t>
        </is>
      </c>
      <c r="F16" t="n">
        <v>0.05</v>
      </c>
      <c r="G16" t="inlineStr">
        <is>
          <t>Assets/MachineBrigade/Scripts/Sim/Content/Commanders.cs#Generals (6.lines[0])</t>
        </is>
      </c>
      <c r="H16" t="inlineStr">
        <is>
          <t>{"stat":"Damage","value":0.05,"reach":"Army"}</t>
        </is>
      </c>
    </row>
    <row r="17">
      <c r="A17" t="inlineStr">
        <is>
          <t>gen.kessler/0</t>
        </is>
      </c>
      <c r="B17" t="inlineStr">
        <is>
          <t>gen.kessler</t>
        </is>
      </c>
      <c r="C17" t="n">
        <v>0</v>
      </c>
      <c r="D17" t="inlineStr">
        <is>
          <t>Ships</t>
        </is>
      </c>
      <c r="E17" t="inlineStr">
        <is>
          <t>Health</t>
        </is>
      </c>
      <c r="F17" t="n">
        <v>0.1</v>
      </c>
      <c r="G17" t="inlineStr">
        <is>
          <t>Assets/MachineBrigade/Scripts/Sim/Content/Commanders.cs#Generals (3.lines[0])</t>
        </is>
      </c>
      <c r="H17" t="inlineStr">
        <is>
          <t>{"stat":"Health","value":0.1,"reach":"Ships"}</t>
        </is>
      </c>
    </row>
    <row r="18">
      <c r="A18" t="inlineStr">
        <is>
          <t>gen.kessler/1</t>
        </is>
      </c>
      <c r="B18" t="inlineStr">
        <is>
          <t>gen.kessler</t>
        </is>
      </c>
      <c r="C18" t="n">
        <v>1</v>
      </c>
      <c r="D18" t="inlineStr">
        <is>
          <t>Towers</t>
        </is>
      </c>
      <c r="E18" t="inlineStr">
        <is>
          <t>Health</t>
        </is>
      </c>
      <c r="F18" t="n">
        <v>-0.05</v>
      </c>
      <c r="G18" t="inlineStr">
        <is>
          <t>Assets/MachineBrigade/Scripts/Sim/Content/Commanders.cs#Generals (3.lines[1])</t>
        </is>
      </c>
      <c r="H18" t="inlineStr">
        <is>
          <t>{"stat":"Health","value":-0.05,"reach":"Towers"}</t>
        </is>
      </c>
    </row>
    <row r="19">
      <c r="A19" t="inlineStr">
        <is>
          <t>gen.orlov/0</t>
        </is>
      </c>
      <c r="B19" t="inlineStr">
        <is>
          <t>gen.orlov</t>
        </is>
      </c>
      <c r="C19" t="n">
        <v>0</v>
      </c>
      <c r="D19" t="inlineStr">
        <is>
          <t>Artillery</t>
        </is>
      </c>
      <c r="E19" t="inlineStr">
        <is>
          <t>Range</t>
        </is>
      </c>
      <c r="F19" t="n">
        <v>0.15</v>
      </c>
      <c r="G19" t="inlineStr">
        <is>
          <t>Assets/MachineBrigade/Scripts/Sim/Content/Commanders.cs#Generals (2.lines[0])</t>
        </is>
      </c>
      <c r="H19" t="inlineStr">
        <is>
          <t>{"stat":"Range","value":0.15,"reach":"Artillery"}</t>
        </is>
      </c>
    </row>
    <row r="20">
      <c r="A20" t="inlineStr">
        <is>
          <t>gen.orlov/1</t>
        </is>
      </c>
      <c r="B20" t="inlineStr">
        <is>
          <t>gen.orlov</t>
        </is>
      </c>
      <c r="C20" t="n">
        <v>1</v>
      </c>
      <c r="D20" t="inlineStr">
        <is>
          <t>Artillery</t>
        </is>
      </c>
      <c r="E20" t="inlineStr">
        <is>
          <t>Spread</t>
        </is>
      </c>
      <c r="F20" t="n">
        <v>0.2</v>
      </c>
      <c r="G20" t="inlineStr">
        <is>
          <t>Assets/MachineBrigade/Scripts/Sim/Content/Commanders.cs#Generals (2.lines[1])</t>
        </is>
      </c>
      <c r="H20" t="inlineStr">
        <is>
          <t>{"stat":"Spread","value":0.2,"reach":"Artillery"}</t>
        </is>
      </c>
    </row>
    <row r="21">
      <c r="A21" t="inlineStr">
        <is>
          <t>gen.orlov/2</t>
        </is>
      </c>
      <c r="B21" t="inlineStr">
        <is>
          <t>gen.orlov</t>
        </is>
      </c>
      <c r="C21" t="n">
        <v>2</v>
      </c>
      <c r="D21" t="inlineStr">
        <is>
          <t>Light</t>
        </is>
      </c>
      <c r="E21" t="inlineStr">
        <is>
          <t>Health</t>
        </is>
      </c>
      <c r="F21" t="n">
        <v>-0.05</v>
      </c>
      <c r="G21" t="inlineStr">
        <is>
          <t>Assets/MachineBrigade/Scripts/Sim/Content/Commanders.cs#Generals (2.lines[2])</t>
        </is>
      </c>
      <c r="H21" t="inlineStr">
        <is>
          <t>{"stat":"Health","value":-0.05,"reach":"Light"}</t>
        </is>
      </c>
    </row>
    <row r="22">
      <c r="A22" t="inlineStr">
        <is>
          <t>gen.quaden/0</t>
        </is>
      </c>
      <c r="B22" t="inlineStr">
        <is>
          <t>gen.quaden</t>
        </is>
      </c>
      <c r="C22" t="n">
        <v>0</v>
      </c>
      <c r="D22" t="inlineStr">
        <is>
          <t>Aircraft</t>
        </is>
      </c>
      <c r="E22" t="inlineStr">
        <is>
          <t>Damage</t>
        </is>
      </c>
      <c r="F22" t="n">
        <v>0.1</v>
      </c>
      <c r="G22" t="inlineStr">
        <is>
          <t>Assets/MachineBrigade/Scripts/Sim/Content/Commanders.cs#Generals (5.lines[0])</t>
        </is>
      </c>
      <c r="H22" t="inlineStr">
        <is>
          <t>{"stat":"Damage","value":0.1,"reach":"Aircraft"}</t>
        </is>
      </c>
    </row>
    <row r="23">
      <c r="A23" t="inlineStr">
        <is>
          <t>gen.quaden/1</t>
        </is>
      </c>
      <c r="B23" t="inlineStr">
        <is>
          <t>gen.quaden</t>
        </is>
      </c>
      <c r="C23" t="n">
        <v>1</v>
      </c>
      <c r="D23" t="inlineStr">
        <is>
          <t>Ground</t>
        </is>
      </c>
      <c r="E23" t="inlineStr">
        <is>
          <t>Damage</t>
        </is>
      </c>
      <c r="F23" t="n">
        <v>-0.05</v>
      </c>
      <c r="G23" t="inlineStr">
        <is>
          <t>Assets/MachineBrigade/Scripts/Sim/Content/Commanders.cs#Generals (5.lines[1])</t>
        </is>
      </c>
      <c r="H23" t="inlineStr">
        <is>
          <t>{"stat":"Damage","value":-0.05,"reach":"Ground"}</t>
        </is>
      </c>
    </row>
    <row r="24">
      <c r="A24" t="inlineStr">
        <is>
          <t>gen.sen/0</t>
        </is>
      </c>
      <c r="B24" t="inlineStr">
        <is>
          <t>gen.sen</t>
        </is>
      </c>
      <c r="C24" t="n">
        <v>0</v>
      </c>
      <c r="D24" t="inlineStr">
        <is>
          <t>DroneUnits</t>
        </is>
      </c>
      <c r="E24" t="inlineStr">
        <is>
          <t>Health</t>
        </is>
      </c>
      <c r="F24" t="n">
        <v>0.15</v>
      </c>
      <c r="G24" t="inlineStr">
        <is>
          <t>Assets/MachineBrigade/Scripts/Sim/Content/Commanders.cs#Generals (4.lines[0])</t>
        </is>
      </c>
      <c r="H24" t="inlineStr">
        <is>
          <t>{"stat":"Health","value":0.15,"reach":"DroneUnits"}</t>
        </is>
      </c>
    </row>
    <row r="25">
      <c r="A25" t="inlineStr">
        <is>
          <t>gen.sen/1</t>
        </is>
      </c>
      <c r="B25" t="inlineStr">
        <is>
          <t>gen.sen</t>
        </is>
      </c>
      <c r="C25" t="n">
        <v>1</v>
      </c>
      <c r="D25" t="inlineStr">
        <is>
          <t>Tanks</t>
        </is>
      </c>
      <c r="E25" t="inlineStr">
        <is>
          <t>Damage</t>
        </is>
      </c>
      <c r="F25" t="n">
        <v>-0.05</v>
      </c>
      <c r="G25" t="inlineStr">
        <is>
          <t>Assets/MachineBrigade/Scripts/Sim/Content/Commanders.cs#Generals (4.lines[1])</t>
        </is>
      </c>
      <c r="H25" t="inlineStr">
        <is>
          <t>{"stat":"Damage","value":-0.05,"reach":"Tanks"}</t>
        </is>
      </c>
    </row>
    <row r="26">
      <c r="A26" t="inlineStr">
        <is>
          <t>gen.varga/0</t>
        </is>
      </c>
      <c r="B26" t="inlineStr">
        <is>
          <t>gen.varga</t>
        </is>
      </c>
      <c r="C26" t="n">
        <v>0</v>
      </c>
      <c r="D26" t="inlineStr">
        <is>
          <t>Armour</t>
        </is>
      </c>
      <c r="E26" t="inlineStr">
        <is>
          <t>Health</t>
        </is>
      </c>
      <c r="F26" t="n">
        <v>0.1</v>
      </c>
      <c r="G26" t="inlineStr">
        <is>
          <t>Assets/MachineBrigade/Scripts/Sim/Content/Commanders.cs#Generals (1.lines[0])</t>
        </is>
      </c>
      <c r="H26" t="inlineStr">
        <is>
          <t>{"stat":"Health","value":0.1,"reach":"Armour"}</t>
        </is>
      </c>
    </row>
    <row r="27">
      <c r="A27" t="inlineStr">
        <is>
          <t>gen.varga/1</t>
        </is>
      </c>
      <c r="B27" t="inlineStr">
        <is>
          <t>gen.varga</t>
        </is>
      </c>
      <c r="C27" t="n">
        <v>1</v>
      </c>
      <c r="D27" t="inlineStr">
        <is>
          <t>Aircraft</t>
        </is>
      </c>
      <c r="E27" t="inlineStr">
        <is>
          <t>Damage</t>
        </is>
      </c>
      <c r="F27" t="n">
        <v>-0.1</v>
      </c>
      <c r="G27" t="inlineStr">
        <is>
          <t>Assets/MachineBrigade/Scripts/Sim/Content/Commanders.cs#Generals (1.lines[1])</t>
        </is>
      </c>
      <c r="H27" t="inlineStr">
        <is>
          <t>{"stat":"Damage","value":-0.1,"reach":"Aircraft"}</t>
        </is>
      </c>
    </row>
    <row r="28">
      <c r="A28" t="inlineStr">
        <is>
          <t>kade/0</t>
        </is>
      </c>
      <c r="B28" t="inlineStr">
        <is>
          <t>kade</t>
        </is>
      </c>
      <c r="C28" t="n">
        <v>0</v>
      </c>
      <c r="D28" t="inlineStr">
        <is>
          <t>Army</t>
        </is>
      </c>
      <c r="E28" t="inlineStr">
        <is>
          <t>Damage</t>
        </is>
      </c>
      <c r="F28" t="n">
        <v>0.05</v>
      </c>
      <c r="G28" t="inlineStr">
        <is>
          <t>Assets/MachineBrigade/Scripts/Sim/Content/Commanders.cs#All (0.lines[0])</t>
        </is>
      </c>
      <c r="H28" t="inlineStr">
        <is>
          <t>{"stat":"Damage","value":0.05,"reach":"Army"}</t>
        </is>
      </c>
    </row>
    <row r="29">
      <c r="A29" t="inlineStr">
        <is>
          <t>kade/1</t>
        </is>
      </c>
      <c r="B29" t="inlineStr">
        <is>
          <t>kade</t>
        </is>
      </c>
      <c r="C29" t="n">
        <v>1</v>
      </c>
      <c r="D29" t="inlineStr">
        <is>
          <t>Army</t>
        </is>
      </c>
      <c r="E29" t="inlineStr">
        <is>
          <t>Health</t>
        </is>
      </c>
      <c r="F29" t="n">
        <v>0.05</v>
      </c>
      <c r="G29" t="inlineStr">
        <is>
          <t>Assets/MachineBrigade/Scripts/Sim/Content/Commanders.cs#All (0.lines[1])</t>
        </is>
      </c>
      <c r="H29" t="inlineStr">
        <is>
          <t>{"stat":"Health","value":0.05,"reach":"Army"}</t>
        </is>
      </c>
    </row>
    <row r="30">
      <c r="A30" t="inlineStr">
        <is>
          <t>kerr/0</t>
        </is>
      </c>
      <c r="B30" t="inlineStr">
        <is>
          <t>kerr</t>
        </is>
      </c>
      <c r="C30" t="n">
        <v>0</v>
      </c>
      <c r="D30" t="inlineStr">
        <is>
          <t>Army</t>
        </is>
      </c>
      <c r="E30" t="inlineStr">
        <is>
          <t>Vision</t>
        </is>
      </c>
      <c r="F30" t="n">
        <v>0.15</v>
      </c>
      <c r="G30" t="inlineStr">
        <is>
          <t>Assets/MachineBrigade/Scripts/Sim/Content/Commanders.cs#All (3.Lines[0])</t>
        </is>
      </c>
      <c r="H30" t="inlineStr">
        <is>
          <t>{"stat":"Vision","value":0.15,"reach":"Army"}</t>
        </is>
      </c>
    </row>
    <row r="31">
      <c r="A31" t="inlineStr">
        <is>
          <t>kerr/1</t>
        </is>
      </c>
      <c r="B31" t="inlineStr">
        <is>
          <t>kerr</t>
        </is>
      </c>
      <c r="C31" t="n">
        <v>1</v>
      </c>
      <c r="D31" t="inlineStr">
        <is>
          <t>Heavy</t>
        </is>
      </c>
      <c r="E31" t="inlineStr">
        <is>
          <t>Health</t>
        </is>
      </c>
      <c r="F31" t="n">
        <v>-0.05</v>
      </c>
      <c r="G31" t="inlineStr">
        <is>
          <t>Assets/MachineBrigade/Scripts/Sim/Content/Commanders.cs#All (3.Lines[1])</t>
        </is>
      </c>
      <c r="H31" t="inlineStr">
        <is>
          <t>{"stat":"Health","value":-0.05,"reach":"Heavy"}</t>
        </is>
      </c>
    </row>
    <row r="32">
      <c r="A32" t="inlineStr">
        <is>
          <t>lind/0</t>
        </is>
      </c>
      <c r="B32" t="inlineStr">
        <is>
          <t>lind</t>
        </is>
      </c>
      <c r="C32" t="n">
        <v>0</v>
      </c>
      <c r="D32" t="inlineStr">
        <is>
          <t>Aircraft</t>
        </is>
      </c>
      <c r="E32" t="inlineStr">
        <is>
          <t>Damage</t>
        </is>
      </c>
      <c r="F32" t="n">
        <v>-0.1</v>
      </c>
      <c r="G32" t="inlineStr">
        <is>
          <t>Assets/MachineBrigade/Scripts/Sim/Content/Commanders.cs#All (1.Lines[0])</t>
        </is>
      </c>
      <c r="H32" t="inlineStr">
        <is>
          <t>{"stat":"Damage","value":-0.1,"reach":"Aircraft"}</t>
        </is>
      </c>
    </row>
    <row r="33">
      <c r="A33" t="inlineStr">
        <is>
          <t>mendez/0</t>
        </is>
      </c>
      <c r="B33" t="inlineStr">
        <is>
          <t>mendez</t>
        </is>
      </c>
      <c r="C33" t="n">
        <v>0</v>
      </c>
      <c r="D33" t="inlineStr">
        <is>
          <t>Vehicles</t>
        </is>
      </c>
      <c r="E33" t="inlineStr">
        <is>
          <t>Speed</t>
        </is>
      </c>
      <c r="F33" t="n">
        <v>0.15</v>
      </c>
      <c r="G33" t="inlineStr">
        <is>
          <t>Assets/MachineBrigade/Scripts/Sim/Content/Commanders.cs#All (5.Lines[0])</t>
        </is>
      </c>
      <c r="H33" t="inlineStr">
        <is>
          <t>{"stat":"Speed","value":0.15,"reach":"Vehicles"}</t>
        </is>
      </c>
    </row>
    <row r="34">
      <c r="A34" t="inlineStr">
        <is>
          <t>mendez/1</t>
        </is>
      </c>
      <c r="B34" t="inlineStr">
        <is>
          <t>mendez</t>
        </is>
      </c>
      <c r="C34" t="n">
        <v>1</v>
      </c>
      <c r="D34" t="inlineStr">
        <is>
          <t>Light</t>
        </is>
      </c>
      <c r="E34" t="inlineStr">
        <is>
          <t>Health</t>
        </is>
      </c>
      <c r="F34" t="n">
        <v>0.15</v>
      </c>
      <c r="G34" t="inlineStr">
        <is>
          <t>Assets/MachineBrigade/Scripts/Sim/Content/Commanders.cs#All (5.Lines[1])</t>
        </is>
      </c>
      <c r="H34" t="inlineStr">
        <is>
          <t>{"stat":"Health","value":0.15,"reach":"Light"}</t>
        </is>
      </c>
    </row>
    <row r="35">
      <c r="A35" t="inlineStr">
        <is>
          <t>mendez/2</t>
        </is>
      </c>
      <c r="B35" t="inlineStr">
        <is>
          <t>mendez</t>
        </is>
      </c>
      <c r="C35" t="n">
        <v>2</v>
      </c>
      <c r="D35" t="inlineStr">
        <is>
          <t>Army</t>
        </is>
      </c>
      <c r="E35" t="inlineStr">
        <is>
          <t>Health</t>
        </is>
      </c>
      <c r="F35" t="n">
        <v>-0.05</v>
      </c>
      <c r="G35" t="inlineStr">
        <is>
          <t>Assets/MachineBrigade/Scripts/Sim/Content/Commanders.cs#All (5.Lines[2])</t>
        </is>
      </c>
      <c r="H35" t="inlineStr">
        <is>
          <t>{"stat":"Health","value":-0.05,"reach":"Army"}</t>
        </is>
      </c>
    </row>
    <row r="36">
      <c r="A36" t="inlineStr">
        <is>
          <t>reyes/0</t>
        </is>
      </c>
      <c r="B36" t="inlineStr">
        <is>
          <t>reyes</t>
        </is>
      </c>
      <c r="C36" t="n">
        <v>0</v>
      </c>
      <c r="D36" t="inlineStr">
        <is>
          <t>Aircraft</t>
        </is>
      </c>
      <c r="E36" t="inlineStr">
        <is>
          <t>Damage</t>
        </is>
      </c>
      <c r="F36" t="n">
        <v>0.1</v>
      </c>
      <c r="G36" t="inlineStr">
        <is>
          <t>Assets/MachineBrigade/Scripts/Sim/Content/Commanders.cs#All (2.Lines[0])</t>
        </is>
      </c>
      <c r="H36" t="inlineStr">
        <is>
          <t>{"stat":"Damage","value":0.1,"reach":"Aircraft"}</t>
        </is>
      </c>
    </row>
    <row r="37">
      <c r="A37" t="inlineStr">
        <is>
          <t>reyes/1</t>
        </is>
      </c>
      <c r="B37" t="inlineStr">
        <is>
          <t>reyes</t>
        </is>
      </c>
      <c r="C37" t="n">
        <v>1</v>
      </c>
      <c r="D37" t="inlineStr">
        <is>
          <t>Aircraft</t>
        </is>
      </c>
      <c r="E37" t="inlineStr">
        <is>
          <t>Health</t>
        </is>
      </c>
      <c r="F37" t="n">
        <v>0.2</v>
      </c>
      <c r="G37" t="inlineStr">
        <is>
          <t>Assets/MachineBrigade/Scripts/Sim/Content/Commanders.cs#All (2.Lines[1])</t>
        </is>
      </c>
      <c r="H37" t="inlineStr">
        <is>
          <t>{"stat":"Health","value":0.2,"reach":"Aircraft"}</t>
        </is>
      </c>
    </row>
    <row r="38">
      <c r="A38" t="inlineStr">
        <is>
          <t>reyes/2</t>
        </is>
      </c>
      <c r="B38" t="inlineStr">
        <is>
          <t>reyes</t>
        </is>
      </c>
      <c r="C38" t="n">
        <v>2</v>
      </c>
      <c r="D38" t="inlineStr">
        <is>
          <t>Aircraft</t>
        </is>
      </c>
      <c r="E38" t="inlineStr">
        <is>
          <t>MagazineReload</t>
        </is>
      </c>
      <c r="F38" t="n">
        <v>0.15</v>
      </c>
      <c r="G38" t="inlineStr">
        <is>
          <t>Assets/MachineBrigade/Scripts/Sim/Content/Commanders.cs#All (2.Lines[2])</t>
        </is>
      </c>
      <c r="H38" t="inlineStr">
        <is>
          <t>{"stat":"MagazineReload","value":0.15,"reach":"Aircraft"}</t>
        </is>
      </c>
    </row>
    <row r="39">
      <c r="A39" t="inlineStr">
        <is>
          <t>reyes/3</t>
        </is>
      </c>
      <c r="B39" t="inlineStr">
        <is>
          <t>reyes</t>
        </is>
      </c>
      <c r="C39" t="n">
        <v>3</v>
      </c>
      <c r="D39" t="inlineStr">
        <is>
          <t>Towers</t>
        </is>
      </c>
      <c r="E39" t="inlineStr">
        <is>
          <t>Health</t>
        </is>
      </c>
      <c r="F39" t="n">
        <v>-0.1</v>
      </c>
      <c r="G39" t="inlineStr">
        <is>
          <t>Assets/MachineBrigade/Scripts/Sim/Content/Commanders.cs#All (2.Lines[3])</t>
        </is>
      </c>
      <c r="H39" t="inlineStr">
        <is>
          <t>{"stat":"Health","value":-0.1,"reach":"Towers"}</t>
        </is>
      </c>
    </row>
    <row r="40">
      <c r="A40" t="inlineStr">
        <is>
          <t>reyn/0</t>
        </is>
      </c>
      <c r="B40" t="inlineStr">
        <is>
          <t>reyn</t>
        </is>
      </c>
      <c r="C40" t="n">
        <v>0</v>
      </c>
      <c r="D40" t="inlineStr">
        <is>
          <t>ArmourOrDear</t>
        </is>
      </c>
      <c r="E40" t="inlineStr">
        <is>
          <t>Health</t>
        </is>
      </c>
      <c r="F40" t="n">
        <v>0.2</v>
      </c>
      <c r="G40" t="inlineStr">
        <is>
          <t>Assets/MachineBrigade/Scripts/Sim/Content/Commanders.cs#All (11.Lines[0])</t>
        </is>
      </c>
      <c r="H40" t="inlineStr">
        <is>
          <t>{"stat":"Health","value":0.2,"reach":"ArmourOrDear"}</t>
        </is>
      </c>
    </row>
    <row r="41">
      <c r="A41" t="inlineStr">
        <is>
          <t>reyn/1</t>
        </is>
      </c>
      <c r="B41" t="inlineStr">
        <is>
          <t>reyn</t>
        </is>
      </c>
      <c r="C41" t="n">
        <v>1</v>
      </c>
      <c r="D41" t="inlineStr">
        <is>
          <t>Dear</t>
        </is>
      </c>
      <c r="E41" t="inlineStr">
        <is>
          <t>Damage</t>
        </is>
      </c>
      <c r="F41" t="n">
        <v>0.15</v>
      </c>
      <c r="G41" t="inlineStr">
        <is>
          <t>Assets/MachineBrigade/Scripts/Sim/Content/Commanders.cs#All (11.Lines[1])</t>
        </is>
      </c>
      <c r="H41" t="inlineStr">
        <is>
          <t>{"stat":"Damage","value":0.15,"reach":"Dear"}</t>
        </is>
      </c>
    </row>
    <row r="42">
      <c r="A42" t="inlineStr">
        <is>
          <t>varro/0</t>
        </is>
      </c>
      <c r="B42" t="inlineStr">
        <is>
          <t>varro</t>
        </is>
      </c>
      <c r="C42" t="n">
        <v>0</v>
      </c>
      <c r="D42" t="inlineStr">
        <is>
          <t>Army</t>
        </is>
      </c>
      <c r="E42" t="inlineStr">
        <is>
          <t>Health</t>
        </is>
      </c>
      <c r="F42" t="n">
        <v>-0.05</v>
      </c>
      <c r="G42" t="inlineStr">
        <is>
          <t>Assets/MachineBrigade/Scripts/Sim/Content/Commanders.cs#All (10.Lines[0])</t>
        </is>
      </c>
      <c r="H42" t="inlineStr">
        <is>
          <t>{"stat":"Health","value":-0.05,"reach":"Army"}</t>
        </is>
      </c>
    </row>
    <row r="43">
      <c r="A43" t="inlineStr">
        <is>
          <t>venn/0</t>
        </is>
      </c>
      <c r="B43" t="inlineStr">
        <is>
          <t>venn</t>
        </is>
      </c>
      <c r="C43" t="n">
        <v>0</v>
      </c>
      <c r="D43" t="inlineStr">
        <is>
          <t>DroneUnits</t>
        </is>
      </c>
      <c r="E43" t="inlineStr">
        <is>
          <t>Health</t>
        </is>
      </c>
      <c r="F43" t="n">
        <v>0.15</v>
      </c>
      <c r="G43" t="inlineStr">
        <is>
          <t>Assets/MachineBrigade/Scripts/Sim/Content/Commanders.cs#All (4.Lines[0])</t>
        </is>
      </c>
      <c r="H43" t="inlineStr">
        <is>
          <t>{"stat":"Health","value":0.15,"reach":"DroneUnits"}</t>
        </is>
      </c>
    </row>
    <row r="44">
      <c r="A44" t="inlineStr">
        <is>
          <t>venn/1</t>
        </is>
      </c>
      <c r="B44" t="inlineStr">
        <is>
          <t>venn</t>
        </is>
      </c>
      <c r="C44" t="n">
        <v>1</v>
      </c>
      <c r="D44" t="inlineStr">
        <is>
          <t>Drones</t>
        </is>
      </c>
      <c r="E44" t="inlineStr">
        <is>
          <t>Damage</t>
        </is>
      </c>
      <c r="F44" t="n">
        <v>0.1</v>
      </c>
      <c r="G44" t="inlineStr">
        <is>
          <t>Assets/MachineBrigade/Scripts/Sim/Content/Commanders.cs#All (4.Lines[1])</t>
        </is>
      </c>
      <c r="H44" t="inlineStr">
        <is>
          <t>{"stat":"Damage","value":0.1,"reach":"Drones"}</t>
        </is>
      </c>
    </row>
    <row r="45">
      <c r="A45" t="inlineStr">
        <is>
          <t>venn/2</t>
        </is>
      </c>
      <c r="B45" t="inlineStr">
        <is>
          <t>venn</t>
        </is>
      </c>
      <c r="C45" t="n">
        <v>2</v>
      </c>
      <c r="D45" t="inlineStr">
        <is>
          <t>Army</t>
        </is>
      </c>
      <c r="E45" t="inlineStr">
        <is>
          <t>SummonPower</t>
        </is>
      </c>
      <c r="F45" t="n">
        <v>0.1</v>
      </c>
      <c r="G45" t="inlineStr">
        <is>
          <t>Assets/MachineBrigade/Scripts/Sim/Content/Commanders.cs#All (4.Lines[2])</t>
        </is>
      </c>
      <c r="H45" t="inlineStr">
        <is>
          <t>{"stat":"SummonPower","value":0.1,"reach":"Army"}</t>
        </is>
      </c>
    </row>
    <row r="46">
      <c r="A46" t="inlineStr">
        <is>
          <t>venn/3</t>
        </is>
      </c>
      <c r="B46" t="inlineStr">
        <is>
          <t>venn</t>
        </is>
      </c>
      <c r="C46" t="n">
        <v>3</v>
      </c>
      <c r="D46" t="inlineStr">
        <is>
          <t>Tanks</t>
        </is>
      </c>
      <c r="E46" t="inlineStr">
        <is>
          <t>Damage</t>
        </is>
      </c>
      <c r="F46" t="n">
        <v>-0.05</v>
      </c>
      <c r="G46" t="inlineStr">
        <is>
          <t>Assets/MachineBrigade/Scripts/Sim/Content/Commanders.cs#All (4.Lines[3])</t>
        </is>
      </c>
      <c r="H46" t="inlineStr">
        <is>
          <t>{"stat":"Damage","value":-0.05,"reach":"Tanks"}</t>
        </is>
      </c>
    </row>
  </sheetData>
  <autoFilter ref="A1:H4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8" customWidth="1" min="5" max="5"/>
    <col width="60" customWidth="1" min="6" max="6"/>
    <col width="38" customWidth="1" min="7" max="7"/>
  </cols>
  <sheetData>
    <row r="1">
      <c r="A1" s="1" t="inlineStr">
        <is>
          <t>id</t>
        </is>
      </c>
      <c r="B1" s="1" t="inlineStr">
        <is>
          <t>commander_id</t>
        </is>
      </c>
      <c r="C1" s="1" t="inlineStr">
        <is>
          <t>thu_tu</t>
        </is>
      </c>
      <c r="D1" s="1" t="inlineStr">
        <is>
          <t>reach_m</t>
        </is>
      </c>
      <c r="E1" s="1" t="inlineStr">
        <is>
          <t>scale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brandt/0</t>
        </is>
      </c>
      <c r="B2" t="inlineStr">
        <is>
          <t>brandt</t>
        </is>
      </c>
      <c r="C2" t="n">
        <v>0</v>
      </c>
      <c r="D2" t="inlineStr">
        <is>
          <t>AirdropTowers</t>
        </is>
      </c>
      <c r="E2" t="n">
        <v>0.8</v>
      </c>
      <c r="F2" t="inlineStr">
        <is>
          <t>Assets/MachineBrigade/Scripts/Sim/Content/Commanders.cs#All (6.Prices[0])</t>
        </is>
      </c>
      <c r="G2" t="inlineStr">
        <is>
          <t>{"reach":"AirdropTowers","scale":0.8}</t>
        </is>
      </c>
    </row>
    <row r="3">
      <c r="A3" t="inlineStr">
        <is>
          <t>gen.kessler/0</t>
        </is>
      </c>
      <c r="B3" t="inlineStr">
        <is>
          <t>gen.kessler</t>
        </is>
      </c>
      <c r="C3" t="n">
        <v>0</v>
      </c>
      <c r="D3" t="inlineStr">
        <is>
          <t>Vehicles</t>
        </is>
      </c>
      <c r="E3" t="n">
        <v>0.9</v>
      </c>
      <c r="F3" t="inlineStr">
        <is>
          <t>Assets/MachineBrigade/Scripts/Sim/Content/Commanders.cs#Generals (3.Prices[0])</t>
        </is>
      </c>
      <c r="G3" t="inlineStr">
        <is>
          <t>{"reach":"Vehicles","scale":0.9}</t>
        </is>
      </c>
    </row>
    <row r="4">
      <c r="A4" t="inlineStr">
        <is>
          <t>lind/0</t>
        </is>
      </c>
      <c r="B4" t="inlineStr">
        <is>
          <t>lind</t>
        </is>
      </c>
      <c r="C4" t="n">
        <v>0</v>
      </c>
      <c r="D4" t="inlineStr">
        <is>
          <t>Engineers</t>
        </is>
      </c>
      <c r="E4" t="n">
        <v>0.8</v>
      </c>
      <c r="F4" t="inlineStr">
        <is>
          <t>Assets/MachineBrigade/Scripts/Sim/Content/Commanders.cs#All (1.Prices[0])</t>
        </is>
      </c>
      <c r="G4" t="inlineStr">
        <is>
          <t>{"reach":"Engineers","scale":0.8}</t>
        </is>
      </c>
    </row>
    <row r="5">
      <c r="A5" t="inlineStr">
        <is>
          <t>reyn/0</t>
        </is>
      </c>
      <c r="B5" t="inlineStr">
        <is>
          <t>reyn</t>
        </is>
      </c>
      <c r="C5" t="n">
        <v>0</v>
      </c>
      <c r="D5" t="inlineStr">
        <is>
          <t>Vehicles</t>
        </is>
      </c>
      <c r="E5" t="n">
        <v>1.1</v>
      </c>
      <c r="F5" t="inlineStr">
        <is>
          <t>Assets/MachineBrigade/Scripts/Sim/Content/Commanders.cs#All (11.Prices[0])</t>
        </is>
      </c>
      <c r="G5" t="inlineStr">
        <is>
          <t>{"reach":"Vehicles","scale":1.1}</t>
        </is>
      </c>
    </row>
    <row r="6">
      <c r="A6" t="inlineStr">
        <is>
          <t>varro/0</t>
        </is>
      </c>
      <c r="B6" t="inlineStr">
        <is>
          <t>varro</t>
        </is>
      </c>
      <c r="C6" t="n">
        <v>0</v>
      </c>
      <c r="D6" t="inlineStr">
        <is>
          <t>Cheap</t>
        </is>
      </c>
      <c r="E6" t="n">
        <v>0.85</v>
      </c>
      <c r="F6" t="inlineStr">
        <is>
          <t>Assets/MachineBrigade/Scripts/Sim/Content/Commanders.cs#All (10.Prices[0])</t>
        </is>
      </c>
      <c r="G6" t="inlineStr">
        <is>
          <t>{"reach":"Cheap","scale":0.85}</t>
        </is>
      </c>
    </row>
  </sheetData>
  <autoFilter ref="A1:G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25" customWidth="1" min="3" max="3"/>
    <col width="18" customWidth="1" min="4" max="4"/>
    <col width="23" customWidth="1" min="5" max="5"/>
    <col width="60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ben</t>
        </is>
      </c>
      <c r="C1" s="1" t="inlineStr">
        <is>
          <t>vai_tro</t>
        </is>
      </c>
      <c r="D1" s="1" t="inlineStr">
        <is>
          <t>base_cp_uoc_tinh</t>
        </is>
      </c>
      <c r="E1" s="1" t="inlineStr">
        <is>
          <t>thieu_vai_tro_hoan_cp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commander.adler</t>
        </is>
      </c>
      <c r="B2" t="inlineStr">
        <is>
          <t>commander</t>
        </is>
      </c>
      <c r="C2" t="inlineStr">
        <is>
          <t>scout;light</t>
        </is>
      </c>
      <c r="D2" t="n">
        <v>5</v>
      </c>
      <c r="E2" t="inlineStr">
        <is>
          <t>bo_vai_tro_giu_cp</t>
        </is>
      </c>
      <c r="F2" t="inlineStr">
        <is>
          <t>Assets/MachineBrigade/Resources/Data/balance.json: openingSquads.commanders.adler</t>
        </is>
      </c>
      <c r="G2" t="inlineStr">
        <is>
          <t>["scout","light"]</t>
        </is>
      </c>
    </row>
    <row r="3">
      <c r="A3" t="inlineStr">
        <is>
          <t>commander.brandt</t>
        </is>
      </c>
      <c r="B3" t="inlineStr">
        <is>
          <t>commander</t>
        </is>
      </c>
      <c r="C3" t="inlineStr">
        <is>
          <t>bunker;engineer</t>
        </is>
      </c>
      <c r="D3" t="n">
        <v>18</v>
      </c>
      <c r="E3" t="inlineStr">
        <is>
          <t>bo_vai_tro_giu_cp</t>
        </is>
      </c>
      <c r="F3" t="inlineStr">
        <is>
          <t>Assets/MachineBrigade/Resources/Data/balance.json: openingSquads.commanders.brandt</t>
        </is>
      </c>
      <c r="G3" t="inlineStr">
        <is>
          <t>["bunker","engineer"]</t>
        </is>
      </c>
    </row>
    <row r="4">
      <c r="A4" t="inlineStr">
        <is>
          <t>commander.brenn</t>
        </is>
      </c>
      <c r="B4" t="inlineStr">
        <is>
          <t>commander</t>
        </is>
      </c>
      <c r="C4" t="inlineStr"/>
      <c r="D4" t="n">
        <v>0</v>
      </c>
      <c r="E4" t="inlineStr">
        <is>
          <t>bo_vai_tro_giu_cp</t>
        </is>
      </c>
      <c r="F4" t="inlineStr">
        <is>
          <t>Assets/MachineBrigade/Resources/Data/balance.json: openingSquads.commanders.brenn</t>
        </is>
      </c>
      <c r="G4" t="inlineStr">
        <is>
          <t>[]</t>
        </is>
      </c>
    </row>
    <row r="5">
      <c r="A5" t="inlineStr">
        <is>
          <t>commander.dahl</t>
        </is>
      </c>
      <c r="B5" t="inlineStr">
        <is>
          <t>commander</t>
        </is>
      </c>
      <c r="C5" t="inlineStr">
        <is>
          <t>artillery;scout</t>
        </is>
      </c>
      <c r="D5" t="n">
        <v>6</v>
      </c>
      <c r="E5" t="inlineStr">
        <is>
          <t>bo_vai_tro_giu_cp</t>
        </is>
      </c>
      <c r="F5" t="inlineStr">
        <is>
          <t>Assets/MachineBrigade/Resources/Data/balance.json: openingSquads.commanders.dahl</t>
        </is>
      </c>
      <c r="G5" t="inlineStr">
        <is>
          <t>["artillery","scout"]</t>
        </is>
      </c>
    </row>
    <row r="6">
      <c r="A6" t="inlineStr">
        <is>
          <t>commander.kade</t>
        </is>
      </c>
      <c r="B6" t="inlineStr">
        <is>
          <t>commander</t>
        </is>
      </c>
      <c r="C6" t="inlineStr">
        <is>
          <t>mbt;scout</t>
        </is>
      </c>
      <c r="D6" t="n">
        <v>10</v>
      </c>
      <c r="E6" t="inlineStr">
        <is>
          <t>bo_vai_tro_giu_cp</t>
        </is>
      </c>
      <c r="F6" t="inlineStr">
        <is>
          <t>Assets/MachineBrigade/Resources/Data/balance.json: openingSquads.commanders.kade</t>
        </is>
      </c>
      <c r="G6" t="inlineStr">
        <is>
          <t>["mbt","scout"]</t>
        </is>
      </c>
    </row>
    <row r="7">
      <c r="A7" t="inlineStr">
        <is>
          <t>commander.kerr</t>
        </is>
      </c>
      <c r="B7" t="inlineStr">
        <is>
          <t>commander</t>
        </is>
      </c>
      <c r="C7" t="inlineStr">
        <is>
          <t>scout;scout;light</t>
        </is>
      </c>
      <c r="D7" t="n">
        <v>7</v>
      </c>
      <c r="E7" t="inlineStr">
        <is>
          <t>bo_vai_tro_giu_cp</t>
        </is>
      </c>
      <c r="F7" t="inlineStr">
        <is>
          <t>Assets/MachineBrigade/Resources/Data/balance.json: openingSquads.commanders.kerr</t>
        </is>
      </c>
      <c r="G7" t="inlineStr">
        <is>
          <t>["scout","scout","light"]</t>
        </is>
      </c>
    </row>
    <row r="8">
      <c r="A8" t="inlineStr">
        <is>
          <t>commander.lind</t>
        </is>
      </c>
      <c r="B8" t="inlineStr">
        <is>
          <t>commander</t>
        </is>
      </c>
      <c r="C8" t="inlineStr">
        <is>
          <t>engineer;repair;light</t>
        </is>
      </c>
      <c r="D8" t="n">
        <v>10</v>
      </c>
      <c r="E8" t="inlineStr">
        <is>
          <t>bo_vai_tro_giu_cp</t>
        </is>
      </c>
      <c r="F8" t="inlineStr">
        <is>
          <t>Assets/MachineBrigade/Resources/Data/balance.json: openingSquads.commanders.lind</t>
        </is>
      </c>
      <c r="G8" t="inlineStr">
        <is>
          <t>["engineer","repair","light"]</t>
        </is>
      </c>
    </row>
    <row r="9">
      <c r="A9" t="inlineStr">
        <is>
          <t>commander.mendez</t>
        </is>
      </c>
      <c r="B9" t="inlineStr">
        <is>
          <t>commander</t>
        </is>
      </c>
      <c r="C9" t="inlineStr">
        <is>
          <t>wheeled;light_tank;scout</t>
        </is>
      </c>
      <c r="D9" t="n">
        <v>8</v>
      </c>
      <c r="E9" t="inlineStr">
        <is>
          <t>bo_vai_tro_giu_cp</t>
        </is>
      </c>
      <c r="F9" t="inlineStr">
        <is>
          <t>Assets/MachineBrigade/Resources/Data/balance.json: openingSquads.commanders.mendez</t>
        </is>
      </c>
      <c r="G9" t="inlineStr">
        <is>
          <t>["wheeled","light_tank","scout"]</t>
        </is>
      </c>
    </row>
    <row r="10">
      <c r="A10" t="inlineStr">
        <is>
          <t>commander.okoye</t>
        </is>
      </c>
      <c r="B10" t="inlineStr">
        <is>
          <t>commander</t>
        </is>
      </c>
      <c r="C10" t="inlineStr"/>
      <c r="D10" t="n">
        <v>0</v>
      </c>
      <c r="E10" t="inlineStr">
        <is>
          <t>bo_vai_tro_giu_cp</t>
        </is>
      </c>
      <c r="F10" t="inlineStr">
        <is>
          <t>Assets/MachineBrigade/Resources/Data/balance.json: openingSquads.commanders.okoye</t>
        </is>
      </c>
      <c r="G10" t="inlineStr">
        <is>
          <t>[]</t>
        </is>
      </c>
    </row>
    <row r="11">
      <c r="A11" t="inlineStr">
        <is>
          <t>commander.quist</t>
        </is>
      </c>
      <c r="B11" t="inlineStr">
        <is>
          <t>commander</t>
        </is>
      </c>
      <c r="C11" t="inlineStr">
        <is>
          <t>fortify;light;scout</t>
        </is>
      </c>
      <c r="D11" t="n">
        <v>20</v>
      </c>
      <c r="E11" t="inlineStr">
        <is>
          <t>bo_vai_tro_giu_cp</t>
        </is>
      </c>
      <c r="F11" t="inlineStr">
        <is>
          <t>Assets/MachineBrigade/Resources/Data/balance.json: openingSquads.commanders.quist</t>
        </is>
      </c>
      <c r="G11" t="inlineStr">
        <is>
          <t>["fortify","light","scout"]</t>
        </is>
      </c>
    </row>
    <row r="12">
      <c r="A12" t="inlineStr">
        <is>
          <t>commander.reyes</t>
        </is>
      </c>
      <c r="B12" t="inlineStr">
        <is>
          <t>commander</t>
        </is>
      </c>
      <c r="C12" t="inlineStr">
        <is>
          <t>scout_heli;scout</t>
        </is>
      </c>
      <c r="D12" t="n">
        <v>8</v>
      </c>
      <c r="E12" t="inlineStr">
        <is>
          <t>bo_vai_tro_giu_cp</t>
        </is>
      </c>
      <c r="F12" t="inlineStr">
        <is>
          <t>Assets/MachineBrigade/Resources/Data/balance.json: openingSquads.commanders.reyes</t>
        </is>
      </c>
      <c r="G12" t="inlineStr">
        <is>
          <t>["scout_heli","scout"]</t>
        </is>
      </c>
    </row>
    <row r="13">
      <c r="A13" t="inlineStr">
        <is>
          <t>commander.reyn</t>
        </is>
      </c>
      <c r="B13" t="inlineStr">
        <is>
          <t>commander</t>
        </is>
      </c>
      <c r="C13" t="inlineStr">
        <is>
          <t>mbt</t>
        </is>
      </c>
      <c r="D13" t="n">
        <v>8</v>
      </c>
      <c r="E13" t="inlineStr">
        <is>
          <t>bo_vai_tro_giu_cp</t>
        </is>
      </c>
      <c r="F13" t="inlineStr">
        <is>
          <t>Assets/MachineBrigade/Resources/Data/balance.json: openingSquads.commanders.reyn</t>
        </is>
      </c>
      <c r="G13" t="inlineStr">
        <is>
          <t>["mbt"]</t>
        </is>
      </c>
    </row>
    <row r="14">
      <c r="A14" t="inlineStr">
        <is>
          <t>commander.varro</t>
        </is>
      </c>
      <c r="B14" t="inlineStr">
        <is>
          <t>commander</t>
        </is>
      </c>
      <c r="C14" t="inlineStr">
        <is>
          <t>cheap4;cheap4;cheap4</t>
        </is>
      </c>
      <c r="D14" t="n">
        <v>6</v>
      </c>
      <c r="E14" t="inlineStr">
        <is>
          <t>bo_vai_tro_giu_cp</t>
        </is>
      </c>
      <c r="F14" t="inlineStr">
        <is>
          <t>Assets/MachineBrigade/Resources/Data/balance.json: openingSquads.commanders.varro</t>
        </is>
      </c>
      <c r="G14" t="inlineStr">
        <is>
          <t>["cheap4","cheap4","cheap4"]</t>
        </is>
      </c>
    </row>
    <row r="15">
      <c r="A15" t="inlineStr">
        <is>
          <t>commander.venn</t>
        </is>
      </c>
      <c r="B15" t="inlineStr">
        <is>
          <t>commander</t>
        </is>
      </c>
      <c r="C15" t="inlineStr">
        <is>
          <t>fpv;scout</t>
        </is>
      </c>
      <c r="D15" t="n">
        <v>9</v>
      </c>
      <c r="E15" t="inlineStr">
        <is>
          <t>bo_vai_tro_giu_cp</t>
        </is>
      </c>
      <c r="F15" t="inlineStr">
        <is>
          <t>Assets/MachineBrigade/Resources/Data/balance.json: openingSquads.commanders.venn</t>
        </is>
      </c>
      <c r="G15" t="inlineStr">
        <is>
          <t>["fpv","scout"]</t>
        </is>
      </c>
    </row>
    <row r="16">
      <c r="A16" t="inlineStr">
        <is>
          <t>general.aurel</t>
        </is>
      </c>
      <c r="B16" t="inlineStr">
        <is>
          <t>general</t>
        </is>
      </c>
      <c r="C16" t="inlineStr">
        <is>
          <t>heavy</t>
        </is>
      </c>
      <c r="D16" t="n">
        <v>8</v>
      </c>
      <c r="E16" t="inlineStr">
        <is>
          <t>bo_vai_tro_giu_cp</t>
        </is>
      </c>
      <c r="F16" t="inlineStr">
        <is>
          <t>Assets/MachineBrigade/Resources/Data/balance.json: openingSquads.generals.aurel</t>
        </is>
      </c>
      <c r="G16" t="inlineStr">
        <is>
          <t>["heavy"]</t>
        </is>
      </c>
    </row>
    <row r="17">
      <c r="A17" t="inlineStr">
        <is>
          <t>general.default</t>
        </is>
      </c>
      <c r="B17" t="inlineStr">
        <is>
          <t>general</t>
        </is>
      </c>
      <c r="C17" t="inlineStr">
        <is>
          <t>scout;light</t>
        </is>
      </c>
      <c r="D17" t="n">
        <v>5</v>
      </c>
      <c r="E17" t="inlineStr">
        <is>
          <t>bo_vai_tro_giu_cp</t>
        </is>
      </c>
      <c r="F17" t="inlineStr">
        <is>
          <t>Assets/MachineBrigade/Resources/Data/balance.json: openingSquads.generals.default</t>
        </is>
      </c>
      <c r="G17" t="inlineStr">
        <is>
          <t>["scout","light"]</t>
        </is>
      </c>
    </row>
    <row r="18">
      <c r="A18" t="inlineStr">
        <is>
          <t>general.kessler</t>
        </is>
      </c>
      <c r="B18" t="inlineStr">
        <is>
          <t>general</t>
        </is>
      </c>
      <c r="C18" t="inlineStr">
        <is>
          <t>mine_layer;light</t>
        </is>
      </c>
      <c r="D18" t="n">
        <v>9</v>
      </c>
      <c r="E18" t="inlineStr">
        <is>
          <t>bo_vai_tro_giu_cp</t>
        </is>
      </c>
      <c r="F18" t="inlineStr">
        <is>
          <t>Assets/MachineBrigade/Resources/Data/balance.json: openingSquads.generals.kessler</t>
        </is>
      </c>
      <c r="G18" t="inlineStr">
        <is>
          <t>["mine_layer","light"]</t>
        </is>
      </c>
    </row>
    <row r="19">
      <c r="A19" t="inlineStr">
        <is>
          <t>general.orlov</t>
        </is>
      </c>
      <c r="B19" t="inlineStr">
        <is>
          <t>general</t>
        </is>
      </c>
      <c r="C19" t="inlineStr">
        <is>
          <t>artillery;scout</t>
        </is>
      </c>
      <c r="D19" t="n">
        <v>6</v>
      </c>
      <c r="E19" t="inlineStr">
        <is>
          <t>bo_vai_tro_giu_cp</t>
        </is>
      </c>
      <c r="F19" t="inlineStr">
        <is>
          <t>Assets/MachineBrigade/Resources/Data/balance.json: openingSquads.generals.orlov</t>
        </is>
      </c>
      <c r="G19" t="inlineStr">
        <is>
          <t>["artillery","scout"]</t>
        </is>
      </c>
    </row>
    <row r="20">
      <c r="A20" t="inlineStr">
        <is>
          <t>general.sen</t>
        </is>
      </c>
      <c r="B20" t="inlineStr">
        <is>
          <t>general</t>
        </is>
      </c>
      <c r="C20" t="inlineStr">
        <is>
          <t>drone</t>
        </is>
      </c>
      <c r="D20" t="n">
        <v>7</v>
      </c>
      <c r="E20" t="inlineStr">
        <is>
          <t>bo_vai_tro_giu_cp</t>
        </is>
      </c>
      <c r="F20" t="inlineStr">
        <is>
          <t>Assets/MachineBrigade/Resources/Data/balance.json: openingSquads.generals.sen</t>
        </is>
      </c>
      <c r="G20" t="inlineStr">
        <is>
          <t>["drone"]</t>
        </is>
      </c>
    </row>
    <row r="21">
      <c r="A21" t="inlineStr">
        <is>
          <t>general.thorne</t>
        </is>
      </c>
      <c r="B21" t="inlineStr">
        <is>
          <t>general</t>
        </is>
      </c>
      <c r="C21" t="inlineStr">
        <is>
          <t>mbt</t>
        </is>
      </c>
      <c r="D21" t="n">
        <v>8</v>
      </c>
      <c r="E21" t="inlineStr">
        <is>
          <t>bo_vai_tro_giu_cp</t>
        </is>
      </c>
      <c r="F21" t="inlineStr">
        <is>
          <t>Assets/MachineBrigade/Resources/Data/balance.json: openingSquads.generals.thorne</t>
        </is>
      </c>
      <c r="G21" t="inlineStr">
        <is>
          <t>["mbt"]</t>
        </is>
      </c>
    </row>
    <row r="22">
      <c r="A22" t="inlineStr">
        <is>
          <t>general.varga</t>
        </is>
      </c>
      <c r="B22" t="inlineStr">
        <is>
          <t>general</t>
        </is>
      </c>
      <c r="C22" t="inlineStr">
        <is>
          <t>tank</t>
        </is>
      </c>
      <c r="D22" t="n">
        <v>3</v>
      </c>
      <c r="E22" t="inlineStr">
        <is>
          <t>bo_vai_tro_giu_cp</t>
        </is>
      </c>
      <c r="F22" t="inlineStr">
        <is>
          <t>Assets/MachineBrigade/Resources/Data/balance.json: openingSquads.generals.varga</t>
        </is>
      </c>
      <c r="G22" t="inlineStr">
        <is>
          <t>["tank"]</t>
        </is>
      </c>
    </row>
    <row r="23">
      <c r="A23" t="inlineStr">
        <is>
          <t>general.venn</t>
        </is>
      </c>
      <c r="B23" t="inlineStr">
        <is>
          <t>general</t>
        </is>
      </c>
      <c r="C23" t="inlineStr">
        <is>
          <t>drone</t>
        </is>
      </c>
      <c r="D23" t="n">
        <v>7</v>
      </c>
      <c r="E23" t="inlineStr">
        <is>
          <t>bo_vai_tro_giu_cp</t>
        </is>
      </c>
      <c r="F23" t="inlineStr">
        <is>
          <t>Assets/MachineBrigade/Resources/Data/balance.json: openingSquads.generals.venn</t>
        </is>
      </c>
      <c r="G23" t="inlineStr">
        <is>
          <t>["drone"]</t>
        </is>
      </c>
    </row>
    <row r="24">
      <c r="A24" t="inlineStr">
        <is>
          <t>general.wolff</t>
        </is>
      </c>
      <c r="B24" t="inlineStr">
        <is>
          <t>general</t>
        </is>
      </c>
      <c r="C24" t="inlineStr">
        <is>
          <t>heli</t>
        </is>
      </c>
      <c r="D24" t="n">
        <v>6</v>
      </c>
      <c r="E24" t="inlineStr">
        <is>
          <t>bo_vai_tro_giu_cp</t>
        </is>
      </c>
      <c r="F24" t="inlineStr">
        <is>
          <t>Assets/MachineBrigade/Resources/Data/balance.json: openingSquads.generals.wolff</t>
        </is>
      </c>
      <c r="G24" t="inlineStr">
        <is>
          <t>["heli"]</t>
        </is>
      </c>
    </row>
  </sheetData>
  <autoFilter ref="A1:G2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0" customWidth="1" min="2" max="2"/>
    <col width="11" customWidth="1" min="3" max="3"/>
    <col width="18" customWidth="1" min="4" max="4"/>
    <col width="12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ung_vien</t>
        </is>
      </c>
      <c r="C1" s="1" t="inlineStr">
        <is>
          <t>cp_toi_da</t>
        </is>
      </c>
      <c r="D1" s="1" t="inlineStr">
        <is>
          <t>re_nhat</t>
        </is>
      </c>
      <c r="E1" s="1" t="inlineStr">
        <is>
          <t>re_nhat_cp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artillery</t>
        </is>
      </c>
      <c r="B2" t="inlineStr">
        <is>
          <t>mortar_carrier;sp_mortar;artillery</t>
        </is>
      </c>
      <c r="D2" t="inlineStr">
        <is>
          <t>mortar_carrier</t>
        </is>
      </c>
      <c r="E2" t="n">
        <v>4</v>
      </c>
      <c r="F2" t="inlineStr">
        <is>
          <t>Assets/MachineBrigade/Resources/Data/balance.json: openingSquads.roles.artillery</t>
        </is>
      </c>
      <c r="G2" t="inlineStr">
        <is>
          <t>["mortar_carrier","sp_mortar","artillery"]</t>
        </is>
      </c>
    </row>
    <row r="3">
      <c r="A3" t="inlineStr">
        <is>
          <t>bunker</t>
        </is>
      </c>
      <c r="B3" t="inlineStr">
        <is>
          <t>siege_tank</t>
        </is>
      </c>
      <c r="D3" t="inlineStr">
        <is>
          <t>siege_tank</t>
        </is>
      </c>
      <c r="E3" t="n">
        <v>15</v>
      </c>
      <c r="F3" t="inlineStr">
        <is>
          <t>Assets/MachineBrigade/Resources/Data/balance.json: openingSquads.roles.bunker</t>
        </is>
      </c>
      <c r="G3" t="inlineStr">
        <is>
          <t>["siege_tank"]</t>
        </is>
      </c>
    </row>
    <row r="4">
      <c r="A4" t="inlineStr">
        <is>
          <t>cheap4</t>
        </is>
      </c>
      <c r="C4" t="n">
        <v>4</v>
      </c>
      <c r="D4" t="inlineStr">
        <is>
          <t>scout_jeep</t>
        </is>
      </c>
      <c r="E4" t="n">
        <v>2</v>
      </c>
      <c r="F4" t="inlineStr">
        <is>
          <t>Assets/MachineBrigade/Resources/Data/balance.json: openingSquads.roles.cheap4</t>
        </is>
      </c>
      <c r="G4" t="inlineStr">
        <is>
          <t>{"maxCp":4}</t>
        </is>
      </c>
    </row>
    <row r="5">
      <c r="A5" t="inlineStr">
        <is>
          <t>drone</t>
        </is>
      </c>
      <c r="B5" t="inlineStr">
        <is>
          <t>fpv_carrier</t>
        </is>
      </c>
      <c r="D5" t="inlineStr">
        <is>
          <t>fpv_carrier</t>
        </is>
      </c>
      <c r="E5" t="n">
        <v>7</v>
      </c>
      <c r="F5" t="inlineStr">
        <is>
          <t>Assets/MachineBrigade/Resources/Data/balance.json: openingSquads.roles.drone</t>
        </is>
      </c>
      <c r="G5" t="inlineStr">
        <is>
          <t>["fpv_carrier"]</t>
        </is>
      </c>
    </row>
    <row r="6">
      <c r="A6" t="inlineStr">
        <is>
          <t>engineer</t>
        </is>
      </c>
      <c r="B6" t="inlineStr">
        <is>
          <t>engineer_vehicle;demolition_line_vehicle</t>
        </is>
      </c>
      <c r="D6" t="inlineStr">
        <is>
          <t>engineer_vehicle</t>
        </is>
      </c>
      <c r="E6" t="n">
        <v>3</v>
      </c>
      <c r="F6" t="inlineStr">
        <is>
          <t>Assets/MachineBrigade/Resources/Data/balance.json: openingSquads.roles.engineer</t>
        </is>
      </c>
      <c r="G6" t="inlineStr">
        <is>
          <t>["engineer_vehicle","demolition_line_vehicle"]</t>
        </is>
      </c>
    </row>
    <row r="7">
      <c r="A7" t="inlineStr">
        <is>
          <t>fortify</t>
        </is>
      </c>
      <c r="B7" t="inlineStr">
        <is>
          <t>siege_tank</t>
        </is>
      </c>
      <c r="D7" t="inlineStr">
        <is>
          <t>siege_tank</t>
        </is>
      </c>
      <c r="E7" t="n">
        <v>15</v>
      </c>
      <c r="F7" t="inlineStr">
        <is>
          <t>Assets/MachineBrigade/Resources/Data/balance.json: openingSquads.roles.fortify</t>
        </is>
      </c>
      <c r="G7" t="inlineStr">
        <is>
          <t>["siege_tank"]</t>
        </is>
      </c>
    </row>
    <row r="8">
      <c r="A8" t="inlineStr">
        <is>
          <t>fpv</t>
        </is>
      </c>
      <c r="B8" t="inlineStr">
        <is>
          <t>fpv_carrier</t>
        </is>
      </c>
      <c r="D8" t="inlineStr">
        <is>
          <t>fpv_carrier</t>
        </is>
      </c>
      <c r="E8" t="n">
        <v>7</v>
      </c>
      <c r="F8" t="inlineStr">
        <is>
          <t>Assets/MachineBrigade/Resources/Data/balance.json: openingSquads.roles.fpv</t>
        </is>
      </c>
      <c r="G8" t="inlineStr">
        <is>
          <t>["fpv_carrier"]</t>
        </is>
      </c>
    </row>
    <row r="9">
      <c r="A9" t="inlineStr">
        <is>
          <t>heavy</t>
        </is>
      </c>
      <c r="B9" t="inlineStr">
        <is>
          <t>heavy_tank;twin_tank;armored_bulldozer;titan_tank</t>
        </is>
      </c>
      <c r="D9" t="inlineStr">
        <is>
          <t>armored_bulldozer</t>
        </is>
      </c>
      <c r="E9" t="n">
        <v>8</v>
      </c>
      <c r="F9" t="inlineStr">
        <is>
          <t>Assets/MachineBrigade/Resources/Data/balance.json: openingSquads.roles.heavy</t>
        </is>
      </c>
      <c r="G9" t="inlineStr">
        <is>
          <t>["heavy_tank","twin_tank","armored_bulldozer","titan_tank"]</t>
        </is>
      </c>
    </row>
    <row r="10">
      <c r="A10" t="inlineStr">
        <is>
          <t>heli</t>
        </is>
      </c>
      <c r="B10" t="inlineStr">
        <is>
          <t>attack_helicopter;scout_heli</t>
        </is>
      </c>
      <c r="D10" t="inlineStr">
        <is>
          <t>scout_heli</t>
        </is>
      </c>
      <c r="E10" t="n">
        <v>6</v>
      </c>
      <c r="F10" t="inlineStr">
        <is>
          <t>Assets/MachineBrigade/Resources/Data/balance.json: openingSquads.roles.heli</t>
        </is>
      </c>
      <c r="G10" t="inlineStr">
        <is>
          <t>["attack_helicopter","scout_heli"]</t>
        </is>
      </c>
    </row>
    <row r="11">
      <c r="A11" t="inlineStr">
        <is>
          <t>light</t>
        </is>
      </c>
      <c r="B11" t="inlineStr">
        <is>
          <t>armored_car;rocket_technical;recoilless_jeep;zu23_technical</t>
        </is>
      </c>
      <c r="D11" t="inlineStr">
        <is>
          <t>armored_car</t>
        </is>
      </c>
      <c r="E11" t="n">
        <v>3</v>
      </c>
      <c r="F11" t="inlineStr">
        <is>
          <t>Assets/MachineBrigade/Resources/Data/balance.json: openingSquads.roles.light</t>
        </is>
      </c>
      <c r="G11" t="inlineStr">
        <is>
          <t>["armored_car","rocket_technical","recoilless_jeep","zu23_technical"]</t>
        </is>
      </c>
    </row>
    <row r="12">
      <c r="A12" t="inlineStr">
        <is>
          <t>light_tank</t>
        </is>
      </c>
      <c r="B12" t="inlineStr">
        <is>
          <t>light_tank</t>
        </is>
      </c>
      <c r="D12" t="inlineStr">
        <is>
          <t>light_tank</t>
        </is>
      </c>
      <c r="E12" t="n">
        <v>3</v>
      </c>
      <c r="F12" t="inlineStr">
        <is>
          <t>Assets/MachineBrigade/Resources/Data/balance.json: openingSquads.roles.light_tank</t>
        </is>
      </c>
      <c r="G12" t="inlineStr">
        <is>
          <t>["light_tank"]</t>
        </is>
      </c>
    </row>
    <row r="13">
      <c r="A13" t="inlineStr">
        <is>
          <t>mbt</t>
        </is>
      </c>
      <c r="B13" t="inlineStr">
        <is>
          <t>main_battle_tank;next_gen_tank;twin_tank</t>
        </is>
      </c>
      <c r="D13" t="inlineStr">
        <is>
          <t>main_battle_tank</t>
        </is>
      </c>
      <c r="E13" t="n">
        <v>8</v>
      </c>
      <c r="F13" t="inlineStr">
        <is>
          <t>Assets/MachineBrigade/Resources/Data/balance.json: openingSquads.roles.mbt</t>
        </is>
      </c>
      <c r="G13" t="inlineStr">
        <is>
          <t>["main_battle_tank","next_gen_tank","twin_tank"]</t>
        </is>
      </c>
    </row>
    <row r="14">
      <c r="A14" t="inlineStr">
        <is>
          <t>mine_layer</t>
        </is>
      </c>
      <c r="B14" t="inlineStr">
        <is>
          <t>mine_layer</t>
        </is>
      </c>
      <c r="D14" t="inlineStr">
        <is>
          <t>mine_layer</t>
        </is>
      </c>
      <c r="E14" t="n">
        <v>6</v>
      </c>
      <c r="F14" t="inlineStr">
        <is>
          <t>Assets/MachineBrigade/Resources/Data/balance.json: openingSquads.roles.mine_layer</t>
        </is>
      </c>
      <c r="G14" t="inlineStr">
        <is>
          <t>["mine_layer"]</t>
        </is>
      </c>
    </row>
    <row r="15">
      <c r="A15" t="inlineStr">
        <is>
          <t>repair</t>
        </is>
      </c>
      <c r="B15" t="inlineStr">
        <is>
          <t>ammo_carrier</t>
        </is>
      </c>
      <c r="D15" t="inlineStr">
        <is>
          <t>ammo_carrier</t>
        </is>
      </c>
      <c r="E15" t="n">
        <v>4</v>
      </c>
      <c r="F15" t="inlineStr">
        <is>
          <t>Assets/MachineBrigade/Resources/Data/balance.json: openingSquads.roles.repair</t>
        </is>
      </c>
      <c r="G15" t="inlineStr">
        <is>
          <t>["ammo_carrier"]</t>
        </is>
      </c>
    </row>
    <row r="16">
      <c r="A16" t="inlineStr">
        <is>
          <t>scout</t>
        </is>
      </c>
      <c r="B16" t="inlineStr">
        <is>
          <t>scout_jeep</t>
        </is>
      </c>
      <c r="D16" t="inlineStr">
        <is>
          <t>scout_jeep</t>
        </is>
      </c>
      <c r="E16" t="n">
        <v>2</v>
      </c>
      <c r="F16" t="inlineStr">
        <is>
          <t>Assets/MachineBrigade/Resources/Data/balance.json: openingSquads.roles.scout</t>
        </is>
      </c>
      <c r="G16" t="inlineStr">
        <is>
          <t>["scout_jeep"]</t>
        </is>
      </c>
    </row>
    <row r="17">
      <c r="A17" t="inlineStr">
        <is>
          <t>scout_heli</t>
        </is>
      </c>
      <c r="B17" t="inlineStr">
        <is>
          <t>scout_heli</t>
        </is>
      </c>
      <c r="D17" t="inlineStr">
        <is>
          <t>scout_heli</t>
        </is>
      </c>
      <c r="E17" t="n">
        <v>6</v>
      </c>
      <c r="F17" t="inlineStr">
        <is>
          <t>Assets/MachineBrigade/Resources/Data/balance.json: openingSquads.roles.scout_heli</t>
        </is>
      </c>
      <c r="G17" t="inlineStr">
        <is>
          <t>["scout_heli"]</t>
        </is>
      </c>
    </row>
    <row r="18">
      <c r="A18" t="inlineStr">
        <is>
          <t>tank</t>
        </is>
      </c>
      <c r="B18" t="inlineStr">
        <is>
          <t>light_tank;main_battle_tank;next_gen_tank;twin_tank;heavy_tank</t>
        </is>
      </c>
      <c r="D18" t="inlineStr">
        <is>
          <t>light_tank</t>
        </is>
      </c>
      <c r="E18" t="n">
        <v>3</v>
      </c>
      <c r="F18" t="inlineStr">
        <is>
          <t>Assets/MachineBrigade/Resources/Data/balance.json: openingSquads.roles.tank</t>
        </is>
      </c>
      <c r="G18" t="inlineStr">
        <is>
          <t>["light_tank","main_battle_tank","next_gen_tank","twin_tank","heavy_tank"]</t>
        </is>
      </c>
    </row>
    <row r="19">
      <c r="A19" t="inlineStr">
        <is>
          <t>wheeled</t>
        </is>
      </c>
      <c r="B19" t="inlineStr">
        <is>
          <t>armored_car;wheeled_gun;ifv</t>
        </is>
      </c>
      <c r="D19" t="inlineStr">
        <is>
          <t>armored_car</t>
        </is>
      </c>
      <c r="E19" t="n">
        <v>3</v>
      </c>
      <c r="F19" t="inlineStr">
        <is>
          <t>Assets/MachineBrigade/Resources/Data/balance.json: openingSquads.roles.wheeled</t>
        </is>
      </c>
      <c r="G19" t="inlineStr">
        <is>
          <t>["armored_car","wheeled_gun","ifv"]</t>
        </is>
      </c>
    </row>
  </sheetData>
  <autoFilter ref="A1:G19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2" customWidth="1" min="4" max="4"/>
    <col width="60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enemyModes</t>
        </is>
      </c>
      <c r="B2" t="inlineStr">
        <is>
          <t>openingSquads</t>
        </is>
      </c>
      <c r="C2" t="inlineStr">
        <is>
          <t>enemyModes</t>
        </is>
      </c>
      <c r="E2" t="inlineStr">
        <is>
          <t>Conquest;Deathmatch;KingOfTheHill;Assault;Siege;Showdown</t>
        </is>
      </c>
      <c r="F2" t="inlineStr"/>
      <c r="G2" t="inlineStr">
        <is>
          <t>Assets/MachineBrigade/Resources/Data/balance.json: openingSquads.enemyModes</t>
        </is>
      </c>
      <c r="H2" t="inlineStr">
        <is>
          <t>["Conquest","Deathmatch","KingOfTheHill","Assault","Siege","Showdown"]</t>
        </is>
      </c>
    </row>
    <row r="3">
      <c r="A3" t="inlineStr">
        <is>
          <t>modes</t>
        </is>
      </c>
      <c r="B3" t="inlineStr">
        <is>
          <t>openingSquads</t>
        </is>
      </c>
      <c r="C3" t="inlineStr">
        <is>
          <t>modes</t>
        </is>
      </c>
      <c r="E3" t="inlineStr">
        <is>
          <t>Conquest;Deathmatch;KingOfTheHill;Assault;Siege;Defend;Endless;Survival;BossRush;Showdown</t>
        </is>
      </c>
      <c r="F3" t="inlineStr"/>
      <c r="G3" t="inlineStr">
        <is>
          <t>Assets/MachineBrigade/Resources/Data/balance.json: openingSquads.modes</t>
        </is>
      </c>
      <c r="H3" t="inlineStr">
        <is>
          <t>["Conquest","Deathmatch","KingOfTheHill","Assault","Siege","Defend","Endless","Survival","BossRush","Showdown"]</t>
        </is>
      </c>
    </row>
    <row r="4">
      <c r="A4" t="inlineStr">
        <is>
          <t>share</t>
        </is>
      </c>
      <c r="B4" t="inlineStr">
        <is>
          <t>openingSquads</t>
        </is>
      </c>
      <c r="C4" t="inlineStr">
        <is>
          <t>share</t>
        </is>
      </c>
      <c r="D4" t="n">
        <v>0.6</v>
      </c>
      <c r="F4" t="inlineStr"/>
      <c r="G4" t="inlineStr">
        <is>
          <t>Assets/MachineBrigade/Resources/Data/balance.json: openingSquads.share</t>
        </is>
      </c>
      <c r="H4" t="inlineStr">
        <is>
          <t>0.6</t>
        </is>
      </c>
    </row>
  </sheetData>
  <autoFilter ref="A1:H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7" customWidth="1" min="2" max="2"/>
    <col width="17" customWidth="1" min="3" max="3"/>
    <col width="12" customWidth="1" min="4" max="4"/>
    <col width="19" customWidth="1" min="5" max="5"/>
    <col width="12" customWidth="1" min="6" max="6"/>
    <col width="10" customWidth="1" min="7" max="7"/>
    <col width="12" customWidth="1" min="8" max="8"/>
    <col width="6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ten_vi_spec</t>
        </is>
      </c>
      <c r="C1" s="1" t="inlineStr">
        <is>
          <t>don_vi_id</t>
        </is>
      </c>
      <c r="D1" s="1" t="inlineStr">
        <is>
          <t>toc_do_m_s</t>
        </is>
      </c>
      <c r="E1" s="1" t="inlineStr">
        <is>
          <t>mau_trong_tran_hp</t>
        </is>
      </c>
      <c r="F1" s="1" t="inlineStr">
        <is>
          <t>giap_truoc</t>
        </is>
      </c>
      <c r="G1" s="1" t="inlineStr">
        <is>
          <t>giap_noc</t>
        </is>
      </c>
      <c r="H1" s="1" t="inlineStr">
        <is>
          <t>cong_trinh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armored_car</t>
        </is>
      </c>
      <c r="B2" t="inlineStr">
        <is>
          <t>Xe bọc thép bánh lốp</t>
        </is>
      </c>
      <c r="C2" t="inlineStr">
        <is>
          <t>armored_car</t>
        </is>
      </c>
      <c r="D2" t="n">
        <v>11.5</v>
      </c>
      <c r="E2" t="n">
        <v>660</v>
      </c>
      <c r="F2" t="n">
        <v>1</v>
      </c>
      <c r="G2" t="n">
        <v>0</v>
      </c>
      <c r="H2" t="b">
        <v>0</v>
      </c>
      <c r="I2" t="inlineStr">
        <is>
          <t>Docs/prompts/export_full_vi.txt (spec 03 B)</t>
        </is>
      </c>
      <c r="J2" t="inlineStr"/>
    </row>
    <row r="3">
      <c r="A3" t="inlineStr">
        <is>
          <t>gun_turret</t>
        </is>
      </c>
      <c r="B3" t="inlineStr">
        <is>
          <t>Tháp vừa (pháo)</t>
        </is>
      </c>
      <c r="C3" t="inlineStr">
        <is>
          <t>gun_turret</t>
        </is>
      </c>
      <c r="D3" t="n">
        <v>0</v>
      </c>
      <c r="E3" t="n">
        <v>3960</v>
      </c>
      <c r="F3" t="n">
        <v>3</v>
      </c>
      <c r="G3" t="n">
        <v>3</v>
      </c>
      <c r="H3" t="b">
        <v>1</v>
      </c>
      <c r="I3" t="inlineStr">
        <is>
          <t>Docs/prompts/export_full_vi.txt (spec 03 B)</t>
        </is>
      </c>
      <c r="J3" t="inlineStr"/>
    </row>
    <row r="4">
      <c r="A4" t="inlineStr">
        <is>
          <t>heavy_tank</t>
        </is>
      </c>
      <c r="B4" t="inlineStr">
        <is>
          <t>Tăng hạng nặng</t>
        </is>
      </c>
      <c r="C4" t="inlineStr">
        <is>
          <t>heavy_tank</t>
        </is>
      </c>
      <c r="D4" t="n">
        <v>4.2</v>
      </c>
      <c r="E4" t="n">
        <v>4470.4</v>
      </c>
      <c r="F4" t="n">
        <v>4</v>
      </c>
      <c r="G4" t="n">
        <v>2</v>
      </c>
      <c r="H4" t="b">
        <v>0</v>
      </c>
      <c r="I4" t="inlineStr">
        <is>
          <t>Docs/prompts/export_full_vi.txt (spec 03 B)</t>
        </is>
      </c>
      <c r="J4" t="inlineStr"/>
    </row>
    <row r="5">
      <c r="A5" t="inlineStr">
        <is>
          <t>ifv</t>
        </is>
      </c>
      <c r="B5" t="inlineStr">
        <is>
          <t>Xe chiến đấu bộ binh</t>
        </is>
      </c>
      <c r="C5" t="inlineStr">
        <is>
          <t>ifv</t>
        </is>
      </c>
      <c r="D5" t="n">
        <v>8</v>
      </c>
      <c r="E5" t="n">
        <v>1370.6</v>
      </c>
      <c r="F5" t="n">
        <v>2</v>
      </c>
      <c r="G5" t="n">
        <v>0</v>
      </c>
      <c r="H5" t="b">
        <v>0</v>
      </c>
      <c r="I5" t="inlineStr">
        <is>
          <t>Docs/prompts/export_full_vi.txt (spec 03 B)</t>
        </is>
      </c>
      <c r="J5" t="inlineStr"/>
    </row>
    <row r="6">
      <c r="A6" t="inlineStr">
        <is>
          <t>main_battle_tank</t>
        </is>
      </c>
      <c r="B6" t="inlineStr">
        <is>
          <t>Tăng chủ lực</t>
        </is>
      </c>
      <c r="C6" t="inlineStr">
        <is>
          <t>main_battle_tank</t>
        </is>
      </c>
      <c r="D6" t="n">
        <v>6.5</v>
      </c>
      <c r="E6" t="n">
        <v>2310</v>
      </c>
      <c r="F6" t="n">
        <v>4</v>
      </c>
      <c r="G6" t="n">
        <v>1</v>
      </c>
      <c r="H6" t="b">
        <v>0</v>
      </c>
      <c r="I6" t="inlineStr">
        <is>
          <t>Docs/prompts/export_full_vi.txt (spec 03 B)</t>
        </is>
      </c>
      <c r="J6" t="inlineStr"/>
    </row>
    <row r="7">
      <c r="A7" t="inlineStr">
        <is>
          <t>xe_cham_tham_chieu</t>
        </is>
      </c>
      <c r="B7" t="inlineStr">
        <is>
          <t>xe chậm tham chiếu của vòng cảnh báo</t>
        </is>
      </c>
      <c r="D7" t="n">
        <v>4.5</v>
      </c>
      <c r="I7" t="inlineStr">
        <is>
          <t>Assets/MachineBrigade/Resources/Data/balance.json: warningRules.escapeSpeed (xem 01_chien_dau/Canh_bao_vong)</t>
        </is>
      </c>
      <c r="J7" t="inlineStr"/>
    </row>
  </sheetData>
  <autoFilter ref="A1:J7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14" customWidth="1" min="4" max="4"/>
    <col width="14" customWidth="1" min="5" max="5"/>
    <col width="8" customWidth="1" min="6" max="6"/>
    <col width="17" customWidth="1" min="7" max="7"/>
    <col width="47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sat_thuong_moi_phat</t>
        </is>
      </c>
      <c r="C1" s="1" t="inlineStr">
        <is>
          <t>so_phat_moi_loat</t>
        </is>
      </c>
      <c r="D1" s="1" t="inlineStr">
        <is>
          <t>so_loat_mang</t>
        </is>
      </c>
      <c r="E1" s="1" t="inlineStr">
        <is>
          <t>dat_boi_boss</t>
        </is>
      </c>
      <c r="F1" s="1" t="inlineStr">
        <is>
          <t>xuyen</t>
        </is>
      </c>
      <c r="G1" s="1" t="inlineStr">
        <is>
          <t>loai_sat_thuong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air_to_air</t>
        </is>
      </c>
      <c r="B2" t="n">
        <v>294</v>
      </c>
      <c r="C2" t="n">
        <v>1</v>
      </c>
      <c r="D2" t="n">
        <v>0</v>
      </c>
      <c r="E2" t="b">
        <v>0</v>
      </c>
      <c r="F2" t="n">
        <v>3</v>
      </c>
      <c r="G2" t="inlineStr">
        <is>
          <t>Fragmentation</t>
        </is>
      </c>
      <c r="H2" t="inlineStr">
        <is>
          <t>01_chien_dau/Vu_khi (id air_to_air)</t>
        </is>
      </c>
      <c r="I2" t="inlineStr"/>
    </row>
    <row r="3">
      <c r="A3" t="inlineStr">
        <is>
          <t>amos_120</t>
        </is>
      </c>
      <c r="B3" t="n">
        <v>214</v>
      </c>
      <c r="C3" t="n">
        <v>4</v>
      </c>
      <c r="D3" t="n">
        <v>0</v>
      </c>
      <c r="E3" t="b">
        <v>0</v>
      </c>
      <c r="F3" t="n">
        <v>2</v>
      </c>
      <c r="G3" t="inlineStr">
        <is>
          <t>HighExplosive</t>
        </is>
      </c>
      <c r="H3" t="inlineStr">
        <is>
          <t>01_chien_dau/Vu_khi (id amos_120)</t>
        </is>
      </c>
      <c r="I3" t="inlineStr"/>
    </row>
    <row r="4">
      <c r="A4" t="inlineStr">
        <is>
          <t>autocannon_25</t>
        </is>
      </c>
      <c r="B4" t="n">
        <v>17</v>
      </c>
      <c r="C4" t="n">
        <v>8</v>
      </c>
      <c r="D4" t="n">
        <v>0</v>
      </c>
      <c r="E4" t="b">
        <v>0</v>
      </c>
      <c r="F4" t="n">
        <v>2</v>
      </c>
      <c r="G4" t="inlineStr">
        <is>
          <t>Kinetic</t>
        </is>
      </c>
      <c r="H4" t="inlineStr">
        <is>
          <t>01_chien_dau/Vu_khi (id autocannon_25)</t>
        </is>
      </c>
      <c r="I4" t="inlineStr"/>
    </row>
    <row r="5">
      <c r="A5" t="inlineStr">
        <is>
          <t>autocannon_30</t>
        </is>
      </c>
      <c r="B5" t="n">
        <v>22</v>
      </c>
      <c r="C5" t="n">
        <v>10</v>
      </c>
      <c r="D5" t="n">
        <v>0</v>
      </c>
      <c r="E5" t="b">
        <v>0</v>
      </c>
      <c r="F5" t="n">
        <v>2</v>
      </c>
      <c r="G5" t="inlineStr">
        <is>
          <t>Kinetic</t>
        </is>
      </c>
      <c r="H5" t="inlineStr">
        <is>
          <t>01_chien_dau/Vu_khi (id autocannon_30)</t>
        </is>
      </c>
      <c r="I5" t="inlineStr"/>
    </row>
    <row r="6">
      <c r="A6" t="inlineStr">
        <is>
          <t>ballistic_missile</t>
        </is>
      </c>
      <c r="B6" t="n">
        <v>630</v>
      </c>
      <c r="C6" t="n">
        <v>2</v>
      </c>
      <c r="D6" t="n">
        <v>2</v>
      </c>
      <c r="E6" t="b">
        <v>0</v>
      </c>
      <c r="F6" t="n">
        <v>4</v>
      </c>
      <c r="G6" t="inlineStr">
        <is>
          <t>HighExplosive</t>
        </is>
      </c>
      <c r="H6" t="inlineStr">
        <is>
          <t>01_chien_dau/Vu_khi (id ballistic_missile)</t>
        </is>
      </c>
      <c r="I6" t="inlineStr"/>
    </row>
    <row r="7">
      <c r="A7" t="inlineStr">
        <is>
          <t>boat_rockets</t>
        </is>
      </c>
      <c r="B7" t="n">
        <v>32</v>
      </c>
      <c r="C7" t="n">
        <v>10</v>
      </c>
      <c r="D7" t="n">
        <v>0</v>
      </c>
      <c r="E7" t="b">
        <v>0</v>
      </c>
      <c r="F7" t="n">
        <v>2</v>
      </c>
      <c r="G7" t="inlineStr">
        <is>
          <t>HighExplosive</t>
        </is>
      </c>
      <c r="H7" t="inlineStr">
        <is>
          <t>01_chien_dau/Vu_khi (id boat_rockets)</t>
        </is>
      </c>
      <c r="I7" t="inlineStr"/>
    </row>
    <row r="8">
      <c r="A8" t="inlineStr">
        <is>
          <t>bofors_l70</t>
        </is>
      </c>
      <c r="B8" t="n">
        <v>30</v>
      </c>
      <c r="C8" t="n">
        <v>1</v>
      </c>
      <c r="D8" t="n">
        <v>0</v>
      </c>
      <c r="E8" t="b">
        <v>0</v>
      </c>
      <c r="F8" t="n">
        <v>2</v>
      </c>
      <c r="G8" t="inlineStr">
        <is>
          <t>Fragmentation</t>
        </is>
      </c>
      <c r="H8" t="inlineStr">
        <is>
          <t>01_chien_dau/Vu_khi (id bofors_l70)</t>
        </is>
      </c>
      <c r="I8" t="inlineStr"/>
    </row>
    <row r="9">
      <c r="A9" t="inlineStr">
        <is>
          <t>bomber_payload</t>
        </is>
      </c>
      <c r="B9" t="n">
        <v>420</v>
      </c>
      <c r="C9" t="n">
        <v>7</v>
      </c>
      <c r="D9" t="n">
        <v>0</v>
      </c>
      <c r="E9" t="b">
        <v>0</v>
      </c>
      <c r="F9" t="n">
        <v>3</v>
      </c>
      <c r="G9" t="inlineStr">
        <is>
          <t>HighExplosive</t>
        </is>
      </c>
      <c r="H9" t="inlineStr">
        <is>
          <t>01_chien_dau/Vu_khi (id bomber_payload)</t>
        </is>
      </c>
      <c r="I9" t="inlineStr"/>
    </row>
    <row r="10">
      <c r="A10" t="inlineStr">
        <is>
          <t>buk_launcher</t>
        </is>
      </c>
      <c r="B10" t="n">
        <v>320</v>
      </c>
      <c r="C10" t="n">
        <v>2</v>
      </c>
      <c r="D10" t="n">
        <v>0</v>
      </c>
      <c r="E10" t="b">
        <v>0</v>
      </c>
      <c r="F10" t="n">
        <v>3</v>
      </c>
      <c r="G10" t="inlineStr">
        <is>
          <t>Fragmentation</t>
        </is>
      </c>
      <c r="H10" t="inlineStr">
        <is>
          <t>01_chien_dau/Vu_khi (id buk_launcher)</t>
        </is>
      </c>
      <c r="I10" t="inlineStr"/>
    </row>
    <row r="11">
      <c r="A11" t="inlineStr">
        <is>
          <t>cruise_missile_ground</t>
        </is>
      </c>
      <c r="B11" t="n">
        <v>450</v>
      </c>
      <c r="C11" t="n">
        <v>1</v>
      </c>
      <c r="D11" t="n">
        <v>0</v>
      </c>
      <c r="E11" t="b">
        <v>0</v>
      </c>
      <c r="F11" t="n">
        <v>4</v>
      </c>
      <c r="G11" t="inlineStr">
        <is>
          <t>ShapedCharge</t>
        </is>
      </c>
      <c r="H11" t="inlineStr">
        <is>
          <t>01_chien_dau/Vu_khi (id cruise_missile_ground)</t>
        </is>
      </c>
      <c r="I11" t="inlineStr"/>
    </row>
    <row r="12">
      <c r="A12" t="inlineStr">
        <is>
          <t>cruiser_203</t>
        </is>
      </c>
      <c r="B12" t="n">
        <v>600</v>
      </c>
      <c r="C12" t="n">
        <v>1</v>
      </c>
      <c r="D12" t="n">
        <v>0</v>
      </c>
      <c r="E12" t="b">
        <v>0</v>
      </c>
      <c r="F12" t="n">
        <v>4</v>
      </c>
      <c r="G12" t="inlineStr">
        <is>
          <t>HighExplosive</t>
        </is>
      </c>
      <c r="H12" t="inlineStr">
        <is>
          <t>01_chien_dau/Vu_khi (id cruiser_203)</t>
        </is>
      </c>
      <c r="I12" t="inlineStr"/>
    </row>
    <row r="13">
      <c r="A13" t="inlineStr">
        <is>
          <t>detonator</t>
        </is>
      </c>
      <c r="B13" t="n">
        <v>770</v>
      </c>
      <c r="C13" t="n">
        <v>1</v>
      </c>
      <c r="D13" t="n">
        <v>0</v>
      </c>
      <c r="E13" t="b">
        <v>0</v>
      </c>
      <c r="F13" t="n">
        <v>4</v>
      </c>
      <c r="G13" t="inlineStr">
        <is>
          <t>HighExplosive</t>
        </is>
      </c>
      <c r="H13" t="inlineStr">
        <is>
          <t>01_chien_dau/Vu_khi (id detonator)</t>
        </is>
      </c>
      <c r="I13" t="inlineStr"/>
    </row>
    <row r="14">
      <c r="A14" t="inlineStr">
        <is>
          <t>dozer_blade</t>
        </is>
      </c>
      <c r="B14" t="n">
        <v>110</v>
      </c>
      <c r="C14" t="n">
        <v>1</v>
      </c>
      <c r="D14" t="n">
        <v>0</v>
      </c>
      <c r="E14" t="b">
        <v>0</v>
      </c>
      <c r="F14" t="n">
        <v>3</v>
      </c>
      <c r="G14" t="inlineStr">
        <is>
          <t>Kinetic</t>
        </is>
      </c>
      <c r="H14" t="inlineStr">
        <is>
          <t>01_chien_dau/Vu_khi (id dozer_blade)</t>
        </is>
      </c>
      <c r="I14" t="inlineStr"/>
    </row>
    <row r="15">
      <c r="A15" t="inlineStr">
        <is>
          <t>drone_missile</t>
        </is>
      </c>
      <c r="B15" t="n">
        <v>260</v>
      </c>
      <c r="C15" t="n">
        <v>1</v>
      </c>
      <c r="D15" t="n">
        <v>0</v>
      </c>
      <c r="E15" t="b">
        <v>0</v>
      </c>
      <c r="F15" t="n">
        <v>4</v>
      </c>
      <c r="G15" t="inlineStr">
        <is>
          <t>ShapedCharge</t>
        </is>
      </c>
      <c r="H15" t="inlineStr">
        <is>
          <t>01_chien_dau/Vu_khi (id drone_missile)</t>
        </is>
      </c>
      <c r="I15" t="inlineStr"/>
    </row>
    <row r="16">
      <c r="A16" t="inlineStr">
        <is>
          <t>flak_35</t>
        </is>
      </c>
      <c r="B16" t="n">
        <v>26</v>
      </c>
      <c r="C16" t="n">
        <v>1</v>
      </c>
      <c r="D16" t="n">
        <v>0</v>
      </c>
      <c r="E16" t="b">
        <v>0</v>
      </c>
      <c r="F16" t="n">
        <v>2</v>
      </c>
      <c r="G16" t="inlineStr">
        <is>
          <t>Fragmentation</t>
        </is>
      </c>
      <c r="H16" t="inlineStr">
        <is>
          <t>01_chien_dau/Vu_khi (id flak_35)</t>
        </is>
      </c>
      <c r="I16" t="inlineStr"/>
    </row>
    <row r="17">
      <c r="A17" t="inlineStr">
        <is>
          <t>flamethrower</t>
        </is>
      </c>
      <c r="B17" t="n">
        <v>21</v>
      </c>
      <c r="C17" t="n">
        <v>1</v>
      </c>
      <c r="D17" t="n">
        <v>0</v>
      </c>
      <c r="E17" t="b">
        <v>0</v>
      </c>
      <c r="F17" t="n">
        <v>1</v>
      </c>
      <c r="G17" t="inlineStr">
        <is>
          <t>Fire</t>
        </is>
      </c>
      <c r="H17" t="inlineStr">
        <is>
          <t>01_chien_dau/Vu_khi (id flamethrower)</t>
        </is>
      </c>
      <c r="I17" t="inlineStr"/>
    </row>
    <row r="18">
      <c r="A18" t="inlineStr">
        <is>
          <t>focus_laser</t>
        </is>
      </c>
      <c r="B18" t="n">
        <v>12.5</v>
      </c>
      <c r="C18" t="n">
        <v>1</v>
      </c>
      <c r="D18" t="n">
        <v>0</v>
      </c>
      <c r="E18" t="b">
        <v>0</v>
      </c>
      <c r="F18" t="n">
        <v>4</v>
      </c>
      <c r="G18" t="inlineStr">
        <is>
          <t>Energy</t>
        </is>
      </c>
      <c r="H18" t="inlineStr">
        <is>
          <t>01_chien_dau/Vu_khi (id focus_laser)</t>
        </is>
      </c>
      <c r="I18" t="inlineStr"/>
    </row>
    <row r="19">
      <c r="A19" t="inlineStr">
        <is>
          <t>fpv_swarm</t>
        </is>
      </c>
      <c r="B19" t="n">
        <v>140</v>
      </c>
      <c r="C19" t="n">
        <v>1</v>
      </c>
      <c r="D19" t="n">
        <v>16</v>
      </c>
      <c r="E19" t="b">
        <v>0</v>
      </c>
      <c r="F19" t="n">
        <v>3</v>
      </c>
      <c r="G19" t="inlineStr">
        <is>
          <t>ShapedCharge</t>
        </is>
      </c>
      <c r="H19" t="inlineStr">
        <is>
          <t>01_chien_dau/Vu_khi (id fpv_swarm)</t>
        </is>
      </c>
      <c r="I19" t="inlineStr"/>
    </row>
    <row r="20">
      <c r="A20" t="inlineStr">
        <is>
          <t>grad_cluster</t>
        </is>
      </c>
      <c r="B20" t="n">
        <v>57</v>
      </c>
      <c r="C20" t="n">
        <v>11</v>
      </c>
      <c r="D20" t="n">
        <v>3</v>
      </c>
      <c r="E20" t="b">
        <v>0</v>
      </c>
      <c r="F20" t="n">
        <v>2</v>
      </c>
      <c r="G20" t="inlineStr">
        <is>
          <t>HighExplosive</t>
        </is>
      </c>
      <c r="H20" t="inlineStr">
        <is>
          <t>01_chien_dau/Vu_khi (id grad_cluster)</t>
        </is>
      </c>
      <c r="I20" t="inlineStr"/>
    </row>
    <row r="21">
      <c r="A21" t="inlineStr">
        <is>
          <t>gun_57mm</t>
        </is>
      </c>
      <c r="B21" t="n">
        <v>110</v>
      </c>
      <c r="C21" t="n">
        <v>2</v>
      </c>
      <c r="D21" t="n">
        <v>0</v>
      </c>
      <c r="E21" t="b">
        <v>0</v>
      </c>
      <c r="F21" t="n">
        <v>2</v>
      </c>
      <c r="G21" t="inlineStr">
        <is>
          <t>Kinetic</t>
        </is>
      </c>
      <c r="H21" t="inlineStr">
        <is>
          <t>01_chien_dau/Vu_khi (id gun_57mm)</t>
        </is>
      </c>
      <c r="I21" t="inlineStr"/>
    </row>
    <row r="22">
      <c r="A22" t="inlineStr">
        <is>
          <t>gun_100_river</t>
        </is>
      </c>
      <c r="B22" t="n">
        <v>229</v>
      </c>
      <c r="C22" t="n">
        <v>1</v>
      </c>
      <c r="D22" t="n">
        <v>0</v>
      </c>
      <c r="E22" t="b">
        <v>0</v>
      </c>
      <c r="F22" t="n">
        <v>2</v>
      </c>
      <c r="G22" t="inlineStr">
        <is>
          <t>HighExplosive</t>
        </is>
      </c>
      <c r="H22" t="inlineStr">
        <is>
          <t>01_chien_dau/Vu_khi (id gun_100_river)</t>
        </is>
      </c>
      <c r="I22" t="inlineStr"/>
    </row>
    <row r="23">
      <c r="A23" t="inlineStr">
        <is>
          <t>gun_105_apfsds</t>
        </is>
      </c>
      <c r="B23" t="n">
        <v>371</v>
      </c>
      <c r="C23" t="n">
        <v>1</v>
      </c>
      <c r="D23" t="n">
        <v>0</v>
      </c>
      <c r="E23" t="b">
        <v>0</v>
      </c>
      <c r="F23" t="n">
        <v>4</v>
      </c>
      <c r="G23" t="inlineStr">
        <is>
          <t>Kinetic</t>
        </is>
      </c>
      <c r="H23" t="inlineStr">
        <is>
          <t>01_chien_dau/Vu_khi (id gun_105_apfsds)</t>
        </is>
      </c>
      <c r="I23" t="inlineStr"/>
    </row>
    <row r="24">
      <c r="A24" t="inlineStr">
        <is>
          <t>gun_105_long</t>
        </is>
      </c>
      <c r="B24" t="n">
        <v>371</v>
      </c>
      <c r="C24" t="n">
        <v>1</v>
      </c>
      <c r="D24" t="n">
        <v>0</v>
      </c>
      <c r="E24" t="b">
        <v>0</v>
      </c>
      <c r="F24" t="n">
        <v>4</v>
      </c>
      <c r="G24" t="inlineStr">
        <is>
          <t>Kinetic</t>
        </is>
      </c>
      <c r="H24" t="inlineStr">
        <is>
          <t>01_chien_dau/Vu_khi (id gun_105_long)</t>
        </is>
      </c>
      <c r="I24" t="inlineStr"/>
    </row>
    <row r="25">
      <c r="A25" t="inlineStr">
        <is>
          <t>gun_105_wheeled</t>
        </is>
      </c>
      <c r="B25" t="n">
        <v>369</v>
      </c>
      <c r="C25" t="n">
        <v>1</v>
      </c>
      <c r="D25" t="n">
        <v>0</v>
      </c>
      <c r="E25" t="b">
        <v>0</v>
      </c>
      <c r="F25" t="n">
        <v>4</v>
      </c>
      <c r="G25" t="inlineStr">
        <is>
          <t>Kinetic</t>
        </is>
      </c>
      <c r="H25" t="inlineStr">
        <is>
          <t>01_chien_dau/Vu_khi (id gun_105_wheeled)</t>
        </is>
      </c>
      <c r="I25" t="inlineStr"/>
    </row>
    <row r="26">
      <c r="A26" t="inlineStr">
        <is>
          <t>gun_120_twin</t>
        </is>
      </c>
      <c r="B26" t="n">
        <v>343</v>
      </c>
      <c r="C26" t="n">
        <v>2</v>
      </c>
      <c r="D26" t="n">
        <v>0</v>
      </c>
      <c r="E26" t="b">
        <v>0</v>
      </c>
      <c r="F26" t="n">
        <v>4</v>
      </c>
      <c r="G26" t="inlineStr">
        <is>
          <t>Kinetic</t>
        </is>
      </c>
      <c r="H26" t="inlineStr">
        <is>
          <t>01_chien_dau/Vu_khi (id gun_120_twin)</t>
        </is>
      </c>
      <c r="I26" t="inlineStr"/>
    </row>
    <row r="27">
      <c r="A27" t="inlineStr">
        <is>
          <t>gun_120mm</t>
        </is>
      </c>
      <c r="B27" t="n">
        <v>343</v>
      </c>
      <c r="C27" t="n">
        <v>1</v>
      </c>
      <c r="D27" t="n">
        <v>0</v>
      </c>
      <c r="E27" t="b">
        <v>0</v>
      </c>
      <c r="F27" t="n">
        <v>4</v>
      </c>
      <c r="G27" t="inlineStr">
        <is>
          <t>Kinetic</t>
        </is>
      </c>
      <c r="H27" t="inlineStr">
        <is>
          <t>01_chien_dau/Vu_khi (id gun_120mm)</t>
        </is>
      </c>
      <c r="I27" t="inlineStr"/>
    </row>
    <row r="28">
      <c r="A28" t="inlineStr">
        <is>
          <t>gun_125_armata_ke</t>
        </is>
      </c>
      <c r="B28" t="n">
        <v>371</v>
      </c>
      <c r="C28" t="n">
        <v>1</v>
      </c>
      <c r="D28" t="n">
        <v>0</v>
      </c>
      <c r="E28" t="b">
        <v>0</v>
      </c>
      <c r="F28" t="n">
        <v>4</v>
      </c>
      <c r="G28" t="inlineStr">
        <is>
          <t>Kinetic</t>
        </is>
      </c>
      <c r="H28" t="inlineStr">
        <is>
          <t>01_chien_dau/Vu_khi (id gun_125_armata_ke)</t>
        </is>
      </c>
      <c r="I28" t="inlineStr"/>
    </row>
    <row r="29">
      <c r="A29" t="inlineStr">
        <is>
          <t>gun_125_elite</t>
        </is>
      </c>
      <c r="B29" t="n">
        <v>371</v>
      </c>
      <c r="C29" t="n">
        <v>1</v>
      </c>
      <c r="D29" t="n">
        <v>0</v>
      </c>
      <c r="E29" t="b">
        <v>0</v>
      </c>
      <c r="F29" t="n">
        <v>4</v>
      </c>
      <c r="G29" t="inlineStr">
        <is>
          <t>Kinetic</t>
        </is>
      </c>
      <c r="H29" t="inlineStr">
        <is>
          <t>01_chien_dau/Vu_khi (id gun_125_elite)</t>
        </is>
      </c>
      <c r="I29" t="inlineStr"/>
    </row>
    <row r="30">
      <c r="A30" t="inlineStr">
        <is>
          <t>gun_140_twin</t>
        </is>
      </c>
      <c r="B30" t="n">
        <v>414</v>
      </c>
      <c r="C30" t="n">
        <v>1</v>
      </c>
      <c r="D30" t="n">
        <v>0</v>
      </c>
      <c r="E30" t="b">
        <v>0</v>
      </c>
      <c r="F30" t="n">
        <v>4</v>
      </c>
      <c r="G30" t="inlineStr">
        <is>
          <t>Kinetic</t>
        </is>
      </c>
      <c r="H30" t="inlineStr">
        <is>
          <t>01_chien_dau/Vu_khi (id gun_140_twin)</t>
        </is>
      </c>
      <c r="I30" t="inlineStr"/>
    </row>
    <row r="31">
      <c r="A31" t="inlineStr">
        <is>
          <t>gun_152</t>
        </is>
      </c>
      <c r="B31" t="n">
        <v>457</v>
      </c>
      <c r="C31" t="n">
        <v>1</v>
      </c>
      <c r="D31" t="n">
        <v>0</v>
      </c>
      <c r="E31" t="b">
        <v>0</v>
      </c>
      <c r="F31" t="n">
        <v>4</v>
      </c>
      <c r="G31" t="inlineStr">
        <is>
          <t>Kinetic</t>
        </is>
      </c>
      <c r="H31" t="inlineStr">
        <is>
          <t>01_chien_dau/Vu_khi (id gun_152)</t>
        </is>
      </c>
      <c r="I31" t="inlineStr"/>
    </row>
    <row r="32">
      <c r="A32" t="inlineStr">
        <is>
          <t>gun_152_heat</t>
        </is>
      </c>
      <c r="B32" t="n">
        <v>480</v>
      </c>
      <c r="C32" t="n">
        <v>1</v>
      </c>
      <c r="D32" t="n">
        <v>0</v>
      </c>
      <c r="E32" t="b">
        <v>0</v>
      </c>
      <c r="F32" t="n">
        <v>4</v>
      </c>
      <c r="G32" t="inlineStr">
        <is>
          <t>ShapedCharge</t>
        </is>
      </c>
      <c r="H32" t="inlineStr">
        <is>
          <t>01_chien_dau/Vu_khi (id gun_152_heat)</t>
        </is>
      </c>
      <c r="I32" t="inlineStr"/>
    </row>
    <row r="33">
      <c r="A33" t="inlineStr">
        <is>
          <t>gun_behemoth</t>
        </is>
      </c>
      <c r="B33" t="n">
        <v>320</v>
      </c>
      <c r="C33" t="n">
        <v>2</v>
      </c>
      <c r="D33" t="n">
        <v>0</v>
      </c>
      <c r="E33" t="b">
        <v>0</v>
      </c>
      <c r="F33" t="n">
        <v>3</v>
      </c>
      <c r="G33" t="inlineStr">
        <is>
          <t>HighExplosive</t>
        </is>
      </c>
      <c r="H33" t="inlineStr">
        <is>
          <t>01_chien_dau/Vu_khi (id gun_behemoth)</t>
        </is>
      </c>
      <c r="I33" t="inlineStr"/>
    </row>
    <row r="34">
      <c r="A34" t="inlineStr">
        <is>
          <t>gunship_105</t>
        </is>
      </c>
      <c r="B34" t="n">
        <v>286</v>
      </c>
      <c r="C34" t="n">
        <v>1</v>
      </c>
      <c r="D34" t="n">
        <v>0</v>
      </c>
      <c r="E34" t="b">
        <v>0</v>
      </c>
      <c r="F34" t="n">
        <v>2</v>
      </c>
      <c r="G34" t="inlineStr">
        <is>
          <t>HighExplosive</t>
        </is>
      </c>
      <c r="H34" t="inlineStr">
        <is>
          <t>01_chien_dau/Vu_khi (id gunship_105)</t>
        </is>
      </c>
      <c r="I34" t="inlineStr"/>
    </row>
    <row r="35">
      <c r="A35" t="inlineStr">
        <is>
          <t>hel_beam</t>
        </is>
      </c>
      <c r="B35" t="n">
        <v>10</v>
      </c>
      <c r="C35" t="n">
        <v>1</v>
      </c>
      <c r="D35" t="n">
        <v>0</v>
      </c>
      <c r="E35" t="b">
        <v>0</v>
      </c>
      <c r="F35" t="n">
        <v>2</v>
      </c>
      <c r="G35" t="inlineStr">
        <is>
          <t>Energy</t>
        </is>
      </c>
      <c r="H35" t="inlineStr">
        <is>
          <t>01_chien_dau/Vu_khi (id hel_beam)</t>
        </is>
      </c>
      <c r="I35" t="inlineStr"/>
    </row>
    <row r="36">
      <c r="A36" t="inlineStr">
        <is>
          <t>heli_gun</t>
        </is>
      </c>
      <c r="B36" t="n">
        <v>22</v>
      </c>
      <c r="C36" t="n">
        <v>1</v>
      </c>
      <c r="D36" t="n">
        <v>0</v>
      </c>
      <c r="E36" t="b">
        <v>0</v>
      </c>
      <c r="F36" t="n">
        <v>2</v>
      </c>
      <c r="G36" t="inlineStr">
        <is>
          <t>Kinetic</t>
        </is>
      </c>
      <c r="H36" t="inlineStr">
        <is>
          <t>01_chien_dau/Vu_khi (id heli_gun)</t>
        </is>
      </c>
      <c r="I36" t="inlineStr"/>
    </row>
    <row r="37">
      <c r="A37" t="inlineStr">
        <is>
          <t>hellfire_standoff</t>
        </is>
      </c>
      <c r="B37" t="n">
        <v>260</v>
      </c>
      <c r="C37" t="n">
        <v>2</v>
      </c>
      <c r="D37" t="n">
        <v>0</v>
      </c>
      <c r="E37" t="b">
        <v>0</v>
      </c>
      <c r="F37" t="n">
        <v>4</v>
      </c>
      <c r="G37" t="inlineStr">
        <is>
          <t>ShapedCharge</t>
        </is>
      </c>
      <c r="H37" t="inlineStr">
        <is>
          <t>01_chien_dau/Vu_khi (id hellfire_standoff)</t>
        </is>
      </c>
      <c r="I37" t="inlineStr"/>
    </row>
    <row r="38">
      <c r="A38" t="inlineStr">
        <is>
          <t>hellfire_volley</t>
        </is>
      </c>
      <c r="B38" t="n">
        <v>260</v>
      </c>
      <c r="C38" t="n">
        <v>2</v>
      </c>
      <c r="D38" t="n">
        <v>0</v>
      </c>
      <c r="E38" t="b">
        <v>0</v>
      </c>
      <c r="F38" t="n">
        <v>4</v>
      </c>
      <c r="G38" t="inlineStr">
        <is>
          <t>ShapedCharge</t>
        </is>
      </c>
      <c r="H38" t="inlineStr">
        <is>
          <t>01_chien_dau/Vu_khi (id hellfire_volley)</t>
        </is>
      </c>
      <c r="I38" t="inlineStr"/>
    </row>
    <row r="39">
      <c r="A39" t="inlineStr">
        <is>
          <t>hmg_roof</t>
        </is>
      </c>
      <c r="B39" t="n">
        <v>9.5</v>
      </c>
      <c r="C39" t="n">
        <v>1</v>
      </c>
      <c r="D39" t="n">
        <v>0</v>
      </c>
      <c r="E39" t="b">
        <v>0</v>
      </c>
      <c r="F39" t="n">
        <v>1</v>
      </c>
      <c r="G39" t="inlineStr">
        <is>
          <t>Kinetic</t>
        </is>
      </c>
      <c r="H39" t="inlineStr">
        <is>
          <t>01_chien_dau/Vu_khi (id hmg_roof)</t>
        </is>
      </c>
      <c r="I39" t="inlineStr"/>
    </row>
    <row r="40">
      <c r="A40" t="inlineStr">
        <is>
          <t>hmg_selfdef_15</t>
        </is>
      </c>
      <c r="B40" t="n">
        <v>9.5</v>
      </c>
      <c r="C40" t="n">
        <v>1</v>
      </c>
      <c r="D40" t="n">
        <v>0</v>
      </c>
      <c r="E40" t="b">
        <v>0</v>
      </c>
      <c r="F40" t="n">
        <v>1</v>
      </c>
      <c r="G40" t="inlineStr">
        <is>
          <t>Kinetic</t>
        </is>
      </c>
      <c r="H40" t="inlineStr">
        <is>
          <t>01_chien_dau/Vu_khi (id hmg_selfdef_15)</t>
        </is>
      </c>
      <c r="I40" t="inlineStr"/>
    </row>
    <row r="41">
      <c r="A41" t="inlineStr">
        <is>
          <t>hover_ciws</t>
        </is>
      </c>
      <c r="B41" t="n">
        <v>12</v>
      </c>
      <c r="C41" t="n">
        <v>1</v>
      </c>
      <c r="D41" t="n">
        <v>0</v>
      </c>
      <c r="E41" t="b">
        <v>0</v>
      </c>
      <c r="F41" t="n">
        <v>2</v>
      </c>
      <c r="G41" t="inlineStr">
        <is>
          <t>Kinetic</t>
        </is>
      </c>
      <c r="H41" t="inlineStr">
        <is>
          <t>01_chien_dau/Vu_khi (id hover_ciws)</t>
        </is>
      </c>
      <c r="I41" t="inlineStr"/>
    </row>
    <row r="42">
      <c r="A42" t="inlineStr">
        <is>
          <t>howitzer</t>
        </is>
      </c>
      <c r="B42" t="n">
        <v>457</v>
      </c>
      <c r="C42" t="n">
        <v>1</v>
      </c>
      <c r="D42" t="n">
        <v>20</v>
      </c>
      <c r="E42" t="b">
        <v>0</v>
      </c>
      <c r="F42" t="n">
        <v>3</v>
      </c>
      <c r="G42" t="inlineStr">
        <is>
          <t>HighExplosive</t>
        </is>
      </c>
      <c r="H42" t="inlineStr">
        <is>
          <t>01_chien_dau/Vu_khi (id howitzer)</t>
        </is>
      </c>
      <c r="I42" t="inlineStr"/>
    </row>
    <row r="43">
      <c r="A43" t="inlineStr">
        <is>
          <t>ifv_30</t>
        </is>
      </c>
      <c r="B43" t="n">
        <v>22</v>
      </c>
      <c r="C43" t="n">
        <v>10</v>
      </c>
      <c r="D43" t="n">
        <v>0</v>
      </c>
      <c r="E43" t="b">
        <v>0</v>
      </c>
      <c r="F43" t="n">
        <v>2</v>
      </c>
      <c r="G43" t="inlineStr">
        <is>
          <t>Kinetic</t>
        </is>
      </c>
      <c r="H43" t="inlineStr">
        <is>
          <t>01_chien_dau/Vu_khi (id ifv_30)</t>
        </is>
      </c>
      <c r="I43" t="inlineStr"/>
    </row>
    <row r="44">
      <c r="A44" t="inlineStr">
        <is>
          <t>jet_cannon</t>
        </is>
      </c>
      <c r="B44" t="n">
        <v>23</v>
      </c>
      <c r="C44" t="n">
        <v>1</v>
      </c>
      <c r="D44" t="n">
        <v>0</v>
      </c>
      <c r="E44" t="b">
        <v>0</v>
      </c>
      <c r="F44" t="n">
        <v>2</v>
      </c>
      <c r="G44" t="inlineStr">
        <is>
          <t>Kinetic</t>
        </is>
      </c>
      <c r="H44" t="inlineStr">
        <is>
          <t>01_chien_dau/Vu_khi (id jet_cannon)</t>
        </is>
      </c>
      <c r="I44" t="inlineStr"/>
    </row>
    <row r="45">
      <c r="A45" t="inlineStr">
        <is>
          <t>mg_jeep</t>
        </is>
      </c>
      <c r="B45" t="n">
        <v>9.5</v>
      </c>
      <c r="C45" t="n">
        <v>1</v>
      </c>
      <c r="D45" t="n">
        <v>0</v>
      </c>
      <c r="E45" t="b">
        <v>0</v>
      </c>
      <c r="F45" t="n">
        <v>1</v>
      </c>
      <c r="G45" t="inlineStr">
        <is>
          <t>Kinetic</t>
        </is>
      </c>
      <c r="H45" t="inlineStr">
        <is>
          <t>01_chien_dau/Vu_khi (id mg_jeep)</t>
        </is>
      </c>
      <c r="I45" t="inlineStr"/>
    </row>
    <row r="46">
      <c r="A46" t="inlineStr">
        <is>
          <t>minigun</t>
        </is>
      </c>
      <c r="B46" t="n">
        <v>5.5</v>
      </c>
      <c r="C46" t="n">
        <v>1</v>
      </c>
      <c r="D46" t="n">
        <v>0</v>
      </c>
      <c r="E46" t="b">
        <v>0</v>
      </c>
      <c r="F46" t="n">
        <v>0</v>
      </c>
      <c r="G46" t="inlineStr">
        <is>
          <t>Kinetic</t>
        </is>
      </c>
      <c r="H46" t="inlineStr">
        <is>
          <t>01_chien_dau/Vu_khi (id minigun)</t>
        </is>
      </c>
      <c r="I46" t="inlineStr"/>
    </row>
    <row r="47">
      <c r="A47" t="inlineStr">
        <is>
          <t>mlrs_elite</t>
        </is>
      </c>
      <c r="B47" t="n">
        <v>105</v>
      </c>
      <c r="C47" t="n">
        <v>5</v>
      </c>
      <c r="D47" t="n">
        <v>6</v>
      </c>
      <c r="E47" t="b">
        <v>0</v>
      </c>
      <c r="F47" t="n">
        <v>3</v>
      </c>
      <c r="G47" t="inlineStr">
        <is>
          <t>HighExplosive</t>
        </is>
      </c>
      <c r="H47" t="inlineStr">
        <is>
          <t>01_chien_dau/Vu_khi (id mlrs_elite)</t>
        </is>
      </c>
      <c r="I47" t="inlineStr"/>
    </row>
    <row r="48">
      <c r="A48" t="inlineStr">
        <is>
          <t>mlrs_rockets</t>
        </is>
      </c>
      <c r="B48" t="n">
        <v>100</v>
      </c>
      <c r="C48" t="n">
        <v>5</v>
      </c>
      <c r="D48" t="n">
        <v>4</v>
      </c>
      <c r="E48" t="b">
        <v>0</v>
      </c>
      <c r="F48" t="n">
        <v>3</v>
      </c>
      <c r="G48" t="inlineStr">
        <is>
          <t>HighExplosive</t>
        </is>
      </c>
      <c r="H48" t="inlineStr">
        <is>
          <t>01_chien_dau/Vu_khi (id mlrs_rockets)</t>
        </is>
      </c>
      <c r="I48" t="inlineStr"/>
    </row>
    <row r="49">
      <c r="A49" t="inlineStr">
        <is>
          <t>mortar_120</t>
        </is>
      </c>
      <c r="B49" t="n">
        <v>214</v>
      </c>
      <c r="C49" t="n">
        <v>1</v>
      </c>
      <c r="D49" t="n">
        <v>18</v>
      </c>
      <c r="E49" t="b">
        <v>0</v>
      </c>
      <c r="F49" t="n">
        <v>2</v>
      </c>
      <c r="G49" t="inlineStr">
        <is>
          <t>HighExplosive</t>
        </is>
      </c>
      <c r="H49" t="inlineStr">
        <is>
          <t>01_chien_dau/Vu_khi (id mortar_120)</t>
        </is>
      </c>
      <c r="I49" t="inlineStr"/>
    </row>
    <row r="50">
      <c r="A50" t="inlineStr">
        <is>
          <t>naval_76</t>
        </is>
      </c>
      <c r="B50" t="n">
        <v>171</v>
      </c>
      <c r="C50" t="n">
        <v>2</v>
      </c>
      <c r="D50" t="n">
        <v>0</v>
      </c>
      <c r="E50" t="b">
        <v>0</v>
      </c>
      <c r="F50" t="n">
        <v>3</v>
      </c>
      <c r="G50" t="inlineStr">
        <is>
          <t>HighExplosive</t>
        </is>
      </c>
      <c r="H50" t="inlineStr">
        <is>
          <t>01_chien_dau/Vu_khi (id naval_76)</t>
        </is>
      </c>
      <c r="I50" t="inlineStr"/>
    </row>
    <row r="51">
      <c r="A51" t="inlineStr">
        <is>
          <t>none</t>
        </is>
      </c>
      <c r="B51" t="n">
        <v>0</v>
      </c>
      <c r="C51" t="n">
        <v>1</v>
      </c>
      <c r="D51" t="n">
        <v>0</v>
      </c>
      <c r="E51" t="b">
        <v>0</v>
      </c>
      <c r="F51" t="n">
        <v>0</v>
      </c>
      <c r="G51" t="inlineStr">
        <is>
          <t>Kinetic</t>
        </is>
      </c>
      <c r="H51" t="inlineStr">
        <is>
          <t>01_chien_dau/Vu_khi (id none)</t>
        </is>
      </c>
      <c r="I51" t="inlineStr"/>
    </row>
    <row r="52">
      <c r="A52" t="inlineStr">
        <is>
          <t>railgun</t>
        </is>
      </c>
      <c r="B52" t="n">
        <v>510</v>
      </c>
      <c r="C52" t="n">
        <v>1</v>
      </c>
      <c r="D52" t="n">
        <v>0</v>
      </c>
      <c r="E52" t="b">
        <v>0</v>
      </c>
      <c r="F52" t="n">
        <v>4</v>
      </c>
      <c r="G52" t="inlineStr">
        <is>
          <t>Kinetic</t>
        </is>
      </c>
      <c r="H52" t="inlineStr">
        <is>
          <t>01_chien_dau/Vu_khi (id railgun)</t>
        </is>
      </c>
      <c r="I52" t="inlineStr"/>
    </row>
    <row r="53">
      <c r="A53" t="inlineStr">
        <is>
          <t>recoilless_106</t>
        </is>
      </c>
      <c r="B53" t="n">
        <v>314</v>
      </c>
      <c r="C53" t="n">
        <v>1</v>
      </c>
      <c r="D53" t="n">
        <v>0</v>
      </c>
      <c r="E53" t="b">
        <v>0</v>
      </c>
      <c r="F53" t="n">
        <v>3</v>
      </c>
      <c r="G53" t="inlineStr">
        <is>
          <t>ShapedCharge</t>
        </is>
      </c>
      <c r="H53" t="inlineStr">
        <is>
          <t>01_chien_dau/Vu_khi (id recoilless_106)</t>
        </is>
      </c>
      <c r="I53" t="inlineStr"/>
    </row>
    <row r="54">
      <c r="A54" t="inlineStr">
        <is>
          <t>recon_missile</t>
        </is>
      </c>
      <c r="B54" t="n">
        <v>190</v>
      </c>
      <c r="C54" t="n">
        <v>1</v>
      </c>
      <c r="D54" t="n">
        <v>0</v>
      </c>
      <c r="E54" t="b">
        <v>0</v>
      </c>
      <c r="F54" t="n">
        <v>3</v>
      </c>
      <c r="G54" t="inlineStr">
        <is>
          <t>ShapedCharge</t>
        </is>
      </c>
      <c r="H54" t="inlineStr">
        <is>
          <t>01_chien_dau/Vu_khi (id recon_missile)</t>
        </is>
      </c>
      <c r="I54" t="inlineStr"/>
    </row>
    <row r="55">
      <c r="A55" t="inlineStr">
        <is>
          <t>rockets_300mm</t>
        </is>
      </c>
      <c r="B55" t="n">
        <v>145</v>
      </c>
      <c r="C55" t="n">
        <v>11</v>
      </c>
      <c r="D55" t="n">
        <v>3</v>
      </c>
      <c r="E55" t="b">
        <v>0</v>
      </c>
      <c r="F55" t="n">
        <v>3</v>
      </c>
      <c r="G55" t="inlineStr">
        <is>
          <t>HighExplosive</t>
        </is>
      </c>
      <c r="H55" t="inlineStr">
        <is>
          <t>01_chien_dau/Vu_khi (id rockets_300mm)</t>
        </is>
      </c>
      <c r="I55" t="inlineStr"/>
    </row>
    <row r="56">
      <c r="A56" t="inlineStr">
        <is>
          <t>sam_48n6</t>
        </is>
      </c>
      <c r="B56" t="n">
        <v>630</v>
      </c>
      <c r="C56" t="n">
        <v>1</v>
      </c>
      <c r="D56" t="n">
        <v>0</v>
      </c>
      <c r="E56" t="b">
        <v>0</v>
      </c>
      <c r="F56" t="n">
        <v>3</v>
      </c>
      <c r="G56" t="inlineStr">
        <is>
          <t>Fragmentation</t>
        </is>
      </c>
      <c r="H56" t="inlineStr">
        <is>
          <t>01_chien_dau/Vu_khi (id sam_48n6)</t>
        </is>
      </c>
      <c r="I56" t="inlineStr"/>
    </row>
    <row r="57">
      <c r="A57" t="inlineStr">
        <is>
          <t>shahed</t>
        </is>
      </c>
      <c r="B57" t="n">
        <v>344</v>
      </c>
      <c r="C57" t="n">
        <v>1</v>
      </c>
      <c r="D57" t="n">
        <v>5</v>
      </c>
      <c r="E57" t="b">
        <v>0</v>
      </c>
      <c r="F57" t="n">
        <v>3</v>
      </c>
      <c r="G57" t="inlineStr">
        <is>
          <t>HighExplosive</t>
        </is>
      </c>
      <c r="H57" t="inlineStr">
        <is>
          <t>01_chien_dau/Vu_khi (id shahed)</t>
        </is>
      </c>
      <c r="I57" t="inlineStr"/>
    </row>
    <row r="58">
      <c r="A58" t="inlineStr">
        <is>
          <t>siege_mortar_240</t>
        </is>
      </c>
      <c r="B58" t="n">
        <v>643</v>
      </c>
      <c r="C58" t="n">
        <v>1</v>
      </c>
      <c r="D58" t="n">
        <v>10</v>
      </c>
      <c r="E58" t="b">
        <v>0</v>
      </c>
      <c r="F58" t="n">
        <v>4</v>
      </c>
      <c r="G58" t="inlineStr">
        <is>
          <t>HighExplosive</t>
        </is>
      </c>
      <c r="H58" t="inlineStr">
        <is>
          <t>01_chien_dau/Vu_khi (id siege_mortar_240)</t>
        </is>
      </c>
      <c r="I58" t="inlineStr"/>
    </row>
    <row r="59">
      <c r="A59" t="inlineStr">
        <is>
          <t>stealth_payload</t>
        </is>
      </c>
      <c r="B59" t="n">
        <v>892</v>
      </c>
      <c r="C59" t="n">
        <v>2</v>
      </c>
      <c r="D59" t="n">
        <v>0</v>
      </c>
      <c r="E59" t="b">
        <v>0</v>
      </c>
      <c r="F59" t="n">
        <v>4</v>
      </c>
      <c r="G59" t="inlineStr">
        <is>
          <t>HighExplosive</t>
        </is>
      </c>
      <c r="H59" t="inlineStr">
        <is>
          <t>01_chien_dau/Vu_khi (id stealth_payload)</t>
        </is>
      </c>
      <c r="I59" t="inlineStr"/>
    </row>
    <row r="60">
      <c r="A60" t="inlineStr">
        <is>
          <t>stinger_post</t>
        </is>
      </c>
      <c r="B60" t="n">
        <v>170</v>
      </c>
      <c r="C60" t="n">
        <v>1</v>
      </c>
      <c r="D60" t="n">
        <v>0</v>
      </c>
      <c r="E60" t="b">
        <v>0</v>
      </c>
      <c r="F60" t="n">
        <v>2</v>
      </c>
      <c r="G60" t="inlineStr">
        <is>
          <t>Fragmentation</t>
        </is>
      </c>
      <c r="H60" t="inlineStr">
        <is>
          <t>01_chien_dau/Vu_khi (id stinger_post)</t>
        </is>
      </c>
      <c r="I60" t="inlineStr"/>
    </row>
    <row r="61">
      <c r="A61" t="inlineStr">
        <is>
          <t>swarm_drones</t>
        </is>
      </c>
      <c r="B61" t="n">
        <v>140</v>
      </c>
      <c r="C61" t="n">
        <v>1</v>
      </c>
      <c r="D61" t="n">
        <v>0</v>
      </c>
      <c r="E61" t="b">
        <v>0</v>
      </c>
      <c r="F61" t="n">
        <v>3</v>
      </c>
      <c r="G61" t="inlineStr">
        <is>
          <t>ShapedCharge</t>
        </is>
      </c>
      <c r="H61" t="inlineStr">
        <is>
          <t>01_chien_dau/Vu_khi (id swarm_drones)</t>
        </is>
      </c>
      <c r="I61" t="inlineStr"/>
    </row>
    <row r="62">
      <c r="A62" t="inlineStr">
        <is>
          <t>technical_rockets</t>
        </is>
      </c>
      <c r="B62" t="n">
        <v>49.5</v>
      </c>
      <c r="C62" t="n">
        <v>5</v>
      </c>
      <c r="D62" t="n">
        <v>6</v>
      </c>
      <c r="E62" t="b">
        <v>0</v>
      </c>
      <c r="F62" t="n">
        <v>2</v>
      </c>
      <c r="G62" t="inlineStr">
        <is>
          <t>HighExplosive</t>
        </is>
      </c>
      <c r="H62" t="inlineStr">
        <is>
          <t>01_chien_dau/Vu_khi (id technical_rockets)</t>
        </is>
      </c>
      <c r="I62" t="inlineStr"/>
    </row>
    <row r="63">
      <c r="A63" t="inlineStr">
        <is>
          <t>thermobaric_rockets</t>
        </is>
      </c>
      <c r="B63" t="n">
        <v>97</v>
      </c>
      <c r="C63" t="n">
        <v>9</v>
      </c>
      <c r="D63" t="n">
        <v>4</v>
      </c>
      <c r="E63" t="b">
        <v>0</v>
      </c>
      <c r="F63" t="n">
        <v>3</v>
      </c>
      <c r="G63" t="inlineStr">
        <is>
          <t>HighExplosive</t>
        </is>
      </c>
      <c r="H63" t="inlineStr">
        <is>
          <t>01_chien_dau/Vu_khi (id thermobaric_rockets)</t>
        </is>
      </c>
      <c r="I63" t="inlineStr"/>
    </row>
    <row r="64">
      <c r="A64" t="inlineStr">
        <is>
          <t>twin_30_flak</t>
        </is>
      </c>
      <c r="B64" t="n">
        <v>7.5</v>
      </c>
      <c r="C64" t="n">
        <v>1</v>
      </c>
      <c r="D64" t="n">
        <v>0</v>
      </c>
      <c r="E64" t="b">
        <v>0</v>
      </c>
      <c r="F64" t="n">
        <v>2</v>
      </c>
      <c r="G64" t="inlineStr">
        <is>
          <t>Fragmentation</t>
        </is>
      </c>
      <c r="H64" t="inlineStr">
        <is>
          <t>01_chien_dau/Vu_khi (id twin_30_flak)</t>
        </is>
      </c>
      <c r="I64" t="inlineStr"/>
    </row>
    <row r="65">
      <c r="A65" t="inlineStr">
        <is>
          <t>twin_35_ahead</t>
        </is>
      </c>
      <c r="B65" t="n">
        <v>26</v>
      </c>
      <c r="C65" t="n">
        <v>1</v>
      </c>
      <c r="D65" t="n">
        <v>0</v>
      </c>
      <c r="E65" t="b">
        <v>0</v>
      </c>
      <c r="F65" t="n">
        <v>2</v>
      </c>
      <c r="G65" t="inlineStr">
        <is>
          <t>Fragmentation</t>
        </is>
      </c>
      <c r="H65" t="inlineStr">
        <is>
          <t>01_chien_dau/Vu_khi (id twin_35_ahead)</t>
        </is>
      </c>
      <c r="I65" t="inlineStr"/>
    </row>
    <row r="66">
      <c r="A66" t="inlineStr">
        <is>
          <t>zu23</t>
        </is>
      </c>
      <c r="B66" t="n">
        <v>3.5</v>
      </c>
      <c r="C66" t="n">
        <v>1</v>
      </c>
      <c r="D66" t="n">
        <v>0</v>
      </c>
      <c r="E66" t="b">
        <v>0</v>
      </c>
      <c r="F66" t="n">
        <v>1</v>
      </c>
      <c r="G66" t="inlineStr">
        <is>
          <t>Fragmentation</t>
        </is>
      </c>
      <c r="H66" t="inlineStr">
        <is>
          <t>01_chien_dau/Vu_khi (id zu23)</t>
        </is>
      </c>
      <c r="I66" t="inlineStr"/>
    </row>
  </sheetData>
  <autoFilter ref="A1:I66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21" customWidth="1" min="3" max="3"/>
    <col width="25" customWidth="1" min="4" max="4"/>
    <col width="14" customWidth="1" min="5" max="5"/>
    <col width="13" customWidth="1" min="6" max="6"/>
    <col width="13" customWidth="1" min="7" max="7"/>
    <col width="15" customWidth="1" min="8" max="8"/>
    <col width="15" customWidth="1" min="9" max="9"/>
    <col width="54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chu_ky_day_du_s</t>
        </is>
      </c>
      <c r="C1" s="1" t="inlineStr">
        <is>
          <t>sat_thuong_moi_loat</t>
        </is>
      </c>
      <c r="D1" s="1" t="inlineStr">
        <is>
          <t>nap_lai_kho_hieu_dung_s</t>
        </is>
      </c>
      <c r="E1" s="1" t="inlineStr">
        <is>
          <t>danh_tu_tren</t>
        </is>
      </c>
      <c r="F1" s="1" t="inlineStr">
        <is>
          <t>ban_mat_dat</t>
        </is>
      </c>
      <c r="G1" s="1" t="inlineStr">
        <is>
          <t>ban_may_bay</t>
        </is>
      </c>
      <c r="H1" s="1" t="inlineStr">
        <is>
          <t>he_so_mat_dat</t>
        </is>
      </c>
      <c r="I1" s="1" t="inlineStr">
        <is>
          <t>he_so_may_bay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air_to_air</t>
        </is>
      </c>
      <c r="B2" t="n">
        <v>3.99</v>
      </c>
      <c r="C2" t="n">
        <v>294</v>
      </c>
      <c r="D2" t="n">
        <v>10</v>
      </c>
      <c r="E2" t="b">
        <v>0</v>
      </c>
      <c r="F2" t="b">
        <v>0</v>
      </c>
      <c r="G2" t="b">
        <v>1</v>
      </c>
      <c r="H2" t="n">
        <v>0.5</v>
      </c>
      <c r="I2" t="n">
        <v>1.3</v>
      </c>
      <c r="J2" t="inlineStr">
        <is>
          <t>01_chien_dau/Vu_khi_suy_ra (id air_to_air)</t>
        </is>
      </c>
      <c r="K2" t="inlineStr"/>
    </row>
    <row r="3">
      <c r="A3" t="inlineStr">
        <is>
          <t>amos_120</t>
        </is>
      </c>
      <c r="B3" t="n">
        <v>15.357</v>
      </c>
      <c r="C3" t="n">
        <v>856</v>
      </c>
      <c r="D3" t="n">
        <v>10</v>
      </c>
      <c r="E3" t="b">
        <v>1</v>
      </c>
      <c r="F3" t="b">
        <v>1</v>
      </c>
      <c r="G3" t="b">
        <v>0</v>
      </c>
      <c r="H3" t="n">
        <v>1</v>
      </c>
      <c r="I3" t="n">
        <v>0</v>
      </c>
      <c r="J3" t="inlineStr">
        <is>
          <t>01_chien_dau/Vu_khi_suy_ra (id amos_120)</t>
        </is>
      </c>
      <c r="K3" t="inlineStr"/>
    </row>
    <row r="4">
      <c r="A4" t="inlineStr">
        <is>
          <t>autocannon_25</t>
        </is>
      </c>
      <c r="B4" t="n">
        <v>2.633599999999999</v>
      </c>
      <c r="C4" t="n">
        <v>136</v>
      </c>
      <c r="D4" t="n">
        <v>10</v>
      </c>
      <c r="E4" t="b">
        <v>0</v>
      </c>
      <c r="F4" t="b">
        <v>1</v>
      </c>
      <c r="G4" t="b">
        <v>0</v>
      </c>
      <c r="H4" t="n">
        <v>1</v>
      </c>
      <c r="I4" t="n">
        <v>0.3</v>
      </c>
      <c r="J4" t="inlineStr">
        <is>
          <t>01_chien_dau/Vu_khi_suy_ra (id autocannon_25)</t>
        </is>
      </c>
      <c r="K4" t="inlineStr"/>
    </row>
    <row r="5">
      <c r="A5" t="inlineStr">
        <is>
          <t>autocannon_30</t>
        </is>
      </c>
      <c r="B5" t="n">
        <v>2.611</v>
      </c>
      <c r="C5" t="n">
        <v>220</v>
      </c>
      <c r="D5" t="n">
        <v>10</v>
      </c>
      <c r="E5" t="b">
        <v>0</v>
      </c>
      <c r="F5" t="b">
        <v>1</v>
      </c>
      <c r="G5" t="b">
        <v>0</v>
      </c>
      <c r="H5" t="n">
        <v>1</v>
      </c>
      <c r="I5" t="n">
        <v>0.3</v>
      </c>
      <c r="J5" t="inlineStr">
        <is>
          <t>01_chien_dau/Vu_khi_suy_ra (id autocannon_30)</t>
        </is>
      </c>
      <c r="K5" t="inlineStr"/>
    </row>
    <row r="6">
      <c r="A6" t="inlineStr">
        <is>
          <t>ballistic_missile</t>
        </is>
      </c>
      <c r="B6" t="n">
        <v>24.21</v>
      </c>
      <c r="C6" t="n">
        <v>1260</v>
      </c>
      <c r="D6" t="n">
        <v>18.168</v>
      </c>
      <c r="E6" t="b">
        <v>1</v>
      </c>
      <c r="F6" t="b">
        <v>1</v>
      </c>
      <c r="G6" t="b">
        <v>0</v>
      </c>
      <c r="H6" t="n">
        <v>1</v>
      </c>
      <c r="I6" t="n">
        <v>0</v>
      </c>
      <c r="J6" t="inlineStr">
        <is>
          <t>01_chien_dau/Vu_khi_suy_ra (id ballistic_missile)</t>
        </is>
      </c>
      <c r="K6" t="inlineStr"/>
    </row>
    <row r="7">
      <c r="A7" t="inlineStr">
        <is>
          <t>boat_rockets</t>
        </is>
      </c>
      <c r="B7" t="n">
        <v>8.08</v>
      </c>
      <c r="C7" t="n">
        <v>320</v>
      </c>
      <c r="D7" t="n">
        <v>10</v>
      </c>
      <c r="E7" t="b">
        <v>0</v>
      </c>
      <c r="F7" t="b">
        <v>1</v>
      </c>
      <c r="G7" t="b">
        <v>0</v>
      </c>
      <c r="H7" t="n">
        <v>1</v>
      </c>
      <c r="I7" t="n">
        <v>0</v>
      </c>
      <c r="J7" t="inlineStr">
        <is>
          <t>01_chien_dau/Vu_khi_suy_ra (id boat_rockets)</t>
        </is>
      </c>
      <c r="K7" t="inlineStr"/>
    </row>
    <row r="8">
      <c r="A8" t="inlineStr">
        <is>
          <t>bofors_l70</t>
        </is>
      </c>
      <c r="B8" t="n">
        <v>7.75</v>
      </c>
      <c r="C8" t="n">
        <v>600</v>
      </c>
      <c r="D8" t="n">
        <v>10</v>
      </c>
      <c r="E8" t="b">
        <v>0</v>
      </c>
      <c r="F8" t="b">
        <v>1</v>
      </c>
      <c r="G8" t="b">
        <v>1</v>
      </c>
      <c r="H8" t="n">
        <v>0.5</v>
      </c>
      <c r="I8" t="n">
        <v>1.3</v>
      </c>
      <c r="J8" t="inlineStr">
        <is>
          <t>01_chien_dau/Vu_khi_suy_ra (id bofors_l70)</t>
        </is>
      </c>
      <c r="K8" t="inlineStr"/>
    </row>
    <row r="9">
      <c r="A9" t="inlineStr">
        <is>
          <t>bomber_payload</t>
        </is>
      </c>
      <c r="B9" t="n">
        <v>12.4</v>
      </c>
      <c r="C9" t="n">
        <v>2940</v>
      </c>
      <c r="D9" t="n">
        <v>10</v>
      </c>
      <c r="E9" t="b">
        <v>1</v>
      </c>
      <c r="F9" t="b">
        <v>1</v>
      </c>
      <c r="G9" t="b">
        <v>0</v>
      </c>
      <c r="H9" t="n">
        <v>1</v>
      </c>
      <c r="I9" t="n">
        <v>0</v>
      </c>
      <c r="J9" t="inlineStr">
        <is>
          <t>01_chien_dau/Vu_khi_suy_ra (id bomber_payload)</t>
        </is>
      </c>
      <c r="K9" t="inlineStr"/>
    </row>
    <row r="10">
      <c r="A10" t="inlineStr">
        <is>
          <t>buk_launcher</t>
        </is>
      </c>
      <c r="B10" t="n">
        <v>3.3</v>
      </c>
      <c r="C10" t="n">
        <v>640</v>
      </c>
      <c r="D10" t="n">
        <v>10</v>
      </c>
      <c r="E10" t="b">
        <v>0</v>
      </c>
      <c r="F10" t="b">
        <v>0</v>
      </c>
      <c r="G10" t="b">
        <v>1</v>
      </c>
      <c r="H10" t="n">
        <v>0.5</v>
      </c>
      <c r="I10" t="n">
        <v>1.3</v>
      </c>
      <c r="J10" t="inlineStr">
        <is>
          <t>01_chien_dau/Vu_khi_suy_ra (id buk_launcher)</t>
        </is>
      </c>
      <c r="K10" t="inlineStr"/>
    </row>
    <row r="11">
      <c r="A11" t="inlineStr">
        <is>
          <t>cruise_missile_ground</t>
        </is>
      </c>
      <c r="B11" t="n">
        <v>45</v>
      </c>
      <c r="C11" t="n">
        <v>900</v>
      </c>
      <c r="D11" t="n">
        <v>10</v>
      </c>
      <c r="E11" t="b">
        <v>0</v>
      </c>
      <c r="F11" t="b">
        <v>1</v>
      </c>
      <c r="G11" t="b">
        <v>1</v>
      </c>
      <c r="H11" t="n">
        <v>1</v>
      </c>
      <c r="I11" t="n">
        <v>0.3</v>
      </c>
      <c r="J11" t="inlineStr">
        <is>
          <t>01_chien_dau/Vu_khi_suy_ra (id cruise_missile_ground)</t>
        </is>
      </c>
      <c r="K11" t="inlineStr"/>
    </row>
    <row r="12">
      <c r="A12" t="inlineStr">
        <is>
          <t>cruiser_203</t>
        </is>
      </c>
      <c r="B12" t="n">
        <v>16.857</v>
      </c>
      <c r="C12" t="n">
        <v>1200</v>
      </c>
      <c r="D12" t="n">
        <v>10</v>
      </c>
      <c r="E12" t="b">
        <v>0</v>
      </c>
      <c r="F12" t="b">
        <v>1</v>
      </c>
      <c r="G12" t="b">
        <v>0</v>
      </c>
      <c r="H12" t="n">
        <v>1</v>
      </c>
      <c r="I12" t="n">
        <v>0</v>
      </c>
      <c r="J12" t="inlineStr">
        <is>
          <t>01_chien_dau/Vu_khi_suy_ra (id cruiser_203)</t>
        </is>
      </c>
      <c r="K12" t="inlineStr"/>
    </row>
    <row r="13">
      <c r="A13" t="inlineStr">
        <is>
          <t>detonator</t>
        </is>
      </c>
      <c r="B13" t="n">
        <v>1</v>
      </c>
      <c r="C13" t="n">
        <v>770</v>
      </c>
      <c r="D13" t="n">
        <v>10</v>
      </c>
      <c r="E13" t="b">
        <v>0</v>
      </c>
      <c r="F13" t="b">
        <v>1</v>
      </c>
      <c r="G13" t="b">
        <v>0</v>
      </c>
      <c r="H13" t="n">
        <v>1</v>
      </c>
      <c r="I13" t="n">
        <v>0</v>
      </c>
      <c r="J13" t="inlineStr">
        <is>
          <t>01_chien_dau/Vu_khi_suy_ra (id detonator)</t>
        </is>
      </c>
      <c r="K13" t="inlineStr"/>
    </row>
    <row r="14">
      <c r="A14" t="inlineStr">
        <is>
          <t>dozer_blade</t>
        </is>
      </c>
      <c r="B14" t="n">
        <v>1.6</v>
      </c>
      <c r="C14" t="n">
        <v>110</v>
      </c>
      <c r="D14" t="n">
        <v>10</v>
      </c>
      <c r="E14" t="b">
        <v>0</v>
      </c>
      <c r="F14" t="b">
        <v>1</v>
      </c>
      <c r="G14" t="b">
        <v>0</v>
      </c>
      <c r="H14" t="n">
        <v>1</v>
      </c>
      <c r="I14" t="n">
        <v>0.3</v>
      </c>
      <c r="J14" t="inlineStr">
        <is>
          <t>01_chien_dau/Vu_khi_suy_ra (id dozer_blade)</t>
        </is>
      </c>
      <c r="K14" t="inlineStr"/>
    </row>
    <row r="15">
      <c r="A15" t="inlineStr">
        <is>
          <t>drone_missile</t>
        </is>
      </c>
      <c r="B15" t="n">
        <v>3.58</v>
      </c>
      <c r="C15" t="n">
        <v>260</v>
      </c>
      <c r="D15" t="n">
        <v>10</v>
      </c>
      <c r="E15" t="b">
        <v>0</v>
      </c>
      <c r="F15" t="b">
        <v>1</v>
      </c>
      <c r="G15" t="b">
        <v>0</v>
      </c>
      <c r="H15" t="n">
        <v>1</v>
      </c>
      <c r="I15" t="n">
        <v>0.3</v>
      </c>
      <c r="J15" t="inlineStr">
        <is>
          <t>01_chien_dau/Vu_khi_suy_ra (id drone_missile)</t>
        </is>
      </c>
      <c r="K15" t="inlineStr"/>
    </row>
    <row r="16">
      <c r="A16" t="inlineStr">
        <is>
          <t>flak_35</t>
        </is>
      </c>
      <c r="B16" t="n">
        <v>6.5</v>
      </c>
      <c r="C16" t="n">
        <v>572</v>
      </c>
      <c r="D16" t="n">
        <v>10</v>
      </c>
      <c r="E16" t="b">
        <v>0</v>
      </c>
      <c r="F16" t="b">
        <v>1</v>
      </c>
      <c r="G16" t="b">
        <v>1</v>
      </c>
      <c r="H16" t="n">
        <v>0.5</v>
      </c>
      <c r="I16" t="n">
        <v>1.3</v>
      </c>
      <c r="J16" t="inlineStr">
        <is>
          <t>01_chien_dau/Vu_khi_suy_ra (id flak_35)</t>
        </is>
      </c>
      <c r="K16" t="inlineStr"/>
    </row>
    <row r="17">
      <c r="A17" t="inlineStr">
        <is>
          <t>flamethrower</t>
        </is>
      </c>
      <c r="B17" t="n">
        <v>0.25</v>
      </c>
      <c r="C17" t="n">
        <v>21</v>
      </c>
      <c r="D17" t="n">
        <v>10</v>
      </c>
      <c r="E17" t="b">
        <v>0</v>
      </c>
      <c r="F17" t="b">
        <v>1</v>
      </c>
      <c r="G17" t="b">
        <v>0</v>
      </c>
      <c r="H17" t="n">
        <v>1.5</v>
      </c>
      <c r="I17" t="n">
        <v>0</v>
      </c>
      <c r="J17" t="inlineStr">
        <is>
          <t>01_chien_dau/Vu_khi_suy_ra (id flamethrower)</t>
        </is>
      </c>
      <c r="K17" t="inlineStr"/>
    </row>
    <row r="18">
      <c r="A18" t="inlineStr">
        <is>
          <t>focus_laser</t>
        </is>
      </c>
      <c r="B18" t="n">
        <v>9.4</v>
      </c>
      <c r="C18" t="n">
        <v>1000</v>
      </c>
      <c r="D18" t="n">
        <v>10</v>
      </c>
      <c r="E18" t="b">
        <v>0</v>
      </c>
      <c r="F18" t="b">
        <v>1</v>
      </c>
      <c r="G18" t="b">
        <v>0</v>
      </c>
      <c r="H18" t="n">
        <v>1</v>
      </c>
      <c r="I18" t="n">
        <v>1.5</v>
      </c>
      <c r="J18" t="inlineStr">
        <is>
          <t>01_chien_dau/Vu_khi_suy_ra (id focus_laser)</t>
        </is>
      </c>
      <c r="K18" t="inlineStr"/>
    </row>
    <row r="19">
      <c r="A19" t="inlineStr">
        <is>
          <t>fpv_swarm</t>
        </is>
      </c>
      <c r="B19" t="n">
        <v>2.8</v>
      </c>
      <c r="C19" t="n">
        <v>140</v>
      </c>
      <c r="D19" t="n">
        <v>9</v>
      </c>
      <c r="E19" t="b">
        <v>1</v>
      </c>
      <c r="F19" t="b">
        <v>1</v>
      </c>
      <c r="G19" t="b">
        <v>0</v>
      </c>
      <c r="H19" t="n">
        <v>1</v>
      </c>
      <c r="I19" t="n">
        <v>0.3</v>
      </c>
      <c r="J19" t="inlineStr">
        <is>
          <t>01_chien_dau/Vu_khi_suy_ra (id fpv_swarm)</t>
        </is>
      </c>
      <c r="K19" t="inlineStr"/>
    </row>
    <row r="20">
      <c r="A20" t="inlineStr">
        <is>
          <t>grad_cluster</t>
        </is>
      </c>
      <c r="B20" t="n">
        <v>13</v>
      </c>
      <c r="C20" t="n">
        <v>627</v>
      </c>
      <c r="D20" t="n">
        <v>13.67</v>
      </c>
      <c r="E20" t="b">
        <v>1</v>
      </c>
      <c r="F20" t="b">
        <v>1</v>
      </c>
      <c r="G20" t="b">
        <v>0</v>
      </c>
      <c r="H20" t="n">
        <v>1</v>
      </c>
      <c r="I20" t="n">
        <v>0</v>
      </c>
      <c r="J20" t="inlineStr">
        <is>
          <t>01_chien_dau/Vu_khi_suy_ra (id grad_cluster)</t>
        </is>
      </c>
      <c r="K20" t="inlineStr"/>
    </row>
    <row r="21">
      <c r="A21" t="inlineStr">
        <is>
          <t>gun_57mm</t>
        </is>
      </c>
      <c r="B21" t="n">
        <v>6.429</v>
      </c>
      <c r="C21" t="n">
        <v>220</v>
      </c>
      <c r="D21" t="n">
        <v>10</v>
      </c>
      <c r="E21" t="b">
        <v>0</v>
      </c>
      <c r="F21" t="b">
        <v>1</v>
      </c>
      <c r="G21" t="b">
        <v>0</v>
      </c>
      <c r="H21" t="n">
        <v>1</v>
      </c>
      <c r="I21" t="n">
        <v>0.3</v>
      </c>
      <c r="J21" t="inlineStr">
        <is>
          <t>01_chien_dau/Vu_khi_suy_ra (id gun_57mm)</t>
        </is>
      </c>
      <c r="K21" t="inlineStr"/>
    </row>
    <row r="22">
      <c r="A22" t="inlineStr">
        <is>
          <t>gun_100_river</t>
        </is>
      </c>
      <c r="B22" t="n">
        <v>4.286</v>
      </c>
      <c r="C22" t="n">
        <v>229</v>
      </c>
      <c r="D22" t="n">
        <v>10</v>
      </c>
      <c r="E22" t="b">
        <v>0</v>
      </c>
      <c r="F22" t="b">
        <v>1</v>
      </c>
      <c r="G22" t="b">
        <v>0</v>
      </c>
      <c r="H22" t="n">
        <v>1</v>
      </c>
      <c r="I22" t="n">
        <v>0</v>
      </c>
      <c r="J22" t="inlineStr">
        <is>
          <t>01_chien_dau/Vu_khi_suy_ra (id gun_100_river)</t>
        </is>
      </c>
      <c r="K22" t="inlineStr"/>
    </row>
    <row r="23">
      <c r="A23" t="inlineStr">
        <is>
          <t>gun_105_apfsds</t>
        </is>
      </c>
      <c r="B23" t="n">
        <v>5.583</v>
      </c>
      <c r="C23" t="n">
        <v>371</v>
      </c>
      <c r="D23" t="n">
        <v>10</v>
      </c>
      <c r="E23" t="b">
        <v>0</v>
      </c>
      <c r="F23" t="b">
        <v>1</v>
      </c>
      <c r="G23" t="b">
        <v>0</v>
      </c>
      <c r="H23" t="n">
        <v>1</v>
      </c>
      <c r="I23" t="n">
        <v>0.3</v>
      </c>
      <c r="J23" t="inlineStr">
        <is>
          <t>01_chien_dau/Vu_khi_suy_ra (id gun_105_apfsds)</t>
        </is>
      </c>
      <c r="K23" t="inlineStr"/>
    </row>
    <row r="24">
      <c r="A24" t="inlineStr">
        <is>
          <t>gun_105_long</t>
        </is>
      </c>
      <c r="B24" t="n">
        <v>4.762</v>
      </c>
      <c r="C24" t="n">
        <v>371</v>
      </c>
      <c r="D24" t="n">
        <v>10</v>
      </c>
      <c r="E24" t="b">
        <v>0</v>
      </c>
      <c r="F24" t="b">
        <v>1</v>
      </c>
      <c r="G24" t="b">
        <v>0</v>
      </c>
      <c r="H24" t="n">
        <v>1</v>
      </c>
      <c r="I24" t="n">
        <v>0.3</v>
      </c>
      <c r="J24" t="inlineStr">
        <is>
          <t>01_chien_dau/Vu_khi_suy_ra (id gun_105_long)</t>
        </is>
      </c>
      <c r="K24" t="inlineStr"/>
    </row>
    <row r="25">
      <c r="A25" t="inlineStr">
        <is>
          <t>gun_105_wheeled</t>
        </is>
      </c>
      <c r="B25" t="n">
        <v>5.291</v>
      </c>
      <c r="C25" t="n">
        <v>369</v>
      </c>
      <c r="D25" t="n">
        <v>10</v>
      </c>
      <c r="E25" t="b">
        <v>0</v>
      </c>
      <c r="F25" t="b">
        <v>1</v>
      </c>
      <c r="G25" t="b">
        <v>0</v>
      </c>
      <c r="H25" t="n">
        <v>1</v>
      </c>
      <c r="I25" t="n">
        <v>0.3</v>
      </c>
      <c r="J25" t="inlineStr">
        <is>
          <t>01_chien_dau/Vu_khi_suy_ra (id gun_105_wheeled)</t>
        </is>
      </c>
      <c r="K25" t="inlineStr"/>
    </row>
    <row r="26">
      <c r="A26" t="inlineStr">
        <is>
          <t>gun_120_twin</t>
        </is>
      </c>
      <c r="B26" t="n">
        <v>7.375999999999999</v>
      </c>
      <c r="C26" t="n">
        <v>686</v>
      </c>
      <c r="D26" t="n">
        <v>10</v>
      </c>
      <c r="E26" t="b">
        <v>0</v>
      </c>
      <c r="F26" t="b">
        <v>1</v>
      </c>
      <c r="G26" t="b">
        <v>0</v>
      </c>
      <c r="H26" t="n">
        <v>1</v>
      </c>
      <c r="I26" t="n">
        <v>0.3</v>
      </c>
      <c r="J26" t="inlineStr">
        <is>
          <t>01_chien_dau/Vu_khi_suy_ra (id gun_120_twin)</t>
        </is>
      </c>
      <c r="K26" t="inlineStr"/>
    </row>
    <row r="27">
      <c r="A27" t="inlineStr">
        <is>
          <t>gun_120mm</t>
        </is>
      </c>
      <c r="B27" t="n">
        <v>7.283</v>
      </c>
      <c r="C27" t="n">
        <v>343</v>
      </c>
      <c r="D27" t="n">
        <v>10</v>
      </c>
      <c r="E27" t="b">
        <v>0</v>
      </c>
      <c r="F27" t="b">
        <v>1</v>
      </c>
      <c r="G27" t="b">
        <v>0</v>
      </c>
      <c r="H27" t="n">
        <v>1</v>
      </c>
      <c r="I27" t="n">
        <v>0.3</v>
      </c>
      <c r="J27" t="inlineStr">
        <is>
          <t>01_chien_dau/Vu_khi_suy_ra (id gun_120mm)</t>
        </is>
      </c>
      <c r="K27" t="inlineStr"/>
    </row>
    <row r="28">
      <c r="A28" t="inlineStr">
        <is>
          <t>gun_125_armata_ke</t>
        </is>
      </c>
      <c r="B28" t="n">
        <v>7.143</v>
      </c>
      <c r="C28" t="n">
        <v>371</v>
      </c>
      <c r="D28" t="n">
        <v>10</v>
      </c>
      <c r="E28" t="b">
        <v>0</v>
      </c>
      <c r="F28" t="b">
        <v>1</v>
      </c>
      <c r="G28" t="b">
        <v>1</v>
      </c>
      <c r="H28" t="n">
        <v>1</v>
      </c>
      <c r="I28" t="n">
        <v>0.3</v>
      </c>
      <c r="J28" t="inlineStr">
        <is>
          <t>01_chien_dau/Vu_khi_suy_ra (id gun_125_armata_ke)</t>
        </is>
      </c>
      <c r="K28" t="inlineStr"/>
    </row>
    <row r="29">
      <c r="A29" t="inlineStr">
        <is>
          <t>gun_125_elite</t>
        </is>
      </c>
      <c r="B29" t="n">
        <v>8.086</v>
      </c>
      <c r="C29" t="n">
        <v>371</v>
      </c>
      <c r="D29" t="n">
        <v>10</v>
      </c>
      <c r="E29" t="b">
        <v>0</v>
      </c>
      <c r="F29" t="b">
        <v>1</v>
      </c>
      <c r="G29" t="b">
        <v>0</v>
      </c>
      <c r="H29" t="n">
        <v>1</v>
      </c>
      <c r="I29" t="n">
        <v>0.3</v>
      </c>
      <c r="J29" t="inlineStr">
        <is>
          <t>01_chien_dau/Vu_khi_suy_ra (id gun_125_elite)</t>
        </is>
      </c>
      <c r="K29" t="inlineStr"/>
    </row>
    <row r="30">
      <c r="A30" t="inlineStr">
        <is>
          <t>gun_140_twin</t>
        </is>
      </c>
      <c r="B30" t="n">
        <v>6.481</v>
      </c>
      <c r="C30" t="n">
        <v>828</v>
      </c>
      <c r="D30" t="n">
        <v>10</v>
      </c>
      <c r="E30" t="b">
        <v>0</v>
      </c>
      <c r="F30" t="b">
        <v>1</v>
      </c>
      <c r="G30" t="b">
        <v>0</v>
      </c>
      <c r="H30" t="n">
        <v>1</v>
      </c>
      <c r="I30" t="n">
        <v>0.3</v>
      </c>
      <c r="J30" t="inlineStr">
        <is>
          <t>01_chien_dau/Vu_khi_suy_ra (id gun_140_twin)</t>
        </is>
      </c>
      <c r="K30" t="inlineStr"/>
    </row>
    <row r="31">
      <c r="A31" t="inlineStr">
        <is>
          <t>gun_152</t>
        </is>
      </c>
      <c r="B31" t="n">
        <v>8.163</v>
      </c>
      <c r="C31" t="n">
        <v>457</v>
      </c>
      <c r="D31" t="n">
        <v>10</v>
      </c>
      <c r="E31" t="b">
        <v>0</v>
      </c>
      <c r="F31" t="b">
        <v>1</v>
      </c>
      <c r="G31" t="b">
        <v>0</v>
      </c>
      <c r="H31" t="n">
        <v>1</v>
      </c>
      <c r="I31" t="n">
        <v>0.3</v>
      </c>
      <c r="J31" t="inlineStr">
        <is>
          <t>01_chien_dau/Vu_khi_suy_ra (id gun_152)</t>
        </is>
      </c>
      <c r="K31" t="inlineStr"/>
    </row>
    <row r="32">
      <c r="A32" t="inlineStr">
        <is>
          <t>gun_152_heat</t>
        </is>
      </c>
      <c r="B32" t="n">
        <v>9.042999999999999</v>
      </c>
      <c r="C32" t="n">
        <v>480</v>
      </c>
      <c r="D32" t="n">
        <v>10</v>
      </c>
      <c r="E32" t="b">
        <v>0</v>
      </c>
      <c r="F32" t="b">
        <v>1</v>
      </c>
      <c r="G32" t="b">
        <v>0</v>
      </c>
      <c r="H32" t="n">
        <v>1</v>
      </c>
      <c r="I32" t="n">
        <v>0.3</v>
      </c>
      <c r="J32" t="inlineStr">
        <is>
          <t>01_chien_dau/Vu_khi_suy_ra (id gun_152_heat)</t>
        </is>
      </c>
      <c r="K32" t="inlineStr"/>
    </row>
    <row r="33">
      <c r="A33" t="inlineStr">
        <is>
          <t>gun_behemoth</t>
        </is>
      </c>
      <c r="B33" t="n">
        <v>8.98</v>
      </c>
      <c r="C33" t="n">
        <v>640</v>
      </c>
      <c r="D33" t="n">
        <v>10</v>
      </c>
      <c r="E33" t="b">
        <v>0</v>
      </c>
      <c r="F33" t="b">
        <v>1</v>
      </c>
      <c r="G33" t="b">
        <v>0</v>
      </c>
      <c r="H33" t="n">
        <v>1</v>
      </c>
      <c r="I33" t="n">
        <v>0</v>
      </c>
      <c r="J33" t="inlineStr">
        <is>
          <t>01_chien_dau/Vu_khi_suy_ra (id gun_behemoth)</t>
        </is>
      </c>
      <c r="K33" t="inlineStr"/>
    </row>
    <row r="34">
      <c r="A34" t="inlineStr">
        <is>
          <t>gunship_105</t>
        </is>
      </c>
      <c r="B34" t="n">
        <v>3.919</v>
      </c>
      <c r="C34" t="n">
        <v>286</v>
      </c>
      <c r="D34" t="n">
        <v>10</v>
      </c>
      <c r="E34" t="b">
        <v>0</v>
      </c>
      <c r="F34" t="b">
        <v>1</v>
      </c>
      <c r="G34" t="b">
        <v>0</v>
      </c>
      <c r="H34" t="n">
        <v>1</v>
      </c>
      <c r="I34" t="n">
        <v>0</v>
      </c>
      <c r="J34" t="inlineStr">
        <is>
          <t>01_chien_dau/Vu_khi_suy_ra (id gunship_105)</t>
        </is>
      </c>
      <c r="K34" t="inlineStr"/>
    </row>
    <row r="35">
      <c r="A35" t="inlineStr">
        <is>
          <t>hel_beam</t>
        </is>
      </c>
      <c r="B35" t="n">
        <v>0.0525</v>
      </c>
      <c r="C35" t="n">
        <v>10</v>
      </c>
      <c r="D35" t="n">
        <v>10</v>
      </c>
      <c r="E35" t="b">
        <v>0</v>
      </c>
      <c r="F35" t="b">
        <v>0</v>
      </c>
      <c r="G35" t="b">
        <v>1</v>
      </c>
      <c r="H35" t="n">
        <v>1</v>
      </c>
      <c r="I35" t="n">
        <v>1.5</v>
      </c>
      <c r="J35" t="inlineStr">
        <is>
          <t>01_chien_dau/Vu_khi_suy_ra (id hel_beam)</t>
        </is>
      </c>
      <c r="K35" t="inlineStr"/>
    </row>
    <row r="36">
      <c r="A36" t="inlineStr">
        <is>
          <t>heli_gun</t>
        </is>
      </c>
      <c r="B36" t="n">
        <v>9.667999999999999</v>
      </c>
      <c r="C36" t="n">
        <v>880</v>
      </c>
      <c r="D36" t="n">
        <v>10</v>
      </c>
      <c r="E36" t="b">
        <v>0</v>
      </c>
      <c r="F36" t="b">
        <v>1</v>
      </c>
      <c r="G36" t="b">
        <v>1</v>
      </c>
      <c r="H36" t="n">
        <v>1</v>
      </c>
      <c r="I36" t="n">
        <v>0.3</v>
      </c>
      <c r="J36" t="inlineStr">
        <is>
          <t>01_chien_dau/Vu_khi_suy_ra (id heli_gun)</t>
        </is>
      </c>
      <c r="K36" t="inlineStr"/>
    </row>
    <row r="37">
      <c r="A37" t="inlineStr">
        <is>
          <t>hellfire_standoff</t>
        </is>
      </c>
      <c r="B37" t="n">
        <v>8</v>
      </c>
      <c r="C37" t="n">
        <v>520</v>
      </c>
      <c r="D37" t="n">
        <v>10</v>
      </c>
      <c r="E37" t="b">
        <v>0</v>
      </c>
      <c r="F37" t="b">
        <v>1</v>
      </c>
      <c r="G37" t="b">
        <v>0</v>
      </c>
      <c r="H37" t="n">
        <v>1</v>
      </c>
      <c r="I37" t="n">
        <v>0.3</v>
      </c>
      <c r="J37" t="inlineStr">
        <is>
          <t>01_chien_dau/Vu_khi_suy_ra (id hellfire_standoff)</t>
        </is>
      </c>
      <c r="K37" t="inlineStr"/>
    </row>
    <row r="38">
      <c r="A38" t="inlineStr">
        <is>
          <t>hellfire_volley</t>
        </is>
      </c>
      <c r="B38" t="n">
        <v>11.09</v>
      </c>
      <c r="C38" t="n">
        <v>520</v>
      </c>
      <c r="D38" t="n">
        <v>10</v>
      </c>
      <c r="E38" t="b">
        <v>0</v>
      </c>
      <c r="F38" t="b">
        <v>1</v>
      </c>
      <c r="G38" t="b">
        <v>0</v>
      </c>
      <c r="H38" t="n">
        <v>1</v>
      </c>
      <c r="I38" t="n">
        <v>0.3</v>
      </c>
      <c r="J38" t="inlineStr">
        <is>
          <t>01_chien_dau/Vu_khi_suy_ra (id hellfire_volley)</t>
        </is>
      </c>
      <c r="K38" t="inlineStr"/>
    </row>
    <row r="39">
      <c r="A39" t="inlineStr">
        <is>
          <t>hmg_roof</t>
        </is>
      </c>
      <c r="B39" t="n">
        <v>16.11</v>
      </c>
      <c r="C39" t="n">
        <v>950</v>
      </c>
      <c r="D39" t="n">
        <v>10</v>
      </c>
      <c r="E39" t="b">
        <v>0</v>
      </c>
      <c r="F39" t="b">
        <v>1</v>
      </c>
      <c r="G39" t="b">
        <v>1</v>
      </c>
      <c r="H39" t="n">
        <v>1</v>
      </c>
      <c r="I39" t="n">
        <v>0.3</v>
      </c>
      <c r="J39" t="inlineStr">
        <is>
          <t>01_chien_dau/Vu_khi_suy_ra (id hmg_roof)</t>
        </is>
      </c>
      <c r="K39" t="inlineStr"/>
    </row>
    <row r="40">
      <c r="A40" t="inlineStr">
        <is>
          <t>hmg_selfdef_15</t>
        </is>
      </c>
      <c r="B40" t="n">
        <v>16.11</v>
      </c>
      <c r="C40" t="n">
        <v>950</v>
      </c>
      <c r="D40" t="n">
        <v>10</v>
      </c>
      <c r="E40" t="b">
        <v>0</v>
      </c>
      <c r="F40" t="b">
        <v>1</v>
      </c>
      <c r="G40" t="b">
        <v>1</v>
      </c>
      <c r="H40" t="n">
        <v>1</v>
      </c>
      <c r="I40" t="n">
        <v>0.3</v>
      </c>
      <c r="J40" t="inlineStr">
        <is>
          <t>01_chien_dau/Vu_khi_suy_ra (id hmg_selfdef_15)</t>
        </is>
      </c>
      <c r="K40" t="inlineStr"/>
    </row>
    <row r="41">
      <c r="A41" t="inlineStr">
        <is>
          <t>hover_ciws</t>
        </is>
      </c>
      <c r="B41" t="n">
        <v>6.002</v>
      </c>
      <c r="C41" t="n">
        <v>720</v>
      </c>
      <c r="D41" t="n">
        <v>10</v>
      </c>
      <c r="E41" t="b">
        <v>0</v>
      </c>
      <c r="F41" t="b">
        <v>1</v>
      </c>
      <c r="G41" t="b">
        <v>1</v>
      </c>
      <c r="H41" t="n">
        <v>1</v>
      </c>
      <c r="I41" t="n">
        <v>0.3</v>
      </c>
      <c r="J41" t="inlineStr">
        <is>
          <t>01_chien_dau/Vu_khi_suy_ra (id hover_ciws)</t>
        </is>
      </c>
      <c r="K41" t="inlineStr"/>
    </row>
    <row r="42">
      <c r="A42" t="inlineStr">
        <is>
          <t>howitzer</t>
        </is>
      </c>
      <c r="B42" t="n">
        <v>10.204</v>
      </c>
      <c r="C42" t="n">
        <v>457</v>
      </c>
      <c r="D42" t="n">
        <v>33.49</v>
      </c>
      <c r="E42" t="b">
        <v>1</v>
      </c>
      <c r="F42" t="b">
        <v>1</v>
      </c>
      <c r="G42" t="b">
        <v>0</v>
      </c>
      <c r="H42" t="n">
        <v>1</v>
      </c>
      <c r="I42" t="n">
        <v>0</v>
      </c>
      <c r="J42" t="inlineStr">
        <is>
          <t>01_chien_dau/Vu_khi_suy_ra (id howitzer)</t>
        </is>
      </c>
      <c r="K42" t="inlineStr"/>
    </row>
    <row r="43">
      <c r="A43" t="inlineStr">
        <is>
          <t>ifv_30</t>
        </is>
      </c>
      <c r="B43" t="n">
        <v>2.611</v>
      </c>
      <c r="C43" t="n">
        <v>220</v>
      </c>
      <c r="D43" t="n">
        <v>10</v>
      </c>
      <c r="E43" t="b">
        <v>0</v>
      </c>
      <c r="F43" t="b">
        <v>1</v>
      </c>
      <c r="G43" t="b">
        <v>0</v>
      </c>
      <c r="H43" t="n">
        <v>1</v>
      </c>
      <c r="I43" t="n">
        <v>0.3</v>
      </c>
      <c r="J43" t="inlineStr">
        <is>
          <t>01_chien_dau/Vu_khi_suy_ra (id ifv_30)</t>
        </is>
      </c>
      <c r="K43" t="inlineStr"/>
    </row>
    <row r="44">
      <c r="A44" t="inlineStr">
        <is>
          <t>jet_cannon</t>
        </is>
      </c>
      <c r="B44" t="n">
        <v>5.182</v>
      </c>
      <c r="C44" t="n">
        <v>1610</v>
      </c>
      <c r="D44" t="n">
        <v>10</v>
      </c>
      <c r="E44" t="b">
        <v>0</v>
      </c>
      <c r="F44" t="b">
        <v>1</v>
      </c>
      <c r="G44" t="b">
        <v>0</v>
      </c>
      <c r="H44" t="n">
        <v>1</v>
      </c>
      <c r="I44" t="n">
        <v>0.3</v>
      </c>
      <c r="J44" t="inlineStr">
        <is>
          <t>01_chien_dau/Vu_khi_suy_ra (id jet_cannon)</t>
        </is>
      </c>
      <c r="K44" t="inlineStr"/>
    </row>
    <row r="45">
      <c r="A45" t="inlineStr">
        <is>
          <t>mg_jeep</t>
        </is>
      </c>
      <c r="B45" t="n">
        <v>16.11</v>
      </c>
      <c r="C45" t="n">
        <v>950</v>
      </c>
      <c r="D45" t="n">
        <v>10</v>
      </c>
      <c r="E45" t="b">
        <v>0</v>
      </c>
      <c r="F45" t="b">
        <v>1</v>
      </c>
      <c r="G45" t="b">
        <v>1</v>
      </c>
      <c r="H45" t="n">
        <v>1</v>
      </c>
      <c r="I45" t="n">
        <v>0.3</v>
      </c>
      <c r="J45" t="inlineStr">
        <is>
          <t>01_chien_dau/Vu_khi_suy_ra (id mg_jeep)</t>
        </is>
      </c>
      <c r="K45" t="inlineStr"/>
    </row>
    <row r="46">
      <c r="A46" t="inlineStr">
        <is>
          <t>minigun</t>
        </is>
      </c>
      <c r="B46" t="n">
        <v>8</v>
      </c>
      <c r="C46" t="n">
        <v>1100</v>
      </c>
      <c r="D46" t="n">
        <v>10</v>
      </c>
      <c r="E46" t="b">
        <v>0</v>
      </c>
      <c r="F46" t="b">
        <v>1</v>
      </c>
      <c r="G46" t="b">
        <v>1</v>
      </c>
      <c r="H46" t="n">
        <v>1</v>
      </c>
      <c r="I46" t="n">
        <v>0.3</v>
      </c>
      <c r="J46" t="inlineStr">
        <is>
          <t>01_chien_dau/Vu_khi_suy_ra (id minigun)</t>
        </is>
      </c>
      <c r="K46" t="inlineStr"/>
    </row>
    <row r="47">
      <c r="A47" t="inlineStr">
        <is>
          <t>mlrs_elite</t>
        </is>
      </c>
      <c r="B47" t="n">
        <v>10.246</v>
      </c>
      <c r="C47" t="n">
        <v>525</v>
      </c>
      <c r="D47" t="n">
        <v>19.93</v>
      </c>
      <c r="E47" t="b">
        <v>1</v>
      </c>
      <c r="F47" t="b">
        <v>1</v>
      </c>
      <c r="G47" t="b">
        <v>0</v>
      </c>
      <c r="H47" t="n">
        <v>1</v>
      </c>
      <c r="I47" t="n">
        <v>0</v>
      </c>
      <c r="J47" t="inlineStr">
        <is>
          <t>01_chien_dau/Vu_khi_suy_ra (id mlrs_elite)</t>
        </is>
      </c>
      <c r="K47" t="inlineStr"/>
    </row>
    <row r="48">
      <c r="A48" t="inlineStr">
        <is>
          <t>mlrs_rockets</t>
        </is>
      </c>
      <c r="B48" t="n">
        <v>11.144</v>
      </c>
      <c r="C48" t="n">
        <v>500</v>
      </c>
      <c r="D48" t="n">
        <v>15.53</v>
      </c>
      <c r="E48" t="b">
        <v>1</v>
      </c>
      <c r="F48" t="b">
        <v>1</v>
      </c>
      <c r="G48" t="b">
        <v>0</v>
      </c>
      <c r="H48" t="n">
        <v>1</v>
      </c>
      <c r="I48" t="n">
        <v>0</v>
      </c>
      <c r="J48" t="inlineStr">
        <is>
          <t>01_chien_dau/Vu_khi_suy_ra (id mlrs_rockets)</t>
        </is>
      </c>
      <c r="K48" t="inlineStr"/>
    </row>
    <row r="49">
      <c r="A49" t="inlineStr">
        <is>
          <t>mortar_120</t>
        </is>
      </c>
      <c r="B49" t="n">
        <v>7.143</v>
      </c>
      <c r="C49" t="n">
        <v>214</v>
      </c>
      <c r="D49" t="n">
        <v>35.73</v>
      </c>
      <c r="E49" t="b">
        <v>1</v>
      </c>
      <c r="F49" t="b">
        <v>1</v>
      </c>
      <c r="G49" t="b">
        <v>0</v>
      </c>
      <c r="H49" t="n">
        <v>1</v>
      </c>
      <c r="I49" t="n">
        <v>0</v>
      </c>
      <c r="J49" t="inlineStr">
        <is>
          <t>01_chien_dau/Vu_khi_suy_ra (id mortar_120)</t>
        </is>
      </c>
      <c r="K49" t="inlineStr"/>
    </row>
    <row r="50">
      <c r="A50" t="inlineStr">
        <is>
          <t>naval_76</t>
        </is>
      </c>
      <c r="B50" t="n">
        <v>5.143</v>
      </c>
      <c r="C50" t="n">
        <v>342</v>
      </c>
      <c r="D50" t="n">
        <v>10</v>
      </c>
      <c r="E50" t="b">
        <v>0</v>
      </c>
      <c r="F50" t="b">
        <v>1</v>
      </c>
      <c r="G50" t="b">
        <v>0</v>
      </c>
      <c r="H50" t="n">
        <v>1</v>
      </c>
      <c r="I50" t="n">
        <v>0</v>
      </c>
      <c r="J50" t="inlineStr">
        <is>
          <t>01_chien_dau/Vu_khi_suy_ra (id naval_76)</t>
        </is>
      </c>
      <c r="K50" t="inlineStr"/>
    </row>
    <row r="51">
      <c r="A51" t="inlineStr">
        <is>
          <t>none</t>
        </is>
      </c>
      <c r="B51" t="n">
        <v>1</v>
      </c>
      <c r="C51" t="n">
        <v>0</v>
      </c>
      <c r="D51" t="n">
        <v>10</v>
      </c>
      <c r="E51" t="b">
        <v>0</v>
      </c>
      <c r="F51" t="b">
        <v>1</v>
      </c>
      <c r="G51" t="b">
        <v>0</v>
      </c>
      <c r="H51" t="n">
        <v>1</v>
      </c>
      <c r="I51" t="n">
        <v>0.3</v>
      </c>
      <c r="J51" t="inlineStr">
        <is>
          <t>01_chien_dau/Vu_khi_suy_ra (id none)</t>
        </is>
      </c>
      <c r="K51" t="inlineStr"/>
    </row>
    <row r="52">
      <c r="A52" t="inlineStr">
        <is>
          <t>railgun</t>
        </is>
      </c>
      <c r="B52" t="n">
        <v>7</v>
      </c>
      <c r="C52" t="n">
        <v>510</v>
      </c>
      <c r="D52" t="n">
        <v>10</v>
      </c>
      <c r="E52" t="b">
        <v>0</v>
      </c>
      <c r="F52" t="b">
        <v>1</v>
      </c>
      <c r="G52" t="b">
        <v>0</v>
      </c>
      <c r="H52" t="n">
        <v>1</v>
      </c>
      <c r="I52" t="n">
        <v>0.3</v>
      </c>
      <c r="J52" t="inlineStr">
        <is>
          <t>01_chien_dau/Vu_khi_suy_ra (id railgun)</t>
        </is>
      </c>
      <c r="K52" t="inlineStr"/>
    </row>
    <row r="53">
      <c r="A53" t="inlineStr">
        <is>
          <t>recoilless_106</t>
        </is>
      </c>
      <c r="B53" t="n">
        <v>9.523999999999999</v>
      </c>
      <c r="C53" t="n">
        <v>314</v>
      </c>
      <c r="D53" t="n">
        <v>10</v>
      </c>
      <c r="E53" t="b">
        <v>0</v>
      </c>
      <c r="F53" t="b">
        <v>1</v>
      </c>
      <c r="G53" t="b">
        <v>0</v>
      </c>
      <c r="H53" t="n">
        <v>1</v>
      </c>
      <c r="I53" t="n">
        <v>0.3</v>
      </c>
      <c r="J53" t="inlineStr">
        <is>
          <t>01_chien_dau/Vu_khi_suy_ra (id recoilless_106)</t>
        </is>
      </c>
      <c r="K53" t="inlineStr"/>
    </row>
    <row r="54">
      <c r="A54" t="inlineStr">
        <is>
          <t>recon_missile</t>
        </is>
      </c>
      <c r="B54" t="n">
        <v>11.59</v>
      </c>
      <c r="C54" t="n">
        <v>190</v>
      </c>
      <c r="D54" t="n">
        <v>10</v>
      </c>
      <c r="E54" t="b">
        <v>0</v>
      </c>
      <c r="F54" t="b">
        <v>1</v>
      </c>
      <c r="G54" t="b">
        <v>0</v>
      </c>
      <c r="H54" t="n">
        <v>1</v>
      </c>
      <c r="I54" t="n">
        <v>0.3</v>
      </c>
      <c r="J54" t="inlineStr">
        <is>
          <t>01_chien_dau/Vu_khi_suy_ra (id recon_missile)</t>
        </is>
      </c>
      <c r="K54" t="inlineStr"/>
    </row>
    <row r="55">
      <c r="A55" t="inlineStr">
        <is>
          <t>rockets_300mm</t>
        </is>
      </c>
      <c r="B55" t="n">
        <v>18.26</v>
      </c>
      <c r="C55" t="n">
        <v>1595</v>
      </c>
      <c r="D55" t="n">
        <v>18.912</v>
      </c>
      <c r="E55" t="b">
        <v>1</v>
      </c>
      <c r="F55" t="b">
        <v>1</v>
      </c>
      <c r="G55" t="b">
        <v>0</v>
      </c>
      <c r="H55" t="n">
        <v>1</v>
      </c>
      <c r="I55" t="n">
        <v>0</v>
      </c>
      <c r="J55" t="inlineStr">
        <is>
          <t>01_chien_dau/Vu_khi_suy_ra (id rockets_300mm)</t>
        </is>
      </c>
      <c r="K55" t="inlineStr"/>
    </row>
    <row r="56">
      <c r="A56" t="inlineStr">
        <is>
          <t>sam_48n6</t>
        </is>
      </c>
      <c r="B56" t="n">
        <v>7.2</v>
      </c>
      <c r="C56" t="n">
        <v>630</v>
      </c>
      <c r="D56" t="n">
        <v>10</v>
      </c>
      <c r="E56" t="b">
        <v>1</v>
      </c>
      <c r="F56" t="b">
        <v>0</v>
      </c>
      <c r="G56" t="b">
        <v>1</v>
      </c>
      <c r="H56" t="n">
        <v>0.5</v>
      </c>
      <c r="I56" t="n">
        <v>1.3</v>
      </c>
      <c r="J56" t="inlineStr">
        <is>
          <t>01_chien_dau/Vu_khi_suy_ra (id sam_48n6)</t>
        </is>
      </c>
      <c r="K56" t="inlineStr"/>
    </row>
    <row r="57">
      <c r="A57" t="inlineStr">
        <is>
          <t>shahed</t>
        </is>
      </c>
      <c r="B57" t="n">
        <v>8.5</v>
      </c>
      <c r="C57" t="n">
        <v>344</v>
      </c>
      <c r="D57" t="n">
        <v>8.5</v>
      </c>
      <c r="E57" t="b">
        <v>1</v>
      </c>
      <c r="F57" t="b">
        <v>1</v>
      </c>
      <c r="G57" t="b">
        <v>0</v>
      </c>
      <c r="H57" t="n">
        <v>1</v>
      </c>
      <c r="I57" t="n">
        <v>0</v>
      </c>
      <c r="J57" t="inlineStr">
        <is>
          <t>01_chien_dau/Vu_khi_suy_ra (id shahed)</t>
        </is>
      </c>
      <c r="K57" t="inlineStr"/>
    </row>
    <row r="58">
      <c r="A58" t="inlineStr">
        <is>
          <t>siege_mortar_240</t>
        </is>
      </c>
      <c r="B58" t="n">
        <v>10.884</v>
      </c>
      <c r="C58" t="n">
        <v>643</v>
      </c>
      <c r="D58" t="n">
        <v>28.57</v>
      </c>
      <c r="E58" t="b">
        <v>1</v>
      </c>
      <c r="F58" t="b">
        <v>1</v>
      </c>
      <c r="G58" t="b">
        <v>0</v>
      </c>
      <c r="H58" t="n">
        <v>1</v>
      </c>
      <c r="I58" t="n">
        <v>0</v>
      </c>
      <c r="J58" t="inlineStr">
        <is>
          <t>01_chien_dau/Vu_khi_suy_ra (id siege_mortar_240)</t>
        </is>
      </c>
      <c r="K58" t="inlineStr"/>
    </row>
    <row r="59">
      <c r="A59" t="inlineStr">
        <is>
          <t>stealth_payload</t>
        </is>
      </c>
      <c r="B59" t="n">
        <v>14.3</v>
      </c>
      <c r="C59" t="n">
        <v>1784</v>
      </c>
      <c r="D59" t="n">
        <v>10</v>
      </c>
      <c r="E59" t="b">
        <v>1</v>
      </c>
      <c r="F59" t="b">
        <v>1</v>
      </c>
      <c r="G59" t="b">
        <v>0</v>
      </c>
      <c r="H59" t="n">
        <v>1</v>
      </c>
      <c r="I59" t="n">
        <v>0</v>
      </c>
      <c r="J59" t="inlineStr">
        <is>
          <t>01_chien_dau/Vu_khi_suy_ra (id stealth_payload)</t>
        </is>
      </c>
      <c r="K59" t="inlineStr"/>
    </row>
    <row r="60">
      <c r="A60" t="inlineStr">
        <is>
          <t>stinger_post</t>
        </is>
      </c>
      <c r="B60" t="n">
        <v>4.452</v>
      </c>
      <c r="C60" t="n">
        <v>170</v>
      </c>
      <c r="D60" t="n">
        <v>10</v>
      </c>
      <c r="E60" t="b">
        <v>0</v>
      </c>
      <c r="F60" t="b">
        <v>0</v>
      </c>
      <c r="G60" t="b">
        <v>1</v>
      </c>
      <c r="H60" t="n">
        <v>0.5</v>
      </c>
      <c r="I60" t="n">
        <v>1.3</v>
      </c>
      <c r="J60" t="inlineStr">
        <is>
          <t>01_chien_dau/Vu_khi_suy_ra (id stinger_post)</t>
        </is>
      </c>
      <c r="K60" t="inlineStr"/>
    </row>
    <row r="61">
      <c r="A61" t="inlineStr">
        <is>
          <t>swarm_drones</t>
        </is>
      </c>
      <c r="B61" t="n">
        <v>3.3</v>
      </c>
      <c r="C61" t="n">
        <v>140</v>
      </c>
      <c r="D61" t="n">
        <v>10</v>
      </c>
      <c r="E61" t="b">
        <v>1</v>
      </c>
      <c r="F61" t="b">
        <v>1</v>
      </c>
      <c r="G61" t="b">
        <v>0</v>
      </c>
      <c r="H61" t="n">
        <v>1</v>
      </c>
      <c r="I61" t="n">
        <v>0.3</v>
      </c>
      <c r="J61" t="inlineStr">
        <is>
          <t>01_chien_dau/Vu_khi_suy_ra (id swarm_drones)</t>
        </is>
      </c>
      <c r="K61" t="inlineStr"/>
    </row>
    <row r="62">
      <c r="A62" t="inlineStr">
        <is>
          <t>technical_rockets</t>
        </is>
      </c>
      <c r="B62" t="n">
        <v>7.6</v>
      </c>
      <c r="C62" t="n">
        <v>247.5</v>
      </c>
      <c r="D62" t="n">
        <v>18</v>
      </c>
      <c r="E62" t="b">
        <v>1</v>
      </c>
      <c r="F62" t="b">
        <v>1</v>
      </c>
      <c r="G62" t="b">
        <v>0</v>
      </c>
      <c r="H62" t="n">
        <v>1</v>
      </c>
      <c r="I62" t="n">
        <v>0</v>
      </c>
      <c r="J62" t="inlineStr">
        <is>
          <t>01_chien_dau/Vu_khi_suy_ra (id technical_rockets)</t>
        </is>
      </c>
      <c r="K62" t="inlineStr"/>
    </row>
    <row r="63">
      <c r="A63" t="inlineStr">
        <is>
          <t>thermobaric_rockets</t>
        </is>
      </c>
      <c r="B63" t="n">
        <v>12.95</v>
      </c>
      <c r="C63" t="n">
        <v>873</v>
      </c>
      <c r="D63" t="n">
        <v>21.67</v>
      </c>
      <c r="E63" t="b">
        <v>1</v>
      </c>
      <c r="F63" t="b">
        <v>1</v>
      </c>
      <c r="G63" t="b">
        <v>0</v>
      </c>
      <c r="H63" t="n">
        <v>1</v>
      </c>
      <c r="I63" t="n">
        <v>0</v>
      </c>
      <c r="J63" t="inlineStr">
        <is>
          <t>01_chien_dau/Vu_khi_suy_ra (id thermobaric_rockets)</t>
        </is>
      </c>
      <c r="K63" t="inlineStr"/>
    </row>
    <row r="64">
      <c r="A64" t="inlineStr">
        <is>
          <t>twin_30_flak</t>
        </is>
      </c>
      <c r="B64" t="n">
        <v>7</v>
      </c>
      <c r="C64" t="n">
        <v>1200</v>
      </c>
      <c r="D64" t="n">
        <v>10</v>
      </c>
      <c r="E64" t="b">
        <v>0</v>
      </c>
      <c r="F64" t="b">
        <v>1</v>
      </c>
      <c r="G64" t="b">
        <v>1</v>
      </c>
      <c r="H64" t="n">
        <v>0.5</v>
      </c>
      <c r="I64" t="n">
        <v>1.3</v>
      </c>
      <c r="J64" t="inlineStr">
        <is>
          <t>01_chien_dau/Vu_khi_suy_ra (id twin_30_flak)</t>
        </is>
      </c>
      <c r="K64" t="inlineStr"/>
    </row>
    <row r="65">
      <c r="A65" t="inlineStr">
        <is>
          <t>twin_35_ahead</t>
        </is>
      </c>
      <c r="B65" t="n">
        <v>6.1288</v>
      </c>
      <c r="C65" t="n">
        <v>624</v>
      </c>
      <c r="D65" t="n">
        <v>10</v>
      </c>
      <c r="E65" t="b">
        <v>0</v>
      </c>
      <c r="F65" t="b">
        <v>1</v>
      </c>
      <c r="G65" t="b">
        <v>1</v>
      </c>
      <c r="H65" t="n">
        <v>0.5</v>
      </c>
      <c r="I65" t="n">
        <v>1.3</v>
      </c>
      <c r="J65" t="inlineStr">
        <is>
          <t>01_chien_dau/Vu_khi_suy_ra (id twin_35_ahead)</t>
        </is>
      </c>
      <c r="K65" t="inlineStr"/>
    </row>
    <row r="66">
      <c r="A66" t="inlineStr">
        <is>
          <t>zu23</t>
        </is>
      </c>
      <c r="B66" t="n">
        <v>5</v>
      </c>
      <c r="C66" t="n">
        <v>350</v>
      </c>
      <c r="D66" t="n">
        <v>10</v>
      </c>
      <c r="E66" t="b">
        <v>0</v>
      </c>
      <c r="F66" t="b">
        <v>1</v>
      </c>
      <c r="G66" t="b">
        <v>1</v>
      </c>
      <c r="H66" t="n">
        <v>0.5</v>
      </c>
      <c r="I66" t="n">
        <v>1.3</v>
      </c>
      <c r="J66" t="inlineStr">
        <is>
          <t>01_chien_dau/Vu_khi_suy_ra (id zu23)</t>
        </is>
      </c>
      <c r="K66" t="inlineStr"/>
    </row>
  </sheetData>
  <autoFilter ref="A1:K6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1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he_so</t>
        </is>
      </c>
      <c r="C1" s="1" t="inlineStr">
        <is>
          <t>nguon</t>
        </is>
      </c>
      <c r="D1" s="1" t="inlineStr">
        <is>
          <t>raw_json</t>
        </is>
      </c>
    </row>
    <row r="2">
      <c r="A2" t="inlineStr">
        <is>
          <t>buoc_0</t>
        </is>
      </c>
      <c r="B2" t="n">
        <v>1.2</v>
      </c>
      <c r="C2" t="inlineStr">
        <is>
          <t>01_chien_dau/Bang_xuyen_giap (id buoc_0)</t>
        </is>
      </c>
      <c r="D2" t="inlineStr"/>
    </row>
    <row r="3">
      <c r="A3" t="inlineStr">
        <is>
          <t>buoc_1</t>
        </is>
      </c>
      <c r="B3" t="n">
        <v>1</v>
      </c>
      <c r="C3" t="inlineStr">
        <is>
          <t>01_chien_dau/Bang_xuyen_giap (id buoc_1)</t>
        </is>
      </c>
      <c r="D3" t="inlineStr"/>
    </row>
    <row r="4">
      <c r="A4" t="inlineStr">
        <is>
          <t>buoc_2</t>
        </is>
      </c>
      <c r="B4" t="n">
        <v>0.85</v>
      </c>
      <c r="C4" t="inlineStr">
        <is>
          <t>01_chien_dau/Bang_xuyen_giap (id buoc_2)</t>
        </is>
      </c>
      <c r="D4" t="inlineStr"/>
    </row>
    <row r="5">
      <c r="A5" t="inlineStr">
        <is>
          <t>buoc_3</t>
        </is>
      </c>
      <c r="B5" t="n">
        <v>0.5</v>
      </c>
      <c r="C5" t="inlineStr">
        <is>
          <t>01_chien_dau/Bang_xuyen_giap (id buoc_3)</t>
        </is>
      </c>
      <c r="D5" t="inlineStr"/>
    </row>
    <row r="6">
      <c r="A6" t="inlineStr">
        <is>
          <t>buoc_4</t>
        </is>
      </c>
      <c r="B6" t="n">
        <v>0.25</v>
      </c>
      <c r="C6" t="inlineStr">
        <is>
          <t>01_chien_dau/Bang_xuyen_giap (id buoc_4)</t>
        </is>
      </c>
      <c r="D6" t="inlineStr"/>
    </row>
    <row r="7">
      <c r="A7" t="inlineStr">
        <is>
          <t>buoc_5</t>
        </is>
      </c>
      <c r="B7" t="n">
        <v>0.1</v>
      </c>
      <c r="C7" t="inlineStr">
        <is>
          <t>01_chien_dau/Bang_xuyen_giap (id buoc_5)</t>
        </is>
      </c>
      <c r="D7" t="inlineStr"/>
    </row>
  </sheetData>
  <autoFilter ref="A1:D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9" customWidth="1" min="3" max="3"/>
    <col width="14" customWidth="1" min="4" max="4"/>
    <col width="60" customWidth="1" min="5" max="5"/>
    <col width="23" customWidth="1" min="6" max="6"/>
    <col width="60" customWidth="1" min="7" max="7"/>
    <col width="31" customWidth="1" min="8" max="8"/>
    <col width="60" customWidth="1" min="9" max="9"/>
    <col width="34" customWidth="1" min="10" max="10"/>
    <col width="60" customWidth="1" min="11" max="11"/>
    <col width="10" customWidth="1" min="12" max="12"/>
    <col width="11" customWidth="1" min="13" max="13"/>
    <col width="17" customWidth="1" min="14" max="14"/>
    <col width="20" customWidth="1" min="15" max="15"/>
    <col width="6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nap_dan_may_bay</t>
        </is>
      </c>
      <c r="C1" s="1" t="inlineStr">
        <is>
          <t>nap_lai_may_bay_s</t>
        </is>
      </c>
      <c r="D1" s="1" t="inlineStr">
        <is>
          <t>he_so_vu_khi</t>
        </is>
      </c>
      <c r="E1" s="1" t="inlineStr">
        <is>
          <t>dps_vu_khi_chinh</t>
        </is>
      </c>
      <c r="F1" s="1" t="inlineStr">
        <is>
          <t>dps_vu_khi_chinh_game</t>
        </is>
      </c>
      <c r="G1" s="1" t="inlineStr">
        <is>
          <t>dps_vu_khi_chinh_may_bay</t>
        </is>
      </c>
      <c r="H1" s="1" t="inlineStr">
        <is>
          <t>dps_vu_khi_chinh_may_bay_game</t>
        </is>
      </c>
      <c r="I1" s="1" t="inlineStr">
        <is>
          <t>mau_tren_cp</t>
        </is>
      </c>
      <c r="J1" s="1" t="inlineStr">
        <is>
          <t>dps_tren_cp</t>
        </is>
      </c>
      <c r="K1" s="1" t="inlineStr">
        <is>
          <t>ty_le_so_voi_duong_cong</t>
        </is>
      </c>
      <c r="L1" s="1" t="inlineStr">
        <is>
          <t>nhom_gia</t>
        </is>
      </c>
      <c r="M1" s="1" t="inlineStr">
        <is>
          <t>he_so_gia</t>
        </is>
      </c>
      <c r="N1" s="1" t="inlineStr">
        <is>
          <t>thuong_suc_manh</t>
        </is>
      </c>
      <c r="O1" s="1" t="inlineStr">
        <is>
          <t>tha_du_theo_nhom_s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aa_gun_vehicle</t>
        </is>
      </c>
      <c r="B2" t="n">
        <v>0</v>
      </c>
      <c r="C2" t="n">
        <v>0</v>
      </c>
      <c r="D2" t="n">
        <v>1</v>
      </c>
      <c r="E2">
        <f>IF(INDEX(xe_input_vu_khi!$B$2:$B$66,MATCH(Xe!$AE$2,xe_input_vu_khi!$A$2:$A$66,0))&lt;=0,0,IF($B$2&gt;0,INDEX(xe_input_vu_khi!$B$2:$B$66,MATCH(Xe!$AE$2,xe_input_vu_khi!$A$2:$A$66,0))*$B$2/(MAX(0.05,INDEX(xe_input_vu_khi_suy_ra!$B$2:$B$66,MATCH(Xe!$AE$2,xe_input_vu_khi_suy_ra!$A$2:$A$66,0)))*MAX(1,CEILING($B$2/MAX(1,INDEX(xe_input_vu_khi!$C$2:$C$66,MATCH(Xe!$AE$2,xe_input_vu_khi!$A$2:$A$66,0))),1))+MAX(0,$C$2)),IF(INDEX(xe_input_vu_khi!$D$2:$D$66,MATCH(Xe!$AE$2,xe_input_vu_khi!$A$2:$A$66,0))&gt;0,INDEX(xe_input_vu_khi_suy_ra!$C$2:$C$66,MATCH(Xe!$AE$2,xe_input_vu_khi_suy_ra!$A$2:$A$66,0))*INDEX(xe_input_vu_khi!$D$2:$D$66,MATCH(Xe!$AE$2,xe_input_vu_khi!$A$2:$A$66,0))/(MAX(0.05,INDEX(xe_input_vu_khi_suy_ra!$B$2:$B$66,MATCH(Xe!$AE$2,xe_input_vu_khi_suy_ra!$A$2:$A$66,0)))*INDEX(xe_input_vu_khi!$D$2:$D$66,MATCH(Xe!$AE$2,xe_input_vu_khi!$A$2:$A$66,0))+INDEX(xe_input_vu_khi_suy_ra!$D$2:$D$66,MATCH(Xe!$AE$2,xe_input_vu_khi_suy_ra!$A$2:$A$66,0))),INDEX(xe_input_vu_khi_suy_ra!$C$2:$C$66,MATCH(Xe!$AE$2,xe_input_vu_khi_suy_ra!$A$2:$A$66,0))/MAX(0.05,INDEX(xe_input_vu_khi_suy_ra!$B$2:$B$66,MATCH(Xe!$AE$2,xe_input_vu_khi_suy_ra!$A$2:$A$66,0))))))*IF(INDEX(xe_input_vu_khi!$E$2:$E$66,MATCH(Xe!$AE$2,xe_input_vu_khi!$A$2:$A$66,0)),1,$D$2)*Xe!$AD$2</f>
        <v/>
      </c>
      <c r="F2" t="n">
        <v>92.90322580645162</v>
      </c>
      <c r="G2">
        <f>IF(INDEX(xe_input_vu_khi!$B$2:$B$66,MATCH(Xe!$AE$2,xe_input_vu_khi!$A$2:$A$66,0))&lt;=0,0,IF($B$2&gt;0,INDEX(xe_input_vu_khi!$B$2:$B$66,MATCH(Xe!$AE$2,xe_input_vu_khi!$A$2:$A$66,0))*$B$2/(MAX(0.05,INDEX(xe_input_vu_khi_suy_ra!$B$2:$B$66,MATCH(Xe!$AE$2,xe_input_vu_khi_suy_ra!$A$2:$A$66,0)))*MAX(1,CEILING($B$2/MAX(1,INDEX(xe_input_vu_khi!$C$2:$C$66,MATCH(Xe!$AE$2,xe_input_vu_khi!$A$2:$A$66,0))),1))+MAX(0,$C$2)),IF(INDEX(xe_input_vu_khi!$D$2:$D$66,MATCH(Xe!$AE$2,xe_input_vu_khi!$A$2:$A$66,0))&gt;0,INDEX(xe_input_vu_khi_suy_ra!$C$2:$C$66,MATCH(Xe!$AE$2,xe_input_vu_khi_suy_ra!$A$2:$A$66,0))*INDEX(xe_input_vu_khi!$D$2:$D$66,MATCH(Xe!$AE$2,xe_input_vu_khi!$A$2:$A$66,0))/(MAX(0.05,INDEX(xe_input_vu_khi_suy_ra!$B$2:$B$66,MATCH(Xe!$AE$2,xe_input_vu_khi_suy_ra!$A$2:$A$66,0)))*INDEX(xe_input_vu_khi!$D$2:$D$66,MATCH(Xe!$AE$2,xe_input_vu_khi!$A$2:$A$66,0))+INDEX(xe_input_vu_khi_suy_ra!$D$2:$D$66,MATCH(Xe!$AE$2,xe_input_vu_khi_suy_ra!$A$2:$A$66,0))),INDEX(xe_input_vu_khi_suy_ra!$C$2:$C$66,MATCH(Xe!$AE$2,xe_input_vu_khi_suy_ra!$A$2:$A$66,0))/MAX(0.05,INDEX(xe_input_vu_khi_suy_ra!$B$2:$B$66,MATCH(Xe!$AE$2,xe_input_vu_khi_suy_ra!$A$2:$A$66,0))))))*Xe!$AD$2</f>
        <v/>
      </c>
      <c r="H2" t="n">
        <v>92.90322580645162</v>
      </c>
      <c r="I2">
        <f>IF(AND(Xe!$I$2&gt;0,ISNUMBER(Xe!$K$2)),Xe!$K$2/Xe!$I$2,"")</f>
        <v/>
      </c>
      <c r="J2">
        <f>IF(Xe!$I$2&gt;0,$E$2/Xe!$I$2,"")</f>
        <v/>
      </c>
      <c r="K2">
        <f>IF(AND(Xe!$I$2&gt;0,ISNUMBER(Xe!$K$2)),Xe!$K$2/(Hoi_quy!$B$4*Xe!$I$2^Hoi_quy!$B$5),"")</f>
        <v/>
      </c>
      <c r="L2" t="n">
        <v>2</v>
      </c>
      <c r="M2" t="n">
        <v>1.15</v>
      </c>
      <c r="N2" t="n">
        <v>0</v>
      </c>
      <c r="O2" t="n">
        <v>3.5</v>
      </c>
      <c r="P2" t="inlineStr">
        <is>
          <t>Assets/MachineBrigade/Resources/Data/balance.json: vehicles[id=aa_gun_vehicle] (lớp B trên 01_chien_dau/Xe)</t>
        </is>
      </c>
      <c r="Q2" t="inlineStr"/>
    </row>
    <row r="3">
      <c r="A3" t="inlineStr">
        <is>
          <t>aa_vehicle</t>
        </is>
      </c>
      <c r="B3" t="n">
        <v>0</v>
      </c>
      <c r="C3" t="n">
        <v>0</v>
      </c>
      <c r="D3" t="n">
        <v>1</v>
      </c>
      <c r="E3">
        <f>IF(INDEX(xe_input_vu_khi!$B$2:$B$66,MATCH(Xe!$AE$3,xe_input_vu_khi!$A$2:$A$66,0))&lt;=0,0,IF($B$3&gt;0,INDEX(xe_input_vu_khi!$B$2:$B$66,MATCH(Xe!$AE$3,xe_input_vu_khi!$A$2:$A$66,0))*$B$3/(MAX(0.05,INDEX(xe_input_vu_khi_suy_ra!$B$2:$B$66,MATCH(Xe!$AE$3,xe_input_vu_khi_suy_ra!$A$2:$A$66,0)))*MAX(1,CEILING($B$3/MAX(1,INDEX(xe_input_vu_khi!$C$2:$C$66,MATCH(Xe!$AE$3,xe_input_vu_khi!$A$2:$A$66,0))),1))+MAX(0,$C$3)),IF(INDEX(xe_input_vu_khi!$D$2:$D$66,MATCH(Xe!$AE$3,xe_input_vu_khi!$A$2:$A$66,0))&gt;0,INDEX(xe_input_vu_khi_suy_ra!$C$2:$C$66,MATCH(Xe!$AE$3,xe_input_vu_khi_suy_ra!$A$2:$A$66,0))*INDEX(xe_input_vu_khi!$D$2:$D$66,MATCH(Xe!$AE$3,xe_input_vu_khi!$A$2:$A$66,0))/(MAX(0.05,INDEX(xe_input_vu_khi_suy_ra!$B$2:$B$66,MATCH(Xe!$AE$3,xe_input_vu_khi_suy_ra!$A$2:$A$66,0)))*INDEX(xe_input_vu_khi!$D$2:$D$66,MATCH(Xe!$AE$3,xe_input_vu_khi!$A$2:$A$66,0))+INDEX(xe_input_vu_khi_suy_ra!$D$2:$D$66,MATCH(Xe!$AE$3,xe_input_vu_khi_suy_ra!$A$2:$A$66,0))),INDEX(xe_input_vu_khi_suy_ra!$C$2:$C$66,MATCH(Xe!$AE$3,xe_input_vu_khi_suy_ra!$A$2:$A$66,0))/MAX(0.05,INDEX(xe_input_vu_khi_suy_ra!$B$2:$B$66,MATCH(Xe!$AE$3,xe_input_vu_khi_suy_ra!$A$2:$A$66,0))))))*IF(INDEX(xe_input_vu_khi!$E$2:$E$66,MATCH(Xe!$AE$3,xe_input_vu_khi!$A$2:$A$66,0)),1,$D$3)*Xe!$AD$3</f>
        <v/>
      </c>
      <c r="F3" t="n">
        <v>88</v>
      </c>
      <c r="G3">
        <f>IF(INDEX(xe_input_vu_khi!$B$2:$B$66,MATCH(Xe!$AE$3,xe_input_vu_khi!$A$2:$A$66,0))&lt;=0,0,IF($B$3&gt;0,INDEX(xe_input_vu_khi!$B$2:$B$66,MATCH(Xe!$AE$3,xe_input_vu_khi!$A$2:$A$66,0))*$B$3/(MAX(0.05,INDEX(xe_input_vu_khi_suy_ra!$B$2:$B$66,MATCH(Xe!$AE$3,xe_input_vu_khi_suy_ra!$A$2:$A$66,0)))*MAX(1,CEILING($B$3/MAX(1,INDEX(xe_input_vu_khi!$C$2:$C$66,MATCH(Xe!$AE$3,xe_input_vu_khi!$A$2:$A$66,0))),1))+MAX(0,$C$3)),IF(INDEX(xe_input_vu_khi!$D$2:$D$66,MATCH(Xe!$AE$3,xe_input_vu_khi!$A$2:$A$66,0))&gt;0,INDEX(xe_input_vu_khi_suy_ra!$C$2:$C$66,MATCH(Xe!$AE$3,xe_input_vu_khi_suy_ra!$A$2:$A$66,0))*INDEX(xe_input_vu_khi!$D$2:$D$66,MATCH(Xe!$AE$3,xe_input_vu_khi!$A$2:$A$66,0))/(MAX(0.05,INDEX(xe_input_vu_khi_suy_ra!$B$2:$B$66,MATCH(Xe!$AE$3,xe_input_vu_khi_suy_ra!$A$2:$A$66,0)))*INDEX(xe_input_vu_khi!$D$2:$D$66,MATCH(Xe!$AE$3,xe_input_vu_khi!$A$2:$A$66,0))+INDEX(xe_input_vu_khi_suy_ra!$D$2:$D$66,MATCH(Xe!$AE$3,xe_input_vu_khi_suy_ra!$A$2:$A$66,0))),INDEX(xe_input_vu_khi_suy_ra!$C$2:$C$66,MATCH(Xe!$AE$3,xe_input_vu_khi_suy_ra!$A$2:$A$66,0))/MAX(0.05,INDEX(xe_input_vu_khi_suy_ra!$B$2:$B$66,MATCH(Xe!$AE$3,xe_input_vu_khi_suy_ra!$A$2:$A$66,0))))))*Xe!$AD$3</f>
        <v/>
      </c>
      <c r="H3" t="n">
        <v>88</v>
      </c>
      <c r="I3">
        <f>IF(AND(Xe!$I$3&gt;0,ISNUMBER(Xe!$K$3)),Xe!$K$3/Xe!$I$3,"")</f>
        <v/>
      </c>
      <c r="J3">
        <f>IF(Xe!$I$3&gt;0,$E$3/Xe!$I$3,"")</f>
        <v/>
      </c>
      <c r="K3">
        <f>IF(AND(Xe!$I$3&gt;0,ISNUMBER(Xe!$K$3)),Xe!$K$3/(Hoi_quy!$B$4*Xe!$I$3^Hoi_quy!$B$5),"")</f>
        <v/>
      </c>
      <c r="L3" t="n">
        <v>1</v>
      </c>
      <c r="M3" t="n">
        <v>1</v>
      </c>
      <c r="N3" t="n">
        <v>0</v>
      </c>
      <c r="O3" t="n">
        <v>2.5</v>
      </c>
      <c r="P3" t="inlineStr">
        <is>
          <t>Assets/MachineBrigade/Resources/Data/balance.json: vehicles[id=aa_vehicle] (lớp B trên 01_chien_dau/Xe)</t>
        </is>
      </c>
      <c r="Q3" t="inlineStr"/>
    </row>
    <row r="4">
      <c r="A4" t="inlineStr">
        <is>
          <t>ammo_carrier</t>
        </is>
      </c>
      <c r="B4" t="n">
        <v>0</v>
      </c>
      <c r="C4" t="n">
        <v>0</v>
      </c>
      <c r="D4" t="n">
        <v>1</v>
      </c>
      <c r="E4">
        <f>IF(INDEX(xe_input_vu_khi!$B$2:$B$66,MATCH(Xe!$AE$4,xe_input_vu_khi!$A$2:$A$66,0))&lt;=0,0,IF($B$4&gt;0,INDEX(xe_input_vu_khi!$B$2:$B$66,MATCH(Xe!$AE$4,xe_input_vu_khi!$A$2:$A$66,0))*$B$4/(MAX(0.05,INDEX(xe_input_vu_khi_suy_ra!$B$2:$B$66,MATCH(Xe!$AE$4,xe_input_vu_khi_suy_ra!$A$2:$A$66,0)))*MAX(1,CEILING($B$4/MAX(1,INDEX(xe_input_vu_khi!$C$2:$C$66,MATCH(Xe!$AE$4,xe_input_vu_khi!$A$2:$A$66,0))),1))+MAX(0,$C$4)),IF(INDEX(xe_input_vu_khi!$D$2:$D$66,MATCH(Xe!$AE$4,xe_input_vu_khi!$A$2:$A$66,0))&gt;0,INDEX(xe_input_vu_khi_suy_ra!$C$2:$C$66,MATCH(Xe!$AE$4,xe_input_vu_khi_suy_ra!$A$2:$A$66,0))*INDEX(xe_input_vu_khi!$D$2:$D$66,MATCH(Xe!$AE$4,xe_input_vu_khi!$A$2:$A$66,0))/(MAX(0.05,INDEX(xe_input_vu_khi_suy_ra!$B$2:$B$66,MATCH(Xe!$AE$4,xe_input_vu_khi_suy_ra!$A$2:$A$66,0)))*INDEX(xe_input_vu_khi!$D$2:$D$66,MATCH(Xe!$AE$4,xe_input_vu_khi!$A$2:$A$66,0))+INDEX(xe_input_vu_khi_suy_ra!$D$2:$D$66,MATCH(Xe!$AE$4,xe_input_vu_khi_suy_ra!$A$2:$A$66,0))),INDEX(xe_input_vu_khi_suy_ra!$C$2:$C$66,MATCH(Xe!$AE$4,xe_input_vu_khi_suy_ra!$A$2:$A$66,0))/MAX(0.05,INDEX(xe_input_vu_khi_suy_ra!$B$2:$B$66,MATCH(Xe!$AE$4,xe_input_vu_khi_suy_ra!$A$2:$A$66,0))))))*IF(INDEX(xe_input_vu_khi!$E$2:$E$66,MATCH(Xe!$AE$4,xe_input_vu_khi!$A$2:$A$66,0)),1,$D$4)*Xe!$AD$4</f>
        <v/>
      </c>
      <c r="F4" t="n">
        <v>58.96958410924891</v>
      </c>
      <c r="G4">
        <f>IF(INDEX(xe_input_vu_khi!$B$2:$B$66,MATCH(Xe!$AE$4,xe_input_vu_khi!$A$2:$A$66,0))&lt;=0,0,IF($B$4&gt;0,INDEX(xe_input_vu_khi!$B$2:$B$66,MATCH(Xe!$AE$4,xe_input_vu_khi!$A$2:$A$66,0))*$B$4/(MAX(0.05,INDEX(xe_input_vu_khi_suy_ra!$B$2:$B$66,MATCH(Xe!$AE$4,xe_input_vu_khi_suy_ra!$A$2:$A$66,0)))*MAX(1,CEILING($B$4/MAX(1,INDEX(xe_input_vu_khi!$C$2:$C$66,MATCH(Xe!$AE$4,xe_input_vu_khi!$A$2:$A$66,0))),1))+MAX(0,$C$4)),IF(INDEX(xe_input_vu_khi!$D$2:$D$66,MATCH(Xe!$AE$4,xe_input_vu_khi!$A$2:$A$66,0))&gt;0,INDEX(xe_input_vu_khi_suy_ra!$C$2:$C$66,MATCH(Xe!$AE$4,xe_input_vu_khi_suy_ra!$A$2:$A$66,0))*INDEX(xe_input_vu_khi!$D$2:$D$66,MATCH(Xe!$AE$4,xe_input_vu_khi!$A$2:$A$66,0))/(MAX(0.05,INDEX(xe_input_vu_khi_suy_ra!$B$2:$B$66,MATCH(Xe!$AE$4,xe_input_vu_khi_suy_ra!$A$2:$A$66,0)))*INDEX(xe_input_vu_khi!$D$2:$D$66,MATCH(Xe!$AE$4,xe_input_vu_khi!$A$2:$A$66,0))+INDEX(xe_input_vu_khi_suy_ra!$D$2:$D$66,MATCH(Xe!$AE$4,xe_input_vu_khi_suy_ra!$A$2:$A$66,0))),INDEX(xe_input_vu_khi_suy_ra!$C$2:$C$66,MATCH(Xe!$AE$4,xe_input_vu_khi_suy_ra!$A$2:$A$66,0))/MAX(0.05,INDEX(xe_input_vu_khi_suy_ra!$B$2:$B$66,MATCH(Xe!$AE$4,xe_input_vu_khi_suy_ra!$A$2:$A$66,0))))))*Xe!$AD$4</f>
        <v/>
      </c>
      <c r="H4" t="n">
        <v>58.96958410924891</v>
      </c>
      <c r="I4">
        <f>IF(AND(Xe!$I$4&gt;0,ISNUMBER(Xe!$K$4)),Xe!$K$4/Xe!$I$4,"")</f>
        <v/>
      </c>
      <c r="J4">
        <f>IF(Xe!$I$4&gt;0,$E$4/Xe!$I$4,"")</f>
        <v/>
      </c>
      <c r="K4">
        <f>IF(AND(Xe!$I$4&gt;0,ISNUMBER(Xe!$K$4)),Xe!$K$4/(Hoi_quy!$B$4*Xe!$I$4^Hoi_quy!$B$5),"")</f>
        <v/>
      </c>
      <c r="L4" t="n">
        <v>1</v>
      </c>
      <c r="M4" t="n">
        <v>1</v>
      </c>
      <c r="N4" t="n">
        <v>0</v>
      </c>
      <c r="O4" t="n">
        <v>2.5</v>
      </c>
      <c r="P4" t="inlineStr">
        <is>
          <t>Assets/MachineBrigade/Resources/Data/balance.json: vehicles[id=ammo_carrier] (lớp B trên 01_chien_dau/Xe)</t>
        </is>
      </c>
      <c r="Q4" t="inlineStr"/>
    </row>
    <row r="5">
      <c r="A5" t="inlineStr">
        <is>
          <t>armored_bulldozer</t>
        </is>
      </c>
      <c r="B5" t="n">
        <v>0</v>
      </c>
      <c r="C5" t="n">
        <v>0</v>
      </c>
      <c r="D5" t="n">
        <v>1</v>
      </c>
      <c r="E5">
        <f>IF(INDEX(xe_input_vu_khi!$B$2:$B$66,MATCH(Xe!$AE$5,xe_input_vu_khi!$A$2:$A$66,0))&lt;=0,0,IF($B$5&gt;0,INDEX(xe_input_vu_khi!$B$2:$B$66,MATCH(Xe!$AE$5,xe_input_vu_khi!$A$2:$A$66,0))*$B$5/(MAX(0.05,INDEX(xe_input_vu_khi_suy_ra!$B$2:$B$66,MATCH(Xe!$AE$5,xe_input_vu_khi_suy_ra!$A$2:$A$66,0)))*MAX(1,CEILING($B$5/MAX(1,INDEX(xe_input_vu_khi!$C$2:$C$66,MATCH(Xe!$AE$5,xe_input_vu_khi!$A$2:$A$66,0))),1))+MAX(0,$C$5)),IF(INDEX(xe_input_vu_khi!$D$2:$D$66,MATCH(Xe!$AE$5,xe_input_vu_khi!$A$2:$A$66,0))&gt;0,INDEX(xe_input_vu_khi_suy_ra!$C$2:$C$66,MATCH(Xe!$AE$5,xe_input_vu_khi_suy_ra!$A$2:$A$66,0))*INDEX(xe_input_vu_khi!$D$2:$D$66,MATCH(Xe!$AE$5,xe_input_vu_khi!$A$2:$A$66,0))/(MAX(0.05,INDEX(xe_input_vu_khi_suy_ra!$B$2:$B$66,MATCH(Xe!$AE$5,xe_input_vu_khi_suy_ra!$A$2:$A$66,0)))*INDEX(xe_input_vu_khi!$D$2:$D$66,MATCH(Xe!$AE$5,xe_input_vu_khi!$A$2:$A$66,0))+INDEX(xe_input_vu_khi_suy_ra!$D$2:$D$66,MATCH(Xe!$AE$5,xe_input_vu_khi_suy_ra!$A$2:$A$66,0))),INDEX(xe_input_vu_khi_suy_ra!$C$2:$C$66,MATCH(Xe!$AE$5,xe_input_vu_khi_suy_ra!$A$2:$A$66,0))/MAX(0.05,INDEX(xe_input_vu_khi_suy_ra!$B$2:$B$66,MATCH(Xe!$AE$5,xe_input_vu_khi_suy_ra!$A$2:$A$66,0))))))*IF(INDEX(xe_input_vu_khi!$E$2:$E$66,MATCH(Xe!$AE$5,xe_input_vu_khi!$A$2:$A$66,0)),1,$D$5)*Xe!$AD$5</f>
        <v/>
      </c>
      <c r="F5" t="n">
        <v>78.574375</v>
      </c>
      <c r="G5">
        <f>IF(INDEX(xe_input_vu_khi!$B$2:$B$66,MATCH(Xe!$AE$5,xe_input_vu_khi!$A$2:$A$66,0))&lt;=0,0,IF($B$5&gt;0,INDEX(xe_input_vu_khi!$B$2:$B$66,MATCH(Xe!$AE$5,xe_input_vu_khi!$A$2:$A$66,0))*$B$5/(MAX(0.05,INDEX(xe_input_vu_khi_suy_ra!$B$2:$B$66,MATCH(Xe!$AE$5,xe_input_vu_khi_suy_ra!$A$2:$A$66,0)))*MAX(1,CEILING($B$5/MAX(1,INDEX(xe_input_vu_khi!$C$2:$C$66,MATCH(Xe!$AE$5,xe_input_vu_khi!$A$2:$A$66,0))),1))+MAX(0,$C$5)),IF(INDEX(xe_input_vu_khi!$D$2:$D$66,MATCH(Xe!$AE$5,xe_input_vu_khi!$A$2:$A$66,0))&gt;0,INDEX(xe_input_vu_khi_suy_ra!$C$2:$C$66,MATCH(Xe!$AE$5,xe_input_vu_khi_suy_ra!$A$2:$A$66,0))*INDEX(xe_input_vu_khi!$D$2:$D$66,MATCH(Xe!$AE$5,xe_input_vu_khi!$A$2:$A$66,0))/(MAX(0.05,INDEX(xe_input_vu_khi_suy_ra!$B$2:$B$66,MATCH(Xe!$AE$5,xe_input_vu_khi_suy_ra!$A$2:$A$66,0)))*INDEX(xe_input_vu_khi!$D$2:$D$66,MATCH(Xe!$AE$5,xe_input_vu_khi!$A$2:$A$66,0))+INDEX(xe_input_vu_khi_suy_ra!$D$2:$D$66,MATCH(Xe!$AE$5,xe_input_vu_khi_suy_ra!$A$2:$A$66,0))),INDEX(xe_input_vu_khi_suy_ra!$C$2:$C$66,MATCH(Xe!$AE$5,xe_input_vu_khi_suy_ra!$A$2:$A$66,0))/MAX(0.05,INDEX(xe_input_vu_khi_suy_ra!$B$2:$B$66,MATCH(Xe!$AE$5,xe_input_vu_khi_suy_ra!$A$2:$A$66,0))))))*Xe!$AD$5</f>
        <v/>
      </c>
      <c r="H5" t="n">
        <v>78.574375</v>
      </c>
      <c r="I5">
        <f>IF(AND(Xe!$I$5&gt;0,ISNUMBER(Xe!$K$5)),Xe!$K$5/Xe!$I$5,"")</f>
        <v/>
      </c>
      <c r="J5">
        <f>IF(Xe!$I$5&gt;0,$E$5/Xe!$I$5,"")</f>
        <v/>
      </c>
      <c r="K5">
        <f>IF(AND(Xe!$I$5&gt;0,ISNUMBER(Xe!$K$5)),Xe!$K$5/(Hoi_quy!$B$4*Xe!$I$5^Hoi_quy!$B$5),"")</f>
        <v/>
      </c>
      <c r="L5" t="n">
        <v>2</v>
      </c>
      <c r="M5" t="n">
        <v>1.15</v>
      </c>
      <c r="N5" t="n">
        <v>0</v>
      </c>
      <c r="O5" t="n">
        <v>3.5</v>
      </c>
      <c r="P5" t="inlineStr">
        <is>
          <t>Assets/MachineBrigade/Resources/Data/balance.json: vehicles[id=armored_bulldozer] (lớp B trên 01_chien_dau/Xe)</t>
        </is>
      </c>
      <c r="Q5" t="inlineStr"/>
    </row>
    <row r="6">
      <c r="A6" t="inlineStr">
        <is>
          <t>armored_car</t>
        </is>
      </c>
      <c r="B6" t="n">
        <v>0</v>
      </c>
      <c r="C6" t="n">
        <v>0</v>
      </c>
      <c r="D6" t="n">
        <v>1</v>
      </c>
      <c r="E6">
        <f>IF(INDEX(xe_input_vu_khi!$B$2:$B$66,MATCH(Xe!$AE$6,xe_input_vu_khi!$A$2:$A$66,0))&lt;=0,0,IF($B$6&gt;0,INDEX(xe_input_vu_khi!$B$2:$B$66,MATCH(Xe!$AE$6,xe_input_vu_khi!$A$2:$A$66,0))*$B$6/(MAX(0.05,INDEX(xe_input_vu_khi_suy_ra!$B$2:$B$66,MATCH(Xe!$AE$6,xe_input_vu_khi_suy_ra!$A$2:$A$66,0)))*MAX(1,CEILING($B$6/MAX(1,INDEX(xe_input_vu_khi!$C$2:$C$66,MATCH(Xe!$AE$6,xe_input_vu_khi!$A$2:$A$66,0))),1))+MAX(0,$C$6)),IF(INDEX(xe_input_vu_khi!$D$2:$D$66,MATCH(Xe!$AE$6,xe_input_vu_khi!$A$2:$A$66,0))&gt;0,INDEX(xe_input_vu_khi_suy_ra!$C$2:$C$66,MATCH(Xe!$AE$6,xe_input_vu_khi_suy_ra!$A$2:$A$66,0))*INDEX(xe_input_vu_khi!$D$2:$D$66,MATCH(Xe!$AE$6,xe_input_vu_khi!$A$2:$A$66,0))/(MAX(0.05,INDEX(xe_input_vu_khi_suy_ra!$B$2:$B$66,MATCH(Xe!$AE$6,xe_input_vu_khi_suy_ra!$A$2:$A$66,0)))*INDEX(xe_input_vu_khi!$D$2:$D$66,MATCH(Xe!$AE$6,xe_input_vu_khi!$A$2:$A$66,0))+INDEX(xe_input_vu_khi_suy_ra!$D$2:$D$66,MATCH(Xe!$AE$6,xe_input_vu_khi_suy_ra!$A$2:$A$66,0))),INDEX(xe_input_vu_khi_suy_ra!$C$2:$C$66,MATCH(Xe!$AE$6,xe_input_vu_khi_suy_ra!$A$2:$A$66,0))/MAX(0.05,INDEX(xe_input_vu_khi_suy_ra!$B$2:$B$66,MATCH(Xe!$AE$6,xe_input_vu_khi_suy_ra!$A$2:$A$66,0))))))*IF(INDEX(xe_input_vu_khi!$E$2:$E$66,MATCH(Xe!$AE$6,xe_input_vu_khi!$A$2:$A$66,0)),1,$D$6)*Xe!$AD$6</f>
        <v/>
      </c>
      <c r="F6" t="n">
        <v>51.64034021871204</v>
      </c>
      <c r="G6">
        <f>IF(INDEX(xe_input_vu_khi!$B$2:$B$66,MATCH(Xe!$AE$6,xe_input_vu_khi!$A$2:$A$66,0))&lt;=0,0,IF($B$6&gt;0,INDEX(xe_input_vu_khi!$B$2:$B$66,MATCH(Xe!$AE$6,xe_input_vu_khi!$A$2:$A$66,0))*$B$6/(MAX(0.05,INDEX(xe_input_vu_khi_suy_ra!$B$2:$B$66,MATCH(Xe!$AE$6,xe_input_vu_khi_suy_ra!$A$2:$A$66,0)))*MAX(1,CEILING($B$6/MAX(1,INDEX(xe_input_vu_khi!$C$2:$C$66,MATCH(Xe!$AE$6,xe_input_vu_khi!$A$2:$A$66,0))),1))+MAX(0,$C$6)),IF(INDEX(xe_input_vu_khi!$D$2:$D$66,MATCH(Xe!$AE$6,xe_input_vu_khi!$A$2:$A$66,0))&gt;0,INDEX(xe_input_vu_khi_suy_ra!$C$2:$C$66,MATCH(Xe!$AE$6,xe_input_vu_khi_suy_ra!$A$2:$A$66,0))*INDEX(xe_input_vu_khi!$D$2:$D$66,MATCH(Xe!$AE$6,xe_input_vu_khi!$A$2:$A$66,0))/(MAX(0.05,INDEX(xe_input_vu_khi_suy_ra!$B$2:$B$66,MATCH(Xe!$AE$6,xe_input_vu_khi_suy_ra!$A$2:$A$66,0)))*INDEX(xe_input_vu_khi!$D$2:$D$66,MATCH(Xe!$AE$6,xe_input_vu_khi!$A$2:$A$66,0))+INDEX(xe_input_vu_khi_suy_ra!$D$2:$D$66,MATCH(Xe!$AE$6,xe_input_vu_khi_suy_ra!$A$2:$A$66,0))),INDEX(xe_input_vu_khi_suy_ra!$C$2:$C$66,MATCH(Xe!$AE$6,xe_input_vu_khi_suy_ra!$A$2:$A$66,0))/MAX(0.05,INDEX(xe_input_vu_khi_suy_ra!$B$2:$B$66,MATCH(Xe!$AE$6,xe_input_vu_khi_suy_ra!$A$2:$A$66,0))))))*Xe!$AD$6</f>
        <v/>
      </c>
      <c r="H6" t="n">
        <v>51.64034021871204</v>
      </c>
      <c r="I6">
        <f>IF(AND(Xe!$I$6&gt;0,ISNUMBER(Xe!$K$6)),Xe!$K$6/Xe!$I$6,"")</f>
        <v/>
      </c>
      <c r="J6">
        <f>IF(Xe!$I$6&gt;0,$E$6/Xe!$I$6,"")</f>
        <v/>
      </c>
      <c r="K6">
        <f>IF(AND(Xe!$I$6&gt;0,ISNUMBER(Xe!$K$6)),Xe!$K$6/(Hoi_quy!$B$4*Xe!$I$6^Hoi_quy!$B$5),"")</f>
        <v/>
      </c>
      <c r="L6" t="n">
        <v>1</v>
      </c>
      <c r="M6" t="n">
        <v>1</v>
      </c>
      <c r="N6" t="n">
        <v>0</v>
      </c>
      <c r="O6" t="n">
        <v>2.5</v>
      </c>
      <c r="P6" t="inlineStr">
        <is>
          <t>Assets/MachineBrigade/Resources/Data/balance.json: vehicles[id=armored_car] (lớp B trên 01_chien_dau/Xe)</t>
        </is>
      </c>
      <c r="Q6" t="inlineStr"/>
    </row>
    <row r="7">
      <c r="A7" t="inlineStr">
        <is>
          <t>artillery</t>
        </is>
      </c>
      <c r="B7" t="n">
        <v>0</v>
      </c>
      <c r="C7" t="n">
        <v>0</v>
      </c>
      <c r="D7" t="n">
        <v>1</v>
      </c>
      <c r="E7">
        <f>IF(INDEX(xe_input_vu_khi!$B$2:$B$66,MATCH(Xe!$AE$7,xe_input_vu_khi!$A$2:$A$66,0))&lt;=0,0,IF($B$7&gt;0,INDEX(xe_input_vu_khi!$B$2:$B$66,MATCH(Xe!$AE$7,xe_input_vu_khi!$A$2:$A$66,0))*$B$7/(MAX(0.05,INDEX(xe_input_vu_khi_suy_ra!$B$2:$B$66,MATCH(Xe!$AE$7,xe_input_vu_khi_suy_ra!$A$2:$A$66,0)))*MAX(1,CEILING($B$7/MAX(1,INDEX(xe_input_vu_khi!$C$2:$C$66,MATCH(Xe!$AE$7,xe_input_vu_khi!$A$2:$A$66,0))),1))+MAX(0,$C$7)),IF(INDEX(xe_input_vu_khi!$D$2:$D$66,MATCH(Xe!$AE$7,xe_input_vu_khi!$A$2:$A$66,0))&gt;0,INDEX(xe_input_vu_khi_suy_ra!$C$2:$C$66,MATCH(Xe!$AE$7,xe_input_vu_khi_suy_ra!$A$2:$A$66,0))*INDEX(xe_input_vu_khi!$D$2:$D$66,MATCH(Xe!$AE$7,xe_input_vu_khi!$A$2:$A$66,0))/(MAX(0.05,INDEX(xe_input_vu_khi_suy_ra!$B$2:$B$66,MATCH(Xe!$AE$7,xe_input_vu_khi_suy_ra!$A$2:$A$66,0)))*INDEX(xe_input_vu_khi!$D$2:$D$66,MATCH(Xe!$AE$7,xe_input_vu_khi!$A$2:$A$66,0))+INDEX(xe_input_vu_khi_suy_ra!$D$2:$D$66,MATCH(Xe!$AE$7,xe_input_vu_khi_suy_ra!$A$2:$A$66,0))),INDEX(xe_input_vu_khi_suy_ra!$C$2:$C$66,MATCH(Xe!$AE$7,xe_input_vu_khi_suy_ra!$A$2:$A$66,0))/MAX(0.05,INDEX(xe_input_vu_khi_suy_ra!$B$2:$B$66,MATCH(Xe!$AE$7,xe_input_vu_khi_suy_ra!$A$2:$A$66,0))))))*IF(INDEX(xe_input_vu_khi!$E$2:$E$66,MATCH(Xe!$AE$7,xe_input_vu_khi!$A$2:$A$66,0)),1,$D$7)*Xe!$AD$7</f>
        <v/>
      </c>
      <c r="F7" t="n">
        <v>44.88629877509787</v>
      </c>
      <c r="G7">
        <f>IF(INDEX(xe_input_vu_khi!$B$2:$B$66,MATCH(Xe!$AE$7,xe_input_vu_khi!$A$2:$A$66,0))&lt;=0,0,IF($B$7&gt;0,INDEX(xe_input_vu_khi!$B$2:$B$66,MATCH(Xe!$AE$7,xe_input_vu_khi!$A$2:$A$66,0))*$B$7/(MAX(0.05,INDEX(xe_input_vu_khi_suy_ra!$B$2:$B$66,MATCH(Xe!$AE$7,xe_input_vu_khi_suy_ra!$A$2:$A$66,0)))*MAX(1,CEILING($B$7/MAX(1,INDEX(xe_input_vu_khi!$C$2:$C$66,MATCH(Xe!$AE$7,xe_input_vu_khi!$A$2:$A$66,0))),1))+MAX(0,$C$7)),IF(INDEX(xe_input_vu_khi!$D$2:$D$66,MATCH(Xe!$AE$7,xe_input_vu_khi!$A$2:$A$66,0))&gt;0,INDEX(xe_input_vu_khi_suy_ra!$C$2:$C$66,MATCH(Xe!$AE$7,xe_input_vu_khi_suy_ra!$A$2:$A$66,0))*INDEX(xe_input_vu_khi!$D$2:$D$66,MATCH(Xe!$AE$7,xe_input_vu_khi!$A$2:$A$66,0))/(MAX(0.05,INDEX(xe_input_vu_khi_suy_ra!$B$2:$B$66,MATCH(Xe!$AE$7,xe_input_vu_khi_suy_ra!$A$2:$A$66,0)))*INDEX(xe_input_vu_khi!$D$2:$D$66,MATCH(Xe!$AE$7,xe_input_vu_khi!$A$2:$A$66,0))+INDEX(xe_input_vu_khi_suy_ra!$D$2:$D$66,MATCH(Xe!$AE$7,xe_input_vu_khi_suy_ra!$A$2:$A$66,0))),INDEX(xe_input_vu_khi_suy_ra!$C$2:$C$66,MATCH(Xe!$AE$7,xe_input_vu_khi_suy_ra!$A$2:$A$66,0))/MAX(0.05,INDEX(xe_input_vu_khi_suy_ra!$B$2:$B$66,MATCH(Xe!$AE$7,xe_input_vu_khi_suy_ra!$A$2:$A$66,0))))))*Xe!$AD$7</f>
        <v/>
      </c>
      <c r="H7" t="n">
        <v>44.88629877509787</v>
      </c>
      <c r="I7">
        <f>IF(AND(Xe!$I$7&gt;0,ISNUMBER(Xe!$K$7)),Xe!$K$7/Xe!$I$7,"")</f>
        <v/>
      </c>
      <c r="J7">
        <f>IF(Xe!$I$7&gt;0,$E$7/Xe!$I$7,"")</f>
        <v/>
      </c>
      <c r="K7">
        <f>IF(AND(Xe!$I$7&gt;0,ISNUMBER(Xe!$K$7)),Xe!$K$7/(Hoi_quy!$B$4*Xe!$I$7^Hoi_quy!$B$5),"")</f>
        <v/>
      </c>
      <c r="L7" t="n">
        <v>2</v>
      </c>
      <c r="M7" t="n">
        <v>1.15</v>
      </c>
      <c r="N7" t="n">
        <v>0</v>
      </c>
      <c r="O7" t="n">
        <v>3.5</v>
      </c>
      <c r="P7" t="inlineStr">
        <is>
          <t>Assets/MachineBrigade/Resources/Data/balance.json: vehicles[id=artillery] (lớp B trên 01_chien_dau/Xe)</t>
        </is>
      </c>
      <c r="Q7" t="inlineStr"/>
    </row>
    <row r="8">
      <c r="A8" t="inlineStr">
        <is>
          <t>attack_helicopter</t>
        </is>
      </c>
      <c r="B8" t="n">
        <v>8</v>
      </c>
      <c r="C8" t="n">
        <v>9</v>
      </c>
      <c r="D8" t="n">
        <v>1</v>
      </c>
      <c r="E8">
        <f>IF(INDEX(xe_input_vu_khi!$B$2:$B$66,MATCH(Xe!$AE$8,xe_input_vu_khi!$A$2:$A$66,0))&lt;=0,0,IF($B$8&gt;0,INDEX(xe_input_vu_khi!$B$2:$B$66,MATCH(Xe!$AE$8,xe_input_vu_khi!$A$2:$A$66,0))*$B$8/(MAX(0.05,INDEX(xe_input_vu_khi_suy_ra!$B$2:$B$66,MATCH(Xe!$AE$8,xe_input_vu_khi_suy_ra!$A$2:$A$66,0)))*MAX(1,CEILING($B$8/MAX(1,INDEX(xe_input_vu_khi!$C$2:$C$66,MATCH(Xe!$AE$8,xe_input_vu_khi!$A$2:$A$66,0))),1))+MAX(0,$C$8)),IF(INDEX(xe_input_vu_khi!$D$2:$D$66,MATCH(Xe!$AE$8,xe_input_vu_khi!$A$2:$A$66,0))&gt;0,INDEX(xe_input_vu_khi_suy_ra!$C$2:$C$66,MATCH(Xe!$AE$8,xe_input_vu_khi_suy_ra!$A$2:$A$66,0))*INDEX(xe_input_vu_khi!$D$2:$D$66,MATCH(Xe!$AE$8,xe_input_vu_khi!$A$2:$A$66,0))/(MAX(0.05,INDEX(xe_input_vu_khi_suy_ra!$B$2:$B$66,MATCH(Xe!$AE$8,xe_input_vu_khi_suy_ra!$A$2:$A$66,0)))*INDEX(xe_input_vu_khi!$D$2:$D$66,MATCH(Xe!$AE$8,xe_input_vu_khi!$A$2:$A$66,0))+INDEX(xe_input_vu_khi_suy_ra!$D$2:$D$66,MATCH(Xe!$AE$8,xe_input_vu_khi_suy_ra!$A$2:$A$66,0))),INDEX(xe_input_vu_khi_suy_ra!$C$2:$C$66,MATCH(Xe!$AE$8,xe_input_vu_khi_suy_ra!$A$2:$A$66,0))/MAX(0.05,INDEX(xe_input_vu_khi_suy_ra!$B$2:$B$66,MATCH(Xe!$AE$8,xe_input_vu_khi_suy_ra!$A$2:$A$66,0))))))*IF(INDEX(xe_input_vu_khi!$E$2:$E$66,MATCH(Xe!$AE$8,xe_input_vu_khi!$A$2:$A$66,0)),1,$D$8)*Xe!$AD$8</f>
        <v/>
      </c>
      <c r="F8" t="n">
        <v>64.33287804878049</v>
      </c>
      <c r="G8">
        <f>IF(INDEX(xe_input_vu_khi!$B$2:$B$66,MATCH(Xe!$AE$8,xe_input_vu_khi!$A$2:$A$66,0))&lt;=0,0,IF($B$8&gt;0,INDEX(xe_input_vu_khi!$B$2:$B$66,MATCH(Xe!$AE$8,xe_input_vu_khi!$A$2:$A$66,0))*$B$8/(MAX(0.05,INDEX(xe_input_vu_khi_suy_ra!$B$2:$B$66,MATCH(Xe!$AE$8,xe_input_vu_khi_suy_ra!$A$2:$A$66,0)))*MAX(1,CEILING($B$8/MAX(1,INDEX(xe_input_vu_khi!$C$2:$C$66,MATCH(Xe!$AE$8,xe_input_vu_khi!$A$2:$A$66,0))),1))+MAX(0,$C$8)),IF(INDEX(xe_input_vu_khi!$D$2:$D$66,MATCH(Xe!$AE$8,xe_input_vu_khi!$A$2:$A$66,0))&gt;0,INDEX(xe_input_vu_khi_suy_ra!$C$2:$C$66,MATCH(Xe!$AE$8,xe_input_vu_khi_suy_ra!$A$2:$A$66,0))*INDEX(xe_input_vu_khi!$D$2:$D$66,MATCH(Xe!$AE$8,xe_input_vu_khi!$A$2:$A$66,0))/(MAX(0.05,INDEX(xe_input_vu_khi_suy_ra!$B$2:$B$66,MATCH(Xe!$AE$8,xe_input_vu_khi_suy_ra!$A$2:$A$66,0)))*INDEX(xe_input_vu_khi!$D$2:$D$66,MATCH(Xe!$AE$8,xe_input_vu_khi!$A$2:$A$66,0))+INDEX(xe_input_vu_khi_suy_ra!$D$2:$D$66,MATCH(Xe!$AE$8,xe_input_vu_khi_suy_ra!$A$2:$A$66,0))),INDEX(xe_input_vu_khi_suy_ra!$C$2:$C$66,MATCH(Xe!$AE$8,xe_input_vu_khi_suy_ra!$A$2:$A$66,0))/MAX(0.05,INDEX(xe_input_vu_khi_suy_ra!$B$2:$B$66,MATCH(Xe!$AE$8,xe_input_vu_khi_suy_ra!$A$2:$A$66,0))))))*Xe!$AD$8</f>
        <v/>
      </c>
      <c r="H8" t="n">
        <v>64.33287804878049</v>
      </c>
      <c r="I8">
        <f>IF(AND(Xe!$I$8&gt;0,ISNUMBER(Xe!$K$8)),Xe!$K$8/Xe!$I$8,"")</f>
        <v/>
      </c>
      <c r="J8">
        <f>IF(Xe!$I$8&gt;0,$E$8/Xe!$I$8,"")</f>
        <v/>
      </c>
      <c r="K8">
        <f>IF(AND(Xe!$I$8&gt;0,ISNUMBER(Xe!$K$8)),Xe!$K$8/(Hoi_quy!$B$4*Xe!$I$8^Hoi_quy!$B$5),"")</f>
        <v/>
      </c>
      <c r="L8" t="n">
        <v>3</v>
      </c>
      <c r="M8" t="n">
        <v>1.25</v>
      </c>
      <c r="N8" t="n">
        <v>0.0375</v>
      </c>
      <c r="O8" t="n">
        <v>3.5</v>
      </c>
      <c r="P8" t="inlineStr">
        <is>
          <t>Assets/MachineBrigade/Resources/Data/balance.json: vehicles[id=attack_helicopter] (lớp B trên 01_chien_dau/Xe)</t>
        </is>
      </c>
      <c r="Q8" t="inlineStr"/>
    </row>
    <row r="9">
      <c r="A9" t="inlineStr">
        <is>
          <t>attack_jet</t>
        </is>
      </c>
      <c r="B9" t="n">
        <v>0</v>
      </c>
      <c r="C9" t="n">
        <v>14</v>
      </c>
      <c r="D9" t="n">
        <v>1</v>
      </c>
      <c r="E9">
        <f>IF(INDEX(xe_input_vu_khi!$B$2:$B$66,MATCH(Xe!$AE$9,xe_input_vu_khi!$A$2:$A$66,0))&lt;=0,0,IF($B$9&gt;0,INDEX(xe_input_vu_khi!$B$2:$B$66,MATCH(Xe!$AE$9,xe_input_vu_khi!$A$2:$A$66,0))*$B$9/(MAX(0.05,INDEX(xe_input_vu_khi_suy_ra!$B$2:$B$66,MATCH(Xe!$AE$9,xe_input_vu_khi_suy_ra!$A$2:$A$66,0)))*MAX(1,CEILING($B$9/MAX(1,INDEX(xe_input_vu_khi!$C$2:$C$66,MATCH(Xe!$AE$9,xe_input_vu_khi!$A$2:$A$66,0))),1))+MAX(0,$C$9)),IF(INDEX(xe_input_vu_khi!$D$2:$D$66,MATCH(Xe!$AE$9,xe_input_vu_khi!$A$2:$A$66,0))&gt;0,INDEX(xe_input_vu_khi_suy_ra!$C$2:$C$66,MATCH(Xe!$AE$9,xe_input_vu_khi_suy_ra!$A$2:$A$66,0))*INDEX(xe_input_vu_khi!$D$2:$D$66,MATCH(Xe!$AE$9,xe_input_vu_khi!$A$2:$A$66,0))/(MAX(0.05,INDEX(xe_input_vu_khi_suy_ra!$B$2:$B$66,MATCH(Xe!$AE$9,xe_input_vu_khi_suy_ra!$A$2:$A$66,0)))*INDEX(xe_input_vu_khi!$D$2:$D$66,MATCH(Xe!$AE$9,xe_input_vu_khi!$A$2:$A$66,0))+INDEX(xe_input_vu_khi_suy_ra!$D$2:$D$66,MATCH(Xe!$AE$9,xe_input_vu_khi_suy_ra!$A$2:$A$66,0))),INDEX(xe_input_vu_khi_suy_ra!$C$2:$C$66,MATCH(Xe!$AE$9,xe_input_vu_khi_suy_ra!$A$2:$A$66,0))/MAX(0.05,INDEX(xe_input_vu_khi_suy_ra!$B$2:$B$66,MATCH(Xe!$AE$9,xe_input_vu_khi_suy_ra!$A$2:$A$66,0))))))*IF(INDEX(xe_input_vu_khi!$E$2:$E$66,MATCH(Xe!$AE$9,xe_input_vu_khi!$A$2:$A$66,0)),1,$D$9)*Xe!$AD$9</f>
        <v/>
      </c>
      <c r="F9" t="n">
        <v>456.5291393284446</v>
      </c>
      <c r="G9">
        <f>IF(INDEX(xe_input_vu_khi!$B$2:$B$66,MATCH(Xe!$AE$9,xe_input_vu_khi!$A$2:$A$66,0))&lt;=0,0,IF($B$9&gt;0,INDEX(xe_input_vu_khi!$B$2:$B$66,MATCH(Xe!$AE$9,xe_input_vu_khi!$A$2:$A$66,0))*$B$9/(MAX(0.05,INDEX(xe_input_vu_khi_suy_ra!$B$2:$B$66,MATCH(Xe!$AE$9,xe_input_vu_khi_suy_ra!$A$2:$A$66,0)))*MAX(1,CEILING($B$9/MAX(1,INDEX(xe_input_vu_khi!$C$2:$C$66,MATCH(Xe!$AE$9,xe_input_vu_khi!$A$2:$A$66,0))),1))+MAX(0,$C$9)),IF(INDEX(xe_input_vu_khi!$D$2:$D$66,MATCH(Xe!$AE$9,xe_input_vu_khi!$A$2:$A$66,0))&gt;0,INDEX(xe_input_vu_khi_suy_ra!$C$2:$C$66,MATCH(Xe!$AE$9,xe_input_vu_khi_suy_ra!$A$2:$A$66,0))*INDEX(xe_input_vu_khi!$D$2:$D$66,MATCH(Xe!$AE$9,xe_input_vu_khi!$A$2:$A$66,0))/(MAX(0.05,INDEX(xe_input_vu_khi_suy_ra!$B$2:$B$66,MATCH(Xe!$AE$9,xe_input_vu_khi_suy_ra!$A$2:$A$66,0)))*INDEX(xe_input_vu_khi!$D$2:$D$66,MATCH(Xe!$AE$9,xe_input_vu_khi!$A$2:$A$66,0))+INDEX(xe_input_vu_khi_suy_ra!$D$2:$D$66,MATCH(Xe!$AE$9,xe_input_vu_khi_suy_ra!$A$2:$A$66,0))),INDEX(xe_input_vu_khi_suy_ra!$C$2:$C$66,MATCH(Xe!$AE$9,xe_input_vu_khi_suy_ra!$A$2:$A$66,0))/MAX(0.05,INDEX(xe_input_vu_khi_suy_ra!$B$2:$B$66,MATCH(Xe!$AE$9,xe_input_vu_khi_suy_ra!$A$2:$A$66,0))))))*Xe!$AD$9</f>
        <v/>
      </c>
      <c r="H9" t="n">
        <v>456.5291393284446</v>
      </c>
      <c r="I9">
        <f>IF(AND(Xe!$I$9&gt;0,ISNUMBER(Xe!$K$9)),Xe!$K$9/Xe!$I$9,"")</f>
        <v/>
      </c>
      <c r="J9">
        <f>IF(Xe!$I$9&gt;0,$E$9/Xe!$I$9,"")</f>
        <v/>
      </c>
      <c r="K9">
        <f>IF(AND(Xe!$I$9&gt;0,ISNUMBER(Xe!$K$9)),Xe!$K$9/(Hoi_quy!$B$4*Xe!$I$9^Hoi_quy!$B$5),"")</f>
        <v/>
      </c>
      <c r="L9" t="n">
        <v>4</v>
      </c>
      <c r="M9" t="n">
        <v>1.3</v>
      </c>
      <c r="N9" t="n">
        <v>0.15</v>
      </c>
      <c r="O9" t="n">
        <v>5</v>
      </c>
      <c r="P9" t="inlineStr">
        <is>
          <t>Assets/MachineBrigade/Resources/Data/balance.json: vehicles[id=attack_jet] (lớp B trên 01_chien_dau/Xe)</t>
        </is>
      </c>
      <c r="Q9" t="inlineStr"/>
    </row>
    <row r="10">
      <c r="A10" t="inlineStr">
        <is>
          <t>ballistic_launcher</t>
        </is>
      </c>
      <c r="B10" t="n">
        <v>0</v>
      </c>
      <c r="C10" t="n">
        <v>0</v>
      </c>
      <c r="D10" t="n">
        <v>1</v>
      </c>
      <c r="E10">
        <f>IF(INDEX(xe_input_vu_khi!$B$2:$B$66,MATCH(Xe!$AE$10,xe_input_vu_khi!$A$2:$A$66,0))&lt;=0,0,IF($B$10&gt;0,INDEX(xe_input_vu_khi!$B$2:$B$66,MATCH(Xe!$AE$10,xe_input_vu_khi!$A$2:$A$66,0))*$B$10/(MAX(0.05,INDEX(xe_input_vu_khi_suy_ra!$B$2:$B$66,MATCH(Xe!$AE$10,xe_input_vu_khi_suy_ra!$A$2:$A$66,0)))*MAX(1,CEILING($B$10/MAX(1,INDEX(xe_input_vu_khi!$C$2:$C$66,MATCH(Xe!$AE$10,xe_input_vu_khi!$A$2:$A$66,0))),1))+MAX(0,$C$10)),IF(INDEX(xe_input_vu_khi!$D$2:$D$66,MATCH(Xe!$AE$10,xe_input_vu_khi!$A$2:$A$66,0))&gt;0,INDEX(xe_input_vu_khi_suy_ra!$C$2:$C$66,MATCH(Xe!$AE$10,xe_input_vu_khi_suy_ra!$A$2:$A$66,0))*INDEX(xe_input_vu_khi!$D$2:$D$66,MATCH(Xe!$AE$10,xe_input_vu_khi!$A$2:$A$66,0))/(MAX(0.05,INDEX(xe_input_vu_khi_suy_ra!$B$2:$B$66,MATCH(Xe!$AE$10,xe_input_vu_khi_suy_ra!$A$2:$A$66,0)))*INDEX(xe_input_vu_khi!$D$2:$D$66,MATCH(Xe!$AE$10,xe_input_vu_khi!$A$2:$A$66,0))+INDEX(xe_input_vu_khi_suy_ra!$D$2:$D$66,MATCH(Xe!$AE$10,xe_input_vu_khi_suy_ra!$A$2:$A$66,0))),INDEX(xe_input_vu_khi_suy_ra!$C$2:$C$66,MATCH(Xe!$AE$10,xe_input_vu_khi_suy_ra!$A$2:$A$66,0))/MAX(0.05,INDEX(xe_input_vu_khi_suy_ra!$B$2:$B$66,MATCH(Xe!$AE$10,xe_input_vu_khi_suy_ra!$A$2:$A$66,0))))))*IF(INDEX(xe_input_vu_khi!$E$2:$E$66,MATCH(Xe!$AE$10,xe_input_vu_khi!$A$2:$A$66,0)),1,$D$10)*Xe!$AD$10</f>
        <v/>
      </c>
      <c r="F10" t="n">
        <v>48.1648945755992</v>
      </c>
      <c r="G10">
        <f>IF(INDEX(xe_input_vu_khi!$B$2:$B$66,MATCH(Xe!$AE$10,xe_input_vu_khi!$A$2:$A$66,0))&lt;=0,0,IF($B$10&gt;0,INDEX(xe_input_vu_khi!$B$2:$B$66,MATCH(Xe!$AE$10,xe_input_vu_khi!$A$2:$A$66,0))*$B$10/(MAX(0.05,INDEX(xe_input_vu_khi_suy_ra!$B$2:$B$66,MATCH(Xe!$AE$10,xe_input_vu_khi_suy_ra!$A$2:$A$66,0)))*MAX(1,CEILING($B$10/MAX(1,INDEX(xe_input_vu_khi!$C$2:$C$66,MATCH(Xe!$AE$10,xe_input_vu_khi!$A$2:$A$66,0))),1))+MAX(0,$C$10)),IF(INDEX(xe_input_vu_khi!$D$2:$D$66,MATCH(Xe!$AE$10,xe_input_vu_khi!$A$2:$A$66,0))&gt;0,INDEX(xe_input_vu_khi_suy_ra!$C$2:$C$66,MATCH(Xe!$AE$10,xe_input_vu_khi_suy_ra!$A$2:$A$66,0))*INDEX(xe_input_vu_khi!$D$2:$D$66,MATCH(Xe!$AE$10,xe_input_vu_khi!$A$2:$A$66,0))/(MAX(0.05,INDEX(xe_input_vu_khi_suy_ra!$B$2:$B$66,MATCH(Xe!$AE$10,xe_input_vu_khi_suy_ra!$A$2:$A$66,0)))*INDEX(xe_input_vu_khi!$D$2:$D$66,MATCH(Xe!$AE$10,xe_input_vu_khi!$A$2:$A$66,0))+INDEX(xe_input_vu_khi_suy_ra!$D$2:$D$66,MATCH(Xe!$AE$10,xe_input_vu_khi_suy_ra!$A$2:$A$66,0))),INDEX(xe_input_vu_khi_suy_ra!$C$2:$C$66,MATCH(Xe!$AE$10,xe_input_vu_khi_suy_ra!$A$2:$A$66,0))/MAX(0.05,INDEX(xe_input_vu_khi_suy_ra!$B$2:$B$66,MATCH(Xe!$AE$10,xe_input_vu_khi_suy_ra!$A$2:$A$66,0))))))*Xe!$AD$10</f>
        <v/>
      </c>
      <c r="H10" t="n">
        <v>48.1648945755992</v>
      </c>
      <c r="I10">
        <f>IF(AND(Xe!$I$10&gt;0,ISNUMBER(Xe!$K$10)),Xe!$K$10/Xe!$I$10,"")</f>
        <v/>
      </c>
      <c r="J10">
        <f>IF(Xe!$I$10&gt;0,$E$10/Xe!$I$10,"")</f>
        <v/>
      </c>
      <c r="K10">
        <f>IF(AND(Xe!$I$10&gt;0,ISNUMBER(Xe!$K$10)),Xe!$K$10/(Hoi_quy!$B$4*Xe!$I$10^Hoi_quy!$B$5),"")</f>
        <v/>
      </c>
      <c r="L10" t="n">
        <v>4</v>
      </c>
      <c r="M10" t="n">
        <v>1.3</v>
      </c>
      <c r="N10" t="n">
        <v>0</v>
      </c>
      <c r="O10" t="n">
        <v>3.5</v>
      </c>
      <c r="P10" t="inlineStr">
        <is>
          <t>Assets/MachineBrigade/Resources/Data/balance.json: vehicles[id=ballistic_launcher] (lớp B trên 01_chien_dau/Xe)</t>
        </is>
      </c>
      <c r="Q10" t="inlineStr"/>
    </row>
    <row r="11">
      <c r="A11" t="inlineStr">
        <is>
          <t>command_vehicle</t>
        </is>
      </c>
      <c r="B11" t="n">
        <v>0</v>
      </c>
      <c r="C11" t="n">
        <v>0</v>
      </c>
      <c r="D11" t="n">
        <v>1</v>
      </c>
      <c r="E11">
        <f>IF(INDEX(xe_input_vu_khi!$B$2:$B$66,MATCH(Xe!$AE$11,xe_input_vu_khi!$A$2:$A$66,0))&lt;=0,0,IF($B$11&gt;0,INDEX(xe_input_vu_khi!$B$2:$B$66,MATCH(Xe!$AE$11,xe_input_vu_khi!$A$2:$A$66,0))*$B$11/(MAX(0.05,INDEX(xe_input_vu_khi_suy_ra!$B$2:$B$66,MATCH(Xe!$AE$11,xe_input_vu_khi_suy_ra!$A$2:$A$66,0)))*MAX(1,CEILING($B$11/MAX(1,INDEX(xe_input_vu_khi!$C$2:$C$66,MATCH(Xe!$AE$11,xe_input_vu_khi!$A$2:$A$66,0))),1))+MAX(0,$C$11)),IF(INDEX(xe_input_vu_khi!$D$2:$D$66,MATCH(Xe!$AE$11,xe_input_vu_khi!$A$2:$A$66,0))&gt;0,INDEX(xe_input_vu_khi_suy_ra!$C$2:$C$66,MATCH(Xe!$AE$11,xe_input_vu_khi_suy_ra!$A$2:$A$66,0))*INDEX(xe_input_vu_khi!$D$2:$D$66,MATCH(Xe!$AE$11,xe_input_vu_khi!$A$2:$A$66,0))/(MAX(0.05,INDEX(xe_input_vu_khi_suy_ra!$B$2:$B$66,MATCH(Xe!$AE$11,xe_input_vu_khi_suy_ra!$A$2:$A$66,0)))*INDEX(xe_input_vu_khi!$D$2:$D$66,MATCH(Xe!$AE$11,xe_input_vu_khi!$A$2:$A$66,0))+INDEX(xe_input_vu_khi_suy_ra!$D$2:$D$66,MATCH(Xe!$AE$11,xe_input_vu_khi_suy_ra!$A$2:$A$66,0))),INDEX(xe_input_vu_khi_suy_ra!$C$2:$C$66,MATCH(Xe!$AE$11,xe_input_vu_khi_suy_ra!$A$2:$A$66,0))/MAX(0.05,INDEX(xe_input_vu_khi_suy_ra!$B$2:$B$66,MATCH(Xe!$AE$11,xe_input_vu_khi_suy_ra!$A$2:$A$66,0))))))*IF(INDEX(xe_input_vu_khi!$E$2:$E$66,MATCH(Xe!$AE$11,xe_input_vu_khi!$A$2:$A$66,0)),1,$D$11)*Xe!$AD$11</f>
        <v/>
      </c>
      <c r="F11" t="n">
        <v>68.79981378026071</v>
      </c>
      <c r="G11">
        <f>IF(INDEX(xe_input_vu_khi!$B$2:$B$66,MATCH(Xe!$AE$11,xe_input_vu_khi!$A$2:$A$66,0))&lt;=0,0,IF($B$11&gt;0,INDEX(xe_input_vu_khi!$B$2:$B$66,MATCH(Xe!$AE$11,xe_input_vu_khi!$A$2:$A$66,0))*$B$11/(MAX(0.05,INDEX(xe_input_vu_khi_suy_ra!$B$2:$B$66,MATCH(Xe!$AE$11,xe_input_vu_khi_suy_ra!$A$2:$A$66,0)))*MAX(1,CEILING($B$11/MAX(1,INDEX(xe_input_vu_khi!$C$2:$C$66,MATCH(Xe!$AE$11,xe_input_vu_khi!$A$2:$A$66,0))),1))+MAX(0,$C$11)),IF(INDEX(xe_input_vu_khi!$D$2:$D$66,MATCH(Xe!$AE$11,xe_input_vu_khi!$A$2:$A$66,0))&gt;0,INDEX(xe_input_vu_khi_suy_ra!$C$2:$C$66,MATCH(Xe!$AE$11,xe_input_vu_khi_suy_ra!$A$2:$A$66,0))*INDEX(xe_input_vu_khi!$D$2:$D$66,MATCH(Xe!$AE$11,xe_input_vu_khi!$A$2:$A$66,0))/(MAX(0.05,INDEX(xe_input_vu_khi_suy_ra!$B$2:$B$66,MATCH(Xe!$AE$11,xe_input_vu_khi_suy_ra!$A$2:$A$66,0)))*INDEX(xe_input_vu_khi!$D$2:$D$66,MATCH(Xe!$AE$11,xe_input_vu_khi!$A$2:$A$66,0))+INDEX(xe_input_vu_khi_suy_ra!$D$2:$D$66,MATCH(Xe!$AE$11,xe_input_vu_khi_suy_ra!$A$2:$A$66,0))),INDEX(xe_input_vu_khi_suy_ra!$C$2:$C$66,MATCH(Xe!$AE$11,xe_input_vu_khi_suy_ra!$A$2:$A$66,0))/MAX(0.05,INDEX(xe_input_vu_khi_suy_ra!$B$2:$B$66,MATCH(Xe!$AE$11,xe_input_vu_khi_suy_ra!$A$2:$A$66,0))))))*Xe!$AD$11</f>
        <v/>
      </c>
      <c r="H11" t="n">
        <v>68.79981378026071</v>
      </c>
      <c r="I11">
        <f>IF(AND(Xe!$I$11&gt;0,ISNUMBER(Xe!$K$11)),Xe!$K$11/Xe!$I$11,"")</f>
        <v/>
      </c>
      <c r="J11">
        <f>IF(Xe!$I$11&gt;0,$E$11/Xe!$I$11,"")</f>
        <v/>
      </c>
      <c r="K11">
        <f>IF(AND(Xe!$I$11&gt;0,ISNUMBER(Xe!$K$11)),Xe!$K$11/(Hoi_quy!$B$4*Xe!$I$11^Hoi_quy!$B$5),"")</f>
        <v/>
      </c>
      <c r="L11" t="n">
        <v>2</v>
      </c>
      <c r="M11" t="n">
        <v>1.15</v>
      </c>
      <c r="N11" t="n">
        <v>0</v>
      </c>
      <c r="O11" t="n">
        <v>3.5</v>
      </c>
      <c r="P11" t="inlineStr">
        <is>
          <t>Assets/MachineBrigade/Resources/Data/balance.json: vehicles[id=command_vehicle] (lớp B trên 01_chien_dau/Xe)</t>
        </is>
      </c>
      <c r="Q11" t="inlineStr"/>
    </row>
    <row r="12">
      <c r="A12" t="inlineStr">
        <is>
          <t>demolition_line_vehicle</t>
        </is>
      </c>
      <c r="B12" t="n">
        <v>0</v>
      </c>
      <c r="C12" t="n">
        <v>0</v>
      </c>
      <c r="D12" t="n">
        <v>1</v>
      </c>
      <c r="E12">
        <f>IF(INDEX(xe_input_vu_khi!$B$2:$B$66,MATCH(Xe!$AE$12,xe_input_vu_khi!$A$2:$A$66,0))&lt;=0,0,IF($B$12&gt;0,INDEX(xe_input_vu_khi!$B$2:$B$66,MATCH(Xe!$AE$12,xe_input_vu_khi!$A$2:$A$66,0))*$B$12/(MAX(0.05,INDEX(xe_input_vu_khi_suy_ra!$B$2:$B$66,MATCH(Xe!$AE$12,xe_input_vu_khi_suy_ra!$A$2:$A$66,0)))*MAX(1,CEILING($B$12/MAX(1,INDEX(xe_input_vu_khi!$C$2:$C$66,MATCH(Xe!$AE$12,xe_input_vu_khi!$A$2:$A$66,0))),1))+MAX(0,$C$12)),IF(INDEX(xe_input_vu_khi!$D$2:$D$66,MATCH(Xe!$AE$12,xe_input_vu_khi!$A$2:$A$66,0))&gt;0,INDEX(xe_input_vu_khi_suy_ra!$C$2:$C$66,MATCH(Xe!$AE$12,xe_input_vu_khi_suy_ra!$A$2:$A$66,0))*INDEX(xe_input_vu_khi!$D$2:$D$66,MATCH(Xe!$AE$12,xe_input_vu_khi!$A$2:$A$66,0))/(MAX(0.05,INDEX(xe_input_vu_khi_suy_ra!$B$2:$B$66,MATCH(Xe!$AE$12,xe_input_vu_khi_suy_ra!$A$2:$A$66,0)))*INDEX(xe_input_vu_khi!$D$2:$D$66,MATCH(Xe!$AE$12,xe_input_vu_khi!$A$2:$A$66,0))+INDEX(xe_input_vu_khi_suy_ra!$D$2:$D$66,MATCH(Xe!$AE$12,xe_input_vu_khi_suy_ra!$A$2:$A$66,0))),INDEX(xe_input_vu_khi_suy_ra!$C$2:$C$66,MATCH(Xe!$AE$12,xe_input_vu_khi_suy_ra!$A$2:$A$66,0))/MAX(0.05,INDEX(xe_input_vu_khi_suy_ra!$B$2:$B$66,MATCH(Xe!$AE$12,xe_input_vu_khi_suy_ra!$A$2:$A$66,0))))))*IF(INDEX(xe_input_vu_khi!$E$2:$E$66,MATCH(Xe!$AE$12,xe_input_vu_khi!$A$2:$A$66,0)),1,$D$12)*Xe!$AD$12</f>
        <v/>
      </c>
      <c r="F12" t="n">
        <v>58.96958410924891</v>
      </c>
      <c r="G12">
        <f>IF(INDEX(xe_input_vu_khi!$B$2:$B$66,MATCH(Xe!$AE$12,xe_input_vu_khi!$A$2:$A$66,0))&lt;=0,0,IF($B$12&gt;0,INDEX(xe_input_vu_khi!$B$2:$B$66,MATCH(Xe!$AE$12,xe_input_vu_khi!$A$2:$A$66,0))*$B$12/(MAX(0.05,INDEX(xe_input_vu_khi_suy_ra!$B$2:$B$66,MATCH(Xe!$AE$12,xe_input_vu_khi_suy_ra!$A$2:$A$66,0)))*MAX(1,CEILING($B$12/MAX(1,INDEX(xe_input_vu_khi!$C$2:$C$66,MATCH(Xe!$AE$12,xe_input_vu_khi!$A$2:$A$66,0))),1))+MAX(0,$C$12)),IF(INDEX(xe_input_vu_khi!$D$2:$D$66,MATCH(Xe!$AE$12,xe_input_vu_khi!$A$2:$A$66,0))&gt;0,INDEX(xe_input_vu_khi_suy_ra!$C$2:$C$66,MATCH(Xe!$AE$12,xe_input_vu_khi_suy_ra!$A$2:$A$66,0))*INDEX(xe_input_vu_khi!$D$2:$D$66,MATCH(Xe!$AE$12,xe_input_vu_khi!$A$2:$A$66,0))/(MAX(0.05,INDEX(xe_input_vu_khi_suy_ra!$B$2:$B$66,MATCH(Xe!$AE$12,xe_input_vu_khi_suy_ra!$A$2:$A$66,0)))*INDEX(xe_input_vu_khi!$D$2:$D$66,MATCH(Xe!$AE$12,xe_input_vu_khi!$A$2:$A$66,0))+INDEX(xe_input_vu_khi_suy_ra!$D$2:$D$66,MATCH(Xe!$AE$12,xe_input_vu_khi_suy_ra!$A$2:$A$66,0))),INDEX(xe_input_vu_khi_suy_ra!$C$2:$C$66,MATCH(Xe!$AE$12,xe_input_vu_khi_suy_ra!$A$2:$A$66,0))/MAX(0.05,INDEX(xe_input_vu_khi_suy_ra!$B$2:$B$66,MATCH(Xe!$AE$12,xe_input_vu_khi_suy_ra!$A$2:$A$66,0))))))*Xe!$AD$12</f>
        <v/>
      </c>
      <c r="H12" t="n">
        <v>58.96958410924891</v>
      </c>
      <c r="I12">
        <f>IF(AND(Xe!$I$12&gt;0,ISNUMBER(Xe!$K$12)),Xe!$K$12/Xe!$I$12,"")</f>
        <v/>
      </c>
      <c r="J12">
        <f>IF(Xe!$I$12&gt;0,$E$12/Xe!$I$12,"")</f>
        <v/>
      </c>
      <c r="K12">
        <f>IF(AND(Xe!$I$12&gt;0,ISNUMBER(Xe!$K$12)),Xe!$K$12/(Hoi_quy!$B$4*Xe!$I$12^Hoi_quy!$B$5),"")</f>
        <v/>
      </c>
      <c r="L12" t="n">
        <v>1</v>
      </c>
      <c r="M12" t="n">
        <v>1</v>
      </c>
      <c r="N12" t="n">
        <v>0</v>
      </c>
      <c r="O12" t="n">
        <v>2.5</v>
      </c>
      <c r="P12" t="inlineStr">
        <is>
          <t>Assets/MachineBrigade/Resources/Data/balance.json: vehicles[id=demolition_line_vehicle] (lớp B trên 01_chien_dau/Xe)</t>
        </is>
      </c>
      <c r="Q12" t="inlineStr"/>
    </row>
    <row r="13">
      <c r="A13" t="inlineStr">
        <is>
          <t>drop_pod</t>
        </is>
      </c>
      <c r="B13" t="n">
        <v>0</v>
      </c>
      <c r="C13" t="n">
        <v>8.5</v>
      </c>
      <c r="D13" t="n">
        <v>1</v>
      </c>
      <c r="E13">
        <f>IF(INDEX(xe_input_vu_khi!$B$2:$B$66,MATCH(Xe!$AE$13,xe_input_vu_khi!$A$2:$A$66,0))&lt;=0,0,IF($B$13&gt;0,INDEX(xe_input_vu_khi!$B$2:$B$66,MATCH(Xe!$AE$13,xe_input_vu_khi!$A$2:$A$66,0))*$B$13/(MAX(0.05,INDEX(xe_input_vu_khi_suy_ra!$B$2:$B$66,MATCH(Xe!$AE$13,xe_input_vu_khi_suy_ra!$A$2:$A$66,0)))*MAX(1,CEILING($B$13/MAX(1,INDEX(xe_input_vu_khi!$C$2:$C$66,MATCH(Xe!$AE$13,xe_input_vu_khi!$A$2:$A$66,0))),1))+MAX(0,$C$13)),IF(INDEX(xe_input_vu_khi!$D$2:$D$66,MATCH(Xe!$AE$13,xe_input_vu_khi!$A$2:$A$66,0))&gt;0,INDEX(xe_input_vu_khi_suy_ra!$C$2:$C$66,MATCH(Xe!$AE$13,xe_input_vu_khi_suy_ra!$A$2:$A$66,0))*INDEX(xe_input_vu_khi!$D$2:$D$66,MATCH(Xe!$AE$13,xe_input_vu_khi!$A$2:$A$66,0))/(MAX(0.05,INDEX(xe_input_vu_khi_suy_ra!$B$2:$B$66,MATCH(Xe!$AE$13,xe_input_vu_khi_suy_ra!$A$2:$A$66,0)))*INDEX(xe_input_vu_khi!$D$2:$D$66,MATCH(Xe!$AE$13,xe_input_vu_khi!$A$2:$A$66,0))+INDEX(xe_input_vu_khi_suy_ra!$D$2:$D$66,MATCH(Xe!$AE$13,xe_input_vu_khi_suy_ra!$A$2:$A$66,0))),INDEX(xe_input_vu_khi_suy_ra!$C$2:$C$66,MATCH(Xe!$AE$13,xe_input_vu_khi_suy_ra!$A$2:$A$66,0))/MAX(0.05,INDEX(xe_input_vu_khi_suy_ra!$B$2:$B$66,MATCH(Xe!$AE$13,xe_input_vu_khi_suy_ra!$A$2:$A$66,0))))))*IF(INDEX(xe_input_vu_khi!$E$2:$E$66,MATCH(Xe!$AE$13,xe_input_vu_khi!$A$2:$A$66,0)),1,$D$13)*Xe!$AD$13</f>
        <v/>
      </c>
      <c r="F13" t="n">
        <v>0</v>
      </c>
      <c r="G13">
        <f>IF(INDEX(xe_input_vu_khi!$B$2:$B$66,MATCH(Xe!$AE$13,xe_input_vu_khi!$A$2:$A$66,0))&lt;=0,0,IF($B$13&gt;0,INDEX(xe_input_vu_khi!$B$2:$B$66,MATCH(Xe!$AE$13,xe_input_vu_khi!$A$2:$A$66,0))*$B$13/(MAX(0.05,INDEX(xe_input_vu_khi_suy_ra!$B$2:$B$66,MATCH(Xe!$AE$13,xe_input_vu_khi_suy_ra!$A$2:$A$66,0)))*MAX(1,CEILING($B$13/MAX(1,INDEX(xe_input_vu_khi!$C$2:$C$66,MATCH(Xe!$AE$13,xe_input_vu_khi!$A$2:$A$66,0))),1))+MAX(0,$C$13)),IF(INDEX(xe_input_vu_khi!$D$2:$D$66,MATCH(Xe!$AE$13,xe_input_vu_khi!$A$2:$A$66,0))&gt;0,INDEX(xe_input_vu_khi_suy_ra!$C$2:$C$66,MATCH(Xe!$AE$13,xe_input_vu_khi_suy_ra!$A$2:$A$66,0))*INDEX(xe_input_vu_khi!$D$2:$D$66,MATCH(Xe!$AE$13,xe_input_vu_khi!$A$2:$A$66,0))/(MAX(0.05,INDEX(xe_input_vu_khi_suy_ra!$B$2:$B$66,MATCH(Xe!$AE$13,xe_input_vu_khi_suy_ra!$A$2:$A$66,0)))*INDEX(xe_input_vu_khi!$D$2:$D$66,MATCH(Xe!$AE$13,xe_input_vu_khi!$A$2:$A$66,0))+INDEX(xe_input_vu_khi_suy_ra!$D$2:$D$66,MATCH(Xe!$AE$13,xe_input_vu_khi_suy_ra!$A$2:$A$66,0))),INDEX(xe_input_vu_khi_suy_ra!$C$2:$C$66,MATCH(Xe!$AE$13,xe_input_vu_khi_suy_ra!$A$2:$A$66,0))/MAX(0.05,INDEX(xe_input_vu_khi_suy_ra!$B$2:$B$66,MATCH(Xe!$AE$13,xe_input_vu_khi_suy_ra!$A$2:$A$66,0))))))*Xe!$AD$13</f>
        <v/>
      </c>
      <c r="H13" t="n">
        <v>0</v>
      </c>
      <c r="I13">
        <f>IF(AND(Xe!$I$13&gt;0,ISNUMBER(Xe!$K$13)),Xe!$K$13/Xe!$I$13,"")</f>
        <v/>
      </c>
      <c r="J13">
        <f>IF(Xe!$I$13&gt;0,$E$13/Xe!$I$13,"")</f>
        <v/>
      </c>
      <c r="K13">
        <f>IF(AND(Xe!$I$13&gt;0,ISNUMBER(Xe!$K$13)),Xe!$K$13/(Hoi_quy!$B$4*Xe!$I$13^Hoi_quy!$B$5),"")</f>
        <v/>
      </c>
      <c r="L13" t="n">
        <v>1</v>
      </c>
      <c r="M13" t="n">
        <v>1</v>
      </c>
      <c r="N13" t="n">
        <v>0</v>
      </c>
      <c r="O13" t="n">
        <v>2.5</v>
      </c>
      <c r="P13" t="inlineStr">
        <is>
          <t>Assets/MachineBrigade/Resources/Data/balance.json: vehicles[id=drop_pod] (lớp B trên 01_chien_dau/Xe)</t>
        </is>
      </c>
      <c r="Q13" t="inlineStr"/>
    </row>
    <row r="14">
      <c r="A14" t="inlineStr">
        <is>
          <t>elite_aa</t>
        </is>
      </c>
      <c r="B14" t="n">
        <v>0</v>
      </c>
      <c r="C14" t="n">
        <v>0</v>
      </c>
      <c r="D14" t="n">
        <v>1</v>
      </c>
      <c r="E14">
        <f>IF(INDEX(xe_input_vu_khi!$B$2:$B$66,MATCH(Xe!$AE$14,xe_input_vu_khi!$A$2:$A$66,0))&lt;=0,0,IF($B$14&gt;0,INDEX(xe_input_vu_khi!$B$2:$B$66,MATCH(Xe!$AE$14,xe_input_vu_khi!$A$2:$A$66,0))*$B$14/(MAX(0.05,INDEX(xe_input_vu_khi_suy_ra!$B$2:$B$66,MATCH(Xe!$AE$14,xe_input_vu_khi_suy_ra!$A$2:$A$66,0)))*MAX(1,CEILING($B$14/MAX(1,INDEX(xe_input_vu_khi!$C$2:$C$66,MATCH(Xe!$AE$14,xe_input_vu_khi!$A$2:$A$66,0))),1))+MAX(0,$C$14)),IF(INDEX(xe_input_vu_khi!$D$2:$D$66,MATCH(Xe!$AE$14,xe_input_vu_khi!$A$2:$A$66,0))&gt;0,INDEX(xe_input_vu_khi_suy_ra!$C$2:$C$66,MATCH(Xe!$AE$14,xe_input_vu_khi_suy_ra!$A$2:$A$66,0))*INDEX(xe_input_vu_khi!$D$2:$D$66,MATCH(Xe!$AE$14,xe_input_vu_khi!$A$2:$A$66,0))/(MAX(0.05,INDEX(xe_input_vu_khi_suy_ra!$B$2:$B$66,MATCH(Xe!$AE$14,xe_input_vu_khi_suy_ra!$A$2:$A$66,0)))*INDEX(xe_input_vu_khi!$D$2:$D$66,MATCH(Xe!$AE$14,xe_input_vu_khi!$A$2:$A$66,0))+INDEX(xe_input_vu_khi_suy_ra!$D$2:$D$66,MATCH(Xe!$AE$14,xe_input_vu_khi_suy_ra!$A$2:$A$66,0))),INDEX(xe_input_vu_khi_suy_ra!$C$2:$C$66,MATCH(Xe!$AE$14,xe_input_vu_khi_suy_ra!$A$2:$A$66,0))/MAX(0.05,INDEX(xe_input_vu_khi_suy_ra!$B$2:$B$66,MATCH(Xe!$AE$14,xe_input_vu_khi_suy_ra!$A$2:$A$66,0))))))*IF(INDEX(xe_input_vu_khi!$E$2:$E$66,MATCH(Xe!$AE$14,xe_input_vu_khi!$A$2:$A$66,0)),1,$D$14)*Xe!$AD$14</f>
        <v/>
      </c>
      <c r="F14" t="n">
        <v>101.8143845450985</v>
      </c>
      <c r="G14">
        <f>IF(INDEX(xe_input_vu_khi!$B$2:$B$66,MATCH(Xe!$AE$14,xe_input_vu_khi!$A$2:$A$66,0))&lt;=0,0,IF($B$14&gt;0,INDEX(xe_input_vu_khi!$B$2:$B$66,MATCH(Xe!$AE$14,xe_input_vu_khi!$A$2:$A$66,0))*$B$14/(MAX(0.05,INDEX(xe_input_vu_khi_suy_ra!$B$2:$B$66,MATCH(Xe!$AE$14,xe_input_vu_khi_suy_ra!$A$2:$A$66,0)))*MAX(1,CEILING($B$14/MAX(1,INDEX(xe_input_vu_khi!$C$2:$C$66,MATCH(Xe!$AE$14,xe_input_vu_khi!$A$2:$A$66,0))),1))+MAX(0,$C$14)),IF(INDEX(xe_input_vu_khi!$D$2:$D$66,MATCH(Xe!$AE$14,xe_input_vu_khi!$A$2:$A$66,0))&gt;0,INDEX(xe_input_vu_khi_suy_ra!$C$2:$C$66,MATCH(Xe!$AE$14,xe_input_vu_khi_suy_ra!$A$2:$A$66,0))*INDEX(xe_input_vu_khi!$D$2:$D$66,MATCH(Xe!$AE$14,xe_input_vu_khi!$A$2:$A$66,0))/(MAX(0.05,INDEX(xe_input_vu_khi_suy_ra!$B$2:$B$66,MATCH(Xe!$AE$14,xe_input_vu_khi_suy_ra!$A$2:$A$66,0)))*INDEX(xe_input_vu_khi!$D$2:$D$66,MATCH(Xe!$AE$14,xe_input_vu_khi!$A$2:$A$66,0))+INDEX(xe_input_vu_khi_suy_ra!$D$2:$D$66,MATCH(Xe!$AE$14,xe_input_vu_khi_suy_ra!$A$2:$A$66,0))),INDEX(xe_input_vu_khi_suy_ra!$C$2:$C$66,MATCH(Xe!$AE$14,xe_input_vu_khi_suy_ra!$A$2:$A$66,0))/MAX(0.05,INDEX(xe_input_vu_khi_suy_ra!$B$2:$B$66,MATCH(Xe!$AE$14,xe_input_vu_khi_suy_ra!$A$2:$A$66,0))))))*Xe!$AD$14</f>
        <v/>
      </c>
      <c r="H14" t="n">
        <v>101.8143845450985</v>
      </c>
      <c r="I14">
        <f>IF(AND(Xe!$I$14&gt;0,ISNUMBER(Xe!$K$14)),Xe!$K$14/Xe!$I$14,"")</f>
        <v/>
      </c>
      <c r="J14">
        <f>IF(Xe!$I$14&gt;0,$E$14/Xe!$I$14,"")</f>
        <v/>
      </c>
      <c r="K14">
        <f>IF(AND(Xe!$I$14&gt;0,ISNUMBER(Xe!$K$14)),Xe!$K$14/(Hoi_quy!$B$4*Xe!$I$14^Hoi_quy!$B$5),"")</f>
        <v/>
      </c>
      <c r="L14" t="n">
        <v>1</v>
      </c>
      <c r="M14" t="n">
        <v>1</v>
      </c>
      <c r="N14" t="n">
        <v>0</v>
      </c>
      <c r="O14" t="n">
        <v>2.5</v>
      </c>
      <c r="P14" t="inlineStr">
        <is>
          <t>Assets/MachineBrigade/Resources/Data/balance.json: vehicles[id=elite_aa] (lớp B trên 01_chien_dau/Xe)</t>
        </is>
      </c>
      <c r="Q14" t="inlineStr"/>
    </row>
    <row r="15">
      <c r="A15" t="inlineStr">
        <is>
          <t>elite_apc</t>
        </is>
      </c>
      <c r="B15" t="n">
        <v>0</v>
      </c>
      <c r="C15" t="n">
        <v>0</v>
      </c>
      <c r="D15" t="n">
        <v>1</v>
      </c>
      <c r="E15">
        <f>IF(INDEX(xe_input_vu_khi!$B$2:$B$66,MATCH(Xe!$AE$15,xe_input_vu_khi!$A$2:$A$66,0))&lt;=0,0,IF($B$15&gt;0,INDEX(xe_input_vu_khi!$B$2:$B$66,MATCH(Xe!$AE$15,xe_input_vu_khi!$A$2:$A$66,0))*$B$15/(MAX(0.05,INDEX(xe_input_vu_khi_suy_ra!$B$2:$B$66,MATCH(Xe!$AE$15,xe_input_vu_khi_suy_ra!$A$2:$A$66,0)))*MAX(1,CEILING($B$15/MAX(1,INDEX(xe_input_vu_khi!$C$2:$C$66,MATCH(Xe!$AE$15,xe_input_vu_khi!$A$2:$A$66,0))),1))+MAX(0,$C$15)),IF(INDEX(xe_input_vu_khi!$D$2:$D$66,MATCH(Xe!$AE$15,xe_input_vu_khi!$A$2:$A$66,0))&gt;0,INDEX(xe_input_vu_khi_suy_ra!$C$2:$C$66,MATCH(Xe!$AE$15,xe_input_vu_khi_suy_ra!$A$2:$A$66,0))*INDEX(xe_input_vu_khi!$D$2:$D$66,MATCH(Xe!$AE$15,xe_input_vu_khi!$A$2:$A$66,0))/(MAX(0.05,INDEX(xe_input_vu_khi_suy_ra!$B$2:$B$66,MATCH(Xe!$AE$15,xe_input_vu_khi_suy_ra!$A$2:$A$66,0)))*INDEX(xe_input_vu_khi!$D$2:$D$66,MATCH(Xe!$AE$15,xe_input_vu_khi!$A$2:$A$66,0))+INDEX(xe_input_vu_khi_suy_ra!$D$2:$D$66,MATCH(Xe!$AE$15,xe_input_vu_khi_suy_ra!$A$2:$A$66,0))),INDEX(xe_input_vu_khi_suy_ra!$C$2:$C$66,MATCH(Xe!$AE$15,xe_input_vu_khi_suy_ra!$A$2:$A$66,0))/MAX(0.05,INDEX(xe_input_vu_khi_suy_ra!$B$2:$B$66,MATCH(Xe!$AE$15,xe_input_vu_khi_suy_ra!$A$2:$A$66,0))))))*IF(INDEX(xe_input_vu_khi!$E$2:$E$66,MATCH(Xe!$AE$15,xe_input_vu_khi!$A$2:$A$66,0)),1,$D$15)*Xe!$AD$15</f>
        <v/>
      </c>
      <c r="F15" t="n">
        <v>84.25890463423977</v>
      </c>
      <c r="G15">
        <f>IF(INDEX(xe_input_vu_khi!$B$2:$B$66,MATCH(Xe!$AE$15,xe_input_vu_khi!$A$2:$A$66,0))&lt;=0,0,IF($B$15&gt;0,INDEX(xe_input_vu_khi!$B$2:$B$66,MATCH(Xe!$AE$15,xe_input_vu_khi!$A$2:$A$66,0))*$B$15/(MAX(0.05,INDEX(xe_input_vu_khi_suy_ra!$B$2:$B$66,MATCH(Xe!$AE$15,xe_input_vu_khi_suy_ra!$A$2:$A$66,0)))*MAX(1,CEILING($B$15/MAX(1,INDEX(xe_input_vu_khi!$C$2:$C$66,MATCH(Xe!$AE$15,xe_input_vu_khi!$A$2:$A$66,0))),1))+MAX(0,$C$15)),IF(INDEX(xe_input_vu_khi!$D$2:$D$66,MATCH(Xe!$AE$15,xe_input_vu_khi!$A$2:$A$66,0))&gt;0,INDEX(xe_input_vu_khi_suy_ra!$C$2:$C$66,MATCH(Xe!$AE$15,xe_input_vu_khi_suy_ra!$A$2:$A$66,0))*INDEX(xe_input_vu_khi!$D$2:$D$66,MATCH(Xe!$AE$15,xe_input_vu_khi!$A$2:$A$66,0))/(MAX(0.05,INDEX(xe_input_vu_khi_suy_ra!$B$2:$B$66,MATCH(Xe!$AE$15,xe_input_vu_khi_suy_ra!$A$2:$A$66,0)))*INDEX(xe_input_vu_khi!$D$2:$D$66,MATCH(Xe!$AE$15,xe_input_vu_khi!$A$2:$A$66,0))+INDEX(xe_input_vu_khi_suy_ra!$D$2:$D$66,MATCH(Xe!$AE$15,xe_input_vu_khi_suy_ra!$A$2:$A$66,0))),INDEX(xe_input_vu_khi_suy_ra!$C$2:$C$66,MATCH(Xe!$AE$15,xe_input_vu_khi_suy_ra!$A$2:$A$66,0))/MAX(0.05,INDEX(xe_input_vu_khi_suy_ra!$B$2:$B$66,MATCH(Xe!$AE$15,xe_input_vu_khi_suy_ra!$A$2:$A$66,0))))))*Xe!$AD$15</f>
        <v/>
      </c>
      <c r="H15" t="n">
        <v>84.25890463423977</v>
      </c>
      <c r="I15">
        <f>IF(AND(Xe!$I$15&gt;0,ISNUMBER(Xe!$K$15)),Xe!$K$15/Xe!$I$15,"")</f>
        <v/>
      </c>
      <c r="J15">
        <f>IF(Xe!$I$15&gt;0,$E$15/Xe!$I$15,"")</f>
        <v/>
      </c>
      <c r="K15">
        <f>IF(AND(Xe!$I$15&gt;0,ISNUMBER(Xe!$K$15)),Xe!$K$15/(Hoi_quy!$B$4*Xe!$I$15^Hoi_quy!$B$5),"")</f>
        <v/>
      </c>
      <c r="L15" t="n">
        <v>1</v>
      </c>
      <c r="M15" t="n">
        <v>1</v>
      </c>
      <c r="N15" t="n">
        <v>0</v>
      </c>
      <c r="O15" t="n">
        <v>2.5</v>
      </c>
      <c r="P15" t="inlineStr">
        <is>
          <t>Assets/MachineBrigade/Resources/Data/balance.json: vehicles[id=elite_apc] (lớp B trên 01_chien_dau/Xe)</t>
        </is>
      </c>
      <c r="Q15" t="inlineStr"/>
    </row>
    <row r="16">
      <c r="A16" t="inlineStr">
        <is>
          <t>elite_artillery</t>
        </is>
      </c>
      <c r="B16" t="n">
        <v>0</v>
      </c>
      <c r="C16" t="n">
        <v>0</v>
      </c>
      <c r="D16" t="n">
        <v>1</v>
      </c>
      <c r="E16">
        <f>IF(INDEX(xe_input_vu_khi!$B$2:$B$66,MATCH(Xe!$AE$16,xe_input_vu_khi!$A$2:$A$66,0))&lt;=0,0,IF($B$16&gt;0,INDEX(xe_input_vu_khi!$B$2:$B$66,MATCH(Xe!$AE$16,xe_input_vu_khi!$A$2:$A$66,0))*$B$16/(MAX(0.05,INDEX(xe_input_vu_khi_suy_ra!$B$2:$B$66,MATCH(Xe!$AE$16,xe_input_vu_khi_suy_ra!$A$2:$A$66,0)))*MAX(1,CEILING($B$16/MAX(1,INDEX(xe_input_vu_khi!$C$2:$C$66,MATCH(Xe!$AE$16,xe_input_vu_khi!$A$2:$A$66,0))),1))+MAX(0,$C$16)),IF(INDEX(xe_input_vu_khi!$D$2:$D$66,MATCH(Xe!$AE$16,xe_input_vu_khi!$A$2:$A$66,0))&gt;0,INDEX(xe_input_vu_khi_suy_ra!$C$2:$C$66,MATCH(Xe!$AE$16,xe_input_vu_khi_suy_ra!$A$2:$A$66,0))*INDEX(xe_input_vu_khi!$D$2:$D$66,MATCH(Xe!$AE$16,xe_input_vu_khi!$A$2:$A$66,0))/(MAX(0.05,INDEX(xe_input_vu_khi_suy_ra!$B$2:$B$66,MATCH(Xe!$AE$16,xe_input_vu_khi_suy_ra!$A$2:$A$66,0)))*INDEX(xe_input_vu_khi!$D$2:$D$66,MATCH(Xe!$AE$16,xe_input_vu_khi!$A$2:$A$66,0))+INDEX(xe_input_vu_khi_suy_ra!$D$2:$D$66,MATCH(Xe!$AE$16,xe_input_vu_khi_suy_ra!$A$2:$A$66,0))),INDEX(xe_input_vu_khi_suy_ra!$C$2:$C$66,MATCH(Xe!$AE$16,xe_input_vu_khi_suy_ra!$A$2:$A$66,0))/MAX(0.05,INDEX(xe_input_vu_khi_suy_ra!$B$2:$B$66,MATCH(Xe!$AE$16,xe_input_vu_khi_suy_ra!$A$2:$A$66,0))))))*IF(INDEX(xe_input_vu_khi!$E$2:$E$66,MATCH(Xe!$AE$16,xe_input_vu_khi!$A$2:$A$66,0)),1,$D$16)*Xe!$AD$16</f>
        <v/>
      </c>
      <c r="F16" t="n">
        <v>44.88629877509787</v>
      </c>
      <c r="G16">
        <f>IF(INDEX(xe_input_vu_khi!$B$2:$B$66,MATCH(Xe!$AE$16,xe_input_vu_khi!$A$2:$A$66,0))&lt;=0,0,IF($B$16&gt;0,INDEX(xe_input_vu_khi!$B$2:$B$66,MATCH(Xe!$AE$16,xe_input_vu_khi!$A$2:$A$66,0))*$B$16/(MAX(0.05,INDEX(xe_input_vu_khi_suy_ra!$B$2:$B$66,MATCH(Xe!$AE$16,xe_input_vu_khi_suy_ra!$A$2:$A$66,0)))*MAX(1,CEILING($B$16/MAX(1,INDEX(xe_input_vu_khi!$C$2:$C$66,MATCH(Xe!$AE$16,xe_input_vu_khi!$A$2:$A$66,0))),1))+MAX(0,$C$16)),IF(INDEX(xe_input_vu_khi!$D$2:$D$66,MATCH(Xe!$AE$16,xe_input_vu_khi!$A$2:$A$66,0))&gt;0,INDEX(xe_input_vu_khi_suy_ra!$C$2:$C$66,MATCH(Xe!$AE$16,xe_input_vu_khi_suy_ra!$A$2:$A$66,0))*INDEX(xe_input_vu_khi!$D$2:$D$66,MATCH(Xe!$AE$16,xe_input_vu_khi!$A$2:$A$66,0))/(MAX(0.05,INDEX(xe_input_vu_khi_suy_ra!$B$2:$B$66,MATCH(Xe!$AE$16,xe_input_vu_khi_suy_ra!$A$2:$A$66,0)))*INDEX(xe_input_vu_khi!$D$2:$D$66,MATCH(Xe!$AE$16,xe_input_vu_khi!$A$2:$A$66,0))+INDEX(xe_input_vu_khi_suy_ra!$D$2:$D$66,MATCH(Xe!$AE$16,xe_input_vu_khi_suy_ra!$A$2:$A$66,0))),INDEX(xe_input_vu_khi_suy_ra!$C$2:$C$66,MATCH(Xe!$AE$16,xe_input_vu_khi_suy_ra!$A$2:$A$66,0))/MAX(0.05,INDEX(xe_input_vu_khi_suy_ra!$B$2:$B$66,MATCH(Xe!$AE$16,xe_input_vu_khi_suy_ra!$A$2:$A$66,0))))))*Xe!$AD$16</f>
        <v/>
      </c>
      <c r="H16" t="n">
        <v>44.88629877509787</v>
      </c>
      <c r="I16">
        <f>IF(AND(Xe!$I$16&gt;0,ISNUMBER(Xe!$K$16)),Xe!$K$16/Xe!$I$16,"")</f>
        <v/>
      </c>
      <c r="J16">
        <f>IF(Xe!$I$16&gt;0,$E$16/Xe!$I$16,"")</f>
        <v/>
      </c>
      <c r="K16">
        <f>IF(AND(Xe!$I$16&gt;0,ISNUMBER(Xe!$K$16)),Xe!$K$16/(Hoi_quy!$B$4*Xe!$I$16^Hoi_quy!$B$5),"")</f>
        <v/>
      </c>
      <c r="L16" t="n">
        <v>1</v>
      </c>
      <c r="M16" t="n">
        <v>1</v>
      </c>
      <c r="N16" t="n">
        <v>0</v>
      </c>
      <c r="O16" t="n">
        <v>2.5</v>
      </c>
      <c r="P16" t="inlineStr">
        <is>
          <t>Assets/MachineBrigade/Resources/Data/balance.json: vehicles[id=elite_artillery] (lớp B trên 01_chien_dau/Xe)</t>
        </is>
      </c>
      <c r="Q16" t="inlineStr"/>
    </row>
    <row r="17">
      <c r="A17" t="inlineStr">
        <is>
          <t>elite_attack_helicopter</t>
        </is>
      </c>
      <c r="B17" t="n">
        <v>8</v>
      </c>
      <c r="C17" t="n">
        <v>8.5</v>
      </c>
      <c r="D17" t="n">
        <v>1</v>
      </c>
      <c r="E17">
        <f>IF(INDEX(xe_input_vu_khi!$B$2:$B$66,MATCH(Xe!$AE$17,xe_input_vu_khi!$A$2:$A$66,0))&lt;=0,0,IF($B$17&gt;0,INDEX(xe_input_vu_khi!$B$2:$B$66,MATCH(Xe!$AE$17,xe_input_vu_khi!$A$2:$A$66,0))*$B$17/(MAX(0.05,INDEX(xe_input_vu_khi_suy_ra!$B$2:$B$66,MATCH(Xe!$AE$17,xe_input_vu_khi_suy_ra!$A$2:$A$66,0)))*MAX(1,CEILING($B$17/MAX(1,INDEX(xe_input_vu_khi!$C$2:$C$66,MATCH(Xe!$AE$17,xe_input_vu_khi!$A$2:$A$66,0))),1))+MAX(0,$C$17)),IF(INDEX(xe_input_vu_khi!$D$2:$D$66,MATCH(Xe!$AE$17,xe_input_vu_khi!$A$2:$A$66,0))&gt;0,INDEX(xe_input_vu_khi_suy_ra!$C$2:$C$66,MATCH(Xe!$AE$17,xe_input_vu_khi_suy_ra!$A$2:$A$66,0))*INDEX(xe_input_vu_khi!$D$2:$D$66,MATCH(Xe!$AE$17,xe_input_vu_khi!$A$2:$A$66,0))/(MAX(0.05,INDEX(xe_input_vu_khi_suy_ra!$B$2:$B$66,MATCH(Xe!$AE$17,xe_input_vu_khi_suy_ra!$A$2:$A$66,0)))*INDEX(xe_input_vu_khi!$D$2:$D$66,MATCH(Xe!$AE$17,xe_input_vu_khi!$A$2:$A$66,0))+INDEX(xe_input_vu_khi_suy_ra!$D$2:$D$66,MATCH(Xe!$AE$17,xe_input_vu_khi_suy_ra!$A$2:$A$66,0))),INDEX(xe_input_vu_khi_suy_ra!$C$2:$C$66,MATCH(Xe!$AE$17,xe_input_vu_khi_suy_ra!$A$2:$A$66,0))/MAX(0.05,INDEX(xe_input_vu_khi_suy_ra!$B$2:$B$66,MATCH(Xe!$AE$17,xe_input_vu_khi_suy_ra!$A$2:$A$66,0))))))*IF(INDEX(xe_input_vu_khi!$E$2:$E$66,MATCH(Xe!$AE$17,xe_input_vu_khi!$A$2:$A$66,0)),1,$D$17)*Xe!$AD$17</f>
        <v/>
      </c>
      <c r="F17" t="n">
        <v>39.34922436625047</v>
      </c>
      <c r="G17">
        <f>IF(INDEX(xe_input_vu_khi!$B$2:$B$66,MATCH(Xe!$AE$17,xe_input_vu_khi!$A$2:$A$66,0))&lt;=0,0,IF($B$17&gt;0,INDEX(xe_input_vu_khi!$B$2:$B$66,MATCH(Xe!$AE$17,xe_input_vu_khi!$A$2:$A$66,0))*$B$17/(MAX(0.05,INDEX(xe_input_vu_khi_suy_ra!$B$2:$B$66,MATCH(Xe!$AE$17,xe_input_vu_khi_suy_ra!$A$2:$A$66,0)))*MAX(1,CEILING($B$17/MAX(1,INDEX(xe_input_vu_khi!$C$2:$C$66,MATCH(Xe!$AE$17,xe_input_vu_khi!$A$2:$A$66,0))),1))+MAX(0,$C$17)),IF(INDEX(xe_input_vu_khi!$D$2:$D$66,MATCH(Xe!$AE$17,xe_input_vu_khi!$A$2:$A$66,0))&gt;0,INDEX(xe_input_vu_khi_suy_ra!$C$2:$C$66,MATCH(Xe!$AE$17,xe_input_vu_khi_suy_ra!$A$2:$A$66,0))*INDEX(xe_input_vu_khi!$D$2:$D$66,MATCH(Xe!$AE$17,xe_input_vu_khi!$A$2:$A$66,0))/(MAX(0.05,INDEX(xe_input_vu_khi_suy_ra!$B$2:$B$66,MATCH(Xe!$AE$17,xe_input_vu_khi_suy_ra!$A$2:$A$66,0)))*INDEX(xe_input_vu_khi!$D$2:$D$66,MATCH(Xe!$AE$17,xe_input_vu_khi!$A$2:$A$66,0))+INDEX(xe_input_vu_khi_suy_ra!$D$2:$D$66,MATCH(Xe!$AE$17,xe_input_vu_khi_suy_ra!$A$2:$A$66,0))),INDEX(xe_input_vu_khi_suy_ra!$C$2:$C$66,MATCH(Xe!$AE$17,xe_input_vu_khi_suy_ra!$A$2:$A$66,0))/MAX(0.05,INDEX(xe_input_vu_khi_suy_ra!$B$2:$B$66,MATCH(Xe!$AE$17,xe_input_vu_khi_suy_ra!$A$2:$A$66,0))))))*Xe!$AD$17</f>
        <v/>
      </c>
      <c r="H17" t="n">
        <v>39.34922436625047</v>
      </c>
      <c r="I17">
        <f>IF(AND(Xe!$I$17&gt;0,ISNUMBER(Xe!$K$17)),Xe!$K$17/Xe!$I$17,"")</f>
        <v/>
      </c>
      <c r="J17">
        <f>IF(Xe!$I$17&gt;0,$E$17/Xe!$I$17,"")</f>
        <v/>
      </c>
      <c r="K17">
        <f>IF(AND(Xe!$I$17&gt;0,ISNUMBER(Xe!$K$17)),Xe!$K$17/(Hoi_quy!$B$4*Xe!$I$17^Hoi_quy!$B$5),"")</f>
        <v/>
      </c>
      <c r="L17" t="n">
        <v>1</v>
      </c>
      <c r="M17" t="n">
        <v>1</v>
      </c>
      <c r="N17" t="n">
        <v>0</v>
      </c>
      <c r="O17" t="n">
        <v>2.5</v>
      </c>
      <c r="P17" t="inlineStr">
        <is>
          <t>Assets/MachineBrigade/Resources/Data/balance.json: vehicles[id=elite_attack_helicopter] (lớp B trên 01_chien_dau/Xe)</t>
        </is>
      </c>
      <c r="Q17" t="inlineStr"/>
    </row>
    <row r="18">
      <c r="A18" t="inlineStr">
        <is>
          <t>elite_attack_jet</t>
        </is>
      </c>
      <c r="B18" t="n">
        <v>0</v>
      </c>
      <c r="C18" t="n">
        <v>14</v>
      </c>
      <c r="D18" t="n">
        <v>1</v>
      </c>
      <c r="E18">
        <f>IF(INDEX(xe_input_vu_khi!$B$2:$B$66,MATCH(Xe!$AE$18,xe_input_vu_khi!$A$2:$A$66,0))&lt;=0,0,IF($B$18&gt;0,INDEX(xe_input_vu_khi!$B$2:$B$66,MATCH(Xe!$AE$18,xe_input_vu_khi!$A$2:$A$66,0))*$B$18/(MAX(0.05,INDEX(xe_input_vu_khi_suy_ra!$B$2:$B$66,MATCH(Xe!$AE$18,xe_input_vu_khi_suy_ra!$A$2:$A$66,0)))*MAX(1,CEILING($B$18/MAX(1,INDEX(xe_input_vu_khi!$C$2:$C$66,MATCH(Xe!$AE$18,xe_input_vu_khi!$A$2:$A$66,0))),1))+MAX(0,$C$18)),IF(INDEX(xe_input_vu_khi!$D$2:$D$66,MATCH(Xe!$AE$18,xe_input_vu_khi!$A$2:$A$66,0))&gt;0,INDEX(xe_input_vu_khi_suy_ra!$C$2:$C$66,MATCH(Xe!$AE$18,xe_input_vu_khi_suy_ra!$A$2:$A$66,0))*INDEX(xe_input_vu_khi!$D$2:$D$66,MATCH(Xe!$AE$18,xe_input_vu_khi!$A$2:$A$66,0))/(MAX(0.05,INDEX(xe_input_vu_khi_suy_ra!$B$2:$B$66,MATCH(Xe!$AE$18,xe_input_vu_khi_suy_ra!$A$2:$A$66,0)))*INDEX(xe_input_vu_khi!$D$2:$D$66,MATCH(Xe!$AE$18,xe_input_vu_khi!$A$2:$A$66,0))+INDEX(xe_input_vu_khi_suy_ra!$D$2:$D$66,MATCH(Xe!$AE$18,xe_input_vu_khi_suy_ra!$A$2:$A$66,0))),INDEX(xe_input_vu_khi_suy_ra!$C$2:$C$66,MATCH(Xe!$AE$18,xe_input_vu_khi_suy_ra!$A$2:$A$66,0))/MAX(0.05,INDEX(xe_input_vu_khi_suy_ra!$B$2:$B$66,MATCH(Xe!$AE$18,xe_input_vu_khi_suy_ra!$A$2:$A$66,0))))))*IF(INDEX(xe_input_vu_khi!$E$2:$E$66,MATCH(Xe!$AE$18,xe_input_vu_khi!$A$2:$A$66,0)),1,$D$18)*Xe!$AD$18</f>
        <v/>
      </c>
      <c r="F18" t="n">
        <v>456.5291393284446</v>
      </c>
      <c r="G18">
        <f>IF(INDEX(xe_input_vu_khi!$B$2:$B$66,MATCH(Xe!$AE$18,xe_input_vu_khi!$A$2:$A$66,0))&lt;=0,0,IF($B$18&gt;0,INDEX(xe_input_vu_khi!$B$2:$B$66,MATCH(Xe!$AE$18,xe_input_vu_khi!$A$2:$A$66,0))*$B$18/(MAX(0.05,INDEX(xe_input_vu_khi_suy_ra!$B$2:$B$66,MATCH(Xe!$AE$18,xe_input_vu_khi_suy_ra!$A$2:$A$66,0)))*MAX(1,CEILING($B$18/MAX(1,INDEX(xe_input_vu_khi!$C$2:$C$66,MATCH(Xe!$AE$18,xe_input_vu_khi!$A$2:$A$66,0))),1))+MAX(0,$C$18)),IF(INDEX(xe_input_vu_khi!$D$2:$D$66,MATCH(Xe!$AE$18,xe_input_vu_khi!$A$2:$A$66,0))&gt;0,INDEX(xe_input_vu_khi_suy_ra!$C$2:$C$66,MATCH(Xe!$AE$18,xe_input_vu_khi_suy_ra!$A$2:$A$66,0))*INDEX(xe_input_vu_khi!$D$2:$D$66,MATCH(Xe!$AE$18,xe_input_vu_khi!$A$2:$A$66,0))/(MAX(0.05,INDEX(xe_input_vu_khi_suy_ra!$B$2:$B$66,MATCH(Xe!$AE$18,xe_input_vu_khi_suy_ra!$A$2:$A$66,0)))*INDEX(xe_input_vu_khi!$D$2:$D$66,MATCH(Xe!$AE$18,xe_input_vu_khi!$A$2:$A$66,0))+INDEX(xe_input_vu_khi_suy_ra!$D$2:$D$66,MATCH(Xe!$AE$18,xe_input_vu_khi_suy_ra!$A$2:$A$66,0))),INDEX(xe_input_vu_khi_suy_ra!$C$2:$C$66,MATCH(Xe!$AE$18,xe_input_vu_khi_suy_ra!$A$2:$A$66,0))/MAX(0.05,INDEX(xe_input_vu_khi_suy_ra!$B$2:$B$66,MATCH(Xe!$AE$18,xe_input_vu_khi_suy_ra!$A$2:$A$66,0))))))*Xe!$AD$18</f>
        <v/>
      </c>
      <c r="H18" t="n">
        <v>456.5291393284446</v>
      </c>
      <c r="I18">
        <f>IF(AND(Xe!$I$18&gt;0,ISNUMBER(Xe!$K$18)),Xe!$K$18/Xe!$I$18,"")</f>
        <v/>
      </c>
      <c r="J18">
        <f>IF(Xe!$I$18&gt;0,$E$18/Xe!$I$18,"")</f>
        <v/>
      </c>
      <c r="K18">
        <f>IF(AND(Xe!$I$18&gt;0,ISNUMBER(Xe!$K$18)),Xe!$K$18/(Hoi_quy!$B$4*Xe!$I$18^Hoi_quy!$B$5),"")</f>
        <v/>
      </c>
      <c r="L18" t="n">
        <v>1</v>
      </c>
      <c r="M18" t="n">
        <v>1</v>
      </c>
      <c r="N18" t="n">
        <v>0</v>
      </c>
      <c r="O18" t="n">
        <v>2.5</v>
      </c>
      <c r="P18" t="inlineStr">
        <is>
          <t>Assets/MachineBrigade/Resources/Data/balance.json: vehicles[id=elite_attack_jet] (lớp B trên 01_chien_dau/Xe)</t>
        </is>
      </c>
      <c r="Q18" t="inlineStr"/>
    </row>
    <row r="19">
      <c r="A19" t="inlineStr">
        <is>
          <t>elite_fpv_carrier</t>
        </is>
      </c>
      <c r="B19" t="n">
        <v>0</v>
      </c>
      <c r="C19" t="n">
        <v>0</v>
      </c>
      <c r="D19" t="n">
        <v>1</v>
      </c>
      <c r="E19">
        <f>IF(INDEX(xe_input_vu_khi!$B$2:$B$66,MATCH(Xe!$AE$19,xe_input_vu_khi!$A$2:$A$66,0))&lt;=0,0,IF($B$19&gt;0,INDEX(xe_input_vu_khi!$B$2:$B$66,MATCH(Xe!$AE$19,xe_input_vu_khi!$A$2:$A$66,0))*$B$19/(MAX(0.05,INDEX(xe_input_vu_khi_suy_ra!$B$2:$B$66,MATCH(Xe!$AE$19,xe_input_vu_khi_suy_ra!$A$2:$A$66,0)))*MAX(1,CEILING($B$19/MAX(1,INDEX(xe_input_vu_khi!$C$2:$C$66,MATCH(Xe!$AE$19,xe_input_vu_khi!$A$2:$A$66,0))),1))+MAX(0,$C$19)),IF(INDEX(xe_input_vu_khi!$D$2:$D$66,MATCH(Xe!$AE$19,xe_input_vu_khi!$A$2:$A$66,0))&gt;0,INDEX(xe_input_vu_khi_suy_ra!$C$2:$C$66,MATCH(Xe!$AE$19,xe_input_vu_khi_suy_ra!$A$2:$A$66,0))*INDEX(xe_input_vu_khi!$D$2:$D$66,MATCH(Xe!$AE$19,xe_input_vu_khi!$A$2:$A$66,0))/(MAX(0.05,INDEX(xe_input_vu_khi_suy_ra!$B$2:$B$66,MATCH(Xe!$AE$19,xe_input_vu_khi_suy_ra!$A$2:$A$66,0)))*INDEX(xe_input_vu_khi!$D$2:$D$66,MATCH(Xe!$AE$19,xe_input_vu_khi!$A$2:$A$66,0))+INDEX(xe_input_vu_khi_suy_ra!$D$2:$D$66,MATCH(Xe!$AE$19,xe_input_vu_khi_suy_ra!$A$2:$A$66,0))),INDEX(xe_input_vu_khi_suy_ra!$C$2:$C$66,MATCH(Xe!$AE$19,xe_input_vu_khi_suy_ra!$A$2:$A$66,0))/MAX(0.05,INDEX(xe_input_vu_khi_suy_ra!$B$2:$B$66,MATCH(Xe!$AE$19,xe_input_vu_khi_suy_ra!$A$2:$A$66,0))))))*IF(INDEX(xe_input_vu_khi!$E$2:$E$66,MATCH(Xe!$AE$19,xe_input_vu_khi!$A$2:$A$66,0)),1,$D$19)*Xe!$AD$19</f>
        <v/>
      </c>
      <c r="F19" t="n">
        <v>48.57635687732342</v>
      </c>
      <c r="G19">
        <f>IF(INDEX(xe_input_vu_khi!$B$2:$B$66,MATCH(Xe!$AE$19,xe_input_vu_khi!$A$2:$A$66,0))&lt;=0,0,IF($B$19&gt;0,INDEX(xe_input_vu_khi!$B$2:$B$66,MATCH(Xe!$AE$19,xe_input_vu_khi!$A$2:$A$66,0))*$B$19/(MAX(0.05,INDEX(xe_input_vu_khi_suy_ra!$B$2:$B$66,MATCH(Xe!$AE$19,xe_input_vu_khi_suy_ra!$A$2:$A$66,0)))*MAX(1,CEILING($B$19/MAX(1,INDEX(xe_input_vu_khi!$C$2:$C$66,MATCH(Xe!$AE$19,xe_input_vu_khi!$A$2:$A$66,0))),1))+MAX(0,$C$19)),IF(INDEX(xe_input_vu_khi!$D$2:$D$66,MATCH(Xe!$AE$19,xe_input_vu_khi!$A$2:$A$66,0))&gt;0,INDEX(xe_input_vu_khi_suy_ra!$C$2:$C$66,MATCH(Xe!$AE$19,xe_input_vu_khi_suy_ra!$A$2:$A$66,0))*INDEX(xe_input_vu_khi!$D$2:$D$66,MATCH(Xe!$AE$19,xe_input_vu_khi!$A$2:$A$66,0))/(MAX(0.05,INDEX(xe_input_vu_khi_suy_ra!$B$2:$B$66,MATCH(Xe!$AE$19,xe_input_vu_khi_suy_ra!$A$2:$A$66,0)))*INDEX(xe_input_vu_khi!$D$2:$D$66,MATCH(Xe!$AE$19,xe_input_vu_khi!$A$2:$A$66,0))+INDEX(xe_input_vu_khi_suy_ra!$D$2:$D$66,MATCH(Xe!$AE$19,xe_input_vu_khi_suy_ra!$A$2:$A$66,0))),INDEX(xe_input_vu_khi_suy_ra!$C$2:$C$66,MATCH(Xe!$AE$19,xe_input_vu_khi_suy_ra!$A$2:$A$66,0))/MAX(0.05,INDEX(xe_input_vu_khi_suy_ra!$B$2:$B$66,MATCH(Xe!$AE$19,xe_input_vu_khi_suy_ra!$A$2:$A$66,0))))))*Xe!$AD$19</f>
        <v/>
      </c>
      <c r="H19" t="n">
        <v>48.57635687732342</v>
      </c>
      <c r="I19">
        <f>IF(AND(Xe!$I$19&gt;0,ISNUMBER(Xe!$K$19)),Xe!$K$19/Xe!$I$19,"")</f>
        <v/>
      </c>
      <c r="J19">
        <f>IF(Xe!$I$19&gt;0,$E$19/Xe!$I$19,"")</f>
        <v/>
      </c>
      <c r="K19">
        <f>IF(AND(Xe!$I$19&gt;0,ISNUMBER(Xe!$K$19)),Xe!$K$19/(Hoi_quy!$B$4*Xe!$I$19^Hoi_quy!$B$5),"")</f>
        <v/>
      </c>
      <c r="L19" t="n">
        <v>1</v>
      </c>
      <c r="M19" t="n">
        <v>1</v>
      </c>
      <c r="N19" t="n">
        <v>0</v>
      </c>
      <c r="O19" t="n">
        <v>2.5</v>
      </c>
      <c r="P19" t="inlineStr">
        <is>
          <t>Assets/MachineBrigade/Resources/Data/balance.json: vehicles[id=elite_fpv_carrier] (lớp B trên 01_chien_dau/Xe)</t>
        </is>
      </c>
      <c r="Q19" t="inlineStr"/>
    </row>
    <row r="20">
      <c r="A20" t="inlineStr">
        <is>
          <t>elite_grad</t>
        </is>
      </c>
      <c r="B20" t="n">
        <v>0</v>
      </c>
      <c r="C20" t="n">
        <v>0</v>
      </c>
      <c r="D20" t="n">
        <v>1</v>
      </c>
      <c r="E20">
        <f>IF(INDEX(xe_input_vu_khi!$B$2:$B$66,MATCH(Xe!$AE$20,xe_input_vu_khi!$A$2:$A$66,0))&lt;=0,0,IF($B$20&gt;0,INDEX(xe_input_vu_khi!$B$2:$B$66,MATCH(Xe!$AE$20,xe_input_vu_khi!$A$2:$A$66,0))*$B$20/(MAX(0.05,INDEX(xe_input_vu_khi_suy_ra!$B$2:$B$66,MATCH(Xe!$AE$20,xe_input_vu_khi_suy_ra!$A$2:$A$66,0)))*MAX(1,CEILING($B$20/MAX(1,INDEX(xe_input_vu_khi!$C$2:$C$66,MATCH(Xe!$AE$20,xe_input_vu_khi!$A$2:$A$66,0))),1))+MAX(0,$C$20)),IF(INDEX(xe_input_vu_khi!$D$2:$D$66,MATCH(Xe!$AE$20,xe_input_vu_khi!$A$2:$A$66,0))&gt;0,INDEX(xe_input_vu_khi_suy_ra!$C$2:$C$66,MATCH(Xe!$AE$20,xe_input_vu_khi_suy_ra!$A$2:$A$66,0))*INDEX(xe_input_vu_khi!$D$2:$D$66,MATCH(Xe!$AE$20,xe_input_vu_khi!$A$2:$A$66,0))/(MAX(0.05,INDEX(xe_input_vu_khi_suy_ra!$B$2:$B$66,MATCH(Xe!$AE$20,xe_input_vu_khi_suy_ra!$A$2:$A$66,0)))*INDEX(xe_input_vu_khi!$D$2:$D$66,MATCH(Xe!$AE$20,xe_input_vu_khi!$A$2:$A$66,0))+INDEX(xe_input_vu_khi_suy_ra!$D$2:$D$66,MATCH(Xe!$AE$20,xe_input_vu_khi_suy_ra!$A$2:$A$66,0))),INDEX(xe_input_vu_khi_suy_ra!$C$2:$C$66,MATCH(Xe!$AE$20,xe_input_vu_khi_suy_ra!$A$2:$A$66,0))/MAX(0.05,INDEX(xe_input_vu_khi_suy_ra!$B$2:$B$66,MATCH(Xe!$AE$20,xe_input_vu_khi_suy_ra!$A$2:$A$66,0))))))*IF(INDEX(xe_input_vu_khi!$E$2:$E$66,MATCH(Xe!$AE$20,xe_input_vu_khi!$A$2:$A$66,0)),1,$D$20)*Xe!$AD$20</f>
        <v/>
      </c>
      <c r="F20" t="n">
        <v>35.71292956142016</v>
      </c>
      <c r="G20">
        <f>IF(INDEX(xe_input_vu_khi!$B$2:$B$66,MATCH(Xe!$AE$20,xe_input_vu_khi!$A$2:$A$66,0))&lt;=0,0,IF($B$20&gt;0,INDEX(xe_input_vu_khi!$B$2:$B$66,MATCH(Xe!$AE$20,xe_input_vu_khi!$A$2:$A$66,0))*$B$20/(MAX(0.05,INDEX(xe_input_vu_khi_suy_ra!$B$2:$B$66,MATCH(Xe!$AE$20,xe_input_vu_khi_suy_ra!$A$2:$A$66,0)))*MAX(1,CEILING($B$20/MAX(1,INDEX(xe_input_vu_khi!$C$2:$C$66,MATCH(Xe!$AE$20,xe_input_vu_khi!$A$2:$A$66,0))),1))+MAX(0,$C$20)),IF(INDEX(xe_input_vu_khi!$D$2:$D$66,MATCH(Xe!$AE$20,xe_input_vu_khi!$A$2:$A$66,0))&gt;0,INDEX(xe_input_vu_khi_suy_ra!$C$2:$C$66,MATCH(Xe!$AE$20,xe_input_vu_khi_suy_ra!$A$2:$A$66,0))*INDEX(xe_input_vu_khi!$D$2:$D$66,MATCH(Xe!$AE$20,xe_input_vu_khi!$A$2:$A$66,0))/(MAX(0.05,INDEX(xe_input_vu_khi_suy_ra!$B$2:$B$66,MATCH(Xe!$AE$20,xe_input_vu_khi_suy_ra!$A$2:$A$66,0)))*INDEX(xe_input_vu_khi!$D$2:$D$66,MATCH(Xe!$AE$20,xe_input_vu_khi!$A$2:$A$66,0))+INDEX(xe_input_vu_khi_suy_ra!$D$2:$D$66,MATCH(Xe!$AE$20,xe_input_vu_khi_suy_ra!$A$2:$A$66,0))),INDEX(xe_input_vu_khi_suy_ra!$C$2:$C$66,MATCH(Xe!$AE$20,xe_input_vu_khi_suy_ra!$A$2:$A$66,0))/MAX(0.05,INDEX(xe_input_vu_khi_suy_ra!$B$2:$B$66,MATCH(Xe!$AE$20,xe_input_vu_khi_suy_ra!$A$2:$A$66,0))))))*Xe!$AD$20</f>
        <v/>
      </c>
      <c r="H20" t="n">
        <v>35.71292956142016</v>
      </c>
      <c r="I20">
        <f>IF(AND(Xe!$I$20&gt;0,ISNUMBER(Xe!$K$20)),Xe!$K$20/Xe!$I$20,"")</f>
        <v/>
      </c>
      <c r="J20">
        <f>IF(Xe!$I$20&gt;0,$E$20/Xe!$I$20,"")</f>
        <v/>
      </c>
      <c r="K20">
        <f>IF(AND(Xe!$I$20&gt;0,ISNUMBER(Xe!$K$20)),Xe!$K$20/(Hoi_quy!$B$4*Xe!$I$20^Hoi_quy!$B$5),"")</f>
        <v/>
      </c>
      <c r="L20" t="n">
        <v>1</v>
      </c>
      <c r="M20" t="n">
        <v>1</v>
      </c>
      <c r="N20" t="n">
        <v>0</v>
      </c>
      <c r="O20" t="n">
        <v>2.5</v>
      </c>
      <c r="P20" t="inlineStr">
        <is>
          <t>Assets/MachineBrigade/Resources/Data/balance.json: vehicles[id=elite_grad] (lớp B trên 01_chien_dau/Xe)</t>
        </is>
      </c>
      <c r="Q20" t="inlineStr"/>
    </row>
    <row r="21">
      <c r="A21" t="inlineStr">
        <is>
          <t>elite_heavy_tank</t>
        </is>
      </c>
      <c r="B21" t="n">
        <v>0</v>
      </c>
      <c r="C21" t="n">
        <v>0</v>
      </c>
      <c r="D21" t="n">
        <v>1</v>
      </c>
      <c r="E21">
        <f>IF(INDEX(xe_input_vu_khi!$B$2:$B$66,MATCH(Xe!$AE$21,xe_input_vu_khi!$A$2:$A$66,0))&lt;=0,0,IF($B$21&gt;0,INDEX(xe_input_vu_khi!$B$2:$B$66,MATCH(Xe!$AE$21,xe_input_vu_khi!$A$2:$A$66,0))*$B$21/(MAX(0.05,INDEX(xe_input_vu_khi_suy_ra!$B$2:$B$66,MATCH(Xe!$AE$21,xe_input_vu_khi_suy_ra!$A$2:$A$66,0)))*MAX(1,CEILING($B$21/MAX(1,INDEX(xe_input_vu_khi!$C$2:$C$66,MATCH(Xe!$AE$21,xe_input_vu_khi!$A$2:$A$66,0))),1))+MAX(0,$C$21)),IF(INDEX(xe_input_vu_khi!$D$2:$D$66,MATCH(Xe!$AE$21,xe_input_vu_khi!$A$2:$A$66,0))&gt;0,INDEX(xe_input_vu_khi_suy_ra!$C$2:$C$66,MATCH(Xe!$AE$21,xe_input_vu_khi_suy_ra!$A$2:$A$66,0))*INDEX(xe_input_vu_khi!$D$2:$D$66,MATCH(Xe!$AE$21,xe_input_vu_khi!$A$2:$A$66,0))/(MAX(0.05,INDEX(xe_input_vu_khi_suy_ra!$B$2:$B$66,MATCH(Xe!$AE$21,xe_input_vu_khi_suy_ra!$A$2:$A$66,0)))*INDEX(xe_input_vu_khi!$D$2:$D$66,MATCH(Xe!$AE$21,xe_input_vu_khi!$A$2:$A$66,0))+INDEX(xe_input_vu_khi_suy_ra!$D$2:$D$66,MATCH(Xe!$AE$21,xe_input_vu_khi_suy_ra!$A$2:$A$66,0))),INDEX(xe_input_vu_khi_suy_ra!$C$2:$C$66,MATCH(Xe!$AE$21,xe_input_vu_khi_suy_ra!$A$2:$A$66,0))/MAX(0.05,INDEX(xe_input_vu_khi_suy_ra!$B$2:$B$66,MATCH(Xe!$AE$21,xe_input_vu_khi_suy_ra!$A$2:$A$66,0))))))*IF(INDEX(xe_input_vu_khi!$E$2:$E$66,MATCH(Xe!$AE$21,xe_input_vu_khi!$A$2:$A$66,0)),1,$D$21)*Xe!$AD$21</f>
        <v/>
      </c>
      <c r="F21" t="n">
        <v>53.07973017803827</v>
      </c>
      <c r="G21">
        <f>IF(INDEX(xe_input_vu_khi!$B$2:$B$66,MATCH(Xe!$AE$21,xe_input_vu_khi!$A$2:$A$66,0))&lt;=0,0,IF($B$21&gt;0,INDEX(xe_input_vu_khi!$B$2:$B$66,MATCH(Xe!$AE$21,xe_input_vu_khi!$A$2:$A$66,0))*$B$21/(MAX(0.05,INDEX(xe_input_vu_khi_suy_ra!$B$2:$B$66,MATCH(Xe!$AE$21,xe_input_vu_khi_suy_ra!$A$2:$A$66,0)))*MAX(1,CEILING($B$21/MAX(1,INDEX(xe_input_vu_khi!$C$2:$C$66,MATCH(Xe!$AE$21,xe_input_vu_khi!$A$2:$A$66,0))),1))+MAX(0,$C$21)),IF(INDEX(xe_input_vu_khi!$D$2:$D$66,MATCH(Xe!$AE$21,xe_input_vu_khi!$A$2:$A$66,0))&gt;0,INDEX(xe_input_vu_khi_suy_ra!$C$2:$C$66,MATCH(Xe!$AE$21,xe_input_vu_khi_suy_ra!$A$2:$A$66,0))*INDEX(xe_input_vu_khi!$D$2:$D$66,MATCH(Xe!$AE$21,xe_input_vu_khi!$A$2:$A$66,0))/(MAX(0.05,INDEX(xe_input_vu_khi_suy_ra!$B$2:$B$66,MATCH(Xe!$AE$21,xe_input_vu_khi_suy_ra!$A$2:$A$66,0)))*INDEX(xe_input_vu_khi!$D$2:$D$66,MATCH(Xe!$AE$21,xe_input_vu_khi!$A$2:$A$66,0))+INDEX(xe_input_vu_khi_suy_ra!$D$2:$D$66,MATCH(Xe!$AE$21,xe_input_vu_khi_suy_ra!$A$2:$A$66,0))),INDEX(xe_input_vu_khi_suy_ra!$C$2:$C$66,MATCH(Xe!$AE$21,xe_input_vu_khi_suy_ra!$A$2:$A$66,0))/MAX(0.05,INDEX(xe_input_vu_khi_suy_ra!$B$2:$B$66,MATCH(Xe!$AE$21,xe_input_vu_khi_suy_ra!$A$2:$A$66,0))))))*Xe!$AD$21</f>
        <v/>
      </c>
      <c r="H21" t="n">
        <v>53.07973017803827</v>
      </c>
      <c r="I21">
        <f>IF(AND(Xe!$I$21&gt;0,ISNUMBER(Xe!$K$21)),Xe!$K$21/Xe!$I$21,"")</f>
        <v/>
      </c>
      <c r="J21">
        <f>IF(Xe!$I$21&gt;0,$E$21/Xe!$I$21,"")</f>
        <v/>
      </c>
      <c r="K21">
        <f>IF(AND(Xe!$I$21&gt;0,ISNUMBER(Xe!$K$21)),Xe!$K$21/(Hoi_quy!$B$4*Xe!$I$21^Hoi_quy!$B$5),"")</f>
        <v/>
      </c>
      <c r="L21" t="n">
        <v>1</v>
      </c>
      <c r="M21" t="n">
        <v>1</v>
      </c>
      <c r="N21" t="n">
        <v>0</v>
      </c>
      <c r="O21" t="n">
        <v>2.5</v>
      </c>
      <c r="P21" t="inlineStr">
        <is>
          <t>Assets/MachineBrigade/Resources/Data/balance.json: vehicles[id=elite_heavy_tank] (lớp B trên 01_chien_dau/Xe)</t>
        </is>
      </c>
      <c r="Q21" t="inlineStr"/>
    </row>
    <row r="22">
      <c r="A22" t="inlineStr">
        <is>
          <t>elite_long_sam</t>
        </is>
      </c>
      <c r="B22" t="n">
        <v>0</v>
      </c>
      <c r="C22" t="n">
        <v>0</v>
      </c>
      <c r="D22" t="n">
        <v>1</v>
      </c>
      <c r="E22">
        <f>IF(INDEX(xe_input_vu_khi!$B$2:$B$66,MATCH(Xe!$AE$22,xe_input_vu_khi!$A$2:$A$66,0))&lt;=0,0,IF($B$22&gt;0,INDEX(xe_input_vu_khi!$B$2:$B$66,MATCH(Xe!$AE$22,xe_input_vu_khi!$A$2:$A$66,0))*$B$22/(MAX(0.05,INDEX(xe_input_vu_khi_suy_ra!$B$2:$B$66,MATCH(Xe!$AE$22,xe_input_vu_khi_suy_ra!$A$2:$A$66,0)))*MAX(1,CEILING($B$22/MAX(1,INDEX(xe_input_vu_khi!$C$2:$C$66,MATCH(Xe!$AE$22,xe_input_vu_khi!$A$2:$A$66,0))),1))+MAX(0,$C$22)),IF(INDEX(xe_input_vu_khi!$D$2:$D$66,MATCH(Xe!$AE$22,xe_input_vu_khi!$A$2:$A$66,0))&gt;0,INDEX(xe_input_vu_khi_suy_ra!$C$2:$C$66,MATCH(Xe!$AE$22,xe_input_vu_khi_suy_ra!$A$2:$A$66,0))*INDEX(xe_input_vu_khi!$D$2:$D$66,MATCH(Xe!$AE$22,xe_input_vu_khi!$A$2:$A$66,0))/(MAX(0.05,INDEX(xe_input_vu_khi_suy_ra!$B$2:$B$66,MATCH(Xe!$AE$22,xe_input_vu_khi_suy_ra!$A$2:$A$66,0)))*INDEX(xe_input_vu_khi!$D$2:$D$66,MATCH(Xe!$AE$22,xe_input_vu_khi!$A$2:$A$66,0))+INDEX(xe_input_vu_khi_suy_ra!$D$2:$D$66,MATCH(Xe!$AE$22,xe_input_vu_khi_suy_ra!$A$2:$A$66,0))),INDEX(xe_input_vu_khi_suy_ra!$C$2:$C$66,MATCH(Xe!$AE$22,xe_input_vu_khi_suy_ra!$A$2:$A$66,0))/MAX(0.05,INDEX(xe_input_vu_khi_suy_ra!$B$2:$B$66,MATCH(Xe!$AE$22,xe_input_vu_khi_suy_ra!$A$2:$A$66,0))))))*IF(INDEX(xe_input_vu_khi!$E$2:$E$66,MATCH(Xe!$AE$22,xe_input_vu_khi!$A$2:$A$66,0)),1,$D$22)*Xe!$AD$22</f>
        <v/>
      </c>
      <c r="F22" t="n">
        <v>126.56</v>
      </c>
      <c r="G22">
        <f>IF(INDEX(xe_input_vu_khi!$B$2:$B$66,MATCH(Xe!$AE$22,xe_input_vu_khi!$A$2:$A$66,0))&lt;=0,0,IF($B$22&gt;0,INDEX(xe_input_vu_khi!$B$2:$B$66,MATCH(Xe!$AE$22,xe_input_vu_khi!$A$2:$A$66,0))*$B$22/(MAX(0.05,INDEX(xe_input_vu_khi_suy_ra!$B$2:$B$66,MATCH(Xe!$AE$22,xe_input_vu_khi_suy_ra!$A$2:$A$66,0)))*MAX(1,CEILING($B$22/MAX(1,INDEX(xe_input_vu_khi!$C$2:$C$66,MATCH(Xe!$AE$22,xe_input_vu_khi!$A$2:$A$66,0))),1))+MAX(0,$C$22)),IF(INDEX(xe_input_vu_khi!$D$2:$D$66,MATCH(Xe!$AE$22,xe_input_vu_khi!$A$2:$A$66,0))&gt;0,INDEX(xe_input_vu_khi_suy_ra!$C$2:$C$66,MATCH(Xe!$AE$22,xe_input_vu_khi_suy_ra!$A$2:$A$66,0))*INDEX(xe_input_vu_khi!$D$2:$D$66,MATCH(Xe!$AE$22,xe_input_vu_khi!$A$2:$A$66,0))/(MAX(0.05,INDEX(xe_input_vu_khi_suy_ra!$B$2:$B$66,MATCH(Xe!$AE$22,xe_input_vu_khi_suy_ra!$A$2:$A$66,0)))*INDEX(xe_input_vu_khi!$D$2:$D$66,MATCH(Xe!$AE$22,xe_input_vu_khi!$A$2:$A$66,0))+INDEX(xe_input_vu_khi_suy_ra!$D$2:$D$66,MATCH(Xe!$AE$22,xe_input_vu_khi_suy_ra!$A$2:$A$66,0))),INDEX(xe_input_vu_khi_suy_ra!$C$2:$C$66,MATCH(Xe!$AE$22,xe_input_vu_khi_suy_ra!$A$2:$A$66,0))/MAX(0.05,INDEX(xe_input_vu_khi_suy_ra!$B$2:$B$66,MATCH(Xe!$AE$22,xe_input_vu_khi_suy_ra!$A$2:$A$66,0))))))*Xe!$AD$22</f>
        <v/>
      </c>
      <c r="H22" t="n">
        <v>126.56</v>
      </c>
      <c r="I22">
        <f>IF(AND(Xe!$I$22&gt;0,ISNUMBER(Xe!$K$22)),Xe!$K$22/Xe!$I$22,"")</f>
        <v/>
      </c>
      <c r="J22">
        <f>IF(Xe!$I$22&gt;0,$E$22/Xe!$I$22,"")</f>
        <v/>
      </c>
      <c r="K22">
        <f>IF(AND(Xe!$I$22&gt;0,ISNUMBER(Xe!$K$22)),Xe!$K$22/(Hoi_quy!$B$4*Xe!$I$22^Hoi_quy!$B$5),"")</f>
        <v/>
      </c>
      <c r="L22" t="n">
        <v>1</v>
      </c>
      <c r="M22" t="n">
        <v>1</v>
      </c>
      <c r="N22" t="n">
        <v>0</v>
      </c>
      <c r="O22" t="n">
        <v>2.5</v>
      </c>
      <c r="P22" t="inlineStr">
        <is>
          <t>Assets/MachineBrigade/Resources/Data/balance.json: vehicles[id=elite_long_sam] (lớp B trên 01_chien_dau/Xe)</t>
        </is>
      </c>
      <c r="Q22" t="inlineStr"/>
    </row>
    <row r="23">
      <c r="A23" t="inlineStr">
        <is>
          <t>elite_mbt</t>
        </is>
      </c>
      <c r="B23" t="n">
        <v>0</v>
      </c>
      <c r="C23" t="n">
        <v>0</v>
      </c>
      <c r="D23" t="n">
        <v>1</v>
      </c>
      <c r="E23">
        <f>IF(INDEX(xe_input_vu_khi!$B$2:$B$66,MATCH(Xe!$AE$23,xe_input_vu_khi!$A$2:$A$66,0))&lt;=0,0,IF($B$23&gt;0,INDEX(xe_input_vu_khi!$B$2:$B$66,MATCH(Xe!$AE$23,xe_input_vu_khi!$A$2:$A$66,0))*$B$23/(MAX(0.05,INDEX(xe_input_vu_khi_suy_ra!$B$2:$B$66,MATCH(Xe!$AE$23,xe_input_vu_khi_suy_ra!$A$2:$A$66,0)))*MAX(1,CEILING($B$23/MAX(1,INDEX(xe_input_vu_khi!$C$2:$C$66,MATCH(Xe!$AE$23,xe_input_vu_khi!$A$2:$A$66,0))),1))+MAX(0,$C$23)),IF(INDEX(xe_input_vu_khi!$D$2:$D$66,MATCH(Xe!$AE$23,xe_input_vu_khi!$A$2:$A$66,0))&gt;0,INDEX(xe_input_vu_khi_suy_ra!$C$2:$C$66,MATCH(Xe!$AE$23,xe_input_vu_khi_suy_ra!$A$2:$A$66,0))*INDEX(xe_input_vu_khi!$D$2:$D$66,MATCH(Xe!$AE$23,xe_input_vu_khi!$A$2:$A$66,0))/(MAX(0.05,INDEX(xe_input_vu_khi_suy_ra!$B$2:$B$66,MATCH(Xe!$AE$23,xe_input_vu_khi_suy_ra!$A$2:$A$66,0)))*INDEX(xe_input_vu_khi!$D$2:$D$66,MATCH(Xe!$AE$23,xe_input_vu_khi!$A$2:$A$66,0))+INDEX(xe_input_vu_khi_suy_ra!$D$2:$D$66,MATCH(Xe!$AE$23,xe_input_vu_khi_suy_ra!$A$2:$A$66,0))),INDEX(xe_input_vu_khi_suy_ra!$C$2:$C$66,MATCH(Xe!$AE$23,xe_input_vu_khi_suy_ra!$A$2:$A$66,0))/MAX(0.05,INDEX(xe_input_vu_khi_suy_ra!$B$2:$B$66,MATCH(Xe!$AE$23,xe_input_vu_khi_suy_ra!$A$2:$A$66,0))))))*IF(INDEX(xe_input_vu_khi!$E$2:$E$66,MATCH(Xe!$AE$23,xe_input_vu_khi!$A$2:$A$66,0)),1,$D$23)*Xe!$AD$23</f>
        <v/>
      </c>
      <c r="F23" t="n">
        <v>45.88177096215681</v>
      </c>
      <c r="G23">
        <f>IF(INDEX(xe_input_vu_khi!$B$2:$B$66,MATCH(Xe!$AE$23,xe_input_vu_khi!$A$2:$A$66,0))&lt;=0,0,IF($B$23&gt;0,INDEX(xe_input_vu_khi!$B$2:$B$66,MATCH(Xe!$AE$23,xe_input_vu_khi!$A$2:$A$66,0))*$B$23/(MAX(0.05,INDEX(xe_input_vu_khi_suy_ra!$B$2:$B$66,MATCH(Xe!$AE$23,xe_input_vu_khi_suy_ra!$A$2:$A$66,0)))*MAX(1,CEILING($B$23/MAX(1,INDEX(xe_input_vu_khi!$C$2:$C$66,MATCH(Xe!$AE$23,xe_input_vu_khi!$A$2:$A$66,0))),1))+MAX(0,$C$23)),IF(INDEX(xe_input_vu_khi!$D$2:$D$66,MATCH(Xe!$AE$23,xe_input_vu_khi!$A$2:$A$66,0))&gt;0,INDEX(xe_input_vu_khi_suy_ra!$C$2:$C$66,MATCH(Xe!$AE$23,xe_input_vu_khi_suy_ra!$A$2:$A$66,0))*INDEX(xe_input_vu_khi!$D$2:$D$66,MATCH(Xe!$AE$23,xe_input_vu_khi!$A$2:$A$66,0))/(MAX(0.05,INDEX(xe_input_vu_khi_suy_ra!$B$2:$B$66,MATCH(Xe!$AE$23,xe_input_vu_khi_suy_ra!$A$2:$A$66,0)))*INDEX(xe_input_vu_khi!$D$2:$D$66,MATCH(Xe!$AE$23,xe_input_vu_khi!$A$2:$A$66,0))+INDEX(xe_input_vu_khi_suy_ra!$D$2:$D$66,MATCH(Xe!$AE$23,xe_input_vu_khi_suy_ra!$A$2:$A$66,0))),INDEX(xe_input_vu_khi_suy_ra!$C$2:$C$66,MATCH(Xe!$AE$23,xe_input_vu_khi_suy_ra!$A$2:$A$66,0))/MAX(0.05,INDEX(xe_input_vu_khi_suy_ra!$B$2:$B$66,MATCH(Xe!$AE$23,xe_input_vu_khi_suy_ra!$A$2:$A$66,0))))))*Xe!$AD$23</f>
        <v/>
      </c>
      <c r="H23" t="n">
        <v>45.88177096215681</v>
      </c>
      <c r="I23">
        <f>IF(AND(Xe!$I$23&gt;0,ISNUMBER(Xe!$K$23)),Xe!$K$23/Xe!$I$23,"")</f>
        <v/>
      </c>
      <c r="J23">
        <f>IF(Xe!$I$23&gt;0,$E$23/Xe!$I$23,"")</f>
        <v/>
      </c>
      <c r="K23">
        <f>IF(AND(Xe!$I$23&gt;0,ISNUMBER(Xe!$K$23)),Xe!$K$23/(Hoi_quy!$B$4*Xe!$I$23^Hoi_quy!$B$5),"")</f>
        <v/>
      </c>
      <c r="L23" t="n">
        <v>1</v>
      </c>
      <c r="M23" t="n">
        <v>1</v>
      </c>
      <c r="N23" t="n">
        <v>0</v>
      </c>
      <c r="O23" t="n">
        <v>2.5</v>
      </c>
      <c r="P23" t="inlineStr">
        <is>
          <t>Assets/MachineBrigade/Resources/Data/balance.json: vehicles[id=elite_mbt] (lớp B trên 01_chien_dau/Xe)</t>
        </is>
      </c>
      <c r="Q23" t="inlineStr"/>
    </row>
    <row r="24">
      <c r="A24" t="inlineStr">
        <is>
          <t>elite_mlrs</t>
        </is>
      </c>
      <c r="B24" t="n">
        <v>0</v>
      </c>
      <c r="C24" t="n">
        <v>0</v>
      </c>
      <c r="D24" t="n">
        <v>1</v>
      </c>
      <c r="E24">
        <f>IF(INDEX(xe_input_vu_khi!$B$2:$B$66,MATCH(Xe!$AE$24,xe_input_vu_khi!$A$2:$A$66,0))&lt;=0,0,IF($B$24&gt;0,INDEX(xe_input_vu_khi!$B$2:$B$66,MATCH(Xe!$AE$24,xe_input_vu_khi!$A$2:$A$66,0))*$B$24/(MAX(0.05,INDEX(xe_input_vu_khi_suy_ra!$B$2:$B$66,MATCH(Xe!$AE$24,xe_input_vu_khi_suy_ra!$A$2:$A$66,0)))*MAX(1,CEILING($B$24/MAX(1,INDEX(xe_input_vu_khi!$C$2:$C$66,MATCH(Xe!$AE$24,xe_input_vu_khi!$A$2:$A$66,0))),1))+MAX(0,$C$24)),IF(INDEX(xe_input_vu_khi!$D$2:$D$66,MATCH(Xe!$AE$24,xe_input_vu_khi!$A$2:$A$66,0))&gt;0,INDEX(xe_input_vu_khi_suy_ra!$C$2:$C$66,MATCH(Xe!$AE$24,xe_input_vu_khi_suy_ra!$A$2:$A$66,0))*INDEX(xe_input_vu_khi!$D$2:$D$66,MATCH(Xe!$AE$24,xe_input_vu_khi!$A$2:$A$66,0))/(MAX(0.05,INDEX(xe_input_vu_khi_suy_ra!$B$2:$B$66,MATCH(Xe!$AE$24,xe_input_vu_khi_suy_ra!$A$2:$A$66,0)))*INDEX(xe_input_vu_khi!$D$2:$D$66,MATCH(Xe!$AE$24,xe_input_vu_khi!$A$2:$A$66,0))+INDEX(xe_input_vu_khi_suy_ra!$D$2:$D$66,MATCH(Xe!$AE$24,xe_input_vu_khi_suy_ra!$A$2:$A$66,0))),INDEX(xe_input_vu_khi_suy_ra!$C$2:$C$66,MATCH(Xe!$AE$24,xe_input_vu_khi_suy_ra!$A$2:$A$66,0))/MAX(0.05,INDEX(xe_input_vu_khi_suy_ra!$B$2:$B$66,MATCH(Xe!$AE$24,xe_input_vu_khi_suy_ra!$A$2:$A$66,0))))))*IF(INDEX(xe_input_vu_khi!$E$2:$E$66,MATCH(Xe!$AE$24,xe_input_vu_khi!$A$2:$A$66,0)),1,$D$24)*Xe!$AD$24</f>
        <v/>
      </c>
      <c r="F24" t="n">
        <v>38.69493649116772</v>
      </c>
      <c r="G24">
        <f>IF(INDEX(xe_input_vu_khi!$B$2:$B$66,MATCH(Xe!$AE$24,xe_input_vu_khi!$A$2:$A$66,0))&lt;=0,0,IF($B$24&gt;0,INDEX(xe_input_vu_khi!$B$2:$B$66,MATCH(Xe!$AE$24,xe_input_vu_khi!$A$2:$A$66,0))*$B$24/(MAX(0.05,INDEX(xe_input_vu_khi_suy_ra!$B$2:$B$66,MATCH(Xe!$AE$24,xe_input_vu_khi_suy_ra!$A$2:$A$66,0)))*MAX(1,CEILING($B$24/MAX(1,INDEX(xe_input_vu_khi!$C$2:$C$66,MATCH(Xe!$AE$24,xe_input_vu_khi!$A$2:$A$66,0))),1))+MAX(0,$C$24)),IF(INDEX(xe_input_vu_khi!$D$2:$D$66,MATCH(Xe!$AE$24,xe_input_vu_khi!$A$2:$A$66,0))&gt;0,INDEX(xe_input_vu_khi_suy_ra!$C$2:$C$66,MATCH(Xe!$AE$24,xe_input_vu_khi_suy_ra!$A$2:$A$66,0))*INDEX(xe_input_vu_khi!$D$2:$D$66,MATCH(Xe!$AE$24,xe_input_vu_khi!$A$2:$A$66,0))/(MAX(0.05,INDEX(xe_input_vu_khi_suy_ra!$B$2:$B$66,MATCH(Xe!$AE$24,xe_input_vu_khi_suy_ra!$A$2:$A$66,0)))*INDEX(xe_input_vu_khi!$D$2:$D$66,MATCH(Xe!$AE$24,xe_input_vu_khi!$A$2:$A$66,0))+INDEX(xe_input_vu_khi_suy_ra!$D$2:$D$66,MATCH(Xe!$AE$24,xe_input_vu_khi_suy_ra!$A$2:$A$66,0))),INDEX(xe_input_vu_khi_suy_ra!$C$2:$C$66,MATCH(Xe!$AE$24,xe_input_vu_khi_suy_ra!$A$2:$A$66,0))/MAX(0.05,INDEX(xe_input_vu_khi_suy_ra!$B$2:$B$66,MATCH(Xe!$AE$24,xe_input_vu_khi_suy_ra!$A$2:$A$66,0))))))*Xe!$AD$24</f>
        <v/>
      </c>
      <c r="H24" t="n">
        <v>38.69493649116772</v>
      </c>
      <c r="I24">
        <f>IF(AND(Xe!$I$24&gt;0,ISNUMBER(Xe!$K$24)),Xe!$K$24/Xe!$I$24,"")</f>
        <v/>
      </c>
      <c r="J24">
        <f>IF(Xe!$I$24&gt;0,$E$24/Xe!$I$24,"")</f>
        <v/>
      </c>
      <c r="K24">
        <f>IF(AND(Xe!$I$24&gt;0,ISNUMBER(Xe!$K$24)),Xe!$K$24/(Hoi_quy!$B$4*Xe!$I$24^Hoi_quy!$B$5),"")</f>
        <v/>
      </c>
      <c r="L24" t="n">
        <v>1</v>
      </c>
      <c r="M24" t="n">
        <v>1</v>
      </c>
      <c r="N24" t="n">
        <v>0</v>
      </c>
      <c r="O24" t="n">
        <v>2.5</v>
      </c>
      <c r="P24" t="inlineStr">
        <is>
          <t>Assets/MachineBrigade/Resources/Data/balance.json: vehicles[id=elite_mlrs] (lớp B trên 01_chien_dau/Xe)</t>
        </is>
      </c>
      <c r="Q24" t="inlineStr"/>
    </row>
    <row r="25">
      <c r="A25" t="inlineStr">
        <is>
          <t>elite_tank_destroyer</t>
        </is>
      </c>
      <c r="B25" t="n">
        <v>0</v>
      </c>
      <c r="C25" t="n">
        <v>0</v>
      </c>
      <c r="D25" t="n">
        <v>1</v>
      </c>
      <c r="E25">
        <f>IF(INDEX(xe_input_vu_khi!$B$2:$B$66,MATCH(Xe!$AE$25,xe_input_vu_khi!$A$2:$A$66,0))&lt;=0,0,IF($B$25&gt;0,INDEX(xe_input_vu_khi!$B$2:$B$66,MATCH(Xe!$AE$25,xe_input_vu_khi!$A$2:$A$66,0))*$B$25/(MAX(0.05,INDEX(xe_input_vu_khi_suy_ra!$B$2:$B$66,MATCH(Xe!$AE$25,xe_input_vu_khi_suy_ra!$A$2:$A$66,0)))*MAX(1,CEILING($B$25/MAX(1,INDEX(xe_input_vu_khi!$C$2:$C$66,MATCH(Xe!$AE$25,xe_input_vu_khi!$A$2:$A$66,0))),1))+MAX(0,$C$25)),IF(INDEX(xe_input_vu_khi!$D$2:$D$66,MATCH(Xe!$AE$25,xe_input_vu_khi!$A$2:$A$66,0))&gt;0,INDEX(xe_input_vu_khi_suy_ra!$C$2:$C$66,MATCH(Xe!$AE$25,xe_input_vu_khi_suy_ra!$A$2:$A$66,0))*INDEX(xe_input_vu_khi!$D$2:$D$66,MATCH(Xe!$AE$25,xe_input_vu_khi!$A$2:$A$66,0))/(MAX(0.05,INDEX(xe_input_vu_khi_suy_ra!$B$2:$B$66,MATCH(Xe!$AE$25,xe_input_vu_khi_suy_ra!$A$2:$A$66,0)))*INDEX(xe_input_vu_khi!$D$2:$D$66,MATCH(Xe!$AE$25,xe_input_vu_khi!$A$2:$A$66,0))+INDEX(xe_input_vu_khi_suy_ra!$D$2:$D$66,MATCH(Xe!$AE$25,xe_input_vu_khi_suy_ra!$A$2:$A$66,0))),INDEX(xe_input_vu_khi_suy_ra!$C$2:$C$66,MATCH(Xe!$AE$25,xe_input_vu_khi_suy_ra!$A$2:$A$66,0))/MAX(0.05,INDEX(xe_input_vu_khi_suy_ra!$B$2:$B$66,MATCH(Xe!$AE$25,xe_input_vu_khi_suy_ra!$A$2:$A$66,0))))))*IF(INDEX(xe_input_vu_khi!$E$2:$E$66,MATCH(Xe!$AE$25,xe_input_vu_khi!$A$2:$A$66,0)),1,$D$25)*Xe!$AD$25</f>
        <v/>
      </c>
      <c r="F25" t="n">
        <v>66.45172846140068</v>
      </c>
      <c r="G25">
        <f>IF(INDEX(xe_input_vu_khi!$B$2:$B$66,MATCH(Xe!$AE$25,xe_input_vu_khi!$A$2:$A$66,0))&lt;=0,0,IF($B$25&gt;0,INDEX(xe_input_vu_khi!$B$2:$B$66,MATCH(Xe!$AE$25,xe_input_vu_khi!$A$2:$A$66,0))*$B$25/(MAX(0.05,INDEX(xe_input_vu_khi_suy_ra!$B$2:$B$66,MATCH(Xe!$AE$25,xe_input_vu_khi_suy_ra!$A$2:$A$66,0)))*MAX(1,CEILING($B$25/MAX(1,INDEX(xe_input_vu_khi!$C$2:$C$66,MATCH(Xe!$AE$25,xe_input_vu_khi!$A$2:$A$66,0))),1))+MAX(0,$C$25)),IF(INDEX(xe_input_vu_khi!$D$2:$D$66,MATCH(Xe!$AE$25,xe_input_vu_khi!$A$2:$A$66,0))&gt;0,INDEX(xe_input_vu_khi_suy_ra!$C$2:$C$66,MATCH(Xe!$AE$25,xe_input_vu_khi_suy_ra!$A$2:$A$66,0))*INDEX(xe_input_vu_khi!$D$2:$D$66,MATCH(Xe!$AE$25,xe_input_vu_khi!$A$2:$A$66,0))/(MAX(0.05,INDEX(xe_input_vu_khi_suy_ra!$B$2:$B$66,MATCH(Xe!$AE$25,xe_input_vu_khi_suy_ra!$A$2:$A$66,0)))*INDEX(xe_input_vu_khi!$D$2:$D$66,MATCH(Xe!$AE$25,xe_input_vu_khi!$A$2:$A$66,0))+INDEX(xe_input_vu_khi_suy_ra!$D$2:$D$66,MATCH(Xe!$AE$25,xe_input_vu_khi_suy_ra!$A$2:$A$66,0))),INDEX(xe_input_vu_khi_suy_ra!$C$2:$C$66,MATCH(Xe!$AE$25,xe_input_vu_khi_suy_ra!$A$2:$A$66,0))/MAX(0.05,INDEX(xe_input_vu_khi_suy_ra!$B$2:$B$66,MATCH(Xe!$AE$25,xe_input_vu_khi_suy_ra!$A$2:$A$66,0))))))*Xe!$AD$25</f>
        <v/>
      </c>
      <c r="H25" t="n">
        <v>66.45172846140068</v>
      </c>
      <c r="I25">
        <f>IF(AND(Xe!$I$25&gt;0,ISNUMBER(Xe!$K$25)),Xe!$K$25/Xe!$I$25,"")</f>
        <v/>
      </c>
      <c r="J25">
        <f>IF(Xe!$I$25&gt;0,$E$25/Xe!$I$25,"")</f>
        <v/>
      </c>
      <c r="K25">
        <f>IF(AND(Xe!$I$25&gt;0,ISNUMBER(Xe!$K$25)),Xe!$K$25/(Hoi_quy!$B$4*Xe!$I$25^Hoi_quy!$B$5),"")</f>
        <v/>
      </c>
      <c r="L25" t="n">
        <v>1</v>
      </c>
      <c r="M25" t="n">
        <v>1</v>
      </c>
      <c r="N25" t="n">
        <v>0</v>
      </c>
      <c r="O25" t="n">
        <v>2.5</v>
      </c>
      <c r="P25" t="inlineStr">
        <is>
          <t>Assets/MachineBrigade/Resources/Data/balance.json: vehicles[id=elite_tank_destroyer] (lớp B trên 01_chien_dau/Xe)</t>
        </is>
      </c>
      <c r="Q25" t="inlineStr"/>
    </row>
    <row r="26">
      <c r="A26" t="inlineStr">
        <is>
          <t>engineer_vehicle</t>
        </is>
      </c>
      <c r="B26" t="n">
        <v>0</v>
      </c>
      <c r="C26" t="n">
        <v>0</v>
      </c>
      <c r="D26" t="n">
        <v>1</v>
      </c>
      <c r="E26">
        <f>IF(INDEX(xe_input_vu_khi!$B$2:$B$66,MATCH(Xe!$AE$26,xe_input_vu_khi!$A$2:$A$66,0))&lt;=0,0,IF($B$26&gt;0,INDEX(xe_input_vu_khi!$B$2:$B$66,MATCH(Xe!$AE$26,xe_input_vu_khi!$A$2:$A$66,0))*$B$26/(MAX(0.05,INDEX(xe_input_vu_khi_suy_ra!$B$2:$B$66,MATCH(Xe!$AE$26,xe_input_vu_khi_suy_ra!$A$2:$A$66,0)))*MAX(1,CEILING($B$26/MAX(1,INDEX(xe_input_vu_khi!$C$2:$C$66,MATCH(Xe!$AE$26,xe_input_vu_khi!$A$2:$A$66,0))),1))+MAX(0,$C$26)),IF(INDEX(xe_input_vu_khi!$D$2:$D$66,MATCH(Xe!$AE$26,xe_input_vu_khi!$A$2:$A$66,0))&gt;0,INDEX(xe_input_vu_khi_suy_ra!$C$2:$C$66,MATCH(Xe!$AE$26,xe_input_vu_khi_suy_ra!$A$2:$A$66,0))*INDEX(xe_input_vu_khi!$D$2:$D$66,MATCH(Xe!$AE$26,xe_input_vu_khi!$A$2:$A$66,0))/(MAX(0.05,INDEX(xe_input_vu_khi_suy_ra!$B$2:$B$66,MATCH(Xe!$AE$26,xe_input_vu_khi_suy_ra!$A$2:$A$66,0)))*INDEX(xe_input_vu_khi!$D$2:$D$66,MATCH(Xe!$AE$26,xe_input_vu_khi!$A$2:$A$66,0))+INDEX(xe_input_vu_khi_suy_ra!$D$2:$D$66,MATCH(Xe!$AE$26,xe_input_vu_khi_suy_ra!$A$2:$A$66,0))),INDEX(xe_input_vu_khi_suy_ra!$C$2:$C$66,MATCH(Xe!$AE$26,xe_input_vu_khi_suy_ra!$A$2:$A$66,0))/MAX(0.05,INDEX(xe_input_vu_khi_suy_ra!$B$2:$B$66,MATCH(Xe!$AE$26,xe_input_vu_khi_suy_ra!$A$2:$A$66,0))))))*IF(INDEX(xe_input_vu_khi!$E$2:$E$66,MATCH(Xe!$AE$26,xe_input_vu_khi!$A$2:$A$66,0)),1,$D$26)*Xe!$AD$26</f>
        <v/>
      </c>
      <c r="F26" t="n">
        <v>58.96958410924891</v>
      </c>
      <c r="G26">
        <f>IF(INDEX(xe_input_vu_khi!$B$2:$B$66,MATCH(Xe!$AE$26,xe_input_vu_khi!$A$2:$A$66,0))&lt;=0,0,IF($B$26&gt;0,INDEX(xe_input_vu_khi!$B$2:$B$66,MATCH(Xe!$AE$26,xe_input_vu_khi!$A$2:$A$66,0))*$B$26/(MAX(0.05,INDEX(xe_input_vu_khi_suy_ra!$B$2:$B$66,MATCH(Xe!$AE$26,xe_input_vu_khi_suy_ra!$A$2:$A$66,0)))*MAX(1,CEILING($B$26/MAX(1,INDEX(xe_input_vu_khi!$C$2:$C$66,MATCH(Xe!$AE$26,xe_input_vu_khi!$A$2:$A$66,0))),1))+MAX(0,$C$26)),IF(INDEX(xe_input_vu_khi!$D$2:$D$66,MATCH(Xe!$AE$26,xe_input_vu_khi!$A$2:$A$66,0))&gt;0,INDEX(xe_input_vu_khi_suy_ra!$C$2:$C$66,MATCH(Xe!$AE$26,xe_input_vu_khi_suy_ra!$A$2:$A$66,0))*INDEX(xe_input_vu_khi!$D$2:$D$66,MATCH(Xe!$AE$26,xe_input_vu_khi!$A$2:$A$66,0))/(MAX(0.05,INDEX(xe_input_vu_khi_suy_ra!$B$2:$B$66,MATCH(Xe!$AE$26,xe_input_vu_khi_suy_ra!$A$2:$A$66,0)))*INDEX(xe_input_vu_khi!$D$2:$D$66,MATCH(Xe!$AE$26,xe_input_vu_khi!$A$2:$A$66,0))+INDEX(xe_input_vu_khi_suy_ra!$D$2:$D$66,MATCH(Xe!$AE$26,xe_input_vu_khi_suy_ra!$A$2:$A$66,0))),INDEX(xe_input_vu_khi_suy_ra!$C$2:$C$66,MATCH(Xe!$AE$26,xe_input_vu_khi_suy_ra!$A$2:$A$66,0))/MAX(0.05,INDEX(xe_input_vu_khi_suy_ra!$B$2:$B$66,MATCH(Xe!$AE$26,xe_input_vu_khi_suy_ra!$A$2:$A$66,0))))))*Xe!$AD$26</f>
        <v/>
      </c>
      <c r="H26" t="n">
        <v>58.96958410924891</v>
      </c>
      <c r="I26">
        <f>IF(AND(Xe!$I$26&gt;0,ISNUMBER(Xe!$K$26)),Xe!$K$26/Xe!$I$26,"")</f>
        <v/>
      </c>
      <c r="J26">
        <f>IF(Xe!$I$26&gt;0,$E$26/Xe!$I$26,"")</f>
        <v/>
      </c>
      <c r="K26">
        <f>IF(AND(Xe!$I$26&gt;0,ISNUMBER(Xe!$K$26)),Xe!$K$26/(Hoi_quy!$B$4*Xe!$I$26^Hoi_quy!$B$5),"")</f>
        <v/>
      </c>
      <c r="L26" t="n">
        <v>1</v>
      </c>
      <c r="M26" t="n">
        <v>1</v>
      </c>
      <c r="N26" t="n">
        <v>0</v>
      </c>
      <c r="O26" t="n">
        <v>2.5</v>
      </c>
      <c r="P26" t="inlineStr">
        <is>
          <t>Assets/MachineBrigade/Resources/Data/balance.json: vehicles[id=engineer_vehicle] (lớp B trên 01_chien_dau/Xe)</t>
        </is>
      </c>
      <c r="Q26" t="inlineStr"/>
    </row>
    <row r="27">
      <c r="A27" t="inlineStr">
        <is>
          <t>ew_jammer</t>
        </is>
      </c>
      <c r="B27" t="n">
        <v>0</v>
      </c>
      <c r="C27" t="n">
        <v>0</v>
      </c>
      <c r="D27" t="n">
        <v>1</v>
      </c>
      <c r="E27">
        <f>IF(INDEX(xe_input_vu_khi!$B$2:$B$66,MATCH(Xe!$AE$27,xe_input_vu_khi!$A$2:$A$66,0))&lt;=0,0,IF($B$27&gt;0,INDEX(xe_input_vu_khi!$B$2:$B$66,MATCH(Xe!$AE$27,xe_input_vu_khi!$A$2:$A$66,0))*$B$27/(MAX(0.05,INDEX(xe_input_vu_khi_suy_ra!$B$2:$B$66,MATCH(Xe!$AE$27,xe_input_vu_khi_suy_ra!$A$2:$A$66,0)))*MAX(1,CEILING($B$27/MAX(1,INDEX(xe_input_vu_khi!$C$2:$C$66,MATCH(Xe!$AE$27,xe_input_vu_khi!$A$2:$A$66,0))),1))+MAX(0,$C$27)),IF(INDEX(xe_input_vu_khi!$D$2:$D$66,MATCH(Xe!$AE$27,xe_input_vu_khi!$A$2:$A$66,0))&gt;0,INDEX(xe_input_vu_khi_suy_ra!$C$2:$C$66,MATCH(Xe!$AE$27,xe_input_vu_khi_suy_ra!$A$2:$A$66,0))*INDEX(xe_input_vu_khi!$D$2:$D$66,MATCH(Xe!$AE$27,xe_input_vu_khi!$A$2:$A$66,0))/(MAX(0.05,INDEX(xe_input_vu_khi_suy_ra!$B$2:$B$66,MATCH(Xe!$AE$27,xe_input_vu_khi_suy_ra!$A$2:$A$66,0)))*INDEX(xe_input_vu_khi!$D$2:$D$66,MATCH(Xe!$AE$27,xe_input_vu_khi!$A$2:$A$66,0))+INDEX(xe_input_vu_khi_suy_ra!$D$2:$D$66,MATCH(Xe!$AE$27,xe_input_vu_khi_suy_ra!$A$2:$A$66,0))),INDEX(xe_input_vu_khi_suy_ra!$C$2:$C$66,MATCH(Xe!$AE$27,xe_input_vu_khi_suy_ra!$A$2:$A$66,0))/MAX(0.05,INDEX(xe_input_vu_khi_suy_ra!$B$2:$B$66,MATCH(Xe!$AE$27,xe_input_vu_khi_suy_ra!$A$2:$A$66,0))))))*IF(INDEX(xe_input_vu_khi!$E$2:$E$66,MATCH(Xe!$AE$27,xe_input_vu_khi!$A$2:$A$66,0)),1,$D$27)*Xe!$AD$27</f>
        <v/>
      </c>
      <c r="F27" t="n">
        <v>70.76350093109869</v>
      </c>
      <c r="G27">
        <f>IF(INDEX(xe_input_vu_khi!$B$2:$B$66,MATCH(Xe!$AE$27,xe_input_vu_khi!$A$2:$A$66,0))&lt;=0,0,IF($B$27&gt;0,INDEX(xe_input_vu_khi!$B$2:$B$66,MATCH(Xe!$AE$27,xe_input_vu_khi!$A$2:$A$66,0))*$B$27/(MAX(0.05,INDEX(xe_input_vu_khi_suy_ra!$B$2:$B$66,MATCH(Xe!$AE$27,xe_input_vu_khi_suy_ra!$A$2:$A$66,0)))*MAX(1,CEILING($B$27/MAX(1,INDEX(xe_input_vu_khi!$C$2:$C$66,MATCH(Xe!$AE$27,xe_input_vu_khi!$A$2:$A$66,0))),1))+MAX(0,$C$27)),IF(INDEX(xe_input_vu_khi!$D$2:$D$66,MATCH(Xe!$AE$27,xe_input_vu_khi!$A$2:$A$66,0))&gt;0,INDEX(xe_input_vu_khi_suy_ra!$C$2:$C$66,MATCH(Xe!$AE$27,xe_input_vu_khi_suy_ra!$A$2:$A$66,0))*INDEX(xe_input_vu_khi!$D$2:$D$66,MATCH(Xe!$AE$27,xe_input_vu_khi!$A$2:$A$66,0))/(MAX(0.05,INDEX(xe_input_vu_khi_suy_ra!$B$2:$B$66,MATCH(Xe!$AE$27,xe_input_vu_khi_suy_ra!$A$2:$A$66,0)))*INDEX(xe_input_vu_khi!$D$2:$D$66,MATCH(Xe!$AE$27,xe_input_vu_khi!$A$2:$A$66,0))+INDEX(xe_input_vu_khi_suy_ra!$D$2:$D$66,MATCH(Xe!$AE$27,xe_input_vu_khi_suy_ra!$A$2:$A$66,0))),INDEX(xe_input_vu_khi_suy_ra!$C$2:$C$66,MATCH(Xe!$AE$27,xe_input_vu_khi_suy_ra!$A$2:$A$66,0))/MAX(0.05,INDEX(xe_input_vu_khi_suy_ra!$B$2:$B$66,MATCH(Xe!$AE$27,xe_input_vu_khi_suy_ra!$A$2:$A$66,0))))))*Xe!$AD$27</f>
        <v/>
      </c>
      <c r="H27" t="n">
        <v>70.76350093109869</v>
      </c>
      <c r="I27">
        <f>IF(AND(Xe!$I$27&gt;0,ISNUMBER(Xe!$K$27)),Xe!$K$27/Xe!$I$27,"")</f>
        <v/>
      </c>
      <c r="J27">
        <f>IF(Xe!$I$27&gt;0,$E$27/Xe!$I$27,"")</f>
        <v/>
      </c>
      <c r="K27">
        <f>IF(AND(Xe!$I$27&gt;0,ISNUMBER(Xe!$K$27)),Xe!$K$27/(Hoi_quy!$B$4*Xe!$I$27^Hoi_quy!$B$5),"")</f>
        <v/>
      </c>
      <c r="L27" t="n">
        <v>2</v>
      </c>
      <c r="M27" t="n">
        <v>1.15</v>
      </c>
      <c r="N27" t="n">
        <v>0</v>
      </c>
      <c r="O27" t="n">
        <v>3.5</v>
      </c>
      <c r="P27" t="inlineStr">
        <is>
          <t>Assets/MachineBrigade/Resources/Data/balance.json: vehicles[id=ew_jammer] (lớp B trên 01_chien_dau/Xe)</t>
        </is>
      </c>
      <c r="Q27" t="inlineStr"/>
    </row>
    <row r="28">
      <c r="A28" t="inlineStr">
        <is>
          <t>fighter_jet</t>
        </is>
      </c>
      <c r="B28" t="n">
        <v>4</v>
      </c>
      <c r="C28" t="n">
        <v>11</v>
      </c>
      <c r="D28" t="n">
        <v>1</v>
      </c>
      <c r="E28">
        <f>IF(INDEX(xe_input_vu_khi!$B$2:$B$66,MATCH(Xe!$AE$28,xe_input_vu_khi!$A$2:$A$66,0))&lt;=0,0,IF($B$28&gt;0,INDEX(xe_input_vu_khi!$B$2:$B$66,MATCH(Xe!$AE$28,xe_input_vu_khi!$A$2:$A$66,0))*$B$28/(MAX(0.05,INDEX(xe_input_vu_khi_suy_ra!$B$2:$B$66,MATCH(Xe!$AE$28,xe_input_vu_khi_suy_ra!$A$2:$A$66,0)))*MAX(1,CEILING($B$28/MAX(1,INDEX(xe_input_vu_khi!$C$2:$C$66,MATCH(Xe!$AE$28,xe_input_vu_khi!$A$2:$A$66,0))),1))+MAX(0,$C$28)),IF(INDEX(xe_input_vu_khi!$D$2:$D$66,MATCH(Xe!$AE$28,xe_input_vu_khi!$A$2:$A$66,0))&gt;0,INDEX(xe_input_vu_khi_suy_ra!$C$2:$C$66,MATCH(Xe!$AE$28,xe_input_vu_khi_suy_ra!$A$2:$A$66,0))*INDEX(xe_input_vu_khi!$D$2:$D$66,MATCH(Xe!$AE$28,xe_input_vu_khi!$A$2:$A$66,0))/(MAX(0.05,INDEX(xe_input_vu_khi_suy_ra!$B$2:$B$66,MATCH(Xe!$AE$28,xe_input_vu_khi_suy_ra!$A$2:$A$66,0)))*INDEX(xe_input_vu_khi!$D$2:$D$66,MATCH(Xe!$AE$28,xe_input_vu_khi!$A$2:$A$66,0))+INDEX(xe_input_vu_khi_suy_ra!$D$2:$D$66,MATCH(Xe!$AE$28,xe_input_vu_khi_suy_ra!$A$2:$A$66,0))),INDEX(xe_input_vu_khi_suy_ra!$C$2:$C$66,MATCH(Xe!$AE$28,xe_input_vu_khi_suy_ra!$A$2:$A$66,0))/MAX(0.05,INDEX(xe_input_vu_khi_suy_ra!$B$2:$B$66,MATCH(Xe!$AE$28,xe_input_vu_khi_suy_ra!$A$2:$A$66,0))))))*IF(INDEX(xe_input_vu_khi!$E$2:$E$66,MATCH(Xe!$AE$28,xe_input_vu_khi!$A$2:$A$66,0)),1,$D$28)*Xe!$AD$28</f>
        <v/>
      </c>
      <c r="F28" t="n">
        <v>59.29727002967359</v>
      </c>
      <c r="G28">
        <f>IF(INDEX(xe_input_vu_khi!$B$2:$B$66,MATCH(Xe!$AE$28,xe_input_vu_khi!$A$2:$A$66,0))&lt;=0,0,IF($B$28&gt;0,INDEX(xe_input_vu_khi!$B$2:$B$66,MATCH(Xe!$AE$28,xe_input_vu_khi!$A$2:$A$66,0))*$B$28/(MAX(0.05,INDEX(xe_input_vu_khi_suy_ra!$B$2:$B$66,MATCH(Xe!$AE$28,xe_input_vu_khi_suy_ra!$A$2:$A$66,0)))*MAX(1,CEILING($B$28/MAX(1,INDEX(xe_input_vu_khi!$C$2:$C$66,MATCH(Xe!$AE$28,xe_input_vu_khi!$A$2:$A$66,0))),1))+MAX(0,$C$28)),IF(INDEX(xe_input_vu_khi!$D$2:$D$66,MATCH(Xe!$AE$28,xe_input_vu_khi!$A$2:$A$66,0))&gt;0,INDEX(xe_input_vu_khi_suy_ra!$C$2:$C$66,MATCH(Xe!$AE$28,xe_input_vu_khi_suy_ra!$A$2:$A$66,0))*INDEX(xe_input_vu_khi!$D$2:$D$66,MATCH(Xe!$AE$28,xe_input_vu_khi!$A$2:$A$66,0))/(MAX(0.05,INDEX(xe_input_vu_khi_suy_ra!$B$2:$B$66,MATCH(Xe!$AE$28,xe_input_vu_khi_suy_ra!$A$2:$A$66,0)))*INDEX(xe_input_vu_khi!$D$2:$D$66,MATCH(Xe!$AE$28,xe_input_vu_khi!$A$2:$A$66,0))+INDEX(xe_input_vu_khi_suy_ra!$D$2:$D$66,MATCH(Xe!$AE$28,xe_input_vu_khi_suy_ra!$A$2:$A$66,0))),INDEX(xe_input_vu_khi_suy_ra!$C$2:$C$66,MATCH(Xe!$AE$28,xe_input_vu_khi_suy_ra!$A$2:$A$66,0))/MAX(0.05,INDEX(xe_input_vu_khi_suy_ra!$B$2:$B$66,MATCH(Xe!$AE$28,xe_input_vu_khi_suy_ra!$A$2:$A$66,0))))))*Xe!$AD$28</f>
        <v/>
      </c>
      <c r="H28" t="n">
        <v>59.29727002967359</v>
      </c>
      <c r="I28">
        <f>IF(AND(Xe!$I$28&gt;0,ISNUMBER(Xe!$K$28)),Xe!$K$28/Xe!$I$28,"")</f>
        <v/>
      </c>
      <c r="J28">
        <f>IF(Xe!$I$28&gt;0,$E$28/Xe!$I$28,"")</f>
        <v/>
      </c>
      <c r="K28">
        <f>IF(AND(Xe!$I$28&gt;0,ISNUMBER(Xe!$K$28)),Xe!$K$28/(Hoi_quy!$B$4*Xe!$I$28^Hoi_quy!$B$5),"")</f>
        <v/>
      </c>
      <c r="L28" t="n">
        <v>4</v>
      </c>
      <c r="M28" t="n">
        <v>1.3</v>
      </c>
      <c r="N28" t="n">
        <v>0.08749999999999999</v>
      </c>
      <c r="O28" t="n">
        <v>5</v>
      </c>
      <c r="P28" t="inlineStr">
        <is>
          <t>Assets/MachineBrigade/Resources/Data/balance.json: vehicles[id=fighter_jet] (lớp B trên 01_chien_dau/Xe)</t>
        </is>
      </c>
      <c r="Q28" t="inlineStr"/>
    </row>
    <row r="29">
      <c r="A29" t="inlineStr">
        <is>
          <t>flame_tank</t>
        </is>
      </c>
      <c r="B29" t="n">
        <v>0</v>
      </c>
      <c r="C29" t="n">
        <v>0</v>
      </c>
      <c r="D29" t="n">
        <v>1</v>
      </c>
      <c r="E29">
        <f>IF(INDEX(xe_input_vu_khi!$B$2:$B$66,MATCH(Xe!$AE$29,xe_input_vu_khi!$A$2:$A$66,0))&lt;=0,0,IF($B$29&gt;0,INDEX(xe_input_vu_khi!$B$2:$B$66,MATCH(Xe!$AE$29,xe_input_vu_khi!$A$2:$A$66,0))*$B$29/(MAX(0.05,INDEX(xe_input_vu_khi_suy_ra!$B$2:$B$66,MATCH(Xe!$AE$29,xe_input_vu_khi_suy_ra!$A$2:$A$66,0)))*MAX(1,CEILING($B$29/MAX(1,INDEX(xe_input_vu_khi!$C$2:$C$66,MATCH(Xe!$AE$29,xe_input_vu_khi!$A$2:$A$66,0))),1))+MAX(0,$C$29)),IF(INDEX(xe_input_vu_khi!$D$2:$D$66,MATCH(Xe!$AE$29,xe_input_vu_khi!$A$2:$A$66,0))&gt;0,INDEX(xe_input_vu_khi_suy_ra!$C$2:$C$66,MATCH(Xe!$AE$29,xe_input_vu_khi_suy_ra!$A$2:$A$66,0))*INDEX(xe_input_vu_khi!$D$2:$D$66,MATCH(Xe!$AE$29,xe_input_vu_khi!$A$2:$A$66,0))/(MAX(0.05,INDEX(xe_input_vu_khi_suy_ra!$B$2:$B$66,MATCH(Xe!$AE$29,xe_input_vu_khi_suy_ra!$A$2:$A$66,0)))*INDEX(xe_input_vu_khi!$D$2:$D$66,MATCH(Xe!$AE$29,xe_input_vu_khi!$A$2:$A$66,0))+INDEX(xe_input_vu_khi_suy_ra!$D$2:$D$66,MATCH(Xe!$AE$29,xe_input_vu_khi_suy_ra!$A$2:$A$66,0))),INDEX(xe_input_vu_khi_suy_ra!$C$2:$C$66,MATCH(Xe!$AE$29,xe_input_vu_khi_suy_ra!$A$2:$A$66,0))/MAX(0.05,INDEX(xe_input_vu_khi_suy_ra!$B$2:$B$66,MATCH(Xe!$AE$29,xe_input_vu_khi_suy_ra!$A$2:$A$66,0))))))*IF(INDEX(xe_input_vu_khi!$E$2:$E$66,MATCH(Xe!$AE$29,xe_input_vu_khi!$A$2:$A$66,0)),1,$D$29)*Xe!$AD$29</f>
        <v/>
      </c>
      <c r="F29" t="n">
        <v>100.8</v>
      </c>
      <c r="G29">
        <f>IF(INDEX(xe_input_vu_khi!$B$2:$B$66,MATCH(Xe!$AE$29,xe_input_vu_khi!$A$2:$A$66,0))&lt;=0,0,IF($B$29&gt;0,INDEX(xe_input_vu_khi!$B$2:$B$66,MATCH(Xe!$AE$29,xe_input_vu_khi!$A$2:$A$66,0))*$B$29/(MAX(0.05,INDEX(xe_input_vu_khi_suy_ra!$B$2:$B$66,MATCH(Xe!$AE$29,xe_input_vu_khi_suy_ra!$A$2:$A$66,0)))*MAX(1,CEILING($B$29/MAX(1,INDEX(xe_input_vu_khi!$C$2:$C$66,MATCH(Xe!$AE$29,xe_input_vu_khi!$A$2:$A$66,0))),1))+MAX(0,$C$29)),IF(INDEX(xe_input_vu_khi!$D$2:$D$66,MATCH(Xe!$AE$29,xe_input_vu_khi!$A$2:$A$66,0))&gt;0,INDEX(xe_input_vu_khi_suy_ra!$C$2:$C$66,MATCH(Xe!$AE$29,xe_input_vu_khi_suy_ra!$A$2:$A$66,0))*INDEX(xe_input_vu_khi!$D$2:$D$66,MATCH(Xe!$AE$29,xe_input_vu_khi!$A$2:$A$66,0))/(MAX(0.05,INDEX(xe_input_vu_khi_suy_ra!$B$2:$B$66,MATCH(Xe!$AE$29,xe_input_vu_khi_suy_ra!$A$2:$A$66,0)))*INDEX(xe_input_vu_khi!$D$2:$D$66,MATCH(Xe!$AE$29,xe_input_vu_khi!$A$2:$A$66,0))+INDEX(xe_input_vu_khi_suy_ra!$D$2:$D$66,MATCH(Xe!$AE$29,xe_input_vu_khi_suy_ra!$A$2:$A$66,0))),INDEX(xe_input_vu_khi_suy_ra!$C$2:$C$66,MATCH(Xe!$AE$29,xe_input_vu_khi_suy_ra!$A$2:$A$66,0))/MAX(0.05,INDEX(xe_input_vu_khi_suy_ra!$B$2:$B$66,MATCH(Xe!$AE$29,xe_input_vu_khi_suy_ra!$A$2:$A$66,0))))))*Xe!$AD$29</f>
        <v/>
      </c>
      <c r="H29" t="n">
        <v>100.8</v>
      </c>
      <c r="I29">
        <f>IF(AND(Xe!$I$29&gt;0,ISNUMBER(Xe!$K$29)),Xe!$K$29/Xe!$I$29,"")</f>
        <v/>
      </c>
      <c r="J29">
        <f>IF(Xe!$I$29&gt;0,$E$29/Xe!$I$29,"")</f>
        <v/>
      </c>
      <c r="K29">
        <f>IF(AND(Xe!$I$29&gt;0,ISNUMBER(Xe!$K$29)),Xe!$K$29/(Hoi_quy!$B$4*Xe!$I$29^Hoi_quy!$B$5),"")</f>
        <v/>
      </c>
      <c r="L29" t="n">
        <v>2</v>
      </c>
      <c r="M29" t="n">
        <v>1.15</v>
      </c>
      <c r="N29" t="n">
        <v>0</v>
      </c>
      <c r="O29" t="n">
        <v>3.5</v>
      </c>
      <c r="P29" t="inlineStr">
        <is>
          <t>Assets/MachineBrigade/Resources/Data/balance.json: vehicles[id=flame_tank] (lớp B trên 01_chien_dau/Xe)</t>
        </is>
      </c>
      <c r="Q29" t="inlineStr"/>
    </row>
    <row r="30">
      <c r="A30" t="inlineStr">
        <is>
          <t>fpv_carrier</t>
        </is>
      </c>
      <c r="B30" t="n">
        <v>0</v>
      </c>
      <c r="C30" t="n">
        <v>0</v>
      </c>
      <c r="D30" t="n">
        <v>1</v>
      </c>
      <c r="E30">
        <f>IF(INDEX(xe_input_vu_khi!$B$2:$B$66,MATCH(Xe!$AE$30,xe_input_vu_khi!$A$2:$A$66,0))&lt;=0,0,IF($B$30&gt;0,INDEX(xe_input_vu_khi!$B$2:$B$66,MATCH(Xe!$AE$30,xe_input_vu_khi!$A$2:$A$66,0))*$B$30/(MAX(0.05,INDEX(xe_input_vu_khi_suy_ra!$B$2:$B$66,MATCH(Xe!$AE$30,xe_input_vu_khi_suy_ra!$A$2:$A$66,0)))*MAX(1,CEILING($B$30/MAX(1,INDEX(xe_input_vu_khi!$C$2:$C$66,MATCH(Xe!$AE$30,xe_input_vu_khi!$A$2:$A$66,0))),1))+MAX(0,$C$30)),IF(INDEX(xe_input_vu_khi!$D$2:$D$66,MATCH(Xe!$AE$30,xe_input_vu_khi!$A$2:$A$66,0))&gt;0,INDEX(xe_input_vu_khi_suy_ra!$C$2:$C$66,MATCH(Xe!$AE$30,xe_input_vu_khi_suy_ra!$A$2:$A$66,0))*INDEX(xe_input_vu_khi!$D$2:$D$66,MATCH(Xe!$AE$30,xe_input_vu_khi!$A$2:$A$66,0))/(MAX(0.05,INDEX(xe_input_vu_khi_suy_ra!$B$2:$B$66,MATCH(Xe!$AE$30,xe_input_vu_khi_suy_ra!$A$2:$A$66,0)))*INDEX(xe_input_vu_khi!$D$2:$D$66,MATCH(Xe!$AE$30,xe_input_vu_khi!$A$2:$A$66,0))+INDEX(xe_input_vu_khi_suy_ra!$D$2:$D$66,MATCH(Xe!$AE$30,xe_input_vu_khi_suy_ra!$A$2:$A$66,0))),INDEX(xe_input_vu_khi_suy_ra!$C$2:$C$66,MATCH(Xe!$AE$30,xe_input_vu_khi_suy_ra!$A$2:$A$66,0))/MAX(0.05,INDEX(xe_input_vu_khi_suy_ra!$B$2:$B$66,MATCH(Xe!$AE$30,xe_input_vu_khi_suy_ra!$A$2:$A$66,0))))))*IF(INDEX(xe_input_vu_khi!$E$2:$E$66,MATCH(Xe!$AE$30,xe_input_vu_khi!$A$2:$A$66,0)),1,$D$30)*Xe!$AD$30</f>
        <v/>
      </c>
      <c r="F30" t="n">
        <v>48.57635687732342</v>
      </c>
      <c r="G30">
        <f>IF(INDEX(xe_input_vu_khi!$B$2:$B$66,MATCH(Xe!$AE$30,xe_input_vu_khi!$A$2:$A$66,0))&lt;=0,0,IF($B$30&gt;0,INDEX(xe_input_vu_khi!$B$2:$B$66,MATCH(Xe!$AE$30,xe_input_vu_khi!$A$2:$A$66,0))*$B$30/(MAX(0.05,INDEX(xe_input_vu_khi_suy_ra!$B$2:$B$66,MATCH(Xe!$AE$30,xe_input_vu_khi_suy_ra!$A$2:$A$66,0)))*MAX(1,CEILING($B$30/MAX(1,INDEX(xe_input_vu_khi!$C$2:$C$66,MATCH(Xe!$AE$30,xe_input_vu_khi!$A$2:$A$66,0))),1))+MAX(0,$C$30)),IF(INDEX(xe_input_vu_khi!$D$2:$D$66,MATCH(Xe!$AE$30,xe_input_vu_khi!$A$2:$A$66,0))&gt;0,INDEX(xe_input_vu_khi_suy_ra!$C$2:$C$66,MATCH(Xe!$AE$30,xe_input_vu_khi_suy_ra!$A$2:$A$66,0))*INDEX(xe_input_vu_khi!$D$2:$D$66,MATCH(Xe!$AE$30,xe_input_vu_khi!$A$2:$A$66,0))/(MAX(0.05,INDEX(xe_input_vu_khi_suy_ra!$B$2:$B$66,MATCH(Xe!$AE$30,xe_input_vu_khi_suy_ra!$A$2:$A$66,0)))*INDEX(xe_input_vu_khi!$D$2:$D$66,MATCH(Xe!$AE$30,xe_input_vu_khi!$A$2:$A$66,0))+INDEX(xe_input_vu_khi_suy_ra!$D$2:$D$66,MATCH(Xe!$AE$30,xe_input_vu_khi_suy_ra!$A$2:$A$66,0))),INDEX(xe_input_vu_khi_suy_ra!$C$2:$C$66,MATCH(Xe!$AE$30,xe_input_vu_khi_suy_ra!$A$2:$A$66,0))/MAX(0.05,INDEX(xe_input_vu_khi_suy_ra!$B$2:$B$66,MATCH(Xe!$AE$30,xe_input_vu_khi_suy_ra!$A$2:$A$66,0))))))*Xe!$AD$30</f>
        <v/>
      </c>
      <c r="H30" t="n">
        <v>48.57635687732342</v>
      </c>
      <c r="I30">
        <f>IF(AND(Xe!$I$30&gt;0,ISNUMBER(Xe!$K$30)),Xe!$K$30/Xe!$I$30,"")</f>
        <v/>
      </c>
      <c r="J30">
        <f>IF(Xe!$I$30&gt;0,$E$30/Xe!$I$30,"")</f>
        <v/>
      </c>
      <c r="K30">
        <f>IF(AND(Xe!$I$30&gt;0,ISNUMBER(Xe!$K$30)),Xe!$K$30/(Hoi_quy!$B$4*Xe!$I$30^Hoi_quy!$B$5),"")</f>
        <v/>
      </c>
      <c r="L30" t="n">
        <v>2</v>
      </c>
      <c r="M30" t="n">
        <v>1.15</v>
      </c>
      <c r="N30" t="n">
        <v>0</v>
      </c>
      <c r="O30" t="n">
        <v>3.5</v>
      </c>
      <c r="P30" t="inlineStr">
        <is>
          <t>Assets/MachineBrigade/Resources/Data/balance.json: vehicles[id=fpv_carrier] (lớp B trên 01_chien_dau/Xe)</t>
        </is>
      </c>
      <c r="Q30" t="inlineStr"/>
    </row>
    <row r="31">
      <c r="A31" t="inlineStr">
        <is>
          <t>gps_jammer_vehicle</t>
        </is>
      </c>
      <c r="B31" t="n">
        <v>0</v>
      </c>
      <c r="C31" t="n">
        <v>0</v>
      </c>
      <c r="D31" t="n">
        <v>1</v>
      </c>
      <c r="E31">
        <f>IF(INDEX(xe_input_vu_khi!$B$2:$B$66,MATCH(Xe!$AE$31,xe_input_vu_khi!$A$2:$A$66,0))&lt;=0,0,IF($B$31&gt;0,INDEX(xe_input_vu_khi!$B$2:$B$66,MATCH(Xe!$AE$31,xe_input_vu_khi!$A$2:$A$66,0))*$B$31/(MAX(0.05,INDEX(xe_input_vu_khi_suy_ra!$B$2:$B$66,MATCH(Xe!$AE$31,xe_input_vu_khi_suy_ra!$A$2:$A$66,0)))*MAX(1,CEILING($B$31/MAX(1,INDEX(xe_input_vu_khi!$C$2:$C$66,MATCH(Xe!$AE$31,xe_input_vu_khi!$A$2:$A$66,0))),1))+MAX(0,$C$31)),IF(INDEX(xe_input_vu_khi!$D$2:$D$66,MATCH(Xe!$AE$31,xe_input_vu_khi!$A$2:$A$66,0))&gt;0,INDEX(xe_input_vu_khi_suy_ra!$C$2:$C$66,MATCH(Xe!$AE$31,xe_input_vu_khi_suy_ra!$A$2:$A$66,0))*INDEX(xe_input_vu_khi!$D$2:$D$66,MATCH(Xe!$AE$31,xe_input_vu_khi!$A$2:$A$66,0))/(MAX(0.05,INDEX(xe_input_vu_khi_suy_ra!$B$2:$B$66,MATCH(Xe!$AE$31,xe_input_vu_khi_suy_ra!$A$2:$A$66,0)))*INDEX(xe_input_vu_khi!$D$2:$D$66,MATCH(Xe!$AE$31,xe_input_vu_khi!$A$2:$A$66,0))+INDEX(xe_input_vu_khi_suy_ra!$D$2:$D$66,MATCH(Xe!$AE$31,xe_input_vu_khi_suy_ra!$A$2:$A$66,0))),INDEX(xe_input_vu_khi_suy_ra!$C$2:$C$66,MATCH(Xe!$AE$31,xe_input_vu_khi_suy_ra!$A$2:$A$66,0))/MAX(0.05,INDEX(xe_input_vu_khi_suy_ra!$B$2:$B$66,MATCH(Xe!$AE$31,xe_input_vu_khi_suy_ra!$A$2:$A$66,0))))))*IF(INDEX(xe_input_vu_khi!$E$2:$E$66,MATCH(Xe!$AE$31,xe_input_vu_khi!$A$2:$A$66,0)),1,$D$31)*Xe!$AD$31</f>
        <v/>
      </c>
      <c r="F31" t="n">
        <v>70.76350093109869</v>
      </c>
      <c r="G31">
        <f>IF(INDEX(xe_input_vu_khi!$B$2:$B$66,MATCH(Xe!$AE$31,xe_input_vu_khi!$A$2:$A$66,0))&lt;=0,0,IF($B$31&gt;0,INDEX(xe_input_vu_khi!$B$2:$B$66,MATCH(Xe!$AE$31,xe_input_vu_khi!$A$2:$A$66,0))*$B$31/(MAX(0.05,INDEX(xe_input_vu_khi_suy_ra!$B$2:$B$66,MATCH(Xe!$AE$31,xe_input_vu_khi_suy_ra!$A$2:$A$66,0)))*MAX(1,CEILING($B$31/MAX(1,INDEX(xe_input_vu_khi!$C$2:$C$66,MATCH(Xe!$AE$31,xe_input_vu_khi!$A$2:$A$66,0))),1))+MAX(0,$C$31)),IF(INDEX(xe_input_vu_khi!$D$2:$D$66,MATCH(Xe!$AE$31,xe_input_vu_khi!$A$2:$A$66,0))&gt;0,INDEX(xe_input_vu_khi_suy_ra!$C$2:$C$66,MATCH(Xe!$AE$31,xe_input_vu_khi_suy_ra!$A$2:$A$66,0))*INDEX(xe_input_vu_khi!$D$2:$D$66,MATCH(Xe!$AE$31,xe_input_vu_khi!$A$2:$A$66,0))/(MAX(0.05,INDEX(xe_input_vu_khi_suy_ra!$B$2:$B$66,MATCH(Xe!$AE$31,xe_input_vu_khi_suy_ra!$A$2:$A$66,0)))*INDEX(xe_input_vu_khi!$D$2:$D$66,MATCH(Xe!$AE$31,xe_input_vu_khi!$A$2:$A$66,0))+INDEX(xe_input_vu_khi_suy_ra!$D$2:$D$66,MATCH(Xe!$AE$31,xe_input_vu_khi_suy_ra!$A$2:$A$66,0))),INDEX(xe_input_vu_khi_suy_ra!$C$2:$C$66,MATCH(Xe!$AE$31,xe_input_vu_khi_suy_ra!$A$2:$A$66,0))/MAX(0.05,INDEX(xe_input_vu_khi_suy_ra!$B$2:$B$66,MATCH(Xe!$AE$31,xe_input_vu_khi_suy_ra!$A$2:$A$66,0))))))*Xe!$AD$31</f>
        <v/>
      </c>
      <c r="H31" t="n">
        <v>70.76350093109869</v>
      </c>
      <c r="I31">
        <f>IF(AND(Xe!$I$31&gt;0,ISNUMBER(Xe!$K$31)),Xe!$K$31/Xe!$I$31,"")</f>
        <v/>
      </c>
      <c r="J31">
        <f>IF(Xe!$I$31&gt;0,$E$31/Xe!$I$31,"")</f>
        <v/>
      </c>
      <c r="K31">
        <f>IF(AND(Xe!$I$31&gt;0,ISNUMBER(Xe!$K$31)),Xe!$K$31/(Hoi_quy!$B$4*Xe!$I$31^Hoi_quy!$B$5),"")</f>
        <v/>
      </c>
      <c r="L31" t="n">
        <v>2</v>
      </c>
      <c r="M31" t="n">
        <v>1.15</v>
      </c>
      <c r="N31" t="n">
        <v>0</v>
      </c>
      <c r="O31" t="n">
        <v>3.5</v>
      </c>
      <c r="P31" t="inlineStr">
        <is>
          <t>Assets/MachineBrigade/Resources/Data/balance.json: vehicles[id=gps_jammer_vehicle] (lớp B trên 01_chien_dau/Xe)</t>
        </is>
      </c>
      <c r="Q31" t="inlineStr"/>
    </row>
    <row r="32">
      <c r="A32" t="inlineStr">
        <is>
          <t>ground_cruise_missile_vehicle</t>
        </is>
      </c>
      <c r="B32" t="n">
        <v>0</v>
      </c>
      <c r="C32" t="n">
        <v>0</v>
      </c>
      <c r="D32" t="n">
        <v>1</v>
      </c>
      <c r="E32">
        <f>IF(INDEX(xe_input_vu_khi!$B$2:$B$66,MATCH(Xe!$AE$32,xe_input_vu_khi!$A$2:$A$66,0))&lt;=0,0,IF($B$32&gt;0,INDEX(xe_input_vu_khi!$B$2:$B$66,MATCH(Xe!$AE$32,xe_input_vu_khi!$A$2:$A$66,0))*$B$32/(MAX(0.05,INDEX(xe_input_vu_khi_suy_ra!$B$2:$B$66,MATCH(Xe!$AE$32,xe_input_vu_khi_suy_ra!$A$2:$A$66,0)))*MAX(1,CEILING($B$32/MAX(1,INDEX(xe_input_vu_khi!$C$2:$C$66,MATCH(Xe!$AE$32,xe_input_vu_khi!$A$2:$A$66,0))),1))+MAX(0,$C$32)),IF(INDEX(xe_input_vu_khi!$D$2:$D$66,MATCH(Xe!$AE$32,xe_input_vu_khi!$A$2:$A$66,0))&gt;0,INDEX(xe_input_vu_khi_suy_ra!$C$2:$C$66,MATCH(Xe!$AE$32,xe_input_vu_khi_suy_ra!$A$2:$A$66,0))*INDEX(xe_input_vu_khi!$D$2:$D$66,MATCH(Xe!$AE$32,xe_input_vu_khi!$A$2:$A$66,0))/(MAX(0.05,INDEX(xe_input_vu_khi_suy_ra!$B$2:$B$66,MATCH(Xe!$AE$32,xe_input_vu_khi_suy_ra!$A$2:$A$66,0)))*INDEX(xe_input_vu_khi!$D$2:$D$66,MATCH(Xe!$AE$32,xe_input_vu_khi!$A$2:$A$66,0))+INDEX(xe_input_vu_khi_suy_ra!$D$2:$D$66,MATCH(Xe!$AE$32,xe_input_vu_khi_suy_ra!$A$2:$A$66,0))),INDEX(xe_input_vu_khi_suy_ra!$C$2:$C$66,MATCH(Xe!$AE$32,xe_input_vu_khi_suy_ra!$A$2:$A$66,0))/MAX(0.05,INDEX(xe_input_vu_khi_suy_ra!$B$2:$B$66,MATCH(Xe!$AE$32,xe_input_vu_khi_suy_ra!$A$2:$A$66,0))))))*IF(INDEX(xe_input_vu_khi!$E$2:$E$66,MATCH(Xe!$AE$32,xe_input_vu_khi!$A$2:$A$66,0)),1,$D$32)*Xe!$AD$32</f>
        <v/>
      </c>
      <c r="F32" t="n">
        <v>25</v>
      </c>
      <c r="G32">
        <f>IF(INDEX(xe_input_vu_khi!$B$2:$B$66,MATCH(Xe!$AE$32,xe_input_vu_khi!$A$2:$A$66,0))&lt;=0,0,IF($B$32&gt;0,INDEX(xe_input_vu_khi!$B$2:$B$66,MATCH(Xe!$AE$32,xe_input_vu_khi!$A$2:$A$66,0))*$B$32/(MAX(0.05,INDEX(xe_input_vu_khi_suy_ra!$B$2:$B$66,MATCH(Xe!$AE$32,xe_input_vu_khi_suy_ra!$A$2:$A$66,0)))*MAX(1,CEILING($B$32/MAX(1,INDEX(xe_input_vu_khi!$C$2:$C$66,MATCH(Xe!$AE$32,xe_input_vu_khi!$A$2:$A$66,0))),1))+MAX(0,$C$32)),IF(INDEX(xe_input_vu_khi!$D$2:$D$66,MATCH(Xe!$AE$32,xe_input_vu_khi!$A$2:$A$66,0))&gt;0,INDEX(xe_input_vu_khi_suy_ra!$C$2:$C$66,MATCH(Xe!$AE$32,xe_input_vu_khi_suy_ra!$A$2:$A$66,0))*INDEX(xe_input_vu_khi!$D$2:$D$66,MATCH(Xe!$AE$32,xe_input_vu_khi!$A$2:$A$66,0))/(MAX(0.05,INDEX(xe_input_vu_khi_suy_ra!$B$2:$B$66,MATCH(Xe!$AE$32,xe_input_vu_khi_suy_ra!$A$2:$A$66,0)))*INDEX(xe_input_vu_khi!$D$2:$D$66,MATCH(Xe!$AE$32,xe_input_vu_khi!$A$2:$A$66,0))+INDEX(xe_input_vu_khi_suy_ra!$D$2:$D$66,MATCH(Xe!$AE$32,xe_input_vu_khi_suy_ra!$A$2:$A$66,0))),INDEX(xe_input_vu_khi_suy_ra!$C$2:$C$66,MATCH(Xe!$AE$32,xe_input_vu_khi_suy_ra!$A$2:$A$66,0))/MAX(0.05,INDEX(xe_input_vu_khi_suy_ra!$B$2:$B$66,MATCH(Xe!$AE$32,xe_input_vu_khi_suy_ra!$A$2:$A$66,0))))))*Xe!$AD$32</f>
        <v/>
      </c>
      <c r="H32" t="n">
        <v>25</v>
      </c>
      <c r="I32">
        <f>IF(AND(Xe!$I$32&gt;0,ISNUMBER(Xe!$K$32)),Xe!$K$32/Xe!$I$32,"")</f>
        <v/>
      </c>
      <c r="J32">
        <f>IF(Xe!$I$32&gt;0,$E$32/Xe!$I$32,"")</f>
        <v/>
      </c>
      <c r="K32">
        <f>IF(AND(Xe!$I$32&gt;0,ISNUMBER(Xe!$K$32)),Xe!$K$32/(Hoi_quy!$B$4*Xe!$I$32^Hoi_quy!$B$5),"")</f>
        <v/>
      </c>
      <c r="L32" t="n">
        <v>4</v>
      </c>
      <c r="M32" t="n">
        <v>1.3</v>
      </c>
      <c r="N32" t="n">
        <v>0.08749999999999999</v>
      </c>
      <c r="O32" t="n">
        <v>5</v>
      </c>
      <c r="P32" t="inlineStr">
        <is>
          <t>Assets/MachineBrigade/Resources/Data/balance.json: vehicles[id=ground_cruise_missile_vehicle] (lớp B trên 01_chien_dau/Xe)</t>
        </is>
      </c>
      <c r="Q32" t="inlineStr"/>
    </row>
    <row r="33">
      <c r="A33" t="inlineStr">
        <is>
          <t>heavy_aa</t>
        </is>
      </c>
      <c r="B33" t="n">
        <v>0</v>
      </c>
      <c r="C33" t="n">
        <v>0</v>
      </c>
      <c r="D33" t="n">
        <v>1</v>
      </c>
      <c r="E33">
        <f>IF(INDEX(xe_input_vu_khi!$B$2:$B$66,MATCH(Xe!$AE$33,xe_input_vu_khi!$A$2:$A$66,0))&lt;=0,0,IF($B$33&gt;0,INDEX(xe_input_vu_khi!$B$2:$B$66,MATCH(Xe!$AE$33,xe_input_vu_khi!$A$2:$A$66,0))*$B$33/(MAX(0.05,INDEX(xe_input_vu_khi_suy_ra!$B$2:$B$66,MATCH(Xe!$AE$33,xe_input_vu_khi_suy_ra!$A$2:$A$66,0)))*MAX(1,CEILING($B$33/MAX(1,INDEX(xe_input_vu_khi!$C$2:$C$66,MATCH(Xe!$AE$33,xe_input_vu_khi!$A$2:$A$66,0))),1))+MAX(0,$C$33)),IF(INDEX(xe_input_vu_khi!$D$2:$D$66,MATCH(Xe!$AE$33,xe_input_vu_khi!$A$2:$A$66,0))&gt;0,INDEX(xe_input_vu_khi_suy_ra!$C$2:$C$66,MATCH(Xe!$AE$33,xe_input_vu_khi_suy_ra!$A$2:$A$66,0))*INDEX(xe_input_vu_khi!$D$2:$D$66,MATCH(Xe!$AE$33,xe_input_vu_khi!$A$2:$A$66,0))/(MAX(0.05,INDEX(xe_input_vu_khi_suy_ra!$B$2:$B$66,MATCH(Xe!$AE$33,xe_input_vu_khi_suy_ra!$A$2:$A$66,0)))*INDEX(xe_input_vu_khi!$D$2:$D$66,MATCH(Xe!$AE$33,xe_input_vu_khi!$A$2:$A$66,0))+INDEX(xe_input_vu_khi_suy_ra!$D$2:$D$66,MATCH(Xe!$AE$33,xe_input_vu_khi_suy_ra!$A$2:$A$66,0))),INDEX(xe_input_vu_khi_suy_ra!$C$2:$C$66,MATCH(Xe!$AE$33,xe_input_vu_khi_suy_ra!$A$2:$A$66,0))/MAX(0.05,INDEX(xe_input_vu_khi_suy_ra!$B$2:$B$66,MATCH(Xe!$AE$33,xe_input_vu_khi_suy_ra!$A$2:$A$66,0))))))*IF(INDEX(xe_input_vu_khi!$E$2:$E$66,MATCH(Xe!$AE$33,xe_input_vu_khi!$A$2:$A$66,0)),1,$D$33)*Xe!$AD$33</f>
        <v/>
      </c>
      <c r="F33" t="n">
        <v>195.9257142857143</v>
      </c>
      <c r="G33">
        <f>IF(INDEX(xe_input_vu_khi!$B$2:$B$66,MATCH(Xe!$AE$33,xe_input_vu_khi!$A$2:$A$66,0))&lt;=0,0,IF($B$33&gt;0,INDEX(xe_input_vu_khi!$B$2:$B$66,MATCH(Xe!$AE$33,xe_input_vu_khi!$A$2:$A$66,0))*$B$33/(MAX(0.05,INDEX(xe_input_vu_khi_suy_ra!$B$2:$B$66,MATCH(Xe!$AE$33,xe_input_vu_khi_suy_ra!$A$2:$A$66,0)))*MAX(1,CEILING($B$33/MAX(1,INDEX(xe_input_vu_khi!$C$2:$C$66,MATCH(Xe!$AE$33,xe_input_vu_khi!$A$2:$A$66,0))),1))+MAX(0,$C$33)),IF(INDEX(xe_input_vu_khi!$D$2:$D$66,MATCH(Xe!$AE$33,xe_input_vu_khi!$A$2:$A$66,0))&gt;0,INDEX(xe_input_vu_khi_suy_ra!$C$2:$C$66,MATCH(Xe!$AE$33,xe_input_vu_khi_suy_ra!$A$2:$A$66,0))*INDEX(xe_input_vu_khi!$D$2:$D$66,MATCH(Xe!$AE$33,xe_input_vu_khi!$A$2:$A$66,0))/(MAX(0.05,INDEX(xe_input_vu_khi_suy_ra!$B$2:$B$66,MATCH(Xe!$AE$33,xe_input_vu_khi_suy_ra!$A$2:$A$66,0)))*INDEX(xe_input_vu_khi!$D$2:$D$66,MATCH(Xe!$AE$33,xe_input_vu_khi!$A$2:$A$66,0))+INDEX(xe_input_vu_khi_suy_ra!$D$2:$D$66,MATCH(Xe!$AE$33,xe_input_vu_khi_suy_ra!$A$2:$A$66,0))),INDEX(xe_input_vu_khi_suy_ra!$C$2:$C$66,MATCH(Xe!$AE$33,xe_input_vu_khi_suy_ra!$A$2:$A$66,0))/MAX(0.05,INDEX(xe_input_vu_khi_suy_ra!$B$2:$B$66,MATCH(Xe!$AE$33,xe_input_vu_khi_suy_ra!$A$2:$A$66,0))))))*Xe!$AD$33</f>
        <v/>
      </c>
      <c r="H33" t="n">
        <v>195.9257142857143</v>
      </c>
      <c r="I33">
        <f>IF(AND(Xe!$I$33&gt;0,ISNUMBER(Xe!$K$33)),Xe!$K$33/Xe!$I$33,"")</f>
        <v/>
      </c>
      <c r="J33">
        <f>IF(Xe!$I$33&gt;0,$E$33/Xe!$I$33,"")</f>
        <v/>
      </c>
      <c r="K33">
        <f>IF(AND(Xe!$I$33&gt;0,ISNUMBER(Xe!$K$33)),Xe!$K$33/(Hoi_quy!$B$4*Xe!$I$33^Hoi_quy!$B$5),"")</f>
        <v/>
      </c>
      <c r="L33" t="n">
        <v>2</v>
      </c>
      <c r="M33" t="n">
        <v>1.15</v>
      </c>
      <c r="N33" t="n">
        <v>0</v>
      </c>
      <c r="O33" t="n">
        <v>3.5</v>
      </c>
      <c r="P33" t="inlineStr">
        <is>
          <t>Assets/MachineBrigade/Resources/Data/balance.json: vehicles[id=heavy_aa] (lớp B trên 01_chien_dau/Xe)</t>
        </is>
      </c>
      <c r="Q33" t="inlineStr"/>
    </row>
    <row r="34">
      <c r="A34" t="inlineStr">
        <is>
          <t>heavy_bomber</t>
        </is>
      </c>
      <c r="B34" t="n">
        <v>7</v>
      </c>
      <c r="C34" t="n">
        <v>16</v>
      </c>
      <c r="D34" t="n">
        <v>1</v>
      </c>
      <c r="E34">
        <f>IF(INDEX(xe_input_vu_khi!$B$2:$B$66,MATCH(Xe!$AE$34,xe_input_vu_khi!$A$2:$A$66,0))&lt;=0,0,IF($B$34&gt;0,INDEX(xe_input_vu_khi!$B$2:$B$66,MATCH(Xe!$AE$34,xe_input_vu_khi!$A$2:$A$66,0))*$B$34/(MAX(0.05,INDEX(xe_input_vu_khi_suy_ra!$B$2:$B$66,MATCH(Xe!$AE$34,xe_input_vu_khi_suy_ra!$A$2:$A$66,0)))*MAX(1,CEILING($B$34/MAX(1,INDEX(xe_input_vu_khi!$C$2:$C$66,MATCH(Xe!$AE$34,xe_input_vu_khi!$A$2:$A$66,0))),1))+MAX(0,$C$34)),IF(INDEX(xe_input_vu_khi!$D$2:$D$66,MATCH(Xe!$AE$34,xe_input_vu_khi!$A$2:$A$66,0))&gt;0,INDEX(xe_input_vu_khi_suy_ra!$C$2:$C$66,MATCH(Xe!$AE$34,xe_input_vu_khi_suy_ra!$A$2:$A$66,0))*INDEX(xe_input_vu_khi!$D$2:$D$66,MATCH(Xe!$AE$34,xe_input_vu_khi!$A$2:$A$66,0))/(MAX(0.05,INDEX(xe_input_vu_khi_suy_ra!$B$2:$B$66,MATCH(Xe!$AE$34,xe_input_vu_khi_suy_ra!$A$2:$A$66,0)))*INDEX(xe_input_vu_khi!$D$2:$D$66,MATCH(Xe!$AE$34,xe_input_vu_khi!$A$2:$A$66,0))+INDEX(xe_input_vu_khi_suy_ra!$D$2:$D$66,MATCH(Xe!$AE$34,xe_input_vu_khi_suy_ra!$A$2:$A$66,0))),INDEX(xe_input_vu_khi_suy_ra!$C$2:$C$66,MATCH(Xe!$AE$34,xe_input_vu_khi_suy_ra!$A$2:$A$66,0))/MAX(0.05,INDEX(xe_input_vu_khi_suy_ra!$B$2:$B$66,MATCH(Xe!$AE$34,xe_input_vu_khi_suy_ra!$A$2:$A$66,0))))))*IF(INDEX(xe_input_vu_khi!$E$2:$E$66,MATCH(Xe!$AE$34,xe_input_vu_khi!$A$2:$A$66,0)),1,$D$34)*Xe!$AD$34</f>
        <v/>
      </c>
      <c r="F34" t="n">
        <v>136.4615492957747</v>
      </c>
      <c r="G34">
        <f>IF(INDEX(xe_input_vu_khi!$B$2:$B$66,MATCH(Xe!$AE$34,xe_input_vu_khi!$A$2:$A$66,0))&lt;=0,0,IF($B$34&gt;0,INDEX(xe_input_vu_khi!$B$2:$B$66,MATCH(Xe!$AE$34,xe_input_vu_khi!$A$2:$A$66,0))*$B$34/(MAX(0.05,INDEX(xe_input_vu_khi_suy_ra!$B$2:$B$66,MATCH(Xe!$AE$34,xe_input_vu_khi_suy_ra!$A$2:$A$66,0)))*MAX(1,CEILING($B$34/MAX(1,INDEX(xe_input_vu_khi!$C$2:$C$66,MATCH(Xe!$AE$34,xe_input_vu_khi!$A$2:$A$66,0))),1))+MAX(0,$C$34)),IF(INDEX(xe_input_vu_khi!$D$2:$D$66,MATCH(Xe!$AE$34,xe_input_vu_khi!$A$2:$A$66,0))&gt;0,INDEX(xe_input_vu_khi_suy_ra!$C$2:$C$66,MATCH(Xe!$AE$34,xe_input_vu_khi_suy_ra!$A$2:$A$66,0))*INDEX(xe_input_vu_khi!$D$2:$D$66,MATCH(Xe!$AE$34,xe_input_vu_khi!$A$2:$A$66,0))/(MAX(0.05,INDEX(xe_input_vu_khi_suy_ra!$B$2:$B$66,MATCH(Xe!$AE$34,xe_input_vu_khi_suy_ra!$A$2:$A$66,0)))*INDEX(xe_input_vu_khi!$D$2:$D$66,MATCH(Xe!$AE$34,xe_input_vu_khi!$A$2:$A$66,0))+INDEX(xe_input_vu_khi_suy_ra!$D$2:$D$66,MATCH(Xe!$AE$34,xe_input_vu_khi_suy_ra!$A$2:$A$66,0))),INDEX(xe_input_vu_khi_suy_ra!$C$2:$C$66,MATCH(Xe!$AE$34,xe_input_vu_khi_suy_ra!$A$2:$A$66,0))/MAX(0.05,INDEX(xe_input_vu_khi_suy_ra!$B$2:$B$66,MATCH(Xe!$AE$34,xe_input_vu_khi_suy_ra!$A$2:$A$66,0))))))*Xe!$AD$34</f>
        <v/>
      </c>
      <c r="H34" t="n">
        <v>136.4615492957747</v>
      </c>
      <c r="I34">
        <f>IF(AND(Xe!$I$34&gt;0,ISNUMBER(Xe!$K$34)),Xe!$K$34/Xe!$I$34,"")</f>
        <v/>
      </c>
      <c r="J34">
        <f>IF(Xe!$I$34&gt;0,$E$34/Xe!$I$34,"")</f>
        <v/>
      </c>
      <c r="K34">
        <f>IF(AND(Xe!$I$34&gt;0,ISNUMBER(Xe!$K$34)),Xe!$K$34/(Hoi_quy!$B$4*Xe!$I$34^Hoi_quy!$B$5),"")</f>
        <v/>
      </c>
      <c r="L34" t="n">
        <v>4</v>
      </c>
      <c r="M34" t="n">
        <v>1.3</v>
      </c>
      <c r="N34" t="n">
        <v>0</v>
      </c>
      <c r="O34" t="n">
        <v>5</v>
      </c>
      <c r="P34" t="inlineStr">
        <is>
          <t>Assets/MachineBrigade/Resources/Data/balance.json: vehicles[id=heavy_bomber] (lớp B trên 01_chien_dau/Xe)</t>
        </is>
      </c>
      <c r="Q34" t="inlineStr"/>
    </row>
    <row r="35">
      <c r="A35" t="inlineStr">
        <is>
          <t>heavy_rocket_artillery</t>
        </is>
      </c>
      <c r="B35" t="n">
        <v>0</v>
      </c>
      <c r="C35" t="n">
        <v>0</v>
      </c>
      <c r="D35" t="n">
        <v>1</v>
      </c>
      <c r="E35">
        <f>IF(INDEX(xe_input_vu_khi!$B$2:$B$66,MATCH(Xe!$AE$35,xe_input_vu_khi!$A$2:$A$66,0))&lt;=0,0,IF($B$35&gt;0,INDEX(xe_input_vu_khi!$B$2:$B$66,MATCH(Xe!$AE$35,xe_input_vu_khi!$A$2:$A$66,0))*$B$35/(MAX(0.05,INDEX(xe_input_vu_khi_suy_ra!$B$2:$B$66,MATCH(Xe!$AE$35,xe_input_vu_khi_suy_ra!$A$2:$A$66,0)))*MAX(1,CEILING($B$35/MAX(1,INDEX(xe_input_vu_khi!$C$2:$C$66,MATCH(Xe!$AE$35,xe_input_vu_khi!$A$2:$A$66,0))),1))+MAX(0,$C$35)),IF(INDEX(xe_input_vu_khi!$D$2:$D$66,MATCH(Xe!$AE$35,xe_input_vu_khi!$A$2:$A$66,0))&gt;0,INDEX(xe_input_vu_khi_suy_ra!$C$2:$C$66,MATCH(Xe!$AE$35,xe_input_vu_khi_suy_ra!$A$2:$A$66,0))*INDEX(xe_input_vu_khi!$D$2:$D$66,MATCH(Xe!$AE$35,xe_input_vu_khi!$A$2:$A$66,0))/(MAX(0.05,INDEX(xe_input_vu_khi_suy_ra!$B$2:$B$66,MATCH(Xe!$AE$35,xe_input_vu_khi_suy_ra!$A$2:$A$66,0)))*INDEX(xe_input_vu_khi!$D$2:$D$66,MATCH(Xe!$AE$35,xe_input_vu_khi!$A$2:$A$66,0))+INDEX(xe_input_vu_khi_suy_ra!$D$2:$D$66,MATCH(Xe!$AE$35,xe_input_vu_khi_suy_ra!$A$2:$A$66,0))),INDEX(xe_input_vu_khi_suy_ra!$C$2:$C$66,MATCH(Xe!$AE$35,xe_input_vu_khi_suy_ra!$A$2:$A$66,0))/MAX(0.05,INDEX(xe_input_vu_khi_suy_ra!$B$2:$B$66,MATCH(Xe!$AE$35,xe_input_vu_khi_suy_ra!$A$2:$A$66,0))))))*IF(INDEX(xe_input_vu_khi!$E$2:$E$66,MATCH(Xe!$AE$35,xe_input_vu_khi!$A$2:$A$66,0)),1,$D$35)*Xe!$AD$35</f>
        <v/>
      </c>
      <c r="F35" t="n">
        <v>81.16552678716822</v>
      </c>
      <c r="G35">
        <f>IF(INDEX(xe_input_vu_khi!$B$2:$B$66,MATCH(Xe!$AE$35,xe_input_vu_khi!$A$2:$A$66,0))&lt;=0,0,IF($B$35&gt;0,INDEX(xe_input_vu_khi!$B$2:$B$66,MATCH(Xe!$AE$35,xe_input_vu_khi!$A$2:$A$66,0))*$B$35/(MAX(0.05,INDEX(xe_input_vu_khi_suy_ra!$B$2:$B$66,MATCH(Xe!$AE$35,xe_input_vu_khi_suy_ra!$A$2:$A$66,0)))*MAX(1,CEILING($B$35/MAX(1,INDEX(xe_input_vu_khi!$C$2:$C$66,MATCH(Xe!$AE$35,xe_input_vu_khi!$A$2:$A$66,0))),1))+MAX(0,$C$35)),IF(INDEX(xe_input_vu_khi!$D$2:$D$66,MATCH(Xe!$AE$35,xe_input_vu_khi!$A$2:$A$66,0))&gt;0,INDEX(xe_input_vu_khi_suy_ra!$C$2:$C$66,MATCH(Xe!$AE$35,xe_input_vu_khi_suy_ra!$A$2:$A$66,0))*INDEX(xe_input_vu_khi!$D$2:$D$66,MATCH(Xe!$AE$35,xe_input_vu_khi!$A$2:$A$66,0))/(MAX(0.05,INDEX(xe_input_vu_khi_suy_ra!$B$2:$B$66,MATCH(Xe!$AE$35,xe_input_vu_khi_suy_ra!$A$2:$A$66,0)))*INDEX(xe_input_vu_khi!$D$2:$D$66,MATCH(Xe!$AE$35,xe_input_vu_khi!$A$2:$A$66,0))+INDEX(xe_input_vu_khi_suy_ra!$D$2:$D$66,MATCH(Xe!$AE$35,xe_input_vu_khi_suy_ra!$A$2:$A$66,0))),INDEX(xe_input_vu_khi_suy_ra!$C$2:$C$66,MATCH(Xe!$AE$35,xe_input_vu_khi_suy_ra!$A$2:$A$66,0))/MAX(0.05,INDEX(xe_input_vu_khi_suy_ra!$B$2:$B$66,MATCH(Xe!$AE$35,xe_input_vu_khi_suy_ra!$A$2:$A$66,0))))))*Xe!$AD$35</f>
        <v/>
      </c>
      <c r="H35" t="n">
        <v>81.16552678716822</v>
      </c>
      <c r="I35">
        <f>IF(AND(Xe!$I$35&gt;0,ISNUMBER(Xe!$K$35)),Xe!$K$35/Xe!$I$35,"")</f>
        <v/>
      </c>
      <c r="J35">
        <f>IF(Xe!$I$35&gt;0,$E$35/Xe!$I$35,"")</f>
        <v/>
      </c>
      <c r="K35">
        <f>IF(AND(Xe!$I$35&gt;0,ISNUMBER(Xe!$K$35)),Xe!$K$35/(Hoi_quy!$B$4*Xe!$I$35^Hoi_quy!$B$5),"")</f>
        <v/>
      </c>
      <c r="L35" t="n">
        <v>4</v>
      </c>
      <c r="M35" t="n">
        <v>1.3</v>
      </c>
      <c r="N35" t="n">
        <v>0</v>
      </c>
      <c r="O35" t="n">
        <v>5</v>
      </c>
      <c r="P35" t="inlineStr">
        <is>
          <t>Assets/MachineBrigade/Resources/Data/balance.json: vehicles[id=heavy_rocket_artillery] (lớp B trên 01_chien_dau/Xe)</t>
        </is>
      </c>
      <c r="Q35" t="inlineStr"/>
    </row>
    <row r="36">
      <c r="A36" t="inlineStr">
        <is>
          <t>heavy_tank</t>
        </is>
      </c>
      <c r="B36" t="n">
        <v>0</v>
      </c>
      <c r="C36" t="n">
        <v>0</v>
      </c>
      <c r="D36" t="n">
        <v>1</v>
      </c>
      <c r="E36">
        <f>IF(INDEX(xe_input_vu_khi!$B$2:$B$66,MATCH(Xe!$AE$36,xe_input_vu_khi!$A$2:$A$66,0))&lt;=0,0,IF($B$36&gt;0,INDEX(xe_input_vu_khi!$B$2:$B$66,MATCH(Xe!$AE$36,xe_input_vu_khi!$A$2:$A$66,0))*$B$36/(MAX(0.05,INDEX(xe_input_vu_khi_suy_ra!$B$2:$B$66,MATCH(Xe!$AE$36,xe_input_vu_khi_suy_ra!$A$2:$A$66,0)))*MAX(1,CEILING($B$36/MAX(1,INDEX(xe_input_vu_khi!$C$2:$C$66,MATCH(Xe!$AE$36,xe_input_vu_khi!$A$2:$A$66,0))),1))+MAX(0,$C$36)),IF(INDEX(xe_input_vu_khi!$D$2:$D$66,MATCH(Xe!$AE$36,xe_input_vu_khi!$A$2:$A$66,0))&gt;0,INDEX(xe_input_vu_khi_suy_ra!$C$2:$C$66,MATCH(Xe!$AE$36,xe_input_vu_khi_suy_ra!$A$2:$A$66,0))*INDEX(xe_input_vu_khi!$D$2:$D$66,MATCH(Xe!$AE$36,xe_input_vu_khi!$A$2:$A$66,0))/(MAX(0.05,INDEX(xe_input_vu_khi_suy_ra!$B$2:$B$66,MATCH(Xe!$AE$36,xe_input_vu_khi_suy_ra!$A$2:$A$66,0)))*INDEX(xe_input_vu_khi!$D$2:$D$66,MATCH(Xe!$AE$36,xe_input_vu_khi!$A$2:$A$66,0))+INDEX(xe_input_vu_khi_suy_ra!$D$2:$D$66,MATCH(Xe!$AE$36,xe_input_vu_khi_suy_ra!$A$2:$A$66,0))),INDEX(xe_input_vu_khi_suy_ra!$C$2:$C$66,MATCH(Xe!$AE$36,xe_input_vu_khi_suy_ra!$A$2:$A$66,0))/MAX(0.05,INDEX(xe_input_vu_khi_suy_ra!$B$2:$B$66,MATCH(Xe!$AE$36,xe_input_vu_khi_suy_ra!$A$2:$A$66,0))))))*IF(INDEX(xe_input_vu_khi!$E$2:$E$66,MATCH(Xe!$AE$36,xe_input_vu_khi!$A$2:$A$66,0)),1,$D$36)*Xe!$AD$36</f>
        <v/>
      </c>
      <c r="F36" t="n">
        <v>75.79157172608109</v>
      </c>
      <c r="G36">
        <f>IF(INDEX(xe_input_vu_khi!$B$2:$B$66,MATCH(Xe!$AE$36,xe_input_vu_khi!$A$2:$A$66,0))&lt;=0,0,IF($B$36&gt;0,INDEX(xe_input_vu_khi!$B$2:$B$66,MATCH(Xe!$AE$36,xe_input_vu_khi!$A$2:$A$66,0))*$B$36/(MAX(0.05,INDEX(xe_input_vu_khi_suy_ra!$B$2:$B$66,MATCH(Xe!$AE$36,xe_input_vu_khi_suy_ra!$A$2:$A$66,0)))*MAX(1,CEILING($B$36/MAX(1,INDEX(xe_input_vu_khi!$C$2:$C$66,MATCH(Xe!$AE$36,xe_input_vu_khi!$A$2:$A$66,0))),1))+MAX(0,$C$36)),IF(INDEX(xe_input_vu_khi!$D$2:$D$66,MATCH(Xe!$AE$36,xe_input_vu_khi!$A$2:$A$66,0))&gt;0,INDEX(xe_input_vu_khi_suy_ra!$C$2:$C$66,MATCH(Xe!$AE$36,xe_input_vu_khi_suy_ra!$A$2:$A$66,0))*INDEX(xe_input_vu_khi!$D$2:$D$66,MATCH(Xe!$AE$36,xe_input_vu_khi!$A$2:$A$66,0))/(MAX(0.05,INDEX(xe_input_vu_khi_suy_ra!$B$2:$B$66,MATCH(Xe!$AE$36,xe_input_vu_khi_suy_ra!$A$2:$A$66,0)))*INDEX(xe_input_vu_khi!$D$2:$D$66,MATCH(Xe!$AE$36,xe_input_vu_khi!$A$2:$A$66,0))+INDEX(xe_input_vu_khi_suy_ra!$D$2:$D$66,MATCH(Xe!$AE$36,xe_input_vu_khi_suy_ra!$A$2:$A$66,0))),INDEX(xe_input_vu_khi_suy_ra!$C$2:$C$66,MATCH(Xe!$AE$36,xe_input_vu_khi_suy_ra!$A$2:$A$66,0))/MAX(0.05,INDEX(xe_input_vu_khi_suy_ra!$B$2:$B$66,MATCH(Xe!$AE$36,xe_input_vu_khi_suy_ra!$A$2:$A$66,0))))))*Xe!$AD$36</f>
        <v/>
      </c>
      <c r="H36" t="n">
        <v>75.79157172608109</v>
      </c>
      <c r="I36">
        <f>IF(AND(Xe!$I$36&gt;0,ISNUMBER(Xe!$K$36)),Xe!$K$36/Xe!$I$36,"")</f>
        <v/>
      </c>
      <c r="J36">
        <f>IF(Xe!$I$36&gt;0,$E$36/Xe!$I$36,"")</f>
        <v/>
      </c>
      <c r="K36">
        <f>IF(AND(Xe!$I$36&gt;0,ISNUMBER(Xe!$K$36)),Xe!$K$36/(Hoi_quy!$B$4*Xe!$I$36^Hoi_quy!$B$5),"")</f>
        <v/>
      </c>
      <c r="L36" t="n">
        <v>4</v>
      </c>
      <c r="M36" t="n">
        <v>1.3</v>
      </c>
      <c r="N36" t="n">
        <v>0.1</v>
      </c>
      <c r="O36" t="n">
        <v>5</v>
      </c>
      <c r="P36" t="inlineStr">
        <is>
          <t>Assets/MachineBrigade/Resources/Data/balance.json: vehicles[id=heavy_tank] (lớp B trên 01_chien_dau/Xe)</t>
        </is>
      </c>
      <c r="Q36" t="inlineStr"/>
    </row>
    <row r="37">
      <c r="A37" t="inlineStr">
        <is>
          <t>hover_gunboat</t>
        </is>
      </c>
      <c r="B37" t="n">
        <v>0</v>
      </c>
      <c r="C37" t="n">
        <v>0</v>
      </c>
      <c r="D37" t="n">
        <v>1</v>
      </c>
      <c r="E37">
        <f>IF(INDEX(xe_input_vu_khi!$B$2:$B$66,MATCH(Xe!$AE$37,xe_input_vu_khi!$A$2:$A$66,0))&lt;=0,0,IF($B$37&gt;0,INDEX(xe_input_vu_khi!$B$2:$B$66,MATCH(Xe!$AE$37,xe_input_vu_khi!$A$2:$A$66,0))*$B$37/(MAX(0.05,INDEX(xe_input_vu_khi_suy_ra!$B$2:$B$66,MATCH(Xe!$AE$37,xe_input_vu_khi_suy_ra!$A$2:$A$66,0)))*MAX(1,CEILING($B$37/MAX(1,INDEX(xe_input_vu_khi!$C$2:$C$66,MATCH(Xe!$AE$37,xe_input_vu_khi!$A$2:$A$66,0))),1))+MAX(0,$C$37)),IF(INDEX(xe_input_vu_khi!$D$2:$D$66,MATCH(Xe!$AE$37,xe_input_vu_khi!$A$2:$A$66,0))&gt;0,INDEX(xe_input_vu_khi_suy_ra!$C$2:$C$66,MATCH(Xe!$AE$37,xe_input_vu_khi_suy_ra!$A$2:$A$66,0))*INDEX(xe_input_vu_khi!$D$2:$D$66,MATCH(Xe!$AE$37,xe_input_vu_khi!$A$2:$A$66,0))/(MAX(0.05,INDEX(xe_input_vu_khi_suy_ra!$B$2:$B$66,MATCH(Xe!$AE$37,xe_input_vu_khi_suy_ra!$A$2:$A$66,0)))*INDEX(xe_input_vu_khi!$D$2:$D$66,MATCH(Xe!$AE$37,xe_input_vu_khi!$A$2:$A$66,0))+INDEX(xe_input_vu_khi_suy_ra!$D$2:$D$66,MATCH(Xe!$AE$37,xe_input_vu_khi_suy_ra!$A$2:$A$66,0))),INDEX(xe_input_vu_khi_suy_ra!$C$2:$C$66,MATCH(Xe!$AE$37,xe_input_vu_khi_suy_ra!$A$2:$A$66,0))/MAX(0.05,INDEX(xe_input_vu_khi_suy_ra!$B$2:$B$66,MATCH(Xe!$AE$37,xe_input_vu_khi_suy_ra!$A$2:$A$66,0))))))*IF(INDEX(xe_input_vu_khi!$E$2:$E$66,MATCH(Xe!$AE$37,xe_input_vu_khi!$A$2:$A$66,0)),1,$D$37)*Xe!$AD$37</f>
        <v/>
      </c>
      <c r="F37" t="n">
        <v>119.9600133288904</v>
      </c>
      <c r="G37">
        <f>IF(INDEX(xe_input_vu_khi!$B$2:$B$66,MATCH(Xe!$AE$37,xe_input_vu_khi!$A$2:$A$66,0))&lt;=0,0,IF($B$37&gt;0,INDEX(xe_input_vu_khi!$B$2:$B$66,MATCH(Xe!$AE$37,xe_input_vu_khi!$A$2:$A$66,0))*$B$37/(MAX(0.05,INDEX(xe_input_vu_khi_suy_ra!$B$2:$B$66,MATCH(Xe!$AE$37,xe_input_vu_khi_suy_ra!$A$2:$A$66,0)))*MAX(1,CEILING($B$37/MAX(1,INDEX(xe_input_vu_khi!$C$2:$C$66,MATCH(Xe!$AE$37,xe_input_vu_khi!$A$2:$A$66,0))),1))+MAX(0,$C$37)),IF(INDEX(xe_input_vu_khi!$D$2:$D$66,MATCH(Xe!$AE$37,xe_input_vu_khi!$A$2:$A$66,0))&gt;0,INDEX(xe_input_vu_khi_suy_ra!$C$2:$C$66,MATCH(Xe!$AE$37,xe_input_vu_khi_suy_ra!$A$2:$A$66,0))*INDEX(xe_input_vu_khi!$D$2:$D$66,MATCH(Xe!$AE$37,xe_input_vu_khi!$A$2:$A$66,0))/(MAX(0.05,INDEX(xe_input_vu_khi_suy_ra!$B$2:$B$66,MATCH(Xe!$AE$37,xe_input_vu_khi_suy_ra!$A$2:$A$66,0)))*INDEX(xe_input_vu_khi!$D$2:$D$66,MATCH(Xe!$AE$37,xe_input_vu_khi!$A$2:$A$66,0))+INDEX(xe_input_vu_khi_suy_ra!$D$2:$D$66,MATCH(Xe!$AE$37,xe_input_vu_khi_suy_ra!$A$2:$A$66,0))),INDEX(xe_input_vu_khi_suy_ra!$C$2:$C$66,MATCH(Xe!$AE$37,xe_input_vu_khi_suy_ra!$A$2:$A$66,0))/MAX(0.05,INDEX(xe_input_vu_khi_suy_ra!$B$2:$B$66,MATCH(Xe!$AE$37,xe_input_vu_khi_suy_ra!$A$2:$A$66,0))))))*Xe!$AD$37</f>
        <v/>
      </c>
      <c r="H37" t="n">
        <v>119.9600133288904</v>
      </c>
      <c r="I37">
        <f>IF(AND(Xe!$I$37&gt;0,ISNUMBER(Xe!$K$37)),Xe!$K$37/Xe!$I$37,"")</f>
        <v/>
      </c>
      <c r="J37">
        <f>IF(Xe!$I$37&gt;0,$E$37/Xe!$I$37,"")</f>
        <v/>
      </c>
      <c r="K37">
        <f>IF(AND(Xe!$I$37&gt;0,ISNUMBER(Xe!$K$37)),Xe!$K$37/(Hoi_quy!$B$4*Xe!$I$37^Hoi_quy!$B$5),"")</f>
        <v/>
      </c>
      <c r="L37" t="n">
        <v>1</v>
      </c>
      <c r="M37" t="n">
        <v>1</v>
      </c>
      <c r="N37" t="n">
        <v>0</v>
      </c>
      <c r="O37" t="n">
        <v>2.5</v>
      </c>
      <c r="P37" t="inlineStr">
        <is>
          <t>Assets/MachineBrigade/Resources/Data/balance.json: vehicles[id=hover_gunboat] (lớp B trên 01_chien_dau/Xe)</t>
        </is>
      </c>
      <c r="Q37" t="inlineStr"/>
    </row>
    <row r="38">
      <c r="A38" t="inlineStr">
        <is>
          <t>ifv</t>
        </is>
      </c>
      <c r="B38" t="n">
        <v>0</v>
      </c>
      <c r="C38" t="n">
        <v>0</v>
      </c>
      <c r="D38" t="n">
        <v>1</v>
      </c>
      <c r="E38">
        <f>IF(INDEX(xe_input_vu_khi!$B$2:$B$66,MATCH(Xe!$AE$38,xe_input_vu_khi!$A$2:$A$66,0))&lt;=0,0,IF($B$38&gt;0,INDEX(xe_input_vu_khi!$B$2:$B$66,MATCH(Xe!$AE$38,xe_input_vu_khi!$A$2:$A$66,0))*$B$38/(MAX(0.05,INDEX(xe_input_vu_khi_suy_ra!$B$2:$B$66,MATCH(Xe!$AE$38,xe_input_vu_khi_suy_ra!$A$2:$A$66,0)))*MAX(1,CEILING($B$38/MAX(1,INDEX(xe_input_vu_khi!$C$2:$C$66,MATCH(Xe!$AE$38,xe_input_vu_khi!$A$2:$A$66,0))),1))+MAX(0,$C$38)),IF(INDEX(xe_input_vu_khi!$D$2:$D$66,MATCH(Xe!$AE$38,xe_input_vu_khi!$A$2:$A$66,0))&gt;0,INDEX(xe_input_vu_khi_suy_ra!$C$2:$C$66,MATCH(Xe!$AE$38,xe_input_vu_khi_suy_ra!$A$2:$A$66,0))*INDEX(xe_input_vu_khi!$D$2:$D$66,MATCH(Xe!$AE$38,xe_input_vu_khi!$A$2:$A$66,0))/(MAX(0.05,INDEX(xe_input_vu_khi_suy_ra!$B$2:$B$66,MATCH(Xe!$AE$38,xe_input_vu_khi_suy_ra!$A$2:$A$66,0)))*INDEX(xe_input_vu_khi!$D$2:$D$66,MATCH(Xe!$AE$38,xe_input_vu_khi!$A$2:$A$66,0))+INDEX(xe_input_vu_khi_suy_ra!$D$2:$D$66,MATCH(Xe!$AE$38,xe_input_vu_khi_suy_ra!$A$2:$A$66,0))),INDEX(xe_input_vu_khi_suy_ra!$C$2:$C$66,MATCH(Xe!$AE$38,xe_input_vu_khi_suy_ra!$A$2:$A$66,0))/MAX(0.05,INDEX(xe_input_vu_khi_suy_ra!$B$2:$B$66,MATCH(Xe!$AE$38,xe_input_vu_khi_suy_ra!$A$2:$A$66,0))))))*IF(INDEX(xe_input_vu_khi!$E$2:$E$66,MATCH(Xe!$AE$38,xe_input_vu_khi!$A$2:$A$66,0)),1,$D$38)*Xe!$AD$38</f>
        <v/>
      </c>
      <c r="F38" t="n">
        <v>98.30486403676754</v>
      </c>
      <c r="G38">
        <f>IF(INDEX(xe_input_vu_khi!$B$2:$B$66,MATCH(Xe!$AE$38,xe_input_vu_khi!$A$2:$A$66,0))&lt;=0,0,IF($B$38&gt;0,INDEX(xe_input_vu_khi!$B$2:$B$66,MATCH(Xe!$AE$38,xe_input_vu_khi!$A$2:$A$66,0))*$B$38/(MAX(0.05,INDEX(xe_input_vu_khi_suy_ra!$B$2:$B$66,MATCH(Xe!$AE$38,xe_input_vu_khi_suy_ra!$A$2:$A$66,0)))*MAX(1,CEILING($B$38/MAX(1,INDEX(xe_input_vu_khi!$C$2:$C$66,MATCH(Xe!$AE$38,xe_input_vu_khi!$A$2:$A$66,0))),1))+MAX(0,$C$38)),IF(INDEX(xe_input_vu_khi!$D$2:$D$66,MATCH(Xe!$AE$38,xe_input_vu_khi!$A$2:$A$66,0))&gt;0,INDEX(xe_input_vu_khi_suy_ra!$C$2:$C$66,MATCH(Xe!$AE$38,xe_input_vu_khi_suy_ra!$A$2:$A$66,0))*INDEX(xe_input_vu_khi!$D$2:$D$66,MATCH(Xe!$AE$38,xe_input_vu_khi!$A$2:$A$66,0))/(MAX(0.05,INDEX(xe_input_vu_khi_suy_ra!$B$2:$B$66,MATCH(Xe!$AE$38,xe_input_vu_khi_suy_ra!$A$2:$A$66,0)))*INDEX(xe_input_vu_khi!$D$2:$D$66,MATCH(Xe!$AE$38,xe_input_vu_khi!$A$2:$A$66,0))+INDEX(xe_input_vu_khi_suy_ra!$D$2:$D$66,MATCH(Xe!$AE$38,xe_input_vu_khi_suy_ra!$A$2:$A$66,0))),INDEX(xe_input_vu_khi_suy_ra!$C$2:$C$66,MATCH(Xe!$AE$38,xe_input_vu_khi_suy_ra!$A$2:$A$66,0))/MAX(0.05,INDEX(xe_input_vu_khi_suy_ra!$B$2:$B$66,MATCH(Xe!$AE$38,xe_input_vu_khi_suy_ra!$A$2:$A$66,0))))))*Xe!$AD$38</f>
        <v/>
      </c>
      <c r="H38" t="n">
        <v>98.30486403676754</v>
      </c>
      <c r="I38">
        <f>IF(AND(Xe!$I$38&gt;0,ISNUMBER(Xe!$K$38)),Xe!$K$38/Xe!$I$38,"")</f>
        <v/>
      </c>
      <c r="J38">
        <f>IF(Xe!$I$38&gt;0,$E$38/Xe!$I$38,"")</f>
        <v/>
      </c>
      <c r="K38">
        <f>IF(AND(Xe!$I$38&gt;0,ISNUMBER(Xe!$K$38)),Xe!$K$38/(Hoi_quy!$B$4*Xe!$I$38^Hoi_quy!$B$5),"")</f>
        <v/>
      </c>
      <c r="L38" t="n">
        <v>2</v>
      </c>
      <c r="M38" t="n">
        <v>1.15</v>
      </c>
      <c r="N38" t="n">
        <v>0</v>
      </c>
      <c r="O38" t="n">
        <v>3.5</v>
      </c>
      <c r="P38" t="inlineStr">
        <is>
          <t>Assets/MachineBrigade/Resources/Data/balance.json: vehicles[id=ifv] (lớp B trên 01_chien_dau/Xe)</t>
        </is>
      </c>
      <c r="Q38" t="inlineStr"/>
    </row>
    <row r="39">
      <c r="A39" t="inlineStr">
        <is>
          <t>iron_beam</t>
        </is>
      </c>
      <c r="B39" t="n">
        <v>0</v>
      </c>
      <c r="C39" t="n">
        <v>0</v>
      </c>
      <c r="D39" t="n">
        <v>1</v>
      </c>
      <c r="E39">
        <f>IF(INDEX(xe_input_vu_khi!$B$2:$B$66,MATCH(Xe!$AE$39,xe_input_vu_khi!$A$2:$A$66,0))&lt;=0,0,IF($B$39&gt;0,INDEX(xe_input_vu_khi!$B$2:$B$66,MATCH(Xe!$AE$39,xe_input_vu_khi!$A$2:$A$66,0))*$B$39/(MAX(0.05,INDEX(xe_input_vu_khi_suy_ra!$B$2:$B$66,MATCH(Xe!$AE$39,xe_input_vu_khi_suy_ra!$A$2:$A$66,0)))*MAX(1,CEILING($B$39/MAX(1,INDEX(xe_input_vu_khi!$C$2:$C$66,MATCH(Xe!$AE$39,xe_input_vu_khi!$A$2:$A$66,0))),1))+MAX(0,$C$39)),IF(INDEX(xe_input_vu_khi!$D$2:$D$66,MATCH(Xe!$AE$39,xe_input_vu_khi!$A$2:$A$66,0))&gt;0,INDEX(xe_input_vu_khi_suy_ra!$C$2:$C$66,MATCH(Xe!$AE$39,xe_input_vu_khi_suy_ra!$A$2:$A$66,0))*INDEX(xe_input_vu_khi!$D$2:$D$66,MATCH(Xe!$AE$39,xe_input_vu_khi!$A$2:$A$66,0))/(MAX(0.05,INDEX(xe_input_vu_khi_suy_ra!$B$2:$B$66,MATCH(Xe!$AE$39,xe_input_vu_khi_suy_ra!$A$2:$A$66,0)))*INDEX(xe_input_vu_khi!$D$2:$D$66,MATCH(Xe!$AE$39,xe_input_vu_khi!$A$2:$A$66,0))+INDEX(xe_input_vu_khi_suy_ra!$D$2:$D$66,MATCH(Xe!$AE$39,xe_input_vu_khi_suy_ra!$A$2:$A$66,0))),INDEX(xe_input_vu_khi_suy_ra!$C$2:$C$66,MATCH(Xe!$AE$39,xe_input_vu_khi_suy_ra!$A$2:$A$66,0))/MAX(0.05,INDEX(xe_input_vu_khi_suy_ra!$B$2:$B$66,MATCH(Xe!$AE$39,xe_input_vu_khi_suy_ra!$A$2:$A$66,0))))))*IF(INDEX(xe_input_vu_khi!$E$2:$E$66,MATCH(Xe!$AE$39,xe_input_vu_khi!$A$2:$A$66,0)),1,$D$39)*Xe!$AD$39</f>
        <v/>
      </c>
      <c r="F39" t="n">
        <v>222.2285714285715</v>
      </c>
      <c r="G39">
        <f>IF(INDEX(xe_input_vu_khi!$B$2:$B$66,MATCH(Xe!$AE$39,xe_input_vu_khi!$A$2:$A$66,0))&lt;=0,0,IF($B$39&gt;0,INDEX(xe_input_vu_khi!$B$2:$B$66,MATCH(Xe!$AE$39,xe_input_vu_khi!$A$2:$A$66,0))*$B$39/(MAX(0.05,INDEX(xe_input_vu_khi_suy_ra!$B$2:$B$66,MATCH(Xe!$AE$39,xe_input_vu_khi_suy_ra!$A$2:$A$66,0)))*MAX(1,CEILING($B$39/MAX(1,INDEX(xe_input_vu_khi!$C$2:$C$66,MATCH(Xe!$AE$39,xe_input_vu_khi!$A$2:$A$66,0))),1))+MAX(0,$C$39)),IF(INDEX(xe_input_vu_khi!$D$2:$D$66,MATCH(Xe!$AE$39,xe_input_vu_khi!$A$2:$A$66,0))&gt;0,INDEX(xe_input_vu_khi_suy_ra!$C$2:$C$66,MATCH(Xe!$AE$39,xe_input_vu_khi_suy_ra!$A$2:$A$66,0))*INDEX(xe_input_vu_khi!$D$2:$D$66,MATCH(Xe!$AE$39,xe_input_vu_khi!$A$2:$A$66,0))/(MAX(0.05,INDEX(xe_input_vu_khi_suy_ra!$B$2:$B$66,MATCH(Xe!$AE$39,xe_input_vu_khi_suy_ra!$A$2:$A$66,0)))*INDEX(xe_input_vu_khi!$D$2:$D$66,MATCH(Xe!$AE$39,xe_input_vu_khi!$A$2:$A$66,0))+INDEX(xe_input_vu_khi_suy_ra!$D$2:$D$66,MATCH(Xe!$AE$39,xe_input_vu_khi_suy_ra!$A$2:$A$66,0))),INDEX(xe_input_vu_khi_suy_ra!$C$2:$C$66,MATCH(Xe!$AE$39,xe_input_vu_khi_suy_ra!$A$2:$A$66,0))/MAX(0.05,INDEX(xe_input_vu_khi_suy_ra!$B$2:$B$66,MATCH(Xe!$AE$39,xe_input_vu_khi_suy_ra!$A$2:$A$66,0))))))*Xe!$AD$39</f>
        <v/>
      </c>
      <c r="H39" t="n">
        <v>222.2285714285715</v>
      </c>
      <c r="I39">
        <f>IF(AND(Xe!$I$39&gt;0,ISNUMBER(Xe!$K$39)),Xe!$K$39/Xe!$I$39,"")</f>
        <v/>
      </c>
      <c r="J39">
        <f>IF(Xe!$I$39&gt;0,$E$39/Xe!$I$39,"")</f>
        <v/>
      </c>
      <c r="K39">
        <f>IF(AND(Xe!$I$39&gt;0,ISNUMBER(Xe!$K$39)),Xe!$K$39/(Hoi_quy!$B$4*Xe!$I$39^Hoi_quy!$B$5),"")</f>
        <v/>
      </c>
      <c r="L39" t="n">
        <v>2</v>
      </c>
      <c r="M39" t="n">
        <v>1.15</v>
      </c>
      <c r="N39" t="n">
        <v>0</v>
      </c>
      <c r="O39" t="n">
        <v>3.5</v>
      </c>
      <c r="P39" t="inlineStr">
        <is>
          <t>Assets/MachineBrigade/Resources/Data/balance.json: vehicles[id=iron_beam] (lớp B trên 01_chien_dau/Xe)</t>
        </is>
      </c>
      <c r="Q39" t="inlineStr"/>
    </row>
    <row r="40">
      <c r="A40" t="inlineStr">
        <is>
          <t>landing_craft</t>
        </is>
      </c>
      <c r="B40" t="n">
        <v>0</v>
      </c>
      <c r="C40" t="n">
        <v>0</v>
      </c>
      <c r="D40" t="n">
        <v>1</v>
      </c>
      <c r="E40">
        <f>IF(INDEX(xe_input_vu_khi!$B$2:$B$66,MATCH(Xe!$AE$40,xe_input_vu_khi!$A$2:$A$66,0))&lt;=0,0,IF($B$40&gt;0,INDEX(xe_input_vu_khi!$B$2:$B$66,MATCH(Xe!$AE$40,xe_input_vu_khi!$A$2:$A$66,0))*$B$40/(MAX(0.05,INDEX(xe_input_vu_khi_suy_ra!$B$2:$B$66,MATCH(Xe!$AE$40,xe_input_vu_khi_suy_ra!$A$2:$A$66,0)))*MAX(1,CEILING($B$40/MAX(1,INDEX(xe_input_vu_khi!$C$2:$C$66,MATCH(Xe!$AE$40,xe_input_vu_khi!$A$2:$A$66,0))),1))+MAX(0,$C$40)),IF(INDEX(xe_input_vu_khi!$D$2:$D$66,MATCH(Xe!$AE$40,xe_input_vu_khi!$A$2:$A$66,0))&gt;0,INDEX(xe_input_vu_khi_suy_ra!$C$2:$C$66,MATCH(Xe!$AE$40,xe_input_vu_khi_suy_ra!$A$2:$A$66,0))*INDEX(xe_input_vu_khi!$D$2:$D$66,MATCH(Xe!$AE$40,xe_input_vu_khi!$A$2:$A$66,0))/(MAX(0.05,INDEX(xe_input_vu_khi_suy_ra!$B$2:$B$66,MATCH(Xe!$AE$40,xe_input_vu_khi_suy_ra!$A$2:$A$66,0)))*INDEX(xe_input_vu_khi!$D$2:$D$66,MATCH(Xe!$AE$40,xe_input_vu_khi!$A$2:$A$66,0))+INDEX(xe_input_vu_khi_suy_ra!$D$2:$D$66,MATCH(Xe!$AE$40,xe_input_vu_khi_suy_ra!$A$2:$A$66,0))),INDEX(xe_input_vu_khi_suy_ra!$C$2:$C$66,MATCH(Xe!$AE$40,xe_input_vu_khi_suy_ra!$A$2:$A$66,0))/MAX(0.05,INDEX(xe_input_vu_khi_suy_ra!$B$2:$B$66,MATCH(Xe!$AE$40,xe_input_vu_khi_suy_ra!$A$2:$A$66,0))))))*IF(INDEX(xe_input_vu_khi!$E$2:$E$66,MATCH(Xe!$AE$40,xe_input_vu_khi!$A$2:$A$66,0)),1,$D$40)*Xe!$AD$40</f>
        <v/>
      </c>
      <c r="F40" t="n">
        <v>58.96958410924891</v>
      </c>
      <c r="G40">
        <f>IF(INDEX(xe_input_vu_khi!$B$2:$B$66,MATCH(Xe!$AE$40,xe_input_vu_khi!$A$2:$A$66,0))&lt;=0,0,IF($B$40&gt;0,INDEX(xe_input_vu_khi!$B$2:$B$66,MATCH(Xe!$AE$40,xe_input_vu_khi!$A$2:$A$66,0))*$B$40/(MAX(0.05,INDEX(xe_input_vu_khi_suy_ra!$B$2:$B$66,MATCH(Xe!$AE$40,xe_input_vu_khi_suy_ra!$A$2:$A$66,0)))*MAX(1,CEILING($B$40/MAX(1,INDEX(xe_input_vu_khi!$C$2:$C$66,MATCH(Xe!$AE$40,xe_input_vu_khi!$A$2:$A$66,0))),1))+MAX(0,$C$40)),IF(INDEX(xe_input_vu_khi!$D$2:$D$66,MATCH(Xe!$AE$40,xe_input_vu_khi!$A$2:$A$66,0))&gt;0,INDEX(xe_input_vu_khi_suy_ra!$C$2:$C$66,MATCH(Xe!$AE$40,xe_input_vu_khi_suy_ra!$A$2:$A$66,0))*INDEX(xe_input_vu_khi!$D$2:$D$66,MATCH(Xe!$AE$40,xe_input_vu_khi!$A$2:$A$66,0))/(MAX(0.05,INDEX(xe_input_vu_khi_suy_ra!$B$2:$B$66,MATCH(Xe!$AE$40,xe_input_vu_khi_suy_ra!$A$2:$A$66,0)))*INDEX(xe_input_vu_khi!$D$2:$D$66,MATCH(Xe!$AE$40,xe_input_vu_khi!$A$2:$A$66,0))+INDEX(xe_input_vu_khi_suy_ra!$D$2:$D$66,MATCH(Xe!$AE$40,xe_input_vu_khi_suy_ra!$A$2:$A$66,0))),INDEX(xe_input_vu_khi_suy_ra!$C$2:$C$66,MATCH(Xe!$AE$40,xe_input_vu_khi_suy_ra!$A$2:$A$66,0))/MAX(0.05,INDEX(xe_input_vu_khi_suy_ra!$B$2:$B$66,MATCH(Xe!$AE$40,xe_input_vu_khi_suy_ra!$A$2:$A$66,0))))))*Xe!$AD$40</f>
        <v/>
      </c>
      <c r="H40" t="n">
        <v>58.96958410924891</v>
      </c>
      <c r="I40">
        <f>IF(AND(Xe!$I$40&gt;0,ISNUMBER(Xe!$K$40)),Xe!$K$40/Xe!$I$40,"")</f>
        <v/>
      </c>
      <c r="J40">
        <f>IF(Xe!$I$40&gt;0,$E$40/Xe!$I$40,"")</f>
        <v/>
      </c>
      <c r="K40">
        <f>IF(AND(Xe!$I$40&gt;0,ISNUMBER(Xe!$K$40)),Xe!$K$40/(Hoi_quy!$B$4*Xe!$I$40^Hoi_quy!$B$5),"")</f>
        <v/>
      </c>
      <c r="L40" t="n">
        <v>1</v>
      </c>
      <c r="M40" t="n">
        <v>1</v>
      </c>
      <c r="N40" t="n">
        <v>0</v>
      </c>
      <c r="O40" t="n">
        <v>2.5</v>
      </c>
      <c r="P40" t="inlineStr">
        <is>
          <t>Assets/MachineBrigade/Resources/Data/balance.json: vehicles[id=landing_craft] (lớp B trên 01_chien_dau/Xe)</t>
        </is>
      </c>
      <c r="Q40" t="inlineStr"/>
    </row>
    <row r="41">
      <c r="A41" t="inlineStr">
        <is>
          <t>laser_tank</t>
        </is>
      </c>
      <c r="B41" t="n">
        <v>0</v>
      </c>
      <c r="C41" t="n">
        <v>0</v>
      </c>
      <c r="D41" t="n">
        <v>1</v>
      </c>
      <c r="E41">
        <f>IF(INDEX(xe_input_vu_khi!$B$2:$B$66,MATCH(Xe!$AE$41,xe_input_vu_khi!$A$2:$A$66,0))&lt;=0,0,IF($B$41&gt;0,INDEX(xe_input_vu_khi!$B$2:$B$66,MATCH(Xe!$AE$41,xe_input_vu_khi!$A$2:$A$66,0))*$B$41/(MAX(0.05,INDEX(xe_input_vu_khi_suy_ra!$B$2:$B$66,MATCH(Xe!$AE$41,xe_input_vu_khi_suy_ra!$A$2:$A$66,0)))*MAX(1,CEILING($B$41/MAX(1,INDEX(xe_input_vu_khi!$C$2:$C$66,MATCH(Xe!$AE$41,xe_input_vu_khi!$A$2:$A$66,0))),1))+MAX(0,$C$41)),IF(INDEX(xe_input_vu_khi!$D$2:$D$66,MATCH(Xe!$AE$41,xe_input_vu_khi!$A$2:$A$66,0))&gt;0,INDEX(xe_input_vu_khi_suy_ra!$C$2:$C$66,MATCH(Xe!$AE$41,xe_input_vu_khi_suy_ra!$A$2:$A$66,0))*INDEX(xe_input_vu_khi!$D$2:$D$66,MATCH(Xe!$AE$41,xe_input_vu_khi!$A$2:$A$66,0))/(MAX(0.05,INDEX(xe_input_vu_khi_suy_ra!$B$2:$B$66,MATCH(Xe!$AE$41,xe_input_vu_khi_suy_ra!$A$2:$A$66,0)))*INDEX(xe_input_vu_khi!$D$2:$D$66,MATCH(Xe!$AE$41,xe_input_vu_khi!$A$2:$A$66,0))+INDEX(xe_input_vu_khi_suy_ra!$D$2:$D$66,MATCH(Xe!$AE$41,xe_input_vu_khi_suy_ra!$A$2:$A$66,0))),INDEX(xe_input_vu_khi_suy_ra!$C$2:$C$66,MATCH(Xe!$AE$41,xe_input_vu_khi_suy_ra!$A$2:$A$66,0))/MAX(0.05,INDEX(xe_input_vu_khi_suy_ra!$B$2:$B$66,MATCH(Xe!$AE$41,xe_input_vu_khi_suy_ra!$A$2:$A$66,0))))))*IF(INDEX(xe_input_vu_khi!$E$2:$E$66,MATCH(Xe!$AE$41,xe_input_vu_khi!$A$2:$A$66,0)),1,$D$41)*Xe!$AD$41</f>
        <v/>
      </c>
      <c r="F41" t="n">
        <v>134.9042553191489</v>
      </c>
      <c r="G41">
        <f>IF(INDEX(xe_input_vu_khi!$B$2:$B$66,MATCH(Xe!$AE$41,xe_input_vu_khi!$A$2:$A$66,0))&lt;=0,0,IF($B$41&gt;0,INDEX(xe_input_vu_khi!$B$2:$B$66,MATCH(Xe!$AE$41,xe_input_vu_khi!$A$2:$A$66,0))*$B$41/(MAX(0.05,INDEX(xe_input_vu_khi_suy_ra!$B$2:$B$66,MATCH(Xe!$AE$41,xe_input_vu_khi_suy_ra!$A$2:$A$66,0)))*MAX(1,CEILING($B$41/MAX(1,INDEX(xe_input_vu_khi!$C$2:$C$66,MATCH(Xe!$AE$41,xe_input_vu_khi!$A$2:$A$66,0))),1))+MAX(0,$C$41)),IF(INDEX(xe_input_vu_khi!$D$2:$D$66,MATCH(Xe!$AE$41,xe_input_vu_khi!$A$2:$A$66,0))&gt;0,INDEX(xe_input_vu_khi_suy_ra!$C$2:$C$66,MATCH(Xe!$AE$41,xe_input_vu_khi_suy_ra!$A$2:$A$66,0))*INDEX(xe_input_vu_khi!$D$2:$D$66,MATCH(Xe!$AE$41,xe_input_vu_khi!$A$2:$A$66,0))/(MAX(0.05,INDEX(xe_input_vu_khi_suy_ra!$B$2:$B$66,MATCH(Xe!$AE$41,xe_input_vu_khi_suy_ra!$A$2:$A$66,0)))*INDEX(xe_input_vu_khi!$D$2:$D$66,MATCH(Xe!$AE$41,xe_input_vu_khi!$A$2:$A$66,0))+INDEX(xe_input_vu_khi_suy_ra!$D$2:$D$66,MATCH(Xe!$AE$41,xe_input_vu_khi_suy_ra!$A$2:$A$66,0))),INDEX(xe_input_vu_khi_suy_ra!$C$2:$C$66,MATCH(Xe!$AE$41,xe_input_vu_khi_suy_ra!$A$2:$A$66,0))/MAX(0.05,INDEX(xe_input_vu_khi_suy_ra!$B$2:$B$66,MATCH(Xe!$AE$41,xe_input_vu_khi_suy_ra!$A$2:$A$66,0))))))*Xe!$AD$41</f>
        <v/>
      </c>
      <c r="H41" t="n">
        <v>134.9042553191489</v>
      </c>
      <c r="I41">
        <f>IF(AND(Xe!$I$41&gt;0,ISNUMBER(Xe!$K$41)),Xe!$K$41/Xe!$I$41,"")</f>
        <v/>
      </c>
      <c r="J41">
        <f>IF(Xe!$I$41&gt;0,$E$41/Xe!$I$41,"")</f>
        <v/>
      </c>
      <c r="K41">
        <f>IF(AND(Xe!$I$41&gt;0,ISNUMBER(Xe!$K$41)),Xe!$K$41/(Hoi_quy!$B$4*Xe!$I$41^Hoi_quy!$B$5),"")</f>
        <v/>
      </c>
      <c r="L41" t="n">
        <v>3</v>
      </c>
      <c r="M41" t="n">
        <v>1.25</v>
      </c>
      <c r="N41" t="n">
        <v>0.0375</v>
      </c>
      <c r="O41" t="n">
        <v>3.5</v>
      </c>
      <c r="P41" t="inlineStr">
        <is>
          <t>Assets/MachineBrigade/Resources/Data/balance.json: vehicles[id=laser_tank] (lớp B trên 01_chien_dau/Xe)</t>
        </is>
      </c>
      <c r="Q41" t="inlineStr"/>
    </row>
    <row r="42">
      <c r="A42" t="inlineStr">
        <is>
          <t>light_tank</t>
        </is>
      </c>
      <c r="B42" t="n">
        <v>0</v>
      </c>
      <c r="C42" t="n">
        <v>0</v>
      </c>
      <c r="D42" t="n">
        <v>1</v>
      </c>
      <c r="E42">
        <f>IF(INDEX(xe_input_vu_khi!$B$2:$B$66,MATCH(Xe!$AE$42,xe_input_vu_khi!$A$2:$A$66,0))&lt;=0,0,IF($B$42&gt;0,INDEX(xe_input_vu_khi!$B$2:$B$66,MATCH(Xe!$AE$42,xe_input_vu_khi!$A$2:$A$66,0))*$B$42/(MAX(0.05,INDEX(xe_input_vu_khi_suy_ra!$B$2:$B$66,MATCH(Xe!$AE$42,xe_input_vu_khi_suy_ra!$A$2:$A$66,0)))*MAX(1,CEILING($B$42/MAX(1,INDEX(xe_input_vu_khi!$C$2:$C$66,MATCH(Xe!$AE$42,xe_input_vu_khi!$A$2:$A$66,0))),1))+MAX(0,$C$42)),IF(INDEX(xe_input_vu_khi!$D$2:$D$66,MATCH(Xe!$AE$42,xe_input_vu_khi!$A$2:$A$66,0))&gt;0,INDEX(xe_input_vu_khi_suy_ra!$C$2:$C$66,MATCH(Xe!$AE$42,xe_input_vu_khi_suy_ra!$A$2:$A$66,0))*INDEX(xe_input_vu_khi!$D$2:$D$66,MATCH(Xe!$AE$42,xe_input_vu_khi!$A$2:$A$66,0))/(MAX(0.05,INDEX(xe_input_vu_khi_suy_ra!$B$2:$B$66,MATCH(Xe!$AE$42,xe_input_vu_khi_suy_ra!$A$2:$A$66,0)))*INDEX(xe_input_vu_khi!$D$2:$D$66,MATCH(Xe!$AE$42,xe_input_vu_khi!$A$2:$A$66,0))+INDEX(xe_input_vu_khi_suy_ra!$D$2:$D$66,MATCH(Xe!$AE$42,xe_input_vu_khi_suy_ra!$A$2:$A$66,0))),INDEX(xe_input_vu_khi_suy_ra!$C$2:$C$66,MATCH(Xe!$AE$42,xe_input_vu_khi_suy_ra!$A$2:$A$66,0))/MAX(0.05,INDEX(xe_input_vu_khi_suy_ra!$B$2:$B$66,MATCH(Xe!$AE$42,xe_input_vu_khi_suy_ra!$A$2:$A$66,0))))))*IF(INDEX(xe_input_vu_khi!$E$2:$E$66,MATCH(Xe!$AE$42,xe_input_vu_khi!$A$2:$A$66,0)),1,$D$42)*Xe!$AD$42</f>
        <v/>
      </c>
      <c r="F42" t="n">
        <v>34.21994089282936</v>
      </c>
      <c r="G42">
        <f>IF(INDEX(xe_input_vu_khi!$B$2:$B$66,MATCH(Xe!$AE$42,xe_input_vu_khi!$A$2:$A$66,0))&lt;=0,0,IF($B$42&gt;0,INDEX(xe_input_vu_khi!$B$2:$B$66,MATCH(Xe!$AE$42,xe_input_vu_khi!$A$2:$A$66,0))*$B$42/(MAX(0.05,INDEX(xe_input_vu_khi_suy_ra!$B$2:$B$66,MATCH(Xe!$AE$42,xe_input_vu_khi_suy_ra!$A$2:$A$66,0)))*MAX(1,CEILING($B$42/MAX(1,INDEX(xe_input_vu_khi!$C$2:$C$66,MATCH(Xe!$AE$42,xe_input_vu_khi!$A$2:$A$66,0))),1))+MAX(0,$C$42)),IF(INDEX(xe_input_vu_khi!$D$2:$D$66,MATCH(Xe!$AE$42,xe_input_vu_khi!$A$2:$A$66,0))&gt;0,INDEX(xe_input_vu_khi_suy_ra!$C$2:$C$66,MATCH(Xe!$AE$42,xe_input_vu_khi_suy_ra!$A$2:$A$66,0))*INDEX(xe_input_vu_khi!$D$2:$D$66,MATCH(Xe!$AE$42,xe_input_vu_khi!$A$2:$A$66,0))/(MAX(0.05,INDEX(xe_input_vu_khi_suy_ra!$B$2:$B$66,MATCH(Xe!$AE$42,xe_input_vu_khi_suy_ra!$A$2:$A$66,0)))*INDEX(xe_input_vu_khi!$D$2:$D$66,MATCH(Xe!$AE$42,xe_input_vu_khi!$A$2:$A$66,0))+INDEX(xe_input_vu_khi_suy_ra!$D$2:$D$66,MATCH(Xe!$AE$42,xe_input_vu_khi_suy_ra!$A$2:$A$66,0))),INDEX(xe_input_vu_khi_suy_ra!$C$2:$C$66,MATCH(Xe!$AE$42,xe_input_vu_khi_suy_ra!$A$2:$A$66,0))/MAX(0.05,INDEX(xe_input_vu_khi_suy_ra!$B$2:$B$66,MATCH(Xe!$AE$42,xe_input_vu_khi_suy_ra!$A$2:$A$66,0))))))*Xe!$AD$42</f>
        <v/>
      </c>
      <c r="H42" t="n">
        <v>34.21994089282936</v>
      </c>
      <c r="I42">
        <f>IF(AND(Xe!$I$42&gt;0,ISNUMBER(Xe!$K$42)),Xe!$K$42/Xe!$I$42,"")</f>
        <v/>
      </c>
      <c r="J42">
        <f>IF(Xe!$I$42&gt;0,$E$42/Xe!$I$42,"")</f>
        <v/>
      </c>
      <c r="K42">
        <f>IF(AND(Xe!$I$42&gt;0,ISNUMBER(Xe!$K$42)),Xe!$K$42/(Hoi_quy!$B$4*Xe!$I$42^Hoi_quy!$B$5),"")</f>
        <v/>
      </c>
      <c r="L42" t="n">
        <v>1</v>
      </c>
      <c r="M42" t="n">
        <v>1</v>
      </c>
      <c r="N42" t="n">
        <v>0</v>
      </c>
      <c r="O42" t="n">
        <v>2.5</v>
      </c>
      <c r="P42" t="inlineStr">
        <is>
          <t>Assets/MachineBrigade/Resources/Data/balance.json: vehicles[id=light_tank] (lớp B trên 01_chien_dau/Xe)</t>
        </is>
      </c>
      <c r="Q42" t="inlineStr"/>
    </row>
    <row r="43">
      <c r="A43" t="inlineStr">
        <is>
          <t>long_sam</t>
        </is>
      </c>
      <c r="B43" t="n">
        <v>0</v>
      </c>
      <c r="C43" t="n">
        <v>0</v>
      </c>
      <c r="D43" t="n">
        <v>1</v>
      </c>
      <c r="E43">
        <f>IF(INDEX(xe_input_vu_khi!$B$2:$B$66,MATCH(Xe!$AE$43,xe_input_vu_khi!$A$2:$A$66,0))&lt;=0,0,IF($B$43&gt;0,INDEX(xe_input_vu_khi!$B$2:$B$66,MATCH(Xe!$AE$43,xe_input_vu_khi!$A$2:$A$66,0))*$B$43/(MAX(0.05,INDEX(xe_input_vu_khi_suy_ra!$B$2:$B$66,MATCH(Xe!$AE$43,xe_input_vu_khi_suy_ra!$A$2:$A$66,0)))*MAX(1,CEILING($B$43/MAX(1,INDEX(xe_input_vu_khi!$C$2:$C$66,MATCH(Xe!$AE$43,xe_input_vu_khi!$A$2:$A$66,0))),1))+MAX(0,$C$43)),IF(INDEX(xe_input_vu_khi!$D$2:$D$66,MATCH(Xe!$AE$43,xe_input_vu_khi!$A$2:$A$66,0))&gt;0,INDEX(xe_input_vu_khi_suy_ra!$C$2:$C$66,MATCH(Xe!$AE$43,xe_input_vu_khi_suy_ra!$A$2:$A$66,0))*INDEX(xe_input_vu_khi!$D$2:$D$66,MATCH(Xe!$AE$43,xe_input_vu_khi!$A$2:$A$66,0))/(MAX(0.05,INDEX(xe_input_vu_khi_suy_ra!$B$2:$B$66,MATCH(Xe!$AE$43,xe_input_vu_khi_suy_ra!$A$2:$A$66,0)))*INDEX(xe_input_vu_khi!$D$2:$D$66,MATCH(Xe!$AE$43,xe_input_vu_khi!$A$2:$A$66,0))+INDEX(xe_input_vu_khi_suy_ra!$D$2:$D$66,MATCH(Xe!$AE$43,xe_input_vu_khi_suy_ra!$A$2:$A$66,0))),INDEX(xe_input_vu_khi_suy_ra!$C$2:$C$66,MATCH(Xe!$AE$43,xe_input_vu_khi_suy_ra!$A$2:$A$66,0))/MAX(0.05,INDEX(xe_input_vu_khi_suy_ra!$B$2:$B$66,MATCH(Xe!$AE$43,xe_input_vu_khi_suy_ra!$A$2:$A$66,0))))))*IF(INDEX(xe_input_vu_khi!$E$2:$E$66,MATCH(Xe!$AE$43,xe_input_vu_khi!$A$2:$A$66,0)),1,$D$43)*Xe!$AD$43</f>
        <v/>
      </c>
      <c r="F43" t="n">
        <v>126.56</v>
      </c>
      <c r="G43">
        <f>IF(INDEX(xe_input_vu_khi!$B$2:$B$66,MATCH(Xe!$AE$43,xe_input_vu_khi!$A$2:$A$66,0))&lt;=0,0,IF($B$43&gt;0,INDEX(xe_input_vu_khi!$B$2:$B$66,MATCH(Xe!$AE$43,xe_input_vu_khi!$A$2:$A$66,0))*$B$43/(MAX(0.05,INDEX(xe_input_vu_khi_suy_ra!$B$2:$B$66,MATCH(Xe!$AE$43,xe_input_vu_khi_suy_ra!$A$2:$A$66,0)))*MAX(1,CEILING($B$43/MAX(1,INDEX(xe_input_vu_khi!$C$2:$C$66,MATCH(Xe!$AE$43,xe_input_vu_khi!$A$2:$A$66,0))),1))+MAX(0,$C$43)),IF(INDEX(xe_input_vu_khi!$D$2:$D$66,MATCH(Xe!$AE$43,xe_input_vu_khi!$A$2:$A$66,0))&gt;0,INDEX(xe_input_vu_khi_suy_ra!$C$2:$C$66,MATCH(Xe!$AE$43,xe_input_vu_khi_suy_ra!$A$2:$A$66,0))*INDEX(xe_input_vu_khi!$D$2:$D$66,MATCH(Xe!$AE$43,xe_input_vu_khi!$A$2:$A$66,0))/(MAX(0.05,INDEX(xe_input_vu_khi_suy_ra!$B$2:$B$66,MATCH(Xe!$AE$43,xe_input_vu_khi_suy_ra!$A$2:$A$66,0)))*INDEX(xe_input_vu_khi!$D$2:$D$66,MATCH(Xe!$AE$43,xe_input_vu_khi!$A$2:$A$66,0))+INDEX(xe_input_vu_khi_suy_ra!$D$2:$D$66,MATCH(Xe!$AE$43,xe_input_vu_khi_suy_ra!$A$2:$A$66,0))),INDEX(xe_input_vu_khi_suy_ra!$C$2:$C$66,MATCH(Xe!$AE$43,xe_input_vu_khi_suy_ra!$A$2:$A$66,0))/MAX(0.05,INDEX(xe_input_vu_khi_suy_ra!$B$2:$B$66,MATCH(Xe!$AE$43,xe_input_vu_khi_suy_ra!$A$2:$A$66,0))))))*Xe!$AD$43</f>
        <v/>
      </c>
      <c r="H43" t="n">
        <v>126.56</v>
      </c>
      <c r="I43">
        <f>IF(AND(Xe!$I$43&gt;0,ISNUMBER(Xe!$K$43)),Xe!$K$43/Xe!$I$43,"")</f>
        <v/>
      </c>
      <c r="J43">
        <f>IF(Xe!$I$43&gt;0,$E$43/Xe!$I$43,"")</f>
        <v/>
      </c>
      <c r="K43">
        <f>IF(AND(Xe!$I$43&gt;0,ISNUMBER(Xe!$K$43)),Xe!$K$43/(Hoi_quy!$B$4*Xe!$I$43^Hoi_quy!$B$5),"")</f>
        <v/>
      </c>
      <c r="L43" t="n">
        <v>4</v>
      </c>
      <c r="M43" t="n">
        <v>1.3</v>
      </c>
      <c r="N43" t="n">
        <v>0</v>
      </c>
      <c r="O43" t="n">
        <v>5</v>
      </c>
      <c r="P43" t="inlineStr">
        <is>
          <t>Assets/MachineBrigade/Resources/Data/balance.json: vehicles[id=long_sam] (lớp B trên 01_chien_dau/Xe)</t>
        </is>
      </c>
      <c r="Q43" t="inlineStr"/>
    </row>
    <row r="44">
      <c r="A44" t="inlineStr">
        <is>
          <t>main_battle_tank</t>
        </is>
      </c>
      <c r="B44" t="n">
        <v>0</v>
      </c>
      <c r="C44" t="n">
        <v>0</v>
      </c>
      <c r="D44" t="n">
        <v>1</v>
      </c>
      <c r="E44">
        <f>IF(INDEX(xe_input_vu_khi!$B$2:$B$66,MATCH(Xe!$AE$44,xe_input_vu_khi!$A$2:$A$66,0))&lt;=0,0,IF($B$44&gt;0,INDEX(xe_input_vu_khi!$B$2:$B$66,MATCH(Xe!$AE$44,xe_input_vu_khi!$A$2:$A$66,0))*$B$44/(MAX(0.05,INDEX(xe_input_vu_khi_suy_ra!$B$2:$B$66,MATCH(Xe!$AE$44,xe_input_vu_khi_suy_ra!$A$2:$A$66,0)))*MAX(1,CEILING($B$44/MAX(1,INDEX(xe_input_vu_khi!$C$2:$C$66,MATCH(Xe!$AE$44,xe_input_vu_khi!$A$2:$A$66,0))),1))+MAX(0,$C$44)),IF(INDEX(xe_input_vu_khi!$D$2:$D$66,MATCH(Xe!$AE$44,xe_input_vu_khi!$A$2:$A$66,0))&gt;0,INDEX(xe_input_vu_khi_suy_ra!$C$2:$C$66,MATCH(Xe!$AE$44,xe_input_vu_khi_suy_ra!$A$2:$A$66,0))*INDEX(xe_input_vu_khi!$D$2:$D$66,MATCH(Xe!$AE$44,xe_input_vu_khi!$A$2:$A$66,0))/(MAX(0.05,INDEX(xe_input_vu_khi_suy_ra!$B$2:$B$66,MATCH(Xe!$AE$44,xe_input_vu_khi_suy_ra!$A$2:$A$66,0)))*INDEX(xe_input_vu_khi!$D$2:$D$66,MATCH(Xe!$AE$44,xe_input_vu_khi!$A$2:$A$66,0))+INDEX(xe_input_vu_khi_suy_ra!$D$2:$D$66,MATCH(Xe!$AE$44,xe_input_vu_khi_suy_ra!$A$2:$A$66,0))),INDEX(xe_input_vu_khi_suy_ra!$C$2:$C$66,MATCH(Xe!$AE$44,xe_input_vu_khi_suy_ra!$A$2:$A$66,0))/MAX(0.05,INDEX(xe_input_vu_khi_suy_ra!$B$2:$B$66,MATCH(Xe!$AE$44,xe_input_vu_khi_suy_ra!$A$2:$A$66,0))))))*IF(INDEX(xe_input_vu_khi!$E$2:$E$66,MATCH(Xe!$AE$44,xe_input_vu_khi!$A$2:$A$66,0)),1,$D$44)*Xe!$AD$44</f>
        <v/>
      </c>
      <c r="F44" t="n">
        <v>53.82599203624879</v>
      </c>
      <c r="G44">
        <f>IF(INDEX(xe_input_vu_khi!$B$2:$B$66,MATCH(Xe!$AE$44,xe_input_vu_khi!$A$2:$A$66,0))&lt;=0,0,IF($B$44&gt;0,INDEX(xe_input_vu_khi!$B$2:$B$66,MATCH(Xe!$AE$44,xe_input_vu_khi!$A$2:$A$66,0))*$B$44/(MAX(0.05,INDEX(xe_input_vu_khi_suy_ra!$B$2:$B$66,MATCH(Xe!$AE$44,xe_input_vu_khi_suy_ra!$A$2:$A$66,0)))*MAX(1,CEILING($B$44/MAX(1,INDEX(xe_input_vu_khi!$C$2:$C$66,MATCH(Xe!$AE$44,xe_input_vu_khi!$A$2:$A$66,0))),1))+MAX(0,$C$44)),IF(INDEX(xe_input_vu_khi!$D$2:$D$66,MATCH(Xe!$AE$44,xe_input_vu_khi!$A$2:$A$66,0))&gt;0,INDEX(xe_input_vu_khi_suy_ra!$C$2:$C$66,MATCH(Xe!$AE$44,xe_input_vu_khi_suy_ra!$A$2:$A$66,0))*INDEX(xe_input_vu_khi!$D$2:$D$66,MATCH(Xe!$AE$44,xe_input_vu_khi!$A$2:$A$66,0))/(MAX(0.05,INDEX(xe_input_vu_khi_suy_ra!$B$2:$B$66,MATCH(Xe!$AE$44,xe_input_vu_khi_suy_ra!$A$2:$A$66,0)))*INDEX(xe_input_vu_khi!$D$2:$D$66,MATCH(Xe!$AE$44,xe_input_vu_khi!$A$2:$A$66,0))+INDEX(xe_input_vu_khi_suy_ra!$D$2:$D$66,MATCH(Xe!$AE$44,xe_input_vu_khi_suy_ra!$A$2:$A$66,0))),INDEX(xe_input_vu_khi_suy_ra!$C$2:$C$66,MATCH(Xe!$AE$44,xe_input_vu_khi_suy_ra!$A$2:$A$66,0))/MAX(0.05,INDEX(xe_input_vu_khi_suy_ra!$B$2:$B$66,MATCH(Xe!$AE$44,xe_input_vu_khi_suy_ra!$A$2:$A$66,0))))))*Xe!$AD$44</f>
        <v/>
      </c>
      <c r="H44" t="n">
        <v>53.82599203624879</v>
      </c>
      <c r="I44">
        <f>IF(AND(Xe!$I$44&gt;0,ISNUMBER(Xe!$K$44)),Xe!$K$44/Xe!$I$44,"")</f>
        <v/>
      </c>
      <c r="J44">
        <f>IF(Xe!$I$44&gt;0,$E$44/Xe!$I$44,"")</f>
        <v/>
      </c>
      <c r="K44">
        <f>IF(AND(Xe!$I$44&gt;0,ISNUMBER(Xe!$K$44)),Xe!$K$44/(Hoi_quy!$B$4*Xe!$I$44^Hoi_quy!$B$5),"")</f>
        <v/>
      </c>
      <c r="L44" t="n">
        <v>2</v>
      </c>
      <c r="M44" t="n">
        <v>1.15</v>
      </c>
      <c r="N44" t="n">
        <v>0</v>
      </c>
      <c r="O44" t="n">
        <v>3.5</v>
      </c>
      <c r="P44" t="inlineStr">
        <is>
          <t>Assets/MachineBrigade/Resources/Data/balance.json: vehicles[id=main_battle_tank] (lớp B trên 01_chien_dau/Xe)</t>
        </is>
      </c>
      <c r="Q44" t="inlineStr"/>
    </row>
    <row r="45">
      <c r="A45" t="inlineStr">
        <is>
          <t>mara_behemoth</t>
        </is>
      </c>
      <c r="B45" t="n">
        <v>0</v>
      </c>
      <c r="C45" t="n">
        <v>0</v>
      </c>
      <c r="D45" t="n">
        <v>1</v>
      </c>
      <c r="E45">
        <f>IF(INDEX(xe_input_vu_khi!$B$2:$B$66,MATCH(Xe!$AE$45,xe_input_vu_khi!$A$2:$A$66,0))&lt;=0,0,IF($B$45&gt;0,INDEX(xe_input_vu_khi!$B$2:$B$66,MATCH(Xe!$AE$45,xe_input_vu_khi!$A$2:$A$66,0))*$B$45/(MAX(0.05,INDEX(xe_input_vu_khi_suy_ra!$B$2:$B$66,MATCH(Xe!$AE$45,xe_input_vu_khi_suy_ra!$A$2:$A$66,0)))*MAX(1,CEILING($B$45/MAX(1,INDEX(xe_input_vu_khi!$C$2:$C$66,MATCH(Xe!$AE$45,xe_input_vu_khi!$A$2:$A$66,0))),1))+MAX(0,$C$45)),IF(INDEX(xe_input_vu_khi!$D$2:$D$66,MATCH(Xe!$AE$45,xe_input_vu_khi!$A$2:$A$66,0))&gt;0,INDEX(xe_input_vu_khi_suy_ra!$C$2:$C$66,MATCH(Xe!$AE$45,xe_input_vu_khi_suy_ra!$A$2:$A$66,0))*INDEX(xe_input_vu_khi!$D$2:$D$66,MATCH(Xe!$AE$45,xe_input_vu_khi!$A$2:$A$66,0))/(MAX(0.05,INDEX(xe_input_vu_khi_suy_ra!$B$2:$B$66,MATCH(Xe!$AE$45,xe_input_vu_khi_suy_ra!$A$2:$A$66,0)))*INDEX(xe_input_vu_khi!$D$2:$D$66,MATCH(Xe!$AE$45,xe_input_vu_khi!$A$2:$A$66,0))+INDEX(xe_input_vu_khi_suy_ra!$D$2:$D$66,MATCH(Xe!$AE$45,xe_input_vu_khi_suy_ra!$A$2:$A$66,0))),INDEX(xe_input_vu_khi_suy_ra!$C$2:$C$66,MATCH(Xe!$AE$45,xe_input_vu_khi_suy_ra!$A$2:$A$66,0))/MAX(0.05,INDEX(xe_input_vu_khi_suy_ra!$B$2:$B$66,MATCH(Xe!$AE$45,xe_input_vu_khi_suy_ra!$A$2:$A$66,0))))))*IF(INDEX(xe_input_vu_khi!$E$2:$E$66,MATCH(Xe!$AE$45,xe_input_vu_khi!$A$2:$A$66,0)),1,$D$45)*Xe!$AD$45</f>
        <v/>
      </c>
      <c r="F45" t="n">
        <v>71.26948775055679</v>
      </c>
      <c r="G45">
        <f>IF(INDEX(xe_input_vu_khi!$B$2:$B$66,MATCH(Xe!$AE$45,xe_input_vu_khi!$A$2:$A$66,0))&lt;=0,0,IF($B$45&gt;0,INDEX(xe_input_vu_khi!$B$2:$B$66,MATCH(Xe!$AE$45,xe_input_vu_khi!$A$2:$A$66,0))*$B$45/(MAX(0.05,INDEX(xe_input_vu_khi_suy_ra!$B$2:$B$66,MATCH(Xe!$AE$45,xe_input_vu_khi_suy_ra!$A$2:$A$66,0)))*MAX(1,CEILING($B$45/MAX(1,INDEX(xe_input_vu_khi!$C$2:$C$66,MATCH(Xe!$AE$45,xe_input_vu_khi!$A$2:$A$66,0))),1))+MAX(0,$C$45)),IF(INDEX(xe_input_vu_khi!$D$2:$D$66,MATCH(Xe!$AE$45,xe_input_vu_khi!$A$2:$A$66,0))&gt;0,INDEX(xe_input_vu_khi_suy_ra!$C$2:$C$66,MATCH(Xe!$AE$45,xe_input_vu_khi_suy_ra!$A$2:$A$66,0))*INDEX(xe_input_vu_khi!$D$2:$D$66,MATCH(Xe!$AE$45,xe_input_vu_khi!$A$2:$A$66,0))/(MAX(0.05,INDEX(xe_input_vu_khi_suy_ra!$B$2:$B$66,MATCH(Xe!$AE$45,xe_input_vu_khi_suy_ra!$A$2:$A$66,0)))*INDEX(xe_input_vu_khi!$D$2:$D$66,MATCH(Xe!$AE$45,xe_input_vu_khi!$A$2:$A$66,0))+INDEX(xe_input_vu_khi_suy_ra!$D$2:$D$66,MATCH(Xe!$AE$45,xe_input_vu_khi_suy_ra!$A$2:$A$66,0))),INDEX(xe_input_vu_khi_suy_ra!$C$2:$C$66,MATCH(Xe!$AE$45,xe_input_vu_khi_suy_ra!$A$2:$A$66,0))/MAX(0.05,INDEX(xe_input_vu_khi_suy_ra!$B$2:$B$66,MATCH(Xe!$AE$45,xe_input_vu_khi_suy_ra!$A$2:$A$66,0))))))*Xe!$AD$45</f>
        <v/>
      </c>
      <c r="H45" t="n">
        <v>71.26948775055679</v>
      </c>
      <c r="I45">
        <f>IF(AND(Xe!$I$45&gt;0,ISNUMBER(Xe!$K$45)),Xe!$K$45/Xe!$I$45,"")</f>
        <v/>
      </c>
      <c r="J45">
        <f>IF(Xe!$I$45&gt;0,$E$45/Xe!$I$45,"")</f>
        <v/>
      </c>
      <c r="K45">
        <f>IF(AND(Xe!$I$45&gt;0,ISNUMBER(Xe!$K$45)),Xe!$K$45/(Hoi_quy!$B$4*Xe!$I$45^Hoi_quy!$B$5),"")</f>
        <v/>
      </c>
      <c r="L45" t="n">
        <v>1</v>
      </c>
      <c r="M45" t="n">
        <v>1</v>
      </c>
      <c r="N45" t="n">
        <v>0</v>
      </c>
      <c r="O45" t="n">
        <v>2.5</v>
      </c>
      <c r="P45" t="inlineStr">
        <is>
          <t>Assets/MachineBrigade/Resources/Data/balance.json: vehicles[id=mara_behemoth] (lớp B trên 01_chien_dau/Xe)</t>
        </is>
      </c>
      <c r="Q45" t="inlineStr"/>
    </row>
    <row r="46">
      <c r="A46" t="inlineStr">
        <is>
          <t>mine_layer</t>
        </is>
      </c>
      <c r="B46" t="n">
        <v>0</v>
      </c>
      <c r="C46" t="n">
        <v>0</v>
      </c>
      <c r="D46" t="n">
        <v>1</v>
      </c>
      <c r="E46">
        <f>IF(INDEX(xe_input_vu_khi!$B$2:$B$66,MATCH(Xe!$AE$46,xe_input_vu_khi!$A$2:$A$66,0))&lt;=0,0,IF($B$46&gt;0,INDEX(xe_input_vu_khi!$B$2:$B$66,MATCH(Xe!$AE$46,xe_input_vu_khi!$A$2:$A$66,0))*$B$46/(MAX(0.05,INDEX(xe_input_vu_khi_suy_ra!$B$2:$B$66,MATCH(Xe!$AE$46,xe_input_vu_khi_suy_ra!$A$2:$A$66,0)))*MAX(1,CEILING($B$46/MAX(1,INDEX(xe_input_vu_khi!$C$2:$C$66,MATCH(Xe!$AE$46,xe_input_vu_khi!$A$2:$A$66,0))),1))+MAX(0,$C$46)),IF(INDEX(xe_input_vu_khi!$D$2:$D$66,MATCH(Xe!$AE$46,xe_input_vu_khi!$A$2:$A$66,0))&gt;0,INDEX(xe_input_vu_khi_suy_ra!$C$2:$C$66,MATCH(Xe!$AE$46,xe_input_vu_khi_suy_ra!$A$2:$A$66,0))*INDEX(xe_input_vu_khi!$D$2:$D$66,MATCH(Xe!$AE$46,xe_input_vu_khi!$A$2:$A$66,0))/(MAX(0.05,INDEX(xe_input_vu_khi_suy_ra!$B$2:$B$66,MATCH(Xe!$AE$46,xe_input_vu_khi_suy_ra!$A$2:$A$66,0)))*INDEX(xe_input_vu_khi!$D$2:$D$66,MATCH(Xe!$AE$46,xe_input_vu_khi!$A$2:$A$66,0))+INDEX(xe_input_vu_khi_suy_ra!$D$2:$D$66,MATCH(Xe!$AE$46,xe_input_vu_khi_suy_ra!$A$2:$A$66,0))),INDEX(xe_input_vu_khi_suy_ra!$C$2:$C$66,MATCH(Xe!$AE$46,xe_input_vu_khi_suy_ra!$A$2:$A$66,0))/MAX(0.05,INDEX(xe_input_vu_khi_suy_ra!$B$2:$B$66,MATCH(Xe!$AE$46,xe_input_vu_khi_suy_ra!$A$2:$A$66,0))))))*IF(INDEX(xe_input_vu_khi!$E$2:$E$66,MATCH(Xe!$AE$46,xe_input_vu_khi!$A$2:$A$66,0)),1,$D$46)*Xe!$AD$46</f>
        <v/>
      </c>
      <c r="F46" t="n">
        <v>70.76350093109869</v>
      </c>
      <c r="G46">
        <f>IF(INDEX(xe_input_vu_khi!$B$2:$B$66,MATCH(Xe!$AE$46,xe_input_vu_khi!$A$2:$A$66,0))&lt;=0,0,IF($B$46&gt;0,INDEX(xe_input_vu_khi!$B$2:$B$66,MATCH(Xe!$AE$46,xe_input_vu_khi!$A$2:$A$66,0))*$B$46/(MAX(0.05,INDEX(xe_input_vu_khi_suy_ra!$B$2:$B$66,MATCH(Xe!$AE$46,xe_input_vu_khi_suy_ra!$A$2:$A$66,0)))*MAX(1,CEILING($B$46/MAX(1,INDEX(xe_input_vu_khi!$C$2:$C$66,MATCH(Xe!$AE$46,xe_input_vu_khi!$A$2:$A$66,0))),1))+MAX(0,$C$46)),IF(INDEX(xe_input_vu_khi!$D$2:$D$66,MATCH(Xe!$AE$46,xe_input_vu_khi!$A$2:$A$66,0))&gt;0,INDEX(xe_input_vu_khi_suy_ra!$C$2:$C$66,MATCH(Xe!$AE$46,xe_input_vu_khi_suy_ra!$A$2:$A$66,0))*INDEX(xe_input_vu_khi!$D$2:$D$66,MATCH(Xe!$AE$46,xe_input_vu_khi!$A$2:$A$66,0))/(MAX(0.05,INDEX(xe_input_vu_khi_suy_ra!$B$2:$B$66,MATCH(Xe!$AE$46,xe_input_vu_khi_suy_ra!$A$2:$A$66,0)))*INDEX(xe_input_vu_khi!$D$2:$D$66,MATCH(Xe!$AE$46,xe_input_vu_khi!$A$2:$A$66,0))+INDEX(xe_input_vu_khi_suy_ra!$D$2:$D$66,MATCH(Xe!$AE$46,xe_input_vu_khi_suy_ra!$A$2:$A$66,0))),INDEX(xe_input_vu_khi_suy_ra!$C$2:$C$66,MATCH(Xe!$AE$46,xe_input_vu_khi_suy_ra!$A$2:$A$66,0))/MAX(0.05,INDEX(xe_input_vu_khi_suy_ra!$B$2:$B$66,MATCH(Xe!$AE$46,xe_input_vu_khi_suy_ra!$A$2:$A$66,0))))))*Xe!$AD$46</f>
        <v/>
      </c>
      <c r="H46" t="n">
        <v>70.76350093109869</v>
      </c>
      <c r="I46">
        <f>IF(AND(Xe!$I$46&gt;0,ISNUMBER(Xe!$K$46)),Xe!$K$46/Xe!$I$46,"")</f>
        <v/>
      </c>
      <c r="J46">
        <f>IF(Xe!$I$46&gt;0,$E$46/Xe!$I$46,"")</f>
        <v/>
      </c>
      <c r="K46">
        <f>IF(AND(Xe!$I$46&gt;0,ISNUMBER(Xe!$K$46)),Xe!$K$46/(Hoi_quy!$B$4*Xe!$I$46^Hoi_quy!$B$5),"")</f>
        <v/>
      </c>
      <c r="L46" t="n">
        <v>2</v>
      </c>
      <c r="M46" t="n">
        <v>1.15</v>
      </c>
      <c r="N46" t="n">
        <v>0</v>
      </c>
      <c r="O46" t="n">
        <v>3.5</v>
      </c>
      <c r="P46" t="inlineStr">
        <is>
          <t>Assets/MachineBrigade/Resources/Data/balance.json: vehicles[id=mine_layer] (lớp B trên 01_chien_dau/Xe)</t>
        </is>
      </c>
      <c r="Q46" t="inlineStr"/>
    </row>
    <row r="47">
      <c r="A47" t="inlineStr">
        <is>
          <t>missile_boat</t>
        </is>
      </c>
      <c r="B47" t="n">
        <v>0</v>
      </c>
      <c r="C47" t="n">
        <v>0</v>
      </c>
      <c r="D47" t="n">
        <v>1</v>
      </c>
      <c r="E47">
        <f>IF(INDEX(xe_input_vu_khi!$B$2:$B$66,MATCH(Xe!$AE$47,xe_input_vu_khi!$A$2:$A$66,0))&lt;=0,0,IF($B$47&gt;0,INDEX(xe_input_vu_khi!$B$2:$B$66,MATCH(Xe!$AE$47,xe_input_vu_khi!$A$2:$A$66,0))*$B$47/(MAX(0.05,INDEX(xe_input_vu_khi_suy_ra!$B$2:$B$66,MATCH(Xe!$AE$47,xe_input_vu_khi_suy_ra!$A$2:$A$66,0)))*MAX(1,CEILING($B$47/MAX(1,INDEX(xe_input_vu_khi!$C$2:$C$66,MATCH(Xe!$AE$47,xe_input_vu_khi!$A$2:$A$66,0))),1))+MAX(0,$C$47)),IF(INDEX(xe_input_vu_khi!$D$2:$D$66,MATCH(Xe!$AE$47,xe_input_vu_khi!$A$2:$A$66,0))&gt;0,INDEX(xe_input_vu_khi_suy_ra!$C$2:$C$66,MATCH(Xe!$AE$47,xe_input_vu_khi_suy_ra!$A$2:$A$66,0))*INDEX(xe_input_vu_khi!$D$2:$D$66,MATCH(Xe!$AE$47,xe_input_vu_khi!$A$2:$A$66,0))/(MAX(0.05,INDEX(xe_input_vu_khi_suy_ra!$B$2:$B$66,MATCH(Xe!$AE$47,xe_input_vu_khi_suy_ra!$A$2:$A$66,0)))*INDEX(xe_input_vu_khi!$D$2:$D$66,MATCH(Xe!$AE$47,xe_input_vu_khi!$A$2:$A$66,0))+INDEX(xe_input_vu_khi_suy_ra!$D$2:$D$66,MATCH(Xe!$AE$47,xe_input_vu_khi_suy_ra!$A$2:$A$66,0))),INDEX(xe_input_vu_khi_suy_ra!$C$2:$C$66,MATCH(Xe!$AE$47,xe_input_vu_khi_suy_ra!$A$2:$A$66,0))/MAX(0.05,INDEX(xe_input_vu_khi_suy_ra!$B$2:$B$66,MATCH(Xe!$AE$47,xe_input_vu_khi_suy_ra!$A$2:$A$66,0))))))*IF(INDEX(xe_input_vu_khi!$E$2:$E$66,MATCH(Xe!$AE$47,xe_input_vu_khi!$A$2:$A$66,0)),1,$D$47)*Xe!$AD$47</f>
        <v/>
      </c>
      <c r="F47" t="n">
        <v>39.6039603960396</v>
      </c>
      <c r="G47">
        <f>IF(INDEX(xe_input_vu_khi!$B$2:$B$66,MATCH(Xe!$AE$47,xe_input_vu_khi!$A$2:$A$66,0))&lt;=0,0,IF($B$47&gt;0,INDEX(xe_input_vu_khi!$B$2:$B$66,MATCH(Xe!$AE$47,xe_input_vu_khi!$A$2:$A$66,0))*$B$47/(MAX(0.05,INDEX(xe_input_vu_khi_suy_ra!$B$2:$B$66,MATCH(Xe!$AE$47,xe_input_vu_khi_suy_ra!$A$2:$A$66,0)))*MAX(1,CEILING($B$47/MAX(1,INDEX(xe_input_vu_khi!$C$2:$C$66,MATCH(Xe!$AE$47,xe_input_vu_khi!$A$2:$A$66,0))),1))+MAX(0,$C$47)),IF(INDEX(xe_input_vu_khi!$D$2:$D$66,MATCH(Xe!$AE$47,xe_input_vu_khi!$A$2:$A$66,0))&gt;0,INDEX(xe_input_vu_khi_suy_ra!$C$2:$C$66,MATCH(Xe!$AE$47,xe_input_vu_khi_suy_ra!$A$2:$A$66,0))*INDEX(xe_input_vu_khi!$D$2:$D$66,MATCH(Xe!$AE$47,xe_input_vu_khi!$A$2:$A$66,0))/(MAX(0.05,INDEX(xe_input_vu_khi_suy_ra!$B$2:$B$66,MATCH(Xe!$AE$47,xe_input_vu_khi_suy_ra!$A$2:$A$66,0)))*INDEX(xe_input_vu_khi!$D$2:$D$66,MATCH(Xe!$AE$47,xe_input_vu_khi!$A$2:$A$66,0))+INDEX(xe_input_vu_khi_suy_ra!$D$2:$D$66,MATCH(Xe!$AE$47,xe_input_vu_khi_suy_ra!$A$2:$A$66,0))),INDEX(xe_input_vu_khi_suy_ra!$C$2:$C$66,MATCH(Xe!$AE$47,xe_input_vu_khi_suy_ra!$A$2:$A$66,0))/MAX(0.05,INDEX(xe_input_vu_khi_suy_ra!$B$2:$B$66,MATCH(Xe!$AE$47,xe_input_vu_khi_suy_ra!$A$2:$A$66,0))))))*Xe!$AD$47</f>
        <v/>
      </c>
      <c r="H47" t="n">
        <v>39.6039603960396</v>
      </c>
      <c r="I47">
        <f>IF(AND(Xe!$I$47&gt;0,ISNUMBER(Xe!$K$47)),Xe!$K$47/Xe!$I$47,"")</f>
        <v/>
      </c>
      <c r="J47">
        <f>IF(Xe!$I$47&gt;0,$E$47/Xe!$I$47,"")</f>
        <v/>
      </c>
      <c r="K47">
        <f>IF(AND(Xe!$I$47&gt;0,ISNUMBER(Xe!$K$47)),Xe!$K$47/(Hoi_quy!$B$4*Xe!$I$47^Hoi_quy!$B$5),"")</f>
        <v/>
      </c>
      <c r="L47" t="n">
        <v>1</v>
      </c>
      <c r="M47" t="n">
        <v>1</v>
      </c>
      <c r="N47" t="n">
        <v>0</v>
      </c>
      <c r="O47" t="n">
        <v>2.5</v>
      </c>
      <c r="P47" t="inlineStr">
        <is>
          <t>Assets/MachineBrigade/Resources/Data/balance.json: vehicles[id=missile_boat] (lớp B trên 01_chien_dau/Xe)</t>
        </is>
      </c>
      <c r="Q47" t="inlineStr"/>
    </row>
    <row r="48">
      <c r="A48" t="inlineStr">
        <is>
          <t>mlrs</t>
        </is>
      </c>
      <c r="B48" t="n">
        <v>0</v>
      </c>
      <c r="C48" t="n">
        <v>0</v>
      </c>
      <c r="D48" t="n">
        <v>1</v>
      </c>
      <c r="E48">
        <f>IF(INDEX(xe_input_vu_khi!$B$2:$B$66,MATCH(Xe!$AE$48,xe_input_vu_khi!$A$2:$A$66,0))&lt;=0,0,IF($B$48&gt;0,INDEX(xe_input_vu_khi!$B$2:$B$66,MATCH(Xe!$AE$48,xe_input_vu_khi!$A$2:$A$66,0))*$B$48/(MAX(0.05,INDEX(xe_input_vu_khi_suy_ra!$B$2:$B$66,MATCH(Xe!$AE$48,xe_input_vu_khi_suy_ra!$A$2:$A$66,0)))*MAX(1,CEILING($B$48/MAX(1,INDEX(xe_input_vu_khi!$C$2:$C$66,MATCH(Xe!$AE$48,xe_input_vu_khi!$A$2:$A$66,0))),1))+MAX(0,$C$48)),IF(INDEX(xe_input_vu_khi!$D$2:$D$66,MATCH(Xe!$AE$48,xe_input_vu_khi!$A$2:$A$66,0))&gt;0,INDEX(xe_input_vu_khi_suy_ra!$C$2:$C$66,MATCH(Xe!$AE$48,xe_input_vu_khi_suy_ra!$A$2:$A$66,0))*INDEX(xe_input_vu_khi!$D$2:$D$66,MATCH(Xe!$AE$48,xe_input_vu_khi!$A$2:$A$66,0))/(MAX(0.05,INDEX(xe_input_vu_khi_suy_ra!$B$2:$B$66,MATCH(Xe!$AE$48,xe_input_vu_khi_suy_ra!$A$2:$A$66,0)))*INDEX(xe_input_vu_khi!$D$2:$D$66,MATCH(Xe!$AE$48,xe_input_vu_khi!$A$2:$A$66,0))+INDEX(xe_input_vu_khi_suy_ra!$D$2:$D$66,MATCH(Xe!$AE$48,xe_input_vu_khi_suy_ra!$A$2:$A$66,0))),INDEX(xe_input_vu_khi_suy_ra!$C$2:$C$66,MATCH(Xe!$AE$48,xe_input_vu_khi_suy_ra!$A$2:$A$66,0))/MAX(0.05,INDEX(xe_input_vu_khi_suy_ra!$B$2:$B$66,MATCH(Xe!$AE$48,xe_input_vu_khi_suy_ra!$A$2:$A$66,0))))))*IF(INDEX(xe_input_vu_khi!$E$2:$E$66,MATCH(Xe!$AE$48,xe_input_vu_khi!$A$2:$A$66,0)),1,$D$48)*Xe!$AD$48</f>
        <v/>
      </c>
      <c r="F48" t="n">
        <v>38.02948124979203</v>
      </c>
      <c r="G48">
        <f>IF(INDEX(xe_input_vu_khi!$B$2:$B$66,MATCH(Xe!$AE$48,xe_input_vu_khi!$A$2:$A$66,0))&lt;=0,0,IF($B$48&gt;0,INDEX(xe_input_vu_khi!$B$2:$B$66,MATCH(Xe!$AE$48,xe_input_vu_khi!$A$2:$A$66,0))*$B$48/(MAX(0.05,INDEX(xe_input_vu_khi_suy_ra!$B$2:$B$66,MATCH(Xe!$AE$48,xe_input_vu_khi_suy_ra!$A$2:$A$66,0)))*MAX(1,CEILING($B$48/MAX(1,INDEX(xe_input_vu_khi!$C$2:$C$66,MATCH(Xe!$AE$48,xe_input_vu_khi!$A$2:$A$66,0))),1))+MAX(0,$C$48)),IF(INDEX(xe_input_vu_khi!$D$2:$D$66,MATCH(Xe!$AE$48,xe_input_vu_khi!$A$2:$A$66,0))&gt;0,INDEX(xe_input_vu_khi_suy_ra!$C$2:$C$66,MATCH(Xe!$AE$48,xe_input_vu_khi_suy_ra!$A$2:$A$66,0))*INDEX(xe_input_vu_khi!$D$2:$D$66,MATCH(Xe!$AE$48,xe_input_vu_khi!$A$2:$A$66,0))/(MAX(0.05,INDEX(xe_input_vu_khi_suy_ra!$B$2:$B$66,MATCH(Xe!$AE$48,xe_input_vu_khi_suy_ra!$A$2:$A$66,0)))*INDEX(xe_input_vu_khi!$D$2:$D$66,MATCH(Xe!$AE$48,xe_input_vu_khi!$A$2:$A$66,0))+INDEX(xe_input_vu_khi_suy_ra!$D$2:$D$66,MATCH(Xe!$AE$48,xe_input_vu_khi_suy_ra!$A$2:$A$66,0))),INDEX(xe_input_vu_khi_suy_ra!$C$2:$C$66,MATCH(Xe!$AE$48,xe_input_vu_khi_suy_ra!$A$2:$A$66,0))/MAX(0.05,INDEX(xe_input_vu_khi_suy_ra!$B$2:$B$66,MATCH(Xe!$AE$48,xe_input_vu_khi_suy_ra!$A$2:$A$66,0))))))*Xe!$AD$48</f>
        <v/>
      </c>
      <c r="H48" t="n">
        <v>38.02948124979203</v>
      </c>
      <c r="I48">
        <f>IF(AND(Xe!$I$48&gt;0,ISNUMBER(Xe!$K$48)),Xe!$K$48/Xe!$I$48,"")</f>
        <v/>
      </c>
      <c r="J48">
        <f>IF(Xe!$I$48&gt;0,$E$48/Xe!$I$48,"")</f>
        <v/>
      </c>
      <c r="K48">
        <f>IF(AND(Xe!$I$48&gt;0,ISNUMBER(Xe!$K$48)),Xe!$K$48/(Hoi_quy!$B$4*Xe!$I$48^Hoi_quy!$B$5),"")</f>
        <v/>
      </c>
      <c r="L48" t="n">
        <v>2</v>
      </c>
      <c r="M48" t="n">
        <v>1.15</v>
      </c>
      <c r="N48" t="n">
        <v>0</v>
      </c>
      <c r="O48" t="n">
        <v>3.5</v>
      </c>
      <c r="P48" t="inlineStr">
        <is>
          <t>Assets/MachineBrigade/Resources/Data/balance.json: vehicles[id=mlrs] (lớp B trên 01_chien_dau/Xe)</t>
        </is>
      </c>
      <c r="Q48" t="inlineStr"/>
    </row>
    <row r="49">
      <c r="A49" t="inlineStr">
        <is>
          <t>mortar_carrier</t>
        </is>
      </c>
      <c r="B49" t="n">
        <v>0</v>
      </c>
      <c r="C49" t="n">
        <v>0</v>
      </c>
      <c r="D49" t="n">
        <v>1</v>
      </c>
      <c r="E49">
        <f>IF(INDEX(xe_input_vu_khi!$B$2:$B$66,MATCH(Xe!$AE$49,xe_input_vu_khi!$A$2:$A$66,0))&lt;=0,0,IF($B$49&gt;0,INDEX(xe_input_vu_khi!$B$2:$B$66,MATCH(Xe!$AE$49,xe_input_vu_khi!$A$2:$A$66,0))*$B$49/(MAX(0.05,INDEX(xe_input_vu_khi_suy_ra!$B$2:$B$66,MATCH(Xe!$AE$49,xe_input_vu_khi_suy_ra!$A$2:$A$66,0)))*MAX(1,CEILING($B$49/MAX(1,INDEX(xe_input_vu_khi!$C$2:$C$66,MATCH(Xe!$AE$49,xe_input_vu_khi!$A$2:$A$66,0))),1))+MAX(0,$C$49)),IF(INDEX(xe_input_vu_khi!$D$2:$D$66,MATCH(Xe!$AE$49,xe_input_vu_khi!$A$2:$A$66,0))&gt;0,INDEX(xe_input_vu_khi_suy_ra!$C$2:$C$66,MATCH(Xe!$AE$49,xe_input_vu_khi_suy_ra!$A$2:$A$66,0))*INDEX(xe_input_vu_khi!$D$2:$D$66,MATCH(Xe!$AE$49,xe_input_vu_khi!$A$2:$A$66,0))/(MAX(0.05,INDEX(xe_input_vu_khi_suy_ra!$B$2:$B$66,MATCH(Xe!$AE$49,xe_input_vu_khi_suy_ra!$A$2:$A$66,0)))*INDEX(xe_input_vu_khi!$D$2:$D$66,MATCH(Xe!$AE$49,xe_input_vu_khi!$A$2:$A$66,0))+INDEX(xe_input_vu_khi_suy_ra!$D$2:$D$66,MATCH(Xe!$AE$49,xe_input_vu_khi_suy_ra!$A$2:$A$66,0))),INDEX(xe_input_vu_khi_suy_ra!$C$2:$C$66,MATCH(Xe!$AE$49,xe_input_vu_khi_suy_ra!$A$2:$A$66,0))/MAX(0.05,INDEX(xe_input_vu_khi_suy_ra!$B$2:$B$66,MATCH(Xe!$AE$49,xe_input_vu_khi_suy_ra!$A$2:$A$66,0))))))*IF(INDEX(xe_input_vu_khi!$E$2:$E$66,MATCH(Xe!$AE$49,xe_input_vu_khi!$A$2:$A$66,0)),1,$D$49)*Xe!$AD$49</f>
        <v/>
      </c>
      <c r="F49" t="n">
        <v>23.44434706397897</v>
      </c>
      <c r="G49">
        <f>IF(INDEX(xe_input_vu_khi!$B$2:$B$66,MATCH(Xe!$AE$49,xe_input_vu_khi!$A$2:$A$66,0))&lt;=0,0,IF($B$49&gt;0,INDEX(xe_input_vu_khi!$B$2:$B$66,MATCH(Xe!$AE$49,xe_input_vu_khi!$A$2:$A$66,0))*$B$49/(MAX(0.05,INDEX(xe_input_vu_khi_suy_ra!$B$2:$B$66,MATCH(Xe!$AE$49,xe_input_vu_khi_suy_ra!$A$2:$A$66,0)))*MAX(1,CEILING($B$49/MAX(1,INDEX(xe_input_vu_khi!$C$2:$C$66,MATCH(Xe!$AE$49,xe_input_vu_khi!$A$2:$A$66,0))),1))+MAX(0,$C$49)),IF(INDEX(xe_input_vu_khi!$D$2:$D$66,MATCH(Xe!$AE$49,xe_input_vu_khi!$A$2:$A$66,0))&gt;0,INDEX(xe_input_vu_khi_suy_ra!$C$2:$C$66,MATCH(Xe!$AE$49,xe_input_vu_khi_suy_ra!$A$2:$A$66,0))*INDEX(xe_input_vu_khi!$D$2:$D$66,MATCH(Xe!$AE$49,xe_input_vu_khi!$A$2:$A$66,0))/(MAX(0.05,INDEX(xe_input_vu_khi_suy_ra!$B$2:$B$66,MATCH(Xe!$AE$49,xe_input_vu_khi_suy_ra!$A$2:$A$66,0)))*INDEX(xe_input_vu_khi!$D$2:$D$66,MATCH(Xe!$AE$49,xe_input_vu_khi!$A$2:$A$66,0))+INDEX(xe_input_vu_khi_suy_ra!$D$2:$D$66,MATCH(Xe!$AE$49,xe_input_vu_khi_suy_ra!$A$2:$A$66,0))),INDEX(xe_input_vu_khi_suy_ra!$C$2:$C$66,MATCH(Xe!$AE$49,xe_input_vu_khi_suy_ra!$A$2:$A$66,0))/MAX(0.05,INDEX(xe_input_vu_khi_suy_ra!$B$2:$B$66,MATCH(Xe!$AE$49,xe_input_vu_khi_suy_ra!$A$2:$A$66,0))))))*Xe!$AD$49</f>
        <v/>
      </c>
      <c r="H49" t="n">
        <v>23.44434706397897</v>
      </c>
      <c r="I49">
        <f>IF(AND(Xe!$I$49&gt;0,ISNUMBER(Xe!$K$49)),Xe!$K$49/Xe!$I$49,"")</f>
        <v/>
      </c>
      <c r="J49">
        <f>IF(Xe!$I$49&gt;0,$E$49/Xe!$I$49,"")</f>
        <v/>
      </c>
      <c r="K49">
        <f>IF(AND(Xe!$I$49&gt;0,ISNUMBER(Xe!$K$49)),Xe!$K$49/(Hoi_quy!$B$4*Xe!$I$49^Hoi_quy!$B$5),"")</f>
        <v/>
      </c>
      <c r="L49" t="n">
        <v>1</v>
      </c>
      <c r="M49" t="n">
        <v>1</v>
      </c>
      <c r="N49" t="n">
        <v>0</v>
      </c>
      <c r="O49" t="n">
        <v>2.5</v>
      </c>
      <c r="P49" t="inlineStr">
        <is>
          <t>Assets/MachineBrigade/Resources/Data/balance.json: vehicles[id=mortar_carrier] (lớp B trên 01_chien_dau/Xe)</t>
        </is>
      </c>
      <c r="Q49" t="inlineStr"/>
    </row>
    <row r="50">
      <c r="A50" t="inlineStr">
        <is>
          <t>next_gen_tank</t>
        </is>
      </c>
      <c r="B50" t="n">
        <v>0</v>
      </c>
      <c r="C50" t="n">
        <v>0</v>
      </c>
      <c r="D50" t="n">
        <v>1</v>
      </c>
      <c r="E50">
        <f>IF(INDEX(xe_input_vu_khi!$B$2:$B$66,MATCH(Xe!$AE$50,xe_input_vu_khi!$A$2:$A$66,0))&lt;=0,0,IF($B$50&gt;0,INDEX(xe_input_vu_khi!$B$2:$B$66,MATCH(Xe!$AE$50,xe_input_vu_khi!$A$2:$A$66,0))*$B$50/(MAX(0.05,INDEX(xe_input_vu_khi_suy_ra!$B$2:$B$66,MATCH(Xe!$AE$50,xe_input_vu_khi_suy_ra!$A$2:$A$66,0)))*MAX(1,CEILING($B$50/MAX(1,INDEX(xe_input_vu_khi!$C$2:$C$66,MATCH(Xe!$AE$50,xe_input_vu_khi!$A$2:$A$66,0))),1))+MAX(0,$C$50)),IF(INDEX(xe_input_vu_khi!$D$2:$D$66,MATCH(Xe!$AE$50,xe_input_vu_khi!$A$2:$A$66,0))&gt;0,INDEX(xe_input_vu_khi_suy_ra!$C$2:$C$66,MATCH(Xe!$AE$50,xe_input_vu_khi_suy_ra!$A$2:$A$66,0))*INDEX(xe_input_vu_khi!$D$2:$D$66,MATCH(Xe!$AE$50,xe_input_vu_khi!$A$2:$A$66,0))/(MAX(0.05,INDEX(xe_input_vu_khi_suy_ra!$B$2:$B$66,MATCH(Xe!$AE$50,xe_input_vu_khi_suy_ra!$A$2:$A$66,0)))*INDEX(xe_input_vu_khi!$D$2:$D$66,MATCH(Xe!$AE$50,xe_input_vu_khi!$A$2:$A$66,0))+INDEX(xe_input_vu_khi_suy_ra!$D$2:$D$66,MATCH(Xe!$AE$50,xe_input_vu_khi_suy_ra!$A$2:$A$66,0))),INDEX(xe_input_vu_khi_suy_ra!$C$2:$C$66,MATCH(Xe!$AE$50,xe_input_vu_khi_suy_ra!$A$2:$A$66,0))/MAX(0.05,INDEX(xe_input_vu_khi_suy_ra!$B$2:$B$66,MATCH(Xe!$AE$50,xe_input_vu_khi_suy_ra!$A$2:$A$66,0))))))*IF(INDEX(xe_input_vu_khi!$E$2:$E$66,MATCH(Xe!$AE$50,xe_input_vu_khi!$A$2:$A$66,0)),1,$D$50)*Xe!$AD$50</f>
        <v/>
      </c>
      <c r="F50" t="n">
        <v>65.86379672406552</v>
      </c>
      <c r="G50">
        <f>IF(INDEX(xe_input_vu_khi!$B$2:$B$66,MATCH(Xe!$AE$50,xe_input_vu_khi!$A$2:$A$66,0))&lt;=0,0,IF($B$50&gt;0,INDEX(xe_input_vu_khi!$B$2:$B$66,MATCH(Xe!$AE$50,xe_input_vu_khi!$A$2:$A$66,0))*$B$50/(MAX(0.05,INDEX(xe_input_vu_khi_suy_ra!$B$2:$B$66,MATCH(Xe!$AE$50,xe_input_vu_khi_suy_ra!$A$2:$A$66,0)))*MAX(1,CEILING($B$50/MAX(1,INDEX(xe_input_vu_khi!$C$2:$C$66,MATCH(Xe!$AE$50,xe_input_vu_khi!$A$2:$A$66,0))),1))+MAX(0,$C$50)),IF(INDEX(xe_input_vu_khi!$D$2:$D$66,MATCH(Xe!$AE$50,xe_input_vu_khi!$A$2:$A$66,0))&gt;0,INDEX(xe_input_vu_khi_suy_ra!$C$2:$C$66,MATCH(Xe!$AE$50,xe_input_vu_khi_suy_ra!$A$2:$A$66,0))*INDEX(xe_input_vu_khi!$D$2:$D$66,MATCH(Xe!$AE$50,xe_input_vu_khi!$A$2:$A$66,0))/(MAX(0.05,INDEX(xe_input_vu_khi_suy_ra!$B$2:$B$66,MATCH(Xe!$AE$50,xe_input_vu_khi_suy_ra!$A$2:$A$66,0)))*INDEX(xe_input_vu_khi!$D$2:$D$66,MATCH(Xe!$AE$50,xe_input_vu_khi!$A$2:$A$66,0))+INDEX(xe_input_vu_khi_suy_ra!$D$2:$D$66,MATCH(Xe!$AE$50,xe_input_vu_khi_suy_ra!$A$2:$A$66,0))),INDEX(xe_input_vu_khi_suy_ra!$C$2:$C$66,MATCH(Xe!$AE$50,xe_input_vu_khi_suy_ra!$A$2:$A$66,0))/MAX(0.05,INDEX(xe_input_vu_khi_suy_ra!$B$2:$B$66,MATCH(Xe!$AE$50,xe_input_vu_khi_suy_ra!$A$2:$A$66,0))))))*Xe!$AD$50</f>
        <v/>
      </c>
      <c r="H50" t="n">
        <v>65.86379672406552</v>
      </c>
      <c r="I50">
        <f>IF(AND(Xe!$I$50&gt;0,ISNUMBER(Xe!$K$50)),Xe!$K$50/Xe!$I$50,"")</f>
        <v/>
      </c>
      <c r="J50">
        <f>IF(Xe!$I$50&gt;0,$E$50/Xe!$I$50,"")</f>
        <v/>
      </c>
      <c r="K50">
        <f>IF(AND(Xe!$I$50&gt;0,ISNUMBER(Xe!$K$50)),Xe!$K$50/(Hoi_quy!$B$4*Xe!$I$50^Hoi_quy!$B$5),"")</f>
        <v/>
      </c>
      <c r="L50" t="n">
        <v>3</v>
      </c>
      <c r="M50" t="n">
        <v>1.25</v>
      </c>
      <c r="N50" t="n">
        <v>0.0375</v>
      </c>
      <c r="O50" t="n">
        <v>3.5</v>
      </c>
      <c r="P50" t="inlineStr">
        <is>
          <t>Assets/MachineBrigade/Resources/Data/balance.json: vehicles[id=next_gen_tank] (lớp B trên 01_chien_dau/Xe)</t>
        </is>
      </c>
      <c r="Q50" t="inlineStr"/>
    </row>
    <row r="51">
      <c r="A51" t="inlineStr">
        <is>
          <t>railgun_truck</t>
        </is>
      </c>
      <c r="B51" t="n">
        <v>0</v>
      </c>
      <c r="C51" t="n">
        <v>0</v>
      </c>
      <c r="D51" t="n">
        <v>1</v>
      </c>
      <c r="E51">
        <f>IF(INDEX(xe_input_vu_khi!$B$2:$B$66,MATCH(Xe!$AE$51,xe_input_vu_khi!$A$2:$A$66,0))&lt;=0,0,IF($B$51&gt;0,INDEX(xe_input_vu_khi!$B$2:$B$66,MATCH(Xe!$AE$51,xe_input_vu_khi!$A$2:$A$66,0))*$B$51/(MAX(0.05,INDEX(xe_input_vu_khi_suy_ra!$B$2:$B$66,MATCH(Xe!$AE$51,xe_input_vu_khi_suy_ra!$A$2:$A$66,0)))*MAX(1,CEILING($B$51/MAX(1,INDEX(xe_input_vu_khi!$C$2:$C$66,MATCH(Xe!$AE$51,xe_input_vu_khi!$A$2:$A$66,0))),1))+MAX(0,$C$51)),IF(INDEX(xe_input_vu_khi!$D$2:$D$66,MATCH(Xe!$AE$51,xe_input_vu_khi!$A$2:$A$66,0))&gt;0,INDEX(xe_input_vu_khi_suy_ra!$C$2:$C$66,MATCH(Xe!$AE$51,xe_input_vu_khi_suy_ra!$A$2:$A$66,0))*INDEX(xe_input_vu_khi!$D$2:$D$66,MATCH(Xe!$AE$51,xe_input_vu_khi!$A$2:$A$66,0))/(MAX(0.05,INDEX(xe_input_vu_khi_suy_ra!$B$2:$B$66,MATCH(Xe!$AE$51,xe_input_vu_khi_suy_ra!$A$2:$A$66,0)))*INDEX(xe_input_vu_khi!$D$2:$D$66,MATCH(Xe!$AE$51,xe_input_vu_khi!$A$2:$A$66,0))+INDEX(xe_input_vu_khi_suy_ra!$D$2:$D$66,MATCH(Xe!$AE$51,xe_input_vu_khi_suy_ra!$A$2:$A$66,0))),INDEX(xe_input_vu_khi_suy_ra!$C$2:$C$66,MATCH(Xe!$AE$51,xe_input_vu_khi_suy_ra!$A$2:$A$66,0))/MAX(0.05,INDEX(xe_input_vu_khi_suy_ra!$B$2:$B$66,MATCH(Xe!$AE$51,xe_input_vu_khi_suy_ra!$A$2:$A$66,0))))))*IF(INDEX(xe_input_vu_khi!$E$2:$E$66,MATCH(Xe!$AE$51,xe_input_vu_khi!$A$2:$A$66,0)),1,$D$51)*Xe!$AD$51</f>
        <v/>
      </c>
      <c r="F51" t="n">
        <v>100.6375714285714</v>
      </c>
      <c r="G51">
        <f>IF(INDEX(xe_input_vu_khi!$B$2:$B$66,MATCH(Xe!$AE$51,xe_input_vu_khi!$A$2:$A$66,0))&lt;=0,0,IF($B$51&gt;0,INDEX(xe_input_vu_khi!$B$2:$B$66,MATCH(Xe!$AE$51,xe_input_vu_khi!$A$2:$A$66,0))*$B$51/(MAX(0.05,INDEX(xe_input_vu_khi_suy_ra!$B$2:$B$66,MATCH(Xe!$AE$51,xe_input_vu_khi_suy_ra!$A$2:$A$66,0)))*MAX(1,CEILING($B$51/MAX(1,INDEX(xe_input_vu_khi!$C$2:$C$66,MATCH(Xe!$AE$51,xe_input_vu_khi!$A$2:$A$66,0))),1))+MAX(0,$C$51)),IF(INDEX(xe_input_vu_khi!$D$2:$D$66,MATCH(Xe!$AE$51,xe_input_vu_khi!$A$2:$A$66,0))&gt;0,INDEX(xe_input_vu_khi_suy_ra!$C$2:$C$66,MATCH(Xe!$AE$51,xe_input_vu_khi_suy_ra!$A$2:$A$66,0))*INDEX(xe_input_vu_khi!$D$2:$D$66,MATCH(Xe!$AE$51,xe_input_vu_khi!$A$2:$A$66,0))/(MAX(0.05,INDEX(xe_input_vu_khi_suy_ra!$B$2:$B$66,MATCH(Xe!$AE$51,xe_input_vu_khi_suy_ra!$A$2:$A$66,0)))*INDEX(xe_input_vu_khi!$D$2:$D$66,MATCH(Xe!$AE$51,xe_input_vu_khi!$A$2:$A$66,0))+INDEX(xe_input_vu_khi_suy_ra!$D$2:$D$66,MATCH(Xe!$AE$51,xe_input_vu_khi_suy_ra!$A$2:$A$66,0))),INDEX(xe_input_vu_khi_suy_ra!$C$2:$C$66,MATCH(Xe!$AE$51,xe_input_vu_khi_suy_ra!$A$2:$A$66,0))/MAX(0.05,INDEX(xe_input_vu_khi_suy_ra!$B$2:$B$66,MATCH(Xe!$AE$51,xe_input_vu_khi_suy_ra!$A$2:$A$66,0))))))*Xe!$AD$51</f>
        <v/>
      </c>
      <c r="H51" t="n">
        <v>100.6375714285714</v>
      </c>
      <c r="I51">
        <f>IF(AND(Xe!$I$51&gt;0,ISNUMBER(Xe!$K$51)),Xe!$K$51/Xe!$I$51,"")</f>
        <v/>
      </c>
      <c r="J51">
        <f>IF(Xe!$I$51&gt;0,$E$51/Xe!$I$51,"")</f>
        <v/>
      </c>
      <c r="K51">
        <f>IF(AND(Xe!$I$51&gt;0,ISNUMBER(Xe!$K$51)),Xe!$K$51/(Hoi_quy!$B$4*Xe!$I$51^Hoi_quy!$B$5),"")</f>
        <v/>
      </c>
      <c r="L51" t="n">
        <v>3</v>
      </c>
      <c r="M51" t="n">
        <v>1.25</v>
      </c>
      <c r="N51" t="n">
        <v>0.0625</v>
      </c>
      <c r="O51" t="n">
        <v>3.5</v>
      </c>
      <c r="P51" t="inlineStr">
        <is>
          <t>Assets/MachineBrigade/Resources/Data/balance.json: vehicles[id=railgun_truck] (lớp B trên 01_chien_dau/Xe)</t>
        </is>
      </c>
      <c r="Q51" t="inlineStr"/>
    </row>
    <row r="52">
      <c r="A52" t="inlineStr">
        <is>
          <t>recoilless_jeep</t>
        </is>
      </c>
      <c r="B52" t="n">
        <v>0</v>
      </c>
      <c r="C52" t="n">
        <v>0</v>
      </c>
      <c r="D52" t="n">
        <v>1</v>
      </c>
      <c r="E52">
        <f>IF(INDEX(xe_input_vu_khi!$B$2:$B$66,MATCH(Xe!$AE$52,xe_input_vu_khi!$A$2:$A$66,0))&lt;=0,0,IF($B$52&gt;0,INDEX(xe_input_vu_khi!$B$2:$B$66,MATCH(Xe!$AE$52,xe_input_vu_khi!$A$2:$A$66,0))*$B$52/(MAX(0.05,INDEX(xe_input_vu_khi_suy_ra!$B$2:$B$66,MATCH(Xe!$AE$52,xe_input_vu_khi_suy_ra!$A$2:$A$66,0)))*MAX(1,CEILING($B$52/MAX(1,INDEX(xe_input_vu_khi!$C$2:$C$66,MATCH(Xe!$AE$52,xe_input_vu_khi!$A$2:$A$66,0))),1))+MAX(0,$C$52)),IF(INDEX(xe_input_vu_khi!$D$2:$D$66,MATCH(Xe!$AE$52,xe_input_vu_khi!$A$2:$A$66,0))&gt;0,INDEX(xe_input_vu_khi_suy_ra!$C$2:$C$66,MATCH(Xe!$AE$52,xe_input_vu_khi_suy_ra!$A$2:$A$66,0))*INDEX(xe_input_vu_khi!$D$2:$D$66,MATCH(Xe!$AE$52,xe_input_vu_khi!$A$2:$A$66,0))/(MAX(0.05,INDEX(xe_input_vu_khi_suy_ra!$B$2:$B$66,MATCH(Xe!$AE$52,xe_input_vu_khi_suy_ra!$A$2:$A$66,0)))*INDEX(xe_input_vu_khi!$D$2:$D$66,MATCH(Xe!$AE$52,xe_input_vu_khi!$A$2:$A$66,0))+INDEX(xe_input_vu_khi_suy_ra!$D$2:$D$66,MATCH(Xe!$AE$52,xe_input_vu_khi_suy_ra!$A$2:$A$66,0))),INDEX(xe_input_vu_khi_suy_ra!$C$2:$C$66,MATCH(Xe!$AE$52,xe_input_vu_khi_suy_ra!$A$2:$A$66,0))/MAX(0.05,INDEX(xe_input_vu_khi_suy_ra!$B$2:$B$66,MATCH(Xe!$AE$52,xe_input_vu_khi_suy_ra!$A$2:$A$66,0))))))*IF(INDEX(xe_input_vu_khi!$E$2:$E$66,MATCH(Xe!$AE$52,xe_input_vu_khi!$A$2:$A$66,0)),1,$D$52)*Xe!$AD$52</f>
        <v/>
      </c>
      <c r="F52" t="n">
        <v>32.96934061318774</v>
      </c>
      <c r="G52">
        <f>IF(INDEX(xe_input_vu_khi!$B$2:$B$66,MATCH(Xe!$AE$52,xe_input_vu_khi!$A$2:$A$66,0))&lt;=0,0,IF($B$52&gt;0,INDEX(xe_input_vu_khi!$B$2:$B$66,MATCH(Xe!$AE$52,xe_input_vu_khi!$A$2:$A$66,0))*$B$52/(MAX(0.05,INDEX(xe_input_vu_khi_suy_ra!$B$2:$B$66,MATCH(Xe!$AE$52,xe_input_vu_khi_suy_ra!$A$2:$A$66,0)))*MAX(1,CEILING($B$52/MAX(1,INDEX(xe_input_vu_khi!$C$2:$C$66,MATCH(Xe!$AE$52,xe_input_vu_khi!$A$2:$A$66,0))),1))+MAX(0,$C$52)),IF(INDEX(xe_input_vu_khi!$D$2:$D$66,MATCH(Xe!$AE$52,xe_input_vu_khi!$A$2:$A$66,0))&gt;0,INDEX(xe_input_vu_khi_suy_ra!$C$2:$C$66,MATCH(Xe!$AE$52,xe_input_vu_khi_suy_ra!$A$2:$A$66,0))*INDEX(xe_input_vu_khi!$D$2:$D$66,MATCH(Xe!$AE$52,xe_input_vu_khi!$A$2:$A$66,0))/(MAX(0.05,INDEX(xe_input_vu_khi_suy_ra!$B$2:$B$66,MATCH(Xe!$AE$52,xe_input_vu_khi_suy_ra!$A$2:$A$66,0)))*INDEX(xe_input_vu_khi!$D$2:$D$66,MATCH(Xe!$AE$52,xe_input_vu_khi!$A$2:$A$66,0))+INDEX(xe_input_vu_khi_suy_ra!$D$2:$D$66,MATCH(Xe!$AE$52,xe_input_vu_khi_suy_ra!$A$2:$A$66,0))),INDEX(xe_input_vu_khi_suy_ra!$C$2:$C$66,MATCH(Xe!$AE$52,xe_input_vu_khi_suy_ra!$A$2:$A$66,0))/MAX(0.05,INDEX(xe_input_vu_khi_suy_ra!$B$2:$B$66,MATCH(Xe!$AE$52,xe_input_vu_khi_suy_ra!$A$2:$A$66,0))))))*Xe!$AD$52</f>
        <v/>
      </c>
      <c r="H52" t="n">
        <v>32.96934061318774</v>
      </c>
      <c r="I52">
        <f>IF(AND(Xe!$I$52&gt;0,ISNUMBER(Xe!$K$52)),Xe!$K$52/Xe!$I$52,"")</f>
        <v/>
      </c>
      <c r="J52">
        <f>IF(Xe!$I$52&gt;0,$E$52/Xe!$I$52,"")</f>
        <v/>
      </c>
      <c r="K52">
        <f>IF(AND(Xe!$I$52&gt;0,ISNUMBER(Xe!$K$52)),Xe!$K$52/(Hoi_quy!$B$4*Xe!$I$52^Hoi_quy!$B$5),"")</f>
        <v/>
      </c>
      <c r="L52" t="n">
        <v>1</v>
      </c>
      <c r="M52" t="n">
        <v>1</v>
      </c>
      <c r="N52" t="n">
        <v>0</v>
      </c>
      <c r="O52" t="n">
        <v>2.5</v>
      </c>
      <c r="P52" t="inlineStr">
        <is>
          <t>Assets/MachineBrigade/Resources/Data/balance.json: vehicles[id=recoilless_jeep] (lớp B trên 01_chien_dau/Xe)</t>
        </is>
      </c>
      <c r="Q52" t="inlineStr"/>
    </row>
    <row r="53">
      <c r="A53" t="inlineStr">
        <is>
          <t>recon_drone</t>
        </is>
      </c>
      <c r="B53" t="n">
        <v>4</v>
      </c>
      <c r="C53" t="n">
        <v>8.5</v>
      </c>
      <c r="D53" t="n">
        <v>1</v>
      </c>
      <c r="E53">
        <f>IF(INDEX(xe_input_vu_khi!$B$2:$B$66,MATCH(Xe!$AE$53,xe_input_vu_khi!$A$2:$A$66,0))&lt;=0,0,IF($B$53&gt;0,INDEX(xe_input_vu_khi!$B$2:$B$66,MATCH(Xe!$AE$53,xe_input_vu_khi!$A$2:$A$66,0))*$B$53/(MAX(0.05,INDEX(xe_input_vu_khi_suy_ra!$B$2:$B$66,MATCH(Xe!$AE$53,xe_input_vu_khi_suy_ra!$A$2:$A$66,0)))*MAX(1,CEILING($B$53/MAX(1,INDEX(xe_input_vu_khi!$C$2:$C$66,MATCH(Xe!$AE$53,xe_input_vu_khi!$A$2:$A$66,0))),1))+MAX(0,$C$53)),IF(INDEX(xe_input_vu_khi!$D$2:$D$66,MATCH(Xe!$AE$53,xe_input_vu_khi!$A$2:$A$66,0))&gt;0,INDEX(xe_input_vu_khi_suy_ra!$C$2:$C$66,MATCH(Xe!$AE$53,xe_input_vu_khi_suy_ra!$A$2:$A$66,0))*INDEX(xe_input_vu_khi!$D$2:$D$66,MATCH(Xe!$AE$53,xe_input_vu_khi!$A$2:$A$66,0))/(MAX(0.05,INDEX(xe_input_vu_khi_suy_ra!$B$2:$B$66,MATCH(Xe!$AE$53,xe_input_vu_khi_suy_ra!$A$2:$A$66,0)))*INDEX(xe_input_vu_khi!$D$2:$D$66,MATCH(Xe!$AE$53,xe_input_vu_khi!$A$2:$A$66,0))+INDEX(xe_input_vu_khi_suy_ra!$D$2:$D$66,MATCH(Xe!$AE$53,xe_input_vu_khi_suy_ra!$A$2:$A$66,0))),INDEX(xe_input_vu_khi_suy_ra!$C$2:$C$66,MATCH(Xe!$AE$53,xe_input_vu_khi_suy_ra!$A$2:$A$66,0))/MAX(0.05,INDEX(xe_input_vu_khi_suy_ra!$B$2:$B$66,MATCH(Xe!$AE$53,xe_input_vu_khi_suy_ra!$A$2:$A$66,0))))))*IF(INDEX(xe_input_vu_khi!$E$2:$E$66,MATCH(Xe!$AE$53,xe_input_vu_khi!$A$2:$A$66,0)),1,$D$53)*Xe!$AD$53</f>
        <v/>
      </c>
      <c r="F53" t="n">
        <v>16.16281443674809</v>
      </c>
      <c r="G53">
        <f>IF(INDEX(xe_input_vu_khi!$B$2:$B$66,MATCH(Xe!$AE$53,xe_input_vu_khi!$A$2:$A$66,0))&lt;=0,0,IF($B$53&gt;0,INDEX(xe_input_vu_khi!$B$2:$B$66,MATCH(Xe!$AE$53,xe_input_vu_khi!$A$2:$A$66,0))*$B$53/(MAX(0.05,INDEX(xe_input_vu_khi_suy_ra!$B$2:$B$66,MATCH(Xe!$AE$53,xe_input_vu_khi_suy_ra!$A$2:$A$66,0)))*MAX(1,CEILING($B$53/MAX(1,INDEX(xe_input_vu_khi!$C$2:$C$66,MATCH(Xe!$AE$53,xe_input_vu_khi!$A$2:$A$66,0))),1))+MAX(0,$C$53)),IF(INDEX(xe_input_vu_khi!$D$2:$D$66,MATCH(Xe!$AE$53,xe_input_vu_khi!$A$2:$A$66,0))&gt;0,INDEX(xe_input_vu_khi_suy_ra!$C$2:$C$66,MATCH(Xe!$AE$53,xe_input_vu_khi_suy_ra!$A$2:$A$66,0))*INDEX(xe_input_vu_khi!$D$2:$D$66,MATCH(Xe!$AE$53,xe_input_vu_khi!$A$2:$A$66,0))/(MAX(0.05,INDEX(xe_input_vu_khi_suy_ra!$B$2:$B$66,MATCH(Xe!$AE$53,xe_input_vu_khi_suy_ra!$A$2:$A$66,0)))*INDEX(xe_input_vu_khi!$D$2:$D$66,MATCH(Xe!$AE$53,xe_input_vu_khi!$A$2:$A$66,0))+INDEX(xe_input_vu_khi_suy_ra!$D$2:$D$66,MATCH(Xe!$AE$53,xe_input_vu_khi_suy_ra!$A$2:$A$66,0))),INDEX(xe_input_vu_khi_suy_ra!$C$2:$C$66,MATCH(Xe!$AE$53,xe_input_vu_khi_suy_ra!$A$2:$A$66,0))/MAX(0.05,INDEX(xe_input_vu_khi_suy_ra!$B$2:$B$66,MATCH(Xe!$AE$53,xe_input_vu_khi_suy_ra!$A$2:$A$66,0))))))*Xe!$AD$53</f>
        <v/>
      </c>
      <c r="H53" t="n">
        <v>16.16281443674809</v>
      </c>
      <c r="I53">
        <f>IF(AND(Xe!$I$53&gt;0,ISNUMBER(Xe!$K$53)),Xe!$K$53/Xe!$I$53,"")</f>
        <v/>
      </c>
      <c r="J53">
        <f>IF(Xe!$I$53&gt;0,$E$53/Xe!$I$53,"")</f>
        <v/>
      </c>
      <c r="K53">
        <f>IF(AND(Xe!$I$53&gt;0,ISNUMBER(Xe!$K$53)),Xe!$K$53/(Hoi_quy!$B$4*Xe!$I$53^Hoi_quy!$B$5),"")</f>
        <v/>
      </c>
      <c r="L53" t="n">
        <v>2</v>
      </c>
      <c r="M53" t="n">
        <v>1.15</v>
      </c>
      <c r="N53" t="n">
        <v>0</v>
      </c>
      <c r="O53" t="n">
        <v>3.5</v>
      </c>
      <c r="P53" t="inlineStr">
        <is>
          <t>Assets/MachineBrigade/Resources/Data/balance.json: vehicles[id=recon_drone] (lớp B trên 01_chien_dau/Xe)</t>
        </is>
      </c>
      <c r="Q53" t="inlineStr"/>
    </row>
    <row r="54">
      <c r="A54" t="inlineStr">
        <is>
          <t>river_gunboat</t>
        </is>
      </c>
      <c r="B54" t="n">
        <v>0</v>
      </c>
      <c r="C54" t="n">
        <v>0</v>
      </c>
      <c r="D54" t="n">
        <v>1</v>
      </c>
      <c r="E54">
        <f>IF(INDEX(xe_input_vu_khi!$B$2:$B$66,MATCH(Xe!$AE$54,xe_input_vu_khi!$A$2:$A$66,0))&lt;=0,0,IF($B$54&gt;0,INDEX(xe_input_vu_khi!$B$2:$B$66,MATCH(Xe!$AE$54,xe_input_vu_khi!$A$2:$A$66,0))*$B$54/(MAX(0.05,INDEX(xe_input_vu_khi_suy_ra!$B$2:$B$66,MATCH(Xe!$AE$54,xe_input_vu_khi_suy_ra!$A$2:$A$66,0)))*MAX(1,CEILING($B$54/MAX(1,INDEX(xe_input_vu_khi!$C$2:$C$66,MATCH(Xe!$AE$54,xe_input_vu_khi!$A$2:$A$66,0))),1))+MAX(0,$C$54)),IF(INDEX(xe_input_vu_khi!$D$2:$D$66,MATCH(Xe!$AE$54,xe_input_vu_khi!$A$2:$A$66,0))&gt;0,INDEX(xe_input_vu_khi_suy_ra!$C$2:$C$66,MATCH(Xe!$AE$54,xe_input_vu_khi_suy_ra!$A$2:$A$66,0))*INDEX(xe_input_vu_khi!$D$2:$D$66,MATCH(Xe!$AE$54,xe_input_vu_khi!$A$2:$A$66,0))/(MAX(0.05,INDEX(xe_input_vu_khi_suy_ra!$B$2:$B$66,MATCH(Xe!$AE$54,xe_input_vu_khi_suy_ra!$A$2:$A$66,0)))*INDEX(xe_input_vu_khi!$D$2:$D$66,MATCH(Xe!$AE$54,xe_input_vu_khi!$A$2:$A$66,0))+INDEX(xe_input_vu_khi_suy_ra!$D$2:$D$66,MATCH(Xe!$AE$54,xe_input_vu_khi_suy_ra!$A$2:$A$66,0))),INDEX(xe_input_vu_khi_suy_ra!$C$2:$C$66,MATCH(Xe!$AE$54,xe_input_vu_khi_suy_ra!$A$2:$A$66,0))/MAX(0.05,INDEX(xe_input_vu_khi_suy_ra!$B$2:$B$66,MATCH(Xe!$AE$54,xe_input_vu_khi_suy_ra!$A$2:$A$66,0))))))*IF(INDEX(xe_input_vu_khi!$E$2:$E$66,MATCH(Xe!$AE$54,xe_input_vu_khi!$A$2:$A$66,0)),1,$D$54)*Xe!$AD$54</f>
        <v/>
      </c>
      <c r="F54" t="n">
        <v>67.75429304713019</v>
      </c>
      <c r="G54">
        <f>IF(INDEX(xe_input_vu_khi!$B$2:$B$66,MATCH(Xe!$AE$54,xe_input_vu_khi!$A$2:$A$66,0))&lt;=0,0,IF($B$54&gt;0,INDEX(xe_input_vu_khi!$B$2:$B$66,MATCH(Xe!$AE$54,xe_input_vu_khi!$A$2:$A$66,0))*$B$54/(MAX(0.05,INDEX(xe_input_vu_khi_suy_ra!$B$2:$B$66,MATCH(Xe!$AE$54,xe_input_vu_khi_suy_ra!$A$2:$A$66,0)))*MAX(1,CEILING($B$54/MAX(1,INDEX(xe_input_vu_khi!$C$2:$C$66,MATCH(Xe!$AE$54,xe_input_vu_khi!$A$2:$A$66,0))),1))+MAX(0,$C$54)),IF(INDEX(xe_input_vu_khi!$D$2:$D$66,MATCH(Xe!$AE$54,xe_input_vu_khi!$A$2:$A$66,0))&gt;0,INDEX(xe_input_vu_khi_suy_ra!$C$2:$C$66,MATCH(Xe!$AE$54,xe_input_vu_khi_suy_ra!$A$2:$A$66,0))*INDEX(xe_input_vu_khi!$D$2:$D$66,MATCH(Xe!$AE$54,xe_input_vu_khi!$A$2:$A$66,0))/(MAX(0.05,INDEX(xe_input_vu_khi_suy_ra!$B$2:$B$66,MATCH(Xe!$AE$54,xe_input_vu_khi_suy_ra!$A$2:$A$66,0)))*INDEX(xe_input_vu_khi!$D$2:$D$66,MATCH(Xe!$AE$54,xe_input_vu_khi!$A$2:$A$66,0))+INDEX(xe_input_vu_khi_suy_ra!$D$2:$D$66,MATCH(Xe!$AE$54,xe_input_vu_khi_suy_ra!$A$2:$A$66,0))),INDEX(xe_input_vu_khi_suy_ra!$C$2:$C$66,MATCH(Xe!$AE$54,xe_input_vu_khi_suy_ra!$A$2:$A$66,0))/MAX(0.05,INDEX(xe_input_vu_khi_suy_ra!$B$2:$B$66,MATCH(Xe!$AE$54,xe_input_vu_khi_suy_ra!$A$2:$A$66,0))))))*Xe!$AD$54</f>
        <v/>
      </c>
      <c r="H54" t="n">
        <v>67.75429304713019</v>
      </c>
      <c r="I54">
        <f>IF(AND(Xe!$I$54&gt;0,ISNUMBER(Xe!$K$54)),Xe!$K$54/Xe!$I$54,"")</f>
        <v/>
      </c>
      <c r="J54">
        <f>IF(Xe!$I$54&gt;0,$E$54/Xe!$I$54,"")</f>
        <v/>
      </c>
      <c r="K54">
        <f>IF(AND(Xe!$I$54&gt;0,ISNUMBER(Xe!$K$54)),Xe!$K$54/(Hoi_quy!$B$4*Xe!$I$54^Hoi_quy!$B$5),"")</f>
        <v/>
      </c>
      <c r="L54" t="n">
        <v>3</v>
      </c>
      <c r="M54" t="n">
        <v>1.25</v>
      </c>
      <c r="N54" t="n">
        <v>0.0375</v>
      </c>
      <c r="O54" t="n">
        <v>3.5</v>
      </c>
      <c r="P54" t="inlineStr">
        <is>
          <t>Assets/MachineBrigade/Resources/Data/balance.json: vehicles[id=river_gunboat] (lớp B trên 01_chien_dau/Xe)</t>
        </is>
      </c>
      <c r="Q54" t="inlineStr"/>
    </row>
    <row r="55">
      <c r="A55" t="inlineStr">
        <is>
          <t>river_patrol_boat</t>
        </is>
      </c>
      <c r="B55" t="n">
        <v>0</v>
      </c>
      <c r="C55" t="n">
        <v>0</v>
      </c>
      <c r="D55" t="n">
        <v>1</v>
      </c>
      <c r="E55">
        <f>IF(INDEX(xe_input_vu_khi!$B$2:$B$66,MATCH(Xe!$AE$55,xe_input_vu_khi!$A$2:$A$66,0))&lt;=0,0,IF($B$55&gt;0,INDEX(xe_input_vu_khi!$B$2:$B$66,MATCH(Xe!$AE$55,xe_input_vu_khi!$A$2:$A$66,0))*$B$55/(MAX(0.05,INDEX(xe_input_vu_khi_suy_ra!$B$2:$B$66,MATCH(Xe!$AE$55,xe_input_vu_khi_suy_ra!$A$2:$A$66,0)))*MAX(1,CEILING($B$55/MAX(1,INDEX(xe_input_vu_khi!$C$2:$C$66,MATCH(Xe!$AE$55,xe_input_vu_khi!$A$2:$A$66,0))),1))+MAX(0,$C$55)),IF(INDEX(xe_input_vu_khi!$D$2:$D$66,MATCH(Xe!$AE$55,xe_input_vu_khi!$A$2:$A$66,0))&gt;0,INDEX(xe_input_vu_khi_suy_ra!$C$2:$C$66,MATCH(Xe!$AE$55,xe_input_vu_khi_suy_ra!$A$2:$A$66,0))*INDEX(xe_input_vu_khi!$D$2:$D$66,MATCH(Xe!$AE$55,xe_input_vu_khi!$A$2:$A$66,0))/(MAX(0.05,INDEX(xe_input_vu_khi_suy_ra!$B$2:$B$66,MATCH(Xe!$AE$55,xe_input_vu_khi_suy_ra!$A$2:$A$66,0)))*INDEX(xe_input_vu_khi!$D$2:$D$66,MATCH(Xe!$AE$55,xe_input_vu_khi!$A$2:$A$66,0))+INDEX(xe_input_vu_khi_suy_ra!$D$2:$D$66,MATCH(Xe!$AE$55,xe_input_vu_khi_suy_ra!$A$2:$A$66,0))),INDEX(xe_input_vu_khi_suy_ra!$C$2:$C$66,MATCH(Xe!$AE$55,xe_input_vu_khi_suy_ra!$A$2:$A$66,0))/MAX(0.05,INDEX(xe_input_vu_khi_suy_ra!$B$2:$B$66,MATCH(Xe!$AE$55,xe_input_vu_khi_suy_ra!$A$2:$A$66,0))))))*IF(INDEX(xe_input_vu_khi!$E$2:$E$66,MATCH(Xe!$AE$55,xe_input_vu_khi!$A$2:$A$66,0)),1,$D$55)*Xe!$AD$55</f>
        <v/>
      </c>
      <c r="F55" t="n">
        <v>70.76350093109869</v>
      </c>
      <c r="G55">
        <f>IF(INDEX(xe_input_vu_khi!$B$2:$B$66,MATCH(Xe!$AE$55,xe_input_vu_khi!$A$2:$A$66,0))&lt;=0,0,IF($B$55&gt;0,INDEX(xe_input_vu_khi!$B$2:$B$66,MATCH(Xe!$AE$55,xe_input_vu_khi!$A$2:$A$66,0))*$B$55/(MAX(0.05,INDEX(xe_input_vu_khi_suy_ra!$B$2:$B$66,MATCH(Xe!$AE$55,xe_input_vu_khi_suy_ra!$A$2:$A$66,0)))*MAX(1,CEILING($B$55/MAX(1,INDEX(xe_input_vu_khi!$C$2:$C$66,MATCH(Xe!$AE$55,xe_input_vu_khi!$A$2:$A$66,0))),1))+MAX(0,$C$55)),IF(INDEX(xe_input_vu_khi!$D$2:$D$66,MATCH(Xe!$AE$55,xe_input_vu_khi!$A$2:$A$66,0))&gt;0,INDEX(xe_input_vu_khi_suy_ra!$C$2:$C$66,MATCH(Xe!$AE$55,xe_input_vu_khi_suy_ra!$A$2:$A$66,0))*INDEX(xe_input_vu_khi!$D$2:$D$66,MATCH(Xe!$AE$55,xe_input_vu_khi!$A$2:$A$66,0))/(MAX(0.05,INDEX(xe_input_vu_khi_suy_ra!$B$2:$B$66,MATCH(Xe!$AE$55,xe_input_vu_khi_suy_ra!$A$2:$A$66,0)))*INDEX(xe_input_vu_khi!$D$2:$D$66,MATCH(Xe!$AE$55,xe_input_vu_khi!$A$2:$A$66,0))+INDEX(xe_input_vu_khi_suy_ra!$D$2:$D$66,MATCH(Xe!$AE$55,xe_input_vu_khi_suy_ra!$A$2:$A$66,0))),INDEX(xe_input_vu_khi_suy_ra!$C$2:$C$66,MATCH(Xe!$AE$55,xe_input_vu_khi_suy_ra!$A$2:$A$66,0))/MAX(0.05,INDEX(xe_input_vu_khi_suy_ra!$B$2:$B$66,MATCH(Xe!$AE$55,xe_input_vu_khi_suy_ra!$A$2:$A$66,0))))))*Xe!$AD$55</f>
        <v/>
      </c>
      <c r="H55" t="n">
        <v>70.76350093109869</v>
      </c>
      <c r="I55">
        <f>IF(AND(Xe!$I$55&gt;0,ISNUMBER(Xe!$K$55)),Xe!$K$55/Xe!$I$55,"")</f>
        <v/>
      </c>
      <c r="J55">
        <f>IF(Xe!$I$55&gt;0,$E$55/Xe!$I$55,"")</f>
        <v/>
      </c>
      <c r="K55">
        <f>IF(AND(Xe!$I$55&gt;0,ISNUMBER(Xe!$K$55)),Xe!$K$55/(Hoi_quy!$B$4*Xe!$I$55^Hoi_quy!$B$5),"")</f>
        <v/>
      </c>
      <c r="L55" t="n">
        <v>2</v>
      </c>
      <c r="M55" t="n">
        <v>1.15</v>
      </c>
      <c r="N55" t="n">
        <v>0</v>
      </c>
      <c r="O55" t="n">
        <v>3.5</v>
      </c>
      <c r="P55" t="inlineStr">
        <is>
          <t>Assets/MachineBrigade/Resources/Data/balance.json: vehicles[id=river_patrol_boat] (lớp B trên 01_chien_dau/Xe)</t>
        </is>
      </c>
      <c r="Q55" t="inlineStr"/>
    </row>
    <row r="56">
      <c r="A56" t="inlineStr">
        <is>
          <t>rocket_technical</t>
        </is>
      </c>
      <c r="B56" t="n">
        <v>0</v>
      </c>
      <c r="C56" t="n">
        <v>0</v>
      </c>
      <c r="D56" t="n">
        <v>1</v>
      </c>
      <c r="E56">
        <f>IF(INDEX(xe_input_vu_khi!$B$2:$B$66,MATCH(Xe!$AE$56,xe_input_vu_khi!$A$2:$A$66,0))&lt;=0,0,IF($B$56&gt;0,INDEX(xe_input_vu_khi!$B$2:$B$66,MATCH(Xe!$AE$56,xe_input_vu_khi!$A$2:$A$66,0))*$B$56/(MAX(0.05,INDEX(xe_input_vu_khi_suy_ra!$B$2:$B$66,MATCH(Xe!$AE$56,xe_input_vu_khi_suy_ra!$A$2:$A$66,0)))*MAX(1,CEILING($B$56/MAX(1,INDEX(xe_input_vu_khi!$C$2:$C$66,MATCH(Xe!$AE$56,xe_input_vu_khi!$A$2:$A$66,0))),1))+MAX(0,$C$56)),IF(INDEX(xe_input_vu_khi!$D$2:$D$66,MATCH(Xe!$AE$56,xe_input_vu_khi!$A$2:$A$66,0))&gt;0,INDEX(xe_input_vu_khi_suy_ra!$C$2:$C$66,MATCH(Xe!$AE$56,xe_input_vu_khi_suy_ra!$A$2:$A$66,0))*INDEX(xe_input_vu_khi!$D$2:$D$66,MATCH(Xe!$AE$56,xe_input_vu_khi!$A$2:$A$66,0))/(MAX(0.05,INDEX(xe_input_vu_khi_suy_ra!$B$2:$B$66,MATCH(Xe!$AE$56,xe_input_vu_khi_suy_ra!$A$2:$A$66,0)))*INDEX(xe_input_vu_khi!$D$2:$D$66,MATCH(Xe!$AE$56,xe_input_vu_khi!$A$2:$A$66,0))+INDEX(xe_input_vu_khi_suy_ra!$D$2:$D$66,MATCH(Xe!$AE$56,xe_input_vu_khi_suy_ra!$A$2:$A$66,0))),INDEX(xe_input_vu_khi_suy_ra!$C$2:$C$66,MATCH(Xe!$AE$56,xe_input_vu_khi_suy_ra!$A$2:$A$66,0))/MAX(0.05,INDEX(xe_input_vu_khi_suy_ra!$B$2:$B$66,MATCH(Xe!$AE$56,xe_input_vu_khi_suy_ra!$A$2:$A$66,0))))))*IF(INDEX(xe_input_vu_khi!$E$2:$E$66,MATCH(Xe!$AE$56,xe_input_vu_khi!$A$2:$A$66,0)),1,$D$56)*Xe!$AD$56</f>
        <v/>
      </c>
      <c r="F56" t="n">
        <v>23.34905660377359</v>
      </c>
      <c r="G56">
        <f>IF(INDEX(xe_input_vu_khi!$B$2:$B$66,MATCH(Xe!$AE$56,xe_input_vu_khi!$A$2:$A$66,0))&lt;=0,0,IF($B$56&gt;0,INDEX(xe_input_vu_khi!$B$2:$B$66,MATCH(Xe!$AE$56,xe_input_vu_khi!$A$2:$A$66,0))*$B$56/(MAX(0.05,INDEX(xe_input_vu_khi_suy_ra!$B$2:$B$66,MATCH(Xe!$AE$56,xe_input_vu_khi_suy_ra!$A$2:$A$66,0)))*MAX(1,CEILING($B$56/MAX(1,INDEX(xe_input_vu_khi!$C$2:$C$66,MATCH(Xe!$AE$56,xe_input_vu_khi!$A$2:$A$66,0))),1))+MAX(0,$C$56)),IF(INDEX(xe_input_vu_khi!$D$2:$D$66,MATCH(Xe!$AE$56,xe_input_vu_khi!$A$2:$A$66,0))&gt;0,INDEX(xe_input_vu_khi_suy_ra!$C$2:$C$66,MATCH(Xe!$AE$56,xe_input_vu_khi_suy_ra!$A$2:$A$66,0))*INDEX(xe_input_vu_khi!$D$2:$D$66,MATCH(Xe!$AE$56,xe_input_vu_khi!$A$2:$A$66,0))/(MAX(0.05,INDEX(xe_input_vu_khi_suy_ra!$B$2:$B$66,MATCH(Xe!$AE$56,xe_input_vu_khi_suy_ra!$A$2:$A$66,0)))*INDEX(xe_input_vu_khi!$D$2:$D$66,MATCH(Xe!$AE$56,xe_input_vu_khi!$A$2:$A$66,0))+INDEX(xe_input_vu_khi_suy_ra!$D$2:$D$66,MATCH(Xe!$AE$56,xe_input_vu_khi_suy_ra!$A$2:$A$66,0))),INDEX(xe_input_vu_khi_suy_ra!$C$2:$C$66,MATCH(Xe!$AE$56,xe_input_vu_khi_suy_ra!$A$2:$A$66,0))/MAX(0.05,INDEX(xe_input_vu_khi_suy_ra!$B$2:$B$66,MATCH(Xe!$AE$56,xe_input_vu_khi_suy_ra!$A$2:$A$66,0))))))*Xe!$AD$56</f>
        <v/>
      </c>
      <c r="H56" t="n">
        <v>23.34905660377359</v>
      </c>
      <c r="I56">
        <f>IF(AND(Xe!$I$56&gt;0,ISNUMBER(Xe!$K$56)),Xe!$K$56/Xe!$I$56,"")</f>
        <v/>
      </c>
      <c r="J56">
        <f>IF(Xe!$I$56&gt;0,$E$56/Xe!$I$56,"")</f>
        <v/>
      </c>
      <c r="K56">
        <f>IF(AND(Xe!$I$56&gt;0,ISNUMBER(Xe!$K$56)),Xe!$K$56/(Hoi_quy!$B$4*Xe!$I$56^Hoi_quy!$B$5),"")</f>
        <v/>
      </c>
      <c r="L56" t="n">
        <v>1</v>
      </c>
      <c r="M56" t="n">
        <v>1</v>
      </c>
      <c r="N56" t="n">
        <v>0</v>
      </c>
      <c r="O56" t="n">
        <v>2.5</v>
      </c>
      <c r="P56" t="inlineStr">
        <is>
          <t>Assets/MachineBrigade/Resources/Data/balance.json: vehicles[id=rocket_technical] (lớp B trên 01_chien_dau/Xe)</t>
        </is>
      </c>
      <c r="Q56" t="inlineStr"/>
    </row>
    <row r="57">
      <c r="A57" t="inlineStr">
        <is>
          <t>sam_launcher</t>
        </is>
      </c>
      <c r="B57" t="n">
        <v>0</v>
      </c>
      <c r="C57" t="n">
        <v>0</v>
      </c>
      <c r="D57" t="n">
        <v>1</v>
      </c>
      <c r="E57">
        <f>IF(INDEX(xe_input_vu_khi!$B$2:$B$66,MATCH(Xe!$AE$57,xe_input_vu_khi!$A$2:$A$66,0))&lt;=0,0,IF($B$57&gt;0,INDEX(xe_input_vu_khi!$B$2:$B$66,MATCH(Xe!$AE$57,xe_input_vu_khi!$A$2:$A$66,0))*$B$57/(MAX(0.05,INDEX(xe_input_vu_khi_suy_ra!$B$2:$B$66,MATCH(Xe!$AE$57,xe_input_vu_khi_suy_ra!$A$2:$A$66,0)))*MAX(1,CEILING($B$57/MAX(1,INDEX(xe_input_vu_khi!$C$2:$C$66,MATCH(Xe!$AE$57,xe_input_vu_khi!$A$2:$A$66,0))),1))+MAX(0,$C$57)),IF(INDEX(xe_input_vu_khi!$D$2:$D$66,MATCH(Xe!$AE$57,xe_input_vu_khi!$A$2:$A$66,0))&gt;0,INDEX(xe_input_vu_khi_suy_ra!$C$2:$C$66,MATCH(Xe!$AE$57,xe_input_vu_khi_suy_ra!$A$2:$A$66,0))*INDEX(xe_input_vu_khi!$D$2:$D$66,MATCH(Xe!$AE$57,xe_input_vu_khi!$A$2:$A$66,0))/(MAX(0.05,INDEX(xe_input_vu_khi_suy_ra!$B$2:$B$66,MATCH(Xe!$AE$57,xe_input_vu_khi_suy_ra!$A$2:$A$66,0)))*INDEX(xe_input_vu_khi!$D$2:$D$66,MATCH(Xe!$AE$57,xe_input_vu_khi!$A$2:$A$66,0))+INDEX(xe_input_vu_khi_suy_ra!$D$2:$D$66,MATCH(Xe!$AE$57,xe_input_vu_khi_suy_ra!$A$2:$A$66,0))),INDEX(xe_input_vu_khi_suy_ra!$C$2:$C$66,MATCH(Xe!$AE$57,xe_input_vu_khi_suy_ra!$A$2:$A$66,0))/MAX(0.05,INDEX(xe_input_vu_khi_suy_ra!$B$2:$B$66,MATCH(Xe!$AE$57,xe_input_vu_khi_suy_ra!$A$2:$A$66,0))))))*IF(INDEX(xe_input_vu_khi!$E$2:$E$66,MATCH(Xe!$AE$57,xe_input_vu_khi!$A$2:$A$66,0)),1,$D$57)*Xe!$AD$57</f>
        <v/>
      </c>
      <c r="F57" t="n">
        <v>221.6533333333333</v>
      </c>
      <c r="G57">
        <f>IF(INDEX(xe_input_vu_khi!$B$2:$B$66,MATCH(Xe!$AE$57,xe_input_vu_khi!$A$2:$A$66,0))&lt;=0,0,IF($B$57&gt;0,INDEX(xe_input_vu_khi!$B$2:$B$66,MATCH(Xe!$AE$57,xe_input_vu_khi!$A$2:$A$66,0))*$B$57/(MAX(0.05,INDEX(xe_input_vu_khi_suy_ra!$B$2:$B$66,MATCH(Xe!$AE$57,xe_input_vu_khi_suy_ra!$A$2:$A$66,0)))*MAX(1,CEILING($B$57/MAX(1,INDEX(xe_input_vu_khi!$C$2:$C$66,MATCH(Xe!$AE$57,xe_input_vu_khi!$A$2:$A$66,0))),1))+MAX(0,$C$57)),IF(INDEX(xe_input_vu_khi!$D$2:$D$66,MATCH(Xe!$AE$57,xe_input_vu_khi!$A$2:$A$66,0))&gt;0,INDEX(xe_input_vu_khi_suy_ra!$C$2:$C$66,MATCH(Xe!$AE$57,xe_input_vu_khi_suy_ra!$A$2:$A$66,0))*INDEX(xe_input_vu_khi!$D$2:$D$66,MATCH(Xe!$AE$57,xe_input_vu_khi!$A$2:$A$66,0))/(MAX(0.05,INDEX(xe_input_vu_khi_suy_ra!$B$2:$B$66,MATCH(Xe!$AE$57,xe_input_vu_khi_suy_ra!$A$2:$A$66,0)))*INDEX(xe_input_vu_khi!$D$2:$D$66,MATCH(Xe!$AE$57,xe_input_vu_khi!$A$2:$A$66,0))+INDEX(xe_input_vu_khi_suy_ra!$D$2:$D$66,MATCH(Xe!$AE$57,xe_input_vu_khi_suy_ra!$A$2:$A$66,0))),INDEX(xe_input_vu_khi_suy_ra!$C$2:$C$66,MATCH(Xe!$AE$57,xe_input_vu_khi_suy_ra!$A$2:$A$66,0))/MAX(0.05,INDEX(xe_input_vu_khi_suy_ra!$B$2:$B$66,MATCH(Xe!$AE$57,xe_input_vu_khi_suy_ra!$A$2:$A$66,0))))))*Xe!$AD$57</f>
        <v/>
      </c>
      <c r="H57" t="n">
        <v>221.6533333333333</v>
      </c>
      <c r="I57">
        <f>IF(AND(Xe!$I$57&gt;0,ISNUMBER(Xe!$K$57)),Xe!$K$57/Xe!$I$57,"")</f>
        <v/>
      </c>
      <c r="J57">
        <f>IF(Xe!$I$57&gt;0,$E$57/Xe!$I$57,"")</f>
        <v/>
      </c>
      <c r="K57">
        <f>IF(AND(Xe!$I$57&gt;0,ISNUMBER(Xe!$K$57)),Xe!$K$57/(Hoi_quy!$B$4*Xe!$I$57^Hoi_quy!$B$5),"")</f>
        <v/>
      </c>
      <c r="L57" t="n">
        <v>2</v>
      </c>
      <c r="M57" t="n">
        <v>1.15</v>
      </c>
      <c r="N57" t="n">
        <v>0</v>
      </c>
      <c r="O57" t="n">
        <v>3.5</v>
      </c>
      <c r="P57" t="inlineStr">
        <is>
          <t>Assets/MachineBrigade/Resources/Data/balance.json: vehicles[id=sam_launcher] (lớp B trên 01_chien_dau/Xe)</t>
        </is>
      </c>
      <c r="Q57" t="inlineStr"/>
    </row>
    <row r="58">
      <c r="A58" t="inlineStr">
        <is>
          <t>scout_heli</t>
        </is>
      </c>
      <c r="B58" t="n">
        <v>0</v>
      </c>
      <c r="C58" t="n">
        <v>8</v>
      </c>
      <c r="D58" t="n">
        <v>1</v>
      </c>
      <c r="E58">
        <f>IF(INDEX(xe_input_vu_khi!$B$2:$B$66,MATCH(Xe!$AE$58,xe_input_vu_khi!$A$2:$A$66,0))&lt;=0,0,IF($B$58&gt;0,INDEX(xe_input_vu_khi!$B$2:$B$66,MATCH(Xe!$AE$58,xe_input_vu_khi!$A$2:$A$66,0))*$B$58/(MAX(0.05,INDEX(xe_input_vu_khi_suy_ra!$B$2:$B$66,MATCH(Xe!$AE$58,xe_input_vu_khi_suy_ra!$A$2:$A$66,0)))*MAX(1,CEILING($B$58/MAX(1,INDEX(xe_input_vu_khi!$C$2:$C$66,MATCH(Xe!$AE$58,xe_input_vu_khi!$A$2:$A$66,0))),1))+MAX(0,$C$58)),IF(INDEX(xe_input_vu_khi!$D$2:$D$66,MATCH(Xe!$AE$58,xe_input_vu_khi!$A$2:$A$66,0))&gt;0,INDEX(xe_input_vu_khi_suy_ra!$C$2:$C$66,MATCH(Xe!$AE$58,xe_input_vu_khi_suy_ra!$A$2:$A$66,0))*INDEX(xe_input_vu_khi!$D$2:$D$66,MATCH(Xe!$AE$58,xe_input_vu_khi!$A$2:$A$66,0))/(MAX(0.05,INDEX(xe_input_vu_khi_suy_ra!$B$2:$B$66,MATCH(Xe!$AE$58,xe_input_vu_khi_suy_ra!$A$2:$A$66,0)))*INDEX(xe_input_vu_khi!$D$2:$D$66,MATCH(Xe!$AE$58,xe_input_vu_khi!$A$2:$A$66,0))+INDEX(xe_input_vu_khi_suy_ra!$D$2:$D$66,MATCH(Xe!$AE$58,xe_input_vu_khi_suy_ra!$A$2:$A$66,0))),INDEX(xe_input_vu_khi_suy_ra!$C$2:$C$66,MATCH(Xe!$AE$58,xe_input_vu_khi_suy_ra!$A$2:$A$66,0))/MAX(0.05,INDEX(xe_input_vu_khi_suy_ra!$B$2:$B$66,MATCH(Xe!$AE$58,xe_input_vu_khi_suy_ra!$A$2:$A$66,0))))))*IF(INDEX(xe_input_vu_khi!$E$2:$E$66,MATCH(Xe!$AE$58,xe_input_vu_khi!$A$2:$A$66,0)),1,$D$58)*Xe!$AD$58</f>
        <v/>
      </c>
      <c r="F58" t="n">
        <v>165</v>
      </c>
      <c r="G58">
        <f>IF(INDEX(xe_input_vu_khi!$B$2:$B$66,MATCH(Xe!$AE$58,xe_input_vu_khi!$A$2:$A$66,0))&lt;=0,0,IF($B$58&gt;0,INDEX(xe_input_vu_khi!$B$2:$B$66,MATCH(Xe!$AE$58,xe_input_vu_khi!$A$2:$A$66,0))*$B$58/(MAX(0.05,INDEX(xe_input_vu_khi_suy_ra!$B$2:$B$66,MATCH(Xe!$AE$58,xe_input_vu_khi_suy_ra!$A$2:$A$66,0)))*MAX(1,CEILING($B$58/MAX(1,INDEX(xe_input_vu_khi!$C$2:$C$66,MATCH(Xe!$AE$58,xe_input_vu_khi!$A$2:$A$66,0))),1))+MAX(0,$C$58)),IF(INDEX(xe_input_vu_khi!$D$2:$D$66,MATCH(Xe!$AE$58,xe_input_vu_khi!$A$2:$A$66,0))&gt;0,INDEX(xe_input_vu_khi_suy_ra!$C$2:$C$66,MATCH(Xe!$AE$58,xe_input_vu_khi_suy_ra!$A$2:$A$66,0))*INDEX(xe_input_vu_khi!$D$2:$D$66,MATCH(Xe!$AE$58,xe_input_vu_khi!$A$2:$A$66,0))/(MAX(0.05,INDEX(xe_input_vu_khi_suy_ra!$B$2:$B$66,MATCH(Xe!$AE$58,xe_input_vu_khi_suy_ra!$A$2:$A$66,0)))*INDEX(xe_input_vu_khi!$D$2:$D$66,MATCH(Xe!$AE$58,xe_input_vu_khi!$A$2:$A$66,0))+INDEX(xe_input_vu_khi_suy_ra!$D$2:$D$66,MATCH(Xe!$AE$58,xe_input_vu_khi_suy_ra!$A$2:$A$66,0))),INDEX(xe_input_vu_khi_suy_ra!$C$2:$C$66,MATCH(Xe!$AE$58,xe_input_vu_khi_suy_ra!$A$2:$A$66,0))/MAX(0.05,INDEX(xe_input_vu_khi_suy_ra!$B$2:$B$66,MATCH(Xe!$AE$58,xe_input_vu_khi_suy_ra!$A$2:$A$66,0))))))*Xe!$AD$58</f>
        <v/>
      </c>
      <c r="H58" t="n">
        <v>165</v>
      </c>
      <c r="I58">
        <f>IF(AND(Xe!$I$58&gt;0,ISNUMBER(Xe!$K$58)),Xe!$K$58/Xe!$I$58,"")</f>
        <v/>
      </c>
      <c r="J58">
        <f>IF(Xe!$I$58&gt;0,$E$58/Xe!$I$58,"")</f>
        <v/>
      </c>
      <c r="K58">
        <f>IF(AND(Xe!$I$58&gt;0,ISNUMBER(Xe!$K$58)),Xe!$K$58/(Hoi_quy!$B$4*Xe!$I$58^Hoi_quy!$B$5),"")</f>
        <v/>
      </c>
      <c r="L58" t="n">
        <v>2</v>
      </c>
      <c r="M58" t="n">
        <v>1.15</v>
      </c>
      <c r="N58" t="n">
        <v>0</v>
      </c>
      <c r="O58" t="n">
        <v>3.5</v>
      </c>
      <c r="P58" t="inlineStr">
        <is>
          <t>Assets/MachineBrigade/Resources/Data/balance.json: vehicles[id=scout_heli] (lớp B trên 01_chien_dau/Xe)</t>
        </is>
      </c>
      <c r="Q58" t="inlineStr"/>
    </row>
    <row r="59">
      <c r="A59" t="inlineStr">
        <is>
          <t>scout_jeep</t>
        </is>
      </c>
      <c r="B59" t="n">
        <v>0</v>
      </c>
      <c r="C59" t="n">
        <v>0</v>
      </c>
      <c r="D59" t="n">
        <v>1</v>
      </c>
      <c r="E59">
        <f>IF(INDEX(xe_input_vu_khi!$B$2:$B$66,MATCH(Xe!$AE$59,xe_input_vu_khi!$A$2:$A$66,0))&lt;=0,0,IF($B$59&gt;0,INDEX(xe_input_vu_khi!$B$2:$B$66,MATCH(Xe!$AE$59,xe_input_vu_khi!$A$2:$A$66,0))*$B$59/(MAX(0.05,INDEX(xe_input_vu_khi_suy_ra!$B$2:$B$66,MATCH(Xe!$AE$59,xe_input_vu_khi_suy_ra!$A$2:$A$66,0)))*MAX(1,CEILING($B$59/MAX(1,INDEX(xe_input_vu_khi!$C$2:$C$66,MATCH(Xe!$AE$59,xe_input_vu_khi!$A$2:$A$66,0))),1))+MAX(0,$C$59)),IF(INDEX(xe_input_vu_khi!$D$2:$D$66,MATCH(Xe!$AE$59,xe_input_vu_khi!$A$2:$A$66,0))&gt;0,INDEX(xe_input_vu_khi_suy_ra!$C$2:$C$66,MATCH(Xe!$AE$59,xe_input_vu_khi_suy_ra!$A$2:$A$66,0))*INDEX(xe_input_vu_khi!$D$2:$D$66,MATCH(Xe!$AE$59,xe_input_vu_khi!$A$2:$A$66,0))/(MAX(0.05,INDEX(xe_input_vu_khi_suy_ra!$B$2:$B$66,MATCH(Xe!$AE$59,xe_input_vu_khi_suy_ra!$A$2:$A$66,0)))*INDEX(xe_input_vu_khi!$D$2:$D$66,MATCH(Xe!$AE$59,xe_input_vu_khi!$A$2:$A$66,0))+INDEX(xe_input_vu_khi_suy_ra!$D$2:$D$66,MATCH(Xe!$AE$59,xe_input_vu_khi_suy_ra!$A$2:$A$66,0))),INDEX(xe_input_vu_khi_suy_ra!$C$2:$C$66,MATCH(Xe!$AE$59,xe_input_vu_khi_suy_ra!$A$2:$A$66,0))/MAX(0.05,INDEX(xe_input_vu_khi_suy_ra!$B$2:$B$66,MATCH(Xe!$AE$59,xe_input_vu_khi_suy_ra!$A$2:$A$66,0))))))*IF(INDEX(xe_input_vu_khi!$E$2:$E$66,MATCH(Xe!$AE$59,xe_input_vu_khi!$A$2:$A$66,0)),1,$D$59)*Xe!$AD$59</f>
        <v/>
      </c>
      <c r="F59" t="n">
        <v>58.96958410924891</v>
      </c>
      <c r="G59">
        <f>IF(INDEX(xe_input_vu_khi!$B$2:$B$66,MATCH(Xe!$AE$59,xe_input_vu_khi!$A$2:$A$66,0))&lt;=0,0,IF($B$59&gt;0,INDEX(xe_input_vu_khi!$B$2:$B$66,MATCH(Xe!$AE$59,xe_input_vu_khi!$A$2:$A$66,0))*$B$59/(MAX(0.05,INDEX(xe_input_vu_khi_suy_ra!$B$2:$B$66,MATCH(Xe!$AE$59,xe_input_vu_khi_suy_ra!$A$2:$A$66,0)))*MAX(1,CEILING($B$59/MAX(1,INDEX(xe_input_vu_khi!$C$2:$C$66,MATCH(Xe!$AE$59,xe_input_vu_khi!$A$2:$A$66,0))),1))+MAX(0,$C$59)),IF(INDEX(xe_input_vu_khi!$D$2:$D$66,MATCH(Xe!$AE$59,xe_input_vu_khi!$A$2:$A$66,0))&gt;0,INDEX(xe_input_vu_khi_suy_ra!$C$2:$C$66,MATCH(Xe!$AE$59,xe_input_vu_khi_suy_ra!$A$2:$A$66,0))*INDEX(xe_input_vu_khi!$D$2:$D$66,MATCH(Xe!$AE$59,xe_input_vu_khi!$A$2:$A$66,0))/(MAX(0.05,INDEX(xe_input_vu_khi_suy_ra!$B$2:$B$66,MATCH(Xe!$AE$59,xe_input_vu_khi_suy_ra!$A$2:$A$66,0)))*INDEX(xe_input_vu_khi!$D$2:$D$66,MATCH(Xe!$AE$59,xe_input_vu_khi!$A$2:$A$66,0))+INDEX(xe_input_vu_khi_suy_ra!$D$2:$D$66,MATCH(Xe!$AE$59,xe_input_vu_khi_suy_ra!$A$2:$A$66,0))),INDEX(xe_input_vu_khi_suy_ra!$C$2:$C$66,MATCH(Xe!$AE$59,xe_input_vu_khi_suy_ra!$A$2:$A$66,0))/MAX(0.05,INDEX(xe_input_vu_khi_suy_ra!$B$2:$B$66,MATCH(Xe!$AE$59,xe_input_vu_khi_suy_ra!$A$2:$A$66,0))))))*Xe!$AD$59</f>
        <v/>
      </c>
      <c r="H59" t="n">
        <v>58.96958410924891</v>
      </c>
      <c r="I59">
        <f>IF(AND(Xe!$I$59&gt;0,ISNUMBER(Xe!$K$59)),Xe!$K$59/Xe!$I$59,"")</f>
        <v/>
      </c>
      <c r="J59">
        <f>IF(Xe!$I$59&gt;0,$E$59/Xe!$I$59,"")</f>
        <v/>
      </c>
      <c r="K59">
        <f>IF(AND(Xe!$I$59&gt;0,ISNUMBER(Xe!$K$59)),Xe!$K$59/(Hoi_quy!$B$4*Xe!$I$59^Hoi_quy!$B$5),"")</f>
        <v/>
      </c>
      <c r="L59" t="n">
        <v>1</v>
      </c>
      <c r="M59" t="n">
        <v>1</v>
      </c>
      <c r="N59" t="n">
        <v>0</v>
      </c>
      <c r="O59" t="n">
        <v>2.5</v>
      </c>
      <c r="P59" t="inlineStr">
        <is>
          <t>Assets/MachineBrigade/Resources/Data/balance.json: vehicles[id=scout_jeep] (lớp B trên 01_chien_dau/Xe)</t>
        </is>
      </c>
      <c r="Q59" t="inlineStr"/>
    </row>
    <row r="60">
      <c r="A60" t="inlineStr">
        <is>
          <t>sea_corvette</t>
        </is>
      </c>
      <c r="B60" t="n">
        <v>0</v>
      </c>
      <c r="C60" t="n">
        <v>0</v>
      </c>
      <c r="D60" t="n">
        <v>1</v>
      </c>
      <c r="E60">
        <f>IF(INDEX(xe_input_vu_khi!$B$2:$B$66,MATCH(Xe!$AE$60,xe_input_vu_khi!$A$2:$A$66,0))&lt;=0,0,IF($B$60&gt;0,INDEX(xe_input_vu_khi!$B$2:$B$66,MATCH(Xe!$AE$60,xe_input_vu_khi!$A$2:$A$66,0))*$B$60/(MAX(0.05,INDEX(xe_input_vu_khi_suy_ra!$B$2:$B$66,MATCH(Xe!$AE$60,xe_input_vu_khi_suy_ra!$A$2:$A$66,0)))*MAX(1,CEILING($B$60/MAX(1,INDEX(xe_input_vu_khi!$C$2:$C$66,MATCH(Xe!$AE$60,xe_input_vu_khi!$A$2:$A$66,0))),1))+MAX(0,$C$60)),IF(INDEX(xe_input_vu_khi!$D$2:$D$66,MATCH(Xe!$AE$60,xe_input_vu_khi!$A$2:$A$66,0))&gt;0,INDEX(xe_input_vu_khi_suy_ra!$C$2:$C$66,MATCH(Xe!$AE$60,xe_input_vu_khi_suy_ra!$A$2:$A$66,0))*INDEX(xe_input_vu_khi!$D$2:$D$66,MATCH(Xe!$AE$60,xe_input_vu_khi!$A$2:$A$66,0))/(MAX(0.05,INDEX(xe_input_vu_khi_suy_ra!$B$2:$B$66,MATCH(Xe!$AE$60,xe_input_vu_khi_suy_ra!$A$2:$A$66,0)))*INDEX(xe_input_vu_khi!$D$2:$D$66,MATCH(Xe!$AE$60,xe_input_vu_khi!$A$2:$A$66,0))+INDEX(xe_input_vu_khi_suy_ra!$D$2:$D$66,MATCH(Xe!$AE$60,xe_input_vu_khi_suy_ra!$A$2:$A$66,0))),INDEX(xe_input_vu_khi_suy_ra!$C$2:$C$66,MATCH(Xe!$AE$60,xe_input_vu_khi_suy_ra!$A$2:$A$66,0))/MAX(0.05,INDEX(xe_input_vu_khi_suy_ra!$B$2:$B$66,MATCH(Xe!$AE$60,xe_input_vu_khi_suy_ra!$A$2:$A$66,0))))))*IF(INDEX(xe_input_vu_khi!$E$2:$E$66,MATCH(Xe!$AE$60,xe_input_vu_khi!$A$2:$A$66,0)),1,$D$60)*Xe!$AD$60</f>
        <v/>
      </c>
      <c r="F60" t="n">
        <v>66.49815282908808</v>
      </c>
      <c r="G60">
        <f>IF(INDEX(xe_input_vu_khi!$B$2:$B$66,MATCH(Xe!$AE$60,xe_input_vu_khi!$A$2:$A$66,0))&lt;=0,0,IF($B$60&gt;0,INDEX(xe_input_vu_khi!$B$2:$B$66,MATCH(Xe!$AE$60,xe_input_vu_khi!$A$2:$A$66,0))*$B$60/(MAX(0.05,INDEX(xe_input_vu_khi_suy_ra!$B$2:$B$66,MATCH(Xe!$AE$60,xe_input_vu_khi_suy_ra!$A$2:$A$66,0)))*MAX(1,CEILING($B$60/MAX(1,INDEX(xe_input_vu_khi!$C$2:$C$66,MATCH(Xe!$AE$60,xe_input_vu_khi!$A$2:$A$66,0))),1))+MAX(0,$C$60)),IF(INDEX(xe_input_vu_khi!$D$2:$D$66,MATCH(Xe!$AE$60,xe_input_vu_khi!$A$2:$A$66,0))&gt;0,INDEX(xe_input_vu_khi_suy_ra!$C$2:$C$66,MATCH(Xe!$AE$60,xe_input_vu_khi_suy_ra!$A$2:$A$66,0))*INDEX(xe_input_vu_khi!$D$2:$D$66,MATCH(Xe!$AE$60,xe_input_vu_khi!$A$2:$A$66,0))/(MAX(0.05,INDEX(xe_input_vu_khi_suy_ra!$B$2:$B$66,MATCH(Xe!$AE$60,xe_input_vu_khi_suy_ra!$A$2:$A$66,0)))*INDEX(xe_input_vu_khi!$D$2:$D$66,MATCH(Xe!$AE$60,xe_input_vu_khi!$A$2:$A$66,0))+INDEX(xe_input_vu_khi_suy_ra!$D$2:$D$66,MATCH(Xe!$AE$60,xe_input_vu_khi_suy_ra!$A$2:$A$66,0))),INDEX(xe_input_vu_khi_suy_ra!$C$2:$C$66,MATCH(Xe!$AE$60,xe_input_vu_khi_suy_ra!$A$2:$A$66,0))/MAX(0.05,INDEX(xe_input_vu_khi_suy_ra!$B$2:$B$66,MATCH(Xe!$AE$60,xe_input_vu_khi_suy_ra!$A$2:$A$66,0))))))*Xe!$AD$60</f>
        <v/>
      </c>
      <c r="H60" t="n">
        <v>66.49815282908808</v>
      </c>
      <c r="I60">
        <f>IF(AND(Xe!$I$60&gt;0,ISNUMBER(Xe!$K$60)),Xe!$K$60/Xe!$I$60,"")</f>
        <v/>
      </c>
      <c r="J60">
        <f>IF(Xe!$I$60&gt;0,$E$60/Xe!$I$60,"")</f>
        <v/>
      </c>
      <c r="K60">
        <f>IF(AND(Xe!$I$60&gt;0,ISNUMBER(Xe!$K$60)),Xe!$K$60/(Hoi_quy!$B$4*Xe!$I$60^Hoi_quy!$B$5),"")</f>
        <v/>
      </c>
      <c r="L60" t="n">
        <v>1</v>
      </c>
      <c r="M60" t="n">
        <v>1</v>
      </c>
      <c r="N60" t="n">
        <v>0</v>
      </c>
      <c r="O60" t="n">
        <v>2.5</v>
      </c>
      <c r="P60" t="inlineStr">
        <is>
          <t>Assets/MachineBrigade/Resources/Data/balance.json: vehicles[id=sea_corvette] (lớp B trên 01_chien_dau/Xe)</t>
        </is>
      </c>
      <c r="Q60" t="inlineStr"/>
    </row>
    <row r="61">
      <c r="A61" t="inlineStr">
        <is>
          <t>sea_cruiser</t>
        </is>
      </c>
      <c r="B61" t="n">
        <v>0</v>
      </c>
      <c r="C61" t="n">
        <v>0</v>
      </c>
      <c r="D61" t="n">
        <v>1</v>
      </c>
      <c r="E61">
        <f>IF(INDEX(xe_input_vu_khi!$B$2:$B$66,MATCH(Xe!$AE$61,xe_input_vu_khi!$A$2:$A$66,0))&lt;=0,0,IF($B$61&gt;0,INDEX(xe_input_vu_khi!$B$2:$B$66,MATCH(Xe!$AE$61,xe_input_vu_khi!$A$2:$A$66,0))*$B$61/(MAX(0.05,INDEX(xe_input_vu_khi_suy_ra!$B$2:$B$66,MATCH(Xe!$AE$61,xe_input_vu_khi_suy_ra!$A$2:$A$66,0)))*MAX(1,CEILING($B$61/MAX(1,INDEX(xe_input_vu_khi!$C$2:$C$66,MATCH(Xe!$AE$61,xe_input_vu_khi!$A$2:$A$66,0))),1))+MAX(0,$C$61)),IF(INDEX(xe_input_vu_khi!$D$2:$D$66,MATCH(Xe!$AE$61,xe_input_vu_khi!$A$2:$A$66,0))&gt;0,INDEX(xe_input_vu_khi_suy_ra!$C$2:$C$66,MATCH(Xe!$AE$61,xe_input_vu_khi_suy_ra!$A$2:$A$66,0))*INDEX(xe_input_vu_khi!$D$2:$D$66,MATCH(Xe!$AE$61,xe_input_vu_khi!$A$2:$A$66,0))/(MAX(0.05,INDEX(xe_input_vu_khi_suy_ra!$B$2:$B$66,MATCH(Xe!$AE$61,xe_input_vu_khi_suy_ra!$A$2:$A$66,0)))*INDEX(xe_input_vu_khi!$D$2:$D$66,MATCH(Xe!$AE$61,xe_input_vu_khi!$A$2:$A$66,0))+INDEX(xe_input_vu_khi_suy_ra!$D$2:$D$66,MATCH(Xe!$AE$61,xe_input_vu_khi_suy_ra!$A$2:$A$66,0))),INDEX(xe_input_vu_khi_suy_ra!$C$2:$C$66,MATCH(Xe!$AE$61,xe_input_vu_khi_suy_ra!$A$2:$A$66,0))/MAX(0.05,INDEX(xe_input_vu_khi_suy_ra!$B$2:$B$66,MATCH(Xe!$AE$61,xe_input_vu_khi_suy_ra!$A$2:$A$66,0))))))*IF(INDEX(xe_input_vu_khi!$E$2:$E$66,MATCH(Xe!$AE$61,xe_input_vu_khi!$A$2:$A$66,0)),1,$D$61)*Xe!$AD$61</f>
        <v/>
      </c>
      <c r="F61" t="n">
        <v>71.18704395799965</v>
      </c>
      <c r="G61">
        <f>IF(INDEX(xe_input_vu_khi!$B$2:$B$66,MATCH(Xe!$AE$61,xe_input_vu_khi!$A$2:$A$66,0))&lt;=0,0,IF($B$61&gt;0,INDEX(xe_input_vu_khi!$B$2:$B$66,MATCH(Xe!$AE$61,xe_input_vu_khi!$A$2:$A$66,0))*$B$61/(MAX(0.05,INDEX(xe_input_vu_khi_suy_ra!$B$2:$B$66,MATCH(Xe!$AE$61,xe_input_vu_khi_suy_ra!$A$2:$A$66,0)))*MAX(1,CEILING($B$61/MAX(1,INDEX(xe_input_vu_khi!$C$2:$C$66,MATCH(Xe!$AE$61,xe_input_vu_khi!$A$2:$A$66,0))),1))+MAX(0,$C$61)),IF(INDEX(xe_input_vu_khi!$D$2:$D$66,MATCH(Xe!$AE$61,xe_input_vu_khi!$A$2:$A$66,0))&gt;0,INDEX(xe_input_vu_khi_suy_ra!$C$2:$C$66,MATCH(Xe!$AE$61,xe_input_vu_khi_suy_ra!$A$2:$A$66,0))*INDEX(xe_input_vu_khi!$D$2:$D$66,MATCH(Xe!$AE$61,xe_input_vu_khi!$A$2:$A$66,0))/(MAX(0.05,INDEX(xe_input_vu_khi_suy_ra!$B$2:$B$66,MATCH(Xe!$AE$61,xe_input_vu_khi_suy_ra!$A$2:$A$66,0)))*INDEX(xe_input_vu_khi!$D$2:$D$66,MATCH(Xe!$AE$61,xe_input_vu_khi!$A$2:$A$66,0))+INDEX(xe_input_vu_khi_suy_ra!$D$2:$D$66,MATCH(Xe!$AE$61,xe_input_vu_khi_suy_ra!$A$2:$A$66,0))),INDEX(xe_input_vu_khi_suy_ra!$C$2:$C$66,MATCH(Xe!$AE$61,xe_input_vu_khi_suy_ra!$A$2:$A$66,0))/MAX(0.05,INDEX(xe_input_vu_khi_suy_ra!$B$2:$B$66,MATCH(Xe!$AE$61,xe_input_vu_khi_suy_ra!$A$2:$A$66,0))))))*Xe!$AD$61</f>
        <v/>
      </c>
      <c r="H61" t="n">
        <v>71.18704395799965</v>
      </c>
      <c r="I61">
        <f>IF(AND(Xe!$I$61&gt;0,ISNUMBER(Xe!$K$61)),Xe!$K$61/Xe!$I$61,"")</f>
        <v/>
      </c>
      <c r="J61">
        <f>IF(Xe!$I$61&gt;0,$E$61/Xe!$I$61,"")</f>
        <v/>
      </c>
      <c r="K61">
        <f>IF(AND(Xe!$I$61&gt;0,ISNUMBER(Xe!$K$61)),Xe!$K$61/(Hoi_quy!$B$4*Xe!$I$61^Hoi_quy!$B$5),"")</f>
        <v/>
      </c>
      <c r="L61" t="n">
        <v>1</v>
      </c>
      <c r="M61" t="n">
        <v>1</v>
      </c>
      <c r="N61" t="n">
        <v>0</v>
      </c>
      <c r="O61" t="n">
        <v>2.5</v>
      </c>
      <c r="P61" t="inlineStr">
        <is>
          <t>Assets/MachineBrigade/Resources/Data/balance.json: vehicles[id=sea_cruiser] (lớp B trên 01_chien_dau/Xe)</t>
        </is>
      </c>
      <c r="Q61" t="inlineStr"/>
    </row>
    <row r="62">
      <c r="A62" t="inlineStr">
        <is>
          <t>shahed_truck</t>
        </is>
      </c>
      <c r="B62" t="n">
        <v>0</v>
      </c>
      <c r="C62" t="n">
        <v>0</v>
      </c>
      <c r="D62" t="n">
        <v>1</v>
      </c>
      <c r="E62">
        <f>IF(INDEX(xe_input_vu_khi!$B$2:$B$66,MATCH(Xe!$AE$62,xe_input_vu_khi!$A$2:$A$66,0))&lt;=0,0,IF($B$62&gt;0,INDEX(xe_input_vu_khi!$B$2:$B$66,MATCH(Xe!$AE$62,xe_input_vu_khi!$A$2:$A$66,0))*$B$62/(MAX(0.05,INDEX(xe_input_vu_khi_suy_ra!$B$2:$B$66,MATCH(Xe!$AE$62,xe_input_vu_khi_suy_ra!$A$2:$A$66,0)))*MAX(1,CEILING($B$62/MAX(1,INDEX(xe_input_vu_khi!$C$2:$C$66,MATCH(Xe!$AE$62,xe_input_vu_khi!$A$2:$A$66,0))),1))+MAX(0,$C$62)),IF(INDEX(xe_input_vu_khi!$D$2:$D$66,MATCH(Xe!$AE$62,xe_input_vu_khi!$A$2:$A$66,0))&gt;0,INDEX(xe_input_vu_khi_suy_ra!$C$2:$C$66,MATCH(Xe!$AE$62,xe_input_vu_khi_suy_ra!$A$2:$A$66,0))*INDEX(xe_input_vu_khi!$D$2:$D$66,MATCH(Xe!$AE$62,xe_input_vu_khi!$A$2:$A$66,0))/(MAX(0.05,INDEX(xe_input_vu_khi_suy_ra!$B$2:$B$66,MATCH(Xe!$AE$62,xe_input_vu_khi_suy_ra!$A$2:$A$66,0)))*INDEX(xe_input_vu_khi!$D$2:$D$66,MATCH(Xe!$AE$62,xe_input_vu_khi!$A$2:$A$66,0))+INDEX(xe_input_vu_khi_suy_ra!$D$2:$D$66,MATCH(Xe!$AE$62,xe_input_vu_khi_suy_ra!$A$2:$A$66,0))),INDEX(xe_input_vu_khi_suy_ra!$C$2:$C$66,MATCH(Xe!$AE$62,xe_input_vu_khi_suy_ra!$A$2:$A$66,0))/MAX(0.05,INDEX(xe_input_vu_khi_suy_ra!$B$2:$B$66,MATCH(Xe!$AE$62,xe_input_vu_khi_suy_ra!$A$2:$A$66,0))))))*IF(INDEX(xe_input_vu_khi!$E$2:$E$66,MATCH(Xe!$AE$62,xe_input_vu_khi!$A$2:$A$66,0)),1,$D$62)*Xe!$AD$62</f>
        <v/>
      </c>
      <c r="F62" t="n">
        <v>37.94117647058824</v>
      </c>
      <c r="G62">
        <f>IF(INDEX(xe_input_vu_khi!$B$2:$B$66,MATCH(Xe!$AE$62,xe_input_vu_khi!$A$2:$A$66,0))&lt;=0,0,IF($B$62&gt;0,INDEX(xe_input_vu_khi!$B$2:$B$66,MATCH(Xe!$AE$62,xe_input_vu_khi!$A$2:$A$66,0))*$B$62/(MAX(0.05,INDEX(xe_input_vu_khi_suy_ra!$B$2:$B$66,MATCH(Xe!$AE$62,xe_input_vu_khi_suy_ra!$A$2:$A$66,0)))*MAX(1,CEILING($B$62/MAX(1,INDEX(xe_input_vu_khi!$C$2:$C$66,MATCH(Xe!$AE$62,xe_input_vu_khi!$A$2:$A$66,0))),1))+MAX(0,$C$62)),IF(INDEX(xe_input_vu_khi!$D$2:$D$66,MATCH(Xe!$AE$62,xe_input_vu_khi!$A$2:$A$66,0))&gt;0,INDEX(xe_input_vu_khi_suy_ra!$C$2:$C$66,MATCH(Xe!$AE$62,xe_input_vu_khi_suy_ra!$A$2:$A$66,0))*INDEX(xe_input_vu_khi!$D$2:$D$66,MATCH(Xe!$AE$62,xe_input_vu_khi!$A$2:$A$66,0))/(MAX(0.05,INDEX(xe_input_vu_khi_suy_ra!$B$2:$B$66,MATCH(Xe!$AE$62,xe_input_vu_khi_suy_ra!$A$2:$A$66,0)))*INDEX(xe_input_vu_khi!$D$2:$D$66,MATCH(Xe!$AE$62,xe_input_vu_khi!$A$2:$A$66,0))+INDEX(xe_input_vu_khi_suy_ra!$D$2:$D$66,MATCH(Xe!$AE$62,xe_input_vu_khi_suy_ra!$A$2:$A$66,0))),INDEX(xe_input_vu_khi_suy_ra!$C$2:$C$66,MATCH(Xe!$AE$62,xe_input_vu_khi_suy_ra!$A$2:$A$66,0))/MAX(0.05,INDEX(xe_input_vu_khi_suy_ra!$B$2:$B$66,MATCH(Xe!$AE$62,xe_input_vu_khi_suy_ra!$A$2:$A$66,0))))))*Xe!$AD$62</f>
        <v/>
      </c>
      <c r="H62" t="n">
        <v>37.94117647058824</v>
      </c>
      <c r="I62">
        <f>IF(AND(Xe!$I$62&gt;0,ISNUMBER(Xe!$K$62)),Xe!$K$62/Xe!$I$62,"")</f>
        <v/>
      </c>
      <c r="J62">
        <f>IF(Xe!$I$62&gt;0,$E$62/Xe!$I$62,"")</f>
        <v/>
      </c>
      <c r="K62">
        <f>IF(AND(Xe!$I$62&gt;0,ISNUMBER(Xe!$K$62)),Xe!$K$62/(Hoi_quy!$B$4*Xe!$I$62^Hoi_quy!$B$5),"")</f>
        <v/>
      </c>
      <c r="L62" t="n">
        <v>3</v>
      </c>
      <c r="M62" t="n">
        <v>1.25</v>
      </c>
      <c r="N62" t="n">
        <v>0</v>
      </c>
      <c r="O62" t="n">
        <v>3.5</v>
      </c>
      <c r="P62" t="inlineStr">
        <is>
          <t>Assets/MachineBrigade/Resources/Data/balance.json: vehicles[id=shahed_truck] (lớp B trên 01_chien_dau/Xe)</t>
        </is>
      </c>
      <c r="Q62" t="inlineStr"/>
    </row>
    <row r="63">
      <c r="A63" t="inlineStr">
        <is>
          <t>shield_carrier</t>
        </is>
      </c>
      <c r="B63" t="n">
        <v>0</v>
      </c>
      <c r="C63" t="n">
        <v>0</v>
      </c>
      <c r="D63" t="n">
        <v>1</v>
      </c>
      <c r="E63">
        <f>IF(INDEX(xe_input_vu_khi!$B$2:$B$66,MATCH(Xe!$AE$63,xe_input_vu_khi!$A$2:$A$66,0))&lt;=0,0,IF($B$63&gt;0,INDEX(xe_input_vu_khi!$B$2:$B$66,MATCH(Xe!$AE$63,xe_input_vu_khi!$A$2:$A$66,0))*$B$63/(MAX(0.05,INDEX(xe_input_vu_khi_suy_ra!$B$2:$B$66,MATCH(Xe!$AE$63,xe_input_vu_khi_suy_ra!$A$2:$A$66,0)))*MAX(1,CEILING($B$63/MAX(1,INDEX(xe_input_vu_khi!$C$2:$C$66,MATCH(Xe!$AE$63,xe_input_vu_khi!$A$2:$A$66,0))),1))+MAX(0,$C$63)),IF(INDEX(xe_input_vu_khi!$D$2:$D$66,MATCH(Xe!$AE$63,xe_input_vu_khi!$A$2:$A$66,0))&gt;0,INDEX(xe_input_vu_khi_suy_ra!$C$2:$C$66,MATCH(Xe!$AE$63,xe_input_vu_khi_suy_ra!$A$2:$A$66,0))*INDEX(xe_input_vu_khi!$D$2:$D$66,MATCH(Xe!$AE$63,xe_input_vu_khi!$A$2:$A$66,0))/(MAX(0.05,INDEX(xe_input_vu_khi_suy_ra!$B$2:$B$66,MATCH(Xe!$AE$63,xe_input_vu_khi_suy_ra!$A$2:$A$66,0)))*INDEX(xe_input_vu_khi!$D$2:$D$66,MATCH(Xe!$AE$63,xe_input_vu_khi!$A$2:$A$66,0))+INDEX(xe_input_vu_khi_suy_ra!$D$2:$D$66,MATCH(Xe!$AE$63,xe_input_vu_khi_suy_ra!$A$2:$A$66,0))),INDEX(xe_input_vu_khi_suy_ra!$C$2:$C$66,MATCH(Xe!$AE$63,xe_input_vu_khi_suy_ra!$A$2:$A$66,0))/MAX(0.05,INDEX(xe_input_vu_khi_suy_ra!$B$2:$B$66,MATCH(Xe!$AE$63,xe_input_vu_khi_suy_ra!$A$2:$A$66,0))))))*IF(INDEX(xe_input_vu_khi!$E$2:$E$66,MATCH(Xe!$AE$63,xe_input_vu_khi!$A$2:$A$66,0)),1,$D$63)*Xe!$AD$63</f>
        <v/>
      </c>
      <c r="F63" t="n">
        <v>67.39633767846058</v>
      </c>
      <c r="G63">
        <f>IF(INDEX(xe_input_vu_khi!$B$2:$B$66,MATCH(Xe!$AE$63,xe_input_vu_khi!$A$2:$A$66,0))&lt;=0,0,IF($B$63&gt;0,INDEX(xe_input_vu_khi!$B$2:$B$66,MATCH(Xe!$AE$63,xe_input_vu_khi!$A$2:$A$66,0))*$B$63/(MAX(0.05,INDEX(xe_input_vu_khi_suy_ra!$B$2:$B$66,MATCH(Xe!$AE$63,xe_input_vu_khi_suy_ra!$A$2:$A$66,0)))*MAX(1,CEILING($B$63/MAX(1,INDEX(xe_input_vu_khi!$C$2:$C$66,MATCH(Xe!$AE$63,xe_input_vu_khi!$A$2:$A$66,0))),1))+MAX(0,$C$63)),IF(INDEX(xe_input_vu_khi!$D$2:$D$66,MATCH(Xe!$AE$63,xe_input_vu_khi!$A$2:$A$66,0))&gt;0,INDEX(xe_input_vu_khi_suy_ra!$C$2:$C$66,MATCH(Xe!$AE$63,xe_input_vu_khi_suy_ra!$A$2:$A$66,0))*INDEX(xe_input_vu_khi!$D$2:$D$66,MATCH(Xe!$AE$63,xe_input_vu_khi!$A$2:$A$66,0))/(MAX(0.05,INDEX(xe_input_vu_khi_suy_ra!$B$2:$B$66,MATCH(Xe!$AE$63,xe_input_vu_khi_suy_ra!$A$2:$A$66,0)))*INDEX(xe_input_vu_khi!$D$2:$D$66,MATCH(Xe!$AE$63,xe_input_vu_khi!$A$2:$A$66,0))+INDEX(xe_input_vu_khi_suy_ra!$D$2:$D$66,MATCH(Xe!$AE$63,xe_input_vu_khi_suy_ra!$A$2:$A$66,0))),INDEX(xe_input_vu_khi_suy_ra!$C$2:$C$66,MATCH(Xe!$AE$63,xe_input_vu_khi_suy_ra!$A$2:$A$66,0))/MAX(0.05,INDEX(xe_input_vu_khi_suy_ra!$B$2:$B$66,MATCH(Xe!$AE$63,xe_input_vu_khi_suy_ra!$A$2:$A$66,0))))))*Xe!$AD$63</f>
        <v/>
      </c>
      <c r="H63" t="n">
        <v>67.39633767846058</v>
      </c>
      <c r="I63">
        <f>IF(AND(Xe!$I$63&gt;0,ISNUMBER(Xe!$K$63)),Xe!$K$63/Xe!$I$63,"")</f>
        <v/>
      </c>
      <c r="J63">
        <f>IF(Xe!$I$63&gt;0,$E$63/Xe!$I$63,"")</f>
        <v/>
      </c>
      <c r="K63">
        <f>IF(AND(Xe!$I$63&gt;0,ISNUMBER(Xe!$K$63)),Xe!$K$63/(Hoi_quy!$B$4*Xe!$I$63^Hoi_quy!$B$5),"")</f>
        <v/>
      </c>
      <c r="L63" t="n">
        <v>2</v>
      </c>
      <c r="M63" t="n">
        <v>1.15</v>
      </c>
      <c r="N63" t="n">
        <v>0</v>
      </c>
      <c r="O63" t="n">
        <v>3.5</v>
      </c>
      <c r="P63" t="inlineStr">
        <is>
          <t>Assets/MachineBrigade/Resources/Data/balance.json: vehicles[id=shield_carrier] (lớp B trên 01_chien_dau/Xe)</t>
        </is>
      </c>
      <c r="Q63" t="inlineStr"/>
    </row>
    <row r="64">
      <c r="A64" t="inlineStr">
        <is>
          <t>siege_tank</t>
        </is>
      </c>
      <c r="B64" t="n">
        <v>0</v>
      </c>
      <c r="C64" t="n">
        <v>0</v>
      </c>
      <c r="D64" t="n">
        <v>1</v>
      </c>
      <c r="E64">
        <f>IF(INDEX(xe_input_vu_khi!$B$2:$B$66,MATCH(Xe!$AE$64,xe_input_vu_khi!$A$2:$A$66,0))&lt;=0,0,IF($B$64&gt;0,INDEX(xe_input_vu_khi!$B$2:$B$66,MATCH(Xe!$AE$64,xe_input_vu_khi!$A$2:$A$66,0))*$B$64/(MAX(0.05,INDEX(xe_input_vu_khi_suy_ra!$B$2:$B$66,MATCH(Xe!$AE$64,xe_input_vu_khi_suy_ra!$A$2:$A$66,0)))*MAX(1,CEILING($B$64/MAX(1,INDEX(xe_input_vu_khi!$C$2:$C$66,MATCH(Xe!$AE$64,xe_input_vu_khi!$A$2:$A$66,0))),1))+MAX(0,$C$64)),IF(INDEX(xe_input_vu_khi!$D$2:$D$66,MATCH(Xe!$AE$64,xe_input_vu_khi!$A$2:$A$66,0))&gt;0,INDEX(xe_input_vu_khi_suy_ra!$C$2:$C$66,MATCH(Xe!$AE$64,xe_input_vu_khi_suy_ra!$A$2:$A$66,0))*INDEX(xe_input_vu_khi!$D$2:$D$66,MATCH(Xe!$AE$64,xe_input_vu_khi!$A$2:$A$66,0))/(MAX(0.05,INDEX(xe_input_vu_khi_suy_ra!$B$2:$B$66,MATCH(Xe!$AE$64,xe_input_vu_khi_suy_ra!$A$2:$A$66,0)))*INDEX(xe_input_vu_khi!$D$2:$D$66,MATCH(Xe!$AE$64,xe_input_vu_khi!$A$2:$A$66,0))+INDEX(xe_input_vu_khi_suy_ra!$D$2:$D$66,MATCH(Xe!$AE$64,xe_input_vu_khi_suy_ra!$A$2:$A$66,0))),INDEX(xe_input_vu_khi_suy_ra!$C$2:$C$66,MATCH(Xe!$AE$64,xe_input_vu_khi_suy_ra!$A$2:$A$66,0))/MAX(0.05,INDEX(xe_input_vu_khi_suy_ra!$B$2:$B$66,MATCH(Xe!$AE$64,xe_input_vu_khi_suy_ra!$A$2:$A$66,0))))))*IF(INDEX(xe_input_vu_khi!$E$2:$E$66,MATCH(Xe!$AE$64,xe_input_vu_khi!$A$2:$A$66,0)),1,$D$64)*Xe!$AD$64</f>
        <v/>
      </c>
      <c r="F64" t="n">
        <v>58.49283167163961</v>
      </c>
      <c r="G64">
        <f>IF(INDEX(xe_input_vu_khi!$B$2:$B$66,MATCH(Xe!$AE$64,xe_input_vu_khi!$A$2:$A$66,0))&lt;=0,0,IF($B$64&gt;0,INDEX(xe_input_vu_khi!$B$2:$B$66,MATCH(Xe!$AE$64,xe_input_vu_khi!$A$2:$A$66,0))*$B$64/(MAX(0.05,INDEX(xe_input_vu_khi_suy_ra!$B$2:$B$66,MATCH(Xe!$AE$64,xe_input_vu_khi_suy_ra!$A$2:$A$66,0)))*MAX(1,CEILING($B$64/MAX(1,INDEX(xe_input_vu_khi!$C$2:$C$66,MATCH(Xe!$AE$64,xe_input_vu_khi!$A$2:$A$66,0))),1))+MAX(0,$C$64)),IF(INDEX(xe_input_vu_khi!$D$2:$D$66,MATCH(Xe!$AE$64,xe_input_vu_khi!$A$2:$A$66,0))&gt;0,INDEX(xe_input_vu_khi_suy_ra!$C$2:$C$66,MATCH(Xe!$AE$64,xe_input_vu_khi_suy_ra!$A$2:$A$66,0))*INDEX(xe_input_vu_khi!$D$2:$D$66,MATCH(Xe!$AE$64,xe_input_vu_khi!$A$2:$A$66,0))/(MAX(0.05,INDEX(xe_input_vu_khi_suy_ra!$B$2:$B$66,MATCH(Xe!$AE$64,xe_input_vu_khi_suy_ra!$A$2:$A$66,0)))*INDEX(xe_input_vu_khi!$D$2:$D$66,MATCH(Xe!$AE$64,xe_input_vu_khi!$A$2:$A$66,0))+INDEX(xe_input_vu_khi_suy_ra!$D$2:$D$66,MATCH(Xe!$AE$64,xe_input_vu_khi_suy_ra!$A$2:$A$66,0))),INDEX(xe_input_vu_khi_suy_ra!$C$2:$C$66,MATCH(Xe!$AE$64,xe_input_vu_khi_suy_ra!$A$2:$A$66,0))/MAX(0.05,INDEX(xe_input_vu_khi_suy_ra!$B$2:$B$66,MATCH(Xe!$AE$64,xe_input_vu_khi_suy_ra!$A$2:$A$66,0))))))*Xe!$AD$64</f>
        <v/>
      </c>
      <c r="H64" t="n">
        <v>58.49283167163961</v>
      </c>
      <c r="I64">
        <f>IF(AND(Xe!$I$64&gt;0,ISNUMBER(Xe!$K$64)),Xe!$K$64/Xe!$I$64,"")</f>
        <v/>
      </c>
      <c r="J64">
        <f>IF(Xe!$I$64&gt;0,$E$64/Xe!$I$64,"")</f>
        <v/>
      </c>
      <c r="K64">
        <f>IF(AND(Xe!$I$64&gt;0,ISNUMBER(Xe!$K$64)),Xe!$K$64/(Hoi_quy!$B$4*Xe!$I$64^Hoi_quy!$B$5),"")</f>
        <v/>
      </c>
      <c r="L64" t="n">
        <v>4</v>
      </c>
      <c r="M64" t="n">
        <v>1.3</v>
      </c>
      <c r="N64" t="n">
        <v>0</v>
      </c>
      <c r="O64" t="n">
        <v>5</v>
      </c>
      <c r="P64" t="inlineStr">
        <is>
          <t>Assets/MachineBrigade/Resources/Data/balance.json: vehicles[id=siege_tank] (lớp B trên 01_chien_dau/Xe)</t>
        </is>
      </c>
      <c r="Q64" t="inlineStr"/>
    </row>
    <row r="65">
      <c r="A65" t="inlineStr">
        <is>
          <t>sky_gunship</t>
        </is>
      </c>
      <c r="B65" t="n">
        <v>0</v>
      </c>
      <c r="C65" t="n">
        <v>18</v>
      </c>
      <c r="D65" t="n">
        <v>1</v>
      </c>
      <c r="E65">
        <f>IF(INDEX(xe_input_vu_khi!$B$2:$B$66,MATCH(Xe!$AE$65,xe_input_vu_khi!$A$2:$A$66,0))&lt;=0,0,IF($B$65&gt;0,INDEX(xe_input_vu_khi!$B$2:$B$66,MATCH(Xe!$AE$65,xe_input_vu_khi!$A$2:$A$66,0))*$B$65/(MAX(0.05,INDEX(xe_input_vu_khi_suy_ra!$B$2:$B$66,MATCH(Xe!$AE$65,xe_input_vu_khi_suy_ra!$A$2:$A$66,0)))*MAX(1,CEILING($B$65/MAX(1,INDEX(xe_input_vu_khi!$C$2:$C$66,MATCH(Xe!$AE$65,xe_input_vu_khi!$A$2:$A$66,0))),1))+MAX(0,$C$65)),IF(INDEX(xe_input_vu_khi!$D$2:$D$66,MATCH(Xe!$AE$65,xe_input_vu_khi!$A$2:$A$66,0))&gt;0,INDEX(xe_input_vu_khi_suy_ra!$C$2:$C$66,MATCH(Xe!$AE$65,xe_input_vu_khi_suy_ra!$A$2:$A$66,0))*INDEX(xe_input_vu_khi!$D$2:$D$66,MATCH(Xe!$AE$65,xe_input_vu_khi!$A$2:$A$66,0))/(MAX(0.05,INDEX(xe_input_vu_khi_suy_ra!$B$2:$B$66,MATCH(Xe!$AE$65,xe_input_vu_khi_suy_ra!$A$2:$A$66,0)))*INDEX(xe_input_vu_khi!$D$2:$D$66,MATCH(Xe!$AE$65,xe_input_vu_khi!$A$2:$A$66,0))+INDEX(xe_input_vu_khi_suy_ra!$D$2:$D$66,MATCH(Xe!$AE$65,xe_input_vu_khi_suy_ra!$A$2:$A$66,0))),INDEX(xe_input_vu_khi_suy_ra!$C$2:$C$66,MATCH(Xe!$AE$65,xe_input_vu_khi_suy_ra!$A$2:$A$66,0))/MAX(0.05,INDEX(xe_input_vu_khi_suy_ra!$B$2:$B$66,MATCH(Xe!$AE$65,xe_input_vu_khi_suy_ra!$A$2:$A$66,0))))))*IF(INDEX(xe_input_vu_khi!$E$2:$E$66,MATCH(Xe!$AE$65,xe_input_vu_khi!$A$2:$A$66,0)),1,$D$65)*Xe!$AD$65</f>
        <v/>
      </c>
      <c r="F65" t="n">
        <v>110.6270477162541</v>
      </c>
      <c r="G65">
        <f>IF(INDEX(xe_input_vu_khi!$B$2:$B$66,MATCH(Xe!$AE$65,xe_input_vu_khi!$A$2:$A$66,0))&lt;=0,0,IF($B$65&gt;0,INDEX(xe_input_vu_khi!$B$2:$B$66,MATCH(Xe!$AE$65,xe_input_vu_khi!$A$2:$A$66,0))*$B$65/(MAX(0.05,INDEX(xe_input_vu_khi_suy_ra!$B$2:$B$66,MATCH(Xe!$AE$65,xe_input_vu_khi_suy_ra!$A$2:$A$66,0)))*MAX(1,CEILING($B$65/MAX(1,INDEX(xe_input_vu_khi!$C$2:$C$66,MATCH(Xe!$AE$65,xe_input_vu_khi!$A$2:$A$66,0))),1))+MAX(0,$C$65)),IF(INDEX(xe_input_vu_khi!$D$2:$D$66,MATCH(Xe!$AE$65,xe_input_vu_khi!$A$2:$A$66,0))&gt;0,INDEX(xe_input_vu_khi_suy_ra!$C$2:$C$66,MATCH(Xe!$AE$65,xe_input_vu_khi_suy_ra!$A$2:$A$66,0))*INDEX(xe_input_vu_khi!$D$2:$D$66,MATCH(Xe!$AE$65,xe_input_vu_khi!$A$2:$A$66,0))/(MAX(0.05,INDEX(xe_input_vu_khi_suy_ra!$B$2:$B$66,MATCH(Xe!$AE$65,xe_input_vu_khi_suy_ra!$A$2:$A$66,0)))*INDEX(xe_input_vu_khi!$D$2:$D$66,MATCH(Xe!$AE$65,xe_input_vu_khi!$A$2:$A$66,0))+INDEX(xe_input_vu_khi_suy_ra!$D$2:$D$66,MATCH(Xe!$AE$65,xe_input_vu_khi_suy_ra!$A$2:$A$66,0))),INDEX(xe_input_vu_khi_suy_ra!$C$2:$C$66,MATCH(Xe!$AE$65,xe_input_vu_khi_suy_ra!$A$2:$A$66,0))/MAX(0.05,INDEX(xe_input_vu_khi_suy_ra!$B$2:$B$66,MATCH(Xe!$AE$65,xe_input_vu_khi_suy_ra!$A$2:$A$66,0))))))*Xe!$AD$65</f>
        <v/>
      </c>
      <c r="H65" t="n">
        <v>110.6270477162541</v>
      </c>
      <c r="I65">
        <f>IF(AND(Xe!$I$65&gt;0,ISNUMBER(Xe!$K$65)),Xe!$K$65/Xe!$I$65,"")</f>
        <v/>
      </c>
      <c r="J65">
        <f>IF(Xe!$I$65&gt;0,$E$65/Xe!$I$65,"")</f>
        <v/>
      </c>
      <c r="K65">
        <f>IF(AND(Xe!$I$65&gt;0,ISNUMBER(Xe!$K$65)),Xe!$K$65/(Hoi_quy!$B$4*Xe!$I$65^Hoi_quy!$B$5),"")</f>
        <v/>
      </c>
      <c r="L65" t="n">
        <v>4</v>
      </c>
      <c r="M65" t="n">
        <v>1.3</v>
      </c>
      <c r="N65" t="n">
        <v>0.15</v>
      </c>
      <c r="O65" t="n">
        <v>5</v>
      </c>
      <c r="P65" t="inlineStr">
        <is>
          <t>Assets/MachineBrigade/Resources/Data/balance.json: vehicles[id=sky_gunship] (lớp B trên 01_chien_dau/Xe)</t>
        </is>
      </c>
      <c r="Q65" t="inlineStr"/>
    </row>
    <row r="66">
      <c r="A66" t="inlineStr">
        <is>
          <t>sp_mortar</t>
        </is>
      </c>
      <c r="B66" t="n">
        <v>0</v>
      </c>
      <c r="C66" t="n">
        <v>0</v>
      </c>
      <c r="D66" t="n">
        <v>1</v>
      </c>
      <c r="E66">
        <f>IF(INDEX(xe_input_vu_khi!$B$2:$B$66,MATCH(Xe!$AE$66,xe_input_vu_khi!$A$2:$A$66,0))&lt;=0,0,IF($B$66&gt;0,INDEX(xe_input_vu_khi!$B$2:$B$66,MATCH(Xe!$AE$66,xe_input_vu_khi!$A$2:$A$66,0))*$B$66/(MAX(0.05,INDEX(xe_input_vu_khi_suy_ra!$B$2:$B$66,MATCH(Xe!$AE$66,xe_input_vu_khi_suy_ra!$A$2:$A$66,0)))*MAX(1,CEILING($B$66/MAX(1,INDEX(xe_input_vu_khi!$C$2:$C$66,MATCH(Xe!$AE$66,xe_input_vu_khi!$A$2:$A$66,0))),1))+MAX(0,$C$66)),IF(INDEX(xe_input_vu_khi!$D$2:$D$66,MATCH(Xe!$AE$66,xe_input_vu_khi!$A$2:$A$66,0))&gt;0,INDEX(xe_input_vu_khi_suy_ra!$C$2:$C$66,MATCH(Xe!$AE$66,xe_input_vu_khi_suy_ra!$A$2:$A$66,0))*INDEX(xe_input_vu_khi!$D$2:$D$66,MATCH(Xe!$AE$66,xe_input_vu_khi!$A$2:$A$66,0))/(MAX(0.05,INDEX(xe_input_vu_khi_suy_ra!$B$2:$B$66,MATCH(Xe!$AE$66,xe_input_vu_khi_suy_ra!$A$2:$A$66,0)))*INDEX(xe_input_vu_khi!$D$2:$D$66,MATCH(Xe!$AE$66,xe_input_vu_khi!$A$2:$A$66,0))+INDEX(xe_input_vu_khi_suy_ra!$D$2:$D$66,MATCH(Xe!$AE$66,xe_input_vu_khi_suy_ra!$A$2:$A$66,0))),INDEX(xe_input_vu_khi_suy_ra!$C$2:$C$66,MATCH(Xe!$AE$66,xe_input_vu_khi_suy_ra!$A$2:$A$66,0))/MAX(0.05,INDEX(xe_input_vu_khi_suy_ra!$B$2:$B$66,MATCH(Xe!$AE$66,xe_input_vu_khi_suy_ra!$A$2:$A$66,0))))))*IF(INDEX(xe_input_vu_khi!$E$2:$E$66,MATCH(Xe!$AE$66,xe_input_vu_khi!$A$2:$A$66,0)),1,$D$66)*Xe!$AD$66</f>
        <v/>
      </c>
      <c r="F66" t="n">
        <v>66.88806407501465</v>
      </c>
      <c r="G66">
        <f>IF(INDEX(xe_input_vu_khi!$B$2:$B$66,MATCH(Xe!$AE$66,xe_input_vu_khi!$A$2:$A$66,0))&lt;=0,0,IF($B$66&gt;0,INDEX(xe_input_vu_khi!$B$2:$B$66,MATCH(Xe!$AE$66,xe_input_vu_khi!$A$2:$A$66,0))*$B$66/(MAX(0.05,INDEX(xe_input_vu_khi_suy_ra!$B$2:$B$66,MATCH(Xe!$AE$66,xe_input_vu_khi_suy_ra!$A$2:$A$66,0)))*MAX(1,CEILING($B$66/MAX(1,INDEX(xe_input_vu_khi!$C$2:$C$66,MATCH(Xe!$AE$66,xe_input_vu_khi!$A$2:$A$66,0))),1))+MAX(0,$C$66)),IF(INDEX(xe_input_vu_khi!$D$2:$D$66,MATCH(Xe!$AE$66,xe_input_vu_khi!$A$2:$A$66,0))&gt;0,INDEX(xe_input_vu_khi_suy_ra!$C$2:$C$66,MATCH(Xe!$AE$66,xe_input_vu_khi_suy_ra!$A$2:$A$66,0))*INDEX(xe_input_vu_khi!$D$2:$D$66,MATCH(Xe!$AE$66,xe_input_vu_khi!$A$2:$A$66,0))/(MAX(0.05,INDEX(xe_input_vu_khi_suy_ra!$B$2:$B$66,MATCH(Xe!$AE$66,xe_input_vu_khi_suy_ra!$A$2:$A$66,0)))*INDEX(xe_input_vu_khi!$D$2:$D$66,MATCH(Xe!$AE$66,xe_input_vu_khi!$A$2:$A$66,0))+INDEX(xe_input_vu_khi_suy_ra!$D$2:$D$66,MATCH(Xe!$AE$66,xe_input_vu_khi_suy_ra!$A$2:$A$66,0))),INDEX(xe_input_vu_khi_suy_ra!$C$2:$C$66,MATCH(Xe!$AE$66,xe_input_vu_khi_suy_ra!$A$2:$A$66,0))/MAX(0.05,INDEX(xe_input_vu_khi_suy_ra!$B$2:$B$66,MATCH(Xe!$AE$66,xe_input_vu_khi_suy_ra!$A$2:$A$66,0))))))*Xe!$AD$66</f>
        <v/>
      </c>
      <c r="H66" t="n">
        <v>66.88806407501465</v>
      </c>
      <c r="I66">
        <f>IF(AND(Xe!$I$66&gt;0,ISNUMBER(Xe!$K$66)),Xe!$K$66/Xe!$I$66,"")</f>
        <v/>
      </c>
      <c r="J66">
        <f>IF(Xe!$I$66&gt;0,$E$66/Xe!$I$66,"")</f>
        <v/>
      </c>
      <c r="K66">
        <f>IF(AND(Xe!$I$66&gt;0,ISNUMBER(Xe!$K$66)),Xe!$K$66/(Hoi_quy!$B$4*Xe!$I$66^Hoi_quy!$B$5),"")</f>
        <v/>
      </c>
      <c r="L66" t="n">
        <v>2</v>
      </c>
      <c r="M66" t="n">
        <v>1.15</v>
      </c>
      <c r="N66" t="n">
        <v>0</v>
      </c>
      <c r="O66" t="n">
        <v>3.5</v>
      </c>
      <c r="P66" t="inlineStr">
        <is>
          <t>Assets/MachineBrigade/Resources/Data/balance.json: vehicles[id=sp_mortar] (lớp B trên 01_chien_dau/Xe)</t>
        </is>
      </c>
      <c r="Q66" t="inlineStr"/>
    </row>
    <row r="67">
      <c r="A67" t="inlineStr">
        <is>
          <t>stealth_bomber</t>
        </is>
      </c>
      <c r="B67" t="n">
        <v>2</v>
      </c>
      <c r="C67" t="n">
        <v>16</v>
      </c>
      <c r="D67" t="n">
        <v>1</v>
      </c>
      <c r="E67">
        <f>IF(INDEX(xe_input_vu_khi!$B$2:$B$66,MATCH(Xe!$AE$67,xe_input_vu_khi!$A$2:$A$66,0))&lt;=0,0,IF($B$67&gt;0,INDEX(xe_input_vu_khi!$B$2:$B$66,MATCH(Xe!$AE$67,xe_input_vu_khi!$A$2:$A$66,0))*$B$67/(MAX(0.05,INDEX(xe_input_vu_khi_suy_ra!$B$2:$B$66,MATCH(Xe!$AE$67,xe_input_vu_khi_suy_ra!$A$2:$A$66,0)))*MAX(1,CEILING($B$67/MAX(1,INDEX(xe_input_vu_khi!$C$2:$C$66,MATCH(Xe!$AE$67,xe_input_vu_khi!$A$2:$A$66,0))),1))+MAX(0,$C$67)),IF(INDEX(xe_input_vu_khi!$D$2:$D$66,MATCH(Xe!$AE$67,xe_input_vu_khi!$A$2:$A$66,0))&gt;0,INDEX(xe_input_vu_khi_suy_ra!$C$2:$C$66,MATCH(Xe!$AE$67,xe_input_vu_khi_suy_ra!$A$2:$A$66,0))*INDEX(xe_input_vu_khi!$D$2:$D$66,MATCH(Xe!$AE$67,xe_input_vu_khi!$A$2:$A$66,0))/(MAX(0.05,INDEX(xe_input_vu_khi_suy_ra!$B$2:$B$66,MATCH(Xe!$AE$67,xe_input_vu_khi_suy_ra!$A$2:$A$66,0)))*INDEX(xe_input_vu_khi!$D$2:$D$66,MATCH(Xe!$AE$67,xe_input_vu_khi!$A$2:$A$66,0))+INDEX(xe_input_vu_khi_suy_ra!$D$2:$D$66,MATCH(Xe!$AE$67,xe_input_vu_khi_suy_ra!$A$2:$A$66,0))),INDEX(xe_input_vu_khi_suy_ra!$C$2:$C$66,MATCH(Xe!$AE$67,xe_input_vu_khi_suy_ra!$A$2:$A$66,0))/MAX(0.05,INDEX(xe_input_vu_khi_suy_ra!$B$2:$B$66,MATCH(Xe!$AE$67,xe_input_vu_khi_suy_ra!$A$2:$A$66,0))))))*IF(INDEX(xe_input_vu_khi!$E$2:$E$66,MATCH(Xe!$AE$67,xe_input_vu_khi!$A$2:$A$66,0)),1,$D$67)*Xe!$AD$67</f>
        <v/>
      </c>
      <c r="F67" t="n">
        <v>75.69930033003301</v>
      </c>
      <c r="G67">
        <f>IF(INDEX(xe_input_vu_khi!$B$2:$B$66,MATCH(Xe!$AE$67,xe_input_vu_khi!$A$2:$A$66,0))&lt;=0,0,IF($B$67&gt;0,INDEX(xe_input_vu_khi!$B$2:$B$66,MATCH(Xe!$AE$67,xe_input_vu_khi!$A$2:$A$66,0))*$B$67/(MAX(0.05,INDEX(xe_input_vu_khi_suy_ra!$B$2:$B$66,MATCH(Xe!$AE$67,xe_input_vu_khi_suy_ra!$A$2:$A$66,0)))*MAX(1,CEILING($B$67/MAX(1,INDEX(xe_input_vu_khi!$C$2:$C$66,MATCH(Xe!$AE$67,xe_input_vu_khi!$A$2:$A$66,0))),1))+MAX(0,$C$67)),IF(INDEX(xe_input_vu_khi!$D$2:$D$66,MATCH(Xe!$AE$67,xe_input_vu_khi!$A$2:$A$66,0))&gt;0,INDEX(xe_input_vu_khi_suy_ra!$C$2:$C$66,MATCH(Xe!$AE$67,xe_input_vu_khi_suy_ra!$A$2:$A$66,0))*INDEX(xe_input_vu_khi!$D$2:$D$66,MATCH(Xe!$AE$67,xe_input_vu_khi!$A$2:$A$66,0))/(MAX(0.05,INDEX(xe_input_vu_khi_suy_ra!$B$2:$B$66,MATCH(Xe!$AE$67,xe_input_vu_khi_suy_ra!$A$2:$A$66,0)))*INDEX(xe_input_vu_khi!$D$2:$D$66,MATCH(Xe!$AE$67,xe_input_vu_khi!$A$2:$A$66,0))+INDEX(xe_input_vu_khi_suy_ra!$D$2:$D$66,MATCH(Xe!$AE$67,xe_input_vu_khi_suy_ra!$A$2:$A$66,0))),INDEX(xe_input_vu_khi_suy_ra!$C$2:$C$66,MATCH(Xe!$AE$67,xe_input_vu_khi_suy_ra!$A$2:$A$66,0))/MAX(0.05,INDEX(xe_input_vu_khi_suy_ra!$B$2:$B$66,MATCH(Xe!$AE$67,xe_input_vu_khi_suy_ra!$A$2:$A$66,0))))))*Xe!$AD$67</f>
        <v/>
      </c>
      <c r="H67" t="n">
        <v>75.69930033003301</v>
      </c>
      <c r="I67">
        <f>IF(AND(Xe!$I$67&gt;0,ISNUMBER(Xe!$K$67)),Xe!$K$67/Xe!$I$67,"")</f>
        <v/>
      </c>
      <c r="J67">
        <f>IF(Xe!$I$67&gt;0,$E$67/Xe!$I$67,"")</f>
        <v/>
      </c>
      <c r="K67">
        <f>IF(AND(Xe!$I$67&gt;0,ISNUMBER(Xe!$K$67)),Xe!$K$67/(Hoi_quy!$B$4*Xe!$I$67^Hoi_quy!$B$5),"")</f>
        <v/>
      </c>
      <c r="L67" t="n">
        <v>4</v>
      </c>
      <c r="M67" t="n">
        <v>1.3</v>
      </c>
      <c r="N67" t="n">
        <v>0</v>
      </c>
      <c r="O67" t="n">
        <v>5</v>
      </c>
      <c r="P67" t="inlineStr">
        <is>
          <t>Assets/MachineBrigade/Resources/Data/balance.json: vehicles[id=stealth_bomber] (lớp B trên 01_chien_dau/Xe)</t>
        </is>
      </c>
      <c r="Q67" t="inlineStr"/>
    </row>
    <row r="68">
      <c r="A68" t="inlineStr">
        <is>
          <t>stealth_fighter</t>
        </is>
      </c>
      <c r="B68" t="n">
        <v>5</v>
      </c>
      <c r="C68" t="n">
        <v>11</v>
      </c>
      <c r="D68" t="n">
        <v>1</v>
      </c>
      <c r="E68">
        <f>IF(INDEX(xe_input_vu_khi!$B$2:$B$66,MATCH(Xe!$AE$68,xe_input_vu_khi!$A$2:$A$66,0))&lt;=0,0,IF($B$68&gt;0,INDEX(xe_input_vu_khi!$B$2:$B$66,MATCH(Xe!$AE$68,xe_input_vu_khi!$A$2:$A$66,0))*$B$68/(MAX(0.05,INDEX(xe_input_vu_khi_suy_ra!$B$2:$B$66,MATCH(Xe!$AE$68,xe_input_vu_khi_suy_ra!$A$2:$A$66,0)))*MAX(1,CEILING($B$68/MAX(1,INDEX(xe_input_vu_khi!$C$2:$C$66,MATCH(Xe!$AE$68,xe_input_vu_khi!$A$2:$A$66,0))),1))+MAX(0,$C$68)),IF(INDEX(xe_input_vu_khi!$D$2:$D$66,MATCH(Xe!$AE$68,xe_input_vu_khi!$A$2:$A$66,0))&gt;0,INDEX(xe_input_vu_khi_suy_ra!$C$2:$C$66,MATCH(Xe!$AE$68,xe_input_vu_khi_suy_ra!$A$2:$A$66,0))*INDEX(xe_input_vu_khi!$D$2:$D$66,MATCH(Xe!$AE$68,xe_input_vu_khi!$A$2:$A$66,0))/(MAX(0.05,INDEX(xe_input_vu_khi_suy_ra!$B$2:$B$66,MATCH(Xe!$AE$68,xe_input_vu_khi_suy_ra!$A$2:$A$66,0)))*INDEX(xe_input_vu_khi!$D$2:$D$66,MATCH(Xe!$AE$68,xe_input_vu_khi!$A$2:$A$66,0))+INDEX(xe_input_vu_khi_suy_ra!$D$2:$D$66,MATCH(Xe!$AE$68,xe_input_vu_khi_suy_ra!$A$2:$A$66,0))),INDEX(xe_input_vu_khi_suy_ra!$C$2:$C$66,MATCH(Xe!$AE$68,xe_input_vu_khi_suy_ra!$A$2:$A$66,0))/MAX(0.05,INDEX(xe_input_vu_khi_suy_ra!$B$2:$B$66,MATCH(Xe!$AE$68,xe_input_vu_khi_suy_ra!$A$2:$A$66,0))))))*IF(INDEX(xe_input_vu_khi!$E$2:$E$66,MATCH(Xe!$AE$68,xe_input_vu_khi!$A$2:$A$66,0)),1,$D$68)*Xe!$AD$68</f>
        <v/>
      </c>
      <c r="F68" t="n">
        <v>64.3000323101777</v>
      </c>
      <c r="G68">
        <f>IF(INDEX(xe_input_vu_khi!$B$2:$B$66,MATCH(Xe!$AE$68,xe_input_vu_khi!$A$2:$A$66,0))&lt;=0,0,IF($B$68&gt;0,INDEX(xe_input_vu_khi!$B$2:$B$66,MATCH(Xe!$AE$68,xe_input_vu_khi!$A$2:$A$66,0))*$B$68/(MAX(0.05,INDEX(xe_input_vu_khi_suy_ra!$B$2:$B$66,MATCH(Xe!$AE$68,xe_input_vu_khi_suy_ra!$A$2:$A$66,0)))*MAX(1,CEILING($B$68/MAX(1,INDEX(xe_input_vu_khi!$C$2:$C$66,MATCH(Xe!$AE$68,xe_input_vu_khi!$A$2:$A$66,0))),1))+MAX(0,$C$68)),IF(INDEX(xe_input_vu_khi!$D$2:$D$66,MATCH(Xe!$AE$68,xe_input_vu_khi!$A$2:$A$66,0))&gt;0,INDEX(xe_input_vu_khi_suy_ra!$C$2:$C$66,MATCH(Xe!$AE$68,xe_input_vu_khi_suy_ra!$A$2:$A$66,0))*INDEX(xe_input_vu_khi!$D$2:$D$66,MATCH(Xe!$AE$68,xe_input_vu_khi!$A$2:$A$66,0))/(MAX(0.05,INDEX(xe_input_vu_khi_suy_ra!$B$2:$B$66,MATCH(Xe!$AE$68,xe_input_vu_khi_suy_ra!$A$2:$A$66,0)))*INDEX(xe_input_vu_khi!$D$2:$D$66,MATCH(Xe!$AE$68,xe_input_vu_khi!$A$2:$A$66,0))+INDEX(xe_input_vu_khi_suy_ra!$D$2:$D$66,MATCH(Xe!$AE$68,xe_input_vu_khi_suy_ra!$A$2:$A$66,0))),INDEX(xe_input_vu_khi_suy_ra!$C$2:$C$66,MATCH(Xe!$AE$68,xe_input_vu_khi_suy_ra!$A$2:$A$66,0))/MAX(0.05,INDEX(xe_input_vu_khi_suy_ra!$B$2:$B$66,MATCH(Xe!$AE$68,xe_input_vu_khi_suy_ra!$A$2:$A$66,0))))))*Xe!$AD$68</f>
        <v/>
      </c>
      <c r="H68" t="n">
        <v>64.3000323101777</v>
      </c>
      <c r="I68">
        <f>IF(AND(Xe!$I$68&gt;0,ISNUMBER(Xe!$K$68)),Xe!$K$68/Xe!$I$68,"")</f>
        <v/>
      </c>
      <c r="J68">
        <f>IF(Xe!$I$68&gt;0,$E$68/Xe!$I$68,"")</f>
        <v/>
      </c>
      <c r="K68">
        <f>IF(AND(Xe!$I$68&gt;0,ISNUMBER(Xe!$K$68)),Xe!$K$68/(Hoi_quy!$B$4*Xe!$I$68^Hoi_quy!$B$5),"")</f>
        <v/>
      </c>
      <c r="L68" t="n">
        <v>4</v>
      </c>
      <c r="M68" t="n">
        <v>1.3</v>
      </c>
      <c r="N68" t="n">
        <v>0.1</v>
      </c>
      <c r="O68" t="n">
        <v>5</v>
      </c>
      <c r="P68" t="inlineStr">
        <is>
          <t>Assets/MachineBrigade/Resources/Data/balance.json: vehicles[id=stealth_fighter] (lớp B trên 01_chien_dau/Xe)</t>
        </is>
      </c>
      <c r="Q68" t="inlineStr"/>
    </row>
    <row r="69">
      <c r="A69" t="inlineStr">
        <is>
          <t>stealth_naval_strike</t>
        </is>
      </c>
      <c r="B69" t="n">
        <v>0</v>
      </c>
      <c r="C69" t="n">
        <v>16</v>
      </c>
      <c r="D69" t="n">
        <v>1</v>
      </c>
      <c r="E69">
        <f>IF(INDEX(xe_input_vu_khi!$B$2:$B$66,MATCH(Xe!$AE$69,xe_input_vu_khi!$A$2:$A$66,0))&lt;=0,0,IF($B$69&gt;0,INDEX(xe_input_vu_khi!$B$2:$B$66,MATCH(Xe!$AE$69,xe_input_vu_khi!$A$2:$A$66,0))*$B$69/(MAX(0.05,INDEX(xe_input_vu_khi_suy_ra!$B$2:$B$66,MATCH(Xe!$AE$69,xe_input_vu_khi_suy_ra!$A$2:$A$66,0)))*MAX(1,CEILING($B$69/MAX(1,INDEX(xe_input_vu_khi!$C$2:$C$66,MATCH(Xe!$AE$69,xe_input_vu_khi!$A$2:$A$66,0))),1))+MAX(0,$C$69)),IF(INDEX(xe_input_vu_khi!$D$2:$D$66,MATCH(Xe!$AE$69,xe_input_vu_khi!$A$2:$A$66,0))&gt;0,INDEX(xe_input_vu_khi_suy_ra!$C$2:$C$66,MATCH(Xe!$AE$69,xe_input_vu_khi_suy_ra!$A$2:$A$66,0))*INDEX(xe_input_vu_khi!$D$2:$D$66,MATCH(Xe!$AE$69,xe_input_vu_khi!$A$2:$A$66,0))/(MAX(0.05,INDEX(xe_input_vu_khi_suy_ra!$B$2:$B$66,MATCH(Xe!$AE$69,xe_input_vu_khi_suy_ra!$A$2:$A$66,0)))*INDEX(xe_input_vu_khi!$D$2:$D$66,MATCH(Xe!$AE$69,xe_input_vu_khi!$A$2:$A$66,0))+INDEX(xe_input_vu_khi_suy_ra!$D$2:$D$66,MATCH(Xe!$AE$69,xe_input_vu_khi_suy_ra!$A$2:$A$66,0))),INDEX(xe_input_vu_khi_suy_ra!$C$2:$C$66,MATCH(Xe!$AE$69,xe_input_vu_khi_suy_ra!$A$2:$A$66,0))/MAX(0.05,INDEX(xe_input_vu_khi_suy_ra!$B$2:$B$66,MATCH(Xe!$AE$69,xe_input_vu_khi_suy_ra!$A$2:$A$66,0))))))*IF(INDEX(xe_input_vu_khi!$E$2:$E$66,MATCH(Xe!$AE$69,xe_input_vu_khi!$A$2:$A$66,0)),1,$D$69)*Xe!$AD$69</f>
        <v/>
      </c>
      <c r="F69" t="n">
        <v>0</v>
      </c>
      <c r="G69">
        <f>IF(INDEX(xe_input_vu_khi!$B$2:$B$66,MATCH(Xe!$AE$69,xe_input_vu_khi!$A$2:$A$66,0))&lt;=0,0,IF($B$69&gt;0,INDEX(xe_input_vu_khi!$B$2:$B$66,MATCH(Xe!$AE$69,xe_input_vu_khi!$A$2:$A$66,0))*$B$69/(MAX(0.05,INDEX(xe_input_vu_khi_suy_ra!$B$2:$B$66,MATCH(Xe!$AE$69,xe_input_vu_khi_suy_ra!$A$2:$A$66,0)))*MAX(1,CEILING($B$69/MAX(1,INDEX(xe_input_vu_khi!$C$2:$C$66,MATCH(Xe!$AE$69,xe_input_vu_khi!$A$2:$A$66,0))),1))+MAX(0,$C$69)),IF(INDEX(xe_input_vu_khi!$D$2:$D$66,MATCH(Xe!$AE$69,xe_input_vu_khi!$A$2:$A$66,0))&gt;0,INDEX(xe_input_vu_khi_suy_ra!$C$2:$C$66,MATCH(Xe!$AE$69,xe_input_vu_khi_suy_ra!$A$2:$A$66,0))*INDEX(xe_input_vu_khi!$D$2:$D$66,MATCH(Xe!$AE$69,xe_input_vu_khi!$A$2:$A$66,0))/(MAX(0.05,INDEX(xe_input_vu_khi_suy_ra!$B$2:$B$66,MATCH(Xe!$AE$69,xe_input_vu_khi_suy_ra!$A$2:$A$66,0)))*INDEX(xe_input_vu_khi!$D$2:$D$66,MATCH(Xe!$AE$69,xe_input_vu_khi!$A$2:$A$66,0))+INDEX(xe_input_vu_khi_suy_ra!$D$2:$D$66,MATCH(Xe!$AE$69,xe_input_vu_khi_suy_ra!$A$2:$A$66,0))),INDEX(xe_input_vu_khi_suy_ra!$C$2:$C$66,MATCH(Xe!$AE$69,xe_input_vu_khi_suy_ra!$A$2:$A$66,0))/MAX(0.05,INDEX(xe_input_vu_khi_suy_ra!$B$2:$B$66,MATCH(Xe!$AE$69,xe_input_vu_khi_suy_ra!$A$2:$A$66,0))))))*Xe!$AD$69</f>
        <v/>
      </c>
      <c r="H69" t="n">
        <v>0</v>
      </c>
      <c r="I69">
        <f>IF(AND(Xe!$I$69&gt;0,ISNUMBER(Xe!$K$69)),Xe!$K$69/Xe!$I$69,"")</f>
        <v/>
      </c>
      <c r="J69">
        <f>IF(Xe!$I$69&gt;0,$E$69/Xe!$I$69,"")</f>
        <v/>
      </c>
      <c r="K69">
        <f>IF(AND(Xe!$I$69&gt;0,ISNUMBER(Xe!$K$69)),Xe!$K$69/(Hoi_quy!$B$4*Xe!$I$69^Hoi_quy!$B$5),"")</f>
        <v/>
      </c>
      <c r="L69" t="n">
        <v>4</v>
      </c>
      <c r="M69" t="n">
        <v>1.3</v>
      </c>
      <c r="N69" t="n">
        <v>0.15</v>
      </c>
      <c r="O69" t="n">
        <v>5</v>
      </c>
      <c r="P69" t="inlineStr">
        <is>
          <t>Assets/MachineBrigade/Resources/Data/balance.json: vehicles[id=stealth_naval_strike] (lớp B trên 01_chien_dau/Xe)</t>
        </is>
      </c>
      <c r="Q69" t="inlineStr"/>
    </row>
    <row r="70">
      <c r="A70" t="inlineStr">
        <is>
          <t>strike_drone</t>
        </is>
      </c>
      <c r="B70" t="n">
        <v>3</v>
      </c>
      <c r="C70" t="n">
        <v>8.5</v>
      </c>
      <c r="D70" t="n">
        <v>1</v>
      </c>
      <c r="E70">
        <f>IF(INDEX(xe_input_vu_khi!$B$2:$B$66,MATCH(Xe!$AE$70,xe_input_vu_khi!$A$2:$A$66,0))&lt;=0,0,IF($B$70&gt;0,INDEX(xe_input_vu_khi!$B$2:$B$66,MATCH(Xe!$AE$70,xe_input_vu_khi!$A$2:$A$66,0))*$B$70/(MAX(0.05,INDEX(xe_input_vu_khi_suy_ra!$B$2:$B$66,MATCH(Xe!$AE$70,xe_input_vu_khi_suy_ra!$A$2:$A$66,0)))*MAX(1,CEILING($B$70/MAX(1,INDEX(xe_input_vu_khi!$C$2:$C$66,MATCH(Xe!$AE$70,xe_input_vu_khi!$A$2:$A$66,0))),1))+MAX(0,$C$70)),IF(INDEX(xe_input_vu_khi!$D$2:$D$66,MATCH(Xe!$AE$70,xe_input_vu_khi!$A$2:$A$66,0))&gt;0,INDEX(xe_input_vu_khi_suy_ra!$C$2:$C$66,MATCH(Xe!$AE$70,xe_input_vu_khi_suy_ra!$A$2:$A$66,0))*INDEX(xe_input_vu_khi!$D$2:$D$66,MATCH(Xe!$AE$70,xe_input_vu_khi!$A$2:$A$66,0))/(MAX(0.05,INDEX(xe_input_vu_khi_suy_ra!$B$2:$B$66,MATCH(Xe!$AE$70,xe_input_vu_khi_suy_ra!$A$2:$A$66,0)))*INDEX(xe_input_vu_khi!$D$2:$D$66,MATCH(Xe!$AE$70,xe_input_vu_khi!$A$2:$A$66,0))+INDEX(xe_input_vu_khi_suy_ra!$D$2:$D$66,MATCH(Xe!$AE$70,xe_input_vu_khi_suy_ra!$A$2:$A$66,0))),INDEX(xe_input_vu_khi_suy_ra!$C$2:$C$66,MATCH(Xe!$AE$70,xe_input_vu_khi_suy_ra!$A$2:$A$66,0))/MAX(0.05,INDEX(xe_input_vu_khi_suy_ra!$B$2:$B$66,MATCH(Xe!$AE$70,xe_input_vu_khi_suy_ra!$A$2:$A$66,0))))))*IF(INDEX(xe_input_vu_khi!$E$2:$E$66,MATCH(Xe!$AE$70,xe_input_vu_khi!$A$2:$A$66,0)),1,$D$70)*Xe!$AD$70</f>
        <v/>
      </c>
      <c r="F70" t="n">
        <v>51.40945945945945</v>
      </c>
      <c r="G70">
        <f>IF(INDEX(xe_input_vu_khi!$B$2:$B$66,MATCH(Xe!$AE$70,xe_input_vu_khi!$A$2:$A$66,0))&lt;=0,0,IF($B$70&gt;0,INDEX(xe_input_vu_khi!$B$2:$B$66,MATCH(Xe!$AE$70,xe_input_vu_khi!$A$2:$A$66,0))*$B$70/(MAX(0.05,INDEX(xe_input_vu_khi_suy_ra!$B$2:$B$66,MATCH(Xe!$AE$70,xe_input_vu_khi_suy_ra!$A$2:$A$66,0)))*MAX(1,CEILING($B$70/MAX(1,INDEX(xe_input_vu_khi!$C$2:$C$66,MATCH(Xe!$AE$70,xe_input_vu_khi!$A$2:$A$66,0))),1))+MAX(0,$C$70)),IF(INDEX(xe_input_vu_khi!$D$2:$D$66,MATCH(Xe!$AE$70,xe_input_vu_khi!$A$2:$A$66,0))&gt;0,INDEX(xe_input_vu_khi_suy_ra!$C$2:$C$66,MATCH(Xe!$AE$70,xe_input_vu_khi_suy_ra!$A$2:$A$66,0))*INDEX(xe_input_vu_khi!$D$2:$D$66,MATCH(Xe!$AE$70,xe_input_vu_khi!$A$2:$A$66,0))/(MAX(0.05,INDEX(xe_input_vu_khi_suy_ra!$B$2:$B$66,MATCH(Xe!$AE$70,xe_input_vu_khi_suy_ra!$A$2:$A$66,0)))*INDEX(xe_input_vu_khi!$D$2:$D$66,MATCH(Xe!$AE$70,xe_input_vu_khi!$A$2:$A$66,0))+INDEX(xe_input_vu_khi_suy_ra!$D$2:$D$66,MATCH(Xe!$AE$70,xe_input_vu_khi_suy_ra!$A$2:$A$66,0))),INDEX(xe_input_vu_khi_suy_ra!$C$2:$C$66,MATCH(Xe!$AE$70,xe_input_vu_khi_suy_ra!$A$2:$A$66,0))/MAX(0.05,INDEX(xe_input_vu_khi_suy_ra!$B$2:$B$66,MATCH(Xe!$AE$70,xe_input_vu_khi_suy_ra!$A$2:$A$66,0))))))*Xe!$AD$70</f>
        <v/>
      </c>
      <c r="H70" t="n">
        <v>51.40945945945945</v>
      </c>
      <c r="I70">
        <f>IF(AND(Xe!$I$70&gt;0,ISNUMBER(Xe!$K$70)),Xe!$K$70/Xe!$I$70,"")</f>
        <v/>
      </c>
      <c r="J70">
        <f>IF(Xe!$I$70&gt;0,$E$70/Xe!$I$70,"")</f>
        <v/>
      </c>
      <c r="K70">
        <f>IF(AND(Xe!$I$70&gt;0,ISNUMBER(Xe!$K$70)),Xe!$K$70/(Hoi_quy!$B$4*Xe!$I$70^Hoi_quy!$B$5),"")</f>
        <v/>
      </c>
      <c r="L70" t="n">
        <v>3</v>
      </c>
      <c r="M70" t="n">
        <v>1.25</v>
      </c>
      <c r="N70" t="n">
        <v>0.0375</v>
      </c>
      <c r="O70" t="n">
        <v>3.5</v>
      </c>
      <c r="P70" t="inlineStr">
        <is>
          <t>Assets/MachineBrigade/Resources/Data/balance.json: vehicles[id=strike_drone] (lớp B trên 01_chien_dau/Xe)</t>
        </is>
      </c>
      <c r="Q70" t="inlineStr"/>
    </row>
    <row r="71">
      <c r="A71" t="inlineStr">
        <is>
          <t>supply_truck</t>
        </is>
      </c>
      <c r="B71" t="n">
        <v>0</v>
      </c>
      <c r="C71" t="n">
        <v>0</v>
      </c>
      <c r="D71" t="n">
        <v>1</v>
      </c>
      <c r="E71">
        <f>IF(INDEX(xe_input_vu_khi!$B$2:$B$66,MATCH(Xe!$AE$71,xe_input_vu_khi!$A$2:$A$66,0))&lt;=0,0,IF($B$71&gt;0,INDEX(xe_input_vu_khi!$B$2:$B$66,MATCH(Xe!$AE$71,xe_input_vu_khi!$A$2:$A$66,0))*$B$71/(MAX(0.05,INDEX(xe_input_vu_khi_suy_ra!$B$2:$B$66,MATCH(Xe!$AE$71,xe_input_vu_khi_suy_ra!$A$2:$A$66,0)))*MAX(1,CEILING($B$71/MAX(1,INDEX(xe_input_vu_khi!$C$2:$C$66,MATCH(Xe!$AE$71,xe_input_vu_khi!$A$2:$A$66,0))),1))+MAX(0,$C$71)),IF(INDEX(xe_input_vu_khi!$D$2:$D$66,MATCH(Xe!$AE$71,xe_input_vu_khi!$A$2:$A$66,0))&gt;0,INDEX(xe_input_vu_khi_suy_ra!$C$2:$C$66,MATCH(Xe!$AE$71,xe_input_vu_khi_suy_ra!$A$2:$A$66,0))*INDEX(xe_input_vu_khi!$D$2:$D$66,MATCH(Xe!$AE$71,xe_input_vu_khi!$A$2:$A$66,0))/(MAX(0.05,INDEX(xe_input_vu_khi_suy_ra!$B$2:$B$66,MATCH(Xe!$AE$71,xe_input_vu_khi_suy_ra!$A$2:$A$66,0)))*INDEX(xe_input_vu_khi!$D$2:$D$66,MATCH(Xe!$AE$71,xe_input_vu_khi!$A$2:$A$66,0))+INDEX(xe_input_vu_khi_suy_ra!$D$2:$D$66,MATCH(Xe!$AE$71,xe_input_vu_khi_suy_ra!$A$2:$A$66,0))),INDEX(xe_input_vu_khi_suy_ra!$C$2:$C$66,MATCH(Xe!$AE$71,xe_input_vu_khi_suy_ra!$A$2:$A$66,0))/MAX(0.05,INDEX(xe_input_vu_khi_suy_ra!$B$2:$B$66,MATCH(Xe!$AE$71,xe_input_vu_khi_suy_ra!$A$2:$A$66,0))))))*IF(INDEX(xe_input_vu_khi!$E$2:$E$66,MATCH(Xe!$AE$71,xe_input_vu_khi!$A$2:$A$66,0)),1,$D$71)*Xe!$AD$71</f>
        <v/>
      </c>
      <c r="F71" t="n">
        <v>58.96958410924891</v>
      </c>
      <c r="G71">
        <f>IF(INDEX(xe_input_vu_khi!$B$2:$B$66,MATCH(Xe!$AE$71,xe_input_vu_khi!$A$2:$A$66,0))&lt;=0,0,IF($B$71&gt;0,INDEX(xe_input_vu_khi!$B$2:$B$66,MATCH(Xe!$AE$71,xe_input_vu_khi!$A$2:$A$66,0))*$B$71/(MAX(0.05,INDEX(xe_input_vu_khi_suy_ra!$B$2:$B$66,MATCH(Xe!$AE$71,xe_input_vu_khi_suy_ra!$A$2:$A$66,0)))*MAX(1,CEILING($B$71/MAX(1,INDEX(xe_input_vu_khi!$C$2:$C$66,MATCH(Xe!$AE$71,xe_input_vu_khi!$A$2:$A$66,0))),1))+MAX(0,$C$71)),IF(INDEX(xe_input_vu_khi!$D$2:$D$66,MATCH(Xe!$AE$71,xe_input_vu_khi!$A$2:$A$66,0))&gt;0,INDEX(xe_input_vu_khi_suy_ra!$C$2:$C$66,MATCH(Xe!$AE$71,xe_input_vu_khi_suy_ra!$A$2:$A$66,0))*INDEX(xe_input_vu_khi!$D$2:$D$66,MATCH(Xe!$AE$71,xe_input_vu_khi!$A$2:$A$66,0))/(MAX(0.05,INDEX(xe_input_vu_khi_suy_ra!$B$2:$B$66,MATCH(Xe!$AE$71,xe_input_vu_khi_suy_ra!$A$2:$A$66,0)))*INDEX(xe_input_vu_khi!$D$2:$D$66,MATCH(Xe!$AE$71,xe_input_vu_khi!$A$2:$A$66,0))+INDEX(xe_input_vu_khi_suy_ra!$D$2:$D$66,MATCH(Xe!$AE$71,xe_input_vu_khi_suy_ra!$A$2:$A$66,0))),INDEX(xe_input_vu_khi_suy_ra!$C$2:$C$66,MATCH(Xe!$AE$71,xe_input_vu_khi_suy_ra!$A$2:$A$66,0))/MAX(0.05,INDEX(xe_input_vu_khi_suy_ra!$B$2:$B$66,MATCH(Xe!$AE$71,xe_input_vu_khi_suy_ra!$A$2:$A$66,0))))))*Xe!$AD$71</f>
        <v/>
      </c>
      <c r="H71" t="n">
        <v>58.96958410924891</v>
      </c>
      <c r="I71">
        <f>IF(AND(Xe!$I$71&gt;0,ISNUMBER(Xe!$K$71)),Xe!$K$71/Xe!$I$71,"")</f>
        <v/>
      </c>
      <c r="J71">
        <f>IF(Xe!$I$71&gt;0,$E$71/Xe!$I$71,"")</f>
        <v/>
      </c>
      <c r="K71">
        <f>IF(AND(Xe!$I$71&gt;0,ISNUMBER(Xe!$K$71)),Xe!$K$71/(Hoi_quy!$B$4*Xe!$I$71^Hoi_quy!$B$5),"")</f>
        <v/>
      </c>
      <c r="L71" t="n">
        <v>1</v>
      </c>
      <c r="M71" t="n">
        <v>1</v>
      </c>
      <c r="N71" t="n">
        <v>0</v>
      </c>
      <c r="O71" t="n">
        <v>2.5</v>
      </c>
      <c r="P71" t="inlineStr">
        <is>
          <t>Assets/MachineBrigade/Resources/Data/balance.json: vehicles[id=supply_truck] (lớp B trên 01_chien_dau/Xe)</t>
        </is>
      </c>
      <c r="Q71" t="inlineStr"/>
    </row>
    <row r="72">
      <c r="A72" t="inlineStr">
        <is>
          <t>swarm_carrier</t>
        </is>
      </c>
      <c r="B72" t="n">
        <v>8</v>
      </c>
      <c r="C72" t="n">
        <v>16</v>
      </c>
      <c r="D72" t="n">
        <v>1</v>
      </c>
      <c r="E72">
        <f>IF(INDEX(xe_input_vu_khi!$B$2:$B$66,MATCH(Xe!$AE$72,xe_input_vu_khi!$A$2:$A$66,0))&lt;=0,0,IF($B$72&gt;0,INDEX(xe_input_vu_khi!$B$2:$B$66,MATCH(Xe!$AE$72,xe_input_vu_khi!$A$2:$A$66,0))*$B$72/(MAX(0.05,INDEX(xe_input_vu_khi_suy_ra!$B$2:$B$66,MATCH(Xe!$AE$72,xe_input_vu_khi_suy_ra!$A$2:$A$66,0)))*MAX(1,CEILING($B$72/MAX(1,INDEX(xe_input_vu_khi!$C$2:$C$66,MATCH(Xe!$AE$72,xe_input_vu_khi!$A$2:$A$66,0))),1))+MAX(0,$C$72)),IF(INDEX(xe_input_vu_khi!$D$2:$D$66,MATCH(Xe!$AE$72,xe_input_vu_khi!$A$2:$A$66,0))&gt;0,INDEX(xe_input_vu_khi_suy_ra!$C$2:$C$66,MATCH(Xe!$AE$72,xe_input_vu_khi_suy_ra!$A$2:$A$66,0))*INDEX(xe_input_vu_khi!$D$2:$D$66,MATCH(Xe!$AE$72,xe_input_vu_khi!$A$2:$A$66,0))/(MAX(0.05,INDEX(xe_input_vu_khi_suy_ra!$B$2:$B$66,MATCH(Xe!$AE$72,xe_input_vu_khi_suy_ra!$A$2:$A$66,0)))*INDEX(xe_input_vu_khi!$D$2:$D$66,MATCH(Xe!$AE$72,xe_input_vu_khi!$A$2:$A$66,0))+INDEX(xe_input_vu_khi_suy_ra!$D$2:$D$66,MATCH(Xe!$AE$72,xe_input_vu_khi_suy_ra!$A$2:$A$66,0))),INDEX(xe_input_vu_khi_suy_ra!$C$2:$C$66,MATCH(Xe!$AE$72,xe_input_vu_khi_suy_ra!$A$2:$A$66,0))/MAX(0.05,INDEX(xe_input_vu_khi_suy_ra!$B$2:$B$66,MATCH(Xe!$AE$72,xe_input_vu_khi_suy_ra!$A$2:$A$66,0))))))*IF(INDEX(xe_input_vu_khi!$E$2:$E$66,MATCH(Xe!$AE$72,xe_input_vu_khi!$A$2:$A$66,0)),1,$D$72)*Xe!$AD$72</f>
        <v/>
      </c>
      <c r="F72" t="n">
        <v>32.51169811320754</v>
      </c>
      <c r="G72">
        <f>IF(INDEX(xe_input_vu_khi!$B$2:$B$66,MATCH(Xe!$AE$72,xe_input_vu_khi!$A$2:$A$66,0))&lt;=0,0,IF($B$72&gt;0,INDEX(xe_input_vu_khi!$B$2:$B$66,MATCH(Xe!$AE$72,xe_input_vu_khi!$A$2:$A$66,0))*$B$72/(MAX(0.05,INDEX(xe_input_vu_khi_suy_ra!$B$2:$B$66,MATCH(Xe!$AE$72,xe_input_vu_khi_suy_ra!$A$2:$A$66,0)))*MAX(1,CEILING($B$72/MAX(1,INDEX(xe_input_vu_khi!$C$2:$C$66,MATCH(Xe!$AE$72,xe_input_vu_khi!$A$2:$A$66,0))),1))+MAX(0,$C$72)),IF(INDEX(xe_input_vu_khi!$D$2:$D$66,MATCH(Xe!$AE$72,xe_input_vu_khi!$A$2:$A$66,0))&gt;0,INDEX(xe_input_vu_khi_suy_ra!$C$2:$C$66,MATCH(Xe!$AE$72,xe_input_vu_khi_suy_ra!$A$2:$A$66,0))*INDEX(xe_input_vu_khi!$D$2:$D$66,MATCH(Xe!$AE$72,xe_input_vu_khi!$A$2:$A$66,0))/(MAX(0.05,INDEX(xe_input_vu_khi_suy_ra!$B$2:$B$66,MATCH(Xe!$AE$72,xe_input_vu_khi_suy_ra!$A$2:$A$66,0)))*INDEX(xe_input_vu_khi!$D$2:$D$66,MATCH(Xe!$AE$72,xe_input_vu_khi!$A$2:$A$66,0))+INDEX(xe_input_vu_khi_suy_ra!$D$2:$D$66,MATCH(Xe!$AE$72,xe_input_vu_khi_suy_ra!$A$2:$A$66,0))),INDEX(xe_input_vu_khi_suy_ra!$C$2:$C$66,MATCH(Xe!$AE$72,xe_input_vu_khi_suy_ra!$A$2:$A$66,0))/MAX(0.05,INDEX(xe_input_vu_khi_suy_ra!$B$2:$B$66,MATCH(Xe!$AE$72,xe_input_vu_khi_suy_ra!$A$2:$A$66,0))))))*Xe!$AD$72</f>
        <v/>
      </c>
      <c r="H72" t="n">
        <v>32.51169811320754</v>
      </c>
      <c r="I72">
        <f>IF(AND(Xe!$I$72&gt;0,ISNUMBER(Xe!$K$72)),Xe!$K$72/Xe!$I$72,"")</f>
        <v/>
      </c>
      <c r="J72">
        <f>IF(Xe!$I$72&gt;0,$E$72/Xe!$I$72,"")</f>
        <v/>
      </c>
      <c r="K72">
        <f>IF(AND(Xe!$I$72&gt;0,ISNUMBER(Xe!$K$72)),Xe!$K$72/(Hoi_quy!$B$4*Xe!$I$72^Hoi_quy!$B$5),"")</f>
        <v/>
      </c>
      <c r="L72" t="n">
        <v>4</v>
      </c>
      <c r="M72" t="n">
        <v>1.3</v>
      </c>
      <c r="N72" t="n">
        <v>0</v>
      </c>
      <c r="O72" t="n">
        <v>5</v>
      </c>
      <c r="P72" t="inlineStr">
        <is>
          <t>Assets/MachineBrigade/Resources/Data/balance.json: vehicles[id=swarm_carrier] (lớp B trên 01_chien_dau/Xe)</t>
        </is>
      </c>
      <c r="Q72" t="inlineStr"/>
    </row>
    <row r="73">
      <c r="A73" t="inlineStr">
        <is>
          <t>tank_destroyer</t>
        </is>
      </c>
      <c r="B73" t="n">
        <v>0</v>
      </c>
      <c r="C73" t="n">
        <v>0</v>
      </c>
      <c r="D73" t="n">
        <v>1</v>
      </c>
      <c r="E73">
        <f>IF(INDEX(xe_input_vu_khi!$B$2:$B$66,MATCH(Xe!$AE$73,xe_input_vu_khi!$A$2:$A$66,0))&lt;=0,0,IF($B$73&gt;0,INDEX(xe_input_vu_khi!$B$2:$B$66,MATCH(Xe!$AE$73,xe_input_vu_khi!$A$2:$A$66,0))*$B$73/(MAX(0.05,INDEX(xe_input_vu_khi_suy_ra!$B$2:$B$66,MATCH(Xe!$AE$73,xe_input_vu_khi_suy_ra!$A$2:$A$66,0)))*MAX(1,CEILING($B$73/MAX(1,INDEX(xe_input_vu_khi!$C$2:$C$66,MATCH(Xe!$AE$73,xe_input_vu_khi!$A$2:$A$66,0))),1))+MAX(0,$C$73)),IF(INDEX(xe_input_vu_khi!$D$2:$D$66,MATCH(Xe!$AE$73,xe_input_vu_khi!$A$2:$A$66,0))&gt;0,INDEX(xe_input_vu_khi_suy_ra!$C$2:$C$66,MATCH(Xe!$AE$73,xe_input_vu_khi_suy_ra!$A$2:$A$66,0))*INDEX(xe_input_vu_khi!$D$2:$D$66,MATCH(Xe!$AE$73,xe_input_vu_khi!$A$2:$A$66,0))/(MAX(0.05,INDEX(xe_input_vu_khi_suy_ra!$B$2:$B$66,MATCH(Xe!$AE$73,xe_input_vu_khi_suy_ra!$A$2:$A$66,0)))*INDEX(xe_input_vu_khi!$D$2:$D$66,MATCH(Xe!$AE$73,xe_input_vu_khi!$A$2:$A$66,0))+INDEX(xe_input_vu_khi_suy_ra!$D$2:$D$66,MATCH(Xe!$AE$73,xe_input_vu_khi_suy_ra!$A$2:$A$66,0))),INDEX(xe_input_vu_khi_suy_ra!$C$2:$C$66,MATCH(Xe!$AE$73,xe_input_vu_khi_suy_ra!$A$2:$A$66,0))/MAX(0.05,INDEX(xe_input_vu_khi_suy_ra!$B$2:$B$66,MATCH(Xe!$AE$73,xe_input_vu_khi_suy_ra!$A$2:$A$66,0))))))*IF(INDEX(xe_input_vu_khi!$E$2:$E$66,MATCH(Xe!$AE$73,xe_input_vu_khi!$A$2:$A$66,0)),1,$D$73)*Xe!$AD$73</f>
        <v/>
      </c>
      <c r="F73" t="n">
        <v>90.89577908441832</v>
      </c>
      <c r="G73">
        <f>IF(INDEX(xe_input_vu_khi!$B$2:$B$66,MATCH(Xe!$AE$73,xe_input_vu_khi!$A$2:$A$66,0))&lt;=0,0,IF($B$73&gt;0,INDEX(xe_input_vu_khi!$B$2:$B$66,MATCH(Xe!$AE$73,xe_input_vu_khi!$A$2:$A$66,0))*$B$73/(MAX(0.05,INDEX(xe_input_vu_khi_suy_ra!$B$2:$B$66,MATCH(Xe!$AE$73,xe_input_vu_khi_suy_ra!$A$2:$A$66,0)))*MAX(1,CEILING($B$73/MAX(1,INDEX(xe_input_vu_khi!$C$2:$C$66,MATCH(Xe!$AE$73,xe_input_vu_khi!$A$2:$A$66,0))),1))+MAX(0,$C$73)),IF(INDEX(xe_input_vu_khi!$D$2:$D$66,MATCH(Xe!$AE$73,xe_input_vu_khi!$A$2:$A$66,0))&gt;0,INDEX(xe_input_vu_khi_suy_ra!$C$2:$C$66,MATCH(Xe!$AE$73,xe_input_vu_khi_suy_ra!$A$2:$A$66,0))*INDEX(xe_input_vu_khi!$D$2:$D$66,MATCH(Xe!$AE$73,xe_input_vu_khi!$A$2:$A$66,0))/(MAX(0.05,INDEX(xe_input_vu_khi_suy_ra!$B$2:$B$66,MATCH(Xe!$AE$73,xe_input_vu_khi_suy_ra!$A$2:$A$66,0)))*INDEX(xe_input_vu_khi!$D$2:$D$66,MATCH(Xe!$AE$73,xe_input_vu_khi!$A$2:$A$66,0))+INDEX(xe_input_vu_khi_suy_ra!$D$2:$D$66,MATCH(Xe!$AE$73,xe_input_vu_khi_suy_ra!$A$2:$A$66,0))),INDEX(xe_input_vu_khi_suy_ra!$C$2:$C$66,MATCH(Xe!$AE$73,xe_input_vu_khi_suy_ra!$A$2:$A$66,0))/MAX(0.05,INDEX(xe_input_vu_khi_suy_ra!$B$2:$B$66,MATCH(Xe!$AE$73,xe_input_vu_khi_suy_ra!$A$2:$A$66,0))))))*Xe!$AD$73</f>
        <v/>
      </c>
      <c r="H73" t="n">
        <v>90.89577908441832</v>
      </c>
      <c r="I73">
        <f>IF(AND(Xe!$I$73&gt;0,ISNUMBER(Xe!$K$73)),Xe!$K$73/Xe!$I$73,"")</f>
        <v/>
      </c>
      <c r="J73">
        <f>IF(Xe!$I$73&gt;0,$E$73/Xe!$I$73,"")</f>
        <v/>
      </c>
      <c r="K73">
        <f>IF(AND(Xe!$I$73&gt;0,ISNUMBER(Xe!$K$73)),Xe!$K$73/(Hoi_quy!$B$4*Xe!$I$73^Hoi_quy!$B$5),"")</f>
        <v/>
      </c>
      <c r="L73" t="n">
        <v>2</v>
      </c>
      <c r="M73" t="n">
        <v>1.15</v>
      </c>
      <c r="N73" t="n">
        <v>0</v>
      </c>
      <c r="O73" t="n">
        <v>3.5</v>
      </c>
      <c r="P73" t="inlineStr">
        <is>
          <t>Assets/MachineBrigade/Resources/Data/balance.json: vehicles[id=tank_destroyer] (lớp B trên 01_chien_dau/Xe)</t>
        </is>
      </c>
      <c r="Q73" t="inlineStr"/>
    </row>
    <row r="74">
      <c r="A74" t="inlineStr">
        <is>
          <t>thermobaric_launcher</t>
        </is>
      </c>
      <c r="B74" t="n">
        <v>0</v>
      </c>
      <c r="C74" t="n">
        <v>0</v>
      </c>
      <c r="D74" t="n">
        <v>1</v>
      </c>
      <c r="E74">
        <f>IF(INDEX(xe_input_vu_khi!$B$2:$B$66,MATCH(Xe!$AE$74,xe_input_vu_khi!$A$2:$A$66,0))&lt;=0,0,IF($B$74&gt;0,INDEX(xe_input_vu_khi!$B$2:$B$66,MATCH(Xe!$AE$74,xe_input_vu_khi!$A$2:$A$66,0))*$B$74/(MAX(0.05,INDEX(xe_input_vu_khi_suy_ra!$B$2:$B$66,MATCH(Xe!$AE$74,xe_input_vu_khi_suy_ra!$A$2:$A$66,0)))*MAX(1,CEILING($B$74/MAX(1,INDEX(xe_input_vu_khi!$C$2:$C$66,MATCH(Xe!$AE$74,xe_input_vu_khi!$A$2:$A$66,0))),1))+MAX(0,$C$74)),IF(INDEX(xe_input_vu_khi!$D$2:$D$66,MATCH(Xe!$AE$74,xe_input_vu_khi!$A$2:$A$66,0))&gt;0,INDEX(xe_input_vu_khi_suy_ra!$C$2:$C$66,MATCH(Xe!$AE$74,xe_input_vu_khi_suy_ra!$A$2:$A$66,0))*INDEX(xe_input_vu_khi!$D$2:$D$66,MATCH(Xe!$AE$74,xe_input_vu_khi!$A$2:$A$66,0))/(MAX(0.05,INDEX(xe_input_vu_khi_suy_ra!$B$2:$B$66,MATCH(Xe!$AE$74,xe_input_vu_khi_suy_ra!$A$2:$A$66,0)))*INDEX(xe_input_vu_khi!$D$2:$D$66,MATCH(Xe!$AE$74,xe_input_vu_khi!$A$2:$A$66,0))+INDEX(xe_input_vu_khi_suy_ra!$D$2:$D$66,MATCH(Xe!$AE$74,xe_input_vu_khi_suy_ra!$A$2:$A$66,0))),INDEX(xe_input_vu_khi_suy_ra!$C$2:$C$66,MATCH(Xe!$AE$74,xe_input_vu_khi_suy_ra!$A$2:$A$66,0))/MAX(0.05,INDEX(xe_input_vu_khi_suy_ra!$B$2:$B$66,MATCH(Xe!$AE$74,xe_input_vu_khi_suy_ra!$A$2:$A$66,0))))))*IF(INDEX(xe_input_vu_khi!$E$2:$E$66,MATCH(Xe!$AE$74,xe_input_vu_khi!$A$2:$A$66,0)),1,$D$74)*Xe!$AD$74</f>
        <v/>
      </c>
      <c r="F74" t="n">
        <v>58.09068191098407</v>
      </c>
      <c r="G74">
        <f>IF(INDEX(xe_input_vu_khi!$B$2:$B$66,MATCH(Xe!$AE$74,xe_input_vu_khi!$A$2:$A$66,0))&lt;=0,0,IF($B$74&gt;0,INDEX(xe_input_vu_khi!$B$2:$B$66,MATCH(Xe!$AE$74,xe_input_vu_khi!$A$2:$A$66,0))*$B$74/(MAX(0.05,INDEX(xe_input_vu_khi_suy_ra!$B$2:$B$66,MATCH(Xe!$AE$74,xe_input_vu_khi_suy_ra!$A$2:$A$66,0)))*MAX(1,CEILING($B$74/MAX(1,INDEX(xe_input_vu_khi!$C$2:$C$66,MATCH(Xe!$AE$74,xe_input_vu_khi!$A$2:$A$66,0))),1))+MAX(0,$C$74)),IF(INDEX(xe_input_vu_khi!$D$2:$D$66,MATCH(Xe!$AE$74,xe_input_vu_khi!$A$2:$A$66,0))&gt;0,INDEX(xe_input_vu_khi_suy_ra!$C$2:$C$66,MATCH(Xe!$AE$74,xe_input_vu_khi_suy_ra!$A$2:$A$66,0))*INDEX(xe_input_vu_khi!$D$2:$D$66,MATCH(Xe!$AE$74,xe_input_vu_khi!$A$2:$A$66,0))/(MAX(0.05,INDEX(xe_input_vu_khi_suy_ra!$B$2:$B$66,MATCH(Xe!$AE$74,xe_input_vu_khi_suy_ra!$A$2:$A$66,0)))*INDEX(xe_input_vu_khi!$D$2:$D$66,MATCH(Xe!$AE$74,xe_input_vu_khi!$A$2:$A$66,0))+INDEX(xe_input_vu_khi_suy_ra!$D$2:$D$66,MATCH(Xe!$AE$74,xe_input_vu_khi_suy_ra!$A$2:$A$66,0))),INDEX(xe_input_vu_khi_suy_ra!$C$2:$C$66,MATCH(Xe!$AE$74,xe_input_vu_khi_suy_ra!$A$2:$A$66,0))/MAX(0.05,INDEX(xe_input_vu_khi_suy_ra!$B$2:$B$66,MATCH(Xe!$AE$74,xe_input_vu_khi_suy_ra!$A$2:$A$66,0))))))*Xe!$AD$74</f>
        <v/>
      </c>
      <c r="H74" t="n">
        <v>58.09068191098407</v>
      </c>
      <c r="I74">
        <f>IF(AND(Xe!$I$74&gt;0,ISNUMBER(Xe!$K$74)),Xe!$K$74/Xe!$I$74,"")</f>
        <v/>
      </c>
      <c r="J74">
        <f>IF(Xe!$I$74&gt;0,$E$74/Xe!$I$74,"")</f>
        <v/>
      </c>
      <c r="K74">
        <f>IF(AND(Xe!$I$74&gt;0,ISNUMBER(Xe!$K$74)),Xe!$K$74/(Hoi_quy!$B$4*Xe!$I$74^Hoi_quy!$B$5),"")</f>
        <v/>
      </c>
      <c r="L74" t="n">
        <v>3</v>
      </c>
      <c r="M74" t="n">
        <v>1.25</v>
      </c>
      <c r="N74" t="n">
        <v>0</v>
      </c>
      <c r="O74" t="n">
        <v>3.5</v>
      </c>
      <c r="P74" t="inlineStr">
        <is>
          <t>Assets/MachineBrigade/Resources/Data/balance.json: vehicles[id=thermobaric_launcher] (lớp B trên 01_chien_dau/Xe)</t>
        </is>
      </c>
      <c r="Q74" t="inlineStr"/>
    </row>
    <row r="75">
      <c r="A75" t="inlineStr">
        <is>
          <t>titan_tank</t>
        </is>
      </c>
      <c r="B75" t="n">
        <v>0</v>
      </c>
      <c r="C75" t="n">
        <v>0</v>
      </c>
      <c r="D75" t="n">
        <v>1</v>
      </c>
      <c r="E75">
        <f>IF(INDEX(xe_input_vu_khi!$B$2:$B$66,MATCH(Xe!$AE$75,xe_input_vu_khi!$A$2:$A$66,0))&lt;=0,0,IF($B$75&gt;0,INDEX(xe_input_vu_khi!$B$2:$B$66,MATCH(Xe!$AE$75,xe_input_vu_khi!$A$2:$A$66,0))*$B$75/(MAX(0.05,INDEX(xe_input_vu_khi_suy_ra!$B$2:$B$66,MATCH(Xe!$AE$75,xe_input_vu_khi_suy_ra!$A$2:$A$66,0)))*MAX(1,CEILING($B$75/MAX(1,INDEX(xe_input_vu_khi!$C$2:$C$66,MATCH(Xe!$AE$75,xe_input_vu_khi!$A$2:$A$66,0))),1))+MAX(0,$C$75)),IF(INDEX(xe_input_vu_khi!$D$2:$D$66,MATCH(Xe!$AE$75,xe_input_vu_khi!$A$2:$A$66,0))&gt;0,INDEX(xe_input_vu_khi_suy_ra!$C$2:$C$66,MATCH(Xe!$AE$75,xe_input_vu_khi_suy_ra!$A$2:$A$66,0))*INDEX(xe_input_vu_khi!$D$2:$D$66,MATCH(Xe!$AE$75,xe_input_vu_khi!$A$2:$A$66,0))/(MAX(0.05,INDEX(xe_input_vu_khi_suy_ra!$B$2:$B$66,MATCH(Xe!$AE$75,xe_input_vu_khi_suy_ra!$A$2:$A$66,0)))*INDEX(xe_input_vu_khi!$D$2:$D$66,MATCH(Xe!$AE$75,xe_input_vu_khi!$A$2:$A$66,0))+INDEX(xe_input_vu_khi_suy_ra!$D$2:$D$66,MATCH(Xe!$AE$75,xe_input_vu_khi_suy_ra!$A$2:$A$66,0))),INDEX(xe_input_vu_khi_suy_ra!$C$2:$C$66,MATCH(Xe!$AE$75,xe_input_vu_khi_suy_ra!$A$2:$A$66,0))/MAX(0.05,INDEX(xe_input_vu_khi_suy_ra!$B$2:$B$66,MATCH(Xe!$AE$75,xe_input_vu_khi_suy_ra!$A$2:$A$66,0))))))*IF(INDEX(xe_input_vu_khi!$E$2:$E$66,MATCH(Xe!$AE$75,xe_input_vu_khi!$A$2:$A$66,0)),1,$D$75)*Xe!$AD$75</f>
        <v/>
      </c>
      <c r="F75" t="n">
        <v>187.7276963431569</v>
      </c>
      <c r="G75">
        <f>IF(INDEX(xe_input_vu_khi!$B$2:$B$66,MATCH(Xe!$AE$75,xe_input_vu_khi!$A$2:$A$66,0))&lt;=0,0,IF($B$75&gt;0,INDEX(xe_input_vu_khi!$B$2:$B$66,MATCH(Xe!$AE$75,xe_input_vu_khi!$A$2:$A$66,0))*$B$75/(MAX(0.05,INDEX(xe_input_vu_khi_suy_ra!$B$2:$B$66,MATCH(Xe!$AE$75,xe_input_vu_khi_suy_ra!$A$2:$A$66,0)))*MAX(1,CEILING($B$75/MAX(1,INDEX(xe_input_vu_khi!$C$2:$C$66,MATCH(Xe!$AE$75,xe_input_vu_khi!$A$2:$A$66,0))),1))+MAX(0,$C$75)),IF(INDEX(xe_input_vu_khi!$D$2:$D$66,MATCH(Xe!$AE$75,xe_input_vu_khi!$A$2:$A$66,0))&gt;0,INDEX(xe_input_vu_khi_suy_ra!$C$2:$C$66,MATCH(Xe!$AE$75,xe_input_vu_khi_suy_ra!$A$2:$A$66,0))*INDEX(xe_input_vu_khi!$D$2:$D$66,MATCH(Xe!$AE$75,xe_input_vu_khi!$A$2:$A$66,0))/(MAX(0.05,INDEX(xe_input_vu_khi_suy_ra!$B$2:$B$66,MATCH(Xe!$AE$75,xe_input_vu_khi_suy_ra!$A$2:$A$66,0)))*INDEX(xe_input_vu_khi!$D$2:$D$66,MATCH(Xe!$AE$75,xe_input_vu_khi!$A$2:$A$66,0))+INDEX(xe_input_vu_khi_suy_ra!$D$2:$D$66,MATCH(Xe!$AE$75,xe_input_vu_khi_suy_ra!$A$2:$A$66,0))),INDEX(xe_input_vu_khi_suy_ra!$C$2:$C$66,MATCH(Xe!$AE$75,xe_input_vu_khi_suy_ra!$A$2:$A$66,0))/MAX(0.05,INDEX(xe_input_vu_khi_suy_ra!$B$2:$B$66,MATCH(Xe!$AE$75,xe_input_vu_khi_suy_ra!$A$2:$A$66,0))))))*Xe!$AD$75</f>
        <v/>
      </c>
      <c r="H75" t="n">
        <v>187.7276963431569</v>
      </c>
      <c r="I75">
        <f>IF(AND(Xe!$I$75&gt;0,ISNUMBER(Xe!$K$75)),Xe!$K$75/Xe!$I$75,"")</f>
        <v/>
      </c>
      <c r="J75">
        <f>IF(Xe!$I$75&gt;0,$E$75/Xe!$I$75,"")</f>
        <v/>
      </c>
      <c r="K75">
        <f>IF(AND(Xe!$I$75&gt;0,ISNUMBER(Xe!$K$75)),Xe!$K$75/(Hoi_quy!$B$4*Xe!$I$75^Hoi_quy!$B$5),"")</f>
        <v/>
      </c>
      <c r="L75" t="n">
        <v>4</v>
      </c>
      <c r="M75" t="n">
        <v>1.3</v>
      </c>
      <c r="N75" t="n">
        <v>0.15</v>
      </c>
      <c r="O75" t="n">
        <v>5</v>
      </c>
      <c r="P75" t="inlineStr">
        <is>
          <t>Assets/MachineBrigade/Resources/Data/balance.json: vehicles[id=titan_tank] (lớp B trên 01_chien_dau/Xe)</t>
        </is>
      </c>
      <c r="Q75" t="inlineStr"/>
    </row>
    <row r="76">
      <c r="A76" t="inlineStr">
        <is>
          <t>twin_rotor_gunship</t>
        </is>
      </c>
      <c r="B76" t="n">
        <v>0</v>
      </c>
      <c r="C76" t="n">
        <v>12</v>
      </c>
      <c r="D76" t="n">
        <v>1</v>
      </c>
      <c r="E76">
        <f>IF(INDEX(xe_input_vu_khi!$B$2:$B$66,MATCH(Xe!$AE$76,xe_input_vu_khi!$A$2:$A$66,0))&lt;=0,0,IF($B$76&gt;0,INDEX(xe_input_vu_khi!$B$2:$B$66,MATCH(Xe!$AE$76,xe_input_vu_khi!$A$2:$A$66,0))*$B$76/(MAX(0.05,INDEX(xe_input_vu_khi_suy_ra!$B$2:$B$66,MATCH(Xe!$AE$76,xe_input_vu_khi_suy_ra!$A$2:$A$66,0)))*MAX(1,CEILING($B$76/MAX(1,INDEX(xe_input_vu_khi!$C$2:$C$66,MATCH(Xe!$AE$76,xe_input_vu_khi!$A$2:$A$66,0))),1))+MAX(0,$C$76)),IF(INDEX(xe_input_vu_khi!$D$2:$D$66,MATCH(Xe!$AE$76,xe_input_vu_khi!$A$2:$A$66,0))&gt;0,INDEX(xe_input_vu_khi_suy_ra!$C$2:$C$66,MATCH(Xe!$AE$76,xe_input_vu_khi_suy_ra!$A$2:$A$66,0))*INDEX(xe_input_vu_khi!$D$2:$D$66,MATCH(Xe!$AE$76,xe_input_vu_khi!$A$2:$A$66,0))/(MAX(0.05,INDEX(xe_input_vu_khi_suy_ra!$B$2:$B$66,MATCH(Xe!$AE$76,xe_input_vu_khi_suy_ra!$A$2:$A$66,0)))*INDEX(xe_input_vu_khi!$D$2:$D$66,MATCH(Xe!$AE$76,xe_input_vu_khi!$A$2:$A$66,0))+INDEX(xe_input_vu_khi_suy_ra!$D$2:$D$66,MATCH(Xe!$AE$76,xe_input_vu_khi_suy_ra!$A$2:$A$66,0))),INDEX(xe_input_vu_khi_suy_ra!$C$2:$C$66,MATCH(Xe!$AE$76,xe_input_vu_khi_suy_ra!$A$2:$A$66,0))/MAX(0.05,INDEX(xe_input_vu_khi_suy_ra!$B$2:$B$66,MATCH(Xe!$AE$76,xe_input_vu_khi_suy_ra!$A$2:$A$66,0))))))*IF(INDEX(xe_input_vu_khi!$E$2:$E$66,MATCH(Xe!$AE$76,xe_input_vu_khi!$A$2:$A$66,0)),1,$D$76)*Xe!$AD$76</f>
        <v/>
      </c>
      <c r="F76" t="n">
        <v>131.6541166735623</v>
      </c>
      <c r="G76">
        <f>IF(INDEX(xe_input_vu_khi!$B$2:$B$66,MATCH(Xe!$AE$76,xe_input_vu_khi!$A$2:$A$66,0))&lt;=0,0,IF($B$76&gt;0,INDEX(xe_input_vu_khi!$B$2:$B$66,MATCH(Xe!$AE$76,xe_input_vu_khi!$A$2:$A$66,0))*$B$76/(MAX(0.05,INDEX(xe_input_vu_khi_suy_ra!$B$2:$B$66,MATCH(Xe!$AE$76,xe_input_vu_khi_suy_ra!$A$2:$A$66,0)))*MAX(1,CEILING($B$76/MAX(1,INDEX(xe_input_vu_khi!$C$2:$C$66,MATCH(Xe!$AE$76,xe_input_vu_khi!$A$2:$A$66,0))),1))+MAX(0,$C$76)),IF(INDEX(xe_input_vu_khi!$D$2:$D$66,MATCH(Xe!$AE$76,xe_input_vu_khi!$A$2:$A$66,0))&gt;0,INDEX(xe_input_vu_khi_suy_ra!$C$2:$C$66,MATCH(Xe!$AE$76,xe_input_vu_khi_suy_ra!$A$2:$A$66,0))*INDEX(xe_input_vu_khi!$D$2:$D$66,MATCH(Xe!$AE$76,xe_input_vu_khi!$A$2:$A$66,0))/(MAX(0.05,INDEX(xe_input_vu_khi_suy_ra!$B$2:$B$66,MATCH(Xe!$AE$76,xe_input_vu_khi_suy_ra!$A$2:$A$66,0)))*INDEX(xe_input_vu_khi!$D$2:$D$66,MATCH(Xe!$AE$76,xe_input_vu_khi!$A$2:$A$66,0))+INDEX(xe_input_vu_khi_suy_ra!$D$2:$D$66,MATCH(Xe!$AE$76,xe_input_vu_khi_suy_ra!$A$2:$A$66,0))),INDEX(xe_input_vu_khi_suy_ra!$C$2:$C$66,MATCH(Xe!$AE$76,xe_input_vu_khi_suy_ra!$A$2:$A$66,0))/MAX(0.05,INDEX(xe_input_vu_khi_suy_ra!$B$2:$B$66,MATCH(Xe!$AE$76,xe_input_vu_khi_suy_ra!$A$2:$A$66,0))))))*Xe!$AD$76</f>
        <v/>
      </c>
      <c r="H76" t="n">
        <v>131.6541166735623</v>
      </c>
      <c r="I76">
        <f>IF(AND(Xe!$I$76&gt;0,ISNUMBER(Xe!$K$76)),Xe!$K$76/Xe!$I$76,"")</f>
        <v/>
      </c>
      <c r="J76">
        <f>IF(Xe!$I$76&gt;0,$E$76/Xe!$I$76,"")</f>
        <v/>
      </c>
      <c r="K76">
        <f>IF(AND(Xe!$I$76&gt;0,ISNUMBER(Xe!$K$76)),Xe!$K$76/(Hoi_quy!$B$4*Xe!$I$76^Hoi_quy!$B$5),"")</f>
        <v/>
      </c>
      <c r="L76" t="n">
        <v>4</v>
      </c>
      <c r="M76" t="n">
        <v>1.3</v>
      </c>
      <c r="N76" t="n">
        <v>0.125</v>
      </c>
      <c r="O76" t="n">
        <v>5</v>
      </c>
      <c r="P76" t="inlineStr">
        <is>
          <t>Assets/MachineBrigade/Resources/Data/balance.json: vehicles[id=twin_rotor_gunship] (lớp B trên 01_chien_dau/Xe)</t>
        </is>
      </c>
      <c r="Q76" t="inlineStr"/>
    </row>
    <row r="77">
      <c r="A77" t="inlineStr">
        <is>
          <t>twin_tank</t>
        </is>
      </c>
      <c r="B77" t="n">
        <v>0</v>
      </c>
      <c r="C77" t="n">
        <v>0</v>
      </c>
      <c r="D77" t="n">
        <v>1</v>
      </c>
      <c r="E77">
        <f>IF(INDEX(xe_input_vu_khi!$B$2:$B$66,MATCH(Xe!$AE$77,xe_input_vu_khi!$A$2:$A$66,0))&lt;=0,0,IF($B$77&gt;0,INDEX(xe_input_vu_khi!$B$2:$B$66,MATCH(Xe!$AE$77,xe_input_vu_khi!$A$2:$A$66,0))*$B$77/(MAX(0.05,INDEX(xe_input_vu_khi_suy_ra!$B$2:$B$66,MATCH(Xe!$AE$77,xe_input_vu_khi_suy_ra!$A$2:$A$66,0)))*MAX(1,CEILING($B$77/MAX(1,INDEX(xe_input_vu_khi!$C$2:$C$66,MATCH(Xe!$AE$77,xe_input_vu_khi!$A$2:$A$66,0))),1))+MAX(0,$C$77)),IF(INDEX(xe_input_vu_khi!$D$2:$D$66,MATCH(Xe!$AE$77,xe_input_vu_khi!$A$2:$A$66,0))&gt;0,INDEX(xe_input_vu_khi_suy_ra!$C$2:$C$66,MATCH(Xe!$AE$77,xe_input_vu_khi_suy_ra!$A$2:$A$66,0))*INDEX(xe_input_vu_khi!$D$2:$D$66,MATCH(Xe!$AE$77,xe_input_vu_khi!$A$2:$A$66,0))/(MAX(0.05,INDEX(xe_input_vu_khi_suy_ra!$B$2:$B$66,MATCH(Xe!$AE$77,xe_input_vu_khi_suy_ra!$A$2:$A$66,0)))*INDEX(xe_input_vu_khi!$D$2:$D$66,MATCH(Xe!$AE$77,xe_input_vu_khi!$A$2:$A$66,0))+INDEX(xe_input_vu_khi_suy_ra!$D$2:$D$66,MATCH(Xe!$AE$77,xe_input_vu_khi_suy_ra!$A$2:$A$66,0))),INDEX(xe_input_vu_khi_suy_ra!$C$2:$C$66,MATCH(Xe!$AE$77,xe_input_vu_khi_suy_ra!$A$2:$A$66,0))/MAX(0.05,INDEX(xe_input_vu_khi_suy_ra!$B$2:$B$66,MATCH(Xe!$AE$77,xe_input_vu_khi_suy_ra!$A$2:$A$66,0))))))*IF(INDEX(xe_input_vu_khi!$E$2:$E$66,MATCH(Xe!$AE$77,xe_input_vu_khi!$A$2:$A$66,0)),1,$D$77)*Xe!$AD$77</f>
        <v/>
      </c>
      <c r="F77" t="n">
        <v>117.9388015184382</v>
      </c>
      <c r="G77">
        <f>IF(INDEX(xe_input_vu_khi!$B$2:$B$66,MATCH(Xe!$AE$77,xe_input_vu_khi!$A$2:$A$66,0))&lt;=0,0,IF($B$77&gt;0,INDEX(xe_input_vu_khi!$B$2:$B$66,MATCH(Xe!$AE$77,xe_input_vu_khi!$A$2:$A$66,0))*$B$77/(MAX(0.05,INDEX(xe_input_vu_khi_suy_ra!$B$2:$B$66,MATCH(Xe!$AE$77,xe_input_vu_khi_suy_ra!$A$2:$A$66,0)))*MAX(1,CEILING($B$77/MAX(1,INDEX(xe_input_vu_khi!$C$2:$C$66,MATCH(Xe!$AE$77,xe_input_vu_khi!$A$2:$A$66,0))),1))+MAX(0,$C$77)),IF(INDEX(xe_input_vu_khi!$D$2:$D$66,MATCH(Xe!$AE$77,xe_input_vu_khi!$A$2:$A$66,0))&gt;0,INDEX(xe_input_vu_khi_suy_ra!$C$2:$C$66,MATCH(Xe!$AE$77,xe_input_vu_khi_suy_ra!$A$2:$A$66,0))*INDEX(xe_input_vu_khi!$D$2:$D$66,MATCH(Xe!$AE$77,xe_input_vu_khi!$A$2:$A$66,0))/(MAX(0.05,INDEX(xe_input_vu_khi_suy_ra!$B$2:$B$66,MATCH(Xe!$AE$77,xe_input_vu_khi_suy_ra!$A$2:$A$66,0)))*INDEX(xe_input_vu_khi!$D$2:$D$66,MATCH(Xe!$AE$77,xe_input_vu_khi!$A$2:$A$66,0))+INDEX(xe_input_vu_khi_suy_ra!$D$2:$D$66,MATCH(Xe!$AE$77,xe_input_vu_khi_suy_ra!$A$2:$A$66,0))),INDEX(xe_input_vu_khi_suy_ra!$C$2:$C$66,MATCH(Xe!$AE$77,xe_input_vu_khi_suy_ra!$A$2:$A$66,0))/MAX(0.05,INDEX(xe_input_vu_khi_suy_ra!$B$2:$B$66,MATCH(Xe!$AE$77,xe_input_vu_khi_suy_ra!$A$2:$A$66,0))))))*Xe!$AD$77</f>
        <v/>
      </c>
      <c r="H77" t="n">
        <v>117.9388015184382</v>
      </c>
      <c r="I77">
        <f>IF(AND(Xe!$I$77&gt;0,ISNUMBER(Xe!$K$77)),Xe!$K$77/Xe!$I$77,"")</f>
        <v/>
      </c>
      <c r="J77">
        <f>IF(Xe!$I$77&gt;0,$E$77/Xe!$I$77,"")</f>
        <v/>
      </c>
      <c r="K77">
        <f>IF(AND(Xe!$I$77&gt;0,ISNUMBER(Xe!$K$77)),Xe!$K$77/(Hoi_quy!$B$4*Xe!$I$77^Hoi_quy!$B$5),"")</f>
        <v/>
      </c>
      <c r="L77" t="n">
        <v>3</v>
      </c>
      <c r="M77" t="n">
        <v>1.25</v>
      </c>
      <c r="N77" t="n">
        <v>0.0375</v>
      </c>
      <c r="O77" t="n">
        <v>3.5</v>
      </c>
      <c r="P77" t="inlineStr">
        <is>
          <t>Assets/MachineBrigade/Resources/Data/balance.json: vehicles[id=twin_tank] (lớp B trên 01_chien_dau/Xe)</t>
        </is>
      </c>
      <c r="Q77" t="inlineStr"/>
    </row>
    <row r="78">
      <c r="A78" t="inlineStr">
        <is>
          <t>vbied</t>
        </is>
      </c>
      <c r="B78" t="n">
        <v>0</v>
      </c>
      <c r="C78" t="n">
        <v>0</v>
      </c>
      <c r="D78" t="n">
        <v>1</v>
      </c>
      <c r="E78">
        <f>IF(INDEX(xe_input_vu_khi!$B$2:$B$66,MATCH(Xe!$AE$78,xe_input_vu_khi!$A$2:$A$66,0))&lt;=0,0,IF($B$78&gt;0,INDEX(xe_input_vu_khi!$B$2:$B$66,MATCH(Xe!$AE$78,xe_input_vu_khi!$A$2:$A$66,0))*$B$78/(MAX(0.05,INDEX(xe_input_vu_khi_suy_ra!$B$2:$B$66,MATCH(Xe!$AE$78,xe_input_vu_khi_suy_ra!$A$2:$A$66,0)))*MAX(1,CEILING($B$78/MAX(1,INDEX(xe_input_vu_khi!$C$2:$C$66,MATCH(Xe!$AE$78,xe_input_vu_khi!$A$2:$A$66,0))),1))+MAX(0,$C$78)),IF(INDEX(xe_input_vu_khi!$D$2:$D$66,MATCH(Xe!$AE$78,xe_input_vu_khi!$A$2:$A$66,0))&gt;0,INDEX(xe_input_vu_khi_suy_ra!$C$2:$C$66,MATCH(Xe!$AE$78,xe_input_vu_khi_suy_ra!$A$2:$A$66,0))*INDEX(xe_input_vu_khi!$D$2:$D$66,MATCH(Xe!$AE$78,xe_input_vu_khi!$A$2:$A$66,0))/(MAX(0.05,INDEX(xe_input_vu_khi_suy_ra!$B$2:$B$66,MATCH(Xe!$AE$78,xe_input_vu_khi_suy_ra!$A$2:$A$66,0)))*INDEX(xe_input_vu_khi!$D$2:$D$66,MATCH(Xe!$AE$78,xe_input_vu_khi!$A$2:$A$66,0))+INDEX(xe_input_vu_khi_suy_ra!$D$2:$D$66,MATCH(Xe!$AE$78,xe_input_vu_khi_suy_ra!$A$2:$A$66,0))),INDEX(xe_input_vu_khi_suy_ra!$C$2:$C$66,MATCH(Xe!$AE$78,xe_input_vu_khi_suy_ra!$A$2:$A$66,0))/MAX(0.05,INDEX(xe_input_vu_khi_suy_ra!$B$2:$B$66,MATCH(Xe!$AE$78,xe_input_vu_khi_suy_ra!$A$2:$A$66,0))))))*IF(INDEX(xe_input_vu_khi!$E$2:$E$66,MATCH(Xe!$AE$78,xe_input_vu_khi!$A$2:$A$66,0)),1,$D$78)*Xe!$AD$78</f>
        <v/>
      </c>
      <c r="F78" t="n">
        <v>770</v>
      </c>
      <c r="G78">
        <f>IF(INDEX(xe_input_vu_khi!$B$2:$B$66,MATCH(Xe!$AE$78,xe_input_vu_khi!$A$2:$A$66,0))&lt;=0,0,IF($B$78&gt;0,INDEX(xe_input_vu_khi!$B$2:$B$66,MATCH(Xe!$AE$78,xe_input_vu_khi!$A$2:$A$66,0))*$B$78/(MAX(0.05,INDEX(xe_input_vu_khi_suy_ra!$B$2:$B$66,MATCH(Xe!$AE$78,xe_input_vu_khi_suy_ra!$A$2:$A$66,0)))*MAX(1,CEILING($B$78/MAX(1,INDEX(xe_input_vu_khi!$C$2:$C$66,MATCH(Xe!$AE$78,xe_input_vu_khi!$A$2:$A$66,0))),1))+MAX(0,$C$78)),IF(INDEX(xe_input_vu_khi!$D$2:$D$66,MATCH(Xe!$AE$78,xe_input_vu_khi!$A$2:$A$66,0))&gt;0,INDEX(xe_input_vu_khi_suy_ra!$C$2:$C$66,MATCH(Xe!$AE$78,xe_input_vu_khi_suy_ra!$A$2:$A$66,0))*INDEX(xe_input_vu_khi!$D$2:$D$66,MATCH(Xe!$AE$78,xe_input_vu_khi!$A$2:$A$66,0))/(MAX(0.05,INDEX(xe_input_vu_khi_suy_ra!$B$2:$B$66,MATCH(Xe!$AE$78,xe_input_vu_khi_suy_ra!$A$2:$A$66,0)))*INDEX(xe_input_vu_khi!$D$2:$D$66,MATCH(Xe!$AE$78,xe_input_vu_khi!$A$2:$A$66,0))+INDEX(xe_input_vu_khi_suy_ra!$D$2:$D$66,MATCH(Xe!$AE$78,xe_input_vu_khi_suy_ra!$A$2:$A$66,0))),INDEX(xe_input_vu_khi_suy_ra!$C$2:$C$66,MATCH(Xe!$AE$78,xe_input_vu_khi_suy_ra!$A$2:$A$66,0))/MAX(0.05,INDEX(xe_input_vu_khi_suy_ra!$B$2:$B$66,MATCH(Xe!$AE$78,xe_input_vu_khi_suy_ra!$A$2:$A$66,0))))))*Xe!$AD$78</f>
        <v/>
      </c>
      <c r="H78" t="n">
        <v>770</v>
      </c>
      <c r="I78">
        <f>IF(AND(Xe!$I$78&gt;0,ISNUMBER(Xe!$K$78)),Xe!$K$78/Xe!$I$78,"")</f>
        <v/>
      </c>
      <c r="J78">
        <f>IF(Xe!$I$78&gt;0,$E$78/Xe!$I$78,"")</f>
        <v/>
      </c>
      <c r="K78">
        <f>IF(AND(Xe!$I$78&gt;0,ISNUMBER(Xe!$K$78)),Xe!$K$78/(Hoi_quy!$B$4*Xe!$I$78^Hoi_quy!$B$5),"")</f>
        <v/>
      </c>
      <c r="L78" t="n">
        <v>1</v>
      </c>
      <c r="M78" t="n">
        <v>1</v>
      </c>
      <c r="N78" t="n">
        <v>0</v>
      </c>
      <c r="O78" t="n">
        <v>2.5</v>
      </c>
      <c r="P78" t="inlineStr">
        <is>
          <t>Assets/MachineBrigade/Resources/Data/balance.json: vehicles[id=vbied] (lớp B trên 01_chien_dau/Xe)</t>
        </is>
      </c>
      <c r="Q78" t="inlineStr"/>
    </row>
    <row r="79">
      <c r="A79" t="inlineStr">
        <is>
          <t>wheeled_gun</t>
        </is>
      </c>
      <c r="B79" t="n">
        <v>0</v>
      </c>
      <c r="C79" t="n">
        <v>0</v>
      </c>
      <c r="D79" t="n">
        <v>1</v>
      </c>
      <c r="E79">
        <f>IF(INDEX(xe_input_vu_khi!$B$2:$B$66,MATCH(Xe!$AE$79,xe_input_vu_khi!$A$2:$A$66,0))&lt;=0,0,IF($B$79&gt;0,INDEX(xe_input_vu_khi!$B$2:$B$66,MATCH(Xe!$AE$79,xe_input_vu_khi!$A$2:$A$66,0))*$B$79/(MAX(0.05,INDEX(xe_input_vu_khi_suy_ra!$B$2:$B$66,MATCH(Xe!$AE$79,xe_input_vu_khi_suy_ra!$A$2:$A$66,0)))*MAX(1,CEILING($B$79/MAX(1,INDEX(xe_input_vu_khi!$C$2:$C$66,MATCH(Xe!$AE$79,xe_input_vu_khi!$A$2:$A$66,0))),1))+MAX(0,$C$79)),IF(INDEX(xe_input_vu_khi!$D$2:$D$66,MATCH(Xe!$AE$79,xe_input_vu_khi!$A$2:$A$66,0))&gt;0,INDEX(xe_input_vu_khi_suy_ra!$C$2:$C$66,MATCH(Xe!$AE$79,xe_input_vu_khi_suy_ra!$A$2:$A$66,0))*INDEX(xe_input_vu_khi!$D$2:$D$66,MATCH(Xe!$AE$79,xe_input_vu_khi!$A$2:$A$66,0))/(MAX(0.05,INDEX(xe_input_vu_khi_suy_ra!$B$2:$B$66,MATCH(Xe!$AE$79,xe_input_vu_khi_suy_ra!$A$2:$A$66,0)))*INDEX(xe_input_vu_khi!$D$2:$D$66,MATCH(Xe!$AE$79,xe_input_vu_khi!$A$2:$A$66,0))+INDEX(xe_input_vu_khi_suy_ra!$D$2:$D$66,MATCH(Xe!$AE$79,xe_input_vu_khi_suy_ra!$A$2:$A$66,0))),INDEX(xe_input_vu_khi_suy_ra!$C$2:$C$66,MATCH(Xe!$AE$79,xe_input_vu_khi_suy_ra!$A$2:$A$66,0))/MAX(0.05,INDEX(xe_input_vu_khi_suy_ra!$B$2:$B$66,MATCH(Xe!$AE$79,xe_input_vu_khi_suy_ra!$A$2:$A$66,0))))))*IF(INDEX(xe_input_vu_khi!$E$2:$E$66,MATCH(Xe!$AE$79,xe_input_vu_khi!$A$2:$A$66,0)),1,$D$79)*Xe!$AD$79</f>
        <v/>
      </c>
      <c r="F79" t="n">
        <v>81.36690606690607</v>
      </c>
      <c r="G79">
        <f>IF(INDEX(xe_input_vu_khi!$B$2:$B$66,MATCH(Xe!$AE$79,xe_input_vu_khi!$A$2:$A$66,0))&lt;=0,0,IF($B$79&gt;0,INDEX(xe_input_vu_khi!$B$2:$B$66,MATCH(Xe!$AE$79,xe_input_vu_khi!$A$2:$A$66,0))*$B$79/(MAX(0.05,INDEX(xe_input_vu_khi_suy_ra!$B$2:$B$66,MATCH(Xe!$AE$79,xe_input_vu_khi_suy_ra!$A$2:$A$66,0)))*MAX(1,CEILING($B$79/MAX(1,INDEX(xe_input_vu_khi!$C$2:$C$66,MATCH(Xe!$AE$79,xe_input_vu_khi!$A$2:$A$66,0))),1))+MAX(0,$C$79)),IF(INDEX(xe_input_vu_khi!$D$2:$D$66,MATCH(Xe!$AE$79,xe_input_vu_khi!$A$2:$A$66,0))&gt;0,INDEX(xe_input_vu_khi_suy_ra!$C$2:$C$66,MATCH(Xe!$AE$79,xe_input_vu_khi_suy_ra!$A$2:$A$66,0))*INDEX(xe_input_vu_khi!$D$2:$D$66,MATCH(Xe!$AE$79,xe_input_vu_khi!$A$2:$A$66,0))/(MAX(0.05,INDEX(xe_input_vu_khi_suy_ra!$B$2:$B$66,MATCH(Xe!$AE$79,xe_input_vu_khi_suy_ra!$A$2:$A$66,0)))*INDEX(xe_input_vu_khi!$D$2:$D$66,MATCH(Xe!$AE$79,xe_input_vu_khi!$A$2:$A$66,0))+INDEX(xe_input_vu_khi_suy_ra!$D$2:$D$66,MATCH(Xe!$AE$79,xe_input_vu_khi_suy_ra!$A$2:$A$66,0))),INDEX(xe_input_vu_khi_suy_ra!$C$2:$C$66,MATCH(Xe!$AE$79,xe_input_vu_khi_suy_ra!$A$2:$A$66,0))/MAX(0.05,INDEX(xe_input_vu_khi_suy_ra!$B$2:$B$66,MATCH(Xe!$AE$79,xe_input_vu_khi_suy_ra!$A$2:$A$66,0))))))*Xe!$AD$79</f>
        <v/>
      </c>
      <c r="H79" t="n">
        <v>81.36690606690607</v>
      </c>
      <c r="I79">
        <f>IF(AND(Xe!$I$79&gt;0,ISNUMBER(Xe!$K$79)),Xe!$K$79/Xe!$I$79,"")</f>
        <v/>
      </c>
      <c r="J79">
        <f>IF(Xe!$I$79&gt;0,$E$79/Xe!$I$79,"")</f>
        <v/>
      </c>
      <c r="K79">
        <f>IF(AND(Xe!$I$79&gt;0,ISNUMBER(Xe!$K$79)),Xe!$K$79/(Hoi_quy!$B$4*Xe!$I$79^Hoi_quy!$B$5),"")</f>
        <v/>
      </c>
      <c r="L79" t="n">
        <v>2</v>
      </c>
      <c r="M79" t="n">
        <v>1.15</v>
      </c>
      <c r="N79" t="n">
        <v>0</v>
      </c>
      <c r="O79" t="n">
        <v>3.5</v>
      </c>
      <c r="P79" t="inlineStr">
        <is>
          <t>Assets/MachineBrigade/Resources/Data/balance.json: vehicles[id=wheeled_gun] (lớp B trên 01_chien_dau/Xe)</t>
        </is>
      </c>
      <c r="Q79" t="inlineStr"/>
    </row>
    <row r="80">
      <c r="A80" t="inlineStr">
        <is>
          <t>zu23_technical</t>
        </is>
      </c>
      <c r="B80" t="n">
        <v>0</v>
      </c>
      <c r="C80" t="n">
        <v>0</v>
      </c>
      <c r="D80" t="n">
        <v>1</v>
      </c>
      <c r="E80">
        <f>IF(INDEX(xe_input_vu_khi!$B$2:$B$66,MATCH(Xe!$AE$80,xe_input_vu_khi!$A$2:$A$66,0))&lt;=0,0,IF($B$80&gt;0,INDEX(xe_input_vu_khi!$B$2:$B$66,MATCH(Xe!$AE$80,xe_input_vu_khi!$A$2:$A$66,0))*$B$80/(MAX(0.05,INDEX(xe_input_vu_khi_suy_ra!$B$2:$B$66,MATCH(Xe!$AE$80,xe_input_vu_khi_suy_ra!$A$2:$A$66,0)))*MAX(1,CEILING($B$80/MAX(1,INDEX(xe_input_vu_khi!$C$2:$C$66,MATCH(Xe!$AE$80,xe_input_vu_khi!$A$2:$A$66,0))),1))+MAX(0,$C$80)),IF(INDEX(xe_input_vu_khi!$D$2:$D$66,MATCH(Xe!$AE$80,xe_input_vu_khi!$A$2:$A$66,0))&gt;0,INDEX(xe_input_vu_khi_suy_ra!$C$2:$C$66,MATCH(Xe!$AE$80,xe_input_vu_khi_suy_ra!$A$2:$A$66,0))*INDEX(xe_input_vu_khi!$D$2:$D$66,MATCH(Xe!$AE$80,xe_input_vu_khi!$A$2:$A$66,0))/(MAX(0.05,INDEX(xe_input_vu_khi_suy_ra!$B$2:$B$66,MATCH(Xe!$AE$80,xe_input_vu_khi_suy_ra!$A$2:$A$66,0)))*INDEX(xe_input_vu_khi!$D$2:$D$66,MATCH(Xe!$AE$80,xe_input_vu_khi!$A$2:$A$66,0))+INDEX(xe_input_vu_khi_suy_ra!$D$2:$D$66,MATCH(Xe!$AE$80,xe_input_vu_khi_suy_ra!$A$2:$A$66,0))),INDEX(xe_input_vu_khi_suy_ra!$C$2:$C$66,MATCH(Xe!$AE$80,xe_input_vu_khi_suy_ra!$A$2:$A$66,0))/MAX(0.05,INDEX(xe_input_vu_khi_suy_ra!$B$2:$B$66,MATCH(Xe!$AE$80,xe_input_vu_khi_suy_ra!$A$2:$A$66,0))))))*IF(INDEX(xe_input_vu_khi!$E$2:$E$66,MATCH(Xe!$AE$80,xe_input_vu_khi!$A$2:$A$66,0)),1,$D$80)*Xe!$AD$80</f>
        <v/>
      </c>
      <c r="F80" t="n">
        <v>70</v>
      </c>
      <c r="G80">
        <f>IF(INDEX(xe_input_vu_khi!$B$2:$B$66,MATCH(Xe!$AE$80,xe_input_vu_khi!$A$2:$A$66,0))&lt;=0,0,IF($B$80&gt;0,INDEX(xe_input_vu_khi!$B$2:$B$66,MATCH(Xe!$AE$80,xe_input_vu_khi!$A$2:$A$66,0))*$B$80/(MAX(0.05,INDEX(xe_input_vu_khi_suy_ra!$B$2:$B$66,MATCH(Xe!$AE$80,xe_input_vu_khi_suy_ra!$A$2:$A$66,0)))*MAX(1,CEILING($B$80/MAX(1,INDEX(xe_input_vu_khi!$C$2:$C$66,MATCH(Xe!$AE$80,xe_input_vu_khi!$A$2:$A$66,0))),1))+MAX(0,$C$80)),IF(INDEX(xe_input_vu_khi!$D$2:$D$66,MATCH(Xe!$AE$80,xe_input_vu_khi!$A$2:$A$66,0))&gt;0,INDEX(xe_input_vu_khi_suy_ra!$C$2:$C$66,MATCH(Xe!$AE$80,xe_input_vu_khi_suy_ra!$A$2:$A$66,0))*INDEX(xe_input_vu_khi!$D$2:$D$66,MATCH(Xe!$AE$80,xe_input_vu_khi!$A$2:$A$66,0))/(MAX(0.05,INDEX(xe_input_vu_khi_suy_ra!$B$2:$B$66,MATCH(Xe!$AE$80,xe_input_vu_khi_suy_ra!$A$2:$A$66,0)))*INDEX(xe_input_vu_khi!$D$2:$D$66,MATCH(Xe!$AE$80,xe_input_vu_khi!$A$2:$A$66,0))+INDEX(xe_input_vu_khi_suy_ra!$D$2:$D$66,MATCH(Xe!$AE$80,xe_input_vu_khi_suy_ra!$A$2:$A$66,0))),INDEX(xe_input_vu_khi_suy_ra!$C$2:$C$66,MATCH(Xe!$AE$80,xe_input_vu_khi_suy_ra!$A$2:$A$66,0))/MAX(0.05,INDEX(xe_input_vu_khi_suy_ra!$B$2:$B$66,MATCH(Xe!$AE$80,xe_input_vu_khi_suy_ra!$A$2:$A$66,0))))))*Xe!$AD$80</f>
        <v/>
      </c>
      <c r="H80" t="n">
        <v>70</v>
      </c>
      <c r="I80">
        <f>IF(AND(Xe!$I$80&gt;0,ISNUMBER(Xe!$K$80)),Xe!$K$80/Xe!$I$80,"")</f>
        <v/>
      </c>
      <c r="J80">
        <f>IF(Xe!$I$80&gt;0,$E$80/Xe!$I$80,"")</f>
        <v/>
      </c>
      <c r="K80">
        <f>IF(AND(Xe!$I$80&gt;0,ISNUMBER(Xe!$K$80)),Xe!$K$80/(Hoi_quy!$B$4*Xe!$I$80^Hoi_quy!$B$5),"")</f>
        <v/>
      </c>
      <c r="L80" t="n">
        <v>1</v>
      </c>
      <c r="M80" t="n">
        <v>1</v>
      </c>
      <c r="N80" t="n">
        <v>0</v>
      </c>
      <c r="O80" t="n">
        <v>2.5</v>
      </c>
      <c r="P80" t="inlineStr">
        <is>
          <t>Assets/MachineBrigade/Resources/Data/balance.json: vehicles[id=zu23_technical] (lớp B trên 01_chien_dau/Xe)</t>
        </is>
      </c>
      <c r="Q80" t="inlineStr"/>
    </row>
  </sheetData>
  <autoFilter ref="A1:Q80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60" customWidth="1" min="4" max="4"/>
    <col width="60" customWidth="1" min="5" max="5"/>
    <col width="60" customWidth="1" min="6" max="6"/>
    <col width="24" customWidth="1" min="7" max="7"/>
    <col width="11" customWidth="1" min="8" max="8"/>
    <col width="11" customWidth="1" min="9" max="9"/>
    <col width="26" customWidth="1" min="10" max="10"/>
    <col width="48" customWidth="1" min="11" max="11"/>
    <col width="32" customWidth="1" min="12" max="12"/>
    <col width="32" customWidth="1" min="13" max="13"/>
    <col width="33" customWidth="1" min="14" max="14"/>
    <col width="33" customWidth="1" min="15" max="15"/>
    <col width="33" customWidth="1" min="16" max="16"/>
    <col width="33" customWidth="1" min="17" max="17"/>
    <col width="60" customWidth="1" min="18" max="18"/>
    <col width="10" customWidth="1" min="19" max="19"/>
  </cols>
  <sheetData>
    <row r="1">
      <c r="A1" s="1" t="inlineStr">
        <is>
          <t>id</t>
        </is>
      </c>
      <c r="B1" s="1" t="inlineStr">
        <is>
          <t>cp</t>
        </is>
      </c>
      <c r="C1" s="1" t="inlineStr">
        <is>
          <t>mau_hp</t>
        </is>
      </c>
      <c r="D1" s="1" t="inlineStr">
        <is>
          <t>dps_nhe</t>
        </is>
      </c>
      <c r="E1" s="1" t="inlineStr">
        <is>
          <t>dps_nang</t>
        </is>
      </c>
      <c r="F1" s="1" t="inlineStr">
        <is>
          <t>dps_may_bay</t>
        </is>
      </c>
      <c r="G1" s="1" t="inlineStr">
        <is>
          <t>dps_max</t>
        </is>
      </c>
      <c r="H1" s="1" t="inlineStr">
        <is>
          <t>ln_cp</t>
        </is>
      </c>
      <c r="I1" s="1" t="inlineStr">
        <is>
          <t>ln_mau</t>
        </is>
      </c>
      <c r="J1" s="1" t="inlineStr">
        <is>
          <t>ln_dps</t>
        </is>
      </c>
      <c r="K1" s="1" t="inlineStr">
        <is>
          <t>dai_cp</t>
        </is>
      </c>
      <c r="L1" s="1" t="inlineStr">
        <is>
          <t>mau_tren_cp_le8</t>
        </is>
      </c>
      <c r="M1" s="1" t="inlineStr">
        <is>
          <t>dps_tren_cp_le8</t>
        </is>
      </c>
      <c r="N1" s="1" t="inlineStr">
        <is>
          <t>mau_tren_cp_9_15</t>
        </is>
      </c>
      <c r="O1" s="1" t="inlineStr">
        <is>
          <t>dps_tren_cp_9_15</t>
        </is>
      </c>
      <c r="P1" s="1" t="inlineStr">
        <is>
          <t>mau_tren_cp_ge16</t>
        </is>
      </c>
      <c r="Q1" s="1" t="inlineStr">
        <is>
          <t>dps_tren_cp_ge16</t>
        </is>
      </c>
      <c r="R1" s="1" t="inlineStr">
        <is>
          <t>nguon</t>
        </is>
      </c>
      <c r="S1" s="1" t="inlineStr">
        <is>
          <t>raw_json</t>
        </is>
      </c>
    </row>
    <row r="2">
      <c r="A2" t="inlineStr">
        <is>
          <t>aa_gun_vehicle</t>
        </is>
      </c>
      <c r="B2">
        <f>Xe!$I$2</f>
        <v/>
      </c>
      <c r="C2">
        <f>Xe!$K$2</f>
        <v/>
      </c>
      <c r="D2">
        <f>IF(INDEX(xe_input_vu_khi_suy_ra!$F$2:$F$66,MATCH(Xe!$AE$2,xe_input_vu_khi_suy_ra!$A$2:$A$66,0)),Xe_suy_ra!$E$2*INDEX(xe_input_bang_xuyen_giap!$B$2:$B$7,MIN(6,MAX(1,IF(INDEX(xe_input_vu_khi_suy_ra!$E$2:$E$66,MATCH(Xe!$AE$2,xe_input_vu_khi_suy_ra!$A$2:$A$66,0)),MAX(1,2-(INDEX(xe_input_vu_khi!$F$2:$F$66,MATCH(Xe!$AE$2,xe_input_vu_khi!$A$2:$A$66,0))-1)),2-(INDEX(xe_input_vu_khi!$F$2:$F$66,MATCH(Xe!$AE$2,xe_input_vu_khi!$A$2:$A$66,0))-1))+1)))*INDEX(xe_input_vu_khi_suy_ra!$H$2:$H$66,MATCH(Xe!$AE$2,xe_input_vu_khi_suy_ra!$A$2:$A$66,0)),0)</f>
        <v/>
      </c>
      <c r="E2">
        <f>IF(INDEX(xe_input_vu_khi_suy_ra!$F$2:$F$66,MATCH(Xe!$AE$2,xe_input_vu_khi_suy_ra!$A$2:$A$66,0)),Xe_suy_ra!$E$2*INDEX(xe_input_bang_xuyen_giap!$B$2:$B$7,MIN(6,MAX(1,IF(INDEX(xe_input_vu_khi_suy_ra!$E$2:$E$66,MATCH(Xe!$AE$2,xe_input_vu_khi_suy_ra!$A$2:$A$66,0)),MAX(1,2-(INDEX(xe_input_vu_khi!$F$2:$F$66,MATCH(Xe!$AE$2,xe_input_vu_khi!$A$2:$A$66,0))-3)),2-(INDEX(xe_input_vu_khi!$F$2:$F$66,MATCH(Xe!$AE$2,xe_input_vu_khi!$A$2:$A$66,0))-3))+1)))*INDEX(xe_input_vu_khi_suy_ra!$H$2:$H$66,MATCH(Xe!$AE$2,xe_input_vu_khi_suy_ra!$A$2:$A$66,0)),0)</f>
        <v/>
      </c>
      <c r="F2">
        <f>IF(INDEX(xe_input_vu_khi_suy_ra!$G$2:$G$66,MATCH(Xe!$AE$2,xe_input_vu_khi_suy_ra!$A$2:$A$66,0)),Xe_suy_ra!$G$2*INDEX(xe_input_bang_xuyen_giap!$B$2:$B$7,MIN(6,MAX(1,MAX(1,2-(INDEX(xe_input_vu_khi!$F$2:$F$66,MATCH(Xe!$AE$2,xe_input_vu_khi!$A$2:$A$66,0))-0))+1)))*INDEX(xe_input_vu_khi_suy_ra!$I$2:$I$66,MATCH(Xe!$AE$2,xe_input_vu_khi_suy_ra!$A$2:$A$66,0)),0)</f>
        <v/>
      </c>
      <c r="G2">
        <f>MAX($D$2,$E$2,$F$2)</f>
        <v/>
      </c>
      <c r="H2">
        <f>LN($B$2)</f>
        <v/>
      </c>
      <c r="I2">
        <f>LN($C$2)</f>
        <v/>
      </c>
      <c r="J2">
        <f>IF($G$2&gt;0,LN($G$2),"")</f>
        <v/>
      </c>
      <c r="K2">
        <f>IF($B$2&lt;=8,"&lt;=8",IF($B$2&lt;=15,"9-15","&gt;=16"))</f>
        <v/>
      </c>
      <c r="L2">
        <f>IF($K$2="&lt;=8",$C$2/$B$2,"")</f>
        <v/>
      </c>
      <c r="M2">
        <f>IF($K$2="&lt;=8",$G$2/$B$2,"")</f>
        <v/>
      </c>
      <c r="N2">
        <f>IF($K$2="9-15",$C$2/$B$2,"")</f>
        <v/>
      </c>
      <c r="O2">
        <f>IF($K$2="9-15",$G$2/$B$2,"")</f>
        <v/>
      </c>
      <c r="P2">
        <f>IF($K$2="&gt;=16",$C$2/$B$2,"")</f>
        <v/>
      </c>
      <c r="Q2">
        <f>IF($K$2="&gt;=16",$G$2/$B$2,"")</f>
        <v/>
      </c>
      <c r="R2" t="inlineStr">
        <is>
          <t>Assets/MachineBrigade/Resources/Data/balance.json: vehicles[id=aa_gun_vehicle] (lọc hồi quy)</t>
        </is>
      </c>
      <c r="S2" t="inlineStr"/>
    </row>
    <row r="3">
      <c r="A3" t="inlineStr">
        <is>
          <t>aa_vehicle</t>
        </is>
      </c>
      <c r="B3">
        <f>Xe!$I$3</f>
        <v/>
      </c>
      <c r="C3">
        <f>Xe!$K$3</f>
        <v/>
      </c>
      <c r="D3">
        <f>IF(INDEX(xe_input_vu_khi_suy_ra!$F$2:$F$66,MATCH(Xe!$AE$3,xe_input_vu_khi_suy_ra!$A$2:$A$66,0)),Xe_suy_ra!$E$3*INDEX(xe_input_bang_xuyen_giap!$B$2:$B$7,MIN(6,MAX(1,IF(INDEX(xe_input_vu_khi_suy_ra!$E$2:$E$66,MATCH(Xe!$AE$3,xe_input_vu_khi_suy_ra!$A$2:$A$66,0)),MAX(1,2-(INDEX(xe_input_vu_khi!$F$2:$F$66,MATCH(Xe!$AE$3,xe_input_vu_khi!$A$2:$A$66,0))-1)),2-(INDEX(xe_input_vu_khi!$F$2:$F$66,MATCH(Xe!$AE$3,xe_input_vu_khi!$A$2:$A$66,0))-1))+1)))*INDEX(xe_input_vu_khi_suy_ra!$H$2:$H$66,MATCH(Xe!$AE$3,xe_input_vu_khi_suy_ra!$A$2:$A$66,0)),0)</f>
        <v/>
      </c>
      <c r="E3">
        <f>IF(INDEX(xe_input_vu_khi_suy_ra!$F$2:$F$66,MATCH(Xe!$AE$3,xe_input_vu_khi_suy_ra!$A$2:$A$66,0)),Xe_suy_ra!$E$3*INDEX(xe_input_bang_xuyen_giap!$B$2:$B$7,MIN(6,MAX(1,IF(INDEX(xe_input_vu_khi_suy_ra!$E$2:$E$66,MATCH(Xe!$AE$3,xe_input_vu_khi_suy_ra!$A$2:$A$66,0)),MAX(1,2-(INDEX(xe_input_vu_khi!$F$2:$F$66,MATCH(Xe!$AE$3,xe_input_vu_khi!$A$2:$A$66,0))-3)),2-(INDEX(xe_input_vu_khi!$F$2:$F$66,MATCH(Xe!$AE$3,xe_input_vu_khi!$A$2:$A$66,0))-3))+1)))*INDEX(xe_input_vu_khi_suy_ra!$H$2:$H$66,MATCH(Xe!$AE$3,xe_input_vu_khi_suy_ra!$A$2:$A$66,0)),0)</f>
        <v/>
      </c>
      <c r="F3">
        <f>IF(INDEX(xe_input_vu_khi_suy_ra!$G$2:$G$66,MATCH(Xe!$AE$3,xe_input_vu_khi_suy_ra!$A$2:$A$66,0)),Xe_suy_ra!$G$3*INDEX(xe_input_bang_xuyen_giap!$B$2:$B$7,MIN(6,MAX(1,MAX(1,2-(INDEX(xe_input_vu_khi!$F$2:$F$66,MATCH(Xe!$AE$3,xe_input_vu_khi!$A$2:$A$66,0))-0))+1)))*INDEX(xe_input_vu_khi_suy_ra!$I$2:$I$66,MATCH(Xe!$AE$3,xe_input_vu_khi_suy_ra!$A$2:$A$66,0)),0)</f>
        <v/>
      </c>
      <c r="G3">
        <f>MAX($D$3,$E$3,$F$3)</f>
        <v/>
      </c>
      <c r="H3">
        <f>LN($B$3)</f>
        <v/>
      </c>
      <c r="I3">
        <f>LN($C$3)</f>
        <v/>
      </c>
      <c r="J3">
        <f>IF($G$3&gt;0,LN($G$3),"")</f>
        <v/>
      </c>
      <c r="K3">
        <f>IF($B$3&lt;=8,"&lt;=8",IF($B$3&lt;=15,"9-15","&gt;=16"))</f>
        <v/>
      </c>
      <c r="L3">
        <f>IF($K$3="&lt;=8",$C$3/$B$3,"")</f>
        <v/>
      </c>
      <c r="M3">
        <f>IF($K$3="&lt;=8",$G$3/$B$3,"")</f>
        <v/>
      </c>
      <c r="N3">
        <f>IF($K$3="9-15",$C$3/$B$3,"")</f>
        <v/>
      </c>
      <c r="O3">
        <f>IF($K$3="9-15",$G$3/$B$3,"")</f>
        <v/>
      </c>
      <c r="P3">
        <f>IF($K$3="&gt;=16",$C$3/$B$3,"")</f>
        <v/>
      </c>
      <c r="Q3">
        <f>IF($K$3="&gt;=16",$G$3/$B$3,"")</f>
        <v/>
      </c>
      <c r="R3" t="inlineStr">
        <is>
          <t>Assets/MachineBrigade/Resources/Data/balance.json: vehicles[id=aa_vehicle] (lọc hồi quy)</t>
        </is>
      </c>
      <c r="S3" t="inlineStr"/>
    </row>
    <row r="4">
      <c r="A4" t="inlineStr">
        <is>
          <t>armored_bulldozer</t>
        </is>
      </c>
      <c r="B4">
        <f>Xe!$I$5</f>
        <v/>
      </c>
      <c r="C4">
        <f>Xe!$K$5</f>
        <v/>
      </c>
      <c r="D4">
        <f>IF(INDEX(xe_input_vu_khi_suy_ra!$F$2:$F$66,MATCH(Xe!$AE$5,xe_input_vu_khi_suy_ra!$A$2:$A$66,0)),Xe_suy_ra!$E$5*INDEX(xe_input_bang_xuyen_giap!$B$2:$B$7,MIN(6,MAX(1,IF(INDEX(xe_input_vu_khi_suy_ra!$E$2:$E$66,MATCH(Xe!$AE$5,xe_input_vu_khi_suy_ra!$A$2:$A$66,0)),MAX(1,2-(INDEX(xe_input_vu_khi!$F$2:$F$66,MATCH(Xe!$AE$5,xe_input_vu_khi!$A$2:$A$66,0))-1)),2-(INDEX(xe_input_vu_khi!$F$2:$F$66,MATCH(Xe!$AE$5,xe_input_vu_khi!$A$2:$A$66,0))-1))+1)))*INDEX(xe_input_vu_khi_suy_ra!$H$2:$H$66,MATCH(Xe!$AE$5,xe_input_vu_khi_suy_ra!$A$2:$A$66,0)),0)</f>
        <v/>
      </c>
      <c r="E4">
        <f>IF(INDEX(xe_input_vu_khi_suy_ra!$F$2:$F$66,MATCH(Xe!$AE$5,xe_input_vu_khi_suy_ra!$A$2:$A$66,0)),Xe_suy_ra!$E$5*INDEX(xe_input_bang_xuyen_giap!$B$2:$B$7,MIN(6,MAX(1,IF(INDEX(xe_input_vu_khi_suy_ra!$E$2:$E$66,MATCH(Xe!$AE$5,xe_input_vu_khi_suy_ra!$A$2:$A$66,0)),MAX(1,2-(INDEX(xe_input_vu_khi!$F$2:$F$66,MATCH(Xe!$AE$5,xe_input_vu_khi!$A$2:$A$66,0))-3)),2-(INDEX(xe_input_vu_khi!$F$2:$F$66,MATCH(Xe!$AE$5,xe_input_vu_khi!$A$2:$A$66,0))-3))+1)))*INDEX(xe_input_vu_khi_suy_ra!$H$2:$H$66,MATCH(Xe!$AE$5,xe_input_vu_khi_suy_ra!$A$2:$A$66,0)),0)</f>
        <v/>
      </c>
      <c r="F4">
        <f>IF(INDEX(xe_input_vu_khi_suy_ra!$G$2:$G$66,MATCH(Xe!$AE$5,xe_input_vu_khi_suy_ra!$A$2:$A$66,0)),Xe_suy_ra!$G$5*INDEX(xe_input_bang_xuyen_giap!$B$2:$B$7,MIN(6,MAX(1,MAX(1,2-(INDEX(xe_input_vu_khi!$F$2:$F$66,MATCH(Xe!$AE$5,xe_input_vu_khi!$A$2:$A$66,0))-0))+1)))*INDEX(xe_input_vu_khi_suy_ra!$I$2:$I$66,MATCH(Xe!$AE$5,xe_input_vu_khi_suy_ra!$A$2:$A$66,0)),0)</f>
        <v/>
      </c>
      <c r="G4">
        <f>MAX($D$4,$E$4,$F$4)</f>
        <v/>
      </c>
      <c r="H4">
        <f>LN($B$4)</f>
        <v/>
      </c>
      <c r="I4">
        <f>LN($C$4)</f>
        <v/>
      </c>
      <c r="J4">
        <f>IF($G$4&gt;0,LN($G$4),"")</f>
        <v/>
      </c>
      <c r="K4">
        <f>IF($B$4&lt;=8,"&lt;=8",IF($B$4&lt;=15,"9-15","&gt;=16"))</f>
        <v/>
      </c>
      <c r="L4">
        <f>IF($K$4="&lt;=8",$C$4/$B$4,"")</f>
        <v/>
      </c>
      <c r="M4">
        <f>IF($K$4="&lt;=8",$G$4/$B$4,"")</f>
        <v/>
      </c>
      <c r="N4">
        <f>IF($K$4="9-15",$C$4/$B$4,"")</f>
        <v/>
      </c>
      <c r="O4">
        <f>IF($K$4="9-15",$G$4/$B$4,"")</f>
        <v/>
      </c>
      <c r="P4">
        <f>IF($K$4="&gt;=16",$C$4/$B$4,"")</f>
        <v/>
      </c>
      <c r="Q4">
        <f>IF($K$4="&gt;=16",$G$4/$B$4,"")</f>
        <v/>
      </c>
      <c r="R4" t="inlineStr">
        <is>
          <t>Assets/MachineBrigade/Resources/Data/balance.json: vehicles[id=armored_bulldozer] (lọc hồi quy)</t>
        </is>
      </c>
      <c r="S4" t="inlineStr"/>
    </row>
    <row r="5">
      <c r="A5" t="inlineStr">
        <is>
          <t>armored_car</t>
        </is>
      </c>
      <c r="B5">
        <f>Xe!$I$6</f>
        <v/>
      </c>
      <c r="C5">
        <f>Xe!$K$6</f>
        <v/>
      </c>
      <c r="D5">
        <f>IF(INDEX(xe_input_vu_khi_suy_ra!$F$2:$F$66,MATCH(Xe!$AE$6,xe_input_vu_khi_suy_ra!$A$2:$A$66,0)),Xe_suy_ra!$E$6*INDEX(xe_input_bang_xuyen_giap!$B$2:$B$7,MIN(6,MAX(1,IF(INDEX(xe_input_vu_khi_suy_ra!$E$2:$E$66,MATCH(Xe!$AE$6,xe_input_vu_khi_suy_ra!$A$2:$A$66,0)),MAX(1,2-(INDEX(xe_input_vu_khi!$F$2:$F$66,MATCH(Xe!$AE$6,xe_input_vu_khi!$A$2:$A$66,0))-1)),2-(INDEX(xe_input_vu_khi!$F$2:$F$66,MATCH(Xe!$AE$6,xe_input_vu_khi!$A$2:$A$66,0))-1))+1)))*INDEX(xe_input_vu_khi_suy_ra!$H$2:$H$66,MATCH(Xe!$AE$6,xe_input_vu_khi_suy_ra!$A$2:$A$66,0)),0)</f>
        <v/>
      </c>
      <c r="E5">
        <f>IF(INDEX(xe_input_vu_khi_suy_ra!$F$2:$F$66,MATCH(Xe!$AE$6,xe_input_vu_khi_suy_ra!$A$2:$A$66,0)),Xe_suy_ra!$E$6*INDEX(xe_input_bang_xuyen_giap!$B$2:$B$7,MIN(6,MAX(1,IF(INDEX(xe_input_vu_khi_suy_ra!$E$2:$E$66,MATCH(Xe!$AE$6,xe_input_vu_khi_suy_ra!$A$2:$A$66,0)),MAX(1,2-(INDEX(xe_input_vu_khi!$F$2:$F$66,MATCH(Xe!$AE$6,xe_input_vu_khi!$A$2:$A$66,0))-3)),2-(INDEX(xe_input_vu_khi!$F$2:$F$66,MATCH(Xe!$AE$6,xe_input_vu_khi!$A$2:$A$66,0))-3))+1)))*INDEX(xe_input_vu_khi_suy_ra!$H$2:$H$66,MATCH(Xe!$AE$6,xe_input_vu_khi_suy_ra!$A$2:$A$66,0)),0)</f>
        <v/>
      </c>
      <c r="F5">
        <f>IF(INDEX(xe_input_vu_khi_suy_ra!$G$2:$G$66,MATCH(Xe!$AE$6,xe_input_vu_khi_suy_ra!$A$2:$A$66,0)),Xe_suy_ra!$G$6*INDEX(xe_input_bang_xuyen_giap!$B$2:$B$7,MIN(6,MAX(1,MAX(1,2-(INDEX(xe_input_vu_khi!$F$2:$F$66,MATCH(Xe!$AE$6,xe_input_vu_khi!$A$2:$A$66,0))-0))+1)))*INDEX(xe_input_vu_khi_suy_ra!$I$2:$I$66,MATCH(Xe!$AE$6,xe_input_vu_khi_suy_ra!$A$2:$A$66,0)),0)</f>
        <v/>
      </c>
      <c r="G5">
        <f>MAX($D$5,$E$5,$F$5)</f>
        <v/>
      </c>
      <c r="H5">
        <f>LN($B$5)</f>
        <v/>
      </c>
      <c r="I5">
        <f>LN($C$5)</f>
        <v/>
      </c>
      <c r="J5">
        <f>IF($G$5&gt;0,LN($G$5),"")</f>
        <v/>
      </c>
      <c r="K5">
        <f>IF($B$5&lt;=8,"&lt;=8",IF($B$5&lt;=15,"9-15","&gt;=16"))</f>
        <v/>
      </c>
      <c r="L5">
        <f>IF($K$5="&lt;=8",$C$5/$B$5,"")</f>
        <v/>
      </c>
      <c r="M5">
        <f>IF($K$5="&lt;=8",$G$5/$B$5,"")</f>
        <v/>
      </c>
      <c r="N5">
        <f>IF($K$5="9-15",$C$5/$B$5,"")</f>
        <v/>
      </c>
      <c r="O5">
        <f>IF($K$5="9-15",$G$5/$B$5,"")</f>
        <v/>
      </c>
      <c r="P5">
        <f>IF($K$5="&gt;=16",$C$5/$B$5,"")</f>
        <v/>
      </c>
      <c r="Q5">
        <f>IF($K$5="&gt;=16",$G$5/$B$5,"")</f>
        <v/>
      </c>
      <c r="R5" t="inlineStr">
        <is>
          <t>Assets/MachineBrigade/Resources/Data/balance.json: vehicles[id=armored_car] (lọc hồi quy)</t>
        </is>
      </c>
      <c r="S5" t="inlineStr"/>
    </row>
    <row r="6">
      <c r="A6" t="inlineStr">
        <is>
          <t>artillery</t>
        </is>
      </c>
      <c r="B6">
        <f>Xe!$I$7</f>
        <v/>
      </c>
      <c r="C6">
        <f>Xe!$K$7</f>
        <v/>
      </c>
      <c r="D6">
        <f>IF(INDEX(xe_input_vu_khi_suy_ra!$F$2:$F$66,MATCH(Xe!$AE$7,xe_input_vu_khi_suy_ra!$A$2:$A$66,0)),Xe_suy_ra!$E$7*INDEX(xe_input_bang_xuyen_giap!$B$2:$B$7,MIN(6,MAX(1,IF(INDEX(xe_input_vu_khi_suy_ra!$E$2:$E$66,MATCH(Xe!$AE$7,xe_input_vu_khi_suy_ra!$A$2:$A$66,0)),MAX(1,2-(INDEX(xe_input_vu_khi!$F$2:$F$66,MATCH(Xe!$AE$7,xe_input_vu_khi!$A$2:$A$66,0))-1)),2-(INDEX(xe_input_vu_khi!$F$2:$F$66,MATCH(Xe!$AE$7,xe_input_vu_khi!$A$2:$A$66,0))-1))+1)))*INDEX(xe_input_vu_khi_suy_ra!$H$2:$H$66,MATCH(Xe!$AE$7,xe_input_vu_khi_suy_ra!$A$2:$A$66,0)),0)</f>
        <v/>
      </c>
      <c r="E6">
        <f>IF(INDEX(xe_input_vu_khi_suy_ra!$F$2:$F$66,MATCH(Xe!$AE$7,xe_input_vu_khi_suy_ra!$A$2:$A$66,0)),Xe_suy_ra!$E$7*INDEX(xe_input_bang_xuyen_giap!$B$2:$B$7,MIN(6,MAX(1,IF(INDEX(xe_input_vu_khi_suy_ra!$E$2:$E$66,MATCH(Xe!$AE$7,xe_input_vu_khi_suy_ra!$A$2:$A$66,0)),MAX(1,2-(INDEX(xe_input_vu_khi!$F$2:$F$66,MATCH(Xe!$AE$7,xe_input_vu_khi!$A$2:$A$66,0))-3)),2-(INDEX(xe_input_vu_khi!$F$2:$F$66,MATCH(Xe!$AE$7,xe_input_vu_khi!$A$2:$A$66,0))-3))+1)))*INDEX(xe_input_vu_khi_suy_ra!$H$2:$H$66,MATCH(Xe!$AE$7,xe_input_vu_khi_suy_ra!$A$2:$A$66,0)),0)</f>
        <v/>
      </c>
      <c r="F6">
        <f>IF(INDEX(xe_input_vu_khi_suy_ra!$G$2:$G$66,MATCH(Xe!$AE$7,xe_input_vu_khi_suy_ra!$A$2:$A$66,0)),Xe_suy_ra!$G$7*INDEX(xe_input_bang_xuyen_giap!$B$2:$B$7,MIN(6,MAX(1,MAX(1,2-(INDEX(xe_input_vu_khi!$F$2:$F$66,MATCH(Xe!$AE$7,xe_input_vu_khi!$A$2:$A$66,0))-0))+1)))*INDEX(xe_input_vu_khi_suy_ra!$I$2:$I$66,MATCH(Xe!$AE$7,xe_input_vu_khi_suy_ra!$A$2:$A$66,0)),0)</f>
        <v/>
      </c>
      <c r="G6">
        <f>MAX($D$6,$E$6,$F$6)</f>
        <v/>
      </c>
      <c r="H6">
        <f>LN($B$6)</f>
        <v/>
      </c>
      <c r="I6">
        <f>LN($C$6)</f>
        <v/>
      </c>
      <c r="J6">
        <f>IF($G$6&gt;0,LN($G$6),"")</f>
        <v/>
      </c>
      <c r="K6">
        <f>IF($B$6&lt;=8,"&lt;=8",IF($B$6&lt;=15,"9-15","&gt;=16"))</f>
        <v/>
      </c>
      <c r="L6">
        <f>IF($K$6="&lt;=8",$C$6/$B$6,"")</f>
        <v/>
      </c>
      <c r="M6">
        <f>IF($K$6="&lt;=8",$G$6/$B$6,"")</f>
        <v/>
      </c>
      <c r="N6">
        <f>IF($K$6="9-15",$C$6/$B$6,"")</f>
        <v/>
      </c>
      <c r="O6">
        <f>IF($K$6="9-15",$G$6/$B$6,"")</f>
        <v/>
      </c>
      <c r="P6">
        <f>IF($K$6="&gt;=16",$C$6/$B$6,"")</f>
        <v/>
      </c>
      <c r="Q6">
        <f>IF($K$6="&gt;=16",$G$6/$B$6,"")</f>
        <v/>
      </c>
      <c r="R6" t="inlineStr">
        <is>
          <t>Assets/MachineBrigade/Resources/Data/balance.json: vehicles[id=artillery] (lọc hồi quy)</t>
        </is>
      </c>
      <c r="S6" t="inlineStr"/>
    </row>
    <row r="7">
      <c r="A7" t="inlineStr">
        <is>
          <t>attack_helicopter</t>
        </is>
      </c>
      <c r="B7">
        <f>Xe!$I$8</f>
        <v/>
      </c>
      <c r="C7">
        <f>Xe!$K$8</f>
        <v/>
      </c>
      <c r="D7">
        <f>IF(INDEX(xe_input_vu_khi_suy_ra!$F$2:$F$66,MATCH(Xe!$AE$8,xe_input_vu_khi_suy_ra!$A$2:$A$66,0)),Xe_suy_ra!$E$8*INDEX(xe_input_bang_xuyen_giap!$B$2:$B$7,MIN(6,MAX(1,IF(INDEX(xe_input_vu_khi_suy_ra!$E$2:$E$66,MATCH(Xe!$AE$8,xe_input_vu_khi_suy_ra!$A$2:$A$66,0)),MAX(1,2-(INDEX(xe_input_vu_khi!$F$2:$F$66,MATCH(Xe!$AE$8,xe_input_vu_khi!$A$2:$A$66,0))-1)),2-(INDEX(xe_input_vu_khi!$F$2:$F$66,MATCH(Xe!$AE$8,xe_input_vu_khi!$A$2:$A$66,0))-1))+1)))*INDEX(xe_input_vu_khi_suy_ra!$H$2:$H$66,MATCH(Xe!$AE$8,xe_input_vu_khi_suy_ra!$A$2:$A$66,0)),0)</f>
        <v/>
      </c>
      <c r="E7">
        <f>IF(INDEX(xe_input_vu_khi_suy_ra!$F$2:$F$66,MATCH(Xe!$AE$8,xe_input_vu_khi_suy_ra!$A$2:$A$66,0)),Xe_suy_ra!$E$8*INDEX(xe_input_bang_xuyen_giap!$B$2:$B$7,MIN(6,MAX(1,IF(INDEX(xe_input_vu_khi_suy_ra!$E$2:$E$66,MATCH(Xe!$AE$8,xe_input_vu_khi_suy_ra!$A$2:$A$66,0)),MAX(1,2-(INDEX(xe_input_vu_khi!$F$2:$F$66,MATCH(Xe!$AE$8,xe_input_vu_khi!$A$2:$A$66,0))-3)),2-(INDEX(xe_input_vu_khi!$F$2:$F$66,MATCH(Xe!$AE$8,xe_input_vu_khi!$A$2:$A$66,0))-3))+1)))*INDEX(xe_input_vu_khi_suy_ra!$H$2:$H$66,MATCH(Xe!$AE$8,xe_input_vu_khi_suy_ra!$A$2:$A$66,0)),0)</f>
        <v/>
      </c>
      <c r="F7">
        <f>IF(INDEX(xe_input_vu_khi_suy_ra!$G$2:$G$66,MATCH(Xe!$AE$8,xe_input_vu_khi_suy_ra!$A$2:$A$66,0)),Xe_suy_ra!$G$8*INDEX(xe_input_bang_xuyen_giap!$B$2:$B$7,MIN(6,MAX(1,MAX(1,2-(INDEX(xe_input_vu_khi!$F$2:$F$66,MATCH(Xe!$AE$8,xe_input_vu_khi!$A$2:$A$66,0))-0))+1)))*INDEX(xe_input_vu_khi_suy_ra!$I$2:$I$66,MATCH(Xe!$AE$8,xe_input_vu_khi_suy_ra!$A$2:$A$66,0)),0)</f>
        <v/>
      </c>
      <c r="G7">
        <f>MAX($D$7,$E$7,$F$7)</f>
        <v/>
      </c>
      <c r="H7">
        <f>LN($B$7)</f>
        <v/>
      </c>
      <c r="I7">
        <f>LN($C$7)</f>
        <v/>
      </c>
      <c r="J7">
        <f>IF($G$7&gt;0,LN($G$7),"")</f>
        <v/>
      </c>
      <c r="K7">
        <f>IF($B$7&lt;=8,"&lt;=8",IF($B$7&lt;=15,"9-15","&gt;=16"))</f>
        <v/>
      </c>
      <c r="L7">
        <f>IF($K$7="&lt;=8",$C$7/$B$7,"")</f>
        <v/>
      </c>
      <c r="M7">
        <f>IF($K$7="&lt;=8",$G$7/$B$7,"")</f>
        <v/>
      </c>
      <c r="N7">
        <f>IF($K$7="9-15",$C$7/$B$7,"")</f>
        <v/>
      </c>
      <c r="O7">
        <f>IF($K$7="9-15",$G$7/$B$7,"")</f>
        <v/>
      </c>
      <c r="P7">
        <f>IF($K$7="&gt;=16",$C$7/$B$7,"")</f>
        <v/>
      </c>
      <c r="Q7">
        <f>IF($K$7="&gt;=16",$G$7/$B$7,"")</f>
        <v/>
      </c>
      <c r="R7" t="inlineStr">
        <is>
          <t>Assets/MachineBrigade/Resources/Data/balance.json: vehicles[id=attack_helicopter] (lọc hồi quy)</t>
        </is>
      </c>
      <c r="S7" t="inlineStr"/>
    </row>
    <row r="8">
      <c r="A8" t="inlineStr">
        <is>
          <t>attack_jet</t>
        </is>
      </c>
      <c r="B8">
        <f>Xe!$I$9</f>
        <v/>
      </c>
      <c r="C8">
        <f>Xe!$K$9</f>
        <v/>
      </c>
      <c r="D8">
        <f>IF(INDEX(xe_input_vu_khi_suy_ra!$F$2:$F$66,MATCH(Xe!$AE$9,xe_input_vu_khi_suy_ra!$A$2:$A$66,0)),Xe_suy_ra!$E$9*INDEX(xe_input_bang_xuyen_giap!$B$2:$B$7,MIN(6,MAX(1,IF(INDEX(xe_input_vu_khi_suy_ra!$E$2:$E$66,MATCH(Xe!$AE$9,xe_input_vu_khi_suy_ra!$A$2:$A$66,0)),MAX(1,2-(INDEX(xe_input_vu_khi!$F$2:$F$66,MATCH(Xe!$AE$9,xe_input_vu_khi!$A$2:$A$66,0))-1)),2-(INDEX(xe_input_vu_khi!$F$2:$F$66,MATCH(Xe!$AE$9,xe_input_vu_khi!$A$2:$A$66,0))-1))+1)))*INDEX(xe_input_vu_khi_suy_ra!$H$2:$H$66,MATCH(Xe!$AE$9,xe_input_vu_khi_suy_ra!$A$2:$A$66,0)),0)</f>
        <v/>
      </c>
      <c r="E8">
        <f>IF(INDEX(xe_input_vu_khi_suy_ra!$F$2:$F$66,MATCH(Xe!$AE$9,xe_input_vu_khi_suy_ra!$A$2:$A$66,0)),Xe_suy_ra!$E$9*INDEX(xe_input_bang_xuyen_giap!$B$2:$B$7,MIN(6,MAX(1,IF(INDEX(xe_input_vu_khi_suy_ra!$E$2:$E$66,MATCH(Xe!$AE$9,xe_input_vu_khi_suy_ra!$A$2:$A$66,0)),MAX(1,2-(INDEX(xe_input_vu_khi!$F$2:$F$66,MATCH(Xe!$AE$9,xe_input_vu_khi!$A$2:$A$66,0))-3)),2-(INDEX(xe_input_vu_khi!$F$2:$F$66,MATCH(Xe!$AE$9,xe_input_vu_khi!$A$2:$A$66,0))-3))+1)))*INDEX(xe_input_vu_khi_suy_ra!$H$2:$H$66,MATCH(Xe!$AE$9,xe_input_vu_khi_suy_ra!$A$2:$A$66,0)),0)</f>
        <v/>
      </c>
      <c r="F8">
        <f>IF(INDEX(xe_input_vu_khi_suy_ra!$G$2:$G$66,MATCH(Xe!$AE$9,xe_input_vu_khi_suy_ra!$A$2:$A$66,0)),Xe_suy_ra!$G$9*INDEX(xe_input_bang_xuyen_giap!$B$2:$B$7,MIN(6,MAX(1,MAX(1,2-(INDEX(xe_input_vu_khi!$F$2:$F$66,MATCH(Xe!$AE$9,xe_input_vu_khi!$A$2:$A$66,0))-0))+1)))*INDEX(xe_input_vu_khi_suy_ra!$I$2:$I$66,MATCH(Xe!$AE$9,xe_input_vu_khi_suy_ra!$A$2:$A$66,0)),0)</f>
        <v/>
      </c>
      <c r="G8">
        <f>MAX($D$8,$E$8,$F$8)</f>
        <v/>
      </c>
      <c r="H8">
        <f>LN($B$8)</f>
        <v/>
      </c>
      <c r="I8">
        <f>LN($C$8)</f>
        <v/>
      </c>
      <c r="J8">
        <f>IF($G$8&gt;0,LN($G$8),"")</f>
        <v/>
      </c>
      <c r="K8">
        <f>IF($B$8&lt;=8,"&lt;=8",IF($B$8&lt;=15,"9-15","&gt;=16"))</f>
        <v/>
      </c>
      <c r="L8">
        <f>IF($K$8="&lt;=8",$C$8/$B$8,"")</f>
        <v/>
      </c>
      <c r="M8">
        <f>IF($K$8="&lt;=8",$G$8/$B$8,"")</f>
        <v/>
      </c>
      <c r="N8">
        <f>IF($K$8="9-15",$C$8/$B$8,"")</f>
        <v/>
      </c>
      <c r="O8">
        <f>IF($K$8="9-15",$G$8/$B$8,"")</f>
        <v/>
      </c>
      <c r="P8">
        <f>IF($K$8="&gt;=16",$C$8/$B$8,"")</f>
        <v/>
      </c>
      <c r="Q8">
        <f>IF($K$8="&gt;=16",$G$8/$B$8,"")</f>
        <v/>
      </c>
      <c r="R8" t="inlineStr">
        <is>
          <t>Assets/MachineBrigade/Resources/Data/balance.json: vehicles[id=attack_jet] (lọc hồi quy)</t>
        </is>
      </c>
      <c r="S8" t="inlineStr"/>
    </row>
    <row r="9">
      <c r="A9" t="inlineStr">
        <is>
          <t>ballistic_launcher</t>
        </is>
      </c>
      <c r="B9">
        <f>Xe!$I$10</f>
        <v/>
      </c>
      <c r="C9">
        <f>Xe!$K$10</f>
        <v/>
      </c>
      <c r="D9">
        <f>IF(INDEX(xe_input_vu_khi_suy_ra!$F$2:$F$66,MATCH(Xe!$AE$10,xe_input_vu_khi_suy_ra!$A$2:$A$66,0)),Xe_suy_ra!$E$10*INDEX(xe_input_bang_xuyen_giap!$B$2:$B$7,MIN(6,MAX(1,IF(INDEX(xe_input_vu_khi_suy_ra!$E$2:$E$66,MATCH(Xe!$AE$10,xe_input_vu_khi_suy_ra!$A$2:$A$66,0)),MAX(1,2-(INDEX(xe_input_vu_khi!$F$2:$F$66,MATCH(Xe!$AE$10,xe_input_vu_khi!$A$2:$A$66,0))-1)),2-(INDEX(xe_input_vu_khi!$F$2:$F$66,MATCH(Xe!$AE$10,xe_input_vu_khi!$A$2:$A$66,0))-1))+1)))*INDEX(xe_input_vu_khi_suy_ra!$H$2:$H$66,MATCH(Xe!$AE$10,xe_input_vu_khi_suy_ra!$A$2:$A$66,0)),0)</f>
        <v/>
      </c>
      <c r="E9">
        <f>IF(INDEX(xe_input_vu_khi_suy_ra!$F$2:$F$66,MATCH(Xe!$AE$10,xe_input_vu_khi_suy_ra!$A$2:$A$66,0)),Xe_suy_ra!$E$10*INDEX(xe_input_bang_xuyen_giap!$B$2:$B$7,MIN(6,MAX(1,IF(INDEX(xe_input_vu_khi_suy_ra!$E$2:$E$66,MATCH(Xe!$AE$10,xe_input_vu_khi_suy_ra!$A$2:$A$66,0)),MAX(1,2-(INDEX(xe_input_vu_khi!$F$2:$F$66,MATCH(Xe!$AE$10,xe_input_vu_khi!$A$2:$A$66,0))-3)),2-(INDEX(xe_input_vu_khi!$F$2:$F$66,MATCH(Xe!$AE$10,xe_input_vu_khi!$A$2:$A$66,0))-3))+1)))*INDEX(xe_input_vu_khi_suy_ra!$H$2:$H$66,MATCH(Xe!$AE$10,xe_input_vu_khi_suy_ra!$A$2:$A$66,0)),0)</f>
        <v/>
      </c>
      <c r="F9">
        <f>IF(INDEX(xe_input_vu_khi_suy_ra!$G$2:$G$66,MATCH(Xe!$AE$10,xe_input_vu_khi_suy_ra!$A$2:$A$66,0)),Xe_suy_ra!$G$10*INDEX(xe_input_bang_xuyen_giap!$B$2:$B$7,MIN(6,MAX(1,MAX(1,2-(INDEX(xe_input_vu_khi!$F$2:$F$66,MATCH(Xe!$AE$10,xe_input_vu_khi!$A$2:$A$66,0))-0))+1)))*INDEX(xe_input_vu_khi_suy_ra!$I$2:$I$66,MATCH(Xe!$AE$10,xe_input_vu_khi_suy_ra!$A$2:$A$66,0)),0)</f>
        <v/>
      </c>
      <c r="G9">
        <f>MAX($D$9,$E$9,$F$9)</f>
        <v/>
      </c>
      <c r="H9">
        <f>LN($B$9)</f>
        <v/>
      </c>
      <c r="I9">
        <f>LN($C$9)</f>
        <v/>
      </c>
      <c r="J9">
        <f>IF($G$9&gt;0,LN($G$9),"")</f>
        <v/>
      </c>
      <c r="K9">
        <f>IF($B$9&lt;=8,"&lt;=8",IF($B$9&lt;=15,"9-15","&gt;=16"))</f>
        <v/>
      </c>
      <c r="L9">
        <f>IF($K$9="&lt;=8",$C$9/$B$9,"")</f>
        <v/>
      </c>
      <c r="M9">
        <f>IF($K$9="&lt;=8",$G$9/$B$9,"")</f>
        <v/>
      </c>
      <c r="N9">
        <f>IF($K$9="9-15",$C$9/$B$9,"")</f>
        <v/>
      </c>
      <c r="O9">
        <f>IF($K$9="9-15",$G$9/$B$9,"")</f>
        <v/>
      </c>
      <c r="P9">
        <f>IF($K$9="&gt;=16",$C$9/$B$9,"")</f>
        <v/>
      </c>
      <c r="Q9">
        <f>IF($K$9="&gt;=16",$G$9/$B$9,"")</f>
        <v/>
      </c>
      <c r="R9" t="inlineStr">
        <is>
          <t>Assets/MachineBrigade/Resources/Data/balance.json: vehicles[id=ballistic_launcher] (lọc hồi quy)</t>
        </is>
      </c>
      <c r="S9" t="inlineStr"/>
    </row>
    <row r="10">
      <c r="A10" t="inlineStr">
        <is>
          <t>fighter_jet</t>
        </is>
      </c>
      <c r="B10">
        <f>Xe!$I$28</f>
        <v/>
      </c>
      <c r="C10">
        <f>Xe!$K$28</f>
        <v/>
      </c>
      <c r="D10">
        <f>IF(INDEX(xe_input_vu_khi_suy_ra!$F$2:$F$66,MATCH(Xe!$AE$28,xe_input_vu_khi_suy_ra!$A$2:$A$66,0)),Xe_suy_ra!$E$28*INDEX(xe_input_bang_xuyen_giap!$B$2:$B$7,MIN(6,MAX(1,IF(INDEX(xe_input_vu_khi_suy_ra!$E$2:$E$66,MATCH(Xe!$AE$28,xe_input_vu_khi_suy_ra!$A$2:$A$66,0)),MAX(1,2-(INDEX(xe_input_vu_khi!$F$2:$F$66,MATCH(Xe!$AE$28,xe_input_vu_khi!$A$2:$A$66,0))-1)),2-(INDEX(xe_input_vu_khi!$F$2:$F$66,MATCH(Xe!$AE$28,xe_input_vu_khi!$A$2:$A$66,0))-1))+1)))*INDEX(xe_input_vu_khi_suy_ra!$H$2:$H$66,MATCH(Xe!$AE$28,xe_input_vu_khi_suy_ra!$A$2:$A$66,0)),0)</f>
        <v/>
      </c>
      <c r="E10">
        <f>IF(INDEX(xe_input_vu_khi_suy_ra!$F$2:$F$66,MATCH(Xe!$AE$28,xe_input_vu_khi_suy_ra!$A$2:$A$66,0)),Xe_suy_ra!$E$28*INDEX(xe_input_bang_xuyen_giap!$B$2:$B$7,MIN(6,MAX(1,IF(INDEX(xe_input_vu_khi_suy_ra!$E$2:$E$66,MATCH(Xe!$AE$28,xe_input_vu_khi_suy_ra!$A$2:$A$66,0)),MAX(1,2-(INDEX(xe_input_vu_khi!$F$2:$F$66,MATCH(Xe!$AE$28,xe_input_vu_khi!$A$2:$A$66,0))-3)),2-(INDEX(xe_input_vu_khi!$F$2:$F$66,MATCH(Xe!$AE$28,xe_input_vu_khi!$A$2:$A$66,0))-3))+1)))*INDEX(xe_input_vu_khi_suy_ra!$H$2:$H$66,MATCH(Xe!$AE$28,xe_input_vu_khi_suy_ra!$A$2:$A$66,0)),0)</f>
        <v/>
      </c>
      <c r="F10">
        <f>IF(INDEX(xe_input_vu_khi_suy_ra!$G$2:$G$66,MATCH(Xe!$AE$28,xe_input_vu_khi_suy_ra!$A$2:$A$66,0)),Xe_suy_ra!$G$28*INDEX(xe_input_bang_xuyen_giap!$B$2:$B$7,MIN(6,MAX(1,MAX(1,2-(INDEX(xe_input_vu_khi!$F$2:$F$66,MATCH(Xe!$AE$28,xe_input_vu_khi!$A$2:$A$66,0))-0))+1)))*INDEX(xe_input_vu_khi_suy_ra!$I$2:$I$66,MATCH(Xe!$AE$28,xe_input_vu_khi_suy_ra!$A$2:$A$66,0)),0)</f>
        <v/>
      </c>
      <c r="G10">
        <f>MAX($D$10,$E$10,$F$10)</f>
        <v/>
      </c>
      <c r="H10">
        <f>LN($B$10)</f>
        <v/>
      </c>
      <c r="I10">
        <f>LN($C$10)</f>
        <v/>
      </c>
      <c r="J10">
        <f>IF($G$10&gt;0,LN($G$10),"")</f>
        <v/>
      </c>
      <c r="K10">
        <f>IF($B$10&lt;=8,"&lt;=8",IF($B$10&lt;=15,"9-15","&gt;=16"))</f>
        <v/>
      </c>
      <c r="L10">
        <f>IF($K$10="&lt;=8",$C$10/$B$10,"")</f>
        <v/>
      </c>
      <c r="M10">
        <f>IF($K$10="&lt;=8",$G$10/$B$10,"")</f>
        <v/>
      </c>
      <c r="N10">
        <f>IF($K$10="9-15",$C$10/$B$10,"")</f>
        <v/>
      </c>
      <c r="O10">
        <f>IF($K$10="9-15",$G$10/$B$10,"")</f>
        <v/>
      </c>
      <c r="P10">
        <f>IF($K$10="&gt;=16",$C$10/$B$10,"")</f>
        <v/>
      </c>
      <c r="Q10">
        <f>IF($K$10="&gt;=16",$G$10/$B$10,"")</f>
        <v/>
      </c>
      <c r="R10" t="inlineStr">
        <is>
          <t>Assets/MachineBrigade/Resources/Data/balance.json: vehicles[id=fighter_jet] (lọc hồi quy)</t>
        </is>
      </c>
      <c r="S10" t="inlineStr"/>
    </row>
    <row r="11">
      <c r="A11" t="inlineStr">
        <is>
          <t>flame_tank</t>
        </is>
      </c>
      <c r="B11">
        <f>Xe!$I$29</f>
        <v/>
      </c>
      <c r="C11">
        <f>Xe!$K$29</f>
        <v/>
      </c>
      <c r="D11">
        <f>IF(INDEX(xe_input_vu_khi_suy_ra!$F$2:$F$66,MATCH(Xe!$AE$29,xe_input_vu_khi_suy_ra!$A$2:$A$66,0)),Xe_suy_ra!$E$29*INDEX(xe_input_bang_xuyen_giap!$B$2:$B$7,MIN(6,MAX(1,IF(INDEX(xe_input_vu_khi_suy_ra!$E$2:$E$66,MATCH(Xe!$AE$29,xe_input_vu_khi_suy_ra!$A$2:$A$66,0)),MAX(1,2-(INDEX(xe_input_vu_khi!$F$2:$F$66,MATCH(Xe!$AE$29,xe_input_vu_khi!$A$2:$A$66,0))-1)),2-(INDEX(xe_input_vu_khi!$F$2:$F$66,MATCH(Xe!$AE$29,xe_input_vu_khi!$A$2:$A$66,0))-1))+1)))*INDEX(xe_input_vu_khi_suy_ra!$H$2:$H$66,MATCH(Xe!$AE$29,xe_input_vu_khi_suy_ra!$A$2:$A$66,0)),0)</f>
        <v/>
      </c>
      <c r="E11">
        <f>IF(INDEX(xe_input_vu_khi_suy_ra!$F$2:$F$66,MATCH(Xe!$AE$29,xe_input_vu_khi_suy_ra!$A$2:$A$66,0)),Xe_suy_ra!$E$29*INDEX(xe_input_bang_xuyen_giap!$B$2:$B$7,MIN(6,MAX(1,IF(INDEX(xe_input_vu_khi_suy_ra!$E$2:$E$66,MATCH(Xe!$AE$29,xe_input_vu_khi_suy_ra!$A$2:$A$66,0)),MAX(1,2-(INDEX(xe_input_vu_khi!$F$2:$F$66,MATCH(Xe!$AE$29,xe_input_vu_khi!$A$2:$A$66,0))-3)),2-(INDEX(xe_input_vu_khi!$F$2:$F$66,MATCH(Xe!$AE$29,xe_input_vu_khi!$A$2:$A$66,0))-3))+1)))*INDEX(xe_input_vu_khi_suy_ra!$H$2:$H$66,MATCH(Xe!$AE$29,xe_input_vu_khi_suy_ra!$A$2:$A$66,0)),0)</f>
        <v/>
      </c>
      <c r="F11">
        <f>IF(INDEX(xe_input_vu_khi_suy_ra!$G$2:$G$66,MATCH(Xe!$AE$29,xe_input_vu_khi_suy_ra!$A$2:$A$66,0)),Xe_suy_ra!$G$29*INDEX(xe_input_bang_xuyen_giap!$B$2:$B$7,MIN(6,MAX(1,MAX(1,2-(INDEX(xe_input_vu_khi!$F$2:$F$66,MATCH(Xe!$AE$29,xe_input_vu_khi!$A$2:$A$66,0))-0))+1)))*INDEX(xe_input_vu_khi_suy_ra!$I$2:$I$66,MATCH(Xe!$AE$29,xe_input_vu_khi_suy_ra!$A$2:$A$66,0)),0)</f>
        <v/>
      </c>
      <c r="G11">
        <f>MAX($D$11,$E$11,$F$11)</f>
        <v/>
      </c>
      <c r="H11">
        <f>LN($B$11)</f>
        <v/>
      </c>
      <c r="I11">
        <f>LN($C$11)</f>
        <v/>
      </c>
      <c r="J11">
        <f>IF($G$11&gt;0,LN($G$11),"")</f>
        <v/>
      </c>
      <c r="K11">
        <f>IF($B$11&lt;=8,"&lt;=8",IF($B$11&lt;=15,"9-15","&gt;=16"))</f>
        <v/>
      </c>
      <c r="L11">
        <f>IF($K$11="&lt;=8",$C$11/$B$11,"")</f>
        <v/>
      </c>
      <c r="M11">
        <f>IF($K$11="&lt;=8",$G$11/$B$11,"")</f>
        <v/>
      </c>
      <c r="N11">
        <f>IF($K$11="9-15",$C$11/$B$11,"")</f>
        <v/>
      </c>
      <c r="O11">
        <f>IF($K$11="9-15",$G$11/$B$11,"")</f>
        <v/>
      </c>
      <c r="P11">
        <f>IF($K$11="&gt;=16",$C$11/$B$11,"")</f>
        <v/>
      </c>
      <c r="Q11">
        <f>IF($K$11="&gt;=16",$G$11/$B$11,"")</f>
        <v/>
      </c>
      <c r="R11" t="inlineStr">
        <is>
          <t>Assets/MachineBrigade/Resources/Data/balance.json: vehicles[id=flame_tank] (lọc hồi quy)</t>
        </is>
      </c>
      <c r="S11" t="inlineStr"/>
    </row>
    <row r="12">
      <c r="A12" t="inlineStr">
        <is>
          <t>fpv_carrier</t>
        </is>
      </c>
      <c r="B12">
        <f>Xe!$I$30</f>
        <v/>
      </c>
      <c r="C12">
        <f>Xe!$K$30</f>
        <v/>
      </c>
      <c r="D12">
        <f>IF(INDEX(xe_input_vu_khi_suy_ra!$F$2:$F$66,MATCH(Xe!$AE$30,xe_input_vu_khi_suy_ra!$A$2:$A$66,0)),Xe_suy_ra!$E$30*INDEX(xe_input_bang_xuyen_giap!$B$2:$B$7,MIN(6,MAX(1,IF(INDEX(xe_input_vu_khi_suy_ra!$E$2:$E$66,MATCH(Xe!$AE$30,xe_input_vu_khi_suy_ra!$A$2:$A$66,0)),MAX(1,2-(INDEX(xe_input_vu_khi!$F$2:$F$66,MATCH(Xe!$AE$30,xe_input_vu_khi!$A$2:$A$66,0))-1)),2-(INDEX(xe_input_vu_khi!$F$2:$F$66,MATCH(Xe!$AE$30,xe_input_vu_khi!$A$2:$A$66,0))-1))+1)))*INDEX(xe_input_vu_khi_suy_ra!$H$2:$H$66,MATCH(Xe!$AE$30,xe_input_vu_khi_suy_ra!$A$2:$A$66,0)),0)</f>
        <v/>
      </c>
      <c r="E12">
        <f>IF(INDEX(xe_input_vu_khi_suy_ra!$F$2:$F$66,MATCH(Xe!$AE$30,xe_input_vu_khi_suy_ra!$A$2:$A$66,0)),Xe_suy_ra!$E$30*INDEX(xe_input_bang_xuyen_giap!$B$2:$B$7,MIN(6,MAX(1,IF(INDEX(xe_input_vu_khi_suy_ra!$E$2:$E$66,MATCH(Xe!$AE$30,xe_input_vu_khi_suy_ra!$A$2:$A$66,0)),MAX(1,2-(INDEX(xe_input_vu_khi!$F$2:$F$66,MATCH(Xe!$AE$30,xe_input_vu_khi!$A$2:$A$66,0))-3)),2-(INDEX(xe_input_vu_khi!$F$2:$F$66,MATCH(Xe!$AE$30,xe_input_vu_khi!$A$2:$A$66,0))-3))+1)))*INDEX(xe_input_vu_khi_suy_ra!$H$2:$H$66,MATCH(Xe!$AE$30,xe_input_vu_khi_suy_ra!$A$2:$A$66,0)),0)</f>
        <v/>
      </c>
      <c r="F12">
        <f>IF(INDEX(xe_input_vu_khi_suy_ra!$G$2:$G$66,MATCH(Xe!$AE$30,xe_input_vu_khi_suy_ra!$A$2:$A$66,0)),Xe_suy_ra!$G$30*INDEX(xe_input_bang_xuyen_giap!$B$2:$B$7,MIN(6,MAX(1,MAX(1,2-(INDEX(xe_input_vu_khi!$F$2:$F$66,MATCH(Xe!$AE$30,xe_input_vu_khi!$A$2:$A$66,0))-0))+1)))*INDEX(xe_input_vu_khi_suy_ra!$I$2:$I$66,MATCH(Xe!$AE$30,xe_input_vu_khi_suy_ra!$A$2:$A$66,0)),0)</f>
        <v/>
      </c>
      <c r="G12">
        <f>MAX($D$12,$E$12,$F$12)</f>
        <v/>
      </c>
      <c r="H12">
        <f>LN($B$12)</f>
        <v/>
      </c>
      <c r="I12">
        <f>LN($C$12)</f>
        <v/>
      </c>
      <c r="J12">
        <f>IF($G$12&gt;0,LN($G$12),"")</f>
        <v/>
      </c>
      <c r="K12">
        <f>IF($B$12&lt;=8,"&lt;=8",IF($B$12&lt;=15,"9-15","&gt;=16"))</f>
        <v/>
      </c>
      <c r="L12">
        <f>IF($K$12="&lt;=8",$C$12/$B$12,"")</f>
        <v/>
      </c>
      <c r="M12">
        <f>IF($K$12="&lt;=8",$G$12/$B$12,"")</f>
        <v/>
      </c>
      <c r="N12">
        <f>IF($K$12="9-15",$C$12/$B$12,"")</f>
        <v/>
      </c>
      <c r="O12">
        <f>IF($K$12="9-15",$G$12/$B$12,"")</f>
        <v/>
      </c>
      <c r="P12">
        <f>IF($K$12="&gt;=16",$C$12/$B$12,"")</f>
        <v/>
      </c>
      <c r="Q12">
        <f>IF($K$12="&gt;=16",$G$12/$B$12,"")</f>
        <v/>
      </c>
      <c r="R12" t="inlineStr">
        <is>
          <t>Assets/MachineBrigade/Resources/Data/balance.json: vehicles[id=fpv_carrier] (lọc hồi quy)</t>
        </is>
      </c>
      <c r="S12" t="inlineStr"/>
    </row>
    <row r="13">
      <c r="A13" t="inlineStr">
        <is>
          <t>ground_cruise_missile_vehicle</t>
        </is>
      </c>
      <c r="B13">
        <f>Xe!$I$32</f>
        <v/>
      </c>
      <c r="C13">
        <f>Xe!$K$32</f>
        <v/>
      </c>
      <c r="D13">
        <f>IF(INDEX(xe_input_vu_khi_suy_ra!$F$2:$F$66,MATCH(Xe!$AE$32,xe_input_vu_khi_suy_ra!$A$2:$A$66,0)),Xe_suy_ra!$E$32*INDEX(xe_input_bang_xuyen_giap!$B$2:$B$7,MIN(6,MAX(1,IF(INDEX(xe_input_vu_khi_suy_ra!$E$2:$E$66,MATCH(Xe!$AE$32,xe_input_vu_khi_suy_ra!$A$2:$A$66,0)),MAX(1,2-(INDEX(xe_input_vu_khi!$F$2:$F$66,MATCH(Xe!$AE$32,xe_input_vu_khi!$A$2:$A$66,0))-1)),2-(INDEX(xe_input_vu_khi!$F$2:$F$66,MATCH(Xe!$AE$32,xe_input_vu_khi!$A$2:$A$66,0))-1))+1)))*INDEX(xe_input_vu_khi_suy_ra!$H$2:$H$66,MATCH(Xe!$AE$32,xe_input_vu_khi_suy_ra!$A$2:$A$66,0)),0)</f>
        <v/>
      </c>
      <c r="E13">
        <f>IF(INDEX(xe_input_vu_khi_suy_ra!$F$2:$F$66,MATCH(Xe!$AE$32,xe_input_vu_khi_suy_ra!$A$2:$A$66,0)),Xe_suy_ra!$E$32*INDEX(xe_input_bang_xuyen_giap!$B$2:$B$7,MIN(6,MAX(1,IF(INDEX(xe_input_vu_khi_suy_ra!$E$2:$E$66,MATCH(Xe!$AE$32,xe_input_vu_khi_suy_ra!$A$2:$A$66,0)),MAX(1,2-(INDEX(xe_input_vu_khi!$F$2:$F$66,MATCH(Xe!$AE$32,xe_input_vu_khi!$A$2:$A$66,0))-3)),2-(INDEX(xe_input_vu_khi!$F$2:$F$66,MATCH(Xe!$AE$32,xe_input_vu_khi!$A$2:$A$66,0))-3))+1)))*INDEX(xe_input_vu_khi_suy_ra!$H$2:$H$66,MATCH(Xe!$AE$32,xe_input_vu_khi_suy_ra!$A$2:$A$66,0)),0)</f>
        <v/>
      </c>
      <c r="F13">
        <f>IF(INDEX(xe_input_vu_khi_suy_ra!$G$2:$G$66,MATCH(Xe!$AE$32,xe_input_vu_khi_suy_ra!$A$2:$A$66,0)),Xe_suy_ra!$G$32*INDEX(xe_input_bang_xuyen_giap!$B$2:$B$7,MIN(6,MAX(1,MAX(1,2-(INDEX(xe_input_vu_khi!$F$2:$F$66,MATCH(Xe!$AE$32,xe_input_vu_khi!$A$2:$A$66,0))-0))+1)))*INDEX(xe_input_vu_khi_suy_ra!$I$2:$I$66,MATCH(Xe!$AE$32,xe_input_vu_khi_suy_ra!$A$2:$A$66,0)),0)</f>
        <v/>
      </c>
      <c r="G13">
        <f>MAX($D$13,$E$13,$F$13)</f>
        <v/>
      </c>
      <c r="H13">
        <f>LN($B$13)</f>
        <v/>
      </c>
      <c r="I13">
        <f>LN($C$13)</f>
        <v/>
      </c>
      <c r="J13">
        <f>IF($G$13&gt;0,LN($G$13),"")</f>
        <v/>
      </c>
      <c r="K13">
        <f>IF($B$13&lt;=8,"&lt;=8",IF($B$13&lt;=15,"9-15","&gt;=16"))</f>
        <v/>
      </c>
      <c r="L13">
        <f>IF($K$13="&lt;=8",$C$13/$B$13,"")</f>
        <v/>
      </c>
      <c r="M13">
        <f>IF($K$13="&lt;=8",$G$13/$B$13,"")</f>
        <v/>
      </c>
      <c r="N13">
        <f>IF($K$13="9-15",$C$13/$B$13,"")</f>
        <v/>
      </c>
      <c r="O13">
        <f>IF($K$13="9-15",$G$13/$B$13,"")</f>
        <v/>
      </c>
      <c r="P13">
        <f>IF($K$13="&gt;=16",$C$13/$B$13,"")</f>
        <v/>
      </c>
      <c r="Q13">
        <f>IF($K$13="&gt;=16",$G$13/$B$13,"")</f>
        <v/>
      </c>
      <c r="R13" t="inlineStr">
        <is>
          <t>Assets/MachineBrigade/Resources/Data/balance.json: vehicles[id=ground_cruise_missile_vehicle] (lọc hồi quy)</t>
        </is>
      </c>
      <c r="S13" t="inlineStr"/>
    </row>
    <row r="14">
      <c r="A14" t="inlineStr">
        <is>
          <t>heavy_aa</t>
        </is>
      </c>
      <c r="B14">
        <f>Xe!$I$33</f>
        <v/>
      </c>
      <c r="C14">
        <f>Xe!$K$33</f>
        <v/>
      </c>
      <c r="D14">
        <f>IF(INDEX(xe_input_vu_khi_suy_ra!$F$2:$F$66,MATCH(Xe!$AE$33,xe_input_vu_khi_suy_ra!$A$2:$A$66,0)),Xe_suy_ra!$E$33*INDEX(xe_input_bang_xuyen_giap!$B$2:$B$7,MIN(6,MAX(1,IF(INDEX(xe_input_vu_khi_suy_ra!$E$2:$E$66,MATCH(Xe!$AE$33,xe_input_vu_khi_suy_ra!$A$2:$A$66,0)),MAX(1,2-(INDEX(xe_input_vu_khi!$F$2:$F$66,MATCH(Xe!$AE$33,xe_input_vu_khi!$A$2:$A$66,0))-1)),2-(INDEX(xe_input_vu_khi!$F$2:$F$66,MATCH(Xe!$AE$33,xe_input_vu_khi!$A$2:$A$66,0))-1))+1)))*INDEX(xe_input_vu_khi_suy_ra!$H$2:$H$66,MATCH(Xe!$AE$33,xe_input_vu_khi_suy_ra!$A$2:$A$66,0)),0)</f>
        <v/>
      </c>
      <c r="E14">
        <f>IF(INDEX(xe_input_vu_khi_suy_ra!$F$2:$F$66,MATCH(Xe!$AE$33,xe_input_vu_khi_suy_ra!$A$2:$A$66,0)),Xe_suy_ra!$E$33*INDEX(xe_input_bang_xuyen_giap!$B$2:$B$7,MIN(6,MAX(1,IF(INDEX(xe_input_vu_khi_suy_ra!$E$2:$E$66,MATCH(Xe!$AE$33,xe_input_vu_khi_suy_ra!$A$2:$A$66,0)),MAX(1,2-(INDEX(xe_input_vu_khi!$F$2:$F$66,MATCH(Xe!$AE$33,xe_input_vu_khi!$A$2:$A$66,0))-3)),2-(INDEX(xe_input_vu_khi!$F$2:$F$66,MATCH(Xe!$AE$33,xe_input_vu_khi!$A$2:$A$66,0))-3))+1)))*INDEX(xe_input_vu_khi_suy_ra!$H$2:$H$66,MATCH(Xe!$AE$33,xe_input_vu_khi_suy_ra!$A$2:$A$66,0)),0)</f>
        <v/>
      </c>
      <c r="F14">
        <f>IF(INDEX(xe_input_vu_khi_suy_ra!$G$2:$G$66,MATCH(Xe!$AE$33,xe_input_vu_khi_suy_ra!$A$2:$A$66,0)),Xe_suy_ra!$G$33*INDEX(xe_input_bang_xuyen_giap!$B$2:$B$7,MIN(6,MAX(1,MAX(1,2-(INDEX(xe_input_vu_khi!$F$2:$F$66,MATCH(Xe!$AE$33,xe_input_vu_khi!$A$2:$A$66,0))-0))+1)))*INDEX(xe_input_vu_khi_suy_ra!$I$2:$I$66,MATCH(Xe!$AE$33,xe_input_vu_khi_suy_ra!$A$2:$A$66,0)),0)</f>
        <v/>
      </c>
      <c r="G14">
        <f>MAX($D$14,$E$14,$F$14)</f>
        <v/>
      </c>
      <c r="H14">
        <f>LN($B$14)</f>
        <v/>
      </c>
      <c r="I14">
        <f>LN($C$14)</f>
        <v/>
      </c>
      <c r="J14">
        <f>IF($G$14&gt;0,LN($G$14),"")</f>
        <v/>
      </c>
      <c r="K14">
        <f>IF($B$14&lt;=8,"&lt;=8",IF($B$14&lt;=15,"9-15","&gt;=16"))</f>
        <v/>
      </c>
      <c r="L14">
        <f>IF($K$14="&lt;=8",$C$14/$B$14,"")</f>
        <v/>
      </c>
      <c r="M14">
        <f>IF($K$14="&lt;=8",$G$14/$B$14,"")</f>
        <v/>
      </c>
      <c r="N14">
        <f>IF($K$14="9-15",$C$14/$B$14,"")</f>
        <v/>
      </c>
      <c r="O14">
        <f>IF($K$14="9-15",$G$14/$B$14,"")</f>
        <v/>
      </c>
      <c r="P14">
        <f>IF($K$14="&gt;=16",$C$14/$B$14,"")</f>
        <v/>
      </c>
      <c r="Q14">
        <f>IF($K$14="&gt;=16",$G$14/$B$14,"")</f>
        <v/>
      </c>
      <c r="R14" t="inlineStr">
        <is>
          <t>Assets/MachineBrigade/Resources/Data/balance.json: vehicles[id=heavy_aa] (lọc hồi quy)</t>
        </is>
      </c>
      <c r="S14" t="inlineStr"/>
    </row>
    <row r="15">
      <c r="A15" t="inlineStr">
        <is>
          <t>heavy_bomber</t>
        </is>
      </c>
      <c r="B15">
        <f>Xe!$I$34</f>
        <v/>
      </c>
      <c r="C15">
        <f>Xe!$K$34</f>
        <v/>
      </c>
      <c r="D15">
        <f>IF(INDEX(xe_input_vu_khi_suy_ra!$F$2:$F$66,MATCH(Xe!$AE$34,xe_input_vu_khi_suy_ra!$A$2:$A$66,0)),Xe_suy_ra!$E$34*INDEX(xe_input_bang_xuyen_giap!$B$2:$B$7,MIN(6,MAX(1,IF(INDEX(xe_input_vu_khi_suy_ra!$E$2:$E$66,MATCH(Xe!$AE$34,xe_input_vu_khi_suy_ra!$A$2:$A$66,0)),MAX(1,2-(INDEX(xe_input_vu_khi!$F$2:$F$66,MATCH(Xe!$AE$34,xe_input_vu_khi!$A$2:$A$66,0))-1)),2-(INDEX(xe_input_vu_khi!$F$2:$F$66,MATCH(Xe!$AE$34,xe_input_vu_khi!$A$2:$A$66,0))-1))+1)))*INDEX(xe_input_vu_khi_suy_ra!$H$2:$H$66,MATCH(Xe!$AE$34,xe_input_vu_khi_suy_ra!$A$2:$A$66,0)),0)</f>
        <v/>
      </c>
      <c r="E15">
        <f>IF(INDEX(xe_input_vu_khi_suy_ra!$F$2:$F$66,MATCH(Xe!$AE$34,xe_input_vu_khi_suy_ra!$A$2:$A$66,0)),Xe_suy_ra!$E$34*INDEX(xe_input_bang_xuyen_giap!$B$2:$B$7,MIN(6,MAX(1,IF(INDEX(xe_input_vu_khi_suy_ra!$E$2:$E$66,MATCH(Xe!$AE$34,xe_input_vu_khi_suy_ra!$A$2:$A$66,0)),MAX(1,2-(INDEX(xe_input_vu_khi!$F$2:$F$66,MATCH(Xe!$AE$34,xe_input_vu_khi!$A$2:$A$66,0))-3)),2-(INDEX(xe_input_vu_khi!$F$2:$F$66,MATCH(Xe!$AE$34,xe_input_vu_khi!$A$2:$A$66,0))-3))+1)))*INDEX(xe_input_vu_khi_suy_ra!$H$2:$H$66,MATCH(Xe!$AE$34,xe_input_vu_khi_suy_ra!$A$2:$A$66,0)),0)</f>
        <v/>
      </c>
      <c r="F15">
        <f>IF(INDEX(xe_input_vu_khi_suy_ra!$G$2:$G$66,MATCH(Xe!$AE$34,xe_input_vu_khi_suy_ra!$A$2:$A$66,0)),Xe_suy_ra!$G$34*INDEX(xe_input_bang_xuyen_giap!$B$2:$B$7,MIN(6,MAX(1,MAX(1,2-(INDEX(xe_input_vu_khi!$F$2:$F$66,MATCH(Xe!$AE$34,xe_input_vu_khi!$A$2:$A$66,0))-0))+1)))*INDEX(xe_input_vu_khi_suy_ra!$I$2:$I$66,MATCH(Xe!$AE$34,xe_input_vu_khi_suy_ra!$A$2:$A$66,0)),0)</f>
        <v/>
      </c>
      <c r="G15">
        <f>MAX($D$15,$E$15,$F$15)</f>
        <v/>
      </c>
      <c r="H15">
        <f>LN($B$15)</f>
        <v/>
      </c>
      <c r="I15">
        <f>LN($C$15)</f>
        <v/>
      </c>
      <c r="J15">
        <f>IF($G$15&gt;0,LN($G$15),"")</f>
        <v/>
      </c>
      <c r="K15">
        <f>IF($B$15&lt;=8,"&lt;=8",IF($B$15&lt;=15,"9-15","&gt;=16"))</f>
        <v/>
      </c>
      <c r="L15">
        <f>IF($K$15="&lt;=8",$C$15/$B$15,"")</f>
        <v/>
      </c>
      <c r="M15">
        <f>IF($K$15="&lt;=8",$G$15/$B$15,"")</f>
        <v/>
      </c>
      <c r="N15">
        <f>IF($K$15="9-15",$C$15/$B$15,"")</f>
        <v/>
      </c>
      <c r="O15">
        <f>IF($K$15="9-15",$G$15/$B$15,"")</f>
        <v/>
      </c>
      <c r="P15">
        <f>IF($K$15="&gt;=16",$C$15/$B$15,"")</f>
        <v/>
      </c>
      <c r="Q15">
        <f>IF($K$15="&gt;=16",$G$15/$B$15,"")</f>
        <v/>
      </c>
      <c r="R15" t="inlineStr">
        <is>
          <t>Assets/MachineBrigade/Resources/Data/balance.json: vehicles[id=heavy_bomber] (lọc hồi quy)</t>
        </is>
      </c>
      <c r="S15" t="inlineStr"/>
    </row>
    <row r="16">
      <c r="A16" t="inlineStr">
        <is>
          <t>heavy_rocket_artillery</t>
        </is>
      </c>
      <c r="B16">
        <f>Xe!$I$35</f>
        <v/>
      </c>
      <c r="C16">
        <f>Xe!$K$35</f>
        <v/>
      </c>
      <c r="D16">
        <f>IF(INDEX(xe_input_vu_khi_suy_ra!$F$2:$F$66,MATCH(Xe!$AE$35,xe_input_vu_khi_suy_ra!$A$2:$A$66,0)),Xe_suy_ra!$E$35*INDEX(xe_input_bang_xuyen_giap!$B$2:$B$7,MIN(6,MAX(1,IF(INDEX(xe_input_vu_khi_suy_ra!$E$2:$E$66,MATCH(Xe!$AE$35,xe_input_vu_khi_suy_ra!$A$2:$A$66,0)),MAX(1,2-(INDEX(xe_input_vu_khi!$F$2:$F$66,MATCH(Xe!$AE$35,xe_input_vu_khi!$A$2:$A$66,0))-1)),2-(INDEX(xe_input_vu_khi!$F$2:$F$66,MATCH(Xe!$AE$35,xe_input_vu_khi!$A$2:$A$66,0))-1))+1)))*INDEX(xe_input_vu_khi_suy_ra!$H$2:$H$66,MATCH(Xe!$AE$35,xe_input_vu_khi_suy_ra!$A$2:$A$66,0)),0)</f>
        <v/>
      </c>
      <c r="E16">
        <f>IF(INDEX(xe_input_vu_khi_suy_ra!$F$2:$F$66,MATCH(Xe!$AE$35,xe_input_vu_khi_suy_ra!$A$2:$A$66,0)),Xe_suy_ra!$E$35*INDEX(xe_input_bang_xuyen_giap!$B$2:$B$7,MIN(6,MAX(1,IF(INDEX(xe_input_vu_khi_suy_ra!$E$2:$E$66,MATCH(Xe!$AE$35,xe_input_vu_khi_suy_ra!$A$2:$A$66,0)),MAX(1,2-(INDEX(xe_input_vu_khi!$F$2:$F$66,MATCH(Xe!$AE$35,xe_input_vu_khi!$A$2:$A$66,0))-3)),2-(INDEX(xe_input_vu_khi!$F$2:$F$66,MATCH(Xe!$AE$35,xe_input_vu_khi!$A$2:$A$66,0))-3))+1)))*INDEX(xe_input_vu_khi_suy_ra!$H$2:$H$66,MATCH(Xe!$AE$35,xe_input_vu_khi_suy_ra!$A$2:$A$66,0)),0)</f>
        <v/>
      </c>
      <c r="F16">
        <f>IF(INDEX(xe_input_vu_khi_suy_ra!$G$2:$G$66,MATCH(Xe!$AE$35,xe_input_vu_khi_suy_ra!$A$2:$A$66,0)),Xe_suy_ra!$G$35*INDEX(xe_input_bang_xuyen_giap!$B$2:$B$7,MIN(6,MAX(1,MAX(1,2-(INDEX(xe_input_vu_khi!$F$2:$F$66,MATCH(Xe!$AE$35,xe_input_vu_khi!$A$2:$A$66,0))-0))+1)))*INDEX(xe_input_vu_khi_suy_ra!$I$2:$I$66,MATCH(Xe!$AE$35,xe_input_vu_khi_suy_ra!$A$2:$A$66,0)),0)</f>
        <v/>
      </c>
      <c r="G16">
        <f>MAX($D$16,$E$16,$F$16)</f>
        <v/>
      </c>
      <c r="H16">
        <f>LN($B$16)</f>
        <v/>
      </c>
      <c r="I16">
        <f>LN($C$16)</f>
        <v/>
      </c>
      <c r="J16">
        <f>IF($G$16&gt;0,LN($G$16),"")</f>
        <v/>
      </c>
      <c r="K16">
        <f>IF($B$16&lt;=8,"&lt;=8",IF($B$16&lt;=15,"9-15","&gt;=16"))</f>
        <v/>
      </c>
      <c r="L16">
        <f>IF($K$16="&lt;=8",$C$16/$B$16,"")</f>
        <v/>
      </c>
      <c r="M16">
        <f>IF($K$16="&lt;=8",$G$16/$B$16,"")</f>
        <v/>
      </c>
      <c r="N16">
        <f>IF($K$16="9-15",$C$16/$B$16,"")</f>
        <v/>
      </c>
      <c r="O16">
        <f>IF($K$16="9-15",$G$16/$B$16,"")</f>
        <v/>
      </c>
      <c r="P16">
        <f>IF($K$16="&gt;=16",$C$16/$B$16,"")</f>
        <v/>
      </c>
      <c r="Q16">
        <f>IF($K$16="&gt;=16",$G$16/$B$16,"")</f>
        <v/>
      </c>
      <c r="R16" t="inlineStr">
        <is>
          <t>Assets/MachineBrigade/Resources/Data/balance.json: vehicles[id=heavy_rocket_artillery] (lọc hồi quy)</t>
        </is>
      </c>
      <c r="S16" t="inlineStr"/>
    </row>
    <row r="17">
      <c r="A17" t="inlineStr">
        <is>
          <t>heavy_tank</t>
        </is>
      </c>
      <c r="B17">
        <f>Xe!$I$36</f>
        <v/>
      </c>
      <c r="C17">
        <f>Xe!$K$36</f>
        <v/>
      </c>
      <c r="D17">
        <f>IF(INDEX(xe_input_vu_khi_suy_ra!$F$2:$F$66,MATCH(Xe!$AE$36,xe_input_vu_khi_suy_ra!$A$2:$A$66,0)),Xe_suy_ra!$E$36*INDEX(xe_input_bang_xuyen_giap!$B$2:$B$7,MIN(6,MAX(1,IF(INDEX(xe_input_vu_khi_suy_ra!$E$2:$E$66,MATCH(Xe!$AE$36,xe_input_vu_khi_suy_ra!$A$2:$A$66,0)),MAX(1,2-(INDEX(xe_input_vu_khi!$F$2:$F$66,MATCH(Xe!$AE$36,xe_input_vu_khi!$A$2:$A$66,0))-1)),2-(INDEX(xe_input_vu_khi!$F$2:$F$66,MATCH(Xe!$AE$36,xe_input_vu_khi!$A$2:$A$66,0))-1))+1)))*INDEX(xe_input_vu_khi_suy_ra!$H$2:$H$66,MATCH(Xe!$AE$36,xe_input_vu_khi_suy_ra!$A$2:$A$66,0)),0)</f>
        <v/>
      </c>
      <c r="E17">
        <f>IF(INDEX(xe_input_vu_khi_suy_ra!$F$2:$F$66,MATCH(Xe!$AE$36,xe_input_vu_khi_suy_ra!$A$2:$A$66,0)),Xe_suy_ra!$E$36*INDEX(xe_input_bang_xuyen_giap!$B$2:$B$7,MIN(6,MAX(1,IF(INDEX(xe_input_vu_khi_suy_ra!$E$2:$E$66,MATCH(Xe!$AE$36,xe_input_vu_khi_suy_ra!$A$2:$A$66,0)),MAX(1,2-(INDEX(xe_input_vu_khi!$F$2:$F$66,MATCH(Xe!$AE$36,xe_input_vu_khi!$A$2:$A$66,0))-3)),2-(INDEX(xe_input_vu_khi!$F$2:$F$66,MATCH(Xe!$AE$36,xe_input_vu_khi!$A$2:$A$66,0))-3))+1)))*INDEX(xe_input_vu_khi_suy_ra!$H$2:$H$66,MATCH(Xe!$AE$36,xe_input_vu_khi_suy_ra!$A$2:$A$66,0)),0)</f>
        <v/>
      </c>
      <c r="F17">
        <f>IF(INDEX(xe_input_vu_khi_suy_ra!$G$2:$G$66,MATCH(Xe!$AE$36,xe_input_vu_khi_suy_ra!$A$2:$A$66,0)),Xe_suy_ra!$G$36*INDEX(xe_input_bang_xuyen_giap!$B$2:$B$7,MIN(6,MAX(1,MAX(1,2-(INDEX(xe_input_vu_khi!$F$2:$F$66,MATCH(Xe!$AE$36,xe_input_vu_khi!$A$2:$A$66,0))-0))+1)))*INDEX(xe_input_vu_khi_suy_ra!$I$2:$I$66,MATCH(Xe!$AE$36,xe_input_vu_khi_suy_ra!$A$2:$A$66,0)),0)</f>
        <v/>
      </c>
      <c r="G17">
        <f>MAX($D$17,$E$17,$F$17)</f>
        <v/>
      </c>
      <c r="H17">
        <f>LN($B$17)</f>
        <v/>
      </c>
      <c r="I17">
        <f>LN($C$17)</f>
        <v/>
      </c>
      <c r="J17">
        <f>IF($G$17&gt;0,LN($G$17),"")</f>
        <v/>
      </c>
      <c r="K17">
        <f>IF($B$17&lt;=8,"&lt;=8",IF($B$17&lt;=15,"9-15","&gt;=16"))</f>
        <v/>
      </c>
      <c r="L17">
        <f>IF($K$17="&lt;=8",$C$17/$B$17,"")</f>
        <v/>
      </c>
      <c r="M17">
        <f>IF($K$17="&lt;=8",$G$17/$B$17,"")</f>
        <v/>
      </c>
      <c r="N17">
        <f>IF($K$17="9-15",$C$17/$B$17,"")</f>
        <v/>
      </c>
      <c r="O17">
        <f>IF($K$17="9-15",$G$17/$B$17,"")</f>
        <v/>
      </c>
      <c r="P17">
        <f>IF($K$17="&gt;=16",$C$17/$B$17,"")</f>
        <v/>
      </c>
      <c r="Q17">
        <f>IF($K$17="&gt;=16",$G$17/$B$17,"")</f>
        <v/>
      </c>
      <c r="R17" t="inlineStr">
        <is>
          <t>Assets/MachineBrigade/Resources/Data/balance.json: vehicles[id=heavy_tank] (lọc hồi quy)</t>
        </is>
      </c>
      <c r="S17" t="inlineStr"/>
    </row>
    <row r="18">
      <c r="A18" t="inlineStr">
        <is>
          <t>ifv</t>
        </is>
      </c>
      <c r="B18">
        <f>Xe!$I$38</f>
        <v/>
      </c>
      <c r="C18">
        <f>Xe!$K$38</f>
        <v/>
      </c>
      <c r="D18">
        <f>IF(INDEX(xe_input_vu_khi_suy_ra!$F$2:$F$66,MATCH(Xe!$AE$38,xe_input_vu_khi_suy_ra!$A$2:$A$66,0)),Xe_suy_ra!$E$38*INDEX(xe_input_bang_xuyen_giap!$B$2:$B$7,MIN(6,MAX(1,IF(INDEX(xe_input_vu_khi_suy_ra!$E$2:$E$66,MATCH(Xe!$AE$38,xe_input_vu_khi_suy_ra!$A$2:$A$66,0)),MAX(1,2-(INDEX(xe_input_vu_khi!$F$2:$F$66,MATCH(Xe!$AE$38,xe_input_vu_khi!$A$2:$A$66,0))-1)),2-(INDEX(xe_input_vu_khi!$F$2:$F$66,MATCH(Xe!$AE$38,xe_input_vu_khi!$A$2:$A$66,0))-1))+1)))*INDEX(xe_input_vu_khi_suy_ra!$H$2:$H$66,MATCH(Xe!$AE$38,xe_input_vu_khi_suy_ra!$A$2:$A$66,0)),0)</f>
        <v/>
      </c>
      <c r="E18">
        <f>IF(INDEX(xe_input_vu_khi_suy_ra!$F$2:$F$66,MATCH(Xe!$AE$38,xe_input_vu_khi_suy_ra!$A$2:$A$66,0)),Xe_suy_ra!$E$38*INDEX(xe_input_bang_xuyen_giap!$B$2:$B$7,MIN(6,MAX(1,IF(INDEX(xe_input_vu_khi_suy_ra!$E$2:$E$66,MATCH(Xe!$AE$38,xe_input_vu_khi_suy_ra!$A$2:$A$66,0)),MAX(1,2-(INDEX(xe_input_vu_khi!$F$2:$F$66,MATCH(Xe!$AE$38,xe_input_vu_khi!$A$2:$A$66,0))-3)),2-(INDEX(xe_input_vu_khi!$F$2:$F$66,MATCH(Xe!$AE$38,xe_input_vu_khi!$A$2:$A$66,0))-3))+1)))*INDEX(xe_input_vu_khi_suy_ra!$H$2:$H$66,MATCH(Xe!$AE$38,xe_input_vu_khi_suy_ra!$A$2:$A$66,0)),0)</f>
        <v/>
      </c>
      <c r="F18">
        <f>IF(INDEX(xe_input_vu_khi_suy_ra!$G$2:$G$66,MATCH(Xe!$AE$38,xe_input_vu_khi_suy_ra!$A$2:$A$66,0)),Xe_suy_ra!$G$38*INDEX(xe_input_bang_xuyen_giap!$B$2:$B$7,MIN(6,MAX(1,MAX(1,2-(INDEX(xe_input_vu_khi!$F$2:$F$66,MATCH(Xe!$AE$38,xe_input_vu_khi!$A$2:$A$66,0))-0))+1)))*INDEX(xe_input_vu_khi_suy_ra!$I$2:$I$66,MATCH(Xe!$AE$38,xe_input_vu_khi_suy_ra!$A$2:$A$66,0)),0)</f>
        <v/>
      </c>
      <c r="G18">
        <f>MAX($D$18,$E$18,$F$18)</f>
        <v/>
      </c>
      <c r="H18">
        <f>LN($B$18)</f>
        <v/>
      </c>
      <c r="I18">
        <f>LN($C$18)</f>
        <v/>
      </c>
      <c r="J18">
        <f>IF($G$18&gt;0,LN($G$18),"")</f>
        <v/>
      </c>
      <c r="K18">
        <f>IF($B$18&lt;=8,"&lt;=8",IF($B$18&lt;=15,"9-15","&gt;=16"))</f>
        <v/>
      </c>
      <c r="L18">
        <f>IF($K$18="&lt;=8",$C$18/$B$18,"")</f>
        <v/>
      </c>
      <c r="M18">
        <f>IF($K$18="&lt;=8",$G$18/$B$18,"")</f>
        <v/>
      </c>
      <c r="N18">
        <f>IF($K$18="9-15",$C$18/$B$18,"")</f>
        <v/>
      </c>
      <c r="O18">
        <f>IF($K$18="9-15",$G$18/$B$18,"")</f>
        <v/>
      </c>
      <c r="P18">
        <f>IF($K$18="&gt;=16",$C$18/$B$18,"")</f>
        <v/>
      </c>
      <c r="Q18">
        <f>IF($K$18="&gt;=16",$G$18/$B$18,"")</f>
        <v/>
      </c>
      <c r="R18" t="inlineStr">
        <is>
          <t>Assets/MachineBrigade/Resources/Data/balance.json: vehicles[id=ifv] (lọc hồi quy)</t>
        </is>
      </c>
      <c r="S18" t="inlineStr"/>
    </row>
    <row r="19">
      <c r="A19" t="inlineStr">
        <is>
          <t>iron_beam</t>
        </is>
      </c>
      <c r="B19">
        <f>Xe!$I$39</f>
        <v/>
      </c>
      <c r="C19">
        <f>Xe!$K$39</f>
        <v/>
      </c>
      <c r="D19">
        <f>IF(INDEX(xe_input_vu_khi_suy_ra!$F$2:$F$66,MATCH(Xe!$AE$39,xe_input_vu_khi_suy_ra!$A$2:$A$66,0)),Xe_suy_ra!$E$39*INDEX(xe_input_bang_xuyen_giap!$B$2:$B$7,MIN(6,MAX(1,IF(INDEX(xe_input_vu_khi_suy_ra!$E$2:$E$66,MATCH(Xe!$AE$39,xe_input_vu_khi_suy_ra!$A$2:$A$66,0)),MAX(1,2-(INDEX(xe_input_vu_khi!$F$2:$F$66,MATCH(Xe!$AE$39,xe_input_vu_khi!$A$2:$A$66,0))-1)),2-(INDEX(xe_input_vu_khi!$F$2:$F$66,MATCH(Xe!$AE$39,xe_input_vu_khi!$A$2:$A$66,0))-1))+1)))*INDEX(xe_input_vu_khi_suy_ra!$H$2:$H$66,MATCH(Xe!$AE$39,xe_input_vu_khi_suy_ra!$A$2:$A$66,0)),0)</f>
        <v/>
      </c>
      <c r="E19">
        <f>IF(INDEX(xe_input_vu_khi_suy_ra!$F$2:$F$66,MATCH(Xe!$AE$39,xe_input_vu_khi_suy_ra!$A$2:$A$66,0)),Xe_suy_ra!$E$39*INDEX(xe_input_bang_xuyen_giap!$B$2:$B$7,MIN(6,MAX(1,IF(INDEX(xe_input_vu_khi_suy_ra!$E$2:$E$66,MATCH(Xe!$AE$39,xe_input_vu_khi_suy_ra!$A$2:$A$66,0)),MAX(1,2-(INDEX(xe_input_vu_khi!$F$2:$F$66,MATCH(Xe!$AE$39,xe_input_vu_khi!$A$2:$A$66,0))-3)),2-(INDEX(xe_input_vu_khi!$F$2:$F$66,MATCH(Xe!$AE$39,xe_input_vu_khi!$A$2:$A$66,0))-3))+1)))*INDEX(xe_input_vu_khi_suy_ra!$H$2:$H$66,MATCH(Xe!$AE$39,xe_input_vu_khi_suy_ra!$A$2:$A$66,0)),0)</f>
        <v/>
      </c>
      <c r="F19">
        <f>IF(INDEX(xe_input_vu_khi_suy_ra!$G$2:$G$66,MATCH(Xe!$AE$39,xe_input_vu_khi_suy_ra!$A$2:$A$66,0)),Xe_suy_ra!$G$39*INDEX(xe_input_bang_xuyen_giap!$B$2:$B$7,MIN(6,MAX(1,MAX(1,2-(INDEX(xe_input_vu_khi!$F$2:$F$66,MATCH(Xe!$AE$39,xe_input_vu_khi!$A$2:$A$66,0))-0))+1)))*INDEX(xe_input_vu_khi_suy_ra!$I$2:$I$66,MATCH(Xe!$AE$39,xe_input_vu_khi_suy_ra!$A$2:$A$66,0)),0)</f>
        <v/>
      </c>
      <c r="G19">
        <f>MAX($D$19,$E$19,$F$19)</f>
        <v/>
      </c>
      <c r="H19">
        <f>LN($B$19)</f>
        <v/>
      </c>
      <c r="I19">
        <f>LN($C$19)</f>
        <v/>
      </c>
      <c r="J19">
        <f>IF($G$19&gt;0,LN($G$19),"")</f>
        <v/>
      </c>
      <c r="K19">
        <f>IF($B$19&lt;=8,"&lt;=8",IF($B$19&lt;=15,"9-15","&gt;=16"))</f>
        <v/>
      </c>
      <c r="L19">
        <f>IF($K$19="&lt;=8",$C$19/$B$19,"")</f>
        <v/>
      </c>
      <c r="M19">
        <f>IF($K$19="&lt;=8",$G$19/$B$19,"")</f>
        <v/>
      </c>
      <c r="N19">
        <f>IF($K$19="9-15",$C$19/$B$19,"")</f>
        <v/>
      </c>
      <c r="O19">
        <f>IF($K$19="9-15",$G$19/$B$19,"")</f>
        <v/>
      </c>
      <c r="P19">
        <f>IF($K$19="&gt;=16",$C$19/$B$19,"")</f>
        <v/>
      </c>
      <c r="Q19">
        <f>IF($K$19="&gt;=16",$G$19/$B$19,"")</f>
        <v/>
      </c>
      <c r="R19" t="inlineStr">
        <is>
          <t>Assets/MachineBrigade/Resources/Data/balance.json: vehicles[id=iron_beam] (lọc hồi quy)</t>
        </is>
      </c>
      <c r="S19" t="inlineStr"/>
    </row>
    <row r="20">
      <c r="A20" t="inlineStr">
        <is>
          <t>laser_tank</t>
        </is>
      </c>
      <c r="B20">
        <f>Xe!$I$41</f>
        <v/>
      </c>
      <c r="C20">
        <f>Xe!$K$41</f>
        <v/>
      </c>
      <c r="D20">
        <f>IF(INDEX(xe_input_vu_khi_suy_ra!$F$2:$F$66,MATCH(Xe!$AE$41,xe_input_vu_khi_suy_ra!$A$2:$A$66,0)),Xe_suy_ra!$E$41*INDEX(xe_input_bang_xuyen_giap!$B$2:$B$7,MIN(6,MAX(1,IF(INDEX(xe_input_vu_khi_suy_ra!$E$2:$E$66,MATCH(Xe!$AE$41,xe_input_vu_khi_suy_ra!$A$2:$A$66,0)),MAX(1,2-(INDEX(xe_input_vu_khi!$F$2:$F$66,MATCH(Xe!$AE$41,xe_input_vu_khi!$A$2:$A$66,0))-1)),2-(INDEX(xe_input_vu_khi!$F$2:$F$66,MATCH(Xe!$AE$41,xe_input_vu_khi!$A$2:$A$66,0))-1))+1)))*INDEX(xe_input_vu_khi_suy_ra!$H$2:$H$66,MATCH(Xe!$AE$41,xe_input_vu_khi_suy_ra!$A$2:$A$66,0)),0)</f>
        <v/>
      </c>
      <c r="E20">
        <f>IF(INDEX(xe_input_vu_khi_suy_ra!$F$2:$F$66,MATCH(Xe!$AE$41,xe_input_vu_khi_suy_ra!$A$2:$A$66,0)),Xe_suy_ra!$E$41*INDEX(xe_input_bang_xuyen_giap!$B$2:$B$7,MIN(6,MAX(1,IF(INDEX(xe_input_vu_khi_suy_ra!$E$2:$E$66,MATCH(Xe!$AE$41,xe_input_vu_khi_suy_ra!$A$2:$A$66,0)),MAX(1,2-(INDEX(xe_input_vu_khi!$F$2:$F$66,MATCH(Xe!$AE$41,xe_input_vu_khi!$A$2:$A$66,0))-3)),2-(INDEX(xe_input_vu_khi!$F$2:$F$66,MATCH(Xe!$AE$41,xe_input_vu_khi!$A$2:$A$66,0))-3))+1)))*INDEX(xe_input_vu_khi_suy_ra!$H$2:$H$66,MATCH(Xe!$AE$41,xe_input_vu_khi_suy_ra!$A$2:$A$66,0)),0)</f>
        <v/>
      </c>
      <c r="F20">
        <f>IF(INDEX(xe_input_vu_khi_suy_ra!$G$2:$G$66,MATCH(Xe!$AE$41,xe_input_vu_khi_suy_ra!$A$2:$A$66,0)),Xe_suy_ra!$G$41*INDEX(xe_input_bang_xuyen_giap!$B$2:$B$7,MIN(6,MAX(1,MAX(1,2-(INDEX(xe_input_vu_khi!$F$2:$F$66,MATCH(Xe!$AE$41,xe_input_vu_khi!$A$2:$A$66,0))-0))+1)))*INDEX(xe_input_vu_khi_suy_ra!$I$2:$I$66,MATCH(Xe!$AE$41,xe_input_vu_khi_suy_ra!$A$2:$A$66,0)),0)</f>
        <v/>
      </c>
      <c r="G20">
        <f>MAX($D$20,$E$20,$F$20)</f>
        <v/>
      </c>
      <c r="H20">
        <f>LN($B$20)</f>
        <v/>
      </c>
      <c r="I20">
        <f>LN($C$20)</f>
        <v/>
      </c>
      <c r="J20">
        <f>IF($G$20&gt;0,LN($G$20),"")</f>
        <v/>
      </c>
      <c r="K20">
        <f>IF($B$20&lt;=8,"&lt;=8",IF($B$20&lt;=15,"9-15","&gt;=16"))</f>
        <v/>
      </c>
      <c r="L20">
        <f>IF($K$20="&lt;=8",$C$20/$B$20,"")</f>
        <v/>
      </c>
      <c r="M20">
        <f>IF($K$20="&lt;=8",$G$20/$B$20,"")</f>
        <v/>
      </c>
      <c r="N20">
        <f>IF($K$20="9-15",$C$20/$B$20,"")</f>
        <v/>
      </c>
      <c r="O20">
        <f>IF($K$20="9-15",$G$20/$B$20,"")</f>
        <v/>
      </c>
      <c r="P20">
        <f>IF($K$20="&gt;=16",$C$20/$B$20,"")</f>
        <v/>
      </c>
      <c r="Q20">
        <f>IF($K$20="&gt;=16",$G$20/$B$20,"")</f>
        <v/>
      </c>
      <c r="R20" t="inlineStr">
        <is>
          <t>Assets/MachineBrigade/Resources/Data/balance.json: vehicles[id=laser_tank] (lọc hồi quy)</t>
        </is>
      </c>
      <c r="S20" t="inlineStr"/>
    </row>
    <row r="21">
      <c r="A21" t="inlineStr">
        <is>
          <t>light_tank</t>
        </is>
      </c>
      <c r="B21">
        <f>Xe!$I$42</f>
        <v/>
      </c>
      <c r="C21">
        <f>Xe!$K$42</f>
        <v/>
      </c>
      <c r="D21">
        <f>IF(INDEX(xe_input_vu_khi_suy_ra!$F$2:$F$66,MATCH(Xe!$AE$42,xe_input_vu_khi_suy_ra!$A$2:$A$66,0)),Xe_suy_ra!$E$42*INDEX(xe_input_bang_xuyen_giap!$B$2:$B$7,MIN(6,MAX(1,IF(INDEX(xe_input_vu_khi_suy_ra!$E$2:$E$66,MATCH(Xe!$AE$42,xe_input_vu_khi_suy_ra!$A$2:$A$66,0)),MAX(1,2-(INDEX(xe_input_vu_khi!$F$2:$F$66,MATCH(Xe!$AE$42,xe_input_vu_khi!$A$2:$A$66,0))-1)),2-(INDEX(xe_input_vu_khi!$F$2:$F$66,MATCH(Xe!$AE$42,xe_input_vu_khi!$A$2:$A$66,0))-1))+1)))*INDEX(xe_input_vu_khi_suy_ra!$H$2:$H$66,MATCH(Xe!$AE$42,xe_input_vu_khi_suy_ra!$A$2:$A$66,0)),0)</f>
        <v/>
      </c>
      <c r="E21">
        <f>IF(INDEX(xe_input_vu_khi_suy_ra!$F$2:$F$66,MATCH(Xe!$AE$42,xe_input_vu_khi_suy_ra!$A$2:$A$66,0)),Xe_suy_ra!$E$42*INDEX(xe_input_bang_xuyen_giap!$B$2:$B$7,MIN(6,MAX(1,IF(INDEX(xe_input_vu_khi_suy_ra!$E$2:$E$66,MATCH(Xe!$AE$42,xe_input_vu_khi_suy_ra!$A$2:$A$66,0)),MAX(1,2-(INDEX(xe_input_vu_khi!$F$2:$F$66,MATCH(Xe!$AE$42,xe_input_vu_khi!$A$2:$A$66,0))-3)),2-(INDEX(xe_input_vu_khi!$F$2:$F$66,MATCH(Xe!$AE$42,xe_input_vu_khi!$A$2:$A$66,0))-3))+1)))*INDEX(xe_input_vu_khi_suy_ra!$H$2:$H$66,MATCH(Xe!$AE$42,xe_input_vu_khi_suy_ra!$A$2:$A$66,0)),0)</f>
        <v/>
      </c>
      <c r="F21">
        <f>IF(INDEX(xe_input_vu_khi_suy_ra!$G$2:$G$66,MATCH(Xe!$AE$42,xe_input_vu_khi_suy_ra!$A$2:$A$66,0)),Xe_suy_ra!$G$42*INDEX(xe_input_bang_xuyen_giap!$B$2:$B$7,MIN(6,MAX(1,MAX(1,2-(INDEX(xe_input_vu_khi!$F$2:$F$66,MATCH(Xe!$AE$42,xe_input_vu_khi!$A$2:$A$66,0))-0))+1)))*INDEX(xe_input_vu_khi_suy_ra!$I$2:$I$66,MATCH(Xe!$AE$42,xe_input_vu_khi_suy_ra!$A$2:$A$66,0)),0)</f>
        <v/>
      </c>
      <c r="G21">
        <f>MAX($D$21,$E$21,$F$21)</f>
        <v/>
      </c>
      <c r="H21">
        <f>LN($B$21)</f>
        <v/>
      </c>
      <c r="I21">
        <f>LN($C$21)</f>
        <v/>
      </c>
      <c r="J21">
        <f>IF($G$21&gt;0,LN($G$21),"")</f>
        <v/>
      </c>
      <c r="K21">
        <f>IF($B$21&lt;=8,"&lt;=8",IF($B$21&lt;=15,"9-15","&gt;=16"))</f>
        <v/>
      </c>
      <c r="L21">
        <f>IF($K$21="&lt;=8",$C$21/$B$21,"")</f>
        <v/>
      </c>
      <c r="M21">
        <f>IF($K$21="&lt;=8",$G$21/$B$21,"")</f>
        <v/>
      </c>
      <c r="N21">
        <f>IF($K$21="9-15",$C$21/$B$21,"")</f>
        <v/>
      </c>
      <c r="O21">
        <f>IF($K$21="9-15",$G$21/$B$21,"")</f>
        <v/>
      </c>
      <c r="P21">
        <f>IF($K$21="&gt;=16",$C$21/$B$21,"")</f>
        <v/>
      </c>
      <c r="Q21">
        <f>IF($K$21="&gt;=16",$G$21/$B$21,"")</f>
        <v/>
      </c>
      <c r="R21" t="inlineStr">
        <is>
          <t>Assets/MachineBrigade/Resources/Data/balance.json: vehicles[id=light_tank] (lọc hồi quy)</t>
        </is>
      </c>
      <c r="S21" t="inlineStr"/>
    </row>
    <row r="22">
      <c r="A22" t="inlineStr">
        <is>
          <t>long_sam</t>
        </is>
      </c>
      <c r="B22">
        <f>Xe!$I$43</f>
        <v/>
      </c>
      <c r="C22">
        <f>Xe!$K$43</f>
        <v/>
      </c>
      <c r="D22">
        <f>IF(INDEX(xe_input_vu_khi_suy_ra!$F$2:$F$66,MATCH(Xe!$AE$43,xe_input_vu_khi_suy_ra!$A$2:$A$66,0)),Xe_suy_ra!$E$43*INDEX(xe_input_bang_xuyen_giap!$B$2:$B$7,MIN(6,MAX(1,IF(INDEX(xe_input_vu_khi_suy_ra!$E$2:$E$66,MATCH(Xe!$AE$43,xe_input_vu_khi_suy_ra!$A$2:$A$66,0)),MAX(1,2-(INDEX(xe_input_vu_khi!$F$2:$F$66,MATCH(Xe!$AE$43,xe_input_vu_khi!$A$2:$A$66,0))-1)),2-(INDEX(xe_input_vu_khi!$F$2:$F$66,MATCH(Xe!$AE$43,xe_input_vu_khi!$A$2:$A$66,0))-1))+1)))*INDEX(xe_input_vu_khi_suy_ra!$H$2:$H$66,MATCH(Xe!$AE$43,xe_input_vu_khi_suy_ra!$A$2:$A$66,0)),0)</f>
        <v/>
      </c>
      <c r="E22">
        <f>IF(INDEX(xe_input_vu_khi_suy_ra!$F$2:$F$66,MATCH(Xe!$AE$43,xe_input_vu_khi_suy_ra!$A$2:$A$66,0)),Xe_suy_ra!$E$43*INDEX(xe_input_bang_xuyen_giap!$B$2:$B$7,MIN(6,MAX(1,IF(INDEX(xe_input_vu_khi_suy_ra!$E$2:$E$66,MATCH(Xe!$AE$43,xe_input_vu_khi_suy_ra!$A$2:$A$66,0)),MAX(1,2-(INDEX(xe_input_vu_khi!$F$2:$F$66,MATCH(Xe!$AE$43,xe_input_vu_khi!$A$2:$A$66,0))-3)),2-(INDEX(xe_input_vu_khi!$F$2:$F$66,MATCH(Xe!$AE$43,xe_input_vu_khi!$A$2:$A$66,0))-3))+1)))*INDEX(xe_input_vu_khi_suy_ra!$H$2:$H$66,MATCH(Xe!$AE$43,xe_input_vu_khi_suy_ra!$A$2:$A$66,0)),0)</f>
        <v/>
      </c>
      <c r="F22">
        <f>IF(INDEX(xe_input_vu_khi_suy_ra!$G$2:$G$66,MATCH(Xe!$AE$43,xe_input_vu_khi_suy_ra!$A$2:$A$66,0)),Xe_suy_ra!$G$43*INDEX(xe_input_bang_xuyen_giap!$B$2:$B$7,MIN(6,MAX(1,MAX(1,2-(INDEX(xe_input_vu_khi!$F$2:$F$66,MATCH(Xe!$AE$43,xe_input_vu_khi!$A$2:$A$66,0))-0))+1)))*INDEX(xe_input_vu_khi_suy_ra!$I$2:$I$66,MATCH(Xe!$AE$43,xe_input_vu_khi_suy_ra!$A$2:$A$66,0)),0)</f>
        <v/>
      </c>
      <c r="G22">
        <f>MAX($D$22,$E$22,$F$22)</f>
        <v/>
      </c>
      <c r="H22">
        <f>LN($B$22)</f>
        <v/>
      </c>
      <c r="I22">
        <f>LN($C$22)</f>
        <v/>
      </c>
      <c r="J22">
        <f>IF($G$22&gt;0,LN($G$22),"")</f>
        <v/>
      </c>
      <c r="K22">
        <f>IF($B$22&lt;=8,"&lt;=8",IF($B$22&lt;=15,"9-15","&gt;=16"))</f>
        <v/>
      </c>
      <c r="L22">
        <f>IF($K$22="&lt;=8",$C$22/$B$22,"")</f>
        <v/>
      </c>
      <c r="M22">
        <f>IF($K$22="&lt;=8",$G$22/$B$22,"")</f>
        <v/>
      </c>
      <c r="N22">
        <f>IF($K$22="9-15",$C$22/$B$22,"")</f>
        <v/>
      </c>
      <c r="O22">
        <f>IF($K$22="9-15",$G$22/$B$22,"")</f>
        <v/>
      </c>
      <c r="P22">
        <f>IF($K$22="&gt;=16",$C$22/$B$22,"")</f>
        <v/>
      </c>
      <c r="Q22">
        <f>IF($K$22="&gt;=16",$G$22/$B$22,"")</f>
        <v/>
      </c>
      <c r="R22" t="inlineStr">
        <is>
          <t>Assets/MachineBrigade/Resources/Data/balance.json: vehicles[id=long_sam] (lọc hồi quy)</t>
        </is>
      </c>
      <c r="S22" t="inlineStr"/>
    </row>
    <row r="23">
      <c r="A23" t="inlineStr">
        <is>
          <t>main_battle_tank</t>
        </is>
      </c>
      <c r="B23">
        <f>Xe!$I$44</f>
        <v/>
      </c>
      <c r="C23">
        <f>Xe!$K$44</f>
        <v/>
      </c>
      <c r="D23">
        <f>IF(INDEX(xe_input_vu_khi_suy_ra!$F$2:$F$66,MATCH(Xe!$AE$44,xe_input_vu_khi_suy_ra!$A$2:$A$66,0)),Xe_suy_ra!$E$44*INDEX(xe_input_bang_xuyen_giap!$B$2:$B$7,MIN(6,MAX(1,IF(INDEX(xe_input_vu_khi_suy_ra!$E$2:$E$66,MATCH(Xe!$AE$44,xe_input_vu_khi_suy_ra!$A$2:$A$66,0)),MAX(1,2-(INDEX(xe_input_vu_khi!$F$2:$F$66,MATCH(Xe!$AE$44,xe_input_vu_khi!$A$2:$A$66,0))-1)),2-(INDEX(xe_input_vu_khi!$F$2:$F$66,MATCH(Xe!$AE$44,xe_input_vu_khi!$A$2:$A$66,0))-1))+1)))*INDEX(xe_input_vu_khi_suy_ra!$H$2:$H$66,MATCH(Xe!$AE$44,xe_input_vu_khi_suy_ra!$A$2:$A$66,0)),0)</f>
        <v/>
      </c>
      <c r="E23">
        <f>IF(INDEX(xe_input_vu_khi_suy_ra!$F$2:$F$66,MATCH(Xe!$AE$44,xe_input_vu_khi_suy_ra!$A$2:$A$66,0)),Xe_suy_ra!$E$44*INDEX(xe_input_bang_xuyen_giap!$B$2:$B$7,MIN(6,MAX(1,IF(INDEX(xe_input_vu_khi_suy_ra!$E$2:$E$66,MATCH(Xe!$AE$44,xe_input_vu_khi_suy_ra!$A$2:$A$66,0)),MAX(1,2-(INDEX(xe_input_vu_khi!$F$2:$F$66,MATCH(Xe!$AE$44,xe_input_vu_khi!$A$2:$A$66,0))-3)),2-(INDEX(xe_input_vu_khi!$F$2:$F$66,MATCH(Xe!$AE$44,xe_input_vu_khi!$A$2:$A$66,0))-3))+1)))*INDEX(xe_input_vu_khi_suy_ra!$H$2:$H$66,MATCH(Xe!$AE$44,xe_input_vu_khi_suy_ra!$A$2:$A$66,0)),0)</f>
        <v/>
      </c>
      <c r="F23">
        <f>IF(INDEX(xe_input_vu_khi_suy_ra!$G$2:$G$66,MATCH(Xe!$AE$44,xe_input_vu_khi_suy_ra!$A$2:$A$66,0)),Xe_suy_ra!$G$44*INDEX(xe_input_bang_xuyen_giap!$B$2:$B$7,MIN(6,MAX(1,MAX(1,2-(INDEX(xe_input_vu_khi!$F$2:$F$66,MATCH(Xe!$AE$44,xe_input_vu_khi!$A$2:$A$66,0))-0))+1)))*INDEX(xe_input_vu_khi_suy_ra!$I$2:$I$66,MATCH(Xe!$AE$44,xe_input_vu_khi_suy_ra!$A$2:$A$66,0)),0)</f>
        <v/>
      </c>
      <c r="G23">
        <f>MAX($D$23,$E$23,$F$23)</f>
        <v/>
      </c>
      <c r="H23">
        <f>LN($B$23)</f>
        <v/>
      </c>
      <c r="I23">
        <f>LN($C$23)</f>
        <v/>
      </c>
      <c r="J23">
        <f>IF($G$23&gt;0,LN($G$23),"")</f>
        <v/>
      </c>
      <c r="K23">
        <f>IF($B$23&lt;=8,"&lt;=8",IF($B$23&lt;=15,"9-15","&gt;=16"))</f>
        <v/>
      </c>
      <c r="L23">
        <f>IF($K$23="&lt;=8",$C$23/$B$23,"")</f>
        <v/>
      </c>
      <c r="M23">
        <f>IF($K$23="&lt;=8",$G$23/$B$23,"")</f>
        <v/>
      </c>
      <c r="N23">
        <f>IF($K$23="9-15",$C$23/$B$23,"")</f>
        <v/>
      </c>
      <c r="O23">
        <f>IF($K$23="9-15",$G$23/$B$23,"")</f>
        <v/>
      </c>
      <c r="P23">
        <f>IF($K$23="&gt;=16",$C$23/$B$23,"")</f>
        <v/>
      </c>
      <c r="Q23">
        <f>IF($K$23="&gt;=16",$G$23/$B$23,"")</f>
        <v/>
      </c>
      <c r="R23" t="inlineStr">
        <is>
          <t>Assets/MachineBrigade/Resources/Data/balance.json: vehicles[id=main_battle_tank] (lọc hồi quy)</t>
        </is>
      </c>
      <c r="S23" t="inlineStr"/>
    </row>
    <row r="24">
      <c r="A24" t="inlineStr">
        <is>
          <t>mlrs</t>
        </is>
      </c>
      <c r="B24">
        <f>Xe!$I$48</f>
        <v/>
      </c>
      <c r="C24">
        <f>Xe!$K$48</f>
        <v/>
      </c>
      <c r="D24">
        <f>IF(INDEX(xe_input_vu_khi_suy_ra!$F$2:$F$66,MATCH(Xe!$AE$48,xe_input_vu_khi_suy_ra!$A$2:$A$66,0)),Xe_suy_ra!$E$48*INDEX(xe_input_bang_xuyen_giap!$B$2:$B$7,MIN(6,MAX(1,IF(INDEX(xe_input_vu_khi_suy_ra!$E$2:$E$66,MATCH(Xe!$AE$48,xe_input_vu_khi_suy_ra!$A$2:$A$66,0)),MAX(1,2-(INDEX(xe_input_vu_khi!$F$2:$F$66,MATCH(Xe!$AE$48,xe_input_vu_khi!$A$2:$A$66,0))-1)),2-(INDEX(xe_input_vu_khi!$F$2:$F$66,MATCH(Xe!$AE$48,xe_input_vu_khi!$A$2:$A$66,0))-1))+1)))*INDEX(xe_input_vu_khi_suy_ra!$H$2:$H$66,MATCH(Xe!$AE$48,xe_input_vu_khi_suy_ra!$A$2:$A$66,0)),0)</f>
        <v/>
      </c>
      <c r="E24">
        <f>IF(INDEX(xe_input_vu_khi_suy_ra!$F$2:$F$66,MATCH(Xe!$AE$48,xe_input_vu_khi_suy_ra!$A$2:$A$66,0)),Xe_suy_ra!$E$48*INDEX(xe_input_bang_xuyen_giap!$B$2:$B$7,MIN(6,MAX(1,IF(INDEX(xe_input_vu_khi_suy_ra!$E$2:$E$66,MATCH(Xe!$AE$48,xe_input_vu_khi_suy_ra!$A$2:$A$66,0)),MAX(1,2-(INDEX(xe_input_vu_khi!$F$2:$F$66,MATCH(Xe!$AE$48,xe_input_vu_khi!$A$2:$A$66,0))-3)),2-(INDEX(xe_input_vu_khi!$F$2:$F$66,MATCH(Xe!$AE$48,xe_input_vu_khi!$A$2:$A$66,0))-3))+1)))*INDEX(xe_input_vu_khi_suy_ra!$H$2:$H$66,MATCH(Xe!$AE$48,xe_input_vu_khi_suy_ra!$A$2:$A$66,0)),0)</f>
        <v/>
      </c>
      <c r="F24">
        <f>IF(INDEX(xe_input_vu_khi_suy_ra!$G$2:$G$66,MATCH(Xe!$AE$48,xe_input_vu_khi_suy_ra!$A$2:$A$66,0)),Xe_suy_ra!$G$48*INDEX(xe_input_bang_xuyen_giap!$B$2:$B$7,MIN(6,MAX(1,MAX(1,2-(INDEX(xe_input_vu_khi!$F$2:$F$66,MATCH(Xe!$AE$48,xe_input_vu_khi!$A$2:$A$66,0))-0))+1)))*INDEX(xe_input_vu_khi_suy_ra!$I$2:$I$66,MATCH(Xe!$AE$48,xe_input_vu_khi_suy_ra!$A$2:$A$66,0)),0)</f>
        <v/>
      </c>
      <c r="G24">
        <f>MAX($D$24,$E$24,$F$24)</f>
        <v/>
      </c>
      <c r="H24">
        <f>LN($B$24)</f>
        <v/>
      </c>
      <c r="I24">
        <f>LN($C$24)</f>
        <v/>
      </c>
      <c r="J24">
        <f>IF($G$24&gt;0,LN($G$24),"")</f>
        <v/>
      </c>
      <c r="K24">
        <f>IF($B$24&lt;=8,"&lt;=8",IF($B$24&lt;=15,"9-15","&gt;=16"))</f>
        <v/>
      </c>
      <c r="L24">
        <f>IF($K$24="&lt;=8",$C$24/$B$24,"")</f>
        <v/>
      </c>
      <c r="M24">
        <f>IF($K$24="&lt;=8",$G$24/$B$24,"")</f>
        <v/>
      </c>
      <c r="N24">
        <f>IF($K$24="9-15",$C$24/$B$24,"")</f>
        <v/>
      </c>
      <c r="O24">
        <f>IF($K$24="9-15",$G$24/$B$24,"")</f>
        <v/>
      </c>
      <c r="P24">
        <f>IF($K$24="&gt;=16",$C$24/$B$24,"")</f>
        <v/>
      </c>
      <c r="Q24">
        <f>IF($K$24="&gt;=16",$G$24/$B$24,"")</f>
        <v/>
      </c>
      <c r="R24" t="inlineStr">
        <is>
          <t>Assets/MachineBrigade/Resources/Data/balance.json: vehicles[id=mlrs] (lọc hồi quy)</t>
        </is>
      </c>
      <c r="S24" t="inlineStr"/>
    </row>
    <row r="25">
      <c r="A25" t="inlineStr">
        <is>
          <t>mortar_carrier</t>
        </is>
      </c>
      <c r="B25">
        <f>Xe!$I$49</f>
        <v/>
      </c>
      <c r="C25">
        <f>Xe!$K$49</f>
        <v/>
      </c>
      <c r="D25">
        <f>IF(INDEX(xe_input_vu_khi_suy_ra!$F$2:$F$66,MATCH(Xe!$AE$49,xe_input_vu_khi_suy_ra!$A$2:$A$66,0)),Xe_suy_ra!$E$49*INDEX(xe_input_bang_xuyen_giap!$B$2:$B$7,MIN(6,MAX(1,IF(INDEX(xe_input_vu_khi_suy_ra!$E$2:$E$66,MATCH(Xe!$AE$49,xe_input_vu_khi_suy_ra!$A$2:$A$66,0)),MAX(1,2-(INDEX(xe_input_vu_khi!$F$2:$F$66,MATCH(Xe!$AE$49,xe_input_vu_khi!$A$2:$A$66,0))-1)),2-(INDEX(xe_input_vu_khi!$F$2:$F$66,MATCH(Xe!$AE$49,xe_input_vu_khi!$A$2:$A$66,0))-1))+1)))*INDEX(xe_input_vu_khi_suy_ra!$H$2:$H$66,MATCH(Xe!$AE$49,xe_input_vu_khi_suy_ra!$A$2:$A$66,0)),0)</f>
        <v/>
      </c>
      <c r="E25">
        <f>IF(INDEX(xe_input_vu_khi_suy_ra!$F$2:$F$66,MATCH(Xe!$AE$49,xe_input_vu_khi_suy_ra!$A$2:$A$66,0)),Xe_suy_ra!$E$49*INDEX(xe_input_bang_xuyen_giap!$B$2:$B$7,MIN(6,MAX(1,IF(INDEX(xe_input_vu_khi_suy_ra!$E$2:$E$66,MATCH(Xe!$AE$49,xe_input_vu_khi_suy_ra!$A$2:$A$66,0)),MAX(1,2-(INDEX(xe_input_vu_khi!$F$2:$F$66,MATCH(Xe!$AE$49,xe_input_vu_khi!$A$2:$A$66,0))-3)),2-(INDEX(xe_input_vu_khi!$F$2:$F$66,MATCH(Xe!$AE$49,xe_input_vu_khi!$A$2:$A$66,0))-3))+1)))*INDEX(xe_input_vu_khi_suy_ra!$H$2:$H$66,MATCH(Xe!$AE$49,xe_input_vu_khi_suy_ra!$A$2:$A$66,0)),0)</f>
        <v/>
      </c>
      <c r="F25">
        <f>IF(INDEX(xe_input_vu_khi_suy_ra!$G$2:$G$66,MATCH(Xe!$AE$49,xe_input_vu_khi_suy_ra!$A$2:$A$66,0)),Xe_suy_ra!$G$49*INDEX(xe_input_bang_xuyen_giap!$B$2:$B$7,MIN(6,MAX(1,MAX(1,2-(INDEX(xe_input_vu_khi!$F$2:$F$66,MATCH(Xe!$AE$49,xe_input_vu_khi!$A$2:$A$66,0))-0))+1)))*INDEX(xe_input_vu_khi_suy_ra!$I$2:$I$66,MATCH(Xe!$AE$49,xe_input_vu_khi_suy_ra!$A$2:$A$66,0)),0)</f>
        <v/>
      </c>
      <c r="G25">
        <f>MAX($D$25,$E$25,$F$25)</f>
        <v/>
      </c>
      <c r="H25">
        <f>LN($B$25)</f>
        <v/>
      </c>
      <c r="I25">
        <f>LN($C$25)</f>
        <v/>
      </c>
      <c r="J25">
        <f>IF($G$25&gt;0,LN($G$25),"")</f>
        <v/>
      </c>
      <c r="K25">
        <f>IF($B$25&lt;=8,"&lt;=8",IF($B$25&lt;=15,"9-15","&gt;=16"))</f>
        <v/>
      </c>
      <c r="L25">
        <f>IF($K$25="&lt;=8",$C$25/$B$25,"")</f>
        <v/>
      </c>
      <c r="M25">
        <f>IF($K$25="&lt;=8",$G$25/$B$25,"")</f>
        <v/>
      </c>
      <c r="N25">
        <f>IF($K$25="9-15",$C$25/$B$25,"")</f>
        <v/>
      </c>
      <c r="O25">
        <f>IF($K$25="9-15",$G$25/$B$25,"")</f>
        <v/>
      </c>
      <c r="P25">
        <f>IF($K$25="&gt;=16",$C$25/$B$25,"")</f>
        <v/>
      </c>
      <c r="Q25">
        <f>IF($K$25="&gt;=16",$G$25/$B$25,"")</f>
        <v/>
      </c>
      <c r="R25" t="inlineStr">
        <is>
          <t>Assets/MachineBrigade/Resources/Data/balance.json: vehicles[id=mortar_carrier] (lọc hồi quy)</t>
        </is>
      </c>
      <c r="S25" t="inlineStr"/>
    </row>
    <row r="26">
      <c r="A26" t="inlineStr">
        <is>
          <t>next_gen_tank</t>
        </is>
      </c>
      <c r="B26">
        <f>Xe!$I$50</f>
        <v/>
      </c>
      <c r="C26">
        <f>Xe!$K$50</f>
        <v/>
      </c>
      <c r="D26">
        <f>IF(INDEX(xe_input_vu_khi_suy_ra!$F$2:$F$66,MATCH(Xe!$AE$50,xe_input_vu_khi_suy_ra!$A$2:$A$66,0)),Xe_suy_ra!$E$50*INDEX(xe_input_bang_xuyen_giap!$B$2:$B$7,MIN(6,MAX(1,IF(INDEX(xe_input_vu_khi_suy_ra!$E$2:$E$66,MATCH(Xe!$AE$50,xe_input_vu_khi_suy_ra!$A$2:$A$66,0)),MAX(1,2-(INDEX(xe_input_vu_khi!$F$2:$F$66,MATCH(Xe!$AE$50,xe_input_vu_khi!$A$2:$A$66,0))-1)),2-(INDEX(xe_input_vu_khi!$F$2:$F$66,MATCH(Xe!$AE$50,xe_input_vu_khi!$A$2:$A$66,0))-1))+1)))*INDEX(xe_input_vu_khi_suy_ra!$H$2:$H$66,MATCH(Xe!$AE$50,xe_input_vu_khi_suy_ra!$A$2:$A$66,0)),0)</f>
        <v/>
      </c>
      <c r="E26">
        <f>IF(INDEX(xe_input_vu_khi_suy_ra!$F$2:$F$66,MATCH(Xe!$AE$50,xe_input_vu_khi_suy_ra!$A$2:$A$66,0)),Xe_suy_ra!$E$50*INDEX(xe_input_bang_xuyen_giap!$B$2:$B$7,MIN(6,MAX(1,IF(INDEX(xe_input_vu_khi_suy_ra!$E$2:$E$66,MATCH(Xe!$AE$50,xe_input_vu_khi_suy_ra!$A$2:$A$66,0)),MAX(1,2-(INDEX(xe_input_vu_khi!$F$2:$F$66,MATCH(Xe!$AE$50,xe_input_vu_khi!$A$2:$A$66,0))-3)),2-(INDEX(xe_input_vu_khi!$F$2:$F$66,MATCH(Xe!$AE$50,xe_input_vu_khi!$A$2:$A$66,0))-3))+1)))*INDEX(xe_input_vu_khi_suy_ra!$H$2:$H$66,MATCH(Xe!$AE$50,xe_input_vu_khi_suy_ra!$A$2:$A$66,0)),0)</f>
        <v/>
      </c>
      <c r="F26">
        <f>IF(INDEX(xe_input_vu_khi_suy_ra!$G$2:$G$66,MATCH(Xe!$AE$50,xe_input_vu_khi_suy_ra!$A$2:$A$66,0)),Xe_suy_ra!$G$50*INDEX(xe_input_bang_xuyen_giap!$B$2:$B$7,MIN(6,MAX(1,MAX(1,2-(INDEX(xe_input_vu_khi!$F$2:$F$66,MATCH(Xe!$AE$50,xe_input_vu_khi!$A$2:$A$66,0))-0))+1)))*INDEX(xe_input_vu_khi_suy_ra!$I$2:$I$66,MATCH(Xe!$AE$50,xe_input_vu_khi_suy_ra!$A$2:$A$66,0)),0)</f>
        <v/>
      </c>
      <c r="G26">
        <f>MAX($D$26,$E$26,$F$26)</f>
        <v/>
      </c>
      <c r="H26">
        <f>LN($B$26)</f>
        <v/>
      </c>
      <c r="I26">
        <f>LN($C$26)</f>
        <v/>
      </c>
      <c r="J26">
        <f>IF($G$26&gt;0,LN($G$26),"")</f>
        <v/>
      </c>
      <c r="K26">
        <f>IF($B$26&lt;=8,"&lt;=8",IF($B$26&lt;=15,"9-15","&gt;=16"))</f>
        <v/>
      </c>
      <c r="L26">
        <f>IF($K$26="&lt;=8",$C$26/$B$26,"")</f>
        <v/>
      </c>
      <c r="M26">
        <f>IF($K$26="&lt;=8",$G$26/$B$26,"")</f>
        <v/>
      </c>
      <c r="N26">
        <f>IF($K$26="9-15",$C$26/$B$26,"")</f>
        <v/>
      </c>
      <c r="O26">
        <f>IF($K$26="9-15",$G$26/$B$26,"")</f>
        <v/>
      </c>
      <c r="P26">
        <f>IF($K$26="&gt;=16",$C$26/$B$26,"")</f>
        <v/>
      </c>
      <c r="Q26">
        <f>IF($K$26="&gt;=16",$G$26/$B$26,"")</f>
        <v/>
      </c>
      <c r="R26" t="inlineStr">
        <is>
          <t>Assets/MachineBrigade/Resources/Data/balance.json: vehicles[id=next_gen_tank] (lọc hồi quy)</t>
        </is>
      </c>
      <c r="S26" t="inlineStr"/>
    </row>
    <row r="27">
      <c r="A27" t="inlineStr">
        <is>
          <t>railgun_truck</t>
        </is>
      </c>
      <c r="B27">
        <f>Xe!$I$51</f>
        <v/>
      </c>
      <c r="C27">
        <f>Xe!$K$51</f>
        <v/>
      </c>
      <c r="D27">
        <f>IF(INDEX(xe_input_vu_khi_suy_ra!$F$2:$F$66,MATCH(Xe!$AE$51,xe_input_vu_khi_suy_ra!$A$2:$A$66,0)),Xe_suy_ra!$E$51*INDEX(xe_input_bang_xuyen_giap!$B$2:$B$7,MIN(6,MAX(1,IF(INDEX(xe_input_vu_khi_suy_ra!$E$2:$E$66,MATCH(Xe!$AE$51,xe_input_vu_khi_suy_ra!$A$2:$A$66,0)),MAX(1,2-(INDEX(xe_input_vu_khi!$F$2:$F$66,MATCH(Xe!$AE$51,xe_input_vu_khi!$A$2:$A$66,0))-1)),2-(INDEX(xe_input_vu_khi!$F$2:$F$66,MATCH(Xe!$AE$51,xe_input_vu_khi!$A$2:$A$66,0))-1))+1)))*INDEX(xe_input_vu_khi_suy_ra!$H$2:$H$66,MATCH(Xe!$AE$51,xe_input_vu_khi_suy_ra!$A$2:$A$66,0)),0)</f>
        <v/>
      </c>
      <c r="E27">
        <f>IF(INDEX(xe_input_vu_khi_suy_ra!$F$2:$F$66,MATCH(Xe!$AE$51,xe_input_vu_khi_suy_ra!$A$2:$A$66,0)),Xe_suy_ra!$E$51*INDEX(xe_input_bang_xuyen_giap!$B$2:$B$7,MIN(6,MAX(1,IF(INDEX(xe_input_vu_khi_suy_ra!$E$2:$E$66,MATCH(Xe!$AE$51,xe_input_vu_khi_suy_ra!$A$2:$A$66,0)),MAX(1,2-(INDEX(xe_input_vu_khi!$F$2:$F$66,MATCH(Xe!$AE$51,xe_input_vu_khi!$A$2:$A$66,0))-3)),2-(INDEX(xe_input_vu_khi!$F$2:$F$66,MATCH(Xe!$AE$51,xe_input_vu_khi!$A$2:$A$66,0))-3))+1)))*INDEX(xe_input_vu_khi_suy_ra!$H$2:$H$66,MATCH(Xe!$AE$51,xe_input_vu_khi_suy_ra!$A$2:$A$66,0)),0)</f>
        <v/>
      </c>
      <c r="F27">
        <f>IF(INDEX(xe_input_vu_khi_suy_ra!$G$2:$G$66,MATCH(Xe!$AE$51,xe_input_vu_khi_suy_ra!$A$2:$A$66,0)),Xe_suy_ra!$G$51*INDEX(xe_input_bang_xuyen_giap!$B$2:$B$7,MIN(6,MAX(1,MAX(1,2-(INDEX(xe_input_vu_khi!$F$2:$F$66,MATCH(Xe!$AE$51,xe_input_vu_khi!$A$2:$A$66,0))-0))+1)))*INDEX(xe_input_vu_khi_suy_ra!$I$2:$I$66,MATCH(Xe!$AE$51,xe_input_vu_khi_suy_ra!$A$2:$A$66,0)),0)</f>
        <v/>
      </c>
      <c r="G27">
        <f>MAX($D$27,$E$27,$F$27)</f>
        <v/>
      </c>
      <c r="H27">
        <f>LN($B$27)</f>
        <v/>
      </c>
      <c r="I27">
        <f>LN($C$27)</f>
        <v/>
      </c>
      <c r="J27">
        <f>IF($G$27&gt;0,LN($G$27),"")</f>
        <v/>
      </c>
      <c r="K27">
        <f>IF($B$27&lt;=8,"&lt;=8",IF($B$27&lt;=15,"9-15","&gt;=16"))</f>
        <v/>
      </c>
      <c r="L27">
        <f>IF($K$27="&lt;=8",$C$27/$B$27,"")</f>
        <v/>
      </c>
      <c r="M27">
        <f>IF($K$27="&lt;=8",$G$27/$B$27,"")</f>
        <v/>
      </c>
      <c r="N27">
        <f>IF($K$27="9-15",$C$27/$B$27,"")</f>
        <v/>
      </c>
      <c r="O27">
        <f>IF($K$27="9-15",$G$27/$B$27,"")</f>
        <v/>
      </c>
      <c r="P27">
        <f>IF($K$27="&gt;=16",$C$27/$B$27,"")</f>
        <v/>
      </c>
      <c r="Q27">
        <f>IF($K$27="&gt;=16",$G$27/$B$27,"")</f>
        <v/>
      </c>
      <c r="R27" t="inlineStr">
        <is>
          <t>Assets/MachineBrigade/Resources/Data/balance.json: vehicles[id=railgun_truck] (lọc hồi quy)</t>
        </is>
      </c>
      <c r="S27" t="inlineStr"/>
    </row>
    <row r="28">
      <c r="A28" t="inlineStr">
        <is>
          <t>recoilless_jeep</t>
        </is>
      </c>
      <c r="B28">
        <f>Xe!$I$52</f>
        <v/>
      </c>
      <c r="C28">
        <f>Xe!$K$52</f>
        <v/>
      </c>
      <c r="D28">
        <f>IF(INDEX(xe_input_vu_khi_suy_ra!$F$2:$F$66,MATCH(Xe!$AE$52,xe_input_vu_khi_suy_ra!$A$2:$A$66,0)),Xe_suy_ra!$E$52*INDEX(xe_input_bang_xuyen_giap!$B$2:$B$7,MIN(6,MAX(1,IF(INDEX(xe_input_vu_khi_suy_ra!$E$2:$E$66,MATCH(Xe!$AE$52,xe_input_vu_khi_suy_ra!$A$2:$A$66,0)),MAX(1,2-(INDEX(xe_input_vu_khi!$F$2:$F$66,MATCH(Xe!$AE$52,xe_input_vu_khi!$A$2:$A$66,0))-1)),2-(INDEX(xe_input_vu_khi!$F$2:$F$66,MATCH(Xe!$AE$52,xe_input_vu_khi!$A$2:$A$66,0))-1))+1)))*INDEX(xe_input_vu_khi_suy_ra!$H$2:$H$66,MATCH(Xe!$AE$52,xe_input_vu_khi_suy_ra!$A$2:$A$66,0)),0)</f>
        <v/>
      </c>
      <c r="E28">
        <f>IF(INDEX(xe_input_vu_khi_suy_ra!$F$2:$F$66,MATCH(Xe!$AE$52,xe_input_vu_khi_suy_ra!$A$2:$A$66,0)),Xe_suy_ra!$E$52*INDEX(xe_input_bang_xuyen_giap!$B$2:$B$7,MIN(6,MAX(1,IF(INDEX(xe_input_vu_khi_suy_ra!$E$2:$E$66,MATCH(Xe!$AE$52,xe_input_vu_khi_suy_ra!$A$2:$A$66,0)),MAX(1,2-(INDEX(xe_input_vu_khi!$F$2:$F$66,MATCH(Xe!$AE$52,xe_input_vu_khi!$A$2:$A$66,0))-3)),2-(INDEX(xe_input_vu_khi!$F$2:$F$66,MATCH(Xe!$AE$52,xe_input_vu_khi!$A$2:$A$66,0))-3))+1)))*INDEX(xe_input_vu_khi_suy_ra!$H$2:$H$66,MATCH(Xe!$AE$52,xe_input_vu_khi_suy_ra!$A$2:$A$66,0)),0)</f>
        <v/>
      </c>
      <c r="F28">
        <f>IF(INDEX(xe_input_vu_khi_suy_ra!$G$2:$G$66,MATCH(Xe!$AE$52,xe_input_vu_khi_suy_ra!$A$2:$A$66,0)),Xe_suy_ra!$G$52*INDEX(xe_input_bang_xuyen_giap!$B$2:$B$7,MIN(6,MAX(1,MAX(1,2-(INDEX(xe_input_vu_khi!$F$2:$F$66,MATCH(Xe!$AE$52,xe_input_vu_khi!$A$2:$A$66,0))-0))+1)))*INDEX(xe_input_vu_khi_suy_ra!$I$2:$I$66,MATCH(Xe!$AE$52,xe_input_vu_khi_suy_ra!$A$2:$A$66,0)),0)</f>
        <v/>
      </c>
      <c r="G28">
        <f>MAX($D$28,$E$28,$F$28)</f>
        <v/>
      </c>
      <c r="H28">
        <f>LN($B$28)</f>
        <v/>
      </c>
      <c r="I28">
        <f>LN($C$28)</f>
        <v/>
      </c>
      <c r="J28">
        <f>IF($G$28&gt;0,LN($G$28),"")</f>
        <v/>
      </c>
      <c r="K28">
        <f>IF($B$28&lt;=8,"&lt;=8",IF($B$28&lt;=15,"9-15","&gt;=16"))</f>
        <v/>
      </c>
      <c r="L28">
        <f>IF($K$28="&lt;=8",$C$28/$B$28,"")</f>
        <v/>
      </c>
      <c r="M28">
        <f>IF($K$28="&lt;=8",$G$28/$B$28,"")</f>
        <v/>
      </c>
      <c r="N28">
        <f>IF($K$28="9-15",$C$28/$B$28,"")</f>
        <v/>
      </c>
      <c r="O28">
        <f>IF($K$28="9-15",$G$28/$B$28,"")</f>
        <v/>
      </c>
      <c r="P28">
        <f>IF($K$28="&gt;=16",$C$28/$B$28,"")</f>
        <v/>
      </c>
      <c r="Q28">
        <f>IF($K$28="&gt;=16",$G$28/$B$28,"")</f>
        <v/>
      </c>
      <c r="R28" t="inlineStr">
        <is>
          <t>Assets/MachineBrigade/Resources/Data/balance.json: vehicles[id=recoilless_jeep] (lọc hồi quy)</t>
        </is>
      </c>
      <c r="S28" t="inlineStr"/>
    </row>
    <row r="29">
      <c r="A29" t="inlineStr">
        <is>
          <t>recon_drone</t>
        </is>
      </c>
      <c r="B29">
        <f>Xe!$I$53</f>
        <v/>
      </c>
      <c r="C29">
        <f>Xe!$K$53</f>
        <v/>
      </c>
      <c r="D29">
        <f>IF(INDEX(xe_input_vu_khi_suy_ra!$F$2:$F$66,MATCH(Xe!$AE$53,xe_input_vu_khi_suy_ra!$A$2:$A$66,0)),Xe_suy_ra!$E$53*INDEX(xe_input_bang_xuyen_giap!$B$2:$B$7,MIN(6,MAX(1,IF(INDEX(xe_input_vu_khi_suy_ra!$E$2:$E$66,MATCH(Xe!$AE$53,xe_input_vu_khi_suy_ra!$A$2:$A$66,0)),MAX(1,2-(INDEX(xe_input_vu_khi!$F$2:$F$66,MATCH(Xe!$AE$53,xe_input_vu_khi!$A$2:$A$66,0))-1)),2-(INDEX(xe_input_vu_khi!$F$2:$F$66,MATCH(Xe!$AE$53,xe_input_vu_khi!$A$2:$A$66,0))-1))+1)))*INDEX(xe_input_vu_khi_suy_ra!$H$2:$H$66,MATCH(Xe!$AE$53,xe_input_vu_khi_suy_ra!$A$2:$A$66,0)),0)</f>
        <v/>
      </c>
      <c r="E29">
        <f>IF(INDEX(xe_input_vu_khi_suy_ra!$F$2:$F$66,MATCH(Xe!$AE$53,xe_input_vu_khi_suy_ra!$A$2:$A$66,0)),Xe_suy_ra!$E$53*INDEX(xe_input_bang_xuyen_giap!$B$2:$B$7,MIN(6,MAX(1,IF(INDEX(xe_input_vu_khi_suy_ra!$E$2:$E$66,MATCH(Xe!$AE$53,xe_input_vu_khi_suy_ra!$A$2:$A$66,0)),MAX(1,2-(INDEX(xe_input_vu_khi!$F$2:$F$66,MATCH(Xe!$AE$53,xe_input_vu_khi!$A$2:$A$66,0))-3)),2-(INDEX(xe_input_vu_khi!$F$2:$F$66,MATCH(Xe!$AE$53,xe_input_vu_khi!$A$2:$A$66,0))-3))+1)))*INDEX(xe_input_vu_khi_suy_ra!$H$2:$H$66,MATCH(Xe!$AE$53,xe_input_vu_khi_suy_ra!$A$2:$A$66,0)),0)</f>
        <v/>
      </c>
      <c r="F29">
        <f>IF(INDEX(xe_input_vu_khi_suy_ra!$G$2:$G$66,MATCH(Xe!$AE$53,xe_input_vu_khi_suy_ra!$A$2:$A$66,0)),Xe_suy_ra!$G$53*INDEX(xe_input_bang_xuyen_giap!$B$2:$B$7,MIN(6,MAX(1,MAX(1,2-(INDEX(xe_input_vu_khi!$F$2:$F$66,MATCH(Xe!$AE$53,xe_input_vu_khi!$A$2:$A$66,0))-0))+1)))*INDEX(xe_input_vu_khi_suy_ra!$I$2:$I$66,MATCH(Xe!$AE$53,xe_input_vu_khi_suy_ra!$A$2:$A$66,0)),0)</f>
        <v/>
      </c>
      <c r="G29">
        <f>MAX($D$29,$E$29,$F$29)</f>
        <v/>
      </c>
      <c r="H29">
        <f>LN($B$29)</f>
        <v/>
      </c>
      <c r="I29">
        <f>LN($C$29)</f>
        <v/>
      </c>
      <c r="J29">
        <f>IF($G$29&gt;0,LN($G$29),"")</f>
        <v/>
      </c>
      <c r="K29">
        <f>IF($B$29&lt;=8,"&lt;=8",IF($B$29&lt;=15,"9-15","&gt;=16"))</f>
        <v/>
      </c>
      <c r="L29">
        <f>IF($K$29="&lt;=8",$C$29/$B$29,"")</f>
        <v/>
      </c>
      <c r="M29">
        <f>IF($K$29="&lt;=8",$G$29/$B$29,"")</f>
        <v/>
      </c>
      <c r="N29">
        <f>IF($K$29="9-15",$C$29/$B$29,"")</f>
        <v/>
      </c>
      <c r="O29">
        <f>IF($K$29="9-15",$G$29/$B$29,"")</f>
        <v/>
      </c>
      <c r="P29">
        <f>IF($K$29="&gt;=16",$C$29/$B$29,"")</f>
        <v/>
      </c>
      <c r="Q29">
        <f>IF($K$29="&gt;=16",$G$29/$B$29,"")</f>
        <v/>
      </c>
      <c r="R29" t="inlineStr">
        <is>
          <t>Assets/MachineBrigade/Resources/Data/balance.json: vehicles[id=recon_drone] (lọc hồi quy)</t>
        </is>
      </c>
      <c r="S29" t="inlineStr"/>
    </row>
    <row r="30">
      <c r="A30" t="inlineStr">
        <is>
          <t>river_gunboat</t>
        </is>
      </c>
      <c r="B30">
        <f>Xe!$I$54</f>
        <v/>
      </c>
      <c r="C30">
        <f>Xe!$K$54</f>
        <v/>
      </c>
      <c r="D30">
        <f>IF(INDEX(xe_input_vu_khi_suy_ra!$F$2:$F$66,MATCH(Xe!$AE$54,xe_input_vu_khi_suy_ra!$A$2:$A$66,0)),Xe_suy_ra!$E$54*INDEX(xe_input_bang_xuyen_giap!$B$2:$B$7,MIN(6,MAX(1,IF(INDEX(xe_input_vu_khi_suy_ra!$E$2:$E$66,MATCH(Xe!$AE$54,xe_input_vu_khi_suy_ra!$A$2:$A$66,0)),MAX(1,2-(INDEX(xe_input_vu_khi!$F$2:$F$66,MATCH(Xe!$AE$54,xe_input_vu_khi!$A$2:$A$66,0))-1)),2-(INDEX(xe_input_vu_khi!$F$2:$F$66,MATCH(Xe!$AE$54,xe_input_vu_khi!$A$2:$A$66,0))-1))+1)))*INDEX(xe_input_vu_khi_suy_ra!$H$2:$H$66,MATCH(Xe!$AE$54,xe_input_vu_khi_suy_ra!$A$2:$A$66,0)),0)</f>
        <v/>
      </c>
      <c r="E30">
        <f>IF(INDEX(xe_input_vu_khi_suy_ra!$F$2:$F$66,MATCH(Xe!$AE$54,xe_input_vu_khi_suy_ra!$A$2:$A$66,0)),Xe_suy_ra!$E$54*INDEX(xe_input_bang_xuyen_giap!$B$2:$B$7,MIN(6,MAX(1,IF(INDEX(xe_input_vu_khi_suy_ra!$E$2:$E$66,MATCH(Xe!$AE$54,xe_input_vu_khi_suy_ra!$A$2:$A$66,0)),MAX(1,2-(INDEX(xe_input_vu_khi!$F$2:$F$66,MATCH(Xe!$AE$54,xe_input_vu_khi!$A$2:$A$66,0))-3)),2-(INDEX(xe_input_vu_khi!$F$2:$F$66,MATCH(Xe!$AE$54,xe_input_vu_khi!$A$2:$A$66,0))-3))+1)))*INDEX(xe_input_vu_khi_suy_ra!$H$2:$H$66,MATCH(Xe!$AE$54,xe_input_vu_khi_suy_ra!$A$2:$A$66,0)),0)</f>
        <v/>
      </c>
      <c r="F30">
        <f>IF(INDEX(xe_input_vu_khi_suy_ra!$G$2:$G$66,MATCH(Xe!$AE$54,xe_input_vu_khi_suy_ra!$A$2:$A$66,0)),Xe_suy_ra!$G$54*INDEX(xe_input_bang_xuyen_giap!$B$2:$B$7,MIN(6,MAX(1,MAX(1,2-(INDEX(xe_input_vu_khi!$F$2:$F$66,MATCH(Xe!$AE$54,xe_input_vu_khi!$A$2:$A$66,0))-0))+1)))*INDEX(xe_input_vu_khi_suy_ra!$I$2:$I$66,MATCH(Xe!$AE$54,xe_input_vu_khi_suy_ra!$A$2:$A$66,0)),0)</f>
        <v/>
      </c>
      <c r="G30">
        <f>MAX($D$30,$E$30,$F$30)</f>
        <v/>
      </c>
      <c r="H30">
        <f>LN($B$30)</f>
        <v/>
      </c>
      <c r="I30">
        <f>LN($C$30)</f>
        <v/>
      </c>
      <c r="J30">
        <f>IF($G$30&gt;0,LN($G$30),"")</f>
        <v/>
      </c>
      <c r="K30">
        <f>IF($B$30&lt;=8,"&lt;=8",IF($B$30&lt;=15,"9-15","&gt;=16"))</f>
        <v/>
      </c>
      <c r="L30">
        <f>IF($K$30="&lt;=8",$C$30/$B$30,"")</f>
        <v/>
      </c>
      <c r="M30">
        <f>IF($K$30="&lt;=8",$G$30/$B$30,"")</f>
        <v/>
      </c>
      <c r="N30">
        <f>IF($K$30="9-15",$C$30/$B$30,"")</f>
        <v/>
      </c>
      <c r="O30">
        <f>IF($K$30="9-15",$G$30/$B$30,"")</f>
        <v/>
      </c>
      <c r="P30">
        <f>IF($K$30="&gt;=16",$C$30/$B$30,"")</f>
        <v/>
      </c>
      <c r="Q30">
        <f>IF($K$30="&gt;=16",$G$30/$B$30,"")</f>
        <v/>
      </c>
      <c r="R30" t="inlineStr">
        <is>
          <t>Assets/MachineBrigade/Resources/Data/balance.json: vehicles[id=river_gunboat] (lọc hồi quy)</t>
        </is>
      </c>
      <c r="S30" t="inlineStr"/>
    </row>
    <row r="31">
      <c r="A31" t="inlineStr">
        <is>
          <t>river_patrol_boat</t>
        </is>
      </c>
      <c r="B31">
        <f>Xe!$I$55</f>
        <v/>
      </c>
      <c r="C31">
        <f>Xe!$K$55</f>
        <v/>
      </c>
      <c r="D31">
        <f>IF(INDEX(xe_input_vu_khi_suy_ra!$F$2:$F$66,MATCH(Xe!$AE$55,xe_input_vu_khi_suy_ra!$A$2:$A$66,0)),Xe_suy_ra!$E$55*INDEX(xe_input_bang_xuyen_giap!$B$2:$B$7,MIN(6,MAX(1,IF(INDEX(xe_input_vu_khi_suy_ra!$E$2:$E$66,MATCH(Xe!$AE$55,xe_input_vu_khi_suy_ra!$A$2:$A$66,0)),MAX(1,2-(INDEX(xe_input_vu_khi!$F$2:$F$66,MATCH(Xe!$AE$55,xe_input_vu_khi!$A$2:$A$66,0))-1)),2-(INDEX(xe_input_vu_khi!$F$2:$F$66,MATCH(Xe!$AE$55,xe_input_vu_khi!$A$2:$A$66,0))-1))+1)))*INDEX(xe_input_vu_khi_suy_ra!$H$2:$H$66,MATCH(Xe!$AE$55,xe_input_vu_khi_suy_ra!$A$2:$A$66,0)),0)</f>
        <v/>
      </c>
      <c r="E31">
        <f>IF(INDEX(xe_input_vu_khi_suy_ra!$F$2:$F$66,MATCH(Xe!$AE$55,xe_input_vu_khi_suy_ra!$A$2:$A$66,0)),Xe_suy_ra!$E$55*INDEX(xe_input_bang_xuyen_giap!$B$2:$B$7,MIN(6,MAX(1,IF(INDEX(xe_input_vu_khi_suy_ra!$E$2:$E$66,MATCH(Xe!$AE$55,xe_input_vu_khi_suy_ra!$A$2:$A$66,0)),MAX(1,2-(INDEX(xe_input_vu_khi!$F$2:$F$66,MATCH(Xe!$AE$55,xe_input_vu_khi!$A$2:$A$66,0))-3)),2-(INDEX(xe_input_vu_khi!$F$2:$F$66,MATCH(Xe!$AE$55,xe_input_vu_khi!$A$2:$A$66,0))-3))+1)))*INDEX(xe_input_vu_khi_suy_ra!$H$2:$H$66,MATCH(Xe!$AE$55,xe_input_vu_khi_suy_ra!$A$2:$A$66,0)),0)</f>
        <v/>
      </c>
      <c r="F31">
        <f>IF(INDEX(xe_input_vu_khi_suy_ra!$G$2:$G$66,MATCH(Xe!$AE$55,xe_input_vu_khi_suy_ra!$A$2:$A$66,0)),Xe_suy_ra!$G$55*INDEX(xe_input_bang_xuyen_giap!$B$2:$B$7,MIN(6,MAX(1,MAX(1,2-(INDEX(xe_input_vu_khi!$F$2:$F$66,MATCH(Xe!$AE$55,xe_input_vu_khi!$A$2:$A$66,0))-0))+1)))*INDEX(xe_input_vu_khi_suy_ra!$I$2:$I$66,MATCH(Xe!$AE$55,xe_input_vu_khi_suy_ra!$A$2:$A$66,0)),0)</f>
        <v/>
      </c>
      <c r="G31">
        <f>MAX($D$31,$E$31,$F$31)</f>
        <v/>
      </c>
      <c r="H31">
        <f>LN($B$31)</f>
        <v/>
      </c>
      <c r="I31">
        <f>LN($C$31)</f>
        <v/>
      </c>
      <c r="J31">
        <f>IF($G$31&gt;0,LN($G$31),"")</f>
        <v/>
      </c>
      <c r="K31">
        <f>IF($B$31&lt;=8,"&lt;=8",IF($B$31&lt;=15,"9-15","&gt;=16"))</f>
        <v/>
      </c>
      <c r="L31">
        <f>IF($K$31="&lt;=8",$C$31/$B$31,"")</f>
        <v/>
      </c>
      <c r="M31">
        <f>IF($K$31="&lt;=8",$G$31/$B$31,"")</f>
        <v/>
      </c>
      <c r="N31">
        <f>IF($K$31="9-15",$C$31/$B$31,"")</f>
        <v/>
      </c>
      <c r="O31">
        <f>IF($K$31="9-15",$G$31/$B$31,"")</f>
        <v/>
      </c>
      <c r="P31">
        <f>IF($K$31="&gt;=16",$C$31/$B$31,"")</f>
        <v/>
      </c>
      <c r="Q31">
        <f>IF($K$31="&gt;=16",$G$31/$B$31,"")</f>
        <v/>
      </c>
      <c r="R31" t="inlineStr">
        <is>
          <t>Assets/MachineBrigade/Resources/Data/balance.json: vehicles[id=river_patrol_boat] (lọc hồi quy)</t>
        </is>
      </c>
      <c r="S31" t="inlineStr"/>
    </row>
    <row r="32">
      <c r="A32" t="inlineStr">
        <is>
          <t>rocket_technical</t>
        </is>
      </c>
      <c r="B32">
        <f>Xe!$I$56</f>
        <v/>
      </c>
      <c r="C32">
        <f>Xe!$K$56</f>
        <v/>
      </c>
      <c r="D32">
        <f>IF(INDEX(xe_input_vu_khi_suy_ra!$F$2:$F$66,MATCH(Xe!$AE$56,xe_input_vu_khi_suy_ra!$A$2:$A$66,0)),Xe_suy_ra!$E$56*INDEX(xe_input_bang_xuyen_giap!$B$2:$B$7,MIN(6,MAX(1,IF(INDEX(xe_input_vu_khi_suy_ra!$E$2:$E$66,MATCH(Xe!$AE$56,xe_input_vu_khi_suy_ra!$A$2:$A$66,0)),MAX(1,2-(INDEX(xe_input_vu_khi!$F$2:$F$66,MATCH(Xe!$AE$56,xe_input_vu_khi!$A$2:$A$66,0))-1)),2-(INDEX(xe_input_vu_khi!$F$2:$F$66,MATCH(Xe!$AE$56,xe_input_vu_khi!$A$2:$A$66,0))-1))+1)))*INDEX(xe_input_vu_khi_suy_ra!$H$2:$H$66,MATCH(Xe!$AE$56,xe_input_vu_khi_suy_ra!$A$2:$A$66,0)),0)</f>
        <v/>
      </c>
      <c r="E32">
        <f>IF(INDEX(xe_input_vu_khi_suy_ra!$F$2:$F$66,MATCH(Xe!$AE$56,xe_input_vu_khi_suy_ra!$A$2:$A$66,0)),Xe_suy_ra!$E$56*INDEX(xe_input_bang_xuyen_giap!$B$2:$B$7,MIN(6,MAX(1,IF(INDEX(xe_input_vu_khi_suy_ra!$E$2:$E$66,MATCH(Xe!$AE$56,xe_input_vu_khi_suy_ra!$A$2:$A$66,0)),MAX(1,2-(INDEX(xe_input_vu_khi!$F$2:$F$66,MATCH(Xe!$AE$56,xe_input_vu_khi!$A$2:$A$66,0))-3)),2-(INDEX(xe_input_vu_khi!$F$2:$F$66,MATCH(Xe!$AE$56,xe_input_vu_khi!$A$2:$A$66,0))-3))+1)))*INDEX(xe_input_vu_khi_suy_ra!$H$2:$H$66,MATCH(Xe!$AE$56,xe_input_vu_khi_suy_ra!$A$2:$A$66,0)),0)</f>
        <v/>
      </c>
      <c r="F32">
        <f>IF(INDEX(xe_input_vu_khi_suy_ra!$G$2:$G$66,MATCH(Xe!$AE$56,xe_input_vu_khi_suy_ra!$A$2:$A$66,0)),Xe_suy_ra!$G$56*INDEX(xe_input_bang_xuyen_giap!$B$2:$B$7,MIN(6,MAX(1,MAX(1,2-(INDEX(xe_input_vu_khi!$F$2:$F$66,MATCH(Xe!$AE$56,xe_input_vu_khi!$A$2:$A$66,0))-0))+1)))*INDEX(xe_input_vu_khi_suy_ra!$I$2:$I$66,MATCH(Xe!$AE$56,xe_input_vu_khi_suy_ra!$A$2:$A$66,0)),0)</f>
        <v/>
      </c>
      <c r="G32">
        <f>MAX($D$32,$E$32,$F$32)</f>
        <v/>
      </c>
      <c r="H32">
        <f>LN($B$32)</f>
        <v/>
      </c>
      <c r="I32">
        <f>LN($C$32)</f>
        <v/>
      </c>
      <c r="J32">
        <f>IF($G$32&gt;0,LN($G$32),"")</f>
        <v/>
      </c>
      <c r="K32">
        <f>IF($B$32&lt;=8,"&lt;=8",IF($B$32&lt;=15,"9-15","&gt;=16"))</f>
        <v/>
      </c>
      <c r="L32">
        <f>IF($K$32="&lt;=8",$C$32/$B$32,"")</f>
        <v/>
      </c>
      <c r="M32">
        <f>IF($K$32="&lt;=8",$G$32/$B$32,"")</f>
        <v/>
      </c>
      <c r="N32">
        <f>IF($K$32="9-15",$C$32/$B$32,"")</f>
        <v/>
      </c>
      <c r="O32">
        <f>IF($K$32="9-15",$G$32/$B$32,"")</f>
        <v/>
      </c>
      <c r="P32">
        <f>IF($K$32="&gt;=16",$C$32/$B$32,"")</f>
        <v/>
      </c>
      <c r="Q32">
        <f>IF($K$32="&gt;=16",$G$32/$B$32,"")</f>
        <v/>
      </c>
      <c r="R32" t="inlineStr">
        <is>
          <t>Assets/MachineBrigade/Resources/Data/balance.json: vehicles[id=rocket_technical] (lọc hồi quy)</t>
        </is>
      </c>
      <c r="S32" t="inlineStr"/>
    </row>
    <row r="33">
      <c r="A33" t="inlineStr">
        <is>
          <t>sam_launcher</t>
        </is>
      </c>
      <c r="B33">
        <f>Xe!$I$57</f>
        <v/>
      </c>
      <c r="C33">
        <f>Xe!$K$57</f>
        <v/>
      </c>
      <c r="D33">
        <f>IF(INDEX(xe_input_vu_khi_suy_ra!$F$2:$F$66,MATCH(Xe!$AE$57,xe_input_vu_khi_suy_ra!$A$2:$A$66,0)),Xe_suy_ra!$E$57*INDEX(xe_input_bang_xuyen_giap!$B$2:$B$7,MIN(6,MAX(1,IF(INDEX(xe_input_vu_khi_suy_ra!$E$2:$E$66,MATCH(Xe!$AE$57,xe_input_vu_khi_suy_ra!$A$2:$A$66,0)),MAX(1,2-(INDEX(xe_input_vu_khi!$F$2:$F$66,MATCH(Xe!$AE$57,xe_input_vu_khi!$A$2:$A$66,0))-1)),2-(INDEX(xe_input_vu_khi!$F$2:$F$66,MATCH(Xe!$AE$57,xe_input_vu_khi!$A$2:$A$66,0))-1))+1)))*INDEX(xe_input_vu_khi_suy_ra!$H$2:$H$66,MATCH(Xe!$AE$57,xe_input_vu_khi_suy_ra!$A$2:$A$66,0)),0)</f>
        <v/>
      </c>
      <c r="E33">
        <f>IF(INDEX(xe_input_vu_khi_suy_ra!$F$2:$F$66,MATCH(Xe!$AE$57,xe_input_vu_khi_suy_ra!$A$2:$A$66,0)),Xe_suy_ra!$E$57*INDEX(xe_input_bang_xuyen_giap!$B$2:$B$7,MIN(6,MAX(1,IF(INDEX(xe_input_vu_khi_suy_ra!$E$2:$E$66,MATCH(Xe!$AE$57,xe_input_vu_khi_suy_ra!$A$2:$A$66,0)),MAX(1,2-(INDEX(xe_input_vu_khi!$F$2:$F$66,MATCH(Xe!$AE$57,xe_input_vu_khi!$A$2:$A$66,0))-3)),2-(INDEX(xe_input_vu_khi!$F$2:$F$66,MATCH(Xe!$AE$57,xe_input_vu_khi!$A$2:$A$66,0))-3))+1)))*INDEX(xe_input_vu_khi_suy_ra!$H$2:$H$66,MATCH(Xe!$AE$57,xe_input_vu_khi_suy_ra!$A$2:$A$66,0)),0)</f>
        <v/>
      </c>
      <c r="F33">
        <f>IF(INDEX(xe_input_vu_khi_suy_ra!$G$2:$G$66,MATCH(Xe!$AE$57,xe_input_vu_khi_suy_ra!$A$2:$A$66,0)),Xe_suy_ra!$G$57*INDEX(xe_input_bang_xuyen_giap!$B$2:$B$7,MIN(6,MAX(1,MAX(1,2-(INDEX(xe_input_vu_khi!$F$2:$F$66,MATCH(Xe!$AE$57,xe_input_vu_khi!$A$2:$A$66,0))-0))+1)))*INDEX(xe_input_vu_khi_suy_ra!$I$2:$I$66,MATCH(Xe!$AE$57,xe_input_vu_khi_suy_ra!$A$2:$A$66,0)),0)</f>
        <v/>
      </c>
      <c r="G33">
        <f>MAX($D$33,$E$33,$F$33)</f>
        <v/>
      </c>
      <c r="H33">
        <f>LN($B$33)</f>
        <v/>
      </c>
      <c r="I33">
        <f>LN($C$33)</f>
        <v/>
      </c>
      <c r="J33">
        <f>IF($G$33&gt;0,LN($G$33),"")</f>
        <v/>
      </c>
      <c r="K33">
        <f>IF($B$33&lt;=8,"&lt;=8",IF($B$33&lt;=15,"9-15","&gt;=16"))</f>
        <v/>
      </c>
      <c r="L33">
        <f>IF($K$33="&lt;=8",$C$33/$B$33,"")</f>
        <v/>
      </c>
      <c r="M33">
        <f>IF($K$33="&lt;=8",$G$33/$B$33,"")</f>
        <v/>
      </c>
      <c r="N33">
        <f>IF($K$33="9-15",$C$33/$B$33,"")</f>
        <v/>
      </c>
      <c r="O33">
        <f>IF($K$33="9-15",$G$33/$B$33,"")</f>
        <v/>
      </c>
      <c r="P33">
        <f>IF($K$33="&gt;=16",$C$33/$B$33,"")</f>
        <v/>
      </c>
      <c r="Q33">
        <f>IF($K$33="&gt;=16",$G$33/$B$33,"")</f>
        <v/>
      </c>
      <c r="R33" t="inlineStr">
        <is>
          <t>Assets/MachineBrigade/Resources/Data/balance.json: vehicles[id=sam_launcher] (lọc hồi quy)</t>
        </is>
      </c>
      <c r="S33" t="inlineStr"/>
    </row>
    <row r="34">
      <c r="A34" t="inlineStr">
        <is>
          <t>scout_heli</t>
        </is>
      </c>
      <c r="B34">
        <f>Xe!$I$58</f>
        <v/>
      </c>
      <c r="C34">
        <f>Xe!$K$58</f>
        <v/>
      </c>
      <c r="D34">
        <f>IF(INDEX(xe_input_vu_khi_suy_ra!$F$2:$F$66,MATCH(Xe!$AE$58,xe_input_vu_khi_suy_ra!$A$2:$A$66,0)),Xe_suy_ra!$E$58*INDEX(xe_input_bang_xuyen_giap!$B$2:$B$7,MIN(6,MAX(1,IF(INDEX(xe_input_vu_khi_suy_ra!$E$2:$E$66,MATCH(Xe!$AE$58,xe_input_vu_khi_suy_ra!$A$2:$A$66,0)),MAX(1,2-(INDEX(xe_input_vu_khi!$F$2:$F$66,MATCH(Xe!$AE$58,xe_input_vu_khi!$A$2:$A$66,0))-1)),2-(INDEX(xe_input_vu_khi!$F$2:$F$66,MATCH(Xe!$AE$58,xe_input_vu_khi!$A$2:$A$66,0))-1))+1)))*INDEX(xe_input_vu_khi_suy_ra!$H$2:$H$66,MATCH(Xe!$AE$58,xe_input_vu_khi_suy_ra!$A$2:$A$66,0)),0)</f>
        <v/>
      </c>
      <c r="E34">
        <f>IF(INDEX(xe_input_vu_khi_suy_ra!$F$2:$F$66,MATCH(Xe!$AE$58,xe_input_vu_khi_suy_ra!$A$2:$A$66,0)),Xe_suy_ra!$E$58*INDEX(xe_input_bang_xuyen_giap!$B$2:$B$7,MIN(6,MAX(1,IF(INDEX(xe_input_vu_khi_suy_ra!$E$2:$E$66,MATCH(Xe!$AE$58,xe_input_vu_khi_suy_ra!$A$2:$A$66,0)),MAX(1,2-(INDEX(xe_input_vu_khi!$F$2:$F$66,MATCH(Xe!$AE$58,xe_input_vu_khi!$A$2:$A$66,0))-3)),2-(INDEX(xe_input_vu_khi!$F$2:$F$66,MATCH(Xe!$AE$58,xe_input_vu_khi!$A$2:$A$66,0))-3))+1)))*INDEX(xe_input_vu_khi_suy_ra!$H$2:$H$66,MATCH(Xe!$AE$58,xe_input_vu_khi_suy_ra!$A$2:$A$66,0)),0)</f>
        <v/>
      </c>
      <c r="F34">
        <f>IF(INDEX(xe_input_vu_khi_suy_ra!$G$2:$G$66,MATCH(Xe!$AE$58,xe_input_vu_khi_suy_ra!$A$2:$A$66,0)),Xe_suy_ra!$G$58*INDEX(xe_input_bang_xuyen_giap!$B$2:$B$7,MIN(6,MAX(1,MAX(1,2-(INDEX(xe_input_vu_khi!$F$2:$F$66,MATCH(Xe!$AE$58,xe_input_vu_khi!$A$2:$A$66,0))-0))+1)))*INDEX(xe_input_vu_khi_suy_ra!$I$2:$I$66,MATCH(Xe!$AE$58,xe_input_vu_khi_suy_ra!$A$2:$A$66,0)),0)</f>
        <v/>
      </c>
      <c r="G34">
        <f>MAX($D$34,$E$34,$F$34)</f>
        <v/>
      </c>
      <c r="H34">
        <f>LN($B$34)</f>
        <v/>
      </c>
      <c r="I34">
        <f>LN($C$34)</f>
        <v/>
      </c>
      <c r="J34">
        <f>IF($G$34&gt;0,LN($G$34),"")</f>
        <v/>
      </c>
      <c r="K34">
        <f>IF($B$34&lt;=8,"&lt;=8",IF($B$34&lt;=15,"9-15","&gt;=16"))</f>
        <v/>
      </c>
      <c r="L34">
        <f>IF($K$34="&lt;=8",$C$34/$B$34,"")</f>
        <v/>
      </c>
      <c r="M34">
        <f>IF($K$34="&lt;=8",$G$34/$B$34,"")</f>
        <v/>
      </c>
      <c r="N34">
        <f>IF($K$34="9-15",$C$34/$B$34,"")</f>
        <v/>
      </c>
      <c r="O34">
        <f>IF($K$34="9-15",$G$34/$B$34,"")</f>
        <v/>
      </c>
      <c r="P34">
        <f>IF($K$34="&gt;=16",$C$34/$B$34,"")</f>
        <v/>
      </c>
      <c r="Q34">
        <f>IF($K$34="&gt;=16",$G$34/$B$34,"")</f>
        <v/>
      </c>
      <c r="R34" t="inlineStr">
        <is>
          <t>Assets/MachineBrigade/Resources/Data/balance.json: vehicles[id=scout_heli] (lọc hồi quy)</t>
        </is>
      </c>
      <c r="S34" t="inlineStr"/>
    </row>
    <row r="35">
      <c r="A35" t="inlineStr">
        <is>
          <t>scout_jeep</t>
        </is>
      </c>
      <c r="B35">
        <f>Xe!$I$59</f>
        <v/>
      </c>
      <c r="C35">
        <f>Xe!$K$59</f>
        <v/>
      </c>
      <c r="D35">
        <f>IF(INDEX(xe_input_vu_khi_suy_ra!$F$2:$F$66,MATCH(Xe!$AE$59,xe_input_vu_khi_suy_ra!$A$2:$A$66,0)),Xe_suy_ra!$E$59*INDEX(xe_input_bang_xuyen_giap!$B$2:$B$7,MIN(6,MAX(1,IF(INDEX(xe_input_vu_khi_suy_ra!$E$2:$E$66,MATCH(Xe!$AE$59,xe_input_vu_khi_suy_ra!$A$2:$A$66,0)),MAX(1,2-(INDEX(xe_input_vu_khi!$F$2:$F$66,MATCH(Xe!$AE$59,xe_input_vu_khi!$A$2:$A$66,0))-1)),2-(INDEX(xe_input_vu_khi!$F$2:$F$66,MATCH(Xe!$AE$59,xe_input_vu_khi!$A$2:$A$66,0))-1))+1)))*INDEX(xe_input_vu_khi_suy_ra!$H$2:$H$66,MATCH(Xe!$AE$59,xe_input_vu_khi_suy_ra!$A$2:$A$66,0)),0)</f>
        <v/>
      </c>
      <c r="E35">
        <f>IF(INDEX(xe_input_vu_khi_suy_ra!$F$2:$F$66,MATCH(Xe!$AE$59,xe_input_vu_khi_suy_ra!$A$2:$A$66,0)),Xe_suy_ra!$E$59*INDEX(xe_input_bang_xuyen_giap!$B$2:$B$7,MIN(6,MAX(1,IF(INDEX(xe_input_vu_khi_suy_ra!$E$2:$E$66,MATCH(Xe!$AE$59,xe_input_vu_khi_suy_ra!$A$2:$A$66,0)),MAX(1,2-(INDEX(xe_input_vu_khi!$F$2:$F$66,MATCH(Xe!$AE$59,xe_input_vu_khi!$A$2:$A$66,0))-3)),2-(INDEX(xe_input_vu_khi!$F$2:$F$66,MATCH(Xe!$AE$59,xe_input_vu_khi!$A$2:$A$66,0))-3))+1)))*INDEX(xe_input_vu_khi_suy_ra!$H$2:$H$66,MATCH(Xe!$AE$59,xe_input_vu_khi_suy_ra!$A$2:$A$66,0)),0)</f>
        <v/>
      </c>
      <c r="F35">
        <f>IF(INDEX(xe_input_vu_khi_suy_ra!$G$2:$G$66,MATCH(Xe!$AE$59,xe_input_vu_khi_suy_ra!$A$2:$A$66,0)),Xe_suy_ra!$G$59*INDEX(xe_input_bang_xuyen_giap!$B$2:$B$7,MIN(6,MAX(1,MAX(1,2-(INDEX(xe_input_vu_khi!$F$2:$F$66,MATCH(Xe!$AE$59,xe_input_vu_khi!$A$2:$A$66,0))-0))+1)))*INDEX(xe_input_vu_khi_suy_ra!$I$2:$I$66,MATCH(Xe!$AE$59,xe_input_vu_khi_suy_ra!$A$2:$A$66,0)),0)</f>
        <v/>
      </c>
      <c r="G35">
        <f>MAX($D$35,$E$35,$F$35)</f>
        <v/>
      </c>
      <c r="H35">
        <f>LN($B$35)</f>
        <v/>
      </c>
      <c r="I35">
        <f>LN($C$35)</f>
        <v/>
      </c>
      <c r="J35">
        <f>IF($G$35&gt;0,LN($G$35),"")</f>
        <v/>
      </c>
      <c r="K35">
        <f>IF($B$35&lt;=8,"&lt;=8",IF($B$35&lt;=15,"9-15","&gt;=16"))</f>
        <v/>
      </c>
      <c r="L35">
        <f>IF($K$35="&lt;=8",$C$35/$B$35,"")</f>
        <v/>
      </c>
      <c r="M35">
        <f>IF($K$35="&lt;=8",$G$35/$B$35,"")</f>
        <v/>
      </c>
      <c r="N35">
        <f>IF($K$35="9-15",$C$35/$B$35,"")</f>
        <v/>
      </c>
      <c r="O35">
        <f>IF($K$35="9-15",$G$35/$B$35,"")</f>
        <v/>
      </c>
      <c r="P35">
        <f>IF($K$35="&gt;=16",$C$35/$B$35,"")</f>
        <v/>
      </c>
      <c r="Q35">
        <f>IF($K$35="&gt;=16",$G$35/$B$35,"")</f>
        <v/>
      </c>
      <c r="R35" t="inlineStr">
        <is>
          <t>Assets/MachineBrigade/Resources/Data/balance.json: vehicles[id=scout_jeep] (lọc hồi quy)</t>
        </is>
      </c>
      <c r="S35" t="inlineStr"/>
    </row>
    <row r="36">
      <c r="A36" t="inlineStr">
        <is>
          <t>shahed_truck</t>
        </is>
      </c>
      <c r="B36">
        <f>Xe!$I$62</f>
        <v/>
      </c>
      <c r="C36">
        <f>Xe!$K$62</f>
        <v/>
      </c>
      <c r="D36">
        <f>IF(INDEX(xe_input_vu_khi_suy_ra!$F$2:$F$66,MATCH(Xe!$AE$62,xe_input_vu_khi_suy_ra!$A$2:$A$66,0)),Xe_suy_ra!$E$62*INDEX(xe_input_bang_xuyen_giap!$B$2:$B$7,MIN(6,MAX(1,IF(INDEX(xe_input_vu_khi_suy_ra!$E$2:$E$66,MATCH(Xe!$AE$62,xe_input_vu_khi_suy_ra!$A$2:$A$66,0)),MAX(1,2-(INDEX(xe_input_vu_khi!$F$2:$F$66,MATCH(Xe!$AE$62,xe_input_vu_khi!$A$2:$A$66,0))-1)),2-(INDEX(xe_input_vu_khi!$F$2:$F$66,MATCH(Xe!$AE$62,xe_input_vu_khi!$A$2:$A$66,0))-1))+1)))*INDEX(xe_input_vu_khi_suy_ra!$H$2:$H$66,MATCH(Xe!$AE$62,xe_input_vu_khi_suy_ra!$A$2:$A$66,0)),0)</f>
        <v/>
      </c>
      <c r="E36">
        <f>IF(INDEX(xe_input_vu_khi_suy_ra!$F$2:$F$66,MATCH(Xe!$AE$62,xe_input_vu_khi_suy_ra!$A$2:$A$66,0)),Xe_suy_ra!$E$62*INDEX(xe_input_bang_xuyen_giap!$B$2:$B$7,MIN(6,MAX(1,IF(INDEX(xe_input_vu_khi_suy_ra!$E$2:$E$66,MATCH(Xe!$AE$62,xe_input_vu_khi_suy_ra!$A$2:$A$66,0)),MAX(1,2-(INDEX(xe_input_vu_khi!$F$2:$F$66,MATCH(Xe!$AE$62,xe_input_vu_khi!$A$2:$A$66,0))-3)),2-(INDEX(xe_input_vu_khi!$F$2:$F$66,MATCH(Xe!$AE$62,xe_input_vu_khi!$A$2:$A$66,0))-3))+1)))*INDEX(xe_input_vu_khi_suy_ra!$H$2:$H$66,MATCH(Xe!$AE$62,xe_input_vu_khi_suy_ra!$A$2:$A$66,0)),0)</f>
        <v/>
      </c>
      <c r="F36">
        <f>IF(INDEX(xe_input_vu_khi_suy_ra!$G$2:$G$66,MATCH(Xe!$AE$62,xe_input_vu_khi_suy_ra!$A$2:$A$66,0)),Xe_suy_ra!$G$62*INDEX(xe_input_bang_xuyen_giap!$B$2:$B$7,MIN(6,MAX(1,MAX(1,2-(INDEX(xe_input_vu_khi!$F$2:$F$66,MATCH(Xe!$AE$62,xe_input_vu_khi!$A$2:$A$66,0))-0))+1)))*INDEX(xe_input_vu_khi_suy_ra!$I$2:$I$66,MATCH(Xe!$AE$62,xe_input_vu_khi_suy_ra!$A$2:$A$66,0)),0)</f>
        <v/>
      </c>
      <c r="G36">
        <f>MAX($D$36,$E$36,$F$36)</f>
        <v/>
      </c>
      <c r="H36">
        <f>LN($B$36)</f>
        <v/>
      </c>
      <c r="I36">
        <f>LN($C$36)</f>
        <v/>
      </c>
      <c r="J36">
        <f>IF($G$36&gt;0,LN($G$36),"")</f>
        <v/>
      </c>
      <c r="K36">
        <f>IF($B$36&lt;=8,"&lt;=8",IF($B$36&lt;=15,"9-15","&gt;=16"))</f>
        <v/>
      </c>
      <c r="L36">
        <f>IF($K$36="&lt;=8",$C$36/$B$36,"")</f>
        <v/>
      </c>
      <c r="M36">
        <f>IF($K$36="&lt;=8",$G$36/$B$36,"")</f>
        <v/>
      </c>
      <c r="N36">
        <f>IF($K$36="9-15",$C$36/$B$36,"")</f>
        <v/>
      </c>
      <c r="O36">
        <f>IF($K$36="9-15",$G$36/$B$36,"")</f>
        <v/>
      </c>
      <c r="P36">
        <f>IF($K$36="&gt;=16",$C$36/$B$36,"")</f>
        <v/>
      </c>
      <c r="Q36">
        <f>IF($K$36="&gt;=16",$G$36/$B$36,"")</f>
        <v/>
      </c>
      <c r="R36" t="inlineStr">
        <is>
          <t>Assets/MachineBrigade/Resources/Data/balance.json: vehicles[id=shahed_truck] (lọc hồi quy)</t>
        </is>
      </c>
      <c r="S36" t="inlineStr"/>
    </row>
    <row r="37">
      <c r="A37" t="inlineStr">
        <is>
          <t>siege_tank</t>
        </is>
      </c>
      <c r="B37">
        <f>Xe!$I$64</f>
        <v/>
      </c>
      <c r="C37">
        <f>Xe!$K$64</f>
        <v/>
      </c>
      <c r="D37">
        <f>IF(INDEX(xe_input_vu_khi_suy_ra!$F$2:$F$66,MATCH(Xe!$AE$64,xe_input_vu_khi_suy_ra!$A$2:$A$66,0)),Xe_suy_ra!$E$64*INDEX(xe_input_bang_xuyen_giap!$B$2:$B$7,MIN(6,MAX(1,IF(INDEX(xe_input_vu_khi_suy_ra!$E$2:$E$66,MATCH(Xe!$AE$64,xe_input_vu_khi_suy_ra!$A$2:$A$66,0)),MAX(1,2-(INDEX(xe_input_vu_khi!$F$2:$F$66,MATCH(Xe!$AE$64,xe_input_vu_khi!$A$2:$A$66,0))-1)),2-(INDEX(xe_input_vu_khi!$F$2:$F$66,MATCH(Xe!$AE$64,xe_input_vu_khi!$A$2:$A$66,0))-1))+1)))*INDEX(xe_input_vu_khi_suy_ra!$H$2:$H$66,MATCH(Xe!$AE$64,xe_input_vu_khi_suy_ra!$A$2:$A$66,0)),0)</f>
        <v/>
      </c>
      <c r="E37">
        <f>IF(INDEX(xe_input_vu_khi_suy_ra!$F$2:$F$66,MATCH(Xe!$AE$64,xe_input_vu_khi_suy_ra!$A$2:$A$66,0)),Xe_suy_ra!$E$64*INDEX(xe_input_bang_xuyen_giap!$B$2:$B$7,MIN(6,MAX(1,IF(INDEX(xe_input_vu_khi_suy_ra!$E$2:$E$66,MATCH(Xe!$AE$64,xe_input_vu_khi_suy_ra!$A$2:$A$66,0)),MAX(1,2-(INDEX(xe_input_vu_khi!$F$2:$F$66,MATCH(Xe!$AE$64,xe_input_vu_khi!$A$2:$A$66,0))-3)),2-(INDEX(xe_input_vu_khi!$F$2:$F$66,MATCH(Xe!$AE$64,xe_input_vu_khi!$A$2:$A$66,0))-3))+1)))*INDEX(xe_input_vu_khi_suy_ra!$H$2:$H$66,MATCH(Xe!$AE$64,xe_input_vu_khi_suy_ra!$A$2:$A$66,0)),0)</f>
        <v/>
      </c>
      <c r="F37">
        <f>IF(INDEX(xe_input_vu_khi_suy_ra!$G$2:$G$66,MATCH(Xe!$AE$64,xe_input_vu_khi_suy_ra!$A$2:$A$66,0)),Xe_suy_ra!$G$64*INDEX(xe_input_bang_xuyen_giap!$B$2:$B$7,MIN(6,MAX(1,MAX(1,2-(INDEX(xe_input_vu_khi!$F$2:$F$66,MATCH(Xe!$AE$64,xe_input_vu_khi!$A$2:$A$66,0))-0))+1)))*INDEX(xe_input_vu_khi_suy_ra!$I$2:$I$66,MATCH(Xe!$AE$64,xe_input_vu_khi_suy_ra!$A$2:$A$66,0)),0)</f>
        <v/>
      </c>
      <c r="G37">
        <f>MAX($D$37,$E$37,$F$37)</f>
        <v/>
      </c>
      <c r="H37">
        <f>LN($B$37)</f>
        <v/>
      </c>
      <c r="I37">
        <f>LN($C$37)</f>
        <v/>
      </c>
      <c r="J37">
        <f>IF($G$37&gt;0,LN($G$37),"")</f>
        <v/>
      </c>
      <c r="K37">
        <f>IF($B$37&lt;=8,"&lt;=8",IF($B$37&lt;=15,"9-15","&gt;=16"))</f>
        <v/>
      </c>
      <c r="L37">
        <f>IF($K$37="&lt;=8",$C$37/$B$37,"")</f>
        <v/>
      </c>
      <c r="M37">
        <f>IF($K$37="&lt;=8",$G$37/$B$37,"")</f>
        <v/>
      </c>
      <c r="N37">
        <f>IF($K$37="9-15",$C$37/$B$37,"")</f>
        <v/>
      </c>
      <c r="O37">
        <f>IF($K$37="9-15",$G$37/$B$37,"")</f>
        <v/>
      </c>
      <c r="P37">
        <f>IF($K$37="&gt;=16",$C$37/$B$37,"")</f>
        <v/>
      </c>
      <c r="Q37">
        <f>IF($K$37="&gt;=16",$G$37/$B$37,"")</f>
        <v/>
      </c>
      <c r="R37" t="inlineStr">
        <is>
          <t>Assets/MachineBrigade/Resources/Data/balance.json: vehicles[id=siege_tank] (lọc hồi quy)</t>
        </is>
      </c>
      <c r="S37" t="inlineStr"/>
    </row>
    <row r="38">
      <c r="A38" t="inlineStr">
        <is>
          <t>sky_gunship</t>
        </is>
      </c>
      <c r="B38">
        <f>Xe!$I$65</f>
        <v/>
      </c>
      <c r="C38">
        <f>Xe!$K$65</f>
        <v/>
      </c>
      <c r="D38">
        <f>IF(INDEX(xe_input_vu_khi_suy_ra!$F$2:$F$66,MATCH(Xe!$AE$65,xe_input_vu_khi_suy_ra!$A$2:$A$66,0)),Xe_suy_ra!$E$65*INDEX(xe_input_bang_xuyen_giap!$B$2:$B$7,MIN(6,MAX(1,IF(INDEX(xe_input_vu_khi_suy_ra!$E$2:$E$66,MATCH(Xe!$AE$65,xe_input_vu_khi_suy_ra!$A$2:$A$66,0)),MAX(1,2-(INDEX(xe_input_vu_khi!$F$2:$F$66,MATCH(Xe!$AE$65,xe_input_vu_khi!$A$2:$A$66,0))-1)),2-(INDEX(xe_input_vu_khi!$F$2:$F$66,MATCH(Xe!$AE$65,xe_input_vu_khi!$A$2:$A$66,0))-1))+1)))*INDEX(xe_input_vu_khi_suy_ra!$H$2:$H$66,MATCH(Xe!$AE$65,xe_input_vu_khi_suy_ra!$A$2:$A$66,0)),0)</f>
        <v/>
      </c>
      <c r="E38">
        <f>IF(INDEX(xe_input_vu_khi_suy_ra!$F$2:$F$66,MATCH(Xe!$AE$65,xe_input_vu_khi_suy_ra!$A$2:$A$66,0)),Xe_suy_ra!$E$65*INDEX(xe_input_bang_xuyen_giap!$B$2:$B$7,MIN(6,MAX(1,IF(INDEX(xe_input_vu_khi_suy_ra!$E$2:$E$66,MATCH(Xe!$AE$65,xe_input_vu_khi_suy_ra!$A$2:$A$66,0)),MAX(1,2-(INDEX(xe_input_vu_khi!$F$2:$F$66,MATCH(Xe!$AE$65,xe_input_vu_khi!$A$2:$A$66,0))-3)),2-(INDEX(xe_input_vu_khi!$F$2:$F$66,MATCH(Xe!$AE$65,xe_input_vu_khi!$A$2:$A$66,0))-3))+1)))*INDEX(xe_input_vu_khi_suy_ra!$H$2:$H$66,MATCH(Xe!$AE$65,xe_input_vu_khi_suy_ra!$A$2:$A$66,0)),0)</f>
        <v/>
      </c>
      <c r="F38">
        <f>IF(INDEX(xe_input_vu_khi_suy_ra!$G$2:$G$66,MATCH(Xe!$AE$65,xe_input_vu_khi_suy_ra!$A$2:$A$66,0)),Xe_suy_ra!$G$65*INDEX(xe_input_bang_xuyen_giap!$B$2:$B$7,MIN(6,MAX(1,MAX(1,2-(INDEX(xe_input_vu_khi!$F$2:$F$66,MATCH(Xe!$AE$65,xe_input_vu_khi!$A$2:$A$66,0))-0))+1)))*INDEX(xe_input_vu_khi_suy_ra!$I$2:$I$66,MATCH(Xe!$AE$65,xe_input_vu_khi_suy_ra!$A$2:$A$66,0)),0)</f>
        <v/>
      </c>
      <c r="G38">
        <f>MAX($D$38,$E$38,$F$38)</f>
        <v/>
      </c>
      <c r="H38">
        <f>LN($B$38)</f>
        <v/>
      </c>
      <c r="I38">
        <f>LN($C$38)</f>
        <v/>
      </c>
      <c r="J38">
        <f>IF($G$38&gt;0,LN($G$38),"")</f>
        <v/>
      </c>
      <c r="K38">
        <f>IF($B$38&lt;=8,"&lt;=8",IF($B$38&lt;=15,"9-15","&gt;=16"))</f>
        <v/>
      </c>
      <c r="L38">
        <f>IF($K$38="&lt;=8",$C$38/$B$38,"")</f>
        <v/>
      </c>
      <c r="M38">
        <f>IF($K$38="&lt;=8",$G$38/$B$38,"")</f>
        <v/>
      </c>
      <c r="N38">
        <f>IF($K$38="9-15",$C$38/$B$38,"")</f>
        <v/>
      </c>
      <c r="O38">
        <f>IF($K$38="9-15",$G$38/$B$38,"")</f>
        <v/>
      </c>
      <c r="P38">
        <f>IF($K$38="&gt;=16",$C$38/$B$38,"")</f>
        <v/>
      </c>
      <c r="Q38">
        <f>IF($K$38="&gt;=16",$G$38/$B$38,"")</f>
        <v/>
      </c>
      <c r="R38" t="inlineStr">
        <is>
          <t>Assets/MachineBrigade/Resources/Data/balance.json: vehicles[id=sky_gunship] (lọc hồi quy)</t>
        </is>
      </c>
      <c r="S38" t="inlineStr"/>
    </row>
    <row r="39">
      <c r="A39" t="inlineStr">
        <is>
          <t>sp_mortar</t>
        </is>
      </c>
      <c r="B39">
        <f>Xe!$I$66</f>
        <v/>
      </c>
      <c r="C39">
        <f>Xe!$K$66</f>
        <v/>
      </c>
      <c r="D39">
        <f>IF(INDEX(xe_input_vu_khi_suy_ra!$F$2:$F$66,MATCH(Xe!$AE$66,xe_input_vu_khi_suy_ra!$A$2:$A$66,0)),Xe_suy_ra!$E$66*INDEX(xe_input_bang_xuyen_giap!$B$2:$B$7,MIN(6,MAX(1,IF(INDEX(xe_input_vu_khi_suy_ra!$E$2:$E$66,MATCH(Xe!$AE$66,xe_input_vu_khi_suy_ra!$A$2:$A$66,0)),MAX(1,2-(INDEX(xe_input_vu_khi!$F$2:$F$66,MATCH(Xe!$AE$66,xe_input_vu_khi!$A$2:$A$66,0))-1)),2-(INDEX(xe_input_vu_khi!$F$2:$F$66,MATCH(Xe!$AE$66,xe_input_vu_khi!$A$2:$A$66,0))-1))+1)))*INDEX(xe_input_vu_khi_suy_ra!$H$2:$H$66,MATCH(Xe!$AE$66,xe_input_vu_khi_suy_ra!$A$2:$A$66,0)),0)</f>
        <v/>
      </c>
      <c r="E39">
        <f>IF(INDEX(xe_input_vu_khi_suy_ra!$F$2:$F$66,MATCH(Xe!$AE$66,xe_input_vu_khi_suy_ra!$A$2:$A$66,0)),Xe_suy_ra!$E$66*INDEX(xe_input_bang_xuyen_giap!$B$2:$B$7,MIN(6,MAX(1,IF(INDEX(xe_input_vu_khi_suy_ra!$E$2:$E$66,MATCH(Xe!$AE$66,xe_input_vu_khi_suy_ra!$A$2:$A$66,0)),MAX(1,2-(INDEX(xe_input_vu_khi!$F$2:$F$66,MATCH(Xe!$AE$66,xe_input_vu_khi!$A$2:$A$66,0))-3)),2-(INDEX(xe_input_vu_khi!$F$2:$F$66,MATCH(Xe!$AE$66,xe_input_vu_khi!$A$2:$A$66,0))-3))+1)))*INDEX(xe_input_vu_khi_suy_ra!$H$2:$H$66,MATCH(Xe!$AE$66,xe_input_vu_khi_suy_ra!$A$2:$A$66,0)),0)</f>
        <v/>
      </c>
      <c r="F39">
        <f>IF(INDEX(xe_input_vu_khi_suy_ra!$G$2:$G$66,MATCH(Xe!$AE$66,xe_input_vu_khi_suy_ra!$A$2:$A$66,0)),Xe_suy_ra!$G$66*INDEX(xe_input_bang_xuyen_giap!$B$2:$B$7,MIN(6,MAX(1,MAX(1,2-(INDEX(xe_input_vu_khi!$F$2:$F$66,MATCH(Xe!$AE$66,xe_input_vu_khi!$A$2:$A$66,0))-0))+1)))*INDEX(xe_input_vu_khi_suy_ra!$I$2:$I$66,MATCH(Xe!$AE$66,xe_input_vu_khi_suy_ra!$A$2:$A$66,0)),0)</f>
        <v/>
      </c>
      <c r="G39">
        <f>MAX($D$39,$E$39,$F$39)</f>
        <v/>
      </c>
      <c r="H39">
        <f>LN($B$39)</f>
        <v/>
      </c>
      <c r="I39">
        <f>LN($C$39)</f>
        <v/>
      </c>
      <c r="J39">
        <f>IF($G$39&gt;0,LN($G$39),"")</f>
        <v/>
      </c>
      <c r="K39">
        <f>IF($B$39&lt;=8,"&lt;=8",IF($B$39&lt;=15,"9-15","&gt;=16"))</f>
        <v/>
      </c>
      <c r="L39">
        <f>IF($K$39="&lt;=8",$C$39/$B$39,"")</f>
        <v/>
      </c>
      <c r="M39">
        <f>IF($K$39="&lt;=8",$G$39/$B$39,"")</f>
        <v/>
      </c>
      <c r="N39">
        <f>IF($K$39="9-15",$C$39/$B$39,"")</f>
        <v/>
      </c>
      <c r="O39">
        <f>IF($K$39="9-15",$G$39/$B$39,"")</f>
        <v/>
      </c>
      <c r="P39">
        <f>IF($K$39="&gt;=16",$C$39/$B$39,"")</f>
        <v/>
      </c>
      <c r="Q39">
        <f>IF($K$39="&gt;=16",$G$39/$B$39,"")</f>
        <v/>
      </c>
      <c r="R39" t="inlineStr">
        <is>
          <t>Assets/MachineBrigade/Resources/Data/balance.json: vehicles[id=sp_mortar] (lọc hồi quy)</t>
        </is>
      </c>
      <c r="S39" t="inlineStr"/>
    </row>
    <row r="40">
      <c r="A40" t="inlineStr">
        <is>
          <t>stealth_bomber</t>
        </is>
      </c>
      <c r="B40">
        <f>Xe!$I$67</f>
        <v/>
      </c>
      <c r="C40">
        <f>Xe!$K$67</f>
        <v/>
      </c>
      <c r="D40">
        <f>IF(INDEX(xe_input_vu_khi_suy_ra!$F$2:$F$66,MATCH(Xe!$AE$67,xe_input_vu_khi_suy_ra!$A$2:$A$66,0)),Xe_suy_ra!$E$67*INDEX(xe_input_bang_xuyen_giap!$B$2:$B$7,MIN(6,MAX(1,IF(INDEX(xe_input_vu_khi_suy_ra!$E$2:$E$66,MATCH(Xe!$AE$67,xe_input_vu_khi_suy_ra!$A$2:$A$66,0)),MAX(1,2-(INDEX(xe_input_vu_khi!$F$2:$F$66,MATCH(Xe!$AE$67,xe_input_vu_khi!$A$2:$A$66,0))-1)),2-(INDEX(xe_input_vu_khi!$F$2:$F$66,MATCH(Xe!$AE$67,xe_input_vu_khi!$A$2:$A$66,0))-1))+1)))*INDEX(xe_input_vu_khi_suy_ra!$H$2:$H$66,MATCH(Xe!$AE$67,xe_input_vu_khi_suy_ra!$A$2:$A$66,0)),0)</f>
        <v/>
      </c>
      <c r="E40">
        <f>IF(INDEX(xe_input_vu_khi_suy_ra!$F$2:$F$66,MATCH(Xe!$AE$67,xe_input_vu_khi_suy_ra!$A$2:$A$66,0)),Xe_suy_ra!$E$67*INDEX(xe_input_bang_xuyen_giap!$B$2:$B$7,MIN(6,MAX(1,IF(INDEX(xe_input_vu_khi_suy_ra!$E$2:$E$66,MATCH(Xe!$AE$67,xe_input_vu_khi_suy_ra!$A$2:$A$66,0)),MAX(1,2-(INDEX(xe_input_vu_khi!$F$2:$F$66,MATCH(Xe!$AE$67,xe_input_vu_khi!$A$2:$A$66,0))-3)),2-(INDEX(xe_input_vu_khi!$F$2:$F$66,MATCH(Xe!$AE$67,xe_input_vu_khi!$A$2:$A$66,0))-3))+1)))*INDEX(xe_input_vu_khi_suy_ra!$H$2:$H$66,MATCH(Xe!$AE$67,xe_input_vu_khi_suy_ra!$A$2:$A$66,0)),0)</f>
        <v/>
      </c>
      <c r="F40">
        <f>IF(INDEX(xe_input_vu_khi_suy_ra!$G$2:$G$66,MATCH(Xe!$AE$67,xe_input_vu_khi_suy_ra!$A$2:$A$66,0)),Xe_suy_ra!$G$67*INDEX(xe_input_bang_xuyen_giap!$B$2:$B$7,MIN(6,MAX(1,MAX(1,2-(INDEX(xe_input_vu_khi!$F$2:$F$66,MATCH(Xe!$AE$67,xe_input_vu_khi!$A$2:$A$66,0))-0))+1)))*INDEX(xe_input_vu_khi_suy_ra!$I$2:$I$66,MATCH(Xe!$AE$67,xe_input_vu_khi_suy_ra!$A$2:$A$66,0)),0)</f>
        <v/>
      </c>
      <c r="G40">
        <f>MAX($D$40,$E$40,$F$40)</f>
        <v/>
      </c>
      <c r="H40">
        <f>LN($B$40)</f>
        <v/>
      </c>
      <c r="I40">
        <f>LN($C$40)</f>
        <v/>
      </c>
      <c r="J40">
        <f>IF($G$40&gt;0,LN($G$40),"")</f>
        <v/>
      </c>
      <c r="K40">
        <f>IF($B$40&lt;=8,"&lt;=8",IF($B$40&lt;=15,"9-15","&gt;=16"))</f>
        <v/>
      </c>
      <c r="L40">
        <f>IF($K$40="&lt;=8",$C$40/$B$40,"")</f>
        <v/>
      </c>
      <c r="M40">
        <f>IF($K$40="&lt;=8",$G$40/$B$40,"")</f>
        <v/>
      </c>
      <c r="N40">
        <f>IF($K$40="9-15",$C$40/$B$40,"")</f>
        <v/>
      </c>
      <c r="O40">
        <f>IF($K$40="9-15",$G$40/$B$40,"")</f>
        <v/>
      </c>
      <c r="P40">
        <f>IF($K$40="&gt;=16",$C$40/$B$40,"")</f>
        <v/>
      </c>
      <c r="Q40">
        <f>IF($K$40="&gt;=16",$G$40/$B$40,"")</f>
        <v/>
      </c>
      <c r="R40" t="inlineStr">
        <is>
          <t>Assets/MachineBrigade/Resources/Data/balance.json: vehicles[id=stealth_bomber] (lọc hồi quy)</t>
        </is>
      </c>
      <c r="S40" t="inlineStr"/>
    </row>
    <row r="41">
      <c r="A41" t="inlineStr">
        <is>
          <t>stealth_fighter</t>
        </is>
      </c>
      <c r="B41">
        <f>Xe!$I$68</f>
        <v/>
      </c>
      <c r="C41">
        <f>Xe!$K$68</f>
        <v/>
      </c>
      <c r="D41">
        <f>IF(INDEX(xe_input_vu_khi_suy_ra!$F$2:$F$66,MATCH(Xe!$AE$68,xe_input_vu_khi_suy_ra!$A$2:$A$66,0)),Xe_suy_ra!$E$68*INDEX(xe_input_bang_xuyen_giap!$B$2:$B$7,MIN(6,MAX(1,IF(INDEX(xe_input_vu_khi_suy_ra!$E$2:$E$66,MATCH(Xe!$AE$68,xe_input_vu_khi_suy_ra!$A$2:$A$66,0)),MAX(1,2-(INDEX(xe_input_vu_khi!$F$2:$F$66,MATCH(Xe!$AE$68,xe_input_vu_khi!$A$2:$A$66,0))-1)),2-(INDEX(xe_input_vu_khi!$F$2:$F$66,MATCH(Xe!$AE$68,xe_input_vu_khi!$A$2:$A$66,0))-1))+1)))*INDEX(xe_input_vu_khi_suy_ra!$H$2:$H$66,MATCH(Xe!$AE$68,xe_input_vu_khi_suy_ra!$A$2:$A$66,0)),0)</f>
        <v/>
      </c>
      <c r="E41">
        <f>IF(INDEX(xe_input_vu_khi_suy_ra!$F$2:$F$66,MATCH(Xe!$AE$68,xe_input_vu_khi_suy_ra!$A$2:$A$66,0)),Xe_suy_ra!$E$68*INDEX(xe_input_bang_xuyen_giap!$B$2:$B$7,MIN(6,MAX(1,IF(INDEX(xe_input_vu_khi_suy_ra!$E$2:$E$66,MATCH(Xe!$AE$68,xe_input_vu_khi_suy_ra!$A$2:$A$66,0)),MAX(1,2-(INDEX(xe_input_vu_khi!$F$2:$F$66,MATCH(Xe!$AE$68,xe_input_vu_khi!$A$2:$A$66,0))-3)),2-(INDEX(xe_input_vu_khi!$F$2:$F$66,MATCH(Xe!$AE$68,xe_input_vu_khi!$A$2:$A$66,0))-3))+1)))*INDEX(xe_input_vu_khi_suy_ra!$H$2:$H$66,MATCH(Xe!$AE$68,xe_input_vu_khi_suy_ra!$A$2:$A$66,0)),0)</f>
        <v/>
      </c>
      <c r="F41">
        <f>IF(INDEX(xe_input_vu_khi_suy_ra!$G$2:$G$66,MATCH(Xe!$AE$68,xe_input_vu_khi_suy_ra!$A$2:$A$66,0)),Xe_suy_ra!$G$68*INDEX(xe_input_bang_xuyen_giap!$B$2:$B$7,MIN(6,MAX(1,MAX(1,2-(INDEX(xe_input_vu_khi!$F$2:$F$66,MATCH(Xe!$AE$68,xe_input_vu_khi!$A$2:$A$66,0))-0))+1)))*INDEX(xe_input_vu_khi_suy_ra!$I$2:$I$66,MATCH(Xe!$AE$68,xe_input_vu_khi_suy_ra!$A$2:$A$66,0)),0)</f>
        <v/>
      </c>
      <c r="G41">
        <f>MAX($D$41,$E$41,$F$41)</f>
        <v/>
      </c>
      <c r="H41">
        <f>LN($B$41)</f>
        <v/>
      </c>
      <c r="I41">
        <f>LN($C$41)</f>
        <v/>
      </c>
      <c r="J41">
        <f>IF($G$41&gt;0,LN($G$41),"")</f>
        <v/>
      </c>
      <c r="K41">
        <f>IF($B$41&lt;=8,"&lt;=8",IF($B$41&lt;=15,"9-15","&gt;=16"))</f>
        <v/>
      </c>
      <c r="L41">
        <f>IF($K$41="&lt;=8",$C$41/$B$41,"")</f>
        <v/>
      </c>
      <c r="M41">
        <f>IF($K$41="&lt;=8",$G$41/$B$41,"")</f>
        <v/>
      </c>
      <c r="N41">
        <f>IF($K$41="9-15",$C$41/$B$41,"")</f>
        <v/>
      </c>
      <c r="O41">
        <f>IF($K$41="9-15",$G$41/$B$41,"")</f>
        <v/>
      </c>
      <c r="P41">
        <f>IF($K$41="&gt;=16",$C$41/$B$41,"")</f>
        <v/>
      </c>
      <c r="Q41">
        <f>IF($K$41="&gt;=16",$G$41/$B$41,"")</f>
        <v/>
      </c>
      <c r="R41" t="inlineStr">
        <is>
          <t>Assets/MachineBrigade/Resources/Data/balance.json: vehicles[id=stealth_fighter] (lọc hồi quy)</t>
        </is>
      </c>
      <c r="S41" t="inlineStr"/>
    </row>
    <row r="42">
      <c r="A42" t="inlineStr">
        <is>
          <t>stealth_naval_strike</t>
        </is>
      </c>
      <c r="B42">
        <f>Xe!$I$69</f>
        <v/>
      </c>
      <c r="C42">
        <f>Xe!$K$69</f>
        <v/>
      </c>
      <c r="D42">
        <f>IF(INDEX(xe_input_vu_khi_suy_ra!$F$2:$F$66,MATCH(Xe!$AE$69,xe_input_vu_khi_suy_ra!$A$2:$A$66,0)),Xe_suy_ra!$E$69*INDEX(xe_input_bang_xuyen_giap!$B$2:$B$7,MIN(6,MAX(1,IF(INDEX(xe_input_vu_khi_suy_ra!$E$2:$E$66,MATCH(Xe!$AE$69,xe_input_vu_khi_suy_ra!$A$2:$A$66,0)),MAX(1,2-(INDEX(xe_input_vu_khi!$F$2:$F$66,MATCH(Xe!$AE$69,xe_input_vu_khi!$A$2:$A$66,0))-1)),2-(INDEX(xe_input_vu_khi!$F$2:$F$66,MATCH(Xe!$AE$69,xe_input_vu_khi!$A$2:$A$66,0))-1))+1)))*INDEX(xe_input_vu_khi_suy_ra!$H$2:$H$66,MATCH(Xe!$AE$69,xe_input_vu_khi_suy_ra!$A$2:$A$66,0)),0)</f>
        <v/>
      </c>
      <c r="E42">
        <f>IF(INDEX(xe_input_vu_khi_suy_ra!$F$2:$F$66,MATCH(Xe!$AE$69,xe_input_vu_khi_suy_ra!$A$2:$A$66,0)),Xe_suy_ra!$E$69*INDEX(xe_input_bang_xuyen_giap!$B$2:$B$7,MIN(6,MAX(1,IF(INDEX(xe_input_vu_khi_suy_ra!$E$2:$E$66,MATCH(Xe!$AE$69,xe_input_vu_khi_suy_ra!$A$2:$A$66,0)),MAX(1,2-(INDEX(xe_input_vu_khi!$F$2:$F$66,MATCH(Xe!$AE$69,xe_input_vu_khi!$A$2:$A$66,0))-3)),2-(INDEX(xe_input_vu_khi!$F$2:$F$66,MATCH(Xe!$AE$69,xe_input_vu_khi!$A$2:$A$66,0))-3))+1)))*INDEX(xe_input_vu_khi_suy_ra!$H$2:$H$66,MATCH(Xe!$AE$69,xe_input_vu_khi_suy_ra!$A$2:$A$66,0)),0)</f>
        <v/>
      </c>
      <c r="F42">
        <f>IF(INDEX(xe_input_vu_khi_suy_ra!$G$2:$G$66,MATCH(Xe!$AE$69,xe_input_vu_khi_suy_ra!$A$2:$A$66,0)),Xe_suy_ra!$G$69*INDEX(xe_input_bang_xuyen_giap!$B$2:$B$7,MIN(6,MAX(1,MAX(1,2-(INDEX(xe_input_vu_khi!$F$2:$F$66,MATCH(Xe!$AE$69,xe_input_vu_khi!$A$2:$A$66,0))-0))+1)))*INDEX(xe_input_vu_khi_suy_ra!$I$2:$I$66,MATCH(Xe!$AE$69,xe_input_vu_khi_suy_ra!$A$2:$A$66,0)),0)</f>
        <v/>
      </c>
      <c r="G42">
        <f>MAX($D$42,$E$42,$F$42)</f>
        <v/>
      </c>
      <c r="H42">
        <f>LN($B$42)</f>
        <v/>
      </c>
      <c r="I42">
        <f>LN($C$42)</f>
        <v/>
      </c>
      <c r="J42">
        <f>IF($G$42&gt;0,LN($G$42),"")</f>
        <v/>
      </c>
      <c r="K42">
        <f>IF($B$42&lt;=8,"&lt;=8",IF($B$42&lt;=15,"9-15","&gt;=16"))</f>
        <v/>
      </c>
      <c r="L42">
        <f>IF($K$42="&lt;=8",$C$42/$B$42,"")</f>
        <v/>
      </c>
      <c r="M42">
        <f>IF($K$42="&lt;=8",$G$42/$B$42,"")</f>
        <v/>
      </c>
      <c r="N42">
        <f>IF($K$42="9-15",$C$42/$B$42,"")</f>
        <v/>
      </c>
      <c r="O42">
        <f>IF($K$42="9-15",$G$42/$B$42,"")</f>
        <v/>
      </c>
      <c r="P42">
        <f>IF($K$42="&gt;=16",$C$42/$B$42,"")</f>
        <v/>
      </c>
      <c r="Q42">
        <f>IF($K$42="&gt;=16",$G$42/$B$42,"")</f>
        <v/>
      </c>
      <c r="R42" t="inlineStr">
        <is>
          <t>Assets/MachineBrigade/Resources/Data/balance.json: vehicles[id=stealth_naval_strike] (lọc hồi quy)</t>
        </is>
      </c>
      <c r="S42" t="inlineStr"/>
    </row>
    <row r="43">
      <c r="A43" t="inlineStr">
        <is>
          <t>strike_drone</t>
        </is>
      </c>
      <c r="B43">
        <f>Xe!$I$70</f>
        <v/>
      </c>
      <c r="C43">
        <f>Xe!$K$70</f>
        <v/>
      </c>
      <c r="D43">
        <f>IF(INDEX(xe_input_vu_khi_suy_ra!$F$2:$F$66,MATCH(Xe!$AE$70,xe_input_vu_khi_suy_ra!$A$2:$A$66,0)),Xe_suy_ra!$E$70*INDEX(xe_input_bang_xuyen_giap!$B$2:$B$7,MIN(6,MAX(1,IF(INDEX(xe_input_vu_khi_suy_ra!$E$2:$E$66,MATCH(Xe!$AE$70,xe_input_vu_khi_suy_ra!$A$2:$A$66,0)),MAX(1,2-(INDEX(xe_input_vu_khi!$F$2:$F$66,MATCH(Xe!$AE$70,xe_input_vu_khi!$A$2:$A$66,0))-1)),2-(INDEX(xe_input_vu_khi!$F$2:$F$66,MATCH(Xe!$AE$70,xe_input_vu_khi!$A$2:$A$66,0))-1))+1)))*INDEX(xe_input_vu_khi_suy_ra!$H$2:$H$66,MATCH(Xe!$AE$70,xe_input_vu_khi_suy_ra!$A$2:$A$66,0)),0)</f>
        <v/>
      </c>
      <c r="E43">
        <f>IF(INDEX(xe_input_vu_khi_suy_ra!$F$2:$F$66,MATCH(Xe!$AE$70,xe_input_vu_khi_suy_ra!$A$2:$A$66,0)),Xe_suy_ra!$E$70*INDEX(xe_input_bang_xuyen_giap!$B$2:$B$7,MIN(6,MAX(1,IF(INDEX(xe_input_vu_khi_suy_ra!$E$2:$E$66,MATCH(Xe!$AE$70,xe_input_vu_khi_suy_ra!$A$2:$A$66,0)),MAX(1,2-(INDEX(xe_input_vu_khi!$F$2:$F$66,MATCH(Xe!$AE$70,xe_input_vu_khi!$A$2:$A$66,0))-3)),2-(INDEX(xe_input_vu_khi!$F$2:$F$66,MATCH(Xe!$AE$70,xe_input_vu_khi!$A$2:$A$66,0))-3))+1)))*INDEX(xe_input_vu_khi_suy_ra!$H$2:$H$66,MATCH(Xe!$AE$70,xe_input_vu_khi_suy_ra!$A$2:$A$66,0)),0)</f>
        <v/>
      </c>
      <c r="F43">
        <f>IF(INDEX(xe_input_vu_khi_suy_ra!$G$2:$G$66,MATCH(Xe!$AE$70,xe_input_vu_khi_suy_ra!$A$2:$A$66,0)),Xe_suy_ra!$G$70*INDEX(xe_input_bang_xuyen_giap!$B$2:$B$7,MIN(6,MAX(1,MAX(1,2-(INDEX(xe_input_vu_khi!$F$2:$F$66,MATCH(Xe!$AE$70,xe_input_vu_khi!$A$2:$A$66,0))-0))+1)))*INDEX(xe_input_vu_khi_suy_ra!$I$2:$I$66,MATCH(Xe!$AE$70,xe_input_vu_khi_suy_ra!$A$2:$A$66,0)),0)</f>
        <v/>
      </c>
      <c r="G43">
        <f>MAX($D$43,$E$43,$F$43)</f>
        <v/>
      </c>
      <c r="H43">
        <f>LN($B$43)</f>
        <v/>
      </c>
      <c r="I43">
        <f>LN($C$43)</f>
        <v/>
      </c>
      <c r="J43">
        <f>IF($G$43&gt;0,LN($G$43),"")</f>
        <v/>
      </c>
      <c r="K43">
        <f>IF($B$43&lt;=8,"&lt;=8",IF($B$43&lt;=15,"9-15","&gt;=16"))</f>
        <v/>
      </c>
      <c r="L43">
        <f>IF($K$43="&lt;=8",$C$43/$B$43,"")</f>
        <v/>
      </c>
      <c r="M43">
        <f>IF($K$43="&lt;=8",$G$43/$B$43,"")</f>
        <v/>
      </c>
      <c r="N43">
        <f>IF($K$43="9-15",$C$43/$B$43,"")</f>
        <v/>
      </c>
      <c r="O43">
        <f>IF($K$43="9-15",$G$43/$B$43,"")</f>
        <v/>
      </c>
      <c r="P43">
        <f>IF($K$43="&gt;=16",$C$43/$B$43,"")</f>
        <v/>
      </c>
      <c r="Q43">
        <f>IF($K$43="&gt;=16",$G$43/$B$43,"")</f>
        <v/>
      </c>
      <c r="R43" t="inlineStr">
        <is>
          <t>Assets/MachineBrigade/Resources/Data/balance.json: vehicles[id=strike_drone] (lọc hồi quy)</t>
        </is>
      </c>
      <c r="S43" t="inlineStr"/>
    </row>
    <row r="44">
      <c r="A44" t="inlineStr">
        <is>
          <t>swarm_carrier</t>
        </is>
      </c>
      <c r="B44">
        <f>Xe!$I$72</f>
        <v/>
      </c>
      <c r="C44">
        <f>Xe!$K$72</f>
        <v/>
      </c>
      <c r="D44">
        <f>IF(INDEX(xe_input_vu_khi_suy_ra!$F$2:$F$66,MATCH(Xe!$AE$72,xe_input_vu_khi_suy_ra!$A$2:$A$66,0)),Xe_suy_ra!$E$72*INDEX(xe_input_bang_xuyen_giap!$B$2:$B$7,MIN(6,MAX(1,IF(INDEX(xe_input_vu_khi_suy_ra!$E$2:$E$66,MATCH(Xe!$AE$72,xe_input_vu_khi_suy_ra!$A$2:$A$66,0)),MAX(1,2-(INDEX(xe_input_vu_khi!$F$2:$F$66,MATCH(Xe!$AE$72,xe_input_vu_khi!$A$2:$A$66,0))-1)),2-(INDEX(xe_input_vu_khi!$F$2:$F$66,MATCH(Xe!$AE$72,xe_input_vu_khi!$A$2:$A$66,0))-1))+1)))*INDEX(xe_input_vu_khi_suy_ra!$H$2:$H$66,MATCH(Xe!$AE$72,xe_input_vu_khi_suy_ra!$A$2:$A$66,0)),0)</f>
        <v/>
      </c>
      <c r="E44">
        <f>IF(INDEX(xe_input_vu_khi_suy_ra!$F$2:$F$66,MATCH(Xe!$AE$72,xe_input_vu_khi_suy_ra!$A$2:$A$66,0)),Xe_suy_ra!$E$72*INDEX(xe_input_bang_xuyen_giap!$B$2:$B$7,MIN(6,MAX(1,IF(INDEX(xe_input_vu_khi_suy_ra!$E$2:$E$66,MATCH(Xe!$AE$72,xe_input_vu_khi_suy_ra!$A$2:$A$66,0)),MAX(1,2-(INDEX(xe_input_vu_khi!$F$2:$F$66,MATCH(Xe!$AE$72,xe_input_vu_khi!$A$2:$A$66,0))-3)),2-(INDEX(xe_input_vu_khi!$F$2:$F$66,MATCH(Xe!$AE$72,xe_input_vu_khi!$A$2:$A$66,0))-3))+1)))*INDEX(xe_input_vu_khi_suy_ra!$H$2:$H$66,MATCH(Xe!$AE$72,xe_input_vu_khi_suy_ra!$A$2:$A$66,0)),0)</f>
        <v/>
      </c>
      <c r="F44">
        <f>IF(INDEX(xe_input_vu_khi_suy_ra!$G$2:$G$66,MATCH(Xe!$AE$72,xe_input_vu_khi_suy_ra!$A$2:$A$66,0)),Xe_suy_ra!$G$72*INDEX(xe_input_bang_xuyen_giap!$B$2:$B$7,MIN(6,MAX(1,MAX(1,2-(INDEX(xe_input_vu_khi!$F$2:$F$66,MATCH(Xe!$AE$72,xe_input_vu_khi!$A$2:$A$66,0))-0))+1)))*INDEX(xe_input_vu_khi_suy_ra!$I$2:$I$66,MATCH(Xe!$AE$72,xe_input_vu_khi_suy_ra!$A$2:$A$66,0)),0)</f>
        <v/>
      </c>
      <c r="G44">
        <f>MAX($D$44,$E$44,$F$44)</f>
        <v/>
      </c>
      <c r="H44">
        <f>LN($B$44)</f>
        <v/>
      </c>
      <c r="I44">
        <f>LN($C$44)</f>
        <v/>
      </c>
      <c r="J44">
        <f>IF($G$44&gt;0,LN($G$44),"")</f>
        <v/>
      </c>
      <c r="K44">
        <f>IF($B$44&lt;=8,"&lt;=8",IF($B$44&lt;=15,"9-15","&gt;=16"))</f>
        <v/>
      </c>
      <c r="L44">
        <f>IF($K$44="&lt;=8",$C$44/$B$44,"")</f>
        <v/>
      </c>
      <c r="M44">
        <f>IF($K$44="&lt;=8",$G$44/$B$44,"")</f>
        <v/>
      </c>
      <c r="N44">
        <f>IF($K$44="9-15",$C$44/$B$44,"")</f>
        <v/>
      </c>
      <c r="O44">
        <f>IF($K$44="9-15",$G$44/$B$44,"")</f>
        <v/>
      </c>
      <c r="P44">
        <f>IF($K$44="&gt;=16",$C$44/$B$44,"")</f>
        <v/>
      </c>
      <c r="Q44">
        <f>IF($K$44="&gt;=16",$G$44/$B$44,"")</f>
        <v/>
      </c>
      <c r="R44" t="inlineStr">
        <is>
          <t>Assets/MachineBrigade/Resources/Data/balance.json: vehicles[id=swarm_carrier] (lọc hồi quy)</t>
        </is>
      </c>
      <c r="S44" t="inlineStr"/>
    </row>
    <row r="45">
      <c r="A45" t="inlineStr">
        <is>
          <t>tank_destroyer</t>
        </is>
      </c>
      <c r="B45">
        <f>Xe!$I$73</f>
        <v/>
      </c>
      <c r="C45">
        <f>Xe!$K$73</f>
        <v/>
      </c>
      <c r="D45">
        <f>IF(INDEX(xe_input_vu_khi_suy_ra!$F$2:$F$66,MATCH(Xe!$AE$73,xe_input_vu_khi_suy_ra!$A$2:$A$66,0)),Xe_suy_ra!$E$73*INDEX(xe_input_bang_xuyen_giap!$B$2:$B$7,MIN(6,MAX(1,IF(INDEX(xe_input_vu_khi_suy_ra!$E$2:$E$66,MATCH(Xe!$AE$73,xe_input_vu_khi_suy_ra!$A$2:$A$66,0)),MAX(1,2-(INDEX(xe_input_vu_khi!$F$2:$F$66,MATCH(Xe!$AE$73,xe_input_vu_khi!$A$2:$A$66,0))-1)),2-(INDEX(xe_input_vu_khi!$F$2:$F$66,MATCH(Xe!$AE$73,xe_input_vu_khi!$A$2:$A$66,0))-1))+1)))*INDEX(xe_input_vu_khi_suy_ra!$H$2:$H$66,MATCH(Xe!$AE$73,xe_input_vu_khi_suy_ra!$A$2:$A$66,0)),0)</f>
        <v/>
      </c>
      <c r="E45">
        <f>IF(INDEX(xe_input_vu_khi_suy_ra!$F$2:$F$66,MATCH(Xe!$AE$73,xe_input_vu_khi_suy_ra!$A$2:$A$66,0)),Xe_suy_ra!$E$73*INDEX(xe_input_bang_xuyen_giap!$B$2:$B$7,MIN(6,MAX(1,IF(INDEX(xe_input_vu_khi_suy_ra!$E$2:$E$66,MATCH(Xe!$AE$73,xe_input_vu_khi_suy_ra!$A$2:$A$66,0)),MAX(1,2-(INDEX(xe_input_vu_khi!$F$2:$F$66,MATCH(Xe!$AE$73,xe_input_vu_khi!$A$2:$A$66,0))-3)),2-(INDEX(xe_input_vu_khi!$F$2:$F$66,MATCH(Xe!$AE$73,xe_input_vu_khi!$A$2:$A$66,0))-3))+1)))*INDEX(xe_input_vu_khi_suy_ra!$H$2:$H$66,MATCH(Xe!$AE$73,xe_input_vu_khi_suy_ra!$A$2:$A$66,0)),0)</f>
        <v/>
      </c>
      <c r="F45">
        <f>IF(INDEX(xe_input_vu_khi_suy_ra!$G$2:$G$66,MATCH(Xe!$AE$73,xe_input_vu_khi_suy_ra!$A$2:$A$66,0)),Xe_suy_ra!$G$73*INDEX(xe_input_bang_xuyen_giap!$B$2:$B$7,MIN(6,MAX(1,MAX(1,2-(INDEX(xe_input_vu_khi!$F$2:$F$66,MATCH(Xe!$AE$73,xe_input_vu_khi!$A$2:$A$66,0))-0))+1)))*INDEX(xe_input_vu_khi_suy_ra!$I$2:$I$66,MATCH(Xe!$AE$73,xe_input_vu_khi_suy_ra!$A$2:$A$66,0)),0)</f>
        <v/>
      </c>
      <c r="G45">
        <f>MAX($D$45,$E$45,$F$45)</f>
        <v/>
      </c>
      <c r="H45">
        <f>LN($B$45)</f>
        <v/>
      </c>
      <c r="I45">
        <f>LN($C$45)</f>
        <v/>
      </c>
      <c r="J45">
        <f>IF($G$45&gt;0,LN($G$45),"")</f>
        <v/>
      </c>
      <c r="K45">
        <f>IF($B$45&lt;=8,"&lt;=8",IF($B$45&lt;=15,"9-15","&gt;=16"))</f>
        <v/>
      </c>
      <c r="L45">
        <f>IF($K$45="&lt;=8",$C$45/$B$45,"")</f>
        <v/>
      </c>
      <c r="M45">
        <f>IF($K$45="&lt;=8",$G$45/$B$45,"")</f>
        <v/>
      </c>
      <c r="N45">
        <f>IF($K$45="9-15",$C$45/$B$45,"")</f>
        <v/>
      </c>
      <c r="O45">
        <f>IF($K$45="9-15",$G$45/$B$45,"")</f>
        <v/>
      </c>
      <c r="P45">
        <f>IF($K$45="&gt;=16",$C$45/$B$45,"")</f>
        <v/>
      </c>
      <c r="Q45">
        <f>IF($K$45="&gt;=16",$G$45/$B$45,"")</f>
        <v/>
      </c>
      <c r="R45" t="inlineStr">
        <is>
          <t>Assets/MachineBrigade/Resources/Data/balance.json: vehicles[id=tank_destroyer] (lọc hồi quy)</t>
        </is>
      </c>
      <c r="S45" t="inlineStr"/>
    </row>
    <row r="46">
      <c r="A46" t="inlineStr">
        <is>
          <t>thermobaric_launcher</t>
        </is>
      </c>
      <c r="B46">
        <f>Xe!$I$74</f>
        <v/>
      </c>
      <c r="C46">
        <f>Xe!$K$74</f>
        <v/>
      </c>
      <c r="D46">
        <f>IF(INDEX(xe_input_vu_khi_suy_ra!$F$2:$F$66,MATCH(Xe!$AE$74,xe_input_vu_khi_suy_ra!$A$2:$A$66,0)),Xe_suy_ra!$E$74*INDEX(xe_input_bang_xuyen_giap!$B$2:$B$7,MIN(6,MAX(1,IF(INDEX(xe_input_vu_khi_suy_ra!$E$2:$E$66,MATCH(Xe!$AE$74,xe_input_vu_khi_suy_ra!$A$2:$A$66,0)),MAX(1,2-(INDEX(xe_input_vu_khi!$F$2:$F$66,MATCH(Xe!$AE$74,xe_input_vu_khi!$A$2:$A$66,0))-1)),2-(INDEX(xe_input_vu_khi!$F$2:$F$66,MATCH(Xe!$AE$74,xe_input_vu_khi!$A$2:$A$66,0))-1))+1)))*INDEX(xe_input_vu_khi_suy_ra!$H$2:$H$66,MATCH(Xe!$AE$74,xe_input_vu_khi_suy_ra!$A$2:$A$66,0)),0)</f>
        <v/>
      </c>
      <c r="E46">
        <f>IF(INDEX(xe_input_vu_khi_suy_ra!$F$2:$F$66,MATCH(Xe!$AE$74,xe_input_vu_khi_suy_ra!$A$2:$A$66,0)),Xe_suy_ra!$E$74*INDEX(xe_input_bang_xuyen_giap!$B$2:$B$7,MIN(6,MAX(1,IF(INDEX(xe_input_vu_khi_suy_ra!$E$2:$E$66,MATCH(Xe!$AE$74,xe_input_vu_khi_suy_ra!$A$2:$A$66,0)),MAX(1,2-(INDEX(xe_input_vu_khi!$F$2:$F$66,MATCH(Xe!$AE$74,xe_input_vu_khi!$A$2:$A$66,0))-3)),2-(INDEX(xe_input_vu_khi!$F$2:$F$66,MATCH(Xe!$AE$74,xe_input_vu_khi!$A$2:$A$66,0))-3))+1)))*INDEX(xe_input_vu_khi_suy_ra!$H$2:$H$66,MATCH(Xe!$AE$74,xe_input_vu_khi_suy_ra!$A$2:$A$66,0)),0)</f>
        <v/>
      </c>
      <c r="F46">
        <f>IF(INDEX(xe_input_vu_khi_suy_ra!$G$2:$G$66,MATCH(Xe!$AE$74,xe_input_vu_khi_suy_ra!$A$2:$A$66,0)),Xe_suy_ra!$G$74*INDEX(xe_input_bang_xuyen_giap!$B$2:$B$7,MIN(6,MAX(1,MAX(1,2-(INDEX(xe_input_vu_khi!$F$2:$F$66,MATCH(Xe!$AE$74,xe_input_vu_khi!$A$2:$A$66,0))-0))+1)))*INDEX(xe_input_vu_khi_suy_ra!$I$2:$I$66,MATCH(Xe!$AE$74,xe_input_vu_khi_suy_ra!$A$2:$A$66,0)),0)</f>
        <v/>
      </c>
      <c r="G46">
        <f>MAX($D$46,$E$46,$F$46)</f>
        <v/>
      </c>
      <c r="H46">
        <f>LN($B$46)</f>
        <v/>
      </c>
      <c r="I46">
        <f>LN($C$46)</f>
        <v/>
      </c>
      <c r="J46">
        <f>IF($G$46&gt;0,LN($G$46),"")</f>
        <v/>
      </c>
      <c r="K46">
        <f>IF($B$46&lt;=8,"&lt;=8",IF($B$46&lt;=15,"9-15","&gt;=16"))</f>
        <v/>
      </c>
      <c r="L46">
        <f>IF($K$46="&lt;=8",$C$46/$B$46,"")</f>
        <v/>
      </c>
      <c r="M46">
        <f>IF($K$46="&lt;=8",$G$46/$B$46,"")</f>
        <v/>
      </c>
      <c r="N46">
        <f>IF($K$46="9-15",$C$46/$B$46,"")</f>
        <v/>
      </c>
      <c r="O46">
        <f>IF($K$46="9-15",$G$46/$B$46,"")</f>
        <v/>
      </c>
      <c r="P46">
        <f>IF($K$46="&gt;=16",$C$46/$B$46,"")</f>
        <v/>
      </c>
      <c r="Q46">
        <f>IF($K$46="&gt;=16",$G$46/$B$46,"")</f>
        <v/>
      </c>
      <c r="R46" t="inlineStr">
        <is>
          <t>Assets/MachineBrigade/Resources/Data/balance.json: vehicles[id=thermobaric_launcher] (lọc hồi quy)</t>
        </is>
      </c>
      <c r="S46" t="inlineStr"/>
    </row>
    <row r="47">
      <c r="A47" t="inlineStr">
        <is>
          <t>titan_tank</t>
        </is>
      </c>
      <c r="B47">
        <f>Xe!$I$75</f>
        <v/>
      </c>
      <c r="C47">
        <f>Xe!$K$75</f>
        <v/>
      </c>
      <c r="D47">
        <f>IF(INDEX(xe_input_vu_khi_suy_ra!$F$2:$F$66,MATCH(Xe!$AE$75,xe_input_vu_khi_suy_ra!$A$2:$A$66,0)),Xe_suy_ra!$E$75*INDEX(xe_input_bang_xuyen_giap!$B$2:$B$7,MIN(6,MAX(1,IF(INDEX(xe_input_vu_khi_suy_ra!$E$2:$E$66,MATCH(Xe!$AE$75,xe_input_vu_khi_suy_ra!$A$2:$A$66,0)),MAX(1,2-(INDEX(xe_input_vu_khi!$F$2:$F$66,MATCH(Xe!$AE$75,xe_input_vu_khi!$A$2:$A$66,0))-1)),2-(INDEX(xe_input_vu_khi!$F$2:$F$66,MATCH(Xe!$AE$75,xe_input_vu_khi!$A$2:$A$66,0))-1))+1)))*INDEX(xe_input_vu_khi_suy_ra!$H$2:$H$66,MATCH(Xe!$AE$75,xe_input_vu_khi_suy_ra!$A$2:$A$66,0)),0)</f>
        <v/>
      </c>
      <c r="E47">
        <f>IF(INDEX(xe_input_vu_khi_suy_ra!$F$2:$F$66,MATCH(Xe!$AE$75,xe_input_vu_khi_suy_ra!$A$2:$A$66,0)),Xe_suy_ra!$E$75*INDEX(xe_input_bang_xuyen_giap!$B$2:$B$7,MIN(6,MAX(1,IF(INDEX(xe_input_vu_khi_suy_ra!$E$2:$E$66,MATCH(Xe!$AE$75,xe_input_vu_khi_suy_ra!$A$2:$A$66,0)),MAX(1,2-(INDEX(xe_input_vu_khi!$F$2:$F$66,MATCH(Xe!$AE$75,xe_input_vu_khi!$A$2:$A$66,0))-3)),2-(INDEX(xe_input_vu_khi!$F$2:$F$66,MATCH(Xe!$AE$75,xe_input_vu_khi!$A$2:$A$66,0))-3))+1)))*INDEX(xe_input_vu_khi_suy_ra!$H$2:$H$66,MATCH(Xe!$AE$75,xe_input_vu_khi_suy_ra!$A$2:$A$66,0)),0)</f>
        <v/>
      </c>
      <c r="F47">
        <f>IF(INDEX(xe_input_vu_khi_suy_ra!$G$2:$G$66,MATCH(Xe!$AE$75,xe_input_vu_khi_suy_ra!$A$2:$A$66,0)),Xe_suy_ra!$G$75*INDEX(xe_input_bang_xuyen_giap!$B$2:$B$7,MIN(6,MAX(1,MAX(1,2-(INDEX(xe_input_vu_khi!$F$2:$F$66,MATCH(Xe!$AE$75,xe_input_vu_khi!$A$2:$A$66,0))-0))+1)))*INDEX(xe_input_vu_khi_suy_ra!$I$2:$I$66,MATCH(Xe!$AE$75,xe_input_vu_khi_suy_ra!$A$2:$A$66,0)),0)</f>
        <v/>
      </c>
      <c r="G47">
        <f>MAX($D$47,$E$47,$F$47)</f>
        <v/>
      </c>
      <c r="H47">
        <f>LN($B$47)</f>
        <v/>
      </c>
      <c r="I47">
        <f>LN($C$47)</f>
        <v/>
      </c>
      <c r="J47">
        <f>IF($G$47&gt;0,LN($G$47),"")</f>
        <v/>
      </c>
      <c r="K47">
        <f>IF($B$47&lt;=8,"&lt;=8",IF($B$47&lt;=15,"9-15","&gt;=16"))</f>
        <v/>
      </c>
      <c r="L47">
        <f>IF($K$47="&lt;=8",$C$47/$B$47,"")</f>
        <v/>
      </c>
      <c r="M47">
        <f>IF($K$47="&lt;=8",$G$47/$B$47,"")</f>
        <v/>
      </c>
      <c r="N47">
        <f>IF($K$47="9-15",$C$47/$B$47,"")</f>
        <v/>
      </c>
      <c r="O47">
        <f>IF($K$47="9-15",$G$47/$B$47,"")</f>
        <v/>
      </c>
      <c r="P47">
        <f>IF($K$47="&gt;=16",$C$47/$B$47,"")</f>
        <v/>
      </c>
      <c r="Q47">
        <f>IF($K$47="&gt;=16",$G$47/$B$47,"")</f>
        <v/>
      </c>
      <c r="R47" t="inlineStr">
        <is>
          <t>Assets/MachineBrigade/Resources/Data/balance.json: vehicles[id=titan_tank] (lọc hồi quy)</t>
        </is>
      </c>
      <c r="S47" t="inlineStr"/>
    </row>
    <row r="48">
      <c r="A48" t="inlineStr">
        <is>
          <t>twin_rotor_gunship</t>
        </is>
      </c>
      <c r="B48">
        <f>Xe!$I$76</f>
        <v/>
      </c>
      <c r="C48">
        <f>Xe!$K$76</f>
        <v/>
      </c>
      <c r="D48">
        <f>IF(INDEX(xe_input_vu_khi_suy_ra!$F$2:$F$66,MATCH(Xe!$AE$76,xe_input_vu_khi_suy_ra!$A$2:$A$66,0)),Xe_suy_ra!$E$76*INDEX(xe_input_bang_xuyen_giap!$B$2:$B$7,MIN(6,MAX(1,IF(INDEX(xe_input_vu_khi_suy_ra!$E$2:$E$66,MATCH(Xe!$AE$76,xe_input_vu_khi_suy_ra!$A$2:$A$66,0)),MAX(1,2-(INDEX(xe_input_vu_khi!$F$2:$F$66,MATCH(Xe!$AE$76,xe_input_vu_khi!$A$2:$A$66,0))-1)),2-(INDEX(xe_input_vu_khi!$F$2:$F$66,MATCH(Xe!$AE$76,xe_input_vu_khi!$A$2:$A$66,0))-1))+1)))*INDEX(xe_input_vu_khi_suy_ra!$H$2:$H$66,MATCH(Xe!$AE$76,xe_input_vu_khi_suy_ra!$A$2:$A$66,0)),0)</f>
        <v/>
      </c>
      <c r="E48">
        <f>IF(INDEX(xe_input_vu_khi_suy_ra!$F$2:$F$66,MATCH(Xe!$AE$76,xe_input_vu_khi_suy_ra!$A$2:$A$66,0)),Xe_suy_ra!$E$76*INDEX(xe_input_bang_xuyen_giap!$B$2:$B$7,MIN(6,MAX(1,IF(INDEX(xe_input_vu_khi_suy_ra!$E$2:$E$66,MATCH(Xe!$AE$76,xe_input_vu_khi_suy_ra!$A$2:$A$66,0)),MAX(1,2-(INDEX(xe_input_vu_khi!$F$2:$F$66,MATCH(Xe!$AE$76,xe_input_vu_khi!$A$2:$A$66,0))-3)),2-(INDEX(xe_input_vu_khi!$F$2:$F$66,MATCH(Xe!$AE$76,xe_input_vu_khi!$A$2:$A$66,0))-3))+1)))*INDEX(xe_input_vu_khi_suy_ra!$H$2:$H$66,MATCH(Xe!$AE$76,xe_input_vu_khi_suy_ra!$A$2:$A$66,0)),0)</f>
        <v/>
      </c>
      <c r="F48">
        <f>IF(INDEX(xe_input_vu_khi_suy_ra!$G$2:$G$66,MATCH(Xe!$AE$76,xe_input_vu_khi_suy_ra!$A$2:$A$66,0)),Xe_suy_ra!$G$76*INDEX(xe_input_bang_xuyen_giap!$B$2:$B$7,MIN(6,MAX(1,MAX(1,2-(INDEX(xe_input_vu_khi!$F$2:$F$66,MATCH(Xe!$AE$76,xe_input_vu_khi!$A$2:$A$66,0))-0))+1)))*INDEX(xe_input_vu_khi_suy_ra!$I$2:$I$66,MATCH(Xe!$AE$76,xe_input_vu_khi_suy_ra!$A$2:$A$66,0)),0)</f>
        <v/>
      </c>
      <c r="G48">
        <f>MAX($D$48,$E$48,$F$48)</f>
        <v/>
      </c>
      <c r="H48">
        <f>LN($B$48)</f>
        <v/>
      </c>
      <c r="I48">
        <f>LN($C$48)</f>
        <v/>
      </c>
      <c r="J48">
        <f>IF($G$48&gt;0,LN($G$48),"")</f>
        <v/>
      </c>
      <c r="K48">
        <f>IF($B$48&lt;=8,"&lt;=8",IF($B$48&lt;=15,"9-15","&gt;=16"))</f>
        <v/>
      </c>
      <c r="L48">
        <f>IF($K$48="&lt;=8",$C$48/$B$48,"")</f>
        <v/>
      </c>
      <c r="M48">
        <f>IF($K$48="&lt;=8",$G$48/$B$48,"")</f>
        <v/>
      </c>
      <c r="N48">
        <f>IF($K$48="9-15",$C$48/$B$48,"")</f>
        <v/>
      </c>
      <c r="O48">
        <f>IF($K$48="9-15",$G$48/$B$48,"")</f>
        <v/>
      </c>
      <c r="P48">
        <f>IF($K$48="&gt;=16",$C$48/$B$48,"")</f>
        <v/>
      </c>
      <c r="Q48">
        <f>IF($K$48="&gt;=16",$G$48/$B$48,"")</f>
        <v/>
      </c>
      <c r="R48" t="inlineStr">
        <is>
          <t>Assets/MachineBrigade/Resources/Data/balance.json: vehicles[id=twin_rotor_gunship] (lọc hồi quy)</t>
        </is>
      </c>
      <c r="S48" t="inlineStr"/>
    </row>
    <row r="49">
      <c r="A49" t="inlineStr">
        <is>
          <t>twin_tank</t>
        </is>
      </c>
      <c r="B49">
        <f>Xe!$I$77</f>
        <v/>
      </c>
      <c r="C49">
        <f>Xe!$K$77</f>
        <v/>
      </c>
      <c r="D49">
        <f>IF(INDEX(xe_input_vu_khi_suy_ra!$F$2:$F$66,MATCH(Xe!$AE$77,xe_input_vu_khi_suy_ra!$A$2:$A$66,0)),Xe_suy_ra!$E$77*INDEX(xe_input_bang_xuyen_giap!$B$2:$B$7,MIN(6,MAX(1,IF(INDEX(xe_input_vu_khi_suy_ra!$E$2:$E$66,MATCH(Xe!$AE$77,xe_input_vu_khi_suy_ra!$A$2:$A$66,0)),MAX(1,2-(INDEX(xe_input_vu_khi!$F$2:$F$66,MATCH(Xe!$AE$77,xe_input_vu_khi!$A$2:$A$66,0))-1)),2-(INDEX(xe_input_vu_khi!$F$2:$F$66,MATCH(Xe!$AE$77,xe_input_vu_khi!$A$2:$A$66,0))-1))+1)))*INDEX(xe_input_vu_khi_suy_ra!$H$2:$H$66,MATCH(Xe!$AE$77,xe_input_vu_khi_suy_ra!$A$2:$A$66,0)),0)</f>
        <v/>
      </c>
      <c r="E49">
        <f>IF(INDEX(xe_input_vu_khi_suy_ra!$F$2:$F$66,MATCH(Xe!$AE$77,xe_input_vu_khi_suy_ra!$A$2:$A$66,0)),Xe_suy_ra!$E$77*INDEX(xe_input_bang_xuyen_giap!$B$2:$B$7,MIN(6,MAX(1,IF(INDEX(xe_input_vu_khi_suy_ra!$E$2:$E$66,MATCH(Xe!$AE$77,xe_input_vu_khi_suy_ra!$A$2:$A$66,0)),MAX(1,2-(INDEX(xe_input_vu_khi!$F$2:$F$66,MATCH(Xe!$AE$77,xe_input_vu_khi!$A$2:$A$66,0))-3)),2-(INDEX(xe_input_vu_khi!$F$2:$F$66,MATCH(Xe!$AE$77,xe_input_vu_khi!$A$2:$A$66,0))-3))+1)))*INDEX(xe_input_vu_khi_suy_ra!$H$2:$H$66,MATCH(Xe!$AE$77,xe_input_vu_khi_suy_ra!$A$2:$A$66,0)),0)</f>
        <v/>
      </c>
      <c r="F49">
        <f>IF(INDEX(xe_input_vu_khi_suy_ra!$G$2:$G$66,MATCH(Xe!$AE$77,xe_input_vu_khi_suy_ra!$A$2:$A$66,0)),Xe_suy_ra!$G$77*INDEX(xe_input_bang_xuyen_giap!$B$2:$B$7,MIN(6,MAX(1,MAX(1,2-(INDEX(xe_input_vu_khi!$F$2:$F$66,MATCH(Xe!$AE$77,xe_input_vu_khi!$A$2:$A$66,0))-0))+1)))*INDEX(xe_input_vu_khi_suy_ra!$I$2:$I$66,MATCH(Xe!$AE$77,xe_input_vu_khi_suy_ra!$A$2:$A$66,0)),0)</f>
        <v/>
      </c>
      <c r="G49">
        <f>MAX($D$49,$E$49,$F$49)</f>
        <v/>
      </c>
      <c r="H49">
        <f>LN($B$49)</f>
        <v/>
      </c>
      <c r="I49">
        <f>LN($C$49)</f>
        <v/>
      </c>
      <c r="J49">
        <f>IF($G$49&gt;0,LN($G$49),"")</f>
        <v/>
      </c>
      <c r="K49">
        <f>IF($B$49&lt;=8,"&lt;=8",IF($B$49&lt;=15,"9-15","&gt;=16"))</f>
        <v/>
      </c>
      <c r="L49">
        <f>IF($K$49="&lt;=8",$C$49/$B$49,"")</f>
        <v/>
      </c>
      <c r="M49">
        <f>IF($K$49="&lt;=8",$G$49/$B$49,"")</f>
        <v/>
      </c>
      <c r="N49">
        <f>IF($K$49="9-15",$C$49/$B$49,"")</f>
        <v/>
      </c>
      <c r="O49">
        <f>IF($K$49="9-15",$G$49/$B$49,"")</f>
        <v/>
      </c>
      <c r="P49">
        <f>IF($K$49="&gt;=16",$C$49/$B$49,"")</f>
        <v/>
      </c>
      <c r="Q49">
        <f>IF($K$49="&gt;=16",$G$49/$B$49,"")</f>
        <v/>
      </c>
      <c r="R49" t="inlineStr">
        <is>
          <t>Assets/MachineBrigade/Resources/Data/balance.json: vehicles[id=twin_tank] (lọc hồi quy)</t>
        </is>
      </c>
      <c r="S49" t="inlineStr"/>
    </row>
    <row r="50">
      <c r="A50" t="inlineStr">
        <is>
          <t>wheeled_gun</t>
        </is>
      </c>
      <c r="B50">
        <f>Xe!$I$79</f>
        <v/>
      </c>
      <c r="C50">
        <f>Xe!$K$79</f>
        <v/>
      </c>
      <c r="D50">
        <f>IF(INDEX(xe_input_vu_khi_suy_ra!$F$2:$F$66,MATCH(Xe!$AE$79,xe_input_vu_khi_suy_ra!$A$2:$A$66,0)),Xe_suy_ra!$E$79*INDEX(xe_input_bang_xuyen_giap!$B$2:$B$7,MIN(6,MAX(1,IF(INDEX(xe_input_vu_khi_suy_ra!$E$2:$E$66,MATCH(Xe!$AE$79,xe_input_vu_khi_suy_ra!$A$2:$A$66,0)),MAX(1,2-(INDEX(xe_input_vu_khi!$F$2:$F$66,MATCH(Xe!$AE$79,xe_input_vu_khi!$A$2:$A$66,0))-1)),2-(INDEX(xe_input_vu_khi!$F$2:$F$66,MATCH(Xe!$AE$79,xe_input_vu_khi!$A$2:$A$66,0))-1))+1)))*INDEX(xe_input_vu_khi_suy_ra!$H$2:$H$66,MATCH(Xe!$AE$79,xe_input_vu_khi_suy_ra!$A$2:$A$66,0)),0)</f>
        <v/>
      </c>
      <c r="E50">
        <f>IF(INDEX(xe_input_vu_khi_suy_ra!$F$2:$F$66,MATCH(Xe!$AE$79,xe_input_vu_khi_suy_ra!$A$2:$A$66,0)),Xe_suy_ra!$E$79*INDEX(xe_input_bang_xuyen_giap!$B$2:$B$7,MIN(6,MAX(1,IF(INDEX(xe_input_vu_khi_suy_ra!$E$2:$E$66,MATCH(Xe!$AE$79,xe_input_vu_khi_suy_ra!$A$2:$A$66,0)),MAX(1,2-(INDEX(xe_input_vu_khi!$F$2:$F$66,MATCH(Xe!$AE$79,xe_input_vu_khi!$A$2:$A$66,0))-3)),2-(INDEX(xe_input_vu_khi!$F$2:$F$66,MATCH(Xe!$AE$79,xe_input_vu_khi!$A$2:$A$66,0))-3))+1)))*INDEX(xe_input_vu_khi_suy_ra!$H$2:$H$66,MATCH(Xe!$AE$79,xe_input_vu_khi_suy_ra!$A$2:$A$66,0)),0)</f>
        <v/>
      </c>
      <c r="F50">
        <f>IF(INDEX(xe_input_vu_khi_suy_ra!$G$2:$G$66,MATCH(Xe!$AE$79,xe_input_vu_khi_suy_ra!$A$2:$A$66,0)),Xe_suy_ra!$G$79*INDEX(xe_input_bang_xuyen_giap!$B$2:$B$7,MIN(6,MAX(1,MAX(1,2-(INDEX(xe_input_vu_khi!$F$2:$F$66,MATCH(Xe!$AE$79,xe_input_vu_khi!$A$2:$A$66,0))-0))+1)))*INDEX(xe_input_vu_khi_suy_ra!$I$2:$I$66,MATCH(Xe!$AE$79,xe_input_vu_khi_suy_ra!$A$2:$A$66,0)),0)</f>
        <v/>
      </c>
      <c r="G50">
        <f>MAX($D$50,$E$50,$F$50)</f>
        <v/>
      </c>
      <c r="H50">
        <f>LN($B$50)</f>
        <v/>
      </c>
      <c r="I50">
        <f>LN($C$50)</f>
        <v/>
      </c>
      <c r="J50">
        <f>IF($G$50&gt;0,LN($G$50),"")</f>
        <v/>
      </c>
      <c r="K50">
        <f>IF($B$50&lt;=8,"&lt;=8",IF($B$50&lt;=15,"9-15","&gt;=16"))</f>
        <v/>
      </c>
      <c r="L50">
        <f>IF($K$50="&lt;=8",$C$50/$B$50,"")</f>
        <v/>
      </c>
      <c r="M50">
        <f>IF($K$50="&lt;=8",$G$50/$B$50,"")</f>
        <v/>
      </c>
      <c r="N50">
        <f>IF($K$50="9-15",$C$50/$B$50,"")</f>
        <v/>
      </c>
      <c r="O50">
        <f>IF($K$50="9-15",$G$50/$B$50,"")</f>
        <v/>
      </c>
      <c r="P50">
        <f>IF($K$50="&gt;=16",$C$50/$B$50,"")</f>
        <v/>
      </c>
      <c r="Q50">
        <f>IF($K$50="&gt;=16",$G$50/$B$50,"")</f>
        <v/>
      </c>
      <c r="R50" t="inlineStr">
        <is>
          <t>Assets/MachineBrigade/Resources/Data/balance.json: vehicles[id=wheeled_gun] (lọc hồi quy)</t>
        </is>
      </c>
      <c r="S50" t="inlineStr"/>
    </row>
    <row r="51">
      <c r="A51" t="inlineStr">
        <is>
          <t>zu23_technical</t>
        </is>
      </c>
      <c r="B51">
        <f>Xe!$I$80</f>
        <v/>
      </c>
      <c r="C51">
        <f>Xe!$K$80</f>
        <v/>
      </c>
      <c r="D51">
        <f>IF(INDEX(xe_input_vu_khi_suy_ra!$F$2:$F$66,MATCH(Xe!$AE$80,xe_input_vu_khi_suy_ra!$A$2:$A$66,0)),Xe_suy_ra!$E$80*INDEX(xe_input_bang_xuyen_giap!$B$2:$B$7,MIN(6,MAX(1,IF(INDEX(xe_input_vu_khi_suy_ra!$E$2:$E$66,MATCH(Xe!$AE$80,xe_input_vu_khi_suy_ra!$A$2:$A$66,0)),MAX(1,2-(INDEX(xe_input_vu_khi!$F$2:$F$66,MATCH(Xe!$AE$80,xe_input_vu_khi!$A$2:$A$66,0))-1)),2-(INDEX(xe_input_vu_khi!$F$2:$F$66,MATCH(Xe!$AE$80,xe_input_vu_khi!$A$2:$A$66,0))-1))+1)))*INDEX(xe_input_vu_khi_suy_ra!$H$2:$H$66,MATCH(Xe!$AE$80,xe_input_vu_khi_suy_ra!$A$2:$A$66,0)),0)</f>
        <v/>
      </c>
      <c r="E51">
        <f>IF(INDEX(xe_input_vu_khi_suy_ra!$F$2:$F$66,MATCH(Xe!$AE$80,xe_input_vu_khi_suy_ra!$A$2:$A$66,0)),Xe_suy_ra!$E$80*INDEX(xe_input_bang_xuyen_giap!$B$2:$B$7,MIN(6,MAX(1,IF(INDEX(xe_input_vu_khi_suy_ra!$E$2:$E$66,MATCH(Xe!$AE$80,xe_input_vu_khi_suy_ra!$A$2:$A$66,0)),MAX(1,2-(INDEX(xe_input_vu_khi!$F$2:$F$66,MATCH(Xe!$AE$80,xe_input_vu_khi!$A$2:$A$66,0))-3)),2-(INDEX(xe_input_vu_khi!$F$2:$F$66,MATCH(Xe!$AE$80,xe_input_vu_khi!$A$2:$A$66,0))-3))+1)))*INDEX(xe_input_vu_khi_suy_ra!$H$2:$H$66,MATCH(Xe!$AE$80,xe_input_vu_khi_suy_ra!$A$2:$A$66,0)),0)</f>
        <v/>
      </c>
      <c r="F51">
        <f>IF(INDEX(xe_input_vu_khi_suy_ra!$G$2:$G$66,MATCH(Xe!$AE$80,xe_input_vu_khi_suy_ra!$A$2:$A$66,0)),Xe_suy_ra!$G$80*INDEX(xe_input_bang_xuyen_giap!$B$2:$B$7,MIN(6,MAX(1,MAX(1,2-(INDEX(xe_input_vu_khi!$F$2:$F$66,MATCH(Xe!$AE$80,xe_input_vu_khi!$A$2:$A$66,0))-0))+1)))*INDEX(xe_input_vu_khi_suy_ra!$I$2:$I$66,MATCH(Xe!$AE$80,xe_input_vu_khi_suy_ra!$A$2:$A$66,0)),0)</f>
        <v/>
      </c>
      <c r="G51">
        <f>MAX($D$51,$E$51,$F$51)</f>
        <v/>
      </c>
      <c r="H51">
        <f>LN($B$51)</f>
        <v/>
      </c>
      <c r="I51">
        <f>LN($C$51)</f>
        <v/>
      </c>
      <c r="J51">
        <f>IF($G$51&gt;0,LN($G$51),"")</f>
        <v/>
      </c>
      <c r="K51">
        <f>IF($B$51&lt;=8,"&lt;=8",IF($B$51&lt;=15,"9-15","&gt;=16"))</f>
        <v/>
      </c>
      <c r="L51">
        <f>IF($K$51="&lt;=8",$C$51/$B$51,"")</f>
        <v/>
      </c>
      <c r="M51">
        <f>IF($K$51="&lt;=8",$G$51/$B$51,"")</f>
        <v/>
      </c>
      <c r="N51">
        <f>IF($K$51="9-15",$C$51/$B$51,"")</f>
        <v/>
      </c>
      <c r="O51">
        <f>IF($K$51="9-15",$G$51/$B$51,"")</f>
        <v/>
      </c>
      <c r="P51">
        <f>IF($K$51="&gt;=16",$C$51/$B$51,"")</f>
        <v/>
      </c>
      <c r="Q51">
        <f>IF($K$51="&gt;=16",$G$51/$B$51,"")</f>
        <v/>
      </c>
      <c r="R51" t="inlineStr">
        <is>
          <t>Assets/MachineBrigade/Resources/Data/balance.json: vehicles[id=zu23_technical] (lọc hồi quy)</t>
        </is>
      </c>
      <c r="S51" t="inlineStr"/>
    </row>
  </sheetData>
  <autoFilter ref="A1:S5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0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gia_tri</t>
        </is>
      </c>
      <c r="C1" s="1" t="inlineStr">
        <is>
          <t>y_nghia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dps_he_so</t>
        </is>
      </c>
      <c r="B2">
        <f>EXP(INTERCEPT(Hoi_quy_du_lieu!$J$2:$J$51,Hoi_quy_du_lieu!$H$2:$H$51))</f>
        <v/>
      </c>
      <c r="C2" t="inlineStr">
        <is>
          <t>hệ số a của DPS theo CP</t>
        </is>
      </c>
      <c r="D2" t="inlineStr">
        <is>
          <t>Tools/export (hồi quy trên Hoi_quy_du_lieu)</t>
        </is>
      </c>
      <c r="E2" t="inlineStr"/>
    </row>
    <row r="3">
      <c r="A3" t="inlineStr">
        <is>
          <t>dps_so_mu</t>
        </is>
      </c>
      <c r="B3">
        <f>SLOPE(Hoi_quy_du_lieu!$J$2:$J$51,Hoi_quy_du_lieu!$H$2:$H$51)</f>
        <v/>
      </c>
      <c r="C3" t="inlineStr">
        <is>
          <t>số mũ b của DPS theo CP</t>
        </is>
      </c>
      <c r="D3" t="inlineStr">
        <is>
          <t>Tools/export (hồi quy trên Hoi_quy_du_lieu)</t>
        </is>
      </c>
      <c r="E3" t="inlineStr"/>
    </row>
    <row r="4">
      <c r="A4" t="inlineStr">
        <is>
          <t>mau_he_so</t>
        </is>
      </c>
      <c r="B4">
        <f>EXP(INTERCEPT(Hoi_quy_du_lieu!$I$2:$I$51,Hoi_quy_du_lieu!$H$2:$H$51))</f>
        <v/>
      </c>
      <c r="C4" t="inlineStr">
        <is>
          <t>hệ số a của máu theo CP</t>
        </is>
      </c>
      <c r="D4" t="inlineStr">
        <is>
          <t>Tools/export (hồi quy trên Hoi_quy_du_lieu)</t>
        </is>
      </c>
      <c r="E4" t="inlineStr"/>
    </row>
    <row r="5">
      <c r="A5" t="inlineStr">
        <is>
          <t>mau_so_mu</t>
        </is>
      </c>
      <c r="B5">
        <f>SLOPE(Hoi_quy_du_lieu!$I$2:$I$51,Hoi_quy_du_lieu!$H$2:$H$51)</f>
        <v/>
      </c>
      <c r="C5" t="inlineStr">
        <is>
          <t>số mũ b của máu theo CP</t>
        </is>
      </c>
      <c r="D5" t="inlineStr">
        <is>
          <t>Tools/export (hồi quy trên Hoi_quy_du_lieu)</t>
        </is>
      </c>
      <c r="E5" t="inlineStr"/>
    </row>
    <row r="6">
      <c r="A6" t="inlineStr">
        <is>
          <t>n_dps</t>
        </is>
      </c>
      <c r="B6">
        <f>COUNT(Hoi_quy_du_lieu!$J$2:$J$51)</f>
        <v/>
      </c>
      <c r="C6" t="inlineStr">
        <is>
          <t>số xe có DPS &gt; 0</t>
        </is>
      </c>
      <c r="D6" t="inlineStr">
        <is>
          <t>Tools/export (hồi quy trên Hoi_quy_du_lieu)</t>
        </is>
      </c>
      <c r="E6" t="inlineStr"/>
    </row>
    <row r="7">
      <c r="A7" t="inlineStr">
        <is>
          <t>n_mau</t>
        </is>
      </c>
      <c r="B7">
        <f>COUNT(Hoi_quy_du_lieu!$I$2:$I$51)</f>
        <v/>
      </c>
      <c r="C7" t="inlineStr">
        <is>
          <t>số xe trong hồi quy máu</t>
        </is>
      </c>
      <c r="D7" t="inlineStr">
        <is>
          <t>Tools/export (hồi quy trên Hoi_quy_du_lieu)</t>
        </is>
      </c>
      <c r="E7" t="inlineStr"/>
    </row>
    <row r="8">
      <c r="A8" t="inlineStr">
        <is>
          <t>trung_vi_dps_tren_cp_9_15</t>
        </is>
      </c>
      <c r="B8">
        <f>MEDIAN(Hoi_quy_du_lieu!$O$2:$O$51)</f>
        <v/>
      </c>
      <c r="C8" t="inlineStr">
        <is>
          <t>trung vị DPS / CP, dải 9-15</t>
        </is>
      </c>
      <c r="D8" t="inlineStr">
        <is>
          <t>Tools/export (hồi quy trên Hoi_quy_du_lieu)</t>
        </is>
      </c>
      <c r="E8" t="inlineStr"/>
    </row>
    <row r="9">
      <c r="A9" t="inlineStr">
        <is>
          <t>trung_vi_dps_tren_cp_ge16</t>
        </is>
      </c>
      <c r="B9">
        <f>MEDIAN(Hoi_quy_du_lieu!$Q$2:$Q$51)</f>
        <v/>
      </c>
      <c r="C9" t="inlineStr">
        <is>
          <t>trung vị DPS / CP, dải &gt;=16</t>
        </is>
      </c>
      <c r="D9" t="inlineStr">
        <is>
          <t>Tools/export (hồi quy trên Hoi_quy_du_lieu)</t>
        </is>
      </c>
      <c r="E9" t="inlineStr"/>
    </row>
    <row r="10">
      <c r="A10" t="inlineStr">
        <is>
          <t>trung_vi_dps_tren_cp_le8</t>
        </is>
      </c>
      <c r="B10">
        <f>MEDIAN(Hoi_quy_du_lieu!$M$2:$M$51)</f>
        <v/>
      </c>
      <c r="C10" t="inlineStr">
        <is>
          <t>trung vị DPS / CP, dải &lt;=8</t>
        </is>
      </c>
      <c r="D10" t="inlineStr">
        <is>
          <t>Tools/export (hồi quy trên Hoi_quy_du_lieu)</t>
        </is>
      </c>
      <c r="E10" t="inlineStr"/>
    </row>
    <row r="11">
      <c r="A11" t="inlineStr">
        <is>
          <t>trung_vi_mau_tren_cp_9_15</t>
        </is>
      </c>
      <c r="B11">
        <f>MEDIAN(Hoi_quy_du_lieu!$N$2:$N$51)</f>
        <v/>
      </c>
      <c r="C11" t="inlineStr">
        <is>
          <t>trung vị máu / CP, dải 9-15</t>
        </is>
      </c>
      <c r="D11" t="inlineStr">
        <is>
          <t>Tools/export (hồi quy trên Hoi_quy_du_lieu)</t>
        </is>
      </c>
      <c r="E11" t="inlineStr"/>
    </row>
    <row r="12">
      <c r="A12" t="inlineStr">
        <is>
          <t>trung_vi_mau_tren_cp_ge16</t>
        </is>
      </c>
      <c r="B12">
        <f>MEDIAN(Hoi_quy_du_lieu!$P$2:$P$51)</f>
        <v/>
      </c>
      <c r="C12" t="inlineStr">
        <is>
          <t>trung vị máu / CP, dải &gt;=16</t>
        </is>
      </c>
      <c r="D12" t="inlineStr">
        <is>
          <t>Tools/export (hồi quy trên Hoi_quy_du_lieu)</t>
        </is>
      </c>
      <c r="E12" t="inlineStr"/>
    </row>
    <row r="13">
      <c r="A13" t="inlineStr">
        <is>
          <t>trung_vi_mau_tren_cp_le8</t>
        </is>
      </c>
      <c r="B13">
        <f>MEDIAN(Hoi_quy_du_lieu!$L$2:$L$51)</f>
        <v/>
      </c>
      <c r="C13" t="inlineStr">
        <is>
          <t>trung vị máu / CP, dải &lt;=8</t>
        </is>
      </c>
      <c r="D13" t="inlineStr">
        <is>
          <t>Tools/export (hồi quy trên Hoi_quy_du_lieu)</t>
        </is>
      </c>
      <c r="E13" t="inlineStr"/>
    </row>
  </sheetData>
  <autoFilter ref="A1:E13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60" customWidth="1" min="4" max="4"/>
    <col width="30" customWidth="1" min="5" max="5"/>
    <col width="39" customWidth="1" min="6" max="6"/>
    <col width="60" customWidth="1" min="7" max="7"/>
    <col width="26" customWidth="1" min="8" max="8"/>
    <col width="39" customWidth="1" min="9" max="9"/>
    <col width="60" customWidth="1" min="10" max="10"/>
    <col width="40" customWidth="1" min="11" max="11"/>
    <col width="39" customWidth="1" min="12" max="12"/>
    <col width="14" customWidth="1" min="13" max="13"/>
    <col width="60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mau_hp</t>
        </is>
      </c>
      <c r="C1" s="1" t="inlineStr">
        <is>
          <t>giap</t>
        </is>
      </c>
      <c r="D1" s="1" t="inlineStr">
        <is>
          <t>sat_thuong_phat_stinger</t>
        </is>
      </c>
      <c r="E1" s="1" t="inlineStr">
        <is>
          <t>sat_thuong_phat_stinger_game</t>
        </is>
      </c>
      <c r="F1" s="1" t="inlineStr">
        <is>
          <t>so_phat_stinger</t>
        </is>
      </c>
      <c r="G1" s="1" t="inlineStr">
        <is>
          <t>sat_thuong_phat_buk</t>
        </is>
      </c>
      <c r="H1" s="1" t="inlineStr">
        <is>
          <t>sat_thuong_phat_buk_game</t>
        </is>
      </c>
      <c r="I1" s="1" t="inlineStr">
        <is>
          <t>so_phat_buk</t>
        </is>
      </c>
      <c r="J1" s="1" t="inlineStr">
        <is>
          <t>sat_thuong_phat_ten_lua_tiem_kich</t>
        </is>
      </c>
      <c r="K1" s="1" t="inlineStr">
        <is>
          <t>sat_thuong_phat_ten_lua_tiem_kich_game</t>
        </is>
      </c>
      <c r="L1" s="1" t="inlineStr">
        <is>
          <t>so_phat_ten_lua_tiem_kich</t>
        </is>
      </c>
      <c r="M1" s="1" t="inlineStr">
        <is>
          <t>dai_muc_tieu</t>
        </is>
      </c>
      <c r="N1" s="1" t="inlineStr">
        <is>
          <t>nguon</t>
        </is>
      </c>
      <c r="O1" s="1" t="inlineStr">
        <is>
          <t>raw_json</t>
        </is>
      </c>
    </row>
    <row r="2">
      <c r="A2" t="inlineStr">
        <is>
          <t>attack_helicopter</t>
        </is>
      </c>
      <c r="B2">
        <f>Xe!$K$8</f>
        <v/>
      </c>
      <c r="C2">
        <f>Xe!$L$8</f>
        <v/>
      </c>
      <c r="D2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$2))+1)))*INDEX(xe_input_vu_khi_suy_ra!$I$2:$I$66,MATCH("stinger_post",xe_input_vu_khi_suy_ra!$A$2:$A$66,0)),0)</f>
        <v/>
      </c>
      <c r="E2" t="n">
        <v>221</v>
      </c>
      <c r="F2">
        <f>IF($D$2&gt;0,CEILING($B$2/$D$2,1),"")</f>
        <v/>
      </c>
      <c r="G2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$2))+1)))*INDEX(xe_input_vu_khi_suy_ra!$I$2:$I$66,MATCH("buk_launcher",xe_input_vu_khi_suy_ra!$A$2:$A$66,0)),0)</f>
        <v/>
      </c>
      <c r="H2" t="n">
        <v>416</v>
      </c>
      <c r="I2">
        <f>IF($G$2&gt;0,CEILING($B$2/$G$2,1),"")</f>
        <v/>
      </c>
      <c r="J2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$2))+1)))*INDEX(xe_input_vu_khi_suy_ra!$I$2:$I$66,MATCH("air_to_air",xe_input_vu_khi_suy_ra!$A$2:$A$66,0)),0)</f>
        <v/>
      </c>
      <c r="K2" t="n">
        <v>382.2</v>
      </c>
      <c r="L2">
        <f>IF($J$2&gt;0,CEILING($B$2/$J$2,1),"")</f>
        <v/>
      </c>
      <c r="M2" t="inlineStr">
        <is>
          <t>KHONG_AP_DUNG</t>
        </is>
      </c>
      <c r="N2" t="inlineStr">
        <is>
          <t>Assets/MachineBrigade/Resources/Data/balance.json: vehicles[id=attack_helicopter] (máy bay)</t>
        </is>
      </c>
      <c r="O2" t="inlineStr"/>
    </row>
    <row r="3">
      <c r="A3" t="inlineStr">
        <is>
          <t>attack_jet</t>
        </is>
      </c>
      <c r="B3">
        <f>Xe!$K$9</f>
        <v/>
      </c>
      <c r="C3">
        <f>Xe!$L$9</f>
        <v/>
      </c>
      <c r="D3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$3))+1)))*INDEX(xe_input_vu_khi_suy_ra!$I$2:$I$66,MATCH("stinger_post",xe_input_vu_khi_suy_ra!$A$2:$A$66,0)),0)</f>
        <v/>
      </c>
      <c r="E3" t="n">
        <v>187.85</v>
      </c>
      <c r="F3">
        <f>IF($D$3&gt;0,CEILING($B$3/$D$3,1),"")</f>
        <v/>
      </c>
      <c r="G3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$3))+1)))*INDEX(xe_input_vu_khi_suy_ra!$I$2:$I$66,MATCH("buk_launcher",xe_input_vu_khi_suy_ra!$A$2:$A$66,0)),0)</f>
        <v/>
      </c>
      <c r="H3" t="n">
        <v>416</v>
      </c>
      <c r="I3">
        <f>IF($G$3&gt;0,CEILING($B$3/$G$3,1),"")</f>
        <v/>
      </c>
      <c r="J3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$3))+1)))*INDEX(xe_input_vu_khi_suy_ra!$I$2:$I$66,MATCH("air_to_air",xe_input_vu_khi_suy_ra!$A$2:$A$66,0)),0)</f>
        <v/>
      </c>
      <c r="K3" t="n">
        <v>382.2</v>
      </c>
      <c r="L3">
        <f>IF($J$3&gt;0,CEILING($B$3/$J$3,1),"")</f>
        <v/>
      </c>
      <c r="M3" t="inlineStr">
        <is>
          <t>KHONG_AP_DUNG</t>
        </is>
      </c>
      <c r="N3" t="inlineStr">
        <is>
          <t>Assets/MachineBrigade/Resources/Data/balance.json: vehicles[id=attack_jet] (máy bay)</t>
        </is>
      </c>
      <c r="O3" t="inlineStr"/>
    </row>
    <row r="4">
      <c r="A4" t="inlineStr">
        <is>
          <t>drop_pod</t>
        </is>
      </c>
      <c r="B4">
        <f>Xe!$K$13</f>
        <v/>
      </c>
      <c r="C4">
        <f>Xe!$L$13</f>
        <v/>
      </c>
      <c r="D4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$4))+1)))*INDEX(xe_input_vu_khi_suy_ra!$I$2:$I$66,MATCH("stinger_post",xe_input_vu_khi_suy_ra!$A$2:$A$66,0)),0)</f>
        <v/>
      </c>
      <c r="E4" t="n">
        <v>221</v>
      </c>
      <c r="F4">
        <f>IF($D$4&gt;0,CEILING($B$4/$D$4,1),"")</f>
        <v/>
      </c>
      <c r="G4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$4))+1)))*INDEX(xe_input_vu_khi_suy_ra!$I$2:$I$66,MATCH("buk_launcher",xe_input_vu_khi_suy_ra!$A$2:$A$66,0)),0)</f>
        <v/>
      </c>
      <c r="H4" t="n">
        <v>416</v>
      </c>
      <c r="I4">
        <f>IF($G$4&gt;0,CEILING($B$4/$G$4,1),"")</f>
        <v/>
      </c>
      <c r="J4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$4))+1)))*INDEX(xe_input_vu_khi_suy_ra!$I$2:$I$66,MATCH("air_to_air",xe_input_vu_khi_suy_ra!$A$2:$A$66,0)),0)</f>
        <v/>
      </c>
      <c r="K4" t="n">
        <v>382.2</v>
      </c>
      <c r="L4">
        <f>IF($J$4&gt;0,CEILING($B$4/$J$4,1),"")</f>
        <v/>
      </c>
      <c r="M4" t="inlineStr">
        <is>
          <t>KHONG_AP_DUNG</t>
        </is>
      </c>
      <c r="N4" t="inlineStr">
        <is>
          <t>Assets/MachineBrigade/Resources/Data/balance.json: vehicles[id=drop_pod] (máy bay)</t>
        </is>
      </c>
      <c r="O4" t="inlineStr"/>
    </row>
    <row r="5">
      <c r="A5" t="inlineStr">
        <is>
          <t>fighter_jet</t>
        </is>
      </c>
      <c r="B5">
        <f>Xe!$K$28</f>
        <v/>
      </c>
      <c r="C5">
        <f>Xe!$L$28</f>
        <v/>
      </c>
      <c r="D5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$5))+1)))*INDEX(xe_input_vu_khi_suy_ra!$I$2:$I$66,MATCH("stinger_post",xe_input_vu_khi_suy_ra!$A$2:$A$66,0)),0)</f>
        <v/>
      </c>
      <c r="E5" t="n">
        <v>221</v>
      </c>
      <c r="F5">
        <f>IF($D$5&gt;0,CEILING($B$5/$D$5,1),"")</f>
        <v/>
      </c>
      <c r="G5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$5))+1)))*INDEX(xe_input_vu_khi_suy_ra!$I$2:$I$66,MATCH("buk_launcher",xe_input_vu_khi_suy_ra!$A$2:$A$66,0)),0)</f>
        <v/>
      </c>
      <c r="H5" t="n">
        <v>416</v>
      </c>
      <c r="I5">
        <f>IF($G$5&gt;0,CEILING($B$5/$G$5,1),"")</f>
        <v/>
      </c>
      <c r="J5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$5))+1)))*INDEX(xe_input_vu_khi_suy_ra!$I$2:$I$66,MATCH("air_to_air",xe_input_vu_khi_suy_ra!$A$2:$A$66,0)),0)</f>
        <v/>
      </c>
      <c r="K5" t="n">
        <v>382.2</v>
      </c>
      <c r="L5">
        <f>IF($J$5&gt;0,CEILING($B$5/$J$5,1),"")</f>
        <v/>
      </c>
      <c r="M5" t="inlineStr">
        <is>
          <t>KHONG_AP_DUNG</t>
        </is>
      </c>
      <c r="N5" t="inlineStr">
        <is>
          <t>Assets/MachineBrigade/Resources/Data/balance.json: vehicles[id=fighter_jet] (máy bay)</t>
        </is>
      </c>
      <c r="O5" t="inlineStr"/>
    </row>
    <row r="6">
      <c r="A6" t="inlineStr">
        <is>
          <t>heavy_bomber</t>
        </is>
      </c>
      <c r="B6">
        <f>Xe!$K$34</f>
        <v/>
      </c>
      <c r="C6">
        <f>Xe!$L$34</f>
        <v/>
      </c>
      <c r="D6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$6))+1)))*INDEX(xe_input_vu_khi_suy_ra!$I$2:$I$66,MATCH("stinger_post",xe_input_vu_khi_suy_ra!$A$2:$A$66,0)),0)</f>
        <v/>
      </c>
      <c r="E6" t="n">
        <v>221</v>
      </c>
      <c r="F6">
        <f>IF($D$6&gt;0,CEILING($B$6/$D$6,1),"")</f>
        <v/>
      </c>
      <c r="G6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$6))+1)))*INDEX(xe_input_vu_khi_suy_ra!$I$2:$I$66,MATCH("buk_launcher",xe_input_vu_khi_suy_ra!$A$2:$A$66,0)),0)</f>
        <v/>
      </c>
      <c r="H6" t="n">
        <v>416</v>
      </c>
      <c r="I6">
        <f>IF($G$6&gt;0,CEILING($B$6/$G$6,1),"")</f>
        <v/>
      </c>
      <c r="J6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$6))+1)))*INDEX(xe_input_vu_khi_suy_ra!$I$2:$I$66,MATCH("air_to_air",xe_input_vu_khi_suy_ra!$A$2:$A$66,0)),0)</f>
        <v/>
      </c>
      <c r="K6" t="n">
        <v>382.2</v>
      </c>
      <c r="L6">
        <f>IF($J$6&gt;0,CEILING($B$6/$J$6,1),"")</f>
        <v/>
      </c>
      <c r="M6" t="inlineStr">
        <is>
          <t>KHONG_AP_DUNG</t>
        </is>
      </c>
      <c r="N6" t="inlineStr">
        <is>
          <t>Assets/MachineBrigade/Resources/Data/balance.json: vehicles[id=heavy_bomber] (máy bay)</t>
        </is>
      </c>
      <c r="O6" t="inlineStr"/>
    </row>
    <row r="7">
      <c r="A7" t="inlineStr">
        <is>
          <t>recon_drone</t>
        </is>
      </c>
      <c r="B7">
        <f>Xe!$K$53</f>
        <v/>
      </c>
      <c r="C7">
        <f>Xe!$L$53</f>
        <v/>
      </c>
      <c r="D7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$7))+1)))*INDEX(xe_input_vu_khi_suy_ra!$I$2:$I$66,MATCH("stinger_post",xe_input_vu_khi_suy_ra!$A$2:$A$66,0)),0)</f>
        <v/>
      </c>
      <c r="E7" t="n">
        <v>221</v>
      </c>
      <c r="F7">
        <f>IF($D$7&gt;0,CEILING($B$7/$D$7,1),"")</f>
        <v/>
      </c>
      <c r="G7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$7))+1)))*INDEX(xe_input_vu_khi_suy_ra!$I$2:$I$66,MATCH("buk_launcher",xe_input_vu_khi_suy_ra!$A$2:$A$66,0)),0)</f>
        <v/>
      </c>
      <c r="H7" t="n">
        <v>416</v>
      </c>
      <c r="I7">
        <f>IF($G$7&gt;0,CEILING($B$7/$G$7,1),"")</f>
        <v/>
      </c>
      <c r="J7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$7))+1)))*INDEX(xe_input_vu_khi_suy_ra!$I$2:$I$66,MATCH("air_to_air",xe_input_vu_khi_suy_ra!$A$2:$A$66,0)),0)</f>
        <v/>
      </c>
      <c r="K7" t="n">
        <v>382.2</v>
      </c>
      <c r="L7">
        <f>IF($J$7&gt;0,CEILING($B$7/$J$7,1),"")</f>
        <v/>
      </c>
      <c r="M7" t="inlineStr">
        <is>
          <t>KHONG_AP_DUNG</t>
        </is>
      </c>
      <c r="N7" t="inlineStr">
        <is>
          <t>Assets/MachineBrigade/Resources/Data/balance.json: vehicles[id=recon_drone] (máy bay)</t>
        </is>
      </c>
      <c r="O7" t="inlineStr"/>
    </row>
    <row r="8">
      <c r="A8" t="inlineStr">
        <is>
          <t>scout_heli</t>
        </is>
      </c>
      <c r="B8">
        <f>Xe!$K$58</f>
        <v/>
      </c>
      <c r="C8">
        <f>Xe!$L$58</f>
        <v/>
      </c>
      <c r="D8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$8))+1)))*INDEX(xe_input_vu_khi_suy_ra!$I$2:$I$66,MATCH("stinger_post",xe_input_vu_khi_suy_ra!$A$2:$A$66,0)),0)</f>
        <v/>
      </c>
      <c r="E8" t="n">
        <v>221</v>
      </c>
      <c r="F8">
        <f>IF($D$8&gt;0,CEILING($B$8/$D$8,1),"")</f>
        <v/>
      </c>
      <c r="G8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$8))+1)))*INDEX(xe_input_vu_khi_suy_ra!$I$2:$I$66,MATCH("buk_launcher",xe_input_vu_khi_suy_ra!$A$2:$A$66,0)),0)</f>
        <v/>
      </c>
      <c r="H8" t="n">
        <v>416</v>
      </c>
      <c r="I8">
        <f>IF($G$8&gt;0,CEILING($B$8/$G$8,1),"")</f>
        <v/>
      </c>
      <c r="J8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$8))+1)))*INDEX(xe_input_vu_khi_suy_ra!$I$2:$I$66,MATCH("air_to_air",xe_input_vu_khi_suy_ra!$A$2:$A$66,0)),0)</f>
        <v/>
      </c>
      <c r="K8" t="n">
        <v>382.2</v>
      </c>
      <c r="L8">
        <f>IF($J$8&gt;0,CEILING($B$8/$J$8,1),"")</f>
        <v/>
      </c>
      <c r="M8" t="inlineStr">
        <is>
          <t>KHONG_AP_DUNG</t>
        </is>
      </c>
      <c r="N8" t="inlineStr">
        <is>
          <t>Assets/MachineBrigade/Resources/Data/balance.json: vehicles[id=scout_heli] (máy bay)</t>
        </is>
      </c>
      <c r="O8" t="inlineStr"/>
    </row>
    <row r="9">
      <c r="A9" t="inlineStr">
        <is>
          <t>sky_gunship</t>
        </is>
      </c>
      <c r="B9">
        <f>Xe!$K$65</f>
        <v/>
      </c>
      <c r="C9">
        <f>Xe!$L$65</f>
        <v/>
      </c>
      <c r="D9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$9))+1)))*INDEX(xe_input_vu_khi_suy_ra!$I$2:$I$66,MATCH("stinger_post",xe_input_vu_khi_suy_ra!$A$2:$A$66,0)),0)</f>
        <v/>
      </c>
      <c r="E9" t="n">
        <v>221</v>
      </c>
      <c r="F9">
        <f>IF($D$9&gt;0,CEILING($B$9/$D$9,1),"")</f>
        <v/>
      </c>
      <c r="G9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$9))+1)))*INDEX(xe_input_vu_khi_suy_ra!$I$2:$I$66,MATCH("buk_launcher",xe_input_vu_khi_suy_ra!$A$2:$A$66,0)),0)</f>
        <v/>
      </c>
      <c r="H9" t="n">
        <v>416</v>
      </c>
      <c r="I9">
        <f>IF($G$9&gt;0,CEILING($B$9/$G$9,1),"")</f>
        <v/>
      </c>
      <c r="J9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$9))+1)))*INDEX(xe_input_vu_khi_suy_ra!$I$2:$I$66,MATCH("air_to_air",xe_input_vu_khi_suy_ra!$A$2:$A$66,0)),0)</f>
        <v/>
      </c>
      <c r="K9" t="n">
        <v>382.2</v>
      </c>
      <c r="L9">
        <f>IF($J$9&gt;0,CEILING($B$9/$J$9,1),"")</f>
        <v/>
      </c>
      <c r="M9" t="inlineStr">
        <is>
          <t>KHONG_AP_DUNG</t>
        </is>
      </c>
      <c r="N9" t="inlineStr">
        <is>
          <t>Assets/MachineBrigade/Resources/Data/balance.json: vehicles[id=sky_gunship] (máy bay)</t>
        </is>
      </c>
      <c r="O9" t="inlineStr"/>
    </row>
    <row r="10">
      <c r="A10" t="inlineStr">
        <is>
          <t>stealth_bomber</t>
        </is>
      </c>
      <c r="B10">
        <f>Xe!$K$67</f>
        <v/>
      </c>
      <c r="C10">
        <f>Xe!$L$67</f>
        <v/>
      </c>
      <c r="D10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$10))+1)))*INDEX(xe_input_vu_khi_suy_ra!$I$2:$I$66,MATCH("stinger_post",xe_input_vu_khi_suy_ra!$A$2:$A$66,0)),0)</f>
        <v/>
      </c>
      <c r="E10" t="n">
        <v>221</v>
      </c>
      <c r="F10">
        <f>IF($D$10&gt;0,CEILING($B$10/$D$10,1),"")</f>
        <v/>
      </c>
      <c r="G10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$10))+1)))*INDEX(xe_input_vu_khi_suy_ra!$I$2:$I$66,MATCH("buk_launcher",xe_input_vu_khi_suy_ra!$A$2:$A$66,0)),0)</f>
        <v/>
      </c>
      <c r="H10" t="n">
        <v>416</v>
      </c>
      <c r="I10">
        <f>IF($G$10&gt;0,CEILING($B$10/$G$10,1),"")</f>
        <v/>
      </c>
      <c r="J10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$10))+1)))*INDEX(xe_input_vu_khi_suy_ra!$I$2:$I$66,MATCH("air_to_air",xe_input_vu_khi_suy_ra!$A$2:$A$66,0)),0)</f>
        <v/>
      </c>
      <c r="K10" t="n">
        <v>382.2</v>
      </c>
      <c r="L10">
        <f>IF($J$10&gt;0,CEILING($B$10/$J$10,1),"")</f>
        <v/>
      </c>
      <c r="M10" t="inlineStr">
        <is>
          <t>KHONG_AP_DUNG</t>
        </is>
      </c>
      <c r="N10" t="inlineStr">
        <is>
          <t>Assets/MachineBrigade/Resources/Data/balance.json: vehicles[id=stealth_bomber] (máy bay)</t>
        </is>
      </c>
      <c r="O10" t="inlineStr"/>
    </row>
    <row r="11">
      <c r="A11" t="inlineStr">
        <is>
          <t>stealth_fighter</t>
        </is>
      </c>
      <c r="B11">
        <f>Xe!$K$68</f>
        <v/>
      </c>
      <c r="C11">
        <f>Xe!$L$68</f>
        <v/>
      </c>
      <c r="D11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$11))+1)))*INDEX(xe_input_vu_khi_suy_ra!$I$2:$I$66,MATCH("stinger_post",xe_input_vu_khi_suy_ra!$A$2:$A$66,0)),0)</f>
        <v/>
      </c>
      <c r="E11" t="n">
        <v>221</v>
      </c>
      <c r="F11">
        <f>IF($D$11&gt;0,CEILING($B$11/$D$11,1),"")</f>
        <v/>
      </c>
      <c r="G11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$11))+1)))*INDEX(xe_input_vu_khi_suy_ra!$I$2:$I$66,MATCH("buk_launcher",xe_input_vu_khi_suy_ra!$A$2:$A$66,0)),0)</f>
        <v/>
      </c>
      <c r="H11" t="n">
        <v>416</v>
      </c>
      <c r="I11">
        <f>IF($G$11&gt;0,CEILING($B$11/$G$11,1),"")</f>
        <v/>
      </c>
      <c r="J11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$11))+1)))*INDEX(xe_input_vu_khi_suy_ra!$I$2:$I$66,MATCH("air_to_air",xe_input_vu_khi_suy_ra!$A$2:$A$66,0)),0)</f>
        <v/>
      </c>
      <c r="K11" t="n">
        <v>382.2</v>
      </c>
      <c r="L11">
        <f>IF($J$11&gt;0,CEILING($B$11/$J$11,1),"")</f>
        <v/>
      </c>
      <c r="M11" t="inlineStr">
        <is>
          <t>KHONG_AP_DUNG</t>
        </is>
      </c>
      <c r="N11" t="inlineStr">
        <is>
          <t>Assets/MachineBrigade/Resources/Data/balance.json: vehicles[id=stealth_fighter] (máy bay)</t>
        </is>
      </c>
      <c r="O11" t="inlineStr"/>
    </row>
    <row r="12">
      <c r="A12" t="inlineStr">
        <is>
          <t>stealth_naval_strike</t>
        </is>
      </c>
      <c r="B12">
        <f>Xe!$K$69</f>
        <v/>
      </c>
      <c r="C12">
        <f>Xe!$L$69</f>
        <v/>
      </c>
      <c r="D12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$12))+1)))*INDEX(xe_input_vu_khi_suy_ra!$I$2:$I$66,MATCH("stinger_post",xe_input_vu_khi_suy_ra!$A$2:$A$66,0)),0)</f>
        <v/>
      </c>
      <c r="E12" t="n">
        <v>221</v>
      </c>
      <c r="F12">
        <f>IF($D$12&gt;0,CEILING($B$12/$D$12,1),"")</f>
        <v/>
      </c>
      <c r="G12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$12))+1)))*INDEX(xe_input_vu_khi_suy_ra!$I$2:$I$66,MATCH("buk_launcher",xe_input_vu_khi_suy_ra!$A$2:$A$66,0)),0)</f>
        <v/>
      </c>
      <c r="H12" t="n">
        <v>416</v>
      </c>
      <c r="I12">
        <f>IF($G$12&gt;0,CEILING($B$12/$G$12,1),"")</f>
        <v/>
      </c>
      <c r="J12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$12))+1)))*INDEX(xe_input_vu_khi_suy_ra!$I$2:$I$66,MATCH("air_to_air",xe_input_vu_khi_suy_ra!$A$2:$A$66,0)),0)</f>
        <v/>
      </c>
      <c r="K12" t="n">
        <v>382.2</v>
      </c>
      <c r="L12">
        <f>IF($J$12&gt;0,CEILING($B$12/$J$12,1),"")</f>
        <v/>
      </c>
      <c r="M12" t="inlineStr">
        <is>
          <t>KHONG_AP_DUNG</t>
        </is>
      </c>
      <c r="N12" t="inlineStr">
        <is>
          <t>Assets/MachineBrigade/Resources/Data/balance.json: vehicles[id=stealth_naval_strike] (máy bay)</t>
        </is>
      </c>
      <c r="O12" t="inlineStr"/>
    </row>
    <row r="13">
      <c r="A13" t="inlineStr">
        <is>
          <t>strike_drone</t>
        </is>
      </c>
      <c r="B13">
        <f>Xe!$K$70</f>
        <v/>
      </c>
      <c r="C13">
        <f>Xe!$L$70</f>
        <v/>
      </c>
      <c r="D13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$13))+1)))*INDEX(xe_input_vu_khi_suy_ra!$I$2:$I$66,MATCH("stinger_post",xe_input_vu_khi_suy_ra!$A$2:$A$66,0)),0)</f>
        <v/>
      </c>
      <c r="E13" t="n">
        <v>221</v>
      </c>
      <c r="F13">
        <f>IF($D$13&gt;0,CEILING($B$13/$D$13,1),"")</f>
        <v/>
      </c>
      <c r="G13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$13))+1)))*INDEX(xe_input_vu_khi_suy_ra!$I$2:$I$66,MATCH("buk_launcher",xe_input_vu_khi_suy_ra!$A$2:$A$66,0)),0)</f>
        <v/>
      </c>
      <c r="H13" t="n">
        <v>416</v>
      </c>
      <c r="I13">
        <f>IF($G$13&gt;0,CEILING($B$13/$G$13,1),"")</f>
        <v/>
      </c>
      <c r="J13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$13))+1)))*INDEX(xe_input_vu_khi_suy_ra!$I$2:$I$66,MATCH("air_to_air",xe_input_vu_khi_suy_ra!$A$2:$A$66,0)),0)</f>
        <v/>
      </c>
      <c r="K13" t="n">
        <v>382.2</v>
      </c>
      <c r="L13">
        <f>IF($J$13&gt;0,CEILING($B$13/$J$13,1),"")</f>
        <v/>
      </c>
      <c r="M13" t="inlineStr">
        <is>
          <t>KHONG_AP_DUNG</t>
        </is>
      </c>
      <c r="N13" t="inlineStr">
        <is>
          <t>Assets/MachineBrigade/Resources/Data/balance.json: vehicles[id=strike_drone] (máy bay)</t>
        </is>
      </c>
      <c r="O13" t="inlineStr"/>
    </row>
    <row r="14">
      <c r="A14" t="inlineStr">
        <is>
          <t>swarm_carrier</t>
        </is>
      </c>
      <c r="B14">
        <f>Xe!$K$72</f>
        <v/>
      </c>
      <c r="C14">
        <f>Xe!$L$72</f>
        <v/>
      </c>
      <c r="D14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$14))+1)))*INDEX(xe_input_vu_khi_suy_ra!$I$2:$I$66,MATCH("stinger_post",xe_input_vu_khi_suy_ra!$A$2:$A$66,0)),0)</f>
        <v/>
      </c>
      <c r="E14" t="n">
        <v>221</v>
      </c>
      <c r="F14">
        <f>IF($D$14&gt;0,CEILING($B$14/$D$14,1),"")</f>
        <v/>
      </c>
      <c r="G14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$14))+1)))*INDEX(xe_input_vu_khi_suy_ra!$I$2:$I$66,MATCH("buk_launcher",xe_input_vu_khi_suy_ra!$A$2:$A$66,0)),0)</f>
        <v/>
      </c>
      <c r="H14" t="n">
        <v>416</v>
      </c>
      <c r="I14">
        <f>IF($G$14&gt;0,CEILING($B$14/$G$14,1),"")</f>
        <v/>
      </c>
      <c r="J14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$14))+1)))*INDEX(xe_input_vu_khi_suy_ra!$I$2:$I$66,MATCH("air_to_air",xe_input_vu_khi_suy_ra!$A$2:$A$66,0)),0)</f>
        <v/>
      </c>
      <c r="K14" t="n">
        <v>382.2</v>
      </c>
      <c r="L14">
        <f>IF($J$14&gt;0,CEILING($B$14/$J$14,1),"")</f>
        <v/>
      </c>
      <c r="M14" t="inlineStr">
        <is>
          <t>KHONG_AP_DUNG</t>
        </is>
      </c>
      <c r="N14" t="inlineStr">
        <is>
          <t>Assets/MachineBrigade/Resources/Data/balance.json: vehicles[id=swarm_carrier] (máy bay)</t>
        </is>
      </c>
      <c r="O14" t="inlineStr"/>
    </row>
    <row r="15">
      <c r="A15" t="inlineStr">
        <is>
          <t>twin_rotor_gunship</t>
        </is>
      </c>
      <c r="B15">
        <f>Xe!$K$76</f>
        <v/>
      </c>
      <c r="C15">
        <f>Xe!$L$76</f>
        <v/>
      </c>
      <c r="D15">
        <f>IF(INDEX(xe_input_vu_khi_suy_ra!$G$2:$G$66,MATCH("stinger_post",xe_input_vu_khi_suy_ra!$A$2:$A$66,0)),INDEX(xe_input_vu_khi!$B$2:$B$66,MATCH("stinger_post",xe_input_vu_khi!$A$2:$A$66,0))*INDEX(xe_input_bang_xuyen_giap!$B$2:$B$7,MIN(6,MAX(1,MAX(1,2-(INDEX(xe_input_vu_khi!$F$2:$F$66,MATCH("stinger_post",xe_input_vu_khi!$A$2:$A$66,0))-$C$15))+1)))*INDEX(xe_input_vu_khi_suy_ra!$I$2:$I$66,MATCH("stinger_post",xe_input_vu_khi_suy_ra!$A$2:$A$66,0)),0)</f>
        <v/>
      </c>
      <c r="E15" t="n">
        <v>221</v>
      </c>
      <c r="F15">
        <f>IF($D$15&gt;0,CEILING($B$15/$D$15,1),"")</f>
        <v/>
      </c>
      <c r="G15">
        <f>IF(INDEX(xe_input_vu_khi_suy_ra!$G$2:$G$66,MATCH("buk_launcher",xe_input_vu_khi_suy_ra!$A$2:$A$66,0)),INDEX(xe_input_vu_khi!$B$2:$B$66,MATCH("buk_launcher",xe_input_vu_khi!$A$2:$A$66,0))*INDEX(xe_input_bang_xuyen_giap!$B$2:$B$7,MIN(6,MAX(1,MAX(1,2-(INDEX(xe_input_vu_khi!$F$2:$F$66,MATCH("buk_launcher",xe_input_vu_khi!$A$2:$A$66,0))-$C$15))+1)))*INDEX(xe_input_vu_khi_suy_ra!$I$2:$I$66,MATCH("buk_launcher",xe_input_vu_khi_suy_ra!$A$2:$A$66,0)),0)</f>
        <v/>
      </c>
      <c r="H15" t="n">
        <v>416</v>
      </c>
      <c r="I15">
        <f>IF($G$15&gt;0,CEILING($B$15/$G$15,1),"")</f>
        <v/>
      </c>
      <c r="J15">
        <f>IF(INDEX(xe_input_vu_khi_suy_ra!$G$2:$G$66,MATCH("air_to_air",xe_input_vu_khi_suy_ra!$A$2:$A$66,0)),INDEX(xe_input_vu_khi!$B$2:$B$66,MATCH("air_to_air",xe_input_vu_khi!$A$2:$A$66,0))*INDEX(xe_input_bang_xuyen_giap!$B$2:$B$7,MIN(6,MAX(1,MAX(1,2-(INDEX(xe_input_vu_khi!$F$2:$F$66,MATCH("air_to_air",xe_input_vu_khi!$A$2:$A$66,0))-$C$15))+1)))*INDEX(xe_input_vu_khi_suy_ra!$I$2:$I$66,MATCH("air_to_air",xe_input_vu_khi_suy_ra!$A$2:$A$66,0)),0)</f>
        <v/>
      </c>
      <c r="K15" t="n">
        <v>382.2</v>
      </c>
      <c r="L15">
        <f>IF($J$15&gt;0,CEILING($B$15/$J$15,1),"")</f>
        <v/>
      </c>
      <c r="M15" t="inlineStr">
        <is>
          <t>KHONG_AP_DUNG</t>
        </is>
      </c>
      <c r="N15" t="inlineStr">
        <is>
          <t>Assets/MachineBrigade/Resources/Data/balance.json: vehicles[id=twin_rotor_gunship] (máy bay)</t>
        </is>
      </c>
      <c r="O15" t="inlineStr"/>
    </row>
  </sheetData>
  <autoFilter ref="A1:O15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23" customWidth="1" min="3" max="3"/>
    <col width="22" customWidth="1" min="4" max="4"/>
    <col width="60" customWidth="1" min="5" max="5"/>
    <col width="6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base_cp_uoc_tinh</t>
        </is>
      </c>
      <c r="C1" s="1" t="inlineStr">
        <is>
          <t>base_cp_uoc_tinh_game</t>
        </is>
      </c>
      <c r="D1" s="1" t="inlineStr">
        <is>
          <t>tran_ngan_sach_ty_le</t>
        </is>
      </c>
      <c r="E1" s="1" t="inlineStr">
        <is>
          <t>phan_tram_cp_khoi_dau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commander.adler</t>
        </is>
      </c>
      <c r="B2">
        <f>SUM(Doi_mo_man_vai_tro!$E$16,Doi_mo_man_vai_tro!$E$11)</f>
        <v/>
      </c>
      <c r="C2" t="n">
        <v>5</v>
      </c>
      <c r="D2" t="inlineStr">
        <is>
          <t>=Doi_mo_man_luat!$D$4</t>
        </is>
      </c>
      <c r="E2" t="inlineStr">
        <is>
          <t>Conquest:31.2;Deathmatch:23.8;KingOfTheHill:26.3;Assault:21.7;Siege:11.4;Defend:14.3;Endless:14.3;Survival:26.3;BossRush:10.9;Showdown:23.8</t>
        </is>
      </c>
      <c r="F2" t="inlineStr">
        <is>
          <t>Assets/MachineBrigade/Resources/Data/balance.json: openingSquads.commanders.adler</t>
        </is>
      </c>
      <c r="G2" t="inlineStr"/>
    </row>
    <row r="3">
      <c r="A3" t="inlineStr">
        <is>
          <t>commander.brandt</t>
        </is>
      </c>
      <c r="B3">
        <f>SUM(Doi_mo_man_vai_tro!$E$3,Doi_mo_man_vai_tro!$E$6)</f>
        <v/>
      </c>
      <c r="C3" t="n">
        <v>18</v>
      </c>
      <c r="D3" t="inlineStr">
        <is>
          <t>=Doi_mo_man_luat!$D$4</t>
        </is>
      </c>
      <c r="E3" t="inlineStr">
        <is>
          <t>Conquest:60.0;Deathmatch:60.0;KingOfTheHill:60.0;Assault:60.0;Siege:40.9;Defend:51.4;Endless:51.4;Survival:60.0;BossRush:39.1;Showdown:60.0</t>
        </is>
      </c>
      <c r="F3" t="inlineStr">
        <is>
          <t>Assets/MachineBrigade/Resources/Data/balance.json: openingSquads.commanders.brandt</t>
        </is>
      </c>
      <c r="G3" t="inlineStr"/>
    </row>
    <row r="4">
      <c r="A4" t="inlineStr">
        <is>
          <t>commander.brenn</t>
        </is>
      </c>
      <c r="B4">
        <f>0</f>
        <v/>
      </c>
      <c r="C4" t="n">
        <v>0</v>
      </c>
      <c r="D4" t="inlineStr">
        <is>
          <t>=Doi_mo_man_luat!$D$4</t>
        </is>
      </c>
      <c r="E4" t="inlineStr">
        <is>
          <t>Conquest:0.0;Deathmatch:0.0;KingOfTheHill:0.0;Assault:0.0;Siege:0.0;Defend:0.0;Endless:0.0;Survival:0.0;BossRush:0.0;Showdown:0.0</t>
        </is>
      </c>
      <c r="F4" t="inlineStr">
        <is>
          <t>Assets/MachineBrigade/Resources/Data/balance.json: openingSquads.commanders.brenn</t>
        </is>
      </c>
      <c r="G4" t="inlineStr"/>
    </row>
    <row r="5">
      <c r="A5" t="inlineStr">
        <is>
          <t>commander.dahl</t>
        </is>
      </c>
      <c r="B5">
        <f>SUM(Doi_mo_man_vai_tro!$E$2,Doi_mo_man_vai_tro!$E$16)</f>
        <v/>
      </c>
      <c r="C5" t="n">
        <v>6</v>
      </c>
      <c r="D5" t="inlineStr">
        <is>
          <t>=Doi_mo_man_luat!$D$4</t>
        </is>
      </c>
      <c r="E5" t="inlineStr">
        <is>
          <t>Conquest:37.5;Deathmatch:28.6;KingOfTheHill:31.6;Assault:26.1;Siege:13.6;Defend:17.1;Endless:17.1;Survival:31.6;BossRush:13.0;Showdown:28.6</t>
        </is>
      </c>
      <c r="F5" t="inlineStr">
        <is>
          <t>Assets/MachineBrigade/Resources/Data/balance.json: openingSquads.commanders.dahl</t>
        </is>
      </c>
      <c r="G5" t="inlineStr"/>
    </row>
    <row r="6">
      <c r="A6" t="inlineStr">
        <is>
          <t>commander.kade</t>
        </is>
      </c>
      <c r="B6">
        <f>SUM(Doi_mo_man_vai_tro!$E$13,Doi_mo_man_vai_tro!$E$16)</f>
        <v/>
      </c>
      <c r="C6" t="n">
        <v>10</v>
      </c>
      <c r="D6" t="inlineStr">
        <is>
          <t>=Doi_mo_man_luat!$D$4</t>
        </is>
      </c>
      <c r="E6" t="inlineStr">
        <is>
          <t>Conquest:60.0;Deathmatch:47.6;KingOfTheHill:52.6;Assault:43.5;Siege:22.7;Defend:28.6;Endless:28.6;Survival:52.6;BossRush:21.7;Showdown:47.6</t>
        </is>
      </c>
      <c r="F6" t="inlineStr">
        <is>
          <t>Assets/MachineBrigade/Resources/Data/balance.json: openingSquads.commanders.kade</t>
        </is>
      </c>
      <c r="G6" t="inlineStr"/>
    </row>
    <row r="7">
      <c r="A7" t="inlineStr">
        <is>
          <t>commander.kerr</t>
        </is>
      </c>
      <c r="B7">
        <f>SUM(Doi_mo_man_vai_tro!$E$16,Doi_mo_man_vai_tro!$E$16,Doi_mo_man_vai_tro!$E$11)</f>
        <v/>
      </c>
      <c r="C7" t="n">
        <v>7</v>
      </c>
      <c r="D7" t="inlineStr">
        <is>
          <t>=Doi_mo_man_luat!$D$4</t>
        </is>
      </c>
      <c r="E7" t="inlineStr">
        <is>
          <t>Conquest:43.8;Deathmatch:33.3;KingOfTheHill:36.8;Assault:30.4;Siege:15.9;Defend:20.0;Endless:20.0;Survival:36.8;BossRush:15.2;Showdown:33.3</t>
        </is>
      </c>
      <c r="F7" t="inlineStr">
        <is>
          <t>Assets/MachineBrigade/Resources/Data/balance.json: openingSquads.commanders.kerr</t>
        </is>
      </c>
      <c r="G7" t="inlineStr"/>
    </row>
    <row r="8">
      <c r="A8" t="inlineStr">
        <is>
          <t>commander.lind</t>
        </is>
      </c>
      <c r="B8">
        <f>SUM(Doi_mo_man_vai_tro!$E$6,Doi_mo_man_vai_tro!$E$15,Doi_mo_man_vai_tro!$E$11)</f>
        <v/>
      </c>
      <c r="C8" t="n">
        <v>10</v>
      </c>
      <c r="D8" t="inlineStr">
        <is>
          <t>=Doi_mo_man_luat!$D$4</t>
        </is>
      </c>
      <c r="E8" t="inlineStr">
        <is>
          <t>Conquest:60.0;Deathmatch:47.6;KingOfTheHill:52.6;Assault:43.5;Siege:22.7;Defend:28.6;Endless:28.6;Survival:52.6;BossRush:21.7;Showdown:47.6</t>
        </is>
      </c>
      <c r="F8" t="inlineStr">
        <is>
          <t>Assets/MachineBrigade/Resources/Data/balance.json: openingSquads.commanders.lind</t>
        </is>
      </c>
      <c r="G8" t="inlineStr"/>
    </row>
    <row r="9">
      <c r="A9" t="inlineStr">
        <is>
          <t>commander.mendez</t>
        </is>
      </c>
      <c r="B9">
        <f>SUM(Doi_mo_man_vai_tro!$E$19,Doi_mo_man_vai_tro!$E$12,Doi_mo_man_vai_tro!$E$16)</f>
        <v/>
      </c>
      <c r="C9" t="n">
        <v>8</v>
      </c>
      <c r="D9" t="inlineStr">
        <is>
          <t>=Doi_mo_man_luat!$D$4</t>
        </is>
      </c>
      <c r="E9" t="inlineStr">
        <is>
          <t>Conquest:50.0;Deathmatch:38.1;KingOfTheHill:42.1;Assault:34.8;Siege:18.2;Defend:22.9;Endless:22.9;Survival:42.1;BossRush:17.4;Showdown:38.1</t>
        </is>
      </c>
      <c r="F9" t="inlineStr">
        <is>
          <t>Assets/MachineBrigade/Resources/Data/balance.json: openingSquads.commanders.mendez</t>
        </is>
      </c>
      <c r="G9" t="inlineStr"/>
    </row>
    <row r="10">
      <c r="A10" t="inlineStr">
        <is>
          <t>commander.okoye</t>
        </is>
      </c>
      <c r="B10">
        <f>0</f>
        <v/>
      </c>
      <c r="C10" t="n">
        <v>0</v>
      </c>
      <c r="D10" t="inlineStr">
        <is>
          <t>=Doi_mo_man_luat!$D$4</t>
        </is>
      </c>
      <c r="E10" t="inlineStr">
        <is>
          <t>Conquest:0.0;Deathmatch:0.0;KingOfTheHill:0.0;Assault:0.0;Siege:0.0;Defend:0.0;Endless:0.0;Survival:0.0;BossRush:0.0;Showdown:0.0</t>
        </is>
      </c>
      <c r="F10" t="inlineStr">
        <is>
          <t>Assets/MachineBrigade/Resources/Data/balance.json: openingSquads.commanders.okoye</t>
        </is>
      </c>
      <c r="G10" t="inlineStr"/>
    </row>
    <row r="11">
      <c r="A11" t="inlineStr">
        <is>
          <t>commander.quist</t>
        </is>
      </c>
      <c r="B11">
        <f>SUM(Doi_mo_man_vai_tro!$E$7,Doi_mo_man_vai_tro!$E$11,Doi_mo_man_vai_tro!$E$16)</f>
        <v/>
      </c>
      <c r="C11" t="n">
        <v>20</v>
      </c>
      <c r="D11" t="inlineStr">
        <is>
          <t>=Doi_mo_man_luat!$D$4</t>
        </is>
      </c>
      <c r="E11" t="inlineStr">
        <is>
          <t>Conquest:60.0;Deathmatch:60.0;KingOfTheHill:60.0;Assault:60.0;Siege:45.5;Defend:57.1;Endless:57.1;Survival:60.0;BossRush:43.5;Showdown:60.0</t>
        </is>
      </c>
      <c r="F11" t="inlineStr">
        <is>
          <t>Assets/MachineBrigade/Resources/Data/balance.json: openingSquads.commanders.quist</t>
        </is>
      </c>
      <c r="G11" t="inlineStr"/>
    </row>
    <row r="12">
      <c r="A12" t="inlineStr">
        <is>
          <t>commander.reyes</t>
        </is>
      </c>
      <c r="B12">
        <f>SUM(Doi_mo_man_vai_tro!$E$17,Doi_mo_man_vai_tro!$E$16)</f>
        <v/>
      </c>
      <c r="C12" t="n">
        <v>8</v>
      </c>
      <c r="D12" t="inlineStr">
        <is>
          <t>=Doi_mo_man_luat!$D$4</t>
        </is>
      </c>
      <c r="E12" t="inlineStr">
        <is>
          <t>Conquest:50.0;Deathmatch:38.1;KingOfTheHill:42.1;Assault:34.8;Siege:18.2;Defend:22.9;Endless:22.9;Survival:42.1;BossRush:17.4;Showdown:38.1</t>
        </is>
      </c>
      <c r="F12" t="inlineStr">
        <is>
          <t>Assets/MachineBrigade/Resources/Data/balance.json: openingSquads.commanders.reyes</t>
        </is>
      </c>
      <c r="G12" t="inlineStr"/>
    </row>
    <row r="13">
      <c r="A13" t="inlineStr">
        <is>
          <t>commander.reyn</t>
        </is>
      </c>
      <c r="B13">
        <f>SUM(Doi_mo_man_vai_tro!$E$13)</f>
        <v/>
      </c>
      <c r="C13" t="n">
        <v>8</v>
      </c>
      <c r="D13" t="inlineStr">
        <is>
          <t>=Doi_mo_man_luat!$D$4</t>
        </is>
      </c>
      <c r="E13" t="inlineStr">
        <is>
          <t>Conquest:50.0;Deathmatch:38.1;KingOfTheHill:42.1;Assault:34.8;Siege:18.2;Defend:22.9;Endless:22.9;Survival:42.1;BossRush:17.4;Showdown:38.1</t>
        </is>
      </c>
      <c r="F13" t="inlineStr">
        <is>
          <t>Assets/MachineBrigade/Resources/Data/balance.json: openingSquads.commanders.reyn</t>
        </is>
      </c>
      <c r="G13" t="inlineStr"/>
    </row>
    <row r="14">
      <c r="A14" t="inlineStr">
        <is>
          <t>commander.varro</t>
        </is>
      </c>
      <c r="B14">
        <f>SUM(Doi_mo_man_vai_tro!$E$4,Doi_mo_man_vai_tro!$E$4,Doi_mo_man_vai_tro!$E$4)</f>
        <v/>
      </c>
      <c r="C14" t="n">
        <v>6</v>
      </c>
      <c r="D14" t="inlineStr">
        <is>
          <t>=Doi_mo_man_luat!$D$4</t>
        </is>
      </c>
      <c r="E14" t="inlineStr">
        <is>
          <t>Conquest:37.5;Deathmatch:28.6;KingOfTheHill:31.6;Assault:26.1;Siege:13.6;Defend:17.1;Endless:17.1;Survival:31.6;BossRush:13.0;Showdown:28.6</t>
        </is>
      </c>
      <c r="F14" t="inlineStr">
        <is>
          <t>Assets/MachineBrigade/Resources/Data/balance.json: openingSquads.commanders.varro</t>
        </is>
      </c>
      <c r="G14" t="inlineStr"/>
    </row>
    <row r="15">
      <c r="A15" t="inlineStr">
        <is>
          <t>commander.venn</t>
        </is>
      </c>
      <c r="B15">
        <f>SUM(Doi_mo_man_vai_tro!$E$8,Doi_mo_man_vai_tro!$E$16)</f>
        <v/>
      </c>
      <c r="C15" t="n">
        <v>9</v>
      </c>
      <c r="D15" t="inlineStr">
        <is>
          <t>=Doi_mo_man_luat!$D$4</t>
        </is>
      </c>
      <c r="E15" t="inlineStr">
        <is>
          <t>Conquest:56.2;Deathmatch:42.9;KingOfTheHill:47.4;Assault:39.1;Siege:20.5;Defend:25.7;Endless:25.7;Survival:47.4;BossRush:19.6;Showdown:42.9</t>
        </is>
      </c>
      <c r="F15" t="inlineStr">
        <is>
          <t>Assets/MachineBrigade/Resources/Data/balance.json: openingSquads.commanders.venn</t>
        </is>
      </c>
      <c r="G15" t="inlineStr"/>
    </row>
    <row r="16">
      <c r="A16" t="inlineStr">
        <is>
          <t>general.aurel</t>
        </is>
      </c>
      <c r="B16">
        <f>SUM(Doi_mo_man_vai_tro!$E$9)</f>
        <v/>
      </c>
      <c r="C16" t="n">
        <v>8</v>
      </c>
      <c r="D16" t="inlineStr">
        <is>
          <t>=Doi_mo_man_luat!$D$4</t>
        </is>
      </c>
      <c r="E16" t="inlineStr">
        <is>
          <t>Conquest:50.0;Deathmatch:38.1;KingOfTheHill:42.1;Assault:34.8;Siege:18.2;Defend:22.9;Endless:22.9;Survival:42.1;BossRush:17.4;Showdown:38.1</t>
        </is>
      </c>
      <c r="F16" t="inlineStr">
        <is>
          <t>Assets/MachineBrigade/Resources/Data/balance.json: openingSquads.generals.aurel</t>
        </is>
      </c>
      <c r="G16" t="inlineStr"/>
    </row>
    <row r="17">
      <c r="A17" t="inlineStr">
        <is>
          <t>general.default</t>
        </is>
      </c>
      <c r="B17">
        <f>SUM(Doi_mo_man_vai_tro!$E$16,Doi_mo_man_vai_tro!$E$11)</f>
        <v/>
      </c>
      <c r="C17" t="n">
        <v>5</v>
      </c>
      <c r="D17" t="inlineStr">
        <is>
          <t>=Doi_mo_man_luat!$D$4</t>
        </is>
      </c>
      <c r="E17" t="inlineStr">
        <is>
          <t>Conquest:31.2;Deathmatch:23.8;KingOfTheHill:26.3;Assault:21.7;Siege:11.4;Defend:14.3;Endless:14.3;Survival:26.3;BossRush:10.9;Showdown:23.8</t>
        </is>
      </c>
      <c r="F17" t="inlineStr">
        <is>
          <t>Assets/MachineBrigade/Resources/Data/balance.json: openingSquads.generals.default</t>
        </is>
      </c>
      <c r="G17" t="inlineStr"/>
    </row>
    <row r="18">
      <c r="A18" t="inlineStr">
        <is>
          <t>general.kessler</t>
        </is>
      </c>
      <c r="B18">
        <f>SUM(Doi_mo_man_vai_tro!$E$14,Doi_mo_man_vai_tro!$E$11)</f>
        <v/>
      </c>
      <c r="C18" t="n">
        <v>9</v>
      </c>
      <c r="D18" t="inlineStr">
        <is>
          <t>=Doi_mo_man_luat!$D$4</t>
        </is>
      </c>
      <c r="E18" t="inlineStr">
        <is>
          <t>Conquest:56.2;Deathmatch:42.9;KingOfTheHill:47.4;Assault:39.1;Siege:20.5;Defend:25.7;Endless:25.7;Survival:47.4;BossRush:19.6;Showdown:42.9</t>
        </is>
      </c>
      <c r="F18" t="inlineStr">
        <is>
          <t>Assets/MachineBrigade/Resources/Data/balance.json: openingSquads.generals.kessler</t>
        </is>
      </c>
      <c r="G18" t="inlineStr"/>
    </row>
    <row r="19">
      <c r="A19" t="inlineStr">
        <is>
          <t>general.orlov</t>
        </is>
      </c>
      <c r="B19">
        <f>SUM(Doi_mo_man_vai_tro!$E$2,Doi_mo_man_vai_tro!$E$16)</f>
        <v/>
      </c>
      <c r="C19" t="n">
        <v>6</v>
      </c>
      <c r="D19" t="inlineStr">
        <is>
          <t>=Doi_mo_man_luat!$D$4</t>
        </is>
      </c>
      <c r="E19" t="inlineStr">
        <is>
          <t>Conquest:37.5;Deathmatch:28.6;KingOfTheHill:31.6;Assault:26.1;Siege:13.6;Defend:17.1;Endless:17.1;Survival:31.6;BossRush:13.0;Showdown:28.6</t>
        </is>
      </c>
      <c r="F19" t="inlineStr">
        <is>
          <t>Assets/MachineBrigade/Resources/Data/balance.json: openingSquads.generals.orlov</t>
        </is>
      </c>
      <c r="G19" t="inlineStr"/>
    </row>
    <row r="20">
      <c r="A20" t="inlineStr">
        <is>
          <t>general.sen</t>
        </is>
      </c>
      <c r="B20">
        <f>SUM(Doi_mo_man_vai_tro!$E$5)</f>
        <v/>
      </c>
      <c r="C20" t="n">
        <v>7</v>
      </c>
      <c r="D20" t="inlineStr">
        <is>
          <t>=Doi_mo_man_luat!$D$4</t>
        </is>
      </c>
      <c r="E20" t="inlineStr">
        <is>
          <t>Conquest:43.8;Deathmatch:33.3;KingOfTheHill:36.8;Assault:30.4;Siege:15.9;Defend:20.0;Endless:20.0;Survival:36.8;BossRush:15.2;Showdown:33.3</t>
        </is>
      </c>
      <c r="F20" t="inlineStr">
        <is>
          <t>Assets/MachineBrigade/Resources/Data/balance.json: openingSquads.generals.sen</t>
        </is>
      </c>
      <c r="G20" t="inlineStr"/>
    </row>
    <row r="21">
      <c r="A21" t="inlineStr">
        <is>
          <t>general.thorne</t>
        </is>
      </c>
      <c r="B21">
        <f>SUM(Doi_mo_man_vai_tro!$E$13)</f>
        <v/>
      </c>
      <c r="C21" t="n">
        <v>8</v>
      </c>
      <c r="D21" t="inlineStr">
        <is>
          <t>=Doi_mo_man_luat!$D$4</t>
        </is>
      </c>
      <c r="E21" t="inlineStr">
        <is>
          <t>Conquest:50.0;Deathmatch:38.1;KingOfTheHill:42.1;Assault:34.8;Siege:18.2;Defend:22.9;Endless:22.9;Survival:42.1;BossRush:17.4;Showdown:38.1</t>
        </is>
      </c>
      <c r="F21" t="inlineStr">
        <is>
          <t>Assets/MachineBrigade/Resources/Data/balance.json: openingSquads.generals.thorne</t>
        </is>
      </c>
      <c r="G21" t="inlineStr"/>
    </row>
    <row r="22">
      <c r="A22" t="inlineStr">
        <is>
          <t>general.varga</t>
        </is>
      </c>
      <c r="B22">
        <f>SUM(Doi_mo_man_vai_tro!$E$18)</f>
        <v/>
      </c>
      <c r="C22" t="n">
        <v>3</v>
      </c>
      <c r="D22" t="inlineStr">
        <is>
          <t>=Doi_mo_man_luat!$D$4</t>
        </is>
      </c>
      <c r="E22" t="inlineStr">
        <is>
          <t>Conquest:18.8;Deathmatch:14.3;KingOfTheHill:15.8;Assault:13.0;Siege:6.8;Defend:8.6;Endless:8.6;Survival:15.8;BossRush:6.5;Showdown:14.3</t>
        </is>
      </c>
      <c r="F22" t="inlineStr">
        <is>
          <t>Assets/MachineBrigade/Resources/Data/balance.json: openingSquads.generals.varga</t>
        </is>
      </c>
      <c r="G22" t="inlineStr"/>
    </row>
    <row r="23">
      <c r="A23" t="inlineStr">
        <is>
          <t>general.venn</t>
        </is>
      </c>
      <c r="B23">
        <f>SUM(Doi_mo_man_vai_tro!$E$5)</f>
        <v/>
      </c>
      <c r="C23" t="n">
        <v>7</v>
      </c>
      <c r="D23" t="inlineStr">
        <is>
          <t>=Doi_mo_man_luat!$D$4</t>
        </is>
      </c>
      <c r="E23" t="inlineStr">
        <is>
          <t>Conquest:43.8;Deathmatch:33.3;KingOfTheHill:36.8;Assault:30.4;Siege:15.9;Defend:20.0;Endless:20.0;Survival:36.8;BossRush:15.2;Showdown:33.3</t>
        </is>
      </c>
      <c r="F23" t="inlineStr">
        <is>
          <t>Assets/MachineBrigade/Resources/Data/balance.json: openingSquads.generals.venn</t>
        </is>
      </c>
      <c r="G23" t="inlineStr"/>
    </row>
    <row r="24">
      <c r="A24" t="inlineStr">
        <is>
          <t>general.wolff</t>
        </is>
      </c>
      <c r="B24">
        <f>SUM(Doi_mo_man_vai_tro!$E$10)</f>
        <v/>
      </c>
      <c r="C24" t="n">
        <v>6</v>
      </c>
      <c r="D24" t="inlineStr">
        <is>
          <t>=Doi_mo_man_luat!$D$4</t>
        </is>
      </c>
      <c r="E24" t="inlineStr">
        <is>
          <t>Conquest:37.5;Deathmatch:28.6;KingOfTheHill:31.6;Assault:26.1;Siege:13.6;Defend:17.1;Endless:17.1;Survival:31.6;BossRush:13.0;Showdown:28.6</t>
        </is>
      </c>
      <c r="F24" t="inlineStr">
        <is>
          <t>Assets/MachineBrigade/Resources/Data/balance.json: openingSquads.generals.wolff</t>
        </is>
      </c>
      <c r="G24" t="inlineStr"/>
    </row>
  </sheetData>
  <autoFilter ref="A1:G24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47" customWidth="1" min="5" max="5"/>
    <col width="12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dai_m</t>
        </is>
      </c>
      <c r="C1" s="1" t="inlineStr">
        <is>
          <t>rong_m</t>
        </is>
      </c>
      <c r="D1" s="1" t="inlineStr">
        <is>
          <t>cao_m</t>
        </is>
      </c>
      <c r="E1" s="1" t="inlineStr">
        <is>
          <t>mau</t>
        </is>
      </c>
      <c r="F1" s="1" t="inlineStr">
        <is>
          <t>conf</t>
        </is>
      </c>
      <c r="G1" s="1" t="inlineStr">
        <is>
          <t>nguon_ghi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aa_vehicle</t>
        </is>
      </c>
      <c r="B2" t="n">
        <v>7.68</v>
      </c>
      <c r="C2" t="n">
        <v>3.71</v>
      </c>
      <c r="D2" t="n">
        <v>3.29</v>
      </c>
      <c r="E2" t="inlineStr">
        <is>
          <t>Flakpanzer Gepard 1A2</t>
        </is>
      </c>
      <c r="F2" t="inlineStr">
        <is>
          <t>approx</t>
        </is>
      </c>
      <c r="G2" t="inlineStr">
        <is>
          <t>Wikipedia 'Flakpanzer Gepard' (radar stowed)</t>
        </is>
      </c>
      <c r="H2" t="inlineStr">
        <is>
          <t>07_hinh_anh_am_thanh_model/Kich_thuoc_that (id aa_vehicle)</t>
        </is>
      </c>
      <c r="I2" t="inlineStr"/>
    </row>
    <row r="3">
      <c r="A3" t="inlineStr">
        <is>
          <t>ammo_carrier</t>
        </is>
      </c>
      <c r="B3" t="n">
        <v>10.17</v>
      </c>
      <c r="C3" t="n">
        <v>2.44</v>
      </c>
      <c r="D3" t="n">
        <v>2.84</v>
      </c>
      <c r="E3" t="inlineStr">
        <is>
          <t>M977 / M985 HEMTT</t>
        </is>
      </c>
      <c r="F3" t="inlineStr">
        <is>
          <t>approx</t>
        </is>
      </c>
      <c r="G3" t="inlineStr">
        <is>
          <t>Wikipedia 'Heavy Expanded Mobility Tactical Truck'</t>
        </is>
      </c>
      <c r="H3" t="inlineStr">
        <is>
          <t>07_hinh_anh_am_thanh_model/Kich_thuoc_that (id ammo_carrier)</t>
        </is>
      </c>
      <c r="I3" t="inlineStr"/>
    </row>
    <row r="4">
      <c r="A4" t="inlineStr">
        <is>
          <t>armored_bulldozer</t>
        </is>
      </c>
      <c r="B4" t="n">
        <v>8.1</v>
      </c>
      <c r="C4" t="n">
        <v>4.3</v>
      </c>
      <c r="D4" t="n">
        <v>4</v>
      </c>
      <c r="E4" t="inlineStr">
        <is>
          <t>Caterpillar D9R (IDF kit)</t>
        </is>
      </c>
      <c r="F4" t="inlineStr">
        <is>
          <t>approx</t>
        </is>
      </c>
      <c r="G4" t="inlineStr">
        <is>
          <t>Caterpillar D9R specifications (blade and ripper)</t>
        </is>
      </c>
      <c r="H4" t="inlineStr">
        <is>
          <t>07_hinh_anh_am_thanh_model/Kich_thuoc_that (id armored_bulldozer)</t>
        </is>
      </c>
      <c r="I4" t="inlineStr"/>
    </row>
    <row r="5">
      <c r="A5" t="inlineStr">
        <is>
          <t>armored_car</t>
        </is>
      </c>
      <c r="B5" t="n">
        <v>5.7</v>
      </c>
      <c r="C5" t="n">
        <v>2.5</v>
      </c>
      <c r="D5" t="n">
        <v>1.82</v>
      </c>
      <c r="E5" t="inlineStr">
        <is>
          <t>Pandur I 6x6</t>
        </is>
      </c>
      <c r="F5" t="inlineStr">
        <is>
          <t>approx</t>
        </is>
      </c>
      <c r="G5" t="inlineStr">
        <is>
          <t>Wikipedia 'Steyr Pandur' (height to the hull roof)</t>
        </is>
      </c>
      <c r="H5" t="inlineStr">
        <is>
          <t>07_hinh_anh_am_thanh_model/Kich_thuoc_that (id armored_car)</t>
        </is>
      </c>
      <c r="I5" t="inlineStr"/>
    </row>
    <row r="6">
      <c r="A6" t="inlineStr">
        <is>
          <t>artillery</t>
        </is>
      </c>
      <c r="B6" t="n">
        <v>9.119999999999999</v>
      </c>
      <c r="C6" t="n">
        <v>3.15</v>
      </c>
      <c r="D6" t="n">
        <v>3.24</v>
      </c>
      <c r="E6" t="inlineStr">
        <is>
          <t>M109A6 Paladin</t>
        </is>
      </c>
      <c r="F6" t="inlineStr">
        <is>
          <t>high</t>
        </is>
      </c>
      <c r="G6" t="inlineStr">
        <is>
          <t>Wikipedia 'M109 howitzer'</t>
        </is>
      </c>
      <c r="H6" t="inlineStr">
        <is>
          <t>07_hinh_anh_am_thanh_model/Kich_thuoc_that (id artillery)</t>
        </is>
      </c>
      <c r="I6" t="inlineStr"/>
    </row>
    <row r="7">
      <c r="A7" t="inlineStr">
        <is>
          <t>attack_helicopter</t>
        </is>
      </c>
      <c r="B7" t="n">
        <v>17.73</v>
      </c>
      <c r="C7" t="n">
        <v>14.63</v>
      </c>
      <c r="D7" t="n">
        <v>3.87</v>
      </c>
      <c r="E7" t="inlineStr">
        <is>
          <t>AH-64D Apache Longbow</t>
        </is>
      </c>
      <c r="F7" t="inlineStr">
        <is>
          <t>approx</t>
        </is>
      </c>
      <c r="G7" t="inlineStr">
        <is>
          <t>Wikipedia 'Boeing AH-64 Apache' (length with rotors; height to the rotor head, 4.95 m with the mast radar)</t>
        </is>
      </c>
      <c r="H7" t="inlineStr">
        <is>
          <t>07_hinh_anh_am_thanh_model/Kich_thuoc_that (id attack_helicopter)</t>
        </is>
      </c>
      <c r="I7" t="inlineStr"/>
    </row>
    <row r="8">
      <c r="A8" t="inlineStr">
        <is>
          <t>attack_jet</t>
        </is>
      </c>
      <c r="B8" t="n">
        <v>15.53</v>
      </c>
      <c r="C8" t="n">
        <v>14.36</v>
      </c>
      <c r="D8" t="n">
        <v>4.8</v>
      </c>
      <c r="E8" t="inlineStr">
        <is>
          <t>Su-25 Frogfoot</t>
        </is>
      </c>
      <c r="F8" t="inlineStr">
        <is>
          <t>high</t>
        </is>
      </c>
      <c r="G8" t="inlineStr">
        <is>
          <t>Wikipedia 'Sukhoi Su-25'</t>
        </is>
      </c>
      <c r="H8" t="inlineStr">
        <is>
          <t>07_hinh_anh_am_thanh_model/Kich_thuoc_that (id attack_jet)</t>
        </is>
      </c>
      <c r="I8" t="inlineStr"/>
    </row>
    <row r="9">
      <c r="A9" t="inlineStr">
        <is>
          <t>ballistic_launcher</t>
        </is>
      </c>
      <c r="B9" t="n">
        <v>13.07</v>
      </c>
      <c r="C9" t="n">
        <v>3.07</v>
      </c>
      <c r="E9" t="inlineStr">
        <is>
          <t>9P78-1 Iskander-M TEL (MZKT-7930)</t>
        </is>
      </c>
      <c r="F9" t="inlineStr">
        <is>
          <t>approx</t>
        </is>
      </c>
      <c r="G9" t="inlineStr">
        <is>
          <t>Wikipedia '9K720 Iskander' (height not reliable)</t>
        </is>
      </c>
      <c r="H9" t="inlineStr">
        <is>
          <t>07_hinh_anh_am_thanh_model/Kich_thuoc_that (id ballistic_launcher)</t>
        </is>
      </c>
      <c r="I9" t="inlineStr"/>
    </row>
    <row r="10">
      <c r="A10" t="inlineStr">
        <is>
          <t>command_vehicle</t>
        </is>
      </c>
      <c r="B10" t="n">
        <v>6.95</v>
      </c>
      <c r="C10" t="n">
        <v>2.72</v>
      </c>
      <c r="D10" t="n">
        <v>2.64</v>
      </c>
      <c r="E10" t="inlineStr">
        <is>
          <t>M1130 Stryker CV</t>
        </is>
      </c>
      <c r="F10" t="inlineStr">
        <is>
          <t>high</t>
        </is>
      </c>
      <c r="G10" t="inlineStr">
        <is>
          <t>Wikipedia 'Stryker'</t>
        </is>
      </c>
      <c r="H10" t="inlineStr">
        <is>
          <t>07_hinh_anh_am_thanh_model/Kich_thuoc_that (id command_vehicle)</t>
        </is>
      </c>
      <c r="I10" t="inlineStr"/>
    </row>
    <row r="11">
      <c r="A11" t="inlineStr">
        <is>
          <t>drop_pod</t>
        </is>
      </c>
      <c r="B11" t="n">
        <v>2.17</v>
      </c>
      <c r="C11" t="n">
        <v>2.17</v>
      </c>
      <c r="D11" t="n">
        <v>2.24</v>
      </c>
      <c r="E11" t="inlineStr">
        <is>
          <t>Soyuz descent module</t>
        </is>
      </c>
      <c r="F11" t="inlineStr">
        <is>
          <t>approx</t>
        </is>
      </c>
      <c r="G11" t="inlineStr">
        <is>
          <t>Wikipedia 'Soyuz (spacecraft)'</t>
        </is>
      </c>
      <c r="H11" t="inlineStr">
        <is>
          <t>07_hinh_anh_am_thanh_model/Kich_thuoc_that (id drop_pod)</t>
        </is>
      </c>
      <c r="I11" t="inlineStr"/>
    </row>
    <row r="12">
      <c r="A12" t="inlineStr">
        <is>
          <t>elite_aa</t>
        </is>
      </c>
      <c r="B12" t="n">
        <v>7.68</v>
      </c>
      <c r="C12" t="n">
        <v>3.71</v>
      </c>
      <c r="D12" t="n">
        <v>3.29</v>
      </c>
      <c r="E12" t="inlineStr">
        <is>
          <t>Flakpanzer Gepard 1A2 (Skyranger kit)</t>
        </is>
      </c>
      <c r="F12" t="inlineStr">
        <is>
          <t>approx</t>
        </is>
      </c>
      <c r="G12" t="inlineStr">
        <is>
          <t>Wikipedia 'Flakpanzer Gepard'</t>
        </is>
      </c>
      <c r="H12" t="inlineStr">
        <is>
          <t>07_hinh_anh_am_thanh_model/Kich_thuoc_that (id elite_aa)</t>
        </is>
      </c>
      <c r="I12" t="inlineStr"/>
    </row>
    <row r="13">
      <c r="A13" t="inlineStr">
        <is>
          <t>elite_apc</t>
        </is>
      </c>
      <c r="B13" t="n">
        <v>6.55</v>
      </c>
      <c r="C13" t="n">
        <v>3.6</v>
      </c>
      <c r="D13" t="n">
        <v>2.98</v>
      </c>
      <c r="E13" t="inlineStr">
        <is>
          <t>M2A3 Bradley</t>
        </is>
      </c>
      <c r="F13" t="inlineStr">
        <is>
          <t>high</t>
        </is>
      </c>
      <c r="G13" t="inlineStr">
        <is>
          <t>Wikipedia 'M2 Bradley'</t>
        </is>
      </c>
      <c r="H13" t="inlineStr">
        <is>
          <t>07_hinh_anh_am_thanh_model/Kich_thuoc_that (id elite_apc)</t>
        </is>
      </c>
      <c r="I13" t="inlineStr"/>
    </row>
    <row r="14">
      <c r="A14" t="inlineStr">
        <is>
          <t>elite_artillery</t>
        </is>
      </c>
      <c r="B14" t="n">
        <v>10</v>
      </c>
      <c r="C14" t="n">
        <v>2.55</v>
      </c>
      <c r="D14" t="n">
        <v>3.7</v>
      </c>
      <c r="E14" t="inlineStr">
        <is>
          <t>CAESAR 155 mm (6x6)</t>
        </is>
      </c>
      <c r="F14" t="inlineStr">
        <is>
          <t>approx</t>
        </is>
      </c>
      <c r="G14" t="inlineStr">
        <is>
          <t>Wikipedia 'CAESAR self-propelled howitzer'</t>
        </is>
      </c>
      <c r="H14" t="inlineStr">
        <is>
          <t>07_hinh_anh_am_thanh_model/Kich_thuoc_that (id elite_artillery)</t>
        </is>
      </c>
      <c r="I14" t="inlineStr"/>
    </row>
    <row r="15">
      <c r="A15" t="inlineStr">
        <is>
          <t>elite_attack_helicopter</t>
        </is>
      </c>
      <c r="B15" t="n">
        <v>17.73</v>
      </c>
      <c r="C15" t="n">
        <v>14.63</v>
      </c>
      <c r="D15" t="n">
        <v>3.87</v>
      </c>
      <c r="E15" t="inlineStr">
        <is>
          <t>AH-64D Apache Longbow</t>
        </is>
      </c>
      <c r="F15" t="inlineStr">
        <is>
          <t>approx</t>
        </is>
      </c>
      <c r="G15" t="inlineStr">
        <is>
          <t>Wikipedia 'Boeing AH-64 Apache'</t>
        </is>
      </c>
      <c r="H15" t="inlineStr">
        <is>
          <t>07_hinh_anh_am_thanh_model/Kich_thuoc_that (id elite_attack_helicopter)</t>
        </is>
      </c>
      <c r="I15" t="inlineStr"/>
    </row>
    <row r="16">
      <c r="A16" t="inlineStr">
        <is>
          <t>elite_attack_jet</t>
        </is>
      </c>
      <c r="B16" t="n">
        <v>15.53</v>
      </c>
      <c r="C16" t="n">
        <v>14.36</v>
      </c>
      <c r="D16" t="n">
        <v>4.8</v>
      </c>
      <c r="E16" t="inlineStr">
        <is>
          <t>Su-25 Frogfoot</t>
        </is>
      </c>
      <c r="F16" t="inlineStr">
        <is>
          <t>high</t>
        </is>
      </c>
      <c r="G16" t="inlineStr">
        <is>
          <t>Wikipedia 'Sukhoi Su-25'</t>
        </is>
      </c>
      <c r="H16" t="inlineStr">
        <is>
          <t>07_hinh_anh_am_thanh_model/Kich_thuoc_that (id elite_attack_jet)</t>
        </is>
      </c>
      <c r="I16" t="inlineStr"/>
    </row>
    <row r="17">
      <c r="A17" t="inlineStr">
        <is>
          <t>elite_fpv_carrier</t>
        </is>
      </c>
      <c r="B17" t="n">
        <v>8.99</v>
      </c>
      <c r="C17" t="n">
        <v>2.55</v>
      </c>
      <c r="D17" t="n">
        <v>3.4</v>
      </c>
      <c r="E17" t="inlineStr">
        <is>
          <t>KamAZ-63968 Typhoon-K</t>
        </is>
      </c>
      <c r="F17" t="inlineStr">
        <is>
          <t>approx</t>
        </is>
      </c>
      <c r="G17" t="inlineStr">
        <is>
          <t>Wikipedia 'KamAZ Typhoon'</t>
        </is>
      </c>
      <c r="H17" t="inlineStr">
        <is>
          <t>07_hinh_anh_am_thanh_model/Kich_thuoc_that (id elite_fpv_carrier)</t>
        </is>
      </c>
      <c r="I17" t="inlineStr"/>
    </row>
    <row r="18">
      <c r="A18" t="inlineStr">
        <is>
          <t>elite_grad</t>
        </is>
      </c>
      <c r="B18" t="n">
        <v>7.35</v>
      </c>
      <c r="C18" t="n">
        <v>2.4</v>
      </c>
      <c r="D18" t="n">
        <v>3.09</v>
      </c>
      <c r="E18" t="inlineStr">
        <is>
          <t>BM-21 Grad (Ural-375D)</t>
        </is>
      </c>
      <c r="F18" t="inlineStr">
        <is>
          <t>high</t>
        </is>
      </c>
      <c r="G18" t="inlineStr">
        <is>
          <t>Wikipedia 'BM-21 Grad'</t>
        </is>
      </c>
      <c r="H18" t="inlineStr">
        <is>
          <t>07_hinh_anh_am_thanh_model/Kich_thuoc_that (id elite_grad)</t>
        </is>
      </c>
      <c r="I18" t="inlineStr"/>
    </row>
    <row r="19">
      <c r="A19" t="inlineStr">
        <is>
          <t>elite_heavy_tank</t>
        </is>
      </c>
      <c r="B19" t="inlineStr"/>
      <c r="C19" t="inlineStr"/>
      <c r="D19" t="inlineStr"/>
      <c r="E19" t="inlineStr">
        <is>
          <t>Object 195 / T-95</t>
        </is>
      </c>
      <c r="F19" t="inlineStr">
        <is>
          <t>none</t>
        </is>
      </c>
      <c r="G19" t="inlineStr">
        <is>
          <t>no published dimensions (prototype)</t>
        </is>
      </c>
      <c r="H19" t="inlineStr">
        <is>
          <t>07_hinh_anh_am_thanh_model/Kich_thuoc_that (id elite_heavy_tank)</t>
        </is>
      </c>
      <c r="I19" t="inlineStr"/>
    </row>
    <row r="20">
      <c r="A20" t="inlineStr">
        <is>
          <t>elite_mbt</t>
        </is>
      </c>
      <c r="B20" t="n">
        <v>9.630000000000001</v>
      </c>
      <c r="C20" t="n">
        <v>3.78</v>
      </c>
      <c r="D20" t="n">
        <v>2.23</v>
      </c>
      <c r="E20" t="inlineStr">
        <is>
          <t>T-90</t>
        </is>
      </c>
      <c r="F20" t="inlineStr">
        <is>
          <t>high</t>
        </is>
      </c>
      <c r="G20" t="inlineStr">
        <is>
          <t>Wikipedia 'T-90' (hull 6.86 m)</t>
        </is>
      </c>
      <c r="H20" t="inlineStr">
        <is>
          <t>07_hinh_anh_am_thanh_model/Kich_thuoc_that (id elite_mbt)</t>
        </is>
      </c>
      <c r="I20" t="inlineStr"/>
    </row>
    <row r="21">
      <c r="A21" t="inlineStr">
        <is>
          <t>elite_mlrs</t>
        </is>
      </c>
      <c r="B21" t="n">
        <v>7</v>
      </c>
      <c r="C21" t="n">
        <v>2.4</v>
      </c>
      <c r="D21" t="n">
        <v>3.2</v>
      </c>
      <c r="E21" t="inlineStr">
        <is>
          <t>M142 HIMARS</t>
        </is>
      </c>
      <c r="F21" t="inlineStr">
        <is>
          <t>high</t>
        </is>
      </c>
      <c r="G21" t="inlineStr">
        <is>
          <t>Wikipedia 'M142 HIMARS'</t>
        </is>
      </c>
      <c r="H21" t="inlineStr">
        <is>
          <t>07_hinh_anh_am_thanh_model/Kich_thuoc_that (id elite_mlrs)</t>
        </is>
      </c>
      <c r="I21" t="inlineStr"/>
    </row>
    <row r="22">
      <c r="A22" t="inlineStr">
        <is>
          <t>elite_tank_destroyer</t>
        </is>
      </c>
      <c r="B22" t="n">
        <v>9.77</v>
      </c>
      <c r="C22" t="n">
        <v>3.15</v>
      </c>
      <c r="D22" t="n">
        <v>3.05</v>
      </c>
      <c r="E22" t="inlineStr">
        <is>
          <t>2S25 Sprut-SD</t>
        </is>
      </c>
      <c r="F22" t="inlineStr">
        <is>
          <t>approx</t>
        </is>
      </c>
      <c r="G22" t="inlineStr">
        <is>
          <t>Wikipedia '2S25 Sprut-SD'</t>
        </is>
      </c>
      <c r="H22" t="inlineStr">
        <is>
          <t>07_hinh_anh_am_thanh_model/Kich_thuoc_that (id elite_tank_destroyer)</t>
        </is>
      </c>
      <c r="I22" t="inlineStr"/>
    </row>
    <row r="23">
      <c r="A23" t="inlineStr">
        <is>
          <t>engineer_vehicle</t>
        </is>
      </c>
      <c r="B23" t="n">
        <v>8.27</v>
      </c>
      <c r="C23" t="n">
        <v>3.43</v>
      </c>
      <c r="D23" t="n">
        <v>3.12</v>
      </c>
      <c r="E23" t="inlineStr">
        <is>
          <t>M88A1 recovery vehicle</t>
        </is>
      </c>
      <c r="F23" t="inlineStr">
        <is>
          <t>approx</t>
        </is>
      </c>
      <c r="G23" t="inlineStr">
        <is>
          <t>Wikipedia 'M88 Recovery Vehicle'</t>
        </is>
      </c>
      <c r="H23" t="inlineStr">
        <is>
          <t>07_hinh_anh_am_thanh_model/Kich_thuoc_that (id engineer_vehicle)</t>
        </is>
      </c>
      <c r="I23" t="inlineStr"/>
    </row>
    <row r="24">
      <c r="A24" t="inlineStr">
        <is>
          <t>ew_jammer</t>
        </is>
      </c>
      <c r="B24" t="inlineStr"/>
      <c r="C24" t="inlineStr"/>
      <c r="D24" t="inlineStr"/>
      <c r="E24" t="inlineStr">
        <is>
          <t>Krasukha-4 (BAZ-6910)</t>
        </is>
      </c>
      <c r="F24" t="inlineStr">
        <is>
          <t>none</t>
        </is>
      </c>
      <c r="G24" t="inlineStr">
        <is>
          <t>no reliable overall figure found yet</t>
        </is>
      </c>
      <c r="H24" t="inlineStr">
        <is>
          <t>07_hinh_anh_am_thanh_model/Kich_thuoc_that (id ew_jammer)</t>
        </is>
      </c>
      <c r="I24" t="inlineStr"/>
    </row>
    <row r="25">
      <c r="A25" t="inlineStr">
        <is>
          <t>fighter_jet</t>
        </is>
      </c>
      <c r="B25" t="n">
        <v>21.94</v>
      </c>
      <c r="C25" t="n">
        <v>14.7</v>
      </c>
      <c r="D25" t="n">
        <v>5.92</v>
      </c>
      <c r="E25" t="inlineStr">
        <is>
          <t>Su-27 Flanker</t>
        </is>
      </c>
      <c r="F25" t="inlineStr">
        <is>
          <t>high</t>
        </is>
      </c>
      <c r="G25" t="inlineStr">
        <is>
          <t>Wikipedia 'Sukhoi Su-27'</t>
        </is>
      </c>
      <c r="H25" t="inlineStr">
        <is>
          <t>07_hinh_anh_am_thanh_model/Kich_thuoc_that (id fighter_jet)</t>
        </is>
      </c>
      <c r="I25" t="inlineStr"/>
    </row>
    <row r="26">
      <c r="A26" t="inlineStr">
        <is>
          <t>flame_tank</t>
        </is>
      </c>
      <c r="B26" t="n">
        <v>9.199999999999999</v>
      </c>
      <c r="C26" t="n">
        <v>3.37</v>
      </c>
      <c r="D26" t="n">
        <v>2.4</v>
      </c>
      <c r="E26" t="inlineStr">
        <is>
          <t>TO-55 (T-55 hull)</t>
        </is>
      </c>
      <c r="F26" t="inlineStr">
        <is>
          <t>approx</t>
        </is>
      </c>
      <c r="G26" t="inlineStr">
        <is>
          <t>Wikipedia 'T-54/T-55' (the TO-55 keeps the T-55 hull)</t>
        </is>
      </c>
      <c r="H26" t="inlineStr">
        <is>
          <t>07_hinh_anh_am_thanh_model/Kich_thuoc_that (id flame_tank)</t>
        </is>
      </c>
      <c r="I26" t="inlineStr"/>
    </row>
    <row r="27">
      <c r="A27" t="inlineStr">
        <is>
          <t>fpv_carrier</t>
        </is>
      </c>
      <c r="B27" t="n">
        <v>8.99</v>
      </c>
      <c r="C27" t="n">
        <v>2.55</v>
      </c>
      <c r="D27" t="n">
        <v>3.4</v>
      </c>
      <c r="E27" t="inlineStr">
        <is>
          <t>KamAZ-63968 Typhoon-K</t>
        </is>
      </c>
      <c r="F27" t="inlineStr">
        <is>
          <t>approx</t>
        </is>
      </c>
      <c r="G27" t="inlineStr">
        <is>
          <t>Wikipedia 'KamAZ Typhoon'</t>
        </is>
      </c>
      <c r="H27" t="inlineStr">
        <is>
          <t>07_hinh_anh_am_thanh_model/Kich_thuoc_that (id fpv_carrier)</t>
        </is>
      </c>
      <c r="I27" t="inlineStr"/>
    </row>
    <row r="28">
      <c r="A28" t="inlineStr">
        <is>
          <t>heavy_aa</t>
        </is>
      </c>
      <c r="B28" t="inlineStr"/>
      <c r="C28" t="inlineStr"/>
      <c r="D28" t="inlineStr"/>
      <c r="E28" t="inlineStr">
        <is>
          <t>Pantsir-S1 (KamAZ-6560)</t>
        </is>
      </c>
      <c r="F28" t="inlineStr">
        <is>
          <t>none</t>
        </is>
      </c>
      <c r="G28" t="inlineStr">
        <is>
          <t>no reliable overall figure found yet</t>
        </is>
      </c>
      <c r="H28" t="inlineStr">
        <is>
          <t>07_hinh_anh_am_thanh_model/Kich_thuoc_that (id heavy_aa)</t>
        </is>
      </c>
      <c r="I28" t="inlineStr"/>
    </row>
    <row r="29">
      <c r="A29" t="inlineStr">
        <is>
          <t>heavy_bomber</t>
        </is>
      </c>
      <c r="B29" t="n">
        <v>48.5</v>
      </c>
      <c r="C29" t="n">
        <v>56.4</v>
      </c>
      <c r="D29" t="n">
        <v>12.4</v>
      </c>
      <c r="E29" t="inlineStr">
        <is>
          <t>B-52H Stratofortress</t>
        </is>
      </c>
      <c r="F29" t="inlineStr">
        <is>
          <t>high</t>
        </is>
      </c>
      <c r="G29" t="inlineStr">
        <is>
          <t>Wikipedia 'Boeing B-52 Stratofortress'</t>
        </is>
      </c>
      <c r="H29" t="inlineStr">
        <is>
          <t>07_hinh_anh_am_thanh_model/Kich_thuoc_that (id heavy_bomber)</t>
        </is>
      </c>
      <c r="I29" t="inlineStr"/>
    </row>
    <row r="30">
      <c r="A30" t="inlineStr">
        <is>
          <t>heavy_rocket_artillery</t>
        </is>
      </c>
      <c r="B30" t="n">
        <v>12.1</v>
      </c>
      <c r="C30" t="n">
        <v>3.05</v>
      </c>
      <c r="D30" t="n">
        <v>3.05</v>
      </c>
      <c r="E30" t="inlineStr">
        <is>
          <t>9A52-2 Smerch (MAZ-543M)</t>
        </is>
      </c>
      <c r="F30" t="inlineStr">
        <is>
          <t>approx</t>
        </is>
      </c>
      <c r="G30" t="inlineStr">
        <is>
          <t>Wikipedia 'BM-30 Smerch'</t>
        </is>
      </c>
      <c r="H30" t="inlineStr">
        <is>
          <t>07_hinh_anh_am_thanh_model/Kich_thuoc_that (id heavy_rocket_artillery)</t>
        </is>
      </c>
      <c r="I30" t="inlineStr"/>
    </row>
    <row r="31">
      <c r="A31" t="inlineStr">
        <is>
          <t>heavy_tank</t>
        </is>
      </c>
      <c r="B31" t="inlineStr"/>
      <c r="C31" t="inlineStr"/>
      <c r="D31" t="inlineStr"/>
      <c r="E31" t="inlineStr">
        <is>
          <t>Object 195 / T-95</t>
        </is>
      </c>
      <c r="F31" t="inlineStr">
        <is>
          <t>none</t>
        </is>
      </c>
      <c r="G31" t="inlineStr">
        <is>
          <t>no published dimensions (prototype)</t>
        </is>
      </c>
      <c r="H31" t="inlineStr">
        <is>
          <t>07_hinh_anh_am_thanh_model/Kich_thuoc_that (id heavy_tank)</t>
        </is>
      </c>
      <c r="I31" t="inlineStr"/>
    </row>
    <row r="32">
      <c r="A32" t="inlineStr">
        <is>
          <t>hover_gunboat</t>
        </is>
      </c>
      <c r="B32" t="inlineStr"/>
      <c r="C32" t="inlineStr"/>
      <c r="D32" t="inlineStr"/>
      <c r="E32" t="inlineStr">
        <is>
          <t>air-cushion gunboat with an AK-630</t>
        </is>
      </c>
      <c r="F32" t="inlineStr">
        <is>
          <t>inspiration</t>
        </is>
      </c>
      <c r="G32" t="inlineStr">
        <is>
          <t>fictional</t>
        </is>
      </c>
      <c r="H32" t="inlineStr">
        <is>
          <t>07_hinh_anh_am_thanh_model/Kich_thuoc_that (id hover_gunboat)</t>
        </is>
      </c>
      <c r="I32" t="inlineStr"/>
    </row>
    <row r="33">
      <c r="A33" t="inlineStr">
        <is>
          <t>ifv</t>
        </is>
      </c>
      <c r="B33" t="n">
        <v>6.55</v>
      </c>
      <c r="C33" t="n">
        <v>3.6</v>
      </c>
      <c r="D33" t="n">
        <v>2.98</v>
      </c>
      <c r="E33" t="inlineStr">
        <is>
          <t>M2A3 Bradley</t>
        </is>
      </c>
      <c r="F33" t="inlineStr">
        <is>
          <t>high</t>
        </is>
      </c>
      <c r="G33" t="inlineStr">
        <is>
          <t>Wikipedia 'M2 Bradley'</t>
        </is>
      </c>
      <c r="H33" t="inlineStr">
        <is>
          <t>07_hinh_anh_am_thanh_model/Kich_thuoc_that (id ifv)</t>
        </is>
      </c>
      <c r="I33" t="inlineStr"/>
    </row>
    <row r="34">
      <c r="A34" t="inlineStr">
        <is>
          <t>iron_beam</t>
        </is>
      </c>
      <c r="B34" t="inlineStr"/>
      <c r="C34" t="inlineStr"/>
      <c r="D34" t="inlineStr"/>
      <c r="E34" t="inlineStr">
        <is>
          <t>Rafael Iron Beam</t>
        </is>
      </c>
      <c r="F34" t="inlineStr">
        <is>
          <t>none</t>
        </is>
      </c>
      <c r="G34" t="inlineStr">
        <is>
          <t>mount varies; no standard</t>
        </is>
      </c>
      <c r="H34" t="inlineStr">
        <is>
          <t>07_hinh_anh_am_thanh_model/Kich_thuoc_that (id iron_beam)</t>
        </is>
      </c>
      <c r="I34" t="inlineStr"/>
    </row>
    <row r="35">
      <c r="A35" t="inlineStr">
        <is>
          <t>landing_craft</t>
        </is>
      </c>
      <c r="B35" t="n">
        <v>22.4</v>
      </c>
      <c r="C35" t="n">
        <v>6.4</v>
      </c>
      <c r="E35" t="inlineStr">
        <is>
          <t>LCM-8</t>
        </is>
      </c>
      <c r="F35" t="inlineStr">
        <is>
          <t>high</t>
        </is>
      </c>
      <c r="G35" t="inlineStr">
        <is>
          <t>Wikipedia 'LCM-8'</t>
        </is>
      </c>
      <c r="H35" t="inlineStr">
        <is>
          <t>07_hinh_anh_am_thanh_model/Kich_thuoc_that (id landing_craft)</t>
        </is>
      </c>
      <c r="I35" t="inlineStr"/>
    </row>
    <row r="36">
      <c r="A36" t="inlineStr">
        <is>
          <t>laser_tank</t>
        </is>
      </c>
      <c r="B36" t="inlineStr"/>
      <c r="C36" t="inlineStr"/>
      <c r="D36" t="inlineStr"/>
      <c r="E36" t="inlineStr">
        <is>
          <t>beam director on a tracked chassis</t>
        </is>
      </c>
      <c r="F36" t="inlineStr">
        <is>
          <t>inspiration</t>
        </is>
      </c>
      <c r="G36" t="inlineStr">
        <is>
          <t>fictional</t>
        </is>
      </c>
      <c r="H36" t="inlineStr">
        <is>
          <t>07_hinh_anh_am_thanh_model/Kich_thuoc_that (id laser_tank)</t>
        </is>
      </c>
      <c r="I36" t="inlineStr"/>
    </row>
    <row r="37">
      <c r="A37" t="inlineStr">
        <is>
          <t>light_tank</t>
        </is>
      </c>
      <c r="B37" t="n">
        <v>7.63</v>
      </c>
      <c r="C37" t="n">
        <v>3.15</v>
      </c>
      <c r="D37" t="n">
        <v>2.33</v>
      </c>
      <c r="E37" t="inlineStr">
        <is>
          <t>PT-76</t>
        </is>
      </c>
      <c r="F37" t="inlineStr">
        <is>
          <t>high</t>
        </is>
      </c>
      <c r="G37" t="inlineStr">
        <is>
          <t>Wikipedia 'PT-76' (hull 6.91 m)</t>
        </is>
      </c>
      <c r="H37" t="inlineStr">
        <is>
          <t>07_hinh_anh_am_thanh_model/Kich_thuoc_that (id light_tank)</t>
        </is>
      </c>
      <c r="I37" t="inlineStr"/>
    </row>
    <row r="38">
      <c r="A38" t="inlineStr">
        <is>
          <t>long_sam</t>
        </is>
      </c>
      <c r="B38" t="inlineStr"/>
      <c r="C38" t="inlineStr"/>
      <c r="D38" t="inlineStr"/>
      <c r="E38" t="inlineStr">
        <is>
          <t>S-400 5P85SM2 TEL</t>
        </is>
      </c>
      <c r="F38" t="inlineStr">
        <is>
          <t>none</t>
        </is>
      </c>
      <c r="G38" t="inlineStr">
        <is>
          <t>no reliable overall figure found yet</t>
        </is>
      </c>
      <c r="H38" t="inlineStr">
        <is>
          <t>07_hinh_anh_am_thanh_model/Kich_thuoc_that (id long_sam)</t>
        </is>
      </c>
      <c r="I38" t="inlineStr"/>
    </row>
    <row r="39">
      <c r="A39" t="inlineStr">
        <is>
          <t>main_battle_tank</t>
        </is>
      </c>
      <c r="B39" t="n">
        <v>9.67</v>
      </c>
      <c r="C39" t="n">
        <v>3.7</v>
      </c>
      <c r="D39" t="n">
        <v>2.48</v>
      </c>
      <c r="E39" t="inlineStr">
        <is>
          <t>Leopard 2A4</t>
        </is>
      </c>
      <c r="F39" t="inlineStr">
        <is>
          <t>high</t>
        </is>
      </c>
      <c r="G39" t="inlineStr">
        <is>
          <t>Wikipedia 'Leopard 2' (2A4; hull 7.72 m)</t>
        </is>
      </c>
      <c r="H39" t="inlineStr">
        <is>
          <t>07_hinh_anh_am_thanh_model/Kich_thuoc_that (id main_battle_tank)</t>
        </is>
      </c>
      <c r="I39" t="inlineStr"/>
    </row>
    <row r="40">
      <c r="A40" t="inlineStr">
        <is>
          <t>mine_layer</t>
        </is>
      </c>
      <c r="B40" t="inlineStr"/>
      <c r="C40" t="inlineStr"/>
      <c r="D40" t="inlineStr"/>
      <c r="E40" t="inlineStr">
        <is>
          <t>GMZ-3</t>
        </is>
      </c>
      <c r="F40" t="inlineStr">
        <is>
          <t>none</t>
        </is>
      </c>
      <c r="G40" t="inlineStr">
        <is>
          <t>no reliable overall figure found yet</t>
        </is>
      </c>
      <c r="H40" t="inlineStr">
        <is>
          <t>07_hinh_anh_am_thanh_model/Kich_thuoc_that (id mine_layer)</t>
        </is>
      </c>
      <c r="I40" t="inlineStr"/>
    </row>
    <row r="41">
      <c r="A41" t="inlineStr">
        <is>
          <t>mlrs</t>
        </is>
      </c>
      <c r="B41" t="n">
        <v>7</v>
      </c>
      <c r="C41" t="n">
        <v>2.4</v>
      </c>
      <c r="D41" t="n">
        <v>3.2</v>
      </c>
      <c r="E41" t="inlineStr">
        <is>
          <t>M142 HIMARS</t>
        </is>
      </c>
      <c r="F41" t="inlineStr">
        <is>
          <t>high</t>
        </is>
      </c>
      <c r="G41" t="inlineStr">
        <is>
          <t>Wikipedia 'M142 HIMARS'</t>
        </is>
      </c>
      <c r="H41" t="inlineStr">
        <is>
          <t>07_hinh_anh_am_thanh_model/Kich_thuoc_that (id mlrs)</t>
        </is>
      </c>
      <c r="I41" t="inlineStr"/>
    </row>
    <row r="42">
      <c r="A42" t="inlineStr">
        <is>
          <t>mortar_carrier</t>
        </is>
      </c>
      <c r="B42" t="n">
        <v>4.86</v>
      </c>
      <c r="C42" t="n">
        <v>2.69</v>
      </c>
      <c r="D42" t="n">
        <v>2.5</v>
      </c>
      <c r="E42" t="inlineStr">
        <is>
          <t>M1064 (M113A3 hull)</t>
        </is>
      </c>
      <c r="F42" t="inlineStr">
        <is>
          <t>high</t>
        </is>
      </c>
      <c r="G42" t="inlineStr">
        <is>
          <t>Wikipedia 'M113 armored personnel carrier'</t>
        </is>
      </c>
      <c r="H42" t="inlineStr">
        <is>
          <t>07_hinh_anh_am_thanh_model/Kich_thuoc_that (id mortar_carrier)</t>
        </is>
      </c>
      <c r="I42" t="inlineStr"/>
    </row>
    <row r="43">
      <c r="A43" t="inlineStr">
        <is>
          <t>next_gen_tank</t>
        </is>
      </c>
      <c r="B43" t="n">
        <v>9.67</v>
      </c>
      <c r="C43" t="n">
        <v>3.7</v>
      </c>
      <c r="D43" t="n">
        <v>2.48</v>
      </c>
      <c r="E43" t="inlineStr">
        <is>
          <t>Leopard 2A4 (same frame as the MBT)</t>
        </is>
      </c>
      <c r="F43" t="inlineStr">
        <is>
          <t>approx</t>
        </is>
      </c>
      <c r="G43" t="inlineStr">
        <is>
          <t>Wikipedia 'Leopard 2'</t>
        </is>
      </c>
      <c r="H43" t="inlineStr">
        <is>
          <t>07_hinh_anh_am_thanh_model/Kich_thuoc_that (id next_gen_tank)</t>
        </is>
      </c>
      <c r="I43" t="inlineStr"/>
    </row>
    <row r="44">
      <c r="A44" t="inlineStr">
        <is>
          <t>railgun_truck</t>
        </is>
      </c>
      <c r="B44" t="inlineStr"/>
      <c r="C44" t="inlineStr"/>
      <c r="D44" t="inlineStr"/>
      <c r="E44" t="inlineStr">
        <is>
          <t>EM railgun on an 8x8</t>
        </is>
      </c>
      <c r="F44" t="inlineStr">
        <is>
          <t>inspiration</t>
        </is>
      </c>
      <c r="G44" t="inlineStr">
        <is>
          <t>fictional mount</t>
        </is>
      </c>
      <c r="H44" t="inlineStr">
        <is>
          <t>07_hinh_anh_am_thanh_model/Kich_thuoc_that (id railgun_truck)</t>
        </is>
      </c>
      <c r="I44" t="inlineStr"/>
    </row>
    <row r="45">
      <c r="A45" t="inlineStr">
        <is>
          <t>recon_drone</t>
        </is>
      </c>
      <c r="B45" t="n">
        <v>6.5</v>
      </c>
      <c r="C45" t="n">
        <v>12</v>
      </c>
      <c r="D45" t="n">
        <v>2.2</v>
      </c>
      <c r="E45" t="inlineStr">
        <is>
          <t>Bayraktar TB2</t>
        </is>
      </c>
      <c r="F45" t="inlineStr">
        <is>
          <t>high</t>
        </is>
      </c>
      <c r="G45" t="inlineStr">
        <is>
          <t>Wikipedia 'Baykar Bayraktar TB2'</t>
        </is>
      </c>
      <c r="H45" t="inlineStr">
        <is>
          <t>07_hinh_anh_am_thanh_model/Kich_thuoc_that (id recon_drone)</t>
        </is>
      </c>
      <c r="I45" t="inlineStr"/>
    </row>
    <row r="46">
      <c r="A46" t="inlineStr">
        <is>
          <t>rocket_technical</t>
        </is>
      </c>
      <c r="B46" t="n">
        <v>5.26</v>
      </c>
      <c r="C46" t="n">
        <v>1.84</v>
      </c>
      <c r="D46" t="n">
        <v>1.8</v>
      </c>
      <c r="E46" t="inlineStr">
        <is>
          <t>Toyota Hilux (7th gen, double cab)</t>
        </is>
      </c>
      <c r="F46" t="inlineStr">
        <is>
          <t>approx</t>
        </is>
      </c>
      <c r="G46" t="inlineStr">
        <is>
          <t>Toyota Hilux AN10/AN20 specifications</t>
        </is>
      </c>
      <c r="H46" t="inlineStr">
        <is>
          <t>07_hinh_anh_am_thanh_model/Kich_thuoc_that (id rocket_technical)</t>
        </is>
      </c>
      <c r="I46" t="inlineStr"/>
    </row>
    <row r="47">
      <c r="A47" t="inlineStr">
        <is>
          <t>sam_launcher</t>
        </is>
      </c>
      <c r="B47" t="n">
        <v>9.300000000000001</v>
      </c>
      <c r="C47" t="n">
        <v>3.25</v>
      </c>
      <c r="D47" t="n">
        <v>3.8</v>
      </c>
      <c r="E47" t="inlineStr">
        <is>
          <t>9A310M1 Buk TELAR</t>
        </is>
      </c>
      <c r="F47" t="inlineStr">
        <is>
          <t>approx</t>
        </is>
      </c>
      <c r="G47" t="inlineStr">
        <is>
          <t>Army Recognition 'Buk-M1-2'</t>
        </is>
      </c>
      <c r="H47" t="inlineStr">
        <is>
          <t>07_hinh_anh_am_thanh_model/Kich_thuoc_that (id sam_launcher)</t>
        </is>
      </c>
      <c r="I47" t="inlineStr"/>
    </row>
    <row r="48">
      <c r="A48" t="inlineStr">
        <is>
          <t>scout_heli</t>
        </is>
      </c>
      <c r="B48" t="n">
        <v>9.800000000000001</v>
      </c>
      <c r="C48" t="n">
        <v>8.300000000000001</v>
      </c>
      <c r="D48" t="n">
        <v>2.48</v>
      </c>
      <c r="E48" t="inlineStr">
        <is>
          <t>MH-6 Little Bird</t>
        </is>
      </c>
      <c r="F48" t="inlineStr">
        <is>
          <t>approx</t>
        </is>
      </c>
      <c r="G48" t="inlineStr">
        <is>
          <t>Wikipedia 'MD Helicopters MH-6 Little Bird'</t>
        </is>
      </c>
      <c r="H48" t="inlineStr">
        <is>
          <t>07_hinh_anh_am_thanh_model/Kich_thuoc_that (id scout_heli)</t>
        </is>
      </c>
      <c r="I48" t="inlineStr"/>
    </row>
    <row r="49">
      <c r="A49" t="inlineStr">
        <is>
          <t>scout_jeep</t>
        </is>
      </c>
      <c r="B49" t="n">
        <v>3.37</v>
      </c>
      <c r="C49" t="n">
        <v>1.63</v>
      </c>
      <c r="D49" t="n">
        <v>1.8</v>
      </c>
      <c r="E49" t="inlineStr">
        <is>
          <t>M151A2 MUTT</t>
        </is>
      </c>
      <c r="F49" t="inlineStr">
        <is>
          <t>high</t>
        </is>
      </c>
      <c r="G49" t="inlineStr">
        <is>
          <t>Wikipedia 'M151 MUTT'</t>
        </is>
      </c>
      <c r="H49" t="inlineStr">
        <is>
          <t>07_hinh_anh_am_thanh_model/Kich_thuoc_that (id scout_jeep)</t>
        </is>
      </c>
      <c r="I49" t="inlineStr"/>
    </row>
    <row r="50">
      <c r="A50" t="inlineStr">
        <is>
          <t>sea_cruiser</t>
        </is>
      </c>
      <c r="B50" t="n">
        <v>252</v>
      </c>
      <c r="C50" t="n">
        <v>28.5</v>
      </c>
      <c r="E50" t="inlineStr">
        <is>
          <t>Kirov-class battlecruiser</t>
        </is>
      </c>
      <c r="F50" t="inlineStr">
        <is>
          <t>high</t>
        </is>
      </c>
      <c r="G50" t="inlineStr">
        <is>
          <t>Wikipedia 'Kirov-class battlecruiser'</t>
        </is>
      </c>
      <c r="H50" t="inlineStr">
        <is>
          <t>07_hinh_anh_am_thanh_model/Kich_thuoc_that (id sea_cruiser)</t>
        </is>
      </c>
      <c r="I50" t="inlineStr"/>
    </row>
    <row r="51">
      <c r="A51" t="inlineStr">
        <is>
          <t>shield_carrier</t>
        </is>
      </c>
      <c r="B51" t="n">
        <v>7.93</v>
      </c>
      <c r="C51" t="n">
        <v>2.99</v>
      </c>
      <c r="D51" t="n">
        <v>2.37</v>
      </c>
      <c r="E51" t="inlineStr">
        <is>
          <t>Boxer 8x8</t>
        </is>
      </c>
      <c r="F51" t="inlineStr">
        <is>
          <t>high</t>
        </is>
      </c>
      <c r="G51" t="inlineStr">
        <is>
          <t>Wikipedia 'Boxer (armoured fighting vehicle)'</t>
        </is>
      </c>
      <c r="H51" t="inlineStr">
        <is>
          <t>07_hinh_anh_am_thanh_model/Kich_thuoc_that (id shield_carrier)</t>
        </is>
      </c>
      <c r="I51" t="inlineStr"/>
    </row>
    <row r="52">
      <c r="A52" t="inlineStr">
        <is>
          <t>siege_tank</t>
        </is>
      </c>
      <c r="B52" t="n">
        <v>8.5</v>
      </c>
      <c r="C52" t="n">
        <v>3.2</v>
      </c>
      <c r="D52" t="n">
        <v>3.2</v>
      </c>
      <c r="E52" t="inlineStr">
        <is>
          <t>2S4 Tyulpan</t>
        </is>
      </c>
      <c r="F52" t="inlineStr">
        <is>
          <t>approx</t>
        </is>
      </c>
      <c r="G52" t="inlineStr">
        <is>
          <t>Wikipedia '2S4 Tyulpan'</t>
        </is>
      </c>
      <c r="H52" t="inlineStr">
        <is>
          <t>07_hinh_anh_am_thanh_model/Kich_thuoc_that (id siege_tank)</t>
        </is>
      </c>
      <c r="I52" t="inlineStr"/>
    </row>
    <row r="53">
      <c r="A53" t="inlineStr">
        <is>
          <t>sky_gunship</t>
        </is>
      </c>
      <c r="B53" t="n">
        <v>29.8</v>
      </c>
      <c r="C53" t="n">
        <v>40.4</v>
      </c>
      <c r="D53" t="n">
        <v>11.7</v>
      </c>
      <c r="E53" t="inlineStr">
        <is>
          <t>AC-130U Spooky</t>
        </is>
      </c>
      <c r="F53" t="inlineStr">
        <is>
          <t>high</t>
        </is>
      </c>
      <c r="G53" t="inlineStr">
        <is>
          <t>Wikipedia 'Lockheed AC-130'</t>
        </is>
      </c>
      <c r="H53" t="inlineStr">
        <is>
          <t>07_hinh_anh_am_thanh_model/Kich_thuoc_that (id sky_gunship)</t>
        </is>
      </c>
      <c r="I53" t="inlineStr"/>
    </row>
    <row r="54">
      <c r="A54" t="inlineStr">
        <is>
          <t>stealth_bomber</t>
        </is>
      </c>
      <c r="B54" t="n">
        <v>21</v>
      </c>
      <c r="C54" t="n">
        <v>52.4</v>
      </c>
      <c r="D54" t="n">
        <v>5.18</v>
      </c>
      <c r="E54" t="inlineStr">
        <is>
          <t>B-2A Spirit</t>
        </is>
      </c>
      <c r="F54" t="inlineStr">
        <is>
          <t>high</t>
        </is>
      </c>
      <c r="G54" t="inlineStr">
        <is>
          <t>Wikipedia 'Northrop B-2 Spirit'</t>
        </is>
      </c>
      <c r="H54" t="inlineStr">
        <is>
          <t>07_hinh_anh_am_thanh_model/Kich_thuoc_that (id stealth_bomber)</t>
        </is>
      </c>
      <c r="I54" t="inlineStr"/>
    </row>
    <row r="55">
      <c r="A55" t="inlineStr">
        <is>
          <t>stealth_fighter</t>
        </is>
      </c>
      <c r="B55" t="n">
        <v>18.92</v>
      </c>
      <c r="C55" t="n">
        <v>13.56</v>
      </c>
      <c r="D55" t="n">
        <v>5.08</v>
      </c>
      <c r="E55" t="inlineStr">
        <is>
          <t>F-22A Raptor</t>
        </is>
      </c>
      <c r="F55" t="inlineStr">
        <is>
          <t>high</t>
        </is>
      </c>
      <c r="G55" t="inlineStr">
        <is>
          <t>Wikipedia 'Lockheed Martin F-22 Raptor'</t>
        </is>
      </c>
      <c r="H55" t="inlineStr">
        <is>
          <t>07_hinh_anh_am_thanh_model/Kich_thuoc_that (id stealth_fighter)</t>
        </is>
      </c>
      <c r="I55" t="inlineStr"/>
    </row>
    <row r="56">
      <c r="A56" t="inlineStr">
        <is>
          <t>stealth_naval_strike</t>
        </is>
      </c>
      <c r="B56" t="n">
        <v>21</v>
      </c>
      <c r="C56" t="n">
        <v>52.4</v>
      </c>
      <c r="D56" t="n">
        <v>5.18</v>
      </c>
      <c r="E56" t="inlineStr">
        <is>
          <t>B-2A Spirit (same frame as the stealth bomber)</t>
        </is>
      </c>
      <c r="F56" t="inlineStr">
        <is>
          <t>approx</t>
        </is>
      </c>
      <c r="G56" t="inlineStr">
        <is>
          <t>Wikipedia 'Northrop B-2 Spirit'</t>
        </is>
      </c>
      <c r="H56" t="inlineStr">
        <is>
          <t>07_hinh_anh_am_thanh_model/Kich_thuoc_that (id stealth_naval_strike)</t>
        </is>
      </c>
      <c r="I56" t="inlineStr"/>
    </row>
    <row r="57">
      <c r="A57" t="inlineStr">
        <is>
          <t>strike_drone</t>
        </is>
      </c>
      <c r="B57" t="n">
        <v>11</v>
      </c>
      <c r="C57" t="n">
        <v>20</v>
      </c>
      <c r="D57" t="n">
        <v>3.81</v>
      </c>
      <c r="E57" t="inlineStr">
        <is>
          <t>MQ-9A Reaper</t>
        </is>
      </c>
      <c r="F57" t="inlineStr">
        <is>
          <t>high</t>
        </is>
      </c>
      <c r="G57" t="inlineStr">
        <is>
          <t>Wikipedia 'General Atomics MQ-9 Reaper'</t>
        </is>
      </c>
      <c r="H57" t="inlineStr">
        <is>
          <t>07_hinh_anh_am_thanh_model/Kich_thuoc_that (id strike_drone)</t>
        </is>
      </c>
      <c r="I57" t="inlineStr"/>
    </row>
    <row r="58">
      <c r="A58" t="inlineStr">
        <is>
          <t>supply_truck</t>
        </is>
      </c>
      <c r="B58" t="n">
        <v>10.17</v>
      </c>
      <c r="C58" t="n">
        <v>2.44</v>
      </c>
      <c r="D58" t="n">
        <v>2.84</v>
      </c>
      <c r="E58" t="inlineStr">
        <is>
          <t>M977 HEMTT</t>
        </is>
      </c>
      <c r="F58" t="inlineStr">
        <is>
          <t>approx</t>
        </is>
      </c>
      <c r="G58" t="inlineStr">
        <is>
          <t>Wikipedia 'Heavy Expanded Mobility Tactical Truck'</t>
        </is>
      </c>
      <c r="H58" t="inlineStr">
        <is>
          <t>07_hinh_anh_am_thanh_model/Kich_thuoc_that (id supply_truck)</t>
        </is>
      </c>
      <c r="I58" t="inlineStr"/>
    </row>
    <row r="59">
      <c r="A59" t="inlineStr">
        <is>
          <t>swarm_carrier</t>
        </is>
      </c>
      <c r="B59" t="n">
        <v>29.79</v>
      </c>
      <c r="C59" t="n">
        <v>40.41</v>
      </c>
      <c r="D59" t="n">
        <v>11.84</v>
      </c>
      <c r="E59" t="inlineStr">
        <is>
          <t>C-130H Hercules</t>
        </is>
      </c>
      <c r="F59" t="inlineStr">
        <is>
          <t>high</t>
        </is>
      </c>
      <c r="G59" t="inlineStr">
        <is>
          <t>Wikipedia 'Lockheed C-130 Hercules'</t>
        </is>
      </c>
      <c r="H59" t="inlineStr">
        <is>
          <t>07_hinh_anh_am_thanh_model/Kich_thuoc_that (id swarm_carrier)</t>
        </is>
      </c>
      <c r="I59" t="inlineStr"/>
    </row>
    <row r="60">
      <c r="A60" t="inlineStr">
        <is>
          <t>tank_destroyer</t>
        </is>
      </c>
      <c r="B60" t="n">
        <v>9.77</v>
      </c>
      <c r="C60" t="n">
        <v>3.15</v>
      </c>
      <c r="D60" t="n">
        <v>3.05</v>
      </c>
      <c r="E60" t="inlineStr">
        <is>
          <t>2S25 Sprut-SD</t>
        </is>
      </c>
      <c r="F60" t="inlineStr">
        <is>
          <t>approx</t>
        </is>
      </c>
      <c r="G60" t="inlineStr">
        <is>
          <t>Wikipedia '2S25 Sprut-SD' (hull 7.08 m; height at full clearance)</t>
        </is>
      </c>
      <c r="H60" t="inlineStr">
        <is>
          <t>07_hinh_anh_am_thanh_model/Kich_thuoc_that (id tank_destroyer)</t>
        </is>
      </c>
      <c r="I60" t="inlineStr"/>
    </row>
    <row r="61">
      <c r="A61" t="inlineStr">
        <is>
          <t>thermobaric_launcher</t>
        </is>
      </c>
      <c r="B61" t="n">
        <v>9.5</v>
      </c>
      <c r="C61" t="n">
        <v>3.6</v>
      </c>
      <c r="E61" t="inlineStr">
        <is>
          <t>TOS-1A Solntsepyok</t>
        </is>
      </c>
      <c r="F61" t="inlineStr">
        <is>
          <t>approx</t>
        </is>
      </c>
      <c r="G61" t="inlineStr">
        <is>
          <t>Wikipedia 'TOS-1' (height not reliable)</t>
        </is>
      </c>
      <c r="H61" t="inlineStr">
        <is>
          <t>07_hinh_anh_am_thanh_model/Kich_thuoc_that (id thermobaric_launcher)</t>
        </is>
      </c>
      <c r="I61" t="inlineStr"/>
    </row>
    <row r="62">
      <c r="A62" t="inlineStr">
        <is>
          <t>titan_tank</t>
        </is>
      </c>
      <c r="B62" t="inlineStr"/>
      <c r="C62" t="inlineStr"/>
      <c r="D62" t="inlineStr"/>
      <c r="E62" t="inlineStr">
        <is>
          <t>Rheinmetall NPzK concept, a super tank</t>
        </is>
      </c>
      <c r="F62" t="inlineStr">
        <is>
          <t>inspiration</t>
        </is>
      </c>
      <c r="G62" t="inlineStr">
        <is>
          <t>fictional</t>
        </is>
      </c>
      <c r="H62" t="inlineStr">
        <is>
          <t>07_hinh_anh_am_thanh_model/Kich_thuoc_that (id titan_tank)</t>
        </is>
      </c>
      <c r="I62" t="inlineStr"/>
    </row>
    <row r="63">
      <c r="A63" t="inlineStr">
        <is>
          <t>twin_tank</t>
        </is>
      </c>
      <c r="B63" t="inlineStr"/>
      <c r="C63" t="inlineStr"/>
      <c r="D63" t="inlineStr"/>
      <c r="E63" t="inlineStr">
        <is>
          <t>twin Rh-120 L/44 tank</t>
        </is>
      </c>
      <c r="F63" t="inlineStr">
        <is>
          <t>inspiration</t>
        </is>
      </c>
      <c r="G63" t="inlineStr">
        <is>
          <t>fictional</t>
        </is>
      </c>
      <c r="H63" t="inlineStr">
        <is>
          <t>07_hinh_anh_am_thanh_model/Kich_thuoc_that (id twin_tank)</t>
        </is>
      </c>
      <c r="I63" t="inlineStr"/>
    </row>
    <row r="64">
      <c r="A64" t="inlineStr">
        <is>
          <t>vbied</t>
        </is>
      </c>
      <c r="B64" t="inlineStr"/>
      <c r="C64" t="inlineStr"/>
      <c r="D64" t="inlineStr"/>
      <c r="E64" t="inlineStr">
        <is>
          <t>armoured VBIED pickup (Mosul)</t>
        </is>
      </c>
      <c r="F64" t="inlineStr">
        <is>
          <t>inspiration</t>
        </is>
      </c>
      <c r="G64" t="inlineStr">
        <is>
          <t>improvised; no standard</t>
        </is>
      </c>
      <c r="H64" t="inlineStr">
        <is>
          <t>07_hinh_anh_am_thanh_model/Kich_thuoc_that (id vbied)</t>
        </is>
      </c>
      <c r="I64" t="inlineStr"/>
    </row>
    <row r="65">
      <c r="A65" t="inlineStr">
        <is>
          <t>wheeled_gun</t>
        </is>
      </c>
      <c r="B65" t="n">
        <v>8.555</v>
      </c>
      <c r="C65" t="n">
        <v>2.94</v>
      </c>
      <c r="D65" t="n">
        <v>2.73</v>
      </c>
      <c r="E65" t="inlineStr">
        <is>
          <t>B1 Centauro</t>
        </is>
      </c>
      <c r="F65" t="inlineStr">
        <is>
          <t>high</t>
        </is>
      </c>
      <c r="G65" t="inlineStr">
        <is>
          <t>Wikipedia 'B1 Centauro' (hull 7.40 m)</t>
        </is>
      </c>
      <c r="H65" t="inlineStr">
        <is>
          <t>07_hinh_anh_am_thanh_model/Kich_thuoc_that (id wheeled_gun)</t>
        </is>
      </c>
      <c r="I65" t="inlineStr"/>
    </row>
    <row r="66">
      <c r="A66" t="inlineStr">
        <is>
          <t>zu23_technical</t>
        </is>
      </c>
      <c r="B66" t="n">
        <v>5.26</v>
      </c>
      <c r="C66" t="n">
        <v>1.84</v>
      </c>
      <c r="D66" t="n">
        <v>1.8</v>
      </c>
      <c r="E66" t="inlineStr">
        <is>
          <t>Toyota Hilux (7th gen, double cab)</t>
        </is>
      </c>
      <c r="F66" t="inlineStr">
        <is>
          <t>approx</t>
        </is>
      </c>
      <c r="G66" t="inlineStr">
        <is>
          <t>Toyota Hilux AN10/AN20 specifications</t>
        </is>
      </c>
      <c r="H66" t="inlineStr">
        <is>
          <t>07_hinh_anh_am_thanh_model/Kich_thuoc_that (id zu23_technical)</t>
        </is>
      </c>
      <c r="I66" t="inlineStr"/>
    </row>
  </sheetData>
  <autoFilter ref="A1:I66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9" customWidth="1" min="3" max="3"/>
    <col width="17" customWidth="1" min="4" max="4"/>
    <col width="60" customWidth="1" min="5" max="5"/>
    <col width="12" customWidth="1" min="6" max="6"/>
    <col width="21" customWidth="1" min="7" max="7"/>
    <col width="30" customWidth="1" min="8" max="8"/>
    <col width="51" customWidth="1" min="9" max="9"/>
    <col width="17" customWidth="1" min="10" max="10"/>
    <col width="60" customWidth="1" min="11" max="11"/>
    <col width="23" customWidth="1" min="12" max="12"/>
    <col width="12" customWidth="1" min="13" max="13"/>
    <col width="24" customWidth="1" min="14" max="14"/>
    <col width="14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47" customWidth="1" min="22" max="22"/>
    <col width="23" customWidth="1" min="23" max="23"/>
    <col width="36" customWidth="1" min="24" max="24"/>
    <col width="60" customWidth="1" min="25" max="25"/>
    <col width="60" customWidth="1" min="26" max="26"/>
    <col width="60" customWidth="1" min="27" max="27"/>
    <col width="21" customWidth="1" min="28" max="28"/>
    <col width="60" customWidth="1" min="29" max="29"/>
    <col width="24" customWidth="1" min="30" max="30"/>
    <col width="30" customWidth="1" min="31" max="31"/>
    <col width="16" customWidth="1" min="32" max="32"/>
    <col width="18" customWidth="1" min="33" max="33"/>
    <col width="32" customWidth="1" min="34" max="34"/>
    <col width="28" customWidth="1" min="35" max="35"/>
    <col width="60" customWidth="1" min="36" max="36"/>
    <col width="10" customWidth="1" min="37" max="37"/>
  </cols>
  <sheetData>
    <row r="1">
      <c r="A1" s="1" t="inlineStr">
        <is>
          <t>id</t>
        </is>
      </c>
      <c r="B1" s="1" t="inlineStr">
        <is>
          <t>entity_id</t>
        </is>
      </c>
      <c r="C1" s="1" t="inlineStr">
        <is>
          <t>ten_hien_thi</t>
        </is>
      </c>
      <c r="D1" s="1" t="inlineStr">
        <is>
          <t>loai_tham_chieu</t>
        </is>
      </c>
      <c r="E1" s="1" t="inlineStr">
        <is>
          <t>ten_mau_that</t>
        </is>
      </c>
      <c r="F1" s="1" t="inlineStr">
        <is>
          <t>quoc_gia</t>
        </is>
      </c>
      <c r="G1" s="1" t="inlineStr">
        <is>
          <t>nam_dua_vao_su_dung</t>
        </is>
      </c>
      <c r="H1" s="1" t="inlineStr">
        <is>
          <t>ten_game</t>
        </is>
      </c>
      <c r="I1" s="1" t="inlineStr">
        <is>
          <t>co_che_game</t>
        </is>
      </c>
      <c r="J1" s="1" t="inlineStr">
        <is>
          <t>ten_phim_truyen</t>
        </is>
      </c>
      <c r="K1" s="1" t="inlineStr">
        <is>
          <t>diem_giong</t>
        </is>
      </c>
      <c r="L1" s="1" t="inlineStr">
        <is>
          <t>diem_khac_co_chu_dich</t>
        </is>
      </c>
      <c r="M1" s="1" t="inlineStr">
        <is>
          <t>ly_do_khac</t>
        </is>
      </c>
      <c r="N1" s="1" t="inlineStr">
        <is>
          <t>cam_giac_khac_khi_choi</t>
        </is>
      </c>
      <c r="O1" s="1" t="inlineStr">
        <is>
          <t>do_tin_cay</t>
        </is>
      </c>
      <c r="P1" s="1" t="inlineStr">
        <is>
          <t>nguon_id</t>
        </is>
      </c>
      <c r="Q1" s="1" t="inlineStr">
        <is>
          <t>ly_do</t>
        </is>
      </c>
      <c r="R1" s="1" t="inlineStr">
        <is>
          <t>ghi_chu_ban_quyen</t>
        </is>
      </c>
      <c r="S1" s="1" t="inlineStr">
        <is>
          <t>ngoai_doi_dai_m</t>
        </is>
      </c>
      <c r="T1" s="1" t="inlineStr">
        <is>
          <t>ngoai_doi_rong_m</t>
        </is>
      </c>
      <c r="U1" s="1" t="inlineStr">
        <is>
          <t>ngoai_doi_cao_m</t>
        </is>
      </c>
      <c r="V1" s="1" t="inlineStr">
        <is>
          <t>ngoai_doi_mau_kich_thuoc</t>
        </is>
      </c>
      <c r="W1" s="1" t="inlineStr">
        <is>
          <t>do_tin_cay_kich_thuoc</t>
        </is>
      </c>
      <c r="X1" s="1" t="inlineStr">
        <is>
          <t>tham_chieu_kich_thuoc</t>
        </is>
      </c>
      <c r="Y1" s="1" t="inlineStr">
        <is>
          <t>ghi_chu_unit_refs</t>
        </is>
      </c>
      <c r="Z1" s="1" t="inlineStr">
        <is>
          <t>tham_khao_bang_can_bang</t>
        </is>
      </c>
      <c r="AA1" s="1" t="inlineStr">
        <is>
          <t>tham_khao_bang_thay_doi</t>
        </is>
      </c>
      <c r="AB1" s="1" t="inlineStr">
        <is>
          <t>nam_ghi_trong_nguon</t>
        </is>
      </c>
      <c r="AC1" s="1" t="inlineStr">
        <is>
          <t>ghi_chu_dung_model</t>
        </is>
      </c>
      <c r="AD1" s="1" t="inlineStr">
        <is>
          <t>ngoai_doi_khoi_luong_t</t>
        </is>
      </c>
      <c r="AE1" s="1" t="inlineStr">
        <is>
          <t>ngoai_doi_toc_do_toi_da_km_h</t>
        </is>
      </c>
      <c r="AF1" s="1" t="inlineStr">
        <is>
          <t>ngoai_doi_giap</t>
        </is>
      </c>
      <c r="AG1" s="1" t="inlineStr">
        <is>
          <t>ngoai_doi_to_lai</t>
        </is>
      </c>
      <c r="AH1" s="1" t="inlineStr">
        <is>
          <t>ngoai_doi_dong_co_cong_suat_kw</t>
        </is>
      </c>
      <c r="AI1" s="1" t="inlineStr">
        <is>
          <t>ngoai_doi_tam_hoat_dong_km</t>
        </is>
      </c>
      <c r="AJ1" s="1" t="inlineStr">
        <is>
          <t>nguon</t>
        </is>
      </c>
      <c r="AK1" s="1" t="inlineStr">
        <is>
          <t>raw_json</t>
        </is>
      </c>
    </row>
    <row r="2">
      <c r="A2" t="inlineStr">
        <is>
          <t>aa_gun_vehicle</t>
        </is>
      </c>
      <c r="B2" t="inlineStr">
        <is>
          <t>aa_gun_vehicle</t>
        </is>
      </c>
      <c r="C2" t="inlineStr">
        <is>
          <t>Xe cao xạ 40 mm</t>
        </is>
      </c>
      <c r="D2" t="inlineStr">
        <is>
          <t>NEED_SOURCE</t>
        </is>
      </c>
      <c r="E2" t="inlineStr"/>
      <c r="F2" t="inlineStr">
        <is>
          <t>NEED_SOURCE</t>
        </is>
      </c>
      <c r="G2" t="inlineStr">
        <is>
          <t>NEED_SOURCE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NEED_SOURCE</t>
        </is>
      </c>
      <c r="P2" t="inlineStr">
        <is>
          <t>R_aa_gun_vehicle</t>
        </is>
      </c>
      <c r="Q2" t="inlineStr">
        <is>
          <t>repo không có tham chiếu cho thực thể này (unit_refs.json, reference_real.json, bảng cân bằng)</t>
        </is>
      </c>
      <c r="R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" t="inlineStr">
        <is>
          <t>NEED_SOURCE</t>
        </is>
      </c>
      <c r="T2" t="inlineStr">
        <is>
          <t>NEED_SOURCE</t>
        </is>
      </c>
      <c r="U2" t="inlineStr">
        <is>
          <t>NEED_SOURCE</t>
        </is>
      </c>
      <c r="Z2" t="inlineStr"/>
      <c r="AA2" t="inlineStr"/>
      <c r="AB2" t="inlineStr"/>
      <c r="AC2" t="inlineStr">
        <is>
          <t>Tools/blender/specs/aa_gun_vehicle.json: real = CV9040 AAV (CV90 hull, Bofors 40 mm L/70 turret, PS-70 search radar); Bofors 40 mm L/70; confidence = ban_dau_doan (no unit_refs row; the def's weapon and the old builder's reference; CV90 published dimensions)</t>
        </is>
      </c>
      <c r="AD2" t="inlineStr">
        <is>
          <t>NEED_SOURCE</t>
        </is>
      </c>
      <c r="AE2" t="inlineStr">
        <is>
          <t>NEED_SOURCE</t>
        </is>
      </c>
      <c r="AF2" t="inlineStr">
        <is>
          <t>NEED_SOURCE</t>
        </is>
      </c>
      <c r="AG2" t="inlineStr">
        <is>
          <t>NEED_SOURCE</t>
        </is>
      </c>
      <c r="AH2" t="inlineStr">
        <is>
          <t>NEED_SOURCE</t>
        </is>
      </c>
      <c r="AI2" t="inlineStr">
        <is>
          <t>NEED_SOURCE</t>
        </is>
      </c>
      <c r="AJ2" t="inlineStr">
        <is>
          <t>Tools/docs/unit_refs.json: aa_gun_vehicle; Tools/models/reference_real.json: units.aa_gun_vehicle</t>
        </is>
      </c>
      <c r="AK2" t="inlineStr"/>
    </row>
    <row r="3">
      <c r="A3" t="inlineStr">
        <is>
          <t>aa_vehicle</t>
        </is>
      </c>
      <c r="B3" t="inlineStr">
        <is>
          <t>aa_vehicle</t>
        </is>
      </c>
      <c r="C3" t="inlineStr">
        <is>
          <t>Pháo cao xạ tự hành</t>
        </is>
      </c>
      <c r="D3" t="inlineStr">
        <is>
          <t>doi_that</t>
        </is>
      </c>
      <c r="E3" t="inlineStr">
        <is>
          <t>Flakpanzer Gepard (Oerlikon KDA 35 mm);Stinger / Starstreak</t>
        </is>
      </c>
      <c r="F3" t="inlineStr">
        <is>
          <t>NEED_SOURCE</t>
        </is>
      </c>
      <c r="G3" t="inlineStr">
        <is>
          <t>NEED_SOURCE</t>
        </is>
      </c>
      <c r="H3" t="inlineStr"/>
      <c r="I3" t="inlineStr"/>
      <c r="J3" t="inlineStr"/>
      <c r="K3" t="inlineStr">
        <is>
          <t>Pháo phòng không tự hành hai nòng 35 mm có radar</t>
        </is>
      </c>
      <c r="L3" t="inlineStr"/>
      <c r="M3" t="inlineStr"/>
      <c r="N3" t="inlineStr"/>
      <c r="O3" t="inlineStr">
        <is>
          <t>uoc_dinh</t>
        </is>
      </c>
      <c r="P3" t="inlineStr">
        <is>
          <t>R_unit_refs;R_reference_real;W_wikipedia_flakpanzer_gepard;R_unit_sheet;R_machine_brigade_can_bang;R_aa_vehicle</t>
        </is>
      </c>
      <c r="Q3" t="inlineStr"/>
      <c r="R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">
        <f>INDEX(xe_input_kich_thuoc_that!$B$2:$B$66,MATCH($B$3,xe_input_kich_thuoc_that!$A$2:$A$66,0))</f>
        <v/>
      </c>
      <c r="T3">
        <f>INDEX(xe_input_kich_thuoc_that!$C$2:$C$66,MATCH($B$3,xe_input_kich_thuoc_that!$A$2:$A$66,0))</f>
        <v/>
      </c>
      <c r="U3">
        <f>INDEX(xe_input_kich_thuoc_that!$D$2:$D$66,MATCH($B$3,xe_input_kich_thuoc_that!$A$2:$A$66,0))</f>
        <v/>
      </c>
      <c r="V3" t="inlineStr">
        <is>
          <t>Flakpanzer Gepard 1A2</t>
        </is>
      </c>
      <c r="W3" t="inlineStr">
        <is>
          <t>approx</t>
        </is>
      </c>
      <c r="X3" t="inlineStr">
        <is>
          <t>0,8 × Flakpanzer Gepard</t>
        </is>
      </c>
      <c r="Y3" t="inlineStr">
        <is>
          <t>Pháo phòng không tự hành hai nòng 35 mm có radar</t>
        </is>
      </c>
      <c r="Z3" t="inlineStr">
        <is>
          <t>Flakpanzer Gepard (Oerlikon KDA 35 mm), Stinger / Starstreak — Pháo phòng không tự hành hai nòng 35 mm có radar</t>
        </is>
      </c>
      <c r="AA3" t="inlineStr">
        <is>
          <t>Stinger: Mach 2,2</t>
        </is>
      </c>
      <c r="AB3" t="inlineStr"/>
      <c r="AC3" t="inlineStr">
        <is>
          <t>Tools/blender/specs/aa_vehicle.json: real = Flakpanzer Gepard (Leopard 1 hull); Oerlikon KDA 35 mm (x2); Stinger twin box (the def's sam: an upgrade, not on the real Gepard); confidence = xấp xỉ (Gepard 1A2 published drawings and photographs)</t>
        </is>
      </c>
      <c r="AD3" t="inlineStr">
        <is>
          <t>NEED_SOURCE</t>
        </is>
      </c>
      <c r="AE3" t="inlineStr">
        <is>
          <t>NEED_SOURCE</t>
        </is>
      </c>
      <c r="AF3" t="inlineStr">
        <is>
          <t>NEED_SOURCE</t>
        </is>
      </c>
      <c r="AG3" t="inlineStr">
        <is>
          <t>NEED_SOURCE</t>
        </is>
      </c>
      <c r="AH3" t="inlineStr">
        <is>
          <t>NEED_SOURCE</t>
        </is>
      </c>
      <c r="AI3" t="inlineStr">
        <is>
          <t>NEED_SOURCE</t>
        </is>
      </c>
      <c r="AJ3" t="inlineStr">
        <is>
          <t>Tools/docs/unit_refs.json: aa_vehicle; Tools/models/reference_real.json: units.aa_vehicle</t>
        </is>
      </c>
      <c r="AK3" t="inlineStr"/>
    </row>
    <row r="4">
      <c r="A4" t="inlineStr">
        <is>
          <t>air_raid</t>
        </is>
      </c>
      <c r="B4" t="inlineStr">
        <is>
          <t>air_raid</t>
        </is>
      </c>
      <c r="C4" t="inlineStr">
        <is>
          <t>Không kích bất ngờ</t>
        </is>
      </c>
      <c r="D4" t="inlineStr">
        <is>
          <t>NEED_SOURCE</t>
        </is>
      </c>
      <c r="E4" t="inlineStr"/>
      <c r="F4" t="inlineStr">
        <is>
          <t>NEED_SOURCE</t>
        </is>
      </c>
      <c r="G4" t="inlineStr">
        <is>
          <t>NEED_SOURCE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NEED_SOURCE</t>
        </is>
      </c>
      <c r="P4" t="inlineStr"/>
      <c r="Q4" t="inlineStr">
        <is>
          <t>repo không có tham chiếu cho thực thể này (unit_refs.json, reference_real.json, bảng cân bằng)</t>
        </is>
      </c>
      <c r="R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" t="inlineStr"/>
      <c r="T4" t="inlineStr"/>
      <c r="U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Tools/docs/unit_refs.json: air_raid; Tools/models/reference_real.json: units.air_raid</t>
        </is>
      </c>
      <c r="AK4" t="inlineStr"/>
    </row>
    <row r="5">
      <c r="A5" t="inlineStr">
        <is>
          <t>airstrike</t>
        </is>
      </c>
      <c r="B5" t="inlineStr">
        <is>
          <t>airstrike</t>
        </is>
      </c>
      <c r="C5" t="inlineStr">
        <is>
          <t>Không kích</t>
        </is>
      </c>
      <c r="D5" t="inlineStr">
        <is>
          <t>NEED_SOURCE</t>
        </is>
      </c>
      <c r="E5" t="inlineStr"/>
      <c r="F5" t="inlineStr">
        <is>
          <t>NEED_SOURCE</t>
        </is>
      </c>
      <c r="G5" t="inlineStr">
        <is>
          <t>NEED_SOURCE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NEED_SOURCE</t>
        </is>
      </c>
      <c r="P5" t="inlineStr"/>
      <c r="Q5" t="inlineStr">
        <is>
          <t>repo không có tham chiếu cho thực thể này (unit_refs.json, reference_real.json, bảng cân bằng)</t>
        </is>
      </c>
      <c r="R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" t="inlineStr"/>
      <c r="T5" t="inlineStr"/>
      <c r="U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Tools/docs/unit_refs.json: airstrike; Tools/models/reference_real.json: units.airstrike</t>
        </is>
      </c>
      <c r="AK5" t="inlineStr"/>
    </row>
    <row r="6">
      <c r="A6" t="inlineStr">
        <is>
          <t>ammo_carrier</t>
        </is>
      </c>
      <c r="B6" t="inlineStr">
        <is>
          <t>ammo_carrier</t>
        </is>
      </c>
      <c r="C6" t="inlineStr">
        <is>
          <t>Xe tiếp đạn</t>
        </is>
      </c>
      <c r="D6" t="inlineStr">
        <is>
          <t>doi_that</t>
        </is>
      </c>
      <c r="E6" t="inlineStr">
        <is>
          <t>M977 HEMTT;KamAZ-5350;M2 Browning 12,7 mm</t>
        </is>
      </c>
      <c r="F6" t="inlineStr">
        <is>
          <t>NEED_SOURCE</t>
        </is>
      </c>
      <c r="G6" t="inlineStr">
        <is>
          <t>NEED_SOURCE</t>
        </is>
      </c>
      <c r="H6" t="inlineStr"/>
      <c r="I6" t="inlineStr"/>
      <c r="J6" t="inlineStr"/>
      <c r="K6" t="inlineStr">
        <is>
          <t>xe tải hậu cần chở đạn, súng máy trên vòng nóc</t>
        </is>
      </c>
      <c r="L6" t="inlineStr"/>
      <c r="M6" t="inlineStr"/>
      <c r="N6" t="inlineStr"/>
      <c r="O6" t="inlineStr">
        <is>
          <t>uoc_dinh</t>
        </is>
      </c>
      <c r="P6" t="inlineStr">
        <is>
          <t>R_unit_refs;R_reference_real;W_wikipedia_heavy_expanded_mobility_tactical_t;R_unit_sheet;R_machine_brigade_can_bang;R_ammo_carrier</t>
        </is>
      </c>
      <c r="Q6" t="inlineStr"/>
      <c r="R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">
        <f>INDEX(xe_input_kich_thuoc_that!$B$2:$B$66,MATCH($B$6,xe_input_kich_thuoc_that!$A$2:$A$66,0))</f>
        <v/>
      </c>
      <c r="T6">
        <f>INDEX(xe_input_kich_thuoc_that!$C$2:$C$66,MATCH($B$6,xe_input_kich_thuoc_that!$A$2:$A$66,0))</f>
        <v/>
      </c>
      <c r="U6">
        <f>INDEX(xe_input_kich_thuoc_that!$D$2:$D$66,MATCH($B$6,xe_input_kich_thuoc_that!$A$2:$A$66,0))</f>
        <v/>
      </c>
      <c r="V6" t="inlineStr">
        <is>
          <t>M977 / M985 HEMTT</t>
        </is>
      </c>
      <c r="W6" t="inlineStr">
        <is>
          <t>approx</t>
        </is>
      </c>
      <c r="X6" t="inlineStr">
        <is>
          <t>0,8 × M977 HEMTT</t>
        </is>
      </c>
      <c r="Y6" t="inlineStr">
        <is>
          <t>ước đoán: xe tải hậu cần chở đạn, súng máy trên vòng nóc</t>
        </is>
      </c>
      <c r="Z6" t="inlineStr">
        <is>
          <t>M977 HEMTT, KamAZ-5350, M2 Browning 12,7 mm — ước đoán: xe tải hậu cần chở đạn, súng máy trên vòng nóc</t>
        </is>
      </c>
      <c r="AA6" t="inlineStr"/>
      <c r="AB6" t="inlineStr"/>
      <c r="AC6" t="inlineStr">
        <is>
          <t>Tools/blender/specs/ammo_carrier.json: real = M977 HEMTT (8x8 cargo truck with loading crane); M2 Browning 12.7 mm on a cab roof ring; confidence = xấp xỉ (M977 published dimensions and photographs)</t>
        </is>
      </c>
      <c r="AD6" t="inlineStr">
        <is>
          <t>NEED_SOURCE</t>
        </is>
      </c>
      <c r="AE6" t="inlineStr">
        <is>
          <t>NEED_SOURCE</t>
        </is>
      </c>
      <c r="AF6" t="inlineStr">
        <is>
          <t>NEED_SOURCE</t>
        </is>
      </c>
      <c r="AG6" t="inlineStr">
        <is>
          <t>NEED_SOURCE</t>
        </is>
      </c>
      <c r="AH6" t="inlineStr">
        <is>
          <t>NEED_SOURCE</t>
        </is>
      </c>
      <c r="AI6" t="inlineStr">
        <is>
          <t>NEED_SOURCE</t>
        </is>
      </c>
      <c r="AJ6" t="inlineStr">
        <is>
          <t>Tools/docs/unit_refs.json: ammo_carrier; Tools/models/reference_real.json: units.ammo_carrier</t>
        </is>
      </c>
      <c r="AK6" t="inlineStr"/>
    </row>
    <row r="7">
      <c r="A7" t="inlineStr">
        <is>
          <t>armored_bulldozer</t>
        </is>
      </c>
      <c r="B7" t="inlineStr">
        <is>
          <t>armored_bulldozer</t>
        </is>
      </c>
      <c r="C7" t="inlineStr">
        <is>
          <t>Xe ủi bọc thép</t>
        </is>
      </c>
      <c r="D7" t="inlineStr">
        <is>
          <t>doi_that</t>
        </is>
      </c>
      <c r="E7" t="inlineStr">
        <is>
          <t>IDF Caterpillar D9R</t>
        </is>
      </c>
      <c r="F7" t="inlineStr">
        <is>
          <t>NEED_SOURCE</t>
        </is>
      </c>
      <c r="G7" t="inlineStr">
        <is>
          <t>NEED_SOURCE</t>
        </is>
      </c>
      <c r="H7" t="inlineStr"/>
      <c r="I7" t="inlineStr"/>
      <c r="J7" t="inlineStr"/>
      <c r="K7" t="inlineStr">
        <is>
          <t>Xe ủi bọc thép chiến đấu</t>
        </is>
      </c>
      <c r="L7" t="inlineStr"/>
      <c r="M7" t="inlineStr"/>
      <c r="N7" t="inlineStr"/>
      <c r="O7" t="inlineStr">
        <is>
          <t>uoc_dinh</t>
        </is>
      </c>
      <c r="P7" t="inlineStr">
        <is>
          <t>R_unit_refs;R_reference_real;D_caterpillar_d9r_specifications;R_unit_sheet;R_machine_brigade_can_bang;R_armored_bulldozer</t>
        </is>
      </c>
      <c r="Q7" t="inlineStr"/>
      <c r="R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">
        <f>INDEX(xe_input_kich_thuoc_that!$B$2:$B$66,MATCH($B$7,xe_input_kich_thuoc_that!$A$2:$A$66,0))</f>
        <v/>
      </c>
      <c r="T7">
        <f>INDEX(xe_input_kich_thuoc_that!$C$2:$C$66,MATCH($B$7,xe_input_kich_thuoc_that!$A$2:$A$66,0))</f>
        <v/>
      </c>
      <c r="U7">
        <f>INDEX(xe_input_kich_thuoc_that!$D$2:$D$66,MATCH($B$7,xe_input_kich_thuoc_that!$A$2:$A$66,0))</f>
        <v/>
      </c>
      <c r="V7" t="inlineStr">
        <is>
          <t>Caterpillar D9R (IDF kit)</t>
        </is>
      </c>
      <c r="W7" t="inlineStr">
        <is>
          <t>approx</t>
        </is>
      </c>
      <c r="X7" t="inlineStr">
        <is>
          <t>0,8 × IDF D9R</t>
        </is>
      </c>
      <c r="Y7" t="inlineStr">
        <is>
          <t>Xe ủi bọc thép chiến đấu</t>
        </is>
      </c>
      <c r="Z7" t="inlineStr">
        <is>
          <t>IDF Caterpillar D9R — Xe ủi bọc thép chiến đấu</t>
        </is>
      </c>
      <c r="AA7" t="inlineStr"/>
      <c r="AB7" t="inlineStr"/>
      <c r="AC7" t="inlineStr">
        <is>
          <t>Tools/blender/specs/armored_bulldozer.json: real = IDF Caterpillar D9R armoured bulldozer; M2 Browning 12.7 mm (cab roof); confidence = xấp xỉ (D9R published photographs)</t>
        </is>
      </c>
      <c r="AD7" t="inlineStr">
        <is>
          <t>NEED_SOURCE</t>
        </is>
      </c>
      <c r="AE7" t="inlineStr">
        <is>
          <t>NEED_SOURCE</t>
        </is>
      </c>
      <c r="AF7" t="inlineStr">
        <is>
          <t>NEED_SOURCE</t>
        </is>
      </c>
      <c r="AG7" t="inlineStr">
        <is>
          <t>NEED_SOURCE</t>
        </is>
      </c>
      <c r="AH7" t="inlineStr">
        <is>
          <t>NEED_SOURCE</t>
        </is>
      </c>
      <c r="AI7" t="inlineStr">
        <is>
          <t>NEED_SOURCE</t>
        </is>
      </c>
      <c r="AJ7" t="inlineStr">
        <is>
          <t>Tools/docs/unit_refs.json: armored_bulldozer; Tools/models/reference_real.json: units.armored_bulldozer</t>
        </is>
      </c>
      <c r="AK7" t="inlineStr"/>
    </row>
    <row r="8">
      <c r="A8" t="inlineStr">
        <is>
          <t>armored_car</t>
        </is>
      </c>
      <c r="B8" t="inlineStr">
        <is>
          <t>armored_car</t>
        </is>
      </c>
      <c r="C8" t="inlineStr">
        <is>
          <t>Xe bọc thép bánh lốp</t>
        </is>
      </c>
      <c r="D8" t="inlineStr">
        <is>
          <t>doi_that</t>
        </is>
      </c>
      <c r="E8" t="inlineStr">
        <is>
          <t>Pandur I 6x6;M242 Bushmaster 25 mm</t>
        </is>
      </c>
      <c r="F8" t="inlineStr">
        <is>
          <t>NEED_SOURCE</t>
        </is>
      </c>
      <c r="G8" t="inlineStr">
        <is>
          <t>NEED_SOURCE</t>
        </is>
      </c>
      <c r="H8" t="inlineStr"/>
      <c r="I8" t="inlineStr"/>
      <c r="J8" t="inlineStr"/>
      <c r="K8" t="inlineStr">
        <is>
          <t>xe bọc thép 6x6 bánh lộ ngoài, tháp pháo tự động nhỏ</t>
        </is>
      </c>
      <c r="L8" t="inlineStr"/>
      <c r="M8" t="inlineStr"/>
      <c r="N8" t="inlineStr"/>
      <c r="O8" t="inlineStr">
        <is>
          <t>uoc_dinh</t>
        </is>
      </c>
      <c r="P8" t="inlineStr">
        <is>
          <t>R_unit_refs;R_reference_real;W_wikipedia_steyr_pandur;R_unit_sheet;R_machine_brigade_can_bang;R_armored_car</t>
        </is>
      </c>
      <c r="Q8" t="inlineStr"/>
      <c r="R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">
        <f>INDEX(xe_input_kich_thuoc_that!$B$2:$B$66,MATCH($B$8,xe_input_kich_thuoc_that!$A$2:$A$66,0))</f>
        <v/>
      </c>
      <c r="T8">
        <f>INDEX(xe_input_kich_thuoc_that!$C$2:$C$66,MATCH($B$8,xe_input_kich_thuoc_that!$A$2:$A$66,0))</f>
        <v/>
      </c>
      <c r="U8">
        <f>INDEX(xe_input_kich_thuoc_that!$D$2:$D$66,MATCH($B$8,xe_input_kich_thuoc_that!$A$2:$A$66,0))</f>
        <v/>
      </c>
      <c r="V8" t="inlineStr">
        <is>
          <t>Pandur I 6x6</t>
        </is>
      </c>
      <c r="W8" t="inlineStr">
        <is>
          <t>approx</t>
        </is>
      </c>
      <c r="X8" t="inlineStr">
        <is>
          <t>0,8 × Pandur I 6x6</t>
        </is>
      </c>
      <c r="Y8" t="inlineStr">
        <is>
          <t>ước đoán: xe bọc thép 6x6 bánh lộ ngoài, tháp pháo tự động nhỏ</t>
        </is>
      </c>
      <c r="Z8" t="inlineStr">
        <is>
          <t>Pandur I 6x6, M242 Bushmaster 25 mm — ước đoán: xe bọc thép 6x6 bánh lộ ngoài, tháp pháo tự động nhỏ</t>
        </is>
      </c>
      <c r="AA8" t="inlineStr">
        <is>
          <t>Pandur I / Stryker RV có kính ngắm nhiệt</t>
        </is>
      </c>
      <c r="AB8" t="inlineStr"/>
      <c r="AC8" t="inlineStr">
        <is>
          <t>Tools/blender/specs/armored_car.json: real = Steyr Pandur I 6x6 (unit_refs, sheet); M242 Bushmaster 25 mm; M240 / PKT 7.62 mm coaxial; confidence = xấp xỉ (Pandur I published photographs and drawings)</t>
        </is>
      </c>
      <c r="AD8" t="inlineStr">
        <is>
          <t>NEED_SOURCE</t>
        </is>
      </c>
      <c r="AE8" t="inlineStr">
        <is>
          <t>NEED_SOURCE</t>
        </is>
      </c>
      <c r="AF8" t="inlineStr">
        <is>
          <t>NEED_SOURCE</t>
        </is>
      </c>
      <c r="AG8" t="inlineStr">
        <is>
          <t>NEED_SOURCE</t>
        </is>
      </c>
      <c r="AH8" t="inlineStr">
        <is>
          <t>NEED_SOURCE</t>
        </is>
      </c>
      <c r="AI8" t="inlineStr">
        <is>
          <t>NEED_SOURCE</t>
        </is>
      </c>
      <c r="AJ8" t="inlineStr">
        <is>
          <t>Tools/docs/unit_refs.json: armored_car; Tools/models/reference_real.json: units.armored_car</t>
        </is>
      </c>
      <c r="AK8" t="inlineStr"/>
    </row>
    <row r="9">
      <c r="A9" t="inlineStr">
        <is>
          <t>artillery</t>
        </is>
      </c>
      <c r="B9" t="inlineStr">
        <is>
          <t>artillery</t>
        </is>
      </c>
      <c r="C9" t="inlineStr">
        <is>
          <t>Lựu pháo tự hành</t>
        </is>
      </c>
      <c r="D9" t="inlineStr">
        <is>
          <t>doi_that</t>
        </is>
      </c>
      <c r="E9" t="inlineStr">
        <is>
          <t>CAESAR 155 mm;M284 155 mm (M109A6/A7)</t>
        </is>
      </c>
      <c r="F9" t="inlineStr">
        <is>
          <t>NEED_SOURCE</t>
        </is>
      </c>
      <c r="G9" t="inlineStr">
        <is>
          <t>NEED_SOURCE</t>
        </is>
      </c>
      <c r="H9" t="inlineStr"/>
      <c r="I9" t="inlineStr"/>
      <c r="J9" t="inlineStr"/>
      <c r="K9" t="inlineStr">
        <is>
          <t>Lựu pháo tự hành bánh lốp 6x6, nòng 155 mm đặt sau sàn xe</t>
        </is>
      </c>
      <c r="L9" t="inlineStr"/>
      <c r="M9" t="inlineStr"/>
      <c r="N9" t="inlineStr"/>
      <c r="O9" t="inlineStr">
        <is>
          <t>da_kiem_chung</t>
        </is>
      </c>
      <c r="P9" t="inlineStr">
        <is>
          <t>R_unit_refs;R_reference_real;W_wikipedia_m109_howitzer;R_unit_sheet;R_machine_brigade_can_bang;R_artillery</t>
        </is>
      </c>
      <c r="Q9" t="inlineStr"/>
      <c r="R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">
        <f>INDEX(xe_input_kich_thuoc_that!$B$2:$B$66,MATCH($B$9,xe_input_kich_thuoc_that!$A$2:$A$66,0))</f>
        <v/>
      </c>
      <c r="T9">
        <f>INDEX(xe_input_kich_thuoc_that!$C$2:$C$66,MATCH($B$9,xe_input_kich_thuoc_that!$A$2:$A$66,0))</f>
        <v/>
      </c>
      <c r="U9">
        <f>INDEX(xe_input_kich_thuoc_that!$D$2:$D$66,MATCH($B$9,xe_input_kich_thuoc_that!$A$2:$A$66,0))</f>
        <v/>
      </c>
      <c r="V9" t="inlineStr">
        <is>
          <t>M109A6 Paladin</t>
        </is>
      </c>
      <c r="W9" t="inlineStr">
        <is>
          <t>high</t>
        </is>
      </c>
      <c r="X9" t="inlineStr">
        <is>
          <t>0,8 × M109A7 (đề xuất đổi từ CAESAR</t>
        </is>
      </c>
      <c r="Y9" t="inlineStr">
        <is>
          <t>Lựu pháo tự hành bánh lốp 6x6, nòng 155 mm đặt sau sàn xe</t>
        </is>
      </c>
      <c r="Z9" t="inlineStr">
        <is>
          <t>CAESAR 155 mm, M284 155 mm (M109A6/A7) — Lựu pháo tự hành bánh lốp 6x6, nòng 155 mm đặt sau sàn xe</t>
        </is>
      </c>
      <c r="AA9" t="inlineStr">
        <is>
          <t>M109A7: 4 phát/phút tối đa | M109A7 Paladin</t>
        </is>
      </c>
      <c r="AB9" t="inlineStr"/>
      <c r="AC9" t="inlineStr">
        <is>
          <t>Tools/blender/specs/artillery.json: real = M109A7 Paladin PIM (the sheet's choice over the CAESAR of unit_refs); M284 155 mm; M2 Browning 12.7 mm; confidence = xấp xỉ (M109A6 / A7 published drawings and photographs)</t>
        </is>
      </c>
      <c r="AD9" t="inlineStr">
        <is>
          <t>NEED_SOURCE</t>
        </is>
      </c>
      <c r="AE9" t="inlineStr">
        <is>
          <t>NEED_SOURCE</t>
        </is>
      </c>
      <c r="AF9" t="inlineStr">
        <is>
          <t>NEED_SOURCE</t>
        </is>
      </c>
      <c r="AG9" t="inlineStr">
        <is>
          <t>NEED_SOURCE</t>
        </is>
      </c>
      <c r="AH9" t="inlineStr">
        <is>
          <t>NEED_SOURCE</t>
        </is>
      </c>
      <c r="AI9" t="inlineStr">
        <is>
          <t>NEED_SOURCE</t>
        </is>
      </c>
      <c r="AJ9" t="inlineStr">
        <is>
          <t>Tools/docs/unit_refs.json: artillery; Tools/models/reference_real.json: units.artillery</t>
        </is>
      </c>
      <c r="AK9" t="inlineStr"/>
    </row>
    <row r="10">
      <c r="A10" t="inlineStr">
        <is>
          <t>artillery_barrage</t>
        </is>
      </c>
      <c r="B10" t="inlineStr">
        <is>
          <t>artillery_barrage</t>
        </is>
      </c>
      <c r="C10" t="inlineStr">
        <is>
          <t>Pháo kích</t>
        </is>
      </c>
      <c r="D10" t="inlineStr">
        <is>
          <t>NEED_SOURCE</t>
        </is>
      </c>
      <c r="E10" t="inlineStr"/>
      <c r="F10" t="inlineStr">
        <is>
          <t>NEED_SOURCE</t>
        </is>
      </c>
      <c r="G10" t="inlineStr">
        <is>
          <t>NEED_SOURCE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NEED_SOURCE</t>
        </is>
      </c>
      <c r="P10" t="inlineStr"/>
      <c r="Q10" t="inlineStr">
        <is>
          <t>repo không có tham chiếu cho thực thể này (unit_refs.json, reference_real.json, bảng cân bằng)</t>
        </is>
      </c>
      <c r="R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" t="inlineStr"/>
      <c r="T10" t="inlineStr"/>
      <c r="U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Tools/docs/unit_refs.json: artillery_barrage; Tools/models/reference_real.json: units.artillery_barrage</t>
        </is>
      </c>
      <c r="AK10" t="inlineStr"/>
    </row>
    <row r="11">
      <c r="A11" t="inlineStr">
        <is>
          <t>attack_helicopter</t>
        </is>
      </c>
      <c r="B11" t="inlineStr">
        <is>
          <t>attack_helicopter</t>
        </is>
      </c>
      <c r="C11" t="inlineStr">
        <is>
          <t>Trực thăng tấn công</t>
        </is>
      </c>
      <c r="D11" t="inlineStr">
        <is>
          <t>doi_that</t>
        </is>
      </c>
      <c r="E11" t="inlineStr">
        <is>
          <t>AH-64D Apache Longbow;AGM-114L Hellfire Longbow;Ka-52 Alligator (model thay thế)</t>
        </is>
      </c>
      <c r="F11" t="inlineStr">
        <is>
          <t>NEED_SOURCE</t>
        </is>
      </c>
      <c r="G11" t="inlineStr">
        <is>
          <t>NEED_SOURCE</t>
        </is>
      </c>
      <c r="H11" t="inlineStr"/>
      <c r="I11" t="inlineStr"/>
      <c r="J11" t="inlineStr"/>
      <c r="K11" t="inlineStr">
        <is>
          <t>Trực thăng tấn công hai chỗ ngồi nối tiếp, radar trên trục rô-to</t>
        </is>
      </c>
      <c r="L11" t="inlineStr"/>
      <c r="M11" t="inlineStr"/>
      <c r="N11" t="inlineStr"/>
      <c r="O11" t="inlineStr">
        <is>
          <t>uoc_dinh</t>
        </is>
      </c>
      <c r="P11" t="inlineStr">
        <is>
          <t>R_unit_refs;R_reference_real;W_wikipedia_boeing_ah_64_apache;R_unit_sheet;R_machine_brigade_can_bang</t>
        </is>
      </c>
      <c r="Q11" t="inlineStr"/>
      <c r="R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">
        <f>INDEX(xe_input_kich_thuoc_that!$B$2:$B$66,MATCH($B$11,xe_input_kich_thuoc_that!$A$2:$A$66,0))</f>
        <v/>
      </c>
      <c r="T11">
        <f>INDEX(xe_input_kich_thuoc_that!$C$2:$C$66,MATCH($B$11,xe_input_kich_thuoc_that!$A$2:$A$66,0))</f>
        <v/>
      </c>
      <c r="U11">
        <f>INDEX(xe_input_kich_thuoc_that!$D$2:$D$66,MATCH($B$11,xe_input_kich_thuoc_that!$A$2:$A$66,0))</f>
        <v/>
      </c>
      <c r="V11" t="inlineStr">
        <is>
          <t>AH-64D Apache Longbow</t>
        </is>
      </c>
      <c r="W11" t="inlineStr">
        <is>
          <t>approx</t>
        </is>
      </c>
      <c r="X11" t="inlineStr">
        <is>
          <t>0,4 × AH-64D Apache</t>
        </is>
      </c>
      <c r="Y11" t="inlineStr">
        <is>
          <t>Trực thăng tấn công hai chỗ ngồi nối tiếp, radar trên trục rô-to</t>
        </is>
      </c>
      <c r="Z11" t="inlineStr">
        <is>
          <t>AH-64D Apache Longbow, AGM-114L Hellfire Longbow, Ka-52 Alligator (model thay thế) — Trực thăng tấn công hai chỗ ngồi nối</t>
        </is>
      </c>
      <c r="AA11" t="inlineStr">
        <is>
          <t>AH-64D | Hellfire: Mach 1,3</t>
        </is>
      </c>
      <c r="AB11" t="inlineStr"/>
      <c r="AC11" t="inlineStr"/>
      <c r="AD11" t="inlineStr">
        <is>
          <t>NEED_SOURCE</t>
        </is>
      </c>
      <c r="AE11" t="inlineStr">
        <is>
          <t>NEED_SOURCE</t>
        </is>
      </c>
      <c r="AF11" t="inlineStr">
        <is>
          <t>NEED_SOURCE</t>
        </is>
      </c>
      <c r="AG11" t="inlineStr">
        <is>
          <t>NEED_SOURCE</t>
        </is>
      </c>
      <c r="AH11" t="inlineStr">
        <is>
          <t>NEED_SOURCE</t>
        </is>
      </c>
      <c r="AI11" t="inlineStr">
        <is>
          <t>NEED_SOURCE</t>
        </is>
      </c>
      <c r="AJ11" t="inlineStr">
        <is>
          <t>Tools/docs/unit_refs.json: attack_helicopter; Tools/models/reference_real.json: units.attack_helicopter</t>
        </is>
      </c>
      <c r="AK11" t="inlineStr"/>
    </row>
    <row r="12">
      <c r="A12" t="inlineStr">
        <is>
          <t>attack_jet</t>
        </is>
      </c>
      <c r="B12" t="inlineStr">
        <is>
          <t>attack_jet</t>
        </is>
      </c>
      <c r="C12" t="inlineStr">
        <is>
          <t>Máy bay cường kích</t>
        </is>
      </c>
      <c r="D12" t="inlineStr">
        <is>
          <t>doi_that</t>
        </is>
      </c>
      <c r="E12" t="inlineStr">
        <is>
          <t>Su-25 Frogfoot;A-10 Thunderbolt II (model tank_buster);GSh-30-2 30 mm</t>
        </is>
      </c>
      <c r="F12" t="inlineStr">
        <is>
          <t>NEED_SOURCE</t>
        </is>
      </c>
      <c r="G12" t="inlineStr">
        <is>
          <t>NEED_SOURCE</t>
        </is>
      </c>
      <c r="H12" t="inlineStr"/>
      <c r="I12" t="inlineStr"/>
      <c r="J12" t="inlineStr"/>
      <c r="K12" t="inlineStr">
        <is>
          <t>Máy bay cường kích yểm trợ mặt đất</t>
        </is>
      </c>
      <c r="L12" t="inlineStr"/>
      <c r="M12" t="inlineStr"/>
      <c r="N12" t="inlineStr"/>
      <c r="O12" t="inlineStr">
        <is>
          <t>da_kiem_chung</t>
        </is>
      </c>
      <c r="P12" t="inlineStr">
        <is>
          <t>R_unit_refs;R_reference_real;W_wikipedia_sukhoi_su_25;R_unit_sheet;R_machine_brigade_can_bang;R_attack_jet</t>
        </is>
      </c>
      <c r="Q12" t="inlineStr"/>
      <c r="R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">
        <f>INDEX(xe_input_kich_thuoc_that!$B$2:$B$66,MATCH($B$12,xe_input_kich_thuoc_that!$A$2:$A$66,0))</f>
        <v/>
      </c>
      <c r="T12">
        <f>INDEX(xe_input_kich_thuoc_that!$C$2:$C$66,MATCH($B$12,xe_input_kich_thuoc_that!$A$2:$A$66,0))</f>
        <v/>
      </c>
      <c r="U12">
        <f>INDEX(xe_input_kich_thuoc_that!$D$2:$D$66,MATCH($B$12,xe_input_kich_thuoc_that!$A$2:$A$66,0))</f>
        <v/>
      </c>
      <c r="V12" t="inlineStr">
        <is>
          <t>Su-25 Frogfoot</t>
        </is>
      </c>
      <c r="W12" t="inlineStr">
        <is>
          <t>high</t>
        </is>
      </c>
      <c r="X12" t="inlineStr">
        <is>
          <t>0,4 × Su-25</t>
        </is>
      </c>
      <c r="Y12" t="inlineStr">
        <is>
          <t>Máy bay cường kích yểm trợ mặt đất</t>
        </is>
      </c>
      <c r="Z12" t="inlineStr">
        <is>
          <t>Su-25 Frogfoot, A-10 Thunderbolt II (model tank_buster), GSh-30-2 30 mm — Máy bay cường kích yểm trợ mặt đất</t>
        </is>
      </c>
      <c r="AA12" t="inlineStr">
        <is>
          <t>Su-25: tải trọng hỗn hợp | Kh-29L: Mach 2,5; R-60: Mach 2,7 | Su-25 ~11 triệu USD, A-10 ~19 triệu USD | Su-25: 250 viên cả lượt bay</t>
        </is>
      </c>
      <c r="AB12" t="inlineStr"/>
      <c r="AC12" t="inlineStr">
        <is>
          <t>Tools/blender/specs/attack_jet.json: real = Su-25 Frogfoot; GSh-30-2 30 mm; S-8 80 mm (B-8 pods); FAB-250; Kh-29L; R-60; confidence = xấp xỉ (Su-25 published drawings and photographs; flying, gear retracted)</t>
        </is>
      </c>
      <c r="AD12" t="inlineStr">
        <is>
          <t>NEED_SOURCE</t>
        </is>
      </c>
      <c r="AE12" t="inlineStr">
        <is>
          <t>NEED_SOURCE</t>
        </is>
      </c>
      <c r="AF12" t="inlineStr">
        <is>
          <t>NEED_SOURCE</t>
        </is>
      </c>
      <c r="AG12" t="inlineStr">
        <is>
          <t>NEED_SOURCE</t>
        </is>
      </c>
      <c r="AH12" t="inlineStr">
        <is>
          <t>NEED_SOURCE</t>
        </is>
      </c>
      <c r="AI12" t="inlineStr">
        <is>
          <t>NEED_SOURCE</t>
        </is>
      </c>
      <c r="AJ12" t="inlineStr">
        <is>
          <t>Tools/docs/unit_refs.json: attack_jet; Tools/models/reference_real.json: units.attack_jet</t>
        </is>
      </c>
      <c r="AK12" t="inlineStr"/>
    </row>
    <row r="13">
      <c r="A13" t="inlineStr">
        <is>
          <t>ballistic_launcher</t>
        </is>
      </c>
      <c r="B13" t="inlineStr">
        <is>
          <t>ballistic_launcher</t>
        </is>
      </c>
      <c r="C13" t="inlineStr">
        <is>
          <t>Xe phóng tên lửa chiến thuật</t>
        </is>
      </c>
      <c r="D13" t="inlineStr">
        <is>
          <t>doi_that</t>
        </is>
      </c>
      <c r="E13" t="inlineStr">
        <is>
          <t>9K720 Iskander (9M723)</t>
        </is>
      </c>
      <c r="F13" t="inlineStr">
        <is>
          <t>NEED_SOURCE</t>
        </is>
      </c>
      <c r="G13" t="inlineStr">
        <is>
          <t>NEED_SOURCE</t>
        </is>
      </c>
      <c r="H13" t="inlineStr"/>
      <c r="I13" t="inlineStr"/>
      <c r="J13" t="inlineStr"/>
      <c r="K13" t="inlineStr">
        <is>
          <t>Xe phóng tên lửa đạn đạo, dựng đứng tên lửa khi phóng</t>
        </is>
      </c>
      <c r="L13" t="inlineStr"/>
      <c r="M13" t="inlineStr"/>
      <c r="N13" t="inlineStr"/>
      <c r="O13" t="inlineStr">
        <is>
          <t>uoc_dinh</t>
        </is>
      </c>
      <c r="P13" t="inlineStr">
        <is>
          <t>R_unit_refs;R_reference_real;W_wikipedia_9k720_iskander;R_unit_sheet;R_machine_brigade_can_bang;R_ballistic_launcher</t>
        </is>
      </c>
      <c r="Q13" t="inlineStr"/>
      <c r="R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">
        <f>INDEX(xe_input_kich_thuoc_that!$B$2:$B$66,MATCH($B$13,xe_input_kich_thuoc_that!$A$2:$A$66,0))</f>
        <v/>
      </c>
      <c r="T13">
        <f>INDEX(xe_input_kich_thuoc_that!$C$2:$C$66,MATCH($B$13,xe_input_kich_thuoc_that!$A$2:$A$66,0))</f>
        <v/>
      </c>
      <c r="U13" t="inlineStr">
        <is>
          <t>NEED_SOURCE</t>
        </is>
      </c>
      <c r="V13" t="inlineStr">
        <is>
          <t>9P78-1 Iskander-M TEL (MZKT-7930)</t>
        </is>
      </c>
      <c r="W13" t="inlineStr">
        <is>
          <t>approx</t>
        </is>
      </c>
      <c r="X13" t="inlineStr">
        <is>
          <t>0,8 × 9K720 Iskander</t>
        </is>
      </c>
      <c r="Y13" t="inlineStr">
        <is>
          <t>Xe phóng tên lửa đạn đạo, dựng đứng tên lửa khi phóng</t>
        </is>
      </c>
      <c r="Z13" t="inlineStr">
        <is>
          <t>9K720 Iskander (9M723) — Xe phóng tên lửa đạn đạo, dựng đứng tên lửa khi phóng</t>
        </is>
      </c>
      <c r="AA13" t="inlineStr">
        <is>
          <t>Iskander 9M723: đầu nổ ~480 kg</t>
        </is>
      </c>
      <c r="AB13" t="inlineStr"/>
      <c r="AC13" t="inlineStr">
        <is>
          <t>Tools/blender/specs/ballistic_launcher.json: real = Iskander-M 9P78-1 launcher, two 9M723 missiles (unit_refs: 9K720 Iskander); MZKT-7930 8x8 chassis; confidence = xấp xỉ (9P78-1 photographs; the def's modelSize, its height the raised missile)</t>
        </is>
      </c>
      <c r="AD13" t="inlineStr">
        <is>
          <t>NEED_SOURCE</t>
        </is>
      </c>
      <c r="AE13" t="inlineStr">
        <is>
          <t>NEED_SOURCE</t>
        </is>
      </c>
      <c r="AF13" t="inlineStr">
        <is>
          <t>NEED_SOURCE</t>
        </is>
      </c>
      <c r="AG13" t="inlineStr">
        <is>
          <t>NEED_SOURCE</t>
        </is>
      </c>
      <c r="AH13" t="inlineStr">
        <is>
          <t>NEED_SOURCE</t>
        </is>
      </c>
      <c r="AI13" t="inlineStr">
        <is>
          <t>NEED_SOURCE</t>
        </is>
      </c>
      <c r="AJ13" t="inlineStr">
        <is>
          <t>Tools/docs/unit_refs.json: ballistic_launcher; Tools/models/reference_real.json: units.ballistic_launcher</t>
        </is>
      </c>
      <c r="AK13" t="inlineStr"/>
    </row>
    <row r="14">
      <c r="A14" t="inlineStr">
        <is>
          <t>bug_crash</t>
        </is>
      </c>
      <c r="B14" t="inlineStr">
        <is>
          <t>bug_crash</t>
        </is>
      </c>
      <c r="C14" t="inlineStr">
        <is>
          <t>Icarus rơi</t>
        </is>
      </c>
      <c r="D14" t="inlineStr">
        <is>
          <t>NEED_SOURCE</t>
        </is>
      </c>
      <c r="E14" t="inlineStr"/>
      <c r="F14" t="inlineStr">
        <is>
          <t>NEED_SOURCE</t>
        </is>
      </c>
      <c r="G14" t="inlineStr">
        <is>
          <t>NEED_SOURCE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NEED_SOURCE</t>
        </is>
      </c>
      <c r="P14" t="inlineStr"/>
      <c r="Q14" t="inlineStr">
        <is>
          <t>repo không có tham chiếu cho thực thể này (unit_refs.json, reference_real.json, bảng cân bằng)</t>
        </is>
      </c>
      <c r="R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" t="inlineStr"/>
      <c r="T14" t="inlineStr"/>
      <c r="U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Tools/docs/unit_refs.json: bug_crash; Tools/models/reference_real.json: units.bug_crash</t>
        </is>
      </c>
      <c r="AK14" t="inlineStr"/>
    </row>
    <row r="15">
      <c r="A15" t="inlineStr">
        <is>
          <t>cluster_strike</t>
        </is>
      </c>
      <c r="B15" t="inlineStr">
        <is>
          <t>cluster_strike</t>
        </is>
      </c>
      <c r="C15" t="inlineStr">
        <is>
          <t>Bom chùm</t>
        </is>
      </c>
      <c r="D15" t="inlineStr">
        <is>
          <t>NEED_SOURCE</t>
        </is>
      </c>
      <c r="E15" t="inlineStr"/>
      <c r="F15" t="inlineStr">
        <is>
          <t>NEED_SOURCE</t>
        </is>
      </c>
      <c r="G15" t="inlineStr">
        <is>
          <t>NEED_SOURCE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NEED_SOURCE</t>
        </is>
      </c>
      <c r="P15" t="inlineStr"/>
      <c r="Q15" t="inlineStr">
        <is>
          <t>repo không có tham chiếu cho thực thể này (unit_refs.json, reference_real.json, bảng cân bằng)</t>
        </is>
      </c>
      <c r="R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" t="inlineStr"/>
      <c r="T15" t="inlineStr"/>
      <c r="U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Tools/docs/unit_refs.json: cluster_strike; Tools/models/reference_real.json: units.cluster_strike</t>
        </is>
      </c>
      <c r="AK15" t="inlineStr"/>
    </row>
    <row r="16">
      <c r="A16" t="inlineStr">
        <is>
          <t>command_vehicle</t>
        </is>
      </c>
      <c r="B16" t="inlineStr">
        <is>
          <t>command_vehicle</t>
        </is>
      </c>
      <c r="C16" t="inlineStr">
        <is>
          <t>Xe chỉ huy</t>
        </is>
      </c>
      <c r="D16" t="inlineStr">
        <is>
          <t>doi_that</t>
        </is>
      </c>
      <c r="E16" t="inlineStr">
        <is>
          <t>M1130 Stryker CV;BTR-80 KShM;LAV-C2</t>
        </is>
      </c>
      <c r="F16" t="inlineStr">
        <is>
          <t>NEED_SOURCE</t>
        </is>
      </c>
      <c r="G16" t="inlineStr">
        <is>
          <t>NEED_SOURCE</t>
        </is>
      </c>
      <c r="H16" t="inlineStr"/>
      <c r="I16" t="inlineStr"/>
      <c r="J16" t="inlineStr"/>
      <c r="K16" t="inlineStr">
        <is>
          <t>Xe chỉ huy 8x8, cột ăng-ten kính viễn vọng gập</t>
        </is>
      </c>
      <c r="L16" t="inlineStr"/>
      <c r="M16" t="inlineStr"/>
      <c r="N16" t="inlineStr"/>
      <c r="O16" t="inlineStr">
        <is>
          <t>da_kiem_chung</t>
        </is>
      </c>
      <c r="P16" t="inlineStr">
        <is>
          <t>R_unit_refs;R_reference_real;W_wikipedia_stryker;R_unit_sheet;R_machine_brigade_can_bang;R_command_vehicle</t>
        </is>
      </c>
      <c r="Q16" t="inlineStr"/>
      <c r="R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">
        <f>INDEX(xe_input_kich_thuoc_that!$B$2:$B$66,MATCH($B$16,xe_input_kich_thuoc_that!$A$2:$A$66,0))</f>
        <v/>
      </c>
      <c r="T16">
        <f>INDEX(xe_input_kich_thuoc_that!$C$2:$C$66,MATCH($B$16,xe_input_kich_thuoc_that!$A$2:$A$66,0))</f>
        <v/>
      </c>
      <c r="U16">
        <f>INDEX(xe_input_kich_thuoc_that!$D$2:$D$66,MATCH($B$16,xe_input_kich_thuoc_that!$A$2:$A$66,0))</f>
        <v/>
      </c>
      <c r="V16" t="inlineStr">
        <is>
          <t>M1130 Stryker CV</t>
        </is>
      </c>
      <c r="W16" t="inlineStr">
        <is>
          <t>high</t>
        </is>
      </c>
      <c r="X16" t="inlineStr">
        <is>
          <t>0,8 × Stryker CV</t>
        </is>
      </c>
      <c r="Y16" t="inlineStr">
        <is>
          <t>Xe chỉ huy 8x8, cột ăng-ten kính viễn vọng gập</t>
        </is>
      </c>
      <c r="Z16" t="inlineStr">
        <is>
          <t>M1130 Stryker CV, BTR-80 KShM, LAV-C2 — Xe chỉ huy 8x8, cột ăng-ten kính viễn vọng gập</t>
        </is>
      </c>
      <c r="AA16" t="inlineStr"/>
      <c r="AB16" t="inlineStr"/>
      <c r="AC16" t="inlineStr">
        <is>
          <t>Tools/blender/specs/command_vehicle.json: real = M1130 Stryker CV (0.8 x); BTR-80 KShM; M2 Browning 12.7 mm; confidence = tham_khao_thuc (Stryker CV layout)</t>
        </is>
      </c>
      <c r="AD16" t="inlineStr">
        <is>
          <t>NEED_SOURCE</t>
        </is>
      </c>
      <c r="AE16" t="inlineStr">
        <is>
          <t>NEED_SOURCE</t>
        </is>
      </c>
      <c r="AF16" t="inlineStr">
        <is>
          <t>NEED_SOURCE</t>
        </is>
      </c>
      <c r="AG16" t="inlineStr">
        <is>
          <t>NEED_SOURCE</t>
        </is>
      </c>
      <c r="AH16" t="inlineStr">
        <is>
          <t>NEED_SOURCE</t>
        </is>
      </c>
      <c r="AI16" t="inlineStr">
        <is>
          <t>NEED_SOURCE</t>
        </is>
      </c>
      <c r="AJ16" t="inlineStr">
        <is>
          <t>Tools/docs/unit_refs.json: command_vehicle; Tools/models/reference_real.json: units.command_vehicle</t>
        </is>
      </c>
      <c r="AK16" t="inlineStr"/>
    </row>
    <row r="17">
      <c r="A17" t="inlineStr">
        <is>
          <t>cruise_missile</t>
        </is>
      </c>
      <c r="B17" t="inlineStr">
        <is>
          <t>cruise_missile</t>
        </is>
      </c>
      <c r="C17" t="inlineStr">
        <is>
          <t>Tên lửa hành trình</t>
        </is>
      </c>
      <c r="D17" t="inlineStr">
        <is>
          <t>NEED_SOURCE</t>
        </is>
      </c>
      <c r="E17" t="inlineStr"/>
      <c r="F17" t="inlineStr">
        <is>
          <t>NEED_SOURCE</t>
        </is>
      </c>
      <c r="G17" t="inlineStr">
        <is>
          <t>NEED_SOURCE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NEED_SOURCE</t>
        </is>
      </c>
      <c r="P17" t="inlineStr"/>
      <c r="Q17" t="inlineStr">
        <is>
          <t>repo không có tham chiếu cho thực thể này (unit_refs.json, reference_real.json, bảng cân bằng)</t>
        </is>
      </c>
      <c r="R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" t="inlineStr"/>
      <c r="T17" t="inlineStr"/>
      <c r="U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Tools/docs/unit_refs.json: cruise_missile; Tools/models/reference_real.json: units.cruise_missile</t>
        </is>
      </c>
      <c r="AK17" t="inlineStr"/>
    </row>
    <row r="18">
      <c r="A18" t="inlineStr">
        <is>
          <t>demolition_line_vehicle</t>
        </is>
      </c>
      <c r="B18" t="inlineStr">
        <is>
          <t>demolition_line_vehicle</t>
        </is>
      </c>
      <c r="C18" t="inlineStr">
        <is>
          <t>Xe phá mìn bằng dây nổ</t>
        </is>
      </c>
      <c r="D18" t="inlineStr">
        <is>
          <t>NEED_SOURCE</t>
        </is>
      </c>
      <c r="E18" t="inlineStr"/>
      <c r="F18" t="inlineStr">
        <is>
          <t>NEED_SOURCE</t>
        </is>
      </c>
      <c r="G18" t="inlineStr">
        <is>
          <t>NEED_SOURCE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NEED_SOURCE</t>
        </is>
      </c>
      <c r="P18" t="inlineStr">
        <is>
          <t>R_demolition_line_vehicle</t>
        </is>
      </c>
      <c r="Q18" t="inlineStr">
        <is>
          <t>repo không có tham chiếu cho thực thể này (unit_refs.json, reference_real.json, bảng cân bằng)</t>
        </is>
      </c>
      <c r="R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" t="inlineStr">
        <is>
          <t>NEED_SOURCE</t>
        </is>
      </c>
      <c r="T18" t="inlineStr">
        <is>
          <t>NEED_SOURCE</t>
        </is>
      </c>
      <c r="U18" t="inlineStr">
        <is>
          <t>NEED_SOURCE</t>
        </is>
      </c>
      <c r="Z18" t="inlineStr"/>
      <c r="AA18" t="inlineStr"/>
      <c r="AB18" t="inlineStr"/>
      <c r="AC18" t="inlineStr">
        <is>
          <t>Tools/blender/specs/demolition_line_vehicle.json: real = M1150 Assault Breacher Vehicle (Abrams hull, full-width mine plough, two M58 MICLIC); M2 Browning 12.7 mm (remote weapon station); confidence = ban_dau_doan (no unit_refs row; ABV published photographs)</t>
        </is>
      </c>
      <c r="AD18" t="inlineStr">
        <is>
          <t>NEED_SOURCE</t>
        </is>
      </c>
      <c r="AE18" t="inlineStr">
        <is>
          <t>NEED_SOURCE</t>
        </is>
      </c>
      <c r="AF18" t="inlineStr">
        <is>
          <t>NEED_SOURCE</t>
        </is>
      </c>
      <c r="AG18" t="inlineStr">
        <is>
          <t>NEED_SOURCE</t>
        </is>
      </c>
      <c r="AH18" t="inlineStr">
        <is>
          <t>NEED_SOURCE</t>
        </is>
      </c>
      <c r="AI18" t="inlineStr">
        <is>
          <t>NEED_SOURCE</t>
        </is>
      </c>
      <c r="AJ18" t="inlineStr">
        <is>
          <t>Tools/docs/unit_refs.json: demolition_line_vehicle; Tools/models/reference_real.json: units.demolition_line_vehicle</t>
        </is>
      </c>
      <c r="AK18" t="inlineStr"/>
    </row>
    <row r="19">
      <c r="A19" t="inlineStr">
        <is>
          <t>drop_pod</t>
        </is>
      </c>
      <c r="B19" t="inlineStr">
        <is>
          <t>drop_pod</t>
        </is>
      </c>
      <c r="C19" t="inlineStr">
        <is>
          <t>Khoang đổ bộ</t>
        </is>
      </c>
      <c r="D19" t="inlineStr">
        <is>
          <t>doi_that</t>
        </is>
      </c>
      <c r="E19" t="inlineStr">
        <is>
          <t>khoang hồi quyển Soyuz (tên lửa hãm)</t>
        </is>
      </c>
      <c r="F19" t="inlineStr">
        <is>
          <t>NEED_SOURCE</t>
        </is>
      </c>
      <c r="G19" t="inlineStr">
        <is>
          <t>NEED_SOURCE</t>
        </is>
      </c>
      <c r="H19" t="inlineStr">
        <is>
          <t>Halo;Warhammer 40,000</t>
        </is>
      </c>
      <c r="I19" t="inlineStr">
        <is>
          <t>hình dáng: ODST drop pod;hình dáng: Drop Pod</t>
        </is>
      </c>
      <c r="J19" t="inlineStr"/>
      <c r="K19" t="inlineStr">
        <is>
          <t>khoang thả xe từ quỹ đạo</t>
        </is>
      </c>
      <c r="L19" t="inlineStr"/>
      <c r="M19" t="inlineStr"/>
      <c r="N19" t="inlineStr"/>
      <c r="O19" t="inlineStr">
        <is>
          <t>uoc_dinh</t>
        </is>
      </c>
      <c r="P19" t="inlineStr">
        <is>
          <t>R_unit_refs;R_reference_real;W_wikipedia_soyuz_spacecraft;R_drop_pod</t>
        </is>
      </c>
      <c r="Q19" t="inlineStr"/>
      <c r="R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">
        <f>INDEX(xe_input_kich_thuoc_that!$B$2:$B$66,MATCH($B$19,xe_input_kich_thuoc_that!$A$2:$A$66,0))</f>
        <v/>
      </c>
      <c r="T19">
        <f>INDEX(xe_input_kich_thuoc_that!$C$2:$C$66,MATCH($B$19,xe_input_kich_thuoc_that!$A$2:$A$66,0))</f>
        <v/>
      </c>
      <c r="U19">
        <f>INDEX(xe_input_kich_thuoc_that!$D$2:$D$66,MATCH($B$19,xe_input_kich_thuoc_that!$A$2:$A$66,0))</f>
        <v/>
      </c>
      <c r="V19" t="inlineStr">
        <is>
          <t>Soyuz descent module</t>
        </is>
      </c>
      <c r="W19" t="inlineStr">
        <is>
          <t>approx</t>
        </is>
      </c>
      <c r="Y19" t="inlineStr">
        <is>
          <t>ước đoán: khoang thả xe từ quỹ đạo</t>
        </is>
      </c>
      <c r="Z19" t="inlineStr"/>
      <c r="AA19" t="inlineStr"/>
      <c r="AB19" t="inlineStr"/>
      <c r="AC19" t="inlineStr">
        <is>
          <t>Tools/blender/specs/drop_pod.json: real = Soyuz descent module (retro-rocket landing on its heat shield; unit_refs); media: the ODST drop pod (Halo), the Warhammer 40,000 drop pod; confidence = ước đoán (a game vehicle; Soyuz proportions for the capsule)</t>
        </is>
      </c>
      <c r="AD19" t="inlineStr">
        <is>
          <t>NEED_SOURCE</t>
        </is>
      </c>
      <c r="AE19" t="inlineStr">
        <is>
          <t>NEED_SOURCE</t>
        </is>
      </c>
      <c r="AF19" t="inlineStr">
        <is>
          <t>NEED_SOURCE</t>
        </is>
      </c>
      <c r="AG19" t="inlineStr">
        <is>
          <t>NEED_SOURCE</t>
        </is>
      </c>
      <c r="AH19" t="inlineStr">
        <is>
          <t>NEED_SOURCE</t>
        </is>
      </c>
      <c r="AI19" t="inlineStr">
        <is>
          <t>NEED_SOURCE</t>
        </is>
      </c>
      <c r="AJ19" t="inlineStr">
        <is>
          <t>Tools/docs/unit_refs.json: drop_pod; Tools/models/reference_real.json: units.drop_pod</t>
        </is>
      </c>
      <c r="AK19" t="inlineStr"/>
    </row>
    <row r="20">
      <c r="A20" t="inlineStr">
        <is>
          <t>elite_aa</t>
        </is>
      </c>
      <c r="B20" t="inlineStr">
        <is>
          <t>elite_aa</t>
        </is>
      </c>
      <c r="C20" t="inlineStr">
        <is>
          <t>Phòng không tinh nhuệ</t>
        </is>
      </c>
      <c r="D20" t="inlineStr">
        <is>
          <t>doi_that</t>
        </is>
      </c>
      <c r="E20" t="inlineStr">
        <is>
          <t>Rheinmetall Skyranger 35 (đạn AHEAD);Gepard (khung gốc)</t>
        </is>
      </c>
      <c r="F20" t="inlineStr">
        <is>
          <t>NEED_SOURCE</t>
        </is>
      </c>
      <c r="G20" t="inlineStr">
        <is>
          <t>NEED_SOURCE</t>
        </is>
      </c>
      <c r="H20" t="inlineStr"/>
      <c r="I20" t="inlineStr"/>
      <c r="J20" t="inlineStr"/>
      <c r="K20" t="inlineStr">
        <is>
          <t>Phòng không tinh nhuệ, đạn nổ trên không AHEAD</t>
        </is>
      </c>
      <c r="L20" t="inlineStr"/>
      <c r="M20" t="inlineStr"/>
      <c r="N20" t="inlineStr"/>
      <c r="O20" t="inlineStr">
        <is>
          <t>uoc_dinh</t>
        </is>
      </c>
      <c r="P20" t="inlineStr">
        <is>
          <t>R_unit_refs;R_reference_real;W_wikipedia_flakpanzer_gepard;R_elite_aa</t>
        </is>
      </c>
      <c r="Q20" t="inlineStr"/>
      <c r="R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">
        <f>INDEX(xe_input_kich_thuoc_that!$B$2:$B$66,MATCH($B$20,xe_input_kich_thuoc_that!$A$2:$A$66,0))</f>
        <v/>
      </c>
      <c r="T20">
        <f>INDEX(xe_input_kich_thuoc_that!$C$2:$C$66,MATCH($B$20,xe_input_kich_thuoc_that!$A$2:$A$66,0))</f>
        <v/>
      </c>
      <c r="U20">
        <f>INDEX(xe_input_kich_thuoc_that!$D$2:$D$66,MATCH($B$20,xe_input_kich_thuoc_that!$A$2:$A$66,0))</f>
        <v/>
      </c>
      <c r="V20" t="inlineStr">
        <is>
          <t>Flakpanzer Gepard 1A2 (Skyranger kit)</t>
        </is>
      </c>
      <c r="W20" t="inlineStr">
        <is>
          <t>approx</t>
        </is>
      </c>
      <c r="Y20" t="inlineStr">
        <is>
          <t>Phòng không tinh nhuệ, đạn nổ trên không AHEAD</t>
        </is>
      </c>
      <c r="Z20" t="inlineStr"/>
      <c r="AA20" t="inlineStr"/>
      <c r="AB20" t="inlineStr"/>
      <c r="AC20" t="inlineStr">
        <is>
          <t>Tools/blender/specs/elite_aa.json: real = Rheinmetall Skyranger 35 turret on the Leopard 1 hull (the 2024 Leopard 1 / Gepard-successor pattern); Gepard (base chassis, unit_refs); FIM-92 Stinger twin launcher; confidence = xấp xỉ (Skyranger 30/35 and Leopard 1 photographs; the twin guns after the def's twin_35)</t>
        </is>
      </c>
      <c r="AD20" t="inlineStr">
        <is>
          <t>NEED_SOURCE</t>
        </is>
      </c>
      <c r="AE20" t="inlineStr">
        <is>
          <t>NEED_SOURCE</t>
        </is>
      </c>
      <c r="AF20" t="inlineStr">
        <is>
          <t>NEED_SOURCE</t>
        </is>
      </c>
      <c r="AG20" t="inlineStr">
        <is>
          <t>NEED_SOURCE</t>
        </is>
      </c>
      <c r="AH20" t="inlineStr">
        <is>
          <t>NEED_SOURCE</t>
        </is>
      </c>
      <c r="AI20" t="inlineStr">
        <is>
          <t>NEED_SOURCE</t>
        </is>
      </c>
      <c r="AJ20" t="inlineStr">
        <is>
          <t>Tools/docs/unit_refs.json: elite_aa; Tools/models/reference_real.json: units.elite_aa</t>
        </is>
      </c>
      <c r="AK20" t="inlineStr"/>
    </row>
    <row r="21">
      <c r="A21" t="inlineStr">
        <is>
          <t>elite_apc</t>
        </is>
      </c>
      <c r="B21" t="inlineStr">
        <is>
          <t>elite_apc</t>
        </is>
      </c>
      <c r="C21" t="inlineStr">
        <is>
          <t>Xe bọc thép tinh nhuệ</t>
        </is>
      </c>
      <c r="D21" t="inlineStr">
        <is>
          <t>doi_that</t>
        </is>
      </c>
      <c r="E21" t="inlineStr">
        <is>
          <t>M2 Bradley / BMP-3 (khung gốc);2A42 30 mm</t>
        </is>
      </c>
      <c r="F21" t="inlineStr">
        <is>
          <t>NEED_SOURCE</t>
        </is>
      </c>
      <c r="G21" t="inlineStr">
        <is>
          <t>NEED_SOURCE</t>
        </is>
      </c>
      <c r="H21" t="inlineStr"/>
      <c r="I21" t="inlineStr"/>
      <c r="J21" t="inlineStr"/>
      <c r="K21" t="inlineStr">
        <is>
          <t>Xe chiến đấu bộ binh tinh nhuệ</t>
        </is>
      </c>
      <c r="L21" t="inlineStr"/>
      <c r="M21" t="inlineStr"/>
      <c r="N21" t="inlineStr"/>
      <c r="O21" t="inlineStr">
        <is>
          <t>da_kiem_chung</t>
        </is>
      </c>
      <c r="P21" t="inlineStr">
        <is>
          <t>R_unit_refs;R_reference_real;W_wikipedia_m2_bradley;R_elite_apc</t>
        </is>
      </c>
      <c r="Q21" t="inlineStr"/>
      <c r="R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">
        <f>INDEX(xe_input_kich_thuoc_that!$B$2:$B$66,MATCH($B$21,xe_input_kich_thuoc_that!$A$2:$A$66,0))</f>
        <v/>
      </c>
      <c r="T21">
        <f>INDEX(xe_input_kich_thuoc_that!$C$2:$C$66,MATCH($B$21,xe_input_kich_thuoc_that!$A$2:$A$66,0))</f>
        <v/>
      </c>
      <c r="U21">
        <f>INDEX(xe_input_kich_thuoc_that!$D$2:$D$66,MATCH($B$21,xe_input_kich_thuoc_that!$A$2:$A$66,0))</f>
        <v/>
      </c>
      <c r="V21" t="inlineStr">
        <is>
          <t>M2A3 Bradley</t>
        </is>
      </c>
      <c r="W21" t="inlineStr">
        <is>
          <t>high</t>
        </is>
      </c>
      <c r="Y21" t="inlineStr">
        <is>
          <t>Xe chiến đấu bộ binh tinh nhuệ</t>
        </is>
      </c>
      <c r="Z21" t="inlineStr"/>
      <c r="AA21" t="inlineStr"/>
      <c r="AB21" t="inlineStr"/>
      <c r="AC21" t="inlineStr">
        <is>
          <t>Tools/blender/specs/elite_apc.json: real = BMP-3 hull (unit_refs: M2 Bradley / BMP-3 base chassis); B05Ya01 Epokha (Bumerang-BM) unmanned module: 2A42 30 mm, PKTM coax, four 9M133 Kornet launchers; two PKT bow machine guns; confidence = xấp xỉ (BMP-3 and Epokha module photographs, Army-2018)</t>
        </is>
      </c>
      <c r="AD21" t="inlineStr">
        <is>
          <t>NEED_SOURCE</t>
        </is>
      </c>
      <c r="AE21" t="inlineStr">
        <is>
          <t>NEED_SOURCE</t>
        </is>
      </c>
      <c r="AF21" t="inlineStr">
        <is>
          <t>NEED_SOURCE</t>
        </is>
      </c>
      <c r="AG21" t="inlineStr">
        <is>
          <t>NEED_SOURCE</t>
        </is>
      </c>
      <c r="AH21" t="inlineStr">
        <is>
          <t>NEED_SOURCE</t>
        </is>
      </c>
      <c r="AI21" t="inlineStr">
        <is>
          <t>NEED_SOURCE</t>
        </is>
      </c>
      <c r="AJ21" t="inlineStr">
        <is>
          <t>Tools/docs/unit_refs.json: elite_apc; Tools/models/reference_real.json: units.elite_apc</t>
        </is>
      </c>
      <c r="AK21" t="inlineStr"/>
    </row>
    <row r="22">
      <c r="A22" t="inlineStr">
        <is>
          <t>elite_artillery</t>
        </is>
      </c>
      <c r="B22" t="inlineStr">
        <is>
          <t>elite_artillery</t>
        </is>
      </c>
      <c r="C22" t="inlineStr">
        <is>
          <t>Pháo tự hành tinh nhuệ</t>
        </is>
      </c>
      <c r="D22" t="inlineStr">
        <is>
          <t>doi_that</t>
        </is>
      </c>
      <c r="E22" t="inlineStr">
        <is>
          <t>CAESAR 155 mm</t>
        </is>
      </c>
      <c r="F22" t="inlineStr">
        <is>
          <t>NEED_SOURCE</t>
        </is>
      </c>
      <c r="G22" t="inlineStr">
        <is>
          <t>NEED_SOURCE</t>
        </is>
      </c>
      <c r="H22" t="inlineStr"/>
      <c r="I22" t="inlineStr"/>
      <c r="J22" t="inlineStr"/>
      <c r="K22" t="inlineStr">
        <is>
          <t>Lựu pháo tự hành tinh nhuệ</t>
        </is>
      </c>
      <c r="L22" t="inlineStr"/>
      <c r="M22" t="inlineStr"/>
      <c r="N22" t="inlineStr"/>
      <c r="O22" t="inlineStr">
        <is>
          <t>uoc_dinh</t>
        </is>
      </c>
      <c r="P22" t="inlineStr">
        <is>
          <t>R_unit_refs;R_reference_real;W_wikipedia_caesar_self_propelled_howitzer</t>
        </is>
      </c>
      <c r="Q22" t="inlineStr"/>
      <c r="R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">
        <f>INDEX(xe_input_kich_thuoc_that!$B$2:$B$66,MATCH($B$22,xe_input_kich_thuoc_that!$A$2:$A$66,0))</f>
        <v/>
      </c>
      <c r="T22">
        <f>INDEX(xe_input_kich_thuoc_that!$C$2:$C$66,MATCH($B$22,xe_input_kich_thuoc_that!$A$2:$A$66,0))</f>
        <v/>
      </c>
      <c r="U22">
        <f>INDEX(xe_input_kich_thuoc_that!$D$2:$D$66,MATCH($B$22,xe_input_kich_thuoc_that!$A$2:$A$66,0))</f>
        <v/>
      </c>
      <c r="V22" t="inlineStr">
        <is>
          <t>CAESAR 155 mm (6x6)</t>
        </is>
      </c>
      <c r="W22" t="inlineStr">
        <is>
          <t>approx</t>
        </is>
      </c>
      <c r="Y22" t="inlineStr">
        <is>
          <t>Lựu pháo tự hành tinh nhuệ</t>
        </is>
      </c>
      <c r="Z22" t="inlineStr"/>
      <c r="AA22" t="inlineStr"/>
      <c r="AB22" t="inlineStr"/>
      <c r="AC22" t="inlineStr"/>
      <c r="AD22" t="inlineStr">
        <is>
          <t>NEED_SOURCE</t>
        </is>
      </c>
      <c r="AE22" t="inlineStr">
        <is>
          <t>NEED_SOURCE</t>
        </is>
      </c>
      <c r="AF22" t="inlineStr">
        <is>
          <t>NEED_SOURCE</t>
        </is>
      </c>
      <c r="AG22" t="inlineStr">
        <is>
          <t>NEED_SOURCE</t>
        </is>
      </c>
      <c r="AH22" t="inlineStr">
        <is>
          <t>NEED_SOURCE</t>
        </is>
      </c>
      <c r="AI22" t="inlineStr">
        <is>
          <t>NEED_SOURCE</t>
        </is>
      </c>
      <c r="AJ22" t="inlineStr">
        <is>
          <t>Tools/docs/unit_refs.json: elite_artillery; Tools/models/reference_real.json: units.elite_artillery</t>
        </is>
      </c>
      <c r="AK22" t="inlineStr"/>
    </row>
    <row r="23">
      <c r="A23" t="inlineStr">
        <is>
          <t>elite_attack_helicopter</t>
        </is>
      </c>
      <c r="B23" t="inlineStr">
        <is>
          <t>elite_attack_helicopter</t>
        </is>
      </c>
      <c r="C23" t="inlineStr">
        <is>
          <t>Trực thăng tinh nhuệ</t>
        </is>
      </c>
      <c r="D23" t="inlineStr">
        <is>
          <t>doi_that</t>
        </is>
      </c>
      <c r="E23" t="inlineStr">
        <is>
          <t>AH-64 Apache;AGM-114L Hellfire Longbow</t>
        </is>
      </c>
      <c r="F23" t="inlineStr">
        <is>
          <t>NEED_SOURCE</t>
        </is>
      </c>
      <c r="G23" t="inlineStr">
        <is>
          <t>NEED_SOURCE</t>
        </is>
      </c>
      <c r="H23" t="inlineStr"/>
      <c r="I23" t="inlineStr"/>
      <c r="J23" t="inlineStr"/>
      <c r="K23" t="inlineStr">
        <is>
          <t>Apache tinh nhuệ, bắn loạt Hellfire</t>
        </is>
      </c>
      <c r="L23" t="inlineStr"/>
      <c r="M23" t="inlineStr"/>
      <c r="N23" t="inlineStr"/>
      <c r="O23" t="inlineStr">
        <is>
          <t>uoc_dinh</t>
        </is>
      </c>
      <c r="P23" t="inlineStr">
        <is>
          <t>R_unit_refs;R_reference_real;W_wikipedia_boeing_ah_64_apache;R_elite_attack_helicopter</t>
        </is>
      </c>
      <c r="Q23" t="inlineStr"/>
      <c r="R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">
        <f>INDEX(xe_input_kich_thuoc_that!$B$2:$B$66,MATCH($B$23,xe_input_kich_thuoc_that!$A$2:$A$66,0))</f>
        <v/>
      </c>
      <c r="T23">
        <f>INDEX(xe_input_kich_thuoc_that!$C$2:$C$66,MATCH($B$23,xe_input_kich_thuoc_that!$A$2:$A$66,0))</f>
        <v/>
      </c>
      <c r="U23">
        <f>INDEX(xe_input_kich_thuoc_that!$D$2:$D$66,MATCH($B$23,xe_input_kich_thuoc_that!$A$2:$A$66,0))</f>
        <v/>
      </c>
      <c r="V23" t="inlineStr">
        <is>
          <t>AH-64D Apache Longbow</t>
        </is>
      </c>
      <c r="W23" t="inlineStr">
        <is>
          <t>approx</t>
        </is>
      </c>
      <c r="Y23" t="inlineStr">
        <is>
          <t>Apache tinh nhuệ, bắn loạt Hellfire</t>
        </is>
      </c>
      <c r="Z23" t="inlineStr"/>
      <c r="AA23" t="inlineStr"/>
      <c r="AB23" t="inlineStr"/>
      <c r="AC23" t="inlineStr">
        <is>
          <t>Tools/blender/specs/elite_attack_helicopter.json: real = AH-64E Apache Guardian; AGM-114L Hellfire Longbow; confidence = xấp xỉ (AH-64E photographs at the def's modelSize)</t>
        </is>
      </c>
      <c r="AD23" t="inlineStr">
        <is>
          <t>NEED_SOURCE</t>
        </is>
      </c>
      <c r="AE23" t="inlineStr">
        <is>
          <t>NEED_SOURCE</t>
        </is>
      </c>
      <c r="AF23" t="inlineStr">
        <is>
          <t>NEED_SOURCE</t>
        </is>
      </c>
      <c r="AG23" t="inlineStr">
        <is>
          <t>NEED_SOURCE</t>
        </is>
      </c>
      <c r="AH23" t="inlineStr">
        <is>
          <t>NEED_SOURCE</t>
        </is>
      </c>
      <c r="AI23" t="inlineStr">
        <is>
          <t>NEED_SOURCE</t>
        </is>
      </c>
      <c r="AJ23" t="inlineStr">
        <is>
          <t>Tools/docs/unit_refs.json: elite_attack_helicopter; Tools/models/reference_real.json: units.elite_attack_helicopter</t>
        </is>
      </c>
      <c r="AK23" t="inlineStr"/>
    </row>
    <row r="24">
      <c r="A24" t="inlineStr">
        <is>
          <t>elite_attack_jet</t>
        </is>
      </c>
      <c r="B24" t="inlineStr">
        <is>
          <t>elite_attack_jet</t>
        </is>
      </c>
      <c r="C24" t="inlineStr">
        <is>
          <t>Cường kích tinh nhuệ</t>
        </is>
      </c>
      <c r="D24" t="inlineStr">
        <is>
          <t>doi_that</t>
        </is>
      </c>
      <c r="E24" t="inlineStr">
        <is>
          <t>Su-25 Frogfoot;A-10 Thunderbolt II</t>
        </is>
      </c>
      <c r="F24" t="inlineStr">
        <is>
          <t>NEED_SOURCE</t>
        </is>
      </c>
      <c r="G24" t="inlineStr">
        <is>
          <t>NEED_SOURCE</t>
        </is>
      </c>
      <c r="H24" t="inlineStr"/>
      <c r="I24" t="inlineStr"/>
      <c r="J24" t="inlineStr"/>
      <c r="K24" t="inlineStr">
        <is>
          <t>Cường kích tinh nhuệ</t>
        </is>
      </c>
      <c r="L24" t="inlineStr"/>
      <c r="M24" t="inlineStr"/>
      <c r="N24" t="inlineStr"/>
      <c r="O24" t="inlineStr">
        <is>
          <t>da_kiem_chung</t>
        </is>
      </c>
      <c r="P24" t="inlineStr">
        <is>
          <t>R_unit_refs;R_reference_real;W_wikipedia_sukhoi_su_25</t>
        </is>
      </c>
      <c r="Q24" t="inlineStr"/>
      <c r="R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">
        <f>INDEX(xe_input_kich_thuoc_that!$B$2:$B$66,MATCH($B$24,xe_input_kich_thuoc_that!$A$2:$A$66,0))</f>
        <v/>
      </c>
      <c r="T24">
        <f>INDEX(xe_input_kich_thuoc_that!$C$2:$C$66,MATCH($B$24,xe_input_kich_thuoc_that!$A$2:$A$66,0))</f>
        <v/>
      </c>
      <c r="U24">
        <f>INDEX(xe_input_kich_thuoc_that!$D$2:$D$66,MATCH($B$24,xe_input_kich_thuoc_that!$A$2:$A$66,0))</f>
        <v/>
      </c>
      <c r="V24" t="inlineStr">
        <is>
          <t>Su-25 Frogfoot</t>
        </is>
      </c>
      <c r="W24" t="inlineStr">
        <is>
          <t>high</t>
        </is>
      </c>
      <c r="Y24" t="inlineStr">
        <is>
          <t>Cường kích tinh nhuệ</t>
        </is>
      </c>
      <c r="Z24" t="inlineStr"/>
      <c r="AA24" t="inlineStr"/>
      <c r="AB24" t="inlineStr"/>
      <c r="AC24" t="inlineStr"/>
      <c r="AD24" t="inlineStr">
        <is>
          <t>NEED_SOURCE</t>
        </is>
      </c>
      <c r="AE24" t="inlineStr">
        <is>
          <t>NEED_SOURCE</t>
        </is>
      </c>
      <c r="AF24" t="inlineStr">
        <is>
          <t>NEED_SOURCE</t>
        </is>
      </c>
      <c r="AG24" t="inlineStr">
        <is>
          <t>NEED_SOURCE</t>
        </is>
      </c>
      <c r="AH24" t="inlineStr">
        <is>
          <t>NEED_SOURCE</t>
        </is>
      </c>
      <c r="AI24" t="inlineStr">
        <is>
          <t>NEED_SOURCE</t>
        </is>
      </c>
      <c r="AJ24" t="inlineStr">
        <is>
          <t>Tools/docs/unit_refs.json: elite_attack_jet; Tools/models/reference_real.json: units.elite_attack_jet</t>
        </is>
      </c>
      <c r="AK24" t="inlineStr"/>
    </row>
    <row r="25">
      <c r="A25" t="inlineStr">
        <is>
          <t>elite_fpv_carrier</t>
        </is>
      </c>
      <c r="B25" t="inlineStr">
        <is>
          <t>elite_fpv_carrier</t>
        </is>
      </c>
      <c r="C25" t="inlineStr">
        <is>
          <t>Xe phóng drone FPV tinh nhuệ</t>
        </is>
      </c>
      <c r="D25" t="inlineStr">
        <is>
          <t>doi_that</t>
        </is>
      </c>
      <c r="E25" t="inlineStr">
        <is>
          <t>KamAZ Typhoon-K;RG-33 MRAP;drone FPV</t>
        </is>
      </c>
      <c r="F25" t="inlineStr">
        <is>
          <t>NEED_SOURCE</t>
        </is>
      </c>
      <c r="G25" t="inlineStr">
        <is>
          <t>NEED_SOURCE</t>
        </is>
      </c>
      <c r="H25" t="inlineStr"/>
      <c r="I25" t="inlineStr"/>
      <c r="J25" t="inlineStr"/>
      <c r="K25" t="inlineStr">
        <is>
          <t>Xe phóng drone FPV tinh nhuệ</t>
        </is>
      </c>
      <c r="L25" t="inlineStr"/>
      <c r="M25" t="inlineStr"/>
      <c r="N25" t="inlineStr"/>
      <c r="O25" t="inlineStr">
        <is>
          <t>uoc_dinh</t>
        </is>
      </c>
      <c r="P25" t="inlineStr">
        <is>
          <t>R_unit_refs;R_reference_real;W_wikipedia_kamaz_typhoon</t>
        </is>
      </c>
      <c r="Q25" t="inlineStr"/>
      <c r="R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">
        <f>INDEX(xe_input_kich_thuoc_that!$B$2:$B$66,MATCH($B$25,xe_input_kich_thuoc_that!$A$2:$A$66,0))</f>
        <v/>
      </c>
      <c r="T25">
        <f>INDEX(xe_input_kich_thuoc_that!$C$2:$C$66,MATCH($B$25,xe_input_kich_thuoc_that!$A$2:$A$66,0))</f>
        <v/>
      </c>
      <c r="U25">
        <f>INDEX(xe_input_kich_thuoc_that!$D$2:$D$66,MATCH($B$25,xe_input_kich_thuoc_that!$A$2:$A$66,0))</f>
        <v/>
      </c>
      <c r="V25" t="inlineStr">
        <is>
          <t>KamAZ-63968 Typhoon-K</t>
        </is>
      </c>
      <c r="W25" t="inlineStr">
        <is>
          <t>approx</t>
        </is>
      </c>
      <c r="Y25" t="inlineStr">
        <is>
          <t>Xe phóng drone FPV tinh nhuệ</t>
        </is>
      </c>
      <c r="Z25" t="inlineStr"/>
      <c r="AA25" t="inlineStr"/>
      <c r="AB25" t="inlineStr"/>
      <c r="AC25" t="inlineStr"/>
      <c r="AD25" t="inlineStr">
        <is>
          <t>NEED_SOURCE</t>
        </is>
      </c>
      <c r="AE25" t="inlineStr">
        <is>
          <t>NEED_SOURCE</t>
        </is>
      </c>
      <c r="AF25" t="inlineStr">
        <is>
          <t>NEED_SOURCE</t>
        </is>
      </c>
      <c r="AG25" t="inlineStr">
        <is>
          <t>NEED_SOURCE</t>
        </is>
      </c>
      <c r="AH25" t="inlineStr">
        <is>
          <t>NEED_SOURCE</t>
        </is>
      </c>
      <c r="AI25" t="inlineStr">
        <is>
          <t>NEED_SOURCE</t>
        </is>
      </c>
      <c r="AJ25" t="inlineStr">
        <is>
          <t>Tools/docs/unit_refs.json: elite_fpv_carrier; Tools/models/reference_real.json: units.elite_fpv_carrier</t>
        </is>
      </c>
      <c r="AK25" t="inlineStr"/>
    </row>
    <row r="26">
      <c r="A26" t="inlineStr">
        <is>
          <t>elite_grad</t>
        </is>
      </c>
      <c r="B26" t="inlineStr">
        <is>
          <t>elite_grad</t>
        </is>
      </c>
      <c r="C26" t="inlineStr">
        <is>
          <t>Grad tinh nhuệ</t>
        </is>
      </c>
      <c r="D26" t="inlineStr">
        <is>
          <t>doi_that</t>
        </is>
      </c>
      <c r="E26" t="inlineStr">
        <is>
          <t>BM-21 Grad (khung Ural-375D)</t>
        </is>
      </c>
      <c r="F26" t="inlineStr">
        <is>
          <t>NEED_SOURCE</t>
        </is>
      </c>
      <c r="G26" t="inlineStr">
        <is>
          <t>NEED_SOURCE</t>
        </is>
      </c>
      <c r="H26" t="inlineStr"/>
      <c r="I26" t="inlineStr"/>
      <c r="J26" t="inlineStr"/>
      <c r="K26" t="inlineStr">
        <is>
          <t>Xe tải Grad 122 mm tinh nhuệ, đầu đạn chùm</t>
        </is>
      </c>
      <c r="L26" t="inlineStr"/>
      <c r="M26" t="inlineStr"/>
      <c r="N26" t="inlineStr"/>
      <c r="O26" t="inlineStr">
        <is>
          <t>da_kiem_chung</t>
        </is>
      </c>
      <c r="P26" t="inlineStr">
        <is>
          <t>R_unit_refs;R_reference_real;W_wikipedia_bm_21_grad</t>
        </is>
      </c>
      <c r="Q26" t="inlineStr"/>
      <c r="R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">
        <f>INDEX(xe_input_kich_thuoc_that!$B$2:$B$66,MATCH($B$26,xe_input_kich_thuoc_that!$A$2:$A$66,0))</f>
        <v/>
      </c>
      <c r="T26">
        <f>INDEX(xe_input_kich_thuoc_that!$C$2:$C$66,MATCH($B$26,xe_input_kich_thuoc_that!$A$2:$A$66,0))</f>
        <v/>
      </c>
      <c r="U26">
        <f>INDEX(xe_input_kich_thuoc_that!$D$2:$D$66,MATCH($B$26,xe_input_kich_thuoc_that!$A$2:$A$66,0))</f>
        <v/>
      </c>
      <c r="V26" t="inlineStr">
        <is>
          <t>BM-21 Grad (Ural-375D)</t>
        </is>
      </c>
      <c r="W26" t="inlineStr">
        <is>
          <t>high</t>
        </is>
      </c>
      <c r="Y26" t="inlineStr">
        <is>
          <t>Xe tải Grad 122 mm tinh nhuệ, đầu đạn chùm</t>
        </is>
      </c>
      <c r="Z26" t="inlineStr"/>
      <c r="AA26" t="inlineStr"/>
      <c r="AB26" t="inlineStr"/>
      <c r="AC26" t="inlineStr"/>
      <c r="AD26" t="inlineStr">
        <is>
          <t>NEED_SOURCE</t>
        </is>
      </c>
      <c r="AE26" t="inlineStr">
        <is>
          <t>NEED_SOURCE</t>
        </is>
      </c>
      <c r="AF26" t="inlineStr">
        <is>
          <t>NEED_SOURCE</t>
        </is>
      </c>
      <c r="AG26" t="inlineStr">
        <is>
          <t>NEED_SOURCE</t>
        </is>
      </c>
      <c r="AH26" t="inlineStr">
        <is>
          <t>NEED_SOURCE</t>
        </is>
      </c>
      <c r="AI26" t="inlineStr">
        <is>
          <t>NEED_SOURCE</t>
        </is>
      </c>
      <c r="AJ26" t="inlineStr">
        <is>
          <t>Tools/docs/unit_refs.json: elite_grad; Tools/models/reference_real.json: units.elite_grad</t>
        </is>
      </c>
      <c r="AK26" t="inlineStr"/>
    </row>
    <row r="27">
      <c r="A27" t="inlineStr">
        <is>
          <t>elite_heavy_tank</t>
        </is>
      </c>
      <c r="B27" t="inlineStr">
        <is>
          <t>elite_heavy_tank</t>
        </is>
      </c>
      <c r="C27" t="inlineStr">
        <is>
          <t>Tăng hạng nặng tinh nhuệ</t>
        </is>
      </c>
      <c r="D27" t="inlineStr">
        <is>
          <t>doi_that</t>
        </is>
      </c>
      <c r="E27" t="inlineStr">
        <is>
          <t>Object 195 / T-95 (2A83 152 mm, đạn HEAT)</t>
        </is>
      </c>
      <c r="F27" t="inlineStr">
        <is>
          <t>NEED_SOURCE</t>
        </is>
      </c>
      <c r="G27" t="inlineStr">
        <is>
          <t>NEED_SOURCE</t>
        </is>
      </c>
      <c r="H27" t="inlineStr"/>
      <c r="I27" t="inlineStr"/>
      <c r="J27" t="inlineStr"/>
      <c r="K27" t="inlineStr">
        <is>
          <t>Siêu tăng tinh nhuệ, đạn nổ lõm 152 mm</t>
        </is>
      </c>
      <c r="L27" t="inlineStr"/>
      <c r="M27" t="inlineStr"/>
      <c r="N27" t="inlineStr"/>
      <c r="O27" t="inlineStr">
        <is>
          <t>ban_dau_doan</t>
        </is>
      </c>
      <c r="P27" t="inlineStr">
        <is>
          <t>R_unit_refs;R_reference_real;R_elite_heavy_tank</t>
        </is>
      </c>
      <c r="Q27" t="inlineStr"/>
      <c r="R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" t="inlineStr">
        <is>
          <t>NEED_SOURCE</t>
        </is>
      </c>
      <c r="T27" t="inlineStr">
        <is>
          <t>NEED_SOURCE</t>
        </is>
      </c>
      <c r="U27" t="inlineStr">
        <is>
          <t>NEED_SOURCE</t>
        </is>
      </c>
      <c r="V27" t="inlineStr">
        <is>
          <t>Object 195 / T-95</t>
        </is>
      </c>
      <c r="W27" t="inlineStr">
        <is>
          <t>none</t>
        </is>
      </c>
      <c r="Y27" t="inlineStr">
        <is>
          <t>Siêu tăng tinh nhuệ, đạn nổ lõm 152 mm</t>
        </is>
      </c>
      <c r="Z27" t="inlineStr"/>
      <c r="AA27" t="inlineStr"/>
      <c r="AB27" t="inlineStr"/>
      <c r="AC27" t="inlineStr">
        <is>
          <t>Tools/blender/specs/elite_heavy_tank.json: real = Object 195 / T-95 (2A83 152 mm, HEAT rounds; unit_refs); 2A42 30 mm coaxial autocannon; 12.7 mm remote weapon station; confidence = xấp xỉ (Object 195 published drawings and the 2017 museum photographs)</t>
        </is>
      </c>
      <c r="AD27" t="inlineStr">
        <is>
          <t>NEED_SOURCE</t>
        </is>
      </c>
      <c r="AE27" t="inlineStr">
        <is>
          <t>NEED_SOURCE</t>
        </is>
      </c>
      <c r="AF27" t="inlineStr">
        <is>
          <t>NEED_SOURCE</t>
        </is>
      </c>
      <c r="AG27" t="inlineStr">
        <is>
          <t>NEED_SOURCE</t>
        </is>
      </c>
      <c r="AH27" t="inlineStr">
        <is>
          <t>NEED_SOURCE</t>
        </is>
      </c>
      <c r="AI27" t="inlineStr">
        <is>
          <t>NEED_SOURCE</t>
        </is>
      </c>
      <c r="AJ27" t="inlineStr">
        <is>
          <t>Tools/docs/unit_refs.json: elite_heavy_tank; Tools/models/reference_real.json: units.elite_heavy_tank</t>
        </is>
      </c>
      <c r="AK27" t="inlineStr"/>
    </row>
    <row r="28">
      <c r="A28" t="inlineStr">
        <is>
          <t>elite_long_sam</t>
        </is>
      </c>
      <c r="B28" t="inlineStr">
        <is>
          <t>elite_long_sam</t>
        </is>
      </c>
      <c r="C28" t="inlineStr">
        <is>
          <t>Tên lửa phòng không tầm xa tinh nhuệ</t>
        </is>
      </c>
      <c r="D28" t="inlineStr">
        <is>
          <t>doi_that</t>
        </is>
      </c>
      <c r="E28" t="inlineStr">
        <is>
          <t>S-400 (48N6);S-300PMU (5P85)</t>
        </is>
      </c>
      <c r="F28" t="inlineStr">
        <is>
          <t>NEED_SOURCE</t>
        </is>
      </c>
      <c r="G28" t="inlineStr">
        <is>
          <t>NEED_SOURCE</t>
        </is>
      </c>
      <c r="H28" t="inlineStr"/>
      <c r="I28" t="inlineStr"/>
      <c r="J28" t="inlineStr"/>
      <c r="K28" t="inlineStr">
        <is>
          <t>Tên lửa phòng không tầm xa tinh nhuệ</t>
        </is>
      </c>
      <c r="L28" t="inlineStr"/>
      <c r="M28" t="inlineStr"/>
      <c r="N28" t="inlineStr"/>
      <c r="O28" t="inlineStr">
        <is>
          <t>ban_dau_doan</t>
        </is>
      </c>
      <c r="P28" t="inlineStr">
        <is>
          <t>R_unit_refs</t>
        </is>
      </c>
      <c r="Q28" t="inlineStr"/>
      <c r="R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" t="inlineStr">
        <is>
          <t>NEED_SOURCE</t>
        </is>
      </c>
      <c r="T28" t="inlineStr">
        <is>
          <t>NEED_SOURCE</t>
        </is>
      </c>
      <c r="U28" t="inlineStr">
        <is>
          <t>NEED_SOURCE</t>
        </is>
      </c>
      <c r="Y28" t="inlineStr">
        <is>
          <t>Tên lửa phòng không tầm xa tinh nhuệ</t>
        </is>
      </c>
      <c r="Z28" t="inlineStr"/>
      <c r="AA28" t="inlineStr"/>
      <c r="AB28" t="inlineStr"/>
      <c r="AC28" t="inlineStr"/>
      <c r="AD28" t="inlineStr">
        <is>
          <t>NEED_SOURCE</t>
        </is>
      </c>
      <c r="AE28" t="inlineStr">
        <is>
          <t>NEED_SOURCE</t>
        </is>
      </c>
      <c r="AF28" t="inlineStr">
        <is>
          <t>NEED_SOURCE</t>
        </is>
      </c>
      <c r="AG28" t="inlineStr">
        <is>
          <t>NEED_SOURCE</t>
        </is>
      </c>
      <c r="AH28" t="inlineStr">
        <is>
          <t>NEED_SOURCE</t>
        </is>
      </c>
      <c r="AI28" t="inlineStr">
        <is>
          <t>NEED_SOURCE</t>
        </is>
      </c>
      <c r="AJ28" t="inlineStr">
        <is>
          <t>Tools/docs/unit_refs.json: elite_long_sam; Tools/models/reference_real.json: units.elite_long_sam</t>
        </is>
      </c>
      <c r="AK28" t="inlineStr"/>
    </row>
    <row r="29">
      <c r="A29" t="inlineStr">
        <is>
          <t>elite_mbt</t>
        </is>
      </c>
      <c r="B29" t="inlineStr">
        <is>
          <t>elite_mbt</t>
        </is>
      </c>
      <c r="C29" t="inlineStr">
        <is>
          <t>Tăng chủ lực tinh nhuệ</t>
        </is>
      </c>
      <c r="D29" t="inlineStr">
        <is>
          <t>doi_that</t>
        </is>
      </c>
      <c r="E29" t="inlineStr">
        <is>
          <t>T-90M (2A46M-5 125 mm);Leopard 2A4 / M1 Abrams (khung gốc)</t>
        </is>
      </c>
      <c r="F29" t="inlineStr">
        <is>
          <t>NEED_SOURCE</t>
        </is>
      </c>
      <c r="G29" t="inlineStr">
        <is>
          <t>NEED_SOURCE</t>
        </is>
      </c>
      <c r="H29" t="inlineStr"/>
      <c r="I29" t="inlineStr"/>
      <c r="J29" t="inlineStr"/>
      <c r="K29" t="inlineStr">
        <is>
          <t>Xe tăng chủ lực tinh nhuệ, giáp tăng cường sơn đen</t>
        </is>
      </c>
      <c r="L29" t="inlineStr"/>
      <c r="M29" t="inlineStr"/>
      <c r="N29" t="inlineStr"/>
      <c r="O29" t="inlineStr">
        <is>
          <t>da_kiem_chung</t>
        </is>
      </c>
      <c r="P29" t="inlineStr">
        <is>
          <t>R_unit_refs;R_reference_real;W_wikipedia_t_90;R_elite_mbt</t>
        </is>
      </c>
      <c r="Q29" t="inlineStr"/>
      <c r="R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">
        <f>INDEX(xe_input_kich_thuoc_that!$B$2:$B$66,MATCH($B$29,xe_input_kich_thuoc_that!$A$2:$A$66,0))</f>
        <v/>
      </c>
      <c r="T29">
        <f>INDEX(xe_input_kich_thuoc_that!$C$2:$C$66,MATCH($B$29,xe_input_kich_thuoc_that!$A$2:$A$66,0))</f>
        <v/>
      </c>
      <c r="U29">
        <f>INDEX(xe_input_kich_thuoc_that!$D$2:$D$66,MATCH($B$29,xe_input_kich_thuoc_that!$A$2:$A$66,0))</f>
        <v/>
      </c>
      <c r="V29" t="inlineStr">
        <is>
          <t>T-90</t>
        </is>
      </c>
      <c r="W29" t="inlineStr">
        <is>
          <t>high</t>
        </is>
      </c>
      <c r="Y29" t="inlineStr">
        <is>
          <t>Xe tăng chủ lực tinh nhuệ, giáp tăng cường sơn đen</t>
        </is>
      </c>
      <c r="Z29" t="inlineStr"/>
      <c r="AA29" t="inlineStr"/>
      <c r="AB29" t="inlineStr"/>
      <c r="AC29" t="inlineStr">
        <is>
          <t>Tools/blender/specs/elite_mbt.json: real = T-90M (2A46M-5 125 mm, Relikt reactive armour, remote 12.7 mm station); confidence = xấp xỉ (T-90M published dimensions and photographs)</t>
        </is>
      </c>
      <c r="AD29" t="inlineStr">
        <is>
          <t>NEED_SOURCE</t>
        </is>
      </c>
      <c r="AE29" t="inlineStr">
        <is>
          <t>NEED_SOURCE</t>
        </is>
      </c>
      <c r="AF29" t="inlineStr">
        <is>
          <t>NEED_SOURCE</t>
        </is>
      </c>
      <c r="AG29" t="inlineStr">
        <is>
          <t>NEED_SOURCE</t>
        </is>
      </c>
      <c r="AH29" t="inlineStr">
        <is>
          <t>NEED_SOURCE</t>
        </is>
      </c>
      <c r="AI29" t="inlineStr">
        <is>
          <t>NEED_SOURCE</t>
        </is>
      </c>
      <c r="AJ29" t="inlineStr">
        <is>
          <t>Tools/docs/unit_refs.json: elite_mbt; Tools/models/reference_real.json: units.elite_mbt</t>
        </is>
      </c>
      <c r="AK29" t="inlineStr"/>
    </row>
    <row r="30">
      <c r="A30" t="inlineStr">
        <is>
          <t>elite_mlrs</t>
        </is>
      </c>
      <c r="B30" t="inlineStr">
        <is>
          <t>elite_mlrs</t>
        </is>
      </c>
      <c r="C30" t="inlineStr">
        <is>
          <t>Pháo phản lực tinh nhuệ</t>
        </is>
      </c>
      <c r="D30" t="inlineStr">
        <is>
          <t>doi_that</t>
        </is>
      </c>
      <c r="E30" t="inlineStr">
        <is>
          <t>M142 HIMARS / M270;M30 GMLRS 227 mm (đầu đạn chùm)</t>
        </is>
      </c>
      <c r="F30" t="inlineStr">
        <is>
          <t>NEED_SOURCE</t>
        </is>
      </c>
      <c r="G30" t="inlineStr">
        <is>
          <t>NEED_SOURCE</t>
        </is>
      </c>
      <c r="H30" t="inlineStr"/>
      <c r="I30" t="inlineStr"/>
      <c r="J30" t="inlineStr"/>
      <c r="K30" t="inlineStr">
        <is>
          <t>Xe phóng rốc-két tinh nhuệ, đầu đạn chùm</t>
        </is>
      </c>
      <c r="L30" t="inlineStr"/>
      <c r="M30" t="inlineStr"/>
      <c r="N30" t="inlineStr"/>
      <c r="O30" t="inlineStr">
        <is>
          <t>da_kiem_chung</t>
        </is>
      </c>
      <c r="P30" t="inlineStr">
        <is>
          <t>R_unit_refs;R_reference_real;W_wikipedia_m142_himars;R_elite_mlrs</t>
        </is>
      </c>
      <c r="Q30" t="inlineStr"/>
      <c r="R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">
        <f>INDEX(xe_input_kich_thuoc_that!$B$2:$B$66,MATCH($B$30,xe_input_kich_thuoc_that!$A$2:$A$66,0))</f>
        <v/>
      </c>
      <c r="T30">
        <f>INDEX(xe_input_kich_thuoc_that!$C$2:$C$66,MATCH($B$30,xe_input_kich_thuoc_that!$A$2:$A$66,0))</f>
        <v/>
      </c>
      <c r="U30">
        <f>INDEX(xe_input_kich_thuoc_that!$D$2:$D$66,MATCH($B$30,xe_input_kich_thuoc_that!$A$2:$A$66,0))</f>
        <v/>
      </c>
      <c r="V30" t="inlineStr">
        <is>
          <t>M142 HIMARS</t>
        </is>
      </c>
      <c r="W30" t="inlineStr">
        <is>
          <t>high</t>
        </is>
      </c>
      <c r="Y30" t="inlineStr">
        <is>
          <t>Xe phóng rốc-két tinh nhuệ, đầu đạn chùm</t>
        </is>
      </c>
      <c r="Z30" t="inlineStr"/>
      <c r="AA30" t="inlineStr"/>
      <c r="AB30" t="inlineStr"/>
      <c r="AC30" t="inlineStr">
        <is>
          <t>Tools/blender/specs/elite_mlrs.json: real = M142 HIMARS armoured-cab 6x6 (LSAC) carrying the M270 launcher-loader module (two six-round pods); M30 GMLRS 227 mm cluster rockets; M2 Browning 12.7 mm (roof hatch ring); confidence = ban_dau_doan (no sheet drawing; HIMARS and M270 published dimensions; the pairing of the two is the elite's own design, said in DECISIONS)</t>
        </is>
      </c>
      <c r="AD30" t="inlineStr">
        <is>
          <t>NEED_SOURCE</t>
        </is>
      </c>
      <c r="AE30" t="inlineStr">
        <is>
          <t>NEED_SOURCE</t>
        </is>
      </c>
      <c r="AF30" t="inlineStr">
        <is>
          <t>NEED_SOURCE</t>
        </is>
      </c>
      <c r="AG30" t="inlineStr">
        <is>
          <t>NEED_SOURCE</t>
        </is>
      </c>
      <c r="AH30" t="inlineStr">
        <is>
          <t>NEED_SOURCE</t>
        </is>
      </c>
      <c r="AI30" t="inlineStr">
        <is>
          <t>NEED_SOURCE</t>
        </is>
      </c>
      <c r="AJ30" t="inlineStr">
        <is>
          <t>Tools/docs/unit_refs.json: elite_mlrs; Tools/models/reference_real.json: units.elite_mlrs</t>
        </is>
      </c>
      <c r="AK30" t="inlineStr"/>
    </row>
    <row r="31">
      <c r="A31" t="inlineStr">
        <is>
          <t>elite_tank_destroyer</t>
        </is>
      </c>
      <c r="B31" t="inlineStr">
        <is>
          <t>elite_tank_destroyer</t>
        </is>
      </c>
      <c r="C31" t="inlineStr">
        <is>
          <t>Pháo chống tăng tinh nhuệ</t>
        </is>
      </c>
      <c r="D31" t="inlineStr">
        <is>
          <t>doi_that</t>
        </is>
      </c>
      <c r="E31" t="inlineStr">
        <is>
          <t>2S25 Sprut-SD (2A75 125 mm APFSDS)</t>
        </is>
      </c>
      <c r="F31" t="inlineStr">
        <is>
          <t>NEED_SOURCE</t>
        </is>
      </c>
      <c r="G31" t="inlineStr">
        <is>
          <t>NEED_SOURCE</t>
        </is>
      </c>
      <c r="H31" t="inlineStr"/>
      <c r="I31" t="inlineStr"/>
      <c r="J31" t="inlineStr"/>
      <c r="K31" t="inlineStr">
        <is>
          <t>Pháo chống tăng tinh nhuệ, đạn xuyên dưới cỡ</t>
        </is>
      </c>
      <c r="L31" t="inlineStr"/>
      <c r="M31" t="inlineStr"/>
      <c r="N31" t="inlineStr"/>
      <c r="O31" t="inlineStr">
        <is>
          <t>uoc_dinh</t>
        </is>
      </c>
      <c r="P31" t="inlineStr">
        <is>
          <t>R_unit_refs;R_reference_real;W_wikipedia_2s25_sprut_sd;R_elite_tank_destroyer</t>
        </is>
      </c>
      <c r="Q31" t="inlineStr"/>
      <c r="R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">
        <f>INDEX(xe_input_kich_thuoc_that!$B$2:$B$66,MATCH($B$31,xe_input_kich_thuoc_that!$A$2:$A$66,0))</f>
        <v/>
      </c>
      <c r="T31">
        <f>INDEX(xe_input_kich_thuoc_that!$C$2:$C$66,MATCH($B$31,xe_input_kich_thuoc_that!$A$2:$A$66,0))</f>
        <v/>
      </c>
      <c r="U31">
        <f>INDEX(xe_input_kich_thuoc_that!$D$2:$D$66,MATCH($B$31,xe_input_kich_thuoc_that!$A$2:$A$66,0))</f>
        <v/>
      </c>
      <c r="V31" t="inlineStr">
        <is>
          <t>2S25 Sprut-SD</t>
        </is>
      </c>
      <c r="W31" t="inlineStr">
        <is>
          <t>approx</t>
        </is>
      </c>
      <c r="Y31" t="inlineStr">
        <is>
          <t>Pháo chống tăng tinh nhuệ, đạn xuyên dưới cỡ</t>
        </is>
      </c>
      <c r="Z31" t="inlineStr"/>
      <c r="AA31" t="inlineStr"/>
      <c r="AB31" t="inlineStr"/>
      <c r="AC31" t="inlineStr">
        <is>
          <t>Tools/blender/specs/elite_tank_destroyer.json: real = 2S25M Sprut-SDM1 (the upgraded 2S25 on the BMD-4M chassis; unit_refs: 2S25 Sprut-SD, 2A75 125 mm APFSDS); remote 12.7 mm weapon station; confidence = xấp xỉ (2S25M photographs, Army-2018 / 2020)</t>
        </is>
      </c>
      <c r="AD31" t="inlineStr">
        <is>
          <t>NEED_SOURCE</t>
        </is>
      </c>
      <c r="AE31" t="inlineStr">
        <is>
          <t>NEED_SOURCE</t>
        </is>
      </c>
      <c r="AF31" t="inlineStr">
        <is>
          <t>NEED_SOURCE</t>
        </is>
      </c>
      <c r="AG31" t="inlineStr">
        <is>
          <t>NEED_SOURCE</t>
        </is>
      </c>
      <c r="AH31" t="inlineStr">
        <is>
          <t>NEED_SOURCE</t>
        </is>
      </c>
      <c r="AI31" t="inlineStr">
        <is>
          <t>NEED_SOURCE</t>
        </is>
      </c>
      <c r="AJ31" t="inlineStr">
        <is>
          <t>Tools/docs/unit_refs.json: elite_tank_destroyer; Tools/models/reference_real.json: units.elite_tank_destroyer</t>
        </is>
      </c>
      <c r="AK31" t="inlineStr"/>
    </row>
    <row r="32">
      <c r="A32" t="inlineStr">
        <is>
          <t>emp_blast</t>
        </is>
      </c>
      <c r="B32" t="inlineStr">
        <is>
          <t>emp_blast</t>
        </is>
      </c>
      <c r="C32" t="inlineStr">
        <is>
          <t>Bom EMP</t>
        </is>
      </c>
      <c r="D32" t="inlineStr">
        <is>
          <t>NEED_SOURCE</t>
        </is>
      </c>
      <c r="E32" t="inlineStr"/>
      <c r="F32" t="inlineStr">
        <is>
          <t>NEED_SOURCE</t>
        </is>
      </c>
      <c r="G32" t="inlineStr">
        <is>
          <t>NEED_SOURCE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NEED_SOURCE</t>
        </is>
      </c>
      <c r="P32" t="inlineStr"/>
      <c r="Q32" t="inlineStr">
        <is>
          <t>repo không có tham chiếu cho thực thể này (unit_refs.json, reference_real.json, bảng cân bằng)</t>
        </is>
      </c>
      <c r="R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" t="inlineStr"/>
      <c r="T32" t="inlineStr"/>
      <c r="U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Tools/docs/unit_refs.json: emp_blast; Tools/models/reference_real.json: units.emp_blast</t>
        </is>
      </c>
      <c r="AK32" t="inlineStr"/>
    </row>
    <row r="33">
      <c r="A33" t="inlineStr">
        <is>
          <t>engineer_vehicle</t>
        </is>
      </c>
      <c r="B33" t="inlineStr">
        <is>
          <t>engineer_vehicle</t>
        </is>
      </c>
      <c r="C33" t="inlineStr">
        <is>
          <t>Xe công binh</t>
        </is>
      </c>
      <c r="D33" t="inlineStr">
        <is>
          <t>doi_that</t>
        </is>
      </c>
      <c r="E33" t="inlineStr">
        <is>
          <t>BREM-1;M88 Hercules</t>
        </is>
      </c>
      <c r="F33" t="inlineStr">
        <is>
          <t>NEED_SOURCE</t>
        </is>
      </c>
      <c r="G33" t="inlineStr">
        <is>
          <t>NEED_SOURCE</t>
        </is>
      </c>
      <c r="H33" t="inlineStr"/>
      <c r="I33" t="inlineStr"/>
      <c r="J33" t="inlineStr"/>
      <c r="K33" t="inlineStr">
        <is>
          <t>Xe cứu kéo công binh có lưỡi ủi và cần cẩu</t>
        </is>
      </c>
      <c r="L33" t="inlineStr"/>
      <c r="M33" t="inlineStr"/>
      <c r="N33" t="inlineStr"/>
      <c r="O33" t="inlineStr">
        <is>
          <t>uoc_dinh</t>
        </is>
      </c>
      <c r="P33" t="inlineStr">
        <is>
          <t>R_unit_refs;R_reference_real;W_wikipedia_m88_recovery_vehicle;R_unit_sheet;R_machine_brigade_can_bang;R_engineer_vehicle</t>
        </is>
      </c>
      <c r="Q33" t="inlineStr"/>
      <c r="R3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">
        <f>INDEX(xe_input_kich_thuoc_that!$B$2:$B$66,MATCH($B$33,xe_input_kich_thuoc_that!$A$2:$A$66,0))</f>
        <v/>
      </c>
      <c r="T33">
        <f>INDEX(xe_input_kich_thuoc_that!$C$2:$C$66,MATCH($B$33,xe_input_kich_thuoc_that!$A$2:$A$66,0))</f>
        <v/>
      </c>
      <c r="U33">
        <f>INDEX(xe_input_kich_thuoc_that!$D$2:$D$66,MATCH($B$33,xe_input_kich_thuoc_that!$A$2:$A$66,0))</f>
        <v/>
      </c>
      <c r="V33" t="inlineStr">
        <is>
          <t>M88A1 recovery vehicle</t>
        </is>
      </c>
      <c r="W33" t="inlineStr">
        <is>
          <t>approx</t>
        </is>
      </c>
      <c r="X33" t="inlineStr">
        <is>
          <t>0,8 × M88A2 / BREM-1</t>
        </is>
      </c>
      <c r="Y33" t="inlineStr">
        <is>
          <t>Xe cứu kéo công binh có lưỡi ủi và cần cẩu</t>
        </is>
      </c>
      <c r="Z33" t="inlineStr">
        <is>
          <t>BREM-1, M88 Hercules — Xe cứu kéo công binh có lưỡi ủi và cần cẩu</t>
        </is>
      </c>
      <c r="AA33" t="inlineStr"/>
      <c r="AB33" t="inlineStr"/>
      <c r="AC33" t="inlineStr">
        <is>
          <t>Tools/blender/specs/engineer_vehicle.json: real = BREM-1 / M88A2-class armoured recovery and engineer vehicle on a tank chassis (unit_sheet: M2 Browning 12.7 mm); confidence = xấp xỉ (BREM-1 layout: slewing crane at the front left, casemate, dozer blade; scaled to modelSize)</t>
        </is>
      </c>
      <c r="AD33" t="inlineStr">
        <is>
          <t>NEED_SOURCE</t>
        </is>
      </c>
      <c r="AE33" t="inlineStr">
        <is>
          <t>NEED_SOURCE</t>
        </is>
      </c>
      <c r="AF33" t="inlineStr">
        <is>
          <t>NEED_SOURCE</t>
        </is>
      </c>
      <c r="AG33" t="inlineStr">
        <is>
          <t>NEED_SOURCE</t>
        </is>
      </c>
      <c r="AH33" t="inlineStr">
        <is>
          <t>NEED_SOURCE</t>
        </is>
      </c>
      <c r="AI33" t="inlineStr">
        <is>
          <t>NEED_SOURCE</t>
        </is>
      </c>
      <c r="AJ33" t="inlineStr">
        <is>
          <t>Tools/docs/unit_refs.json: engineer_vehicle; Tools/models/reference_real.json: units.engineer_vehicle</t>
        </is>
      </c>
      <c r="AK33" t="inlineStr"/>
    </row>
    <row r="34">
      <c r="A34" t="inlineStr">
        <is>
          <t>escort_drop.aa_vehicle</t>
        </is>
      </c>
      <c r="B34" t="inlineStr">
        <is>
          <t>escort_drop.aa_vehicle</t>
        </is>
      </c>
      <c r="C34" t="inlineStr">
        <is>
          <t>escort_drop.aa_vehicle</t>
        </is>
      </c>
      <c r="D34" t="inlineStr">
        <is>
          <t>NEED_SOURCE</t>
        </is>
      </c>
      <c r="E34" t="inlineStr"/>
      <c r="F34" t="inlineStr">
        <is>
          <t>NEED_SOURCE</t>
        </is>
      </c>
      <c r="G34" t="inlineStr">
        <is>
          <t>NEED_SOURCE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NEED_SOURCE</t>
        </is>
      </c>
      <c r="P34" t="inlineStr"/>
      <c r="Q34" t="inlineStr">
        <is>
          <t>repo không có tham chiếu cho thực thể này (unit_refs.json, reference_real.json, bảng cân bằng)</t>
        </is>
      </c>
      <c r="R3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" t="inlineStr"/>
      <c r="T34" t="inlineStr"/>
      <c r="U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Tools/docs/unit_refs.json: escort_drop.aa_vehicle; Tools/models/reference_real.json: units.escort_drop.aa_vehicle</t>
        </is>
      </c>
      <c r="AK34" t="inlineStr"/>
    </row>
    <row r="35">
      <c r="A35" t="inlineStr">
        <is>
          <t>escort_drop.engineer_vehicle</t>
        </is>
      </c>
      <c r="B35" t="inlineStr">
        <is>
          <t>escort_drop.engineer_vehicle</t>
        </is>
      </c>
      <c r="C35" t="inlineStr">
        <is>
          <t>escort_drop.engineer_vehicle</t>
        </is>
      </c>
      <c r="D35" t="inlineStr">
        <is>
          <t>NEED_SOURCE</t>
        </is>
      </c>
      <c r="E35" t="inlineStr"/>
      <c r="F35" t="inlineStr">
        <is>
          <t>NEED_SOURCE</t>
        </is>
      </c>
      <c r="G35" t="inlineStr">
        <is>
          <t>NEED_SOURCE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NEED_SOURCE</t>
        </is>
      </c>
      <c r="P35" t="inlineStr"/>
      <c r="Q35" t="inlineStr">
        <is>
          <t>repo không có tham chiếu cho thực thể này (unit_refs.json, reference_real.json, bảng cân bằng)</t>
        </is>
      </c>
      <c r="R3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" t="inlineStr"/>
      <c r="T35" t="inlineStr"/>
      <c r="U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Tools/docs/unit_refs.json: escort_drop.engineer_vehicle; Tools/models/reference_real.json: units.escort_drop.engineer_vehicle</t>
        </is>
      </c>
      <c r="AK35" t="inlineStr"/>
    </row>
    <row r="36">
      <c r="A36" t="inlineStr">
        <is>
          <t>escort_drop.ifv</t>
        </is>
      </c>
      <c r="B36" t="inlineStr">
        <is>
          <t>escort_drop.ifv</t>
        </is>
      </c>
      <c r="C36" t="inlineStr">
        <is>
          <t>escort_drop.ifv</t>
        </is>
      </c>
      <c r="D36" t="inlineStr">
        <is>
          <t>NEED_SOURCE</t>
        </is>
      </c>
      <c r="E36" t="inlineStr"/>
      <c r="F36" t="inlineStr">
        <is>
          <t>NEED_SOURCE</t>
        </is>
      </c>
      <c r="G36" t="inlineStr">
        <is>
          <t>NEED_SOURCE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NEED_SOURCE</t>
        </is>
      </c>
      <c r="P36" t="inlineStr"/>
      <c r="Q36" t="inlineStr">
        <is>
          <t>repo không có tham chiếu cho thực thể này (unit_refs.json, reference_real.json, bảng cân bằng)</t>
        </is>
      </c>
      <c r="R3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6" t="inlineStr"/>
      <c r="T36" t="inlineStr"/>
      <c r="U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Tools/docs/unit_refs.json: escort_drop.ifv; Tools/models/reference_real.json: units.escort_drop.ifv</t>
        </is>
      </c>
      <c r="AK36" t="inlineStr"/>
    </row>
    <row r="37">
      <c r="A37" t="inlineStr">
        <is>
          <t>ew_jammer</t>
        </is>
      </c>
      <c r="B37" t="inlineStr">
        <is>
          <t>ew_jammer</t>
        </is>
      </c>
      <c r="C37" t="inlineStr">
        <is>
          <t>Xe gây nhiễu điện tử</t>
        </is>
      </c>
      <c r="D37" t="inlineStr">
        <is>
          <t>doi_that</t>
        </is>
      </c>
      <c r="E37" t="inlineStr">
        <is>
          <t>Krasukha-4;Leer-3</t>
        </is>
      </c>
      <c r="F37" t="inlineStr">
        <is>
          <t>NEED_SOURCE</t>
        </is>
      </c>
      <c r="G37" t="inlineStr">
        <is>
          <t>NEED_SOURCE</t>
        </is>
      </c>
      <c r="H37" t="inlineStr"/>
      <c r="I37" t="inlineStr"/>
      <c r="J37" t="inlineStr"/>
      <c r="K37" t="inlineStr">
        <is>
          <t>Xe tác chiến điện tử 6x6, cột ăng-ten gây nhiễu</t>
        </is>
      </c>
      <c r="L37" t="inlineStr"/>
      <c r="M37" t="inlineStr"/>
      <c r="N37" t="inlineStr"/>
      <c r="O37" t="inlineStr">
        <is>
          <t>ban_dau_doan</t>
        </is>
      </c>
      <c r="P37" t="inlineStr">
        <is>
          <t>R_unit_refs;R_reference_real;R_unit_sheet;R_machine_brigade_can_bang;R_ew_jammer</t>
        </is>
      </c>
      <c r="Q37" t="inlineStr"/>
      <c r="R3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7" t="inlineStr">
        <is>
          <t>NEED_SOURCE</t>
        </is>
      </c>
      <c r="T37" t="inlineStr">
        <is>
          <t>NEED_SOURCE</t>
        </is>
      </c>
      <c r="U37" t="inlineStr">
        <is>
          <t>NEED_SOURCE</t>
        </is>
      </c>
      <c r="V37" t="inlineStr">
        <is>
          <t>Krasukha-4 (BAZ-6910)</t>
        </is>
      </c>
      <c r="W37" t="inlineStr">
        <is>
          <t>none</t>
        </is>
      </c>
      <c r="X37" t="inlineStr">
        <is>
          <t>0,8 × Krasukha-4 (BAZ-6910</t>
        </is>
      </c>
      <c r="Y37" t="inlineStr">
        <is>
          <t>Xe tác chiến điện tử 6x6, cột ăng-ten gây nhiễu</t>
        </is>
      </c>
      <c r="Z37" t="inlineStr">
        <is>
          <t>Krasukha-4, Leer-3 — Xe tác chiến điện tử 6x6, cột ăng-ten gây nhiễu</t>
        </is>
      </c>
      <c r="AA37" t="inlineStr"/>
      <c r="AB37" t="inlineStr"/>
      <c r="AC37" t="inlineStr">
        <is>
          <t>Tools/blender/specs/ew_jammer.json: real = Krasukha-4 jammer (unit_refs: Krasukha-4, Leer-3); BAZ-6910-022 8x8 chassis; self-defence 12.7 mm (balance.json hmg_selfdef_15); confidence = xấp xỉ (Krasukha-4 photographs; the def's modelSize)</t>
        </is>
      </c>
      <c r="AD37" t="inlineStr">
        <is>
          <t>NEED_SOURCE</t>
        </is>
      </c>
      <c r="AE37" t="inlineStr">
        <is>
          <t>NEED_SOURCE</t>
        </is>
      </c>
      <c r="AF37" t="inlineStr">
        <is>
          <t>NEED_SOURCE</t>
        </is>
      </c>
      <c r="AG37" t="inlineStr">
        <is>
          <t>NEED_SOURCE</t>
        </is>
      </c>
      <c r="AH37" t="inlineStr">
        <is>
          <t>NEED_SOURCE</t>
        </is>
      </c>
      <c r="AI37" t="inlineStr">
        <is>
          <t>NEED_SOURCE</t>
        </is>
      </c>
      <c r="AJ37" t="inlineStr">
        <is>
          <t>Tools/docs/unit_refs.json: ew_jammer; Tools/models/reference_real.json: units.ew_jammer</t>
        </is>
      </c>
      <c r="AK37" t="inlineStr"/>
    </row>
    <row r="38">
      <c r="A38" t="inlineStr">
        <is>
          <t>field_repair</t>
        </is>
      </c>
      <c r="B38" t="inlineStr">
        <is>
          <t>field_repair</t>
        </is>
      </c>
      <c r="C38" t="inlineStr">
        <is>
          <t>Sửa chữa toàn quân</t>
        </is>
      </c>
      <c r="D38" t="inlineStr">
        <is>
          <t>NEED_SOURCE</t>
        </is>
      </c>
      <c r="E38" t="inlineStr"/>
      <c r="F38" t="inlineStr">
        <is>
          <t>NEED_SOURCE</t>
        </is>
      </c>
      <c r="G38" t="inlineStr">
        <is>
          <t>NEED_SOURCE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NEED_SOURCE</t>
        </is>
      </c>
      <c r="P38" t="inlineStr"/>
      <c r="Q38" t="inlineStr">
        <is>
          <t>repo không có tham chiếu cho thực thể này (unit_refs.json, reference_real.json, bảng cân bằng)</t>
        </is>
      </c>
      <c r="R3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8" t="inlineStr"/>
      <c r="T38" t="inlineStr"/>
      <c r="U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Tools/docs/unit_refs.json: field_repair; Tools/models/reference_real.json: units.field_repair</t>
        </is>
      </c>
      <c r="AK38" t="inlineStr"/>
    </row>
    <row r="39">
      <c r="A39" t="inlineStr">
        <is>
          <t>field_tower</t>
        </is>
      </c>
      <c r="B39" t="inlineStr">
        <is>
          <t>field_tower</t>
        </is>
      </c>
      <c r="C39" t="inlineStr">
        <is>
          <t>Tháp dã chiến</t>
        </is>
      </c>
      <c r="D39" t="inlineStr">
        <is>
          <t>NEED_SOURCE</t>
        </is>
      </c>
      <c r="E39" t="inlineStr"/>
      <c r="F39" t="inlineStr">
        <is>
          <t>NEED_SOURCE</t>
        </is>
      </c>
      <c r="G39" t="inlineStr">
        <is>
          <t>NEED_SOURCE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NEED_SOURCE</t>
        </is>
      </c>
      <c r="P39" t="inlineStr"/>
      <c r="Q39" t="inlineStr">
        <is>
          <t>repo không có tham chiếu cho thực thể này (unit_refs.json, reference_real.json, bảng cân bằng)</t>
        </is>
      </c>
      <c r="R3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9" t="inlineStr"/>
      <c r="T39" t="inlineStr"/>
      <c r="U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Tools/docs/unit_refs.json: field_tower; Tools/models/reference_real.json: units.field_tower</t>
        </is>
      </c>
      <c r="AK39" t="inlineStr"/>
    </row>
    <row r="40">
      <c r="A40" t="inlineStr">
        <is>
          <t>fighter_jet</t>
        </is>
      </c>
      <c r="B40" t="inlineStr">
        <is>
          <t>fighter_jet</t>
        </is>
      </c>
      <c r="C40" t="inlineStr">
        <is>
          <t>Tiêm kích</t>
        </is>
      </c>
      <c r="D40" t="inlineStr">
        <is>
          <t>doi_that</t>
        </is>
      </c>
      <c r="E40" t="inlineStr">
        <is>
          <t>Su-27 Flanker;F-15 Eagle;AIM-120 AMRAAM;AIM-9X Sidewinder</t>
        </is>
      </c>
      <c r="F40" t="inlineStr">
        <is>
          <t>NEED_SOURCE</t>
        </is>
      </c>
      <c r="G40" t="inlineStr">
        <is>
          <t>NEED_SOURCE</t>
        </is>
      </c>
      <c r="H40" t="inlineStr"/>
      <c r="I40" t="inlineStr"/>
      <c r="J40" t="inlineStr"/>
      <c r="K40" t="inlineStr">
        <is>
          <t>Tiêm kích chiếm ưu thế trên không hai động cơ</t>
        </is>
      </c>
      <c r="L40" t="inlineStr"/>
      <c r="M40" t="inlineStr"/>
      <c r="N40" t="inlineStr"/>
      <c r="O40" t="inlineStr">
        <is>
          <t>da_kiem_chung</t>
        </is>
      </c>
      <c r="P40" t="inlineStr">
        <is>
          <t>R_unit_refs;R_reference_real;W_wikipedia_sukhoi_su_27;R_unit_sheet;R_machine_brigade_can_bang</t>
        </is>
      </c>
      <c r="Q40" t="inlineStr"/>
      <c r="R4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0">
        <f>INDEX(xe_input_kich_thuoc_that!$B$2:$B$66,MATCH($B$40,xe_input_kich_thuoc_that!$A$2:$A$66,0))</f>
        <v/>
      </c>
      <c r="T40">
        <f>INDEX(xe_input_kich_thuoc_that!$C$2:$C$66,MATCH($B$40,xe_input_kich_thuoc_that!$A$2:$A$66,0))</f>
        <v/>
      </c>
      <c r="U40">
        <f>INDEX(xe_input_kich_thuoc_that!$D$2:$D$66,MATCH($B$40,xe_input_kich_thuoc_that!$A$2:$A$66,0))</f>
        <v/>
      </c>
      <c r="V40" t="inlineStr">
        <is>
          <t>Su-27 Flanker</t>
        </is>
      </c>
      <c r="W40" t="inlineStr">
        <is>
          <t>high</t>
        </is>
      </c>
      <c r="X40" t="inlineStr">
        <is>
          <t>0,4 × Su-27</t>
        </is>
      </c>
      <c r="Y40" t="inlineStr">
        <is>
          <t>Tiêm kích chiếm ưu thế trên không hai động cơ</t>
        </is>
      </c>
      <c r="Z40" t="inlineStr">
        <is>
          <t>Su-27 Flanker, F-15 Eagle, AIM-120 AMRAAM, AIM-9X Sidewinder — Tiêm kích chiếm ưu thế trên không hai động cơ</t>
        </is>
      </c>
      <c r="AA40" t="inlineStr">
        <is>
          <t>AIM-120: Mach 4; AIM-9X: Mach 2,5+</t>
        </is>
      </c>
      <c r="AB40" t="inlineStr"/>
      <c r="AC40" t="inlineStr"/>
      <c r="AD40" t="inlineStr">
        <is>
          <t>NEED_SOURCE</t>
        </is>
      </c>
      <c r="AE40" t="inlineStr">
        <is>
          <t>NEED_SOURCE</t>
        </is>
      </c>
      <c r="AF40" t="inlineStr">
        <is>
          <t>NEED_SOURCE</t>
        </is>
      </c>
      <c r="AG40" t="inlineStr">
        <is>
          <t>NEED_SOURCE</t>
        </is>
      </c>
      <c r="AH40" t="inlineStr">
        <is>
          <t>NEED_SOURCE</t>
        </is>
      </c>
      <c r="AI40" t="inlineStr">
        <is>
          <t>NEED_SOURCE</t>
        </is>
      </c>
      <c r="AJ40" t="inlineStr">
        <is>
          <t>Tools/docs/unit_refs.json: fighter_jet; Tools/models/reference_real.json: units.fighter_jet</t>
        </is>
      </c>
      <c r="AK40" t="inlineStr"/>
    </row>
    <row r="41">
      <c r="A41" t="inlineStr">
        <is>
          <t>flame_tank</t>
        </is>
      </c>
      <c r="B41" t="inlineStr">
        <is>
          <t>flame_tank</t>
        </is>
      </c>
      <c r="C41" t="inlineStr">
        <is>
          <t>Tăng phun lửa</t>
        </is>
      </c>
      <c r="D41" t="inlineStr">
        <is>
          <t>doi_that</t>
        </is>
      </c>
      <c r="E41" t="inlineStr">
        <is>
          <t>M67 Zippo;TO-55</t>
        </is>
      </c>
      <c r="F41" t="inlineStr">
        <is>
          <t>NEED_SOURCE</t>
        </is>
      </c>
      <c r="G41" t="inlineStr">
        <is>
          <t>NEED_SOURCE</t>
        </is>
      </c>
      <c r="H41" t="inlineStr">
        <is>
          <t>Command &amp; Conquer</t>
        </is>
      </c>
      <c r="I41" t="inlineStr">
        <is>
          <t>hình dáng: Flame Tank</t>
        </is>
      </c>
      <c r="J41" t="inlineStr"/>
      <c r="K41" t="inlineStr">
        <is>
          <t>xe tăng phun lửa, thùng nhiên liệu bọc giáp sau tháp</t>
        </is>
      </c>
      <c r="L41" t="inlineStr"/>
      <c r="M41" t="inlineStr"/>
      <c r="N41" t="inlineStr"/>
      <c r="O41" t="inlineStr">
        <is>
          <t>uoc_dinh</t>
        </is>
      </c>
      <c r="P41" t="inlineStr">
        <is>
          <t>R_unit_refs;R_reference_real;W_wikipedia_t_54_t_55;R_unit_sheet;R_machine_brigade_can_bang;R_flame_tank</t>
        </is>
      </c>
      <c r="Q41" t="inlineStr"/>
      <c r="R4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1">
        <f>INDEX(xe_input_kich_thuoc_that!$B$2:$B$66,MATCH($B$41,xe_input_kich_thuoc_that!$A$2:$A$66,0))</f>
        <v/>
      </c>
      <c r="T41">
        <f>INDEX(xe_input_kich_thuoc_that!$C$2:$C$66,MATCH($B$41,xe_input_kich_thuoc_that!$A$2:$A$66,0))</f>
        <v/>
      </c>
      <c r="U41">
        <f>INDEX(xe_input_kich_thuoc_that!$D$2:$D$66,MATCH($B$41,xe_input_kich_thuoc_that!$A$2:$A$66,0))</f>
        <v/>
      </c>
      <c r="V41" t="inlineStr">
        <is>
          <t>TO-55 (T-55 hull)</t>
        </is>
      </c>
      <c r="W41" t="inlineStr">
        <is>
          <t>approx</t>
        </is>
      </c>
      <c r="X41" t="inlineStr">
        <is>
          <t>0,8 × TO-55 (khung T-55</t>
        </is>
      </c>
      <c r="Y41" t="inlineStr">
        <is>
          <t>ước đoán: xe tăng phun lửa, thùng nhiên liệu bọc giáp sau tháp</t>
        </is>
      </c>
      <c r="Z41" t="inlineStr">
        <is>
          <t>M67 Zippo, TO-55 · Flame Tank (Command &amp; Conquer) — ước đoán: xe tăng phun lửa, thùng nhiên liệu bọc giáp sau tháp</t>
        </is>
      </c>
      <c r="AA41" t="inlineStr">
        <is>
          <t>TO-55, M67 Zippo</t>
        </is>
      </c>
      <c r="AB41" t="inlineStr"/>
      <c r="AC41" t="inlineStr">
        <is>
          <t>Tools/blender/specs/flame_tank.json: real = TO-55 (T-55 hull, ATO-200 flame projector); M67 'Zippo' (the short thick projector in place of the gun); PKT 7.62 mm coaxial; DShKM 12.7 mm (loader's ring); confidence = xấp xỉ (T-55 / TO-55 published drawings and photographs; the projector after the sheet and the M67)</t>
        </is>
      </c>
      <c r="AD41" t="inlineStr">
        <is>
          <t>NEED_SOURCE</t>
        </is>
      </c>
      <c r="AE41" t="inlineStr">
        <is>
          <t>NEED_SOURCE</t>
        </is>
      </c>
      <c r="AF41" t="inlineStr">
        <is>
          <t>NEED_SOURCE</t>
        </is>
      </c>
      <c r="AG41" t="inlineStr">
        <is>
          <t>NEED_SOURCE</t>
        </is>
      </c>
      <c r="AH41" t="inlineStr">
        <is>
          <t>NEED_SOURCE</t>
        </is>
      </c>
      <c r="AI41" t="inlineStr">
        <is>
          <t>NEED_SOURCE</t>
        </is>
      </c>
      <c r="AJ41" t="inlineStr">
        <is>
          <t>Tools/docs/unit_refs.json: flame_tank; Tools/models/reference_real.json: units.flame_tank</t>
        </is>
      </c>
      <c r="AK41" t="inlineStr"/>
    </row>
    <row r="42">
      <c r="A42" t="inlineStr">
        <is>
          <t>fpv_carrier</t>
        </is>
      </c>
      <c r="B42" t="inlineStr">
        <is>
          <t>fpv_carrier</t>
        </is>
      </c>
      <c r="C42" t="inlineStr">
        <is>
          <t>Xe phóng drone FPV</t>
        </is>
      </c>
      <c r="D42" t="inlineStr">
        <is>
          <t>doi_that</t>
        </is>
      </c>
      <c r="E42" t="inlineStr">
        <is>
          <t>KamAZ Typhoon-K;RG-33 MRAP;drone FPV (chiến sự Ukraine)</t>
        </is>
      </c>
      <c r="F42" t="inlineStr">
        <is>
          <t>NEED_SOURCE</t>
        </is>
      </c>
      <c r="G42" t="inlineStr">
        <is>
          <t>NEED_SOURCE</t>
        </is>
      </c>
      <c r="H42" t="inlineStr"/>
      <c r="I42" t="inlineStr"/>
      <c r="J42" t="inlineStr"/>
      <c r="K42" t="inlineStr">
        <is>
          <t>Xe MRAP phóng drone cảm tử FPV</t>
        </is>
      </c>
      <c r="L42" t="inlineStr"/>
      <c r="M42" t="inlineStr"/>
      <c r="N42" t="inlineStr"/>
      <c r="O42" t="inlineStr">
        <is>
          <t>uoc_dinh</t>
        </is>
      </c>
      <c r="P42" t="inlineStr">
        <is>
          <t>R_unit_refs;R_reference_real;W_wikipedia_kamaz_typhoon;R_unit_sheet;R_machine_brigade_can_bang;R_fpv_carrier</t>
        </is>
      </c>
      <c r="Q42" t="inlineStr"/>
      <c r="R4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2">
        <f>INDEX(xe_input_kich_thuoc_that!$B$2:$B$66,MATCH($B$42,xe_input_kich_thuoc_that!$A$2:$A$66,0))</f>
        <v/>
      </c>
      <c r="T42">
        <f>INDEX(xe_input_kich_thuoc_that!$C$2:$C$66,MATCH($B$42,xe_input_kich_thuoc_that!$A$2:$A$66,0))</f>
        <v/>
      </c>
      <c r="U42">
        <f>INDEX(xe_input_kich_thuoc_that!$D$2:$D$66,MATCH($B$42,xe_input_kich_thuoc_that!$A$2:$A$66,0))</f>
        <v/>
      </c>
      <c r="V42" t="inlineStr">
        <is>
          <t>KamAZ-63968 Typhoon-K</t>
        </is>
      </c>
      <c r="W42" t="inlineStr">
        <is>
          <t>approx</t>
        </is>
      </c>
      <c r="X42" t="inlineStr">
        <is>
          <t>0,8 × KamAZ Typhoon-K</t>
        </is>
      </c>
      <c r="Y42" t="inlineStr">
        <is>
          <t>Xe MRAP phóng drone cảm tử FPV</t>
        </is>
      </c>
      <c r="Z42" t="inlineStr">
        <is>
          <t>KamAZ Typhoon-K, RG-33 MRAP, drone FPV (chiến sự Ukraine) — Xe MRAP phóng drone cảm tử FPV</t>
        </is>
      </c>
      <c r="AA42" t="inlineStr"/>
      <c r="AB42" t="inlineStr"/>
      <c r="AC42" t="inlineStr">
        <is>
          <t>Tools/blender/specs/fpv_carrier.json: real = Bonneted 6x6 protected truck (Typhoon-U / KrAZ / Ural class) as an FPV strike team's vehicle (Ukraine war practice); FPV launch station with clamshell lids, armed quadcopters (RPG-type warheads); telescopic relay mast with panel antennas, roof EW jammer; M2 Browning 12.7 mm; confidence = xấp xỉ (play-test 13 redraw: the old MRAP capsule read as a bus)</t>
        </is>
      </c>
      <c r="AD42" t="inlineStr">
        <is>
          <t>NEED_SOURCE</t>
        </is>
      </c>
      <c r="AE42" t="inlineStr">
        <is>
          <t>NEED_SOURCE</t>
        </is>
      </c>
      <c r="AF42" t="inlineStr">
        <is>
          <t>NEED_SOURCE</t>
        </is>
      </c>
      <c r="AG42" t="inlineStr">
        <is>
          <t>NEED_SOURCE</t>
        </is>
      </c>
      <c r="AH42" t="inlineStr">
        <is>
          <t>NEED_SOURCE</t>
        </is>
      </c>
      <c r="AI42" t="inlineStr">
        <is>
          <t>NEED_SOURCE</t>
        </is>
      </c>
      <c r="AJ42" t="inlineStr">
        <is>
          <t>Tools/docs/unit_refs.json: fpv_carrier; Tools/models/reference_real.json: units.fpv_carrier</t>
        </is>
      </c>
      <c r="AK42" t="inlineStr"/>
    </row>
    <row r="43">
      <c r="A43" t="inlineStr">
        <is>
          <t>glide_bomb_strike</t>
        </is>
      </c>
      <c r="B43" t="inlineStr">
        <is>
          <t>glide_bomb_strike</t>
        </is>
      </c>
      <c r="C43" t="inlineStr">
        <is>
          <t>Đòn bom lượn</t>
        </is>
      </c>
      <c r="D43" t="inlineStr">
        <is>
          <t>NEED_SOURCE</t>
        </is>
      </c>
      <c r="E43" t="inlineStr"/>
      <c r="F43" t="inlineStr">
        <is>
          <t>NEED_SOURCE</t>
        </is>
      </c>
      <c r="G43" t="inlineStr">
        <is>
          <t>NEED_SOURCE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NEED_SOURCE</t>
        </is>
      </c>
      <c r="P43" t="inlineStr"/>
      <c r="Q43" t="inlineStr">
        <is>
          <t>repo không có tham chiếu cho thực thể này (unit_refs.json, reference_real.json, bảng cân bằng)</t>
        </is>
      </c>
      <c r="R4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3" t="inlineStr"/>
      <c r="T43" t="inlineStr"/>
      <c r="U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Tools/docs/unit_refs.json: glide_bomb_strike; Tools/models/reference_real.json: units.glide_bomb_strike</t>
        </is>
      </c>
      <c r="AK43" t="inlineStr"/>
    </row>
    <row r="44">
      <c r="A44" t="inlineStr">
        <is>
          <t>gps_jammer_vehicle</t>
        </is>
      </c>
      <c r="B44" t="inlineStr">
        <is>
          <t>gps_jammer_vehicle</t>
        </is>
      </c>
      <c r="C44" t="inlineStr">
        <is>
          <t>Xe gây nhiễu định vị</t>
        </is>
      </c>
      <c r="D44" t="inlineStr">
        <is>
          <t>NEED_SOURCE</t>
        </is>
      </c>
      <c r="E44" t="inlineStr"/>
      <c r="F44" t="inlineStr">
        <is>
          <t>NEED_SOURCE</t>
        </is>
      </c>
      <c r="G44" t="inlineStr">
        <is>
          <t>NEED_SOURCE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NEED_SOURCE</t>
        </is>
      </c>
      <c r="P44" t="inlineStr">
        <is>
          <t>R_gps_jammer_vehicle</t>
        </is>
      </c>
      <c r="Q44" t="inlineStr">
        <is>
          <t>repo không có tham chiếu cho thực thể này (unit_refs.json, reference_real.json, bảng cân bằng)</t>
        </is>
      </c>
      <c r="R4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4" t="inlineStr">
        <is>
          <t>NEED_SOURCE</t>
        </is>
      </c>
      <c r="T44" t="inlineStr">
        <is>
          <t>NEED_SOURCE</t>
        </is>
      </c>
      <c r="U44" t="inlineStr">
        <is>
          <t>NEED_SOURCE</t>
        </is>
      </c>
      <c r="Z44" t="inlineStr"/>
      <c r="AA44" t="inlineStr"/>
      <c r="AB44" t="inlineStr"/>
      <c r="AC44" t="inlineStr">
        <is>
          <t>Tools/blender/specs/gps_jammer_vehicle.json: real = Pole-21 / R-330Zh Zhitel-class EW truck (KamAZ-type 8x8 armoured cab, container shelter, jammer array); confidence = ban_dau_doan (no sheet row; a generic GNSS-jamming truck after Russian and NATO EW trucks)</t>
        </is>
      </c>
      <c r="AD44" t="inlineStr">
        <is>
          <t>NEED_SOURCE</t>
        </is>
      </c>
      <c r="AE44" t="inlineStr">
        <is>
          <t>NEED_SOURCE</t>
        </is>
      </c>
      <c r="AF44" t="inlineStr">
        <is>
          <t>NEED_SOURCE</t>
        </is>
      </c>
      <c r="AG44" t="inlineStr">
        <is>
          <t>NEED_SOURCE</t>
        </is>
      </c>
      <c r="AH44" t="inlineStr">
        <is>
          <t>NEED_SOURCE</t>
        </is>
      </c>
      <c r="AI44" t="inlineStr">
        <is>
          <t>NEED_SOURCE</t>
        </is>
      </c>
      <c r="AJ44" t="inlineStr">
        <is>
          <t>Tools/docs/unit_refs.json: gps_jammer_vehicle; Tools/models/reference_real.json: units.gps_jammer_vehicle</t>
        </is>
      </c>
      <c r="AK44" t="inlineStr"/>
    </row>
    <row r="45">
      <c r="A45" t="inlineStr">
        <is>
          <t>ground_cruise_missile_vehicle</t>
        </is>
      </c>
      <c r="B45" t="inlineStr">
        <is>
          <t>ground_cruise_missile_vehicle</t>
        </is>
      </c>
      <c r="C45" t="inlineStr">
        <is>
          <t>Xe phóng tên lửa hành trình</t>
        </is>
      </c>
      <c r="D45" t="inlineStr">
        <is>
          <t>NEED_SOURCE</t>
        </is>
      </c>
      <c r="E45" t="inlineStr"/>
      <c r="F45" t="inlineStr">
        <is>
          <t>NEED_SOURCE</t>
        </is>
      </c>
      <c r="G45" t="inlineStr">
        <is>
          <t>NEED_SOURCE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NEED_SOURCE</t>
        </is>
      </c>
      <c r="P45" t="inlineStr">
        <is>
          <t>R_ground_cruise_missile_vehicle</t>
        </is>
      </c>
      <c r="Q45" t="inlineStr">
        <is>
          <t>repo không có tham chiếu cho thực thể này (unit_refs.json, reference_real.json, bảng cân bằng)</t>
        </is>
      </c>
      <c r="R4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5" t="inlineStr">
        <is>
          <t>NEED_SOURCE</t>
        </is>
      </c>
      <c r="T45" t="inlineStr">
        <is>
          <t>NEED_SOURCE</t>
        </is>
      </c>
      <c r="U45" t="inlineStr">
        <is>
          <t>NEED_SOURCE</t>
        </is>
      </c>
      <c r="Z45" t="inlineStr"/>
      <c r="AA45" t="inlineStr"/>
      <c r="AB45" t="inlineStr"/>
      <c r="AC45" t="inlineStr">
        <is>
          <t>Tools/blender/specs/ground_cruise_missile_vehicle.json: real = Typhon MRC launcher's four-cell Mk 41 box (balance.json: the Typhon-class stand-in); FMTV-class 6x6 truck; confidence = ước đoán (Typhon launcher photographs; one truck carries the four-cell box here; the def's modelSize)</t>
        </is>
      </c>
      <c r="AD45" t="inlineStr">
        <is>
          <t>NEED_SOURCE</t>
        </is>
      </c>
      <c r="AE45" t="inlineStr">
        <is>
          <t>NEED_SOURCE</t>
        </is>
      </c>
      <c r="AF45" t="inlineStr">
        <is>
          <t>NEED_SOURCE</t>
        </is>
      </c>
      <c r="AG45" t="inlineStr">
        <is>
          <t>NEED_SOURCE</t>
        </is>
      </c>
      <c r="AH45" t="inlineStr">
        <is>
          <t>NEED_SOURCE</t>
        </is>
      </c>
      <c r="AI45" t="inlineStr">
        <is>
          <t>NEED_SOURCE</t>
        </is>
      </c>
      <c r="AJ45" t="inlineStr">
        <is>
          <t>Tools/docs/unit_refs.json: ground_cruise_missile_vehicle; Tools/models/reference_real.json: units.ground_cruise_missile_vehicle</t>
        </is>
      </c>
      <c r="AK45" t="inlineStr"/>
    </row>
    <row r="46">
      <c r="A46" t="inlineStr">
        <is>
          <t>heavy_aa</t>
        </is>
      </c>
      <c r="B46" t="inlineStr">
        <is>
          <t>heavy_aa</t>
        </is>
      </c>
      <c r="C46" t="inlineStr">
        <is>
          <t>Xe phòng không pháo – tên lửa</t>
        </is>
      </c>
      <c r="D46" t="inlineStr">
        <is>
          <t>doi_that</t>
        </is>
      </c>
      <c r="E46" t="inlineStr">
        <is>
          <t>Pantsir-S1 (2A38 30 mm)</t>
        </is>
      </c>
      <c r="F46" t="inlineStr">
        <is>
          <t>NEED_SOURCE</t>
        </is>
      </c>
      <c r="G46" t="inlineStr">
        <is>
          <t>NEED_SOURCE</t>
        </is>
      </c>
      <c r="H46" t="inlineStr"/>
      <c r="I46" t="inlineStr"/>
      <c r="J46" t="inlineStr"/>
      <c r="K46" t="inlineStr">
        <is>
          <t>Xe tải phòng không kết hợp pháo và tên lửa</t>
        </is>
      </c>
      <c r="L46" t="inlineStr"/>
      <c r="M46" t="inlineStr"/>
      <c r="N46" t="inlineStr"/>
      <c r="O46" t="inlineStr">
        <is>
          <t>ban_dau_doan</t>
        </is>
      </c>
      <c r="P46" t="inlineStr">
        <is>
          <t>R_unit_refs;R_reference_real;R_unit_sheet;R_machine_brigade_can_bang;R_heavy_aa</t>
        </is>
      </c>
      <c r="Q46" t="inlineStr"/>
      <c r="R4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6" t="inlineStr">
        <is>
          <t>NEED_SOURCE</t>
        </is>
      </c>
      <c r="T46" t="inlineStr">
        <is>
          <t>NEED_SOURCE</t>
        </is>
      </c>
      <c r="U46" t="inlineStr">
        <is>
          <t>NEED_SOURCE</t>
        </is>
      </c>
      <c r="V46" t="inlineStr">
        <is>
          <t>Pantsir-S1 (KamAZ-6560)</t>
        </is>
      </c>
      <c r="W46" t="inlineStr">
        <is>
          <t>none</t>
        </is>
      </c>
      <c r="X46" t="inlineStr">
        <is>
          <t>0,8 × Pantsir-S1 (KamAZ</t>
        </is>
      </c>
      <c r="Y46" t="inlineStr">
        <is>
          <t>Xe tải phòng không kết hợp pháo và tên lửa</t>
        </is>
      </c>
      <c r="Z46" t="inlineStr">
        <is>
          <t>Pantsir-S1 (2A38 30 mm) — Xe tải phòng không kết hợp pháo và tên lửa</t>
        </is>
      </c>
      <c r="AA46" t="inlineStr">
        <is>
          <t>Pantsir-S1 ~13–15 triệu USD | 2A38M: ~5.000 phát/phút cả cặp</t>
        </is>
      </c>
      <c r="AB46" t="inlineStr"/>
      <c r="AC46" t="inlineStr">
        <is>
          <t>Tools/blender/specs/heavy_aa.json: real = Pantsir-S1 on the KamAZ-6560 8x8 (0.8 x); 2A38 30 mm (twin); 57E6 missiles (12 tubes); confidence = tham_khao_thuc (Pantsir-S1 layout)</t>
        </is>
      </c>
      <c r="AD46" t="inlineStr">
        <is>
          <t>NEED_SOURCE</t>
        </is>
      </c>
      <c r="AE46" t="inlineStr">
        <is>
          <t>NEED_SOURCE</t>
        </is>
      </c>
      <c r="AF46" t="inlineStr">
        <is>
          <t>NEED_SOURCE</t>
        </is>
      </c>
      <c r="AG46" t="inlineStr">
        <is>
          <t>NEED_SOURCE</t>
        </is>
      </c>
      <c r="AH46" t="inlineStr">
        <is>
          <t>NEED_SOURCE</t>
        </is>
      </c>
      <c r="AI46" t="inlineStr">
        <is>
          <t>NEED_SOURCE</t>
        </is>
      </c>
      <c r="AJ46" t="inlineStr">
        <is>
          <t>Tools/docs/unit_refs.json: heavy_aa; Tools/models/reference_real.json: units.heavy_aa</t>
        </is>
      </c>
      <c r="AK46" t="inlineStr"/>
    </row>
    <row r="47">
      <c r="A47" t="inlineStr">
        <is>
          <t>heavy_bomber</t>
        </is>
      </c>
      <c r="B47" t="inlineStr">
        <is>
          <t>heavy_bomber</t>
        </is>
      </c>
      <c r="C47" t="inlineStr">
        <is>
          <t>Oanh tạc cơ chiến lược</t>
        </is>
      </c>
      <c r="D47" t="inlineStr">
        <is>
          <t>doi_that</t>
        </is>
      </c>
      <c r="E47" t="inlineStr">
        <is>
          <t>B-52 Stratofortress;FAB-500;Kh-101</t>
        </is>
      </c>
      <c r="F47" t="inlineStr">
        <is>
          <t>NEED_SOURCE</t>
        </is>
      </c>
      <c r="G47" t="inlineStr">
        <is>
          <t>NEED_SOURCE</t>
        </is>
      </c>
      <c r="H47" t="inlineStr"/>
      <c r="I47" t="inlineStr"/>
      <c r="J47" t="inlineStr"/>
      <c r="K47" t="inlineStr">
        <is>
          <t>Máy bay ném bom chiến lược tám động cơ</t>
        </is>
      </c>
      <c r="L47" t="inlineStr"/>
      <c r="M47" t="inlineStr"/>
      <c r="N47" t="inlineStr"/>
      <c r="O47" t="inlineStr">
        <is>
          <t>da_kiem_chung</t>
        </is>
      </c>
      <c r="P47" t="inlineStr">
        <is>
          <t>R_unit_refs;R_reference_real;W_wikipedia_boeing_b_52_stratofortress;R_unit_sheet;R_machine_brigade_can_bang;R_heavy_bomber</t>
        </is>
      </c>
      <c r="Q47" t="inlineStr"/>
      <c r="R4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7">
        <f>INDEX(xe_input_kich_thuoc_that!$B$2:$B$66,MATCH($B$47,xe_input_kich_thuoc_that!$A$2:$A$66,0))</f>
        <v/>
      </c>
      <c r="T47">
        <f>INDEX(xe_input_kich_thuoc_that!$C$2:$C$66,MATCH($B$47,xe_input_kich_thuoc_that!$A$2:$A$66,0))</f>
        <v/>
      </c>
      <c r="U47">
        <f>INDEX(xe_input_kich_thuoc_that!$D$2:$D$66,MATCH($B$47,xe_input_kich_thuoc_that!$A$2:$A$66,0))</f>
        <v/>
      </c>
      <c r="V47" t="inlineStr">
        <is>
          <t>B-52H Stratofortress</t>
        </is>
      </c>
      <c r="W47" t="inlineStr">
        <is>
          <t>high</t>
        </is>
      </c>
      <c r="X47" t="inlineStr">
        <is>
          <t>0,4 × B-52</t>
        </is>
      </c>
      <c r="Y47" t="inlineStr">
        <is>
          <t>Máy bay ném bom chiến lược tám động cơ</t>
        </is>
      </c>
      <c r="Z47" t="inlineStr">
        <is>
          <t>B-52 Stratofortress, FAB-500, Kh-101 — Máy bay ném bom chiến lược tám động cơ</t>
        </is>
      </c>
      <c r="AA47" t="inlineStr">
        <is>
          <t>Kh-101: đầu nổ 400 kg | B-52</t>
        </is>
      </c>
      <c r="AB47" t="inlineStr"/>
      <c r="AC47" t="inlineStr">
        <is>
          <t>Tools/blender/specs/heavy_bomber.json: real = Boeing B-52 Stratofortress (unit_refs); FAB-500 bombs, Kh-101 cruise missiles; confidence = cao (B-52H layout; drawn 0.4 x)</t>
        </is>
      </c>
      <c r="AD47" t="inlineStr">
        <is>
          <t>NEED_SOURCE</t>
        </is>
      </c>
      <c r="AE47" t="inlineStr">
        <is>
          <t>NEED_SOURCE</t>
        </is>
      </c>
      <c r="AF47" t="inlineStr">
        <is>
          <t>NEED_SOURCE</t>
        </is>
      </c>
      <c r="AG47" t="inlineStr">
        <is>
          <t>NEED_SOURCE</t>
        </is>
      </c>
      <c r="AH47" t="inlineStr">
        <is>
          <t>NEED_SOURCE</t>
        </is>
      </c>
      <c r="AI47" t="inlineStr">
        <is>
          <t>NEED_SOURCE</t>
        </is>
      </c>
      <c r="AJ47" t="inlineStr">
        <is>
          <t>Tools/docs/unit_refs.json: heavy_bomber; Tools/models/reference_real.json: units.heavy_bomber</t>
        </is>
      </c>
      <c r="AK47" t="inlineStr"/>
    </row>
    <row r="48">
      <c r="A48" t="inlineStr">
        <is>
          <t>heavy_rocket_artillery</t>
        </is>
      </c>
      <c r="B48" t="inlineStr">
        <is>
          <t>heavy_rocket_artillery</t>
        </is>
      </c>
      <c r="C48" t="inlineStr">
        <is>
          <t>Pháo phản lực hạng nặng</t>
        </is>
      </c>
      <c r="D48" t="inlineStr">
        <is>
          <t>doi_that</t>
        </is>
      </c>
      <c r="E48" t="inlineStr">
        <is>
          <t>BM-30 Smerch (9M55 300 mm)</t>
        </is>
      </c>
      <c r="F48" t="inlineStr">
        <is>
          <t>NEED_SOURCE</t>
        </is>
      </c>
      <c r="G48" t="inlineStr">
        <is>
          <t>NEED_SOURCE</t>
        </is>
      </c>
      <c r="H48" t="inlineStr"/>
      <c r="I48" t="inlineStr"/>
      <c r="J48" t="inlineStr"/>
      <c r="K48" t="inlineStr">
        <is>
          <t>Xe phóng rốc-két 300 mm 8x8, 12 ống</t>
        </is>
      </c>
      <c r="L48" t="inlineStr"/>
      <c r="M48" t="inlineStr"/>
      <c r="N48" t="inlineStr"/>
      <c r="O48" t="inlineStr">
        <is>
          <t>uoc_dinh</t>
        </is>
      </c>
      <c r="P48" t="inlineStr">
        <is>
          <t>R_unit_refs;R_reference_real;W_wikipedia_bm_30_smerch;R_unit_sheet;R_machine_brigade_can_bang;R_heavy_rocket_artillery</t>
        </is>
      </c>
      <c r="Q48" t="inlineStr"/>
      <c r="R4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8">
        <f>INDEX(xe_input_kich_thuoc_that!$B$2:$B$66,MATCH($B$48,xe_input_kich_thuoc_that!$A$2:$A$66,0))</f>
        <v/>
      </c>
      <c r="T48">
        <f>INDEX(xe_input_kich_thuoc_that!$C$2:$C$66,MATCH($B$48,xe_input_kich_thuoc_that!$A$2:$A$66,0))</f>
        <v/>
      </c>
      <c r="U48">
        <f>INDEX(xe_input_kich_thuoc_that!$D$2:$D$66,MATCH($B$48,xe_input_kich_thuoc_that!$A$2:$A$66,0))</f>
        <v/>
      </c>
      <c r="V48" t="inlineStr">
        <is>
          <t>9A52-2 Smerch (MAZ-543M)</t>
        </is>
      </c>
      <c r="W48" t="inlineStr">
        <is>
          <t>approx</t>
        </is>
      </c>
      <c r="X48" t="inlineStr">
        <is>
          <t>0,8 × BM-30 Smerch</t>
        </is>
      </c>
      <c r="Y48" t="inlineStr">
        <is>
          <t>Xe phóng rốc-két 300 mm 8x8, 12 ống</t>
        </is>
      </c>
      <c r="Z48" t="inlineStr">
        <is>
          <t>BM-30 Smerch (9M55 300 mm) — Xe phóng rốc-két 300 mm 8x8, 12 ống</t>
        </is>
      </c>
      <c r="AA48" t="inlineStr">
        <is>
          <t>9M55: tầm 70–90 km | BM-30 Smerch</t>
        </is>
      </c>
      <c r="AB48" t="inlineStr"/>
      <c r="AC48" t="inlineStr">
        <is>
          <t>Tools/blender/specs/heavy_rocket_artillery.json: real = 9A52-2 Smerch launcher, twelve 300 mm tubes (unit_refs: BM-30 Smerch, 9M55); MAZ-543M 8x8 chassis; confidence = xấp xỉ (9A52-2 photographs; the def's modelSize)</t>
        </is>
      </c>
      <c r="AD48" t="inlineStr">
        <is>
          <t>NEED_SOURCE</t>
        </is>
      </c>
      <c r="AE48" t="inlineStr">
        <is>
          <t>NEED_SOURCE</t>
        </is>
      </c>
      <c r="AF48" t="inlineStr">
        <is>
          <t>NEED_SOURCE</t>
        </is>
      </c>
      <c r="AG48" t="inlineStr">
        <is>
          <t>NEED_SOURCE</t>
        </is>
      </c>
      <c r="AH48" t="inlineStr">
        <is>
          <t>NEED_SOURCE</t>
        </is>
      </c>
      <c r="AI48" t="inlineStr">
        <is>
          <t>NEED_SOURCE</t>
        </is>
      </c>
      <c r="AJ48" t="inlineStr">
        <is>
          <t>Tools/docs/unit_refs.json: heavy_rocket_artillery; Tools/models/reference_real.json: units.heavy_rocket_artillery</t>
        </is>
      </c>
      <c r="AK48" t="inlineStr"/>
    </row>
    <row r="49">
      <c r="A49" t="inlineStr">
        <is>
          <t>heavy_tank</t>
        </is>
      </c>
      <c r="B49" t="inlineStr">
        <is>
          <t>heavy_tank</t>
        </is>
      </c>
      <c r="C49" t="inlineStr">
        <is>
          <t>Tăng hạng nặng</t>
        </is>
      </c>
      <c r="D49" t="inlineStr">
        <is>
          <t>doi_that</t>
        </is>
      </c>
      <c r="E49" t="inlineStr">
        <is>
          <t>Object 195 / T-95 (2A83 152 mm)</t>
        </is>
      </c>
      <c r="F49" t="inlineStr">
        <is>
          <t>NEED_SOURCE</t>
        </is>
      </c>
      <c r="G49" t="inlineStr">
        <is>
          <t>NEED_SOURCE</t>
        </is>
      </c>
      <c r="H49" t="inlineStr"/>
      <c r="I49" t="inlineStr"/>
      <c r="J49" t="inlineStr"/>
      <c r="K49" t="inlineStr">
        <is>
          <t>Siêu tăng bảy bánh chịu lực, tháp góc cạnh, pháo 152 mm</t>
        </is>
      </c>
      <c r="L49" t="inlineStr"/>
      <c r="M49" t="inlineStr"/>
      <c r="N49" t="inlineStr"/>
      <c r="O49" t="inlineStr">
        <is>
          <t>ban_dau_doan</t>
        </is>
      </c>
      <c r="P49" t="inlineStr">
        <is>
          <t>R_unit_refs;R_reference_real;R_unit_sheet;R_machine_brigade_can_bang;R_heavy_tank</t>
        </is>
      </c>
      <c r="Q49" t="inlineStr"/>
      <c r="R4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9" t="inlineStr">
        <is>
          <t>NEED_SOURCE</t>
        </is>
      </c>
      <c r="T49" t="inlineStr">
        <is>
          <t>NEED_SOURCE</t>
        </is>
      </c>
      <c r="U49" t="inlineStr">
        <is>
          <t>NEED_SOURCE</t>
        </is>
      </c>
      <c r="V49" t="inlineStr">
        <is>
          <t>Object 195 / T-95</t>
        </is>
      </c>
      <c r="W49" t="inlineStr">
        <is>
          <t>none</t>
        </is>
      </c>
      <c r="X49" t="inlineStr">
        <is>
          <t>0,8 × Object 195</t>
        </is>
      </c>
      <c r="Y49" t="inlineStr">
        <is>
          <t>Siêu tăng bảy bánh chịu lực, tháp góc cạnh, pháo 152 mm</t>
        </is>
      </c>
      <c r="Z49" t="inlineStr">
        <is>
          <t>Object 195 / T-95 (2A83 152 mm), T-14 Armata (bản 152 mm) — Siêu tăng bảy bánh chịu lực, tháp góc cạnh, pháo 152 mm</t>
        </is>
      </c>
      <c r="AA49" t="inlineStr">
        <is>
          <t>Object 195</t>
        </is>
      </c>
      <c r="AB49" t="inlineStr"/>
      <c r="AC49" t="inlineStr">
        <is>
          <t>Tools/blender/specs/heavy_tank.json: real = Object 195 / T-95 (0.8 x); 2A83 152 mm; 2A42 30 mm; M2 Browning 12.7 mm; confidence = tham_khao_thuc (Object 195 layout: crew capsule in the hull, unmanned turret)</t>
        </is>
      </c>
      <c r="AD49" t="inlineStr">
        <is>
          <t>NEED_SOURCE</t>
        </is>
      </c>
      <c r="AE49" t="inlineStr">
        <is>
          <t>NEED_SOURCE</t>
        </is>
      </c>
      <c r="AF49" t="inlineStr">
        <is>
          <t>NEED_SOURCE</t>
        </is>
      </c>
      <c r="AG49" t="inlineStr">
        <is>
          <t>NEED_SOURCE</t>
        </is>
      </c>
      <c r="AH49" t="inlineStr">
        <is>
          <t>NEED_SOURCE</t>
        </is>
      </c>
      <c r="AI49" t="inlineStr">
        <is>
          <t>NEED_SOURCE</t>
        </is>
      </c>
      <c r="AJ49" t="inlineStr">
        <is>
          <t>Tools/docs/unit_refs.json: heavy_tank; Tools/models/reference_real.json: units.heavy_tank</t>
        </is>
      </c>
      <c r="AK49" t="inlineStr"/>
    </row>
    <row r="50">
      <c r="A50" t="inlineStr">
        <is>
          <t>hover_gunboat</t>
        </is>
      </c>
      <c r="B50" t="inlineStr">
        <is>
          <t>hover_gunboat</t>
        </is>
      </c>
      <c r="C50" t="inlineStr">
        <is>
          <t>Xuồng đệm khí hộ tống</t>
        </is>
      </c>
      <c r="D50" t="inlineStr">
        <is>
          <t>doi_that</t>
        </is>
      </c>
      <c r="E50" t="inlineStr">
        <is>
          <t>tàu tấn công nhanh vỏ lướt;AK-630 30 mm</t>
        </is>
      </c>
      <c r="F50" t="inlineStr">
        <is>
          <t>NEED_SOURCE</t>
        </is>
      </c>
      <c r="G50" t="inlineStr">
        <is>
          <t>NEED_SOURCE</t>
        </is>
      </c>
      <c r="H50" t="inlineStr"/>
      <c r="I50" t="inlineStr"/>
      <c r="J50" t="inlineStr"/>
      <c r="K50" t="inlineStr">
        <is>
          <t>Xuồng pháo hộ tống tàu đệm khí</t>
        </is>
      </c>
      <c r="L50" t="inlineStr"/>
      <c r="M50" t="inlineStr">
        <is>
          <t>gia_tuong</t>
        </is>
      </c>
      <c r="N50" t="inlineStr"/>
      <c r="O50" t="inlineStr">
        <is>
          <t>ban_dau_doan</t>
        </is>
      </c>
      <c r="P50" t="inlineStr">
        <is>
          <t>R_unit_refs;R_reference_real;R_machine_brigade_can_bang;R_hover_gunboat</t>
        </is>
      </c>
      <c r="Q50" t="inlineStr">
        <is>
          <t>reference_real.json: fictional (mẫu 'air-cushion gunboat with an AK-630', thiết kế giả tưởng)</t>
        </is>
      </c>
      <c r="R5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0" t="inlineStr">
        <is>
          <t>NEED_SOURCE</t>
        </is>
      </c>
      <c r="T50" t="inlineStr">
        <is>
          <t>NEED_SOURCE</t>
        </is>
      </c>
      <c r="U50" t="inlineStr">
        <is>
          <t>NEED_SOURCE</t>
        </is>
      </c>
      <c r="V50" t="inlineStr">
        <is>
          <t>air-cushion gunboat with an AK-630</t>
        </is>
      </c>
      <c r="W50" t="inlineStr">
        <is>
          <t>inspiration</t>
        </is>
      </c>
      <c r="Y50" t="inlineStr">
        <is>
          <t>Xuồng pháo hộ tống tàu đệm khí</t>
        </is>
      </c>
      <c r="Z50" t="inlineStr">
        <is>
          <t>tàu tấn công nhanh vỏ lướt, AK-630 30 mm — Xuồng pháo hộ tống tàu đệm khí</t>
        </is>
      </c>
      <c r="AA50" t="inlineStr">
        <is>
          <t>AK-630M: 4.000–5.000 phát/phút, băng 2.000 viên</t>
        </is>
      </c>
      <c r="AB50" t="inlineStr"/>
      <c r="AC50" t="inlineStr">
        <is>
          <t>Tools/blender/specs/hover_gunboat.json: real = air-cushion escort gunboat (unit_refs: fast attack hull, AK-630 30 mm); Zubr / Tsaplya-class layout at small scale; confidence = xấp xỉ (published layout and dimensions)</t>
        </is>
      </c>
      <c r="AD50" t="inlineStr">
        <is>
          <t>NEED_SOURCE</t>
        </is>
      </c>
      <c r="AE50" t="inlineStr">
        <is>
          <t>NEED_SOURCE</t>
        </is>
      </c>
      <c r="AF50" t="inlineStr">
        <is>
          <t>NEED_SOURCE</t>
        </is>
      </c>
      <c r="AG50" t="inlineStr">
        <is>
          <t>NEED_SOURCE</t>
        </is>
      </c>
      <c r="AH50" t="inlineStr">
        <is>
          <t>NEED_SOURCE</t>
        </is>
      </c>
      <c r="AI50" t="inlineStr">
        <is>
          <t>NEED_SOURCE</t>
        </is>
      </c>
      <c r="AJ50" t="inlineStr">
        <is>
          <t>Tools/docs/unit_refs.json: hover_gunboat; Tools/models/reference_real.json: units.hover_gunboat</t>
        </is>
      </c>
      <c r="AK50" t="inlineStr"/>
    </row>
    <row r="51">
      <c r="A51" t="inlineStr">
        <is>
          <t>hq_barrage</t>
        </is>
      </c>
      <c r="B51" t="inlineStr">
        <is>
          <t>hq_barrage</t>
        </is>
      </c>
      <c r="C51" t="inlineStr">
        <is>
          <t>hq_barrage</t>
        </is>
      </c>
      <c r="D51" t="inlineStr">
        <is>
          <t>NEED_SOURCE</t>
        </is>
      </c>
      <c r="E51" t="inlineStr"/>
      <c r="F51" t="inlineStr">
        <is>
          <t>NEED_SOURCE</t>
        </is>
      </c>
      <c r="G51" t="inlineStr">
        <is>
          <t>NEED_SOURCE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NEED_SOURCE</t>
        </is>
      </c>
      <c r="P51" t="inlineStr"/>
      <c r="Q51" t="inlineStr">
        <is>
          <t>repo không có tham chiếu cho thực thể này (unit_refs.json, reference_real.json, bảng cân bằng)</t>
        </is>
      </c>
      <c r="R5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1" t="inlineStr"/>
      <c r="T51" t="inlineStr"/>
      <c r="U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Tools/docs/unit_refs.json: hq_barrage; Tools/models/reference_real.json: units.hq_barrage</t>
        </is>
      </c>
      <c r="AK51" t="inlineStr"/>
    </row>
    <row r="52">
      <c r="A52" t="inlineStr">
        <is>
          <t>ifv</t>
        </is>
      </c>
      <c r="B52" t="inlineStr">
        <is>
          <t>ifv</t>
        </is>
      </c>
      <c r="C52" t="inlineStr">
        <is>
          <t>Xe chiến đấu bộ binh</t>
        </is>
      </c>
      <c r="D52" t="inlineStr">
        <is>
          <t>doi_that</t>
        </is>
      </c>
      <c r="E52" t="inlineStr">
        <is>
          <t>M2 Bradley;BMP-3;2A42 30 mm;BGM-71 TOW-2</t>
        </is>
      </c>
      <c r="F52" t="inlineStr">
        <is>
          <t>NEED_SOURCE</t>
        </is>
      </c>
      <c r="G52" t="inlineStr">
        <is>
          <t>NEED_SOURCE</t>
        </is>
      </c>
      <c r="H52" t="inlineStr"/>
      <c r="I52" t="inlineStr"/>
      <c r="J52" t="inlineStr"/>
      <c r="K52" t="inlineStr">
        <is>
          <t>Xe chiến đấu bộ binh bánh xích, pháo 30 mm và bệ TOW</t>
        </is>
      </c>
      <c r="L52" t="inlineStr"/>
      <c r="M52" t="inlineStr"/>
      <c r="N52" t="inlineStr"/>
      <c r="O52" t="inlineStr">
        <is>
          <t>da_kiem_chung</t>
        </is>
      </c>
      <c r="P52" t="inlineStr">
        <is>
          <t>R_unit_refs;R_reference_real;W_wikipedia_m2_bradley;R_unit_sheet;R_machine_brigade_can_bang;R_ifv</t>
        </is>
      </c>
      <c r="Q52" t="inlineStr"/>
      <c r="R5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2">
        <f>INDEX(xe_input_kich_thuoc_that!$B$2:$B$66,MATCH($B$52,xe_input_kich_thuoc_that!$A$2:$A$66,0))</f>
        <v/>
      </c>
      <c r="T52">
        <f>INDEX(xe_input_kich_thuoc_that!$C$2:$C$66,MATCH($B$52,xe_input_kich_thuoc_that!$A$2:$A$66,0))</f>
        <v/>
      </c>
      <c r="U52">
        <f>INDEX(xe_input_kich_thuoc_that!$D$2:$D$66,MATCH($B$52,xe_input_kich_thuoc_that!$A$2:$A$66,0))</f>
        <v/>
      </c>
      <c r="V52" t="inlineStr">
        <is>
          <t>M2A3 Bradley</t>
        </is>
      </c>
      <c r="W52" t="inlineStr">
        <is>
          <t>high</t>
        </is>
      </c>
      <c r="X52" t="inlineStr">
        <is>
          <t>0,8 × M2 Bradley</t>
        </is>
      </c>
      <c r="Y52" t="inlineStr">
        <is>
          <t>Xe chiến đấu bộ binh bánh xích, pháo 30 mm và bệ TOW</t>
        </is>
      </c>
      <c r="Z52" t="inlineStr">
        <is>
          <t>M2 Bradley, BMP-3, 2A42 30 mm, BGM-71 TOW-2 — Xe chiến đấu bộ binh bánh xích, pháo 30 mm và bệ TOW</t>
        </is>
      </c>
      <c r="AA52" t="inlineStr">
        <is>
          <t>2A42: 550–800 phát/phút | TOW-2: 3,75 km, xa hơn tầm giao chiến pháo tăng 2–3 km</t>
        </is>
      </c>
      <c r="AB52" t="inlineStr"/>
      <c r="AC52" t="inlineStr">
        <is>
          <t>Tools/blender/specs/ifv.json: real = M2A2 Bradley (unit_sheet: 2A42 / Bushmaster-class 30 mm, PKT / M240 coax, BGM-71 TOW-2 twin launcher); confidence = xấp xỉ (M2A2 published dimensions and layout)</t>
        </is>
      </c>
      <c r="AD52" t="inlineStr">
        <is>
          <t>NEED_SOURCE</t>
        </is>
      </c>
      <c r="AE52" t="inlineStr">
        <is>
          <t>NEED_SOURCE</t>
        </is>
      </c>
      <c r="AF52" t="inlineStr">
        <is>
          <t>NEED_SOURCE</t>
        </is>
      </c>
      <c r="AG52" t="inlineStr">
        <is>
          <t>NEED_SOURCE</t>
        </is>
      </c>
      <c r="AH52" t="inlineStr">
        <is>
          <t>NEED_SOURCE</t>
        </is>
      </c>
      <c r="AI52" t="inlineStr">
        <is>
          <t>NEED_SOURCE</t>
        </is>
      </c>
      <c r="AJ52" t="inlineStr">
        <is>
          <t>Tools/docs/unit_refs.json: ifv; Tools/models/reference_real.json: units.ifv</t>
        </is>
      </c>
      <c r="AK52" t="inlineStr"/>
    </row>
    <row r="53">
      <c r="A53" t="inlineStr">
        <is>
          <t>iron_beam</t>
        </is>
      </c>
      <c r="B53" t="inlineStr">
        <is>
          <t>iron_beam</t>
        </is>
      </c>
      <c r="C53" t="inlineStr">
        <is>
          <t>Xe la-de phòng không</t>
        </is>
      </c>
      <c r="D53" t="inlineStr">
        <is>
          <t>doi_that</t>
        </is>
      </c>
      <c r="E53" t="inlineStr">
        <is>
          <t>Rafael Iron Beam (laser 100 kW)</t>
        </is>
      </c>
      <c r="F53" t="inlineStr">
        <is>
          <t>NEED_SOURCE</t>
        </is>
      </c>
      <c r="G53" t="inlineStr">
        <is>
          <t>NEED_SOURCE</t>
        </is>
      </c>
      <c r="H53" t="inlineStr"/>
      <c r="I53" t="inlineStr"/>
      <c r="J53" t="inlineStr"/>
      <c r="K53" t="inlineStr">
        <is>
          <t>Xe laser phòng không năng lượng cao</t>
        </is>
      </c>
      <c r="L53" t="inlineStr"/>
      <c r="M53" t="inlineStr"/>
      <c r="N53" t="inlineStr"/>
      <c r="O53" t="inlineStr">
        <is>
          <t>ban_dau_doan</t>
        </is>
      </c>
      <c r="P53" t="inlineStr">
        <is>
          <t>R_unit_refs;R_reference_real;R_unit_sheet;R_machine_brigade_can_bang;R_iron_beam</t>
        </is>
      </c>
      <c r="Q53" t="inlineStr"/>
      <c r="R5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3" t="inlineStr">
        <is>
          <t>NEED_SOURCE</t>
        </is>
      </c>
      <c r="T53" t="inlineStr">
        <is>
          <t>NEED_SOURCE</t>
        </is>
      </c>
      <c r="U53" t="inlineStr">
        <is>
          <t>NEED_SOURCE</t>
        </is>
      </c>
      <c r="V53" t="inlineStr">
        <is>
          <t>Rafael Iron Beam</t>
        </is>
      </c>
      <c r="W53" t="inlineStr">
        <is>
          <t>none</t>
        </is>
      </c>
      <c r="X53" t="inlineStr">
        <is>
          <t>0,8 × Iron Beam (xe tải mang laser</t>
        </is>
      </c>
      <c r="Y53" t="inlineStr">
        <is>
          <t>Xe laser phòng không năng lượng cao</t>
        </is>
      </c>
      <c r="Z53" t="inlineStr">
        <is>
          <t>Rafael Iron Beam (laser 100 kW) — Xe laser phòng không năng lượng cao</t>
        </is>
      </c>
      <c r="AA53" t="inlineStr">
        <is>
          <t>Iron Beam: chi phí mỗi phát rất thấp | Rafael Iron Beam</t>
        </is>
      </c>
      <c r="AB53" t="inlineStr"/>
      <c r="AC53" t="inlineStr">
        <is>
          <t>Tools/blender/specs/iron_beam.json: real = Rafael Iron Beam 100 kW laser (unit_refs; balance.json hel_beam); the mobile Iron Beam-M pattern on an 8x8 tactical truck; confidence = ước đoán (Iron Beam-M renderings; the def's modelSize)</t>
        </is>
      </c>
      <c r="AD53" t="inlineStr">
        <is>
          <t>NEED_SOURCE</t>
        </is>
      </c>
      <c r="AE53" t="inlineStr">
        <is>
          <t>NEED_SOURCE</t>
        </is>
      </c>
      <c r="AF53" t="inlineStr">
        <is>
          <t>NEED_SOURCE</t>
        </is>
      </c>
      <c r="AG53" t="inlineStr">
        <is>
          <t>NEED_SOURCE</t>
        </is>
      </c>
      <c r="AH53" t="inlineStr">
        <is>
          <t>NEED_SOURCE</t>
        </is>
      </c>
      <c r="AI53" t="inlineStr">
        <is>
          <t>NEED_SOURCE</t>
        </is>
      </c>
      <c r="AJ53" t="inlineStr">
        <is>
          <t>Tools/docs/unit_refs.json: iron_beam; Tools/models/reference_real.json: units.iron_beam</t>
        </is>
      </c>
      <c r="AK53" t="inlineStr"/>
    </row>
    <row r="54">
      <c r="A54" t="inlineStr">
        <is>
          <t>landing_craft</t>
        </is>
      </c>
      <c r="B54" t="inlineStr">
        <is>
          <t>landing_craft</t>
        </is>
      </c>
      <c r="C54" t="inlineStr">
        <is>
          <t>Tàu đổ bộ</t>
        </is>
      </c>
      <c r="D54" t="inlineStr">
        <is>
          <t>doi_that</t>
        </is>
      </c>
      <c r="E54" t="inlineStr">
        <is>
          <t>LCM</t>
        </is>
      </c>
      <c r="F54" t="inlineStr">
        <is>
          <t>NEED_SOURCE</t>
        </is>
      </c>
      <c r="G54" t="inlineStr">
        <is>
          <t>NEED_SOURCE</t>
        </is>
      </c>
      <c r="H54" t="inlineStr"/>
      <c r="I54" t="inlineStr"/>
      <c r="J54" t="inlineStr"/>
      <c r="K54" t="inlineStr">
        <is>
          <t>Xuồng đổ bộ có cửa mũi, chở hai xe tăng</t>
        </is>
      </c>
      <c r="L54" t="inlineStr"/>
      <c r="M54" t="inlineStr"/>
      <c r="N54" t="inlineStr"/>
      <c r="O54" t="inlineStr">
        <is>
          <t>da_kiem_chung</t>
        </is>
      </c>
      <c r="P54" t="inlineStr">
        <is>
          <t>R_unit_refs;R_reference_real;W_wikipedia_lcm_8;R_landing_craft</t>
        </is>
      </c>
      <c r="Q54" t="inlineStr"/>
      <c r="R5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4">
        <f>INDEX(xe_input_kich_thuoc_that!$B$2:$B$66,MATCH($B$54,xe_input_kich_thuoc_that!$A$2:$A$66,0))</f>
        <v/>
      </c>
      <c r="T54">
        <f>INDEX(xe_input_kich_thuoc_that!$C$2:$C$66,MATCH($B$54,xe_input_kich_thuoc_that!$A$2:$A$66,0))</f>
        <v/>
      </c>
      <c r="U54" t="inlineStr">
        <is>
          <t>NEED_SOURCE</t>
        </is>
      </c>
      <c r="V54" t="inlineStr">
        <is>
          <t>LCM-8</t>
        </is>
      </c>
      <c r="W54" t="inlineStr">
        <is>
          <t>high</t>
        </is>
      </c>
      <c r="Y54" t="inlineStr">
        <is>
          <t>Xuồng đổ bộ có cửa mũi, chở hai xe tăng</t>
        </is>
      </c>
      <c r="Z54" t="inlineStr"/>
      <c r="AA54" t="inlineStr"/>
      <c r="AB54" t="inlineStr"/>
      <c r="AC54" t="inlineStr">
        <is>
          <t>Tools/blender/specs/landing_craft.json: real = LCM-8 / LCU-class mechanised landing craft (unit_refs: LCM, a bow-ramp craft carrying two tanks); M2 12.7 mm, pintle M134 as on the LCAC; confidence = xấp xỉ (published layout and dimensions)</t>
        </is>
      </c>
      <c r="AD54" t="inlineStr">
        <is>
          <t>NEED_SOURCE</t>
        </is>
      </c>
      <c r="AE54" t="inlineStr">
        <is>
          <t>NEED_SOURCE</t>
        </is>
      </c>
      <c r="AF54" t="inlineStr">
        <is>
          <t>NEED_SOURCE</t>
        </is>
      </c>
      <c r="AG54" t="inlineStr">
        <is>
          <t>NEED_SOURCE</t>
        </is>
      </c>
      <c r="AH54" t="inlineStr">
        <is>
          <t>NEED_SOURCE</t>
        </is>
      </c>
      <c r="AI54" t="inlineStr">
        <is>
          <t>NEED_SOURCE</t>
        </is>
      </c>
      <c r="AJ54" t="inlineStr">
        <is>
          <t>Tools/docs/unit_refs.json: landing_craft; Tools/models/reference_real.json: units.landing_craft</t>
        </is>
      </c>
      <c r="AK54" t="inlineStr"/>
    </row>
    <row r="55">
      <c r="A55" t="inlineStr">
        <is>
          <t>laser_tank</t>
        </is>
      </c>
      <c r="B55" t="inlineStr">
        <is>
          <t>laser_tank</t>
        </is>
      </c>
      <c r="C55" t="inlineStr">
        <is>
          <t>Xe la-de diệt tăng</t>
        </is>
      </c>
      <c r="D55" t="inlineStr">
        <is>
          <t>doi_that</t>
        </is>
      </c>
      <c r="E55" t="inlineStr">
        <is>
          <t>Rheinmetall HEL;DE M-SHORAD (laser trên Stryker)</t>
        </is>
      </c>
      <c r="F55" t="inlineStr">
        <is>
          <t>NEED_SOURCE</t>
        </is>
      </c>
      <c r="G55" t="inlineStr">
        <is>
          <t>NEED_SOURCE</t>
        </is>
      </c>
      <c r="H55" t="inlineStr"/>
      <c r="I55" t="inlineStr"/>
      <c r="J55" t="inlineStr"/>
      <c r="K55" t="inlineStr">
        <is>
          <t>Pháo chống tăng laser: đầu phát tia trên giá chạc</t>
        </is>
      </c>
      <c r="L55" t="inlineStr"/>
      <c r="M55" t="inlineStr">
        <is>
          <t>gia_tuong</t>
        </is>
      </c>
      <c r="N55" t="inlineStr"/>
      <c r="O55" t="inlineStr">
        <is>
          <t>ban_dau_doan</t>
        </is>
      </c>
      <c r="P55" t="inlineStr">
        <is>
          <t>R_unit_refs;R_reference_real;R_machine_brigade_can_bang;R_laser_tank</t>
        </is>
      </c>
      <c r="Q55" t="inlineStr">
        <is>
          <t>reference_real.json: fictional (mẫu 'beam director on a tracked chassis', thiết kế giả tưởng)</t>
        </is>
      </c>
      <c r="R5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5" t="inlineStr">
        <is>
          <t>NEED_SOURCE</t>
        </is>
      </c>
      <c r="T55" t="inlineStr">
        <is>
          <t>NEED_SOURCE</t>
        </is>
      </c>
      <c r="U55" t="inlineStr">
        <is>
          <t>NEED_SOURCE</t>
        </is>
      </c>
      <c r="V55" t="inlineStr">
        <is>
          <t>beam director on a tracked chassis</t>
        </is>
      </c>
      <c r="W55" t="inlineStr">
        <is>
          <t>inspiration</t>
        </is>
      </c>
      <c r="Y55" t="inlineStr">
        <is>
          <t>Pháo chống tăng laser: đầu phát tia trên giá chạc</t>
        </is>
      </c>
      <c r="Z55" t="inlineStr">
        <is>
          <t>Rheinmetall HEL, DE M-SHORAD (laser trên Stryker) — Pháo chống tăng laser: đầu phát tia trên giá chạc</t>
        </is>
      </c>
      <c r="AA55" t="inlineStr">
        <is>
          <t>Rheinmetall HEL</t>
        </is>
      </c>
      <c r="AB55" t="inlineStr"/>
      <c r="AC55" t="inlineStr">
        <is>
          <t>Tools/blender/specs/laser_tank.json: real = Rheinmetall HEL (high-energy laser) demonstrators; DE M-SHORAD (laser on Stryker, remote weapon station); confidence = ban_dau_doan (a fictional tracked laser after the sheet; the director and radiators after the HEL demonstrators)</t>
        </is>
      </c>
      <c r="AD55" t="inlineStr">
        <is>
          <t>NEED_SOURCE</t>
        </is>
      </c>
      <c r="AE55" t="inlineStr">
        <is>
          <t>NEED_SOURCE</t>
        </is>
      </c>
      <c r="AF55" t="inlineStr">
        <is>
          <t>NEED_SOURCE</t>
        </is>
      </c>
      <c r="AG55" t="inlineStr">
        <is>
          <t>NEED_SOURCE</t>
        </is>
      </c>
      <c r="AH55" t="inlineStr">
        <is>
          <t>NEED_SOURCE</t>
        </is>
      </c>
      <c r="AI55" t="inlineStr">
        <is>
          <t>NEED_SOURCE</t>
        </is>
      </c>
      <c r="AJ55" t="inlineStr">
        <is>
          <t>Tools/docs/unit_refs.json: laser_tank; Tools/models/reference_real.json: units.laser_tank</t>
        </is>
      </c>
      <c r="AK55" t="inlineStr"/>
    </row>
    <row r="56">
      <c r="A56" t="inlineStr">
        <is>
          <t>leviathan_cruise_mark</t>
        </is>
      </c>
      <c r="B56" t="inlineStr">
        <is>
          <t>leviathan_cruise_mark</t>
        </is>
      </c>
      <c r="C56" t="inlineStr">
        <is>
          <t>Tên lửa hành trình Leviathan</t>
        </is>
      </c>
      <c r="D56" t="inlineStr">
        <is>
          <t>NEED_SOURCE</t>
        </is>
      </c>
      <c r="E56" t="inlineStr"/>
      <c r="F56" t="inlineStr">
        <is>
          <t>NEED_SOURCE</t>
        </is>
      </c>
      <c r="G56" t="inlineStr">
        <is>
          <t>NEED_SOURCE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NEED_SOURCE</t>
        </is>
      </c>
      <c r="P56" t="inlineStr"/>
      <c r="Q56" t="inlineStr">
        <is>
          <t>repo không có tham chiếu cho thực thể này (unit_refs.json, reference_real.json, bảng cân bằng)</t>
        </is>
      </c>
      <c r="R5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6" t="inlineStr"/>
      <c r="T56" t="inlineStr"/>
      <c r="U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Tools/docs/unit_refs.json: leviathan_cruise_mark; Tools/models/reference_real.json: units.leviathan_cruise_mark</t>
        </is>
      </c>
      <c r="AK56" t="inlineStr"/>
    </row>
    <row r="57">
      <c r="A57" t="inlineStr">
        <is>
          <t>leviathan_shell</t>
        </is>
      </c>
      <c r="B57" t="inlineStr">
        <is>
          <t>leviathan_shell</t>
        </is>
      </c>
      <c r="C57" t="inlineStr">
        <is>
          <t>Đạn pháo Leviathan</t>
        </is>
      </c>
      <c r="D57" t="inlineStr">
        <is>
          <t>NEED_SOURCE</t>
        </is>
      </c>
      <c r="E57" t="inlineStr"/>
      <c r="F57" t="inlineStr">
        <is>
          <t>NEED_SOURCE</t>
        </is>
      </c>
      <c r="G57" t="inlineStr">
        <is>
          <t>NEED_SOURCE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NEED_SOURCE</t>
        </is>
      </c>
      <c r="P57" t="inlineStr"/>
      <c r="Q57" t="inlineStr">
        <is>
          <t>repo không có tham chiếu cho thực thể này (unit_refs.json, reference_real.json, bảng cân bằng)</t>
        </is>
      </c>
      <c r="R5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7" t="inlineStr"/>
      <c r="T57" t="inlineStr"/>
      <c r="U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Tools/docs/unit_refs.json: leviathan_shell; Tools/models/reference_real.json: units.leviathan_shell</t>
        </is>
      </c>
      <c r="AK57" t="inlineStr"/>
    </row>
    <row r="58">
      <c r="A58" t="inlineStr">
        <is>
          <t>light_tank</t>
        </is>
      </c>
      <c r="B58" t="inlineStr">
        <is>
          <t>light_tank</t>
        </is>
      </c>
      <c r="C58" t="inlineStr">
        <is>
          <t>Tăng nhẹ lội nước</t>
        </is>
      </c>
      <c r="D58" t="inlineStr">
        <is>
          <t>doi_that</t>
        </is>
      </c>
      <c r="E58" t="inlineStr">
        <is>
          <t>PT-76;ZBD-05;AU-220M 57 mm (mô-đun không người lái)</t>
        </is>
      </c>
      <c r="F58" t="inlineStr">
        <is>
          <t>NEED_SOURCE</t>
        </is>
      </c>
      <c r="G58" t="inlineStr">
        <is>
          <t>NEED_SOURCE</t>
        </is>
      </c>
      <c r="H58" t="inlineStr"/>
      <c r="I58" t="inlineStr"/>
      <c r="J58" t="inlineStr"/>
      <c r="K58" t="inlineStr">
        <is>
          <t>Xe tăng nhẹ lội nước, mô-đun 57 mm đặt lệch về trước</t>
        </is>
      </c>
      <c r="L58" t="inlineStr"/>
      <c r="M58" t="inlineStr"/>
      <c r="N58" t="inlineStr"/>
      <c r="O58" t="inlineStr">
        <is>
          <t>da_kiem_chung</t>
        </is>
      </c>
      <c r="P58" t="inlineStr">
        <is>
          <t>R_unit_refs;R_reference_real;W_wikipedia_pt_76;R_unit_sheet;R_machine_brigade_can_bang;R_light_tank</t>
        </is>
      </c>
      <c r="Q58" t="inlineStr"/>
      <c r="R5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8">
        <f>INDEX(xe_input_kich_thuoc_that!$B$2:$B$66,MATCH($B$58,xe_input_kich_thuoc_that!$A$2:$A$66,0))</f>
        <v/>
      </c>
      <c r="T58">
        <f>INDEX(xe_input_kich_thuoc_that!$C$2:$C$66,MATCH($B$58,xe_input_kich_thuoc_that!$A$2:$A$66,0))</f>
        <v/>
      </c>
      <c r="U58">
        <f>INDEX(xe_input_kich_thuoc_that!$D$2:$D$66,MATCH($B$58,xe_input_kich_thuoc_that!$A$2:$A$66,0))</f>
        <v/>
      </c>
      <c r="V58" t="inlineStr">
        <is>
          <t>PT-76</t>
        </is>
      </c>
      <c r="W58" t="inlineStr">
        <is>
          <t>high</t>
        </is>
      </c>
      <c r="X58" t="inlineStr">
        <is>
          <t>0,8 × PT-76 / ZBD-05</t>
        </is>
      </c>
      <c r="Y58" t="inlineStr">
        <is>
          <t>Xe tăng nhẹ lội nước, mô-đun 57 mm đặt lệch về trước</t>
        </is>
      </c>
      <c r="Z58" t="inlineStr">
        <is>
          <t>PT-76, ZBD-05, AU-220M 57 mm (mô-đun không người lái) — Xe tăng nhẹ lội nước, mô-đun 57 mm đặt lệch về trước</t>
        </is>
      </c>
      <c r="AA58" t="inlineStr">
        <is>
          <t>AU-220M: 120 phát/phút | PT-76, ZBD-05</t>
        </is>
      </c>
      <c r="AB58" t="inlineStr"/>
      <c r="AC58" t="inlineStr">
        <is>
          <t>Tools/blender/specs/light_tank.json: real = PT-76 / ZBD-05 amphibious light tank line (unit_sheet: S-60 57 mm (2A91), PKT / M240 coax); confidence = xấp xỉ (PT-76 / ZBD-05 published layout; the turret is a compact modern design for the 57 mm)</t>
        </is>
      </c>
      <c r="AD58" t="inlineStr">
        <is>
          <t>NEED_SOURCE</t>
        </is>
      </c>
      <c r="AE58" t="inlineStr">
        <is>
          <t>NEED_SOURCE</t>
        </is>
      </c>
      <c r="AF58" t="inlineStr">
        <is>
          <t>NEED_SOURCE</t>
        </is>
      </c>
      <c r="AG58" t="inlineStr">
        <is>
          <t>NEED_SOURCE</t>
        </is>
      </c>
      <c r="AH58" t="inlineStr">
        <is>
          <t>NEED_SOURCE</t>
        </is>
      </c>
      <c r="AI58" t="inlineStr">
        <is>
          <t>NEED_SOURCE</t>
        </is>
      </c>
      <c r="AJ58" t="inlineStr">
        <is>
          <t>Tools/docs/unit_refs.json: light_tank; Tools/models/reference_real.json: units.light_tank</t>
        </is>
      </c>
      <c r="AK58" t="inlineStr"/>
    </row>
    <row r="59">
      <c r="A59" t="inlineStr">
        <is>
          <t>long_sam</t>
        </is>
      </c>
      <c r="B59" t="inlineStr">
        <is>
          <t>long_sam</t>
        </is>
      </c>
      <c r="C59" t="inlineStr">
        <is>
          <t>Xe tên lửa phòng không tầm xa</t>
        </is>
      </c>
      <c r="D59" t="inlineStr">
        <is>
          <t>doi_that</t>
        </is>
      </c>
      <c r="E59" t="inlineStr">
        <is>
          <t>S-300PMU (5P85);S-400 (48N6);khung MAZ-543</t>
        </is>
      </c>
      <c r="F59" t="inlineStr">
        <is>
          <t>NEED_SOURCE</t>
        </is>
      </c>
      <c r="G59" t="inlineStr">
        <is>
          <t>NEED_SOURCE</t>
        </is>
      </c>
      <c r="H59" t="inlineStr"/>
      <c r="I59" t="inlineStr"/>
      <c r="J59" t="inlineStr"/>
      <c r="K59" t="inlineStr">
        <is>
          <t>Bệ phóng tên lửa phòng không tầm xa, dựng đứng ống phóng</t>
        </is>
      </c>
      <c r="L59" t="inlineStr"/>
      <c r="M59" t="inlineStr"/>
      <c r="N59" t="inlineStr"/>
      <c r="O59" t="inlineStr">
        <is>
          <t>ban_dau_doan</t>
        </is>
      </c>
      <c r="P59" t="inlineStr">
        <is>
          <t>R_unit_refs;R_reference_real;R_unit_sheet;R_machine_brigade_can_bang;R_long_sam</t>
        </is>
      </c>
      <c r="Q59" t="inlineStr"/>
      <c r="R5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9" t="inlineStr">
        <is>
          <t>NEED_SOURCE</t>
        </is>
      </c>
      <c r="T59" t="inlineStr">
        <is>
          <t>NEED_SOURCE</t>
        </is>
      </c>
      <c r="U59" t="inlineStr">
        <is>
          <t>NEED_SOURCE</t>
        </is>
      </c>
      <c r="V59" t="inlineStr">
        <is>
          <t>S-400 5P85SM2 TEL</t>
        </is>
      </c>
      <c r="W59" t="inlineStr">
        <is>
          <t>none</t>
        </is>
      </c>
      <c r="X59" t="inlineStr">
        <is>
          <t>0,8 × S-400 5P85 (MAZ-543</t>
        </is>
      </c>
      <c r="Y59" t="inlineStr">
        <is>
          <t>Bệ phóng tên lửa phòng không tầm xa, dựng đứng ống phóng</t>
        </is>
      </c>
      <c r="Z59" t="inlineStr">
        <is>
          <t>S-300PMU (5P85), S-400 (48N6), khung MAZ-543 — Bệ phóng tên lửa phòng không tầm xa, dựng đứng ống phóng</t>
        </is>
      </c>
      <c r="AA59" t="inlineStr">
        <is>
          <t>S-400: ~500 triệu USD một tiểu đoàn | 48N6: Mach 6</t>
        </is>
      </c>
      <c r="AB59" t="inlineStr"/>
      <c r="AC59" t="inlineStr">
        <is>
          <t>Tools/blender/specs/long_sam.json: real = S-300PMU 5P85S launcher (unit_refs: 5P85, 48N6); MAZ-543 8x8 chassis; confidence = xấp xỉ (5P85S photographs; the def's modelSize)</t>
        </is>
      </c>
      <c r="AD59" t="inlineStr">
        <is>
          <t>NEED_SOURCE</t>
        </is>
      </c>
      <c r="AE59" t="inlineStr">
        <is>
          <t>NEED_SOURCE</t>
        </is>
      </c>
      <c r="AF59" t="inlineStr">
        <is>
          <t>NEED_SOURCE</t>
        </is>
      </c>
      <c r="AG59" t="inlineStr">
        <is>
          <t>NEED_SOURCE</t>
        </is>
      </c>
      <c r="AH59" t="inlineStr">
        <is>
          <t>NEED_SOURCE</t>
        </is>
      </c>
      <c r="AI59" t="inlineStr">
        <is>
          <t>NEED_SOURCE</t>
        </is>
      </c>
      <c r="AJ59" t="inlineStr">
        <is>
          <t>Tools/docs/unit_refs.json: long_sam; Tools/models/reference_real.json: units.long_sam</t>
        </is>
      </c>
      <c r="AK59" t="inlineStr"/>
    </row>
    <row r="60">
      <c r="A60" t="inlineStr">
        <is>
          <t>main_battle_tank</t>
        </is>
      </c>
      <c r="B60" t="inlineStr">
        <is>
          <t>main_battle_tank</t>
        </is>
      </c>
      <c r="C60" t="inlineStr">
        <is>
          <t>Tăng chủ lực</t>
        </is>
      </c>
      <c r="D60" t="inlineStr">
        <is>
          <t>doi_that</t>
        </is>
      </c>
      <c r="E60" t="inlineStr">
        <is>
          <t>Leopard 2A4 (Rh-120 L/44);M1A1 Abrams (M256 120 mm)</t>
        </is>
      </c>
      <c r="F60" t="inlineStr">
        <is>
          <t>NEED_SOURCE</t>
        </is>
      </c>
      <c r="G60" t="inlineStr">
        <is>
          <t>NEED_SOURCE</t>
        </is>
      </c>
      <c r="H60" t="inlineStr"/>
      <c r="I60" t="inlineStr"/>
      <c r="J60" t="inlineStr"/>
      <c r="K60" t="inlineStr">
        <is>
          <t>Xe tăng chủ lực pháo nòng trơn 120 mm, giáp phản ứng nổ</t>
        </is>
      </c>
      <c r="L60" t="inlineStr"/>
      <c r="M60" t="inlineStr"/>
      <c r="N60" t="inlineStr"/>
      <c r="O60" t="inlineStr">
        <is>
          <t>da_kiem_chung</t>
        </is>
      </c>
      <c r="P60" t="inlineStr">
        <is>
          <t>R_unit_refs;R_reference_real;W_wikipedia_leopard_2;R_unit_sheet;R_machine_brigade_can_bang</t>
        </is>
      </c>
      <c r="Q60" t="inlineStr"/>
      <c r="R6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0">
        <f>INDEX(xe_input_kich_thuoc_that!$B$2:$B$66,MATCH($B$60,xe_input_kich_thuoc_that!$A$2:$A$66,0))</f>
        <v/>
      </c>
      <c r="T60">
        <f>INDEX(xe_input_kich_thuoc_that!$C$2:$C$66,MATCH($B$60,xe_input_kich_thuoc_that!$A$2:$A$66,0))</f>
        <v/>
      </c>
      <c r="U60">
        <f>INDEX(xe_input_kich_thuoc_that!$D$2:$D$66,MATCH($B$60,xe_input_kich_thuoc_that!$A$2:$A$66,0))</f>
        <v/>
      </c>
      <c r="V60" t="inlineStr">
        <is>
          <t>Leopard 2A4</t>
        </is>
      </c>
      <c r="W60" t="inlineStr">
        <is>
          <t>high</t>
        </is>
      </c>
      <c r="X60" t="inlineStr">
        <is>
          <t>0,8 × Leopard 2A4 / M1A1</t>
        </is>
      </c>
      <c r="Y60" t="inlineStr">
        <is>
          <t>Xe tăng chủ lực pháo nòng trơn 120 mm, giáp phản ứng nổ</t>
        </is>
      </c>
      <c r="Z60" t="inlineStr">
        <is>
          <t>Leopard 2A4 (Rh-120 L/44), M1A1 Abrams (M256 120 mm) — Xe tăng chủ lực pháo nòng trơn 120 mm, giáp phản ứng nổ</t>
        </is>
      </c>
      <c r="AA60" t="inlineStr"/>
      <c r="AB60" t="inlineStr"/>
      <c r="AC60" t="inlineStr"/>
      <c r="AD60" t="inlineStr">
        <is>
          <t>NEED_SOURCE</t>
        </is>
      </c>
      <c r="AE60" t="inlineStr">
        <is>
          <t>NEED_SOURCE</t>
        </is>
      </c>
      <c r="AF60" t="inlineStr">
        <is>
          <t>NEED_SOURCE</t>
        </is>
      </c>
      <c r="AG60" t="inlineStr">
        <is>
          <t>NEED_SOURCE</t>
        </is>
      </c>
      <c r="AH60" t="inlineStr">
        <is>
          <t>NEED_SOURCE</t>
        </is>
      </c>
      <c r="AI60" t="inlineStr">
        <is>
          <t>NEED_SOURCE</t>
        </is>
      </c>
      <c r="AJ60" t="inlineStr">
        <is>
          <t>Tools/docs/unit_refs.json: main_battle_tank; Tools/models/reference_real.json: units.main_battle_tank</t>
        </is>
      </c>
      <c r="AK60" t="inlineStr"/>
    </row>
    <row r="61">
      <c r="A61" t="inlineStr">
        <is>
          <t>mara_behemoth</t>
        </is>
      </c>
      <c r="B61" t="inlineStr">
        <is>
          <t>mara_behemoth</t>
        </is>
      </c>
      <c r="C61" t="inlineStr">
        <is>
          <t>{@mai}'s Behemoth · Behemoth đồng minh</t>
        </is>
      </c>
      <c r="D61" t="inlineStr">
        <is>
          <t>NEED_SOURCE</t>
        </is>
      </c>
      <c r="E61" t="inlineStr"/>
      <c r="F61" t="inlineStr">
        <is>
          <t>NEED_SOURCE</t>
        </is>
      </c>
      <c r="G61" t="inlineStr">
        <is>
          <t>NEED_SOURCE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NEED_SOURCE</t>
        </is>
      </c>
      <c r="P61" t="inlineStr"/>
      <c r="Q61" t="inlineStr">
        <is>
          <t>repo không có tham chiếu cho thực thể này (unit_refs.json, reference_real.json, bảng cân bằng)</t>
        </is>
      </c>
      <c r="R6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1" t="inlineStr">
        <is>
          <t>NEED_SOURCE</t>
        </is>
      </c>
      <c r="T61" t="inlineStr">
        <is>
          <t>NEED_SOURCE</t>
        </is>
      </c>
      <c r="U61" t="inlineStr">
        <is>
          <t>NEED_SOURCE</t>
        </is>
      </c>
      <c r="Z61" t="inlineStr"/>
      <c r="AA61" t="inlineStr"/>
      <c r="AB61" t="inlineStr"/>
      <c r="AC61" t="inlineStr"/>
      <c r="AD61" t="inlineStr">
        <is>
          <t>NEED_SOURCE</t>
        </is>
      </c>
      <c r="AE61" t="inlineStr">
        <is>
          <t>NEED_SOURCE</t>
        </is>
      </c>
      <c r="AF61" t="inlineStr">
        <is>
          <t>NEED_SOURCE</t>
        </is>
      </c>
      <c r="AG61" t="inlineStr">
        <is>
          <t>NEED_SOURCE</t>
        </is>
      </c>
      <c r="AH61" t="inlineStr">
        <is>
          <t>NEED_SOURCE</t>
        </is>
      </c>
      <c r="AI61" t="inlineStr">
        <is>
          <t>NEED_SOURCE</t>
        </is>
      </c>
      <c r="AJ61" t="inlineStr">
        <is>
          <t>Tools/docs/unit_refs.json: mara_behemoth; Tools/models/reference_real.json: units.mara_behemoth</t>
        </is>
      </c>
      <c r="AK61" t="inlineStr"/>
    </row>
    <row r="62">
      <c r="A62" t="inlineStr">
        <is>
          <t>mine_layer</t>
        </is>
      </c>
      <c r="B62" t="inlineStr">
        <is>
          <t>mine_layer</t>
        </is>
      </c>
      <c r="C62" t="inlineStr">
        <is>
          <t>Xe rải mìn</t>
        </is>
      </c>
      <c r="D62" t="inlineStr">
        <is>
          <t>doi_that</t>
        </is>
      </c>
      <c r="E62" t="inlineStr">
        <is>
          <t>GMZ-3;MT-LB</t>
        </is>
      </c>
      <c r="F62" t="inlineStr">
        <is>
          <t>NEED_SOURCE</t>
        </is>
      </c>
      <c r="G62" t="inlineStr">
        <is>
          <t>NEED_SOURCE</t>
        </is>
      </c>
      <c r="H62" t="inlineStr"/>
      <c r="I62" t="inlineStr"/>
      <c r="J62" t="inlineStr"/>
      <c r="K62" t="inlineStr">
        <is>
          <t>Xe rải mìn bánh xích, máng thả mìn phía sau</t>
        </is>
      </c>
      <c r="L62" t="inlineStr"/>
      <c r="M62" t="inlineStr"/>
      <c r="N62" t="inlineStr"/>
      <c r="O62" t="inlineStr">
        <is>
          <t>ban_dau_doan</t>
        </is>
      </c>
      <c r="P62" t="inlineStr">
        <is>
          <t>R_unit_refs;R_reference_real;R_unit_sheet;R_machine_brigade_can_bang;R_mine_layer</t>
        </is>
      </c>
      <c r="Q62" t="inlineStr"/>
      <c r="R6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2" t="inlineStr">
        <is>
          <t>NEED_SOURCE</t>
        </is>
      </c>
      <c r="T62" t="inlineStr">
        <is>
          <t>NEED_SOURCE</t>
        </is>
      </c>
      <c r="U62" t="inlineStr">
        <is>
          <t>NEED_SOURCE</t>
        </is>
      </c>
      <c r="V62" t="inlineStr">
        <is>
          <t>GMZ-3</t>
        </is>
      </c>
      <c r="W62" t="inlineStr">
        <is>
          <t>none</t>
        </is>
      </c>
      <c r="X62" t="inlineStr">
        <is>
          <t>0,8 × GMZ-3</t>
        </is>
      </c>
      <c r="Y62" t="inlineStr">
        <is>
          <t>Xe rải mìn bánh xích, máng thả mìn phía sau</t>
        </is>
      </c>
      <c r="Z62" t="inlineStr">
        <is>
          <t>GMZ-3, MT-LB — Xe rải mìn bánh xích, máng thả mìn phía sau</t>
        </is>
      </c>
      <c r="AA62" t="inlineStr"/>
      <c r="AB62" t="inlineStr"/>
      <c r="AC62" t="inlineStr">
        <is>
          <t>Tools/blender/specs/mine_layer.json: real = GMZ-3 tracked minelayer; PKT 7.62 mm (commander's cupola; the def's hmg_selfdef_15); confidence = xấp xỉ (GMZ-3 published photographs)</t>
        </is>
      </c>
      <c r="AD62" t="inlineStr">
        <is>
          <t>NEED_SOURCE</t>
        </is>
      </c>
      <c r="AE62" t="inlineStr">
        <is>
          <t>NEED_SOURCE</t>
        </is>
      </c>
      <c r="AF62" t="inlineStr">
        <is>
          <t>NEED_SOURCE</t>
        </is>
      </c>
      <c r="AG62" t="inlineStr">
        <is>
          <t>NEED_SOURCE</t>
        </is>
      </c>
      <c r="AH62" t="inlineStr">
        <is>
          <t>NEED_SOURCE</t>
        </is>
      </c>
      <c r="AI62" t="inlineStr">
        <is>
          <t>NEED_SOURCE</t>
        </is>
      </c>
      <c r="AJ62" t="inlineStr">
        <is>
          <t>Tools/docs/unit_refs.json: mine_layer; Tools/models/reference_real.json: units.mine_layer</t>
        </is>
      </c>
      <c r="AK62" t="inlineStr"/>
    </row>
    <row r="63">
      <c r="A63" t="inlineStr">
        <is>
          <t>missile_boat</t>
        </is>
      </c>
      <c r="B63" t="inlineStr">
        <is>
          <t>missile_boat</t>
        </is>
      </c>
      <c r="C63" t="inlineStr">
        <is>
          <t>Xuồng tên lửa cao tốc</t>
        </is>
      </c>
      <c r="D63" t="inlineStr">
        <is>
          <t>doi_that</t>
        </is>
      </c>
      <c r="E63" t="inlineStr">
        <is>
          <t>tàu tấn công nhanh vỏ lướt 14 m;S-8 80 mm</t>
        </is>
      </c>
      <c r="F63" t="inlineStr">
        <is>
          <t>NEED_SOURCE</t>
        </is>
      </c>
      <c r="G63" t="inlineStr">
        <is>
          <t>NEED_SOURCE</t>
        </is>
      </c>
      <c r="H63" t="inlineStr"/>
      <c r="I63" t="inlineStr"/>
      <c r="J63" t="inlineStr"/>
      <c r="K63" t="inlineStr">
        <is>
          <t>Tàu tên lửa nhanh</t>
        </is>
      </c>
      <c r="L63" t="inlineStr"/>
      <c r="M63" t="inlineStr"/>
      <c r="N63" t="inlineStr"/>
      <c r="O63" t="inlineStr">
        <is>
          <t>ban_dau_doan</t>
        </is>
      </c>
      <c r="P63" t="inlineStr">
        <is>
          <t>R_unit_refs;R_missile_boat</t>
        </is>
      </c>
      <c r="Q63" t="inlineStr"/>
      <c r="R6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3" t="inlineStr">
        <is>
          <t>NEED_SOURCE</t>
        </is>
      </c>
      <c r="T63" t="inlineStr">
        <is>
          <t>NEED_SOURCE</t>
        </is>
      </c>
      <c r="U63" t="inlineStr">
        <is>
          <t>NEED_SOURCE</t>
        </is>
      </c>
      <c r="Y63" t="inlineStr">
        <is>
          <t>Tàu tên lửa nhanh</t>
        </is>
      </c>
      <c r="Z63" t="inlineStr"/>
      <c r="AA63" t="inlineStr"/>
      <c r="AB63" t="inlineStr"/>
      <c r="AC63" t="inlineStr">
        <is>
          <t>Tools/blender/specs/missile_boat.json: real = 14 m planing fast attack craft (unit_refs) with an S-8 80 mm launcher; M2 12.7 mm; pintle minigun as on patrol boats; confidence = xấp xỉ (published layout and dimensions)</t>
        </is>
      </c>
      <c r="AD63" t="inlineStr">
        <is>
          <t>NEED_SOURCE</t>
        </is>
      </c>
      <c r="AE63" t="inlineStr">
        <is>
          <t>NEED_SOURCE</t>
        </is>
      </c>
      <c r="AF63" t="inlineStr">
        <is>
          <t>NEED_SOURCE</t>
        </is>
      </c>
      <c r="AG63" t="inlineStr">
        <is>
          <t>NEED_SOURCE</t>
        </is>
      </c>
      <c r="AH63" t="inlineStr">
        <is>
          <t>NEED_SOURCE</t>
        </is>
      </c>
      <c r="AI63" t="inlineStr">
        <is>
          <t>NEED_SOURCE</t>
        </is>
      </c>
      <c r="AJ63" t="inlineStr">
        <is>
          <t>Tools/docs/unit_refs.json: missile_boat; Tools/models/reference_real.json: units.missile_boat</t>
        </is>
      </c>
      <c r="AK63" t="inlineStr"/>
    </row>
    <row r="64">
      <c r="A64" t="inlineStr">
        <is>
          <t>mlrs</t>
        </is>
      </c>
      <c r="B64" t="inlineStr">
        <is>
          <t>mlrs</t>
        </is>
      </c>
      <c r="C64" t="inlineStr">
        <is>
          <t>Pháo phản lực dẫn đường</t>
        </is>
      </c>
      <c r="D64" t="inlineStr">
        <is>
          <t>doi_that</t>
        </is>
      </c>
      <c r="E64" t="inlineStr">
        <is>
          <t>M142 HIMARS;M270 MLRS;M31 GMLRS 227 mm</t>
        </is>
      </c>
      <c r="F64" t="inlineStr">
        <is>
          <t>NEED_SOURCE</t>
        </is>
      </c>
      <c r="G64" t="inlineStr">
        <is>
          <t>NEED_SOURCE</t>
        </is>
      </c>
      <c r="H64" t="inlineStr"/>
      <c r="I64" t="inlineStr"/>
      <c r="J64" t="inlineStr"/>
      <c r="K64" t="inlineStr">
        <is>
          <t>Xe phóng rốc-két, nâng khối ống lên để bắn</t>
        </is>
      </c>
      <c r="L64" t="inlineStr"/>
      <c r="M64" t="inlineStr"/>
      <c r="N64" t="inlineStr"/>
      <c r="O64" t="inlineStr">
        <is>
          <t>da_kiem_chung</t>
        </is>
      </c>
      <c r="P64" t="inlineStr">
        <is>
          <t>R_unit_refs;R_reference_real;W_wikipedia_m142_himars;R_unit_sheet;R_machine_brigade_can_bang;R_mlrs</t>
        </is>
      </c>
      <c r="Q64" t="inlineStr"/>
      <c r="R6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4">
        <f>INDEX(xe_input_kich_thuoc_that!$B$2:$B$66,MATCH($B$64,xe_input_kich_thuoc_that!$A$2:$A$66,0))</f>
        <v/>
      </c>
      <c r="T64">
        <f>INDEX(xe_input_kich_thuoc_that!$C$2:$C$66,MATCH($B$64,xe_input_kich_thuoc_that!$A$2:$A$66,0))</f>
        <v/>
      </c>
      <c r="U64">
        <f>INDEX(xe_input_kich_thuoc_that!$D$2:$D$66,MATCH($B$64,xe_input_kich_thuoc_that!$A$2:$A$66,0))</f>
        <v/>
      </c>
      <c r="V64" t="inlineStr">
        <is>
          <t>M142 HIMARS</t>
        </is>
      </c>
      <c r="W64" t="inlineStr">
        <is>
          <t>high</t>
        </is>
      </c>
      <c r="X64" t="inlineStr">
        <is>
          <t>0,8 × M142 HIMARS</t>
        </is>
      </c>
      <c r="Y64" t="inlineStr">
        <is>
          <t>Xe phóng rốc-két, nâng khối ống lên để bắn</t>
        </is>
      </c>
      <c r="Z64" t="inlineStr">
        <is>
          <t>M142 HIMARS, M270 MLRS, M31 GMLRS 227 mm — Xe phóng rốc-két, nâng khối ống lên để bắn</t>
        </is>
      </c>
      <c r="AA64" t="inlineStr">
        <is>
          <t>HIMARS | HIMARS ~5 triệu USD mỗi bệ, rốc-két ~160 nghìn USD/quả</t>
        </is>
      </c>
      <c r="AB64" t="inlineStr"/>
      <c r="AC64" t="inlineStr">
        <is>
          <t>Tools/blender/specs/mlrs.json: real = M142 HIMARS (0.8 x); M31 GMLRS 227 mm; M2 Browning 12.7 mm; confidence = tham_khao_thuc (M142 layout: FMTV 6x6, LSAC cab, one six-round pod)</t>
        </is>
      </c>
      <c r="AD64" t="inlineStr">
        <is>
          <t>NEED_SOURCE</t>
        </is>
      </c>
      <c r="AE64" t="inlineStr">
        <is>
          <t>NEED_SOURCE</t>
        </is>
      </c>
      <c r="AF64" t="inlineStr">
        <is>
          <t>NEED_SOURCE</t>
        </is>
      </c>
      <c r="AG64" t="inlineStr">
        <is>
          <t>NEED_SOURCE</t>
        </is>
      </c>
      <c r="AH64" t="inlineStr">
        <is>
          <t>NEED_SOURCE</t>
        </is>
      </c>
      <c r="AI64" t="inlineStr">
        <is>
          <t>NEED_SOURCE</t>
        </is>
      </c>
      <c r="AJ64" t="inlineStr">
        <is>
          <t>Tools/docs/unit_refs.json: mlrs; Tools/models/reference_real.json: units.mlrs</t>
        </is>
      </c>
      <c r="AK64" t="inlineStr"/>
    </row>
    <row r="65">
      <c r="A65" t="inlineStr">
        <is>
          <t>moab</t>
        </is>
      </c>
      <c r="B65" t="inlineStr">
        <is>
          <t>moab</t>
        </is>
      </c>
      <c r="C65" t="inlineStr">
        <is>
          <t>Bom MOAB</t>
        </is>
      </c>
      <c r="D65" t="inlineStr">
        <is>
          <t>NEED_SOURCE</t>
        </is>
      </c>
      <c r="E65" t="inlineStr"/>
      <c r="F65" t="inlineStr">
        <is>
          <t>NEED_SOURCE</t>
        </is>
      </c>
      <c r="G65" t="inlineStr">
        <is>
          <t>NEED_SOURCE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NEED_SOURCE</t>
        </is>
      </c>
      <c r="P65" t="inlineStr"/>
      <c r="Q65" t="inlineStr">
        <is>
          <t>repo không có tham chiếu cho thực thể này (unit_refs.json, reference_real.json, bảng cân bằng)</t>
        </is>
      </c>
      <c r="R6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5" t="inlineStr"/>
      <c r="T65" t="inlineStr"/>
      <c r="U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Tools/docs/unit_refs.json: moab; Tools/models/reference_real.json: units.moab</t>
        </is>
      </c>
      <c r="AK65" t="inlineStr"/>
    </row>
    <row r="66">
      <c r="A66" t="inlineStr">
        <is>
          <t>mortar_carrier</t>
        </is>
      </c>
      <c r="B66" t="inlineStr">
        <is>
          <t>mortar_carrier</t>
        </is>
      </c>
      <c r="C66" t="inlineStr">
        <is>
          <t>Xe cối tự hành</t>
        </is>
      </c>
      <c r="D66" t="inlineStr">
        <is>
          <t>doi_that</t>
        </is>
      </c>
      <c r="E66" t="inlineStr">
        <is>
          <t>M1064 (M113 mang cối 120 mm);2B11 120 mm</t>
        </is>
      </c>
      <c r="F66" t="inlineStr">
        <is>
          <t>NEED_SOURCE</t>
        </is>
      </c>
      <c r="G66" t="inlineStr">
        <is>
          <t>NEED_SOURCE</t>
        </is>
      </c>
      <c r="H66" t="inlineStr"/>
      <c r="I66" t="inlineStr"/>
      <c r="J66" t="inlineStr"/>
      <c r="K66" t="inlineStr">
        <is>
          <t>Xe bọc thép M113 bắn cối qua cửa nóc</t>
        </is>
      </c>
      <c r="L66" t="inlineStr"/>
      <c r="M66" t="inlineStr"/>
      <c r="N66" t="inlineStr"/>
      <c r="O66" t="inlineStr">
        <is>
          <t>da_kiem_chung</t>
        </is>
      </c>
      <c r="P66" t="inlineStr">
        <is>
          <t>R_unit_refs;R_reference_real;W_wikipedia_m113_armored_personnel_carrier;R_unit_sheet;R_machine_brigade_can_bang;R_mortar_carrier</t>
        </is>
      </c>
      <c r="Q66" t="inlineStr"/>
      <c r="R6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6">
        <f>INDEX(xe_input_kich_thuoc_that!$B$2:$B$66,MATCH($B$66,xe_input_kich_thuoc_that!$A$2:$A$66,0))</f>
        <v/>
      </c>
      <c r="T66">
        <f>INDEX(xe_input_kich_thuoc_that!$C$2:$C$66,MATCH($B$66,xe_input_kich_thuoc_that!$A$2:$A$66,0))</f>
        <v/>
      </c>
      <c r="U66">
        <f>INDEX(xe_input_kich_thuoc_that!$D$2:$D$66,MATCH($B$66,xe_input_kich_thuoc_that!$A$2:$A$66,0))</f>
        <v/>
      </c>
      <c r="V66" t="inlineStr">
        <is>
          <t>M1064 (M113A3 hull)</t>
        </is>
      </c>
      <c r="W66" t="inlineStr">
        <is>
          <t>high</t>
        </is>
      </c>
      <c r="X66" t="inlineStr">
        <is>
          <t>0,8 × M1064 (M113</t>
        </is>
      </c>
      <c r="Y66" t="inlineStr">
        <is>
          <t>Xe bọc thép M113 bắn cối qua cửa nóc</t>
        </is>
      </c>
      <c r="Z66" t="inlineStr">
        <is>
          <t>M1064 (M113 mang cối 120 mm), 2B11 120 mm — Xe bọc thép M113 bắn cối qua cửa nóc</t>
        </is>
      </c>
      <c r="AA66" t="inlineStr">
        <is>
          <t>2B11: 15 phát/phút</t>
        </is>
      </c>
      <c r="AB66" t="inlineStr"/>
      <c r="AC66" t="inlineStr">
        <is>
          <t>Tools/blender/specs/mortar_carrier.json: real = M1064 120 mm mortar carrier (M113 hull; unit_sheet: 2B11-class 120 mm, M2 Browning 12.7 mm); confidence = xấp xỉ (M113 / M1064 published layout)</t>
        </is>
      </c>
      <c r="AD66" t="inlineStr">
        <is>
          <t>NEED_SOURCE</t>
        </is>
      </c>
      <c r="AE66" t="inlineStr">
        <is>
          <t>NEED_SOURCE</t>
        </is>
      </c>
      <c r="AF66" t="inlineStr">
        <is>
          <t>NEED_SOURCE</t>
        </is>
      </c>
      <c r="AG66" t="inlineStr">
        <is>
          <t>NEED_SOURCE</t>
        </is>
      </c>
      <c r="AH66" t="inlineStr">
        <is>
          <t>NEED_SOURCE</t>
        </is>
      </c>
      <c r="AI66" t="inlineStr">
        <is>
          <t>NEED_SOURCE</t>
        </is>
      </c>
      <c r="AJ66" t="inlineStr">
        <is>
          <t>Tools/docs/unit_refs.json: mortar_carrier; Tools/models/reference_real.json: units.mortar_carrier</t>
        </is>
      </c>
      <c r="AK66" t="inlineStr"/>
    </row>
    <row r="67">
      <c r="A67" t="inlineStr">
        <is>
          <t>napalm_strike</t>
        </is>
      </c>
      <c r="B67" t="inlineStr">
        <is>
          <t>napalm_strike</t>
        </is>
      </c>
      <c r="C67" t="inlineStr">
        <is>
          <t>Bom napalm</t>
        </is>
      </c>
      <c r="D67" t="inlineStr">
        <is>
          <t>NEED_SOURCE</t>
        </is>
      </c>
      <c r="E67" t="inlineStr"/>
      <c r="F67" t="inlineStr">
        <is>
          <t>NEED_SOURCE</t>
        </is>
      </c>
      <c r="G67" t="inlineStr">
        <is>
          <t>NEED_SOURCE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NEED_SOURCE</t>
        </is>
      </c>
      <c r="P67" t="inlineStr"/>
      <c r="Q67" t="inlineStr">
        <is>
          <t>repo không có tham chiếu cho thực thể này (unit_refs.json, reference_real.json, bảng cân bằng)</t>
        </is>
      </c>
      <c r="R6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7" t="inlineStr"/>
      <c r="T67" t="inlineStr"/>
      <c r="U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Tools/docs/unit_refs.json: napalm_strike; Tools/models/reference_real.json: units.napalm_strike</t>
        </is>
      </c>
      <c r="AK67" t="inlineStr"/>
    </row>
    <row r="68">
      <c r="A68" t="inlineStr">
        <is>
          <t>next_gen_tank</t>
        </is>
      </c>
      <c r="B68" t="inlineStr">
        <is>
          <t>next_gen_tank</t>
        </is>
      </c>
      <c r="C68" t="inlineStr">
        <is>
          <t>Tăng thế hệ mới</t>
        </is>
      </c>
      <c r="D68" t="inlineStr">
        <is>
          <t>NEED_SOURCE</t>
        </is>
      </c>
      <c r="E68" t="inlineStr"/>
      <c r="F68" t="inlineStr">
        <is>
          <t>NEED_SOURCE</t>
        </is>
      </c>
      <c r="G68" t="inlineStr">
        <is>
          <t>NEED_SOURCE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NEED_SOURCE</t>
        </is>
      </c>
      <c r="P68" t="inlineStr">
        <is>
          <t>R_reference_real;W_wikipedia_leopard_2;R_next_gen_tank</t>
        </is>
      </c>
      <c r="Q68" t="inlineStr">
        <is>
          <t>repo không có tham chiếu cho thực thể này (unit_refs.json, reference_real.json, bảng cân bằng)</t>
        </is>
      </c>
      <c r="R6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8">
        <f>INDEX(xe_input_kich_thuoc_that!$B$2:$B$66,MATCH($B$68,xe_input_kich_thuoc_that!$A$2:$A$66,0))</f>
        <v/>
      </c>
      <c r="T68">
        <f>INDEX(xe_input_kich_thuoc_that!$C$2:$C$66,MATCH($B$68,xe_input_kich_thuoc_that!$A$2:$A$66,0))</f>
        <v/>
      </c>
      <c r="U68">
        <f>INDEX(xe_input_kich_thuoc_that!$D$2:$D$66,MATCH($B$68,xe_input_kich_thuoc_that!$A$2:$A$66,0))</f>
        <v/>
      </c>
      <c r="V68" t="inlineStr">
        <is>
          <t>Leopard 2A4 (same frame as the MBT)</t>
        </is>
      </c>
      <c r="W68" t="inlineStr">
        <is>
          <t>approx</t>
        </is>
      </c>
      <c r="Z68" t="inlineStr"/>
      <c r="AA68" t="inlineStr"/>
      <c r="AB68" t="inlineStr"/>
      <c r="AC68" t="inlineStr">
        <is>
          <t>Tools/blender/specs/next_gen_tank.json: real = T-14 Armata (2A82-1M 125 mm, coax PKTM, 12.7 mm Kord RWS, Afghanit APS); confidence = xấp xỉ (published layout and dimensions)</t>
        </is>
      </c>
      <c r="AD68" t="inlineStr">
        <is>
          <t>NEED_SOURCE</t>
        </is>
      </c>
      <c r="AE68" t="inlineStr">
        <is>
          <t>NEED_SOURCE</t>
        </is>
      </c>
      <c r="AF68" t="inlineStr">
        <is>
          <t>NEED_SOURCE</t>
        </is>
      </c>
      <c r="AG68" t="inlineStr">
        <is>
          <t>NEED_SOURCE</t>
        </is>
      </c>
      <c r="AH68" t="inlineStr">
        <is>
          <t>NEED_SOURCE</t>
        </is>
      </c>
      <c r="AI68" t="inlineStr">
        <is>
          <t>NEED_SOURCE</t>
        </is>
      </c>
      <c r="AJ68" t="inlineStr">
        <is>
          <t>Tools/docs/unit_refs.json: next_gen_tank; Tools/models/reference_real.json: units.next_gen_tank</t>
        </is>
      </c>
      <c r="AK68" t="inlineStr"/>
    </row>
    <row r="69">
      <c r="A69" t="inlineStr">
        <is>
          <t>pod_drop</t>
        </is>
      </c>
      <c r="B69" t="inlineStr">
        <is>
          <t>pod_drop</t>
        </is>
      </c>
      <c r="C69" t="inlineStr">
        <is>
          <t>Khoang đổ bộ</t>
        </is>
      </c>
      <c r="D69" t="inlineStr">
        <is>
          <t>NEED_SOURCE</t>
        </is>
      </c>
      <c r="E69" t="inlineStr"/>
      <c r="F69" t="inlineStr">
        <is>
          <t>NEED_SOURCE</t>
        </is>
      </c>
      <c r="G69" t="inlineStr">
        <is>
          <t>NEED_SOURCE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NEED_SOURCE</t>
        </is>
      </c>
      <c r="P69" t="inlineStr"/>
      <c r="Q69" t="inlineStr">
        <is>
          <t>repo không có tham chiếu cho thực thể này (unit_refs.json, reference_real.json, bảng cân bằng)</t>
        </is>
      </c>
      <c r="R6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9" t="inlineStr"/>
      <c r="T69" t="inlineStr"/>
      <c r="U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Tools/docs/unit_refs.json: pod_drop; Tools/models/reference_real.json: units.pod_drop</t>
        </is>
      </c>
      <c r="AK69" t="inlineStr"/>
    </row>
    <row r="70">
      <c r="A70" t="inlineStr">
        <is>
          <t>railgun_truck</t>
        </is>
      </c>
      <c r="B70" t="inlineStr">
        <is>
          <t>railgun_truck</t>
        </is>
      </c>
      <c r="C70" t="inlineStr">
        <is>
          <t>Xe pháo điện từ</t>
        </is>
      </c>
      <c r="D70" t="inlineStr">
        <is>
          <t>doi_that</t>
        </is>
      </c>
      <c r="E70" t="inlineStr">
        <is>
          <t>ATLA railgun (Nhật Bản);US Navy EMRG</t>
        </is>
      </c>
      <c r="F70" t="inlineStr">
        <is>
          <t>NEED_SOURCE</t>
        </is>
      </c>
      <c r="G70" t="inlineStr">
        <is>
          <t>NEED_SOURCE</t>
        </is>
      </c>
      <c r="H70" t="inlineStr"/>
      <c r="I70" t="inlineStr"/>
      <c r="J70" t="inlineStr"/>
      <c r="K70" t="inlineStr">
        <is>
          <t>Xe tải 8x8 mang pháo điện từ ray kép</t>
        </is>
      </c>
      <c r="L70" t="inlineStr"/>
      <c r="M70" t="inlineStr">
        <is>
          <t>gia_tuong</t>
        </is>
      </c>
      <c r="N70" t="inlineStr"/>
      <c r="O70" t="inlineStr">
        <is>
          <t>ban_dau_doan</t>
        </is>
      </c>
      <c r="P70" t="inlineStr">
        <is>
          <t>R_unit_refs;R_reference_real;R_machine_brigade_can_bang;R_railgun_truck</t>
        </is>
      </c>
      <c r="Q70" t="inlineStr">
        <is>
          <t>reference_real.json: fictional mount (mẫu 'EM railgun on an 8x8', thiết kế giả tưởng)</t>
        </is>
      </c>
      <c r="R7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0" t="inlineStr">
        <is>
          <t>NEED_SOURCE</t>
        </is>
      </c>
      <c r="T70" t="inlineStr">
        <is>
          <t>NEED_SOURCE</t>
        </is>
      </c>
      <c r="U70" t="inlineStr">
        <is>
          <t>NEED_SOURCE</t>
        </is>
      </c>
      <c r="V70" t="inlineStr">
        <is>
          <t>EM railgun on an 8x8</t>
        </is>
      </c>
      <c r="W70" t="inlineStr">
        <is>
          <t>inspiration</t>
        </is>
      </c>
      <c r="Y70" t="inlineStr">
        <is>
          <t>Xe tải 8x8 mang pháo điện từ ray kép</t>
        </is>
      </c>
      <c r="Z70" t="inlineStr">
        <is>
          <t>ATLA railgun (Nhật Bản), US Navy EMRG — Xe tải 8x8 mang pháo điện từ ray kép</t>
        </is>
      </c>
      <c r="AA70" t="inlineStr">
        <is>
          <t>(giả tưởng gần: EMRG)</t>
        </is>
      </c>
      <c r="AB70" t="inlineStr"/>
      <c r="AC70" t="inlineStr">
        <is>
          <t>Tools/blender/specs/railgun_truck.json: real = ATLA railgun (Japan) for the rail and band layout; US Navy EMRG; MZKT-7930 class 8x8 carrier; confidence = ban_dau_doan (a fictional field railgun on a heavy 8x8, real parts sized from ATLA / EMRG photos)</t>
        </is>
      </c>
      <c r="AD70" t="inlineStr">
        <is>
          <t>NEED_SOURCE</t>
        </is>
      </c>
      <c r="AE70" t="inlineStr">
        <is>
          <t>NEED_SOURCE</t>
        </is>
      </c>
      <c r="AF70" t="inlineStr">
        <is>
          <t>NEED_SOURCE</t>
        </is>
      </c>
      <c r="AG70" t="inlineStr">
        <is>
          <t>NEED_SOURCE</t>
        </is>
      </c>
      <c r="AH70" t="inlineStr">
        <is>
          <t>NEED_SOURCE</t>
        </is>
      </c>
      <c r="AI70" t="inlineStr">
        <is>
          <t>NEED_SOURCE</t>
        </is>
      </c>
      <c r="AJ70" t="inlineStr">
        <is>
          <t>Tools/docs/unit_refs.json: railgun_truck; Tools/models/reference_real.json: units.railgun_truck</t>
        </is>
      </c>
      <c r="AK70" t="inlineStr"/>
    </row>
    <row r="71">
      <c r="A71" t="inlineStr">
        <is>
          <t>recoilless_jeep</t>
        </is>
      </c>
      <c r="B71" t="inlineStr">
        <is>
          <t>recoilless_jeep</t>
        </is>
      </c>
      <c r="C71" t="inlineStr">
        <is>
          <t>Xe jeep súng không giật</t>
        </is>
      </c>
      <c r="D71" t="inlineStr">
        <is>
          <t>NEED_SOURCE</t>
        </is>
      </c>
      <c r="E71" t="inlineStr"/>
      <c r="F71" t="inlineStr">
        <is>
          <t>NEED_SOURCE</t>
        </is>
      </c>
      <c r="G71" t="inlineStr">
        <is>
          <t>NEED_SOURCE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NEED_SOURCE</t>
        </is>
      </c>
      <c r="P71" t="inlineStr">
        <is>
          <t>R_recoilless_jeep</t>
        </is>
      </c>
      <c r="Q71" t="inlineStr">
        <is>
          <t>repo không có tham chiếu cho thực thể này (unit_refs.json, reference_real.json, bảng cân bằng)</t>
        </is>
      </c>
      <c r="R7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1" t="inlineStr">
        <is>
          <t>NEED_SOURCE</t>
        </is>
      </c>
      <c r="T71" t="inlineStr">
        <is>
          <t>NEED_SOURCE</t>
        </is>
      </c>
      <c r="U71" t="inlineStr">
        <is>
          <t>NEED_SOURCE</t>
        </is>
      </c>
      <c r="Z71" t="inlineStr"/>
      <c r="AA71" t="inlineStr"/>
      <c r="AB71" t="inlineStr"/>
      <c r="AC71" t="inlineStr">
        <is>
          <t>Tools/blender/specs/recoilless_jeep.json: real = M38A1C jeep (the 106 mm carrier); M40A1 106 mm recoilless rifle on the M79 mount; M8C .50 spotting rifle, M92F telescope; confidence = xấp xỉ (M38A1C drawings; M40A1 / M79 mount photographs)</t>
        </is>
      </c>
      <c r="AD71" t="inlineStr">
        <is>
          <t>NEED_SOURCE</t>
        </is>
      </c>
      <c r="AE71" t="inlineStr">
        <is>
          <t>NEED_SOURCE</t>
        </is>
      </c>
      <c r="AF71" t="inlineStr">
        <is>
          <t>NEED_SOURCE</t>
        </is>
      </c>
      <c r="AG71" t="inlineStr">
        <is>
          <t>NEED_SOURCE</t>
        </is>
      </c>
      <c r="AH71" t="inlineStr">
        <is>
          <t>NEED_SOURCE</t>
        </is>
      </c>
      <c r="AI71" t="inlineStr">
        <is>
          <t>NEED_SOURCE</t>
        </is>
      </c>
      <c r="AJ71" t="inlineStr">
        <is>
          <t>Tools/docs/unit_refs.json: recoilless_jeep; Tools/models/reference_real.json: units.recoilless_jeep</t>
        </is>
      </c>
      <c r="AK71" t="inlineStr"/>
    </row>
    <row r="72">
      <c r="A72" t="inlineStr">
        <is>
          <t>recon_drone</t>
        </is>
      </c>
      <c r="B72" t="inlineStr">
        <is>
          <t>recon_drone</t>
        </is>
      </c>
      <c r="C72" t="inlineStr">
        <is>
          <t>UAV trinh sát</t>
        </is>
      </c>
      <c r="D72" t="inlineStr">
        <is>
          <t>doi_that</t>
        </is>
      </c>
      <c r="E72" t="inlineStr">
        <is>
          <t>Bayraktar TB2;MAM-L</t>
        </is>
      </c>
      <c r="F72" t="inlineStr">
        <is>
          <t>NEED_SOURCE</t>
        </is>
      </c>
      <c r="G72" t="inlineStr">
        <is>
          <t>NEED_SOURCE</t>
        </is>
      </c>
      <c r="H72" t="inlineStr"/>
      <c r="I72" t="inlineStr"/>
      <c r="J72" t="inlineStr"/>
      <c r="K72" t="inlineStr">
        <is>
          <t>Drone trinh sát tầm trung, đuôi chữ V ngược</t>
        </is>
      </c>
      <c r="L72" t="inlineStr"/>
      <c r="M72" t="inlineStr"/>
      <c r="N72" t="inlineStr"/>
      <c r="O72" t="inlineStr">
        <is>
          <t>da_kiem_chung</t>
        </is>
      </c>
      <c r="P72" t="inlineStr">
        <is>
          <t>R_unit_refs;R_reference_real;W_wikipedia_baykar_bayraktar_tb2;R_unit_sheet;R_machine_brigade_can_bang;R_recon_drone</t>
        </is>
      </c>
      <c r="Q72" t="inlineStr"/>
      <c r="R7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2">
        <f>INDEX(xe_input_kich_thuoc_that!$B$2:$B$66,MATCH($B$72,xe_input_kich_thuoc_that!$A$2:$A$66,0))</f>
        <v/>
      </c>
      <c r="T72">
        <f>INDEX(xe_input_kich_thuoc_that!$C$2:$C$66,MATCH($B$72,xe_input_kich_thuoc_that!$A$2:$A$66,0))</f>
        <v/>
      </c>
      <c r="U72">
        <f>INDEX(xe_input_kich_thuoc_that!$D$2:$D$66,MATCH($B$72,xe_input_kich_thuoc_that!$A$2:$A$66,0))</f>
        <v/>
      </c>
      <c r="V72" t="inlineStr">
        <is>
          <t>Bayraktar TB2</t>
        </is>
      </c>
      <c r="W72" t="inlineStr">
        <is>
          <t>high</t>
        </is>
      </c>
      <c r="X72" t="inlineStr">
        <is>
          <t>0,4 × Bayraktar TB2</t>
        </is>
      </c>
      <c r="Y72" t="inlineStr">
        <is>
          <t>Drone trinh sát tầm trung, đuôi chữ V ngược</t>
        </is>
      </c>
      <c r="Z72" t="inlineStr">
        <is>
          <t>Bayraktar TB2, MAM-L — Drone trinh sát tầm trung, đuôi chữ V ngược</t>
        </is>
      </c>
      <c r="AA72" t="inlineStr"/>
      <c r="AB72" t="inlineStr"/>
      <c r="AC72" t="inlineStr">
        <is>
          <t>Tools/blender/specs/recon_drone.json: real = Bayraktar TB2; MAM-L; confidence = xấp xỉ (TB2 published photographs; flying, gear not drawn: the def's height 0.48 m)</t>
        </is>
      </c>
      <c r="AD72" t="inlineStr">
        <is>
          <t>NEED_SOURCE</t>
        </is>
      </c>
      <c r="AE72" t="inlineStr">
        <is>
          <t>NEED_SOURCE</t>
        </is>
      </c>
      <c r="AF72" t="inlineStr">
        <is>
          <t>NEED_SOURCE</t>
        </is>
      </c>
      <c r="AG72" t="inlineStr">
        <is>
          <t>NEED_SOURCE</t>
        </is>
      </c>
      <c r="AH72" t="inlineStr">
        <is>
          <t>NEED_SOURCE</t>
        </is>
      </c>
      <c r="AI72" t="inlineStr">
        <is>
          <t>NEED_SOURCE</t>
        </is>
      </c>
      <c r="AJ72" t="inlineStr">
        <is>
          <t>Tools/docs/unit_refs.json: recon_drone; Tools/models/reference_real.json: units.recon_drone</t>
        </is>
      </c>
      <c r="AK72" t="inlineStr"/>
    </row>
    <row r="73">
      <c r="A73" t="inlineStr">
        <is>
          <t>reinforcements</t>
        </is>
      </c>
      <c r="B73" t="inlineStr">
        <is>
          <t>reinforcements</t>
        </is>
      </c>
      <c r="C73" t="inlineStr">
        <is>
          <t>Tiếp viện thả dù</t>
        </is>
      </c>
      <c r="D73" t="inlineStr">
        <is>
          <t>NEED_SOURCE</t>
        </is>
      </c>
      <c r="E73" t="inlineStr"/>
      <c r="F73" t="inlineStr">
        <is>
          <t>NEED_SOURCE</t>
        </is>
      </c>
      <c r="G73" t="inlineStr">
        <is>
          <t>NEED_SOURCE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NEED_SOURCE</t>
        </is>
      </c>
      <c r="P73" t="inlineStr"/>
      <c r="Q73" t="inlineStr">
        <is>
          <t>repo không có tham chiếu cho thực thể này (unit_refs.json, reference_real.json, bảng cân bằng)</t>
        </is>
      </c>
      <c r="R7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3" t="inlineStr"/>
      <c r="T73" t="inlineStr"/>
      <c r="U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Tools/docs/unit_refs.json: reinforcements; Tools/models/reference_real.json: units.reinforcements</t>
        </is>
      </c>
      <c r="AK73" t="inlineStr"/>
    </row>
    <row r="74">
      <c r="A74" t="inlineStr">
        <is>
          <t>remote_mines</t>
        </is>
      </c>
      <c r="B74" t="inlineStr">
        <is>
          <t>remote_mines</t>
        </is>
      </c>
      <c r="C74" t="inlineStr">
        <is>
          <t>Mìn rải từ xa</t>
        </is>
      </c>
      <c r="D74" t="inlineStr">
        <is>
          <t>NEED_SOURCE</t>
        </is>
      </c>
      <c r="E74" t="inlineStr"/>
      <c r="F74" t="inlineStr">
        <is>
          <t>NEED_SOURCE</t>
        </is>
      </c>
      <c r="G74" t="inlineStr">
        <is>
          <t>NEED_SOURCE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NEED_SOURCE</t>
        </is>
      </c>
      <c r="P74" t="inlineStr"/>
      <c r="Q74" t="inlineStr">
        <is>
          <t>repo không có tham chiếu cho thực thể này (unit_refs.json, reference_real.json, bảng cân bằng)</t>
        </is>
      </c>
      <c r="R7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4" t="inlineStr"/>
      <c r="T74" t="inlineStr"/>
      <c r="U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Tools/docs/unit_refs.json: remote_mines; Tools/models/reference_real.json: units.remote_mines</t>
        </is>
      </c>
      <c r="AK74" t="inlineStr"/>
    </row>
    <row r="75">
      <c r="A75" t="inlineStr">
        <is>
          <t>repair_drop</t>
        </is>
      </c>
      <c r="B75" t="inlineStr">
        <is>
          <t>repair_drop</t>
        </is>
      </c>
      <c r="C75" t="inlineStr">
        <is>
          <t>Sửa chữa</t>
        </is>
      </c>
      <c r="D75" t="inlineStr">
        <is>
          <t>NEED_SOURCE</t>
        </is>
      </c>
      <c r="E75" t="inlineStr"/>
      <c r="F75" t="inlineStr">
        <is>
          <t>NEED_SOURCE</t>
        </is>
      </c>
      <c r="G75" t="inlineStr">
        <is>
          <t>NEED_SOURCE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NEED_SOURCE</t>
        </is>
      </c>
      <c r="P75" t="inlineStr"/>
      <c r="Q75" t="inlineStr">
        <is>
          <t>repo không có tham chiếu cho thực thể này (unit_refs.json, reference_real.json, bảng cân bằng)</t>
        </is>
      </c>
      <c r="R7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5" t="inlineStr"/>
      <c r="T75" t="inlineStr"/>
      <c r="U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Tools/docs/unit_refs.json: repair_drop; Tools/models/reference_real.json: units.repair_drop</t>
        </is>
      </c>
      <c r="AK75" t="inlineStr"/>
    </row>
    <row r="76">
      <c r="A76" t="inlineStr">
        <is>
          <t>river_gunboat</t>
        </is>
      </c>
      <c r="B76" t="inlineStr">
        <is>
          <t>river_gunboat</t>
        </is>
      </c>
      <c r="C76" t="inlineStr">
        <is>
          <t>Pháo hạm sông</t>
        </is>
      </c>
      <c r="D76" t="inlineStr">
        <is>
          <t>NEED_SOURCE</t>
        </is>
      </c>
      <c r="E76" t="inlineStr"/>
      <c r="F76" t="inlineStr">
        <is>
          <t>NEED_SOURCE</t>
        </is>
      </c>
      <c r="G76" t="inlineStr">
        <is>
          <t>NEED_SOURCE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NEED_SOURCE</t>
        </is>
      </c>
      <c r="P76" t="inlineStr">
        <is>
          <t>R_river_gunboat</t>
        </is>
      </c>
      <c r="Q76" t="inlineStr">
        <is>
          <t>repo không có tham chiếu cho thực thể này (unit_refs.json, reference_real.json, bảng cân bằng)</t>
        </is>
      </c>
      <c r="R7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6" t="inlineStr">
        <is>
          <t>NEED_SOURCE</t>
        </is>
      </c>
      <c r="T76" t="inlineStr">
        <is>
          <t>NEED_SOURCE</t>
        </is>
      </c>
      <c r="U76" t="inlineStr">
        <is>
          <t>NEED_SOURCE</t>
        </is>
      </c>
      <c r="Z76" t="inlineStr"/>
      <c r="AA76" t="inlineStr"/>
      <c r="AB76" t="inlineStr"/>
      <c r="AC76" t="inlineStr">
        <is>
          <t>Tools/blender/specs/river_gunboat.json: real = Project 1204 Shmel riverine monitor (tank turret forward); 100 mm gun; KPV-class heavy MG aft; confidence = ban_dau_doan (no card text; the river role and the 100 mm after the Shmel class)</t>
        </is>
      </c>
      <c r="AD76" t="inlineStr">
        <is>
          <t>NEED_SOURCE</t>
        </is>
      </c>
      <c r="AE76" t="inlineStr">
        <is>
          <t>NEED_SOURCE</t>
        </is>
      </c>
      <c r="AF76" t="inlineStr">
        <is>
          <t>NEED_SOURCE</t>
        </is>
      </c>
      <c r="AG76" t="inlineStr">
        <is>
          <t>NEED_SOURCE</t>
        </is>
      </c>
      <c r="AH76" t="inlineStr">
        <is>
          <t>NEED_SOURCE</t>
        </is>
      </c>
      <c r="AI76" t="inlineStr">
        <is>
          <t>NEED_SOURCE</t>
        </is>
      </c>
      <c r="AJ76" t="inlineStr">
        <is>
          <t>Tools/docs/unit_refs.json: river_gunboat; Tools/models/reference_real.json: units.river_gunboat</t>
        </is>
      </c>
      <c r="AK76" t="inlineStr"/>
    </row>
    <row r="77">
      <c r="A77" t="inlineStr">
        <is>
          <t>river_patrol_boat</t>
        </is>
      </c>
      <c r="B77" t="inlineStr">
        <is>
          <t>river_patrol_boat</t>
        </is>
      </c>
      <c r="C77" t="inlineStr">
        <is>
          <t>Tàu tuần tra sông</t>
        </is>
      </c>
      <c r="D77" t="inlineStr">
        <is>
          <t>NEED_SOURCE</t>
        </is>
      </c>
      <c r="E77" t="inlineStr"/>
      <c r="F77" t="inlineStr">
        <is>
          <t>NEED_SOURCE</t>
        </is>
      </c>
      <c r="G77" t="inlineStr">
        <is>
          <t>NEED_SOURCE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NEED_SOURCE</t>
        </is>
      </c>
      <c r="P77" t="inlineStr">
        <is>
          <t>R_river_patrol_boat</t>
        </is>
      </c>
      <c r="Q77" t="inlineStr">
        <is>
          <t>repo không có tham chiếu cho thực thể này (unit_refs.json, reference_real.json, bảng cân bằng)</t>
        </is>
      </c>
      <c r="R7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7" t="inlineStr">
        <is>
          <t>NEED_SOURCE</t>
        </is>
      </c>
      <c r="T77" t="inlineStr">
        <is>
          <t>NEED_SOURCE</t>
        </is>
      </c>
      <c r="U77" t="inlineStr">
        <is>
          <t>NEED_SOURCE</t>
        </is>
      </c>
      <c r="Z77" t="inlineStr"/>
      <c r="AA77" t="inlineStr"/>
      <c r="AB77" t="inlineStr"/>
      <c r="AC77" t="inlineStr">
        <is>
          <t>Tools/blender/specs/river_patrol_boat.json: real = riverine patrol boat in the PBR Mk II / SURC pattern; M2 Browning 12.7 mm (bow); Mk 19 40 mm (aft); confidence = ban_dau_doan (no unit_refs row; the def is a ground unit class Light, not naval)</t>
        </is>
      </c>
      <c r="AD77" t="inlineStr">
        <is>
          <t>NEED_SOURCE</t>
        </is>
      </c>
      <c r="AE77" t="inlineStr">
        <is>
          <t>NEED_SOURCE</t>
        </is>
      </c>
      <c r="AF77" t="inlineStr">
        <is>
          <t>NEED_SOURCE</t>
        </is>
      </c>
      <c r="AG77" t="inlineStr">
        <is>
          <t>NEED_SOURCE</t>
        </is>
      </c>
      <c r="AH77" t="inlineStr">
        <is>
          <t>NEED_SOURCE</t>
        </is>
      </c>
      <c r="AI77" t="inlineStr">
        <is>
          <t>NEED_SOURCE</t>
        </is>
      </c>
      <c r="AJ77" t="inlineStr">
        <is>
          <t>Tools/docs/unit_refs.json: river_patrol_boat; Tools/models/reference_real.json: units.river_patrol_boat</t>
        </is>
      </c>
      <c r="AK77" t="inlineStr"/>
    </row>
    <row r="78">
      <c r="A78" t="inlineStr">
        <is>
          <t>rocket_technical</t>
        </is>
      </c>
      <c r="B78" t="inlineStr">
        <is>
          <t>rocket_technical</t>
        </is>
      </c>
      <c r="C78" t="inlineStr">
        <is>
          <t>Bán tải rốc-két</t>
        </is>
      </c>
      <c r="D78" t="inlineStr">
        <is>
          <t>doi_that</t>
        </is>
      </c>
      <c r="E78" t="inlineStr">
        <is>
          <t>Toyota Hilux 'technical';Type 63 107 mm</t>
        </is>
      </c>
      <c r="F78" t="inlineStr">
        <is>
          <t>NEED_SOURCE</t>
        </is>
      </c>
      <c r="G78" t="inlineStr">
        <is>
          <t>NEED_SOURCE</t>
        </is>
      </c>
      <c r="H78" t="inlineStr"/>
      <c r="I78" t="inlineStr"/>
      <c r="J78" t="inlineStr"/>
      <c r="K78" t="inlineStr">
        <is>
          <t>Xe bán tải dân sự gắn giàn rốc-két 12 ống</t>
        </is>
      </c>
      <c r="L78" t="inlineStr"/>
      <c r="M78" t="inlineStr"/>
      <c r="N78" t="inlineStr"/>
      <c r="O78" t="inlineStr">
        <is>
          <t>uoc_dinh</t>
        </is>
      </c>
      <c r="P78" t="inlineStr">
        <is>
          <t>R_unit_refs;R_reference_real;D_toyota_hilux_an10_an20_specifications;R_unit_sheet;R_machine_brigade_can_bang;R_rocket_technical</t>
        </is>
      </c>
      <c r="Q78" t="inlineStr"/>
      <c r="R7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8">
        <f>INDEX(xe_input_kich_thuoc_that!$B$2:$B$66,MATCH($B$78,xe_input_kich_thuoc_that!$A$2:$A$66,0))</f>
        <v/>
      </c>
      <c r="T78">
        <f>INDEX(xe_input_kich_thuoc_that!$C$2:$C$66,MATCH($B$78,xe_input_kich_thuoc_that!$A$2:$A$66,0))</f>
        <v/>
      </c>
      <c r="U78">
        <f>INDEX(xe_input_kich_thuoc_that!$D$2:$D$66,MATCH($B$78,xe_input_kich_thuoc_that!$A$2:$A$66,0))</f>
        <v/>
      </c>
      <c r="V78" t="inlineStr">
        <is>
          <t>Toyota Hilux (7th gen, double cab)</t>
        </is>
      </c>
      <c r="W78" t="inlineStr">
        <is>
          <t>approx</t>
        </is>
      </c>
      <c r="X78" t="inlineStr">
        <is>
          <t>0,8 × Toyota Hilux + Type 63</t>
        </is>
      </c>
      <c r="Y78" t="inlineStr">
        <is>
          <t>Xe bán tải dân sự gắn giàn rốc-két 12 ống</t>
        </is>
      </c>
      <c r="Z78" t="inlineStr">
        <is>
          <t>Toyota Hilux 'technical', Type 63 107 mm — Xe bán tải dân sự gắn giàn rốc-két 12 ống</t>
        </is>
      </c>
      <c r="AA78" t="inlineStr"/>
      <c r="AB78" t="inlineStr"/>
      <c r="AC78" t="inlineStr">
        <is>
          <t>Tools/blender/specs/rocket_technical.json: real = Toyota Hilux 6th generation single cab 'technical' (unit_refs: Toyota Hilux technical); Type 63 107 mm 12-tube launcher (unit_refs, sheet); 12.7 mm on the roll bar; confidence = xấp xỉ (Hilux LN106 drawings; Type 63 on pickups, Libya / Syria photographs)</t>
        </is>
      </c>
      <c r="AD78" t="inlineStr">
        <is>
          <t>NEED_SOURCE</t>
        </is>
      </c>
      <c r="AE78" t="inlineStr">
        <is>
          <t>NEED_SOURCE</t>
        </is>
      </c>
      <c r="AF78" t="inlineStr">
        <is>
          <t>NEED_SOURCE</t>
        </is>
      </c>
      <c r="AG78" t="inlineStr">
        <is>
          <t>NEED_SOURCE</t>
        </is>
      </c>
      <c r="AH78" t="inlineStr">
        <is>
          <t>NEED_SOURCE</t>
        </is>
      </c>
      <c r="AI78" t="inlineStr">
        <is>
          <t>NEED_SOURCE</t>
        </is>
      </c>
      <c r="AJ78" t="inlineStr">
        <is>
          <t>Tools/docs/unit_refs.json: rocket_technical; Tools/models/reference_real.json: units.rocket_technical</t>
        </is>
      </c>
      <c r="AK78" t="inlineStr"/>
    </row>
    <row r="79">
      <c r="A79" t="inlineStr">
        <is>
          <t>sam_launcher</t>
        </is>
      </c>
      <c r="B79" t="inlineStr">
        <is>
          <t>sam_launcher</t>
        </is>
      </c>
      <c r="C79" t="inlineStr">
        <is>
          <t>Xe tên lửa phòng không tầm trung</t>
        </is>
      </c>
      <c r="D79" t="inlineStr">
        <is>
          <t>doi_that</t>
        </is>
      </c>
      <c r="E79" t="inlineStr">
        <is>
          <t>9K37 Buk (9A310);9M317</t>
        </is>
      </c>
      <c r="F79" t="inlineStr">
        <is>
          <t>NEED_SOURCE</t>
        </is>
      </c>
      <c r="G79" t="inlineStr">
        <is>
          <t>NEED_SOURCE</t>
        </is>
      </c>
      <c r="H79" t="inlineStr"/>
      <c r="I79" t="inlineStr"/>
      <c r="J79" t="inlineStr"/>
      <c r="K79" t="inlineStr">
        <is>
          <t>Bệ phóng tên lửa phòng không bánh xích, ray hướng lên mục tiêu</t>
        </is>
      </c>
      <c r="L79" t="inlineStr"/>
      <c r="M79" t="inlineStr"/>
      <c r="N79" t="inlineStr"/>
      <c r="O79" t="inlineStr">
        <is>
          <t>uoc_dinh</t>
        </is>
      </c>
      <c r="P79" t="inlineStr">
        <is>
          <t>R_unit_refs;R_reference_real;D_army_recognition_buk_m1_2;R_unit_sheet;R_machine_brigade_can_bang;R_sam_launcher</t>
        </is>
      </c>
      <c r="Q79" t="inlineStr"/>
      <c r="R7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9">
        <f>INDEX(xe_input_kich_thuoc_that!$B$2:$B$66,MATCH($B$79,xe_input_kich_thuoc_that!$A$2:$A$66,0))</f>
        <v/>
      </c>
      <c r="T79">
        <f>INDEX(xe_input_kich_thuoc_that!$C$2:$C$66,MATCH($B$79,xe_input_kich_thuoc_that!$A$2:$A$66,0))</f>
        <v/>
      </c>
      <c r="U79">
        <f>INDEX(xe_input_kich_thuoc_that!$D$2:$D$66,MATCH($B$79,xe_input_kich_thuoc_that!$A$2:$A$66,0))</f>
        <v/>
      </c>
      <c r="V79" t="inlineStr">
        <is>
          <t>9A310M1 Buk TELAR</t>
        </is>
      </c>
      <c r="W79" t="inlineStr">
        <is>
          <t>approx</t>
        </is>
      </c>
      <c r="X79" t="inlineStr">
        <is>
          <t>0,8 × 9A310 Buk TELAR</t>
        </is>
      </c>
      <c r="Y79" t="inlineStr">
        <is>
          <t>Bệ phóng tên lửa phòng không bánh xích, ray hướng lên mục tiêu</t>
        </is>
      </c>
      <c r="Z79" t="inlineStr">
        <is>
          <t>9K37 Buk (9A310), 9M317 — Bệ phóng tên lửa phòng không bánh xích, ray hướng lên mục tiêu</t>
        </is>
      </c>
      <c r="AA79" t="inlineStr">
        <is>
          <t>Buk TELAR ~10–15 triệu USD | 9M317: Mach 4 | 9A310</t>
        </is>
      </c>
      <c r="AB79" t="inlineStr"/>
      <c r="AC79" t="inlineStr">
        <is>
          <t>Tools/blender/specs/sam_launcher.json: real = 9A310 Buk TELAR (GM-569 chassis); 9M317; M2 Browning 12.7 mm (the sheet's visible weapon; Mount_mg kept); confidence = xấp xỉ (9A310 published photographs)</t>
        </is>
      </c>
      <c r="AD79" t="inlineStr">
        <is>
          <t>NEED_SOURCE</t>
        </is>
      </c>
      <c r="AE79" t="inlineStr">
        <is>
          <t>NEED_SOURCE</t>
        </is>
      </c>
      <c r="AF79" t="inlineStr">
        <is>
          <t>NEED_SOURCE</t>
        </is>
      </c>
      <c r="AG79" t="inlineStr">
        <is>
          <t>NEED_SOURCE</t>
        </is>
      </c>
      <c r="AH79" t="inlineStr">
        <is>
          <t>NEED_SOURCE</t>
        </is>
      </c>
      <c r="AI79" t="inlineStr">
        <is>
          <t>NEED_SOURCE</t>
        </is>
      </c>
      <c r="AJ79" t="inlineStr">
        <is>
          <t>Tools/docs/unit_refs.json: sam_launcher; Tools/models/reference_real.json: units.sam_launcher</t>
        </is>
      </c>
      <c r="AK79" t="inlineStr"/>
    </row>
    <row r="80">
      <c r="A80" t="inlineStr">
        <is>
          <t>scout_heli</t>
        </is>
      </c>
      <c r="B80" t="inlineStr">
        <is>
          <t>scout_heli</t>
        </is>
      </c>
      <c r="C80" t="inlineStr">
        <is>
          <t>Trực thăng trinh sát vũ trang</t>
        </is>
      </c>
      <c r="D80" t="inlineStr">
        <is>
          <t>doi_that</t>
        </is>
      </c>
      <c r="E80" t="inlineStr">
        <is>
          <t>MH-6 / AH-6 Little Bird;M134 Minigun</t>
        </is>
      </c>
      <c r="F80" t="inlineStr">
        <is>
          <t>NEED_SOURCE</t>
        </is>
      </c>
      <c r="G80" t="inlineStr">
        <is>
          <t>NEED_SOURCE</t>
        </is>
      </c>
      <c r="H80" t="inlineStr"/>
      <c r="I80" t="inlineStr"/>
      <c r="J80" t="inlineStr"/>
      <c r="K80" t="inlineStr">
        <is>
          <t>Trực thăng trinh sát nhẹ, ca-bin hình quả trứng</t>
        </is>
      </c>
      <c r="L80" t="inlineStr"/>
      <c r="M80" t="inlineStr"/>
      <c r="N80" t="inlineStr"/>
      <c r="O80" t="inlineStr">
        <is>
          <t>uoc_dinh</t>
        </is>
      </c>
      <c r="P80" t="inlineStr">
        <is>
          <t>R_unit_refs;R_reference_real;W_wikipedia_md_helicopters_mh_6_little_bird;R_unit_sheet;R_machine_brigade_can_bang;R_scout_heli</t>
        </is>
      </c>
      <c r="Q80" t="inlineStr"/>
      <c r="R8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0">
        <f>INDEX(xe_input_kich_thuoc_that!$B$2:$B$66,MATCH($B$80,xe_input_kich_thuoc_that!$A$2:$A$66,0))</f>
        <v/>
      </c>
      <c r="T80">
        <f>INDEX(xe_input_kich_thuoc_that!$C$2:$C$66,MATCH($B$80,xe_input_kich_thuoc_that!$A$2:$A$66,0))</f>
        <v/>
      </c>
      <c r="U80">
        <f>INDEX(xe_input_kich_thuoc_that!$D$2:$D$66,MATCH($B$80,xe_input_kich_thuoc_that!$A$2:$A$66,0))</f>
        <v/>
      </c>
      <c r="V80" t="inlineStr">
        <is>
          <t>MH-6 Little Bird</t>
        </is>
      </c>
      <c r="W80" t="inlineStr">
        <is>
          <t>approx</t>
        </is>
      </c>
      <c r="X80" t="inlineStr">
        <is>
          <t>0,4 × MH-6 Little Bird</t>
        </is>
      </c>
      <c r="Y80" t="inlineStr">
        <is>
          <t>Trực thăng trinh sát nhẹ, ca-bin hình quả trứng</t>
        </is>
      </c>
      <c r="Z80" t="inlineStr">
        <is>
          <t>MH-6 / AH-6 Little Bird, M134 Minigun — Trực thăng trinh sát nhẹ, ca-bin hình quả trứng</t>
        </is>
      </c>
      <c r="AA80" t="inlineStr">
        <is>
          <t>MH-6 Little Bird ~5 triệu USD | AH-6: 2 ống 7 quả Hydra</t>
        </is>
      </c>
      <c r="AB80" t="inlineStr"/>
      <c r="AC80" t="inlineStr">
        <is>
          <t>Tools/blender/specs/scout_heli.json: real = AH-6 / MH-6 Little Bird; M134 Minigun 7.62 mm (x2); Hydra 70 mm seven-tube pods (x2); confidence = xấp xỉ (AH-6 published photographs; five blades after the sheet)</t>
        </is>
      </c>
      <c r="AD80" t="inlineStr">
        <is>
          <t>NEED_SOURCE</t>
        </is>
      </c>
      <c r="AE80" t="inlineStr">
        <is>
          <t>NEED_SOURCE</t>
        </is>
      </c>
      <c r="AF80" t="inlineStr">
        <is>
          <t>NEED_SOURCE</t>
        </is>
      </c>
      <c r="AG80" t="inlineStr">
        <is>
          <t>NEED_SOURCE</t>
        </is>
      </c>
      <c r="AH80" t="inlineStr">
        <is>
          <t>NEED_SOURCE</t>
        </is>
      </c>
      <c r="AI80" t="inlineStr">
        <is>
          <t>NEED_SOURCE</t>
        </is>
      </c>
      <c r="AJ80" t="inlineStr">
        <is>
          <t>Tools/docs/unit_refs.json: scout_heli; Tools/models/reference_real.json: units.scout_heli</t>
        </is>
      </c>
      <c r="AK80" t="inlineStr"/>
    </row>
    <row r="81">
      <c r="A81" t="inlineStr">
        <is>
          <t>scout_jeep</t>
        </is>
      </c>
      <c r="B81" t="inlineStr">
        <is>
          <t>scout_jeep</t>
        </is>
      </c>
      <c r="C81" t="inlineStr">
        <is>
          <t>Xe trinh sát hạng nhẹ</t>
        </is>
      </c>
      <c r="D81" t="inlineStr">
        <is>
          <t>doi_that</t>
        </is>
      </c>
      <c r="E81" t="inlineStr">
        <is>
          <t>M151 MUTT;Land Rover WMIK;M2 Browning 12,7 mm</t>
        </is>
      </c>
      <c r="F81" t="inlineStr">
        <is>
          <t>NEED_SOURCE</t>
        </is>
      </c>
      <c r="G81" t="inlineStr">
        <is>
          <t>NEED_SOURCE</t>
        </is>
      </c>
      <c r="H81" t="inlineStr"/>
      <c r="I81" t="inlineStr"/>
      <c r="J81" t="inlineStr"/>
      <c r="K81" t="inlineStr">
        <is>
          <t>xe trinh sát 4x4 mui trần gắn súng máy trên chốt</t>
        </is>
      </c>
      <c r="L81" t="inlineStr"/>
      <c r="M81" t="inlineStr"/>
      <c r="N81" t="inlineStr"/>
      <c r="O81" t="inlineStr">
        <is>
          <t>uoc_dinh</t>
        </is>
      </c>
      <c r="P81" t="inlineStr">
        <is>
          <t>R_unit_refs;R_reference_real;W_wikipedia_m151_mutt;R_unit_sheet;R_machine_brigade_can_bang;R_scout_jeep</t>
        </is>
      </c>
      <c r="Q81" t="inlineStr"/>
      <c r="R8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1">
        <f>INDEX(xe_input_kich_thuoc_that!$B$2:$B$66,MATCH($B$81,xe_input_kich_thuoc_that!$A$2:$A$66,0))</f>
        <v/>
      </c>
      <c r="T81">
        <f>INDEX(xe_input_kich_thuoc_that!$C$2:$C$66,MATCH($B$81,xe_input_kich_thuoc_that!$A$2:$A$66,0))</f>
        <v/>
      </c>
      <c r="U81">
        <f>INDEX(xe_input_kich_thuoc_that!$D$2:$D$66,MATCH($B$81,xe_input_kich_thuoc_that!$A$2:$A$66,0))</f>
        <v/>
      </c>
      <c r="V81" t="inlineStr">
        <is>
          <t>M151A2 MUTT</t>
        </is>
      </c>
      <c r="W81" t="inlineStr">
        <is>
          <t>high</t>
        </is>
      </c>
      <c r="X81" t="inlineStr">
        <is>
          <t>0,8 × M151 / LRV</t>
        </is>
      </c>
      <c r="Y81" t="inlineStr">
        <is>
          <t>ước đoán: xe trinh sát 4x4 mui trần gắn súng máy trên chốt</t>
        </is>
      </c>
      <c r="Z81" t="inlineStr">
        <is>
          <t>M151 MUTT, Land Rover WMIK, M2 Browning 12,7 mm — ước đoán: xe trinh sát 4x4 mui trần gắn súng máy trên chốt</t>
        </is>
      </c>
      <c r="AA81" t="inlineStr">
        <is>
          <t>Fennek / LRV có cột quan sát và kính nhiệt | Fennek; Wargame (đơn vị trinh sát ẩn khi đứng yên)</t>
        </is>
      </c>
      <c r="AB81" t="inlineStr"/>
      <c r="AC81" t="inlineStr">
        <is>
          <t>Tools/blender/specs/scout_jeep.json: real = M151A2 MUTT (unit_refs, sheet); Land Rover WMIK (unit_refs: the gun pedestal and roll cage); M2 Browning 12.7 mm; confidence = xấp xỉ (M151A2 drawings; WMIK pedestal photographs)</t>
        </is>
      </c>
      <c r="AD81" t="inlineStr">
        <is>
          <t>NEED_SOURCE</t>
        </is>
      </c>
      <c r="AE81" t="inlineStr">
        <is>
          <t>NEED_SOURCE</t>
        </is>
      </c>
      <c r="AF81" t="inlineStr">
        <is>
          <t>NEED_SOURCE</t>
        </is>
      </c>
      <c r="AG81" t="inlineStr">
        <is>
          <t>NEED_SOURCE</t>
        </is>
      </c>
      <c r="AH81" t="inlineStr">
        <is>
          <t>NEED_SOURCE</t>
        </is>
      </c>
      <c r="AI81" t="inlineStr">
        <is>
          <t>NEED_SOURCE</t>
        </is>
      </c>
      <c r="AJ81" t="inlineStr">
        <is>
          <t>Tools/docs/unit_refs.json: scout_jeep; Tools/models/reference_real.json: units.scout_jeep</t>
        </is>
      </c>
      <c r="AK81" t="inlineStr"/>
    </row>
    <row r="82">
      <c r="A82" t="inlineStr">
        <is>
          <t>sea_corvette</t>
        </is>
      </c>
      <c r="B82" t="inlineStr">
        <is>
          <t>sea_corvette</t>
        </is>
      </c>
      <c r="C82" t="inlineStr">
        <is>
          <t>Tàu hộ vệ</t>
        </is>
      </c>
      <c r="D82" t="inlineStr">
        <is>
          <t>doi_that</t>
        </is>
      </c>
      <c r="E82" t="inlineStr">
        <is>
          <t>OTO Melara 76/62;AK-630</t>
        </is>
      </c>
      <c r="F82" t="inlineStr">
        <is>
          <t>NEED_SOURCE</t>
        </is>
      </c>
      <c r="G82" t="inlineStr">
        <is>
          <t>NEED_SOURCE</t>
        </is>
      </c>
      <c r="H82" t="inlineStr"/>
      <c r="I82" t="inlineStr"/>
      <c r="J82" t="inlineStr"/>
      <c r="K82" t="inlineStr">
        <is>
          <t>Tàu hộ tống 30 m</t>
        </is>
      </c>
      <c r="L82" t="inlineStr"/>
      <c r="M82" t="inlineStr"/>
      <c r="N82" t="inlineStr"/>
      <c r="O82" t="inlineStr">
        <is>
          <t>ban_dau_doan</t>
        </is>
      </c>
      <c r="P82" t="inlineStr">
        <is>
          <t>R_unit_refs;R_sea_corvette</t>
        </is>
      </c>
      <c r="Q82" t="inlineStr"/>
      <c r="R8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2" t="inlineStr">
        <is>
          <t>NEED_SOURCE</t>
        </is>
      </c>
      <c r="T82" t="inlineStr">
        <is>
          <t>NEED_SOURCE</t>
        </is>
      </c>
      <c r="U82" t="inlineStr">
        <is>
          <t>NEED_SOURCE</t>
        </is>
      </c>
      <c r="Y82" t="inlineStr">
        <is>
          <t>Tàu hộ tống 30 m</t>
        </is>
      </c>
      <c r="Z82" t="inlineStr"/>
      <c r="AA82" t="inlineStr"/>
      <c r="AB82" t="inlineStr"/>
      <c r="AC82" t="inlineStr">
        <is>
          <t>Tools/blender/specs/sea_corvette.json: real = 30 m escort corvette (unit_refs: OTO Melara 76/62, AK-630); Buyan-M / Steregushchiy layout at small scale; confidence = xấp xỉ (published layout and dimensions)</t>
        </is>
      </c>
      <c r="AD82" t="inlineStr">
        <is>
          <t>NEED_SOURCE</t>
        </is>
      </c>
      <c r="AE82" t="inlineStr">
        <is>
          <t>NEED_SOURCE</t>
        </is>
      </c>
      <c r="AF82" t="inlineStr">
        <is>
          <t>NEED_SOURCE</t>
        </is>
      </c>
      <c r="AG82" t="inlineStr">
        <is>
          <t>NEED_SOURCE</t>
        </is>
      </c>
      <c r="AH82" t="inlineStr">
        <is>
          <t>NEED_SOURCE</t>
        </is>
      </c>
      <c r="AI82" t="inlineStr">
        <is>
          <t>NEED_SOURCE</t>
        </is>
      </c>
      <c r="AJ82" t="inlineStr">
        <is>
          <t>Tools/docs/unit_refs.json: sea_corvette; Tools/models/reference_real.json: units.sea_corvette</t>
        </is>
      </c>
      <c r="AK82" t="inlineStr"/>
    </row>
    <row r="83">
      <c r="A83" t="inlineStr">
        <is>
          <t>sea_cruiser</t>
        </is>
      </c>
      <c r="B83" t="inlineStr">
        <is>
          <t>sea_cruiser</t>
        </is>
      </c>
      <c r="C83" t="inlineStr">
        <is>
          <t>Tuần dương hạm tên lửa</t>
        </is>
      </c>
      <c r="D83" t="inlineStr">
        <is>
          <t>doi_that</t>
        </is>
      </c>
      <c r="E83" t="inlineStr">
        <is>
          <t>Kirov-class;Iowa-class (cải tiến tên lửa);Mk 71 203 mm</t>
        </is>
      </c>
      <c r="F83" t="inlineStr">
        <is>
          <t>NEED_SOURCE</t>
        </is>
      </c>
      <c r="G83" t="inlineStr">
        <is>
          <t>NEED_SOURCE</t>
        </is>
      </c>
      <c r="H83" t="inlineStr"/>
      <c r="I83" t="inlineStr"/>
      <c r="J83" t="inlineStr"/>
      <c r="K83" t="inlineStr">
        <is>
          <t>Leviathan đời đầu, nay là tuần dương hạm tên lửa của hạm đội</t>
        </is>
      </c>
      <c r="L83" t="inlineStr"/>
      <c r="M83" t="inlineStr"/>
      <c r="N83" t="inlineStr"/>
      <c r="O83" t="inlineStr">
        <is>
          <t>da_kiem_chung</t>
        </is>
      </c>
      <c r="P83" t="inlineStr">
        <is>
          <t>R_unit_refs;R_reference_real;W_wikipedia_kirov_class_battlecruiser;R_sea_cruiser</t>
        </is>
      </c>
      <c r="Q83" t="inlineStr"/>
      <c r="R8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3">
        <f>INDEX(xe_input_kich_thuoc_that!$B$2:$B$66,MATCH($B$83,xe_input_kich_thuoc_that!$A$2:$A$66,0))</f>
        <v/>
      </c>
      <c r="T83">
        <f>INDEX(xe_input_kich_thuoc_that!$C$2:$C$66,MATCH($B$83,xe_input_kich_thuoc_that!$A$2:$A$66,0))</f>
        <v/>
      </c>
      <c r="U83" t="inlineStr">
        <is>
          <t>NEED_SOURCE</t>
        </is>
      </c>
      <c r="V83" t="inlineStr">
        <is>
          <t>Kirov-class battlecruiser</t>
        </is>
      </c>
      <c r="W83" t="inlineStr">
        <is>
          <t>high</t>
        </is>
      </c>
      <c r="Y83" t="inlineStr">
        <is>
          <t>Leviathan đời đầu, nay là tuần dương hạm tên lửa của hạm đội</t>
        </is>
      </c>
      <c r="Z83" t="inlineStr"/>
      <c r="AA83" t="inlineStr"/>
      <c r="AB83" t="inlineStr"/>
      <c r="AC83" t="inlineStr">
        <is>
          <t>Tools/blender/specs/sea_cruiser.json: real = Kirov-class missile cruiser / Iowa-class with missiles (unit_refs), twin Mk 71-class 203 mm, two CIWS; confidence = xấp xỉ (published layout and dimensions)</t>
        </is>
      </c>
      <c r="AD83" t="inlineStr">
        <is>
          <t>NEED_SOURCE</t>
        </is>
      </c>
      <c r="AE83" t="inlineStr">
        <is>
          <t>NEED_SOURCE</t>
        </is>
      </c>
      <c r="AF83" t="inlineStr">
        <is>
          <t>NEED_SOURCE</t>
        </is>
      </c>
      <c r="AG83" t="inlineStr">
        <is>
          <t>NEED_SOURCE</t>
        </is>
      </c>
      <c r="AH83" t="inlineStr">
        <is>
          <t>NEED_SOURCE</t>
        </is>
      </c>
      <c r="AI83" t="inlineStr">
        <is>
          <t>NEED_SOURCE</t>
        </is>
      </c>
      <c r="AJ83" t="inlineStr">
        <is>
          <t>Tools/docs/unit_refs.json: sea_cruiser; Tools/models/reference_real.json: units.sea_cruiser</t>
        </is>
      </c>
      <c r="AK83" t="inlineStr"/>
    </row>
    <row r="84">
      <c r="A84" t="inlineStr">
        <is>
          <t>shahed_truck</t>
        </is>
      </c>
      <c r="B84" t="inlineStr">
        <is>
          <t>shahed_truck</t>
        </is>
      </c>
      <c r="C84" t="inlineStr">
        <is>
          <t>Xe phóng drone cảm tử tầm xa</t>
        </is>
      </c>
      <c r="D84" t="inlineStr">
        <is>
          <t>doi_that</t>
        </is>
      </c>
      <c r="E84" t="inlineStr">
        <is>
          <t>Shahed-136 (Geran-2)</t>
        </is>
      </c>
      <c r="F84" t="inlineStr">
        <is>
          <t>NEED_SOURCE</t>
        </is>
      </c>
      <c r="G84" t="inlineStr">
        <is>
          <t>NEED_SOURCE</t>
        </is>
      </c>
      <c r="H84" t="inlineStr"/>
      <c r="I84" t="inlineStr"/>
      <c r="J84" t="inlineStr"/>
      <c r="K84" t="inlineStr">
        <is>
          <t>Xe tải phóng drone cánh tam giác Shahed trên giàn 5 ray</t>
        </is>
      </c>
      <c r="L84" t="inlineStr"/>
      <c r="M84" t="inlineStr"/>
      <c r="N84" t="inlineStr"/>
      <c r="O84" t="inlineStr">
        <is>
          <t>ban_dau_doan</t>
        </is>
      </c>
      <c r="P84" t="inlineStr">
        <is>
          <t>R_unit_refs;R_unit_sheet;R_machine_brigade_can_bang;R_shahed_truck</t>
        </is>
      </c>
      <c r="Q84" t="inlineStr"/>
      <c r="R8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4" t="inlineStr">
        <is>
          <t>NEED_SOURCE</t>
        </is>
      </c>
      <c r="T84" t="inlineStr">
        <is>
          <t>NEED_SOURCE</t>
        </is>
      </c>
      <c r="U84" t="inlineStr">
        <is>
          <t>NEED_SOURCE</t>
        </is>
      </c>
      <c r="X84" t="inlineStr">
        <is>
          <t>0,8 × xe tải phóng Shahed</t>
        </is>
      </c>
      <c r="Y84" t="inlineStr">
        <is>
          <t>Xe tải phóng drone cánh tam giác Shahed trên giàn 5 ray</t>
        </is>
      </c>
      <c r="Z84" t="inlineStr">
        <is>
          <t>Shahed-136 (Geran-2) — Xe tải phóng drone cánh tam giác Shahed trên giàn 5 ray</t>
        </is>
      </c>
      <c r="AA84" t="inlineStr">
        <is>
          <t>Shahed-136: 40–50 kg</t>
        </is>
      </c>
      <c r="AB84" t="inlineStr"/>
      <c r="AC84" t="inlineStr">
        <is>
          <t>Tools/blender/specs/shahed_truck.json: real = Shahed-136 (Geran-2) delta drones on a five-rail launch box (unit_refs); a bonneted 6x6 military truck; self-defence 12.7 mm (balance.json hmg_selfdef_15); confidence = xấp xỉ (Iranian launcher photographs and videos; the def's modelSize)</t>
        </is>
      </c>
      <c r="AD84" t="inlineStr">
        <is>
          <t>NEED_SOURCE</t>
        </is>
      </c>
      <c r="AE84" t="inlineStr">
        <is>
          <t>NEED_SOURCE</t>
        </is>
      </c>
      <c r="AF84" t="inlineStr">
        <is>
          <t>NEED_SOURCE</t>
        </is>
      </c>
      <c r="AG84" t="inlineStr">
        <is>
          <t>NEED_SOURCE</t>
        </is>
      </c>
      <c r="AH84" t="inlineStr">
        <is>
          <t>NEED_SOURCE</t>
        </is>
      </c>
      <c r="AI84" t="inlineStr">
        <is>
          <t>NEED_SOURCE</t>
        </is>
      </c>
      <c r="AJ84" t="inlineStr">
        <is>
          <t>Tools/docs/unit_refs.json: shahed_truck; Tools/models/reference_real.json: units.shahed_truck</t>
        </is>
      </c>
      <c r="AK84" t="inlineStr"/>
    </row>
    <row r="85">
      <c r="A85" t="inlineStr">
        <is>
          <t>shield_carrier</t>
        </is>
      </c>
      <c r="B85" t="inlineStr">
        <is>
          <t>shield_carrier</t>
        </is>
      </c>
      <c r="C85" t="inlineStr">
        <is>
          <t>Xe phát khiên</t>
        </is>
      </c>
      <c r="D85" t="inlineStr">
        <is>
          <t>doi_that</t>
        </is>
      </c>
      <c r="E85" t="inlineStr">
        <is>
          <t>xe 8x8 kiểu Boxer / Stryker</t>
        </is>
      </c>
      <c r="F85" t="inlineStr">
        <is>
          <t>NEED_SOURCE</t>
        </is>
      </c>
      <c r="G85" t="inlineStr">
        <is>
          <t>NEED_SOURCE</t>
        </is>
      </c>
      <c r="H85" t="inlineStr">
        <is>
          <t>StarCraft II;Halo 3</t>
        </is>
      </c>
      <c r="I85" t="inlineStr">
        <is>
          <t>hình dáng: Shield Battery;hình dáng: Bubble Shield</t>
        </is>
      </c>
      <c r="J85" t="inlineStr"/>
      <c r="K85" t="inlineStr">
        <is>
          <t>xe 8x8 mang máy phát khiên năng lượng trên cột lưới</t>
        </is>
      </c>
      <c r="L85" t="inlineStr"/>
      <c r="M85" t="inlineStr"/>
      <c r="N85" t="inlineStr"/>
      <c r="O85" t="inlineStr">
        <is>
          <t>uoc_dinh</t>
        </is>
      </c>
      <c r="P85" t="inlineStr">
        <is>
          <t>R_unit_refs;R_reference_real;W_wikipedia_boxer_armoured_fighting_vehicle;R_unit_sheet;R_machine_brigade_can_bang;R_shield_carrier</t>
        </is>
      </c>
      <c r="Q85" t="inlineStr"/>
      <c r="R8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5">
        <f>INDEX(xe_input_kich_thuoc_that!$B$2:$B$66,MATCH($B$85,xe_input_kich_thuoc_that!$A$2:$A$66,0))</f>
        <v/>
      </c>
      <c r="T85">
        <f>INDEX(xe_input_kich_thuoc_that!$C$2:$C$66,MATCH($B$85,xe_input_kich_thuoc_that!$A$2:$A$66,0))</f>
        <v/>
      </c>
      <c r="U85">
        <f>INDEX(xe_input_kich_thuoc_that!$D$2:$D$66,MATCH($B$85,xe_input_kich_thuoc_that!$A$2:$A$66,0))</f>
        <v/>
      </c>
      <c r="V85" t="inlineStr">
        <is>
          <t>Boxer 8x8</t>
        </is>
      </c>
      <c r="W85" t="inlineStr">
        <is>
          <t>high</t>
        </is>
      </c>
      <c r="X85" t="inlineStr">
        <is>
          <t>0,8 × Boxer 8x8 (khung</t>
        </is>
      </c>
      <c r="Y85" t="inlineStr">
        <is>
          <t>ước đoán: xe 8x8 mang máy phát khiên năng lượng trên cột lưới</t>
        </is>
      </c>
      <c r="Z85" t="inlineStr">
        <is>
          <t>xe 8x8 kiểu Boxer / Stryker · Shield Battery (StarCraft II), Bubble Shield (Halo 3) — ước đoán: xe 8x8 mang máy phát khiên năng lượng</t>
        </is>
      </c>
      <c r="AA85" t="inlineStr"/>
      <c r="AB85" t="inlineStr"/>
      <c r="AC85" t="inlineStr">
        <is>
          <t>Tools/blender/specs/shield_carrier.json: real = Boxer 8x8 drive module (unit_refs: Boxer / Stryker) with a field-emitter mission module; M2 Browning 12.7 mm RWS; confidence = xấp xỉ (published layout and dimensions)</t>
        </is>
      </c>
      <c r="AD85" t="inlineStr">
        <is>
          <t>NEED_SOURCE</t>
        </is>
      </c>
      <c r="AE85" t="inlineStr">
        <is>
          <t>NEED_SOURCE</t>
        </is>
      </c>
      <c r="AF85" t="inlineStr">
        <is>
          <t>NEED_SOURCE</t>
        </is>
      </c>
      <c r="AG85" t="inlineStr">
        <is>
          <t>NEED_SOURCE</t>
        </is>
      </c>
      <c r="AH85" t="inlineStr">
        <is>
          <t>NEED_SOURCE</t>
        </is>
      </c>
      <c r="AI85" t="inlineStr">
        <is>
          <t>NEED_SOURCE</t>
        </is>
      </c>
      <c r="AJ85" t="inlineStr">
        <is>
          <t>Tools/docs/unit_refs.json: shield_carrier; Tools/models/reference_real.json: units.shield_carrier</t>
        </is>
      </c>
      <c r="AK85" t="inlineStr"/>
    </row>
    <row r="86">
      <c r="A86" t="inlineStr">
        <is>
          <t>shield_dome</t>
        </is>
      </c>
      <c r="B86" t="inlineStr">
        <is>
          <t>shield_dome</t>
        </is>
      </c>
      <c r="C86" t="inlineStr">
        <is>
          <t>Khiên vòm</t>
        </is>
      </c>
      <c r="D86" t="inlineStr">
        <is>
          <t>NEED_SOURCE</t>
        </is>
      </c>
      <c r="E86" t="inlineStr"/>
      <c r="F86" t="inlineStr">
        <is>
          <t>NEED_SOURCE</t>
        </is>
      </c>
      <c r="G86" t="inlineStr">
        <is>
          <t>NEED_SOURCE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NEED_SOURCE</t>
        </is>
      </c>
      <c r="P86" t="inlineStr"/>
      <c r="Q86" t="inlineStr">
        <is>
          <t>repo không có tham chiếu cho thực thể này (unit_refs.json, reference_real.json, bảng cân bằng)</t>
        </is>
      </c>
      <c r="R8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6" t="inlineStr"/>
      <c r="T86" t="inlineStr"/>
      <c r="U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Tools/docs/unit_refs.json: shield_dome; Tools/models/reference_real.json: units.shield_dome</t>
        </is>
      </c>
      <c r="AK86" t="inlineStr"/>
    </row>
    <row r="87">
      <c r="A87" t="inlineStr">
        <is>
          <t>siege_tank</t>
        </is>
      </c>
      <c r="B87" t="inlineStr">
        <is>
          <t>siege_tank</t>
        </is>
      </c>
      <c r="C87" t="inlineStr">
        <is>
          <t>Pháo cối công thành</t>
        </is>
      </c>
      <c r="D87" t="inlineStr">
        <is>
          <t>doi_that</t>
        </is>
      </c>
      <c r="E87" t="inlineStr">
        <is>
          <t>2S4 Tyulpan (2B8 240 mm);M110 (càng chống);2S7 Pion</t>
        </is>
      </c>
      <c r="F87" t="inlineStr">
        <is>
          <t>NEED_SOURCE</t>
        </is>
      </c>
      <c r="G87" t="inlineStr">
        <is>
          <t>NEED_SOURCE</t>
        </is>
      </c>
      <c r="H87" t="inlineStr">
        <is>
          <t>StarCraft II</t>
        </is>
      </c>
      <c r="I87" t="inlineStr">
        <is>
          <t>hình dáng: Siege Tank Crucio</t>
        </is>
      </c>
      <c r="J87" t="inlineStr"/>
      <c r="K87" t="inlineStr">
        <is>
          <t>Xe tăng công thành hai chế độ, dựng chân chống như StarCraft 2</t>
        </is>
      </c>
      <c r="L87" t="inlineStr"/>
      <c r="M87" t="inlineStr"/>
      <c r="N87" t="inlineStr"/>
      <c r="O87" t="inlineStr">
        <is>
          <t>uoc_dinh</t>
        </is>
      </c>
      <c r="P87" t="inlineStr">
        <is>
          <t>R_unit_refs;R_reference_real;W_wikipedia_2s4_tyulpan;R_unit_sheet;R_machine_brigade_can_bang;R_siege_tank</t>
        </is>
      </c>
      <c r="Q87" t="inlineStr"/>
      <c r="R8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7">
        <f>INDEX(xe_input_kich_thuoc_that!$B$2:$B$66,MATCH($B$87,xe_input_kich_thuoc_that!$A$2:$A$66,0))</f>
        <v/>
      </c>
      <c r="T87">
        <f>INDEX(xe_input_kich_thuoc_that!$C$2:$C$66,MATCH($B$87,xe_input_kich_thuoc_that!$A$2:$A$66,0))</f>
        <v/>
      </c>
      <c r="U87">
        <f>INDEX(xe_input_kich_thuoc_that!$D$2:$D$66,MATCH($B$87,xe_input_kich_thuoc_that!$A$2:$A$66,0))</f>
        <v/>
      </c>
      <c r="V87" t="inlineStr">
        <is>
          <t>2S4 Tyulpan</t>
        </is>
      </c>
      <c r="W87" t="inlineStr">
        <is>
          <t>approx</t>
        </is>
      </c>
      <c r="X87" t="inlineStr">
        <is>
          <t>0,8 × 2S4 Tyulpan</t>
        </is>
      </c>
      <c r="Y87" t="inlineStr">
        <is>
          <t>Xe tăng công thành hai chế độ, dựng chân chống như StarCraft 2</t>
        </is>
      </c>
      <c r="Z87" t="inlineStr">
        <is>
          <t>2S4 Tyulpan (2B8 240 mm), M110 (càng chống), 2S7 Pion · Siege Tank Crucio (StarCraft II) — Xe tăng công thành hai chế độ, dựng</t>
        </is>
      </c>
      <c r="AA87" t="inlineStr"/>
      <c r="AB87" t="inlineStr"/>
      <c r="AC87" t="inlineStr">
        <is>
          <t>Tools/blender/specs/siege_tank.json: real = 2S4 Tyulpan (2B8 240 mm); M110 (spades); 2S7 Pion; Siege Tank (StarCraft II) for the two modes; confidence = xấp xỉ (2S4 / M110 parts; the poses after VehicleView.Deploy's siege rig)</t>
        </is>
      </c>
      <c r="AD87" t="inlineStr">
        <is>
          <t>NEED_SOURCE</t>
        </is>
      </c>
      <c r="AE87" t="inlineStr">
        <is>
          <t>NEED_SOURCE</t>
        </is>
      </c>
      <c r="AF87" t="inlineStr">
        <is>
          <t>NEED_SOURCE</t>
        </is>
      </c>
      <c r="AG87" t="inlineStr">
        <is>
          <t>NEED_SOURCE</t>
        </is>
      </c>
      <c r="AH87" t="inlineStr">
        <is>
          <t>NEED_SOURCE</t>
        </is>
      </c>
      <c r="AI87" t="inlineStr">
        <is>
          <t>NEED_SOURCE</t>
        </is>
      </c>
      <c r="AJ87" t="inlineStr">
        <is>
          <t>Tools/docs/unit_refs.json: siege_tank; Tools/models/reference_real.json: units.siege_tank</t>
        </is>
      </c>
      <c r="AK87" t="inlineStr"/>
    </row>
    <row r="88">
      <c r="A88" t="inlineStr">
        <is>
          <t>sky_gunship</t>
        </is>
      </c>
      <c r="B88" t="inlineStr">
        <is>
          <t>sky_gunship</t>
        </is>
      </c>
      <c r="C88" t="inlineStr">
        <is>
          <t>Pháo hạm bay</t>
        </is>
      </c>
      <c r="D88" t="inlineStr">
        <is>
          <t>doi_that</t>
        </is>
      </c>
      <c r="E88" t="inlineStr">
        <is>
          <t>AC-130U Spooky (M102 105 mm, Bofors 40 mm, GAU-12 25 mm)</t>
        </is>
      </c>
      <c r="F88" t="inlineStr">
        <is>
          <t>NEED_SOURCE</t>
        </is>
      </c>
      <c r="G88" t="inlineStr">
        <is>
          <t>NEED_SOURCE</t>
        </is>
      </c>
      <c r="H88" t="inlineStr"/>
      <c r="I88" t="inlineStr"/>
      <c r="J88" t="inlineStr"/>
      <c r="K88" t="inlineStr">
        <is>
          <t>Pháo hạm bay bắn sang trái, dàn pháo theo AC-130U</t>
        </is>
      </c>
      <c r="L88" t="inlineStr"/>
      <c r="M88" t="inlineStr"/>
      <c r="N88" t="inlineStr"/>
      <c r="O88" t="inlineStr">
        <is>
          <t>da_kiem_chung</t>
        </is>
      </c>
      <c r="P88" t="inlineStr">
        <is>
          <t>R_unit_refs;R_reference_real;W_wikipedia_lockheed_ac_130;R_unit_sheet;R_machine_brigade_can_bang;R_sky_gunship</t>
        </is>
      </c>
      <c r="Q88" t="inlineStr"/>
      <c r="R8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8">
        <f>INDEX(xe_input_kich_thuoc_that!$B$2:$B$66,MATCH($B$88,xe_input_kich_thuoc_that!$A$2:$A$66,0))</f>
        <v/>
      </c>
      <c r="T88">
        <f>INDEX(xe_input_kich_thuoc_that!$C$2:$C$66,MATCH($B$88,xe_input_kich_thuoc_that!$A$2:$A$66,0))</f>
        <v/>
      </c>
      <c r="U88">
        <f>INDEX(xe_input_kich_thuoc_that!$D$2:$D$66,MATCH($B$88,xe_input_kich_thuoc_that!$A$2:$A$66,0))</f>
        <v/>
      </c>
      <c r="V88" t="inlineStr">
        <is>
          <t>AC-130U Spooky</t>
        </is>
      </c>
      <c r="W88" t="inlineStr">
        <is>
          <t>high</t>
        </is>
      </c>
      <c r="X88" t="inlineStr">
        <is>
          <t>0,4 × AC-130</t>
        </is>
      </c>
      <c r="Y88" t="inlineStr">
        <is>
          <t>Pháo hạm bay bắn sang trái, dàn pháo theo AC-130U</t>
        </is>
      </c>
      <c r="Z88" t="inlineStr">
        <is>
          <t>AC-130U Spooky (M102 105 mm, Bofors 40 mm, GAU-12 25 mm) — Pháo hạm bay bắn sang trái, dàn pháo theo AC-130U</t>
        </is>
      </c>
      <c r="AA88" t="inlineStr"/>
      <c r="AB88" t="inlineStr"/>
      <c r="AC88" t="inlineStr">
        <is>
          <t>Tools/blender/specs/sky_gunship.json: real = AC-130U Spooky (M102 105 mm, Bofors 40 mm, GAU-12 25 mm); confidence = xấp xỉ (AC-130U drawings at 0.4 x)</t>
        </is>
      </c>
      <c r="AD88" t="inlineStr">
        <is>
          <t>NEED_SOURCE</t>
        </is>
      </c>
      <c r="AE88" t="inlineStr">
        <is>
          <t>NEED_SOURCE</t>
        </is>
      </c>
      <c r="AF88" t="inlineStr">
        <is>
          <t>NEED_SOURCE</t>
        </is>
      </c>
      <c r="AG88" t="inlineStr">
        <is>
          <t>NEED_SOURCE</t>
        </is>
      </c>
      <c r="AH88" t="inlineStr">
        <is>
          <t>NEED_SOURCE</t>
        </is>
      </c>
      <c r="AI88" t="inlineStr">
        <is>
          <t>NEED_SOURCE</t>
        </is>
      </c>
      <c r="AJ88" t="inlineStr">
        <is>
          <t>Tools/docs/unit_refs.json: sky_gunship; Tools/models/reference_real.json: units.sky_gunship</t>
        </is>
      </c>
      <c r="AK88" t="inlineStr"/>
    </row>
    <row r="89">
      <c r="A89" t="inlineStr">
        <is>
          <t>sp_mortar</t>
        </is>
      </c>
      <c r="B89" t="inlineStr">
        <is>
          <t>sp_mortar</t>
        </is>
      </c>
      <c r="C89" t="inlineStr">
        <is>
          <t>Cối tự hành tháp kín</t>
        </is>
      </c>
      <c r="D89" t="inlineStr">
        <is>
          <t>NEED_SOURCE</t>
        </is>
      </c>
      <c r="E89" t="inlineStr"/>
      <c r="F89" t="inlineStr">
        <is>
          <t>NEED_SOURCE</t>
        </is>
      </c>
      <c r="G89" t="inlineStr">
        <is>
          <t>NEED_SOURCE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NEED_SOURCE</t>
        </is>
      </c>
      <c r="P89" t="inlineStr">
        <is>
          <t>R_sp_mortar</t>
        </is>
      </c>
      <c r="Q89" t="inlineStr">
        <is>
          <t>repo không có tham chiếu cho thực thể này (unit_refs.json, reference_real.json, bảng cân bằng)</t>
        </is>
      </c>
      <c r="R8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9" t="inlineStr">
        <is>
          <t>NEED_SOURCE</t>
        </is>
      </c>
      <c r="T89" t="inlineStr">
        <is>
          <t>NEED_SOURCE</t>
        </is>
      </c>
      <c r="U89" t="inlineStr">
        <is>
          <t>NEED_SOURCE</t>
        </is>
      </c>
      <c r="Z89" t="inlineStr"/>
      <c r="AA89" t="inlineStr"/>
      <c r="AB89" t="inlineStr"/>
      <c r="AC89" t="inlineStr">
        <is>
          <t>Tools/blender/specs/sp_mortar.json: real = Patria AMV 8x8 with the AMOS twin 120 mm mortar turret; confidence = cao (AMV hull and AMOS turret are well documented; drawn at modelSize)</t>
        </is>
      </c>
      <c r="AD89" t="inlineStr">
        <is>
          <t>NEED_SOURCE</t>
        </is>
      </c>
      <c r="AE89" t="inlineStr">
        <is>
          <t>NEED_SOURCE</t>
        </is>
      </c>
      <c r="AF89" t="inlineStr">
        <is>
          <t>NEED_SOURCE</t>
        </is>
      </c>
      <c r="AG89" t="inlineStr">
        <is>
          <t>NEED_SOURCE</t>
        </is>
      </c>
      <c r="AH89" t="inlineStr">
        <is>
          <t>NEED_SOURCE</t>
        </is>
      </c>
      <c r="AI89" t="inlineStr">
        <is>
          <t>NEED_SOURCE</t>
        </is>
      </c>
      <c r="AJ89" t="inlineStr">
        <is>
          <t>Tools/docs/unit_refs.json: sp_mortar; Tools/models/reference_real.json: units.sp_mortar</t>
        </is>
      </c>
      <c r="AK89" t="inlineStr"/>
    </row>
    <row r="90">
      <c r="A90" t="inlineStr">
        <is>
          <t>stealth_bomber</t>
        </is>
      </c>
      <c r="B90" t="inlineStr">
        <is>
          <t>stealth_bomber</t>
        </is>
      </c>
      <c r="C90" t="inlineStr">
        <is>
          <t>Oanh tạc cơ tàng hình</t>
        </is>
      </c>
      <c r="D90" t="inlineStr">
        <is>
          <t>doi_that</t>
        </is>
      </c>
      <c r="E90" t="inlineStr">
        <is>
          <t>B-2 Spirit;GBU-31 JDAM;AGM-158 JASSM</t>
        </is>
      </c>
      <c r="F90" t="inlineStr">
        <is>
          <t>NEED_SOURCE</t>
        </is>
      </c>
      <c r="G90" t="inlineStr">
        <is>
          <t>NEED_SOURCE</t>
        </is>
      </c>
      <c r="H90" t="inlineStr"/>
      <c r="I90" t="inlineStr"/>
      <c r="J90" t="inlineStr"/>
      <c r="K90" t="inlineStr">
        <is>
          <t>Máy bay ném bom tàng hình cánh bay</t>
        </is>
      </c>
      <c r="L90" t="inlineStr"/>
      <c r="M90" t="inlineStr"/>
      <c r="N90" t="inlineStr"/>
      <c r="O90" t="inlineStr">
        <is>
          <t>da_kiem_chung</t>
        </is>
      </c>
      <c r="P90" t="inlineStr">
        <is>
          <t>R_unit_refs;R_reference_real;W_wikipedia_northrop_b_2_spirit;R_unit_sheet;R_machine_brigade_can_bang;R_stealth_bomber</t>
        </is>
      </c>
      <c r="Q90" t="inlineStr"/>
      <c r="R9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0">
        <f>INDEX(xe_input_kich_thuoc_that!$B$2:$B$66,MATCH($B$90,xe_input_kich_thuoc_that!$A$2:$A$66,0))</f>
        <v/>
      </c>
      <c r="T90">
        <f>INDEX(xe_input_kich_thuoc_that!$C$2:$C$66,MATCH($B$90,xe_input_kich_thuoc_that!$A$2:$A$66,0))</f>
        <v/>
      </c>
      <c r="U90">
        <f>INDEX(xe_input_kich_thuoc_that!$D$2:$D$66,MATCH($B$90,xe_input_kich_thuoc_that!$A$2:$A$66,0))</f>
        <v/>
      </c>
      <c r="V90" t="inlineStr">
        <is>
          <t>B-2A Spirit</t>
        </is>
      </c>
      <c r="W90" t="inlineStr">
        <is>
          <t>high</t>
        </is>
      </c>
      <c r="X90" t="inlineStr">
        <is>
          <t>0,4 × B-2 Spirit</t>
        </is>
      </c>
      <c r="Y90" t="inlineStr">
        <is>
          <t>Máy bay ném bom tàng hình cánh bay</t>
        </is>
      </c>
      <c r="Z90" t="inlineStr">
        <is>
          <t>B-2 Spirit, GBU-31 JDAM, AGM-158 JASSM — Máy bay ném bom tàng hình cánh bay</t>
        </is>
      </c>
      <c r="AA90" t="inlineStr">
        <is>
          <t>B-2 ~2 tỷ USD | JASSM: đầu nổ 450 kg</t>
        </is>
      </c>
      <c r="AB90" t="inlineStr"/>
      <c r="AC90" t="inlineStr">
        <is>
          <t>Tools/blender/specs/stealth_bomber.json: real = B-2 Spirit; GBU-31 JDAM; AGM-158 JASSM; confidence = xấp xỉ (B-2 plan form and photographs at 0.4 x)</t>
        </is>
      </c>
      <c r="AD90" t="inlineStr">
        <is>
          <t>NEED_SOURCE</t>
        </is>
      </c>
      <c r="AE90" t="inlineStr">
        <is>
          <t>NEED_SOURCE</t>
        </is>
      </c>
      <c r="AF90" t="inlineStr">
        <is>
          <t>NEED_SOURCE</t>
        </is>
      </c>
      <c r="AG90" t="inlineStr">
        <is>
          <t>NEED_SOURCE</t>
        </is>
      </c>
      <c r="AH90" t="inlineStr">
        <is>
          <t>NEED_SOURCE</t>
        </is>
      </c>
      <c r="AI90" t="inlineStr">
        <is>
          <t>NEED_SOURCE</t>
        </is>
      </c>
      <c r="AJ90" t="inlineStr">
        <is>
          <t>Tools/docs/unit_refs.json: stealth_bomber; Tools/models/reference_real.json: units.stealth_bomber</t>
        </is>
      </c>
      <c r="AK90" t="inlineStr"/>
    </row>
    <row r="91">
      <c r="A91" t="inlineStr">
        <is>
          <t>stealth_fighter</t>
        </is>
      </c>
      <c r="B91" t="inlineStr">
        <is>
          <t>stealth_fighter</t>
        </is>
      </c>
      <c r="C91" t="inlineStr">
        <is>
          <t>Tiêm kích tàng hình</t>
        </is>
      </c>
      <c r="D91" t="inlineStr">
        <is>
          <t>doi_that</t>
        </is>
      </c>
      <c r="E91" t="inlineStr">
        <is>
          <t>F-22 Raptor (cánh hình thang, cửa hút gió caret, ống xả 2D, hai đuôi nghiêng);J-20 (mũi dài mảnh có gờ);YF-23 (thân dẹt, mỏng);Su-57 (hai khoang vũ khí nối tiếp giữa hai động cơ);F-35 (kính buồng lái liền một khối);GAU-22/A 25 mm</t>
        </is>
      </c>
      <c r="F91" t="inlineStr">
        <is>
          <t>NEED_SOURCE</t>
        </is>
      </c>
      <c r="G91" t="inlineStr">
        <is>
          <t>NEED_SOURCE</t>
        </is>
      </c>
      <c r="H91" t="inlineStr"/>
      <c r="I91" t="inlineStr"/>
      <c r="J91" t="inlineStr"/>
      <c r="K91" t="inlineStr">
        <is>
          <t>Tiêm kích tàng hình thế hệ năm: thân mảnh và dẹt, gờ sắc từ mũi loe ra thành vai nối vào gốc cánh, cánh hình thang rộng, hai đuôi nghiêng; màu xám thép, màu phe chỉ ở đầu đuôi, đầu cánh và cạnh buồng lái (play-test 9, DECISIONS 23M)</t>
        </is>
      </c>
      <c r="L91" t="inlineStr"/>
      <c r="M91" t="inlineStr"/>
      <c r="N91" t="inlineStr"/>
      <c r="O91" t="inlineStr">
        <is>
          <t>da_kiem_chung</t>
        </is>
      </c>
      <c r="P91" t="inlineStr">
        <is>
          <t>R_unit_refs;R_reference_real;W_wikipedia_lockheed_martin_f_22_raptor;R_unit_sheet;R_machine_brigade_can_bang;R_stealth_fighter</t>
        </is>
      </c>
      <c r="Q91" t="inlineStr"/>
      <c r="R9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1">
        <f>INDEX(xe_input_kich_thuoc_that!$B$2:$B$66,MATCH($B$91,xe_input_kich_thuoc_that!$A$2:$A$66,0))</f>
        <v/>
      </c>
      <c r="T91">
        <f>INDEX(xe_input_kich_thuoc_that!$C$2:$C$66,MATCH($B$91,xe_input_kich_thuoc_that!$A$2:$A$66,0))</f>
        <v/>
      </c>
      <c r="U91">
        <f>INDEX(xe_input_kich_thuoc_that!$D$2:$D$66,MATCH($B$91,xe_input_kich_thuoc_that!$A$2:$A$66,0))</f>
        <v/>
      </c>
      <c r="V91" t="inlineStr">
        <is>
          <t>F-22A Raptor</t>
        </is>
      </c>
      <c r="W91" t="inlineStr">
        <is>
          <t>high</t>
        </is>
      </c>
      <c r="X91" t="inlineStr">
        <is>
          <t>0,4 × F-22 / Su-57</t>
        </is>
      </c>
      <c r="Y91" t="inlineStr">
        <is>
          <t>Tiêm kích tàng hình thế hệ năm: thân mảnh và dẹt, gờ sắc từ mũi loe ra thành vai nối vào gốc cánh, cánh hình thang rộng, hai đuôi nghiêng; màu xám thép, màu phe chỉ ở đầu đuôi, đầu cánh và cạnh buồng lái (play-test 9, DECISIONS 23M)</t>
        </is>
      </c>
      <c r="Z91" t="inlineStr">
        <is>
          <t>F-22 Raptor, Su-57, GAU-22/A 25 mm — Tiêm kích tàng hình hai đuôi</t>
        </is>
      </c>
      <c r="AA91" t="inlineStr">
        <is>
          <t>F-22 mang 6 AIM-120 trong khoang</t>
        </is>
      </c>
      <c r="AB91" t="inlineStr"/>
      <c r="AC91" t="inlineStr">
        <is>
          <t>Tools/blender/specs/stealth_fighter.json: real = F-22 Raptor (trapezoid wing, caret intakes, 2D nozzles, canted tails); J-20 (long chined nose); F-35 (one-piece canopy); GAU-22/A 25 mm; confidence = xấp xỉ (F-22 / J-20 / F-35 photographs; the def's modelSize)</t>
        </is>
      </c>
      <c r="AD91" t="inlineStr">
        <is>
          <t>NEED_SOURCE</t>
        </is>
      </c>
      <c r="AE91" t="inlineStr">
        <is>
          <t>NEED_SOURCE</t>
        </is>
      </c>
      <c r="AF91" t="inlineStr">
        <is>
          <t>NEED_SOURCE</t>
        </is>
      </c>
      <c r="AG91" t="inlineStr">
        <is>
          <t>NEED_SOURCE</t>
        </is>
      </c>
      <c r="AH91" t="inlineStr">
        <is>
          <t>NEED_SOURCE</t>
        </is>
      </c>
      <c r="AI91" t="inlineStr">
        <is>
          <t>NEED_SOURCE</t>
        </is>
      </c>
      <c r="AJ91" t="inlineStr">
        <is>
          <t>Tools/docs/unit_refs.json: stealth_fighter; Tools/models/reference_real.json: units.stealth_fighter</t>
        </is>
      </c>
      <c r="AK91" t="inlineStr"/>
    </row>
    <row r="92">
      <c r="A92" t="inlineStr">
        <is>
          <t>stealth_naval_strike</t>
        </is>
      </c>
      <c r="B92" t="inlineStr">
        <is>
          <t>stealth_naval_strike</t>
        </is>
      </c>
      <c r="C92" t="inlineStr">
        <is>
          <t>Cường kích tàng hình trên hạm</t>
        </is>
      </c>
      <c r="D92" t="inlineStr">
        <is>
          <t>NEED_SOURCE</t>
        </is>
      </c>
      <c r="E92" t="inlineStr"/>
      <c r="F92" t="inlineStr">
        <is>
          <t>NEED_SOURCE</t>
        </is>
      </c>
      <c r="G92" t="inlineStr">
        <is>
          <t>NEED_SOURCE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NEED_SOURCE</t>
        </is>
      </c>
      <c r="P92" t="inlineStr">
        <is>
          <t>R_reference_real;W_wikipedia_northrop_b_2_spirit;R_stealth_naval_strike</t>
        </is>
      </c>
      <c r="Q92" t="inlineStr">
        <is>
          <t>repo không có tham chiếu cho thực thể này (unit_refs.json, reference_real.json, bảng cân bằng)</t>
        </is>
      </c>
      <c r="R9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2">
        <f>INDEX(xe_input_kich_thuoc_that!$B$2:$B$66,MATCH($B$92,xe_input_kich_thuoc_that!$A$2:$A$66,0))</f>
        <v/>
      </c>
      <c r="T92">
        <f>INDEX(xe_input_kich_thuoc_that!$C$2:$C$66,MATCH($B$92,xe_input_kich_thuoc_that!$A$2:$A$66,0))</f>
        <v/>
      </c>
      <c r="U92">
        <f>INDEX(xe_input_kich_thuoc_that!$D$2:$D$66,MATCH($B$92,xe_input_kich_thuoc_that!$A$2:$A$66,0))</f>
        <v/>
      </c>
      <c r="V92" t="inlineStr">
        <is>
          <t>B-2A Spirit (same frame as the stealth bomber)</t>
        </is>
      </c>
      <c r="W92" t="inlineStr">
        <is>
          <t>approx</t>
        </is>
      </c>
      <c r="Z92" t="inlineStr"/>
      <c r="AA92" t="inlineStr"/>
      <c r="AB92" t="inlineStr"/>
      <c r="AC92" t="inlineStr">
        <is>
          <t>Tools/blender/specs/stealth_naval_strike.json: real = A-12 Avenger II (cancelled US Navy carrier stealth attack aircraft): a triangular flying wing; confidence = xấp xỉ (published layout and dimensions)</t>
        </is>
      </c>
      <c r="AD92" t="inlineStr">
        <is>
          <t>NEED_SOURCE</t>
        </is>
      </c>
      <c r="AE92" t="inlineStr">
        <is>
          <t>NEED_SOURCE</t>
        </is>
      </c>
      <c r="AF92" t="inlineStr">
        <is>
          <t>NEED_SOURCE</t>
        </is>
      </c>
      <c r="AG92" t="inlineStr">
        <is>
          <t>NEED_SOURCE</t>
        </is>
      </c>
      <c r="AH92" t="inlineStr">
        <is>
          <t>NEED_SOURCE</t>
        </is>
      </c>
      <c r="AI92" t="inlineStr">
        <is>
          <t>NEED_SOURCE</t>
        </is>
      </c>
      <c r="AJ92" t="inlineStr">
        <is>
          <t>Tools/docs/unit_refs.json: stealth_naval_strike; Tools/models/reference_real.json: units.stealth_naval_strike</t>
        </is>
      </c>
      <c r="AK92" t="inlineStr"/>
    </row>
    <row r="93">
      <c r="A93" t="inlineStr">
        <is>
          <t>strike_drone</t>
        </is>
      </c>
      <c r="B93" t="inlineStr">
        <is>
          <t>strike_drone</t>
        </is>
      </c>
      <c r="C93" t="inlineStr">
        <is>
          <t>UAV tấn công</t>
        </is>
      </c>
      <c r="D93" t="inlineStr">
        <is>
          <t>doi_that</t>
        </is>
      </c>
      <c r="E93" t="inlineStr">
        <is>
          <t>MQ-9 Reaper;AGM-114 Hellfire;GBU-39 SDB</t>
        </is>
      </c>
      <c r="F93" t="inlineStr">
        <is>
          <t>NEED_SOURCE</t>
        </is>
      </c>
      <c r="G93" t="inlineStr">
        <is>
          <t>NEED_SOURCE</t>
        </is>
      </c>
      <c r="H93" t="inlineStr"/>
      <c r="I93" t="inlineStr"/>
      <c r="J93" t="inlineStr"/>
      <c r="K93" t="inlineStr">
        <is>
          <t>Drone tấn công tầm trung, đuôi chữ Y, cánh quạt đẩy</t>
        </is>
      </c>
      <c r="L93" t="inlineStr"/>
      <c r="M93" t="inlineStr"/>
      <c r="N93" t="inlineStr"/>
      <c r="O93" t="inlineStr">
        <is>
          <t>da_kiem_chung</t>
        </is>
      </c>
      <c r="P93" t="inlineStr">
        <is>
          <t>R_unit_refs;R_reference_real;W_wikipedia_general_atomics_mq_9_reaper;R_unit_sheet;R_machine_brigade_can_bang;R_strike_drone</t>
        </is>
      </c>
      <c r="Q93" t="inlineStr"/>
      <c r="R9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3">
        <f>INDEX(xe_input_kich_thuoc_that!$B$2:$B$66,MATCH($B$93,xe_input_kich_thuoc_that!$A$2:$A$66,0))</f>
        <v/>
      </c>
      <c r="T93">
        <f>INDEX(xe_input_kich_thuoc_that!$C$2:$C$66,MATCH($B$93,xe_input_kich_thuoc_that!$A$2:$A$66,0))</f>
        <v/>
      </c>
      <c r="U93">
        <f>INDEX(xe_input_kich_thuoc_that!$D$2:$D$66,MATCH($B$93,xe_input_kich_thuoc_that!$A$2:$A$66,0))</f>
        <v/>
      </c>
      <c r="V93" t="inlineStr">
        <is>
          <t>MQ-9A Reaper</t>
        </is>
      </c>
      <c r="W93" t="inlineStr">
        <is>
          <t>high</t>
        </is>
      </c>
      <c r="X93" t="inlineStr">
        <is>
          <t>0,4 × MQ-9 Reaper</t>
        </is>
      </c>
      <c r="Y93" t="inlineStr">
        <is>
          <t>Drone tấn công tầm trung, đuôi chữ Y, cánh quạt đẩy</t>
        </is>
      </c>
      <c r="Z93" t="inlineStr">
        <is>
          <t>MQ-9 Reaper, AGM-114 Hellfire, GBU-39 SDB — Drone tấn công tầm trung, đuôi chữ Y, cánh quạt đẩy</t>
        </is>
      </c>
      <c r="AA93" t="inlineStr">
        <is>
          <t>MQ-9 Reaper ~30 triệu USD, mang 4 Hellfire</t>
        </is>
      </c>
      <c r="AB93" t="inlineStr"/>
      <c r="AC93" t="inlineStr">
        <is>
          <t>Tools/blender/specs/strike_drone.json: real = MQ-9 Reaper; AGM-114 Hellfire; GBU-39 SDB; confidence = xấp xỉ (MQ-9 published photographs; flying, gear retracted)</t>
        </is>
      </c>
      <c r="AD93" t="inlineStr">
        <is>
          <t>NEED_SOURCE</t>
        </is>
      </c>
      <c r="AE93" t="inlineStr">
        <is>
          <t>NEED_SOURCE</t>
        </is>
      </c>
      <c r="AF93" t="inlineStr">
        <is>
          <t>NEED_SOURCE</t>
        </is>
      </c>
      <c r="AG93" t="inlineStr">
        <is>
          <t>NEED_SOURCE</t>
        </is>
      </c>
      <c r="AH93" t="inlineStr">
        <is>
          <t>NEED_SOURCE</t>
        </is>
      </c>
      <c r="AI93" t="inlineStr">
        <is>
          <t>NEED_SOURCE</t>
        </is>
      </c>
      <c r="AJ93" t="inlineStr">
        <is>
          <t>Tools/docs/unit_refs.json: strike_drone; Tools/models/reference_real.json: units.strike_drone</t>
        </is>
      </c>
      <c r="AK93" t="inlineStr"/>
    </row>
    <row r="94">
      <c r="A94" t="inlineStr">
        <is>
          <t>super_gun_shell</t>
        </is>
      </c>
      <c r="B94" t="inlineStr">
        <is>
          <t>super_gun_shell</t>
        </is>
      </c>
      <c r="C94" t="inlineStr">
        <is>
          <t>Đạn siêu pháo</t>
        </is>
      </c>
      <c r="D94" t="inlineStr">
        <is>
          <t>NEED_SOURCE</t>
        </is>
      </c>
      <c r="E94" t="inlineStr"/>
      <c r="F94" t="inlineStr">
        <is>
          <t>NEED_SOURCE</t>
        </is>
      </c>
      <c r="G94" t="inlineStr">
        <is>
          <t>NEED_SOURCE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NEED_SOURCE</t>
        </is>
      </c>
      <c r="P94" t="inlineStr"/>
      <c r="Q94" t="inlineStr">
        <is>
          <t>repo không có tham chiếu cho thực thể này (unit_refs.json, reference_real.json, bảng cân bằng)</t>
        </is>
      </c>
      <c r="R9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4" t="inlineStr"/>
      <c r="T94" t="inlineStr"/>
      <c r="U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Tools/docs/unit_refs.json: super_gun_shell; Tools/models/reference_real.json: units.super_gun_shell</t>
        </is>
      </c>
      <c r="AK94" t="inlineStr"/>
    </row>
    <row r="95">
      <c r="A95" t="inlineStr">
        <is>
          <t>supply_truck</t>
        </is>
      </c>
      <c r="B95" t="inlineStr">
        <is>
          <t>supply_truck</t>
        </is>
      </c>
      <c r="C95" t="inlineStr">
        <is>
          <t>Xe tải tiếp tế</t>
        </is>
      </c>
      <c r="D95" t="inlineStr">
        <is>
          <t>doi_that</t>
        </is>
      </c>
      <c r="E95" t="inlineStr">
        <is>
          <t>M977 HEMTT;KamAZ-5350;M2 Browning 12,7 mm</t>
        </is>
      </c>
      <c r="F95" t="inlineStr">
        <is>
          <t>NEED_SOURCE</t>
        </is>
      </c>
      <c r="G95" t="inlineStr">
        <is>
          <t>NEED_SOURCE</t>
        </is>
      </c>
      <c r="H95" t="inlineStr"/>
      <c r="I95" t="inlineStr"/>
      <c r="J95" t="inlineStr"/>
      <c r="K95" t="inlineStr">
        <is>
          <t>xe tải tiếp tế, súng máy trên vòng nóc</t>
        </is>
      </c>
      <c r="L95" t="inlineStr"/>
      <c r="M95" t="inlineStr"/>
      <c r="N95" t="inlineStr"/>
      <c r="O95" t="inlineStr">
        <is>
          <t>uoc_dinh</t>
        </is>
      </c>
      <c r="P95" t="inlineStr">
        <is>
          <t>R_unit_refs;R_reference_real;W_wikipedia_heavy_expanded_mobility_tactical_t;R_unit_sheet;R_machine_brigade_can_bang;R_supply_truck</t>
        </is>
      </c>
      <c r="Q95" t="inlineStr"/>
      <c r="R9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5">
        <f>INDEX(xe_input_kich_thuoc_that!$B$2:$B$66,MATCH($B$95,xe_input_kich_thuoc_that!$A$2:$A$66,0))</f>
        <v/>
      </c>
      <c r="T95">
        <f>INDEX(xe_input_kich_thuoc_that!$C$2:$C$66,MATCH($B$95,xe_input_kich_thuoc_that!$A$2:$A$66,0))</f>
        <v/>
      </c>
      <c r="U95">
        <f>INDEX(xe_input_kich_thuoc_that!$D$2:$D$66,MATCH($B$95,xe_input_kich_thuoc_that!$A$2:$A$66,0))</f>
        <v/>
      </c>
      <c r="V95" t="inlineStr">
        <is>
          <t>M977 HEMTT</t>
        </is>
      </c>
      <c r="W95" t="inlineStr">
        <is>
          <t>approx</t>
        </is>
      </c>
      <c r="X95" t="inlineStr">
        <is>
          <t>0,8 × M977 HEMTT</t>
        </is>
      </c>
      <c r="Y95" t="inlineStr">
        <is>
          <t>ước đoán: xe tải tiếp tế, súng máy trên vòng nóc</t>
        </is>
      </c>
      <c r="Z95" t="inlineStr">
        <is>
          <t>M977 HEMTT, KamAZ-5350, M2 Browning 12,7 mm — ước đoán: xe tải tiếp tế, súng máy trên vòng nóc</t>
        </is>
      </c>
      <c r="AA95" t="inlineStr"/>
      <c r="AB95" t="inlineStr"/>
      <c r="AC95" t="inlineStr">
        <is>
          <t>Tools/blender/specs/supply_truck.json: real = KamAZ-6350 (Mustang family, 8x8 cab-over cargo truck; unit_refs: KamAZ-5350, M977 HEMTT); M2 Browning 12.7 mm on a cab roof ring; confidence = xấp xỉ (KamAZ-6350 published dimensions; the sheet's 8 wheels; the M977 is the ammunition carrier's reference, so this one takes the KamAZ of unit_refs)</t>
        </is>
      </c>
      <c r="AD95" t="inlineStr">
        <is>
          <t>NEED_SOURCE</t>
        </is>
      </c>
      <c r="AE95" t="inlineStr">
        <is>
          <t>NEED_SOURCE</t>
        </is>
      </c>
      <c r="AF95" t="inlineStr">
        <is>
          <t>NEED_SOURCE</t>
        </is>
      </c>
      <c r="AG95" t="inlineStr">
        <is>
          <t>NEED_SOURCE</t>
        </is>
      </c>
      <c r="AH95" t="inlineStr">
        <is>
          <t>NEED_SOURCE</t>
        </is>
      </c>
      <c r="AI95" t="inlineStr">
        <is>
          <t>NEED_SOURCE</t>
        </is>
      </c>
      <c r="AJ95" t="inlineStr">
        <is>
          <t>Tools/docs/unit_refs.json: supply_truck; Tools/models/reference_real.json: units.supply_truck</t>
        </is>
      </c>
      <c r="AK95" t="inlineStr"/>
    </row>
    <row r="96">
      <c r="A96" t="inlineStr">
        <is>
          <t>swarm_carrier</t>
        </is>
      </c>
      <c r="B96" t="inlineStr">
        <is>
          <t>swarm_carrier</t>
        </is>
      </c>
      <c r="C96" t="inlineStr">
        <is>
          <t>Máy bay mẹ thả drone</t>
        </is>
      </c>
      <c r="D96" t="inlineStr">
        <is>
          <t>doi_that</t>
        </is>
      </c>
      <c r="E96" t="inlineStr">
        <is>
          <t>C-130 Hercules;drone FPV</t>
        </is>
      </c>
      <c r="F96" t="inlineStr">
        <is>
          <t>NEED_SOURCE</t>
        </is>
      </c>
      <c r="G96" t="inlineStr">
        <is>
          <t>NEED_SOURCE</t>
        </is>
      </c>
      <c r="H96" t="inlineStr"/>
      <c r="I96" t="inlineStr"/>
      <c r="J96" t="inlineStr"/>
      <c r="K96" t="inlineStr">
        <is>
          <t>Máy bay vận tải bốn động cơ thả bầy drone FPV</t>
        </is>
      </c>
      <c r="L96" t="inlineStr"/>
      <c r="M96" t="inlineStr"/>
      <c r="N96" t="inlineStr"/>
      <c r="O96" t="inlineStr">
        <is>
          <t>da_kiem_chung</t>
        </is>
      </c>
      <c r="P96" t="inlineStr">
        <is>
          <t>R_unit_refs;R_reference_real;W_wikipedia_lockheed_c_130_hercules;R_unit_sheet;R_machine_brigade_can_bang;R_swarm_carrier</t>
        </is>
      </c>
      <c r="Q96" t="inlineStr"/>
      <c r="R9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6">
        <f>INDEX(xe_input_kich_thuoc_that!$B$2:$B$66,MATCH($B$96,xe_input_kich_thuoc_that!$A$2:$A$66,0))</f>
        <v/>
      </c>
      <c r="T96">
        <f>INDEX(xe_input_kich_thuoc_that!$C$2:$C$66,MATCH($B$96,xe_input_kich_thuoc_that!$A$2:$A$66,0))</f>
        <v/>
      </c>
      <c r="U96">
        <f>INDEX(xe_input_kich_thuoc_that!$D$2:$D$66,MATCH($B$96,xe_input_kich_thuoc_that!$A$2:$A$66,0))</f>
        <v/>
      </c>
      <c r="V96" t="inlineStr">
        <is>
          <t>C-130H Hercules</t>
        </is>
      </c>
      <c r="W96" t="inlineStr">
        <is>
          <t>high</t>
        </is>
      </c>
      <c r="X96" t="inlineStr">
        <is>
          <t>0,4 × C-130 Hercules</t>
        </is>
      </c>
      <c r="Y96" t="inlineStr">
        <is>
          <t>Máy bay vận tải bốn động cơ thả bầy drone FPV</t>
        </is>
      </c>
      <c r="Z96" t="inlineStr">
        <is>
          <t>C-130 Hercules, drone FPV — Máy bay vận tải bốn động cơ thả bầy drone FPV</t>
        </is>
      </c>
      <c r="AA96" t="inlineStr">
        <is>
          <t>Rapid Dragon (C-130/C-17 thả JASSM-ER) | C-130</t>
        </is>
      </c>
      <c r="AB96" t="inlineStr"/>
      <c r="AC96" t="inlineStr">
        <is>
          <t>Tools/blender/specs/swarm_carrier.json: real = C-130J Super Hercules (four turboprops, six-bladed scimitar propellers); FPV drones dropped from the open cargo ramp; stand-off missiles (the def's jassm loads); confidence = xấp xỉ (C-130J published dimensions and drawings)</t>
        </is>
      </c>
      <c r="AD96" t="inlineStr">
        <is>
          <t>NEED_SOURCE</t>
        </is>
      </c>
      <c r="AE96" t="inlineStr">
        <is>
          <t>NEED_SOURCE</t>
        </is>
      </c>
      <c r="AF96" t="inlineStr">
        <is>
          <t>NEED_SOURCE</t>
        </is>
      </c>
      <c r="AG96" t="inlineStr">
        <is>
          <t>NEED_SOURCE</t>
        </is>
      </c>
      <c r="AH96" t="inlineStr">
        <is>
          <t>NEED_SOURCE</t>
        </is>
      </c>
      <c r="AI96" t="inlineStr">
        <is>
          <t>NEED_SOURCE</t>
        </is>
      </c>
      <c r="AJ96" t="inlineStr">
        <is>
          <t>Tools/docs/unit_refs.json: swarm_carrier; Tools/models/reference_real.json: units.swarm_carrier</t>
        </is>
      </c>
      <c r="AK96" t="inlineStr"/>
    </row>
    <row r="97">
      <c r="A97" t="inlineStr">
        <is>
          <t>tank_destroyer</t>
        </is>
      </c>
      <c r="B97" t="inlineStr">
        <is>
          <t>tank_destroyer</t>
        </is>
      </c>
      <c r="C97" t="inlineStr">
        <is>
          <t>Pháo chống tăng tự hành</t>
        </is>
      </c>
      <c r="D97" t="inlineStr">
        <is>
          <t>doi_that</t>
        </is>
      </c>
      <c r="E97" t="inlineStr">
        <is>
          <t>2S25 Sprut-SD (2A75 125 mm)</t>
        </is>
      </c>
      <c r="F97" t="inlineStr">
        <is>
          <t>NEED_SOURCE</t>
        </is>
      </c>
      <c r="G97" t="inlineStr">
        <is>
          <t>NEED_SOURCE</t>
        </is>
      </c>
      <c r="H97" t="inlineStr"/>
      <c r="I97" t="inlineStr"/>
      <c r="J97" t="inlineStr"/>
      <c r="K97" t="inlineStr">
        <is>
          <t>Pháo chống tăng thân thấp, tháp hở, nòng rất dài</t>
        </is>
      </c>
      <c r="L97" t="inlineStr"/>
      <c r="M97" t="inlineStr"/>
      <c r="N97" t="inlineStr"/>
      <c r="O97" t="inlineStr">
        <is>
          <t>uoc_dinh</t>
        </is>
      </c>
      <c r="P97" t="inlineStr">
        <is>
          <t>R_unit_refs;R_reference_real;W_wikipedia_2s25_sprut_sd;R_unit_sheet;R_machine_brigade_can_bang;R_tank_destroyer</t>
        </is>
      </c>
      <c r="Q97" t="inlineStr"/>
      <c r="R9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7">
        <f>INDEX(xe_input_kich_thuoc_that!$B$2:$B$66,MATCH($B$97,xe_input_kich_thuoc_that!$A$2:$A$66,0))</f>
        <v/>
      </c>
      <c r="T97">
        <f>INDEX(xe_input_kich_thuoc_that!$C$2:$C$66,MATCH($B$97,xe_input_kich_thuoc_that!$A$2:$A$66,0))</f>
        <v/>
      </c>
      <c r="U97">
        <f>INDEX(xe_input_kich_thuoc_that!$D$2:$D$66,MATCH($B$97,xe_input_kich_thuoc_that!$A$2:$A$66,0))</f>
        <v/>
      </c>
      <c r="V97" t="inlineStr">
        <is>
          <t>2S25 Sprut-SD</t>
        </is>
      </c>
      <c r="W97" t="inlineStr">
        <is>
          <t>approx</t>
        </is>
      </c>
      <c r="X97" t="inlineStr">
        <is>
          <t>0,8 × 2S25 Sprut-SD</t>
        </is>
      </c>
      <c r="Y97" t="inlineStr">
        <is>
          <t>Pháo chống tăng thân thấp, tháp hở, nòng rất dài</t>
        </is>
      </c>
      <c r="Z97" t="inlineStr">
        <is>
          <t>2S25 Sprut-SD (2A75 125 mm) — Pháo chống tăng thân thấp, tháp hở, nòng rất dài</t>
        </is>
      </c>
      <c r="AA97" t="inlineStr">
        <is>
          <t>2S25 Sprut-SD | Pháo 2A75: sơ tốc cao, bắn xa</t>
        </is>
      </c>
      <c r="AB97" t="inlineStr"/>
      <c r="AC97" t="inlineStr">
        <is>
          <t>Tools/blender/specs/tank_destroyer.json: real = 2S25 Sprut-SD (BMD-3 family chassis); 2A75 125 mm smoothbore; M2 Browning 12.7 mm (the def's roof MG); confidence = xấp xỉ (2S25 published dimensions and photographs)</t>
        </is>
      </c>
      <c r="AD97" t="inlineStr">
        <is>
          <t>NEED_SOURCE</t>
        </is>
      </c>
      <c r="AE97" t="inlineStr">
        <is>
          <t>NEED_SOURCE</t>
        </is>
      </c>
      <c r="AF97" t="inlineStr">
        <is>
          <t>NEED_SOURCE</t>
        </is>
      </c>
      <c r="AG97" t="inlineStr">
        <is>
          <t>NEED_SOURCE</t>
        </is>
      </c>
      <c r="AH97" t="inlineStr">
        <is>
          <t>NEED_SOURCE</t>
        </is>
      </c>
      <c r="AI97" t="inlineStr">
        <is>
          <t>NEED_SOURCE</t>
        </is>
      </c>
      <c r="AJ97" t="inlineStr">
        <is>
          <t>Tools/docs/unit_refs.json: tank_destroyer; Tools/models/reference_real.json: units.tank_destroyer</t>
        </is>
      </c>
      <c r="AK97" t="inlineStr"/>
    </row>
    <row r="98">
      <c r="A98" t="inlineStr">
        <is>
          <t>thermobaric_launcher</t>
        </is>
      </c>
      <c r="B98" t="inlineStr">
        <is>
          <t>thermobaric_launcher</t>
        </is>
      </c>
      <c r="C98" t="inlineStr">
        <is>
          <t>Pháo phản lực nhiệt áp</t>
        </is>
      </c>
      <c r="D98" t="inlineStr">
        <is>
          <t>doi_that</t>
        </is>
      </c>
      <c r="E98" t="inlineStr">
        <is>
          <t>TOS-1A Solntsepyok (khung T-72)</t>
        </is>
      </c>
      <c r="F98" t="inlineStr">
        <is>
          <t>NEED_SOURCE</t>
        </is>
      </c>
      <c r="G98" t="inlineStr">
        <is>
          <t>NEED_SOURCE</t>
        </is>
      </c>
      <c r="H98" t="inlineStr"/>
      <c r="I98" t="inlineStr"/>
      <c r="J98" t="inlineStr"/>
      <c r="K98" t="inlineStr">
        <is>
          <t>Giàn phóng rốc-két nhiệt áp 24 ống trên khung xe tăng</t>
        </is>
      </c>
      <c r="L98" t="inlineStr"/>
      <c r="M98" t="inlineStr"/>
      <c r="N98" t="inlineStr"/>
      <c r="O98" t="inlineStr">
        <is>
          <t>uoc_dinh</t>
        </is>
      </c>
      <c r="P98" t="inlineStr">
        <is>
          <t>R_unit_refs;R_reference_real;W_wikipedia_tos_1;R_unit_sheet;R_machine_brigade_can_bang;R_thermobaric_launcher</t>
        </is>
      </c>
      <c r="Q98" t="inlineStr"/>
      <c r="R9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8">
        <f>INDEX(xe_input_kich_thuoc_that!$B$2:$B$66,MATCH($B$98,xe_input_kich_thuoc_that!$A$2:$A$66,0))</f>
        <v/>
      </c>
      <c r="T98">
        <f>INDEX(xe_input_kich_thuoc_that!$C$2:$C$66,MATCH($B$98,xe_input_kich_thuoc_that!$A$2:$A$66,0))</f>
        <v/>
      </c>
      <c r="U98" t="inlineStr">
        <is>
          <t>NEED_SOURCE</t>
        </is>
      </c>
      <c r="V98" t="inlineStr">
        <is>
          <t>TOS-1A Solntsepyok</t>
        </is>
      </c>
      <c r="W98" t="inlineStr">
        <is>
          <t>approx</t>
        </is>
      </c>
      <c r="X98" t="inlineStr">
        <is>
          <t>0,8 × TOS-1A</t>
        </is>
      </c>
      <c r="Y98" t="inlineStr">
        <is>
          <t>Giàn phóng rốc-két nhiệt áp 24 ống trên khung xe tăng</t>
        </is>
      </c>
      <c r="Z98" t="inlineStr">
        <is>
          <t>TOS-1A Solntsepyok (khung T-72) — Giàn phóng rốc-két nhiệt áp 24 ống trên khung xe tăng</t>
        </is>
      </c>
      <c r="AA98" t="inlineStr">
        <is>
          <t>TOS-1A</t>
        </is>
      </c>
      <c r="AB98" t="inlineStr"/>
      <c r="AC98" t="inlineStr">
        <is>
          <t>Tools/blender/specs/thermobaric_launcher.json: real = TOS-1A Solntsepyok (T-72 chassis, 24-tube 220 mm launcher); confidence = xấp xỉ (TOS-1A photographs; sizes at the def's modelSize)</t>
        </is>
      </c>
      <c r="AD98" t="inlineStr">
        <is>
          <t>NEED_SOURCE</t>
        </is>
      </c>
      <c r="AE98" t="inlineStr">
        <is>
          <t>NEED_SOURCE</t>
        </is>
      </c>
      <c r="AF98" t="inlineStr">
        <is>
          <t>NEED_SOURCE</t>
        </is>
      </c>
      <c r="AG98" t="inlineStr">
        <is>
          <t>NEED_SOURCE</t>
        </is>
      </c>
      <c r="AH98" t="inlineStr">
        <is>
          <t>NEED_SOURCE</t>
        </is>
      </c>
      <c r="AI98" t="inlineStr">
        <is>
          <t>NEED_SOURCE</t>
        </is>
      </c>
      <c r="AJ98" t="inlineStr">
        <is>
          <t>Tools/docs/unit_refs.json: thermobaric_launcher; Tools/models/reference_real.json: units.thermobaric_launcher</t>
        </is>
      </c>
      <c r="AK98" t="inlineStr"/>
    </row>
    <row r="99">
      <c r="A99" t="inlineStr">
        <is>
          <t>titan_tank</t>
        </is>
      </c>
      <c r="B99" t="inlineStr">
        <is>
          <t>titan_tank</t>
        </is>
      </c>
      <c r="C99" t="inlineStr">
        <is>
          <t>Siêu tăng</t>
        </is>
      </c>
      <c r="D99" t="inlineStr">
        <is>
          <t>doi_that</t>
        </is>
      </c>
      <c r="E99" t="inlineStr">
        <is>
          <t>Rheinmetall NPzK 140 mm;dáng siêu tăng khái niệm tương lai</t>
        </is>
      </c>
      <c r="F99" t="inlineStr">
        <is>
          <t>NEED_SOURCE</t>
        </is>
      </c>
      <c r="G99" t="inlineStr">
        <is>
          <t>NEED_SOURCE</t>
        </is>
      </c>
      <c r="H99" t="inlineStr">
        <is>
          <t>Command &amp; Conquer</t>
        </is>
      </c>
      <c r="I99" t="inlineStr">
        <is>
          <t>hình dáng: Mammoth Tank</t>
        </is>
      </c>
      <c r="J99" t="inlineStr"/>
      <c r="K99" t="inlineStr">
        <is>
          <t>siêu tăng hai nòng 140 mm, giáp composite, APS và cảm biến hiện đại, có tháp phụ</t>
        </is>
      </c>
      <c r="L99" t="inlineStr"/>
      <c r="M99" t="inlineStr">
        <is>
          <t>gia_tuong</t>
        </is>
      </c>
      <c r="N99" t="inlineStr"/>
      <c r="O99" t="inlineStr">
        <is>
          <t>uoc_dinh</t>
        </is>
      </c>
      <c r="P99" t="inlineStr">
        <is>
          <t>R_unit_refs;R_reference_real;R_machine_brigade_can_bang;R_titan_tank</t>
        </is>
      </c>
      <c r="Q99" t="inlineStr">
        <is>
          <t>reference_real.json: fictional (mẫu 'Rheinmetall NPzK concept, a super tank', thiết kế giả tưởng)</t>
        </is>
      </c>
      <c r="R9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9" t="inlineStr">
        <is>
          <t>NEED_SOURCE</t>
        </is>
      </c>
      <c r="T99" t="inlineStr">
        <is>
          <t>NEED_SOURCE</t>
        </is>
      </c>
      <c r="U99" t="inlineStr">
        <is>
          <t>NEED_SOURCE</t>
        </is>
      </c>
      <c r="V99" t="inlineStr">
        <is>
          <t>Rheinmetall NPzK concept, a super tank</t>
        </is>
      </c>
      <c r="W99" t="inlineStr">
        <is>
          <t>inspiration</t>
        </is>
      </c>
      <c r="Y99" t="inlineStr">
        <is>
          <t>ước đoán: siêu tăng hai nòng 140 mm, giáp composite, APS và cảm biến hiện đại, có tháp phụ</t>
        </is>
      </c>
      <c r="Z99" t="inlineStr">
        <is>
          <t>Rheinmetall NPzK 140 mm, dáng siêu tăng khái niệm tương lai · Mammoth Tank (Command &amp; Conquer) — ước đoán: siêu tăng hai nòng 140 mm, giáp composite, APS và cảm biến hiện đại, có tháp phụ</t>
        </is>
      </c>
      <c r="AA99" t="inlineStr">
        <is>
          <t>Landkreuzer Ratte (thiết kế 1.000 tấn)</t>
        </is>
      </c>
      <c r="AB99" t="inlineStr"/>
      <c r="AC99" t="inlineStr">
        <is>
          <t>Tools/blender/specs/titan_tank.json: real = Rheinmetall NPzK 140 mm (twin); a future concept super tank: composite armour, APS (Trophy-class), sub-turret; confidence = ban_dau_doan (a concept tank after the sheet; gun and APS sized from NPzK / Trophy)</t>
        </is>
      </c>
      <c r="AD99" t="inlineStr">
        <is>
          <t>NEED_SOURCE</t>
        </is>
      </c>
      <c r="AE99" t="inlineStr">
        <is>
          <t>NEED_SOURCE</t>
        </is>
      </c>
      <c r="AF99" t="inlineStr">
        <is>
          <t>NEED_SOURCE</t>
        </is>
      </c>
      <c r="AG99" t="inlineStr">
        <is>
          <t>NEED_SOURCE</t>
        </is>
      </c>
      <c r="AH99" t="inlineStr">
        <is>
          <t>NEED_SOURCE</t>
        </is>
      </c>
      <c r="AI99" t="inlineStr">
        <is>
          <t>NEED_SOURCE</t>
        </is>
      </c>
      <c r="AJ99" t="inlineStr">
        <is>
          <t>Tools/docs/unit_refs.json: titan_tank; Tools/models/reference_real.json: units.titan_tank</t>
        </is>
      </c>
      <c r="AK99" t="inlineStr"/>
    </row>
    <row r="100">
      <c r="A100" t="inlineStr">
        <is>
          <t>twin_rotor_gunship</t>
        </is>
      </c>
      <c r="B100" t="inlineStr">
        <is>
          <t>twin_rotor_gunship</t>
        </is>
      </c>
      <c r="C100" t="inlineStr">
        <is>
          <t>Pháo hạm trực thăng hai rô-to</t>
        </is>
      </c>
      <c r="D100" t="inlineStr">
        <is>
          <t>NEED_SOURCE</t>
        </is>
      </c>
      <c r="E100" t="inlineStr"/>
      <c r="F100" t="inlineStr">
        <is>
          <t>NEED_SOURCE</t>
        </is>
      </c>
      <c r="G100" t="inlineStr">
        <is>
          <t>NEED_SOURCE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NEED_SOURCE</t>
        </is>
      </c>
      <c r="P100" t="inlineStr">
        <is>
          <t>R_twin_rotor_gunship</t>
        </is>
      </c>
      <c r="Q100" t="inlineStr">
        <is>
          <t>repo không có tham chiếu cho thực thể này (unit_refs.json, reference_real.json, bảng cân bằng)</t>
        </is>
      </c>
      <c r="R10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0" t="inlineStr">
        <is>
          <t>NEED_SOURCE</t>
        </is>
      </c>
      <c r="T100" t="inlineStr">
        <is>
          <t>NEED_SOURCE</t>
        </is>
      </c>
      <c r="U100" t="inlineStr">
        <is>
          <t>NEED_SOURCE</t>
        </is>
      </c>
      <c r="Z100" t="inlineStr"/>
      <c r="AA100" t="inlineStr"/>
      <c r="AB100" t="inlineStr"/>
      <c r="AC100" t="inlineStr">
        <is>
          <t>Tools/blender/specs/twin_rotor_gunship.json: real = Boeing ACH-47A 'Guns-A-Go-Go' (armed CH-47 Chinook); confidence = cao (ACH-47A is documented: chin M5 40 mm, pylon guns, door guns)</t>
        </is>
      </c>
      <c r="AD100" t="inlineStr">
        <is>
          <t>NEED_SOURCE</t>
        </is>
      </c>
      <c r="AE100" t="inlineStr">
        <is>
          <t>NEED_SOURCE</t>
        </is>
      </c>
      <c r="AF100" t="inlineStr">
        <is>
          <t>NEED_SOURCE</t>
        </is>
      </c>
      <c r="AG100" t="inlineStr">
        <is>
          <t>NEED_SOURCE</t>
        </is>
      </c>
      <c r="AH100" t="inlineStr">
        <is>
          <t>NEED_SOURCE</t>
        </is>
      </c>
      <c r="AI100" t="inlineStr">
        <is>
          <t>NEED_SOURCE</t>
        </is>
      </c>
      <c r="AJ100" t="inlineStr">
        <is>
          <t>Tools/docs/unit_refs.json: twin_rotor_gunship; Tools/models/reference_real.json: units.twin_rotor_gunship</t>
        </is>
      </c>
      <c r="AK100" t="inlineStr"/>
    </row>
    <row r="101">
      <c r="A101" t="inlineStr">
        <is>
          <t>twin_tank</t>
        </is>
      </c>
      <c r="B101" t="inlineStr">
        <is>
          <t>twin_tank</t>
        </is>
      </c>
      <c r="C101" t="inlineStr">
        <is>
          <t>Tăng hai nòng</t>
        </is>
      </c>
      <c r="D101" t="inlineStr">
        <is>
          <t>doi_that</t>
        </is>
      </c>
      <c r="E101" t="inlineStr">
        <is>
          <t>Rh-120 L/44 (hai nòng)</t>
        </is>
      </c>
      <c r="F101" t="inlineStr">
        <is>
          <t>NEED_SOURCE</t>
        </is>
      </c>
      <c r="G101" t="inlineStr">
        <is>
          <t>NEED_SOURCE</t>
        </is>
      </c>
      <c r="H101" t="inlineStr">
        <is>
          <t>Command &amp; Conquer;Red Alert 2</t>
        </is>
      </c>
      <c r="I101" t="inlineStr">
        <is>
          <t>hình dáng: Mammoth Tank;hình dáng: Apocalypse Tank</t>
        </is>
      </c>
      <c r="J101" t="inlineStr"/>
      <c r="K101" t="inlineStr">
        <is>
          <t>xe tăng hai nòng đặt song song</t>
        </is>
      </c>
      <c r="L101" t="inlineStr"/>
      <c r="M101" t="inlineStr">
        <is>
          <t>gia_tuong</t>
        </is>
      </c>
      <c r="N101" t="inlineStr"/>
      <c r="O101" t="inlineStr">
        <is>
          <t>uoc_dinh</t>
        </is>
      </c>
      <c r="P101" t="inlineStr">
        <is>
          <t>R_unit_refs;R_reference_real;R_machine_brigade_can_bang;R_twin_tank</t>
        </is>
      </c>
      <c r="Q101" t="inlineStr">
        <is>
          <t>reference_real.json: fictional (mẫu 'twin Rh-120 L/44 tank', thiết kế giả tưởng)</t>
        </is>
      </c>
      <c r="R10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1" t="inlineStr">
        <is>
          <t>NEED_SOURCE</t>
        </is>
      </c>
      <c r="T101" t="inlineStr">
        <is>
          <t>NEED_SOURCE</t>
        </is>
      </c>
      <c r="U101" t="inlineStr">
        <is>
          <t>NEED_SOURCE</t>
        </is>
      </c>
      <c r="V101" t="inlineStr">
        <is>
          <t>twin Rh-120 L/44 tank</t>
        </is>
      </c>
      <c r="W101" t="inlineStr">
        <is>
          <t>inspiration</t>
        </is>
      </c>
      <c r="Y101" t="inlineStr">
        <is>
          <t>ước đoán: xe tăng hai nòng đặt song song</t>
        </is>
      </c>
      <c r="Z101" t="inlineStr">
        <is>
          <t>Rh-120 L/44 (hai nòng) · Mammoth Tank (Command &amp; Conquer), Apocalypse Tank (Red Alert 2) — ước đoán: xe tăng hai nòng đặt</t>
        </is>
      </c>
      <c r="AA101" t="inlineStr"/>
      <c r="AB101" t="inlineStr"/>
      <c r="AC101" t="inlineStr">
        <is>
          <t>Tools/blender/specs/twin_tank.json: real = Rh-120 L/44 x 2 (sheet: a tank ~15 % bigger than the MBT with two parallel guns); Mammoth Tank (C&amp;C) / Apocalypse Tank (RA2) for the twin-gun idea; confidence = ban_dau_doan (a fictional twin-gun tank after the sheet; real parts sized from Leopard 2 / M1 practice)</t>
        </is>
      </c>
      <c r="AD101" t="inlineStr">
        <is>
          <t>NEED_SOURCE</t>
        </is>
      </c>
      <c r="AE101" t="inlineStr">
        <is>
          <t>NEED_SOURCE</t>
        </is>
      </c>
      <c r="AF101" t="inlineStr">
        <is>
          <t>NEED_SOURCE</t>
        </is>
      </c>
      <c r="AG101" t="inlineStr">
        <is>
          <t>NEED_SOURCE</t>
        </is>
      </c>
      <c r="AH101" t="inlineStr">
        <is>
          <t>NEED_SOURCE</t>
        </is>
      </c>
      <c r="AI101" t="inlineStr">
        <is>
          <t>NEED_SOURCE</t>
        </is>
      </c>
      <c r="AJ101" t="inlineStr">
        <is>
          <t>Tools/docs/unit_refs.json: twin_tank; Tools/models/reference_real.json: units.twin_tank</t>
        </is>
      </c>
      <c r="AK101" t="inlineStr"/>
    </row>
    <row r="102">
      <c r="A102" t="inlineStr">
        <is>
          <t>vbied</t>
        </is>
      </c>
      <c r="B102" t="inlineStr">
        <is>
          <t>vbied</t>
        </is>
      </c>
      <c r="C102" t="inlineStr">
        <is>
          <t>Xe bom bọc thép</t>
        </is>
      </c>
      <c r="D102" t="inlineStr">
        <is>
          <t>doi_that</t>
        </is>
      </c>
      <c r="E102" t="inlineStr">
        <is>
          <t>xe bom tự sát bọc thép ở Mosul 2016-17 ('Iron Coffin')</t>
        </is>
      </c>
      <c r="F102" t="inlineStr">
        <is>
          <t>NEED_SOURCE</t>
        </is>
      </c>
      <c r="G102" t="inlineStr">
        <is>
          <t>NEED_SOURCE</t>
        </is>
      </c>
      <c r="H102" t="inlineStr"/>
      <c r="I102" t="inlineStr"/>
      <c r="J102" t="inlineStr"/>
      <c r="K102" t="inlineStr">
        <is>
          <t>Xe bán tải bom tự sát bọc thép hàn chắp vá</t>
        </is>
      </c>
      <c r="L102" t="inlineStr"/>
      <c r="M102" t="inlineStr">
        <is>
          <t>gia_tuong</t>
        </is>
      </c>
      <c r="N102" t="inlineStr"/>
      <c r="O102" t="inlineStr">
        <is>
          <t>ban_dau_doan</t>
        </is>
      </c>
      <c r="P102" t="inlineStr">
        <is>
          <t>R_unit_refs;R_reference_real;R_unit_sheet;R_machine_brigade_can_bang;R_vbied</t>
        </is>
      </c>
      <c r="Q102" t="inlineStr">
        <is>
          <t>reference_real.json: improvised; no standard (mẫu 'armoured VBIED pickup (Mosul)', thiết kế giả tưởng)</t>
        </is>
      </c>
      <c r="R10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2" t="inlineStr">
        <is>
          <t>NEED_SOURCE</t>
        </is>
      </c>
      <c r="T102" t="inlineStr">
        <is>
          <t>NEED_SOURCE</t>
        </is>
      </c>
      <c r="U102" t="inlineStr">
        <is>
          <t>NEED_SOURCE</t>
        </is>
      </c>
      <c r="V102" t="inlineStr">
        <is>
          <t>armoured VBIED pickup (Mosul)</t>
        </is>
      </c>
      <c r="W102" t="inlineStr">
        <is>
          <t>inspiration</t>
        </is>
      </c>
      <c r="X102" t="inlineStr">
        <is>
          <t>0,8 × bán tải bọc thép chắp vá</t>
        </is>
      </c>
      <c r="Y102" t="inlineStr">
        <is>
          <t>Xe bán tải bom tự sát bọc thép hàn chắp vá</t>
        </is>
      </c>
      <c r="Z102" t="inlineStr">
        <is>
          <t>xe bom tự sát bọc thép ở Mosul 2016-17 ('Iron Coffin') — Xe bán tải bom tự sát bọc thép hàn chắp vá</t>
        </is>
      </c>
      <c r="AA102" t="inlineStr">
        <is>
          <t>"Iron Coffin" ở Mosul hàn thép dày phía trước | Thang bán kính nổ (sheet Tổng quan)</t>
        </is>
      </c>
      <c r="AB102" t="inlineStr"/>
      <c r="AC102" t="inlineStr">
        <is>
          <t>Tools/blender/specs/vbied.json: real = 'Iron Coffin' armoured suicide car bomb, Mosul 2016-17 (a civilian double-cab pickup under welded plate); confidence = ban_dau_doan (no drawing of one specific vehicle: features from the sheet and published photographs of Mosul VBIEDs; nothing beyond them)</t>
        </is>
      </c>
      <c r="AD102" t="inlineStr">
        <is>
          <t>NEED_SOURCE</t>
        </is>
      </c>
      <c r="AE102" t="inlineStr">
        <is>
          <t>NEED_SOURCE</t>
        </is>
      </c>
      <c r="AF102" t="inlineStr">
        <is>
          <t>NEED_SOURCE</t>
        </is>
      </c>
      <c r="AG102" t="inlineStr">
        <is>
          <t>NEED_SOURCE</t>
        </is>
      </c>
      <c r="AH102" t="inlineStr">
        <is>
          <t>NEED_SOURCE</t>
        </is>
      </c>
      <c r="AI102" t="inlineStr">
        <is>
          <t>NEED_SOURCE</t>
        </is>
      </c>
      <c r="AJ102" t="inlineStr">
        <is>
          <t>Tools/docs/unit_refs.json: vbied; Tools/models/reference_real.json: units.vbied</t>
        </is>
      </c>
      <c r="AK102" t="inlineStr"/>
    </row>
    <row r="103">
      <c r="A103" t="inlineStr">
        <is>
          <t>wheeled_gun</t>
        </is>
      </c>
      <c r="B103" t="inlineStr">
        <is>
          <t>wheeled_gun</t>
        </is>
      </c>
      <c r="C103" t="inlineStr">
        <is>
          <t>Pháo xung kích bánh lốp</t>
        </is>
      </c>
      <c r="D103" t="inlineStr">
        <is>
          <t>doi_that</t>
        </is>
      </c>
      <c r="E103" t="inlineStr">
        <is>
          <t>Centauro B1 / Centauro II 120 mm;M1128 MGS;Rooikat</t>
        </is>
      </c>
      <c r="F103" t="inlineStr">
        <is>
          <t>NEED_SOURCE</t>
        </is>
      </c>
      <c r="G103" t="inlineStr">
        <is>
          <t>NEED_SOURCE</t>
        </is>
      </c>
      <c r="H103" t="inlineStr"/>
      <c r="I103" t="inlineStr"/>
      <c r="J103" t="inlineStr"/>
      <c r="K103" t="inlineStr">
        <is>
          <t>Pháo chống tăng bánh lốp 8x8</t>
        </is>
      </c>
      <c r="L103" t="inlineStr"/>
      <c r="M103" t="inlineStr"/>
      <c r="N103" t="inlineStr"/>
      <c r="O103" t="inlineStr">
        <is>
          <t>da_kiem_chung</t>
        </is>
      </c>
      <c r="P103" t="inlineStr">
        <is>
          <t>R_unit_refs;R_reference_real;W_wikipedia_b1_centauro;R_unit_sheet;R_machine_brigade_can_bang;R_wheeled_gun</t>
        </is>
      </c>
      <c r="Q103" t="inlineStr"/>
      <c r="R10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3">
        <f>INDEX(xe_input_kich_thuoc_that!$B$2:$B$66,MATCH($B$103,xe_input_kich_thuoc_that!$A$2:$A$66,0))</f>
        <v/>
      </c>
      <c r="T103">
        <f>INDEX(xe_input_kich_thuoc_that!$C$2:$C$66,MATCH($B$103,xe_input_kich_thuoc_that!$A$2:$A$66,0))</f>
        <v/>
      </c>
      <c r="U103">
        <f>INDEX(xe_input_kich_thuoc_that!$D$2:$D$66,MATCH($B$103,xe_input_kich_thuoc_that!$A$2:$A$66,0))</f>
        <v/>
      </c>
      <c r="V103" t="inlineStr">
        <is>
          <t>B1 Centauro</t>
        </is>
      </c>
      <c r="W103" t="inlineStr">
        <is>
          <t>high</t>
        </is>
      </c>
      <c r="X103" t="inlineStr">
        <is>
          <t>0,8 × Centauro II</t>
        </is>
      </c>
      <c r="Y103" t="inlineStr">
        <is>
          <t>Pháo chống tăng bánh lốp 8x8</t>
        </is>
      </c>
      <c r="Z103" t="inlineStr">
        <is>
          <t>Centauro B1 / Centauro II 120 mm, M1128 MGS, Rooikat — Pháo chống tăng bánh lốp 8x8</t>
        </is>
      </c>
      <c r="AA103" t="inlineStr">
        <is>
          <t>Centauro II: giáp chống 14,5–30 mm | Centauro II nạp tay</t>
        </is>
      </c>
      <c r="AB103" t="inlineStr"/>
      <c r="AC103" t="inlineStr">
        <is>
          <t>Tools/blender/specs/wheeled_gun.json: real = Centauro II (0.8 x) with the Hitfact II turret; 120/45 mm gun; PKT / M240 coax; M2 Browning 12.7 mm; confidence = tham_khao_thuc (Centauro II layout: engine front right, driver front left)</t>
        </is>
      </c>
      <c r="AD103" t="inlineStr">
        <is>
          <t>NEED_SOURCE</t>
        </is>
      </c>
      <c r="AE103" t="inlineStr">
        <is>
          <t>NEED_SOURCE</t>
        </is>
      </c>
      <c r="AF103" t="inlineStr">
        <is>
          <t>NEED_SOURCE</t>
        </is>
      </c>
      <c r="AG103" t="inlineStr">
        <is>
          <t>NEED_SOURCE</t>
        </is>
      </c>
      <c r="AH103" t="inlineStr">
        <is>
          <t>NEED_SOURCE</t>
        </is>
      </c>
      <c r="AI103" t="inlineStr">
        <is>
          <t>NEED_SOURCE</t>
        </is>
      </c>
      <c r="AJ103" t="inlineStr">
        <is>
          <t>Tools/docs/unit_refs.json: wheeled_gun; Tools/models/reference_real.json: units.wheeled_gun</t>
        </is>
      </c>
      <c r="AK103" t="inlineStr"/>
    </row>
    <row r="104">
      <c r="A104" t="inlineStr">
        <is>
          <t>zu23_technical</t>
        </is>
      </c>
      <c r="B104" t="inlineStr">
        <is>
          <t>zu23_technical</t>
        </is>
      </c>
      <c r="C104" t="inlineStr">
        <is>
          <t>Bán tải cao xạ</t>
        </is>
      </c>
      <c r="D104" t="inlineStr">
        <is>
          <t>doi_that</t>
        </is>
      </c>
      <c r="E104" t="inlineStr">
        <is>
          <t>Toyota Hilux;ZU-23-2 23 mm</t>
        </is>
      </c>
      <c r="F104" t="inlineStr">
        <is>
          <t>NEED_SOURCE</t>
        </is>
      </c>
      <c r="G104" t="inlineStr">
        <is>
          <t>NEED_SOURCE</t>
        </is>
      </c>
      <c r="H104" t="inlineStr"/>
      <c r="I104" t="inlineStr"/>
      <c r="J104" t="inlineStr"/>
      <c r="K104" t="inlineStr">
        <is>
          <t>Xe bán tải gắn pháo phòng không hai nòng ZU-23-2</t>
        </is>
      </c>
      <c r="L104" t="inlineStr"/>
      <c r="M104" t="inlineStr"/>
      <c r="N104" t="inlineStr"/>
      <c r="O104" t="inlineStr">
        <is>
          <t>uoc_dinh</t>
        </is>
      </c>
      <c r="P104" t="inlineStr">
        <is>
          <t>R_unit_refs;R_reference_real;D_toyota_hilux_an10_an20_specifications;R_unit_sheet;R_machine_brigade_can_bang;R_zu23_technical</t>
        </is>
      </c>
      <c r="Q104" t="inlineStr"/>
      <c r="R10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4">
        <f>INDEX(xe_input_kich_thuoc_that!$B$2:$B$66,MATCH($B$104,xe_input_kich_thuoc_that!$A$2:$A$66,0))</f>
        <v/>
      </c>
      <c r="T104">
        <f>INDEX(xe_input_kich_thuoc_that!$C$2:$C$66,MATCH($B$104,xe_input_kich_thuoc_that!$A$2:$A$66,0))</f>
        <v/>
      </c>
      <c r="U104">
        <f>INDEX(xe_input_kich_thuoc_that!$D$2:$D$66,MATCH($B$104,xe_input_kich_thuoc_that!$A$2:$A$66,0))</f>
        <v/>
      </c>
      <c r="V104" t="inlineStr">
        <is>
          <t>Toyota Hilux (7th gen, double cab)</t>
        </is>
      </c>
      <c r="W104" t="inlineStr">
        <is>
          <t>approx</t>
        </is>
      </c>
      <c r="X104" t="inlineStr">
        <is>
          <t>0,8 × Hilux + ZU-23-2</t>
        </is>
      </c>
      <c r="Y104" t="inlineStr">
        <is>
          <t>Xe bán tải gắn pháo phòng không hai nòng ZU-23-2</t>
        </is>
      </c>
      <c r="Z104" t="inlineStr">
        <is>
          <t>Toyota Hilux, ZU-23-2 23 mm — Xe bán tải gắn pháo phòng không hai nòng ZU-23-2</t>
        </is>
      </c>
      <c r="AA104" t="inlineStr">
        <is>
          <t>ZU-23-2: 2.000 phát/phút, tầm 2,5 km</t>
        </is>
      </c>
      <c r="AB104" t="inlineStr"/>
      <c r="AC104" t="inlineStr">
        <is>
          <t>Tools/blender/specs/zu23_technical.json: real = Toyota Hilux (7th generation, double cab); ZU-23-2 23 mm twin anti-aircraft gun; confidence = xấp xỉ (Hilux AN10/AN20 specifications, reference_dimensions.md approx)</t>
        </is>
      </c>
      <c r="AD104" t="inlineStr">
        <is>
          <t>NEED_SOURCE</t>
        </is>
      </c>
      <c r="AE104" t="inlineStr">
        <is>
          <t>NEED_SOURCE</t>
        </is>
      </c>
      <c r="AF104" t="inlineStr">
        <is>
          <t>NEED_SOURCE</t>
        </is>
      </c>
      <c r="AG104" t="inlineStr">
        <is>
          <t>NEED_SOURCE</t>
        </is>
      </c>
      <c r="AH104" t="inlineStr">
        <is>
          <t>NEED_SOURCE</t>
        </is>
      </c>
      <c r="AI104" t="inlineStr">
        <is>
          <t>NEED_SOURCE</t>
        </is>
      </c>
      <c r="AJ104" t="inlineStr">
        <is>
          <t>Tools/docs/unit_refs.json: zu23_technical; Tools/models/reference_real.json: units.zu23_technical</t>
        </is>
      </c>
      <c r="AK104" t="inlineStr"/>
    </row>
  </sheetData>
  <autoFilter ref="A1:AK10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60" customWidth="1" min="5" max="5"/>
    <col width="60" customWidth="1" min="6" max="6"/>
    <col width="15" customWidth="1" min="7" max="7"/>
    <col width="12" customWidth="1" min="8" max="8"/>
    <col width="12" customWidth="1" min="9" max="9"/>
    <col width="13" customWidth="1" min="10" max="10"/>
    <col width="60" customWidth="1" min="11" max="11"/>
    <col width="60" customWidth="1" min="12" max="12"/>
    <col width="14" customWidth="1" min="13" max="13"/>
    <col width="60" customWidth="1" min="14" max="14"/>
    <col width="60" customWidth="1" min="15" max="15"/>
    <col width="6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entity_id</t>
        </is>
      </c>
      <c r="C1" s="1" t="inlineStr">
        <is>
          <t>thong_so</t>
        </is>
      </c>
      <c r="D1" s="1" t="inlineStr">
        <is>
          <t>don_vi</t>
        </is>
      </c>
      <c r="E1" s="1" t="inlineStr">
        <is>
          <t>gia_tri_game</t>
        </is>
      </c>
      <c r="F1" s="1" t="inlineStr">
        <is>
          <t>gia_tri_that</t>
        </is>
      </c>
      <c r="G1" s="1" t="inlineStr">
        <is>
          <t>ty_le</t>
        </is>
      </c>
      <c r="H1" s="1" t="inlineStr">
        <is>
          <t>khoang_min</t>
        </is>
      </c>
      <c r="I1" s="1" t="inlineStr">
        <is>
          <t>khoang_max</t>
        </is>
      </c>
      <c r="J1" s="1" t="inlineStr">
        <is>
          <t>co_chu_dich</t>
        </is>
      </c>
      <c r="K1" s="1" t="inlineStr">
        <is>
          <t>ly_do</t>
        </is>
      </c>
      <c r="L1" s="1" t="inlineStr">
        <is>
          <t>co_lech_lon</t>
        </is>
      </c>
      <c r="M1" s="1" t="inlineStr">
        <is>
          <t>cho_quyet_id</t>
        </is>
      </c>
      <c r="N1" s="1" t="inlineStr">
        <is>
          <t>nguon_id</t>
        </is>
      </c>
      <c r="O1" s="1" t="inlineStr">
        <is>
          <t>ghi_chu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aa_vehicle/cao_m</t>
        </is>
      </c>
      <c r="B2" t="inlineStr">
        <is>
          <t>aa_vehicle</t>
        </is>
      </c>
      <c r="C2" t="inlineStr">
        <is>
          <t>cao_m</t>
        </is>
      </c>
      <c r="D2" t="inlineStr">
        <is>
          <t>m</t>
        </is>
      </c>
      <c r="E2">
        <f>INDEX(Xe!$EA$2:$EA$80,MATCH($B$2,Xe!$A$2:$A$80,0))</f>
        <v/>
      </c>
      <c r="F2">
        <f>INDEX(Phuong_tien_tham_chieu!$U$2:$U$104,MATCH("aa_vehicle",Phuong_tien_tham_chieu!$A$2:$A$104,0))</f>
        <v/>
      </c>
      <c r="G2">
        <f>$E$2/$F$2</f>
        <v/>
      </c>
      <c r="H2" t="n">
        <v>0.7</v>
      </c>
      <c r="I2" t="n">
        <v>1.4</v>
      </c>
      <c r="J2" t="b">
        <v>0</v>
      </c>
      <c r="K2" t="inlineStr"/>
      <c r="L2">
        <f>IF(ISNUMBER($H$2),AND(NOT($J$2),OR($G$2&lt;$H$2,$G$2&gt;$I$2)),FALSE)</f>
        <v/>
      </c>
      <c r="M2" t="inlineStr"/>
      <c r="N2" t="inlineStr">
        <is>
          <t>R_unit_refs;R_reference_real;W_wikipedia_flakpanzer_gepard;R_unit_sheet;R_machine_brigade_can_bang;R_aa_vehicle</t>
        </is>
      </c>
      <c r="O2" t="inlineStr">
        <is>
          <t>modelSize của dữ liệu / kích thước thật (reference_real.json)</t>
        </is>
      </c>
      <c r="P2" t="inlineStr">
        <is>
          <t>01_chien_dau/Xe.model_size_height_m; Tools/models/reference_real.json</t>
        </is>
      </c>
      <c r="Q2" t="inlineStr"/>
    </row>
    <row r="3">
      <c r="A3" t="inlineStr">
        <is>
          <t>aa_vehicle/cao_tren_dai</t>
        </is>
      </c>
      <c r="B3" t="inlineStr">
        <is>
          <t>aa_vehicle</t>
        </is>
      </c>
      <c r="C3" t="inlineStr">
        <is>
          <t>cao_tren_dai</t>
        </is>
      </c>
      <c r="D3" t="inlineStr"/>
      <c r="E3">
        <f>INDEX(Xe!$EA$2:$EA$80,MATCH($B$3,Xe!$A$2:$A$80,0))/INDEX(Xe!$EB$2:$EB$80,MATCH($B$3,Xe!$A$2:$A$80,0))</f>
        <v/>
      </c>
      <c r="F3">
        <f>INDEX(Phuong_tien_tham_chieu!$U$2:$U$104,MATCH("aa_vehicle",Phuong_tien_tham_chieu!$A$2:$A$104,0))/INDEX(Phuong_tien_tham_chieu!$S$2:$S$104,MATCH("aa_vehicle",Phuong_tien_tham_chieu!$A$2:$A$104,0))</f>
        <v/>
      </c>
      <c r="G3">
        <f>$E$3/$F$3</f>
        <v/>
      </c>
      <c r="H3" t="n">
        <v>0.9</v>
      </c>
      <c r="I3" t="n">
        <v>1.1</v>
      </c>
      <c r="J3" t="b">
        <v>0</v>
      </c>
      <c r="K3" t="inlineStr"/>
      <c r="L3">
        <f>IF(ISNUMBER($H$3),AND(NOT($J$3),OR($G$3&lt;$H$3,$G$3&gt;$I$3)),FALSE)</f>
        <v/>
      </c>
      <c r="M3" t="inlineStr"/>
      <c r="N3" t="inlineStr">
        <is>
          <t>R_unit_refs;R_reference_real;W_wikipedia_flakpanzer_gepard;R_unit_sheet;R_machine_brigade_can_bang;R_aa_vehicle</t>
        </is>
      </c>
      <c r="O3" t="inlineStr">
        <is>
          <t>tỷ lệ hình (MODEL_STANDARD 3.1: lệch quá 10 % là cờ)</t>
        </is>
      </c>
      <c r="P3" t="inlineStr">
        <is>
          <t>01_chien_dau/Xe; Tools/models/reference_real.json</t>
        </is>
      </c>
      <c r="Q3" t="inlineStr"/>
    </row>
    <row r="4">
      <c r="A4" t="inlineStr">
        <is>
          <t>aa_vehicle/dai_m</t>
        </is>
      </c>
      <c r="B4" t="inlineStr">
        <is>
          <t>aa_vehicle</t>
        </is>
      </c>
      <c r="C4" t="inlineStr">
        <is>
          <t>dai_m</t>
        </is>
      </c>
      <c r="D4" t="inlineStr">
        <is>
          <t>m</t>
        </is>
      </c>
      <c r="E4">
        <f>INDEX(Xe!$EB$2:$EB$80,MATCH($B$4,Xe!$A$2:$A$80,0))</f>
        <v/>
      </c>
      <c r="F4">
        <f>INDEX(Phuong_tien_tham_chieu!$S$2:$S$104,MATCH("aa_vehicle",Phuong_tien_tham_chieu!$A$2:$A$104,0))</f>
        <v/>
      </c>
      <c r="G4">
        <f>$E$4/$F$4</f>
        <v/>
      </c>
      <c r="H4" t="n">
        <v>0.7</v>
      </c>
      <c r="I4" t="n">
        <v>1.4</v>
      </c>
      <c r="J4" t="b">
        <v>0</v>
      </c>
      <c r="K4" t="inlineStr"/>
      <c r="L4">
        <f>IF(ISNUMBER($H$4),AND(NOT($J$4),OR($G$4&lt;$H$4,$G$4&gt;$I$4)),FALSE)</f>
        <v/>
      </c>
      <c r="M4" t="inlineStr"/>
      <c r="N4" t="inlineStr">
        <is>
          <t>R_unit_refs;R_reference_real;W_wikipedia_flakpanzer_gepard;R_unit_sheet;R_machine_brigade_can_bang;R_aa_vehicle</t>
        </is>
      </c>
      <c r="O4" t="inlineStr">
        <is>
          <t>modelSize của dữ liệu / kích thước thật (reference_real.json)</t>
        </is>
      </c>
      <c r="P4" t="inlineStr">
        <is>
          <t>01_chien_dau/Xe.model_size_length_m; Tools/models/reference_real.json</t>
        </is>
      </c>
      <c r="Q4" t="inlineStr"/>
    </row>
    <row r="5">
      <c r="A5" t="inlineStr">
        <is>
          <t>aa_vehicle/rong_m</t>
        </is>
      </c>
      <c r="B5" t="inlineStr">
        <is>
          <t>aa_vehicle</t>
        </is>
      </c>
      <c r="C5" t="inlineStr">
        <is>
          <t>rong_m</t>
        </is>
      </c>
      <c r="D5" t="inlineStr">
        <is>
          <t>m</t>
        </is>
      </c>
      <c r="E5">
        <f>INDEX(Xe!$EC$2:$EC$80,MATCH($B$5,Xe!$A$2:$A$80,0))</f>
        <v/>
      </c>
      <c r="F5">
        <f>INDEX(Phuong_tien_tham_chieu!$T$2:$T$104,MATCH("aa_vehicle",Phuong_tien_tham_chieu!$A$2:$A$104,0))</f>
        <v/>
      </c>
      <c r="G5">
        <f>$E$5/$F$5</f>
        <v/>
      </c>
      <c r="H5" t="n">
        <v>0.7</v>
      </c>
      <c r="I5" t="n">
        <v>1.4</v>
      </c>
      <c r="J5" t="b">
        <v>0</v>
      </c>
      <c r="K5" t="inlineStr"/>
      <c r="L5">
        <f>IF(ISNUMBER($H$5),AND(NOT($J$5),OR($G$5&lt;$H$5,$G$5&gt;$I$5)),FALSE)</f>
        <v/>
      </c>
      <c r="M5" t="inlineStr"/>
      <c r="N5" t="inlineStr">
        <is>
          <t>R_unit_refs;R_reference_real;W_wikipedia_flakpanzer_gepard;R_unit_sheet;R_machine_brigade_can_bang;R_aa_vehicle</t>
        </is>
      </c>
      <c r="O5" t="inlineStr">
        <is>
          <t>modelSize của dữ liệu / kích thước thật (reference_real.json)</t>
        </is>
      </c>
      <c r="P5" t="inlineStr">
        <is>
          <t>01_chien_dau/Xe.model_size_width_m; Tools/models/reference_real.json</t>
        </is>
      </c>
      <c r="Q5" t="inlineStr"/>
    </row>
    <row r="6">
      <c r="A6" t="inlineStr">
        <is>
          <t>aa_vehicle/rong_tren_dai</t>
        </is>
      </c>
      <c r="B6" t="inlineStr">
        <is>
          <t>aa_vehicle</t>
        </is>
      </c>
      <c r="C6" t="inlineStr">
        <is>
          <t>rong_tren_dai</t>
        </is>
      </c>
      <c r="D6" t="inlineStr"/>
      <c r="E6">
        <f>INDEX(Xe!$EC$2:$EC$80,MATCH($B$6,Xe!$A$2:$A$80,0))/INDEX(Xe!$EB$2:$EB$80,MATCH($B$6,Xe!$A$2:$A$80,0))</f>
        <v/>
      </c>
      <c r="F6">
        <f>INDEX(Phuong_tien_tham_chieu!$T$2:$T$104,MATCH("aa_vehicle",Phuong_tien_tham_chieu!$A$2:$A$104,0))/INDEX(Phuong_tien_tham_chieu!$S$2:$S$104,MATCH("aa_vehicle",Phuong_tien_tham_chieu!$A$2:$A$104,0))</f>
        <v/>
      </c>
      <c r="G6">
        <f>$E$6/$F$6</f>
        <v/>
      </c>
      <c r="H6" t="n">
        <v>0.9</v>
      </c>
      <c r="I6" t="n">
        <v>1.1</v>
      </c>
      <c r="J6" t="b">
        <v>0</v>
      </c>
      <c r="K6" t="inlineStr"/>
      <c r="L6">
        <f>IF(ISNUMBER($H$6),AND(NOT($J$6),OR($G$6&lt;$H$6,$G$6&gt;$I$6)),FALSE)</f>
        <v/>
      </c>
      <c r="M6" t="inlineStr"/>
      <c r="N6" t="inlineStr">
        <is>
          <t>R_unit_refs;R_reference_real;W_wikipedia_flakpanzer_gepard;R_unit_sheet;R_machine_brigade_can_bang;R_aa_vehicle</t>
        </is>
      </c>
      <c r="O6" t="inlineStr">
        <is>
          <t>tỷ lệ hình (MODEL_STANDARD 3.1: lệch quá 10 % là cờ)</t>
        </is>
      </c>
      <c r="P6" t="inlineStr">
        <is>
          <t>01_chien_dau/Xe; Tools/models/reference_real.json</t>
        </is>
      </c>
      <c r="Q6" t="inlineStr"/>
    </row>
    <row r="7">
      <c r="A7" t="inlineStr">
        <is>
          <t>ammo_carrier/cao_m</t>
        </is>
      </c>
      <c r="B7" t="inlineStr">
        <is>
          <t>ammo_carrier</t>
        </is>
      </c>
      <c r="C7" t="inlineStr">
        <is>
          <t>cao_m</t>
        </is>
      </c>
      <c r="D7" t="inlineStr">
        <is>
          <t>m</t>
        </is>
      </c>
      <c r="E7">
        <f>INDEX(Xe!$EA$2:$EA$80,MATCH($B$7,Xe!$A$2:$A$80,0))</f>
        <v/>
      </c>
      <c r="F7">
        <f>INDEX(Phuong_tien_tham_chieu!$U$2:$U$104,MATCH("ammo_carrier",Phuong_tien_tham_chieu!$A$2:$A$104,0))</f>
        <v/>
      </c>
      <c r="G7">
        <f>$E$7/$F$7</f>
        <v/>
      </c>
      <c r="H7" t="n">
        <v>0.7</v>
      </c>
      <c r="I7" t="n">
        <v>1.4</v>
      </c>
      <c r="J7" t="b">
        <v>0</v>
      </c>
      <c r="K7" t="inlineStr"/>
      <c r="L7">
        <f>IF(ISNUMBER($H$7),AND(NOT($J$7),OR($G$7&lt;$H$7,$G$7&gt;$I$7)),FALSE)</f>
        <v/>
      </c>
      <c r="M7" t="inlineStr"/>
      <c r="N7" t="inlineStr">
        <is>
          <t>R_unit_refs;R_reference_real;W_wikipedia_heavy_expanded_mobility_tactical_t;R_unit_sheet;R_machine_brigade_can_bang;R_ammo_carrier</t>
        </is>
      </c>
      <c r="O7" t="inlineStr">
        <is>
          <t>modelSize của dữ liệu / kích thước thật (reference_real.json)</t>
        </is>
      </c>
      <c r="P7" t="inlineStr">
        <is>
          <t>01_chien_dau/Xe.model_size_height_m; Tools/models/reference_real.json</t>
        </is>
      </c>
      <c r="Q7" t="inlineStr"/>
    </row>
    <row r="8">
      <c r="A8" t="inlineStr">
        <is>
          <t>ammo_carrier/cao_tren_dai</t>
        </is>
      </c>
      <c r="B8" t="inlineStr">
        <is>
          <t>ammo_carrier</t>
        </is>
      </c>
      <c r="C8" t="inlineStr">
        <is>
          <t>cao_tren_dai</t>
        </is>
      </c>
      <c r="D8" t="inlineStr"/>
      <c r="E8">
        <f>INDEX(Xe!$EA$2:$EA$80,MATCH($B$8,Xe!$A$2:$A$80,0))/INDEX(Xe!$EB$2:$EB$80,MATCH($B$8,Xe!$A$2:$A$80,0))</f>
        <v/>
      </c>
      <c r="F8">
        <f>INDEX(Phuong_tien_tham_chieu!$U$2:$U$104,MATCH("ammo_carrier",Phuong_tien_tham_chieu!$A$2:$A$104,0))/INDEX(Phuong_tien_tham_chieu!$S$2:$S$104,MATCH("ammo_carrier",Phuong_tien_tham_chieu!$A$2:$A$104,0))</f>
        <v/>
      </c>
      <c r="G8">
        <f>$E$8/$F$8</f>
        <v/>
      </c>
      <c r="H8" t="n">
        <v>0.9</v>
      </c>
      <c r="I8" t="n">
        <v>1.1</v>
      </c>
      <c r="J8" t="b">
        <v>0</v>
      </c>
      <c r="K8" t="inlineStr"/>
      <c r="L8">
        <f>IF(ISNUMBER($H$8),AND(NOT($J$8),OR($G$8&lt;$H$8,$G$8&gt;$I$8)),FALSE)</f>
        <v/>
      </c>
      <c r="M8" t="inlineStr"/>
      <c r="N8" t="inlineStr">
        <is>
          <t>R_unit_refs;R_reference_real;W_wikipedia_heavy_expanded_mobility_tactical_t;R_unit_sheet;R_machine_brigade_can_bang;R_ammo_carrier</t>
        </is>
      </c>
      <c r="O8" t="inlineStr">
        <is>
          <t>tỷ lệ hình (MODEL_STANDARD 3.1: lệch quá 10 % là cờ)</t>
        </is>
      </c>
      <c r="P8" t="inlineStr">
        <is>
          <t>01_chien_dau/Xe; Tools/models/reference_real.json</t>
        </is>
      </c>
      <c r="Q8" t="inlineStr"/>
    </row>
    <row r="9">
      <c r="A9" t="inlineStr">
        <is>
          <t>ammo_carrier/dai_m</t>
        </is>
      </c>
      <c r="B9" t="inlineStr">
        <is>
          <t>ammo_carrier</t>
        </is>
      </c>
      <c r="C9" t="inlineStr">
        <is>
          <t>dai_m</t>
        </is>
      </c>
      <c r="D9" t="inlineStr">
        <is>
          <t>m</t>
        </is>
      </c>
      <c r="E9">
        <f>INDEX(Xe!$EB$2:$EB$80,MATCH($B$9,Xe!$A$2:$A$80,0))</f>
        <v/>
      </c>
      <c r="F9">
        <f>INDEX(Phuong_tien_tham_chieu!$S$2:$S$104,MATCH("ammo_carrier",Phuong_tien_tham_chieu!$A$2:$A$104,0))</f>
        <v/>
      </c>
      <c r="G9">
        <f>$E$9/$F$9</f>
        <v/>
      </c>
      <c r="H9" t="n">
        <v>0.7</v>
      </c>
      <c r="I9" t="n">
        <v>1.4</v>
      </c>
      <c r="J9" t="b">
        <v>0</v>
      </c>
      <c r="K9" t="inlineStr"/>
      <c r="L9">
        <f>IF(ISNUMBER($H$9),AND(NOT($J$9),OR($G$9&lt;$H$9,$G$9&gt;$I$9)),FALSE)</f>
        <v/>
      </c>
      <c r="M9" t="inlineStr"/>
      <c r="N9" t="inlineStr">
        <is>
          <t>R_unit_refs;R_reference_real;W_wikipedia_heavy_expanded_mobility_tactical_t;R_unit_sheet;R_machine_brigade_can_bang;R_ammo_carrier</t>
        </is>
      </c>
      <c r="O9" t="inlineStr">
        <is>
          <t>modelSize của dữ liệu / kích thước thật (reference_real.json)</t>
        </is>
      </c>
      <c r="P9" t="inlineStr">
        <is>
          <t>01_chien_dau/Xe.model_size_length_m; Tools/models/reference_real.json</t>
        </is>
      </c>
      <c r="Q9" t="inlineStr"/>
    </row>
    <row r="10">
      <c r="A10" t="inlineStr">
        <is>
          <t>ammo_carrier/rong_m</t>
        </is>
      </c>
      <c r="B10" t="inlineStr">
        <is>
          <t>ammo_carrier</t>
        </is>
      </c>
      <c r="C10" t="inlineStr">
        <is>
          <t>rong_m</t>
        </is>
      </c>
      <c r="D10" t="inlineStr">
        <is>
          <t>m</t>
        </is>
      </c>
      <c r="E10">
        <f>INDEX(Xe!$EC$2:$EC$80,MATCH($B$10,Xe!$A$2:$A$80,0))</f>
        <v/>
      </c>
      <c r="F10">
        <f>INDEX(Phuong_tien_tham_chieu!$T$2:$T$104,MATCH("ammo_carrier",Phuong_tien_tham_chieu!$A$2:$A$104,0))</f>
        <v/>
      </c>
      <c r="G10">
        <f>$E$10/$F$10</f>
        <v/>
      </c>
      <c r="H10" t="n">
        <v>0.7</v>
      </c>
      <c r="I10" t="n">
        <v>1.4</v>
      </c>
      <c r="J10" t="b">
        <v>0</v>
      </c>
      <c r="K10" t="inlineStr"/>
      <c r="L10">
        <f>IF(ISNUMBER($H$10),AND(NOT($J$10),OR($G$10&lt;$H$10,$G$10&gt;$I$10)),FALSE)</f>
        <v/>
      </c>
      <c r="M10" t="inlineStr"/>
      <c r="N10" t="inlineStr">
        <is>
          <t>R_unit_refs;R_reference_real;W_wikipedia_heavy_expanded_mobility_tactical_t;R_unit_sheet;R_machine_brigade_can_bang;R_ammo_carrier</t>
        </is>
      </c>
      <c r="O10" t="inlineStr">
        <is>
          <t>modelSize của dữ liệu / kích thước thật (reference_real.json)</t>
        </is>
      </c>
      <c r="P10" t="inlineStr">
        <is>
          <t>01_chien_dau/Xe.model_size_width_m; Tools/models/reference_real.json</t>
        </is>
      </c>
      <c r="Q10" t="inlineStr"/>
    </row>
    <row r="11">
      <c r="A11" t="inlineStr">
        <is>
          <t>ammo_carrier/rong_tren_dai</t>
        </is>
      </c>
      <c r="B11" t="inlineStr">
        <is>
          <t>ammo_carrier</t>
        </is>
      </c>
      <c r="C11" t="inlineStr">
        <is>
          <t>rong_tren_dai</t>
        </is>
      </c>
      <c r="D11" t="inlineStr"/>
      <c r="E11">
        <f>INDEX(Xe!$EC$2:$EC$80,MATCH($B$11,Xe!$A$2:$A$80,0))/INDEX(Xe!$EB$2:$EB$80,MATCH($B$11,Xe!$A$2:$A$80,0))</f>
        <v/>
      </c>
      <c r="F11">
        <f>INDEX(Phuong_tien_tham_chieu!$T$2:$T$104,MATCH("ammo_carrier",Phuong_tien_tham_chieu!$A$2:$A$104,0))/INDEX(Phuong_tien_tham_chieu!$S$2:$S$104,MATCH("ammo_carrier",Phuong_tien_tham_chieu!$A$2:$A$104,0))</f>
        <v/>
      </c>
      <c r="G11">
        <f>$E$11/$F$11</f>
        <v/>
      </c>
      <c r="H11" t="n">
        <v>0.9</v>
      </c>
      <c r="I11" t="n">
        <v>1.1</v>
      </c>
      <c r="J11" t="b">
        <v>0</v>
      </c>
      <c r="K11" t="inlineStr"/>
      <c r="L11">
        <f>IF(ISNUMBER($H$11),AND(NOT($J$11),OR($G$11&lt;$H$11,$G$11&gt;$I$11)),FALSE)</f>
        <v/>
      </c>
      <c r="M11" t="inlineStr"/>
      <c r="N11" t="inlineStr">
        <is>
          <t>R_unit_refs;R_reference_real;W_wikipedia_heavy_expanded_mobility_tactical_t;R_unit_sheet;R_machine_brigade_can_bang;R_ammo_carrier</t>
        </is>
      </c>
      <c r="O11" t="inlineStr">
        <is>
          <t>tỷ lệ hình (MODEL_STANDARD 3.1: lệch quá 10 % là cờ)</t>
        </is>
      </c>
      <c r="P11" t="inlineStr">
        <is>
          <t>01_chien_dau/Xe; Tools/models/reference_real.json</t>
        </is>
      </c>
      <c r="Q11" t="inlineStr"/>
    </row>
    <row r="12">
      <c r="A12" t="inlineStr">
        <is>
          <t>armored_bulldozer/cao_m</t>
        </is>
      </c>
      <c r="B12" t="inlineStr">
        <is>
          <t>armored_bulldozer</t>
        </is>
      </c>
      <c r="C12" t="inlineStr">
        <is>
          <t>cao_m</t>
        </is>
      </c>
      <c r="D12" t="inlineStr">
        <is>
          <t>m</t>
        </is>
      </c>
      <c r="E12">
        <f>INDEX(Xe!$EA$2:$EA$80,MATCH($B$12,Xe!$A$2:$A$80,0))</f>
        <v/>
      </c>
      <c r="F12">
        <f>INDEX(Phuong_tien_tham_chieu!$U$2:$U$104,MATCH("armored_bulldozer",Phuong_tien_tham_chieu!$A$2:$A$104,0))</f>
        <v/>
      </c>
      <c r="G12">
        <f>$E$12/$F$12</f>
        <v/>
      </c>
      <c r="H12" t="n">
        <v>0.7</v>
      </c>
      <c r="I12" t="n">
        <v>1.4</v>
      </c>
      <c r="J12" t="b">
        <v>0</v>
      </c>
      <c r="K12" t="inlineStr"/>
      <c r="L12">
        <f>IF(ISNUMBER($H$12),AND(NOT($J$12),OR($G$12&lt;$H$12,$G$12&gt;$I$12)),FALSE)</f>
        <v/>
      </c>
      <c r="M12" t="inlineStr"/>
      <c r="N12" t="inlineStr">
        <is>
          <t>R_unit_refs;R_reference_real;D_caterpillar_d9r_specifications;R_unit_sheet;R_machine_brigade_can_bang;R_armored_bulldozer</t>
        </is>
      </c>
      <c r="O12" t="inlineStr">
        <is>
          <t>modelSize của dữ liệu / kích thước thật (reference_real.json)</t>
        </is>
      </c>
      <c r="P12" t="inlineStr">
        <is>
          <t>01_chien_dau/Xe.model_size_height_m; Tools/models/reference_real.json</t>
        </is>
      </c>
      <c r="Q12" t="inlineStr"/>
    </row>
    <row r="13">
      <c r="A13" t="inlineStr">
        <is>
          <t>armored_bulldozer/cao_tren_dai</t>
        </is>
      </c>
      <c r="B13" t="inlineStr">
        <is>
          <t>armored_bulldozer</t>
        </is>
      </c>
      <c r="C13" t="inlineStr">
        <is>
          <t>cao_tren_dai</t>
        </is>
      </c>
      <c r="D13" t="inlineStr"/>
      <c r="E13">
        <f>INDEX(Xe!$EA$2:$EA$80,MATCH($B$13,Xe!$A$2:$A$80,0))/INDEX(Xe!$EB$2:$EB$80,MATCH($B$13,Xe!$A$2:$A$80,0))</f>
        <v/>
      </c>
      <c r="F13">
        <f>INDEX(Phuong_tien_tham_chieu!$U$2:$U$104,MATCH("armored_bulldozer",Phuong_tien_tham_chieu!$A$2:$A$104,0))/INDEX(Phuong_tien_tham_chieu!$S$2:$S$104,MATCH("armored_bulldozer",Phuong_tien_tham_chieu!$A$2:$A$104,0))</f>
        <v/>
      </c>
      <c r="G13">
        <f>$E$13/$F$13</f>
        <v/>
      </c>
      <c r="H13" t="n">
        <v>0.9</v>
      </c>
      <c r="I13" t="n">
        <v>1.1</v>
      </c>
      <c r="J13" t="b">
        <v>0</v>
      </c>
      <c r="K13" t="inlineStr"/>
      <c r="L13">
        <f>IF(ISNUMBER($H$13),AND(NOT($J$13),OR($G$13&lt;$H$13,$G$13&gt;$I$13)),FALSE)</f>
        <v/>
      </c>
      <c r="M13" t="inlineStr">
        <is>
          <t>TC0074</t>
        </is>
      </c>
      <c r="N13" t="inlineStr">
        <is>
          <t>R_unit_refs;R_reference_real;D_caterpillar_d9r_specifications;R_unit_sheet;R_machine_brigade_can_bang;R_armored_bulldozer</t>
        </is>
      </c>
      <c r="O13" t="inlineStr">
        <is>
          <t>tỷ lệ hình (MODEL_STANDARD 3.1: lệch quá 10 % là cờ)</t>
        </is>
      </c>
      <c r="P13" t="inlineStr">
        <is>
          <t>01_chien_dau/Xe; Tools/models/reference_real.json</t>
        </is>
      </c>
      <c r="Q13" t="inlineStr"/>
    </row>
    <row r="14">
      <c r="A14" t="inlineStr">
        <is>
          <t>armored_bulldozer/dai_m</t>
        </is>
      </c>
      <c r="B14" t="inlineStr">
        <is>
          <t>armored_bulldozer</t>
        </is>
      </c>
      <c r="C14" t="inlineStr">
        <is>
          <t>dai_m</t>
        </is>
      </c>
      <c r="D14" t="inlineStr">
        <is>
          <t>m</t>
        </is>
      </c>
      <c r="E14">
        <f>INDEX(Xe!$EB$2:$EB$80,MATCH($B$14,Xe!$A$2:$A$80,0))</f>
        <v/>
      </c>
      <c r="F14">
        <f>INDEX(Phuong_tien_tham_chieu!$S$2:$S$104,MATCH("armored_bulldozer",Phuong_tien_tham_chieu!$A$2:$A$104,0))</f>
        <v/>
      </c>
      <c r="G14">
        <f>$E$14/$F$14</f>
        <v/>
      </c>
      <c r="H14" t="n">
        <v>0.7</v>
      </c>
      <c r="I14" t="n">
        <v>1.4</v>
      </c>
      <c r="J14" t="b">
        <v>0</v>
      </c>
      <c r="K14" t="inlineStr"/>
      <c r="L14">
        <f>IF(ISNUMBER($H$14),AND(NOT($J$14),OR($G$14&lt;$H$14,$G$14&gt;$I$14)),FALSE)</f>
        <v/>
      </c>
      <c r="M14" t="inlineStr"/>
      <c r="N14" t="inlineStr">
        <is>
          <t>R_unit_refs;R_reference_real;D_caterpillar_d9r_specifications;R_unit_sheet;R_machine_brigade_can_bang;R_armored_bulldozer</t>
        </is>
      </c>
      <c r="O14" t="inlineStr">
        <is>
          <t>modelSize của dữ liệu / kích thước thật (reference_real.json)</t>
        </is>
      </c>
      <c r="P14" t="inlineStr">
        <is>
          <t>01_chien_dau/Xe.model_size_length_m; Tools/models/reference_real.json</t>
        </is>
      </c>
      <c r="Q14" t="inlineStr"/>
    </row>
    <row r="15">
      <c r="A15" t="inlineStr">
        <is>
          <t>armored_bulldozer/rong_m</t>
        </is>
      </c>
      <c r="B15" t="inlineStr">
        <is>
          <t>armored_bulldozer</t>
        </is>
      </c>
      <c r="C15" t="inlineStr">
        <is>
          <t>rong_m</t>
        </is>
      </c>
      <c r="D15" t="inlineStr">
        <is>
          <t>m</t>
        </is>
      </c>
      <c r="E15">
        <f>INDEX(Xe!$EC$2:$EC$80,MATCH($B$15,Xe!$A$2:$A$80,0))</f>
        <v/>
      </c>
      <c r="F15">
        <f>INDEX(Phuong_tien_tham_chieu!$T$2:$T$104,MATCH("armored_bulldozer",Phuong_tien_tham_chieu!$A$2:$A$104,0))</f>
        <v/>
      </c>
      <c r="G15">
        <f>$E$15/$F$15</f>
        <v/>
      </c>
      <c r="H15" t="n">
        <v>0.7</v>
      </c>
      <c r="I15" t="n">
        <v>1.4</v>
      </c>
      <c r="J15" t="b">
        <v>0</v>
      </c>
      <c r="K15" t="inlineStr"/>
      <c r="L15">
        <f>IF(ISNUMBER($H$15),AND(NOT($J$15),OR($G$15&lt;$H$15,$G$15&gt;$I$15)),FALSE)</f>
        <v/>
      </c>
      <c r="M15" t="inlineStr"/>
      <c r="N15" t="inlineStr">
        <is>
          <t>R_unit_refs;R_reference_real;D_caterpillar_d9r_specifications;R_unit_sheet;R_machine_brigade_can_bang;R_armored_bulldozer</t>
        </is>
      </c>
      <c r="O15" t="inlineStr">
        <is>
          <t>modelSize của dữ liệu / kích thước thật (reference_real.json)</t>
        </is>
      </c>
      <c r="P15" t="inlineStr">
        <is>
          <t>01_chien_dau/Xe.model_size_width_m; Tools/models/reference_real.json</t>
        </is>
      </c>
      <c r="Q15" t="inlineStr"/>
    </row>
    <row r="16">
      <c r="A16" t="inlineStr">
        <is>
          <t>armored_bulldozer/rong_tren_dai</t>
        </is>
      </c>
      <c r="B16" t="inlineStr">
        <is>
          <t>armored_bulldozer</t>
        </is>
      </c>
      <c r="C16" t="inlineStr">
        <is>
          <t>rong_tren_dai</t>
        </is>
      </c>
      <c r="D16" t="inlineStr"/>
      <c r="E16">
        <f>INDEX(Xe!$EC$2:$EC$80,MATCH($B$16,Xe!$A$2:$A$80,0))/INDEX(Xe!$EB$2:$EB$80,MATCH($B$16,Xe!$A$2:$A$80,0))</f>
        <v/>
      </c>
      <c r="F16">
        <f>INDEX(Phuong_tien_tham_chieu!$T$2:$T$104,MATCH("armored_bulldozer",Phuong_tien_tham_chieu!$A$2:$A$104,0))/INDEX(Phuong_tien_tham_chieu!$S$2:$S$104,MATCH("armored_bulldozer",Phuong_tien_tham_chieu!$A$2:$A$104,0))</f>
        <v/>
      </c>
      <c r="G16">
        <f>$E$16/$F$16</f>
        <v/>
      </c>
      <c r="H16" t="n">
        <v>0.9</v>
      </c>
      <c r="I16" t="n">
        <v>1.1</v>
      </c>
      <c r="J16" t="b">
        <v>0</v>
      </c>
      <c r="K16" t="inlineStr"/>
      <c r="L16">
        <f>IF(ISNUMBER($H$16),AND(NOT($J$16),OR($G$16&lt;$H$16,$G$16&gt;$I$16)),FALSE)</f>
        <v/>
      </c>
      <c r="M16" t="inlineStr">
        <is>
          <t>TC0075</t>
        </is>
      </c>
      <c r="N16" t="inlineStr">
        <is>
          <t>R_unit_refs;R_reference_real;D_caterpillar_d9r_specifications;R_unit_sheet;R_machine_brigade_can_bang;R_armored_bulldozer</t>
        </is>
      </c>
      <c r="O16" t="inlineStr">
        <is>
          <t>tỷ lệ hình (MODEL_STANDARD 3.1: lệch quá 10 % là cờ)</t>
        </is>
      </c>
      <c r="P16" t="inlineStr">
        <is>
          <t>01_chien_dau/Xe; Tools/models/reference_real.json</t>
        </is>
      </c>
      <c r="Q16" t="inlineStr"/>
    </row>
    <row r="17">
      <c r="A17" t="inlineStr">
        <is>
          <t>armored_car/cao_m</t>
        </is>
      </c>
      <c r="B17" t="inlineStr">
        <is>
          <t>armored_car</t>
        </is>
      </c>
      <c r="C17" t="inlineStr">
        <is>
          <t>cao_m</t>
        </is>
      </c>
      <c r="D17" t="inlineStr">
        <is>
          <t>m</t>
        </is>
      </c>
      <c r="E17">
        <f>INDEX(Xe!$EA$2:$EA$80,MATCH($B$17,Xe!$A$2:$A$80,0))</f>
        <v/>
      </c>
      <c r="F17">
        <f>INDEX(Phuong_tien_tham_chieu!$U$2:$U$104,MATCH("armored_car",Phuong_tien_tham_chieu!$A$2:$A$104,0))</f>
        <v/>
      </c>
      <c r="G17">
        <f>$E$17/$F$17</f>
        <v/>
      </c>
      <c r="H17" t="n">
        <v>0.7</v>
      </c>
      <c r="I17" t="n">
        <v>1.4</v>
      </c>
      <c r="J17" t="b">
        <v>0</v>
      </c>
      <c r="K17" t="inlineStr"/>
      <c r="L17">
        <f>IF(ISNUMBER($H$17),AND(NOT($J$17),OR($G$17&lt;$H$17,$G$17&gt;$I$17)),FALSE)</f>
        <v/>
      </c>
      <c r="M17" t="inlineStr"/>
      <c r="N17" t="inlineStr">
        <is>
          <t>R_unit_refs;R_reference_real;W_wikipedia_steyr_pandur;R_unit_sheet;R_machine_brigade_can_bang;R_armored_car</t>
        </is>
      </c>
      <c r="O17" t="inlineStr">
        <is>
          <t>modelSize của dữ liệu / kích thước thật (reference_real.json)</t>
        </is>
      </c>
      <c r="P17" t="inlineStr">
        <is>
          <t>01_chien_dau/Xe.model_size_height_m; Tools/models/reference_real.json</t>
        </is>
      </c>
      <c r="Q17" t="inlineStr"/>
    </row>
    <row r="18">
      <c r="A18" t="inlineStr">
        <is>
          <t>armored_car/cao_tren_dai</t>
        </is>
      </c>
      <c r="B18" t="inlineStr">
        <is>
          <t>armored_car</t>
        </is>
      </c>
      <c r="C18" t="inlineStr">
        <is>
          <t>cao_tren_dai</t>
        </is>
      </c>
      <c r="D18" t="inlineStr"/>
      <c r="E18">
        <f>INDEX(Xe!$EA$2:$EA$80,MATCH($B$18,Xe!$A$2:$A$80,0))/INDEX(Xe!$EB$2:$EB$80,MATCH($B$18,Xe!$A$2:$A$80,0))</f>
        <v/>
      </c>
      <c r="F18">
        <f>INDEX(Phuong_tien_tham_chieu!$U$2:$U$104,MATCH("armored_car",Phuong_tien_tham_chieu!$A$2:$A$104,0))/INDEX(Phuong_tien_tham_chieu!$S$2:$S$104,MATCH("armored_car",Phuong_tien_tham_chieu!$A$2:$A$104,0))</f>
        <v/>
      </c>
      <c r="G18">
        <f>$E$18/$F$18</f>
        <v/>
      </c>
      <c r="H18" t="n">
        <v>0.9</v>
      </c>
      <c r="I18" t="n">
        <v>1.1</v>
      </c>
      <c r="J18" t="b">
        <v>0</v>
      </c>
      <c r="K18" t="inlineStr"/>
      <c r="L18">
        <f>IF(ISNUMBER($H$18),AND(NOT($J$18),OR($G$18&lt;$H$18,$G$18&gt;$I$18)),FALSE)</f>
        <v/>
      </c>
      <c r="M18" t="inlineStr"/>
      <c r="N18" t="inlineStr">
        <is>
          <t>R_unit_refs;R_reference_real;W_wikipedia_steyr_pandur;R_unit_sheet;R_machine_brigade_can_bang;R_armored_car</t>
        </is>
      </c>
      <c r="O18" t="inlineStr">
        <is>
          <t>tỷ lệ hình (MODEL_STANDARD 3.1: lệch quá 10 % là cờ)</t>
        </is>
      </c>
      <c r="P18" t="inlineStr">
        <is>
          <t>01_chien_dau/Xe; Tools/models/reference_real.json</t>
        </is>
      </c>
      <c r="Q18" t="inlineStr"/>
    </row>
    <row r="19">
      <c r="A19" t="inlineStr">
        <is>
          <t>armored_car/dai_m</t>
        </is>
      </c>
      <c r="B19" t="inlineStr">
        <is>
          <t>armored_car</t>
        </is>
      </c>
      <c r="C19" t="inlineStr">
        <is>
          <t>dai_m</t>
        </is>
      </c>
      <c r="D19" t="inlineStr">
        <is>
          <t>m</t>
        </is>
      </c>
      <c r="E19">
        <f>INDEX(Xe!$EB$2:$EB$80,MATCH($B$19,Xe!$A$2:$A$80,0))</f>
        <v/>
      </c>
      <c r="F19">
        <f>INDEX(Phuong_tien_tham_chieu!$S$2:$S$104,MATCH("armored_car",Phuong_tien_tham_chieu!$A$2:$A$104,0))</f>
        <v/>
      </c>
      <c r="G19">
        <f>$E$19/$F$19</f>
        <v/>
      </c>
      <c r="H19" t="n">
        <v>0.7</v>
      </c>
      <c r="I19" t="n">
        <v>1.4</v>
      </c>
      <c r="J19" t="b">
        <v>0</v>
      </c>
      <c r="K19" t="inlineStr"/>
      <c r="L19">
        <f>IF(ISNUMBER($H$19),AND(NOT($J$19),OR($G$19&lt;$H$19,$G$19&gt;$I$19)),FALSE)</f>
        <v/>
      </c>
      <c r="M19" t="inlineStr"/>
      <c r="N19" t="inlineStr">
        <is>
          <t>R_unit_refs;R_reference_real;W_wikipedia_steyr_pandur;R_unit_sheet;R_machine_brigade_can_bang;R_armored_car</t>
        </is>
      </c>
      <c r="O19" t="inlineStr">
        <is>
          <t>modelSize của dữ liệu / kích thước thật (reference_real.json)</t>
        </is>
      </c>
      <c r="P19" t="inlineStr">
        <is>
          <t>01_chien_dau/Xe.model_size_length_m; Tools/models/reference_real.json</t>
        </is>
      </c>
      <c r="Q19" t="inlineStr"/>
    </row>
    <row r="20">
      <c r="A20" t="inlineStr">
        <is>
          <t>armored_car/rong_m</t>
        </is>
      </c>
      <c r="B20" t="inlineStr">
        <is>
          <t>armored_car</t>
        </is>
      </c>
      <c r="C20" t="inlineStr">
        <is>
          <t>rong_m</t>
        </is>
      </c>
      <c r="D20" t="inlineStr">
        <is>
          <t>m</t>
        </is>
      </c>
      <c r="E20">
        <f>INDEX(Xe!$EC$2:$EC$80,MATCH($B$20,Xe!$A$2:$A$80,0))</f>
        <v/>
      </c>
      <c r="F20">
        <f>INDEX(Phuong_tien_tham_chieu!$T$2:$T$104,MATCH("armored_car",Phuong_tien_tham_chieu!$A$2:$A$104,0))</f>
        <v/>
      </c>
      <c r="G20">
        <f>$E$20/$F$20</f>
        <v/>
      </c>
      <c r="H20" t="n">
        <v>0.7</v>
      </c>
      <c r="I20" t="n">
        <v>1.4</v>
      </c>
      <c r="J20" t="b">
        <v>0</v>
      </c>
      <c r="K20" t="inlineStr"/>
      <c r="L20">
        <f>IF(ISNUMBER($H$20),AND(NOT($J$20),OR($G$20&lt;$H$20,$G$20&gt;$I$20)),FALSE)</f>
        <v/>
      </c>
      <c r="M20" t="inlineStr"/>
      <c r="N20" t="inlineStr">
        <is>
          <t>R_unit_refs;R_reference_real;W_wikipedia_steyr_pandur;R_unit_sheet;R_machine_brigade_can_bang;R_armored_car</t>
        </is>
      </c>
      <c r="O20" t="inlineStr">
        <is>
          <t>modelSize của dữ liệu / kích thước thật (reference_real.json)</t>
        </is>
      </c>
      <c r="P20" t="inlineStr">
        <is>
          <t>01_chien_dau/Xe.model_size_width_m; Tools/models/reference_real.json</t>
        </is>
      </c>
      <c r="Q20" t="inlineStr"/>
    </row>
    <row r="21">
      <c r="A21" t="inlineStr">
        <is>
          <t>armored_car/rong_tren_dai</t>
        </is>
      </c>
      <c r="B21" t="inlineStr">
        <is>
          <t>armored_car</t>
        </is>
      </c>
      <c r="C21" t="inlineStr">
        <is>
          <t>rong_tren_dai</t>
        </is>
      </c>
      <c r="D21" t="inlineStr"/>
      <c r="E21">
        <f>INDEX(Xe!$EC$2:$EC$80,MATCH($B$21,Xe!$A$2:$A$80,0))/INDEX(Xe!$EB$2:$EB$80,MATCH($B$21,Xe!$A$2:$A$80,0))</f>
        <v/>
      </c>
      <c r="F21">
        <f>INDEX(Phuong_tien_tham_chieu!$T$2:$T$104,MATCH("armored_car",Phuong_tien_tham_chieu!$A$2:$A$104,0))/INDEX(Phuong_tien_tham_chieu!$S$2:$S$104,MATCH("armored_car",Phuong_tien_tham_chieu!$A$2:$A$104,0))</f>
        <v/>
      </c>
      <c r="G21">
        <f>$E$21/$F$21</f>
        <v/>
      </c>
      <c r="H21" t="n">
        <v>0.9</v>
      </c>
      <c r="I21" t="n">
        <v>1.1</v>
      </c>
      <c r="J21" t="b">
        <v>0</v>
      </c>
      <c r="K21" t="inlineStr"/>
      <c r="L21">
        <f>IF(ISNUMBER($H$21),AND(NOT($J$21),OR($G$21&lt;$H$21,$G$21&gt;$I$21)),FALSE)</f>
        <v/>
      </c>
      <c r="M21" t="inlineStr"/>
      <c r="N21" t="inlineStr">
        <is>
          <t>R_unit_refs;R_reference_real;W_wikipedia_steyr_pandur;R_unit_sheet;R_machine_brigade_can_bang;R_armored_car</t>
        </is>
      </c>
      <c r="O21" t="inlineStr">
        <is>
          <t>tỷ lệ hình (MODEL_STANDARD 3.1: lệch quá 10 % là cờ)</t>
        </is>
      </c>
      <c r="P21" t="inlineStr">
        <is>
          <t>01_chien_dau/Xe; Tools/models/reference_real.json</t>
        </is>
      </c>
      <c r="Q21" t="inlineStr"/>
    </row>
    <row r="22">
      <c r="A22" t="inlineStr">
        <is>
          <t>artillery/cao_m</t>
        </is>
      </c>
      <c r="B22" t="inlineStr">
        <is>
          <t>artillery</t>
        </is>
      </c>
      <c r="C22" t="inlineStr">
        <is>
          <t>cao_m</t>
        </is>
      </c>
      <c r="D22" t="inlineStr">
        <is>
          <t>m</t>
        </is>
      </c>
      <c r="E22">
        <f>INDEX(Xe!$EA$2:$EA$80,MATCH($B$22,Xe!$A$2:$A$80,0))</f>
        <v/>
      </c>
      <c r="F22">
        <f>INDEX(Phuong_tien_tham_chieu!$U$2:$U$104,MATCH("artillery",Phuong_tien_tham_chieu!$A$2:$A$104,0))</f>
        <v/>
      </c>
      <c r="G22">
        <f>$E$22/$F$22</f>
        <v/>
      </c>
      <c r="H22" t="n">
        <v>0.7</v>
      </c>
      <c r="I22" t="n">
        <v>1.4</v>
      </c>
      <c r="J22" t="b">
        <v>0</v>
      </c>
      <c r="K22" t="inlineStr"/>
      <c r="L22">
        <f>IF(ISNUMBER($H$22),AND(NOT($J$22),OR($G$22&lt;$H$22,$G$22&gt;$I$22)),FALSE)</f>
        <v/>
      </c>
      <c r="M22" t="inlineStr"/>
      <c r="N22" t="inlineStr">
        <is>
          <t>R_unit_refs;R_reference_real;W_wikipedia_m109_howitzer;R_unit_sheet;R_machine_brigade_can_bang;R_artillery</t>
        </is>
      </c>
      <c r="O22" t="inlineStr">
        <is>
          <t>modelSize của dữ liệu / kích thước thật (reference_real.json)</t>
        </is>
      </c>
      <c r="P22" t="inlineStr">
        <is>
          <t>01_chien_dau/Xe.model_size_height_m; Tools/models/reference_real.json</t>
        </is>
      </c>
      <c r="Q22" t="inlineStr"/>
    </row>
    <row r="23">
      <c r="A23" t="inlineStr">
        <is>
          <t>artillery/cao_tren_dai</t>
        </is>
      </c>
      <c r="B23" t="inlineStr">
        <is>
          <t>artillery</t>
        </is>
      </c>
      <c r="C23" t="inlineStr">
        <is>
          <t>cao_tren_dai</t>
        </is>
      </c>
      <c r="D23" t="inlineStr"/>
      <c r="E23">
        <f>INDEX(Xe!$EA$2:$EA$80,MATCH($B$23,Xe!$A$2:$A$80,0))/INDEX(Xe!$EB$2:$EB$80,MATCH($B$23,Xe!$A$2:$A$80,0))</f>
        <v/>
      </c>
      <c r="F23">
        <f>INDEX(Phuong_tien_tham_chieu!$U$2:$U$104,MATCH("artillery",Phuong_tien_tham_chieu!$A$2:$A$104,0))/INDEX(Phuong_tien_tham_chieu!$S$2:$S$104,MATCH("artillery",Phuong_tien_tham_chieu!$A$2:$A$104,0))</f>
        <v/>
      </c>
      <c r="G23">
        <f>$E$23/$F$23</f>
        <v/>
      </c>
      <c r="H23" t="n">
        <v>0.9</v>
      </c>
      <c r="I23" t="n">
        <v>1.1</v>
      </c>
      <c r="J23" t="b">
        <v>0</v>
      </c>
      <c r="K23" t="inlineStr"/>
      <c r="L23">
        <f>IF(ISNUMBER($H$23),AND(NOT($J$23),OR($G$23&lt;$H$23,$G$23&gt;$I$23)),FALSE)</f>
        <v/>
      </c>
      <c r="M23" t="inlineStr"/>
      <c r="N23" t="inlineStr">
        <is>
          <t>R_unit_refs;R_reference_real;W_wikipedia_m109_howitzer;R_unit_sheet;R_machine_brigade_can_bang;R_artillery</t>
        </is>
      </c>
      <c r="O23" t="inlineStr">
        <is>
          <t>tỷ lệ hình (MODEL_STANDARD 3.1: lệch quá 10 % là cờ)</t>
        </is>
      </c>
      <c r="P23" t="inlineStr">
        <is>
          <t>01_chien_dau/Xe; Tools/models/reference_real.json</t>
        </is>
      </c>
      <c r="Q23" t="inlineStr"/>
    </row>
    <row r="24">
      <c r="A24" t="inlineStr">
        <is>
          <t>artillery/dai_m</t>
        </is>
      </c>
      <c r="B24" t="inlineStr">
        <is>
          <t>artillery</t>
        </is>
      </c>
      <c r="C24" t="inlineStr">
        <is>
          <t>dai_m</t>
        </is>
      </c>
      <c r="D24" t="inlineStr">
        <is>
          <t>m</t>
        </is>
      </c>
      <c r="E24">
        <f>INDEX(Xe!$EB$2:$EB$80,MATCH($B$24,Xe!$A$2:$A$80,0))</f>
        <v/>
      </c>
      <c r="F24">
        <f>INDEX(Phuong_tien_tham_chieu!$S$2:$S$104,MATCH("artillery",Phuong_tien_tham_chieu!$A$2:$A$104,0))</f>
        <v/>
      </c>
      <c r="G24">
        <f>$E$24/$F$24</f>
        <v/>
      </c>
      <c r="H24" t="n">
        <v>0.7</v>
      </c>
      <c r="I24" t="n">
        <v>1.4</v>
      </c>
      <c r="J24" t="b">
        <v>0</v>
      </c>
      <c r="K24" t="inlineStr"/>
      <c r="L24">
        <f>IF(ISNUMBER($H$24),AND(NOT($J$24),OR($G$24&lt;$H$24,$G$24&gt;$I$24)),FALSE)</f>
        <v/>
      </c>
      <c r="M24" t="inlineStr"/>
      <c r="N24" t="inlineStr">
        <is>
          <t>R_unit_refs;R_reference_real;W_wikipedia_m109_howitzer;R_unit_sheet;R_machine_brigade_can_bang;R_artillery</t>
        </is>
      </c>
      <c r="O24" t="inlineStr">
        <is>
          <t>modelSize của dữ liệu / kích thước thật (reference_real.json)</t>
        </is>
      </c>
      <c r="P24" t="inlineStr">
        <is>
          <t>01_chien_dau/Xe.model_size_length_m; Tools/models/reference_real.json</t>
        </is>
      </c>
      <c r="Q24" t="inlineStr"/>
    </row>
    <row r="25">
      <c r="A25" t="inlineStr">
        <is>
          <t>artillery/rong_m</t>
        </is>
      </c>
      <c r="B25" t="inlineStr">
        <is>
          <t>artillery</t>
        </is>
      </c>
      <c r="C25" t="inlineStr">
        <is>
          <t>rong_m</t>
        </is>
      </c>
      <c r="D25" t="inlineStr">
        <is>
          <t>m</t>
        </is>
      </c>
      <c r="E25">
        <f>INDEX(Xe!$EC$2:$EC$80,MATCH($B$25,Xe!$A$2:$A$80,0))</f>
        <v/>
      </c>
      <c r="F25">
        <f>INDEX(Phuong_tien_tham_chieu!$T$2:$T$104,MATCH("artillery",Phuong_tien_tham_chieu!$A$2:$A$104,0))</f>
        <v/>
      </c>
      <c r="G25">
        <f>$E$25/$F$25</f>
        <v/>
      </c>
      <c r="H25" t="n">
        <v>0.7</v>
      </c>
      <c r="I25" t="n">
        <v>1.4</v>
      </c>
      <c r="J25" t="b">
        <v>0</v>
      </c>
      <c r="K25" t="inlineStr"/>
      <c r="L25">
        <f>IF(ISNUMBER($H$25),AND(NOT($J$25),OR($G$25&lt;$H$25,$G$25&gt;$I$25)),FALSE)</f>
        <v/>
      </c>
      <c r="M25" t="inlineStr"/>
      <c r="N25" t="inlineStr">
        <is>
          <t>R_unit_refs;R_reference_real;W_wikipedia_m109_howitzer;R_unit_sheet;R_machine_brigade_can_bang;R_artillery</t>
        </is>
      </c>
      <c r="O25" t="inlineStr">
        <is>
          <t>modelSize của dữ liệu / kích thước thật (reference_real.json)</t>
        </is>
      </c>
      <c r="P25" t="inlineStr">
        <is>
          <t>01_chien_dau/Xe.model_size_width_m; Tools/models/reference_real.json</t>
        </is>
      </c>
      <c r="Q25" t="inlineStr"/>
    </row>
    <row r="26">
      <c r="A26" t="inlineStr">
        <is>
          <t>artillery/rong_tren_dai</t>
        </is>
      </c>
      <c r="B26" t="inlineStr">
        <is>
          <t>artillery</t>
        </is>
      </c>
      <c r="C26" t="inlineStr">
        <is>
          <t>rong_tren_dai</t>
        </is>
      </c>
      <c r="D26" t="inlineStr"/>
      <c r="E26">
        <f>INDEX(Xe!$EC$2:$EC$80,MATCH($B$26,Xe!$A$2:$A$80,0))/INDEX(Xe!$EB$2:$EB$80,MATCH($B$26,Xe!$A$2:$A$80,0))</f>
        <v/>
      </c>
      <c r="F26">
        <f>INDEX(Phuong_tien_tham_chieu!$T$2:$T$104,MATCH("artillery",Phuong_tien_tham_chieu!$A$2:$A$104,0))/INDEX(Phuong_tien_tham_chieu!$S$2:$S$104,MATCH("artillery",Phuong_tien_tham_chieu!$A$2:$A$104,0))</f>
        <v/>
      </c>
      <c r="G26">
        <f>$E$26/$F$26</f>
        <v/>
      </c>
      <c r="H26" t="n">
        <v>0.9</v>
      </c>
      <c r="I26" t="n">
        <v>1.1</v>
      </c>
      <c r="J26" t="b">
        <v>0</v>
      </c>
      <c r="K26" t="inlineStr"/>
      <c r="L26">
        <f>IF(ISNUMBER($H$26),AND(NOT($J$26),OR($G$26&lt;$H$26,$G$26&gt;$I$26)),FALSE)</f>
        <v/>
      </c>
      <c r="M26" t="inlineStr">
        <is>
          <t>TC0076</t>
        </is>
      </c>
      <c r="N26" t="inlineStr">
        <is>
          <t>R_unit_refs;R_reference_real;W_wikipedia_m109_howitzer;R_unit_sheet;R_machine_brigade_can_bang;R_artillery</t>
        </is>
      </c>
      <c r="O26" t="inlineStr">
        <is>
          <t>tỷ lệ hình (MODEL_STANDARD 3.1: lệch quá 10 % là cờ)</t>
        </is>
      </c>
      <c r="P26" t="inlineStr">
        <is>
          <t>01_chien_dau/Xe; Tools/models/reference_real.json</t>
        </is>
      </c>
      <c r="Q26" t="inlineStr"/>
    </row>
    <row r="27">
      <c r="A27" t="inlineStr">
        <is>
          <t>attack_helicopter/cao_m</t>
        </is>
      </c>
      <c r="B27" t="inlineStr">
        <is>
          <t>attack_helicopter</t>
        </is>
      </c>
      <c r="C27" t="inlineStr">
        <is>
          <t>cao_m</t>
        </is>
      </c>
      <c r="D27" t="inlineStr">
        <is>
          <t>m</t>
        </is>
      </c>
      <c r="E27">
        <f>INDEX(Xe!$EA$2:$EA$80,MATCH($B$27,Xe!$A$2:$A$80,0))</f>
        <v/>
      </c>
      <c r="F27">
        <f>INDEX(Phuong_tien_tham_chieu!$U$2:$U$104,MATCH("attack_helicopter",Phuong_tien_tham_chieu!$A$2:$A$104,0))</f>
        <v/>
      </c>
      <c r="G27">
        <f>$E$27/$F$27</f>
        <v/>
      </c>
      <c r="H27" t="n">
        <v>0.7</v>
      </c>
      <c r="I27" t="n">
        <v>1.4</v>
      </c>
      <c r="J27" t="b">
        <v>1</v>
      </c>
      <c r="K27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27">
        <f>IF(ISNUMBER($H$27),AND(NOT($J$27),OR($G$27&lt;$H$27,$G$27&gt;$I$27)),FALSE)</f>
        <v/>
      </c>
      <c r="M27" t="inlineStr"/>
      <c r="N27" t="inlineStr">
        <is>
          <t>R_unit_refs;R_reference_real;W_wikipedia_boeing_ah_64_apache;R_unit_sheet;R_machine_brigade_can_bang</t>
        </is>
      </c>
      <c r="O27" t="inlineStr">
        <is>
          <t>modelSize của dữ liệu / kích thước thật (reference_real.json)</t>
        </is>
      </c>
      <c r="P27" t="inlineStr">
        <is>
          <t>01_chien_dau/Xe.model_size_height_m; Tools/models/reference_real.json</t>
        </is>
      </c>
      <c r="Q27" t="inlineStr"/>
    </row>
    <row r="28">
      <c r="A28" t="inlineStr">
        <is>
          <t>attack_helicopter/cao_tren_dai</t>
        </is>
      </c>
      <c r="B28" t="inlineStr">
        <is>
          <t>attack_helicopter</t>
        </is>
      </c>
      <c r="C28" t="inlineStr">
        <is>
          <t>cao_tren_dai</t>
        </is>
      </c>
      <c r="D28" t="inlineStr"/>
      <c r="E28">
        <f>INDEX(Xe!$EA$2:$EA$80,MATCH($B$28,Xe!$A$2:$A$80,0))/INDEX(Xe!$EB$2:$EB$80,MATCH($B$28,Xe!$A$2:$A$80,0))</f>
        <v/>
      </c>
      <c r="F28">
        <f>INDEX(Phuong_tien_tham_chieu!$U$2:$U$104,MATCH("attack_helicopter",Phuong_tien_tham_chieu!$A$2:$A$104,0))/INDEX(Phuong_tien_tham_chieu!$S$2:$S$104,MATCH("attack_helicopter",Phuong_tien_tham_chieu!$A$2:$A$104,0))</f>
        <v/>
      </c>
      <c r="G28">
        <f>$E$28/$F$28</f>
        <v/>
      </c>
      <c r="H28" t="n">
        <v>0.9</v>
      </c>
      <c r="I28" t="n">
        <v>1.1</v>
      </c>
      <c r="J28" t="b">
        <v>0</v>
      </c>
      <c r="K28" t="inlineStr"/>
      <c r="L28">
        <f>IF(ISNUMBER($H$28),AND(NOT($J$28),OR($G$28&lt;$H$28,$G$28&gt;$I$28)),FALSE)</f>
        <v/>
      </c>
      <c r="M28" t="inlineStr">
        <is>
          <t>TC0077</t>
        </is>
      </c>
      <c r="N28" t="inlineStr">
        <is>
          <t>R_unit_refs;R_reference_real;W_wikipedia_boeing_ah_64_apache;R_unit_sheet;R_machine_brigade_can_bang</t>
        </is>
      </c>
      <c r="O28" t="inlineStr">
        <is>
          <t>tỷ lệ hình (MODEL_STANDARD 3.1: lệch quá 10 % là cờ)</t>
        </is>
      </c>
      <c r="P28" t="inlineStr">
        <is>
          <t>01_chien_dau/Xe; Tools/models/reference_real.json</t>
        </is>
      </c>
      <c r="Q28" t="inlineStr"/>
    </row>
    <row r="29">
      <c r="A29" t="inlineStr">
        <is>
          <t>attack_helicopter/dai_m</t>
        </is>
      </c>
      <c r="B29" t="inlineStr">
        <is>
          <t>attack_helicopter</t>
        </is>
      </c>
      <c r="C29" t="inlineStr">
        <is>
          <t>dai_m</t>
        </is>
      </c>
      <c r="D29" t="inlineStr">
        <is>
          <t>m</t>
        </is>
      </c>
      <c r="E29">
        <f>INDEX(Xe!$EB$2:$EB$80,MATCH($B$29,Xe!$A$2:$A$80,0))</f>
        <v/>
      </c>
      <c r="F29">
        <f>INDEX(Phuong_tien_tham_chieu!$S$2:$S$104,MATCH("attack_helicopter",Phuong_tien_tham_chieu!$A$2:$A$104,0))</f>
        <v/>
      </c>
      <c r="G29">
        <f>$E$29/$F$29</f>
        <v/>
      </c>
      <c r="H29" t="n">
        <v>0.7</v>
      </c>
      <c r="I29" t="n">
        <v>1.4</v>
      </c>
      <c r="J29" t="b">
        <v>1</v>
      </c>
      <c r="K29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29">
        <f>IF(ISNUMBER($H$29),AND(NOT($J$29),OR($G$29&lt;$H$29,$G$29&gt;$I$29)),FALSE)</f>
        <v/>
      </c>
      <c r="M29" t="inlineStr"/>
      <c r="N29" t="inlineStr">
        <is>
          <t>R_unit_refs;R_reference_real;W_wikipedia_boeing_ah_64_apache;R_unit_sheet;R_machine_brigade_can_bang</t>
        </is>
      </c>
      <c r="O29" t="inlineStr">
        <is>
          <t>modelSize của dữ liệu / kích thước thật (reference_real.json)</t>
        </is>
      </c>
      <c r="P29" t="inlineStr">
        <is>
          <t>01_chien_dau/Xe.model_size_length_m; Tools/models/reference_real.json</t>
        </is>
      </c>
      <c r="Q29" t="inlineStr"/>
    </row>
    <row r="30">
      <c r="A30" t="inlineStr">
        <is>
          <t>attack_helicopter/rong_m</t>
        </is>
      </c>
      <c r="B30" t="inlineStr">
        <is>
          <t>attack_helicopter</t>
        </is>
      </c>
      <c r="C30" t="inlineStr">
        <is>
          <t>rong_m</t>
        </is>
      </c>
      <c r="D30" t="inlineStr">
        <is>
          <t>m</t>
        </is>
      </c>
      <c r="E30">
        <f>INDEX(Xe!$EC$2:$EC$80,MATCH($B$30,Xe!$A$2:$A$80,0))</f>
        <v/>
      </c>
      <c r="F30">
        <f>INDEX(Phuong_tien_tham_chieu!$T$2:$T$104,MATCH("attack_helicopter",Phuong_tien_tham_chieu!$A$2:$A$104,0))</f>
        <v/>
      </c>
      <c r="G30">
        <f>$E$30/$F$30</f>
        <v/>
      </c>
      <c r="H30" t="n">
        <v>0.7</v>
      </c>
      <c r="I30" t="n">
        <v>1.4</v>
      </c>
      <c r="J30" t="b">
        <v>1</v>
      </c>
      <c r="K30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30">
        <f>IF(ISNUMBER($H$30),AND(NOT($J$30),OR($G$30&lt;$H$30,$G$30&gt;$I$30)),FALSE)</f>
        <v/>
      </c>
      <c r="M30" t="inlineStr"/>
      <c r="N30" t="inlineStr">
        <is>
          <t>R_unit_refs;R_reference_real;W_wikipedia_boeing_ah_64_apache;R_unit_sheet;R_machine_brigade_can_bang</t>
        </is>
      </c>
      <c r="O30" t="inlineStr">
        <is>
          <t>modelSize của dữ liệu / kích thước thật (reference_real.json)</t>
        </is>
      </c>
      <c r="P30" t="inlineStr">
        <is>
          <t>01_chien_dau/Xe.model_size_width_m; Tools/models/reference_real.json</t>
        </is>
      </c>
      <c r="Q30" t="inlineStr"/>
    </row>
    <row r="31">
      <c r="A31" t="inlineStr">
        <is>
          <t>attack_helicopter/rong_tren_dai</t>
        </is>
      </c>
      <c r="B31" t="inlineStr">
        <is>
          <t>attack_helicopter</t>
        </is>
      </c>
      <c r="C31" t="inlineStr">
        <is>
          <t>rong_tren_dai</t>
        </is>
      </c>
      <c r="D31" t="inlineStr"/>
      <c r="E31">
        <f>INDEX(Xe!$EC$2:$EC$80,MATCH($B$31,Xe!$A$2:$A$80,0))/INDEX(Xe!$EB$2:$EB$80,MATCH($B$31,Xe!$A$2:$A$80,0))</f>
        <v/>
      </c>
      <c r="F31">
        <f>INDEX(Phuong_tien_tham_chieu!$T$2:$T$104,MATCH("attack_helicopter",Phuong_tien_tham_chieu!$A$2:$A$104,0))/INDEX(Phuong_tien_tham_chieu!$S$2:$S$104,MATCH("attack_helicopter",Phuong_tien_tham_chieu!$A$2:$A$104,0))</f>
        <v/>
      </c>
      <c r="G31">
        <f>$E$31/$F$31</f>
        <v/>
      </c>
      <c r="H31" t="n">
        <v>0.9</v>
      </c>
      <c r="I31" t="n">
        <v>1.1</v>
      </c>
      <c r="J31" t="b">
        <v>0</v>
      </c>
      <c r="K31" t="inlineStr"/>
      <c r="L31">
        <f>IF(ISNUMBER($H$31),AND(NOT($J$31),OR($G$31&lt;$H$31,$G$31&gt;$I$31)),FALSE)</f>
        <v/>
      </c>
      <c r="M31" t="inlineStr">
        <is>
          <t>TC0078</t>
        </is>
      </c>
      <c r="N31" t="inlineStr">
        <is>
          <t>R_unit_refs;R_reference_real;W_wikipedia_boeing_ah_64_apache;R_unit_sheet;R_machine_brigade_can_bang</t>
        </is>
      </c>
      <c r="O31" t="inlineStr">
        <is>
          <t>tỷ lệ hình (MODEL_STANDARD 3.1: lệch quá 10 % là cờ)</t>
        </is>
      </c>
      <c r="P31" t="inlineStr">
        <is>
          <t>01_chien_dau/Xe; Tools/models/reference_real.json</t>
        </is>
      </c>
      <c r="Q31" t="inlineStr"/>
    </row>
    <row r="32">
      <c r="A32" t="inlineStr">
        <is>
          <t>attack_jet/cao_m</t>
        </is>
      </c>
      <c r="B32" t="inlineStr">
        <is>
          <t>attack_jet</t>
        </is>
      </c>
      <c r="C32" t="inlineStr">
        <is>
          <t>cao_m</t>
        </is>
      </c>
      <c r="D32" t="inlineStr">
        <is>
          <t>m</t>
        </is>
      </c>
      <c r="E32">
        <f>INDEX(Xe!$EA$2:$EA$80,MATCH($B$32,Xe!$A$2:$A$80,0))</f>
        <v/>
      </c>
      <c r="F32">
        <f>INDEX(Phuong_tien_tham_chieu!$U$2:$U$104,MATCH("attack_jet",Phuong_tien_tham_chieu!$A$2:$A$104,0))</f>
        <v/>
      </c>
      <c r="G32">
        <f>$E$32/$F$32</f>
        <v/>
      </c>
      <c r="H32" t="n">
        <v>0.7</v>
      </c>
      <c r="I32" t="n">
        <v>1.4</v>
      </c>
      <c r="J32" t="b">
        <v>1</v>
      </c>
      <c r="K32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32">
        <f>IF(ISNUMBER($H$32),AND(NOT($J$32),OR($G$32&lt;$H$32,$G$32&gt;$I$32)),FALSE)</f>
        <v/>
      </c>
      <c r="M32" t="inlineStr"/>
      <c r="N32" t="inlineStr">
        <is>
          <t>R_unit_refs;R_reference_real;W_wikipedia_sukhoi_su_25;R_unit_sheet;R_machine_brigade_can_bang;R_attack_jet</t>
        </is>
      </c>
      <c r="O32" t="inlineStr">
        <is>
          <t>modelSize của dữ liệu / kích thước thật (reference_real.json)</t>
        </is>
      </c>
      <c r="P32" t="inlineStr">
        <is>
          <t>01_chien_dau/Xe.model_size_height_m; Tools/models/reference_real.json</t>
        </is>
      </c>
      <c r="Q32" t="inlineStr"/>
    </row>
    <row r="33">
      <c r="A33" t="inlineStr">
        <is>
          <t>attack_jet/cao_tren_dai</t>
        </is>
      </c>
      <c r="B33" t="inlineStr">
        <is>
          <t>attack_jet</t>
        </is>
      </c>
      <c r="C33" t="inlineStr">
        <is>
          <t>cao_tren_dai</t>
        </is>
      </c>
      <c r="D33" t="inlineStr"/>
      <c r="E33">
        <f>INDEX(Xe!$EA$2:$EA$80,MATCH($B$33,Xe!$A$2:$A$80,0))/INDEX(Xe!$EB$2:$EB$80,MATCH($B$33,Xe!$A$2:$A$80,0))</f>
        <v/>
      </c>
      <c r="F33">
        <f>INDEX(Phuong_tien_tham_chieu!$U$2:$U$104,MATCH("attack_jet",Phuong_tien_tham_chieu!$A$2:$A$104,0))/INDEX(Phuong_tien_tham_chieu!$S$2:$S$104,MATCH("attack_jet",Phuong_tien_tham_chieu!$A$2:$A$104,0))</f>
        <v/>
      </c>
      <c r="G33">
        <f>$E$33/$F$33</f>
        <v/>
      </c>
      <c r="H33" t="n">
        <v>0.9</v>
      </c>
      <c r="I33" t="n">
        <v>1.1</v>
      </c>
      <c r="J33" t="b">
        <v>0</v>
      </c>
      <c r="K33" t="inlineStr"/>
      <c r="L33">
        <f>IF(ISNUMBER($H$33),AND(NOT($J$33),OR($G$33&lt;$H$33,$G$33&gt;$I$33)),FALSE)</f>
        <v/>
      </c>
      <c r="M33" t="inlineStr"/>
      <c r="N33" t="inlineStr">
        <is>
          <t>R_unit_refs;R_reference_real;W_wikipedia_sukhoi_su_25;R_unit_sheet;R_machine_brigade_can_bang;R_attack_jet</t>
        </is>
      </c>
      <c r="O33" t="inlineStr">
        <is>
          <t>tỷ lệ hình (MODEL_STANDARD 3.1: lệch quá 10 % là cờ)</t>
        </is>
      </c>
      <c r="P33" t="inlineStr">
        <is>
          <t>01_chien_dau/Xe; Tools/models/reference_real.json</t>
        </is>
      </c>
      <c r="Q33" t="inlineStr"/>
    </row>
    <row r="34">
      <c r="A34" t="inlineStr">
        <is>
          <t>attack_jet/dai_m</t>
        </is>
      </c>
      <c r="B34" t="inlineStr">
        <is>
          <t>attack_jet</t>
        </is>
      </c>
      <c r="C34" t="inlineStr">
        <is>
          <t>dai_m</t>
        </is>
      </c>
      <c r="D34" t="inlineStr">
        <is>
          <t>m</t>
        </is>
      </c>
      <c r="E34">
        <f>INDEX(Xe!$EB$2:$EB$80,MATCH($B$34,Xe!$A$2:$A$80,0))</f>
        <v/>
      </c>
      <c r="F34">
        <f>INDEX(Phuong_tien_tham_chieu!$S$2:$S$104,MATCH("attack_jet",Phuong_tien_tham_chieu!$A$2:$A$104,0))</f>
        <v/>
      </c>
      <c r="G34">
        <f>$E$34/$F$34</f>
        <v/>
      </c>
      <c r="H34" t="n">
        <v>0.7</v>
      </c>
      <c r="I34" t="n">
        <v>1.4</v>
      </c>
      <c r="J34" t="b">
        <v>1</v>
      </c>
      <c r="K34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34">
        <f>IF(ISNUMBER($H$34),AND(NOT($J$34),OR($G$34&lt;$H$34,$G$34&gt;$I$34)),FALSE)</f>
        <v/>
      </c>
      <c r="M34" t="inlineStr"/>
      <c r="N34" t="inlineStr">
        <is>
          <t>R_unit_refs;R_reference_real;W_wikipedia_sukhoi_su_25;R_unit_sheet;R_machine_brigade_can_bang;R_attack_jet</t>
        </is>
      </c>
      <c r="O34" t="inlineStr">
        <is>
          <t>modelSize của dữ liệu / kích thước thật (reference_real.json)</t>
        </is>
      </c>
      <c r="P34" t="inlineStr">
        <is>
          <t>01_chien_dau/Xe.model_size_length_m; Tools/models/reference_real.json</t>
        </is>
      </c>
      <c r="Q34" t="inlineStr"/>
    </row>
    <row r="35">
      <c r="A35" t="inlineStr">
        <is>
          <t>attack_jet/rong_m</t>
        </is>
      </c>
      <c r="B35" t="inlineStr">
        <is>
          <t>attack_jet</t>
        </is>
      </c>
      <c r="C35" t="inlineStr">
        <is>
          <t>rong_m</t>
        </is>
      </c>
      <c r="D35" t="inlineStr">
        <is>
          <t>m</t>
        </is>
      </c>
      <c r="E35">
        <f>INDEX(Xe!$EC$2:$EC$80,MATCH($B$35,Xe!$A$2:$A$80,0))</f>
        <v/>
      </c>
      <c r="F35">
        <f>INDEX(Phuong_tien_tham_chieu!$T$2:$T$104,MATCH("attack_jet",Phuong_tien_tham_chieu!$A$2:$A$104,0))</f>
        <v/>
      </c>
      <c r="G35">
        <f>$E$35/$F$35</f>
        <v/>
      </c>
      <c r="H35" t="n">
        <v>0.7</v>
      </c>
      <c r="I35" t="n">
        <v>1.4</v>
      </c>
      <c r="J35" t="b">
        <v>1</v>
      </c>
      <c r="K35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35">
        <f>IF(ISNUMBER($H$35),AND(NOT($J$35),OR($G$35&lt;$H$35,$G$35&gt;$I$35)),FALSE)</f>
        <v/>
      </c>
      <c r="M35" t="inlineStr"/>
      <c r="N35" t="inlineStr">
        <is>
          <t>R_unit_refs;R_reference_real;W_wikipedia_sukhoi_su_25;R_unit_sheet;R_machine_brigade_can_bang;R_attack_jet</t>
        </is>
      </c>
      <c r="O35" t="inlineStr">
        <is>
          <t>modelSize của dữ liệu / kích thước thật (reference_real.json)</t>
        </is>
      </c>
      <c r="P35" t="inlineStr">
        <is>
          <t>01_chien_dau/Xe.model_size_width_m; Tools/models/reference_real.json</t>
        </is>
      </c>
      <c r="Q35" t="inlineStr"/>
    </row>
    <row r="36">
      <c r="A36" t="inlineStr">
        <is>
          <t>attack_jet/rong_tren_dai</t>
        </is>
      </c>
      <c r="B36" t="inlineStr">
        <is>
          <t>attack_jet</t>
        </is>
      </c>
      <c r="C36" t="inlineStr">
        <is>
          <t>rong_tren_dai</t>
        </is>
      </c>
      <c r="D36" t="inlineStr"/>
      <c r="E36">
        <f>INDEX(Xe!$EC$2:$EC$80,MATCH($B$36,Xe!$A$2:$A$80,0))/INDEX(Xe!$EB$2:$EB$80,MATCH($B$36,Xe!$A$2:$A$80,0))</f>
        <v/>
      </c>
      <c r="F36">
        <f>INDEX(Phuong_tien_tham_chieu!$T$2:$T$104,MATCH("attack_jet",Phuong_tien_tham_chieu!$A$2:$A$104,0))/INDEX(Phuong_tien_tham_chieu!$S$2:$S$104,MATCH("attack_jet",Phuong_tien_tham_chieu!$A$2:$A$104,0))</f>
        <v/>
      </c>
      <c r="G36">
        <f>$E$36/$F$36</f>
        <v/>
      </c>
      <c r="H36" t="n">
        <v>0.9</v>
      </c>
      <c r="I36" t="n">
        <v>1.1</v>
      </c>
      <c r="J36" t="b">
        <v>0</v>
      </c>
      <c r="K36" t="inlineStr"/>
      <c r="L36">
        <f>IF(ISNUMBER($H$36),AND(NOT($J$36),OR($G$36&lt;$H$36,$G$36&gt;$I$36)),FALSE)</f>
        <v/>
      </c>
      <c r="M36" t="inlineStr"/>
      <c r="N36" t="inlineStr">
        <is>
          <t>R_unit_refs;R_reference_real;W_wikipedia_sukhoi_su_25;R_unit_sheet;R_machine_brigade_can_bang;R_attack_jet</t>
        </is>
      </c>
      <c r="O36" t="inlineStr">
        <is>
          <t>tỷ lệ hình (MODEL_STANDARD 3.1: lệch quá 10 % là cờ)</t>
        </is>
      </c>
      <c r="P36" t="inlineStr">
        <is>
          <t>01_chien_dau/Xe; Tools/models/reference_real.json</t>
        </is>
      </c>
      <c r="Q36" t="inlineStr"/>
    </row>
    <row r="37">
      <c r="A37" t="inlineStr">
        <is>
          <t>ballistic_launcher/dai_m</t>
        </is>
      </c>
      <c r="B37" t="inlineStr">
        <is>
          <t>ballistic_launcher</t>
        </is>
      </c>
      <c r="C37" t="inlineStr">
        <is>
          <t>dai_m</t>
        </is>
      </c>
      <c r="D37" t="inlineStr">
        <is>
          <t>m</t>
        </is>
      </c>
      <c r="E37">
        <f>INDEX(Xe!$EB$2:$EB$80,MATCH($B$37,Xe!$A$2:$A$80,0))</f>
        <v/>
      </c>
      <c r="F37">
        <f>INDEX(Phuong_tien_tham_chieu!$S$2:$S$104,MATCH("ballistic_launcher",Phuong_tien_tham_chieu!$A$2:$A$104,0))</f>
        <v/>
      </c>
      <c r="G37">
        <f>$E$37/$F$37</f>
        <v/>
      </c>
      <c r="H37" t="n">
        <v>0.7</v>
      </c>
      <c r="I37" t="n">
        <v>1.4</v>
      </c>
      <c r="J37" t="b">
        <v>0</v>
      </c>
      <c r="K37" t="inlineStr"/>
      <c r="L37">
        <f>IF(ISNUMBER($H$37),AND(NOT($J$37),OR($G$37&lt;$H$37,$G$37&gt;$I$37)),FALSE)</f>
        <v/>
      </c>
      <c r="M37" t="inlineStr"/>
      <c r="N37" t="inlineStr">
        <is>
          <t>R_unit_refs;R_reference_real;W_wikipedia_9k720_iskander;R_unit_sheet;R_machine_brigade_can_bang;R_ballistic_launcher</t>
        </is>
      </c>
      <c r="O37" t="inlineStr">
        <is>
          <t>modelSize của dữ liệu / kích thước thật (reference_real.json)</t>
        </is>
      </c>
      <c r="P37" t="inlineStr">
        <is>
          <t>01_chien_dau/Xe.model_size_length_m; Tools/models/reference_real.json</t>
        </is>
      </c>
      <c r="Q37" t="inlineStr"/>
    </row>
    <row r="38">
      <c r="A38" t="inlineStr">
        <is>
          <t>ballistic_launcher/rong_m</t>
        </is>
      </c>
      <c r="B38" t="inlineStr">
        <is>
          <t>ballistic_launcher</t>
        </is>
      </c>
      <c r="C38" t="inlineStr">
        <is>
          <t>rong_m</t>
        </is>
      </c>
      <c r="D38" t="inlineStr">
        <is>
          <t>m</t>
        </is>
      </c>
      <c r="E38">
        <f>INDEX(Xe!$EC$2:$EC$80,MATCH($B$38,Xe!$A$2:$A$80,0))</f>
        <v/>
      </c>
      <c r="F38">
        <f>INDEX(Phuong_tien_tham_chieu!$T$2:$T$104,MATCH("ballistic_launcher",Phuong_tien_tham_chieu!$A$2:$A$104,0))</f>
        <v/>
      </c>
      <c r="G38">
        <f>$E$38/$F$38</f>
        <v/>
      </c>
      <c r="H38" t="n">
        <v>0.7</v>
      </c>
      <c r="I38" t="n">
        <v>1.4</v>
      </c>
      <c r="J38" t="b">
        <v>0</v>
      </c>
      <c r="K38" t="inlineStr"/>
      <c r="L38">
        <f>IF(ISNUMBER($H$38),AND(NOT($J$38),OR($G$38&lt;$H$38,$G$38&gt;$I$38)),FALSE)</f>
        <v/>
      </c>
      <c r="M38" t="inlineStr"/>
      <c r="N38" t="inlineStr">
        <is>
          <t>R_unit_refs;R_reference_real;W_wikipedia_9k720_iskander;R_unit_sheet;R_machine_brigade_can_bang;R_ballistic_launcher</t>
        </is>
      </c>
      <c r="O38" t="inlineStr">
        <is>
          <t>modelSize của dữ liệu / kích thước thật (reference_real.json)</t>
        </is>
      </c>
      <c r="P38" t="inlineStr">
        <is>
          <t>01_chien_dau/Xe.model_size_width_m; Tools/models/reference_real.json</t>
        </is>
      </c>
      <c r="Q38" t="inlineStr"/>
    </row>
    <row r="39">
      <c r="A39" t="inlineStr">
        <is>
          <t>ballistic_launcher/rong_tren_dai</t>
        </is>
      </c>
      <c r="B39" t="inlineStr">
        <is>
          <t>ballistic_launcher</t>
        </is>
      </c>
      <c r="C39" t="inlineStr">
        <is>
          <t>rong_tren_dai</t>
        </is>
      </c>
      <c r="D39" t="inlineStr"/>
      <c r="E39">
        <f>INDEX(Xe!$EC$2:$EC$80,MATCH($B$39,Xe!$A$2:$A$80,0))/INDEX(Xe!$EB$2:$EB$80,MATCH($B$39,Xe!$A$2:$A$80,0))</f>
        <v/>
      </c>
      <c r="F39">
        <f>INDEX(Phuong_tien_tham_chieu!$T$2:$T$104,MATCH("ballistic_launcher",Phuong_tien_tham_chieu!$A$2:$A$104,0))/INDEX(Phuong_tien_tham_chieu!$S$2:$S$104,MATCH("ballistic_launcher",Phuong_tien_tham_chieu!$A$2:$A$104,0))</f>
        <v/>
      </c>
      <c r="G39">
        <f>$E$39/$F$39</f>
        <v/>
      </c>
      <c r="H39" t="n">
        <v>0.9</v>
      </c>
      <c r="I39" t="n">
        <v>1.1</v>
      </c>
      <c r="J39" t="b">
        <v>0</v>
      </c>
      <c r="K39" t="inlineStr"/>
      <c r="L39">
        <f>IF(ISNUMBER($H$39),AND(NOT($J$39),OR($G$39&lt;$H$39,$G$39&gt;$I$39)),FALSE)</f>
        <v/>
      </c>
      <c r="M39" t="inlineStr"/>
      <c r="N39" t="inlineStr">
        <is>
          <t>R_unit_refs;R_reference_real;W_wikipedia_9k720_iskander;R_unit_sheet;R_machine_brigade_can_bang;R_ballistic_launcher</t>
        </is>
      </c>
      <c r="O39" t="inlineStr">
        <is>
          <t>tỷ lệ hình (MODEL_STANDARD 3.1: lệch quá 10 % là cờ)</t>
        </is>
      </c>
      <c r="P39" t="inlineStr">
        <is>
          <t>01_chien_dau/Xe; Tools/models/reference_real.json</t>
        </is>
      </c>
      <c r="Q39" t="inlineStr"/>
    </row>
    <row r="40">
      <c r="A40" t="inlineStr">
        <is>
          <t>command_vehicle/cao_m</t>
        </is>
      </c>
      <c r="B40" t="inlineStr">
        <is>
          <t>command_vehicle</t>
        </is>
      </c>
      <c r="C40" t="inlineStr">
        <is>
          <t>cao_m</t>
        </is>
      </c>
      <c r="D40" t="inlineStr">
        <is>
          <t>m</t>
        </is>
      </c>
      <c r="E40">
        <f>INDEX(Xe!$EA$2:$EA$80,MATCH($B$40,Xe!$A$2:$A$80,0))</f>
        <v/>
      </c>
      <c r="F40">
        <f>INDEX(Phuong_tien_tham_chieu!$U$2:$U$104,MATCH("command_vehicle",Phuong_tien_tham_chieu!$A$2:$A$104,0))</f>
        <v/>
      </c>
      <c r="G40">
        <f>$E$40/$F$40</f>
        <v/>
      </c>
      <c r="H40" t="n">
        <v>0.7</v>
      </c>
      <c r="I40" t="n">
        <v>1.4</v>
      </c>
      <c r="J40" t="b">
        <v>0</v>
      </c>
      <c r="K40" t="inlineStr"/>
      <c r="L40">
        <f>IF(ISNUMBER($H$40),AND(NOT($J$40),OR($G$40&lt;$H$40,$G$40&gt;$I$40)),FALSE)</f>
        <v/>
      </c>
      <c r="M40" t="inlineStr"/>
      <c r="N40" t="inlineStr">
        <is>
          <t>R_unit_refs;R_reference_real;W_wikipedia_stryker;R_unit_sheet;R_machine_brigade_can_bang;R_command_vehicle</t>
        </is>
      </c>
      <c r="O40" t="inlineStr">
        <is>
          <t>modelSize của dữ liệu / kích thước thật (reference_real.json)</t>
        </is>
      </c>
      <c r="P40" t="inlineStr">
        <is>
          <t>01_chien_dau/Xe.model_size_height_m; Tools/models/reference_real.json</t>
        </is>
      </c>
      <c r="Q40" t="inlineStr"/>
    </row>
    <row r="41">
      <c r="A41" t="inlineStr">
        <is>
          <t>command_vehicle/cao_tren_dai</t>
        </is>
      </c>
      <c r="B41" t="inlineStr">
        <is>
          <t>command_vehicle</t>
        </is>
      </c>
      <c r="C41" t="inlineStr">
        <is>
          <t>cao_tren_dai</t>
        </is>
      </c>
      <c r="D41" t="inlineStr"/>
      <c r="E41">
        <f>INDEX(Xe!$EA$2:$EA$80,MATCH($B$41,Xe!$A$2:$A$80,0))/INDEX(Xe!$EB$2:$EB$80,MATCH($B$41,Xe!$A$2:$A$80,0))</f>
        <v/>
      </c>
      <c r="F41">
        <f>INDEX(Phuong_tien_tham_chieu!$U$2:$U$104,MATCH("command_vehicle",Phuong_tien_tham_chieu!$A$2:$A$104,0))/INDEX(Phuong_tien_tham_chieu!$S$2:$S$104,MATCH("command_vehicle",Phuong_tien_tham_chieu!$A$2:$A$104,0))</f>
        <v/>
      </c>
      <c r="G41">
        <f>$E$41/$F$41</f>
        <v/>
      </c>
      <c r="H41" t="n">
        <v>0.9</v>
      </c>
      <c r="I41" t="n">
        <v>1.1</v>
      </c>
      <c r="J41" t="b">
        <v>0</v>
      </c>
      <c r="K41" t="inlineStr"/>
      <c r="L41">
        <f>IF(ISNUMBER($H$41),AND(NOT($J$41),OR($G$41&lt;$H$41,$G$41&gt;$I$41)),FALSE)</f>
        <v/>
      </c>
      <c r="M41" t="inlineStr"/>
      <c r="N41" t="inlineStr">
        <is>
          <t>R_unit_refs;R_reference_real;W_wikipedia_stryker;R_unit_sheet;R_machine_brigade_can_bang;R_command_vehicle</t>
        </is>
      </c>
      <c r="O41" t="inlineStr">
        <is>
          <t>tỷ lệ hình (MODEL_STANDARD 3.1: lệch quá 10 % là cờ)</t>
        </is>
      </c>
      <c r="P41" t="inlineStr">
        <is>
          <t>01_chien_dau/Xe; Tools/models/reference_real.json</t>
        </is>
      </c>
      <c r="Q41" t="inlineStr"/>
    </row>
    <row r="42">
      <c r="A42" t="inlineStr">
        <is>
          <t>command_vehicle/dai_m</t>
        </is>
      </c>
      <c r="B42" t="inlineStr">
        <is>
          <t>command_vehicle</t>
        </is>
      </c>
      <c r="C42" t="inlineStr">
        <is>
          <t>dai_m</t>
        </is>
      </c>
      <c r="D42" t="inlineStr">
        <is>
          <t>m</t>
        </is>
      </c>
      <c r="E42">
        <f>INDEX(Xe!$EB$2:$EB$80,MATCH($B$42,Xe!$A$2:$A$80,0))</f>
        <v/>
      </c>
      <c r="F42">
        <f>INDEX(Phuong_tien_tham_chieu!$S$2:$S$104,MATCH("command_vehicle",Phuong_tien_tham_chieu!$A$2:$A$104,0))</f>
        <v/>
      </c>
      <c r="G42">
        <f>$E$42/$F$42</f>
        <v/>
      </c>
      <c r="H42" t="n">
        <v>0.7</v>
      </c>
      <c r="I42" t="n">
        <v>1.4</v>
      </c>
      <c r="J42" t="b">
        <v>0</v>
      </c>
      <c r="K42" t="inlineStr"/>
      <c r="L42">
        <f>IF(ISNUMBER($H$42),AND(NOT($J$42),OR($G$42&lt;$H$42,$G$42&gt;$I$42)),FALSE)</f>
        <v/>
      </c>
      <c r="M42" t="inlineStr"/>
      <c r="N42" t="inlineStr">
        <is>
          <t>R_unit_refs;R_reference_real;W_wikipedia_stryker;R_unit_sheet;R_machine_brigade_can_bang;R_command_vehicle</t>
        </is>
      </c>
      <c r="O42" t="inlineStr">
        <is>
          <t>modelSize của dữ liệu / kích thước thật (reference_real.json)</t>
        </is>
      </c>
      <c r="P42" t="inlineStr">
        <is>
          <t>01_chien_dau/Xe.model_size_length_m; Tools/models/reference_real.json</t>
        </is>
      </c>
      <c r="Q42" t="inlineStr"/>
    </row>
    <row r="43">
      <c r="A43" t="inlineStr">
        <is>
          <t>command_vehicle/rong_m</t>
        </is>
      </c>
      <c r="B43" t="inlineStr">
        <is>
          <t>command_vehicle</t>
        </is>
      </c>
      <c r="C43" t="inlineStr">
        <is>
          <t>rong_m</t>
        </is>
      </c>
      <c r="D43" t="inlineStr">
        <is>
          <t>m</t>
        </is>
      </c>
      <c r="E43">
        <f>INDEX(Xe!$EC$2:$EC$80,MATCH($B$43,Xe!$A$2:$A$80,0))</f>
        <v/>
      </c>
      <c r="F43">
        <f>INDEX(Phuong_tien_tham_chieu!$T$2:$T$104,MATCH("command_vehicle",Phuong_tien_tham_chieu!$A$2:$A$104,0))</f>
        <v/>
      </c>
      <c r="G43">
        <f>$E$43/$F$43</f>
        <v/>
      </c>
      <c r="H43" t="n">
        <v>0.7</v>
      </c>
      <c r="I43" t="n">
        <v>1.4</v>
      </c>
      <c r="J43" t="b">
        <v>0</v>
      </c>
      <c r="K43" t="inlineStr"/>
      <c r="L43">
        <f>IF(ISNUMBER($H$43),AND(NOT($J$43),OR($G$43&lt;$H$43,$G$43&gt;$I$43)),FALSE)</f>
        <v/>
      </c>
      <c r="M43" t="inlineStr"/>
      <c r="N43" t="inlineStr">
        <is>
          <t>R_unit_refs;R_reference_real;W_wikipedia_stryker;R_unit_sheet;R_machine_brigade_can_bang;R_command_vehicle</t>
        </is>
      </c>
      <c r="O43" t="inlineStr">
        <is>
          <t>modelSize của dữ liệu / kích thước thật (reference_real.json)</t>
        </is>
      </c>
      <c r="P43" t="inlineStr">
        <is>
          <t>01_chien_dau/Xe.model_size_width_m; Tools/models/reference_real.json</t>
        </is>
      </c>
      <c r="Q43" t="inlineStr"/>
    </row>
    <row r="44">
      <c r="A44" t="inlineStr">
        <is>
          <t>command_vehicle/rong_tren_dai</t>
        </is>
      </c>
      <c r="B44" t="inlineStr">
        <is>
          <t>command_vehicle</t>
        </is>
      </c>
      <c r="C44" t="inlineStr">
        <is>
          <t>rong_tren_dai</t>
        </is>
      </c>
      <c r="D44" t="inlineStr"/>
      <c r="E44">
        <f>INDEX(Xe!$EC$2:$EC$80,MATCH($B$44,Xe!$A$2:$A$80,0))/INDEX(Xe!$EB$2:$EB$80,MATCH($B$44,Xe!$A$2:$A$80,0))</f>
        <v/>
      </c>
      <c r="F44">
        <f>INDEX(Phuong_tien_tham_chieu!$T$2:$T$104,MATCH("command_vehicle",Phuong_tien_tham_chieu!$A$2:$A$104,0))/INDEX(Phuong_tien_tham_chieu!$S$2:$S$104,MATCH("command_vehicle",Phuong_tien_tham_chieu!$A$2:$A$104,0))</f>
        <v/>
      </c>
      <c r="G44">
        <f>$E$44/$F$44</f>
        <v/>
      </c>
      <c r="H44" t="n">
        <v>0.9</v>
      </c>
      <c r="I44" t="n">
        <v>1.1</v>
      </c>
      <c r="J44" t="b">
        <v>0</v>
      </c>
      <c r="K44" t="inlineStr"/>
      <c r="L44">
        <f>IF(ISNUMBER($H$44),AND(NOT($J$44),OR($G$44&lt;$H$44,$G$44&gt;$I$44)),FALSE)</f>
        <v/>
      </c>
      <c r="M44" t="inlineStr"/>
      <c r="N44" t="inlineStr">
        <is>
          <t>R_unit_refs;R_reference_real;W_wikipedia_stryker;R_unit_sheet;R_machine_brigade_can_bang;R_command_vehicle</t>
        </is>
      </c>
      <c r="O44" t="inlineStr">
        <is>
          <t>tỷ lệ hình (MODEL_STANDARD 3.1: lệch quá 10 % là cờ)</t>
        </is>
      </c>
      <c r="P44" t="inlineStr">
        <is>
          <t>01_chien_dau/Xe; Tools/models/reference_real.json</t>
        </is>
      </c>
      <c r="Q44" t="inlineStr"/>
    </row>
    <row r="45">
      <c r="A45" t="inlineStr">
        <is>
          <t>elite_aa/cao_m</t>
        </is>
      </c>
      <c r="B45" t="inlineStr">
        <is>
          <t>elite_aa</t>
        </is>
      </c>
      <c r="C45" t="inlineStr">
        <is>
          <t>cao_m</t>
        </is>
      </c>
      <c r="D45" t="inlineStr">
        <is>
          <t>m</t>
        </is>
      </c>
      <c r="E45">
        <f>INDEX(Xe!$EA$2:$EA$80,MATCH($B$45,Xe!$A$2:$A$80,0))</f>
        <v/>
      </c>
      <c r="F45">
        <f>INDEX(Phuong_tien_tham_chieu!$U$2:$U$104,MATCH("elite_aa",Phuong_tien_tham_chieu!$A$2:$A$104,0))</f>
        <v/>
      </c>
      <c r="G45">
        <f>$E$45/$F$45</f>
        <v/>
      </c>
      <c r="H45" t="n">
        <v>0.7</v>
      </c>
      <c r="I45" t="n">
        <v>1.4</v>
      </c>
      <c r="J45" t="b">
        <v>0</v>
      </c>
      <c r="K45" t="inlineStr"/>
      <c r="L45">
        <f>IF(ISNUMBER($H$45),AND(NOT($J$45),OR($G$45&lt;$H$45,$G$45&gt;$I$45)),FALSE)</f>
        <v/>
      </c>
      <c r="M45" t="inlineStr"/>
      <c r="N45" t="inlineStr">
        <is>
          <t>R_unit_refs;R_reference_real;W_wikipedia_flakpanzer_gepard;R_elite_aa</t>
        </is>
      </c>
      <c r="O45" t="inlineStr">
        <is>
          <t>modelSize của dữ liệu / kích thước thật (reference_real.json)</t>
        </is>
      </c>
      <c r="P45" t="inlineStr">
        <is>
          <t>01_chien_dau/Xe.model_size_height_m; Tools/models/reference_real.json</t>
        </is>
      </c>
      <c r="Q45" t="inlineStr"/>
    </row>
    <row r="46">
      <c r="A46" t="inlineStr">
        <is>
          <t>elite_aa/cao_tren_dai</t>
        </is>
      </c>
      <c r="B46" t="inlineStr">
        <is>
          <t>elite_aa</t>
        </is>
      </c>
      <c r="C46" t="inlineStr">
        <is>
          <t>cao_tren_dai</t>
        </is>
      </c>
      <c r="D46" t="inlineStr"/>
      <c r="E46">
        <f>INDEX(Xe!$EA$2:$EA$80,MATCH($B$46,Xe!$A$2:$A$80,0))/INDEX(Xe!$EB$2:$EB$80,MATCH($B$46,Xe!$A$2:$A$80,0))</f>
        <v/>
      </c>
      <c r="F46">
        <f>INDEX(Phuong_tien_tham_chieu!$U$2:$U$104,MATCH("elite_aa",Phuong_tien_tham_chieu!$A$2:$A$104,0))/INDEX(Phuong_tien_tham_chieu!$S$2:$S$104,MATCH("elite_aa",Phuong_tien_tham_chieu!$A$2:$A$104,0))</f>
        <v/>
      </c>
      <c r="G46">
        <f>$E$46/$F$46</f>
        <v/>
      </c>
      <c r="H46" t="n">
        <v>0.9</v>
      </c>
      <c r="I46" t="n">
        <v>1.1</v>
      </c>
      <c r="J46" t="b">
        <v>0</v>
      </c>
      <c r="K46" t="inlineStr"/>
      <c r="L46">
        <f>IF(ISNUMBER($H$46),AND(NOT($J$46),OR($G$46&lt;$H$46,$G$46&gt;$I$46)),FALSE)</f>
        <v/>
      </c>
      <c r="M46" t="inlineStr"/>
      <c r="N46" t="inlineStr">
        <is>
          <t>R_unit_refs;R_reference_real;W_wikipedia_flakpanzer_gepard;R_elite_aa</t>
        </is>
      </c>
      <c r="O46" t="inlineStr">
        <is>
          <t>tỷ lệ hình (MODEL_STANDARD 3.1: lệch quá 10 % là cờ)</t>
        </is>
      </c>
      <c r="P46" t="inlineStr">
        <is>
          <t>01_chien_dau/Xe; Tools/models/reference_real.json</t>
        </is>
      </c>
      <c r="Q46" t="inlineStr"/>
    </row>
    <row r="47">
      <c r="A47" t="inlineStr">
        <is>
          <t>elite_aa/dai_m</t>
        </is>
      </c>
      <c r="B47" t="inlineStr">
        <is>
          <t>elite_aa</t>
        </is>
      </c>
      <c r="C47" t="inlineStr">
        <is>
          <t>dai_m</t>
        </is>
      </c>
      <c r="D47" t="inlineStr">
        <is>
          <t>m</t>
        </is>
      </c>
      <c r="E47">
        <f>INDEX(Xe!$EB$2:$EB$80,MATCH($B$47,Xe!$A$2:$A$80,0))</f>
        <v/>
      </c>
      <c r="F47">
        <f>INDEX(Phuong_tien_tham_chieu!$S$2:$S$104,MATCH("elite_aa",Phuong_tien_tham_chieu!$A$2:$A$104,0))</f>
        <v/>
      </c>
      <c r="G47">
        <f>$E$47/$F$47</f>
        <v/>
      </c>
      <c r="H47" t="n">
        <v>0.7</v>
      </c>
      <c r="I47" t="n">
        <v>1.4</v>
      </c>
      <c r="J47" t="b">
        <v>0</v>
      </c>
      <c r="K47" t="inlineStr"/>
      <c r="L47">
        <f>IF(ISNUMBER($H$47),AND(NOT($J$47),OR($G$47&lt;$H$47,$G$47&gt;$I$47)),FALSE)</f>
        <v/>
      </c>
      <c r="M47" t="inlineStr"/>
      <c r="N47" t="inlineStr">
        <is>
          <t>R_unit_refs;R_reference_real;W_wikipedia_flakpanzer_gepard;R_elite_aa</t>
        </is>
      </c>
      <c r="O47" t="inlineStr">
        <is>
          <t>modelSize của dữ liệu / kích thước thật (reference_real.json)</t>
        </is>
      </c>
      <c r="P47" t="inlineStr">
        <is>
          <t>01_chien_dau/Xe.model_size_length_m; Tools/models/reference_real.json</t>
        </is>
      </c>
      <c r="Q47" t="inlineStr"/>
    </row>
    <row r="48">
      <c r="A48" t="inlineStr">
        <is>
          <t>elite_aa/rong_m</t>
        </is>
      </c>
      <c r="B48" t="inlineStr">
        <is>
          <t>elite_aa</t>
        </is>
      </c>
      <c r="C48" t="inlineStr">
        <is>
          <t>rong_m</t>
        </is>
      </c>
      <c r="D48" t="inlineStr">
        <is>
          <t>m</t>
        </is>
      </c>
      <c r="E48">
        <f>INDEX(Xe!$EC$2:$EC$80,MATCH($B$48,Xe!$A$2:$A$80,0))</f>
        <v/>
      </c>
      <c r="F48">
        <f>INDEX(Phuong_tien_tham_chieu!$T$2:$T$104,MATCH("elite_aa",Phuong_tien_tham_chieu!$A$2:$A$104,0))</f>
        <v/>
      </c>
      <c r="G48">
        <f>$E$48/$F$48</f>
        <v/>
      </c>
      <c r="H48" t="n">
        <v>0.7</v>
      </c>
      <c r="I48" t="n">
        <v>1.4</v>
      </c>
      <c r="J48" t="b">
        <v>0</v>
      </c>
      <c r="K48" t="inlineStr"/>
      <c r="L48">
        <f>IF(ISNUMBER($H$48),AND(NOT($J$48),OR($G$48&lt;$H$48,$G$48&gt;$I$48)),FALSE)</f>
        <v/>
      </c>
      <c r="M48" t="inlineStr"/>
      <c r="N48" t="inlineStr">
        <is>
          <t>R_unit_refs;R_reference_real;W_wikipedia_flakpanzer_gepard;R_elite_aa</t>
        </is>
      </c>
      <c r="O48" t="inlineStr">
        <is>
          <t>modelSize của dữ liệu / kích thước thật (reference_real.json)</t>
        </is>
      </c>
      <c r="P48" t="inlineStr">
        <is>
          <t>01_chien_dau/Xe.model_size_width_m; Tools/models/reference_real.json</t>
        </is>
      </c>
      <c r="Q48" t="inlineStr"/>
    </row>
    <row r="49">
      <c r="A49" t="inlineStr">
        <is>
          <t>elite_aa/rong_tren_dai</t>
        </is>
      </c>
      <c r="B49" t="inlineStr">
        <is>
          <t>elite_aa</t>
        </is>
      </c>
      <c r="C49" t="inlineStr">
        <is>
          <t>rong_tren_dai</t>
        </is>
      </c>
      <c r="D49" t="inlineStr"/>
      <c r="E49">
        <f>INDEX(Xe!$EC$2:$EC$80,MATCH($B$49,Xe!$A$2:$A$80,0))/INDEX(Xe!$EB$2:$EB$80,MATCH($B$49,Xe!$A$2:$A$80,0))</f>
        <v/>
      </c>
      <c r="F49">
        <f>INDEX(Phuong_tien_tham_chieu!$T$2:$T$104,MATCH("elite_aa",Phuong_tien_tham_chieu!$A$2:$A$104,0))/INDEX(Phuong_tien_tham_chieu!$S$2:$S$104,MATCH("elite_aa",Phuong_tien_tham_chieu!$A$2:$A$104,0))</f>
        <v/>
      </c>
      <c r="G49">
        <f>$E$49/$F$49</f>
        <v/>
      </c>
      <c r="H49" t="n">
        <v>0.9</v>
      </c>
      <c r="I49" t="n">
        <v>1.1</v>
      </c>
      <c r="J49" t="b">
        <v>0</v>
      </c>
      <c r="K49" t="inlineStr"/>
      <c r="L49">
        <f>IF(ISNUMBER($H$49),AND(NOT($J$49),OR($G$49&lt;$H$49,$G$49&gt;$I$49)),FALSE)</f>
        <v/>
      </c>
      <c r="M49" t="inlineStr"/>
      <c r="N49" t="inlineStr">
        <is>
          <t>R_unit_refs;R_reference_real;W_wikipedia_flakpanzer_gepard;R_elite_aa</t>
        </is>
      </c>
      <c r="O49" t="inlineStr">
        <is>
          <t>tỷ lệ hình (MODEL_STANDARD 3.1: lệch quá 10 % là cờ)</t>
        </is>
      </c>
      <c r="P49" t="inlineStr">
        <is>
          <t>01_chien_dau/Xe; Tools/models/reference_real.json</t>
        </is>
      </c>
      <c r="Q49" t="inlineStr"/>
    </row>
    <row r="50">
      <c r="A50" t="inlineStr">
        <is>
          <t>elite_apc/cao_m</t>
        </is>
      </c>
      <c r="B50" t="inlineStr">
        <is>
          <t>elite_apc</t>
        </is>
      </c>
      <c r="C50" t="inlineStr">
        <is>
          <t>cao_m</t>
        </is>
      </c>
      <c r="D50" t="inlineStr">
        <is>
          <t>m</t>
        </is>
      </c>
      <c r="E50">
        <f>INDEX(Xe!$EA$2:$EA$80,MATCH($B$50,Xe!$A$2:$A$80,0))</f>
        <v/>
      </c>
      <c r="F50">
        <f>INDEX(Phuong_tien_tham_chieu!$U$2:$U$104,MATCH("elite_apc",Phuong_tien_tham_chieu!$A$2:$A$104,0))</f>
        <v/>
      </c>
      <c r="G50">
        <f>$E$50/$F$50</f>
        <v/>
      </c>
      <c r="H50" t="n">
        <v>0.7</v>
      </c>
      <c r="I50" t="n">
        <v>1.4</v>
      </c>
      <c r="J50" t="b">
        <v>0</v>
      </c>
      <c r="K50" t="inlineStr"/>
      <c r="L50">
        <f>IF(ISNUMBER($H$50),AND(NOT($J$50),OR($G$50&lt;$H$50,$G$50&gt;$I$50)),FALSE)</f>
        <v/>
      </c>
      <c r="M50" t="inlineStr"/>
      <c r="N50" t="inlineStr">
        <is>
          <t>R_unit_refs;R_reference_real;W_wikipedia_m2_bradley;R_elite_apc</t>
        </is>
      </c>
      <c r="O50" t="inlineStr">
        <is>
          <t>modelSize của dữ liệu / kích thước thật (reference_real.json)</t>
        </is>
      </c>
      <c r="P50" t="inlineStr">
        <is>
          <t>01_chien_dau/Xe.model_size_height_m; Tools/models/reference_real.json</t>
        </is>
      </c>
      <c r="Q50" t="inlineStr"/>
    </row>
    <row r="51">
      <c r="A51" t="inlineStr">
        <is>
          <t>elite_apc/cao_tren_dai</t>
        </is>
      </c>
      <c r="B51" t="inlineStr">
        <is>
          <t>elite_apc</t>
        </is>
      </c>
      <c r="C51" t="inlineStr">
        <is>
          <t>cao_tren_dai</t>
        </is>
      </c>
      <c r="D51" t="inlineStr"/>
      <c r="E51">
        <f>INDEX(Xe!$EA$2:$EA$80,MATCH($B$51,Xe!$A$2:$A$80,0))/INDEX(Xe!$EB$2:$EB$80,MATCH($B$51,Xe!$A$2:$A$80,0))</f>
        <v/>
      </c>
      <c r="F51">
        <f>INDEX(Phuong_tien_tham_chieu!$U$2:$U$104,MATCH("elite_apc",Phuong_tien_tham_chieu!$A$2:$A$104,0))/INDEX(Phuong_tien_tham_chieu!$S$2:$S$104,MATCH("elite_apc",Phuong_tien_tham_chieu!$A$2:$A$104,0))</f>
        <v/>
      </c>
      <c r="G51">
        <f>$E$51/$F$51</f>
        <v/>
      </c>
      <c r="H51" t="n">
        <v>0.9</v>
      </c>
      <c r="I51" t="n">
        <v>1.1</v>
      </c>
      <c r="J51" t="b">
        <v>0</v>
      </c>
      <c r="K51" t="inlineStr"/>
      <c r="L51">
        <f>IF(ISNUMBER($H$51),AND(NOT($J$51),OR($G$51&lt;$H$51,$G$51&gt;$I$51)),FALSE)</f>
        <v/>
      </c>
      <c r="M51" t="inlineStr"/>
      <c r="N51" t="inlineStr">
        <is>
          <t>R_unit_refs;R_reference_real;W_wikipedia_m2_bradley;R_elite_apc</t>
        </is>
      </c>
      <c r="O51" t="inlineStr">
        <is>
          <t>tỷ lệ hình (MODEL_STANDARD 3.1: lệch quá 10 % là cờ)</t>
        </is>
      </c>
      <c r="P51" t="inlineStr">
        <is>
          <t>01_chien_dau/Xe; Tools/models/reference_real.json</t>
        </is>
      </c>
      <c r="Q51" t="inlineStr"/>
    </row>
    <row r="52">
      <c r="A52" t="inlineStr">
        <is>
          <t>elite_apc/dai_m</t>
        </is>
      </c>
      <c r="B52" t="inlineStr">
        <is>
          <t>elite_apc</t>
        </is>
      </c>
      <c r="C52" t="inlineStr">
        <is>
          <t>dai_m</t>
        </is>
      </c>
      <c r="D52" t="inlineStr">
        <is>
          <t>m</t>
        </is>
      </c>
      <c r="E52">
        <f>INDEX(Xe!$EB$2:$EB$80,MATCH($B$52,Xe!$A$2:$A$80,0))</f>
        <v/>
      </c>
      <c r="F52">
        <f>INDEX(Phuong_tien_tham_chieu!$S$2:$S$104,MATCH("elite_apc",Phuong_tien_tham_chieu!$A$2:$A$104,0))</f>
        <v/>
      </c>
      <c r="G52">
        <f>$E$52/$F$52</f>
        <v/>
      </c>
      <c r="H52" t="n">
        <v>0.7</v>
      </c>
      <c r="I52" t="n">
        <v>1.4</v>
      </c>
      <c r="J52" t="b">
        <v>0</v>
      </c>
      <c r="K52" t="inlineStr"/>
      <c r="L52">
        <f>IF(ISNUMBER($H$52),AND(NOT($J$52),OR($G$52&lt;$H$52,$G$52&gt;$I$52)),FALSE)</f>
        <v/>
      </c>
      <c r="M52" t="inlineStr"/>
      <c r="N52" t="inlineStr">
        <is>
          <t>R_unit_refs;R_reference_real;W_wikipedia_m2_bradley;R_elite_apc</t>
        </is>
      </c>
      <c r="O52" t="inlineStr">
        <is>
          <t>modelSize của dữ liệu / kích thước thật (reference_real.json)</t>
        </is>
      </c>
      <c r="P52" t="inlineStr">
        <is>
          <t>01_chien_dau/Xe.model_size_length_m; Tools/models/reference_real.json</t>
        </is>
      </c>
      <c r="Q52" t="inlineStr"/>
    </row>
    <row r="53">
      <c r="A53" t="inlineStr">
        <is>
          <t>elite_apc/rong_m</t>
        </is>
      </c>
      <c r="B53" t="inlineStr">
        <is>
          <t>elite_apc</t>
        </is>
      </c>
      <c r="C53" t="inlineStr">
        <is>
          <t>rong_m</t>
        </is>
      </c>
      <c r="D53" t="inlineStr">
        <is>
          <t>m</t>
        </is>
      </c>
      <c r="E53">
        <f>INDEX(Xe!$EC$2:$EC$80,MATCH($B$53,Xe!$A$2:$A$80,0))</f>
        <v/>
      </c>
      <c r="F53">
        <f>INDEX(Phuong_tien_tham_chieu!$T$2:$T$104,MATCH("elite_apc",Phuong_tien_tham_chieu!$A$2:$A$104,0))</f>
        <v/>
      </c>
      <c r="G53">
        <f>$E$53/$F$53</f>
        <v/>
      </c>
      <c r="H53" t="n">
        <v>0.7</v>
      </c>
      <c r="I53" t="n">
        <v>1.4</v>
      </c>
      <c r="J53" t="b">
        <v>0</v>
      </c>
      <c r="K53" t="inlineStr"/>
      <c r="L53">
        <f>IF(ISNUMBER($H$53),AND(NOT($J$53),OR($G$53&lt;$H$53,$G$53&gt;$I$53)),FALSE)</f>
        <v/>
      </c>
      <c r="M53" t="inlineStr"/>
      <c r="N53" t="inlineStr">
        <is>
          <t>R_unit_refs;R_reference_real;W_wikipedia_m2_bradley;R_elite_apc</t>
        </is>
      </c>
      <c r="O53" t="inlineStr">
        <is>
          <t>modelSize của dữ liệu / kích thước thật (reference_real.json)</t>
        </is>
      </c>
      <c r="P53" t="inlineStr">
        <is>
          <t>01_chien_dau/Xe.model_size_width_m; Tools/models/reference_real.json</t>
        </is>
      </c>
      <c r="Q53" t="inlineStr"/>
    </row>
    <row r="54">
      <c r="A54" t="inlineStr">
        <is>
          <t>elite_apc/rong_tren_dai</t>
        </is>
      </c>
      <c r="B54" t="inlineStr">
        <is>
          <t>elite_apc</t>
        </is>
      </c>
      <c r="C54" t="inlineStr">
        <is>
          <t>rong_tren_dai</t>
        </is>
      </c>
      <c r="D54" t="inlineStr"/>
      <c r="E54">
        <f>INDEX(Xe!$EC$2:$EC$80,MATCH($B$54,Xe!$A$2:$A$80,0))/INDEX(Xe!$EB$2:$EB$80,MATCH($B$54,Xe!$A$2:$A$80,0))</f>
        <v/>
      </c>
      <c r="F54">
        <f>INDEX(Phuong_tien_tham_chieu!$T$2:$T$104,MATCH("elite_apc",Phuong_tien_tham_chieu!$A$2:$A$104,0))/INDEX(Phuong_tien_tham_chieu!$S$2:$S$104,MATCH("elite_apc",Phuong_tien_tham_chieu!$A$2:$A$104,0))</f>
        <v/>
      </c>
      <c r="G54">
        <f>$E$54/$F$54</f>
        <v/>
      </c>
      <c r="H54" t="n">
        <v>0.9</v>
      </c>
      <c r="I54" t="n">
        <v>1.1</v>
      </c>
      <c r="J54" t="b">
        <v>0</v>
      </c>
      <c r="K54" t="inlineStr"/>
      <c r="L54">
        <f>IF(ISNUMBER($H$54),AND(NOT($J$54),OR($G$54&lt;$H$54,$G$54&gt;$I$54)),FALSE)</f>
        <v/>
      </c>
      <c r="M54" t="inlineStr"/>
      <c r="N54" t="inlineStr">
        <is>
          <t>R_unit_refs;R_reference_real;W_wikipedia_m2_bradley;R_elite_apc</t>
        </is>
      </c>
      <c r="O54" t="inlineStr">
        <is>
          <t>tỷ lệ hình (MODEL_STANDARD 3.1: lệch quá 10 % là cờ)</t>
        </is>
      </c>
      <c r="P54" t="inlineStr">
        <is>
          <t>01_chien_dau/Xe; Tools/models/reference_real.json</t>
        </is>
      </c>
      <c r="Q54" t="inlineStr"/>
    </row>
    <row r="55">
      <c r="A55" t="inlineStr">
        <is>
          <t>elite_attack_helicopter/cao_m</t>
        </is>
      </c>
      <c r="B55" t="inlineStr">
        <is>
          <t>elite_attack_helicopter</t>
        </is>
      </c>
      <c r="C55" t="inlineStr">
        <is>
          <t>cao_m</t>
        </is>
      </c>
      <c r="D55" t="inlineStr">
        <is>
          <t>m</t>
        </is>
      </c>
      <c r="E55">
        <f>INDEX(Xe!$EA$2:$EA$80,MATCH($B$55,Xe!$A$2:$A$80,0))</f>
        <v/>
      </c>
      <c r="F55">
        <f>INDEX(Phuong_tien_tham_chieu!$U$2:$U$104,MATCH("elite_attack_helicopter",Phuong_tien_tham_chieu!$A$2:$A$104,0))</f>
        <v/>
      </c>
      <c r="G55">
        <f>$E$55/$F$55</f>
        <v/>
      </c>
      <c r="H55" t="n">
        <v>0.7</v>
      </c>
      <c r="I55" t="n">
        <v>1.4</v>
      </c>
      <c r="J55" t="b">
        <v>1</v>
      </c>
      <c r="K55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55">
        <f>IF(ISNUMBER($H$55),AND(NOT($J$55),OR($G$55&lt;$H$55,$G$55&gt;$I$55)),FALSE)</f>
        <v/>
      </c>
      <c r="M55" t="inlineStr"/>
      <c r="N55" t="inlineStr">
        <is>
          <t>R_unit_refs;R_reference_real;W_wikipedia_boeing_ah_64_apache;R_elite_attack_helicopter</t>
        </is>
      </c>
      <c r="O55" t="inlineStr">
        <is>
          <t>modelSize của dữ liệu / kích thước thật (reference_real.json)</t>
        </is>
      </c>
      <c r="P55" t="inlineStr">
        <is>
          <t>01_chien_dau/Xe.model_size_height_m; Tools/models/reference_real.json</t>
        </is>
      </c>
      <c r="Q55" t="inlineStr"/>
    </row>
    <row r="56">
      <c r="A56" t="inlineStr">
        <is>
          <t>elite_attack_helicopter/cao_tren_dai</t>
        </is>
      </c>
      <c r="B56" t="inlineStr">
        <is>
          <t>elite_attack_helicopter</t>
        </is>
      </c>
      <c r="C56" t="inlineStr">
        <is>
          <t>cao_tren_dai</t>
        </is>
      </c>
      <c r="D56" t="inlineStr"/>
      <c r="E56">
        <f>INDEX(Xe!$EA$2:$EA$80,MATCH($B$56,Xe!$A$2:$A$80,0))/INDEX(Xe!$EB$2:$EB$80,MATCH($B$56,Xe!$A$2:$A$80,0))</f>
        <v/>
      </c>
      <c r="F56">
        <f>INDEX(Phuong_tien_tham_chieu!$U$2:$U$104,MATCH("elite_attack_helicopter",Phuong_tien_tham_chieu!$A$2:$A$104,0))/INDEX(Phuong_tien_tham_chieu!$S$2:$S$104,MATCH("elite_attack_helicopter",Phuong_tien_tham_chieu!$A$2:$A$104,0))</f>
        <v/>
      </c>
      <c r="G56">
        <f>$E$56/$F$56</f>
        <v/>
      </c>
      <c r="H56" t="n">
        <v>0.9</v>
      </c>
      <c r="I56" t="n">
        <v>1.1</v>
      </c>
      <c r="J56" t="b">
        <v>0</v>
      </c>
      <c r="K56" t="inlineStr"/>
      <c r="L56">
        <f>IF(ISNUMBER($H$56),AND(NOT($J$56),OR($G$56&lt;$H$56,$G$56&gt;$I$56)),FALSE)</f>
        <v/>
      </c>
      <c r="M56" t="inlineStr">
        <is>
          <t>TC0079</t>
        </is>
      </c>
      <c r="N56" t="inlineStr">
        <is>
          <t>R_unit_refs;R_reference_real;W_wikipedia_boeing_ah_64_apache;R_elite_attack_helicopter</t>
        </is>
      </c>
      <c r="O56" t="inlineStr">
        <is>
          <t>tỷ lệ hình (MODEL_STANDARD 3.1: lệch quá 10 % là cờ)</t>
        </is>
      </c>
      <c r="P56" t="inlineStr">
        <is>
          <t>01_chien_dau/Xe; Tools/models/reference_real.json</t>
        </is>
      </c>
      <c r="Q56" t="inlineStr"/>
    </row>
    <row r="57">
      <c r="A57" t="inlineStr">
        <is>
          <t>elite_attack_helicopter/dai_m</t>
        </is>
      </c>
      <c r="B57" t="inlineStr">
        <is>
          <t>elite_attack_helicopter</t>
        </is>
      </c>
      <c r="C57" t="inlineStr">
        <is>
          <t>dai_m</t>
        </is>
      </c>
      <c r="D57" t="inlineStr">
        <is>
          <t>m</t>
        </is>
      </c>
      <c r="E57">
        <f>INDEX(Xe!$EB$2:$EB$80,MATCH($B$57,Xe!$A$2:$A$80,0))</f>
        <v/>
      </c>
      <c r="F57">
        <f>INDEX(Phuong_tien_tham_chieu!$S$2:$S$104,MATCH("elite_attack_helicopter",Phuong_tien_tham_chieu!$A$2:$A$104,0))</f>
        <v/>
      </c>
      <c r="G57">
        <f>$E$57/$F$57</f>
        <v/>
      </c>
      <c r="H57" t="n">
        <v>0.7</v>
      </c>
      <c r="I57" t="n">
        <v>1.4</v>
      </c>
      <c r="J57" t="b">
        <v>1</v>
      </c>
      <c r="K57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57">
        <f>IF(ISNUMBER($H$57),AND(NOT($J$57),OR($G$57&lt;$H$57,$G$57&gt;$I$57)),FALSE)</f>
        <v/>
      </c>
      <c r="M57" t="inlineStr"/>
      <c r="N57" t="inlineStr">
        <is>
          <t>R_unit_refs;R_reference_real;W_wikipedia_boeing_ah_64_apache;R_elite_attack_helicopter</t>
        </is>
      </c>
      <c r="O57" t="inlineStr">
        <is>
          <t>modelSize của dữ liệu / kích thước thật (reference_real.json)</t>
        </is>
      </c>
      <c r="P57" t="inlineStr">
        <is>
          <t>01_chien_dau/Xe.model_size_length_m; Tools/models/reference_real.json</t>
        </is>
      </c>
      <c r="Q57" t="inlineStr"/>
    </row>
    <row r="58">
      <c r="A58" t="inlineStr">
        <is>
          <t>elite_attack_helicopter/rong_m</t>
        </is>
      </c>
      <c r="B58" t="inlineStr">
        <is>
          <t>elite_attack_helicopter</t>
        </is>
      </c>
      <c r="C58" t="inlineStr">
        <is>
          <t>rong_m</t>
        </is>
      </c>
      <c r="D58" t="inlineStr">
        <is>
          <t>m</t>
        </is>
      </c>
      <c r="E58">
        <f>INDEX(Xe!$EC$2:$EC$80,MATCH($B$58,Xe!$A$2:$A$80,0))</f>
        <v/>
      </c>
      <c r="F58">
        <f>INDEX(Phuong_tien_tham_chieu!$T$2:$T$104,MATCH("elite_attack_helicopter",Phuong_tien_tham_chieu!$A$2:$A$104,0))</f>
        <v/>
      </c>
      <c r="G58">
        <f>$E$58/$F$58</f>
        <v/>
      </c>
      <c r="H58" t="n">
        <v>0.7</v>
      </c>
      <c r="I58" t="n">
        <v>1.4</v>
      </c>
      <c r="J58" t="b">
        <v>1</v>
      </c>
      <c r="K58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58">
        <f>IF(ISNUMBER($H$58),AND(NOT($J$58),OR($G$58&lt;$H$58,$G$58&gt;$I$58)),FALSE)</f>
        <v/>
      </c>
      <c r="M58" t="inlineStr"/>
      <c r="N58" t="inlineStr">
        <is>
          <t>R_unit_refs;R_reference_real;W_wikipedia_boeing_ah_64_apache;R_elite_attack_helicopter</t>
        </is>
      </c>
      <c r="O58" t="inlineStr">
        <is>
          <t>modelSize của dữ liệu / kích thước thật (reference_real.json)</t>
        </is>
      </c>
      <c r="P58" t="inlineStr">
        <is>
          <t>01_chien_dau/Xe.model_size_width_m; Tools/models/reference_real.json</t>
        </is>
      </c>
      <c r="Q58" t="inlineStr"/>
    </row>
    <row r="59">
      <c r="A59" t="inlineStr">
        <is>
          <t>elite_attack_helicopter/rong_tren_dai</t>
        </is>
      </c>
      <c r="B59" t="inlineStr">
        <is>
          <t>elite_attack_helicopter</t>
        </is>
      </c>
      <c r="C59" t="inlineStr">
        <is>
          <t>rong_tren_dai</t>
        </is>
      </c>
      <c r="D59" t="inlineStr"/>
      <c r="E59">
        <f>INDEX(Xe!$EC$2:$EC$80,MATCH($B$59,Xe!$A$2:$A$80,0))/INDEX(Xe!$EB$2:$EB$80,MATCH($B$59,Xe!$A$2:$A$80,0))</f>
        <v/>
      </c>
      <c r="F59">
        <f>INDEX(Phuong_tien_tham_chieu!$T$2:$T$104,MATCH("elite_attack_helicopter",Phuong_tien_tham_chieu!$A$2:$A$104,0))/INDEX(Phuong_tien_tham_chieu!$S$2:$S$104,MATCH("elite_attack_helicopter",Phuong_tien_tham_chieu!$A$2:$A$104,0))</f>
        <v/>
      </c>
      <c r="G59">
        <f>$E$59/$F$59</f>
        <v/>
      </c>
      <c r="H59" t="n">
        <v>0.9</v>
      </c>
      <c r="I59" t="n">
        <v>1.1</v>
      </c>
      <c r="J59" t="b">
        <v>0</v>
      </c>
      <c r="K59" t="inlineStr"/>
      <c r="L59">
        <f>IF(ISNUMBER($H$59),AND(NOT($J$59),OR($G$59&lt;$H$59,$G$59&gt;$I$59)),FALSE)</f>
        <v/>
      </c>
      <c r="M59" t="inlineStr">
        <is>
          <t>TC0080</t>
        </is>
      </c>
      <c r="N59" t="inlineStr">
        <is>
          <t>R_unit_refs;R_reference_real;W_wikipedia_boeing_ah_64_apache;R_elite_attack_helicopter</t>
        </is>
      </c>
      <c r="O59" t="inlineStr">
        <is>
          <t>tỷ lệ hình (MODEL_STANDARD 3.1: lệch quá 10 % là cờ)</t>
        </is>
      </c>
      <c r="P59" t="inlineStr">
        <is>
          <t>01_chien_dau/Xe; Tools/models/reference_real.json</t>
        </is>
      </c>
      <c r="Q59" t="inlineStr"/>
    </row>
    <row r="60">
      <c r="A60" t="inlineStr">
        <is>
          <t>elite_mbt/cao_m</t>
        </is>
      </c>
      <c r="B60" t="inlineStr">
        <is>
          <t>elite_mbt</t>
        </is>
      </c>
      <c r="C60" t="inlineStr">
        <is>
          <t>cao_m</t>
        </is>
      </c>
      <c r="D60" t="inlineStr">
        <is>
          <t>m</t>
        </is>
      </c>
      <c r="E60">
        <f>INDEX(Xe!$EA$2:$EA$80,MATCH($B$60,Xe!$A$2:$A$80,0))</f>
        <v/>
      </c>
      <c r="F60">
        <f>INDEX(Phuong_tien_tham_chieu!$U$2:$U$104,MATCH("elite_mbt",Phuong_tien_tham_chieu!$A$2:$A$104,0))</f>
        <v/>
      </c>
      <c r="G60">
        <f>$E$60/$F$60</f>
        <v/>
      </c>
      <c r="H60" t="n">
        <v>0.7</v>
      </c>
      <c r="I60" t="n">
        <v>1.4</v>
      </c>
      <c r="J60" t="b">
        <v>0</v>
      </c>
      <c r="K60" t="inlineStr"/>
      <c r="L60">
        <f>IF(ISNUMBER($H$60),AND(NOT($J$60),OR($G$60&lt;$H$60,$G$60&gt;$I$60)),FALSE)</f>
        <v/>
      </c>
      <c r="M60" t="inlineStr"/>
      <c r="N60" t="inlineStr">
        <is>
          <t>R_unit_refs;R_reference_real;W_wikipedia_t_90;R_elite_mbt</t>
        </is>
      </c>
      <c r="O60" t="inlineStr">
        <is>
          <t>modelSize của dữ liệu / kích thước thật (reference_real.json)</t>
        </is>
      </c>
      <c r="P60" t="inlineStr">
        <is>
          <t>01_chien_dau/Xe.model_size_height_m; Tools/models/reference_real.json</t>
        </is>
      </c>
      <c r="Q60" t="inlineStr"/>
    </row>
    <row r="61">
      <c r="A61" t="inlineStr">
        <is>
          <t>elite_mbt/cao_tren_dai</t>
        </is>
      </c>
      <c r="B61" t="inlineStr">
        <is>
          <t>elite_mbt</t>
        </is>
      </c>
      <c r="C61" t="inlineStr">
        <is>
          <t>cao_tren_dai</t>
        </is>
      </c>
      <c r="D61" t="inlineStr"/>
      <c r="E61">
        <f>INDEX(Xe!$EA$2:$EA$80,MATCH($B$61,Xe!$A$2:$A$80,0))/INDEX(Xe!$EB$2:$EB$80,MATCH($B$61,Xe!$A$2:$A$80,0))</f>
        <v/>
      </c>
      <c r="F61">
        <f>INDEX(Phuong_tien_tham_chieu!$U$2:$U$104,MATCH("elite_mbt",Phuong_tien_tham_chieu!$A$2:$A$104,0))/INDEX(Phuong_tien_tham_chieu!$S$2:$S$104,MATCH("elite_mbt",Phuong_tien_tham_chieu!$A$2:$A$104,0))</f>
        <v/>
      </c>
      <c r="G61">
        <f>$E$61/$F$61</f>
        <v/>
      </c>
      <c r="H61" t="n">
        <v>0.9</v>
      </c>
      <c r="I61" t="n">
        <v>1.1</v>
      </c>
      <c r="J61" t="b">
        <v>0</v>
      </c>
      <c r="K61" t="inlineStr"/>
      <c r="L61">
        <f>IF(ISNUMBER($H$61),AND(NOT($J$61),OR($G$61&lt;$H$61,$G$61&gt;$I$61)),FALSE)</f>
        <v/>
      </c>
      <c r="M61" t="inlineStr">
        <is>
          <t>TC0081</t>
        </is>
      </c>
      <c r="N61" t="inlineStr">
        <is>
          <t>R_unit_refs;R_reference_real;W_wikipedia_t_90;R_elite_mbt</t>
        </is>
      </c>
      <c r="O61" t="inlineStr">
        <is>
          <t>tỷ lệ hình (MODEL_STANDARD 3.1: lệch quá 10 % là cờ)</t>
        </is>
      </c>
      <c r="P61" t="inlineStr">
        <is>
          <t>01_chien_dau/Xe; Tools/models/reference_real.json</t>
        </is>
      </c>
      <c r="Q61" t="inlineStr"/>
    </row>
    <row r="62">
      <c r="A62" t="inlineStr">
        <is>
          <t>elite_mbt/dai_m</t>
        </is>
      </c>
      <c r="B62" t="inlineStr">
        <is>
          <t>elite_mbt</t>
        </is>
      </c>
      <c r="C62" t="inlineStr">
        <is>
          <t>dai_m</t>
        </is>
      </c>
      <c r="D62" t="inlineStr">
        <is>
          <t>m</t>
        </is>
      </c>
      <c r="E62">
        <f>INDEX(Xe!$EB$2:$EB$80,MATCH($B$62,Xe!$A$2:$A$80,0))</f>
        <v/>
      </c>
      <c r="F62">
        <f>INDEX(Phuong_tien_tham_chieu!$S$2:$S$104,MATCH("elite_mbt",Phuong_tien_tham_chieu!$A$2:$A$104,0))</f>
        <v/>
      </c>
      <c r="G62">
        <f>$E$62/$F$62</f>
        <v/>
      </c>
      <c r="H62" t="n">
        <v>0.7</v>
      </c>
      <c r="I62" t="n">
        <v>1.4</v>
      </c>
      <c r="J62" t="b">
        <v>0</v>
      </c>
      <c r="K62" t="inlineStr"/>
      <c r="L62">
        <f>IF(ISNUMBER($H$62),AND(NOT($J$62),OR($G$62&lt;$H$62,$G$62&gt;$I$62)),FALSE)</f>
        <v/>
      </c>
      <c r="M62" t="inlineStr"/>
      <c r="N62" t="inlineStr">
        <is>
          <t>R_unit_refs;R_reference_real;W_wikipedia_t_90;R_elite_mbt</t>
        </is>
      </c>
      <c r="O62" t="inlineStr">
        <is>
          <t>modelSize của dữ liệu / kích thước thật (reference_real.json)</t>
        </is>
      </c>
      <c r="P62" t="inlineStr">
        <is>
          <t>01_chien_dau/Xe.model_size_length_m; Tools/models/reference_real.json</t>
        </is>
      </c>
      <c r="Q62" t="inlineStr"/>
    </row>
    <row r="63">
      <c r="A63" t="inlineStr">
        <is>
          <t>elite_mbt/rong_m</t>
        </is>
      </c>
      <c r="B63" t="inlineStr">
        <is>
          <t>elite_mbt</t>
        </is>
      </c>
      <c r="C63" t="inlineStr">
        <is>
          <t>rong_m</t>
        </is>
      </c>
      <c r="D63" t="inlineStr">
        <is>
          <t>m</t>
        </is>
      </c>
      <c r="E63">
        <f>INDEX(Xe!$EC$2:$EC$80,MATCH($B$63,Xe!$A$2:$A$80,0))</f>
        <v/>
      </c>
      <c r="F63">
        <f>INDEX(Phuong_tien_tham_chieu!$T$2:$T$104,MATCH("elite_mbt",Phuong_tien_tham_chieu!$A$2:$A$104,0))</f>
        <v/>
      </c>
      <c r="G63">
        <f>$E$63/$F$63</f>
        <v/>
      </c>
      <c r="H63" t="n">
        <v>0.7</v>
      </c>
      <c r="I63" t="n">
        <v>1.4</v>
      </c>
      <c r="J63" t="b">
        <v>0</v>
      </c>
      <c r="K63" t="inlineStr"/>
      <c r="L63">
        <f>IF(ISNUMBER($H$63),AND(NOT($J$63),OR($G$63&lt;$H$63,$G$63&gt;$I$63)),FALSE)</f>
        <v/>
      </c>
      <c r="M63" t="inlineStr"/>
      <c r="N63" t="inlineStr">
        <is>
          <t>R_unit_refs;R_reference_real;W_wikipedia_t_90;R_elite_mbt</t>
        </is>
      </c>
      <c r="O63" t="inlineStr">
        <is>
          <t>modelSize của dữ liệu / kích thước thật (reference_real.json)</t>
        </is>
      </c>
      <c r="P63" t="inlineStr">
        <is>
          <t>01_chien_dau/Xe.model_size_width_m; Tools/models/reference_real.json</t>
        </is>
      </c>
      <c r="Q63" t="inlineStr"/>
    </row>
    <row r="64">
      <c r="A64" t="inlineStr">
        <is>
          <t>elite_mbt/rong_tren_dai</t>
        </is>
      </c>
      <c r="B64" t="inlineStr">
        <is>
          <t>elite_mbt</t>
        </is>
      </c>
      <c r="C64" t="inlineStr">
        <is>
          <t>rong_tren_dai</t>
        </is>
      </c>
      <c r="D64" t="inlineStr"/>
      <c r="E64">
        <f>INDEX(Xe!$EC$2:$EC$80,MATCH($B$64,Xe!$A$2:$A$80,0))/INDEX(Xe!$EB$2:$EB$80,MATCH($B$64,Xe!$A$2:$A$80,0))</f>
        <v/>
      </c>
      <c r="F64">
        <f>INDEX(Phuong_tien_tham_chieu!$T$2:$T$104,MATCH("elite_mbt",Phuong_tien_tham_chieu!$A$2:$A$104,0))/INDEX(Phuong_tien_tham_chieu!$S$2:$S$104,MATCH("elite_mbt",Phuong_tien_tham_chieu!$A$2:$A$104,0))</f>
        <v/>
      </c>
      <c r="G64">
        <f>$E$64/$F$64</f>
        <v/>
      </c>
      <c r="H64" t="n">
        <v>0.9</v>
      </c>
      <c r="I64" t="n">
        <v>1.1</v>
      </c>
      <c r="J64" t="b">
        <v>0</v>
      </c>
      <c r="K64" t="inlineStr"/>
      <c r="L64">
        <f>IF(ISNUMBER($H$64),AND(NOT($J$64),OR($G$64&lt;$H$64,$G$64&gt;$I$64)),FALSE)</f>
        <v/>
      </c>
      <c r="M64" t="inlineStr"/>
      <c r="N64" t="inlineStr">
        <is>
          <t>R_unit_refs;R_reference_real;W_wikipedia_t_90;R_elite_mbt</t>
        </is>
      </c>
      <c r="O64" t="inlineStr">
        <is>
          <t>tỷ lệ hình (MODEL_STANDARD 3.1: lệch quá 10 % là cờ)</t>
        </is>
      </c>
      <c r="P64" t="inlineStr">
        <is>
          <t>01_chien_dau/Xe; Tools/models/reference_real.json</t>
        </is>
      </c>
      <c r="Q64" t="inlineStr"/>
    </row>
    <row r="65">
      <c r="A65" t="inlineStr">
        <is>
          <t>elite_mlrs/cao_m</t>
        </is>
      </c>
      <c r="B65" t="inlineStr">
        <is>
          <t>elite_mlrs</t>
        </is>
      </c>
      <c r="C65" t="inlineStr">
        <is>
          <t>cao_m</t>
        </is>
      </c>
      <c r="D65" t="inlineStr">
        <is>
          <t>m</t>
        </is>
      </c>
      <c r="E65">
        <f>INDEX(Xe!$EA$2:$EA$80,MATCH($B$65,Xe!$A$2:$A$80,0))</f>
        <v/>
      </c>
      <c r="F65">
        <f>INDEX(Phuong_tien_tham_chieu!$U$2:$U$104,MATCH("elite_mlrs",Phuong_tien_tham_chieu!$A$2:$A$104,0))</f>
        <v/>
      </c>
      <c r="G65">
        <f>$E$65/$F$65</f>
        <v/>
      </c>
      <c r="H65" t="n">
        <v>0.7</v>
      </c>
      <c r="I65" t="n">
        <v>1.4</v>
      </c>
      <c r="J65" t="b">
        <v>0</v>
      </c>
      <c r="K65" t="inlineStr"/>
      <c r="L65">
        <f>IF(ISNUMBER($H$65),AND(NOT($J$65),OR($G$65&lt;$H$65,$G$65&gt;$I$65)),FALSE)</f>
        <v/>
      </c>
      <c r="M65" t="inlineStr"/>
      <c r="N65" t="inlineStr">
        <is>
          <t>R_unit_refs;R_reference_real;W_wikipedia_m142_himars;R_elite_mlrs</t>
        </is>
      </c>
      <c r="O65" t="inlineStr">
        <is>
          <t>modelSize của dữ liệu / kích thước thật (reference_real.json)</t>
        </is>
      </c>
      <c r="P65" t="inlineStr">
        <is>
          <t>01_chien_dau/Xe.model_size_height_m; Tools/models/reference_real.json</t>
        </is>
      </c>
      <c r="Q65" t="inlineStr"/>
    </row>
    <row r="66">
      <c r="A66" t="inlineStr">
        <is>
          <t>elite_mlrs/cao_tren_dai</t>
        </is>
      </c>
      <c r="B66" t="inlineStr">
        <is>
          <t>elite_mlrs</t>
        </is>
      </c>
      <c r="C66" t="inlineStr">
        <is>
          <t>cao_tren_dai</t>
        </is>
      </c>
      <c r="D66" t="inlineStr"/>
      <c r="E66">
        <f>INDEX(Xe!$EA$2:$EA$80,MATCH($B$66,Xe!$A$2:$A$80,0))/INDEX(Xe!$EB$2:$EB$80,MATCH($B$66,Xe!$A$2:$A$80,0))</f>
        <v/>
      </c>
      <c r="F66">
        <f>INDEX(Phuong_tien_tham_chieu!$U$2:$U$104,MATCH("elite_mlrs",Phuong_tien_tham_chieu!$A$2:$A$104,0))/INDEX(Phuong_tien_tham_chieu!$S$2:$S$104,MATCH("elite_mlrs",Phuong_tien_tham_chieu!$A$2:$A$104,0))</f>
        <v/>
      </c>
      <c r="G66">
        <f>$E$66/$F$66</f>
        <v/>
      </c>
      <c r="H66" t="n">
        <v>0.9</v>
      </c>
      <c r="I66" t="n">
        <v>1.1</v>
      </c>
      <c r="J66" t="b">
        <v>0</v>
      </c>
      <c r="K66" t="inlineStr"/>
      <c r="L66">
        <f>IF(ISNUMBER($H$66),AND(NOT($J$66),OR($G$66&lt;$H$66,$G$66&gt;$I$66)),FALSE)</f>
        <v/>
      </c>
      <c r="M66" t="inlineStr"/>
      <c r="N66" t="inlineStr">
        <is>
          <t>R_unit_refs;R_reference_real;W_wikipedia_m142_himars;R_elite_mlrs</t>
        </is>
      </c>
      <c r="O66" t="inlineStr">
        <is>
          <t>tỷ lệ hình (MODEL_STANDARD 3.1: lệch quá 10 % là cờ)</t>
        </is>
      </c>
      <c r="P66" t="inlineStr">
        <is>
          <t>01_chien_dau/Xe; Tools/models/reference_real.json</t>
        </is>
      </c>
      <c r="Q66" t="inlineStr"/>
    </row>
    <row r="67">
      <c r="A67" t="inlineStr">
        <is>
          <t>elite_mlrs/dai_m</t>
        </is>
      </c>
      <c r="B67" t="inlineStr">
        <is>
          <t>elite_mlrs</t>
        </is>
      </c>
      <c r="C67" t="inlineStr">
        <is>
          <t>dai_m</t>
        </is>
      </c>
      <c r="D67" t="inlineStr">
        <is>
          <t>m</t>
        </is>
      </c>
      <c r="E67">
        <f>INDEX(Xe!$EB$2:$EB$80,MATCH($B$67,Xe!$A$2:$A$80,0))</f>
        <v/>
      </c>
      <c r="F67">
        <f>INDEX(Phuong_tien_tham_chieu!$S$2:$S$104,MATCH("elite_mlrs",Phuong_tien_tham_chieu!$A$2:$A$104,0))</f>
        <v/>
      </c>
      <c r="G67">
        <f>$E$67/$F$67</f>
        <v/>
      </c>
      <c r="H67" t="n">
        <v>0.7</v>
      </c>
      <c r="I67" t="n">
        <v>1.4</v>
      </c>
      <c r="J67" t="b">
        <v>0</v>
      </c>
      <c r="K67" t="inlineStr"/>
      <c r="L67">
        <f>IF(ISNUMBER($H$67),AND(NOT($J$67),OR($G$67&lt;$H$67,$G$67&gt;$I$67)),FALSE)</f>
        <v/>
      </c>
      <c r="M67" t="inlineStr"/>
      <c r="N67" t="inlineStr">
        <is>
          <t>R_unit_refs;R_reference_real;W_wikipedia_m142_himars;R_elite_mlrs</t>
        </is>
      </c>
      <c r="O67" t="inlineStr">
        <is>
          <t>modelSize của dữ liệu / kích thước thật (reference_real.json)</t>
        </is>
      </c>
      <c r="P67" t="inlineStr">
        <is>
          <t>01_chien_dau/Xe.model_size_length_m; Tools/models/reference_real.json</t>
        </is>
      </c>
      <c r="Q67" t="inlineStr"/>
    </row>
    <row r="68">
      <c r="A68" t="inlineStr">
        <is>
          <t>elite_mlrs/rong_m</t>
        </is>
      </c>
      <c r="B68" t="inlineStr">
        <is>
          <t>elite_mlrs</t>
        </is>
      </c>
      <c r="C68" t="inlineStr">
        <is>
          <t>rong_m</t>
        </is>
      </c>
      <c r="D68" t="inlineStr">
        <is>
          <t>m</t>
        </is>
      </c>
      <c r="E68">
        <f>INDEX(Xe!$EC$2:$EC$80,MATCH($B$68,Xe!$A$2:$A$80,0))</f>
        <v/>
      </c>
      <c r="F68">
        <f>INDEX(Phuong_tien_tham_chieu!$T$2:$T$104,MATCH("elite_mlrs",Phuong_tien_tham_chieu!$A$2:$A$104,0))</f>
        <v/>
      </c>
      <c r="G68">
        <f>$E$68/$F$68</f>
        <v/>
      </c>
      <c r="H68" t="n">
        <v>0.7</v>
      </c>
      <c r="I68" t="n">
        <v>1.4</v>
      </c>
      <c r="J68" t="b">
        <v>0</v>
      </c>
      <c r="K68" t="inlineStr"/>
      <c r="L68">
        <f>IF(ISNUMBER($H$68),AND(NOT($J$68),OR($G$68&lt;$H$68,$G$68&gt;$I$68)),FALSE)</f>
        <v/>
      </c>
      <c r="M68" t="inlineStr"/>
      <c r="N68" t="inlineStr">
        <is>
          <t>R_unit_refs;R_reference_real;W_wikipedia_m142_himars;R_elite_mlrs</t>
        </is>
      </c>
      <c r="O68" t="inlineStr">
        <is>
          <t>modelSize của dữ liệu / kích thước thật (reference_real.json)</t>
        </is>
      </c>
      <c r="P68" t="inlineStr">
        <is>
          <t>01_chien_dau/Xe.model_size_width_m; Tools/models/reference_real.json</t>
        </is>
      </c>
      <c r="Q68" t="inlineStr"/>
    </row>
    <row r="69">
      <c r="A69" t="inlineStr">
        <is>
          <t>elite_mlrs/rong_tren_dai</t>
        </is>
      </c>
      <c r="B69" t="inlineStr">
        <is>
          <t>elite_mlrs</t>
        </is>
      </c>
      <c r="C69" t="inlineStr">
        <is>
          <t>rong_tren_dai</t>
        </is>
      </c>
      <c r="D69" t="inlineStr"/>
      <c r="E69">
        <f>INDEX(Xe!$EC$2:$EC$80,MATCH($B$69,Xe!$A$2:$A$80,0))/INDEX(Xe!$EB$2:$EB$80,MATCH($B$69,Xe!$A$2:$A$80,0))</f>
        <v/>
      </c>
      <c r="F69">
        <f>INDEX(Phuong_tien_tham_chieu!$T$2:$T$104,MATCH("elite_mlrs",Phuong_tien_tham_chieu!$A$2:$A$104,0))/INDEX(Phuong_tien_tham_chieu!$S$2:$S$104,MATCH("elite_mlrs",Phuong_tien_tham_chieu!$A$2:$A$104,0))</f>
        <v/>
      </c>
      <c r="G69">
        <f>$E$69/$F$69</f>
        <v/>
      </c>
      <c r="H69" t="n">
        <v>0.9</v>
      </c>
      <c r="I69" t="n">
        <v>1.1</v>
      </c>
      <c r="J69" t="b">
        <v>0</v>
      </c>
      <c r="K69" t="inlineStr"/>
      <c r="L69">
        <f>IF(ISNUMBER($H$69),AND(NOT($J$69),OR($G$69&lt;$H$69,$G$69&gt;$I$69)),FALSE)</f>
        <v/>
      </c>
      <c r="M69" t="inlineStr"/>
      <c r="N69" t="inlineStr">
        <is>
          <t>R_unit_refs;R_reference_real;W_wikipedia_m142_himars;R_elite_mlrs</t>
        </is>
      </c>
      <c r="O69" t="inlineStr">
        <is>
          <t>tỷ lệ hình (MODEL_STANDARD 3.1: lệch quá 10 % là cờ)</t>
        </is>
      </c>
      <c r="P69" t="inlineStr">
        <is>
          <t>01_chien_dau/Xe; Tools/models/reference_real.json</t>
        </is>
      </c>
      <c r="Q69" t="inlineStr"/>
    </row>
    <row r="70">
      <c r="A70" t="inlineStr">
        <is>
          <t>elite_tank_destroyer/cao_m</t>
        </is>
      </c>
      <c r="B70" t="inlineStr">
        <is>
          <t>elite_tank_destroyer</t>
        </is>
      </c>
      <c r="C70" t="inlineStr">
        <is>
          <t>cao_m</t>
        </is>
      </c>
      <c r="D70" t="inlineStr">
        <is>
          <t>m</t>
        </is>
      </c>
      <c r="E70">
        <f>INDEX(Xe!$EA$2:$EA$80,MATCH($B$70,Xe!$A$2:$A$80,0))</f>
        <v/>
      </c>
      <c r="F70">
        <f>INDEX(Phuong_tien_tham_chieu!$U$2:$U$104,MATCH("elite_tank_destroyer",Phuong_tien_tham_chieu!$A$2:$A$104,0))</f>
        <v/>
      </c>
      <c r="G70">
        <f>$E$70/$F$70</f>
        <v/>
      </c>
      <c r="H70" t="n">
        <v>0.7</v>
      </c>
      <c r="I70" t="n">
        <v>1.4</v>
      </c>
      <c r="J70" t="b">
        <v>0</v>
      </c>
      <c r="K70" t="inlineStr"/>
      <c r="L70">
        <f>IF(ISNUMBER($H$70),AND(NOT($J$70),OR($G$70&lt;$H$70,$G$70&gt;$I$70)),FALSE)</f>
        <v/>
      </c>
      <c r="M70" t="inlineStr"/>
      <c r="N70" t="inlineStr">
        <is>
          <t>R_unit_refs;R_reference_real;W_wikipedia_2s25_sprut_sd;R_elite_tank_destroyer</t>
        </is>
      </c>
      <c r="O70" t="inlineStr">
        <is>
          <t>modelSize của dữ liệu / kích thước thật (reference_real.json)</t>
        </is>
      </c>
      <c r="P70" t="inlineStr">
        <is>
          <t>01_chien_dau/Xe.model_size_height_m; Tools/models/reference_real.json</t>
        </is>
      </c>
      <c r="Q70" t="inlineStr"/>
    </row>
    <row r="71">
      <c r="A71" t="inlineStr">
        <is>
          <t>elite_tank_destroyer/cao_tren_dai</t>
        </is>
      </c>
      <c r="B71" t="inlineStr">
        <is>
          <t>elite_tank_destroyer</t>
        </is>
      </c>
      <c r="C71" t="inlineStr">
        <is>
          <t>cao_tren_dai</t>
        </is>
      </c>
      <c r="D71" t="inlineStr"/>
      <c r="E71">
        <f>INDEX(Xe!$EA$2:$EA$80,MATCH($B$71,Xe!$A$2:$A$80,0))/INDEX(Xe!$EB$2:$EB$80,MATCH($B$71,Xe!$A$2:$A$80,0))</f>
        <v/>
      </c>
      <c r="F71">
        <f>INDEX(Phuong_tien_tham_chieu!$U$2:$U$104,MATCH("elite_tank_destroyer",Phuong_tien_tham_chieu!$A$2:$A$104,0))/INDEX(Phuong_tien_tham_chieu!$S$2:$S$104,MATCH("elite_tank_destroyer",Phuong_tien_tham_chieu!$A$2:$A$104,0))</f>
        <v/>
      </c>
      <c r="G71">
        <f>$E$71/$F$71</f>
        <v/>
      </c>
      <c r="H71" t="n">
        <v>0.9</v>
      </c>
      <c r="I71" t="n">
        <v>1.1</v>
      </c>
      <c r="J71" t="b">
        <v>0</v>
      </c>
      <c r="K71" t="inlineStr"/>
      <c r="L71">
        <f>IF(ISNUMBER($H$71),AND(NOT($J$71),OR($G$71&lt;$H$71,$G$71&gt;$I$71)),FALSE)</f>
        <v/>
      </c>
      <c r="M71" t="inlineStr">
        <is>
          <t>TC0082</t>
        </is>
      </c>
      <c r="N71" t="inlineStr">
        <is>
          <t>R_unit_refs;R_reference_real;W_wikipedia_2s25_sprut_sd;R_elite_tank_destroyer</t>
        </is>
      </c>
      <c r="O71" t="inlineStr">
        <is>
          <t>tỷ lệ hình (MODEL_STANDARD 3.1: lệch quá 10 % là cờ)</t>
        </is>
      </c>
      <c r="P71" t="inlineStr">
        <is>
          <t>01_chien_dau/Xe; Tools/models/reference_real.json</t>
        </is>
      </c>
      <c r="Q71" t="inlineStr"/>
    </row>
    <row r="72">
      <c r="A72" t="inlineStr">
        <is>
          <t>elite_tank_destroyer/dai_m</t>
        </is>
      </c>
      <c r="B72" t="inlineStr">
        <is>
          <t>elite_tank_destroyer</t>
        </is>
      </c>
      <c r="C72" t="inlineStr">
        <is>
          <t>dai_m</t>
        </is>
      </c>
      <c r="D72" t="inlineStr">
        <is>
          <t>m</t>
        </is>
      </c>
      <c r="E72">
        <f>INDEX(Xe!$EB$2:$EB$80,MATCH($B$72,Xe!$A$2:$A$80,0))</f>
        <v/>
      </c>
      <c r="F72">
        <f>INDEX(Phuong_tien_tham_chieu!$S$2:$S$104,MATCH("elite_tank_destroyer",Phuong_tien_tham_chieu!$A$2:$A$104,0))</f>
        <v/>
      </c>
      <c r="G72">
        <f>$E$72/$F$72</f>
        <v/>
      </c>
      <c r="H72" t="n">
        <v>0.7</v>
      </c>
      <c r="I72" t="n">
        <v>1.4</v>
      </c>
      <c r="J72" t="b">
        <v>0</v>
      </c>
      <c r="K72" t="inlineStr"/>
      <c r="L72">
        <f>IF(ISNUMBER($H$72),AND(NOT($J$72),OR($G$72&lt;$H$72,$G$72&gt;$I$72)),FALSE)</f>
        <v/>
      </c>
      <c r="M72" t="inlineStr"/>
      <c r="N72" t="inlineStr">
        <is>
          <t>R_unit_refs;R_reference_real;W_wikipedia_2s25_sprut_sd;R_elite_tank_destroyer</t>
        </is>
      </c>
      <c r="O72" t="inlineStr">
        <is>
          <t>modelSize của dữ liệu / kích thước thật (reference_real.json)</t>
        </is>
      </c>
      <c r="P72" t="inlineStr">
        <is>
          <t>01_chien_dau/Xe.model_size_length_m; Tools/models/reference_real.json</t>
        </is>
      </c>
      <c r="Q72" t="inlineStr"/>
    </row>
    <row r="73">
      <c r="A73" t="inlineStr">
        <is>
          <t>elite_tank_destroyer/rong_m</t>
        </is>
      </c>
      <c r="B73" t="inlineStr">
        <is>
          <t>elite_tank_destroyer</t>
        </is>
      </c>
      <c r="C73" t="inlineStr">
        <is>
          <t>rong_m</t>
        </is>
      </c>
      <c r="D73" t="inlineStr">
        <is>
          <t>m</t>
        </is>
      </c>
      <c r="E73">
        <f>INDEX(Xe!$EC$2:$EC$80,MATCH($B$73,Xe!$A$2:$A$80,0))</f>
        <v/>
      </c>
      <c r="F73">
        <f>INDEX(Phuong_tien_tham_chieu!$T$2:$T$104,MATCH("elite_tank_destroyer",Phuong_tien_tham_chieu!$A$2:$A$104,0))</f>
        <v/>
      </c>
      <c r="G73">
        <f>$E$73/$F$73</f>
        <v/>
      </c>
      <c r="H73" t="n">
        <v>0.7</v>
      </c>
      <c r="I73" t="n">
        <v>1.4</v>
      </c>
      <c r="J73" t="b">
        <v>0</v>
      </c>
      <c r="K73" t="inlineStr"/>
      <c r="L73">
        <f>IF(ISNUMBER($H$73),AND(NOT($J$73),OR($G$73&lt;$H$73,$G$73&gt;$I$73)),FALSE)</f>
        <v/>
      </c>
      <c r="M73" t="inlineStr"/>
      <c r="N73" t="inlineStr">
        <is>
          <t>R_unit_refs;R_reference_real;W_wikipedia_2s25_sprut_sd;R_elite_tank_destroyer</t>
        </is>
      </c>
      <c r="O73" t="inlineStr">
        <is>
          <t>modelSize của dữ liệu / kích thước thật (reference_real.json)</t>
        </is>
      </c>
      <c r="P73" t="inlineStr">
        <is>
          <t>01_chien_dau/Xe.model_size_width_m; Tools/models/reference_real.json</t>
        </is>
      </c>
      <c r="Q73" t="inlineStr"/>
    </row>
    <row r="74">
      <c r="A74" t="inlineStr">
        <is>
          <t>elite_tank_destroyer/rong_tren_dai</t>
        </is>
      </c>
      <c r="B74" t="inlineStr">
        <is>
          <t>elite_tank_destroyer</t>
        </is>
      </c>
      <c r="C74" t="inlineStr">
        <is>
          <t>rong_tren_dai</t>
        </is>
      </c>
      <c r="D74" t="inlineStr"/>
      <c r="E74">
        <f>INDEX(Xe!$EC$2:$EC$80,MATCH($B$74,Xe!$A$2:$A$80,0))/INDEX(Xe!$EB$2:$EB$80,MATCH($B$74,Xe!$A$2:$A$80,0))</f>
        <v/>
      </c>
      <c r="F74">
        <f>INDEX(Phuong_tien_tham_chieu!$T$2:$T$104,MATCH("elite_tank_destroyer",Phuong_tien_tham_chieu!$A$2:$A$104,0))/INDEX(Phuong_tien_tham_chieu!$S$2:$S$104,MATCH("elite_tank_destroyer",Phuong_tien_tham_chieu!$A$2:$A$104,0))</f>
        <v/>
      </c>
      <c r="G74">
        <f>$E$74/$F$74</f>
        <v/>
      </c>
      <c r="H74" t="n">
        <v>0.9</v>
      </c>
      <c r="I74" t="n">
        <v>1.1</v>
      </c>
      <c r="J74" t="b">
        <v>0</v>
      </c>
      <c r="K74" t="inlineStr"/>
      <c r="L74">
        <f>IF(ISNUMBER($H$74),AND(NOT($J$74),OR($G$74&lt;$H$74,$G$74&gt;$I$74)),FALSE)</f>
        <v/>
      </c>
      <c r="M74" t="inlineStr"/>
      <c r="N74" t="inlineStr">
        <is>
          <t>R_unit_refs;R_reference_real;W_wikipedia_2s25_sprut_sd;R_elite_tank_destroyer</t>
        </is>
      </c>
      <c r="O74" t="inlineStr">
        <is>
          <t>tỷ lệ hình (MODEL_STANDARD 3.1: lệch quá 10 % là cờ)</t>
        </is>
      </c>
      <c r="P74" t="inlineStr">
        <is>
          <t>01_chien_dau/Xe; Tools/models/reference_real.json</t>
        </is>
      </c>
      <c r="Q74" t="inlineStr"/>
    </row>
    <row r="75">
      <c r="A75" t="inlineStr">
        <is>
          <t>engineer_vehicle/cao_m</t>
        </is>
      </c>
      <c r="B75" t="inlineStr">
        <is>
          <t>engineer_vehicle</t>
        </is>
      </c>
      <c r="C75" t="inlineStr">
        <is>
          <t>cao_m</t>
        </is>
      </c>
      <c r="D75" t="inlineStr">
        <is>
          <t>m</t>
        </is>
      </c>
      <c r="E75">
        <f>INDEX(Xe!$EA$2:$EA$80,MATCH($B$75,Xe!$A$2:$A$80,0))</f>
        <v/>
      </c>
      <c r="F75">
        <f>INDEX(Phuong_tien_tham_chieu!$U$2:$U$104,MATCH("engineer_vehicle",Phuong_tien_tham_chieu!$A$2:$A$104,0))</f>
        <v/>
      </c>
      <c r="G75">
        <f>$E$75/$F$75</f>
        <v/>
      </c>
      <c r="H75" t="n">
        <v>0.7</v>
      </c>
      <c r="I75" t="n">
        <v>1.4</v>
      </c>
      <c r="J75" t="b">
        <v>0</v>
      </c>
      <c r="K75" t="inlineStr"/>
      <c r="L75">
        <f>IF(ISNUMBER($H$75),AND(NOT($J$75),OR($G$75&lt;$H$75,$G$75&gt;$I$75)),FALSE)</f>
        <v/>
      </c>
      <c r="M75" t="inlineStr"/>
      <c r="N75" t="inlineStr">
        <is>
          <t>R_unit_refs;R_reference_real;W_wikipedia_m88_recovery_vehicle;R_unit_sheet;R_machine_brigade_can_bang;R_engineer_vehicle</t>
        </is>
      </c>
      <c r="O75" t="inlineStr">
        <is>
          <t>modelSize của dữ liệu / kích thước thật (reference_real.json)</t>
        </is>
      </c>
      <c r="P75" t="inlineStr">
        <is>
          <t>01_chien_dau/Xe.model_size_height_m; Tools/models/reference_real.json</t>
        </is>
      </c>
      <c r="Q75" t="inlineStr"/>
    </row>
    <row r="76">
      <c r="A76" t="inlineStr">
        <is>
          <t>engineer_vehicle/cao_tren_dai</t>
        </is>
      </c>
      <c r="B76" t="inlineStr">
        <is>
          <t>engineer_vehicle</t>
        </is>
      </c>
      <c r="C76" t="inlineStr">
        <is>
          <t>cao_tren_dai</t>
        </is>
      </c>
      <c r="D76" t="inlineStr"/>
      <c r="E76">
        <f>INDEX(Xe!$EA$2:$EA$80,MATCH($B$76,Xe!$A$2:$A$80,0))/INDEX(Xe!$EB$2:$EB$80,MATCH($B$76,Xe!$A$2:$A$80,0))</f>
        <v/>
      </c>
      <c r="F76">
        <f>INDEX(Phuong_tien_tham_chieu!$U$2:$U$104,MATCH("engineer_vehicle",Phuong_tien_tham_chieu!$A$2:$A$104,0))/INDEX(Phuong_tien_tham_chieu!$S$2:$S$104,MATCH("engineer_vehicle",Phuong_tien_tham_chieu!$A$2:$A$104,0))</f>
        <v/>
      </c>
      <c r="G76">
        <f>$E$76/$F$76</f>
        <v/>
      </c>
      <c r="H76" t="n">
        <v>0.9</v>
      </c>
      <c r="I76" t="n">
        <v>1.1</v>
      </c>
      <c r="J76" t="b">
        <v>0</v>
      </c>
      <c r="K76" t="inlineStr"/>
      <c r="L76">
        <f>IF(ISNUMBER($H$76),AND(NOT($J$76),OR($G$76&lt;$H$76,$G$76&gt;$I$76)),FALSE)</f>
        <v/>
      </c>
      <c r="M76" t="inlineStr"/>
      <c r="N76" t="inlineStr">
        <is>
          <t>R_unit_refs;R_reference_real;W_wikipedia_m88_recovery_vehicle;R_unit_sheet;R_machine_brigade_can_bang;R_engineer_vehicle</t>
        </is>
      </c>
      <c r="O76" t="inlineStr">
        <is>
          <t>tỷ lệ hình (MODEL_STANDARD 3.1: lệch quá 10 % là cờ)</t>
        </is>
      </c>
      <c r="P76" t="inlineStr">
        <is>
          <t>01_chien_dau/Xe; Tools/models/reference_real.json</t>
        </is>
      </c>
      <c r="Q76" t="inlineStr"/>
    </row>
    <row r="77">
      <c r="A77" t="inlineStr">
        <is>
          <t>engineer_vehicle/dai_m</t>
        </is>
      </c>
      <c r="B77" t="inlineStr">
        <is>
          <t>engineer_vehicle</t>
        </is>
      </c>
      <c r="C77" t="inlineStr">
        <is>
          <t>dai_m</t>
        </is>
      </c>
      <c r="D77" t="inlineStr">
        <is>
          <t>m</t>
        </is>
      </c>
      <c r="E77">
        <f>INDEX(Xe!$EB$2:$EB$80,MATCH($B$77,Xe!$A$2:$A$80,0))</f>
        <v/>
      </c>
      <c r="F77">
        <f>INDEX(Phuong_tien_tham_chieu!$S$2:$S$104,MATCH("engineer_vehicle",Phuong_tien_tham_chieu!$A$2:$A$104,0))</f>
        <v/>
      </c>
      <c r="G77">
        <f>$E$77/$F$77</f>
        <v/>
      </c>
      <c r="H77" t="n">
        <v>0.7</v>
      </c>
      <c r="I77" t="n">
        <v>1.4</v>
      </c>
      <c r="J77" t="b">
        <v>0</v>
      </c>
      <c r="K77" t="inlineStr"/>
      <c r="L77">
        <f>IF(ISNUMBER($H$77),AND(NOT($J$77),OR($G$77&lt;$H$77,$G$77&gt;$I$77)),FALSE)</f>
        <v/>
      </c>
      <c r="M77" t="inlineStr"/>
      <c r="N77" t="inlineStr">
        <is>
          <t>R_unit_refs;R_reference_real;W_wikipedia_m88_recovery_vehicle;R_unit_sheet;R_machine_brigade_can_bang;R_engineer_vehicle</t>
        </is>
      </c>
      <c r="O77" t="inlineStr">
        <is>
          <t>modelSize của dữ liệu / kích thước thật (reference_real.json)</t>
        </is>
      </c>
      <c r="P77" t="inlineStr">
        <is>
          <t>01_chien_dau/Xe.model_size_length_m; Tools/models/reference_real.json</t>
        </is>
      </c>
      <c r="Q77" t="inlineStr"/>
    </row>
    <row r="78">
      <c r="A78" t="inlineStr">
        <is>
          <t>engineer_vehicle/rong_m</t>
        </is>
      </c>
      <c r="B78" t="inlineStr">
        <is>
          <t>engineer_vehicle</t>
        </is>
      </c>
      <c r="C78" t="inlineStr">
        <is>
          <t>rong_m</t>
        </is>
      </c>
      <c r="D78" t="inlineStr">
        <is>
          <t>m</t>
        </is>
      </c>
      <c r="E78">
        <f>INDEX(Xe!$EC$2:$EC$80,MATCH($B$78,Xe!$A$2:$A$80,0))</f>
        <v/>
      </c>
      <c r="F78">
        <f>INDEX(Phuong_tien_tham_chieu!$T$2:$T$104,MATCH("engineer_vehicle",Phuong_tien_tham_chieu!$A$2:$A$104,0))</f>
        <v/>
      </c>
      <c r="G78">
        <f>$E$78/$F$78</f>
        <v/>
      </c>
      <c r="H78" t="n">
        <v>0.7</v>
      </c>
      <c r="I78" t="n">
        <v>1.4</v>
      </c>
      <c r="J78" t="b">
        <v>0</v>
      </c>
      <c r="K78" t="inlineStr"/>
      <c r="L78">
        <f>IF(ISNUMBER($H$78),AND(NOT($J$78),OR($G$78&lt;$H$78,$G$78&gt;$I$78)),FALSE)</f>
        <v/>
      </c>
      <c r="M78" t="inlineStr"/>
      <c r="N78" t="inlineStr">
        <is>
          <t>R_unit_refs;R_reference_real;W_wikipedia_m88_recovery_vehicle;R_unit_sheet;R_machine_brigade_can_bang;R_engineer_vehicle</t>
        </is>
      </c>
      <c r="O78" t="inlineStr">
        <is>
          <t>modelSize của dữ liệu / kích thước thật (reference_real.json)</t>
        </is>
      </c>
      <c r="P78" t="inlineStr">
        <is>
          <t>01_chien_dau/Xe.model_size_width_m; Tools/models/reference_real.json</t>
        </is>
      </c>
      <c r="Q78" t="inlineStr"/>
    </row>
    <row r="79">
      <c r="A79" t="inlineStr">
        <is>
          <t>engineer_vehicle/rong_tren_dai</t>
        </is>
      </c>
      <c r="B79" t="inlineStr">
        <is>
          <t>engineer_vehicle</t>
        </is>
      </c>
      <c r="C79" t="inlineStr">
        <is>
          <t>rong_tren_dai</t>
        </is>
      </c>
      <c r="D79" t="inlineStr"/>
      <c r="E79">
        <f>INDEX(Xe!$EC$2:$EC$80,MATCH($B$79,Xe!$A$2:$A$80,0))/INDEX(Xe!$EB$2:$EB$80,MATCH($B$79,Xe!$A$2:$A$80,0))</f>
        <v/>
      </c>
      <c r="F79">
        <f>INDEX(Phuong_tien_tham_chieu!$T$2:$T$104,MATCH("engineer_vehicle",Phuong_tien_tham_chieu!$A$2:$A$104,0))/INDEX(Phuong_tien_tham_chieu!$S$2:$S$104,MATCH("engineer_vehicle",Phuong_tien_tham_chieu!$A$2:$A$104,0))</f>
        <v/>
      </c>
      <c r="G79">
        <f>$E$79/$F$79</f>
        <v/>
      </c>
      <c r="H79" t="n">
        <v>0.9</v>
      </c>
      <c r="I79" t="n">
        <v>1.1</v>
      </c>
      <c r="J79" t="b">
        <v>0</v>
      </c>
      <c r="K79" t="inlineStr"/>
      <c r="L79">
        <f>IF(ISNUMBER($H$79),AND(NOT($J$79),OR($G$79&lt;$H$79,$G$79&gt;$I$79)),FALSE)</f>
        <v/>
      </c>
      <c r="M79" t="inlineStr">
        <is>
          <t>TC0083</t>
        </is>
      </c>
      <c r="N79" t="inlineStr">
        <is>
          <t>R_unit_refs;R_reference_real;W_wikipedia_m88_recovery_vehicle;R_unit_sheet;R_machine_brigade_can_bang;R_engineer_vehicle</t>
        </is>
      </c>
      <c r="O79" t="inlineStr">
        <is>
          <t>tỷ lệ hình (MODEL_STANDARD 3.1: lệch quá 10 % là cờ)</t>
        </is>
      </c>
      <c r="P79" t="inlineStr">
        <is>
          <t>01_chien_dau/Xe; Tools/models/reference_real.json</t>
        </is>
      </c>
      <c r="Q79" t="inlineStr"/>
    </row>
    <row r="80">
      <c r="A80" t="inlineStr">
        <is>
          <t>fighter_jet/cao_m</t>
        </is>
      </c>
      <c r="B80" t="inlineStr">
        <is>
          <t>fighter_jet</t>
        </is>
      </c>
      <c r="C80" t="inlineStr">
        <is>
          <t>cao_m</t>
        </is>
      </c>
      <c r="D80" t="inlineStr">
        <is>
          <t>m</t>
        </is>
      </c>
      <c r="E80">
        <f>INDEX(Xe!$EA$2:$EA$80,MATCH($B$80,Xe!$A$2:$A$80,0))</f>
        <v/>
      </c>
      <c r="F80">
        <f>INDEX(Phuong_tien_tham_chieu!$U$2:$U$104,MATCH("fighter_jet",Phuong_tien_tham_chieu!$A$2:$A$104,0))</f>
        <v/>
      </c>
      <c r="G80">
        <f>$E$80/$F$80</f>
        <v/>
      </c>
      <c r="H80" t="n">
        <v>0.7</v>
      </c>
      <c r="I80" t="n">
        <v>1.4</v>
      </c>
      <c r="J80" t="b">
        <v>1</v>
      </c>
      <c r="K80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80">
        <f>IF(ISNUMBER($H$80),AND(NOT($J$80),OR($G$80&lt;$H$80,$G$80&gt;$I$80)),FALSE)</f>
        <v/>
      </c>
      <c r="M80" t="inlineStr"/>
      <c r="N80" t="inlineStr">
        <is>
          <t>R_unit_refs;R_reference_real;W_wikipedia_sukhoi_su_27;R_unit_sheet;R_machine_brigade_can_bang</t>
        </is>
      </c>
      <c r="O80" t="inlineStr">
        <is>
          <t>modelSize của dữ liệu / kích thước thật (reference_real.json)</t>
        </is>
      </c>
      <c r="P80" t="inlineStr">
        <is>
          <t>01_chien_dau/Xe.model_size_height_m; Tools/models/reference_real.json</t>
        </is>
      </c>
      <c r="Q80" t="inlineStr"/>
    </row>
    <row r="81">
      <c r="A81" t="inlineStr">
        <is>
          <t>fighter_jet/cao_tren_dai</t>
        </is>
      </c>
      <c r="B81" t="inlineStr">
        <is>
          <t>fighter_jet</t>
        </is>
      </c>
      <c r="C81" t="inlineStr">
        <is>
          <t>cao_tren_dai</t>
        </is>
      </c>
      <c r="D81" t="inlineStr"/>
      <c r="E81">
        <f>INDEX(Xe!$EA$2:$EA$80,MATCH($B$81,Xe!$A$2:$A$80,0))/INDEX(Xe!$EB$2:$EB$80,MATCH($B$81,Xe!$A$2:$A$80,0))</f>
        <v/>
      </c>
      <c r="F81">
        <f>INDEX(Phuong_tien_tham_chieu!$U$2:$U$104,MATCH("fighter_jet",Phuong_tien_tham_chieu!$A$2:$A$104,0))/INDEX(Phuong_tien_tham_chieu!$S$2:$S$104,MATCH("fighter_jet",Phuong_tien_tham_chieu!$A$2:$A$104,0))</f>
        <v/>
      </c>
      <c r="G81">
        <f>$E$81/$F$81</f>
        <v/>
      </c>
      <c r="H81" t="n">
        <v>0.9</v>
      </c>
      <c r="I81" t="n">
        <v>1.1</v>
      </c>
      <c r="J81" t="b">
        <v>0</v>
      </c>
      <c r="K81" t="inlineStr"/>
      <c r="L81">
        <f>IF(ISNUMBER($H$81),AND(NOT($J$81),OR($G$81&lt;$H$81,$G$81&gt;$I$81)),FALSE)</f>
        <v/>
      </c>
      <c r="M81" t="inlineStr"/>
      <c r="N81" t="inlineStr">
        <is>
          <t>R_unit_refs;R_reference_real;W_wikipedia_sukhoi_su_27;R_unit_sheet;R_machine_brigade_can_bang</t>
        </is>
      </c>
      <c r="O81" t="inlineStr">
        <is>
          <t>tỷ lệ hình (MODEL_STANDARD 3.1: lệch quá 10 % là cờ)</t>
        </is>
      </c>
      <c r="P81" t="inlineStr">
        <is>
          <t>01_chien_dau/Xe; Tools/models/reference_real.json</t>
        </is>
      </c>
      <c r="Q81" t="inlineStr"/>
    </row>
    <row r="82">
      <c r="A82" t="inlineStr">
        <is>
          <t>fighter_jet/dai_m</t>
        </is>
      </c>
      <c r="B82" t="inlineStr">
        <is>
          <t>fighter_jet</t>
        </is>
      </c>
      <c r="C82" t="inlineStr">
        <is>
          <t>dai_m</t>
        </is>
      </c>
      <c r="D82" t="inlineStr">
        <is>
          <t>m</t>
        </is>
      </c>
      <c r="E82">
        <f>INDEX(Xe!$EB$2:$EB$80,MATCH($B$82,Xe!$A$2:$A$80,0))</f>
        <v/>
      </c>
      <c r="F82">
        <f>INDEX(Phuong_tien_tham_chieu!$S$2:$S$104,MATCH("fighter_jet",Phuong_tien_tham_chieu!$A$2:$A$104,0))</f>
        <v/>
      </c>
      <c r="G82">
        <f>$E$82/$F$82</f>
        <v/>
      </c>
      <c r="H82" t="n">
        <v>0.7</v>
      </c>
      <c r="I82" t="n">
        <v>1.4</v>
      </c>
      <c r="J82" t="b">
        <v>1</v>
      </c>
      <c r="K82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82">
        <f>IF(ISNUMBER($H$82),AND(NOT($J$82),OR($G$82&lt;$H$82,$G$82&gt;$I$82)),FALSE)</f>
        <v/>
      </c>
      <c r="M82" t="inlineStr"/>
      <c r="N82" t="inlineStr">
        <is>
          <t>R_unit_refs;R_reference_real;W_wikipedia_sukhoi_su_27;R_unit_sheet;R_machine_brigade_can_bang</t>
        </is>
      </c>
      <c r="O82" t="inlineStr">
        <is>
          <t>modelSize của dữ liệu / kích thước thật (reference_real.json)</t>
        </is>
      </c>
      <c r="P82" t="inlineStr">
        <is>
          <t>01_chien_dau/Xe.model_size_length_m; Tools/models/reference_real.json</t>
        </is>
      </c>
      <c r="Q82" t="inlineStr"/>
    </row>
    <row r="83">
      <c r="A83" t="inlineStr">
        <is>
          <t>fighter_jet/rong_m</t>
        </is>
      </c>
      <c r="B83" t="inlineStr">
        <is>
          <t>fighter_jet</t>
        </is>
      </c>
      <c r="C83" t="inlineStr">
        <is>
          <t>rong_m</t>
        </is>
      </c>
      <c r="D83" t="inlineStr">
        <is>
          <t>m</t>
        </is>
      </c>
      <c r="E83">
        <f>INDEX(Xe!$EC$2:$EC$80,MATCH($B$83,Xe!$A$2:$A$80,0))</f>
        <v/>
      </c>
      <c r="F83">
        <f>INDEX(Phuong_tien_tham_chieu!$T$2:$T$104,MATCH("fighter_jet",Phuong_tien_tham_chieu!$A$2:$A$104,0))</f>
        <v/>
      </c>
      <c r="G83">
        <f>$E$83/$F$83</f>
        <v/>
      </c>
      <c r="H83" t="n">
        <v>0.7</v>
      </c>
      <c r="I83" t="n">
        <v>1.4</v>
      </c>
      <c r="J83" t="b">
        <v>1</v>
      </c>
      <c r="K83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83">
        <f>IF(ISNUMBER($H$83),AND(NOT($J$83),OR($G$83&lt;$H$83,$G$83&gt;$I$83)),FALSE)</f>
        <v/>
      </c>
      <c r="M83" t="inlineStr"/>
      <c r="N83" t="inlineStr">
        <is>
          <t>R_unit_refs;R_reference_real;W_wikipedia_sukhoi_su_27;R_unit_sheet;R_machine_brigade_can_bang</t>
        </is>
      </c>
      <c r="O83" t="inlineStr">
        <is>
          <t>modelSize của dữ liệu / kích thước thật (reference_real.json)</t>
        </is>
      </c>
      <c r="P83" t="inlineStr">
        <is>
          <t>01_chien_dau/Xe.model_size_width_m; Tools/models/reference_real.json</t>
        </is>
      </c>
      <c r="Q83" t="inlineStr"/>
    </row>
    <row r="84">
      <c r="A84" t="inlineStr">
        <is>
          <t>fighter_jet/rong_tren_dai</t>
        </is>
      </c>
      <c r="B84" t="inlineStr">
        <is>
          <t>fighter_jet</t>
        </is>
      </c>
      <c r="C84" t="inlineStr">
        <is>
          <t>rong_tren_dai</t>
        </is>
      </c>
      <c r="D84" t="inlineStr"/>
      <c r="E84">
        <f>INDEX(Xe!$EC$2:$EC$80,MATCH($B$84,Xe!$A$2:$A$80,0))/INDEX(Xe!$EB$2:$EB$80,MATCH($B$84,Xe!$A$2:$A$80,0))</f>
        <v/>
      </c>
      <c r="F84">
        <f>INDEX(Phuong_tien_tham_chieu!$T$2:$T$104,MATCH("fighter_jet",Phuong_tien_tham_chieu!$A$2:$A$104,0))/INDEX(Phuong_tien_tham_chieu!$S$2:$S$104,MATCH("fighter_jet",Phuong_tien_tham_chieu!$A$2:$A$104,0))</f>
        <v/>
      </c>
      <c r="G84">
        <f>$E$84/$F$84</f>
        <v/>
      </c>
      <c r="H84" t="n">
        <v>0.9</v>
      </c>
      <c r="I84" t="n">
        <v>1.1</v>
      </c>
      <c r="J84" t="b">
        <v>0</v>
      </c>
      <c r="K84" t="inlineStr"/>
      <c r="L84">
        <f>IF(ISNUMBER($H$84),AND(NOT($J$84),OR($G$84&lt;$H$84,$G$84&gt;$I$84)),FALSE)</f>
        <v/>
      </c>
      <c r="M84" t="inlineStr"/>
      <c r="N84" t="inlineStr">
        <is>
          <t>R_unit_refs;R_reference_real;W_wikipedia_sukhoi_su_27;R_unit_sheet;R_machine_brigade_can_bang</t>
        </is>
      </c>
      <c r="O84" t="inlineStr">
        <is>
          <t>tỷ lệ hình (MODEL_STANDARD 3.1: lệch quá 10 % là cờ)</t>
        </is>
      </c>
      <c r="P84" t="inlineStr">
        <is>
          <t>01_chien_dau/Xe; Tools/models/reference_real.json</t>
        </is>
      </c>
      <c r="Q84" t="inlineStr"/>
    </row>
    <row r="85">
      <c r="A85" t="inlineStr">
        <is>
          <t>flame_tank/cao_m</t>
        </is>
      </c>
      <c r="B85" t="inlineStr">
        <is>
          <t>flame_tank</t>
        </is>
      </c>
      <c r="C85" t="inlineStr">
        <is>
          <t>cao_m</t>
        </is>
      </c>
      <c r="D85" t="inlineStr">
        <is>
          <t>m</t>
        </is>
      </c>
      <c r="E85">
        <f>INDEX(Xe!$EA$2:$EA$80,MATCH($B$85,Xe!$A$2:$A$80,0))</f>
        <v/>
      </c>
      <c r="F85">
        <f>INDEX(Phuong_tien_tham_chieu!$U$2:$U$104,MATCH("flame_tank",Phuong_tien_tham_chieu!$A$2:$A$104,0))</f>
        <v/>
      </c>
      <c r="G85">
        <f>$E$85/$F$85</f>
        <v/>
      </c>
      <c r="H85" t="n">
        <v>0.7</v>
      </c>
      <c r="I85" t="n">
        <v>1.4</v>
      </c>
      <c r="J85" t="b">
        <v>0</v>
      </c>
      <c r="K85" t="inlineStr"/>
      <c r="L85">
        <f>IF(ISNUMBER($H$85),AND(NOT($J$85),OR($G$85&lt;$H$85,$G$85&gt;$I$85)),FALSE)</f>
        <v/>
      </c>
      <c r="M85" t="inlineStr"/>
      <c r="N85" t="inlineStr">
        <is>
          <t>R_unit_refs;R_reference_real;W_wikipedia_t_54_t_55;R_unit_sheet;R_machine_brigade_can_bang;R_flame_tank</t>
        </is>
      </c>
      <c r="O85" t="inlineStr">
        <is>
          <t>modelSize của dữ liệu / kích thước thật (reference_real.json)</t>
        </is>
      </c>
      <c r="P85" t="inlineStr">
        <is>
          <t>01_chien_dau/Xe.model_size_height_m; Tools/models/reference_real.json</t>
        </is>
      </c>
      <c r="Q85" t="inlineStr"/>
    </row>
    <row r="86">
      <c r="A86" t="inlineStr">
        <is>
          <t>flame_tank/cao_tren_dai</t>
        </is>
      </c>
      <c r="B86" t="inlineStr">
        <is>
          <t>flame_tank</t>
        </is>
      </c>
      <c r="C86" t="inlineStr">
        <is>
          <t>cao_tren_dai</t>
        </is>
      </c>
      <c r="D86" t="inlineStr"/>
      <c r="E86">
        <f>INDEX(Xe!$EA$2:$EA$80,MATCH($B$86,Xe!$A$2:$A$80,0))/INDEX(Xe!$EB$2:$EB$80,MATCH($B$86,Xe!$A$2:$A$80,0))</f>
        <v/>
      </c>
      <c r="F86">
        <f>INDEX(Phuong_tien_tham_chieu!$U$2:$U$104,MATCH("flame_tank",Phuong_tien_tham_chieu!$A$2:$A$104,0))/INDEX(Phuong_tien_tham_chieu!$S$2:$S$104,MATCH("flame_tank",Phuong_tien_tham_chieu!$A$2:$A$104,0))</f>
        <v/>
      </c>
      <c r="G86">
        <f>$E$86/$F$86</f>
        <v/>
      </c>
      <c r="H86" t="n">
        <v>0.9</v>
      </c>
      <c r="I86" t="n">
        <v>1.1</v>
      </c>
      <c r="J86" t="b">
        <v>0</v>
      </c>
      <c r="K86" t="inlineStr"/>
      <c r="L86">
        <f>IF(ISNUMBER($H$86),AND(NOT($J$86),OR($G$86&lt;$H$86,$G$86&gt;$I$86)),FALSE)</f>
        <v/>
      </c>
      <c r="M86" t="inlineStr"/>
      <c r="N86" t="inlineStr">
        <is>
          <t>R_unit_refs;R_reference_real;W_wikipedia_t_54_t_55;R_unit_sheet;R_machine_brigade_can_bang;R_flame_tank</t>
        </is>
      </c>
      <c r="O86" t="inlineStr">
        <is>
          <t>tỷ lệ hình (MODEL_STANDARD 3.1: lệch quá 10 % là cờ)</t>
        </is>
      </c>
      <c r="P86" t="inlineStr">
        <is>
          <t>01_chien_dau/Xe; Tools/models/reference_real.json</t>
        </is>
      </c>
      <c r="Q86" t="inlineStr"/>
    </row>
    <row r="87">
      <c r="A87" t="inlineStr">
        <is>
          <t>flame_tank/dai_m</t>
        </is>
      </c>
      <c r="B87" t="inlineStr">
        <is>
          <t>flame_tank</t>
        </is>
      </c>
      <c r="C87" t="inlineStr">
        <is>
          <t>dai_m</t>
        </is>
      </c>
      <c r="D87" t="inlineStr">
        <is>
          <t>m</t>
        </is>
      </c>
      <c r="E87">
        <f>INDEX(Xe!$EB$2:$EB$80,MATCH($B$87,Xe!$A$2:$A$80,0))</f>
        <v/>
      </c>
      <c r="F87">
        <f>INDEX(Phuong_tien_tham_chieu!$S$2:$S$104,MATCH("flame_tank",Phuong_tien_tham_chieu!$A$2:$A$104,0))</f>
        <v/>
      </c>
      <c r="G87">
        <f>$E$87/$F$87</f>
        <v/>
      </c>
      <c r="H87" t="n">
        <v>0.7</v>
      </c>
      <c r="I87" t="n">
        <v>1.4</v>
      </c>
      <c r="J87" t="b">
        <v>0</v>
      </c>
      <c r="K87" t="inlineStr"/>
      <c r="L87">
        <f>IF(ISNUMBER($H$87),AND(NOT($J$87),OR($G$87&lt;$H$87,$G$87&gt;$I$87)),FALSE)</f>
        <v/>
      </c>
      <c r="M87" t="inlineStr"/>
      <c r="N87" t="inlineStr">
        <is>
          <t>R_unit_refs;R_reference_real;W_wikipedia_t_54_t_55;R_unit_sheet;R_machine_brigade_can_bang;R_flame_tank</t>
        </is>
      </c>
      <c r="O87" t="inlineStr">
        <is>
          <t>modelSize của dữ liệu / kích thước thật (reference_real.json)</t>
        </is>
      </c>
      <c r="P87" t="inlineStr">
        <is>
          <t>01_chien_dau/Xe.model_size_length_m; Tools/models/reference_real.json</t>
        </is>
      </c>
      <c r="Q87" t="inlineStr"/>
    </row>
    <row r="88">
      <c r="A88" t="inlineStr">
        <is>
          <t>flame_tank/rong_m</t>
        </is>
      </c>
      <c r="B88" t="inlineStr">
        <is>
          <t>flame_tank</t>
        </is>
      </c>
      <c r="C88" t="inlineStr">
        <is>
          <t>rong_m</t>
        </is>
      </c>
      <c r="D88" t="inlineStr">
        <is>
          <t>m</t>
        </is>
      </c>
      <c r="E88">
        <f>INDEX(Xe!$EC$2:$EC$80,MATCH($B$88,Xe!$A$2:$A$80,0))</f>
        <v/>
      </c>
      <c r="F88">
        <f>INDEX(Phuong_tien_tham_chieu!$T$2:$T$104,MATCH("flame_tank",Phuong_tien_tham_chieu!$A$2:$A$104,0))</f>
        <v/>
      </c>
      <c r="G88">
        <f>$E$88/$F$88</f>
        <v/>
      </c>
      <c r="H88" t="n">
        <v>0.7</v>
      </c>
      <c r="I88" t="n">
        <v>1.4</v>
      </c>
      <c r="J88" t="b">
        <v>0</v>
      </c>
      <c r="K88" t="inlineStr"/>
      <c r="L88">
        <f>IF(ISNUMBER($H$88),AND(NOT($J$88),OR($G$88&lt;$H$88,$G$88&gt;$I$88)),FALSE)</f>
        <v/>
      </c>
      <c r="M88" t="inlineStr"/>
      <c r="N88" t="inlineStr">
        <is>
          <t>R_unit_refs;R_reference_real;W_wikipedia_t_54_t_55;R_unit_sheet;R_machine_brigade_can_bang;R_flame_tank</t>
        </is>
      </c>
      <c r="O88" t="inlineStr">
        <is>
          <t>modelSize của dữ liệu / kích thước thật (reference_real.json)</t>
        </is>
      </c>
      <c r="P88" t="inlineStr">
        <is>
          <t>01_chien_dau/Xe.model_size_width_m; Tools/models/reference_real.json</t>
        </is>
      </c>
      <c r="Q88" t="inlineStr"/>
    </row>
    <row r="89">
      <c r="A89" t="inlineStr">
        <is>
          <t>flame_tank/rong_tren_dai</t>
        </is>
      </c>
      <c r="B89" t="inlineStr">
        <is>
          <t>flame_tank</t>
        </is>
      </c>
      <c r="C89" t="inlineStr">
        <is>
          <t>rong_tren_dai</t>
        </is>
      </c>
      <c r="D89" t="inlineStr"/>
      <c r="E89">
        <f>INDEX(Xe!$EC$2:$EC$80,MATCH($B$89,Xe!$A$2:$A$80,0))/INDEX(Xe!$EB$2:$EB$80,MATCH($B$89,Xe!$A$2:$A$80,0))</f>
        <v/>
      </c>
      <c r="F89">
        <f>INDEX(Phuong_tien_tham_chieu!$T$2:$T$104,MATCH("flame_tank",Phuong_tien_tham_chieu!$A$2:$A$104,0))/INDEX(Phuong_tien_tham_chieu!$S$2:$S$104,MATCH("flame_tank",Phuong_tien_tham_chieu!$A$2:$A$104,0))</f>
        <v/>
      </c>
      <c r="G89">
        <f>$E$89/$F$89</f>
        <v/>
      </c>
      <c r="H89" t="n">
        <v>0.9</v>
      </c>
      <c r="I89" t="n">
        <v>1.1</v>
      </c>
      <c r="J89" t="b">
        <v>0</v>
      </c>
      <c r="K89" t="inlineStr"/>
      <c r="L89">
        <f>IF(ISNUMBER($H$89),AND(NOT($J$89),OR($G$89&lt;$H$89,$G$89&gt;$I$89)),FALSE)</f>
        <v/>
      </c>
      <c r="M89" t="inlineStr"/>
      <c r="N89" t="inlineStr">
        <is>
          <t>R_unit_refs;R_reference_real;W_wikipedia_t_54_t_55;R_unit_sheet;R_machine_brigade_can_bang;R_flame_tank</t>
        </is>
      </c>
      <c r="O89" t="inlineStr">
        <is>
          <t>tỷ lệ hình (MODEL_STANDARD 3.1: lệch quá 10 % là cờ)</t>
        </is>
      </c>
      <c r="P89" t="inlineStr">
        <is>
          <t>01_chien_dau/Xe; Tools/models/reference_real.json</t>
        </is>
      </c>
      <c r="Q89" t="inlineStr"/>
    </row>
    <row r="90">
      <c r="A90" t="inlineStr">
        <is>
          <t>fpv_carrier/cao_m</t>
        </is>
      </c>
      <c r="B90" t="inlineStr">
        <is>
          <t>fpv_carrier</t>
        </is>
      </c>
      <c r="C90" t="inlineStr">
        <is>
          <t>cao_m</t>
        </is>
      </c>
      <c r="D90" t="inlineStr">
        <is>
          <t>m</t>
        </is>
      </c>
      <c r="E90">
        <f>INDEX(Xe!$EA$2:$EA$80,MATCH($B$90,Xe!$A$2:$A$80,0))</f>
        <v/>
      </c>
      <c r="F90">
        <f>INDEX(Phuong_tien_tham_chieu!$U$2:$U$104,MATCH("fpv_carrier",Phuong_tien_tham_chieu!$A$2:$A$104,0))</f>
        <v/>
      </c>
      <c r="G90">
        <f>$E$90/$F$90</f>
        <v/>
      </c>
      <c r="H90" t="n">
        <v>0.7</v>
      </c>
      <c r="I90" t="n">
        <v>1.4</v>
      </c>
      <c r="J90" t="b">
        <v>0</v>
      </c>
      <c r="K90" t="inlineStr"/>
      <c r="L90">
        <f>IF(ISNUMBER($H$90),AND(NOT($J$90),OR($G$90&lt;$H$90,$G$90&gt;$I$90)),FALSE)</f>
        <v/>
      </c>
      <c r="M90" t="inlineStr"/>
      <c r="N90" t="inlineStr">
        <is>
          <t>R_unit_refs;R_reference_real;W_wikipedia_kamaz_typhoon;R_unit_sheet;R_machine_brigade_can_bang;R_fpv_carrier</t>
        </is>
      </c>
      <c r="O90" t="inlineStr">
        <is>
          <t>modelSize của dữ liệu / kích thước thật (reference_real.json)</t>
        </is>
      </c>
      <c r="P90" t="inlineStr">
        <is>
          <t>01_chien_dau/Xe.model_size_height_m; Tools/models/reference_real.json</t>
        </is>
      </c>
      <c r="Q90" t="inlineStr"/>
    </row>
    <row r="91">
      <c r="A91" t="inlineStr">
        <is>
          <t>fpv_carrier/cao_tren_dai</t>
        </is>
      </c>
      <c r="B91" t="inlineStr">
        <is>
          <t>fpv_carrier</t>
        </is>
      </c>
      <c r="C91" t="inlineStr">
        <is>
          <t>cao_tren_dai</t>
        </is>
      </c>
      <c r="D91" t="inlineStr"/>
      <c r="E91">
        <f>INDEX(Xe!$EA$2:$EA$80,MATCH($B$91,Xe!$A$2:$A$80,0))/INDEX(Xe!$EB$2:$EB$80,MATCH($B$91,Xe!$A$2:$A$80,0))</f>
        <v/>
      </c>
      <c r="F91">
        <f>INDEX(Phuong_tien_tham_chieu!$U$2:$U$104,MATCH("fpv_carrier",Phuong_tien_tham_chieu!$A$2:$A$104,0))/INDEX(Phuong_tien_tham_chieu!$S$2:$S$104,MATCH("fpv_carrier",Phuong_tien_tham_chieu!$A$2:$A$104,0))</f>
        <v/>
      </c>
      <c r="G91">
        <f>$E$91/$F$91</f>
        <v/>
      </c>
      <c r="H91" t="n">
        <v>0.9</v>
      </c>
      <c r="I91" t="n">
        <v>1.1</v>
      </c>
      <c r="J91" t="b">
        <v>0</v>
      </c>
      <c r="K91" t="inlineStr"/>
      <c r="L91">
        <f>IF(ISNUMBER($H$91),AND(NOT($J$91),OR($G$91&lt;$H$91,$G$91&gt;$I$91)),FALSE)</f>
        <v/>
      </c>
      <c r="M91" t="inlineStr"/>
      <c r="N91" t="inlineStr">
        <is>
          <t>R_unit_refs;R_reference_real;W_wikipedia_kamaz_typhoon;R_unit_sheet;R_machine_brigade_can_bang;R_fpv_carrier</t>
        </is>
      </c>
      <c r="O91" t="inlineStr">
        <is>
          <t>tỷ lệ hình (MODEL_STANDARD 3.1: lệch quá 10 % là cờ)</t>
        </is>
      </c>
      <c r="P91" t="inlineStr">
        <is>
          <t>01_chien_dau/Xe; Tools/models/reference_real.json</t>
        </is>
      </c>
      <c r="Q91" t="inlineStr"/>
    </row>
    <row r="92">
      <c r="A92" t="inlineStr">
        <is>
          <t>fpv_carrier/dai_m</t>
        </is>
      </c>
      <c r="B92" t="inlineStr">
        <is>
          <t>fpv_carrier</t>
        </is>
      </c>
      <c r="C92" t="inlineStr">
        <is>
          <t>dai_m</t>
        </is>
      </c>
      <c r="D92" t="inlineStr">
        <is>
          <t>m</t>
        </is>
      </c>
      <c r="E92">
        <f>INDEX(Xe!$EB$2:$EB$80,MATCH($B$92,Xe!$A$2:$A$80,0))</f>
        <v/>
      </c>
      <c r="F92">
        <f>INDEX(Phuong_tien_tham_chieu!$S$2:$S$104,MATCH("fpv_carrier",Phuong_tien_tham_chieu!$A$2:$A$104,0))</f>
        <v/>
      </c>
      <c r="G92">
        <f>$E$92/$F$92</f>
        <v/>
      </c>
      <c r="H92" t="n">
        <v>0.7</v>
      </c>
      <c r="I92" t="n">
        <v>1.4</v>
      </c>
      <c r="J92" t="b">
        <v>0</v>
      </c>
      <c r="K92" t="inlineStr"/>
      <c r="L92">
        <f>IF(ISNUMBER($H$92),AND(NOT($J$92),OR($G$92&lt;$H$92,$G$92&gt;$I$92)),FALSE)</f>
        <v/>
      </c>
      <c r="M92" t="inlineStr"/>
      <c r="N92" t="inlineStr">
        <is>
          <t>R_unit_refs;R_reference_real;W_wikipedia_kamaz_typhoon;R_unit_sheet;R_machine_brigade_can_bang;R_fpv_carrier</t>
        </is>
      </c>
      <c r="O92" t="inlineStr">
        <is>
          <t>modelSize của dữ liệu / kích thước thật (reference_real.json)</t>
        </is>
      </c>
      <c r="P92" t="inlineStr">
        <is>
          <t>01_chien_dau/Xe.model_size_length_m; Tools/models/reference_real.json</t>
        </is>
      </c>
      <c r="Q92" t="inlineStr"/>
    </row>
    <row r="93">
      <c r="A93" t="inlineStr">
        <is>
          <t>fpv_carrier/rong_m</t>
        </is>
      </c>
      <c r="B93" t="inlineStr">
        <is>
          <t>fpv_carrier</t>
        </is>
      </c>
      <c r="C93" t="inlineStr">
        <is>
          <t>rong_m</t>
        </is>
      </c>
      <c r="D93" t="inlineStr">
        <is>
          <t>m</t>
        </is>
      </c>
      <c r="E93">
        <f>INDEX(Xe!$EC$2:$EC$80,MATCH($B$93,Xe!$A$2:$A$80,0))</f>
        <v/>
      </c>
      <c r="F93">
        <f>INDEX(Phuong_tien_tham_chieu!$T$2:$T$104,MATCH("fpv_carrier",Phuong_tien_tham_chieu!$A$2:$A$104,0))</f>
        <v/>
      </c>
      <c r="G93">
        <f>$E$93/$F$93</f>
        <v/>
      </c>
      <c r="H93" t="n">
        <v>0.7</v>
      </c>
      <c r="I93" t="n">
        <v>1.4</v>
      </c>
      <c r="J93" t="b">
        <v>0</v>
      </c>
      <c r="K93" t="inlineStr"/>
      <c r="L93">
        <f>IF(ISNUMBER($H$93),AND(NOT($J$93),OR($G$93&lt;$H$93,$G$93&gt;$I$93)),FALSE)</f>
        <v/>
      </c>
      <c r="M93" t="inlineStr"/>
      <c r="N93" t="inlineStr">
        <is>
          <t>R_unit_refs;R_reference_real;W_wikipedia_kamaz_typhoon;R_unit_sheet;R_machine_brigade_can_bang;R_fpv_carrier</t>
        </is>
      </c>
      <c r="O93" t="inlineStr">
        <is>
          <t>modelSize của dữ liệu / kích thước thật (reference_real.json)</t>
        </is>
      </c>
      <c r="P93" t="inlineStr">
        <is>
          <t>01_chien_dau/Xe.model_size_width_m; Tools/models/reference_real.json</t>
        </is>
      </c>
      <c r="Q93" t="inlineStr"/>
    </row>
    <row r="94">
      <c r="A94" t="inlineStr">
        <is>
          <t>fpv_carrier/rong_tren_dai</t>
        </is>
      </c>
      <c r="B94" t="inlineStr">
        <is>
          <t>fpv_carrier</t>
        </is>
      </c>
      <c r="C94" t="inlineStr">
        <is>
          <t>rong_tren_dai</t>
        </is>
      </c>
      <c r="D94" t="inlineStr"/>
      <c r="E94">
        <f>INDEX(Xe!$EC$2:$EC$80,MATCH($B$94,Xe!$A$2:$A$80,0))/INDEX(Xe!$EB$2:$EB$80,MATCH($B$94,Xe!$A$2:$A$80,0))</f>
        <v/>
      </c>
      <c r="F94">
        <f>INDEX(Phuong_tien_tham_chieu!$T$2:$T$104,MATCH("fpv_carrier",Phuong_tien_tham_chieu!$A$2:$A$104,0))/INDEX(Phuong_tien_tham_chieu!$S$2:$S$104,MATCH("fpv_carrier",Phuong_tien_tham_chieu!$A$2:$A$104,0))</f>
        <v/>
      </c>
      <c r="G94">
        <f>$E$94/$F$94</f>
        <v/>
      </c>
      <c r="H94" t="n">
        <v>0.9</v>
      </c>
      <c r="I94" t="n">
        <v>1.1</v>
      </c>
      <c r="J94" t="b">
        <v>0</v>
      </c>
      <c r="K94" t="inlineStr"/>
      <c r="L94">
        <f>IF(ISNUMBER($H$94),AND(NOT($J$94),OR($G$94&lt;$H$94,$G$94&gt;$I$94)),FALSE)</f>
        <v/>
      </c>
      <c r="M94" t="inlineStr"/>
      <c r="N94" t="inlineStr">
        <is>
          <t>R_unit_refs;R_reference_real;W_wikipedia_kamaz_typhoon;R_unit_sheet;R_machine_brigade_can_bang;R_fpv_carrier</t>
        </is>
      </c>
      <c r="O94" t="inlineStr">
        <is>
          <t>tỷ lệ hình (MODEL_STANDARD 3.1: lệch quá 10 % là cờ)</t>
        </is>
      </c>
      <c r="P94" t="inlineStr">
        <is>
          <t>01_chien_dau/Xe; Tools/models/reference_real.json</t>
        </is>
      </c>
      <c r="Q94" t="inlineStr"/>
    </row>
    <row r="95">
      <c r="A95" t="inlineStr">
        <is>
          <t>heavy_bomber/cao_m</t>
        </is>
      </c>
      <c r="B95" t="inlineStr">
        <is>
          <t>heavy_bomber</t>
        </is>
      </c>
      <c r="C95" t="inlineStr">
        <is>
          <t>cao_m</t>
        </is>
      </c>
      <c r="D95" t="inlineStr">
        <is>
          <t>m</t>
        </is>
      </c>
      <c r="E95">
        <f>INDEX(Xe!$EA$2:$EA$80,MATCH($B$95,Xe!$A$2:$A$80,0))</f>
        <v/>
      </c>
      <c r="F95">
        <f>INDEX(Phuong_tien_tham_chieu!$U$2:$U$104,MATCH("heavy_bomber",Phuong_tien_tham_chieu!$A$2:$A$104,0))</f>
        <v/>
      </c>
      <c r="G95">
        <f>$E$95/$F$95</f>
        <v/>
      </c>
      <c r="H95" t="n">
        <v>0.7</v>
      </c>
      <c r="I95" t="n">
        <v>1.4</v>
      </c>
      <c r="J95" t="b">
        <v>1</v>
      </c>
      <c r="K95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95">
        <f>IF(ISNUMBER($H$95),AND(NOT($J$95),OR($G$95&lt;$H$95,$G$95&gt;$I$95)),FALSE)</f>
        <v/>
      </c>
      <c r="M95" t="inlineStr"/>
      <c r="N95" t="inlineStr">
        <is>
          <t>R_unit_refs;R_reference_real;W_wikipedia_boeing_b_52_stratofortress;R_unit_sheet;R_machine_brigade_can_bang;R_heavy_bomber</t>
        </is>
      </c>
      <c r="O95" t="inlineStr">
        <is>
          <t>modelSize của dữ liệu / kích thước thật (reference_real.json)</t>
        </is>
      </c>
      <c r="P95" t="inlineStr">
        <is>
          <t>01_chien_dau/Xe.model_size_height_m; Tools/models/reference_real.json</t>
        </is>
      </c>
      <c r="Q95" t="inlineStr"/>
    </row>
    <row r="96">
      <c r="A96" t="inlineStr">
        <is>
          <t>heavy_bomber/cao_tren_dai</t>
        </is>
      </c>
      <c r="B96" t="inlineStr">
        <is>
          <t>heavy_bomber</t>
        </is>
      </c>
      <c r="C96" t="inlineStr">
        <is>
          <t>cao_tren_dai</t>
        </is>
      </c>
      <c r="D96" t="inlineStr"/>
      <c r="E96">
        <f>INDEX(Xe!$EA$2:$EA$80,MATCH($B$96,Xe!$A$2:$A$80,0))/INDEX(Xe!$EB$2:$EB$80,MATCH($B$96,Xe!$A$2:$A$80,0))</f>
        <v/>
      </c>
      <c r="F96">
        <f>INDEX(Phuong_tien_tham_chieu!$U$2:$U$104,MATCH("heavy_bomber",Phuong_tien_tham_chieu!$A$2:$A$104,0))/INDEX(Phuong_tien_tham_chieu!$S$2:$S$104,MATCH("heavy_bomber",Phuong_tien_tham_chieu!$A$2:$A$104,0))</f>
        <v/>
      </c>
      <c r="G96">
        <f>$E$96/$F$96</f>
        <v/>
      </c>
      <c r="H96" t="n">
        <v>0.9</v>
      </c>
      <c r="I96" t="n">
        <v>1.1</v>
      </c>
      <c r="J96" t="b">
        <v>0</v>
      </c>
      <c r="K96" t="inlineStr"/>
      <c r="L96">
        <f>IF(ISNUMBER($H$96),AND(NOT($J$96),OR($G$96&lt;$H$96,$G$96&gt;$I$96)),FALSE)</f>
        <v/>
      </c>
      <c r="M96" t="inlineStr">
        <is>
          <t>TC0084</t>
        </is>
      </c>
      <c r="N96" t="inlineStr">
        <is>
          <t>R_unit_refs;R_reference_real;W_wikipedia_boeing_b_52_stratofortress;R_unit_sheet;R_machine_brigade_can_bang;R_heavy_bomber</t>
        </is>
      </c>
      <c r="O96" t="inlineStr">
        <is>
          <t>tỷ lệ hình (MODEL_STANDARD 3.1: lệch quá 10 % là cờ)</t>
        </is>
      </c>
      <c r="P96" t="inlineStr">
        <is>
          <t>01_chien_dau/Xe; Tools/models/reference_real.json</t>
        </is>
      </c>
      <c r="Q96" t="inlineStr"/>
    </row>
    <row r="97">
      <c r="A97" t="inlineStr">
        <is>
          <t>heavy_bomber/dai_m</t>
        </is>
      </c>
      <c r="B97" t="inlineStr">
        <is>
          <t>heavy_bomber</t>
        </is>
      </c>
      <c r="C97" t="inlineStr">
        <is>
          <t>dai_m</t>
        </is>
      </c>
      <c r="D97" t="inlineStr">
        <is>
          <t>m</t>
        </is>
      </c>
      <c r="E97">
        <f>INDEX(Xe!$EB$2:$EB$80,MATCH($B$97,Xe!$A$2:$A$80,0))</f>
        <v/>
      </c>
      <c r="F97">
        <f>INDEX(Phuong_tien_tham_chieu!$S$2:$S$104,MATCH("heavy_bomber",Phuong_tien_tham_chieu!$A$2:$A$104,0))</f>
        <v/>
      </c>
      <c r="G97">
        <f>$E$97/$F$97</f>
        <v/>
      </c>
      <c r="H97" t="n">
        <v>0.7</v>
      </c>
      <c r="I97" t="n">
        <v>1.4</v>
      </c>
      <c r="J97" t="b">
        <v>1</v>
      </c>
      <c r="K97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97">
        <f>IF(ISNUMBER($H$97),AND(NOT($J$97),OR($G$97&lt;$H$97,$G$97&gt;$I$97)),FALSE)</f>
        <v/>
      </c>
      <c r="M97" t="inlineStr"/>
      <c r="N97" t="inlineStr">
        <is>
          <t>R_unit_refs;R_reference_real;W_wikipedia_boeing_b_52_stratofortress;R_unit_sheet;R_machine_brigade_can_bang;R_heavy_bomber</t>
        </is>
      </c>
      <c r="O97" t="inlineStr">
        <is>
          <t>modelSize của dữ liệu / kích thước thật (reference_real.json)</t>
        </is>
      </c>
      <c r="P97" t="inlineStr">
        <is>
          <t>01_chien_dau/Xe.model_size_length_m; Tools/models/reference_real.json</t>
        </is>
      </c>
      <c r="Q97" t="inlineStr"/>
    </row>
    <row r="98">
      <c r="A98" t="inlineStr">
        <is>
          <t>heavy_bomber/rong_m</t>
        </is>
      </c>
      <c r="B98" t="inlineStr">
        <is>
          <t>heavy_bomber</t>
        </is>
      </c>
      <c r="C98" t="inlineStr">
        <is>
          <t>rong_m</t>
        </is>
      </c>
      <c r="D98" t="inlineStr">
        <is>
          <t>m</t>
        </is>
      </c>
      <c r="E98">
        <f>INDEX(Xe!$EC$2:$EC$80,MATCH($B$98,Xe!$A$2:$A$80,0))</f>
        <v/>
      </c>
      <c r="F98">
        <f>INDEX(Phuong_tien_tham_chieu!$T$2:$T$104,MATCH("heavy_bomber",Phuong_tien_tham_chieu!$A$2:$A$104,0))</f>
        <v/>
      </c>
      <c r="G98">
        <f>$E$98/$F$98</f>
        <v/>
      </c>
      <c r="H98" t="n">
        <v>0.7</v>
      </c>
      <c r="I98" t="n">
        <v>1.4</v>
      </c>
      <c r="J98" t="b">
        <v>1</v>
      </c>
      <c r="K98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98">
        <f>IF(ISNUMBER($H$98),AND(NOT($J$98),OR($G$98&lt;$H$98,$G$98&gt;$I$98)),FALSE)</f>
        <v/>
      </c>
      <c r="M98" t="inlineStr"/>
      <c r="N98" t="inlineStr">
        <is>
          <t>R_unit_refs;R_reference_real;W_wikipedia_boeing_b_52_stratofortress;R_unit_sheet;R_machine_brigade_can_bang;R_heavy_bomber</t>
        </is>
      </c>
      <c r="O98" t="inlineStr">
        <is>
          <t>modelSize của dữ liệu / kích thước thật (reference_real.json)</t>
        </is>
      </c>
      <c r="P98" t="inlineStr">
        <is>
          <t>01_chien_dau/Xe.model_size_width_m; Tools/models/reference_real.json</t>
        </is>
      </c>
      <c r="Q98" t="inlineStr"/>
    </row>
    <row r="99">
      <c r="A99" t="inlineStr">
        <is>
          <t>heavy_bomber/rong_tren_dai</t>
        </is>
      </c>
      <c r="B99" t="inlineStr">
        <is>
          <t>heavy_bomber</t>
        </is>
      </c>
      <c r="C99" t="inlineStr">
        <is>
          <t>rong_tren_dai</t>
        </is>
      </c>
      <c r="D99" t="inlineStr"/>
      <c r="E99">
        <f>INDEX(Xe!$EC$2:$EC$80,MATCH($B$99,Xe!$A$2:$A$80,0))/INDEX(Xe!$EB$2:$EB$80,MATCH($B$99,Xe!$A$2:$A$80,0))</f>
        <v/>
      </c>
      <c r="F99">
        <f>INDEX(Phuong_tien_tham_chieu!$T$2:$T$104,MATCH("heavy_bomber",Phuong_tien_tham_chieu!$A$2:$A$104,0))/INDEX(Phuong_tien_tham_chieu!$S$2:$S$104,MATCH("heavy_bomber",Phuong_tien_tham_chieu!$A$2:$A$104,0))</f>
        <v/>
      </c>
      <c r="G99">
        <f>$E$99/$F$99</f>
        <v/>
      </c>
      <c r="H99" t="n">
        <v>0.9</v>
      </c>
      <c r="I99" t="n">
        <v>1.1</v>
      </c>
      <c r="J99" t="b">
        <v>0</v>
      </c>
      <c r="K99" t="inlineStr"/>
      <c r="L99">
        <f>IF(ISNUMBER($H$99),AND(NOT($J$99),OR($G$99&lt;$H$99,$G$99&gt;$I$99)),FALSE)</f>
        <v/>
      </c>
      <c r="M99" t="inlineStr"/>
      <c r="N99" t="inlineStr">
        <is>
          <t>R_unit_refs;R_reference_real;W_wikipedia_boeing_b_52_stratofortress;R_unit_sheet;R_machine_brigade_can_bang;R_heavy_bomber</t>
        </is>
      </c>
      <c r="O99" t="inlineStr">
        <is>
          <t>tỷ lệ hình (MODEL_STANDARD 3.1: lệch quá 10 % là cờ)</t>
        </is>
      </c>
      <c r="P99" t="inlineStr">
        <is>
          <t>01_chien_dau/Xe; Tools/models/reference_real.json</t>
        </is>
      </c>
      <c r="Q99" t="inlineStr"/>
    </row>
    <row r="100">
      <c r="A100" t="inlineStr">
        <is>
          <t>heavy_rocket_artillery/cao_m</t>
        </is>
      </c>
      <c r="B100" t="inlineStr">
        <is>
          <t>heavy_rocket_artillery</t>
        </is>
      </c>
      <c r="C100" t="inlineStr">
        <is>
          <t>cao_m</t>
        </is>
      </c>
      <c r="D100" t="inlineStr">
        <is>
          <t>m</t>
        </is>
      </c>
      <c r="E100">
        <f>INDEX(Xe!$EA$2:$EA$80,MATCH($B$100,Xe!$A$2:$A$80,0))</f>
        <v/>
      </c>
      <c r="F100">
        <f>INDEX(Phuong_tien_tham_chieu!$U$2:$U$104,MATCH("heavy_rocket_artillery",Phuong_tien_tham_chieu!$A$2:$A$104,0))</f>
        <v/>
      </c>
      <c r="G100">
        <f>$E$100/$F$100</f>
        <v/>
      </c>
      <c r="H100" t="n">
        <v>0.7</v>
      </c>
      <c r="I100" t="n">
        <v>1.4</v>
      </c>
      <c r="J100" t="b">
        <v>0</v>
      </c>
      <c r="K100" t="inlineStr"/>
      <c r="L100">
        <f>IF(ISNUMBER($H$100),AND(NOT($J$100),OR($G$100&lt;$H$100,$G$100&gt;$I$100)),FALSE)</f>
        <v/>
      </c>
      <c r="M100" t="inlineStr"/>
      <c r="N100" t="inlineStr">
        <is>
          <t>R_unit_refs;R_reference_real;W_wikipedia_bm_30_smerch;R_unit_sheet;R_machine_brigade_can_bang;R_heavy_rocket_artillery</t>
        </is>
      </c>
      <c r="O100" t="inlineStr">
        <is>
          <t>modelSize của dữ liệu / kích thước thật (reference_real.json)</t>
        </is>
      </c>
      <c r="P100" t="inlineStr">
        <is>
          <t>01_chien_dau/Xe.model_size_height_m; Tools/models/reference_real.json</t>
        </is>
      </c>
      <c r="Q100" t="inlineStr"/>
    </row>
    <row r="101">
      <c r="A101" t="inlineStr">
        <is>
          <t>heavy_rocket_artillery/cao_tren_dai</t>
        </is>
      </c>
      <c r="B101" t="inlineStr">
        <is>
          <t>heavy_rocket_artillery</t>
        </is>
      </c>
      <c r="C101" t="inlineStr">
        <is>
          <t>cao_tren_dai</t>
        </is>
      </c>
      <c r="D101" t="inlineStr"/>
      <c r="E101">
        <f>INDEX(Xe!$EA$2:$EA$80,MATCH($B$101,Xe!$A$2:$A$80,0))/INDEX(Xe!$EB$2:$EB$80,MATCH($B$101,Xe!$A$2:$A$80,0))</f>
        <v/>
      </c>
      <c r="F101">
        <f>INDEX(Phuong_tien_tham_chieu!$U$2:$U$104,MATCH("heavy_rocket_artillery",Phuong_tien_tham_chieu!$A$2:$A$104,0))/INDEX(Phuong_tien_tham_chieu!$S$2:$S$104,MATCH("heavy_rocket_artillery",Phuong_tien_tham_chieu!$A$2:$A$104,0))</f>
        <v/>
      </c>
      <c r="G101">
        <f>$E$101/$F$101</f>
        <v/>
      </c>
      <c r="H101" t="n">
        <v>0.9</v>
      </c>
      <c r="I101" t="n">
        <v>1.1</v>
      </c>
      <c r="J101" t="b">
        <v>0</v>
      </c>
      <c r="K101" t="inlineStr"/>
      <c r="L101">
        <f>IF(ISNUMBER($H$101),AND(NOT($J$101),OR($G$101&lt;$H$101,$G$101&gt;$I$101)),FALSE)</f>
        <v/>
      </c>
      <c r="M101" t="inlineStr">
        <is>
          <t>TC0085</t>
        </is>
      </c>
      <c r="N101" t="inlineStr">
        <is>
          <t>R_unit_refs;R_reference_real;W_wikipedia_bm_30_smerch;R_unit_sheet;R_machine_brigade_can_bang;R_heavy_rocket_artillery</t>
        </is>
      </c>
      <c r="O101" t="inlineStr">
        <is>
          <t>tỷ lệ hình (MODEL_STANDARD 3.1: lệch quá 10 % là cờ)</t>
        </is>
      </c>
      <c r="P101" t="inlineStr">
        <is>
          <t>01_chien_dau/Xe; Tools/models/reference_real.json</t>
        </is>
      </c>
      <c r="Q101" t="inlineStr"/>
    </row>
    <row r="102">
      <c r="A102" t="inlineStr">
        <is>
          <t>heavy_rocket_artillery/dai_m</t>
        </is>
      </c>
      <c r="B102" t="inlineStr">
        <is>
          <t>heavy_rocket_artillery</t>
        </is>
      </c>
      <c r="C102" t="inlineStr">
        <is>
          <t>dai_m</t>
        </is>
      </c>
      <c r="D102" t="inlineStr">
        <is>
          <t>m</t>
        </is>
      </c>
      <c r="E102">
        <f>INDEX(Xe!$EB$2:$EB$80,MATCH($B$102,Xe!$A$2:$A$80,0))</f>
        <v/>
      </c>
      <c r="F102">
        <f>INDEX(Phuong_tien_tham_chieu!$S$2:$S$104,MATCH("heavy_rocket_artillery",Phuong_tien_tham_chieu!$A$2:$A$104,0))</f>
        <v/>
      </c>
      <c r="G102">
        <f>$E$102/$F$102</f>
        <v/>
      </c>
      <c r="H102" t="n">
        <v>0.7</v>
      </c>
      <c r="I102" t="n">
        <v>1.4</v>
      </c>
      <c r="J102" t="b">
        <v>0</v>
      </c>
      <c r="K102" t="inlineStr"/>
      <c r="L102">
        <f>IF(ISNUMBER($H$102),AND(NOT($J$102),OR($G$102&lt;$H$102,$G$102&gt;$I$102)),FALSE)</f>
        <v/>
      </c>
      <c r="M102" t="inlineStr"/>
      <c r="N102" t="inlineStr">
        <is>
          <t>R_unit_refs;R_reference_real;W_wikipedia_bm_30_smerch;R_unit_sheet;R_machine_brigade_can_bang;R_heavy_rocket_artillery</t>
        </is>
      </c>
      <c r="O102" t="inlineStr">
        <is>
          <t>modelSize của dữ liệu / kích thước thật (reference_real.json)</t>
        </is>
      </c>
      <c r="P102" t="inlineStr">
        <is>
          <t>01_chien_dau/Xe.model_size_length_m; Tools/models/reference_real.json</t>
        </is>
      </c>
      <c r="Q102" t="inlineStr"/>
    </row>
    <row r="103">
      <c r="A103" t="inlineStr">
        <is>
          <t>heavy_rocket_artillery/rong_m</t>
        </is>
      </c>
      <c r="B103" t="inlineStr">
        <is>
          <t>heavy_rocket_artillery</t>
        </is>
      </c>
      <c r="C103" t="inlineStr">
        <is>
          <t>rong_m</t>
        </is>
      </c>
      <c r="D103" t="inlineStr">
        <is>
          <t>m</t>
        </is>
      </c>
      <c r="E103">
        <f>INDEX(Xe!$EC$2:$EC$80,MATCH($B$103,Xe!$A$2:$A$80,0))</f>
        <v/>
      </c>
      <c r="F103">
        <f>INDEX(Phuong_tien_tham_chieu!$T$2:$T$104,MATCH("heavy_rocket_artillery",Phuong_tien_tham_chieu!$A$2:$A$104,0))</f>
        <v/>
      </c>
      <c r="G103">
        <f>$E$103/$F$103</f>
        <v/>
      </c>
      <c r="H103" t="n">
        <v>0.7</v>
      </c>
      <c r="I103" t="n">
        <v>1.4</v>
      </c>
      <c r="J103" t="b">
        <v>0</v>
      </c>
      <c r="K103" t="inlineStr"/>
      <c r="L103">
        <f>IF(ISNUMBER($H$103),AND(NOT($J$103),OR($G$103&lt;$H$103,$G$103&gt;$I$103)),FALSE)</f>
        <v/>
      </c>
      <c r="M103" t="inlineStr"/>
      <c r="N103" t="inlineStr">
        <is>
          <t>R_unit_refs;R_reference_real;W_wikipedia_bm_30_smerch;R_unit_sheet;R_machine_brigade_can_bang;R_heavy_rocket_artillery</t>
        </is>
      </c>
      <c r="O103" t="inlineStr">
        <is>
          <t>modelSize của dữ liệu / kích thước thật (reference_real.json)</t>
        </is>
      </c>
      <c r="P103" t="inlineStr">
        <is>
          <t>01_chien_dau/Xe.model_size_width_m; Tools/models/reference_real.json</t>
        </is>
      </c>
      <c r="Q103" t="inlineStr"/>
    </row>
    <row r="104">
      <c r="A104" t="inlineStr">
        <is>
          <t>heavy_rocket_artillery/rong_tren_dai</t>
        </is>
      </c>
      <c r="B104" t="inlineStr">
        <is>
          <t>heavy_rocket_artillery</t>
        </is>
      </c>
      <c r="C104" t="inlineStr">
        <is>
          <t>rong_tren_dai</t>
        </is>
      </c>
      <c r="D104" t="inlineStr"/>
      <c r="E104">
        <f>INDEX(Xe!$EC$2:$EC$80,MATCH($B$104,Xe!$A$2:$A$80,0))/INDEX(Xe!$EB$2:$EB$80,MATCH($B$104,Xe!$A$2:$A$80,0))</f>
        <v/>
      </c>
      <c r="F104">
        <f>INDEX(Phuong_tien_tham_chieu!$T$2:$T$104,MATCH("heavy_rocket_artillery",Phuong_tien_tham_chieu!$A$2:$A$104,0))/INDEX(Phuong_tien_tham_chieu!$S$2:$S$104,MATCH("heavy_rocket_artillery",Phuong_tien_tham_chieu!$A$2:$A$104,0))</f>
        <v/>
      </c>
      <c r="G104">
        <f>$E$104/$F$104</f>
        <v/>
      </c>
      <c r="H104" t="n">
        <v>0.9</v>
      </c>
      <c r="I104" t="n">
        <v>1.1</v>
      </c>
      <c r="J104" t="b">
        <v>0</v>
      </c>
      <c r="K104" t="inlineStr"/>
      <c r="L104">
        <f>IF(ISNUMBER($H$104),AND(NOT($J$104),OR($G$104&lt;$H$104,$G$104&gt;$I$104)),FALSE)</f>
        <v/>
      </c>
      <c r="M104" t="inlineStr"/>
      <c r="N104" t="inlineStr">
        <is>
          <t>R_unit_refs;R_reference_real;W_wikipedia_bm_30_smerch;R_unit_sheet;R_machine_brigade_can_bang;R_heavy_rocket_artillery</t>
        </is>
      </c>
      <c r="O104" t="inlineStr">
        <is>
          <t>tỷ lệ hình (MODEL_STANDARD 3.1: lệch quá 10 % là cờ)</t>
        </is>
      </c>
      <c r="P104" t="inlineStr">
        <is>
          <t>01_chien_dau/Xe; Tools/models/reference_real.json</t>
        </is>
      </c>
      <c r="Q104" t="inlineStr"/>
    </row>
    <row r="105">
      <c r="A105" t="inlineStr">
        <is>
          <t>ifv/cao_m</t>
        </is>
      </c>
      <c r="B105" t="inlineStr">
        <is>
          <t>ifv</t>
        </is>
      </c>
      <c r="C105" t="inlineStr">
        <is>
          <t>cao_m</t>
        </is>
      </c>
      <c r="D105" t="inlineStr">
        <is>
          <t>m</t>
        </is>
      </c>
      <c r="E105">
        <f>INDEX(Xe!$EA$2:$EA$80,MATCH($B$105,Xe!$A$2:$A$80,0))</f>
        <v/>
      </c>
      <c r="F105">
        <f>INDEX(Phuong_tien_tham_chieu!$U$2:$U$104,MATCH("ifv",Phuong_tien_tham_chieu!$A$2:$A$104,0))</f>
        <v/>
      </c>
      <c r="G105">
        <f>$E$105/$F$105</f>
        <v/>
      </c>
      <c r="H105" t="n">
        <v>0.7</v>
      </c>
      <c r="I105" t="n">
        <v>1.4</v>
      </c>
      <c r="J105" t="b">
        <v>0</v>
      </c>
      <c r="K105" t="inlineStr"/>
      <c r="L105">
        <f>IF(ISNUMBER($H$105),AND(NOT($J$105),OR($G$105&lt;$H$105,$G$105&gt;$I$105)),FALSE)</f>
        <v/>
      </c>
      <c r="M105" t="inlineStr"/>
      <c r="N105" t="inlineStr">
        <is>
          <t>R_unit_refs;R_reference_real;W_wikipedia_m2_bradley;R_unit_sheet;R_machine_brigade_can_bang;R_ifv</t>
        </is>
      </c>
      <c r="O105" t="inlineStr">
        <is>
          <t>modelSize của dữ liệu / kích thước thật (reference_real.json)</t>
        </is>
      </c>
      <c r="P105" t="inlineStr">
        <is>
          <t>01_chien_dau/Xe.model_size_height_m; Tools/models/reference_real.json</t>
        </is>
      </c>
      <c r="Q105" t="inlineStr"/>
    </row>
    <row r="106">
      <c r="A106" t="inlineStr">
        <is>
          <t>ifv/cao_tren_dai</t>
        </is>
      </c>
      <c r="B106" t="inlineStr">
        <is>
          <t>ifv</t>
        </is>
      </c>
      <c r="C106" t="inlineStr">
        <is>
          <t>cao_tren_dai</t>
        </is>
      </c>
      <c r="D106" t="inlineStr"/>
      <c r="E106">
        <f>INDEX(Xe!$EA$2:$EA$80,MATCH($B$106,Xe!$A$2:$A$80,0))/INDEX(Xe!$EB$2:$EB$80,MATCH($B$106,Xe!$A$2:$A$80,0))</f>
        <v/>
      </c>
      <c r="F106">
        <f>INDEX(Phuong_tien_tham_chieu!$U$2:$U$104,MATCH("ifv",Phuong_tien_tham_chieu!$A$2:$A$104,0))/INDEX(Phuong_tien_tham_chieu!$S$2:$S$104,MATCH("ifv",Phuong_tien_tham_chieu!$A$2:$A$104,0))</f>
        <v/>
      </c>
      <c r="G106">
        <f>$E$106/$F$106</f>
        <v/>
      </c>
      <c r="H106" t="n">
        <v>0.9</v>
      </c>
      <c r="I106" t="n">
        <v>1.1</v>
      </c>
      <c r="J106" t="b">
        <v>0</v>
      </c>
      <c r="K106" t="inlineStr"/>
      <c r="L106">
        <f>IF(ISNUMBER($H$106),AND(NOT($J$106),OR($G$106&lt;$H$106,$G$106&gt;$I$106)),FALSE)</f>
        <v/>
      </c>
      <c r="M106" t="inlineStr"/>
      <c r="N106" t="inlineStr">
        <is>
          <t>R_unit_refs;R_reference_real;W_wikipedia_m2_bradley;R_unit_sheet;R_machine_brigade_can_bang;R_ifv</t>
        </is>
      </c>
      <c r="O106" t="inlineStr">
        <is>
          <t>tỷ lệ hình (MODEL_STANDARD 3.1: lệch quá 10 % là cờ)</t>
        </is>
      </c>
      <c r="P106" t="inlineStr">
        <is>
          <t>01_chien_dau/Xe; Tools/models/reference_real.json</t>
        </is>
      </c>
      <c r="Q106" t="inlineStr"/>
    </row>
    <row r="107">
      <c r="A107" t="inlineStr">
        <is>
          <t>ifv/dai_m</t>
        </is>
      </c>
      <c r="B107" t="inlineStr">
        <is>
          <t>ifv</t>
        </is>
      </c>
      <c r="C107" t="inlineStr">
        <is>
          <t>dai_m</t>
        </is>
      </c>
      <c r="D107" t="inlineStr">
        <is>
          <t>m</t>
        </is>
      </c>
      <c r="E107">
        <f>INDEX(Xe!$EB$2:$EB$80,MATCH($B$107,Xe!$A$2:$A$80,0))</f>
        <v/>
      </c>
      <c r="F107">
        <f>INDEX(Phuong_tien_tham_chieu!$S$2:$S$104,MATCH("ifv",Phuong_tien_tham_chieu!$A$2:$A$104,0))</f>
        <v/>
      </c>
      <c r="G107">
        <f>$E$107/$F$107</f>
        <v/>
      </c>
      <c r="H107" t="n">
        <v>0.7</v>
      </c>
      <c r="I107" t="n">
        <v>1.4</v>
      </c>
      <c r="J107" t="b">
        <v>0</v>
      </c>
      <c r="K107" t="inlineStr"/>
      <c r="L107">
        <f>IF(ISNUMBER($H$107),AND(NOT($J$107),OR($G$107&lt;$H$107,$G$107&gt;$I$107)),FALSE)</f>
        <v/>
      </c>
      <c r="M107" t="inlineStr"/>
      <c r="N107" t="inlineStr">
        <is>
          <t>R_unit_refs;R_reference_real;W_wikipedia_m2_bradley;R_unit_sheet;R_machine_brigade_can_bang;R_ifv</t>
        </is>
      </c>
      <c r="O107" t="inlineStr">
        <is>
          <t>modelSize của dữ liệu / kích thước thật (reference_real.json)</t>
        </is>
      </c>
      <c r="P107" t="inlineStr">
        <is>
          <t>01_chien_dau/Xe.model_size_length_m; Tools/models/reference_real.json</t>
        </is>
      </c>
      <c r="Q107" t="inlineStr"/>
    </row>
    <row r="108">
      <c r="A108" t="inlineStr">
        <is>
          <t>ifv/rong_m</t>
        </is>
      </c>
      <c r="B108" t="inlineStr">
        <is>
          <t>ifv</t>
        </is>
      </c>
      <c r="C108" t="inlineStr">
        <is>
          <t>rong_m</t>
        </is>
      </c>
      <c r="D108" t="inlineStr">
        <is>
          <t>m</t>
        </is>
      </c>
      <c r="E108">
        <f>INDEX(Xe!$EC$2:$EC$80,MATCH($B$108,Xe!$A$2:$A$80,0))</f>
        <v/>
      </c>
      <c r="F108">
        <f>INDEX(Phuong_tien_tham_chieu!$T$2:$T$104,MATCH("ifv",Phuong_tien_tham_chieu!$A$2:$A$104,0))</f>
        <v/>
      </c>
      <c r="G108">
        <f>$E$108/$F$108</f>
        <v/>
      </c>
      <c r="H108" t="n">
        <v>0.7</v>
      </c>
      <c r="I108" t="n">
        <v>1.4</v>
      </c>
      <c r="J108" t="b">
        <v>0</v>
      </c>
      <c r="K108" t="inlineStr"/>
      <c r="L108">
        <f>IF(ISNUMBER($H$108),AND(NOT($J$108),OR($G$108&lt;$H$108,$G$108&gt;$I$108)),FALSE)</f>
        <v/>
      </c>
      <c r="M108" t="inlineStr"/>
      <c r="N108" t="inlineStr">
        <is>
          <t>R_unit_refs;R_reference_real;W_wikipedia_m2_bradley;R_unit_sheet;R_machine_brigade_can_bang;R_ifv</t>
        </is>
      </c>
      <c r="O108" t="inlineStr">
        <is>
          <t>modelSize của dữ liệu / kích thước thật (reference_real.json)</t>
        </is>
      </c>
      <c r="P108" t="inlineStr">
        <is>
          <t>01_chien_dau/Xe.model_size_width_m; Tools/models/reference_real.json</t>
        </is>
      </c>
      <c r="Q108" t="inlineStr"/>
    </row>
    <row r="109">
      <c r="A109" t="inlineStr">
        <is>
          <t>ifv/rong_tren_dai</t>
        </is>
      </c>
      <c r="B109" t="inlineStr">
        <is>
          <t>ifv</t>
        </is>
      </c>
      <c r="C109" t="inlineStr">
        <is>
          <t>rong_tren_dai</t>
        </is>
      </c>
      <c r="D109" t="inlineStr"/>
      <c r="E109">
        <f>INDEX(Xe!$EC$2:$EC$80,MATCH($B$109,Xe!$A$2:$A$80,0))/INDEX(Xe!$EB$2:$EB$80,MATCH($B$109,Xe!$A$2:$A$80,0))</f>
        <v/>
      </c>
      <c r="F109">
        <f>INDEX(Phuong_tien_tham_chieu!$T$2:$T$104,MATCH("ifv",Phuong_tien_tham_chieu!$A$2:$A$104,0))/INDEX(Phuong_tien_tham_chieu!$S$2:$S$104,MATCH("ifv",Phuong_tien_tham_chieu!$A$2:$A$104,0))</f>
        <v/>
      </c>
      <c r="G109">
        <f>$E$109/$F$109</f>
        <v/>
      </c>
      <c r="H109" t="n">
        <v>0.9</v>
      </c>
      <c r="I109" t="n">
        <v>1.1</v>
      </c>
      <c r="J109" t="b">
        <v>0</v>
      </c>
      <c r="K109" t="inlineStr"/>
      <c r="L109">
        <f>IF(ISNUMBER($H$109),AND(NOT($J$109),OR($G$109&lt;$H$109,$G$109&gt;$I$109)),FALSE)</f>
        <v/>
      </c>
      <c r="M109" t="inlineStr"/>
      <c r="N109" t="inlineStr">
        <is>
          <t>R_unit_refs;R_reference_real;W_wikipedia_m2_bradley;R_unit_sheet;R_machine_brigade_can_bang;R_ifv</t>
        </is>
      </c>
      <c r="O109" t="inlineStr">
        <is>
          <t>tỷ lệ hình (MODEL_STANDARD 3.1: lệch quá 10 % là cờ)</t>
        </is>
      </c>
      <c r="P109" t="inlineStr">
        <is>
          <t>01_chien_dau/Xe; Tools/models/reference_real.json</t>
        </is>
      </c>
      <c r="Q109" t="inlineStr"/>
    </row>
    <row r="110">
      <c r="A110" t="inlineStr">
        <is>
          <t>light_tank/cao_m</t>
        </is>
      </c>
      <c r="B110" t="inlineStr">
        <is>
          <t>light_tank</t>
        </is>
      </c>
      <c r="C110" t="inlineStr">
        <is>
          <t>cao_m</t>
        </is>
      </c>
      <c r="D110" t="inlineStr">
        <is>
          <t>m</t>
        </is>
      </c>
      <c r="E110">
        <f>INDEX(Xe!$EA$2:$EA$80,MATCH($B$110,Xe!$A$2:$A$80,0))</f>
        <v/>
      </c>
      <c r="F110">
        <f>INDEX(Phuong_tien_tham_chieu!$U$2:$U$104,MATCH("light_tank",Phuong_tien_tham_chieu!$A$2:$A$104,0))</f>
        <v/>
      </c>
      <c r="G110">
        <f>$E$110/$F$110</f>
        <v/>
      </c>
      <c r="H110" t="n">
        <v>0.7</v>
      </c>
      <c r="I110" t="n">
        <v>1.4</v>
      </c>
      <c r="J110" t="b">
        <v>0</v>
      </c>
      <c r="K110" t="inlineStr"/>
      <c r="L110">
        <f>IF(ISNUMBER($H$110),AND(NOT($J$110),OR($G$110&lt;$H$110,$G$110&gt;$I$110)),FALSE)</f>
        <v/>
      </c>
      <c r="M110" t="inlineStr"/>
      <c r="N110" t="inlineStr">
        <is>
          <t>R_unit_refs;R_reference_real;W_wikipedia_pt_76;R_unit_sheet;R_machine_brigade_can_bang;R_light_tank</t>
        </is>
      </c>
      <c r="O110" t="inlineStr">
        <is>
          <t>modelSize của dữ liệu / kích thước thật (reference_real.json)</t>
        </is>
      </c>
      <c r="P110" t="inlineStr">
        <is>
          <t>01_chien_dau/Xe.model_size_height_m; Tools/models/reference_real.json</t>
        </is>
      </c>
      <c r="Q110" t="inlineStr"/>
    </row>
    <row r="111">
      <c r="A111" t="inlineStr">
        <is>
          <t>light_tank/cao_tren_dai</t>
        </is>
      </c>
      <c r="B111" t="inlineStr">
        <is>
          <t>light_tank</t>
        </is>
      </c>
      <c r="C111" t="inlineStr">
        <is>
          <t>cao_tren_dai</t>
        </is>
      </c>
      <c r="D111" t="inlineStr"/>
      <c r="E111">
        <f>INDEX(Xe!$EA$2:$EA$80,MATCH($B$111,Xe!$A$2:$A$80,0))/INDEX(Xe!$EB$2:$EB$80,MATCH($B$111,Xe!$A$2:$A$80,0))</f>
        <v/>
      </c>
      <c r="F111">
        <f>INDEX(Phuong_tien_tham_chieu!$U$2:$U$104,MATCH("light_tank",Phuong_tien_tham_chieu!$A$2:$A$104,0))/INDEX(Phuong_tien_tham_chieu!$S$2:$S$104,MATCH("light_tank",Phuong_tien_tham_chieu!$A$2:$A$104,0))</f>
        <v/>
      </c>
      <c r="G111">
        <f>$E$111/$F$111</f>
        <v/>
      </c>
      <c r="H111" t="n">
        <v>0.9</v>
      </c>
      <c r="I111" t="n">
        <v>1.1</v>
      </c>
      <c r="J111" t="b">
        <v>0</v>
      </c>
      <c r="K111" t="inlineStr"/>
      <c r="L111">
        <f>IF(ISNUMBER($H$111),AND(NOT($J$111),OR($G$111&lt;$H$111,$G$111&gt;$I$111)),FALSE)</f>
        <v/>
      </c>
      <c r="M111" t="inlineStr"/>
      <c r="N111" t="inlineStr">
        <is>
          <t>R_unit_refs;R_reference_real;W_wikipedia_pt_76;R_unit_sheet;R_machine_brigade_can_bang;R_light_tank</t>
        </is>
      </c>
      <c r="O111" t="inlineStr">
        <is>
          <t>tỷ lệ hình (MODEL_STANDARD 3.1: lệch quá 10 % là cờ)</t>
        </is>
      </c>
      <c r="P111" t="inlineStr">
        <is>
          <t>01_chien_dau/Xe; Tools/models/reference_real.json</t>
        </is>
      </c>
      <c r="Q111" t="inlineStr"/>
    </row>
    <row r="112">
      <c r="A112" t="inlineStr">
        <is>
          <t>light_tank/dai_m</t>
        </is>
      </c>
      <c r="B112" t="inlineStr">
        <is>
          <t>light_tank</t>
        </is>
      </c>
      <c r="C112" t="inlineStr">
        <is>
          <t>dai_m</t>
        </is>
      </c>
      <c r="D112" t="inlineStr">
        <is>
          <t>m</t>
        </is>
      </c>
      <c r="E112">
        <f>INDEX(Xe!$EB$2:$EB$80,MATCH($B$112,Xe!$A$2:$A$80,0))</f>
        <v/>
      </c>
      <c r="F112">
        <f>INDEX(Phuong_tien_tham_chieu!$S$2:$S$104,MATCH("light_tank",Phuong_tien_tham_chieu!$A$2:$A$104,0))</f>
        <v/>
      </c>
      <c r="G112">
        <f>$E$112/$F$112</f>
        <v/>
      </c>
      <c r="H112" t="n">
        <v>0.7</v>
      </c>
      <c r="I112" t="n">
        <v>1.4</v>
      </c>
      <c r="J112" t="b">
        <v>0</v>
      </c>
      <c r="K112" t="inlineStr"/>
      <c r="L112">
        <f>IF(ISNUMBER($H$112),AND(NOT($J$112),OR($G$112&lt;$H$112,$G$112&gt;$I$112)),FALSE)</f>
        <v/>
      </c>
      <c r="M112" t="inlineStr"/>
      <c r="N112" t="inlineStr">
        <is>
          <t>R_unit_refs;R_reference_real;W_wikipedia_pt_76;R_unit_sheet;R_machine_brigade_can_bang;R_light_tank</t>
        </is>
      </c>
      <c r="O112" t="inlineStr">
        <is>
          <t>modelSize của dữ liệu / kích thước thật (reference_real.json)</t>
        </is>
      </c>
      <c r="P112" t="inlineStr">
        <is>
          <t>01_chien_dau/Xe.model_size_length_m; Tools/models/reference_real.json</t>
        </is>
      </c>
      <c r="Q112" t="inlineStr"/>
    </row>
    <row r="113">
      <c r="A113" t="inlineStr">
        <is>
          <t>light_tank/rong_m</t>
        </is>
      </c>
      <c r="B113" t="inlineStr">
        <is>
          <t>light_tank</t>
        </is>
      </c>
      <c r="C113" t="inlineStr">
        <is>
          <t>rong_m</t>
        </is>
      </c>
      <c r="D113" t="inlineStr">
        <is>
          <t>m</t>
        </is>
      </c>
      <c r="E113">
        <f>INDEX(Xe!$EC$2:$EC$80,MATCH($B$113,Xe!$A$2:$A$80,0))</f>
        <v/>
      </c>
      <c r="F113">
        <f>INDEX(Phuong_tien_tham_chieu!$T$2:$T$104,MATCH("light_tank",Phuong_tien_tham_chieu!$A$2:$A$104,0))</f>
        <v/>
      </c>
      <c r="G113">
        <f>$E$113/$F$113</f>
        <v/>
      </c>
      <c r="H113" t="n">
        <v>0.7</v>
      </c>
      <c r="I113" t="n">
        <v>1.4</v>
      </c>
      <c r="J113" t="b">
        <v>0</v>
      </c>
      <c r="K113" t="inlineStr"/>
      <c r="L113">
        <f>IF(ISNUMBER($H$113),AND(NOT($J$113),OR($G$113&lt;$H$113,$G$113&gt;$I$113)),FALSE)</f>
        <v/>
      </c>
      <c r="M113" t="inlineStr"/>
      <c r="N113" t="inlineStr">
        <is>
          <t>R_unit_refs;R_reference_real;W_wikipedia_pt_76;R_unit_sheet;R_machine_brigade_can_bang;R_light_tank</t>
        </is>
      </c>
      <c r="O113" t="inlineStr">
        <is>
          <t>modelSize của dữ liệu / kích thước thật (reference_real.json)</t>
        </is>
      </c>
      <c r="P113" t="inlineStr">
        <is>
          <t>01_chien_dau/Xe.model_size_width_m; Tools/models/reference_real.json</t>
        </is>
      </c>
      <c r="Q113" t="inlineStr"/>
    </row>
    <row r="114">
      <c r="A114" t="inlineStr">
        <is>
          <t>light_tank/rong_tren_dai</t>
        </is>
      </c>
      <c r="B114" t="inlineStr">
        <is>
          <t>light_tank</t>
        </is>
      </c>
      <c r="C114" t="inlineStr">
        <is>
          <t>rong_tren_dai</t>
        </is>
      </c>
      <c r="D114" t="inlineStr"/>
      <c r="E114">
        <f>INDEX(Xe!$EC$2:$EC$80,MATCH($B$114,Xe!$A$2:$A$80,0))/INDEX(Xe!$EB$2:$EB$80,MATCH($B$114,Xe!$A$2:$A$80,0))</f>
        <v/>
      </c>
      <c r="F114">
        <f>INDEX(Phuong_tien_tham_chieu!$T$2:$T$104,MATCH("light_tank",Phuong_tien_tham_chieu!$A$2:$A$104,0))/INDEX(Phuong_tien_tham_chieu!$S$2:$S$104,MATCH("light_tank",Phuong_tien_tham_chieu!$A$2:$A$104,0))</f>
        <v/>
      </c>
      <c r="G114">
        <f>$E$114/$F$114</f>
        <v/>
      </c>
      <c r="H114" t="n">
        <v>0.9</v>
      </c>
      <c r="I114" t="n">
        <v>1.1</v>
      </c>
      <c r="J114" t="b">
        <v>0</v>
      </c>
      <c r="K114" t="inlineStr"/>
      <c r="L114">
        <f>IF(ISNUMBER($H$114),AND(NOT($J$114),OR($G$114&lt;$H$114,$G$114&gt;$I$114)),FALSE)</f>
        <v/>
      </c>
      <c r="M114" t="inlineStr"/>
      <c r="N114" t="inlineStr">
        <is>
          <t>R_unit_refs;R_reference_real;W_wikipedia_pt_76;R_unit_sheet;R_machine_brigade_can_bang;R_light_tank</t>
        </is>
      </c>
      <c r="O114" t="inlineStr">
        <is>
          <t>tỷ lệ hình (MODEL_STANDARD 3.1: lệch quá 10 % là cờ)</t>
        </is>
      </c>
      <c r="P114" t="inlineStr">
        <is>
          <t>01_chien_dau/Xe; Tools/models/reference_real.json</t>
        </is>
      </c>
      <c r="Q114" t="inlineStr"/>
    </row>
    <row r="115">
      <c r="A115" t="inlineStr">
        <is>
          <t>main_battle_tank/cao_m</t>
        </is>
      </c>
      <c r="B115" t="inlineStr">
        <is>
          <t>main_battle_tank</t>
        </is>
      </c>
      <c r="C115" t="inlineStr">
        <is>
          <t>cao_m</t>
        </is>
      </c>
      <c r="D115" t="inlineStr">
        <is>
          <t>m</t>
        </is>
      </c>
      <c r="E115">
        <f>INDEX(Xe!$EA$2:$EA$80,MATCH($B$115,Xe!$A$2:$A$80,0))</f>
        <v/>
      </c>
      <c r="F115">
        <f>INDEX(Phuong_tien_tham_chieu!$U$2:$U$104,MATCH("main_battle_tank",Phuong_tien_tham_chieu!$A$2:$A$104,0))</f>
        <v/>
      </c>
      <c r="G115">
        <f>$E$115/$F$115</f>
        <v/>
      </c>
      <c r="H115" t="n">
        <v>0.7</v>
      </c>
      <c r="I115" t="n">
        <v>1.4</v>
      </c>
      <c r="J115" t="b">
        <v>0</v>
      </c>
      <c r="K115" t="inlineStr"/>
      <c r="L115">
        <f>IF(ISNUMBER($H$115),AND(NOT($J$115),OR($G$115&lt;$H$115,$G$115&gt;$I$115)),FALSE)</f>
        <v/>
      </c>
      <c r="M115" t="inlineStr"/>
      <c r="N115" t="inlineStr">
        <is>
          <t>R_unit_refs;R_reference_real;W_wikipedia_leopard_2;R_unit_sheet;R_machine_brigade_can_bang</t>
        </is>
      </c>
      <c r="O115" t="inlineStr">
        <is>
          <t>modelSize của dữ liệu / kích thước thật (reference_real.json)</t>
        </is>
      </c>
      <c r="P115" t="inlineStr">
        <is>
          <t>01_chien_dau/Xe.model_size_height_m; Tools/models/reference_real.json</t>
        </is>
      </c>
      <c r="Q115" t="inlineStr"/>
    </row>
    <row r="116">
      <c r="A116" t="inlineStr">
        <is>
          <t>main_battle_tank/cao_tren_dai</t>
        </is>
      </c>
      <c r="B116" t="inlineStr">
        <is>
          <t>main_battle_tank</t>
        </is>
      </c>
      <c r="C116" t="inlineStr">
        <is>
          <t>cao_tren_dai</t>
        </is>
      </c>
      <c r="D116" t="inlineStr"/>
      <c r="E116">
        <f>INDEX(Xe!$EA$2:$EA$80,MATCH($B$116,Xe!$A$2:$A$80,0))/INDEX(Xe!$EB$2:$EB$80,MATCH($B$116,Xe!$A$2:$A$80,0))</f>
        <v/>
      </c>
      <c r="F116">
        <f>INDEX(Phuong_tien_tham_chieu!$U$2:$U$104,MATCH("main_battle_tank",Phuong_tien_tham_chieu!$A$2:$A$104,0))/INDEX(Phuong_tien_tham_chieu!$S$2:$S$104,MATCH("main_battle_tank",Phuong_tien_tham_chieu!$A$2:$A$104,0))</f>
        <v/>
      </c>
      <c r="G116">
        <f>$E$116/$F$116</f>
        <v/>
      </c>
      <c r="H116" t="n">
        <v>0.9</v>
      </c>
      <c r="I116" t="n">
        <v>1.1</v>
      </c>
      <c r="J116" t="b">
        <v>0</v>
      </c>
      <c r="K116" t="inlineStr"/>
      <c r="L116">
        <f>IF(ISNUMBER($H$116),AND(NOT($J$116),OR($G$116&lt;$H$116,$G$116&gt;$I$116)),FALSE)</f>
        <v/>
      </c>
      <c r="M116" t="inlineStr">
        <is>
          <t>TC0086</t>
        </is>
      </c>
      <c r="N116" t="inlineStr">
        <is>
          <t>R_unit_refs;R_reference_real;W_wikipedia_leopard_2;R_unit_sheet;R_machine_brigade_can_bang</t>
        </is>
      </c>
      <c r="O116" t="inlineStr">
        <is>
          <t>tỷ lệ hình (MODEL_STANDARD 3.1: lệch quá 10 % là cờ)</t>
        </is>
      </c>
      <c r="P116" t="inlineStr">
        <is>
          <t>01_chien_dau/Xe; Tools/models/reference_real.json</t>
        </is>
      </c>
      <c r="Q116" t="inlineStr"/>
    </row>
    <row r="117">
      <c r="A117" t="inlineStr">
        <is>
          <t>main_battle_tank/dai_m</t>
        </is>
      </c>
      <c r="B117" t="inlineStr">
        <is>
          <t>main_battle_tank</t>
        </is>
      </c>
      <c r="C117" t="inlineStr">
        <is>
          <t>dai_m</t>
        </is>
      </c>
      <c r="D117" t="inlineStr">
        <is>
          <t>m</t>
        </is>
      </c>
      <c r="E117">
        <f>INDEX(Xe!$EB$2:$EB$80,MATCH($B$117,Xe!$A$2:$A$80,0))</f>
        <v/>
      </c>
      <c r="F117">
        <f>INDEX(Phuong_tien_tham_chieu!$S$2:$S$104,MATCH("main_battle_tank",Phuong_tien_tham_chieu!$A$2:$A$104,0))</f>
        <v/>
      </c>
      <c r="G117">
        <f>$E$117/$F$117</f>
        <v/>
      </c>
      <c r="H117" t="n">
        <v>0.7</v>
      </c>
      <c r="I117" t="n">
        <v>1.4</v>
      </c>
      <c r="J117" t="b">
        <v>0</v>
      </c>
      <c r="K117" t="inlineStr"/>
      <c r="L117">
        <f>IF(ISNUMBER($H$117),AND(NOT($J$117),OR($G$117&lt;$H$117,$G$117&gt;$I$117)),FALSE)</f>
        <v/>
      </c>
      <c r="M117" t="inlineStr"/>
      <c r="N117" t="inlineStr">
        <is>
          <t>R_unit_refs;R_reference_real;W_wikipedia_leopard_2;R_unit_sheet;R_machine_brigade_can_bang</t>
        </is>
      </c>
      <c r="O117" t="inlineStr">
        <is>
          <t>modelSize của dữ liệu / kích thước thật (reference_real.json)</t>
        </is>
      </c>
      <c r="P117" t="inlineStr">
        <is>
          <t>01_chien_dau/Xe.model_size_length_m; Tools/models/reference_real.json</t>
        </is>
      </c>
      <c r="Q117" t="inlineStr"/>
    </row>
    <row r="118">
      <c r="A118" t="inlineStr">
        <is>
          <t>main_battle_tank/rong_m</t>
        </is>
      </c>
      <c r="B118" t="inlineStr">
        <is>
          <t>main_battle_tank</t>
        </is>
      </c>
      <c r="C118" t="inlineStr">
        <is>
          <t>rong_m</t>
        </is>
      </c>
      <c r="D118" t="inlineStr">
        <is>
          <t>m</t>
        </is>
      </c>
      <c r="E118">
        <f>INDEX(Xe!$EC$2:$EC$80,MATCH($B$118,Xe!$A$2:$A$80,0))</f>
        <v/>
      </c>
      <c r="F118">
        <f>INDEX(Phuong_tien_tham_chieu!$T$2:$T$104,MATCH("main_battle_tank",Phuong_tien_tham_chieu!$A$2:$A$104,0))</f>
        <v/>
      </c>
      <c r="G118">
        <f>$E$118/$F$118</f>
        <v/>
      </c>
      <c r="H118" t="n">
        <v>0.7</v>
      </c>
      <c r="I118" t="n">
        <v>1.4</v>
      </c>
      <c r="J118" t="b">
        <v>0</v>
      </c>
      <c r="K118" t="inlineStr"/>
      <c r="L118">
        <f>IF(ISNUMBER($H$118),AND(NOT($J$118),OR($G$118&lt;$H$118,$G$118&gt;$I$118)),FALSE)</f>
        <v/>
      </c>
      <c r="M118" t="inlineStr"/>
      <c r="N118" t="inlineStr">
        <is>
          <t>R_unit_refs;R_reference_real;W_wikipedia_leopard_2;R_unit_sheet;R_machine_brigade_can_bang</t>
        </is>
      </c>
      <c r="O118" t="inlineStr">
        <is>
          <t>modelSize của dữ liệu / kích thước thật (reference_real.json)</t>
        </is>
      </c>
      <c r="P118" t="inlineStr">
        <is>
          <t>01_chien_dau/Xe.model_size_width_m; Tools/models/reference_real.json</t>
        </is>
      </c>
      <c r="Q118" t="inlineStr"/>
    </row>
    <row r="119">
      <c r="A119" t="inlineStr">
        <is>
          <t>main_battle_tank/rong_tren_dai</t>
        </is>
      </c>
      <c r="B119" t="inlineStr">
        <is>
          <t>main_battle_tank</t>
        </is>
      </c>
      <c r="C119" t="inlineStr">
        <is>
          <t>rong_tren_dai</t>
        </is>
      </c>
      <c r="D119" t="inlineStr"/>
      <c r="E119">
        <f>INDEX(Xe!$EC$2:$EC$80,MATCH($B$119,Xe!$A$2:$A$80,0))/INDEX(Xe!$EB$2:$EB$80,MATCH($B$119,Xe!$A$2:$A$80,0))</f>
        <v/>
      </c>
      <c r="F119">
        <f>INDEX(Phuong_tien_tham_chieu!$T$2:$T$104,MATCH("main_battle_tank",Phuong_tien_tham_chieu!$A$2:$A$104,0))/INDEX(Phuong_tien_tham_chieu!$S$2:$S$104,MATCH("main_battle_tank",Phuong_tien_tham_chieu!$A$2:$A$104,0))</f>
        <v/>
      </c>
      <c r="G119">
        <f>$E$119/$F$119</f>
        <v/>
      </c>
      <c r="H119" t="n">
        <v>0.9</v>
      </c>
      <c r="I119" t="n">
        <v>1.1</v>
      </c>
      <c r="J119" t="b">
        <v>0</v>
      </c>
      <c r="K119" t="inlineStr"/>
      <c r="L119">
        <f>IF(ISNUMBER($H$119),AND(NOT($J$119),OR($G$119&lt;$H$119,$G$119&gt;$I$119)),FALSE)</f>
        <v/>
      </c>
      <c r="M119" t="inlineStr"/>
      <c r="N119" t="inlineStr">
        <is>
          <t>R_unit_refs;R_reference_real;W_wikipedia_leopard_2;R_unit_sheet;R_machine_brigade_can_bang</t>
        </is>
      </c>
      <c r="O119" t="inlineStr">
        <is>
          <t>tỷ lệ hình (MODEL_STANDARD 3.1: lệch quá 10 % là cờ)</t>
        </is>
      </c>
      <c r="P119" t="inlineStr">
        <is>
          <t>01_chien_dau/Xe; Tools/models/reference_real.json</t>
        </is>
      </c>
      <c r="Q119" t="inlineStr"/>
    </row>
    <row r="120">
      <c r="A120" t="inlineStr">
        <is>
          <t>mlrs/cao_m</t>
        </is>
      </c>
      <c r="B120" t="inlineStr">
        <is>
          <t>mlrs</t>
        </is>
      </c>
      <c r="C120" t="inlineStr">
        <is>
          <t>cao_m</t>
        </is>
      </c>
      <c r="D120" t="inlineStr">
        <is>
          <t>m</t>
        </is>
      </c>
      <c r="E120">
        <f>INDEX(Xe!$EA$2:$EA$80,MATCH($B$120,Xe!$A$2:$A$80,0))</f>
        <v/>
      </c>
      <c r="F120">
        <f>INDEX(Phuong_tien_tham_chieu!$U$2:$U$104,MATCH("mlrs",Phuong_tien_tham_chieu!$A$2:$A$104,0))</f>
        <v/>
      </c>
      <c r="G120">
        <f>$E$120/$F$120</f>
        <v/>
      </c>
      <c r="H120" t="n">
        <v>0.7</v>
      </c>
      <c r="I120" t="n">
        <v>1.4</v>
      </c>
      <c r="J120" t="b">
        <v>0</v>
      </c>
      <c r="K120" t="inlineStr"/>
      <c r="L120">
        <f>IF(ISNUMBER($H$120),AND(NOT($J$120),OR($G$120&lt;$H$120,$G$120&gt;$I$120)),FALSE)</f>
        <v/>
      </c>
      <c r="M120" t="inlineStr"/>
      <c r="N120" t="inlineStr">
        <is>
          <t>R_unit_refs;R_reference_real;W_wikipedia_m142_himars;R_unit_sheet;R_machine_brigade_can_bang;R_mlrs</t>
        </is>
      </c>
      <c r="O120" t="inlineStr">
        <is>
          <t>modelSize của dữ liệu / kích thước thật (reference_real.json)</t>
        </is>
      </c>
      <c r="P120" t="inlineStr">
        <is>
          <t>01_chien_dau/Xe.model_size_height_m; Tools/models/reference_real.json</t>
        </is>
      </c>
      <c r="Q120" t="inlineStr"/>
    </row>
    <row r="121">
      <c r="A121" t="inlineStr">
        <is>
          <t>mlrs/cao_tren_dai</t>
        </is>
      </c>
      <c r="B121" t="inlineStr">
        <is>
          <t>mlrs</t>
        </is>
      </c>
      <c r="C121" t="inlineStr">
        <is>
          <t>cao_tren_dai</t>
        </is>
      </c>
      <c r="D121" t="inlineStr"/>
      <c r="E121">
        <f>INDEX(Xe!$EA$2:$EA$80,MATCH($B$121,Xe!$A$2:$A$80,0))/INDEX(Xe!$EB$2:$EB$80,MATCH($B$121,Xe!$A$2:$A$80,0))</f>
        <v/>
      </c>
      <c r="F121">
        <f>INDEX(Phuong_tien_tham_chieu!$U$2:$U$104,MATCH("mlrs",Phuong_tien_tham_chieu!$A$2:$A$104,0))/INDEX(Phuong_tien_tham_chieu!$S$2:$S$104,MATCH("mlrs",Phuong_tien_tham_chieu!$A$2:$A$104,0))</f>
        <v/>
      </c>
      <c r="G121">
        <f>$E$121/$F$121</f>
        <v/>
      </c>
      <c r="H121" t="n">
        <v>0.9</v>
      </c>
      <c r="I121" t="n">
        <v>1.1</v>
      </c>
      <c r="J121" t="b">
        <v>0</v>
      </c>
      <c r="K121" t="inlineStr"/>
      <c r="L121">
        <f>IF(ISNUMBER($H$121),AND(NOT($J$121),OR($G$121&lt;$H$121,$G$121&gt;$I$121)),FALSE)</f>
        <v/>
      </c>
      <c r="M121" t="inlineStr"/>
      <c r="N121" t="inlineStr">
        <is>
          <t>R_unit_refs;R_reference_real;W_wikipedia_m142_himars;R_unit_sheet;R_machine_brigade_can_bang;R_mlrs</t>
        </is>
      </c>
      <c r="O121" t="inlineStr">
        <is>
          <t>tỷ lệ hình (MODEL_STANDARD 3.1: lệch quá 10 % là cờ)</t>
        </is>
      </c>
      <c r="P121" t="inlineStr">
        <is>
          <t>01_chien_dau/Xe; Tools/models/reference_real.json</t>
        </is>
      </c>
      <c r="Q121" t="inlineStr"/>
    </row>
    <row r="122">
      <c r="A122" t="inlineStr">
        <is>
          <t>mlrs/dai_m</t>
        </is>
      </c>
      <c r="B122" t="inlineStr">
        <is>
          <t>mlrs</t>
        </is>
      </c>
      <c r="C122" t="inlineStr">
        <is>
          <t>dai_m</t>
        </is>
      </c>
      <c r="D122" t="inlineStr">
        <is>
          <t>m</t>
        </is>
      </c>
      <c r="E122">
        <f>INDEX(Xe!$EB$2:$EB$80,MATCH($B$122,Xe!$A$2:$A$80,0))</f>
        <v/>
      </c>
      <c r="F122">
        <f>INDEX(Phuong_tien_tham_chieu!$S$2:$S$104,MATCH("mlrs",Phuong_tien_tham_chieu!$A$2:$A$104,0))</f>
        <v/>
      </c>
      <c r="G122">
        <f>$E$122/$F$122</f>
        <v/>
      </c>
      <c r="H122" t="n">
        <v>0.7</v>
      </c>
      <c r="I122" t="n">
        <v>1.4</v>
      </c>
      <c r="J122" t="b">
        <v>0</v>
      </c>
      <c r="K122" t="inlineStr"/>
      <c r="L122">
        <f>IF(ISNUMBER($H$122),AND(NOT($J$122),OR($G$122&lt;$H$122,$G$122&gt;$I$122)),FALSE)</f>
        <v/>
      </c>
      <c r="M122" t="inlineStr"/>
      <c r="N122" t="inlineStr">
        <is>
          <t>R_unit_refs;R_reference_real;W_wikipedia_m142_himars;R_unit_sheet;R_machine_brigade_can_bang;R_mlrs</t>
        </is>
      </c>
      <c r="O122" t="inlineStr">
        <is>
          <t>modelSize của dữ liệu / kích thước thật (reference_real.json)</t>
        </is>
      </c>
      <c r="P122" t="inlineStr">
        <is>
          <t>01_chien_dau/Xe.model_size_length_m; Tools/models/reference_real.json</t>
        </is>
      </c>
      <c r="Q122" t="inlineStr"/>
    </row>
    <row r="123">
      <c r="A123" t="inlineStr">
        <is>
          <t>mlrs/rong_m</t>
        </is>
      </c>
      <c r="B123" t="inlineStr">
        <is>
          <t>mlrs</t>
        </is>
      </c>
      <c r="C123" t="inlineStr">
        <is>
          <t>rong_m</t>
        </is>
      </c>
      <c r="D123" t="inlineStr">
        <is>
          <t>m</t>
        </is>
      </c>
      <c r="E123">
        <f>INDEX(Xe!$EC$2:$EC$80,MATCH($B$123,Xe!$A$2:$A$80,0))</f>
        <v/>
      </c>
      <c r="F123">
        <f>INDEX(Phuong_tien_tham_chieu!$T$2:$T$104,MATCH("mlrs",Phuong_tien_tham_chieu!$A$2:$A$104,0))</f>
        <v/>
      </c>
      <c r="G123">
        <f>$E$123/$F$123</f>
        <v/>
      </c>
      <c r="H123" t="n">
        <v>0.7</v>
      </c>
      <c r="I123" t="n">
        <v>1.4</v>
      </c>
      <c r="J123" t="b">
        <v>0</v>
      </c>
      <c r="K123" t="inlineStr"/>
      <c r="L123">
        <f>IF(ISNUMBER($H$123),AND(NOT($J$123),OR($G$123&lt;$H$123,$G$123&gt;$I$123)),FALSE)</f>
        <v/>
      </c>
      <c r="M123" t="inlineStr"/>
      <c r="N123" t="inlineStr">
        <is>
          <t>R_unit_refs;R_reference_real;W_wikipedia_m142_himars;R_unit_sheet;R_machine_brigade_can_bang;R_mlrs</t>
        </is>
      </c>
      <c r="O123" t="inlineStr">
        <is>
          <t>modelSize của dữ liệu / kích thước thật (reference_real.json)</t>
        </is>
      </c>
      <c r="P123" t="inlineStr">
        <is>
          <t>01_chien_dau/Xe.model_size_width_m; Tools/models/reference_real.json</t>
        </is>
      </c>
      <c r="Q123" t="inlineStr"/>
    </row>
    <row r="124">
      <c r="A124" t="inlineStr">
        <is>
          <t>mlrs/rong_tren_dai</t>
        </is>
      </c>
      <c r="B124" t="inlineStr">
        <is>
          <t>mlrs</t>
        </is>
      </c>
      <c r="C124" t="inlineStr">
        <is>
          <t>rong_tren_dai</t>
        </is>
      </c>
      <c r="D124" t="inlineStr"/>
      <c r="E124">
        <f>INDEX(Xe!$EC$2:$EC$80,MATCH($B$124,Xe!$A$2:$A$80,0))/INDEX(Xe!$EB$2:$EB$80,MATCH($B$124,Xe!$A$2:$A$80,0))</f>
        <v/>
      </c>
      <c r="F124">
        <f>INDEX(Phuong_tien_tham_chieu!$T$2:$T$104,MATCH("mlrs",Phuong_tien_tham_chieu!$A$2:$A$104,0))/INDEX(Phuong_tien_tham_chieu!$S$2:$S$104,MATCH("mlrs",Phuong_tien_tham_chieu!$A$2:$A$104,0))</f>
        <v/>
      </c>
      <c r="G124">
        <f>$E$124/$F$124</f>
        <v/>
      </c>
      <c r="H124" t="n">
        <v>0.9</v>
      </c>
      <c r="I124" t="n">
        <v>1.1</v>
      </c>
      <c r="J124" t="b">
        <v>0</v>
      </c>
      <c r="K124" t="inlineStr"/>
      <c r="L124">
        <f>IF(ISNUMBER($H$124),AND(NOT($J$124),OR($G$124&lt;$H$124,$G$124&gt;$I$124)),FALSE)</f>
        <v/>
      </c>
      <c r="M124" t="inlineStr"/>
      <c r="N124" t="inlineStr">
        <is>
          <t>R_unit_refs;R_reference_real;W_wikipedia_m142_himars;R_unit_sheet;R_machine_brigade_can_bang;R_mlrs</t>
        </is>
      </c>
      <c r="O124" t="inlineStr">
        <is>
          <t>tỷ lệ hình (MODEL_STANDARD 3.1: lệch quá 10 % là cờ)</t>
        </is>
      </c>
      <c r="P124" t="inlineStr">
        <is>
          <t>01_chien_dau/Xe; Tools/models/reference_real.json</t>
        </is>
      </c>
      <c r="Q124" t="inlineStr"/>
    </row>
    <row r="125">
      <c r="A125" t="inlineStr">
        <is>
          <t>mortar_carrier/cao_m</t>
        </is>
      </c>
      <c r="B125" t="inlineStr">
        <is>
          <t>mortar_carrier</t>
        </is>
      </c>
      <c r="C125" t="inlineStr">
        <is>
          <t>cao_m</t>
        </is>
      </c>
      <c r="D125" t="inlineStr">
        <is>
          <t>m</t>
        </is>
      </c>
      <c r="E125">
        <f>INDEX(Xe!$EA$2:$EA$80,MATCH($B$125,Xe!$A$2:$A$80,0))</f>
        <v/>
      </c>
      <c r="F125">
        <f>INDEX(Phuong_tien_tham_chieu!$U$2:$U$104,MATCH("mortar_carrier",Phuong_tien_tham_chieu!$A$2:$A$104,0))</f>
        <v/>
      </c>
      <c r="G125">
        <f>$E$125/$F$125</f>
        <v/>
      </c>
      <c r="H125" t="n">
        <v>0.7</v>
      </c>
      <c r="I125" t="n">
        <v>1.4</v>
      </c>
      <c r="J125" t="b">
        <v>0</v>
      </c>
      <c r="K125" t="inlineStr"/>
      <c r="L125">
        <f>IF(ISNUMBER($H$125),AND(NOT($J$125),OR($G$125&lt;$H$125,$G$125&gt;$I$125)),FALSE)</f>
        <v/>
      </c>
      <c r="M125" t="inlineStr"/>
      <c r="N125" t="inlineStr">
        <is>
          <t>R_unit_refs;R_reference_real;W_wikipedia_m113_armored_personnel_carrier;R_unit_sheet;R_machine_brigade_can_bang;R_mortar_carrier</t>
        </is>
      </c>
      <c r="O125" t="inlineStr">
        <is>
          <t>modelSize của dữ liệu / kích thước thật (reference_real.json)</t>
        </is>
      </c>
      <c r="P125" t="inlineStr">
        <is>
          <t>01_chien_dau/Xe.model_size_height_m; Tools/models/reference_real.json</t>
        </is>
      </c>
      <c r="Q125" t="inlineStr"/>
    </row>
    <row r="126">
      <c r="A126" t="inlineStr">
        <is>
          <t>mortar_carrier/cao_tren_dai</t>
        </is>
      </c>
      <c r="B126" t="inlineStr">
        <is>
          <t>mortar_carrier</t>
        </is>
      </c>
      <c r="C126" t="inlineStr">
        <is>
          <t>cao_tren_dai</t>
        </is>
      </c>
      <c r="D126" t="inlineStr"/>
      <c r="E126">
        <f>INDEX(Xe!$EA$2:$EA$80,MATCH($B$126,Xe!$A$2:$A$80,0))/INDEX(Xe!$EB$2:$EB$80,MATCH($B$126,Xe!$A$2:$A$80,0))</f>
        <v/>
      </c>
      <c r="F126">
        <f>INDEX(Phuong_tien_tham_chieu!$U$2:$U$104,MATCH("mortar_carrier",Phuong_tien_tham_chieu!$A$2:$A$104,0))/INDEX(Phuong_tien_tham_chieu!$S$2:$S$104,MATCH("mortar_carrier",Phuong_tien_tham_chieu!$A$2:$A$104,0))</f>
        <v/>
      </c>
      <c r="G126">
        <f>$E$126/$F$126</f>
        <v/>
      </c>
      <c r="H126" t="n">
        <v>0.9</v>
      </c>
      <c r="I126" t="n">
        <v>1.1</v>
      </c>
      <c r="J126" t="b">
        <v>0</v>
      </c>
      <c r="K126" t="inlineStr"/>
      <c r="L126">
        <f>IF(ISNUMBER($H$126),AND(NOT($J$126),OR($G$126&lt;$H$126,$G$126&gt;$I$126)),FALSE)</f>
        <v/>
      </c>
      <c r="M126" t="inlineStr">
        <is>
          <t>TC0087</t>
        </is>
      </c>
      <c r="N126" t="inlineStr">
        <is>
          <t>R_unit_refs;R_reference_real;W_wikipedia_m113_armored_personnel_carrier;R_unit_sheet;R_machine_brigade_can_bang;R_mortar_carrier</t>
        </is>
      </c>
      <c r="O126" t="inlineStr">
        <is>
          <t>tỷ lệ hình (MODEL_STANDARD 3.1: lệch quá 10 % là cờ)</t>
        </is>
      </c>
      <c r="P126" t="inlineStr">
        <is>
          <t>01_chien_dau/Xe; Tools/models/reference_real.json</t>
        </is>
      </c>
      <c r="Q126" t="inlineStr"/>
    </row>
    <row r="127">
      <c r="A127" t="inlineStr">
        <is>
          <t>mortar_carrier/dai_m</t>
        </is>
      </c>
      <c r="B127" t="inlineStr">
        <is>
          <t>mortar_carrier</t>
        </is>
      </c>
      <c r="C127" t="inlineStr">
        <is>
          <t>dai_m</t>
        </is>
      </c>
      <c r="D127" t="inlineStr">
        <is>
          <t>m</t>
        </is>
      </c>
      <c r="E127">
        <f>INDEX(Xe!$EB$2:$EB$80,MATCH($B$127,Xe!$A$2:$A$80,0))</f>
        <v/>
      </c>
      <c r="F127">
        <f>INDEX(Phuong_tien_tham_chieu!$S$2:$S$104,MATCH("mortar_carrier",Phuong_tien_tham_chieu!$A$2:$A$104,0))</f>
        <v/>
      </c>
      <c r="G127">
        <f>$E$127/$F$127</f>
        <v/>
      </c>
      <c r="H127" t="n">
        <v>0.7</v>
      </c>
      <c r="I127" t="n">
        <v>1.4</v>
      </c>
      <c r="J127" t="b">
        <v>0</v>
      </c>
      <c r="K127" t="inlineStr"/>
      <c r="L127">
        <f>IF(ISNUMBER($H$127),AND(NOT($J$127),OR($G$127&lt;$H$127,$G$127&gt;$I$127)),FALSE)</f>
        <v/>
      </c>
      <c r="M127" t="inlineStr"/>
      <c r="N127" t="inlineStr">
        <is>
          <t>R_unit_refs;R_reference_real;W_wikipedia_m113_armored_personnel_carrier;R_unit_sheet;R_machine_brigade_can_bang;R_mortar_carrier</t>
        </is>
      </c>
      <c r="O127" t="inlineStr">
        <is>
          <t>modelSize của dữ liệu / kích thước thật (reference_real.json)</t>
        </is>
      </c>
      <c r="P127" t="inlineStr">
        <is>
          <t>01_chien_dau/Xe.model_size_length_m; Tools/models/reference_real.json</t>
        </is>
      </c>
      <c r="Q127" t="inlineStr"/>
    </row>
    <row r="128">
      <c r="A128" t="inlineStr">
        <is>
          <t>mortar_carrier/rong_m</t>
        </is>
      </c>
      <c r="B128" t="inlineStr">
        <is>
          <t>mortar_carrier</t>
        </is>
      </c>
      <c r="C128" t="inlineStr">
        <is>
          <t>rong_m</t>
        </is>
      </c>
      <c r="D128" t="inlineStr">
        <is>
          <t>m</t>
        </is>
      </c>
      <c r="E128">
        <f>INDEX(Xe!$EC$2:$EC$80,MATCH($B$128,Xe!$A$2:$A$80,0))</f>
        <v/>
      </c>
      <c r="F128">
        <f>INDEX(Phuong_tien_tham_chieu!$T$2:$T$104,MATCH("mortar_carrier",Phuong_tien_tham_chieu!$A$2:$A$104,0))</f>
        <v/>
      </c>
      <c r="G128">
        <f>$E$128/$F$128</f>
        <v/>
      </c>
      <c r="H128" t="n">
        <v>0.7</v>
      </c>
      <c r="I128" t="n">
        <v>1.4</v>
      </c>
      <c r="J128" t="b">
        <v>0</v>
      </c>
      <c r="K128" t="inlineStr"/>
      <c r="L128">
        <f>IF(ISNUMBER($H$128),AND(NOT($J$128),OR($G$128&lt;$H$128,$G$128&gt;$I$128)),FALSE)</f>
        <v/>
      </c>
      <c r="M128" t="inlineStr"/>
      <c r="N128" t="inlineStr">
        <is>
          <t>R_unit_refs;R_reference_real;W_wikipedia_m113_armored_personnel_carrier;R_unit_sheet;R_machine_brigade_can_bang;R_mortar_carrier</t>
        </is>
      </c>
      <c r="O128" t="inlineStr">
        <is>
          <t>modelSize của dữ liệu / kích thước thật (reference_real.json)</t>
        </is>
      </c>
      <c r="P128" t="inlineStr">
        <is>
          <t>01_chien_dau/Xe.model_size_width_m; Tools/models/reference_real.json</t>
        </is>
      </c>
      <c r="Q128" t="inlineStr"/>
    </row>
    <row r="129">
      <c r="A129" t="inlineStr">
        <is>
          <t>mortar_carrier/rong_tren_dai</t>
        </is>
      </c>
      <c r="B129" t="inlineStr">
        <is>
          <t>mortar_carrier</t>
        </is>
      </c>
      <c r="C129" t="inlineStr">
        <is>
          <t>rong_tren_dai</t>
        </is>
      </c>
      <c r="D129" t="inlineStr"/>
      <c r="E129">
        <f>INDEX(Xe!$EC$2:$EC$80,MATCH($B$129,Xe!$A$2:$A$80,0))/INDEX(Xe!$EB$2:$EB$80,MATCH($B$129,Xe!$A$2:$A$80,0))</f>
        <v/>
      </c>
      <c r="F129">
        <f>INDEX(Phuong_tien_tham_chieu!$T$2:$T$104,MATCH("mortar_carrier",Phuong_tien_tham_chieu!$A$2:$A$104,0))/INDEX(Phuong_tien_tham_chieu!$S$2:$S$104,MATCH("mortar_carrier",Phuong_tien_tham_chieu!$A$2:$A$104,0))</f>
        <v/>
      </c>
      <c r="G129">
        <f>$E$129/$F$129</f>
        <v/>
      </c>
      <c r="H129" t="n">
        <v>0.9</v>
      </c>
      <c r="I129" t="n">
        <v>1.1</v>
      </c>
      <c r="J129" t="b">
        <v>0</v>
      </c>
      <c r="K129" t="inlineStr"/>
      <c r="L129">
        <f>IF(ISNUMBER($H$129),AND(NOT($J$129),OR($G$129&lt;$H$129,$G$129&gt;$I$129)),FALSE)</f>
        <v/>
      </c>
      <c r="M129" t="inlineStr"/>
      <c r="N129" t="inlineStr">
        <is>
          <t>R_unit_refs;R_reference_real;W_wikipedia_m113_armored_personnel_carrier;R_unit_sheet;R_machine_brigade_can_bang;R_mortar_carrier</t>
        </is>
      </c>
      <c r="O129" t="inlineStr">
        <is>
          <t>tỷ lệ hình (MODEL_STANDARD 3.1: lệch quá 10 % là cờ)</t>
        </is>
      </c>
      <c r="P129" t="inlineStr">
        <is>
          <t>01_chien_dau/Xe; Tools/models/reference_real.json</t>
        </is>
      </c>
      <c r="Q129" t="inlineStr"/>
    </row>
    <row r="130">
      <c r="A130" t="inlineStr">
        <is>
          <t>next_gen_tank/cao_m</t>
        </is>
      </c>
      <c r="B130" t="inlineStr">
        <is>
          <t>next_gen_tank</t>
        </is>
      </c>
      <c r="C130" t="inlineStr">
        <is>
          <t>cao_m</t>
        </is>
      </c>
      <c r="D130" t="inlineStr">
        <is>
          <t>m</t>
        </is>
      </c>
      <c r="E130">
        <f>INDEX(Xe!$EA$2:$EA$80,MATCH($B$130,Xe!$A$2:$A$80,0))</f>
        <v/>
      </c>
      <c r="F130">
        <f>INDEX(Phuong_tien_tham_chieu!$U$2:$U$104,MATCH("next_gen_tank",Phuong_tien_tham_chieu!$A$2:$A$104,0))</f>
        <v/>
      </c>
      <c r="G130">
        <f>$E$130/$F$130</f>
        <v/>
      </c>
      <c r="H130" t="n">
        <v>0.7</v>
      </c>
      <c r="I130" t="n">
        <v>1.4</v>
      </c>
      <c r="J130" t="b">
        <v>0</v>
      </c>
      <c r="K130" t="inlineStr"/>
      <c r="L130">
        <f>IF(ISNUMBER($H$130),AND(NOT($J$130),OR($G$130&lt;$H$130,$G$130&gt;$I$130)),FALSE)</f>
        <v/>
      </c>
      <c r="M130" t="inlineStr"/>
      <c r="N130" t="inlineStr">
        <is>
          <t>R_reference_real;W_wikipedia_leopard_2;R_next_gen_tank</t>
        </is>
      </c>
      <c r="O130" t="inlineStr">
        <is>
          <t>modelSize của dữ liệu / kích thước thật (reference_real.json)</t>
        </is>
      </c>
      <c r="P130" t="inlineStr">
        <is>
          <t>01_chien_dau/Xe.model_size_height_m; Tools/models/reference_real.json</t>
        </is>
      </c>
      <c r="Q130" t="inlineStr"/>
    </row>
    <row r="131">
      <c r="A131" t="inlineStr">
        <is>
          <t>next_gen_tank/cao_tren_dai</t>
        </is>
      </c>
      <c r="B131" t="inlineStr">
        <is>
          <t>next_gen_tank</t>
        </is>
      </c>
      <c r="C131" t="inlineStr">
        <is>
          <t>cao_tren_dai</t>
        </is>
      </c>
      <c r="D131" t="inlineStr"/>
      <c r="E131">
        <f>INDEX(Xe!$EA$2:$EA$80,MATCH($B$131,Xe!$A$2:$A$80,0))/INDEX(Xe!$EB$2:$EB$80,MATCH($B$131,Xe!$A$2:$A$80,0))</f>
        <v/>
      </c>
      <c r="F131">
        <f>INDEX(Phuong_tien_tham_chieu!$U$2:$U$104,MATCH("next_gen_tank",Phuong_tien_tham_chieu!$A$2:$A$104,0))/INDEX(Phuong_tien_tham_chieu!$S$2:$S$104,MATCH("next_gen_tank",Phuong_tien_tham_chieu!$A$2:$A$104,0))</f>
        <v/>
      </c>
      <c r="G131">
        <f>$E$131/$F$131</f>
        <v/>
      </c>
      <c r="H131" t="n">
        <v>0.9</v>
      </c>
      <c r="I131" t="n">
        <v>1.1</v>
      </c>
      <c r="J131" t="b">
        <v>0</v>
      </c>
      <c r="K131" t="inlineStr"/>
      <c r="L131">
        <f>IF(ISNUMBER($H$131),AND(NOT($J$131),OR($G$131&lt;$H$131,$G$131&gt;$I$131)),FALSE)</f>
        <v/>
      </c>
      <c r="M131" t="inlineStr">
        <is>
          <t>TC0088</t>
        </is>
      </c>
      <c r="N131" t="inlineStr">
        <is>
          <t>R_reference_real;W_wikipedia_leopard_2;R_next_gen_tank</t>
        </is>
      </c>
      <c r="O131" t="inlineStr">
        <is>
          <t>tỷ lệ hình (MODEL_STANDARD 3.1: lệch quá 10 % là cờ)</t>
        </is>
      </c>
      <c r="P131" t="inlineStr">
        <is>
          <t>01_chien_dau/Xe; Tools/models/reference_real.json</t>
        </is>
      </c>
      <c r="Q131" t="inlineStr"/>
    </row>
    <row r="132">
      <c r="A132" t="inlineStr">
        <is>
          <t>next_gen_tank/dai_m</t>
        </is>
      </c>
      <c r="B132" t="inlineStr">
        <is>
          <t>next_gen_tank</t>
        </is>
      </c>
      <c r="C132" t="inlineStr">
        <is>
          <t>dai_m</t>
        </is>
      </c>
      <c r="D132" t="inlineStr">
        <is>
          <t>m</t>
        </is>
      </c>
      <c r="E132">
        <f>INDEX(Xe!$EB$2:$EB$80,MATCH($B$132,Xe!$A$2:$A$80,0))</f>
        <v/>
      </c>
      <c r="F132">
        <f>INDEX(Phuong_tien_tham_chieu!$S$2:$S$104,MATCH("next_gen_tank",Phuong_tien_tham_chieu!$A$2:$A$104,0))</f>
        <v/>
      </c>
      <c r="G132">
        <f>$E$132/$F$132</f>
        <v/>
      </c>
      <c r="H132" t="n">
        <v>0.7</v>
      </c>
      <c r="I132" t="n">
        <v>1.4</v>
      </c>
      <c r="J132" t="b">
        <v>0</v>
      </c>
      <c r="K132" t="inlineStr"/>
      <c r="L132">
        <f>IF(ISNUMBER($H$132),AND(NOT($J$132),OR($G$132&lt;$H$132,$G$132&gt;$I$132)),FALSE)</f>
        <v/>
      </c>
      <c r="M132" t="inlineStr"/>
      <c r="N132" t="inlineStr">
        <is>
          <t>R_reference_real;W_wikipedia_leopard_2;R_next_gen_tank</t>
        </is>
      </c>
      <c r="O132" t="inlineStr">
        <is>
          <t>modelSize của dữ liệu / kích thước thật (reference_real.json)</t>
        </is>
      </c>
      <c r="P132" t="inlineStr">
        <is>
          <t>01_chien_dau/Xe.model_size_length_m; Tools/models/reference_real.json</t>
        </is>
      </c>
      <c r="Q132" t="inlineStr"/>
    </row>
    <row r="133">
      <c r="A133" t="inlineStr">
        <is>
          <t>next_gen_tank/rong_m</t>
        </is>
      </c>
      <c r="B133" t="inlineStr">
        <is>
          <t>next_gen_tank</t>
        </is>
      </c>
      <c r="C133" t="inlineStr">
        <is>
          <t>rong_m</t>
        </is>
      </c>
      <c r="D133" t="inlineStr">
        <is>
          <t>m</t>
        </is>
      </c>
      <c r="E133">
        <f>INDEX(Xe!$EC$2:$EC$80,MATCH($B$133,Xe!$A$2:$A$80,0))</f>
        <v/>
      </c>
      <c r="F133">
        <f>INDEX(Phuong_tien_tham_chieu!$T$2:$T$104,MATCH("next_gen_tank",Phuong_tien_tham_chieu!$A$2:$A$104,0))</f>
        <v/>
      </c>
      <c r="G133">
        <f>$E$133/$F$133</f>
        <v/>
      </c>
      <c r="H133" t="n">
        <v>0.7</v>
      </c>
      <c r="I133" t="n">
        <v>1.4</v>
      </c>
      <c r="J133" t="b">
        <v>0</v>
      </c>
      <c r="K133" t="inlineStr"/>
      <c r="L133">
        <f>IF(ISNUMBER($H$133),AND(NOT($J$133),OR($G$133&lt;$H$133,$G$133&gt;$I$133)),FALSE)</f>
        <v/>
      </c>
      <c r="M133" t="inlineStr"/>
      <c r="N133" t="inlineStr">
        <is>
          <t>R_reference_real;W_wikipedia_leopard_2;R_next_gen_tank</t>
        </is>
      </c>
      <c r="O133" t="inlineStr">
        <is>
          <t>modelSize của dữ liệu / kích thước thật (reference_real.json)</t>
        </is>
      </c>
      <c r="P133" t="inlineStr">
        <is>
          <t>01_chien_dau/Xe.model_size_width_m; Tools/models/reference_real.json</t>
        </is>
      </c>
      <c r="Q133" t="inlineStr"/>
    </row>
    <row r="134">
      <c r="A134" t="inlineStr">
        <is>
          <t>next_gen_tank/rong_tren_dai</t>
        </is>
      </c>
      <c r="B134" t="inlineStr">
        <is>
          <t>next_gen_tank</t>
        </is>
      </c>
      <c r="C134" t="inlineStr">
        <is>
          <t>rong_tren_dai</t>
        </is>
      </c>
      <c r="D134" t="inlineStr"/>
      <c r="E134">
        <f>INDEX(Xe!$EC$2:$EC$80,MATCH($B$134,Xe!$A$2:$A$80,0))/INDEX(Xe!$EB$2:$EB$80,MATCH($B$134,Xe!$A$2:$A$80,0))</f>
        <v/>
      </c>
      <c r="F134">
        <f>INDEX(Phuong_tien_tham_chieu!$T$2:$T$104,MATCH("next_gen_tank",Phuong_tien_tham_chieu!$A$2:$A$104,0))/INDEX(Phuong_tien_tham_chieu!$S$2:$S$104,MATCH("next_gen_tank",Phuong_tien_tham_chieu!$A$2:$A$104,0))</f>
        <v/>
      </c>
      <c r="G134">
        <f>$E$134/$F$134</f>
        <v/>
      </c>
      <c r="H134" t="n">
        <v>0.9</v>
      </c>
      <c r="I134" t="n">
        <v>1.1</v>
      </c>
      <c r="J134" t="b">
        <v>0</v>
      </c>
      <c r="K134" t="inlineStr"/>
      <c r="L134">
        <f>IF(ISNUMBER($H$134),AND(NOT($J$134),OR($G$134&lt;$H$134,$G$134&gt;$I$134)),FALSE)</f>
        <v/>
      </c>
      <c r="M134" t="inlineStr"/>
      <c r="N134" t="inlineStr">
        <is>
          <t>R_reference_real;W_wikipedia_leopard_2;R_next_gen_tank</t>
        </is>
      </c>
      <c r="O134" t="inlineStr">
        <is>
          <t>tỷ lệ hình (MODEL_STANDARD 3.1: lệch quá 10 % là cờ)</t>
        </is>
      </c>
      <c r="P134" t="inlineStr">
        <is>
          <t>01_chien_dau/Xe; Tools/models/reference_real.json</t>
        </is>
      </c>
      <c r="Q134" t="inlineStr"/>
    </row>
    <row r="135">
      <c r="A135" t="inlineStr">
        <is>
          <t>recon_drone/cao_m</t>
        </is>
      </c>
      <c r="B135" t="inlineStr">
        <is>
          <t>recon_drone</t>
        </is>
      </c>
      <c r="C135" t="inlineStr">
        <is>
          <t>cao_m</t>
        </is>
      </c>
      <c r="D135" t="inlineStr">
        <is>
          <t>m</t>
        </is>
      </c>
      <c r="E135">
        <f>INDEX(Xe!$EA$2:$EA$80,MATCH($B$135,Xe!$A$2:$A$80,0))</f>
        <v/>
      </c>
      <c r="F135">
        <f>INDEX(Phuong_tien_tham_chieu!$U$2:$U$104,MATCH("recon_drone",Phuong_tien_tham_chieu!$A$2:$A$104,0))</f>
        <v/>
      </c>
      <c r="G135">
        <f>$E$135/$F$135</f>
        <v/>
      </c>
      <c r="H135" t="n">
        <v>0.7</v>
      </c>
      <c r="I135" t="n">
        <v>1.4</v>
      </c>
      <c r="J135" t="b">
        <v>1</v>
      </c>
      <c r="K135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35">
        <f>IF(ISNUMBER($H$135),AND(NOT($J$135),OR($G$135&lt;$H$135,$G$135&gt;$I$135)),FALSE)</f>
        <v/>
      </c>
      <c r="M135" t="inlineStr"/>
      <c r="N135" t="inlineStr">
        <is>
          <t>R_unit_refs;R_reference_real;W_wikipedia_baykar_bayraktar_tb2;R_unit_sheet;R_machine_brigade_can_bang;R_recon_drone</t>
        </is>
      </c>
      <c r="O135" t="inlineStr">
        <is>
          <t>modelSize của dữ liệu / kích thước thật (reference_real.json)</t>
        </is>
      </c>
      <c r="P135" t="inlineStr">
        <is>
          <t>01_chien_dau/Xe.model_size_height_m; Tools/models/reference_real.json</t>
        </is>
      </c>
      <c r="Q135" t="inlineStr"/>
    </row>
    <row r="136">
      <c r="A136" t="inlineStr">
        <is>
          <t>recon_drone/cao_tren_dai</t>
        </is>
      </c>
      <c r="B136" t="inlineStr">
        <is>
          <t>recon_drone</t>
        </is>
      </c>
      <c r="C136" t="inlineStr">
        <is>
          <t>cao_tren_dai</t>
        </is>
      </c>
      <c r="D136" t="inlineStr"/>
      <c r="E136">
        <f>INDEX(Xe!$EA$2:$EA$80,MATCH($B$136,Xe!$A$2:$A$80,0))/INDEX(Xe!$EB$2:$EB$80,MATCH($B$136,Xe!$A$2:$A$80,0))</f>
        <v/>
      </c>
      <c r="F136">
        <f>INDEX(Phuong_tien_tham_chieu!$U$2:$U$104,MATCH("recon_drone",Phuong_tien_tham_chieu!$A$2:$A$104,0))/INDEX(Phuong_tien_tham_chieu!$S$2:$S$104,MATCH("recon_drone",Phuong_tien_tham_chieu!$A$2:$A$104,0))</f>
        <v/>
      </c>
      <c r="G136">
        <f>$E$136/$F$136</f>
        <v/>
      </c>
      <c r="H136" t="n">
        <v>0.9</v>
      </c>
      <c r="I136" t="n">
        <v>1.1</v>
      </c>
      <c r="J136" t="b">
        <v>0</v>
      </c>
      <c r="K136" t="inlineStr"/>
      <c r="L136">
        <f>IF(ISNUMBER($H$136),AND(NOT($J$136),OR($G$136&lt;$H$136,$G$136&gt;$I$136)),FALSE)</f>
        <v/>
      </c>
      <c r="M136" t="inlineStr">
        <is>
          <t>TC0089</t>
        </is>
      </c>
      <c r="N136" t="inlineStr">
        <is>
          <t>R_unit_refs;R_reference_real;W_wikipedia_baykar_bayraktar_tb2;R_unit_sheet;R_machine_brigade_can_bang;R_recon_drone</t>
        </is>
      </c>
      <c r="O136" t="inlineStr">
        <is>
          <t>tỷ lệ hình (MODEL_STANDARD 3.1: lệch quá 10 % là cờ)</t>
        </is>
      </c>
      <c r="P136" t="inlineStr">
        <is>
          <t>01_chien_dau/Xe; Tools/models/reference_real.json</t>
        </is>
      </c>
      <c r="Q136" t="inlineStr"/>
    </row>
    <row r="137">
      <c r="A137" t="inlineStr">
        <is>
          <t>recon_drone/dai_m</t>
        </is>
      </c>
      <c r="B137" t="inlineStr">
        <is>
          <t>recon_drone</t>
        </is>
      </c>
      <c r="C137" t="inlineStr">
        <is>
          <t>dai_m</t>
        </is>
      </c>
      <c r="D137" t="inlineStr">
        <is>
          <t>m</t>
        </is>
      </c>
      <c r="E137">
        <f>INDEX(Xe!$EB$2:$EB$80,MATCH($B$137,Xe!$A$2:$A$80,0))</f>
        <v/>
      </c>
      <c r="F137">
        <f>INDEX(Phuong_tien_tham_chieu!$S$2:$S$104,MATCH("recon_drone",Phuong_tien_tham_chieu!$A$2:$A$104,0))</f>
        <v/>
      </c>
      <c r="G137">
        <f>$E$137/$F$137</f>
        <v/>
      </c>
      <c r="H137" t="n">
        <v>0.7</v>
      </c>
      <c r="I137" t="n">
        <v>1.4</v>
      </c>
      <c r="J137" t="b">
        <v>1</v>
      </c>
      <c r="K137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37">
        <f>IF(ISNUMBER($H$137),AND(NOT($J$137),OR($G$137&lt;$H$137,$G$137&gt;$I$137)),FALSE)</f>
        <v/>
      </c>
      <c r="M137" t="inlineStr"/>
      <c r="N137" t="inlineStr">
        <is>
          <t>R_unit_refs;R_reference_real;W_wikipedia_baykar_bayraktar_tb2;R_unit_sheet;R_machine_brigade_can_bang;R_recon_drone</t>
        </is>
      </c>
      <c r="O137" t="inlineStr">
        <is>
          <t>modelSize của dữ liệu / kích thước thật (reference_real.json)</t>
        </is>
      </c>
      <c r="P137" t="inlineStr">
        <is>
          <t>01_chien_dau/Xe.model_size_length_m; Tools/models/reference_real.json</t>
        </is>
      </c>
      <c r="Q137" t="inlineStr"/>
    </row>
    <row r="138">
      <c r="A138" t="inlineStr">
        <is>
          <t>recon_drone/rong_m</t>
        </is>
      </c>
      <c r="B138" t="inlineStr">
        <is>
          <t>recon_drone</t>
        </is>
      </c>
      <c r="C138" t="inlineStr">
        <is>
          <t>rong_m</t>
        </is>
      </c>
      <c r="D138" t="inlineStr">
        <is>
          <t>m</t>
        </is>
      </c>
      <c r="E138">
        <f>INDEX(Xe!$EC$2:$EC$80,MATCH($B$138,Xe!$A$2:$A$80,0))</f>
        <v/>
      </c>
      <c r="F138">
        <f>INDEX(Phuong_tien_tham_chieu!$T$2:$T$104,MATCH("recon_drone",Phuong_tien_tham_chieu!$A$2:$A$104,0))</f>
        <v/>
      </c>
      <c r="G138">
        <f>$E$138/$F$138</f>
        <v/>
      </c>
      <c r="H138" t="n">
        <v>0.7</v>
      </c>
      <c r="I138" t="n">
        <v>1.4</v>
      </c>
      <c r="J138" t="b">
        <v>1</v>
      </c>
      <c r="K138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38">
        <f>IF(ISNUMBER($H$138),AND(NOT($J$138),OR($G$138&lt;$H$138,$G$138&gt;$I$138)),FALSE)</f>
        <v/>
      </c>
      <c r="M138" t="inlineStr"/>
      <c r="N138" t="inlineStr">
        <is>
          <t>R_unit_refs;R_reference_real;W_wikipedia_baykar_bayraktar_tb2;R_unit_sheet;R_machine_brigade_can_bang;R_recon_drone</t>
        </is>
      </c>
      <c r="O138" t="inlineStr">
        <is>
          <t>modelSize của dữ liệu / kích thước thật (reference_real.json)</t>
        </is>
      </c>
      <c r="P138" t="inlineStr">
        <is>
          <t>01_chien_dau/Xe.model_size_width_m; Tools/models/reference_real.json</t>
        </is>
      </c>
      <c r="Q138" t="inlineStr"/>
    </row>
    <row r="139">
      <c r="A139" t="inlineStr">
        <is>
          <t>recon_drone/rong_tren_dai</t>
        </is>
      </c>
      <c r="B139" t="inlineStr">
        <is>
          <t>recon_drone</t>
        </is>
      </c>
      <c r="C139" t="inlineStr">
        <is>
          <t>rong_tren_dai</t>
        </is>
      </c>
      <c r="D139" t="inlineStr"/>
      <c r="E139">
        <f>INDEX(Xe!$EC$2:$EC$80,MATCH($B$139,Xe!$A$2:$A$80,0))/INDEX(Xe!$EB$2:$EB$80,MATCH($B$139,Xe!$A$2:$A$80,0))</f>
        <v/>
      </c>
      <c r="F139">
        <f>INDEX(Phuong_tien_tham_chieu!$T$2:$T$104,MATCH("recon_drone",Phuong_tien_tham_chieu!$A$2:$A$104,0))/INDEX(Phuong_tien_tham_chieu!$S$2:$S$104,MATCH("recon_drone",Phuong_tien_tham_chieu!$A$2:$A$104,0))</f>
        <v/>
      </c>
      <c r="G139">
        <f>$E$139/$F$139</f>
        <v/>
      </c>
      <c r="H139" t="n">
        <v>0.9</v>
      </c>
      <c r="I139" t="n">
        <v>1.1</v>
      </c>
      <c r="J139" t="b">
        <v>0</v>
      </c>
      <c r="K139" t="inlineStr"/>
      <c r="L139">
        <f>IF(ISNUMBER($H$139),AND(NOT($J$139),OR($G$139&lt;$H$139,$G$139&gt;$I$139)),FALSE)</f>
        <v/>
      </c>
      <c r="M139" t="inlineStr"/>
      <c r="N139" t="inlineStr">
        <is>
          <t>R_unit_refs;R_reference_real;W_wikipedia_baykar_bayraktar_tb2;R_unit_sheet;R_machine_brigade_can_bang;R_recon_drone</t>
        </is>
      </c>
      <c r="O139" t="inlineStr">
        <is>
          <t>tỷ lệ hình (MODEL_STANDARD 3.1: lệch quá 10 % là cờ)</t>
        </is>
      </c>
      <c r="P139" t="inlineStr">
        <is>
          <t>01_chien_dau/Xe; Tools/models/reference_real.json</t>
        </is>
      </c>
      <c r="Q139" t="inlineStr"/>
    </row>
    <row r="140">
      <c r="A140" t="inlineStr">
        <is>
          <t>rocket_technical/cao_m</t>
        </is>
      </c>
      <c r="B140" t="inlineStr">
        <is>
          <t>rocket_technical</t>
        </is>
      </c>
      <c r="C140" t="inlineStr">
        <is>
          <t>cao_m</t>
        </is>
      </c>
      <c r="D140" t="inlineStr">
        <is>
          <t>m</t>
        </is>
      </c>
      <c r="E140">
        <f>INDEX(Xe!$EA$2:$EA$80,MATCH($B$140,Xe!$A$2:$A$80,0))</f>
        <v/>
      </c>
      <c r="F140">
        <f>INDEX(Phuong_tien_tham_chieu!$U$2:$U$104,MATCH("rocket_technical",Phuong_tien_tham_chieu!$A$2:$A$104,0))</f>
        <v/>
      </c>
      <c r="G140">
        <f>$E$140/$F$140</f>
        <v/>
      </c>
      <c r="H140" t="n">
        <v>0.7</v>
      </c>
      <c r="I140" t="n">
        <v>1.4</v>
      </c>
      <c r="J140" t="b">
        <v>0</v>
      </c>
      <c r="K140" t="inlineStr"/>
      <c r="L140">
        <f>IF(ISNUMBER($H$140),AND(NOT($J$140),OR($G$140&lt;$H$140,$G$140&gt;$I$140)),FALSE)</f>
        <v/>
      </c>
      <c r="M140" t="inlineStr"/>
      <c r="N140" t="inlineStr">
        <is>
          <t>R_unit_refs;R_reference_real;D_toyota_hilux_an10_an20_specifications;R_unit_sheet;R_machine_brigade_can_bang;R_rocket_technical</t>
        </is>
      </c>
      <c r="O140" t="inlineStr">
        <is>
          <t>modelSize của dữ liệu / kích thước thật (reference_real.json)</t>
        </is>
      </c>
      <c r="P140" t="inlineStr">
        <is>
          <t>01_chien_dau/Xe.model_size_height_m; Tools/models/reference_real.json</t>
        </is>
      </c>
      <c r="Q140" t="inlineStr"/>
    </row>
    <row r="141">
      <c r="A141" t="inlineStr">
        <is>
          <t>rocket_technical/cao_tren_dai</t>
        </is>
      </c>
      <c r="B141" t="inlineStr">
        <is>
          <t>rocket_technical</t>
        </is>
      </c>
      <c r="C141" t="inlineStr">
        <is>
          <t>cao_tren_dai</t>
        </is>
      </c>
      <c r="D141" t="inlineStr"/>
      <c r="E141">
        <f>INDEX(Xe!$EA$2:$EA$80,MATCH($B$141,Xe!$A$2:$A$80,0))/INDEX(Xe!$EB$2:$EB$80,MATCH($B$141,Xe!$A$2:$A$80,0))</f>
        <v/>
      </c>
      <c r="F141">
        <f>INDEX(Phuong_tien_tham_chieu!$U$2:$U$104,MATCH("rocket_technical",Phuong_tien_tham_chieu!$A$2:$A$104,0))/INDEX(Phuong_tien_tham_chieu!$S$2:$S$104,MATCH("rocket_technical",Phuong_tien_tham_chieu!$A$2:$A$104,0))</f>
        <v/>
      </c>
      <c r="G141">
        <f>$E$141/$F$141</f>
        <v/>
      </c>
      <c r="H141" t="n">
        <v>0.9</v>
      </c>
      <c r="I141" t="n">
        <v>1.1</v>
      </c>
      <c r="J141" t="b">
        <v>0</v>
      </c>
      <c r="K141" t="inlineStr"/>
      <c r="L141">
        <f>IF(ISNUMBER($H$141),AND(NOT($J$141),OR($G$141&lt;$H$141,$G$141&gt;$I$141)),FALSE)</f>
        <v/>
      </c>
      <c r="M141" t="inlineStr">
        <is>
          <t>TC0090</t>
        </is>
      </c>
      <c r="N141" t="inlineStr">
        <is>
          <t>R_unit_refs;R_reference_real;D_toyota_hilux_an10_an20_specifications;R_unit_sheet;R_machine_brigade_can_bang;R_rocket_technical</t>
        </is>
      </c>
      <c r="O141" t="inlineStr">
        <is>
          <t>tỷ lệ hình (MODEL_STANDARD 3.1: lệch quá 10 % là cờ)</t>
        </is>
      </c>
      <c r="P141" t="inlineStr">
        <is>
          <t>01_chien_dau/Xe; Tools/models/reference_real.json</t>
        </is>
      </c>
      <c r="Q141" t="inlineStr"/>
    </row>
    <row r="142">
      <c r="A142" t="inlineStr">
        <is>
          <t>rocket_technical/dai_m</t>
        </is>
      </c>
      <c r="B142" t="inlineStr">
        <is>
          <t>rocket_technical</t>
        </is>
      </c>
      <c r="C142" t="inlineStr">
        <is>
          <t>dai_m</t>
        </is>
      </c>
      <c r="D142" t="inlineStr">
        <is>
          <t>m</t>
        </is>
      </c>
      <c r="E142">
        <f>INDEX(Xe!$EB$2:$EB$80,MATCH($B$142,Xe!$A$2:$A$80,0))</f>
        <v/>
      </c>
      <c r="F142">
        <f>INDEX(Phuong_tien_tham_chieu!$S$2:$S$104,MATCH("rocket_technical",Phuong_tien_tham_chieu!$A$2:$A$104,0))</f>
        <v/>
      </c>
      <c r="G142">
        <f>$E$142/$F$142</f>
        <v/>
      </c>
      <c r="H142" t="n">
        <v>0.7</v>
      </c>
      <c r="I142" t="n">
        <v>1.4</v>
      </c>
      <c r="J142" t="b">
        <v>0</v>
      </c>
      <c r="K142" t="inlineStr"/>
      <c r="L142">
        <f>IF(ISNUMBER($H$142),AND(NOT($J$142),OR($G$142&lt;$H$142,$G$142&gt;$I$142)),FALSE)</f>
        <v/>
      </c>
      <c r="M142" t="inlineStr"/>
      <c r="N142" t="inlineStr">
        <is>
          <t>R_unit_refs;R_reference_real;D_toyota_hilux_an10_an20_specifications;R_unit_sheet;R_machine_brigade_can_bang;R_rocket_technical</t>
        </is>
      </c>
      <c r="O142" t="inlineStr">
        <is>
          <t>modelSize của dữ liệu / kích thước thật (reference_real.json)</t>
        </is>
      </c>
      <c r="P142" t="inlineStr">
        <is>
          <t>01_chien_dau/Xe.model_size_length_m; Tools/models/reference_real.json</t>
        </is>
      </c>
      <c r="Q142" t="inlineStr"/>
    </row>
    <row r="143">
      <c r="A143" t="inlineStr">
        <is>
          <t>rocket_technical/rong_m</t>
        </is>
      </c>
      <c r="B143" t="inlineStr">
        <is>
          <t>rocket_technical</t>
        </is>
      </c>
      <c r="C143" t="inlineStr">
        <is>
          <t>rong_m</t>
        </is>
      </c>
      <c r="D143" t="inlineStr">
        <is>
          <t>m</t>
        </is>
      </c>
      <c r="E143">
        <f>INDEX(Xe!$EC$2:$EC$80,MATCH($B$143,Xe!$A$2:$A$80,0))</f>
        <v/>
      </c>
      <c r="F143">
        <f>INDEX(Phuong_tien_tham_chieu!$T$2:$T$104,MATCH("rocket_technical",Phuong_tien_tham_chieu!$A$2:$A$104,0))</f>
        <v/>
      </c>
      <c r="G143">
        <f>$E$143/$F$143</f>
        <v/>
      </c>
      <c r="H143" t="n">
        <v>0.7</v>
      </c>
      <c r="I143" t="n">
        <v>1.4</v>
      </c>
      <c r="J143" t="b">
        <v>0</v>
      </c>
      <c r="K143" t="inlineStr"/>
      <c r="L143">
        <f>IF(ISNUMBER($H$143),AND(NOT($J$143),OR($G$143&lt;$H$143,$G$143&gt;$I$143)),FALSE)</f>
        <v/>
      </c>
      <c r="M143" t="inlineStr"/>
      <c r="N143" t="inlineStr">
        <is>
          <t>R_unit_refs;R_reference_real;D_toyota_hilux_an10_an20_specifications;R_unit_sheet;R_machine_brigade_can_bang;R_rocket_technical</t>
        </is>
      </c>
      <c r="O143" t="inlineStr">
        <is>
          <t>modelSize của dữ liệu / kích thước thật (reference_real.json)</t>
        </is>
      </c>
      <c r="P143" t="inlineStr">
        <is>
          <t>01_chien_dau/Xe.model_size_width_m; Tools/models/reference_real.json</t>
        </is>
      </c>
      <c r="Q143" t="inlineStr"/>
    </row>
    <row r="144">
      <c r="A144" t="inlineStr">
        <is>
          <t>rocket_technical/rong_tren_dai</t>
        </is>
      </c>
      <c r="B144" t="inlineStr">
        <is>
          <t>rocket_technical</t>
        </is>
      </c>
      <c r="C144" t="inlineStr">
        <is>
          <t>rong_tren_dai</t>
        </is>
      </c>
      <c r="D144" t="inlineStr"/>
      <c r="E144">
        <f>INDEX(Xe!$EC$2:$EC$80,MATCH($B$144,Xe!$A$2:$A$80,0))/INDEX(Xe!$EB$2:$EB$80,MATCH($B$144,Xe!$A$2:$A$80,0))</f>
        <v/>
      </c>
      <c r="F144">
        <f>INDEX(Phuong_tien_tham_chieu!$T$2:$T$104,MATCH("rocket_technical",Phuong_tien_tham_chieu!$A$2:$A$104,0))/INDEX(Phuong_tien_tham_chieu!$S$2:$S$104,MATCH("rocket_technical",Phuong_tien_tham_chieu!$A$2:$A$104,0))</f>
        <v/>
      </c>
      <c r="G144">
        <f>$E$144/$F$144</f>
        <v/>
      </c>
      <c r="H144" t="n">
        <v>0.9</v>
      </c>
      <c r="I144" t="n">
        <v>1.1</v>
      </c>
      <c r="J144" t="b">
        <v>0</v>
      </c>
      <c r="K144" t="inlineStr"/>
      <c r="L144">
        <f>IF(ISNUMBER($H$144),AND(NOT($J$144),OR($G$144&lt;$H$144,$G$144&gt;$I$144)),FALSE)</f>
        <v/>
      </c>
      <c r="M144" t="inlineStr"/>
      <c r="N144" t="inlineStr">
        <is>
          <t>R_unit_refs;R_reference_real;D_toyota_hilux_an10_an20_specifications;R_unit_sheet;R_machine_brigade_can_bang;R_rocket_technical</t>
        </is>
      </c>
      <c r="O144" t="inlineStr">
        <is>
          <t>tỷ lệ hình (MODEL_STANDARD 3.1: lệch quá 10 % là cờ)</t>
        </is>
      </c>
      <c r="P144" t="inlineStr">
        <is>
          <t>01_chien_dau/Xe; Tools/models/reference_real.json</t>
        </is>
      </c>
      <c r="Q144" t="inlineStr"/>
    </row>
    <row r="145">
      <c r="A145" t="inlineStr">
        <is>
          <t>sam_launcher/cao_m</t>
        </is>
      </c>
      <c r="B145" t="inlineStr">
        <is>
          <t>sam_launcher</t>
        </is>
      </c>
      <c r="C145" t="inlineStr">
        <is>
          <t>cao_m</t>
        </is>
      </c>
      <c r="D145" t="inlineStr">
        <is>
          <t>m</t>
        </is>
      </c>
      <c r="E145">
        <f>INDEX(Xe!$EA$2:$EA$80,MATCH($B$145,Xe!$A$2:$A$80,0))</f>
        <v/>
      </c>
      <c r="F145">
        <f>INDEX(Phuong_tien_tham_chieu!$U$2:$U$104,MATCH("sam_launcher",Phuong_tien_tham_chieu!$A$2:$A$104,0))</f>
        <v/>
      </c>
      <c r="G145">
        <f>$E$145/$F$145</f>
        <v/>
      </c>
      <c r="H145" t="n">
        <v>0.7</v>
      </c>
      <c r="I145" t="n">
        <v>1.4</v>
      </c>
      <c r="J145" t="b">
        <v>0</v>
      </c>
      <c r="K145" t="inlineStr"/>
      <c r="L145">
        <f>IF(ISNUMBER($H$145),AND(NOT($J$145),OR($G$145&lt;$H$145,$G$145&gt;$I$145)),FALSE)</f>
        <v/>
      </c>
      <c r="M145" t="inlineStr"/>
      <c r="N145" t="inlineStr">
        <is>
          <t>R_unit_refs;R_reference_real;D_army_recognition_buk_m1_2;R_unit_sheet;R_machine_brigade_can_bang;R_sam_launcher</t>
        </is>
      </c>
      <c r="O145" t="inlineStr">
        <is>
          <t>modelSize của dữ liệu / kích thước thật (reference_real.json)</t>
        </is>
      </c>
      <c r="P145" t="inlineStr">
        <is>
          <t>01_chien_dau/Xe.model_size_height_m; Tools/models/reference_real.json</t>
        </is>
      </c>
      <c r="Q145" t="inlineStr"/>
    </row>
    <row r="146">
      <c r="A146" t="inlineStr">
        <is>
          <t>sam_launcher/cao_tren_dai</t>
        </is>
      </c>
      <c r="B146" t="inlineStr">
        <is>
          <t>sam_launcher</t>
        </is>
      </c>
      <c r="C146" t="inlineStr">
        <is>
          <t>cao_tren_dai</t>
        </is>
      </c>
      <c r="D146" t="inlineStr"/>
      <c r="E146">
        <f>INDEX(Xe!$EA$2:$EA$80,MATCH($B$146,Xe!$A$2:$A$80,0))/INDEX(Xe!$EB$2:$EB$80,MATCH($B$146,Xe!$A$2:$A$80,0))</f>
        <v/>
      </c>
      <c r="F146">
        <f>INDEX(Phuong_tien_tham_chieu!$U$2:$U$104,MATCH("sam_launcher",Phuong_tien_tham_chieu!$A$2:$A$104,0))/INDEX(Phuong_tien_tham_chieu!$S$2:$S$104,MATCH("sam_launcher",Phuong_tien_tham_chieu!$A$2:$A$104,0))</f>
        <v/>
      </c>
      <c r="G146">
        <f>$E$146/$F$146</f>
        <v/>
      </c>
      <c r="H146" t="n">
        <v>0.9</v>
      </c>
      <c r="I146" t="n">
        <v>1.1</v>
      </c>
      <c r="J146" t="b">
        <v>0</v>
      </c>
      <c r="K146" t="inlineStr"/>
      <c r="L146">
        <f>IF(ISNUMBER($H$146),AND(NOT($J$146),OR($G$146&lt;$H$146,$G$146&gt;$I$146)),FALSE)</f>
        <v/>
      </c>
      <c r="M146" t="inlineStr"/>
      <c r="N146" t="inlineStr">
        <is>
          <t>R_unit_refs;R_reference_real;D_army_recognition_buk_m1_2;R_unit_sheet;R_machine_brigade_can_bang;R_sam_launcher</t>
        </is>
      </c>
      <c r="O146" t="inlineStr">
        <is>
          <t>tỷ lệ hình (MODEL_STANDARD 3.1: lệch quá 10 % là cờ)</t>
        </is>
      </c>
      <c r="P146" t="inlineStr">
        <is>
          <t>01_chien_dau/Xe; Tools/models/reference_real.json</t>
        </is>
      </c>
      <c r="Q146" t="inlineStr"/>
    </row>
    <row r="147">
      <c r="A147" t="inlineStr">
        <is>
          <t>sam_launcher/dai_m</t>
        </is>
      </c>
      <c r="B147" t="inlineStr">
        <is>
          <t>sam_launcher</t>
        </is>
      </c>
      <c r="C147" t="inlineStr">
        <is>
          <t>dai_m</t>
        </is>
      </c>
      <c r="D147" t="inlineStr">
        <is>
          <t>m</t>
        </is>
      </c>
      <c r="E147">
        <f>INDEX(Xe!$EB$2:$EB$80,MATCH($B$147,Xe!$A$2:$A$80,0))</f>
        <v/>
      </c>
      <c r="F147">
        <f>INDEX(Phuong_tien_tham_chieu!$S$2:$S$104,MATCH("sam_launcher",Phuong_tien_tham_chieu!$A$2:$A$104,0))</f>
        <v/>
      </c>
      <c r="G147">
        <f>$E$147/$F$147</f>
        <v/>
      </c>
      <c r="H147" t="n">
        <v>0.7</v>
      </c>
      <c r="I147" t="n">
        <v>1.4</v>
      </c>
      <c r="J147" t="b">
        <v>0</v>
      </c>
      <c r="K147" t="inlineStr"/>
      <c r="L147">
        <f>IF(ISNUMBER($H$147),AND(NOT($J$147),OR($G$147&lt;$H$147,$G$147&gt;$I$147)),FALSE)</f>
        <v/>
      </c>
      <c r="M147" t="inlineStr"/>
      <c r="N147" t="inlineStr">
        <is>
          <t>R_unit_refs;R_reference_real;D_army_recognition_buk_m1_2;R_unit_sheet;R_machine_brigade_can_bang;R_sam_launcher</t>
        </is>
      </c>
      <c r="O147" t="inlineStr">
        <is>
          <t>modelSize của dữ liệu / kích thước thật (reference_real.json)</t>
        </is>
      </c>
      <c r="P147" t="inlineStr">
        <is>
          <t>01_chien_dau/Xe.model_size_length_m; Tools/models/reference_real.json</t>
        </is>
      </c>
      <c r="Q147" t="inlineStr"/>
    </row>
    <row r="148">
      <c r="A148" t="inlineStr">
        <is>
          <t>sam_launcher/rong_m</t>
        </is>
      </c>
      <c r="B148" t="inlineStr">
        <is>
          <t>sam_launcher</t>
        </is>
      </c>
      <c r="C148" t="inlineStr">
        <is>
          <t>rong_m</t>
        </is>
      </c>
      <c r="D148" t="inlineStr">
        <is>
          <t>m</t>
        </is>
      </c>
      <c r="E148">
        <f>INDEX(Xe!$EC$2:$EC$80,MATCH($B$148,Xe!$A$2:$A$80,0))</f>
        <v/>
      </c>
      <c r="F148">
        <f>INDEX(Phuong_tien_tham_chieu!$T$2:$T$104,MATCH("sam_launcher",Phuong_tien_tham_chieu!$A$2:$A$104,0))</f>
        <v/>
      </c>
      <c r="G148">
        <f>$E$148/$F$148</f>
        <v/>
      </c>
      <c r="H148" t="n">
        <v>0.7</v>
      </c>
      <c r="I148" t="n">
        <v>1.4</v>
      </c>
      <c r="J148" t="b">
        <v>0</v>
      </c>
      <c r="K148" t="inlineStr"/>
      <c r="L148">
        <f>IF(ISNUMBER($H$148),AND(NOT($J$148),OR($G$148&lt;$H$148,$G$148&gt;$I$148)),FALSE)</f>
        <v/>
      </c>
      <c r="M148" t="inlineStr"/>
      <c r="N148" t="inlineStr">
        <is>
          <t>R_unit_refs;R_reference_real;D_army_recognition_buk_m1_2;R_unit_sheet;R_machine_brigade_can_bang;R_sam_launcher</t>
        </is>
      </c>
      <c r="O148" t="inlineStr">
        <is>
          <t>modelSize của dữ liệu / kích thước thật (reference_real.json)</t>
        </is>
      </c>
      <c r="P148" t="inlineStr">
        <is>
          <t>01_chien_dau/Xe.model_size_width_m; Tools/models/reference_real.json</t>
        </is>
      </c>
      <c r="Q148" t="inlineStr"/>
    </row>
    <row r="149">
      <c r="A149" t="inlineStr">
        <is>
          <t>sam_launcher/rong_tren_dai</t>
        </is>
      </c>
      <c r="B149" t="inlineStr">
        <is>
          <t>sam_launcher</t>
        </is>
      </c>
      <c r="C149" t="inlineStr">
        <is>
          <t>rong_tren_dai</t>
        </is>
      </c>
      <c r="D149" t="inlineStr"/>
      <c r="E149">
        <f>INDEX(Xe!$EC$2:$EC$80,MATCH($B$149,Xe!$A$2:$A$80,0))/INDEX(Xe!$EB$2:$EB$80,MATCH($B$149,Xe!$A$2:$A$80,0))</f>
        <v/>
      </c>
      <c r="F149">
        <f>INDEX(Phuong_tien_tham_chieu!$T$2:$T$104,MATCH("sam_launcher",Phuong_tien_tham_chieu!$A$2:$A$104,0))/INDEX(Phuong_tien_tham_chieu!$S$2:$S$104,MATCH("sam_launcher",Phuong_tien_tham_chieu!$A$2:$A$104,0))</f>
        <v/>
      </c>
      <c r="G149">
        <f>$E$149/$F$149</f>
        <v/>
      </c>
      <c r="H149" t="n">
        <v>0.9</v>
      </c>
      <c r="I149" t="n">
        <v>1.1</v>
      </c>
      <c r="J149" t="b">
        <v>0</v>
      </c>
      <c r="K149" t="inlineStr"/>
      <c r="L149">
        <f>IF(ISNUMBER($H$149),AND(NOT($J$149),OR($G$149&lt;$H$149,$G$149&gt;$I$149)),FALSE)</f>
        <v/>
      </c>
      <c r="M149" t="inlineStr"/>
      <c r="N149" t="inlineStr">
        <is>
          <t>R_unit_refs;R_reference_real;D_army_recognition_buk_m1_2;R_unit_sheet;R_machine_brigade_can_bang;R_sam_launcher</t>
        </is>
      </c>
      <c r="O149" t="inlineStr">
        <is>
          <t>tỷ lệ hình (MODEL_STANDARD 3.1: lệch quá 10 % là cờ)</t>
        </is>
      </c>
      <c r="P149" t="inlineStr">
        <is>
          <t>01_chien_dau/Xe; Tools/models/reference_real.json</t>
        </is>
      </c>
      <c r="Q149" t="inlineStr"/>
    </row>
    <row r="150">
      <c r="A150" t="inlineStr">
        <is>
          <t>scout_heli/cao_m</t>
        </is>
      </c>
      <c r="B150" t="inlineStr">
        <is>
          <t>scout_heli</t>
        </is>
      </c>
      <c r="C150" t="inlineStr">
        <is>
          <t>cao_m</t>
        </is>
      </c>
      <c r="D150" t="inlineStr">
        <is>
          <t>m</t>
        </is>
      </c>
      <c r="E150">
        <f>INDEX(Xe!$EA$2:$EA$80,MATCH($B$150,Xe!$A$2:$A$80,0))</f>
        <v/>
      </c>
      <c r="F150">
        <f>INDEX(Phuong_tien_tham_chieu!$U$2:$U$104,MATCH("scout_heli",Phuong_tien_tham_chieu!$A$2:$A$104,0))</f>
        <v/>
      </c>
      <c r="G150">
        <f>$E$150/$F$150</f>
        <v/>
      </c>
      <c r="H150" t="n">
        <v>0.7</v>
      </c>
      <c r="I150" t="n">
        <v>1.4</v>
      </c>
      <c r="J150" t="b">
        <v>1</v>
      </c>
      <c r="K150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50">
        <f>IF(ISNUMBER($H$150),AND(NOT($J$150),OR($G$150&lt;$H$150,$G$150&gt;$I$150)),FALSE)</f>
        <v/>
      </c>
      <c r="M150" t="inlineStr"/>
      <c r="N150" t="inlineStr">
        <is>
          <t>R_unit_refs;R_reference_real;W_wikipedia_md_helicopters_mh_6_little_bird;R_unit_sheet;R_machine_brigade_can_bang;R_scout_heli</t>
        </is>
      </c>
      <c r="O150" t="inlineStr">
        <is>
          <t>modelSize của dữ liệu / kích thước thật (reference_real.json)</t>
        </is>
      </c>
      <c r="P150" t="inlineStr">
        <is>
          <t>01_chien_dau/Xe.model_size_height_m; Tools/models/reference_real.json</t>
        </is>
      </c>
      <c r="Q150" t="inlineStr"/>
    </row>
    <row r="151">
      <c r="A151" t="inlineStr">
        <is>
          <t>scout_heli/cao_tren_dai</t>
        </is>
      </c>
      <c r="B151" t="inlineStr">
        <is>
          <t>scout_heli</t>
        </is>
      </c>
      <c r="C151" t="inlineStr">
        <is>
          <t>cao_tren_dai</t>
        </is>
      </c>
      <c r="D151" t="inlineStr"/>
      <c r="E151">
        <f>INDEX(Xe!$EA$2:$EA$80,MATCH($B$151,Xe!$A$2:$A$80,0))/INDEX(Xe!$EB$2:$EB$80,MATCH($B$151,Xe!$A$2:$A$80,0))</f>
        <v/>
      </c>
      <c r="F151">
        <f>INDEX(Phuong_tien_tham_chieu!$U$2:$U$104,MATCH("scout_heli",Phuong_tien_tham_chieu!$A$2:$A$104,0))/INDEX(Phuong_tien_tham_chieu!$S$2:$S$104,MATCH("scout_heli",Phuong_tien_tham_chieu!$A$2:$A$104,0))</f>
        <v/>
      </c>
      <c r="G151">
        <f>$E$151/$F$151</f>
        <v/>
      </c>
      <c r="H151" t="n">
        <v>0.9</v>
      </c>
      <c r="I151" t="n">
        <v>1.1</v>
      </c>
      <c r="J151" t="b">
        <v>0</v>
      </c>
      <c r="K151" t="inlineStr"/>
      <c r="L151">
        <f>IF(ISNUMBER($H$151),AND(NOT($J$151),OR($G$151&lt;$H$151,$G$151&gt;$I$151)),FALSE)</f>
        <v/>
      </c>
      <c r="M151" t="inlineStr">
        <is>
          <t>TC0091</t>
        </is>
      </c>
      <c r="N151" t="inlineStr">
        <is>
          <t>R_unit_refs;R_reference_real;W_wikipedia_md_helicopters_mh_6_little_bird;R_unit_sheet;R_machine_brigade_can_bang;R_scout_heli</t>
        </is>
      </c>
      <c r="O151" t="inlineStr">
        <is>
          <t>tỷ lệ hình (MODEL_STANDARD 3.1: lệch quá 10 % là cờ)</t>
        </is>
      </c>
      <c r="P151" t="inlineStr">
        <is>
          <t>01_chien_dau/Xe; Tools/models/reference_real.json</t>
        </is>
      </c>
      <c r="Q151" t="inlineStr"/>
    </row>
    <row r="152">
      <c r="A152" t="inlineStr">
        <is>
          <t>scout_heli/dai_m</t>
        </is>
      </c>
      <c r="B152" t="inlineStr">
        <is>
          <t>scout_heli</t>
        </is>
      </c>
      <c r="C152" t="inlineStr">
        <is>
          <t>dai_m</t>
        </is>
      </c>
      <c r="D152" t="inlineStr">
        <is>
          <t>m</t>
        </is>
      </c>
      <c r="E152">
        <f>INDEX(Xe!$EB$2:$EB$80,MATCH($B$152,Xe!$A$2:$A$80,0))</f>
        <v/>
      </c>
      <c r="F152">
        <f>INDEX(Phuong_tien_tham_chieu!$S$2:$S$104,MATCH("scout_heli",Phuong_tien_tham_chieu!$A$2:$A$104,0))</f>
        <v/>
      </c>
      <c r="G152">
        <f>$E$152/$F$152</f>
        <v/>
      </c>
      <c r="H152" t="n">
        <v>0.7</v>
      </c>
      <c r="I152" t="n">
        <v>1.4</v>
      </c>
      <c r="J152" t="b">
        <v>1</v>
      </c>
      <c r="K152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52">
        <f>IF(ISNUMBER($H$152),AND(NOT($J$152),OR($G$152&lt;$H$152,$G$152&gt;$I$152)),FALSE)</f>
        <v/>
      </c>
      <c r="M152" t="inlineStr"/>
      <c r="N152" t="inlineStr">
        <is>
          <t>R_unit_refs;R_reference_real;W_wikipedia_md_helicopters_mh_6_little_bird;R_unit_sheet;R_machine_brigade_can_bang;R_scout_heli</t>
        </is>
      </c>
      <c r="O152" t="inlineStr">
        <is>
          <t>modelSize của dữ liệu / kích thước thật (reference_real.json)</t>
        </is>
      </c>
      <c r="P152" t="inlineStr">
        <is>
          <t>01_chien_dau/Xe.model_size_length_m; Tools/models/reference_real.json</t>
        </is>
      </c>
      <c r="Q152" t="inlineStr"/>
    </row>
    <row r="153">
      <c r="A153" t="inlineStr">
        <is>
          <t>scout_heli/rong_m</t>
        </is>
      </c>
      <c r="B153" t="inlineStr">
        <is>
          <t>scout_heli</t>
        </is>
      </c>
      <c r="C153" t="inlineStr">
        <is>
          <t>rong_m</t>
        </is>
      </c>
      <c r="D153" t="inlineStr">
        <is>
          <t>m</t>
        </is>
      </c>
      <c r="E153">
        <f>INDEX(Xe!$EC$2:$EC$80,MATCH($B$153,Xe!$A$2:$A$80,0))</f>
        <v/>
      </c>
      <c r="F153">
        <f>INDEX(Phuong_tien_tham_chieu!$T$2:$T$104,MATCH("scout_heli",Phuong_tien_tham_chieu!$A$2:$A$104,0))</f>
        <v/>
      </c>
      <c r="G153">
        <f>$E$153/$F$153</f>
        <v/>
      </c>
      <c r="H153" t="n">
        <v>0.7</v>
      </c>
      <c r="I153" t="n">
        <v>1.4</v>
      </c>
      <c r="J153" t="b">
        <v>1</v>
      </c>
      <c r="K153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53">
        <f>IF(ISNUMBER($H$153),AND(NOT($J$153),OR($G$153&lt;$H$153,$G$153&gt;$I$153)),FALSE)</f>
        <v/>
      </c>
      <c r="M153" t="inlineStr"/>
      <c r="N153" t="inlineStr">
        <is>
          <t>R_unit_refs;R_reference_real;W_wikipedia_md_helicopters_mh_6_little_bird;R_unit_sheet;R_machine_brigade_can_bang;R_scout_heli</t>
        </is>
      </c>
      <c r="O153" t="inlineStr">
        <is>
          <t>modelSize của dữ liệu / kích thước thật (reference_real.json)</t>
        </is>
      </c>
      <c r="P153" t="inlineStr">
        <is>
          <t>01_chien_dau/Xe.model_size_width_m; Tools/models/reference_real.json</t>
        </is>
      </c>
      <c r="Q153" t="inlineStr"/>
    </row>
    <row r="154">
      <c r="A154" t="inlineStr">
        <is>
          <t>scout_heli/rong_tren_dai</t>
        </is>
      </c>
      <c r="B154" t="inlineStr">
        <is>
          <t>scout_heli</t>
        </is>
      </c>
      <c r="C154" t="inlineStr">
        <is>
          <t>rong_tren_dai</t>
        </is>
      </c>
      <c r="D154" t="inlineStr"/>
      <c r="E154">
        <f>INDEX(Xe!$EC$2:$EC$80,MATCH($B$154,Xe!$A$2:$A$80,0))/INDEX(Xe!$EB$2:$EB$80,MATCH($B$154,Xe!$A$2:$A$80,0))</f>
        <v/>
      </c>
      <c r="F154">
        <f>INDEX(Phuong_tien_tham_chieu!$T$2:$T$104,MATCH("scout_heli",Phuong_tien_tham_chieu!$A$2:$A$104,0))/INDEX(Phuong_tien_tham_chieu!$S$2:$S$104,MATCH("scout_heli",Phuong_tien_tham_chieu!$A$2:$A$104,0))</f>
        <v/>
      </c>
      <c r="G154">
        <f>$E$154/$F$154</f>
        <v/>
      </c>
      <c r="H154" t="n">
        <v>0.9</v>
      </c>
      <c r="I154" t="n">
        <v>1.1</v>
      </c>
      <c r="J154" t="b">
        <v>0</v>
      </c>
      <c r="K154" t="inlineStr"/>
      <c r="L154">
        <f>IF(ISNUMBER($H$154),AND(NOT($J$154),OR($G$154&lt;$H$154,$G$154&gt;$I$154)),FALSE)</f>
        <v/>
      </c>
      <c r="M154" t="inlineStr"/>
      <c r="N154" t="inlineStr">
        <is>
          <t>R_unit_refs;R_reference_real;W_wikipedia_md_helicopters_mh_6_little_bird;R_unit_sheet;R_machine_brigade_can_bang;R_scout_heli</t>
        </is>
      </c>
      <c r="O154" t="inlineStr">
        <is>
          <t>tỷ lệ hình (MODEL_STANDARD 3.1: lệch quá 10 % là cờ)</t>
        </is>
      </c>
      <c r="P154" t="inlineStr">
        <is>
          <t>01_chien_dau/Xe; Tools/models/reference_real.json</t>
        </is>
      </c>
      <c r="Q154" t="inlineStr"/>
    </row>
    <row r="155">
      <c r="A155" t="inlineStr">
        <is>
          <t>scout_jeep/cao_m</t>
        </is>
      </c>
      <c r="B155" t="inlineStr">
        <is>
          <t>scout_jeep</t>
        </is>
      </c>
      <c r="C155" t="inlineStr">
        <is>
          <t>cao_m</t>
        </is>
      </c>
      <c r="D155" t="inlineStr">
        <is>
          <t>m</t>
        </is>
      </c>
      <c r="E155">
        <f>INDEX(Xe!$EA$2:$EA$80,MATCH($B$155,Xe!$A$2:$A$80,0))</f>
        <v/>
      </c>
      <c r="F155">
        <f>INDEX(Phuong_tien_tham_chieu!$U$2:$U$104,MATCH("scout_jeep",Phuong_tien_tham_chieu!$A$2:$A$104,0))</f>
        <v/>
      </c>
      <c r="G155">
        <f>$E$155/$F$155</f>
        <v/>
      </c>
      <c r="H155" t="n">
        <v>0.7</v>
      </c>
      <c r="I155" t="n">
        <v>1.4</v>
      </c>
      <c r="J155" t="b">
        <v>0</v>
      </c>
      <c r="K155" t="inlineStr"/>
      <c r="L155">
        <f>IF(ISNUMBER($H$155),AND(NOT($J$155),OR($G$155&lt;$H$155,$G$155&gt;$I$155)),FALSE)</f>
        <v/>
      </c>
      <c r="M155" t="inlineStr"/>
      <c r="N155" t="inlineStr">
        <is>
          <t>R_unit_refs;R_reference_real;W_wikipedia_m151_mutt;R_unit_sheet;R_machine_brigade_can_bang;R_scout_jeep</t>
        </is>
      </c>
      <c r="O155" t="inlineStr">
        <is>
          <t>modelSize của dữ liệu / kích thước thật (reference_real.json)</t>
        </is>
      </c>
      <c r="P155" t="inlineStr">
        <is>
          <t>01_chien_dau/Xe.model_size_height_m; Tools/models/reference_real.json</t>
        </is>
      </c>
      <c r="Q155" t="inlineStr"/>
    </row>
    <row r="156">
      <c r="A156" t="inlineStr">
        <is>
          <t>scout_jeep/cao_tren_dai</t>
        </is>
      </c>
      <c r="B156" t="inlineStr">
        <is>
          <t>scout_jeep</t>
        </is>
      </c>
      <c r="C156" t="inlineStr">
        <is>
          <t>cao_tren_dai</t>
        </is>
      </c>
      <c r="D156" t="inlineStr"/>
      <c r="E156">
        <f>INDEX(Xe!$EA$2:$EA$80,MATCH($B$156,Xe!$A$2:$A$80,0))/INDEX(Xe!$EB$2:$EB$80,MATCH($B$156,Xe!$A$2:$A$80,0))</f>
        <v/>
      </c>
      <c r="F156">
        <f>INDEX(Phuong_tien_tham_chieu!$U$2:$U$104,MATCH("scout_jeep",Phuong_tien_tham_chieu!$A$2:$A$104,0))/INDEX(Phuong_tien_tham_chieu!$S$2:$S$104,MATCH("scout_jeep",Phuong_tien_tham_chieu!$A$2:$A$104,0))</f>
        <v/>
      </c>
      <c r="G156">
        <f>$E$156/$F$156</f>
        <v/>
      </c>
      <c r="H156" t="n">
        <v>0.9</v>
      </c>
      <c r="I156" t="n">
        <v>1.1</v>
      </c>
      <c r="J156" t="b">
        <v>0</v>
      </c>
      <c r="K156" t="inlineStr"/>
      <c r="L156">
        <f>IF(ISNUMBER($H$156),AND(NOT($J$156),OR($G$156&lt;$H$156,$G$156&gt;$I$156)),FALSE)</f>
        <v/>
      </c>
      <c r="M156" t="inlineStr"/>
      <c r="N156" t="inlineStr">
        <is>
          <t>R_unit_refs;R_reference_real;W_wikipedia_m151_mutt;R_unit_sheet;R_machine_brigade_can_bang;R_scout_jeep</t>
        </is>
      </c>
      <c r="O156" t="inlineStr">
        <is>
          <t>tỷ lệ hình (MODEL_STANDARD 3.1: lệch quá 10 % là cờ)</t>
        </is>
      </c>
      <c r="P156" t="inlineStr">
        <is>
          <t>01_chien_dau/Xe; Tools/models/reference_real.json</t>
        </is>
      </c>
      <c r="Q156" t="inlineStr"/>
    </row>
    <row r="157">
      <c r="A157" t="inlineStr">
        <is>
          <t>scout_jeep/dai_m</t>
        </is>
      </c>
      <c r="B157" t="inlineStr">
        <is>
          <t>scout_jeep</t>
        </is>
      </c>
      <c r="C157" t="inlineStr">
        <is>
          <t>dai_m</t>
        </is>
      </c>
      <c r="D157" t="inlineStr">
        <is>
          <t>m</t>
        </is>
      </c>
      <c r="E157">
        <f>INDEX(Xe!$EB$2:$EB$80,MATCH($B$157,Xe!$A$2:$A$80,0))</f>
        <v/>
      </c>
      <c r="F157">
        <f>INDEX(Phuong_tien_tham_chieu!$S$2:$S$104,MATCH("scout_jeep",Phuong_tien_tham_chieu!$A$2:$A$104,0))</f>
        <v/>
      </c>
      <c r="G157">
        <f>$E$157/$F$157</f>
        <v/>
      </c>
      <c r="H157" t="n">
        <v>0.7</v>
      </c>
      <c r="I157" t="n">
        <v>1.4</v>
      </c>
      <c r="J157" t="b">
        <v>0</v>
      </c>
      <c r="K157" t="inlineStr"/>
      <c r="L157">
        <f>IF(ISNUMBER($H$157),AND(NOT($J$157),OR($G$157&lt;$H$157,$G$157&gt;$I$157)),FALSE)</f>
        <v/>
      </c>
      <c r="M157" t="inlineStr"/>
      <c r="N157" t="inlineStr">
        <is>
          <t>R_unit_refs;R_reference_real;W_wikipedia_m151_mutt;R_unit_sheet;R_machine_brigade_can_bang;R_scout_jeep</t>
        </is>
      </c>
      <c r="O157" t="inlineStr">
        <is>
          <t>modelSize của dữ liệu / kích thước thật (reference_real.json)</t>
        </is>
      </c>
      <c r="P157" t="inlineStr">
        <is>
          <t>01_chien_dau/Xe.model_size_length_m; Tools/models/reference_real.json</t>
        </is>
      </c>
      <c r="Q157" t="inlineStr"/>
    </row>
    <row r="158">
      <c r="A158" t="inlineStr">
        <is>
          <t>scout_jeep/rong_m</t>
        </is>
      </c>
      <c r="B158" t="inlineStr">
        <is>
          <t>scout_jeep</t>
        </is>
      </c>
      <c r="C158" t="inlineStr">
        <is>
          <t>rong_m</t>
        </is>
      </c>
      <c r="D158" t="inlineStr">
        <is>
          <t>m</t>
        </is>
      </c>
      <c r="E158">
        <f>INDEX(Xe!$EC$2:$EC$80,MATCH($B$158,Xe!$A$2:$A$80,0))</f>
        <v/>
      </c>
      <c r="F158">
        <f>INDEX(Phuong_tien_tham_chieu!$T$2:$T$104,MATCH("scout_jeep",Phuong_tien_tham_chieu!$A$2:$A$104,0))</f>
        <v/>
      </c>
      <c r="G158">
        <f>$E$158/$F$158</f>
        <v/>
      </c>
      <c r="H158" t="n">
        <v>0.7</v>
      </c>
      <c r="I158" t="n">
        <v>1.4</v>
      </c>
      <c r="J158" t="b">
        <v>0</v>
      </c>
      <c r="K158" t="inlineStr"/>
      <c r="L158">
        <f>IF(ISNUMBER($H$158),AND(NOT($J$158),OR($G$158&lt;$H$158,$G$158&gt;$I$158)),FALSE)</f>
        <v/>
      </c>
      <c r="M158" t="inlineStr"/>
      <c r="N158" t="inlineStr">
        <is>
          <t>R_unit_refs;R_reference_real;W_wikipedia_m151_mutt;R_unit_sheet;R_machine_brigade_can_bang;R_scout_jeep</t>
        </is>
      </c>
      <c r="O158" t="inlineStr">
        <is>
          <t>modelSize của dữ liệu / kích thước thật (reference_real.json)</t>
        </is>
      </c>
      <c r="P158" t="inlineStr">
        <is>
          <t>01_chien_dau/Xe.model_size_width_m; Tools/models/reference_real.json</t>
        </is>
      </c>
      <c r="Q158" t="inlineStr"/>
    </row>
    <row r="159">
      <c r="A159" t="inlineStr">
        <is>
          <t>scout_jeep/rong_tren_dai</t>
        </is>
      </c>
      <c r="B159" t="inlineStr">
        <is>
          <t>scout_jeep</t>
        </is>
      </c>
      <c r="C159" t="inlineStr">
        <is>
          <t>rong_tren_dai</t>
        </is>
      </c>
      <c r="D159" t="inlineStr"/>
      <c r="E159">
        <f>INDEX(Xe!$EC$2:$EC$80,MATCH($B$159,Xe!$A$2:$A$80,0))/INDEX(Xe!$EB$2:$EB$80,MATCH($B$159,Xe!$A$2:$A$80,0))</f>
        <v/>
      </c>
      <c r="F159">
        <f>INDEX(Phuong_tien_tham_chieu!$T$2:$T$104,MATCH("scout_jeep",Phuong_tien_tham_chieu!$A$2:$A$104,0))/INDEX(Phuong_tien_tham_chieu!$S$2:$S$104,MATCH("scout_jeep",Phuong_tien_tham_chieu!$A$2:$A$104,0))</f>
        <v/>
      </c>
      <c r="G159">
        <f>$E$159/$F$159</f>
        <v/>
      </c>
      <c r="H159" t="n">
        <v>0.9</v>
      </c>
      <c r="I159" t="n">
        <v>1.1</v>
      </c>
      <c r="J159" t="b">
        <v>0</v>
      </c>
      <c r="K159" t="inlineStr"/>
      <c r="L159">
        <f>IF(ISNUMBER($H$159),AND(NOT($J$159),OR($G$159&lt;$H$159,$G$159&gt;$I$159)),FALSE)</f>
        <v/>
      </c>
      <c r="M159" t="inlineStr"/>
      <c r="N159" t="inlineStr">
        <is>
          <t>R_unit_refs;R_reference_real;W_wikipedia_m151_mutt;R_unit_sheet;R_machine_brigade_can_bang;R_scout_jeep</t>
        </is>
      </c>
      <c r="O159" t="inlineStr">
        <is>
          <t>tỷ lệ hình (MODEL_STANDARD 3.1: lệch quá 10 % là cờ)</t>
        </is>
      </c>
      <c r="P159" t="inlineStr">
        <is>
          <t>01_chien_dau/Xe; Tools/models/reference_real.json</t>
        </is>
      </c>
      <c r="Q159" t="inlineStr"/>
    </row>
    <row r="160">
      <c r="A160" t="inlineStr">
        <is>
          <t>shield_carrier/cao_m</t>
        </is>
      </c>
      <c r="B160" t="inlineStr">
        <is>
          <t>shield_carrier</t>
        </is>
      </c>
      <c r="C160" t="inlineStr">
        <is>
          <t>cao_m</t>
        </is>
      </c>
      <c r="D160" t="inlineStr">
        <is>
          <t>m</t>
        </is>
      </c>
      <c r="E160">
        <f>INDEX(Xe!$EA$2:$EA$80,MATCH($B$160,Xe!$A$2:$A$80,0))</f>
        <v/>
      </c>
      <c r="F160">
        <f>INDEX(Phuong_tien_tham_chieu!$U$2:$U$104,MATCH("shield_carrier",Phuong_tien_tham_chieu!$A$2:$A$104,0))</f>
        <v/>
      </c>
      <c r="G160">
        <f>$E$160/$F$160</f>
        <v/>
      </c>
      <c r="H160" t="n">
        <v>0.7</v>
      </c>
      <c r="I160" t="n">
        <v>1.4</v>
      </c>
      <c r="J160" t="b">
        <v>0</v>
      </c>
      <c r="K160" t="inlineStr"/>
      <c r="L160">
        <f>IF(ISNUMBER($H$160),AND(NOT($J$160),OR($G$160&lt;$H$160,$G$160&gt;$I$160)),FALSE)</f>
        <v/>
      </c>
      <c r="M160" t="inlineStr"/>
      <c r="N160" t="inlineStr">
        <is>
          <t>R_unit_refs;R_reference_real;W_wikipedia_boxer_armoured_fighting_vehicle;R_unit_sheet;R_machine_brigade_can_bang;R_shield_carrier</t>
        </is>
      </c>
      <c r="O160" t="inlineStr">
        <is>
          <t>modelSize của dữ liệu / kích thước thật (reference_real.json)</t>
        </is>
      </c>
      <c r="P160" t="inlineStr">
        <is>
          <t>01_chien_dau/Xe.model_size_height_m; Tools/models/reference_real.json</t>
        </is>
      </c>
      <c r="Q160" t="inlineStr"/>
    </row>
    <row r="161">
      <c r="A161" t="inlineStr">
        <is>
          <t>shield_carrier/cao_tren_dai</t>
        </is>
      </c>
      <c r="B161" t="inlineStr">
        <is>
          <t>shield_carrier</t>
        </is>
      </c>
      <c r="C161" t="inlineStr">
        <is>
          <t>cao_tren_dai</t>
        </is>
      </c>
      <c r="D161" t="inlineStr"/>
      <c r="E161">
        <f>INDEX(Xe!$EA$2:$EA$80,MATCH($B$161,Xe!$A$2:$A$80,0))/INDEX(Xe!$EB$2:$EB$80,MATCH($B$161,Xe!$A$2:$A$80,0))</f>
        <v/>
      </c>
      <c r="F161">
        <f>INDEX(Phuong_tien_tham_chieu!$U$2:$U$104,MATCH("shield_carrier",Phuong_tien_tham_chieu!$A$2:$A$104,0))/INDEX(Phuong_tien_tham_chieu!$S$2:$S$104,MATCH("shield_carrier",Phuong_tien_tham_chieu!$A$2:$A$104,0))</f>
        <v/>
      </c>
      <c r="G161">
        <f>$E$161/$F$161</f>
        <v/>
      </c>
      <c r="H161" t="n">
        <v>0.9</v>
      </c>
      <c r="I161" t="n">
        <v>1.1</v>
      </c>
      <c r="J161" t="b">
        <v>0</v>
      </c>
      <c r="K161" t="inlineStr"/>
      <c r="L161">
        <f>IF(ISNUMBER($H$161),AND(NOT($J$161),OR($G$161&lt;$H$161,$G$161&gt;$I$161)),FALSE)</f>
        <v/>
      </c>
      <c r="M161" t="inlineStr">
        <is>
          <t>TC0092</t>
        </is>
      </c>
      <c r="N161" t="inlineStr">
        <is>
          <t>R_unit_refs;R_reference_real;W_wikipedia_boxer_armoured_fighting_vehicle;R_unit_sheet;R_machine_brigade_can_bang;R_shield_carrier</t>
        </is>
      </c>
      <c r="O161" t="inlineStr">
        <is>
          <t>tỷ lệ hình (MODEL_STANDARD 3.1: lệch quá 10 % là cờ)</t>
        </is>
      </c>
      <c r="P161" t="inlineStr">
        <is>
          <t>01_chien_dau/Xe; Tools/models/reference_real.json</t>
        </is>
      </c>
      <c r="Q161" t="inlineStr"/>
    </row>
    <row r="162">
      <c r="A162" t="inlineStr">
        <is>
          <t>shield_carrier/dai_m</t>
        </is>
      </c>
      <c r="B162" t="inlineStr">
        <is>
          <t>shield_carrier</t>
        </is>
      </c>
      <c r="C162" t="inlineStr">
        <is>
          <t>dai_m</t>
        </is>
      </c>
      <c r="D162" t="inlineStr">
        <is>
          <t>m</t>
        </is>
      </c>
      <c r="E162">
        <f>INDEX(Xe!$EB$2:$EB$80,MATCH($B$162,Xe!$A$2:$A$80,0))</f>
        <v/>
      </c>
      <c r="F162">
        <f>INDEX(Phuong_tien_tham_chieu!$S$2:$S$104,MATCH("shield_carrier",Phuong_tien_tham_chieu!$A$2:$A$104,0))</f>
        <v/>
      </c>
      <c r="G162">
        <f>$E$162/$F$162</f>
        <v/>
      </c>
      <c r="H162" t="n">
        <v>0.7</v>
      </c>
      <c r="I162" t="n">
        <v>1.4</v>
      </c>
      <c r="J162" t="b">
        <v>0</v>
      </c>
      <c r="K162" t="inlineStr"/>
      <c r="L162">
        <f>IF(ISNUMBER($H$162),AND(NOT($J$162),OR($G$162&lt;$H$162,$G$162&gt;$I$162)),FALSE)</f>
        <v/>
      </c>
      <c r="M162" t="inlineStr"/>
      <c r="N162" t="inlineStr">
        <is>
          <t>R_unit_refs;R_reference_real;W_wikipedia_boxer_armoured_fighting_vehicle;R_unit_sheet;R_machine_brigade_can_bang;R_shield_carrier</t>
        </is>
      </c>
      <c r="O162" t="inlineStr">
        <is>
          <t>modelSize của dữ liệu / kích thước thật (reference_real.json)</t>
        </is>
      </c>
      <c r="P162" t="inlineStr">
        <is>
          <t>01_chien_dau/Xe.model_size_length_m; Tools/models/reference_real.json</t>
        </is>
      </c>
      <c r="Q162" t="inlineStr"/>
    </row>
    <row r="163">
      <c r="A163" t="inlineStr">
        <is>
          <t>shield_carrier/rong_m</t>
        </is>
      </c>
      <c r="B163" t="inlineStr">
        <is>
          <t>shield_carrier</t>
        </is>
      </c>
      <c r="C163" t="inlineStr">
        <is>
          <t>rong_m</t>
        </is>
      </c>
      <c r="D163" t="inlineStr">
        <is>
          <t>m</t>
        </is>
      </c>
      <c r="E163">
        <f>INDEX(Xe!$EC$2:$EC$80,MATCH($B$163,Xe!$A$2:$A$80,0))</f>
        <v/>
      </c>
      <c r="F163">
        <f>INDEX(Phuong_tien_tham_chieu!$T$2:$T$104,MATCH("shield_carrier",Phuong_tien_tham_chieu!$A$2:$A$104,0))</f>
        <v/>
      </c>
      <c r="G163">
        <f>$E$163/$F$163</f>
        <v/>
      </c>
      <c r="H163" t="n">
        <v>0.7</v>
      </c>
      <c r="I163" t="n">
        <v>1.4</v>
      </c>
      <c r="J163" t="b">
        <v>0</v>
      </c>
      <c r="K163" t="inlineStr"/>
      <c r="L163">
        <f>IF(ISNUMBER($H$163),AND(NOT($J$163),OR($G$163&lt;$H$163,$G$163&gt;$I$163)),FALSE)</f>
        <v/>
      </c>
      <c r="M163" t="inlineStr"/>
      <c r="N163" t="inlineStr">
        <is>
          <t>R_unit_refs;R_reference_real;W_wikipedia_boxer_armoured_fighting_vehicle;R_unit_sheet;R_machine_brigade_can_bang;R_shield_carrier</t>
        </is>
      </c>
      <c r="O163" t="inlineStr">
        <is>
          <t>modelSize của dữ liệu / kích thước thật (reference_real.json)</t>
        </is>
      </c>
      <c r="P163" t="inlineStr">
        <is>
          <t>01_chien_dau/Xe.model_size_width_m; Tools/models/reference_real.json</t>
        </is>
      </c>
      <c r="Q163" t="inlineStr"/>
    </row>
    <row r="164">
      <c r="A164" t="inlineStr">
        <is>
          <t>shield_carrier/rong_tren_dai</t>
        </is>
      </c>
      <c r="B164" t="inlineStr">
        <is>
          <t>shield_carrier</t>
        </is>
      </c>
      <c r="C164" t="inlineStr">
        <is>
          <t>rong_tren_dai</t>
        </is>
      </c>
      <c r="D164" t="inlineStr"/>
      <c r="E164">
        <f>INDEX(Xe!$EC$2:$EC$80,MATCH($B$164,Xe!$A$2:$A$80,0))/INDEX(Xe!$EB$2:$EB$80,MATCH($B$164,Xe!$A$2:$A$80,0))</f>
        <v/>
      </c>
      <c r="F164">
        <f>INDEX(Phuong_tien_tham_chieu!$T$2:$T$104,MATCH("shield_carrier",Phuong_tien_tham_chieu!$A$2:$A$104,0))/INDEX(Phuong_tien_tham_chieu!$S$2:$S$104,MATCH("shield_carrier",Phuong_tien_tham_chieu!$A$2:$A$104,0))</f>
        <v/>
      </c>
      <c r="G164">
        <f>$E$164/$F$164</f>
        <v/>
      </c>
      <c r="H164" t="n">
        <v>0.9</v>
      </c>
      <c r="I164" t="n">
        <v>1.1</v>
      </c>
      <c r="J164" t="b">
        <v>0</v>
      </c>
      <c r="K164" t="inlineStr"/>
      <c r="L164">
        <f>IF(ISNUMBER($H$164),AND(NOT($J$164),OR($G$164&lt;$H$164,$G$164&gt;$I$164)),FALSE)</f>
        <v/>
      </c>
      <c r="M164" t="inlineStr"/>
      <c r="N164" t="inlineStr">
        <is>
          <t>R_unit_refs;R_reference_real;W_wikipedia_boxer_armoured_fighting_vehicle;R_unit_sheet;R_machine_brigade_can_bang;R_shield_carrier</t>
        </is>
      </c>
      <c r="O164" t="inlineStr">
        <is>
          <t>tỷ lệ hình (MODEL_STANDARD 3.1: lệch quá 10 % là cờ)</t>
        </is>
      </c>
      <c r="P164" t="inlineStr">
        <is>
          <t>01_chien_dau/Xe; Tools/models/reference_real.json</t>
        </is>
      </c>
      <c r="Q164" t="inlineStr"/>
    </row>
    <row r="165">
      <c r="A165" t="inlineStr">
        <is>
          <t>siege_tank/cao_m</t>
        </is>
      </c>
      <c r="B165" t="inlineStr">
        <is>
          <t>siege_tank</t>
        </is>
      </c>
      <c r="C165" t="inlineStr">
        <is>
          <t>cao_m</t>
        </is>
      </c>
      <c r="D165" t="inlineStr">
        <is>
          <t>m</t>
        </is>
      </c>
      <c r="E165">
        <f>INDEX(Xe!$EA$2:$EA$80,MATCH($B$165,Xe!$A$2:$A$80,0))</f>
        <v/>
      </c>
      <c r="F165">
        <f>INDEX(Phuong_tien_tham_chieu!$U$2:$U$104,MATCH("siege_tank",Phuong_tien_tham_chieu!$A$2:$A$104,0))</f>
        <v/>
      </c>
      <c r="G165">
        <f>$E$165/$F$165</f>
        <v/>
      </c>
      <c r="H165" t="n">
        <v>0.7</v>
      </c>
      <c r="I165" t="n">
        <v>1.4</v>
      </c>
      <c r="J165" t="b">
        <v>0</v>
      </c>
      <c r="K165" t="inlineStr"/>
      <c r="L165">
        <f>IF(ISNUMBER($H$165),AND(NOT($J$165),OR($G$165&lt;$H$165,$G$165&gt;$I$165)),FALSE)</f>
        <v/>
      </c>
      <c r="M165" t="inlineStr"/>
      <c r="N165" t="inlineStr">
        <is>
          <t>R_unit_refs;R_reference_real;W_wikipedia_2s4_tyulpan;R_unit_sheet;R_machine_brigade_can_bang;R_siege_tank</t>
        </is>
      </c>
      <c r="O165" t="inlineStr">
        <is>
          <t>modelSize của dữ liệu / kích thước thật (reference_real.json)</t>
        </is>
      </c>
      <c r="P165" t="inlineStr">
        <is>
          <t>01_chien_dau/Xe.model_size_height_m; Tools/models/reference_real.json</t>
        </is>
      </c>
      <c r="Q165" t="inlineStr"/>
    </row>
    <row r="166">
      <c r="A166" t="inlineStr">
        <is>
          <t>siege_tank/cao_tren_dai</t>
        </is>
      </c>
      <c r="B166" t="inlineStr">
        <is>
          <t>siege_tank</t>
        </is>
      </c>
      <c r="C166" t="inlineStr">
        <is>
          <t>cao_tren_dai</t>
        </is>
      </c>
      <c r="D166" t="inlineStr"/>
      <c r="E166">
        <f>INDEX(Xe!$EA$2:$EA$80,MATCH($B$166,Xe!$A$2:$A$80,0))/INDEX(Xe!$EB$2:$EB$80,MATCH($B$166,Xe!$A$2:$A$80,0))</f>
        <v/>
      </c>
      <c r="F166">
        <f>INDEX(Phuong_tien_tham_chieu!$U$2:$U$104,MATCH("siege_tank",Phuong_tien_tham_chieu!$A$2:$A$104,0))/INDEX(Phuong_tien_tham_chieu!$S$2:$S$104,MATCH("siege_tank",Phuong_tien_tham_chieu!$A$2:$A$104,0))</f>
        <v/>
      </c>
      <c r="G166">
        <f>$E$166/$F$166</f>
        <v/>
      </c>
      <c r="H166" t="n">
        <v>0.9</v>
      </c>
      <c r="I166" t="n">
        <v>1.1</v>
      </c>
      <c r="J166" t="b">
        <v>0</v>
      </c>
      <c r="K166" t="inlineStr"/>
      <c r="L166">
        <f>IF(ISNUMBER($H$166),AND(NOT($J$166),OR($G$166&lt;$H$166,$G$166&gt;$I$166)),FALSE)</f>
        <v/>
      </c>
      <c r="M166" t="inlineStr"/>
      <c r="N166" t="inlineStr">
        <is>
          <t>R_unit_refs;R_reference_real;W_wikipedia_2s4_tyulpan;R_unit_sheet;R_machine_brigade_can_bang;R_siege_tank</t>
        </is>
      </c>
      <c r="O166" t="inlineStr">
        <is>
          <t>tỷ lệ hình (MODEL_STANDARD 3.1: lệch quá 10 % là cờ)</t>
        </is>
      </c>
      <c r="P166" t="inlineStr">
        <is>
          <t>01_chien_dau/Xe; Tools/models/reference_real.json</t>
        </is>
      </c>
      <c r="Q166" t="inlineStr"/>
    </row>
    <row r="167">
      <c r="A167" t="inlineStr">
        <is>
          <t>siege_tank/dai_m</t>
        </is>
      </c>
      <c r="B167" t="inlineStr">
        <is>
          <t>siege_tank</t>
        </is>
      </c>
      <c r="C167" t="inlineStr">
        <is>
          <t>dai_m</t>
        </is>
      </c>
      <c r="D167" t="inlineStr">
        <is>
          <t>m</t>
        </is>
      </c>
      <c r="E167">
        <f>INDEX(Xe!$EB$2:$EB$80,MATCH($B$167,Xe!$A$2:$A$80,0))</f>
        <v/>
      </c>
      <c r="F167">
        <f>INDEX(Phuong_tien_tham_chieu!$S$2:$S$104,MATCH("siege_tank",Phuong_tien_tham_chieu!$A$2:$A$104,0))</f>
        <v/>
      </c>
      <c r="G167">
        <f>$E$167/$F$167</f>
        <v/>
      </c>
      <c r="H167" t="n">
        <v>0.7</v>
      </c>
      <c r="I167" t="n">
        <v>1.4</v>
      </c>
      <c r="J167" t="b">
        <v>0</v>
      </c>
      <c r="K167" t="inlineStr"/>
      <c r="L167">
        <f>IF(ISNUMBER($H$167),AND(NOT($J$167),OR($G$167&lt;$H$167,$G$167&gt;$I$167)),FALSE)</f>
        <v/>
      </c>
      <c r="M167" t="inlineStr"/>
      <c r="N167" t="inlineStr">
        <is>
          <t>R_unit_refs;R_reference_real;W_wikipedia_2s4_tyulpan;R_unit_sheet;R_machine_brigade_can_bang;R_siege_tank</t>
        </is>
      </c>
      <c r="O167" t="inlineStr">
        <is>
          <t>modelSize của dữ liệu / kích thước thật (reference_real.json)</t>
        </is>
      </c>
      <c r="P167" t="inlineStr">
        <is>
          <t>01_chien_dau/Xe.model_size_length_m; Tools/models/reference_real.json</t>
        </is>
      </c>
      <c r="Q167" t="inlineStr"/>
    </row>
    <row r="168">
      <c r="A168" t="inlineStr">
        <is>
          <t>siege_tank/rong_m</t>
        </is>
      </c>
      <c r="B168" t="inlineStr">
        <is>
          <t>siege_tank</t>
        </is>
      </c>
      <c r="C168" t="inlineStr">
        <is>
          <t>rong_m</t>
        </is>
      </c>
      <c r="D168" t="inlineStr">
        <is>
          <t>m</t>
        </is>
      </c>
      <c r="E168">
        <f>INDEX(Xe!$EC$2:$EC$80,MATCH($B$168,Xe!$A$2:$A$80,0))</f>
        <v/>
      </c>
      <c r="F168">
        <f>INDEX(Phuong_tien_tham_chieu!$T$2:$T$104,MATCH("siege_tank",Phuong_tien_tham_chieu!$A$2:$A$104,0))</f>
        <v/>
      </c>
      <c r="G168">
        <f>$E$168/$F$168</f>
        <v/>
      </c>
      <c r="H168" t="n">
        <v>0.7</v>
      </c>
      <c r="I168" t="n">
        <v>1.4</v>
      </c>
      <c r="J168" t="b">
        <v>0</v>
      </c>
      <c r="K168" t="inlineStr"/>
      <c r="L168">
        <f>IF(ISNUMBER($H$168),AND(NOT($J$168),OR($G$168&lt;$H$168,$G$168&gt;$I$168)),FALSE)</f>
        <v/>
      </c>
      <c r="M168" t="inlineStr"/>
      <c r="N168" t="inlineStr">
        <is>
          <t>R_unit_refs;R_reference_real;W_wikipedia_2s4_tyulpan;R_unit_sheet;R_machine_brigade_can_bang;R_siege_tank</t>
        </is>
      </c>
      <c r="O168" t="inlineStr">
        <is>
          <t>modelSize của dữ liệu / kích thước thật (reference_real.json)</t>
        </is>
      </c>
      <c r="P168" t="inlineStr">
        <is>
          <t>01_chien_dau/Xe.model_size_width_m; Tools/models/reference_real.json</t>
        </is>
      </c>
      <c r="Q168" t="inlineStr"/>
    </row>
    <row r="169">
      <c r="A169" t="inlineStr">
        <is>
          <t>siege_tank/rong_tren_dai</t>
        </is>
      </c>
      <c r="B169" t="inlineStr">
        <is>
          <t>siege_tank</t>
        </is>
      </c>
      <c r="C169" t="inlineStr">
        <is>
          <t>rong_tren_dai</t>
        </is>
      </c>
      <c r="D169" t="inlineStr"/>
      <c r="E169">
        <f>INDEX(Xe!$EC$2:$EC$80,MATCH($B$169,Xe!$A$2:$A$80,0))/INDEX(Xe!$EB$2:$EB$80,MATCH($B$169,Xe!$A$2:$A$80,0))</f>
        <v/>
      </c>
      <c r="F169">
        <f>INDEX(Phuong_tien_tham_chieu!$T$2:$T$104,MATCH("siege_tank",Phuong_tien_tham_chieu!$A$2:$A$104,0))/INDEX(Phuong_tien_tham_chieu!$S$2:$S$104,MATCH("siege_tank",Phuong_tien_tham_chieu!$A$2:$A$104,0))</f>
        <v/>
      </c>
      <c r="G169">
        <f>$E$169/$F$169</f>
        <v/>
      </c>
      <c r="H169" t="n">
        <v>0.9</v>
      </c>
      <c r="I169" t="n">
        <v>1.1</v>
      </c>
      <c r="J169" t="b">
        <v>0</v>
      </c>
      <c r="K169" t="inlineStr"/>
      <c r="L169">
        <f>IF(ISNUMBER($H$169),AND(NOT($J$169),OR($G$169&lt;$H$169,$G$169&gt;$I$169)),FALSE)</f>
        <v/>
      </c>
      <c r="M169" t="inlineStr"/>
      <c r="N169" t="inlineStr">
        <is>
          <t>R_unit_refs;R_reference_real;W_wikipedia_2s4_tyulpan;R_unit_sheet;R_machine_brigade_can_bang;R_siege_tank</t>
        </is>
      </c>
      <c r="O169" t="inlineStr">
        <is>
          <t>tỷ lệ hình (MODEL_STANDARD 3.1: lệch quá 10 % là cờ)</t>
        </is>
      </c>
      <c r="P169" t="inlineStr">
        <is>
          <t>01_chien_dau/Xe; Tools/models/reference_real.json</t>
        </is>
      </c>
      <c r="Q169" t="inlineStr"/>
    </row>
    <row r="170">
      <c r="A170" t="inlineStr">
        <is>
          <t>sky_gunship/cao_m</t>
        </is>
      </c>
      <c r="B170" t="inlineStr">
        <is>
          <t>sky_gunship</t>
        </is>
      </c>
      <c r="C170" t="inlineStr">
        <is>
          <t>cao_m</t>
        </is>
      </c>
      <c r="D170" t="inlineStr">
        <is>
          <t>m</t>
        </is>
      </c>
      <c r="E170">
        <f>INDEX(Xe!$EA$2:$EA$80,MATCH($B$170,Xe!$A$2:$A$80,0))</f>
        <v/>
      </c>
      <c r="F170">
        <f>INDEX(Phuong_tien_tham_chieu!$U$2:$U$104,MATCH("sky_gunship",Phuong_tien_tham_chieu!$A$2:$A$104,0))</f>
        <v/>
      </c>
      <c r="G170">
        <f>$E$170/$F$170</f>
        <v/>
      </c>
      <c r="H170" t="n">
        <v>0.7</v>
      </c>
      <c r="I170" t="n">
        <v>1.4</v>
      </c>
      <c r="J170" t="b">
        <v>1</v>
      </c>
      <c r="K170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70">
        <f>IF(ISNUMBER($H$170),AND(NOT($J$170),OR($G$170&lt;$H$170,$G$170&gt;$I$170)),FALSE)</f>
        <v/>
      </c>
      <c r="M170" t="inlineStr"/>
      <c r="N170" t="inlineStr">
        <is>
          <t>R_unit_refs;R_reference_real;W_wikipedia_lockheed_ac_130;R_unit_sheet;R_machine_brigade_can_bang;R_sky_gunship</t>
        </is>
      </c>
      <c r="O170" t="inlineStr">
        <is>
          <t>modelSize của dữ liệu / kích thước thật (reference_real.json)</t>
        </is>
      </c>
      <c r="P170" t="inlineStr">
        <is>
          <t>01_chien_dau/Xe.model_size_height_m; Tools/models/reference_real.json</t>
        </is>
      </c>
      <c r="Q170" t="inlineStr"/>
    </row>
    <row r="171">
      <c r="A171" t="inlineStr">
        <is>
          <t>sky_gunship/cao_tren_dai</t>
        </is>
      </c>
      <c r="B171" t="inlineStr">
        <is>
          <t>sky_gunship</t>
        </is>
      </c>
      <c r="C171" t="inlineStr">
        <is>
          <t>cao_tren_dai</t>
        </is>
      </c>
      <c r="D171" t="inlineStr"/>
      <c r="E171">
        <f>INDEX(Xe!$EA$2:$EA$80,MATCH($B$171,Xe!$A$2:$A$80,0))/INDEX(Xe!$EB$2:$EB$80,MATCH($B$171,Xe!$A$2:$A$80,0))</f>
        <v/>
      </c>
      <c r="F171">
        <f>INDEX(Phuong_tien_tham_chieu!$U$2:$U$104,MATCH("sky_gunship",Phuong_tien_tham_chieu!$A$2:$A$104,0))/INDEX(Phuong_tien_tham_chieu!$S$2:$S$104,MATCH("sky_gunship",Phuong_tien_tham_chieu!$A$2:$A$104,0))</f>
        <v/>
      </c>
      <c r="G171">
        <f>$E$171/$F$171</f>
        <v/>
      </c>
      <c r="H171" t="n">
        <v>0.9</v>
      </c>
      <c r="I171" t="n">
        <v>1.1</v>
      </c>
      <c r="J171" t="b">
        <v>0</v>
      </c>
      <c r="K171" t="inlineStr"/>
      <c r="L171">
        <f>IF(ISNUMBER($H$171),AND(NOT($J$171),OR($G$171&lt;$H$171,$G$171&gt;$I$171)),FALSE)</f>
        <v/>
      </c>
      <c r="M171" t="inlineStr"/>
      <c r="N171" t="inlineStr">
        <is>
          <t>R_unit_refs;R_reference_real;W_wikipedia_lockheed_ac_130;R_unit_sheet;R_machine_brigade_can_bang;R_sky_gunship</t>
        </is>
      </c>
      <c r="O171" t="inlineStr">
        <is>
          <t>tỷ lệ hình (MODEL_STANDARD 3.1: lệch quá 10 % là cờ)</t>
        </is>
      </c>
      <c r="P171" t="inlineStr">
        <is>
          <t>01_chien_dau/Xe; Tools/models/reference_real.json</t>
        </is>
      </c>
      <c r="Q171" t="inlineStr"/>
    </row>
    <row r="172">
      <c r="A172" t="inlineStr">
        <is>
          <t>sky_gunship/dai_m</t>
        </is>
      </c>
      <c r="B172" t="inlineStr">
        <is>
          <t>sky_gunship</t>
        </is>
      </c>
      <c r="C172" t="inlineStr">
        <is>
          <t>dai_m</t>
        </is>
      </c>
      <c r="D172" t="inlineStr">
        <is>
          <t>m</t>
        </is>
      </c>
      <c r="E172">
        <f>INDEX(Xe!$EB$2:$EB$80,MATCH($B$172,Xe!$A$2:$A$80,0))</f>
        <v/>
      </c>
      <c r="F172">
        <f>INDEX(Phuong_tien_tham_chieu!$S$2:$S$104,MATCH("sky_gunship",Phuong_tien_tham_chieu!$A$2:$A$104,0))</f>
        <v/>
      </c>
      <c r="G172">
        <f>$E$172/$F$172</f>
        <v/>
      </c>
      <c r="H172" t="n">
        <v>0.7</v>
      </c>
      <c r="I172" t="n">
        <v>1.4</v>
      </c>
      <c r="J172" t="b">
        <v>1</v>
      </c>
      <c r="K172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72">
        <f>IF(ISNUMBER($H$172),AND(NOT($J$172),OR($G$172&lt;$H$172,$G$172&gt;$I$172)),FALSE)</f>
        <v/>
      </c>
      <c r="M172" t="inlineStr"/>
      <c r="N172" t="inlineStr">
        <is>
          <t>R_unit_refs;R_reference_real;W_wikipedia_lockheed_ac_130;R_unit_sheet;R_machine_brigade_can_bang;R_sky_gunship</t>
        </is>
      </c>
      <c r="O172" t="inlineStr">
        <is>
          <t>modelSize của dữ liệu / kích thước thật (reference_real.json)</t>
        </is>
      </c>
      <c r="P172" t="inlineStr">
        <is>
          <t>01_chien_dau/Xe.model_size_length_m; Tools/models/reference_real.json</t>
        </is>
      </c>
      <c r="Q172" t="inlineStr"/>
    </row>
    <row r="173">
      <c r="A173" t="inlineStr">
        <is>
          <t>sky_gunship/rong_m</t>
        </is>
      </c>
      <c r="B173" t="inlineStr">
        <is>
          <t>sky_gunship</t>
        </is>
      </c>
      <c r="C173" t="inlineStr">
        <is>
          <t>rong_m</t>
        </is>
      </c>
      <c r="D173" t="inlineStr">
        <is>
          <t>m</t>
        </is>
      </c>
      <c r="E173">
        <f>INDEX(Xe!$EC$2:$EC$80,MATCH($B$173,Xe!$A$2:$A$80,0))</f>
        <v/>
      </c>
      <c r="F173">
        <f>INDEX(Phuong_tien_tham_chieu!$T$2:$T$104,MATCH("sky_gunship",Phuong_tien_tham_chieu!$A$2:$A$104,0))</f>
        <v/>
      </c>
      <c r="G173">
        <f>$E$173/$F$173</f>
        <v/>
      </c>
      <c r="H173" t="n">
        <v>0.7</v>
      </c>
      <c r="I173" t="n">
        <v>1.4</v>
      </c>
      <c r="J173" t="b">
        <v>1</v>
      </c>
      <c r="K173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73">
        <f>IF(ISNUMBER($H$173),AND(NOT($J$173),OR($G$173&lt;$H$173,$G$173&gt;$I$173)),FALSE)</f>
        <v/>
      </c>
      <c r="M173" t="inlineStr"/>
      <c r="N173" t="inlineStr">
        <is>
          <t>R_unit_refs;R_reference_real;W_wikipedia_lockheed_ac_130;R_unit_sheet;R_machine_brigade_can_bang;R_sky_gunship</t>
        </is>
      </c>
      <c r="O173" t="inlineStr">
        <is>
          <t>modelSize của dữ liệu / kích thước thật (reference_real.json)</t>
        </is>
      </c>
      <c r="P173" t="inlineStr">
        <is>
          <t>01_chien_dau/Xe.model_size_width_m; Tools/models/reference_real.json</t>
        </is>
      </c>
      <c r="Q173" t="inlineStr"/>
    </row>
    <row r="174">
      <c r="A174" t="inlineStr">
        <is>
          <t>sky_gunship/rong_tren_dai</t>
        </is>
      </c>
      <c r="B174" t="inlineStr">
        <is>
          <t>sky_gunship</t>
        </is>
      </c>
      <c r="C174" t="inlineStr">
        <is>
          <t>rong_tren_dai</t>
        </is>
      </c>
      <c r="D174" t="inlineStr"/>
      <c r="E174">
        <f>INDEX(Xe!$EC$2:$EC$80,MATCH($B$174,Xe!$A$2:$A$80,0))/INDEX(Xe!$EB$2:$EB$80,MATCH($B$174,Xe!$A$2:$A$80,0))</f>
        <v/>
      </c>
      <c r="F174">
        <f>INDEX(Phuong_tien_tham_chieu!$T$2:$T$104,MATCH("sky_gunship",Phuong_tien_tham_chieu!$A$2:$A$104,0))/INDEX(Phuong_tien_tham_chieu!$S$2:$S$104,MATCH("sky_gunship",Phuong_tien_tham_chieu!$A$2:$A$104,0))</f>
        <v/>
      </c>
      <c r="G174">
        <f>$E$174/$F$174</f>
        <v/>
      </c>
      <c r="H174" t="n">
        <v>0.9</v>
      </c>
      <c r="I174" t="n">
        <v>1.1</v>
      </c>
      <c r="J174" t="b">
        <v>0</v>
      </c>
      <c r="K174" t="inlineStr"/>
      <c r="L174">
        <f>IF(ISNUMBER($H$174),AND(NOT($J$174),OR($G$174&lt;$H$174,$G$174&gt;$I$174)),FALSE)</f>
        <v/>
      </c>
      <c r="M174" t="inlineStr"/>
      <c r="N174" t="inlineStr">
        <is>
          <t>R_unit_refs;R_reference_real;W_wikipedia_lockheed_ac_130;R_unit_sheet;R_machine_brigade_can_bang;R_sky_gunship</t>
        </is>
      </c>
      <c r="O174" t="inlineStr">
        <is>
          <t>tỷ lệ hình (MODEL_STANDARD 3.1: lệch quá 10 % là cờ)</t>
        </is>
      </c>
      <c r="P174" t="inlineStr">
        <is>
          <t>01_chien_dau/Xe; Tools/models/reference_real.json</t>
        </is>
      </c>
      <c r="Q174" t="inlineStr"/>
    </row>
    <row r="175">
      <c r="A175" t="inlineStr">
        <is>
          <t>stealth_bomber/cao_m</t>
        </is>
      </c>
      <c r="B175" t="inlineStr">
        <is>
          <t>stealth_bomber</t>
        </is>
      </c>
      <c r="C175" t="inlineStr">
        <is>
          <t>cao_m</t>
        </is>
      </c>
      <c r="D175" t="inlineStr">
        <is>
          <t>m</t>
        </is>
      </c>
      <c r="E175">
        <f>INDEX(Xe!$EA$2:$EA$80,MATCH($B$175,Xe!$A$2:$A$80,0))</f>
        <v/>
      </c>
      <c r="F175">
        <f>INDEX(Phuong_tien_tham_chieu!$U$2:$U$104,MATCH("stealth_bomber",Phuong_tien_tham_chieu!$A$2:$A$104,0))</f>
        <v/>
      </c>
      <c r="G175">
        <f>$E$175/$F$175</f>
        <v/>
      </c>
      <c r="H175" t="n">
        <v>0.7</v>
      </c>
      <c r="I175" t="n">
        <v>1.4</v>
      </c>
      <c r="J175" t="b">
        <v>1</v>
      </c>
      <c r="K175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75">
        <f>IF(ISNUMBER($H$175),AND(NOT($J$175),OR($G$175&lt;$H$175,$G$175&gt;$I$175)),FALSE)</f>
        <v/>
      </c>
      <c r="M175" t="inlineStr"/>
      <c r="N175" t="inlineStr">
        <is>
          <t>R_unit_refs;R_reference_real;W_wikipedia_northrop_b_2_spirit;R_unit_sheet;R_machine_brigade_can_bang;R_stealth_bomber</t>
        </is>
      </c>
      <c r="O175" t="inlineStr">
        <is>
          <t>modelSize của dữ liệu / kích thước thật (reference_real.json)</t>
        </is>
      </c>
      <c r="P175" t="inlineStr">
        <is>
          <t>01_chien_dau/Xe.model_size_height_m; Tools/models/reference_real.json</t>
        </is>
      </c>
      <c r="Q175" t="inlineStr"/>
    </row>
    <row r="176">
      <c r="A176" t="inlineStr">
        <is>
          <t>stealth_bomber/cao_tren_dai</t>
        </is>
      </c>
      <c r="B176" t="inlineStr">
        <is>
          <t>stealth_bomber</t>
        </is>
      </c>
      <c r="C176" t="inlineStr">
        <is>
          <t>cao_tren_dai</t>
        </is>
      </c>
      <c r="D176" t="inlineStr"/>
      <c r="E176">
        <f>INDEX(Xe!$EA$2:$EA$80,MATCH($B$176,Xe!$A$2:$A$80,0))/INDEX(Xe!$EB$2:$EB$80,MATCH($B$176,Xe!$A$2:$A$80,0))</f>
        <v/>
      </c>
      <c r="F176">
        <f>INDEX(Phuong_tien_tham_chieu!$U$2:$U$104,MATCH("stealth_bomber",Phuong_tien_tham_chieu!$A$2:$A$104,0))/INDEX(Phuong_tien_tham_chieu!$S$2:$S$104,MATCH("stealth_bomber",Phuong_tien_tham_chieu!$A$2:$A$104,0))</f>
        <v/>
      </c>
      <c r="G176">
        <f>$E$176/$F$176</f>
        <v/>
      </c>
      <c r="H176" t="n">
        <v>0.9</v>
      </c>
      <c r="I176" t="n">
        <v>1.1</v>
      </c>
      <c r="J176" t="b">
        <v>0</v>
      </c>
      <c r="K176" t="inlineStr"/>
      <c r="L176">
        <f>IF(ISNUMBER($H$176),AND(NOT($J$176),OR($G$176&lt;$H$176,$G$176&gt;$I$176)),FALSE)</f>
        <v/>
      </c>
      <c r="M176" t="inlineStr">
        <is>
          <t>TC0093</t>
        </is>
      </c>
      <c r="N176" t="inlineStr">
        <is>
          <t>R_unit_refs;R_reference_real;W_wikipedia_northrop_b_2_spirit;R_unit_sheet;R_machine_brigade_can_bang;R_stealth_bomber</t>
        </is>
      </c>
      <c r="O176" t="inlineStr">
        <is>
          <t>tỷ lệ hình (MODEL_STANDARD 3.1: lệch quá 10 % là cờ)</t>
        </is>
      </c>
      <c r="P176" t="inlineStr">
        <is>
          <t>01_chien_dau/Xe; Tools/models/reference_real.json</t>
        </is>
      </c>
      <c r="Q176" t="inlineStr"/>
    </row>
    <row r="177">
      <c r="A177" t="inlineStr">
        <is>
          <t>stealth_bomber/dai_m</t>
        </is>
      </c>
      <c r="B177" t="inlineStr">
        <is>
          <t>stealth_bomber</t>
        </is>
      </c>
      <c r="C177" t="inlineStr">
        <is>
          <t>dai_m</t>
        </is>
      </c>
      <c r="D177" t="inlineStr">
        <is>
          <t>m</t>
        </is>
      </c>
      <c r="E177">
        <f>INDEX(Xe!$EB$2:$EB$80,MATCH($B$177,Xe!$A$2:$A$80,0))</f>
        <v/>
      </c>
      <c r="F177">
        <f>INDEX(Phuong_tien_tham_chieu!$S$2:$S$104,MATCH("stealth_bomber",Phuong_tien_tham_chieu!$A$2:$A$104,0))</f>
        <v/>
      </c>
      <c r="G177">
        <f>$E$177/$F$177</f>
        <v/>
      </c>
      <c r="H177" t="n">
        <v>0.7</v>
      </c>
      <c r="I177" t="n">
        <v>1.4</v>
      </c>
      <c r="J177" t="b">
        <v>1</v>
      </c>
      <c r="K177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77">
        <f>IF(ISNUMBER($H$177),AND(NOT($J$177),OR($G$177&lt;$H$177,$G$177&gt;$I$177)),FALSE)</f>
        <v/>
      </c>
      <c r="M177" t="inlineStr"/>
      <c r="N177" t="inlineStr">
        <is>
          <t>R_unit_refs;R_reference_real;W_wikipedia_northrop_b_2_spirit;R_unit_sheet;R_machine_brigade_can_bang;R_stealth_bomber</t>
        </is>
      </c>
      <c r="O177" t="inlineStr">
        <is>
          <t>modelSize của dữ liệu / kích thước thật (reference_real.json)</t>
        </is>
      </c>
      <c r="P177" t="inlineStr">
        <is>
          <t>01_chien_dau/Xe.model_size_length_m; Tools/models/reference_real.json</t>
        </is>
      </c>
      <c r="Q177" t="inlineStr"/>
    </row>
    <row r="178">
      <c r="A178" t="inlineStr">
        <is>
          <t>stealth_bomber/rong_m</t>
        </is>
      </c>
      <c r="B178" t="inlineStr">
        <is>
          <t>stealth_bomber</t>
        </is>
      </c>
      <c r="C178" t="inlineStr">
        <is>
          <t>rong_m</t>
        </is>
      </c>
      <c r="D178" t="inlineStr">
        <is>
          <t>m</t>
        </is>
      </c>
      <c r="E178">
        <f>INDEX(Xe!$EC$2:$EC$80,MATCH($B$178,Xe!$A$2:$A$80,0))</f>
        <v/>
      </c>
      <c r="F178">
        <f>INDEX(Phuong_tien_tham_chieu!$T$2:$T$104,MATCH("stealth_bomber",Phuong_tien_tham_chieu!$A$2:$A$104,0))</f>
        <v/>
      </c>
      <c r="G178">
        <f>$E$178/$F$178</f>
        <v/>
      </c>
      <c r="H178" t="n">
        <v>0.7</v>
      </c>
      <c r="I178" t="n">
        <v>1.4</v>
      </c>
      <c r="J178" t="b">
        <v>1</v>
      </c>
      <c r="K178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78">
        <f>IF(ISNUMBER($H$178),AND(NOT($J$178),OR($G$178&lt;$H$178,$G$178&gt;$I$178)),FALSE)</f>
        <v/>
      </c>
      <c r="M178" t="inlineStr"/>
      <c r="N178" t="inlineStr">
        <is>
          <t>R_unit_refs;R_reference_real;W_wikipedia_northrop_b_2_spirit;R_unit_sheet;R_machine_brigade_can_bang;R_stealth_bomber</t>
        </is>
      </c>
      <c r="O178" t="inlineStr">
        <is>
          <t>modelSize của dữ liệu / kích thước thật (reference_real.json)</t>
        </is>
      </c>
      <c r="P178" t="inlineStr">
        <is>
          <t>01_chien_dau/Xe.model_size_width_m; Tools/models/reference_real.json</t>
        </is>
      </c>
      <c r="Q178" t="inlineStr"/>
    </row>
    <row r="179">
      <c r="A179" t="inlineStr">
        <is>
          <t>stealth_bomber/rong_tren_dai</t>
        </is>
      </c>
      <c r="B179" t="inlineStr">
        <is>
          <t>stealth_bomber</t>
        </is>
      </c>
      <c r="C179" t="inlineStr">
        <is>
          <t>rong_tren_dai</t>
        </is>
      </c>
      <c r="D179" t="inlineStr"/>
      <c r="E179">
        <f>INDEX(Xe!$EC$2:$EC$80,MATCH($B$179,Xe!$A$2:$A$80,0))/INDEX(Xe!$EB$2:$EB$80,MATCH($B$179,Xe!$A$2:$A$80,0))</f>
        <v/>
      </c>
      <c r="F179">
        <f>INDEX(Phuong_tien_tham_chieu!$T$2:$T$104,MATCH("stealth_bomber",Phuong_tien_tham_chieu!$A$2:$A$104,0))/INDEX(Phuong_tien_tham_chieu!$S$2:$S$104,MATCH("stealth_bomber",Phuong_tien_tham_chieu!$A$2:$A$104,0))</f>
        <v/>
      </c>
      <c r="G179">
        <f>$E$179/$F$179</f>
        <v/>
      </c>
      <c r="H179" t="n">
        <v>0.9</v>
      </c>
      <c r="I179" t="n">
        <v>1.1</v>
      </c>
      <c r="J179" t="b">
        <v>0</v>
      </c>
      <c r="K179" t="inlineStr"/>
      <c r="L179">
        <f>IF(ISNUMBER($H$179),AND(NOT($J$179),OR($G$179&lt;$H$179,$G$179&gt;$I$179)),FALSE)</f>
        <v/>
      </c>
      <c r="M179" t="inlineStr"/>
      <c r="N179" t="inlineStr">
        <is>
          <t>R_unit_refs;R_reference_real;W_wikipedia_northrop_b_2_spirit;R_unit_sheet;R_machine_brigade_can_bang;R_stealth_bomber</t>
        </is>
      </c>
      <c r="O179" t="inlineStr">
        <is>
          <t>tỷ lệ hình (MODEL_STANDARD 3.1: lệch quá 10 % là cờ)</t>
        </is>
      </c>
      <c r="P179" t="inlineStr">
        <is>
          <t>01_chien_dau/Xe; Tools/models/reference_real.json</t>
        </is>
      </c>
      <c r="Q179" t="inlineStr"/>
    </row>
    <row r="180">
      <c r="A180" t="inlineStr">
        <is>
          <t>stealth_fighter/cao_m</t>
        </is>
      </c>
      <c r="B180" t="inlineStr">
        <is>
          <t>stealth_fighter</t>
        </is>
      </c>
      <c r="C180" t="inlineStr">
        <is>
          <t>cao_m</t>
        </is>
      </c>
      <c r="D180" t="inlineStr">
        <is>
          <t>m</t>
        </is>
      </c>
      <c r="E180">
        <f>INDEX(Xe!$EA$2:$EA$80,MATCH($B$180,Xe!$A$2:$A$80,0))</f>
        <v/>
      </c>
      <c r="F180">
        <f>INDEX(Phuong_tien_tham_chieu!$U$2:$U$104,MATCH("stealth_fighter",Phuong_tien_tham_chieu!$A$2:$A$104,0))</f>
        <v/>
      </c>
      <c r="G180">
        <f>$E$180/$F$180</f>
        <v/>
      </c>
      <c r="H180" t="n">
        <v>0.7</v>
      </c>
      <c r="I180" t="n">
        <v>1.4</v>
      </c>
      <c r="J180" t="b">
        <v>1</v>
      </c>
      <c r="K180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80">
        <f>IF(ISNUMBER($H$180),AND(NOT($J$180),OR($G$180&lt;$H$180,$G$180&gt;$I$180)),FALSE)</f>
        <v/>
      </c>
      <c r="M180" t="inlineStr"/>
      <c r="N180" t="inlineStr">
        <is>
          <t>R_unit_refs;R_reference_real;W_wikipedia_lockheed_martin_f_22_raptor;R_unit_sheet;R_machine_brigade_can_bang;R_stealth_fighter</t>
        </is>
      </c>
      <c r="O180" t="inlineStr">
        <is>
          <t>modelSize của dữ liệu / kích thước thật (reference_real.json)</t>
        </is>
      </c>
      <c r="P180" t="inlineStr">
        <is>
          <t>01_chien_dau/Xe.model_size_height_m; Tools/models/reference_real.json</t>
        </is>
      </c>
      <c r="Q180" t="inlineStr"/>
    </row>
    <row r="181">
      <c r="A181" t="inlineStr">
        <is>
          <t>stealth_fighter/cao_tren_dai</t>
        </is>
      </c>
      <c r="B181" t="inlineStr">
        <is>
          <t>stealth_fighter</t>
        </is>
      </c>
      <c r="C181" t="inlineStr">
        <is>
          <t>cao_tren_dai</t>
        </is>
      </c>
      <c r="D181" t="inlineStr"/>
      <c r="E181">
        <f>INDEX(Xe!$EA$2:$EA$80,MATCH($B$181,Xe!$A$2:$A$80,0))/INDEX(Xe!$EB$2:$EB$80,MATCH($B$181,Xe!$A$2:$A$80,0))</f>
        <v/>
      </c>
      <c r="F181">
        <f>INDEX(Phuong_tien_tham_chieu!$U$2:$U$104,MATCH("stealth_fighter",Phuong_tien_tham_chieu!$A$2:$A$104,0))/INDEX(Phuong_tien_tham_chieu!$S$2:$S$104,MATCH("stealth_fighter",Phuong_tien_tham_chieu!$A$2:$A$104,0))</f>
        <v/>
      </c>
      <c r="G181">
        <f>$E$181/$F$181</f>
        <v/>
      </c>
      <c r="H181" t="n">
        <v>0.9</v>
      </c>
      <c r="I181" t="n">
        <v>1.1</v>
      </c>
      <c r="J181" t="b">
        <v>0</v>
      </c>
      <c r="K181" t="inlineStr"/>
      <c r="L181">
        <f>IF(ISNUMBER($H$181),AND(NOT($J$181),OR($G$181&lt;$H$181,$G$181&gt;$I$181)),FALSE)</f>
        <v/>
      </c>
      <c r="M181" t="inlineStr">
        <is>
          <t>TC0094</t>
        </is>
      </c>
      <c r="N181" t="inlineStr">
        <is>
          <t>R_unit_refs;R_reference_real;W_wikipedia_lockheed_martin_f_22_raptor;R_unit_sheet;R_machine_brigade_can_bang;R_stealth_fighter</t>
        </is>
      </c>
      <c r="O181" t="inlineStr">
        <is>
          <t>tỷ lệ hình (MODEL_STANDARD 3.1: lệch quá 10 % là cờ)</t>
        </is>
      </c>
      <c r="P181" t="inlineStr">
        <is>
          <t>01_chien_dau/Xe; Tools/models/reference_real.json</t>
        </is>
      </c>
      <c r="Q181" t="inlineStr"/>
    </row>
    <row r="182">
      <c r="A182" t="inlineStr">
        <is>
          <t>stealth_fighter/dai_m</t>
        </is>
      </c>
      <c r="B182" t="inlineStr">
        <is>
          <t>stealth_fighter</t>
        </is>
      </c>
      <c r="C182" t="inlineStr">
        <is>
          <t>dai_m</t>
        </is>
      </c>
      <c r="D182" t="inlineStr">
        <is>
          <t>m</t>
        </is>
      </c>
      <c r="E182">
        <f>INDEX(Xe!$EB$2:$EB$80,MATCH($B$182,Xe!$A$2:$A$80,0))</f>
        <v/>
      </c>
      <c r="F182">
        <f>INDEX(Phuong_tien_tham_chieu!$S$2:$S$104,MATCH("stealth_fighter",Phuong_tien_tham_chieu!$A$2:$A$104,0))</f>
        <v/>
      </c>
      <c r="G182">
        <f>$E$182/$F$182</f>
        <v/>
      </c>
      <c r="H182" t="n">
        <v>0.7</v>
      </c>
      <c r="I182" t="n">
        <v>1.4</v>
      </c>
      <c r="J182" t="b">
        <v>1</v>
      </c>
      <c r="K182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82">
        <f>IF(ISNUMBER($H$182),AND(NOT($J$182),OR($G$182&lt;$H$182,$G$182&gt;$I$182)),FALSE)</f>
        <v/>
      </c>
      <c r="M182" t="inlineStr"/>
      <c r="N182" t="inlineStr">
        <is>
          <t>R_unit_refs;R_reference_real;W_wikipedia_lockheed_martin_f_22_raptor;R_unit_sheet;R_machine_brigade_can_bang;R_stealth_fighter</t>
        </is>
      </c>
      <c r="O182" t="inlineStr">
        <is>
          <t>modelSize của dữ liệu / kích thước thật (reference_real.json)</t>
        </is>
      </c>
      <c r="P182" t="inlineStr">
        <is>
          <t>01_chien_dau/Xe.model_size_length_m; Tools/models/reference_real.json</t>
        </is>
      </c>
      <c r="Q182" t="inlineStr"/>
    </row>
    <row r="183">
      <c r="A183" t="inlineStr">
        <is>
          <t>stealth_fighter/rong_m</t>
        </is>
      </c>
      <c r="B183" t="inlineStr">
        <is>
          <t>stealth_fighter</t>
        </is>
      </c>
      <c r="C183" t="inlineStr">
        <is>
          <t>rong_m</t>
        </is>
      </c>
      <c r="D183" t="inlineStr">
        <is>
          <t>m</t>
        </is>
      </c>
      <c r="E183">
        <f>INDEX(Xe!$EC$2:$EC$80,MATCH($B$183,Xe!$A$2:$A$80,0))</f>
        <v/>
      </c>
      <c r="F183">
        <f>INDEX(Phuong_tien_tham_chieu!$T$2:$T$104,MATCH("stealth_fighter",Phuong_tien_tham_chieu!$A$2:$A$104,0))</f>
        <v/>
      </c>
      <c r="G183">
        <f>$E$183/$F$183</f>
        <v/>
      </c>
      <c r="H183" t="n">
        <v>0.7</v>
      </c>
      <c r="I183" t="n">
        <v>1.4</v>
      </c>
      <c r="J183" t="b">
        <v>1</v>
      </c>
      <c r="K183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83">
        <f>IF(ISNUMBER($H$183),AND(NOT($J$183),OR($G$183&lt;$H$183,$G$183&gt;$I$183)),FALSE)</f>
        <v/>
      </c>
      <c r="M183" t="inlineStr"/>
      <c r="N183" t="inlineStr">
        <is>
          <t>R_unit_refs;R_reference_real;W_wikipedia_lockheed_martin_f_22_raptor;R_unit_sheet;R_machine_brigade_can_bang;R_stealth_fighter</t>
        </is>
      </c>
      <c r="O183" t="inlineStr">
        <is>
          <t>modelSize của dữ liệu / kích thước thật (reference_real.json)</t>
        </is>
      </c>
      <c r="P183" t="inlineStr">
        <is>
          <t>01_chien_dau/Xe.model_size_width_m; Tools/models/reference_real.json</t>
        </is>
      </c>
      <c r="Q183" t="inlineStr"/>
    </row>
    <row r="184">
      <c r="A184" t="inlineStr">
        <is>
          <t>stealth_fighter/rong_tren_dai</t>
        </is>
      </c>
      <c r="B184" t="inlineStr">
        <is>
          <t>stealth_fighter</t>
        </is>
      </c>
      <c r="C184" t="inlineStr">
        <is>
          <t>rong_tren_dai</t>
        </is>
      </c>
      <c r="D184" t="inlineStr"/>
      <c r="E184">
        <f>INDEX(Xe!$EC$2:$EC$80,MATCH($B$184,Xe!$A$2:$A$80,0))/INDEX(Xe!$EB$2:$EB$80,MATCH($B$184,Xe!$A$2:$A$80,0))</f>
        <v/>
      </c>
      <c r="F184">
        <f>INDEX(Phuong_tien_tham_chieu!$T$2:$T$104,MATCH("stealth_fighter",Phuong_tien_tham_chieu!$A$2:$A$104,0))/INDEX(Phuong_tien_tham_chieu!$S$2:$S$104,MATCH("stealth_fighter",Phuong_tien_tham_chieu!$A$2:$A$104,0))</f>
        <v/>
      </c>
      <c r="G184">
        <f>$E$184/$F$184</f>
        <v/>
      </c>
      <c r="H184" t="n">
        <v>0.9</v>
      </c>
      <c r="I184" t="n">
        <v>1.1</v>
      </c>
      <c r="J184" t="b">
        <v>0</v>
      </c>
      <c r="K184" t="inlineStr"/>
      <c r="L184">
        <f>IF(ISNUMBER($H$184),AND(NOT($J$184),OR($G$184&lt;$H$184,$G$184&gt;$I$184)),FALSE)</f>
        <v/>
      </c>
      <c r="M184" t="inlineStr"/>
      <c r="N184" t="inlineStr">
        <is>
          <t>R_unit_refs;R_reference_real;W_wikipedia_lockheed_martin_f_22_raptor;R_unit_sheet;R_machine_brigade_can_bang;R_stealth_fighter</t>
        </is>
      </c>
      <c r="O184" t="inlineStr">
        <is>
          <t>tỷ lệ hình (MODEL_STANDARD 3.1: lệch quá 10 % là cờ)</t>
        </is>
      </c>
      <c r="P184" t="inlineStr">
        <is>
          <t>01_chien_dau/Xe; Tools/models/reference_real.json</t>
        </is>
      </c>
      <c r="Q184" t="inlineStr"/>
    </row>
    <row r="185">
      <c r="A185" t="inlineStr">
        <is>
          <t>stealth_naval_strike/cao_m</t>
        </is>
      </c>
      <c r="B185" t="inlineStr">
        <is>
          <t>stealth_naval_strike</t>
        </is>
      </c>
      <c r="C185" t="inlineStr">
        <is>
          <t>cao_m</t>
        </is>
      </c>
      <c r="D185" t="inlineStr">
        <is>
          <t>m</t>
        </is>
      </c>
      <c r="E185">
        <f>INDEX(Xe!$EA$2:$EA$80,MATCH($B$185,Xe!$A$2:$A$80,0))</f>
        <v/>
      </c>
      <c r="F185">
        <f>INDEX(Phuong_tien_tham_chieu!$U$2:$U$104,MATCH("stealth_naval_strike",Phuong_tien_tham_chieu!$A$2:$A$104,0))</f>
        <v/>
      </c>
      <c r="G185">
        <f>$E$185/$F$185</f>
        <v/>
      </c>
      <c r="H185" t="n">
        <v>0.7</v>
      </c>
      <c r="I185" t="n">
        <v>1.4</v>
      </c>
      <c r="J185" t="b">
        <v>1</v>
      </c>
      <c r="K185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85">
        <f>IF(ISNUMBER($H$185),AND(NOT($J$185),OR($G$185&lt;$H$185,$G$185&gt;$I$185)),FALSE)</f>
        <v/>
      </c>
      <c r="M185" t="inlineStr"/>
      <c r="N185" t="inlineStr">
        <is>
          <t>R_reference_real;W_wikipedia_northrop_b_2_spirit;R_stealth_naval_strike</t>
        </is>
      </c>
      <c r="O185" t="inlineStr">
        <is>
          <t>modelSize của dữ liệu / kích thước thật (reference_real.json)</t>
        </is>
      </c>
      <c r="P185" t="inlineStr">
        <is>
          <t>01_chien_dau/Xe.model_size_height_m; Tools/models/reference_real.json</t>
        </is>
      </c>
      <c r="Q185" t="inlineStr"/>
    </row>
    <row r="186">
      <c r="A186" t="inlineStr">
        <is>
          <t>stealth_naval_strike/cao_tren_dai</t>
        </is>
      </c>
      <c r="B186" t="inlineStr">
        <is>
          <t>stealth_naval_strike</t>
        </is>
      </c>
      <c r="C186" t="inlineStr">
        <is>
          <t>cao_tren_dai</t>
        </is>
      </c>
      <c r="D186" t="inlineStr"/>
      <c r="E186">
        <f>INDEX(Xe!$EA$2:$EA$80,MATCH($B$186,Xe!$A$2:$A$80,0))/INDEX(Xe!$EB$2:$EB$80,MATCH($B$186,Xe!$A$2:$A$80,0))</f>
        <v/>
      </c>
      <c r="F186">
        <f>INDEX(Phuong_tien_tham_chieu!$U$2:$U$104,MATCH("stealth_naval_strike",Phuong_tien_tham_chieu!$A$2:$A$104,0))/INDEX(Phuong_tien_tham_chieu!$S$2:$S$104,MATCH("stealth_naval_strike",Phuong_tien_tham_chieu!$A$2:$A$104,0))</f>
        <v/>
      </c>
      <c r="G186">
        <f>$E$186/$F$186</f>
        <v/>
      </c>
      <c r="H186" t="n">
        <v>0.9</v>
      </c>
      <c r="I186" t="n">
        <v>1.1</v>
      </c>
      <c r="J186" t="b">
        <v>0</v>
      </c>
      <c r="K186" t="inlineStr"/>
      <c r="L186">
        <f>IF(ISNUMBER($H$186),AND(NOT($J$186),OR($G$186&lt;$H$186,$G$186&gt;$I$186)),FALSE)</f>
        <v/>
      </c>
      <c r="M186" t="inlineStr">
        <is>
          <t>TC0095</t>
        </is>
      </c>
      <c r="N186" t="inlineStr">
        <is>
          <t>R_reference_real;W_wikipedia_northrop_b_2_spirit;R_stealth_naval_strike</t>
        </is>
      </c>
      <c r="O186" t="inlineStr">
        <is>
          <t>tỷ lệ hình (MODEL_STANDARD 3.1: lệch quá 10 % là cờ)</t>
        </is>
      </c>
      <c r="P186" t="inlineStr">
        <is>
          <t>01_chien_dau/Xe; Tools/models/reference_real.json</t>
        </is>
      </c>
      <c r="Q186" t="inlineStr"/>
    </row>
    <row r="187">
      <c r="A187" t="inlineStr">
        <is>
          <t>stealth_naval_strike/dai_m</t>
        </is>
      </c>
      <c r="B187" t="inlineStr">
        <is>
          <t>stealth_naval_strike</t>
        </is>
      </c>
      <c r="C187" t="inlineStr">
        <is>
          <t>dai_m</t>
        </is>
      </c>
      <c r="D187" t="inlineStr">
        <is>
          <t>m</t>
        </is>
      </c>
      <c r="E187">
        <f>INDEX(Xe!$EB$2:$EB$80,MATCH($B$187,Xe!$A$2:$A$80,0))</f>
        <v/>
      </c>
      <c r="F187">
        <f>INDEX(Phuong_tien_tham_chieu!$S$2:$S$104,MATCH("stealth_naval_strike",Phuong_tien_tham_chieu!$A$2:$A$104,0))</f>
        <v/>
      </c>
      <c r="G187">
        <f>$E$187/$F$187</f>
        <v/>
      </c>
      <c r="H187" t="n">
        <v>0.7</v>
      </c>
      <c r="I187" t="n">
        <v>1.4</v>
      </c>
      <c r="J187" t="b">
        <v>1</v>
      </c>
      <c r="K187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87">
        <f>IF(ISNUMBER($H$187),AND(NOT($J$187),OR($G$187&lt;$H$187,$G$187&gt;$I$187)),FALSE)</f>
        <v/>
      </c>
      <c r="M187" t="inlineStr"/>
      <c r="N187" t="inlineStr">
        <is>
          <t>R_reference_real;W_wikipedia_northrop_b_2_spirit;R_stealth_naval_strike</t>
        </is>
      </c>
      <c r="O187" t="inlineStr">
        <is>
          <t>modelSize của dữ liệu / kích thước thật (reference_real.json)</t>
        </is>
      </c>
      <c r="P187" t="inlineStr">
        <is>
          <t>01_chien_dau/Xe.model_size_length_m; Tools/models/reference_real.json</t>
        </is>
      </c>
      <c r="Q187" t="inlineStr"/>
    </row>
    <row r="188">
      <c r="A188" t="inlineStr">
        <is>
          <t>stealth_naval_strike/rong_m</t>
        </is>
      </c>
      <c r="B188" t="inlineStr">
        <is>
          <t>stealth_naval_strike</t>
        </is>
      </c>
      <c r="C188" t="inlineStr">
        <is>
          <t>rong_m</t>
        </is>
      </c>
      <c r="D188" t="inlineStr">
        <is>
          <t>m</t>
        </is>
      </c>
      <c r="E188">
        <f>INDEX(Xe!$EC$2:$EC$80,MATCH($B$188,Xe!$A$2:$A$80,0))</f>
        <v/>
      </c>
      <c r="F188">
        <f>INDEX(Phuong_tien_tham_chieu!$T$2:$T$104,MATCH("stealth_naval_strike",Phuong_tien_tham_chieu!$A$2:$A$104,0))</f>
        <v/>
      </c>
      <c r="G188">
        <f>$E$188/$F$188</f>
        <v/>
      </c>
      <c r="H188" t="n">
        <v>0.7</v>
      </c>
      <c r="I188" t="n">
        <v>1.4</v>
      </c>
      <c r="J188" t="b">
        <v>1</v>
      </c>
      <c r="K188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88">
        <f>IF(ISNUMBER($H$188),AND(NOT($J$188),OR($G$188&lt;$H$188,$G$188&gt;$I$188)),FALSE)</f>
        <v/>
      </c>
      <c r="M188" t="inlineStr"/>
      <c r="N188" t="inlineStr">
        <is>
          <t>R_reference_real;W_wikipedia_northrop_b_2_spirit;R_stealth_naval_strike</t>
        </is>
      </c>
      <c r="O188" t="inlineStr">
        <is>
          <t>modelSize của dữ liệu / kích thước thật (reference_real.json)</t>
        </is>
      </c>
      <c r="P188" t="inlineStr">
        <is>
          <t>01_chien_dau/Xe.model_size_width_m; Tools/models/reference_real.json</t>
        </is>
      </c>
      <c r="Q188" t="inlineStr"/>
    </row>
    <row r="189">
      <c r="A189" t="inlineStr">
        <is>
          <t>stealth_naval_strike/rong_tren_dai</t>
        </is>
      </c>
      <c r="B189" t="inlineStr">
        <is>
          <t>stealth_naval_strike</t>
        </is>
      </c>
      <c r="C189" t="inlineStr">
        <is>
          <t>rong_tren_dai</t>
        </is>
      </c>
      <c r="D189" t="inlineStr"/>
      <c r="E189">
        <f>INDEX(Xe!$EC$2:$EC$80,MATCH($B$189,Xe!$A$2:$A$80,0))/INDEX(Xe!$EB$2:$EB$80,MATCH($B$189,Xe!$A$2:$A$80,0))</f>
        <v/>
      </c>
      <c r="F189">
        <f>INDEX(Phuong_tien_tham_chieu!$T$2:$T$104,MATCH("stealth_naval_strike",Phuong_tien_tham_chieu!$A$2:$A$104,0))/INDEX(Phuong_tien_tham_chieu!$S$2:$S$104,MATCH("stealth_naval_strike",Phuong_tien_tham_chieu!$A$2:$A$104,0))</f>
        <v/>
      </c>
      <c r="G189">
        <f>$E$189/$F$189</f>
        <v/>
      </c>
      <c r="H189" t="n">
        <v>0.9</v>
      </c>
      <c r="I189" t="n">
        <v>1.1</v>
      </c>
      <c r="J189" t="b">
        <v>0</v>
      </c>
      <c r="K189" t="inlineStr"/>
      <c r="L189">
        <f>IF(ISNUMBER($H$189),AND(NOT($J$189),OR($G$189&lt;$H$189,$G$189&gt;$I$189)),FALSE)</f>
        <v/>
      </c>
      <c r="M189" t="inlineStr"/>
      <c r="N189" t="inlineStr">
        <is>
          <t>R_reference_real;W_wikipedia_northrop_b_2_spirit;R_stealth_naval_strike</t>
        </is>
      </c>
      <c r="O189" t="inlineStr">
        <is>
          <t>tỷ lệ hình (MODEL_STANDARD 3.1: lệch quá 10 % là cờ)</t>
        </is>
      </c>
      <c r="P189" t="inlineStr">
        <is>
          <t>01_chien_dau/Xe; Tools/models/reference_real.json</t>
        </is>
      </c>
      <c r="Q189" t="inlineStr"/>
    </row>
    <row r="190">
      <c r="A190" t="inlineStr">
        <is>
          <t>strike_drone/cao_m</t>
        </is>
      </c>
      <c r="B190" t="inlineStr">
        <is>
          <t>strike_drone</t>
        </is>
      </c>
      <c r="C190" t="inlineStr">
        <is>
          <t>cao_m</t>
        </is>
      </c>
      <c r="D190" t="inlineStr">
        <is>
          <t>m</t>
        </is>
      </c>
      <c r="E190">
        <f>INDEX(Xe!$EA$2:$EA$80,MATCH($B$190,Xe!$A$2:$A$80,0))</f>
        <v/>
      </c>
      <c r="F190">
        <f>INDEX(Phuong_tien_tham_chieu!$U$2:$U$104,MATCH("strike_drone",Phuong_tien_tham_chieu!$A$2:$A$104,0))</f>
        <v/>
      </c>
      <c r="G190">
        <f>$E$190/$F$190</f>
        <v/>
      </c>
      <c r="H190" t="n">
        <v>0.7</v>
      </c>
      <c r="I190" t="n">
        <v>1.4</v>
      </c>
      <c r="J190" t="b">
        <v>1</v>
      </c>
      <c r="K190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90">
        <f>IF(ISNUMBER($H$190),AND(NOT($J$190),OR($G$190&lt;$H$190,$G$190&gt;$I$190)),FALSE)</f>
        <v/>
      </c>
      <c r="M190" t="inlineStr"/>
      <c r="N190" t="inlineStr">
        <is>
          <t>R_unit_refs;R_reference_real;W_wikipedia_general_atomics_mq_9_reaper;R_unit_sheet;R_machine_brigade_can_bang;R_strike_drone</t>
        </is>
      </c>
      <c r="O190" t="inlineStr">
        <is>
          <t>modelSize của dữ liệu / kích thước thật (reference_real.json)</t>
        </is>
      </c>
      <c r="P190" t="inlineStr">
        <is>
          <t>01_chien_dau/Xe.model_size_height_m; Tools/models/reference_real.json</t>
        </is>
      </c>
      <c r="Q190" t="inlineStr"/>
    </row>
    <row r="191">
      <c r="A191" t="inlineStr">
        <is>
          <t>strike_drone/cao_tren_dai</t>
        </is>
      </c>
      <c r="B191" t="inlineStr">
        <is>
          <t>strike_drone</t>
        </is>
      </c>
      <c r="C191" t="inlineStr">
        <is>
          <t>cao_tren_dai</t>
        </is>
      </c>
      <c r="D191" t="inlineStr"/>
      <c r="E191">
        <f>INDEX(Xe!$EA$2:$EA$80,MATCH($B$191,Xe!$A$2:$A$80,0))/INDEX(Xe!$EB$2:$EB$80,MATCH($B$191,Xe!$A$2:$A$80,0))</f>
        <v/>
      </c>
      <c r="F191">
        <f>INDEX(Phuong_tien_tham_chieu!$U$2:$U$104,MATCH("strike_drone",Phuong_tien_tham_chieu!$A$2:$A$104,0))/INDEX(Phuong_tien_tham_chieu!$S$2:$S$104,MATCH("strike_drone",Phuong_tien_tham_chieu!$A$2:$A$104,0))</f>
        <v/>
      </c>
      <c r="G191">
        <f>$E$191/$F$191</f>
        <v/>
      </c>
      <c r="H191" t="n">
        <v>0.9</v>
      </c>
      <c r="I191" t="n">
        <v>1.1</v>
      </c>
      <c r="J191" t="b">
        <v>0</v>
      </c>
      <c r="K191" t="inlineStr"/>
      <c r="L191">
        <f>IF(ISNUMBER($H$191),AND(NOT($J$191),OR($G$191&lt;$H$191,$G$191&gt;$I$191)),FALSE)</f>
        <v/>
      </c>
      <c r="M191" t="inlineStr">
        <is>
          <t>TC0096</t>
        </is>
      </c>
      <c r="N191" t="inlineStr">
        <is>
          <t>R_unit_refs;R_reference_real;W_wikipedia_general_atomics_mq_9_reaper;R_unit_sheet;R_machine_brigade_can_bang;R_strike_drone</t>
        </is>
      </c>
      <c r="O191" t="inlineStr">
        <is>
          <t>tỷ lệ hình (MODEL_STANDARD 3.1: lệch quá 10 % là cờ)</t>
        </is>
      </c>
      <c r="P191" t="inlineStr">
        <is>
          <t>01_chien_dau/Xe; Tools/models/reference_real.json</t>
        </is>
      </c>
      <c r="Q191" t="inlineStr"/>
    </row>
    <row r="192">
      <c r="A192" t="inlineStr">
        <is>
          <t>strike_drone/dai_m</t>
        </is>
      </c>
      <c r="B192" t="inlineStr">
        <is>
          <t>strike_drone</t>
        </is>
      </c>
      <c r="C192" t="inlineStr">
        <is>
          <t>dai_m</t>
        </is>
      </c>
      <c r="D192" t="inlineStr">
        <is>
          <t>m</t>
        </is>
      </c>
      <c r="E192">
        <f>INDEX(Xe!$EB$2:$EB$80,MATCH($B$192,Xe!$A$2:$A$80,0))</f>
        <v/>
      </c>
      <c r="F192">
        <f>INDEX(Phuong_tien_tham_chieu!$S$2:$S$104,MATCH("strike_drone",Phuong_tien_tham_chieu!$A$2:$A$104,0))</f>
        <v/>
      </c>
      <c r="G192">
        <f>$E$192/$F$192</f>
        <v/>
      </c>
      <c r="H192" t="n">
        <v>0.7</v>
      </c>
      <c r="I192" t="n">
        <v>1.4</v>
      </c>
      <c r="J192" t="b">
        <v>1</v>
      </c>
      <c r="K192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92">
        <f>IF(ISNUMBER($H$192),AND(NOT($J$192),OR($G$192&lt;$H$192,$G$192&gt;$I$192)),FALSE)</f>
        <v/>
      </c>
      <c r="M192" t="inlineStr"/>
      <c r="N192" t="inlineStr">
        <is>
          <t>R_unit_refs;R_reference_real;W_wikipedia_general_atomics_mq_9_reaper;R_unit_sheet;R_machine_brigade_can_bang;R_strike_drone</t>
        </is>
      </c>
      <c r="O192" t="inlineStr">
        <is>
          <t>modelSize của dữ liệu / kích thước thật (reference_real.json)</t>
        </is>
      </c>
      <c r="P192" t="inlineStr">
        <is>
          <t>01_chien_dau/Xe.model_size_length_m; Tools/models/reference_real.json</t>
        </is>
      </c>
      <c r="Q192" t="inlineStr"/>
    </row>
    <row r="193">
      <c r="A193" t="inlineStr">
        <is>
          <t>strike_drone/rong_m</t>
        </is>
      </c>
      <c r="B193" t="inlineStr">
        <is>
          <t>strike_drone</t>
        </is>
      </c>
      <c r="C193" t="inlineStr">
        <is>
          <t>rong_m</t>
        </is>
      </c>
      <c r="D193" t="inlineStr">
        <is>
          <t>m</t>
        </is>
      </c>
      <c r="E193">
        <f>INDEX(Xe!$EC$2:$EC$80,MATCH($B$193,Xe!$A$2:$A$80,0))</f>
        <v/>
      </c>
      <c r="F193">
        <f>INDEX(Phuong_tien_tham_chieu!$T$2:$T$104,MATCH("strike_drone",Phuong_tien_tham_chieu!$A$2:$A$104,0))</f>
        <v/>
      </c>
      <c r="G193">
        <f>$E$193/$F$193</f>
        <v/>
      </c>
      <c r="H193" t="n">
        <v>0.7</v>
      </c>
      <c r="I193" t="n">
        <v>1.4</v>
      </c>
      <c r="J193" t="b">
        <v>1</v>
      </c>
      <c r="K193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193">
        <f>IF(ISNUMBER($H$193),AND(NOT($J$193),OR($G$193&lt;$H$193,$G$193&gt;$I$193)),FALSE)</f>
        <v/>
      </c>
      <c r="M193" t="inlineStr"/>
      <c r="N193" t="inlineStr">
        <is>
          <t>R_unit_refs;R_reference_real;W_wikipedia_general_atomics_mq_9_reaper;R_unit_sheet;R_machine_brigade_can_bang;R_strike_drone</t>
        </is>
      </c>
      <c r="O193" t="inlineStr">
        <is>
          <t>modelSize của dữ liệu / kích thước thật (reference_real.json)</t>
        </is>
      </c>
      <c r="P193" t="inlineStr">
        <is>
          <t>01_chien_dau/Xe.model_size_width_m; Tools/models/reference_real.json</t>
        </is>
      </c>
      <c r="Q193" t="inlineStr"/>
    </row>
    <row r="194">
      <c r="A194" t="inlineStr">
        <is>
          <t>strike_drone/rong_tren_dai</t>
        </is>
      </c>
      <c r="B194" t="inlineStr">
        <is>
          <t>strike_drone</t>
        </is>
      </c>
      <c r="C194" t="inlineStr">
        <is>
          <t>rong_tren_dai</t>
        </is>
      </c>
      <c r="D194" t="inlineStr"/>
      <c r="E194">
        <f>INDEX(Xe!$EC$2:$EC$80,MATCH($B$194,Xe!$A$2:$A$80,0))/INDEX(Xe!$EB$2:$EB$80,MATCH($B$194,Xe!$A$2:$A$80,0))</f>
        <v/>
      </c>
      <c r="F194">
        <f>INDEX(Phuong_tien_tham_chieu!$T$2:$T$104,MATCH("strike_drone",Phuong_tien_tham_chieu!$A$2:$A$104,0))/INDEX(Phuong_tien_tham_chieu!$S$2:$S$104,MATCH("strike_drone",Phuong_tien_tham_chieu!$A$2:$A$104,0))</f>
        <v/>
      </c>
      <c r="G194">
        <f>$E$194/$F$194</f>
        <v/>
      </c>
      <c r="H194" t="n">
        <v>0.9</v>
      </c>
      <c r="I194" t="n">
        <v>1.1</v>
      </c>
      <c r="J194" t="b">
        <v>0</v>
      </c>
      <c r="K194" t="inlineStr"/>
      <c r="L194">
        <f>IF(ISNUMBER($H$194),AND(NOT($J$194),OR($G$194&lt;$H$194,$G$194&gt;$I$194)),FALSE)</f>
        <v/>
      </c>
      <c r="M194" t="inlineStr"/>
      <c r="N194" t="inlineStr">
        <is>
          <t>R_unit_refs;R_reference_real;W_wikipedia_general_atomics_mq_9_reaper;R_unit_sheet;R_machine_brigade_can_bang;R_strike_drone</t>
        </is>
      </c>
      <c r="O194" t="inlineStr">
        <is>
          <t>tỷ lệ hình (MODEL_STANDARD 3.1: lệch quá 10 % là cờ)</t>
        </is>
      </c>
      <c r="P194" t="inlineStr">
        <is>
          <t>01_chien_dau/Xe; Tools/models/reference_real.json</t>
        </is>
      </c>
      <c r="Q194" t="inlineStr"/>
    </row>
    <row r="195">
      <c r="A195" t="inlineStr">
        <is>
          <t>supply_truck/cao_m</t>
        </is>
      </c>
      <c r="B195" t="inlineStr">
        <is>
          <t>supply_truck</t>
        </is>
      </c>
      <c r="C195" t="inlineStr">
        <is>
          <t>cao_m</t>
        </is>
      </c>
      <c r="D195" t="inlineStr">
        <is>
          <t>m</t>
        </is>
      </c>
      <c r="E195">
        <f>INDEX(Xe!$EA$2:$EA$80,MATCH($B$195,Xe!$A$2:$A$80,0))</f>
        <v/>
      </c>
      <c r="F195">
        <f>INDEX(Phuong_tien_tham_chieu!$U$2:$U$104,MATCH("supply_truck",Phuong_tien_tham_chieu!$A$2:$A$104,0))</f>
        <v/>
      </c>
      <c r="G195">
        <f>$E$195/$F$195</f>
        <v/>
      </c>
      <c r="H195" t="n">
        <v>0.7</v>
      </c>
      <c r="I195" t="n">
        <v>1.4</v>
      </c>
      <c r="J195" t="b">
        <v>0</v>
      </c>
      <c r="K195" t="inlineStr"/>
      <c r="L195">
        <f>IF(ISNUMBER($H$195),AND(NOT($J$195),OR($G$195&lt;$H$195,$G$195&gt;$I$195)),FALSE)</f>
        <v/>
      </c>
      <c r="M195" t="inlineStr"/>
      <c r="N195" t="inlineStr">
        <is>
          <t>R_unit_refs;R_reference_real;W_wikipedia_heavy_expanded_mobility_tactical_t;R_unit_sheet;R_machine_brigade_can_bang;R_supply_truck</t>
        </is>
      </c>
      <c r="O195" t="inlineStr">
        <is>
          <t>modelSize của dữ liệu / kích thước thật (reference_real.json)</t>
        </is>
      </c>
      <c r="P195" t="inlineStr">
        <is>
          <t>01_chien_dau/Xe.model_size_height_m; Tools/models/reference_real.json</t>
        </is>
      </c>
      <c r="Q195" t="inlineStr"/>
    </row>
    <row r="196">
      <c r="A196" t="inlineStr">
        <is>
          <t>supply_truck/cao_tren_dai</t>
        </is>
      </c>
      <c r="B196" t="inlineStr">
        <is>
          <t>supply_truck</t>
        </is>
      </c>
      <c r="C196" t="inlineStr">
        <is>
          <t>cao_tren_dai</t>
        </is>
      </c>
      <c r="D196" t="inlineStr"/>
      <c r="E196">
        <f>INDEX(Xe!$EA$2:$EA$80,MATCH($B$196,Xe!$A$2:$A$80,0))/INDEX(Xe!$EB$2:$EB$80,MATCH($B$196,Xe!$A$2:$A$80,0))</f>
        <v/>
      </c>
      <c r="F196">
        <f>INDEX(Phuong_tien_tham_chieu!$U$2:$U$104,MATCH("supply_truck",Phuong_tien_tham_chieu!$A$2:$A$104,0))/INDEX(Phuong_tien_tham_chieu!$S$2:$S$104,MATCH("supply_truck",Phuong_tien_tham_chieu!$A$2:$A$104,0))</f>
        <v/>
      </c>
      <c r="G196">
        <f>$E$196/$F$196</f>
        <v/>
      </c>
      <c r="H196" t="n">
        <v>0.9</v>
      </c>
      <c r="I196" t="n">
        <v>1.1</v>
      </c>
      <c r="J196" t="b">
        <v>0</v>
      </c>
      <c r="K196" t="inlineStr"/>
      <c r="L196">
        <f>IF(ISNUMBER($H$196),AND(NOT($J$196),OR($G$196&lt;$H$196,$G$196&gt;$I$196)),FALSE)</f>
        <v/>
      </c>
      <c r="M196" t="inlineStr"/>
      <c r="N196" t="inlineStr">
        <is>
          <t>R_unit_refs;R_reference_real;W_wikipedia_heavy_expanded_mobility_tactical_t;R_unit_sheet;R_machine_brigade_can_bang;R_supply_truck</t>
        </is>
      </c>
      <c r="O196" t="inlineStr">
        <is>
          <t>tỷ lệ hình (MODEL_STANDARD 3.1: lệch quá 10 % là cờ)</t>
        </is>
      </c>
      <c r="P196" t="inlineStr">
        <is>
          <t>01_chien_dau/Xe; Tools/models/reference_real.json</t>
        </is>
      </c>
      <c r="Q196" t="inlineStr"/>
    </row>
    <row r="197">
      <c r="A197" t="inlineStr">
        <is>
          <t>supply_truck/dai_m</t>
        </is>
      </c>
      <c r="B197" t="inlineStr">
        <is>
          <t>supply_truck</t>
        </is>
      </c>
      <c r="C197" t="inlineStr">
        <is>
          <t>dai_m</t>
        </is>
      </c>
      <c r="D197" t="inlineStr">
        <is>
          <t>m</t>
        </is>
      </c>
      <c r="E197">
        <f>INDEX(Xe!$EB$2:$EB$80,MATCH($B$197,Xe!$A$2:$A$80,0))</f>
        <v/>
      </c>
      <c r="F197">
        <f>INDEX(Phuong_tien_tham_chieu!$S$2:$S$104,MATCH("supply_truck",Phuong_tien_tham_chieu!$A$2:$A$104,0))</f>
        <v/>
      </c>
      <c r="G197">
        <f>$E$197/$F$197</f>
        <v/>
      </c>
      <c r="H197" t="n">
        <v>0.7</v>
      </c>
      <c r="I197" t="n">
        <v>1.4</v>
      </c>
      <c r="J197" t="b">
        <v>0</v>
      </c>
      <c r="K197" t="inlineStr"/>
      <c r="L197">
        <f>IF(ISNUMBER($H$197),AND(NOT($J$197),OR($G$197&lt;$H$197,$G$197&gt;$I$197)),FALSE)</f>
        <v/>
      </c>
      <c r="M197" t="inlineStr"/>
      <c r="N197" t="inlineStr">
        <is>
          <t>R_unit_refs;R_reference_real;W_wikipedia_heavy_expanded_mobility_tactical_t;R_unit_sheet;R_machine_brigade_can_bang;R_supply_truck</t>
        </is>
      </c>
      <c r="O197" t="inlineStr">
        <is>
          <t>modelSize của dữ liệu / kích thước thật (reference_real.json)</t>
        </is>
      </c>
      <c r="P197" t="inlineStr">
        <is>
          <t>01_chien_dau/Xe.model_size_length_m; Tools/models/reference_real.json</t>
        </is>
      </c>
      <c r="Q197" t="inlineStr"/>
    </row>
    <row r="198">
      <c r="A198" t="inlineStr">
        <is>
          <t>supply_truck/rong_m</t>
        </is>
      </c>
      <c r="B198" t="inlineStr">
        <is>
          <t>supply_truck</t>
        </is>
      </c>
      <c r="C198" t="inlineStr">
        <is>
          <t>rong_m</t>
        </is>
      </c>
      <c r="D198" t="inlineStr">
        <is>
          <t>m</t>
        </is>
      </c>
      <c r="E198">
        <f>INDEX(Xe!$EC$2:$EC$80,MATCH($B$198,Xe!$A$2:$A$80,0))</f>
        <v/>
      </c>
      <c r="F198">
        <f>INDEX(Phuong_tien_tham_chieu!$T$2:$T$104,MATCH("supply_truck",Phuong_tien_tham_chieu!$A$2:$A$104,0))</f>
        <v/>
      </c>
      <c r="G198">
        <f>$E$198/$F$198</f>
        <v/>
      </c>
      <c r="H198" t="n">
        <v>0.7</v>
      </c>
      <c r="I198" t="n">
        <v>1.4</v>
      </c>
      <c r="J198" t="b">
        <v>0</v>
      </c>
      <c r="K198" t="inlineStr"/>
      <c r="L198">
        <f>IF(ISNUMBER($H$198),AND(NOT($J$198),OR($G$198&lt;$H$198,$G$198&gt;$I$198)),FALSE)</f>
        <v/>
      </c>
      <c r="M198" t="inlineStr"/>
      <c r="N198" t="inlineStr">
        <is>
          <t>R_unit_refs;R_reference_real;W_wikipedia_heavy_expanded_mobility_tactical_t;R_unit_sheet;R_machine_brigade_can_bang;R_supply_truck</t>
        </is>
      </c>
      <c r="O198" t="inlineStr">
        <is>
          <t>modelSize của dữ liệu / kích thước thật (reference_real.json)</t>
        </is>
      </c>
      <c r="P198" t="inlineStr">
        <is>
          <t>01_chien_dau/Xe.model_size_width_m; Tools/models/reference_real.json</t>
        </is>
      </c>
      <c r="Q198" t="inlineStr"/>
    </row>
    <row r="199">
      <c r="A199" t="inlineStr">
        <is>
          <t>supply_truck/rong_tren_dai</t>
        </is>
      </c>
      <c r="B199" t="inlineStr">
        <is>
          <t>supply_truck</t>
        </is>
      </c>
      <c r="C199" t="inlineStr">
        <is>
          <t>rong_tren_dai</t>
        </is>
      </c>
      <c r="D199" t="inlineStr"/>
      <c r="E199">
        <f>INDEX(Xe!$EC$2:$EC$80,MATCH($B$199,Xe!$A$2:$A$80,0))/INDEX(Xe!$EB$2:$EB$80,MATCH($B$199,Xe!$A$2:$A$80,0))</f>
        <v/>
      </c>
      <c r="F199">
        <f>INDEX(Phuong_tien_tham_chieu!$T$2:$T$104,MATCH("supply_truck",Phuong_tien_tham_chieu!$A$2:$A$104,0))/INDEX(Phuong_tien_tham_chieu!$S$2:$S$104,MATCH("supply_truck",Phuong_tien_tham_chieu!$A$2:$A$104,0))</f>
        <v/>
      </c>
      <c r="G199">
        <f>$E$199/$F$199</f>
        <v/>
      </c>
      <c r="H199" t="n">
        <v>0.9</v>
      </c>
      <c r="I199" t="n">
        <v>1.1</v>
      </c>
      <c r="J199" t="b">
        <v>0</v>
      </c>
      <c r="K199" t="inlineStr"/>
      <c r="L199">
        <f>IF(ISNUMBER($H$199),AND(NOT($J$199),OR($G$199&lt;$H$199,$G$199&gt;$I$199)),FALSE)</f>
        <v/>
      </c>
      <c r="M199" t="inlineStr"/>
      <c r="N199" t="inlineStr">
        <is>
          <t>R_unit_refs;R_reference_real;W_wikipedia_heavy_expanded_mobility_tactical_t;R_unit_sheet;R_machine_brigade_can_bang;R_supply_truck</t>
        </is>
      </c>
      <c r="O199" t="inlineStr">
        <is>
          <t>tỷ lệ hình (MODEL_STANDARD 3.1: lệch quá 10 % là cờ)</t>
        </is>
      </c>
      <c r="P199" t="inlineStr">
        <is>
          <t>01_chien_dau/Xe; Tools/models/reference_real.json</t>
        </is>
      </c>
      <c r="Q199" t="inlineStr"/>
    </row>
    <row r="200">
      <c r="A200" t="inlineStr">
        <is>
          <t>swarm_carrier/cao_m</t>
        </is>
      </c>
      <c r="B200" t="inlineStr">
        <is>
          <t>swarm_carrier</t>
        </is>
      </c>
      <c r="C200" t="inlineStr">
        <is>
          <t>cao_m</t>
        </is>
      </c>
      <c r="D200" t="inlineStr">
        <is>
          <t>m</t>
        </is>
      </c>
      <c r="E200">
        <f>INDEX(Xe!$EA$2:$EA$80,MATCH($B$200,Xe!$A$2:$A$80,0))</f>
        <v/>
      </c>
      <c r="F200">
        <f>INDEX(Phuong_tien_tham_chieu!$U$2:$U$104,MATCH("swarm_carrier",Phuong_tien_tham_chieu!$A$2:$A$104,0))</f>
        <v/>
      </c>
      <c r="G200">
        <f>$E$200/$F$200</f>
        <v/>
      </c>
      <c r="H200" t="n">
        <v>0.7</v>
      </c>
      <c r="I200" t="n">
        <v>1.4</v>
      </c>
      <c r="J200" t="b">
        <v>1</v>
      </c>
      <c r="K200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200">
        <f>IF(ISNUMBER($H$200),AND(NOT($J$200),OR($G$200&lt;$H$200,$G$200&gt;$I$200)),FALSE)</f>
        <v/>
      </c>
      <c r="M200" t="inlineStr"/>
      <c r="N200" t="inlineStr">
        <is>
          <t>R_unit_refs;R_reference_real;W_wikipedia_lockheed_c_130_hercules;R_unit_sheet;R_machine_brigade_can_bang;R_swarm_carrier</t>
        </is>
      </c>
      <c r="O200" t="inlineStr">
        <is>
          <t>modelSize của dữ liệu / kích thước thật (reference_real.json)</t>
        </is>
      </c>
      <c r="P200" t="inlineStr">
        <is>
          <t>01_chien_dau/Xe.model_size_height_m; Tools/models/reference_real.json</t>
        </is>
      </c>
      <c r="Q200" t="inlineStr"/>
    </row>
    <row r="201">
      <c r="A201" t="inlineStr">
        <is>
          <t>swarm_carrier/cao_tren_dai</t>
        </is>
      </c>
      <c r="B201" t="inlineStr">
        <is>
          <t>swarm_carrier</t>
        </is>
      </c>
      <c r="C201" t="inlineStr">
        <is>
          <t>cao_tren_dai</t>
        </is>
      </c>
      <c r="D201" t="inlineStr"/>
      <c r="E201">
        <f>INDEX(Xe!$EA$2:$EA$80,MATCH($B$201,Xe!$A$2:$A$80,0))/INDEX(Xe!$EB$2:$EB$80,MATCH($B$201,Xe!$A$2:$A$80,0))</f>
        <v/>
      </c>
      <c r="F201">
        <f>INDEX(Phuong_tien_tham_chieu!$U$2:$U$104,MATCH("swarm_carrier",Phuong_tien_tham_chieu!$A$2:$A$104,0))/INDEX(Phuong_tien_tham_chieu!$S$2:$S$104,MATCH("swarm_carrier",Phuong_tien_tham_chieu!$A$2:$A$104,0))</f>
        <v/>
      </c>
      <c r="G201">
        <f>$E$201/$F$201</f>
        <v/>
      </c>
      <c r="H201" t="n">
        <v>0.9</v>
      </c>
      <c r="I201" t="n">
        <v>1.1</v>
      </c>
      <c r="J201" t="b">
        <v>0</v>
      </c>
      <c r="K201" t="inlineStr"/>
      <c r="L201">
        <f>IF(ISNUMBER($H$201),AND(NOT($J$201),OR($G$201&lt;$H$201,$G$201&gt;$I$201)),FALSE)</f>
        <v/>
      </c>
      <c r="M201" t="inlineStr"/>
      <c r="N201" t="inlineStr">
        <is>
          <t>R_unit_refs;R_reference_real;W_wikipedia_lockheed_c_130_hercules;R_unit_sheet;R_machine_brigade_can_bang;R_swarm_carrier</t>
        </is>
      </c>
      <c r="O201" t="inlineStr">
        <is>
          <t>tỷ lệ hình (MODEL_STANDARD 3.1: lệch quá 10 % là cờ)</t>
        </is>
      </c>
      <c r="P201" t="inlineStr">
        <is>
          <t>01_chien_dau/Xe; Tools/models/reference_real.json</t>
        </is>
      </c>
      <c r="Q201" t="inlineStr"/>
    </row>
    <row r="202">
      <c r="A202" t="inlineStr">
        <is>
          <t>swarm_carrier/dai_m</t>
        </is>
      </c>
      <c r="B202" t="inlineStr">
        <is>
          <t>swarm_carrier</t>
        </is>
      </c>
      <c r="C202" t="inlineStr">
        <is>
          <t>dai_m</t>
        </is>
      </c>
      <c r="D202" t="inlineStr">
        <is>
          <t>m</t>
        </is>
      </c>
      <c r="E202">
        <f>INDEX(Xe!$EB$2:$EB$80,MATCH($B$202,Xe!$A$2:$A$80,0))</f>
        <v/>
      </c>
      <c r="F202">
        <f>INDEX(Phuong_tien_tham_chieu!$S$2:$S$104,MATCH("swarm_carrier",Phuong_tien_tham_chieu!$A$2:$A$104,0))</f>
        <v/>
      </c>
      <c r="G202">
        <f>$E$202/$F$202</f>
        <v/>
      </c>
      <c r="H202" t="n">
        <v>0.7</v>
      </c>
      <c r="I202" t="n">
        <v>1.4</v>
      </c>
      <c r="J202" t="b">
        <v>1</v>
      </c>
      <c r="K202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202">
        <f>IF(ISNUMBER($H$202),AND(NOT($J$202),OR($G$202&lt;$H$202,$G$202&gt;$I$202)),FALSE)</f>
        <v/>
      </c>
      <c r="M202" t="inlineStr"/>
      <c r="N202" t="inlineStr">
        <is>
          <t>R_unit_refs;R_reference_real;W_wikipedia_lockheed_c_130_hercules;R_unit_sheet;R_machine_brigade_can_bang;R_swarm_carrier</t>
        </is>
      </c>
      <c r="O202" t="inlineStr">
        <is>
          <t>modelSize của dữ liệu / kích thước thật (reference_real.json)</t>
        </is>
      </c>
      <c r="P202" t="inlineStr">
        <is>
          <t>01_chien_dau/Xe.model_size_length_m; Tools/models/reference_real.json</t>
        </is>
      </c>
      <c r="Q202" t="inlineStr"/>
    </row>
    <row r="203">
      <c r="A203" t="inlineStr">
        <is>
          <t>swarm_carrier/rong_m</t>
        </is>
      </c>
      <c r="B203" t="inlineStr">
        <is>
          <t>swarm_carrier</t>
        </is>
      </c>
      <c r="C203" t="inlineStr">
        <is>
          <t>rong_m</t>
        </is>
      </c>
      <c r="D203" t="inlineStr">
        <is>
          <t>m</t>
        </is>
      </c>
      <c r="E203">
        <f>INDEX(Xe!$EC$2:$EC$80,MATCH($B$203,Xe!$A$2:$A$80,0))</f>
        <v/>
      </c>
      <c r="F203">
        <f>INDEX(Phuong_tien_tham_chieu!$T$2:$T$104,MATCH("swarm_carrier",Phuong_tien_tham_chieu!$A$2:$A$104,0))</f>
        <v/>
      </c>
      <c r="G203">
        <f>$E$203/$F$203</f>
        <v/>
      </c>
      <c r="H203" t="n">
        <v>0.7</v>
      </c>
      <c r="I203" t="n">
        <v>1.4</v>
      </c>
      <c r="J203" t="b">
        <v>1</v>
      </c>
      <c r="K203" t="inlineStr">
        <is>
          <t>Docs/balance/Machine_Brigade_Can_bang.xlsx, sheet Hướng dẫn vẽ: máy bay, trực thăng 0,4 × thật (Mặt đất 0,8 × thật; máy bay, trực thăng 0,4 × thật; đạn phóng từ mặt đất 0,8 ×, từ máy bay 0,5 ×, tối thiểu 0,8 m; boss ×1,3–1,5 so với mẫu gốc. Trong cùng lớp,)</t>
        </is>
      </c>
      <c r="L203">
        <f>IF(ISNUMBER($H$203),AND(NOT($J$203),OR($G$203&lt;$H$203,$G$203&gt;$I$203)),FALSE)</f>
        <v/>
      </c>
      <c r="M203" t="inlineStr"/>
      <c r="N203" t="inlineStr">
        <is>
          <t>R_unit_refs;R_reference_real;W_wikipedia_lockheed_c_130_hercules;R_unit_sheet;R_machine_brigade_can_bang;R_swarm_carrier</t>
        </is>
      </c>
      <c r="O203" t="inlineStr">
        <is>
          <t>modelSize của dữ liệu / kích thước thật (reference_real.json)</t>
        </is>
      </c>
      <c r="P203" t="inlineStr">
        <is>
          <t>01_chien_dau/Xe.model_size_width_m; Tools/models/reference_real.json</t>
        </is>
      </c>
      <c r="Q203" t="inlineStr"/>
    </row>
    <row r="204">
      <c r="A204" t="inlineStr">
        <is>
          <t>swarm_carrier/rong_tren_dai</t>
        </is>
      </c>
      <c r="B204" t="inlineStr">
        <is>
          <t>swarm_carrier</t>
        </is>
      </c>
      <c r="C204" t="inlineStr">
        <is>
          <t>rong_tren_dai</t>
        </is>
      </c>
      <c r="D204" t="inlineStr"/>
      <c r="E204">
        <f>INDEX(Xe!$EC$2:$EC$80,MATCH($B$204,Xe!$A$2:$A$80,0))/INDEX(Xe!$EB$2:$EB$80,MATCH($B$204,Xe!$A$2:$A$80,0))</f>
        <v/>
      </c>
      <c r="F204">
        <f>INDEX(Phuong_tien_tham_chieu!$T$2:$T$104,MATCH("swarm_carrier",Phuong_tien_tham_chieu!$A$2:$A$104,0))/INDEX(Phuong_tien_tham_chieu!$S$2:$S$104,MATCH("swarm_carrier",Phuong_tien_tham_chieu!$A$2:$A$104,0))</f>
        <v/>
      </c>
      <c r="G204">
        <f>$E$204/$F$204</f>
        <v/>
      </c>
      <c r="H204" t="n">
        <v>0.9</v>
      </c>
      <c r="I204" t="n">
        <v>1.1</v>
      </c>
      <c r="J204" t="b">
        <v>0</v>
      </c>
      <c r="K204" t="inlineStr"/>
      <c r="L204">
        <f>IF(ISNUMBER($H$204),AND(NOT($J$204),OR($G$204&lt;$H$204,$G$204&gt;$I$204)),FALSE)</f>
        <v/>
      </c>
      <c r="M204" t="inlineStr"/>
      <c r="N204" t="inlineStr">
        <is>
          <t>R_unit_refs;R_reference_real;W_wikipedia_lockheed_c_130_hercules;R_unit_sheet;R_machine_brigade_can_bang;R_swarm_carrier</t>
        </is>
      </c>
      <c r="O204" t="inlineStr">
        <is>
          <t>tỷ lệ hình (MODEL_STANDARD 3.1: lệch quá 10 % là cờ)</t>
        </is>
      </c>
      <c r="P204" t="inlineStr">
        <is>
          <t>01_chien_dau/Xe; Tools/models/reference_real.json</t>
        </is>
      </c>
      <c r="Q204" t="inlineStr"/>
    </row>
    <row r="205">
      <c r="A205" t="inlineStr">
        <is>
          <t>tank_destroyer/cao_m</t>
        </is>
      </c>
      <c r="B205" t="inlineStr">
        <is>
          <t>tank_destroyer</t>
        </is>
      </c>
      <c r="C205" t="inlineStr">
        <is>
          <t>cao_m</t>
        </is>
      </c>
      <c r="D205" t="inlineStr">
        <is>
          <t>m</t>
        </is>
      </c>
      <c r="E205">
        <f>INDEX(Xe!$EA$2:$EA$80,MATCH($B$205,Xe!$A$2:$A$80,0))</f>
        <v/>
      </c>
      <c r="F205">
        <f>INDEX(Phuong_tien_tham_chieu!$U$2:$U$104,MATCH("tank_destroyer",Phuong_tien_tham_chieu!$A$2:$A$104,0))</f>
        <v/>
      </c>
      <c r="G205">
        <f>$E$205/$F$205</f>
        <v/>
      </c>
      <c r="H205" t="n">
        <v>0.7</v>
      </c>
      <c r="I205" t="n">
        <v>1.4</v>
      </c>
      <c r="J205" t="b">
        <v>0</v>
      </c>
      <c r="K205" t="inlineStr"/>
      <c r="L205">
        <f>IF(ISNUMBER($H$205),AND(NOT($J$205),OR($G$205&lt;$H$205,$G$205&gt;$I$205)),FALSE)</f>
        <v/>
      </c>
      <c r="M205" t="inlineStr"/>
      <c r="N205" t="inlineStr">
        <is>
          <t>R_unit_refs;R_reference_real;W_wikipedia_2s25_sprut_sd;R_unit_sheet;R_machine_brigade_can_bang;R_tank_destroyer</t>
        </is>
      </c>
      <c r="O205" t="inlineStr">
        <is>
          <t>modelSize của dữ liệu / kích thước thật (reference_real.json)</t>
        </is>
      </c>
      <c r="P205" t="inlineStr">
        <is>
          <t>01_chien_dau/Xe.model_size_height_m; Tools/models/reference_real.json</t>
        </is>
      </c>
      <c r="Q205" t="inlineStr"/>
    </row>
    <row r="206">
      <c r="A206" t="inlineStr">
        <is>
          <t>tank_destroyer/cao_tren_dai</t>
        </is>
      </c>
      <c r="B206" t="inlineStr">
        <is>
          <t>tank_destroyer</t>
        </is>
      </c>
      <c r="C206" t="inlineStr">
        <is>
          <t>cao_tren_dai</t>
        </is>
      </c>
      <c r="D206" t="inlineStr"/>
      <c r="E206">
        <f>INDEX(Xe!$EA$2:$EA$80,MATCH($B$206,Xe!$A$2:$A$80,0))/INDEX(Xe!$EB$2:$EB$80,MATCH($B$206,Xe!$A$2:$A$80,0))</f>
        <v/>
      </c>
      <c r="F206">
        <f>INDEX(Phuong_tien_tham_chieu!$U$2:$U$104,MATCH("tank_destroyer",Phuong_tien_tham_chieu!$A$2:$A$104,0))/INDEX(Phuong_tien_tham_chieu!$S$2:$S$104,MATCH("tank_destroyer",Phuong_tien_tham_chieu!$A$2:$A$104,0))</f>
        <v/>
      </c>
      <c r="G206">
        <f>$E$206/$F$206</f>
        <v/>
      </c>
      <c r="H206" t="n">
        <v>0.9</v>
      </c>
      <c r="I206" t="n">
        <v>1.1</v>
      </c>
      <c r="J206" t="b">
        <v>0</v>
      </c>
      <c r="K206" t="inlineStr"/>
      <c r="L206">
        <f>IF(ISNUMBER($H$206),AND(NOT($J$206),OR($G$206&lt;$H$206,$G$206&gt;$I$206)),FALSE)</f>
        <v/>
      </c>
      <c r="M206" t="inlineStr">
        <is>
          <t>TC0097</t>
        </is>
      </c>
      <c r="N206" t="inlineStr">
        <is>
          <t>R_unit_refs;R_reference_real;W_wikipedia_2s25_sprut_sd;R_unit_sheet;R_machine_brigade_can_bang;R_tank_destroyer</t>
        </is>
      </c>
      <c r="O206" t="inlineStr">
        <is>
          <t>tỷ lệ hình (MODEL_STANDARD 3.1: lệch quá 10 % là cờ)</t>
        </is>
      </c>
      <c r="P206" t="inlineStr">
        <is>
          <t>01_chien_dau/Xe; Tools/models/reference_real.json</t>
        </is>
      </c>
      <c r="Q206" t="inlineStr"/>
    </row>
    <row r="207">
      <c r="A207" t="inlineStr">
        <is>
          <t>tank_destroyer/dai_m</t>
        </is>
      </c>
      <c r="B207" t="inlineStr">
        <is>
          <t>tank_destroyer</t>
        </is>
      </c>
      <c r="C207" t="inlineStr">
        <is>
          <t>dai_m</t>
        </is>
      </c>
      <c r="D207" t="inlineStr">
        <is>
          <t>m</t>
        </is>
      </c>
      <c r="E207">
        <f>INDEX(Xe!$EB$2:$EB$80,MATCH($B$207,Xe!$A$2:$A$80,0))</f>
        <v/>
      </c>
      <c r="F207">
        <f>INDEX(Phuong_tien_tham_chieu!$S$2:$S$104,MATCH("tank_destroyer",Phuong_tien_tham_chieu!$A$2:$A$104,0))</f>
        <v/>
      </c>
      <c r="G207">
        <f>$E$207/$F$207</f>
        <v/>
      </c>
      <c r="H207" t="n">
        <v>0.7</v>
      </c>
      <c r="I207" t="n">
        <v>1.4</v>
      </c>
      <c r="J207" t="b">
        <v>0</v>
      </c>
      <c r="K207" t="inlineStr"/>
      <c r="L207">
        <f>IF(ISNUMBER($H$207),AND(NOT($J$207),OR($G$207&lt;$H$207,$G$207&gt;$I$207)),FALSE)</f>
        <v/>
      </c>
      <c r="M207" t="inlineStr"/>
      <c r="N207" t="inlineStr">
        <is>
          <t>R_unit_refs;R_reference_real;W_wikipedia_2s25_sprut_sd;R_unit_sheet;R_machine_brigade_can_bang;R_tank_destroyer</t>
        </is>
      </c>
      <c r="O207" t="inlineStr">
        <is>
          <t>modelSize của dữ liệu / kích thước thật (reference_real.json)</t>
        </is>
      </c>
      <c r="P207" t="inlineStr">
        <is>
          <t>01_chien_dau/Xe.model_size_length_m; Tools/models/reference_real.json</t>
        </is>
      </c>
      <c r="Q207" t="inlineStr"/>
    </row>
    <row r="208">
      <c r="A208" t="inlineStr">
        <is>
          <t>tank_destroyer/rong_m</t>
        </is>
      </c>
      <c r="B208" t="inlineStr">
        <is>
          <t>tank_destroyer</t>
        </is>
      </c>
      <c r="C208" t="inlineStr">
        <is>
          <t>rong_m</t>
        </is>
      </c>
      <c r="D208" t="inlineStr">
        <is>
          <t>m</t>
        </is>
      </c>
      <c r="E208">
        <f>INDEX(Xe!$EC$2:$EC$80,MATCH($B$208,Xe!$A$2:$A$80,0))</f>
        <v/>
      </c>
      <c r="F208">
        <f>INDEX(Phuong_tien_tham_chieu!$T$2:$T$104,MATCH("tank_destroyer",Phuong_tien_tham_chieu!$A$2:$A$104,0))</f>
        <v/>
      </c>
      <c r="G208">
        <f>$E$208/$F$208</f>
        <v/>
      </c>
      <c r="H208" t="n">
        <v>0.7</v>
      </c>
      <c r="I208" t="n">
        <v>1.4</v>
      </c>
      <c r="J208" t="b">
        <v>0</v>
      </c>
      <c r="K208" t="inlineStr"/>
      <c r="L208">
        <f>IF(ISNUMBER($H$208),AND(NOT($J$208),OR($G$208&lt;$H$208,$G$208&gt;$I$208)),FALSE)</f>
        <v/>
      </c>
      <c r="M208" t="inlineStr"/>
      <c r="N208" t="inlineStr">
        <is>
          <t>R_unit_refs;R_reference_real;W_wikipedia_2s25_sprut_sd;R_unit_sheet;R_machine_brigade_can_bang;R_tank_destroyer</t>
        </is>
      </c>
      <c r="O208" t="inlineStr">
        <is>
          <t>modelSize của dữ liệu / kích thước thật (reference_real.json)</t>
        </is>
      </c>
      <c r="P208" t="inlineStr">
        <is>
          <t>01_chien_dau/Xe.model_size_width_m; Tools/models/reference_real.json</t>
        </is>
      </c>
      <c r="Q208" t="inlineStr"/>
    </row>
    <row r="209">
      <c r="A209" t="inlineStr">
        <is>
          <t>tank_destroyer/rong_tren_dai</t>
        </is>
      </c>
      <c r="B209" t="inlineStr">
        <is>
          <t>tank_destroyer</t>
        </is>
      </c>
      <c r="C209" t="inlineStr">
        <is>
          <t>rong_tren_dai</t>
        </is>
      </c>
      <c r="D209" t="inlineStr"/>
      <c r="E209">
        <f>INDEX(Xe!$EC$2:$EC$80,MATCH($B$209,Xe!$A$2:$A$80,0))/INDEX(Xe!$EB$2:$EB$80,MATCH($B$209,Xe!$A$2:$A$80,0))</f>
        <v/>
      </c>
      <c r="F209">
        <f>INDEX(Phuong_tien_tham_chieu!$T$2:$T$104,MATCH("tank_destroyer",Phuong_tien_tham_chieu!$A$2:$A$104,0))/INDEX(Phuong_tien_tham_chieu!$S$2:$S$104,MATCH("tank_destroyer",Phuong_tien_tham_chieu!$A$2:$A$104,0))</f>
        <v/>
      </c>
      <c r="G209">
        <f>$E$209/$F$209</f>
        <v/>
      </c>
      <c r="H209" t="n">
        <v>0.9</v>
      </c>
      <c r="I209" t="n">
        <v>1.1</v>
      </c>
      <c r="J209" t="b">
        <v>0</v>
      </c>
      <c r="K209" t="inlineStr"/>
      <c r="L209">
        <f>IF(ISNUMBER($H$209),AND(NOT($J$209),OR($G$209&lt;$H$209,$G$209&gt;$I$209)),FALSE)</f>
        <v/>
      </c>
      <c r="M209" t="inlineStr"/>
      <c r="N209" t="inlineStr">
        <is>
          <t>R_unit_refs;R_reference_real;W_wikipedia_2s25_sprut_sd;R_unit_sheet;R_machine_brigade_can_bang;R_tank_destroyer</t>
        </is>
      </c>
      <c r="O209" t="inlineStr">
        <is>
          <t>tỷ lệ hình (MODEL_STANDARD 3.1: lệch quá 10 % là cờ)</t>
        </is>
      </c>
      <c r="P209" t="inlineStr">
        <is>
          <t>01_chien_dau/Xe; Tools/models/reference_real.json</t>
        </is>
      </c>
      <c r="Q209" t="inlineStr"/>
    </row>
    <row r="210">
      <c r="A210" t="inlineStr">
        <is>
          <t>thermobaric_launcher/dai_m</t>
        </is>
      </c>
      <c r="B210" t="inlineStr">
        <is>
          <t>thermobaric_launcher</t>
        </is>
      </c>
      <c r="C210" t="inlineStr">
        <is>
          <t>dai_m</t>
        </is>
      </c>
      <c r="D210" t="inlineStr">
        <is>
          <t>m</t>
        </is>
      </c>
      <c r="E210">
        <f>INDEX(Xe!$EB$2:$EB$80,MATCH($B$210,Xe!$A$2:$A$80,0))</f>
        <v/>
      </c>
      <c r="F210">
        <f>INDEX(Phuong_tien_tham_chieu!$S$2:$S$104,MATCH("thermobaric_launcher",Phuong_tien_tham_chieu!$A$2:$A$104,0))</f>
        <v/>
      </c>
      <c r="G210">
        <f>$E$210/$F$210</f>
        <v/>
      </c>
      <c r="H210" t="n">
        <v>0.7</v>
      </c>
      <c r="I210" t="n">
        <v>1.4</v>
      </c>
      <c r="J210" t="b">
        <v>0</v>
      </c>
      <c r="K210" t="inlineStr"/>
      <c r="L210">
        <f>IF(ISNUMBER($H$210),AND(NOT($J$210),OR($G$210&lt;$H$210,$G$210&gt;$I$210)),FALSE)</f>
        <v/>
      </c>
      <c r="M210" t="inlineStr"/>
      <c r="N210" t="inlineStr">
        <is>
          <t>R_unit_refs;R_reference_real;W_wikipedia_tos_1;R_unit_sheet;R_machine_brigade_can_bang;R_thermobaric_launcher</t>
        </is>
      </c>
      <c r="O210" t="inlineStr">
        <is>
          <t>modelSize của dữ liệu / kích thước thật (reference_real.json)</t>
        </is>
      </c>
      <c r="P210" t="inlineStr">
        <is>
          <t>01_chien_dau/Xe.model_size_length_m; Tools/models/reference_real.json</t>
        </is>
      </c>
      <c r="Q210" t="inlineStr"/>
    </row>
    <row r="211">
      <c r="A211" t="inlineStr">
        <is>
          <t>thermobaric_launcher/rong_m</t>
        </is>
      </c>
      <c r="B211" t="inlineStr">
        <is>
          <t>thermobaric_launcher</t>
        </is>
      </c>
      <c r="C211" t="inlineStr">
        <is>
          <t>rong_m</t>
        </is>
      </c>
      <c r="D211" t="inlineStr">
        <is>
          <t>m</t>
        </is>
      </c>
      <c r="E211">
        <f>INDEX(Xe!$EC$2:$EC$80,MATCH($B$211,Xe!$A$2:$A$80,0))</f>
        <v/>
      </c>
      <c r="F211">
        <f>INDEX(Phuong_tien_tham_chieu!$T$2:$T$104,MATCH("thermobaric_launcher",Phuong_tien_tham_chieu!$A$2:$A$104,0))</f>
        <v/>
      </c>
      <c r="G211">
        <f>$E$211/$F$211</f>
        <v/>
      </c>
      <c r="H211" t="n">
        <v>0.7</v>
      </c>
      <c r="I211" t="n">
        <v>1.4</v>
      </c>
      <c r="J211" t="b">
        <v>0</v>
      </c>
      <c r="K211" t="inlineStr"/>
      <c r="L211">
        <f>IF(ISNUMBER($H$211),AND(NOT($J$211),OR($G$211&lt;$H$211,$G$211&gt;$I$211)),FALSE)</f>
        <v/>
      </c>
      <c r="M211" t="inlineStr"/>
      <c r="N211" t="inlineStr">
        <is>
          <t>R_unit_refs;R_reference_real;W_wikipedia_tos_1;R_unit_sheet;R_machine_brigade_can_bang;R_thermobaric_launcher</t>
        </is>
      </c>
      <c r="O211" t="inlineStr">
        <is>
          <t>modelSize của dữ liệu / kích thước thật (reference_real.json)</t>
        </is>
      </c>
      <c r="P211" t="inlineStr">
        <is>
          <t>01_chien_dau/Xe.model_size_width_m; Tools/models/reference_real.json</t>
        </is>
      </c>
      <c r="Q211" t="inlineStr"/>
    </row>
    <row r="212">
      <c r="A212" t="inlineStr">
        <is>
          <t>thermobaric_launcher/rong_tren_dai</t>
        </is>
      </c>
      <c r="B212" t="inlineStr">
        <is>
          <t>thermobaric_launcher</t>
        </is>
      </c>
      <c r="C212" t="inlineStr">
        <is>
          <t>rong_tren_dai</t>
        </is>
      </c>
      <c r="D212" t="inlineStr"/>
      <c r="E212">
        <f>INDEX(Xe!$EC$2:$EC$80,MATCH($B$212,Xe!$A$2:$A$80,0))/INDEX(Xe!$EB$2:$EB$80,MATCH($B$212,Xe!$A$2:$A$80,0))</f>
        <v/>
      </c>
      <c r="F212">
        <f>INDEX(Phuong_tien_tham_chieu!$T$2:$T$104,MATCH("thermobaric_launcher",Phuong_tien_tham_chieu!$A$2:$A$104,0))/INDEX(Phuong_tien_tham_chieu!$S$2:$S$104,MATCH("thermobaric_launcher",Phuong_tien_tham_chieu!$A$2:$A$104,0))</f>
        <v/>
      </c>
      <c r="G212">
        <f>$E$212/$F$212</f>
        <v/>
      </c>
      <c r="H212" t="n">
        <v>0.9</v>
      </c>
      <c r="I212" t="n">
        <v>1.1</v>
      </c>
      <c r="J212" t="b">
        <v>0</v>
      </c>
      <c r="K212" t="inlineStr"/>
      <c r="L212">
        <f>IF(ISNUMBER($H$212),AND(NOT($J$212),OR($G$212&lt;$H$212,$G$212&gt;$I$212)),FALSE)</f>
        <v/>
      </c>
      <c r="M212" t="inlineStr">
        <is>
          <t>TC0098</t>
        </is>
      </c>
      <c r="N212" t="inlineStr">
        <is>
          <t>R_unit_refs;R_reference_real;W_wikipedia_tos_1;R_unit_sheet;R_machine_brigade_can_bang;R_thermobaric_launcher</t>
        </is>
      </c>
      <c r="O212" t="inlineStr">
        <is>
          <t>tỷ lệ hình (MODEL_STANDARD 3.1: lệch quá 10 % là cờ)</t>
        </is>
      </c>
      <c r="P212" t="inlineStr">
        <is>
          <t>01_chien_dau/Xe; Tools/models/reference_real.json</t>
        </is>
      </c>
      <c r="Q212" t="inlineStr"/>
    </row>
    <row r="213">
      <c r="A213" t="inlineStr">
        <is>
          <t>wheeled_gun/cao_m</t>
        </is>
      </c>
      <c r="B213" t="inlineStr">
        <is>
          <t>wheeled_gun</t>
        </is>
      </c>
      <c r="C213" t="inlineStr">
        <is>
          <t>cao_m</t>
        </is>
      </c>
      <c r="D213" t="inlineStr">
        <is>
          <t>m</t>
        </is>
      </c>
      <c r="E213">
        <f>INDEX(Xe!$EA$2:$EA$80,MATCH($B$213,Xe!$A$2:$A$80,0))</f>
        <v/>
      </c>
      <c r="F213">
        <f>INDEX(Phuong_tien_tham_chieu!$U$2:$U$104,MATCH("wheeled_gun",Phuong_tien_tham_chieu!$A$2:$A$104,0))</f>
        <v/>
      </c>
      <c r="G213">
        <f>$E$213/$F$213</f>
        <v/>
      </c>
      <c r="H213" t="n">
        <v>0.7</v>
      </c>
      <c r="I213" t="n">
        <v>1.4</v>
      </c>
      <c r="J213" t="b">
        <v>0</v>
      </c>
      <c r="K213" t="inlineStr"/>
      <c r="L213">
        <f>IF(ISNUMBER($H$213),AND(NOT($J$213),OR($G$213&lt;$H$213,$G$213&gt;$I$213)),FALSE)</f>
        <v/>
      </c>
      <c r="M213" t="inlineStr"/>
      <c r="N213" t="inlineStr">
        <is>
          <t>R_unit_refs;R_reference_real;W_wikipedia_b1_centauro;R_unit_sheet;R_machine_brigade_can_bang;R_wheeled_gun</t>
        </is>
      </c>
      <c r="O213" t="inlineStr">
        <is>
          <t>modelSize của dữ liệu / kích thước thật (reference_real.json)</t>
        </is>
      </c>
      <c r="P213" t="inlineStr">
        <is>
          <t>01_chien_dau/Xe.model_size_height_m; Tools/models/reference_real.json</t>
        </is>
      </c>
      <c r="Q213" t="inlineStr"/>
    </row>
    <row r="214">
      <c r="A214" t="inlineStr">
        <is>
          <t>wheeled_gun/cao_tren_dai</t>
        </is>
      </c>
      <c r="B214" t="inlineStr">
        <is>
          <t>wheeled_gun</t>
        </is>
      </c>
      <c r="C214" t="inlineStr">
        <is>
          <t>cao_tren_dai</t>
        </is>
      </c>
      <c r="D214" t="inlineStr"/>
      <c r="E214">
        <f>INDEX(Xe!$EA$2:$EA$80,MATCH($B$214,Xe!$A$2:$A$80,0))/INDEX(Xe!$EB$2:$EB$80,MATCH($B$214,Xe!$A$2:$A$80,0))</f>
        <v/>
      </c>
      <c r="F214">
        <f>INDEX(Phuong_tien_tham_chieu!$U$2:$U$104,MATCH("wheeled_gun",Phuong_tien_tham_chieu!$A$2:$A$104,0))/INDEX(Phuong_tien_tham_chieu!$S$2:$S$104,MATCH("wheeled_gun",Phuong_tien_tham_chieu!$A$2:$A$104,0))</f>
        <v/>
      </c>
      <c r="G214">
        <f>$E$214/$F$214</f>
        <v/>
      </c>
      <c r="H214" t="n">
        <v>0.9</v>
      </c>
      <c r="I214" t="n">
        <v>1.1</v>
      </c>
      <c r="J214" t="b">
        <v>0</v>
      </c>
      <c r="K214" t="inlineStr"/>
      <c r="L214">
        <f>IF(ISNUMBER($H$214),AND(NOT($J$214),OR($G$214&lt;$H$214,$G$214&gt;$I$214)),FALSE)</f>
        <v/>
      </c>
      <c r="M214" t="inlineStr">
        <is>
          <t>TC0099</t>
        </is>
      </c>
      <c r="N214" t="inlineStr">
        <is>
          <t>R_unit_refs;R_reference_real;W_wikipedia_b1_centauro;R_unit_sheet;R_machine_brigade_can_bang;R_wheeled_gun</t>
        </is>
      </c>
      <c r="O214" t="inlineStr">
        <is>
          <t>tỷ lệ hình (MODEL_STANDARD 3.1: lệch quá 10 % là cờ)</t>
        </is>
      </c>
      <c r="P214" t="inlineStr">
        <is>
          <t>01_chien_dau/Xe; Tools/models/reference_real.json</t>
        </is>
      </c>
      <c r="Q214" t="inlineStr"/>
    </row>
    <row r="215">
      <c r="A215" t="inlineStr">
        <is>
          <t>wheeled_gun/dai_m</t>
        </is>
      </c>
      <c r="B215" t="inlineStr">
        <is>
          <t>wheeled_gun</t>
        </is>
      </c>
      <c r="C215" t="inlineStr">
        <is>
          <t>dai_m</t>
        </is>
      </c>
      <c r="D215" t="inlineStr">
        <is>
          <t>m</t>
        </is>
      </c>
      <c r="E215">
        <f>INDEX(Xe!$EB$2:$EB$80,MATCH($B$215,Xe!$A$2:$A$80,0))</f>
        <v/>
      </c>
      <c r="F215">
        <f>INDEX(Phuong_tien_tham_chieu!$S$2:$S$104,MATCH("wheeled_gun",Phuong_tien_tham_chieu!$A$2:$A$104,0))</f>
        <v/>
      </c>
      <c r="G215">
        <f>$E$215/$F$215</f>
        <v/>
      </c>
      <c r="H215" t="n">
        <v>0.7</v>
      </c>
      <c r="I215" t="n">
        <v>1.4</v>
      </c>
      <c r="J215" t="b">
        <v>0</v>
      </c>
      <c r="K215" t="inlineStr"/>
      <c r="L215">
        <f>IF(ISNUMBER($H$215),AND(NOT($J$215),OR($G$215&lt;$H$215,$G$215&gt;$I$215)),FALSE)</f>
        <v/>
      </c>
      <c r="M215" t="inlineStr"/>
      <c r="N215" t="inlineStr">
        <is>
          <t>R_unit_refs;R_reference_real;W_wikipedia_b1_centauro;R_unit_sheet;R_machine_brigade_can_bang;R_wheeled_gun</t>
        </is>
      </c>
      <c r="O215" t="inlineStr">
        <is>
          <t>modelSize của dữ liệu / kích thước thật (reference_real.json)</t>
        </is>
      </c>
      <c r="P215" t="inlineStr">
        <is>
          <t>01_chien_dau/Xe.model_size_length_m; Tools/models/reference_real.json</t>
        </is>
      </c>
      <c r="Q215" t="inlineStr"/>
    </row>
    <row r="216">
      <c r="A216" t="inlineStr">
        <is>
          <t>wheeled_gun/rong_m</t>
        </is>
      </c>
      <c r="B216" t="inlineStr">
        <is>
          <t>wheeled_gun</t>
        </is>
      </c>
      <c r="C216" t="inlineStr">
        <is>
          <t>rong_m</t>
        </is>
      </c>
      <c r="D216" t="inlineStr">
        <is>
          <t>m</t>
        </is>
      </c>
      <c r="E216">
        <f>INDEX(Xe!$EC$2:$EC$80,MATCH($B$216,Xe!$A$2:$A$80,0))</f>
        <v/>
      </c>
      <c r="F216">
        <f>INDEX(Phuong_tien_tham_chieu!$T$2:$T$104,MATCH("wheeled_gun",Phuong_tien_tham_chieu!$A$2:$A$104,0))</f>
        <v/>
      </c>
      <c r="G216">
        <f>$E$216/$F$216</f>
        <v/>
      </c>
      <c r="H216" t="n">
        <v>0.7</v>
      </c>
      <c r="I216" t="n">
        <v>1.4</v>
      </c>
      <c r="J216" t="b">
        <v>0</v>
      </c>
      <c r="K216" t="inlineStr"/>
      <c r="L216">
        <f>IF(ISNUMBER($H$216),AND(NOT($J$216),OR($G$216&lt;$H$216,$G$216&gt;$I$216)),FALSE)</f>
        <v/>
      </c>
      <c r="M216" t="inlineStr"/>
      <c r="N216" t="inlineStr">
        <is>
          <t>R_unit_refs;R_reference_real;W_wikipedia_b1_centauro;R_unit_sheet;R_machine_brigade_can_bang;R_wheeled_gun</t>
        </is>
      </c>
      <c r="O216" t="inlineStr">
        <is>
          <t>modelSize của dữ liệu / kích thước thật (reference_real.json)</t>
        </is>
      </c>
      <c r="P216" t="inlineStr">
        <is>
          <t>01_chien_dau/Xe.model_size_width_m; Tools/models/reference_real.json</t>
        </is>
      </c>
      <c r="Q216" t="inlineStr"/>
    </row>
    <row r="217">
      <c r="A217" t="inlineStr">
        <is>
          <t>wheeled_gun/rong_tren_dai</t>
        </is>
      </c>
      <c r="B217" t="inlineStr">
        <is>
          <t>wheeled_gun</t>
        </is>
      </c>
      <c r="C217" t="inlineStr">
        <is>
          <t>rong_tren_dai</t>
        </is>
      </c>
      <c r="D217" t="inlineStr"/>
      <c r="E217">
        <f>INDEX(Xe!$EC$2:$EC$80,MATCH($B$217,Xe!$A$2:$A$80,0))/INDEX(Xe!$EB$2:$EB$80,MATCH($B$217,Xe!$A$2:$A$80,0))</f>
        <v/>
      </c>
      <c r="F217">
        <f>INDEX(Phuong_tien_tham_chieu!$T$2:$T$104,MATCH("wheeled_gun",Phuong_tien_tham_chieu!$A$2:$A$104,0))/INDEX(Phuong_tien_tham_chieu!$S$2:$S$104,MATCH("wheeled_gun",Phuong_tien_tham_chieu!$A$2:$A$104,0))</f>
        <v/>
      </c>
      <c r="G217">
        <f>$E$217/$F$217</f>
        <v/>
      </c>
      <c r="H217" t="n">
        <v>0.9</v>
      </c>
      <c r="I217" t="n">
        <v>1.1</v>
      </c>
      <c r="J217" t="b">
        <v>0</v>
      </c>
      <c r="K217" t="inlineStr"/>
      <c r="L217">
        <f>IF(ISNUMBER($H$217),AND(NOT($J$217),OR($G$217&lt;$H$217,$G$217&gt;$I$217)),FALSE)</f>
        <v/>
      </c>
      <c r="M217" t="inlineStr">
        <is>
          <t>TC0100</t>
        </is>
      </c>
      <c r="N217" t="inlineStr">
        <is>
          <t>R_unit_refs;R_reference_real;W_wikipedia_b1_centauro;R_unit_sheet;R_machine_brigade_can_bang;R_wheeled_gun</t>
        </is>
      </c>
      <c r="O217" t="inlineStr">
        <is>
          <t>tỷ lệ hình (MODEL_STANDARD 3.1: lệch quá 10 % là cờ)</t>
        </is>
      </c>
      <c r="P217" t="inlineStr">
        <is>
          <t>01_chien_dau/Xe; Tools/models/reference_real.json</t>
        </is>
      </c>
      <c r="Q217" t="inlineStr"/>
    </row>
    <row r="218">
      <c r="A218" t="inlineStr">
        <is>
          <t>zu23_technical/cao_m</t>
        </is>
      </c>
      <c r="B218" t="inlineStr">
        <is>
          <t>zu23_technical</t>
        </is>
      </c>
      <c r="C218" t="inlineStr">
        <is>
          <t>cao_m</t>
        </is>
      </c>
      <c r="D218" t="inlineStr">
        <is>
          <t>m</t>
        </is>
      </c>
      <c r="E218">
        <f>INDEX(Xe!$EA$2:$EA$80,MATCH($B$218,Xe!$A$2:$A$80,0))</f>
        <v/>
      </c>
      <c r="F218">
        <f>INDEX(Phuong_tien_tham_chieu!$U$2:$U$104,MATCH("zu23_technical",Phuong_tien_tham_chieu!$A$2:$A$104,0))</f>
        <v/>
      </c>
      <c r="G218">
        <f>$E$218/$F$218</f>
        <v/>
      </c>
      <c r="H218" t="n">
        <v>0.7</v>
      </c>
      <c r="I218" t="n">
        <v>1.4</v>
      </c>
      <c r="J218" t="b">
        <v>0</v>
      </c>
      <c r="K218" t="inlineStr"/>
      <c r="L218">
        <f>IF(ISNUMBER($H$218),AND(NOT($J$218),OR($G$218&lt;$H$218,$G$218&gt;$I$218)),FALSE)</f>
        <v/>
      </c>
      <c r="M218" t="inlineStr"/>
      <c r="N218" t="inlineStr">
        <is>
          <t>R_unit_refs;R_reference_real;D_toyota_hilux_an10_an20_specifications;R_unit_sheet;R_machine_brigade_can_bang;R_zu23_technical</t>
        </is>
      </c>
      <c r="O218" t="inlineStr">
        <is>
          <t>modelSize của dữ liệu / kích thước thật (reference_real.json)</t>
        </is>
      </c>
      <c r="P218" t="inlineStr">
        <is>
          <t>01_chien_dau/Xe.model_size_height_m; Tools/models/reference_real.json</t>
        </is>
      </c>
      <c r="Q218" t="inlineStr"/>
    </row>
    <row r="219">
      <c r="A219" t="inlineStr">
        <is>
          <t>zu23_technical/cao_tren_dai</t>
        </is>
      </c>
      <c r="B219" t="inlineStr">
        <is>
          <t>zu23_technical</t>
        </is>
      </c>
      <c r="C219" t="inlineStr">
        <is>
          <t>cao_tren_dai</t>
        </is>
      </c>
      <c r="D219" t="inlineStr"/>
      <c r="E219">
        <f>INDEX(Xe!$EA$2:$EA$80,MATCH($B$219,Xe!$A$2:$A$80,0))/INDEX(Xe!$EB$2:$EB$80,MATCH($B$219,Xe!$A$2:$A$80,0))</f>
        <v/>
      </c>
      <c r="F219">
        <f>INDEX(Phuong_tien_tham_chieu!$U$2:$U$104,MATCH("zu23_technical",Phuong_tien_tham_chieu!$A$2:$A$104,0))/INDEX(Phuong_tien_tham_chieu!$S$2:$S$104,MATCH("zu23_technical",Phuong_tien_tham_chieu!$A$2:$A$104,0))</f>
        <v/>
      </c>
      <c r="G219">
        <f>$E$219/$F$219</f>
        <v/>
      </c>
      <c r="H219" t="n">
        <v>0.9</v>
      </c>
      <c r="I219" t="n">
        <v>1.1</v>
      </c>
      <c r="J219" t="b">
        <v>0</v>
      </c>
      <c r="K219" t="inlineStr"/>
      <c r="L219">
        <f>IF(ISNUMBER($H$219),AND(NOT($J$219),OR($G$219&lt;$H$219,$G$219&gt;$I$219)),FALSE)</f>
        <v/>
      </c>
      <c r="M219" t="inlineStr"/>
      <c r="N219" t="inlineStr">
        <is>
          <t>R_unit_refs;R_reference_real;D_toyota_hilux_an10_an20_specifications;R_unit_sheet;R_machine_brigade_can_bang;R_zu23_technical</t>
        </is>
      </c>
      <c r="O219" t="inlineStr">
        <is>
          <t>tỷ lệ hình (MODEL_STANDARD 3.1: lệch quá 10 % là cờ)</t>
        </is>
      </c>
      <c r="P219" t="inlineStr">
        <is>
          <t>01_chien_dau/Xe; Tools/models/reference_real.json</t>
        </is>
      </c>
      <c r="Q219" t="inlineStr"/>
    </row>
    <row r="220">
      <c r="A220" t="inlineStr">
        <is>
          <t>zu23_technical/dai_m</t>
        </is>
      </c>
      <c r="B220" t="inlineStr">
        <is>
          <t>zu23_technical</t>
        </is>
      </c>
      <c r="C220" t="inlineStr">
        <is>
          <t>dai_m</t>
        </is>
      </c>
      <c r="D220" t="inlineStr">
        <is>
          <t>m</t>
        </is>
      </c>
      <c r="E220">
        <f>INDEX(Xe!$EB$2:$EB$80,MATCH($B$220,Xe!$A$2:$A$80,0))</f>
        <v/>
      </c>
      <c r="F220">
        <f>INDEX(Phuong_tien_tham_chieu!$S$2:$S$104,MATCH("zu23_technical",Phuong_tien_tham_chieu!$A$2:$A$104,0))</f>
        <v/>
      </c>
      <c r="G220">
        <f>$E$220/$F$220</f>
        <v/>
      </c>
      <c r="H220" t="n">
        <v>0.7</v>
      </c>
      <c r="I220" t="n">
        <v>1.4</v>
      </c>
      <c r="J220" t="b">
        <v>0</v>
      </c>
      <c r="K220" t="inlineStr"/>
      <c r="L220">
        <f>IF(ISNUMBER($H$220),AND(NOT($J$220),OR($G$220&lt;$H$220,$G$220&gt;$I$220)),FALSE)</f>
        <v/>
      </c>
      <c r="M220" t="inlineStr"/>
      <c r="N220" t="inlineStr">
        <is>
          <t>R_unit_refs;R_reference_real;D_toyota_hilux_an10_an20_specifications;R_unit_sheet;R_machine_brigade_can_bang;R_zu23_technical</t>
        </is>
      </c>
      <c r="O220" t="inlineStr">
        <is>
          <t>modelSize của dữ liệu / kích thước thật (reference_real.json)</t>
        </is>
      </c>
      <c r="P220" t="inlineStr">
        <is>
          <t>01_chien_dau/Xe.model_size_length_m; Tools/models/reference_real.json</t>
        </is>
      </c>
      <c r="Q220" t="inlineStr"/>
    </row>
    <row r="221">
      <c r="A221" t="inlineStr">
        <is>
          <t>zu23_technical/rong_m</t>
        </is>
      </c>
      <c r="B221" t="inlineStr">
        <is>
          <t>zu23_technical</t>
        </is>
      </c>
      <c r="C221" t="inlineStr">
        <is>
          <t>rong_m</t>
        </is>
      </c>
      <c r="D221" t="inlineStr">
        <is>
          <t>m</t>
        </is>
      </c>
      <c r="E221">
        <f>INDEX(Xe!$EC$2:$EC$80,MATCH($B$221,Xe!$A$2:$A$80,0))</f>
        <v/>
      </c>
      <c r="F221">
        <f>INDEX(Phuong_tien_tham_chieu!$T$2:$T$104,MATCH("zu23_technical",Phuong_tien_tham_chieu!$A$2:$A$104,0))</f>
        <v/>
      </c>
      <c r="G221">
        <f>$E$221/$F$221</f>
        <v/>
      </c>
      <c r="H221" t="n">
        <v>0.7</v>
      </c>
      <c r="I221" t="n">
        <v>1.4</v>
      </c>
      <c r="J221" t="b">
        <v>0</v>
      </c>
      <c r="K221" t="inlineStr"/>
      <c r="L221">
        <f>IF(ISNUMBER($H$221),AND(NOT($J$221),OR($G$221&lt;$H$221,$G$221&gt;$I$221)),FALSE)</f>
        <v/>
      </c>
      <c r="M221" t="inlineStr"/>
      <c r="N221" t="inlineStr">
        <is>
          <t>R_unit_refs;R_reference_real;D_toyota_hilux_an10_an20_specifications;R_unit_sheet;R_machine_brigade_can_bang;R_zu23_technical</t>
        </is>
      </c>
      <c r="O221" t="inlineStr">
        <is>
          <t>modelSize của dữ liệu / kích thước thật (reference_real.json)</t>
        </is>
      </c>
      <c r="P221" t="inlineStr">
        <is>
          <t>01_chien_dau/Xe.model_size_width_m; Tools/models/reference_real.json</t>
        </is>
      </c>
      <c r="Q221" t="inlineStr"/>
    </row>
    <row r="222">
      <c r="A222" t="inlineStr">
        <is>
          <t>zu23_technical/rong_tren_dai</t>
        </is>
      </c>
      <c r="B222" t="inlineStr">
        <is>
          <t>zu23_technical</t>
        </is>
      </c>
      <c r="C222" t="inlineStr">
        <is>
          <t>rong_tren_dai</t>
        </is>
      </c>
      <c r="D222" t="inlineStr"/>
      <c r="E222">
        <f>INDEX(Xe!$EC$2:$EC$80,MATCH($B$222,Xe!$A$2:$A$80,0))/INDEX(Xe!$EB$2:$EB$80,MATCH($B$222,Xe!$A$2:$A$80,0))</f>
        <v/>
      </c>
      <c r="F222">
        <f>INDEX(Phuong_tien_tham_chieu!$T$2:$T$104,MATCH("zu23_technical",Phuong_tien_tham_chieu!$A$2:$A$104,0))/INDEX(Phuong_tien_tham_chieu!$S$2:$S$104,MATCH("zu23_technical",Phuong_tien_tham_chieu!$A$2:$A$104,0))</f>
        <v/>
      </c>
      <c r="G222">
        <f>$E$222/$F$222</f>
        <v/>
      </c>
      <c r="H222" t="n">
        <v>0.9</v>
      </c>
      <c r="I222" t="n">
        <v>1.1</v>
      </c>
      <c r="J222" t="b">
        <v>0</v>
      </c>
      <c r="K222" t="inlineStr"/>
      <c r="L222">
        <f>IF(ISNUMBER($H$222),AND(NOT($J$222),OR($G$222&lt;$H$222,$G$222&gt;$I$222)),FALSE)</f>
        <v/>
      </c>
      <c r="M222" t="inlineStr"/>
      <c r="N222" t="inlineStr">
        <is>
          <t>R_unit_refs;R_reference_real;D_toyota_hilux_an10_an20_specifications;R_unit_sheet;R_machine_brigade_can_bang;R_zu23_technical</t>
        </is>
      </c>
      <c r="O222" t="inlineStr">
        <is>
          <t>tỷ lệ hình (MODEL_STANDARD 3.1: lệch quá 10 % là cờ)</t>
        </is>
      </c>
      <c r="P222" t="inlineStr">
        <is>
          <t>01_chien_dau/Xe; Tools/models/reference_real.json</t>
        </is>
      </c>
      <c r="Q222" t="inlineStr"/>
    </row>
  </sheetData>
  <autoFilter ref="A1:Q22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5" customWidth="1" min="3" max="3"/>
    <col width="12" customWidth="1" min="4" max="4"/>
    <col width="17" customWidth="1" min="5" max="5"/>
    <col width="8" customWidth="1" min="6" max="6"/>
    <col width="60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exampleShooter</t>
        </is>
      </c>
      <c r="B2" t="inlineStr">
        <is>
          <t>handbook</t>
        </is>
      </c>
      <c r="C2" t="inlineStr">
        <is>
          <t>exampleShooter</t>
        </is>
      </c>
      <c r="E2" t="inlineStr">
        <is>
          <t>ifv</t>
        </is>
      </c>
      <c r="F2" t="inlineStr"/>
      <c r="G2" t="inlineStr">
        <is>
          <t>Assets/MachineBrigade/Resources/Data/balance.json: handbook.exampleShooter</t>
        </is>
      </c>
      <c r="H2" t="inlineStr">
        <is>
          <t>"ifv"</t>
        </is>
      </c>
    </row>
    <row r="3">
      <c r="A3" t="inlineStr">
        <is>
          <t>exampleTarget</t>
        </is>
      </c>
      <c r="B3" t="inlineStr">
        <is>
          <t>handbook</t>
        </is>
      </c>
      <c r="C3" t="inlineStr">
        <is>
          <t>exampleTarget</t>
        </is>
      </c>
      <c r="E3" t="inlineStr">
        <is>
          <t>main_battle_tank</t>
        </is>
      </c>
      <c r="F3" t="inlineStr"/>
      <c r="G3" t="inlineStr">
        <is>
          <t>Assets/MachineBrigade/Resources/Data/balance.json: handbook.exampleTarget</t>
        </is>
      </c>
      <c r="H3" t="inlineStr">
        <is>
          <t>"main_battle_tank"</t>
        </is>
      </c>
    </row>
  </sheetData>
  <autoFilter ref="A1:H3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25" customWidth="1" min="3" max="3"/>
    <col width="12" customWidth="1" min="4" max="4"/>
    <col width="27" customWidth="1" min="5" max="5"/>
    <col width="13" customWidth="1" min="6" max="6"/>
    <col width="18" customWidth="1" min="7" max="7"/>
    <col width="16" customWidth="1" min="8" max="8"/>
    <col width="59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nhom_quet</t>
        </is>
      </c>
      <c r="H1" s="1" t="inlineStr">
        <is>
          <t>linh_vuc_ma_cu</t>
        </is>
      </c>
      <c r="I1" s="1" t="inlineStr">
        <is>
          <t>ma_nguon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weapons.armour.fragmentPenetration</t>
        </is>
      </c>
      <c r="B2" t="inlineStr">
        <is>
          <t>armour</t>
        </is>
      </c>
      <c r="C2" t="inlineStr">
        <is>
          <t>fragmentPenetration</t>
        </is>
      </c>
      <c r="D2" t="n">
        <v>1</v>
      </c>
      <c r="F2" t="inlineStr">
        <is>
          <t>level</t>
        </is>
      </c>
      <c r="G2" t="inlineStr">
        <is>
          <t>sat_thuong</t>
        </is>
      </c>
      <c r="H2" t="inlineStr">
        <is>
          <t>01</t>
        </is>
      </c>
      <c r="I2" t="inlineStr">
        <is>
          <t>Armour (pack 2, was Sim/Content/Armour.cs:115)</t>
        </is>
      </c>
      <c r="J2" t="inlineStr">
        <is>
          <t>Assets/MachineBrigade/Resources/Data/tunables.json: weapons.armour.fragmentPenetration</t>
        </is>
      </c>
      <c r="K2" t="inlineStr">
        <is>
          <t>{"value":1,"unit":"level","kind":"sat_thuong","linh_vuc":"01","code":"Armour (pack 2, was Sim/Content/Armour.cs:115)"}</t>
        </is>
      </c>
    </row>
    <row r="3">
      <c r="A3" t="inlineStr">
        <is>
          <t>weapons.combatSystem.axisRatio</t>
        </is>
      </c>
      <c r="B3" t="inlineStr">
        <is>
          <t>combatSystem</t>
        </is>
      </c>
      <c r="C3" t="inlineStr">
        <is>
          <t>axisRatio</t>
        </is>
      </c>
      <c r="D3" t="n">
        <v>1.5</v>
      </c>
      <c r="F3" t="inlineStr">
        <is>
          <t>x</t>
        </is>
      </c>
      <c r="G3" t="inlineStr">
        <is>
          <t>nguong</t>
        </is>
      </c>
      <c r="H3" t="inlineStr">
        <is>
          <t>01</t>
        </is>
      </c>
      <c r="I3" t="inlineStr">
        <is>
          <t>CombatSystem.AxisRatio</t>
        </is>
      </c>
      <c r="J3" t="inlineStr">
        <is>
          <t>Assets/MachineBrigade/Resources/Data/tunables.json: weapons.combatSystem.axisRatio</t>
        </is>
      </c>
      <c r="K3" t="inlineStr">
        <is>
          <t>{"value":1.5,"unit":"x","kind":"nguong","linh_vuc":"01","code":"CombatSystem.AxisRatio"}</t>
        </is>
      </c>
    </row>
    <row r="4">
      <c r="A4" t="inlineStr">
        <is>
          <t>weapons.combatSystem.bombedRadius</t>
        </is>
      </c>
      <c r="B4" t="inlineStr">
        <is>
          <t>combatSystem</t>
        </is>
      </c>
      <c r="C4" t="inlineStr">
        <is>
          <t>bombedRadius</t>
        </is>
      </c>
      <c r="D4" t="n">
        <v>16</v>
      </c>
      <c r="F4" t="inlineStr">
        <is>
          <t>m</t>
        </is>
      </c>
      <c r="G4" t="inlineStr">
        <is>
          <t>ban_kinh</t>
        </is>
      </c>
      <c r="H4" t="inlineStr">
        <is>
          <t>01</t>
        </is>
      </c>
      <c r="I4" t="inlineStr">
        <is>
          <t>CombatSystem.BombedRadius</t>
        </is>
      </c>
      <c r="J4" t="inlineStr">
        <is>
          <t>Assets/MachineBrigade/Resources/Data/tunables.json: weapons.combatSystem.bombedRadius</t>
        </is>
      </c>
      <c r="K4" t="inlineStr">
        <is>
          <t>{"value":16.0,"unit":"m","kind":"ban_kinh","linh_vuc":"01","code":"CombatSystem.BombedRadius"}</t>
        </is>
      </c>
    </row>
    <row r="5">
      <c r="A5" t="inlineStr">
        <is>
          <t>weapons.combatSystem.bombedSeconds</t>
        </is>
      </c>
      <c r="B5" t="inlineStr">
        <is>
          <t>combatSystem</t>
        </is>
      </c>
      <c r="C5" t="inlineStr">
        <is>
          <t>bombedSeconds</t>
        </is>
      </c>
      <c r="D5" t="n">
        <v>10</v>
      </c>
      <c r="F5" t="inlineStr">
        <is>
          <t>s</t>
        </is>
      </c>
      <c r="G5" t="inlineStr">
        <is>
          <t>thoi_gian</t>
        </is>
      </c>
      <c r="H5" t="inlineStr">
        <is>
          <t>01</t>
        </is>
      </c>
      <c r="I5" t="inlineStr">
        <is>
          <t>CombatSystem.BombedSeconds</t>
        </is>
      </c>
      <c r="J5" t="inlineStr">
        <is>
          <t>Assets/MachineBrigade/Resources/Data/tunables.json: weapons.combatSystem.bombedSeconds</t>
        </is>
      </c>
      <c r="K5" t="inlineStr">
        <is>
          <t>{"value":10.0,"unit":"s","kind":"thoi_gian","linh_vuc":"01","code":"CombatSystem.BombedSeconds"}</t>
        </is>
      </c>
    </row>
    <row r="6">
      <c r="A6" t="inlineStr">
        <is>
          <t>weapons.combatSystem.counterBatteryPriority</t>
        </is>
      </c>
      <c r="B6" t="inlineStr">
        <is>
          <t>combatSystem</t>
        </is>
      </c>
      <c r="C6" t="inlineStr">
        <is>
          <t>counterBatteryPriority</t>
        </is>
      </c>
      <c r="D6" t="n">
        <v>12</v>
      </c>
      <c r="F6" t="inlineStr">
        <is>
          <t>score</t>
        </is>
      </c>
      <c r="G6" t="inlineStr">
        <is>
          <t>gioi_han_thuc_the</t>
        </is>
      </c>
      <c r="H6" t="inlineStr">
        <is>
          <t>01</t>
        </is>
      </c>
      <c r="I6" t="inlineStr">
        <is>
          <t>CombatSystem.CounterBatteryPriority</t>
        </is>
      </c>
      <c r="J6" t="inlineStr">
        <is>
          <t>Assets/MachineBrigade/Resources/Data/tunables.json: weapons.combatSystem.counterBatteryPriority</t>
        </is>
      </c>
      <c r="K6" t="inlineStr">
        <is>
          <t>{"value":12.0,"unit":"score","kind":"gioi_han_thuc_the","linh_vuc":"01","code":"CombatSystem.CounterBatteryPriority"}</t>
        </is>
      </c>
    </row>
    <row r="7">
      <c r="A7" t="inlineStr">
        <is>
          <t>weapons.combatSystem.crowdMax</t>
        </is>
      </c>
      <c r="B7" t="inlineStr">
        <is>
          <t>combatSystem</t>
        </is>
      </c>
      <c r="C7" t="inlineStr">
        <is>
          <t>crowdMax</t>
        </is>
      </c>
      <c r="D7" t="n">
        <v>4</v>
      </c>
      <c r="F7" t="inlineStr">
        <is>
          <t>count</t>
        </is>
      </c>
      <c r="G7" t="inlineStr">
        <is>
          <t>tran</t>
        </is>
      </c>
      <c r="H7" t="inlineStr">
        <is>
          <t>01</t>
        </is>
      </c>
      <c r="I7" t="inlineStr">
        <is>
          <t>CombatSystem.CrowdMax</t>
        </is>
      </c>
      <c r="J7" t="inlineStr">
        <is>
          <t>Assets/MachineBrigade/Resources/Data/tunables.json: weapons.combatSystem.crowdMax</t>
        </is>
      </c>
      <c r="K7" t="inlineStr">
        <is>
          <t>{"value":4.0,"unit":"count","kind":"tran","linh_vuc":"01","code":"CombatSystem.CrowdMax"}</t>
        </is>
      </c>
    </row>
    <row r="8">
      <c r="A8" t="inlineStr">
        <is>
          <t>weapons.combatSystem.reloadStillSpeed</t>
        </is>
      </c>
      <c r="B8" t="inlineStr">
        <is>
          <t>combatSystem</t>
        </is>
      </c>
      <c r="C8" t="inlineStr">
        <is>
          <t>reloadStillSpeed</t>
        </is>
      </c>
      <c r="D8" t="n">
        <v>0.4</v>
      </c>
      <c r="F8" t="inlineStr">
        <is>
          <t>m/s</t>
        </is>
      </c>
      <c r="G8" t="inlineStr">
        <is>
          <t>tan_suat</t>
        </is>
      </c>
      <c r="H8" t="inlineStr">
        <is>
          <t>01</t>
        </is>
      </c>
      <c r="I8" t="inlineStr">
        <is>
          <t>CombatSystem.ReloadStillSpeed</t>
        </is>
      </c>
      <c r="J8" t="inlineStr">
        <is>
          <t>Assets/MachineBrigade/Resources/Data/tunables.json: weapons.combatSystem.reloadStillSpeed</t>
        </is>
      </c>
      <c r="K8" t="inlineStr">
        <is>
          <t>{"value":0.4,"unit":"m/s","kind":"tan_suat","linh_vuc":"01","code":"CombatSystem.ReloadStillSpeed"}</t>
        </is>
      </c>
    </row>
    <row r="9">
      <c r="A9" t="inlineStr">
        <is>
          <t>weapons.combatSystem.restSeconds</t>
        </is>
      </c>
      <c r="B9" t="inlineStr">
        <is>
          <t>combatSystem</t>
        </is>
      </c>
      <c r="C9" t="inlineStr">
        <is>
          <t>restSeconds</t>
        </is>
      </c>
      <c r="D9" t="n">
        <v>1</v>
      </c>
      <c r="F9" t="inlineStr">
        <is>
          <t>s</t>
        </is>
      </c>
      <c r="G9" t="inlineStr">
        <is>
          <t>thoi_gian</t>
        </is>
      </c>
      <c r="H9" t="inlineStr">
        <is>
          <t>01</t>
        </is>
      </c>
      <c r="I9" t="inlineStr">
        <is>
          <t>CombatSystem.RestSeconds</t>
        </is>
      </c>
      <c r="J9" t="inlineStr">
        <is>
          <t>Assets/MachineBrigade/Resources/Data/tunables.json: weapons.combatSystem.restSeconds</t>
        </is>
      </c>
      <c r="K9" t="inlineStr">
        <is>
          <t>{"value":1.0,"unit":"s","kind":"thoi_gian","linh_vuc":"01","code":"CombatSystem.RestSeconds"}</t>
        </is>
      </c>
    </row>
    <row r="10">
      <c r="A10" t="inlineStr">
        <is>
          <t>weapons.combatSystem.retargetSeconds</t>
        </is>
      </c>
      <c r="B10" t="inlineStr">
        <is>
          <t>combatSystem</t>
        </is>
      </c>
      <c r="C10" t="inlineStr">
        <is>
          <t>retargetSeconds</t>
        </is>
      </c>
      <c r="D10" t="n">
        <v>0.5</v>
      </c>
      <c r="F10" t="inlineStr">
        <is>
          <t>s</t>
        </is>
      </c>
      <c r="G10" t="inlineStr">
        <is>
          <t>thoi_gian</t>
        </is>
      </c>
      <c r="H10" t="inlineStr">
        <is>
          <t>01</t>
        </is>
      </c>
      <c r="I10" t="inlineStr">
        <is>
          <t>CombatSystem.RetargetSeconds</t>
        </is>
      </c>
      <c r="J10" t="inlineStr">
        <is>
          <t>Assets/MachineBrigade/Resources/Data/tunables.json: weapons.combatSystem.retargetSeconds</t>
        </is>
      </c>
      <c r="K10" t="inlineStr">
        <is>
          <t>{"value":0.5,"unit":"s","kind":"thoi_gian","linh_vuc":"01","code":"CombatSystem.RetargetSeconds"}</t>
        </is>
      </c>
    </row>
    <row r="11">
      <c r="A11" t="inlineStr">
        <is>
          <t>weapons.combatSystem.runDamage</t>
        </is>
      </c>
      <c r="B11" t="inlineStr">
        <is>
          <t>combatSystem</t>
        </is>
      </c>
      <c r="C11" t="inlineStr">
        <is>
          <t>runDamage</t>
        </is>
      </c>
      <c r="D11" t="n">
        <v>1.7</v>
      </c>
      <c r="F11" t="inlineStr">
        <is>
          <t>x</t>
        </is>
      </c>
      <c r="G11" t="inlineStr">
        <is>
          <t>sat_thuong</t>
        </is>
      </c>
      <c r="H11" t="inlineStr">
        <is>
          <t>01</t>
        </is>
      </c>
      <c r="I11" t="inlineStr">
        <is>
          <t>CombatSystem.RunDamage</t>
        </is>
      </c>
      <c r="J11" t="inlineStr">
        <is>
          <t>Assets/MachineBrigade/Resources/Data/tunables.json: weapons.combatSystem.runDamage</t>
        </is>
      </c>
      <c r="K11" t="inlineStr">
        <is>
          <t>{"value":1.7,"unit":"x","kind":"sat_thuong","linh_vuc":"01","code":"CombatSystem.RunDamage"}</t>
        </is>
      </c>
    </row>
    <row r="12">
      <c r="A12" t="inlineStr">
        <is>
          <t>weapons.combatSystem.twinGap</t>
        </is>
      </c>
      <c r="B12" t="inlineStr">
        <is>
          <t>combatSystem</t>
        </is>
      </c>
      <c r="C12" t="inlineStr">
        <is>
          <t>twinGap</t>
        </is>
      </c>
      <c r="D12" t="n">
        <v>0.15</v>
      </c>
      <c r="F12" t="inlineStr">
        <is>
          <t>s</t>
        </is>
      </c>
      <c r="G12" t="inlineStr">
        <is>
          <t>thoi_gian</t>
        </is>
      </c>
      <c r="H12" t="inlineStr">
        <is>
          <t>01</t>
        </is>
      </c>
      <c r="I12" t="inlineStr">
        <is>
          <t>CombatSystem.TwinGap</t>
        </is>
      </c>
      <c r="J12" t="inlineStr">
        <is>
          <t>Assets/MachineBrigade/Resources/Data/tunables.json: weapons.combatSystem.twinGap</t>
        </is>
      </c>
      <c r="K12" t="inlineStr">
        <is>
          <t>{"value":0.15,"unit":"s","kind":"thoi_gian","linh_vuc":"01","code":"CombatSystem.TwinGap"}</t>
        </is>
      </c>
    </row>
    <row r="13">
      <c r="A13" t="inlineStr">
        <is>
          <t>weapons.combatSystem.twinOffset</t>
        </is>
      </c>
      <c r="B13" t="inlineStr">
        <is>
          <t>combatSystem</t>
        </is>
      </c>
      <c r="C13" t="inlineStr">
        <is>
          <t>twinOffset</t>
        </is>
      </c>
      <c r="D13" t="n">
        <v>0.1</v>
      </c>
      <c r="F13" t="inlineStr">
        <is>
          <t>s</t>
        </is>
      </c>
      <c r="G13" t="inlineStr">
        <is>
          <t>ban_kinh</t>
        </is>
      </c>
      <c r="H13" t="inlineStr">
        <is>
          <t>01</t>
        </is>
      </c>
      <c r="I13" t="inlineStr">
        <is>
          <t>CombatSystem.TwinOffset</t>
        </is>
      </c>
      <c r="J13" t="inlineStr">
        <is>
          <t>Assets/MachineBrigade/Resources/Data/tunables.json: weapons.combatSystem.twinOffset</t>
        </is>
      </c>
      <c r="K13" t="inlineStr">
        <is>
          <t>{"value":0.1,"unit":"s","kind":"ban_kinh","linh_vuc":"01","code":"CombatSystem.TwinOffset"}</t>
        </is>
      </c>
    </row>
    <row r="14">
      <c r="A14" t="inlineStr">
        <is>
          <t>weapons.countermeasures.apsRechargeScale</t>
        </is>
      </c>
      <c r="B14" t="inlineStr">
        <is>
          <t>countermeasures</t>
        </is>
      </c>
      <c r="C14" t="inlineStr">
        <is>
          <t>apsRechargeScale</t>
        </is>
      </c>
      <c r="D14" t="n">
        <v>1.5</v>
      </c>
      <c r="F14" t="inlineStr">
        <is>
          <t>x</t>
        </is>
      </c>
      <c r="G14" t="inlineStr">
        <is>
          <t>thoi_gian</t>
        </is>
      </c>
      <c r="H14" t="inlineStr">
        <is>
          <t>01</t>
        </is>
      </c>
      <c r="I14" t="inlineStr">
        <is>
          <t>Countermeasures.ApsRechargeScale</t>
        </is>
      </c>
      <c r="J14" t="inlineStr">
        <is>
          <t>Assets/MachineBrigade/Resources/Data/tunables.json: weapons.countermeasures.apsRechargeScale</t>
        </is>
      </c>
      <c r="K14" t="inlineStr">
        <is>
          <t>{"value":1.5,"unit":"x","kind":"thoi_gian","linh_vuc":"01","code":"Countermeasures.ApsRechargeScale"}</t>
        </is>
      </c>
    </row>
    <row r="15">
      <c r="A15" t="inlineStr">
        <is>
          <t>weapons.countermeasures.apsVolleySeconds</t>
        </is>
      </c>
      <c r="B15" t="inlineStr">
        <is>
          <t>countermeasures</t>
        </is>
      </c>
      <c r="C15" t="inlineStr">
        <is>
          <t>apsVolleySeconds</t>
        </is>
      </c>
      <c r="D15" t="n">
        <v>0.4</v>
      </c>
      <c r="F15" t="inlineStr">
        <is>
          <t>s</t>
        </is>
      </c>
      <c r="G15" t="inlineStr">
        <is>
          <t>thoi_gian</t>
        </is>
      </c>
      <c r="H15" t="inlineStr">
        <is>
          <t>01</t>
        </is>
      </c>
      <c r="I15" t="inlineStr">
        <is>
          <t>Countermeasures.ApsVolleySeconds</t>
        </is>
      </c>
      <c r="J15" t="inlineStr">
        <is>
          <t>Assets/MachineBrigade/Resources/Data/tunables.json: weapons.countermeasures.apsVolleySeconds</t>
        </is>
      </c>
      <c r="K15" t="inlineStr">
        <is>
          <t>{"value":0.4,"unit":"s","kind":"thoi_gian","linh_vuc":"01","code":"Countermeasures.ApsVolleySeconds"}</t>
        </is>
      </c>
    </row>
    <row r="16">
      <c r="A16" t="inlineStr">
        <is>
          <t>weapons.countermeasures.flareCueSeconds</t>
        </is>
      </c>
      <c r="B16" t="inlineStr">
        <is>
          <t>countermeasures</t>
        </is>
      </c>
      <c r="C16" t="inlineStr">
        <is>
          <t>flareCueSeconds</t>
        </is>
      </c>
      <c r="D16" t="n">
        <v>1.5</v>
      </c>
      <c r="F16" t="inlineStr">
        <is>
          <t>s</t>
        </is>
      </c>
      <c r="G16" t="inlineStr">
        <is>
          <t>thoi_gian</t>
        </is>
      </c>
      <c r="H16" t="inlineStr">
        <is>
          <t>01</t>
        </is>
      </c>
      <c r="I16" t="inlineStr">
        <is>
          <t>Countermeasures.FlareCueSeconds</t>
        </is>
      </c>
      <c r="J16" t="inlineStr">
        <is>
          <t>Assets/MachineBrigade/Resources/Data/tunables.json: weapons.countermeasures.flareCueSeconds</t>
        </is>
      </c>
      <c r="K16" t="inlineStr">
        <is>
          <t>{"value":1.5,"unit":"s","kind":"thoi_gian","linh_vuc":"01","code":"Countermeasures.FlareCueSeconds"}</t>
        </is>
      </c>
    </row>
    <row r="17">
      <c r="A17" t="inlineStr">
        <is>
          <t>weapons.countermeasures.flareGraceSeconds</t>
        </is>
      </c>
      <c r="B17" t="inlineStr">
        <is>
          <t>countermeasures</t>
        </is>
      </c>
      <c r="C17" t="inlineStr">
        <is>
          <t>flareGraceSeconds</t>
        </is>
      </c>
      <c r="D17" t="n">
        <v>0.5</v>
      </c>
      <c r="F17" t="inlineStr">
        <is>
          <t>s</t>
        </is>
      </c>
      <c r="G17" t="inlineStr">
        <is>
          <t>thoi_gian</t>
        </is>
      </c>
      <c r="H17" t="inlineStr">
        <is>
          <t>01</t>
        </is>
      </c>
      <c r="I17" t="inlineStr">
        <is>
          <t>Countermeasures.FlareGraceSeconds</t>
        </is>
      </c>
      <c r="J17" t="inlineStr">
        <is>
          <t>Assets/MachineBrigade/Resources/Data/tunables.json: weapons.countermeasures.flareGraceSeconds</t>
        </is>
      </c>
      <c r="K17" t="inlineStr">
        <is>
          <t>{"value":0.5,"unit":"s","kind":"thoi_gian","linh_vuc":"01","code":"Countermeasures.FlareGraceSeconds"}</t>
        </is>
      </c>
    </row>
    <row r="18">
      <c r="A18" t="inlineStr">
        <is>
          <t>weapons.damageRules.edgeFalloff</t>
        </is>
      </c>
      <c r="B18" t="inlineStr">
        <is>
          <t>damageRules</t>
        </is>
      </c>
      <c r="C18" t="inlineStr">
        <is>
          <t>edgeFalloff</t>
        </is>
      </c>
      <c r="D18" t="n">
        <v>0.25</v>
      </c>
      <c r="F18" t="inlineStr">
        <is>
          <t>share</t>
        </is>
      </c>
      <c r="G18" t="inlineStr">
        <is>
          <t>sat_thuong</t>
        </is>
      </c>
      <c r="H18" t="inlineStr">
        <is>
          <t>01</t>
        </is>
      </c>
      <c r="I18" t="inlineStr">
        <is>
          <t>DamageSystem.EdgeFalloff</t>
        </is>
      </c>
      <c r="J18" t="inlineStr">
        <is>
          <t>Assets/MachineBrigade/Resources/Data/tunables.json: weapons.damageRules.edgeFalloff</t>
        </is>
      </c>
      <c r="K18" t="inlineStr">
        <is>
          <t>{"value":0.25,"unit":"share","kind":"sat_thuong","linh_vuc":"01","code":"DamageSystem.EdgeFalloff"}</t>
        </is>
      </c>
    </row>
    <row r="19">
      <c r="A19" t="inlineStr">
        <is>
          <t>weapons.damageSystem.engineerBreach</t>
        </is>
      </c>
      <c r="B19" t="inlineStr">
        <is>
          <t>damageSystem</t>
        </is>
      </c>
      <c r="C19" t="inlineStr">
        <is>
          <t>engineerBreach</t>
        </is>
      </c>
      <c r="D19" t="n">
        <v>3</v>
      </c>
      <c r="F19" t="inlineStr">
        <is>
          <t>x</t>
        </is>
      </c>
      <c r="G19" t="inlineStr">
        <is>
          <t>nguong</t>
        </is>
      </c>
      <c r="H19" t="inlineStr">
        <is>
          <t>01</t>
        </is>
      </c>
      <c r="I19" t="inlineStr">
        <is>
          <t>DamageSystem.EngineerBreach</t>
        </is>
      </c>
      <c r="J19" t="inlineStr">
        <is>
          <t>Assets/MachineBrigade/Resources/Data/tunables.json: weapons.damageSystem.engineerBreach</t>
        </is>
      </c>
      <c r="K19" t="inlineStr">
        <is>
          <t>{"value":3.0,"unit":"x","kind":"nguong","linh_vuc":"01","code":"DamageSystem.EngineerBreach"}</t>
        </is>
      </c>
    </row>
    <row r="20">
      <c r="A20" t="inlineStr">
        <is>
          <t>weapons.damageSystem.fireAfterburn</t>
        </is>
      </c>
      <c r="B20" t="inlineStr">
        <is>
          <t>damageSystem</t>
        </is>
      </c>
      <c r="C20" t="inlineStr">
        <is>
          <t>fireAfterburn</t>
        </is>
      </c>
      <c r="D20" t="n">
        <v>0.3</v>
      </c>
      <c r="F20" t="inlineStr">
        <is>
          <t>share</t>
        </is>
      </c>
      <c r="G20" t="inlineStr">
        <is>
          <t>thoi_gian</t>
        </is>
      </c>
      <c r="H20" t="inlineStr">
        <is>
          <t>01</t>
        </is>
      </c>
      <c r="I20" t="inlineStr">
        <is>
          <t>DamageSystem.FireAfterburn</t>
        </is>
      </c>
      <c r="J20" t="inlineStr">
        <is>
          <t>Assets/MachineBrigade/Resources/Data/tunables.json: weapons.damageSystem.fireAfterburn</t>
        </is>
      </c>
      <c r="K20" t="inlineStr">
        <is>
          <t>{"value":0.3,"unit":"share","kind":"thoi_gian","linh_vuc":"01","code":"DamageSystem.FireAfterburn"}</t>
        </is>
      </c>
    </row>
    <row r="21">
      <c r="A21" t="inlineStr">
        <is>
          <t>weapons.damageSystem.fireBurnSeconds</t>
        </is>
      </c>
      <c r="B21" t="inlineStr">
        <is>
          <t>damageSystem</t>
        </is>
      </c>
      <c r="C21" t="inlineStr">
        <is>
          <t>fireBurnSeconds</t>
        </is>
      </c>
      <c r="D21" t="n">
        <v>3</v>
      </c>
      <c r="F21" t="inlineStr">
        <is>
          <t>s</t>
        </is>
      </c>
      <c r="G21" t="inlineStr">
        <is>
          <t>thoi_gian</t>
        </is>
      </c>
      <c r="H21" t="inlineStr">
        <is>
          <t>01</t>
        </is>
      </c>
      <c r="I21" t="inlineStr">
        <is>
          <t>DamageSystem.FireBurnSeconds</t>
        </is>
      </c>
      <c r="J21" t="inlineStr">
        <is>
          <t>Assets/MachineBrigade/Resources/Data/tunables.json: weapons.damageSystem.fireBurnSeconds</t>
        </is>
      </c>
      <c r="K21" t="inlineStr">
        <is>
          <t>{"value":3.0,"unit":"s","kind":"thoi_gian","linh_vuc":"01","code":"DamageSystem.FireBurnSeconds"}</t>
        </is>
      </c>
    </row>
    <row r="22">
      <c r="A22" t="inlineStr">
        <is>
          <t>weapons.damageSystem.smokeEnergyCut</t>
        </is>
      </c>
      <c r="B22" t="inlineStr">
        <is>
          <t>damageSystem</t>
        </is>
      </c>
      <c r="C22" t="inlineStr">
        <is>
          <t>smokeEnergyCut</t>
        </is>
      </c>
      <c r="D22" t="n">
        <v>0.8</v>
      </c>
      <c r="F22" t="inlineStr">
        <is>
          <t>share</t>
        </is>
      </c>
      <c r="G22" t="inlineStr">
        <is>
          <t>nguong</t>
        </is>
      </c>
      <c r="H22" t="inlineStr">
        <is>
          <t>01</t>
        </is>
      </c>
      <c r="I22" t="inlineStr">
        <is>
          <t>DamageSystem.SmokeEnergyCut</t>
        </is>
      </c>
      <c r="J22" t="inlineStr">
        <is>
          <t>Assets/MachineBrigade/Resources/Data/tunables.json: weapons.damageSystem.smokeEnergyCut</t>
        </is>
      </c>
      <c r="K22" t="inlineStr">
        <is>
          <t>{"value":0.8,"unit":"share","kind":"nguong","linh_vuc":"01","code":"DamageSystem.SmokeEnergyCut"}</t>
        </is>
      </c>
    </row>
    <row r="23">
      <c r="A23" t="inlineStr">
        <is>
          <t>weapons.damageTable.defaultPenetration</t>
        </is>
      </c>
      <c r="B23" t="inlineStr">
        <is>
          <t>damageTable</t>
        </is>
      </c>
      <c r="C23" t="inlineStr">
        <is>
          <t>defaultPenetration</t>
        </is>
      </c>
      <c r="E23" t="inlineStr">
        <is>
          <t>1.2;1.0;0.85;0.55;0.25;0.1</t>
        </is>
      </c>
      <c r="F23" t="inlineStr">
        <is>
          <t>x</t>
        </is>
      </c>
      <c r="G23" t="inlineStr">
        <is>
          <t>sat_thuong</t>
        </is>
      </c>
      <c r="H23" t="inlineStr">
        <is>
          <t>01</t>
        </is>
      </c>
      <c r="I23" t="inlineStr">
        <is>
          <t>DamageTable.DefaultPenetration</t>
        </is>
      </c>
      <c r="J23" t="inlineStr">
        <is>
          <t>Assets/MachineBrigade/Resources/Data/tunables.json: weapons.damageTable.defaultPenetration</t>
        </is>
      </c>
      <c r="K23" t="inlineStr">
        <is>
          <t>{"value":[1.2,1.0,0.85,0.55,0.25,0.1],"unit":"x","kind":"sat_thuong","linh_vuc":"01","code":"DamageTable.DefaultPenetration"}</t>
        </is>
      </c>
    </row>
    <row r="24">
      <c r="A24" t="inlineStr">
        <is>
          <t>weapons.fire.firestormShare</t>
        </is>
      </c>
      <c r="B24" t="inlineStr">
        <is>
          <t>fire</t>
        </is>
      </c>
      <c r="C24" t="inlineStr">
        <is>
          <t>firestormShare</t>
        </is>
      </c>
      <c r="D24" t="n">
        <v>0.1</v>
      </c>
      <c r="F24" t="inlineStr">
        <is>
          <t>share</t>
        </is>
      </c>
      <c r="G24" t="inlineStr">
        <is>
          <t>khac</t>
        </is>
      </c>
      <c r="H24" t="inlineStr">
        <is>
          <t>01</t>
        </is>
      </c>
      <c r="I24" t="inlineStr">
        <is>
          <t>GearSystem (pack 2, was Sim/Abilities/GearSystem.cs:847)</t>
        </is>
      </c>
      <c r="J24" t="inlineStr">
        <is>
          <t>Assets/MachineBrigade/Resources/Data/tunables.json: weapons.fire.firestormShare</t>
        </is>
      </c>
      <c r="K24" t="inlineStr">
        <is>
          <t>{"value":0.1,"unit":"share","kind":"khac","linh_vuc":"01","code":"GearSystem (pack 2, was Sim/Abilities/GearSystem.cs:847)"}</t>
        </is>
      </c>
    </row>
    <row r="25">
      <c r="A25" t="inlineStr">
        <is>
          <t>weapons.fire.firestormSpreadRadiusSqM</t>
        </is>
      </c>
      <c r="B25" t="inlineStr">
        <is>
          <t>fire</t>
        </is>
      </c>
      <c r="C25" t="inlineStr">
        <is>
          <t>firestormSpreadRadiusSqM</t>
        </is>
      </c>
      <c r="D25" t="n">
        <v>36</v>
      </c>
      <c r="F25" t="inlineStr">
        <is>
          <t>m2</t>
        </is>
      </c>
      <c r="G25" t="inlineStr">
        <is>
          <t>ban_kinh</t>
        </is>
      </c>
      <c r="H25" t="inlineStr">
        <is>
          <t>01</t>
        </is>
      </c>
      <c r="I25" t="inlineStr">
        <is>
          <t>GearSystem (pack 2, was Sim/Abilities/GearSystem.cs:1256)</t>
        </is>
      </c>
      <c r="J25" t="inlineStr">
        <is>
          <t>Assets/MachineBrigade/Resources/Data/tunables.json: weapons.fire.firestormSpreadRadiusSqM</t>
        </is>
      </c>
      <c r="K25" t="inlineStr">
        <is>
          <t>{"value":36.0,"unit":"m2","kind":"ban_kinh","linh_vuc":"01","code":"GearSystem (pack 2, was Sim/Abilities/GearSystem.cs:1256)"}</t>
        </is>
      </c>
    </row>
    <row r="26">
      <c r="A26" t="inlineStr">
        <is>
          <t>weapons.fire.firestormSpreadSeconds</t>
        </is>
      </c>
      <c r="B26" t="inlineStr">
        <is>
          <t>fire</t>
        </is>
      </c>
      <c r="C26" t="inlineStr">
        <is>
          <t>firestormSpreadSeconds</t>
        </is>
      </c>
      <c r="D26" t="n">
        <v>4</v>
      </c>
      <c r="F26" t="inlineStr">
        <is>
          <t>s</t>
        </is>
      </c>
      <c r="G26" t="inlineStr">
        <is>
          <t>thoi_gian</t>
        </is>
      </c>
      <c r="H26" t="inlineStr">
        <is>
          <t>01</t>
        </is>
      </c>
      <c r="I26" t="inlineStr">
        <is>
          <t>GearSystem (pack 2, was Sim/Abilities/GearSystem.cs:1265)</t>
        </is>
      </c>
      <c r="J26" t="inlineStr">
        <is>
          <t>Assets/MachineBrigade/Resources/Data/tunables.json: weapons.fire.firestormSpreadSeconds</t>
        </is>
      </c>
      <c r="K26" t="inlineStr">
        <is>
          <t>{"value":4.0,"unit":"s","kind":"thoi_gian","linh_vuc":"01","code":"GearSystem (pack 2, was Sim/Abilities/GearSystem.cs:1265)"}</t>
        </is>
      </c>
    </row>
    <row r="27">
      <c r="A27" t="inlineStr">
        <is>
          <t>weapons.fire.incendiaryFlameSeconds</t>
        </is>
      </c>
      <c r="B27" t="inlineStr">
        <is>
          <t>fire</t>
        </is>
      </c>
      <c r="C27" t="inlineStr">
        <is>
          <t>incendiaryFlameSeconds</t>
        </is>
      </c>
      <c r="D27" t="n">
        <v>6</v>
      </c>
      <c r="F27" t="inlineStr">
        <is>
          <t>s</t>
        </is>
      </c>
      <c r="G27" t="inlineStr">
        <is>
          <t>thoi_gian</t>
        </is>
      </c>
      <c r="H27" t="inlineStr">
        <is>
          <t>01</t>
        </is>
      </c>
      <c r="I27" t="inlineStr">
        <is>
          <t>GearSystem (pack 2, was Sim/Abilities/GearSystem.cs:846)</t>
        </is>
      </c>
      <c r="J27" t="inlineStr">
        <is>
          <t>Assets/MachineBrigade/Resources/Data/tunables.json: weapons.fire.incendiaryFlameSeconds</t>
        </is>
      </c>
      <c r="K27" t="inlineStr">
        <is>
          <t>{"value":6.0,"unit":"s","kind":"thoi_gian","linh_vuc":"01","code":"GearSystem (pack 2, was Sim/Abilities/GearSystem.cs:846)"}</t>
        </is>
      </c>
    </row>
    <row r="28">
      <c r="A28" t="inlineStr">
        <is>
          <t>weapons.fire.incendiaryOtherSeconds</t>
        </is>
      </c>
      <c r="B28" t="inlineStr">
        <is>
          <t>fire</t>
        </is>
      </c>
      <c r="C28" t="inlineStr">
        <is>
          <t>incendiaryOtherSeconds</t>
        </is>
      </c>
      <c r="D28" t="n">
        <v>4</v>
      </c>
      <c r="F28" t="inlineStr">
        <is>
          <t>s</t>
        </is>
      </c>
      <c r="G28" t="inlineStr">
        <is>
          <t>thoi_gian</t>
        </is>
      </c>
      <c r="H28" t="inlineStr">
        <is>
          <t>01</t>
        </is>
      </c>
      <c r="I28" t="inlineStr">
        <is>
          <t>GearSystem (pack 2, was Sim/Abilities/GearSystem.cs:846)</t>
        </is>
      </c>
      <c r="J28" t="inlineStr">
        <is>
          <t>Assets/MachineBrigade/Resources/Data/tunables.json: weapons.fire.incendiaryOtherSeconds</t>
        </is>
      </c>
      <c r="K28" t="inlineStr">
        <is>
          <t>{"value":4.0,"unit":"s","kind":"thoi_gian","linh_vuc":"01","code":"GearSystem (pack 2, was Sim/Abilities/GearSystem.cs:846)"}</t>
        </is>
      </c>
    </row>
    <row r="29">
      <c r="A29" t="inlineStr">
        <is>
          <t>weapons.guidance.baseFailChance</t>
        </is>
      </c>
      <c r="B29" t="inlineStr">
        <is>
          <t>guidance</t>
        </is>
      </c>
      <c r="C29" t="inlineStr">
        <is>
          <t>baseFailChance</t>
        </is>
      </c>
      <c r="D29" t="n">
        <v>0.02</v>
      </c>
      <c r="F29" t="inlineStr">
        <is>
          <t>share</t>
        </is>
      </c>
      <c r="G29" t="inlineStr">
        <is>
          <t>xac_suat</t>
        </is>
      </c>
      <c r="H29" t="inlineStr">
        <is>
          <t>01</t>
        </is>
      </c>
      <c r="I29" t="inlineStr">
        <is>
          <t>CombatSystem (pack 2, was Sim/Combat/CombatSystem.cs:1021)</t>
        </is>
      </c>
      <c r="J29" t="inlineStr">
        <is>
          <t>Assets/MachineBrigade/Resources/Data/tunables.json: weapons.guidance.baseFailChance</t>
        </is>
      </c>
      <c r="K29" t="inlineStr">
        <is>
          <t>{"value":0.02,"unit":"share","kind":"xac_suat","linh_vuc":"01","code":"CombatSystem (pack 2, was Sim/Combat/CombatSystem.cs:1021)"}</t>
        </is>
      </c>
    </row>
    <row r="30">
      <c r="A30" t="inlineStr">
        <is>
          <t>weapons.guidance.rangeFailCoeff</t>
        </is>
      </c>
      <c r="B30" t="inlineStr">
        <is>
          <t>guidance</t>
        </is>
      </c>
      <c r="C30" t="inlineStr">
        <is>
          <t>rangeFailCoeff</t>
        </is>
      </c>
      <c r="D30" t="n">
        <v>0.08</v>
      </c>
      <c r="F30" t="inlineStr">
        <is>
          <t>share</t>
        </is>
      </c>
      <c r="G30" t="inlineStr">
        <is>
          <t>xac_suat</t>
        </is>
      </c>
      <c r="H30" t="inlineStr">
        <is>
          <t>01</t>
        </is>
      </c>
      <c r="I30" t="inlineStr">
        <is>
          <t>CombatSystem (pack 2, was Sim/Combat/CombatSystem.cs:1021)</t>
        </is>
      </c>
      <c r="J30" t="inlineStr">
        <is>
          <t>Assets/MachineBrigade/Resources/Data/tunables.json: weapons.guidance.rangeFailCoeff</t>
        </is>
      </c>
      <c r="K30" t="inlineStr">
        <is>
          <t>{"value":0.08,"unit":"share","kind":"xac_suat","linh_vuc":"01","code":"CombatSystem (pack 2, was Sim/Combat/CombatSystem.cs:1021)"}</t>
        </is>
      </c>
    </row>
    <row r="31">
      <c r="A31" t="inlineStr">
        <is>
          <t>weapons.jamRules.guidedMissMin</t>
        </is>
      </c>
      <c r="B31" t="inlineStr">
        <is>
          <t>jamRules</t>
        </is>
      </c>
      <c r="C31" t="inlineStr">
        <is>
          <t>guidedMissMin</t>
        </is>
      </c>
      <c r="D31" t="n">
        <v>5</v>
      </c>
      <c r="F31" t="inlineStr">
        <is>
          <t>m</t>
        </is>
      </c>
      <c r="G31" t="inlineStr">
        <is>
          <t>ban_kinh</t>
        </is>
      </c>
      <c r="H31" t="inlineStr">
        <is>
          <t>01</t>
        </is>
      </c>
      <c r="I31" t="inlineStr">
        <is>
          <t>CombatSystem.Launch (jammed / lock lost)</t>
        </is>
      </c>
      <c r="J31" t="inlineStr">
        <is>
          <t>Assets/MachineBrigade/Resources/Data/tunables.json: weapons.jamRules.guidedMissMin</t>
        </is>
      </c>
      <c r="K31" t="inlineStr">
        <is>
          <t>{"value":5.0,"unit":"m","kind":"ban_kinh","linh_vuc":"01","code":"CombatSystem.Launch (jammed / lock lost)"}</t>
        </is>
      </c>
    </row>
    <row r="32">
      <c r="A32" t="inlineStr">
        <is>
          <t>weapons.jamRules.guidedMissSpread</t>
        </is>
      </c>
      <c r="B32" t="inlineStr">
        <is>
          <t>jamRules</t>
        </is>
      </c>
      <c r="C32" t="inlineStr">
        <is>
          <t>guidedMissSpread</t>
        </is>
      </c>
      <c r="D32" t="n">
        <v>6</v>
      </c>
      <c r="F32" t="inlineStr">
        <is>
          <t>m</t>
        </is>
      </c>
      <c r="G32" t="inlineStr">
        <is>
          <t>ban_kinh</t>
        </is>
      </c>
      <c r="H32" t="inlineStr">
        <is>
          <t>01</t>
        </is>
      </c>
      <c r="I32" t="inlineStr">
        <is>
          <t>CombatSystem.Launch (jammed / lock lost)</t>
        </is>
      </c>
      <c r="J32" t="inlineStr">
        <is>
          <t>Assets/MachineBrigade/Resources/Data/tunables.json: weapons.jamRules.guidedMissSpread</t>
        </is>
      </c>
      <c r="K32" t="inlineStr">
        <is>
          <t>{"value":6.0,"unit":"m","kind":"ban_kinh","linh_vuc":"01","code":"CombatSystem.Launch (jammed / lock lost)"}</t>
        </is>
      </c>
    </row>
    <row r="33">
      <c r="A33" t="inlineStr">
        <is>
          <t>weapons.jamRules.strikeScatter</t>
        </is>
      </c>
      <c r="B33" t="inlineStr">
        <is>
          <t>jamRules</t>
        </is>
      </c>
      <c r="C33" t="inlineStr">
        <is>
          <t>strikeScatter</t>
        </is>
      </c>
      <c r="D33" t="n">
        <v>2.2</v>
      </c>
      <c r="F33" t="inlineStr">
        <is>
          <t>x</t>
        </is>
      </c>
      <c r="G33" t="inlineStr">
        <is>
          <t>ban_kinh</t>
        </is>
      </c>
      <c r="H33" t="inlineStr">
        <is>
          <t>01</t>
        </is>
      </c>
      <c r="I33" t="inlineStr">
        <is>
          <t>StrikeSystem.Launch Scatter</t>
        </is>
      </c>
      <c r="J33" t="inlineStr">
        <is>
          <t>Assets/MachineBrigade/Resources/Data/tunables.json: weapons.jamRules.strikeScatter</t>
        </is>
      </c>
      <c r="K33" t="inlineStr">
        <is>
          <t>{"value":2.2,"unit":"x","kind":"ban_kinh","linh_vuc":"01","code":"StrikeSystem.Launch Scatter"}</t>
        </is>
      </c>
    </row>
    <row r="34">
      <c r="A34" t="inlineStr">
        <is>
          <t>weapons.jamRules.swarmJamChance</t>
        </is>
      </c>
      <c r="B34" t="inlineStr">
        <is>
          <t>jamRules</t>
        </is>
      </c>
      <c r="C34" t="inlineStr">
        <is>
          <t>swarmJamChance</t>
        </is>
      </c>
      <c r="D34" t="n">
        <v>0.5</v>
      </c>
      <c r="F34" t="inlineStr">
        <is>
          <t>share</t>
        </is>
      </c>
      <c r="G34" t="inlineStr">
        <is>
          <t>nguong</t>
        </is>
      </c>
      <c r="H34" t="inlineStr">
        <is>
          <t>01</t>
        </is>
      </c>
      <c r="I34" t="inlineStr">
        <is>
          <t>BossSystem.BigAttacks swarm</t>
        </is>
      </c>
      <c r="J34" t="inlineStr">
        <is>
          <t>Assets/MachineBrigade/Resources/Data/tunables.json: weapons.jamRules.swarmJamChance</t>
        </is>
      </c>
      <c r="K34" t="inlineStr">
        <is>
          <t>{"value":0.5,"unit":"share","kind":"nguong","linh_vuc":"01","code":"BossSystem.BigAttacks swarm"}</t>
        </is>
      </c>
    </row>
    <row r="35">
      <c r="A35" t="inlineStr">
        <is>
          <t>weapons.weaponDef.escapeSpeed</t>
        </is>
      </c>
      <c r="B35" t="inlineStr">
        <is>
          <t>weaponDef</t>
        </is>
      </c>
      <c r="C35" t="inlineStr">
        <is>
          <t>escapeSpeed</t>
        </is>
      </c>
      <c r="D35" t="n">
        <v>4.5</v>
      </c>
      <c r="F35" t="inlineStr">
        <is>
          <t>m/s</t>
        </is>
      </c>
      <c r="G35" t="inlineStr">
        <is>
          <t>tan_suat</t>
        </is>
      </c>
      <c r="H35" t="inlineStr">
        <is>
          <t>01</t>
        </is>
      </c>
      <c r="I35" t="inlineStr">
        <is>
          <t>WeaponDef.EscapeSpeed</t>
        </is>
      </c>
      <c r="J35" t="inlineStr">
        <is>
          <t>Assets/MachineBrigade/Resources/Data/tunables.json: weapons.weaponDef.escapeSpeed</t>
        </is>
      </c>
      <c r="K35" t="inlineStr">
        <is>
          <t>{"value":4.5,"unit":"m/s","kind":"tan_suat","linh_vuc":"01","code":"WeaponDef.EscapeSpeed"}</t>
        </is>
      </c>
    </row>
    <row r="36">
      <c r="A36" t="inlineStr">
        <is>
          <t>weapons.weaponDef.heArmourMax</t>
        </is>
      </c>
      <c r="B36" t="inlineStr">
        <is>
          <t>weaponDef</t>
        </is>
      </c>
      <c r="C36" t="inlineStr">
        <is>
          <t>heArmourMax</t>
        </is>
      </c>
      <c r="D36" t="n">
        <v>1</v>
      </c>
      <c r="F36" t="inlineStr">
        <is>
          <t>armour level</t>
        </is>
      </c>
      <c r="G36" t="inlineStr">
        <is>
          <t>sat_thuong</t>
        </is>
      </c>
      <c r="H36" t="inlineStr">
        <is>
          <t>01</t>
        </is>
      </c>
      <c r="I36" t="inlineStr">
        <is>
          <t>WeaponDef.HeArmourMax</t>
        </is>
      </c>
      <c r="J36" t="inlineStr">
        <is>
          <t>Assets/MachineBrigade/Resources/Data/tunables.json: weapons.weaponDef.heArmourMax</t>
        </is>
      </c>
      <c r="K36" t="inlineStr">
        <is>
          <t>{"value":1,"unit":"armour level","kind":"sat_thuong","linh_vuc":"01","code":"WeaponDef.HeArmourMax"}</t>
        </is>
      </c>
    </row>
    <row r="37">
      <c r="A37" t="inlineStr">
        <is>
          <t>weapons.weaponDef.maxEdge</t>
        </is>
      </c>
      <c r="B37" t="inlineStr">
        <is>
          <t>weaponDef</t>
        </is>
      </c>
      <c r="C37" t="inlineStr">
        <is>
          <t>maxEdge</t>
        </is>
      </c>
      <c r="D37" t="n">
        <v>20</v>
      </c>
      <c r="F37" t="inlineStr">
        <is>
          <t>x</t>
        </is>
      </c>
      <c r="G37" t="inlineStr">
        <is>
          <t>sat_thuong</t>
        </is>
      </c>
      <c r="H37" t="inlineStr">
        <is>
          <t>01</t>
        </is>
      </c>
      <c r="I37" t="inlineStr">
        <is>
          <t>WeaponDef.MaxEdge</t>
        </is>
      </c>
      <c r="J37" t="inlineStr">
        <is>
          <t>Assets/MachineBrigade/Resources/Data/tunables.json: weapons.weaponDef.maxEdge</t>
        </is>
      </c>
      <c r="K37" t="inlineStr">
        <is>
          <t>{"value":20.0,"unit":"x","kind":"sat_thuong","linh_vuc":"01","code":"WeaponDef.MaxEdge"}</t>
        </is>
      </c>
    </row>
    <row r="38">
      <c r="A38" t="inlineStr">
        <is>
          <t>weapons.weaponDef.maxEdgeT5</t>
        </is>
      </c>
      <c r="B38" t="inlineStr">
        <is>
          <t>weaponDef</t>
        </is>
      </c>
      <c r="C38" t="inlineStr">
        <is>
          <t>maxEdgeT5</t>
        </is>
      </c>
      <c r="D38" t="n">
        <v>28</v>
      </c>
      <c r="F38" t="inlineStr">
        <is>
          <t>x</t>
        </is>
      </c>
      <c r="G38" t="inlineStr">
        <is>
          <t>sat_thuong</t>
        </is>
      </c>
      <c r="H38" t="inlineStr">
        <is>
          <t>01</t>
        </is>
      </c>
      <c r="I38" t="inlineStr">
        <is>
          <t>WeaponDef.MaxEdgeT5</t>
        </is>
      </c>
      <c r="J38" t="inlineStr">
        <is>
          <t>Assets/MachineBrigade/Resources/Data/tunables.json: weapons.weaponDef.maxEdgeT5</t>
        </is>
      </c>
      <c r="K38" t="inlineStr">
        <is>
          <t>{"value":28.0,"unit":"x","kind":"sat_thuong","linh_vuc":"01","code":"WeaponDef.MaxEdgeT5"}</t>
        </is>
      </c>
    </row>
    <row r="39">
      <c r="A39" t="inlineStr">
        <is>
          <t>weapons.weaponDef.maxWarning</t>
        </is>
      </c>
      <c r="B39" t="inlineStr">
        <is>
          <t>weaponDef</t>
        </is>
      </c>
      <c r="C39" t="inlineStr">
        <is>
          <t>maxWarning</t>
        </is>
      </c>
      <c r="D39" t="n">
        <v>6</v>
      </c>
      <c r="F39" t="inlineStr">
        <is>
          <t>s</t>
        </is>
      </c>
      <c r="G39" t="inlineStr">
        <is>
          <t>thoi_gian</t>
        </is>
      </c>
      <c r="H39" t="inlineStr">
        <is>
          <t>01</t>
        </is>
      </c>
      <c r="I39" t="inlineStr">
        <is>
          <t>WeaponDef.MaxWarning</t>
        </is>
      </c>
      <c r="J39" t="inlineStr">
        <is>
          <t>Assets/MachineBrigade/Resources/Data/tunables.json: weapons.weaponDef.maxWarning</t>
        </is>
      </c>
      <c r="K39" t="inlineStr">
        <is>
          <t>{"value":6.0,"unit":"s","kind":"thoi_gian","linh_vuc":"01","code":"WeaponDef.MaxWarning"}</t>
        </is>
      </c>
    </row>
    <row r="40">
      <c r="A40" t="inlineStr">
        <is>
          <t>weapons.weaponDef.minSwitchSeconds</t>
        </is>
      </c>
      <c r="B40" t="inlineStr">
        <is>
          <t>weaponDef</t>
        </is>
      </c>
      <c r="C40" t="inlineStr">
        <is>
          <t>minSwitchSeconds</t>
        </is>
      </c>
      <c r="D40" t="n">
        <v>0.5</v>
      </c>
      <c r="F40" t="inlineStr">
        <is>
          <t>s</t>
        </is>
      </c>
      <c r="G40" t="inlineStr">
        <is>
          <t>thoi_gian</t>
        </is>
      </c>
      <c r="H40" t="inlineStr">
        <is>
          <t>01</t>
        </is>
      </c>
      <c r="I40" t="inlineStr">
        <is>
          <t>WeaponDef.MinSwitchSeconds</t>
        </is>
      </c>
      <c r="J40" t="inlineStr">
        <is>
          <t>Assets/MachineBrigade/Resources/Data/tunables.json: weapons.weaponDef.minSwitchSeconds</t>
        </is>
      </c>
      <c r="K40" t="inlineStr">
        <is>
          <t>{"value":0.5,"unit":"s","kind":"thoi_gian","linh_vuc":"01","code":"WeaponDef.MinSwitchSeconds"}</t>
        </is>
      </c>
    </row>
    <row r="41">
      <c r="A41" t="inlineStr">
        <is>
          <t>weapons.weaponDef.roundHoldSeconds</t>
        </is>
      </c>
      <c r="B41" t="inlineStr">
        <is>
          <t>weaponDef</t>
        </is>
      </c>
      <c r="C41" t="inlineStr">
        <is>
          <t>roundHoldSeconds</t>
        </is>
      </c>
      <c r="D41" t="n">
        <v>2</v>
      </c>
      <c r="F41" t="inlineStr">
        <is>
          <t>s</t>
        </is>
      </c>
      <c r="G41" t="inlineStr">
        <is>
          <t>thoi_gian</t>
        </is>
      </c>
      <c r="H41" t="inlineStr">
        <is>
          <t>01</t>
        </is>
      </c>
      <c r="I41" t="inlineStr">
        <is>
          <t>WeaponDef.RoundHoldSeconds</t>
        </is>
      </c>
      <c r="J41" t="inlineStr">
        <is>
          <t>Assets/MachineBrigade/Resources/Data/tunables.json: weapons.weaponDef.roundHoldSeconds</t>
        </is>
      </c>
      <c r="K41" t="inlineStr">
        <is>
          <t>{"value":2.0,"unit":"s","kind":"thoi_gian","linh_vuc":"01","code":"WeaponDef.RoundHoldSeconds"}</t>
        </is>
      </c>
    </row>
  </sheetData>
  <autoFilter ref="A1:K4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22" customWidth="1" min="3" max="3"/>
    <col width="12" customWidth="1" min="4" max="4"/>
    <col width="18" customWidth="1" min="5" max="5"/>
    <col width="11" customWidth="1" min="6" max="6"/>
    <col width="11" customWidth="1" min="7" max="7"/>
    <col width="16" customWidth="1" min="8" max="8"/>
    <col width="57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nhom_quet</t>
        </is>
      </c>
      <c r="H1" s="1" t="inlineStr">
        <is>
          <t>linh_vuc_ma_cu</t>
        </is>
      </c>
      <c r="I1" s="1" t="inlineStr">
        <is>
          <t>ma_nguon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vehicles.abilitySystem.auraInterval</t>
        </is>
      </c>
      <c r="B2" t="inlineStr">
        <is>
          <t>abilitySystem</t>
        </is>
      </c>
      <c r="C2" t="inlineStr">
        <is>
          <t>auraInterval</t>
        </is>
      </c>
      <c r="D2" t="n">
        <v>0.5</v>
      </c>
      <c r="F2" t="inlineStr">
        <is>
          <t>s</t>
        </is>
      </c>
      <c r="G2" t="inlineStr">
        <is>
          <t>thoi_gian</t>
        </is>
      </c>
      <c r="H2" t="inlineStr">
        <is>
          <t>02</t>
        </is>
      </c>
      <c r="I2" t="inlineStr">
        <is>
          <t>AbilitySystem.AuraInterval</t>
        </is>
      </c>
      <c r="J2" t="inlineStr">
        <is>
          <t>Assets/MachineBrigade/Resources/Data/tunables.json: vehicles.abilitySystem.auraInterval</t>
        </is>
      </c>
      <c r="K2" t="inlineStr">
        <is>
          <t>{"value":0.5,"unit":"s","kind":"thoi_gian","linh_vuc":"02","code":"AbilitySystem.AuraInterval"}</t>
        </is>
      </c>
    </row>
    <row r="3">
      <c r="A3" t="inlineStr">
        <is>
          <t>vehicles.abilitySystem.homeReach</t>
        </is>
      </c>
      <c r="B3" t="inlineStr">
        <is>
          <t>abilitySystem</t>
        </is>
      </c>
      <c r="C3" t="inlineStr">
        <is>
          <t>homeReach</t>
        </is>
      </c>
      <c r="D3" t="n">
        <v>20</v>
      </c>
      <c r="F3" t="inlineStr">
        <is>
          <t>m</t>
        </is>
      </c>
      <c r="G3" t="inlineStr">
        <is>
          <t>ban_kinh</t>
        </is>
      </c>
      <c r="H3" t="inlineStr">
        <is>
          <t>02</t>
        </is>
      </c>
      <c r="I3" t="inlineStr">
        <is>
          <t>AbilitySystem.HomeReach</t>
        </is>
      </c>
      <c r="J3" t="inlineStr">
        <is>
          <t>Assets/MachineBrigade/Resources/Data/tunables.json: vehicles.abilitySystem.homeReach</t>
        </is>
      </c>
      <c r="K3" t="inlineStr">
        <is>
          <t>{"value":20.0,"unit":"m","kind":"ban_kinh","linh_vuc":"02","code":"AbilitySystem.HomeReach"}</t>
        </is>
      </c>
    </row>
    <row r="4">
      <c r="A4" t="inlineStr">
        <is>
          <t>vehicles.abilitySystem.homeRearmSeconds</t>
        </is>
      </c>
      <c r="B4" t="inlineStr">
        <is>
          <t>abilitySystem</t>
        </is>
      </c>
      <c r="C4" t="inlineStr">
        <is>
          <t>homeRearmSeconds</t>
        </is>
      </c>
      <c r="D4" t="n">
        <v>3</v>
      </c>
      <c r="F4" t="inlineStr">
        <is>
          <t>s</t>
        </is>
      </c>
      <c r="G4" t="inlineStr">
        <is>
          <t>thoi_gian</t>
        </is>
      </c>
      <c r="H4" t="inlineStr">
        <is>
          <t>02</t>
        </is>
      </c>
      <c r="I4" t="inlineStr">
        <is>
          <t>AbilitySystem.HomeRearmSeconds</t>
        </is>
      </c>
      <c r="J4" t="inlineStr">
        <is>
          <t>Assets/MachineBrigade/Resources/Data/tunables.json: vehicles.abilitySystem.homeRearmSeconds</t>
        </is>
      </c>
      <c r="K4" t="inlineStr">
        <is>
          <t>{"value":3.0,"unit":"s","kind":"thoi_gian","linh_vuc":"02","code":"AbilitySystem.HomeRearmSeconds"}</t>
        </is>
      </c>
    </row>
    <row r="5">
      <c r="A5" t="inlineStr">
        <is>
          <t>vehicles.abilitySystem.mineSpotting</t>
        </is>
      </c>
      <c r="B5" t="inlineStr">
        <is>
          <t>abilitySystem</t>
        </is>
      </c>
      <c r="C5" t="inlineStr">
        <is>
          <t>mineSpotting</t>
        </is>
      </c>
      <c r="D5" t="n">
        <v>9</v>
      </c>
      <c r="F5" t="inlineStr">
        <is>
          <t>m</t>
        </is>
      </c>
      <c r="G5" t="inlineStr">
        <is>
          <t>ban_kinh</t>
        </is>
      </c>
      <c r="H5" t="inlineStr">
        <is>
          <t>02</t>
        </is>
      </c>
      <c r="I5" t="inlineStr">
        <is>
          <t>AbilitySystem.MineSpotting</t>
        </is>
      </c>
      <c r="J5" t="inlineStr">
        <is>
          <t>Assets/MachineBrigade/Resources/Data/tunables.json: vehicles.abilitySystem.mineSpotting</t>
        </is>
      </c>
      <c r="K5" t="inlineStr">
        <is>
          <t>{"value":9.0,"unit":"m","kind":"ban_kinh","linh_vuc":"02","code":"AbilitySystem.MineSpotting"}</t>
        </is>
      </c>
    </row>
    <row r="6">
      <c r="A6" t="inlineStr">
        <is>
          <t>vehicles.fieldWorksSystem.decoyCheckSeconds</t>
        </is>
      </c>
      <c r="B6" t="inlineStr">
        <is>
          <t>fieldWorksSystem</t>
        </is>
      </c>
      <c r="C6" t="inlineStr">
        <is>
          <t>decoyCheckSeconds</t>
        </is>
      </c>
      <c r="D6" t="n">
        <v>0.5</v>
      </c>
      <c r="F6" t="inlineStr">
        <is>
          <t>s</t>
        </is>
      </c>
      <c r="G6" t="inlineStr">
        <is>
          <t>thoi_gian</t>
        </is>
      </c>
      <c r="H6" t="inlineStr">
        <is>
          <t>02</t>
        </is>
      </c>
      <c r="I6" t="inlineStr">
        <is>
          <t>FieldWorksSystem.DecoyCheckSeconds</t>
        </is>
      </c>
      <c r="J6" t="inlineStr">
        <is>
          <t>Assets/MachineBrigade/Resources/Data/tunables.json: vehicles.fieldWorksSystem.decoyCheckSeconds</t>
        </is>
      </c>
      <c r="K6" t="inlineStr">
        <is>
          <t>{"value":0.5,"unit":"s","kind":"thoi_gian","linh_vuc":"02","code":"FieldWorksSystem.DecoyCheckSeconds"}</t>
        </is>
      </c>
    </row>
    <row r="7">
      <c r="A7" t="inlineStr">
        <is>
          <t>vehicles.fieldWorksSystem.nightSight</t>
        </is>
      </c>
      <c r="B7" t="inlineStr">
        <is>
          <t>fieldWorksSystem</t>
        </is>
      </c>
      <c r="C7" t="inlineStr">
        <is>
          <t>nightSight</t>
        </is>
      </c>
      <c r="D7" t="n">
        <v>0.75</v>
      </c>
      <c r="F7" t="inlineStr">
        <is>
          <t>x</t>
        </is>
      </c>
      <c r="G7" t="inlineStr">
        <is>
          <t>ban_kinh</t>
        </is>
      </c>
      <c r="H7" t="inlineStr">
        <is>
          <t>02</t>
        </is>
      </c>
      <c r="I7" t="inlineStr">
        <is>
          <t>FieldWorksSystem.NightSight</t>
        </is>
      </c>
      <c r="J7" t="inlineStr">
        <is>
          <t>Assets/MachineBrigade/Resources/Data/tunables.json: vehicles.fieldWorksSystem.nightSight</t>
        </is>
      </c>
      <c r="K7" t="inlineStr">
        <is>
          <t>{"value":0.75,"unit":"x","kind":"ban_kinh","linh_vuc":"02","code":"FieldWorksSystem.NightSight"}</t>
        </is>
      </c>
    </row>
    <row r="8">
      <c r="A8" t="inlineStr">
        <is>
          <t>vehicles.fieldWorksSystem.passScanSeconds</t>
        </is>
      </c>
      <c r="B8" t="inlineStr">
        <is>
          <t>fieldWorksSystem</t>
        </is>
      </c>
      <c r="C8" t="inlineStr">
        <is>
          <t>passScanSeconds</t>
        </is>
      </c>
      <c r="D8" t="n">
        <v>0.5</v>
      </c>
      <c r="F8" t="inlineStr">
        <is>
          <t>s</t>
        </is>
      </c>
      <c r="G8" t="inlineStr">
        <is>
          <t>thoi_gian</t>
        </is>
      </c>
      <c r="H8" t="inlineStr">
        <is>
          <t>02</t>
        </is>
      </c>
      <c r="I8" t="inlineStr">
        <is>
          <t>FieldWorksSystem.PassScanSeconds</t>
        </is>
      </c>
      <c r="J8" t="inlineStr">
        <is>
          <t>Assets/MachineBrigade/Resources/Data/tunables.json: vehicles.fieldWorksSystem.passScanSeconds</t>
        </is>
      </c>
      <c r="K8" t="inlineStr">
        <is>
          <t>{"value":0.5,"unit":"s","kind":"thoi_gian","linh_vuc":"02","code":"FieldWorksSystem.PassScanSeconds"}</t>
        </is>
      </c>
    </row>
    <row r="9">
      <c r="A9" t="inlineStr">
        <is>
          <t>vehicles.gearSystem.auraInterval</t>
        </is>
      </c>
      <c r="B9" t="inlineStr">
        <is>
          <t>gearSystem</t>
        </is>
      </c>
      <c r="C9" t="inlineStr">
        <is>
          <t>auraInterval</t>
        </is>
      </c>
      <c r="D9" t="n">
        <v>0.5</v>
      </c>
      <c r="F9" t="inlineStr">
        <is>
          <t>s</t>
        </is>
      </c>
      <c r="G9" t="inlineStr">
        <is>
          <t>thoi_gian</t>
        </is>
      </c>
      <c r="H9" t="inlineStr">
        <is>
          <t>02</t>
        </is>
      </c>
      <c r="I9" t="inlineStr">
        <is>
          <t>GearSystem.AuraInterval</t>
        </is>
      </c>
      <c r="J9" t="inlineStr">
        <is>
          <t>Assets/MachineBrigade/Resources/Data/tunables.json: vehicles.gearSystem.auraInterval</t>
        </is>
      </c>
      <c r="K9" t="inlineStr">
        <is>
          <t>{"value":0.5,"unit":"s","kind":"thoi_gian","linh_vuc":"02","code":"GearSystem.AuraInterval"}</t>
        </is>
      </c>
    </row>
    <row r="10">
      <c r="A10" t="inlineStr">
        <is>
          <t>vehicles.gearSystem.domeRadius</t>
        </is>
      </c>
      <c r="B10" t="inlineStr">
        <is>
          <t>gearSystem</t>
        </is>
      </c>
      <c r="C10" t="inlineStr">
        <is>
          <t>domeRadius</t>
        </is>
      </c>
      <c r="D10" t="n">
        <v>10</v>
      </c>
      <c r="F10" t="inlineStr">
        <is>
          <t>m</t>
        </is>
      </c>
      <c r="G10" t="inlineStr">
        <is>
          <t>ban_kinh</t>
        </is>
      </c>
      <c r="H10" t="inlineStr">
        <is>
          <t>02</t>
        </is>
      </c>
      <c r="I10" t="inlineStr">
        <is>
          <t>GearSystem (pack 2, was Sim/Abilities/GearSystem.cs:523)</t>
        </is>
      </c>
      <c r="J10" t="inlineStr">
        <is>
          <t>Assets/MachineBrigade/Resources/Data/tunables.json: vehicles.gearSystem.domeRadius</t>
        </is>
      </c>
      <c r="K10" t="inlineStr">
        <is>
          <t>{"value":10.0,"unit":"m","kind":"ban_kinh","linh_vuc":"02","code":"GearSystem (pack 2, was Sim/Abilities/GearSystem.cs:523)"}</t>
        </is>
      </c>
    </row>
    <row r="11">
      <c r="A11" t="inlineStr">
        <is>
          <t>vehicles.gearSystem.domeUnderFireSeconds</t>
        </is>
      </c>
      <c r="B11" t="inlineStr">
        <is>
          <t>gearSystem</t>
        </is>
      </c>
      <c r="C11" t="inlineStr">
        <is>
          <t>domeUnderFireSeconds</t>
        </is>
      </c>
      <c r="D11" t="n">
        <v>1</v>
      </c>
      <c r="F11" t="inlineStr">
        <is>
          <t>s</t>
        </is>
      </c>
      <c r="G11" t="inlineStr">
        <is>
          <t>thoi_gian</t>
        </is>
      </c>
      <c r="H11" t="inlineStr">
        <is>
          <t>02</t>
        </is>
      </c>
      <c r="I11" t="inlineStr">
        <is>
          <t>GearSystem (pack 2, was Sim/Abilities/GearSystem.cs:526)</t>
        </is>
      </c>
      <c r="J11" t="inlineStr">
        <is>
          <t>Assets/MachineBrigade/Resources/Data/tunables.json: vehicles.gearSystem.domeUnderFireSeconds</t>
        </is>
      </c>
      <c r="K11" t="inlineStr">
        <is>
          <t>{"value":1.0,"unit":"s","kind":"thoi_gian","linh_vuc":"02","code":"GearSystem (pack 2, was Sim/Abilities/GearSystem.cs:526)"}</t>
        </is>
      </c>
    </row>
    <row r="12">
      <c r="A12" t="inlineStr">
        <is>
          <t>vehicles.gearSystem.fuelBlastCap</t>
        </is>
      </c>
      <c r="B12" t="inlineStr">
        <is>
          <t>gearSystem</t>
        </is>
      </c>
      <c r="C12" t="inlineStr">
        <is>
          <t>fuelBlastCap</t>
        </is>
      </c>
      <c r="D12" t="n">
        <v>1500</v>
      </c>
      <c r="F12" t="inlineStr">
        <is>
          <t>HP</t>
        </is>
      </c>
      <c r="G12" t="inlineStr">
        <is>
          <t>sat_thuong</t>
        </is>
      </c>
      <c r="H12" t="inlineStr">
        <is>
          <t>02</t>
        </is>
      </c>
      <c r="I12" t="inlineStr">
        <is>
          <t>GearSystem.FuelBlastCap</t>
        </is>
      </c>
      <c r="J12" t="inlineStr">
        <is>
          <t>Assets/MachineBrigade/Resources/Data/tunables.json: vehicles.gearSystem.fuelBlastCap</t>
        </is>
      </c>
      <c r="K12" t="inlineStr">
        <is>
          <t>{"value":1500.0,"unit":"HP","kind":"sat_thuong","linh_vuc":"02","code":"GearSystem.FuelBlastCap"}</t>
        </is>
      </c>
    </row>
    <row r="13">
      <c r="A13" t="inlineStr">
        <is>
          <t>vehicles.gearSystem.killReadySeconds</t>
        </is>
      </c>
      <c r="B13" t="inlineStr">
        <is>
          <t>gearSystem</t>
        </is>
      </c>
      <c r="C13" t="inlineStr">
        <is>
          <t>killReadySeconds</t>
        </is>
      </c>
      <c r="D13" t="n">
        <v>2</v>
      </c>
      <c r="F13" t="inlineStr">
        <is>
          <t>s</t>
        </is>
      </c>
      <c r="G13" t="inlineStr">
        <is>
          <t>thoi_gian</t>
        </is>
      </c>
      <c r="H13" t="inlineStr">
        <is>
          <t>02</t>
        </is>
      </c>
      <c r="I13" t="inlineStr">
        <is>
          <t>GearSystem.KillReadySeconds</t>
        </is>
      </c>
      <c r="J13" t="inlineStr">
        <is>
          <t>Assets/MachineBrigade/Resources/Data/tunables.json: vehicles.gearSystem.killReadySeconds</t>
        </is>
      </c>
      <c r="K13" t="inlineStr">
        <is>
          <t>{"value":2.0,"unit":"s","kind":"thoi_gian","linh_vuc":"02","code":"GearSystem.KillReadySeconds"}</t>
        </is>
      </c>
    </row>
    <row r="14">
      <c r="A14" t="inlineStr">
        <is>
          <t>vehicles.gearSystem.laserWarningCooldown</t>
        </is>
      </c>
      <c r="B14" t="inlineStr">
        <is>
          <t>gearSystem</t>
        </is>
      </c>
      <c r="C14" t="inlineStr">
        <is>
          <t>laserWarningCooldown</t>
        </is>
      </c>
      <c r="D14" t="n">
        <v>20</v>
      </c>
      <c r="F14" t="inlineStr">
        <is>
          <t>s</t>
        </is>
      </c>
      <c r="G14" t="inlineStr">
        <is>
          <t>thoi_gian</t>
        </is>
      </c>
      <c r="H14" t="inlineStr">
        <is>
          <t>02</t>
        </is>
      </c>
      <c r="I14" t="inlineStr">
        <is>
          <t>GearSystem.LaserWarningCooldown</t>
        </is>
      </c>
      <c r="J14" t="inlineStr">
        <is>
          <t>Assets/MachineBrigade/Resources/Data/tunables.json: vehicles.gearSystem.laserWarningCooldown</t>
        </is>
      </c>
      <c r="K14" t="inlineStr">
        <is>
          <t>{"value":20.0,"unit":"s","kind":"thoi_gian","linh_vuc":"02","code":"GearSystem.LaserWarningCooldown"}</t>
        </is>
      </c>
    </row>
    <row r="15">
      <c r="A15" t="inlineStr">
        <is>
          <t>vehicles.gearSystem.lastStandGap</t>
        </is>
      </c>
      <c r="B15" t="inlineStr">
        <is>
          <t>gearSystem</t>
        </is>
      </c>
      <c r="C15" t="inlineStr">
        <is>
          <t>lastStandGap</t>
        </is>
      </c>
      <c r="D15" t="n">
        <v>6</v>
      </c>
      <c r="F15" t="inlineStr">
        <is>
          <t>s</t>
        </is>
      </c>
      <c r="G15" t="inlineStr">
        <is>
          <t>thoi_gian</t>
        </is>
      </c>
      <c r="H15" t="inlineStr">
        <is>
          <t>02</t>
        </is>
      </c>
      <c r="I15" t="inlineStr">
        <is>
          <t>GearSystem.LastStandGap</t>
        </is>
      </c>
      <c r="J15" t="inlineStr">
        <is>
          <t>Assets/MachineBrigade/Resources/Data/tunables.json: vehicles.gearSystem.lastStandGap</t>
        </is>
      </c>
      <c r="K15" t="inlineStr">
        <is>
          <t>{"value":6.0,"unit":"s","kind":"thoi_gian","linh_vuc":"02","code":"GearSystem.LastStandGap"}</t>
        </is>
      </c>
    </row>
    <row r="16">
      <c r="A16" t="inlineStr">
        <is>
          <t>vehicles.gearSystem.procGap</t>
        </is>
      </c>
      <c r="B16" t="inlineStr">
        <is>
          <t>gearSystem</t>
        </is>
      </c>
      <c r="C16" t="inlineStr">
        <is>
          <t>procGap</t>
        </is>
      </c>
      <c r="D16" t="n">
        <v>2</v>
      </c>
      <c r="F16" t="inlineStr">
        <is>
          <t>s</t>
        </is>
      </c>
      <c r="G16" t="inlineStr">
        <is>
          <t>thoi_gian</t>
        </is>
      </c>
      <c r="H16" t="inlineStr">
        <is>
          <t>02</t>
        </is>
      </c>
      <c r="I16" t="inlineStr">
        <is>
          <t>GearSystem.ProcGap</t>
        </is>
      </c>
      <c r="J16" t="inlineStr">
        <is>
          <t>Assets/MachineBrigade/Resources/Data/tunables.json: vehicles.gearSystem.procGap</t>
        </is>
      </c>
      <c r="K16" t="inlineStr">
        <is>
          <t>{"value":2.0,"unit":"s","kind":"thoi_gian","linh_vuc":"02","code":"GearSystem.ProcGap"}</t>
        </is>
      </c>
    </row>
    <row r="17">
      <c r="A17" t="inlineStr">
        <is>
          <t>vehicles.movementSystem.answerFireSeconds</t>
        </is>
      </c>
      <c r="B17" t="inlineStr">
        <is>
          <t>movementSystem</t>
        </is>
      </c>
      <c r="C17" t="inlineStr">
        <is>
          <t>answerFireSeconds</t>
        </is>
      </c>
      <c r="D17" t="n">
        <v>5</v>
      </c>
      <c r="F17" t="inlineStr">
        <is>
          <t>s</t>
        </is>
      </c>
      <c r="G17" t="inlineStr">
        <is>
          <t>thoi_gian</t>
        </is>
      </c>
      <c r="H17" t="inlineStr">
        <is>
          <t>02</t>
        </is>
      </c>
      <c r="I17" t="inlineStr">
        <is>
          <t>MovementSystem.AnswerFireSeconds</t>
        </is>
      </c>
      <c r="J17" t="inlineStr">
        <is>
          <t>Assets/MachineBrigade/Resources/Data/tunables.json: vehicles.movementSystem.answerFireSeconds</t>
        </is>
      </c>
      <c r="K17" t="inlineStr">
        <is>
          <t>{"value":5.0,"unit":"s","kind":"thoi_gian","linh_vuc":"02","code":"MovementSystem.AnswerFireSeconds"}</t>
        </is>
      </c>
    </row>
    <row r="18">
      <c r="A18" t="inlineStr">
        <is>
          <t>vehicles.movementSystem.arrivalReach</t>
        </is>
      </c>
      <c r="B18" t="inlineStr">
        <is>
          <t>movementSystem</t>
        </is>
      </c>
      <c r="C18" t="inlineStr">
        <is>
          <t>arrivalReach</t>
        </is>
      </c>
      <c r="D18" t="n">
        <v>5</v>
      </c>
      <c r="F18" t="inlineStr">
        <is>
          <t>m</t>
        </is>
      </c>
      <c r="G18" t="inlineStr">
        <is>
          <t>ban_kinh</t>
        </is>
      </c>
      <c r="H18" t="inlineStr">
        <is>
          <t>02</t>
        </is>
      </c>
      <c r="I18" t="inlineStr">
        <is>
          <t>MovementSystem.ArrivalReach</t>
        </is>
      </c>
      <c r="J18" t="inlineStr">
        <is>
          <t>Assets/MachineBrigade/Resources/Data/tunables.json: vehicles.movementSystem.arrivalReach</t>
        </is>
      </c>
      <c r="K18" t="inlineStr">
        <is>
          <t>{"value":5.0,"unit":"m","kind":"ban_kinh","linh_vuc":"02","code":"MovementSystem.ArrivalReach"}</t>
        </is>
      </c>
    </row>
    <row r="19">
      <c r="A19" t="inlineStr">
        <is>
          <t>vehicles.movementSystem.avoidSeconds</t>
        </is>
      </c>
      <c r="B19" t="inlineStr">
        <is>
          <t>movementSystem</t>
        </is>
      </c>
      <c r="C19" t="inlineStr">
        <is>
          <t>avoidSeconds</t>
        </is>
      </c>
      <c r="D19" t="n">
        <v>0.9</v>
      </c>
      <c r="F19" t="inlineStr">
        <is>
          <t>s</t>
        </is>
      </c>
      <c r="G19" t="inlineStr">
        <is>
          <t>thoi_gian</t>
        </is>
      </c>
      <c r="H19" t="inlineStr">
        <is>
          <t>02</t>
        </is>
      </c>
      <c r="I19" t="inlineStr">
        <is>
          <t>MovementSystem.AvoidSeconds</t>
        </is>
      </c>
      <c r="J19" t="inlineStr">
        <is>
          <t>Assets/MachineBrigade/Resources/Data/tunables.json: vehicles.movementSystem.avoidSeconds</t>
        </is>
      </c>
      <c r="K19" t="inlineStr">
        <is>
          <t>{"value":0.9,"unit":"s","kind":"thoi_gian","linh_vuc":"02","code":"MovementSystem.AvoidSeconds"}</t>
        </is>
      </c>
    </row>
    <row r="20">
      <c r="A20" t="inlineStr">
        <is>
          <t>vehicles.movementSystem.backOffDistance</t>
        </is>
      </c>
      <c r="B20" t="inlineStr">
        <is>
          <t>movementSystem</t>
        </is>
      </c>
      <c r="C20" t="inlineStr">
        <is>
          <t>backOffDistance</t>
        </is>
      </c>
      <c r="D20" t="n">
        <v>4</v>
      </c>
      <c r="F20" t="inlineStr">
        <is>
          <t>m</t>
        </is>
      </c>
      <c r="G20" t="inlineStr">
        <is>
          <t>ban_kinh</t>
        </is>
      </c>
      <c r="H20" t="inlineStr">
        <is>
          <t>02</t>
        </is>
      </c>
      <c r="I20" t="inlineStr">
        <is>
          <t>MovementSystem.BackOffDistance</t>
        </is>
      </c>
      <c r="J20" t="inlineStr">
        <is>
          <t>Assets/MachineBrigade/Resources/Data/tunables.json: vehicles.movementSystem.backOffDistance</t>
        </is>
      </c>
      <c r="K20" t="inlineStr">
        <is>
          <t>{"value":4.0,"unit":"m","kind":"ban_kinh","linh_vuc":"02","code":"MovementSystem.BackOffDistance"}</t>
        </is>
      </c>
    </row>
    <row r="21">
      <c r="A21" t="inlineStr">
        <is>
          <t>vehicles.movementSystem.chaseShare</t>
        </is>
      </c>
      <c r="B21" t="inlineStr">
        <is>
          <t>movementSystem</t>
        </is>
      </c>
      <c r="C21" t="inlineStr">
        <is>
          <t>chaseShare</t>
        </is>
      </c>
      <c r="D21" t="n">
        <v>0.55</v>
      </c>
      <c r="F21" t="inlineStr">
        <is>
          <t>share</t>
        </is>
      </c>
      <c r="G21" t="inlineStr">
        <is>
          <t>nguong</t>
        </is>
      </c>
      <c r="H21" t="inlineStr">
        <is>
          <t>02</t>
        </is>
      </c>
      <c r="I21" t="inlineStr">
        <is>
          <t>MovementSystem.ChaseShare</t>
        </is>
      </c>
      <c r="J21" t="inlineStr">
        <is>
          <t>Assets/MachineBrigade/Resources/Data/tunables.json: vehicles.movementSystem.chaseShare</t>
        </is>
      </c>
      <c r="K21" t="inlineStr">
        <is>
          <t>{"value":0.55,"unit":"share","kind":"nguong","linh_vuc":"02","code":"MovementSystem.ChaseShare"}</t>
        </is>
      </c>
    </row>
    <row r="22">
      <c r="A22" t="inlineStr">
        <is>
          <t>vehicles.movementSystem.detourCap</t>
        </is>
      </c>
      <c r="B22" t="inlineStr">
        <is>
          <t>movementSystem</t>
        </is>
      </c>
      <c r="C22" t="inlineStr">
        <is>
          <t>detourCap</t>
        </is>
      </c>
      <c r="D22" t="n">
        <v>1.5</v>
      </c>
      <c r="F22" t="inlineStr">
        <is>
          <t>x</t>
        </is>
      </c>
      <c r="G22" t="inlineStr">
        <is>
          <t>ban_kinh</t>
        </is>
      </c>
      <c r="H22" t="inlineStr">
        <is>
          <t>02</t>
        </is>
      </c>
      <c r="I22" t="inlineStr">
        <is>
          <t>MovementSystem.DetourCap</t>
        </is>
      </c>
      <c r="J22" t="inlineStr">
        <is>
          <t>Assets/MachineBrigade/Resources/Data/tunables.json: vehicles.movementSystem.detourCap</t>
        </is>
      </c>
      <c r="K22" t="inlineStr">
        <is>
          <t>{"value":1.5,"unit":"x","kind":"ban_kinh","linh_vuc":"02","code":"MovementSystem.DetourCap"}</t>
        </is>
      </c>
    </row>
    <row r="23">
      <c r="A23" t="inlineStr">
        <is>
          <t>vehicles.movementSystem.gateHoldTicks</t>
        </is>
      </c>
      <c r="B23" t="inlineStr">
        <is>
          <t>movementSystem</t>
        </is>
      </c>
      <c r="C23" t="inlineStr">
        <is>
          <t>gateHoldTicks</t>
        </is>
      </c>
      <c r="D23" t="n">
        <v>10</v>
      </c>
      <c r="F23" t="inlineStr">
        <is>
          <t>ticks</t>
        </is>
      </c>
      <c r="G23" t="inlineStr">
        <is>
          <t>thoi_gian</t>
        </is>
      </c>
      <c r="H23" t="inlineStr">
        <is>
          <t>02</t>
        </is>
      </c>
      <c r="I23" t="inlineStr">
        <is>
          <t>MovementSystem.GateHoldTicks</t>
        </is>
      </c>
      <c r="J23" t="inlineStr">
        <is>
          <t>Assets/MachineBrigade/Resources/Data/tunables.json: vehicles.movementSystem.gateHoldTicks</t>
        </is>
      </c>
      <c r="K23" t="inlineStr">
        <is>
          <t>{"value":10,"unit":"ticks","kind":"thoi_gian","linh_vuc":"02","code":"MovementSystem.GateHoldTicks"}</t>
        </is>
      </c>
    </row>
    <row r="24">
      <c r="A24" t="inlineStr">
        <is>
          <t>vehicles.movementSystem.gateTurnSeconds</t>
        </is>
      </c>
      <c r="B24" t="inlineStr">
        <is>
          <t>movementSystem</t>
        </is>
      </c>
      <c r="C24" t="inlineStr">
        <is>
          <t>gateTurnSeconds</t>
        </is>
      </c>
      <c r="D24" t="n">
        <v>8</v>
      </c>
      <c r="F24" t="inlineStr">
        <is>
          <t>s</t>
        </is>
      </c>
      <c r="G24" t="inlineStr">
        <is>
          <t>thoi_gian</t>
        </is>
      </c>
      <c r="H24" t="inlineStr">
        <is>
          <t>02</t>
        </is>
      </c>
      <c r="I24" t="inlineStr">
        <is>
          <t>MovementSystem.GateTurnSeconds</t>
        </is>
      </c>
      <c r="J24" t="inlineStr">
        <is>
          <t>Assets/MachineBrigade/Resources/Data/tunables.json: vehicles.movementSystem.gateTurnSeconds</t>
        </is>
      </c>
      <c r="K24" t="inlineStr">
        <is>
          <t>{"value":8.0,"unit":"s","kind":"thoi_gian","linh_vuc":"02","code":"MovementSystem.GateTurnSeconds"}</t>
        </is>
      </c>
    </row>
    <row r="25">
      <c r="A25" t="inlineStr">
        <is>
          <t>vehicles.movementSystem.gateWaitBack</t>
        </is>
      </c>
      <c r="B25" t="inlineStr">
        <is>
          <t>movementSystem</t>
        </is>
      </c>
      <c r="C25" t="inlineStr">
        <is>
          <t>gateWaitBack</t>
        </is>
      </c>
      <c r="E25" t="inlineStr">
        <is>
          <t>0.0;3.0;6.0</t>
        </is>
      </c>
      <c r="F25" t="inlineStr">
        <is>
          <t>s</t>
        </is>
      </c>
      <c r="G25" t="inlineStr">
        <is>
          <t>thoi_gian</t>
        </is>
      </c>
      <c r="H25" t="inlineStr">
        <is>
          <t>02</t>
        </is>
      </c>
      <c r="I25" t="inlineStr">
        <is>
          <t>MovementSystem.GateWaitBack</t>
        </is>
      </c>
      <c r="J25" t="inlineStr">
        <is>
          <t>Assets/MachineBrigade/Resources/Data/tunables.json: vehicles.movementSystem.gateWaitBack</t>
        </is>
      </c>
      <c r="K25" t="inlineStr">
        <is>
          <t>{"value":[0.0,3.0,6.0],"unit":"s","kind":"thoi_gian","linh_vuc":"02","code":"MovementSystem.GateWaitBack"}</t>
        </is>
      </c>
    </row>
    <row r="26">
      <c r="A26" t="inlineStr">
        <is>
          <t>vehicles.movementSystem.gateWaitLateral</t>
        </is>
      </c>
      <c r="B26" t="inlineStr">
        <is>
          <t>movementSystem</t>
        </is>
      </c>
      <c r="C26" t="inlineStr">
        <is>
          <t>gateWaitLateral</t>
        </is>
      </c>
      <c r="E26" t="inlineStr">
        <is>
          <t>5.0;7.0;9.0</t>
        </is>
      </c>
      <c r="F26" t="inlineStr">
        <is>
          <t>s</t>
        </is>
      </c>
      <c r="G26" t="inlineStr">
        <is>
          <t>thoi_gian</t>
        </is>
      </c>
      <c r="H26" t="inlineStr">
        <is>
          <t>02</t>
        </is>
      </c>
      <c r="I26" t="inlineStr">
        <is>
          <t>MovementSystem.GateWaitLateral</t>
        </is>
      </c>
      <c r="J26" t="inlineStr">
        <is>
          <t>Assets/MachineBrigade/Resources/Data/tunables.json: vehicles.movementSystem.gateWaitLateral</t>
        </is>
      </c>
      <c r="K26" t="inlineStr">
        <is>
          <t>{"value":[5.0,7.0,9.0],"unit":"s","kind":"thoi_gian","linh_vuc":"02","code":"MovementSystem.GateWaitLateral"}</t>
        </is>
      </c>
    </row>
    <row r="27">
      <c r="A27" t="inlineStr">
        <is>
          <t>vehicles.movementSystem.gateWaitMax</t>
        </is>
      </c>
      <c r="B27" t="inlineStr">
        <is>
          <t>movementSystem</t>
        </is>
      </c>
      <c r="C27" t="inlineStr">
        <is>
          <t>gateWaitMax</t>
        </is>
      </c>
      <c r="D27" t="n">
        <v>12</v>
      </c>
      <c r="F27" t="inlineStr">
        <is>
          <t>s</t>
        </is>
      </c>
      <c r="G27" t="inlineStr">
        <is>
          <t>thoi_gian</t>
        </is>
      </c>
      <c r="H27" t="inlineStr">
        <is>
          <t>02</t>
        </is>
      </c>
      <c r="I27" t="inlineStr">
        <is>
          <t>MovementSystem.GateWaitMax</t>
        </is>
      </c>
      <c r="J27" t="inlineStr">
        <is>
          <t>Assets/MachineBrigade/Resources/Data/tunables.json: vehicles.movementSystem.gateWaitMax</t>
        </is>
      </c>
      <c r="K27" t="inlineStr">
        <is>
          <t>{"value":12.0,"unit":"s","kind":"thoi_gian","linh_vuc":"02","code":"MovementSystem.GateWaitMax"}</t>
        </is>
      </c>
    </row>
    <row r="28">
      <c r="A28" t="inlineStr">
        <is>
          <t>vehicles.movementSystem.gatherReach</t>
        </is>
      </c>
      <c r="B28" t="inlineStr">
        <is>
          <t>movementSystem</t>
        </is>
      </c>
      <c r="C28" t="inlineStr">
        <is>
          <t>gatherReach</t>
        </is>
      </c>
      <c r="D28" t="n">
        <v>12</v>
      </c>
      <c r="F28" t="inlineStr">
        <is>
          <t>m</t>
        </is>
      </c>
      <c r="G28" t="inlineStr">
        <is>
          <t>ban_kinh</t>
        </is>
      </c>
      <c r="H28" t="inlineStr">
        <is>
          <t>02</t>
        </is>
      </c>
      <c r="I28" t="inlineStr">
        <is>
          <t>MovementSystem.GatherReach</t>
        </is>
      </c>
      <c r="J28" t="inlineStr">
        <is>
          <t>Assets/MachineBrigade/Resources/Data/tunables.json: vehicles.movementSystem.gatherReach</t>
        </is>
      </c>
      <c r="K28" t="inlineStr">
        <is>
          <t>{"value":12.0,"unit":"m","kind":"ban_kinh","linh_vuc":"02","code":"MovementSystem.GatherReach"}</t>
        </is>
      </c>
    </row>
    <row r="29">
      <c r="A29" t="inlineStr">
        <is>
          <t>vehicles.movementSystem.ghostSeconds</t>
        </is>
      </c>
      <c r="B29" t="inlineStr">
        <is>
          <t>movementSystem</t>
        </is>
      </c>
      <c r="C29" t="inlineStr">
        <is>
          <t>ghostSeconds</t>
        </is>
      </c>
      <c r="D29" t="n">
        <v>4</v>
      </c>
      <c r="F29" t="inlineStr">
        <is>
          <t>s</t>
        </is>
      </c>
      <c r="G29" t="inlineStr">
        <is>
          <t>thoi_gian</t>
        </is>
      </c>
      <c r="H29" t="inlineStr">
        <is>
          <t>02</t>
        </is>
      </c>
      <c r="I29" t="inlineStr">
        <is>
          <t>MovementSystem.GhostSeconds</t>
        </is>
      </c>
      <c r="J29" t="inlineStr">
        <is>
          <t>Assets/MachineBrigade/Resources/Data/tunables.json: vehicles.movementSystem.ghostSeconds</t>
        </is>
      </c>
      <c r="K29" t="inlineStr">
        <is>
          <t>{"value":4.0,"unit":"s","kind":"thoi_gian","linh_vuc":"02","code":"MovementSystem.GhostSeconds"}</t>
        </is>
      </c>
    </row>
    <row r="30">
      <c r="A30" t="inlineStr">
        <is>
          <t>vehicles.movementSystem.guardLeash</t>
        </is>
      </c>
      <c r="B30" t="inlineStr">
        <is>
          <t>movementSystem</t>
        </is>
      </c>
      <c r="C30" t="inlineStr">
        <is>
          <t>guardLeash</t>
        </is>
      </c>
      <c r="D30" t="n">
        <v>16</v>
      </c>
      <c r="F30" t="inlineStr">
        <is>
          <t>m</t>
        </is>
      </c>
      <c r="G30" t="inlineStr">
        <is>
          <t>ban_kinh</t>
        </is>
      </c>
      <c r="H30" t="inlineStr">
        <is>
          <t>02</t>
        </is>
      </c>
      <c r="I30" t="inlineStr">
        <is>
          <t>MovementSystem.GuardLeash</t>
        </is>
      </c>
      <c r="J30" t="inlineStr">
        <is>
          <t>Assets/MachineBrigade/Resources/Data/tunables.json: vehicles.movementSystem.guardLeash</t>
        </is>
      </c>
      <c r="K30" t="inlineStr">
        <is>
          <t>{"value":16.0,"unit":"m","kind":"ban_kinh","linh_vuc":"02","code":"MovementSystem.GuardLeash"}</t>
        </is>
      </c>
    </row>
    <row r="31">
      <c r="A31" t="inlineStr">
        <is>
          <t>vehicles.movementSystem.headOnOpenWait</t>
        </is>
      </c>
      <c r="B31" t="inlineStr">
        <is>
          <t>movementSystem</t>
        </is>
      </c>
      <c r="C31" t="inlineStr">
        <is>
          <t>headOnOpenWait</t>
        </is>
      </c>
      <c r="D31" t="n">
        <v>1</v>
      </c>
      <c r="F31" t="inlineStr">
        <is>
          <t>s</t>
        </is>
      </c>
      <c r="G31" t="inlineStr">
        <is>
          <t>thoi_gian</t>
        </is>
      </c>
      <c r="H31" t="inlineStr">
        <is>
          <t>02</t>
        </is>
      </c>
      <c r="I31" t="inlineStr">
        <is>
          <t>MovementSystem.HeadOnOpenWait</t>
        </is>
      </c>
      <c r="J31" t="inlineStr">
        <is>
          <t>Assets/MachineBrigade/Resources/Data/tunables.json: vehicles.movementSystem.headOnOpenWait</t>
        </is>
      </c>
      <c r="K31" t="inlineStr">
        <is>
          <t>{"value":1.0,"unit":"s","kind":"thoi_gian","linh_vuc":"02","code":"MovementSystem.HeadOnOpenWait"}</t>
        </is>
      </c>
    </row>
    <row r="32">
      <c r="A32" t="inlineStr">
        <is>
          <t>vehicles.movementSystem.headOnReverseMax</t>
        </is>
      </c>
      <c r="B32" t="inlineStr">
        <is>
          <t>movementSystem</t>
        </is>
      </c>
      <c r="C32" t="inlineStr">
        <is>
          <t>headOnReverseMax</t>
        </is>
      </c>
      <c r="D32" t="n">
        <v>12</v>
      </c>
      <c r="F32" t="inlineStr">
        <is>
          <t>m</t>
        </is>
      </c>
      <c r="G32" t="inlineStr">
        <is>
          <t>tran</t>
        </is>
      </c>
      <c r="H32" t="inlineStr">
        <is>
          <t>02</t>
        </is>
      </c>
      <c r="I32" t="inlineStr">
        <is>
          <t>MovementSystem.HeadOnReverseMax</t>
        </is>
      </c>
      <c r="J32" t="inlineStr">
        <is>
          <t>Assets/MachineBrigade/Resources/Data/tunables.json: vehicles.movementSystem.headOnReverseMax</t>
        </is>
      </c>
      <c r="K32" t="inlineStr">
        <is>
          <t>{"value":12.0,"unit":"m","kind":"tran","linh_vuc":"02","code":"MovementSystem.HeadOnReverseMax"}</t>
        </is>
      </c>
    </row>
    <row r="33">
      <c r="A33" t="inlineStr">
        <is>
          <t>vehicles.movementSystem.headOnWait</t>
        </is>
      </c>
      <c r="B33" t="inlineStr">
        <is>
          <t>movementSystem</t>
        </is>
      </c>
      <c r="C33" t="inlineStr">
        <is>
          <t>headOnWait</t>
        </is>
      </c>
      <c r="D33" t="n">
        <v>1.5</v>
      </c>
      <c r="F33" t="inlineStr">
        <is>
          <t>s</t>
        </is>
      </c>
      <c r="G33" t="inlineStr">
        <is>
          <t>thoi_gian</t>
        </is>
      </c>
      <c r="H33" t="inlineStr">
        <is>
          <t>02</t>
        </is>
      </c>
      <c r="I33" t="inlineStr">
        <is>
          <t>MovementSystem.HeadOnWait</t>
        </is>
      </c>
      <c r="J33" t="inlineStr">
        <is>
          <t>Assets/MachineBrigade/Resources/Data/tunables.json: vehicles.movementSystem.headOnWait</t>
        </is>
      </c>
      <c r="K33" t="inlineStr">
        <is>
          <t>{"value":1.5,"unit":"s","kind":"thoi_gian","linh_vuc":"02","code":"MovementSystem.HeadOnWait"}</t>
        </is>
      </c>
    </row>
    <row r="34">
      <c r="A34" t="inlineStr">
        <is>
          <t>vehicles.movementSystem.hoverShare</t>
        </is>
      </c>
      <c r="B34" t="inlineStr">
        <is>
          <t>movementSystem</t>
        </is>
      </c>
      <c r="C34" t="inlineStr">
        <is>
          <t>hoverShare</t>
        </is>
      </c>
      <c r="D34" t="n">
        <v>0.6</v>
      </c>
      <c r="F34" t="inlineStr">
        <is>
          <t>share</t>
        </is>
      </c>
      <c r="G34" t="inlineStr">
        <is>
          <t>nguong</t>
        </is>
      </c>
      <c r="H34" t="inlineStr">
        <is>
          <t>02</t>
        </is>
      </c>
      <c r="I34" t="inlineStr">
        <is>
          <t>MovementSystem.HoverShare</t>
        </is>
      </c>
      <c r="J34" t="inlineStr">
        <is>
          <t>Assets/MachineBrigade/Resources/Data/tunables.json: vehicles.movementSystem.hoverShare</t>
        </is>
      </c>
      <c r="K34" t="inlineStr">
        <is>
          <t>{"value":0.6,"unit":"share","kind":"nguong","linh_vuc":"02","code":"MovementSystem.HoverShare"}</t>
        </is>
      </c>
    </row>
    <row r="35">
      <c r="A35" t="inlineStr">
        <is>
          <t>vehicles.movementSystem.manualHoldSeconds</t>
        </is>
      </c>
      <c r="B35" t="inlineStr">
        <is>
          <t>movementSystem</t>
        </is>
      </c>
      <c r="C35" t="inlineStr">
        <is>
          <t>manualHoldSeconds</t>
        </is>
      </c>
      <c r="D35" t="n">
        <v>20</v>
      </c>
      <c r="F35" t="inlineStr">
        <is>
          <t>s</t>
        </is>
      </c>
      <c r="G35" t="inlineStr">
        <is>
          <t>thoi_gian</t>
        </is>
      </c>
      <c r="H35" t="inlineStr">
        <is>
          <t>02</t>
        </is>
      </c>
      <c r="I35" t="inlineStr">
        <is>
          <t>MovementSystem.ManualHoldSeconds</t>
        </is>
      </c>
      <c r="J35" t="inlineStr">
        <is>
          <t>Assets/MachineBrigade/Resources/Data/tunables.json: vehicles.movementSystem.manualHoldSeconds</t>
        </is>
      </c>
      <c r="K35" t="inlineStr">
        <is>
          <t>{"value":20.0,"unit":"s","kind":"thoi_gian","linh_vuc":"02","code":"MovementSystem.ManualHoldSeconds"}</t>
        </is>
      </c>
    </row>
    <row r="36">
      <c r="A36" t="inlineStr">
        <is>
          <t>vehicles.movementSystem.maxNodesPerSearch</t>
        </is>
      </c>
      <c r="B36" t="inlineStr">
        <is>
          <t>movementSystem</t>
        </is>
      </c>
      <c r="C36" t="inlineStr">
        <is>
          <t>maxNodesPerSearch</t>
        </is>
      </c>
      <c r="D36" t="n">
        <v>8000</v>
      </c>
      <c r="F36" t="inlineStr">
        <is>
          <t>nodes</t>
        </is>
      </c>
      <c r="G36" t="inlineStr">
        <is>
          <t>tran</t>
        </is>
      </c>
      <c r="H36" t="inlineStr">
        <is>
          <t>02</t>
        </is>
      </c>
      <c r="I36" t="inlineStr">
        <is>
          <t>MovementSystem.MaxNodesPerSearch</t>
        </is>
      </c>
      <c r="J36" t="inlineStr">
        <is>
          <t>Assets/MachineBrigade/Resources/Data/tunables.json: vehicles.movementSystem.maxNodesPerSearch</t>
        </is>
      </c>
      <c r="K36" t="inlineStr">
        <is>
          <t>{"value":8000,"unit":"nodes","kind":"tran","linh_vuc":"02","code":"MovementSystem.MaxNodesPerSearch"}</t>
        </is>
      </c>
    </row>
    <row r="37">
      <c r="A37" t="inlineStr">
        <is>
          <t>vehicles.movementSystem.maxPush</t>
        </is>
      </c>
      <c r="B37" t="inlineStr">
        <is>
          <t>movementSystem</t>
        </is>
      </c>
      <c r="C37" t="inlineStr">
        <is>
          <t>maxPush</t>
        </is>
      </c>
      <c r="D37" t="n">
        <v>0.35</v>
      </c>
      <c r="F37" t="inlineStr">
        <is>
          <t>m</t>
        </is>
      </c>
      <c r="G37" t="inlineStr">
        <is>
          <t>tran</t>
        </is>
      </c>
      <c r="H37" t="inlineStr">
        <is>
          <t>02</t>
        </is>
      </c>
      <c r="I37" t="inlineStr">
        <is>
          <t>MovementSystem.MaxPush</t>
        </is>
      </c>
      <c r="J37" t="inlineStr">
        <is>
          <t>Assets/MachineBrigade/Resources/Data/tunables.json: vehicles.movementSystem.maxPush</t>
        </is>
      </c>
      <c r="K37" t="inlineStr">
        <is>
          <t>{"value":0.35,"unit":"m","kind":"tran","linh_vuc":"02","code":"MovementSystem.MaxPush"}</t>
        </is>
      </c>
    </row>
    <row r="38">
      <c r="A38" t="inlineStr">
        <is>
          <t>vehicles.movementSystem.maxYieldDepth</t>
        </is>
      </c>
      <c r="B38" t="inlineStr">
        <is>
          <t>movementSystem</t>
        </is>
      </c>
      <c r="C38" t="inlineStr">
        <is>
          <t>maxYieldDepth</t>
        </is>
      </c>
      <c r="D38" t="n">
        <v>2</v>
      </c>
      <c r="F38" t="inlineStr">
        <is>
          <t>count</t>
        </is>
      </c>
      <c r="G38" t="inlineStr">
        <is>
          <t>tran</t>
        </is>
      </c>
      <c r="H38" t="inlineStr">
        <is>
          <t>02</t>
        </is>
      </c>
      <c r="I38" t="inlineStr">
        <is>
          <t>MovementSystem.MaxYieldDepth</t>
        </is>
      </c>
      <c r="J38" t="inlineStr">
        <is>
          <t>Assets/MachineBrigade/Resources/Data/tunables.json: vehicles.movementSystem.maxYieldDepth</t>
        </is>
      </c>
      <c r="K38" t="inlineStr">
        <is>
          <t>{"value":2,"unit":"count","kind":"tran","linh_vuc":"02","code":"MovementSystem.MaxYieldDepth"}</t>
        </is>
      </c>
    </row>
    <row r="39">
      <c r="A39" t="inlineStr">
        <is>
          <t>vehicles.movementSystem.minCostRepathGap</t>
        </is>
      </c>
      <c r="B39" t="inlineStr">
        <is>
          <t>movementSystem</t>
        </is>
      </c>
      <c r="C39" t="inlineStr">
        <is>
          <t>minCostRepathGap</t>
        </is>
      </c>
      <c r="D39" t="n">
        <v>1</v>
      </c>
      <c r="F39" t="inlineStr">
        <is>
          <t>s</t>
        </is>
      </c>
      <c r="G39" t="inlineStr">
        <is>
          <t>thoi_gian</t>
        </is>
      </c>
      <c r="H39" t="inlineStr">
        <is>
          <t>02</t>
        </is>
      </c>
      <c r="I39" t="inlineStr">
        <is>
          <t>MovementSystem.MinCostRepathGap</t>
        </is>
      </c>
      <c r="J39" t="inlineStr">
        <is>
          <t>Assets/MachineBrigade/Resources/Data/tunables.json: vehicles.movementSystem.minCostRepathGap</t>
        </is>
      </c>
      <c r="K39" t="inlineStr">
        <is>
          <t>{"value":1.0,"unit":"s","kind":"thoi_gian","linh_vuc":"02","code":"MovementSystem.MinCostRepathGap"}</t>
        </is>
      </c>
    </row>
    <row r="40">
      <c r="A40" t="inlineStr">
        <is>
          <t>vehicles.movementSystem.minSearchBudget</t>
        </is>
      </c>
      <c r="B40" t="inlineStr">
        <is>
          <t>movementSystem</t>
        </is>
      </c>
      <c r="C40" t="inlineStr">
        <is>
          <t>minSearchBudget</t>
        </is>
      </c>
      <c r="D40" t="n">
        <v>2000</v>
      </c>
      <c r="F40" t="inlineStr">
        <is>
          <t>nodes</t>
        </is>
      </c>
      <c r="G40" t="inlineStr">
        <is>
          <t>tan_suat</t>
        </is>
      </c>
      <c r="H40" t="inlineStr">
        <is>
          <t>02</t>
        </is>
      </c>
      <c r="I40" t="inlineStr">
        <is>
          <t>MovementSystem.MinSearchBudget</t>
        </is>
      </c>
      <c r="J40" t="inlineStr">
        <is>
          <t>Assets/MachineBrigade/Resources/Data/tunables.json: vehicles.movementSystem.minSearchBudget</t>
        </is>
      </c>
      <c r="K40" t="inlineStr">
        <is>
          <t>{"value":2000,"unit":"nodes","kind":"tan_suat","linh_vuc":"02","code":"MovementSystem.MinSearchBudget"}</t>
        </is>
      </c>
    </row>
    <row r="41">
      <c r="A41" t="inlineStr">
        <is>
          <t>vehicles.movementSystem.noAlternativeLength</t>
        </is>
      </c>
      <c r="B41" t="inlineStr">
        <is>
          <t>movementSystem</t>
        </is>
      </c>
      <c r="C41" t="inlineStr">
        <is>
          <t>noAlternativeLength</t>
        </is>
      </c>
      <c r="D41" t="n">
        <v>12</v>
      </c>
      <c r="F41" t="inlineStr">
        <is>
          <t>m</t>
        </is>
      </c>
      <c r="G41" t="inlineStr">
        <is>
          <t>ban_kinh</t>
        </is>
      </c>
      <c r="H41" t="inlineStr">
        <is>
          <t>02</t>
        </is>
      </c>
      <c r="I41" t="inlineStr">
        <is>
          <t>MovementSystem.NoAlternativeLength</t>
        </is>
      </c>
      <c r="J41" t="inlineStr">
        <is>
          <t>Assets/MachineBrigade/Resources/Data/tunables.json: vehicles.movementSystem.noAlternativeLength</t>
        </is>
      </c>
      <c r="K41" t="inlineStr">
        <is>
          <t>{"value":12.0,"unit":"m","kind":"ban_kinh","linh_vuc":"02","code":"MovementSystem.NoAlternativeLength"}</t>
        </is>
      </c>
    </row>
    <row r="42">
      <c r="A42" t="inlineStr">
        <is>
          <t>vehicles.movementSystem.offLaneSeconds</t>
        </is>
      </c>
      <c r="B42" t="inlineStr">
        <is>
          <t>movementSystem</t>
        </is>
      </c>
      <c r="C42" t="inlineStr">
        <is>
          <t>offLaneSeconds</t>
        </is>
      </c>
      <c r="D42" t="n">
        <v>4</v>
      </c>
      <c r="F42" t="inlineStr">
        <is>
          <t>s</t>
        </is>
      </c>
      <c r="G42" t="inlineStr">
        <is>
          <t>thoi_gian</t>
        </is>
      </c>
      <c r="H42" t="inlineStr">
        <is>
          <t>02</t>
        </is>
      </c>
      <c r="I42" t="inlineStr">
        <is>
          <t>MovementSystem.OffLaneSeconds</t>
        </is>
      </c>
      <c r="J42" t="inlineStr">
        <is>
          <t>Assets/MachineBrigade/Resources/Data/tunables.json: vehicles.movementSystem.offLaneSeconds</t>
        </is>
      </c>
      <c r="K42" t="inlineStr">
        <is>
          <t>{"value":4.0,"unit":"s","kind":"thoi_gian","linh_vuc":"02","code":"MovementSystem.OffLaneSeconds"}</t>
        </is>
      </c>
    </row>
    <row r="43">
      <c r="A43" t="inlineStr">
        <is>
          <t>vehicles.movementSystem.pathNodeBudgetPerTick</t>
        </is>
      </c>
      <c r="B43" t="inlineStr">
        <is>
          <t>movementSystem</t>
        </is>
      </c>
      <c r="C43" t="inlineStr">
        <is>
          <t>pathNodeBudgetPerTick</t>
        </is>
      </c>
      <c r="D43" t="n">
        <v>20000</v>
      </c>
      <c r="F43" t="inlineStr">
        <is>
          <t>nodes/tick</t>
        </is>
      </c>
      <c r="G43" t="inlineStr">
        <is>
          <t>tan_suat</t>
        </is>
      </c>
      <c r="H43" t="inlineStr">
        <is>
          <t>02</t>
        </is>
      </c>
      <c r="I43" t="inlineStr">
        <is>
          <t>MovementSystem.PathNodeBudgetPerTick</t>
        </is>
      </c>
      <c r="J43" t="inlineStr">
        <is>
          <t>Assets/MachineBrigade/Resources/Data/tunables.json: vehicles.movementSystem.pathNodeBudgetPerTick</t>
        </is>
      </c>
      <c r="K43" t="inlineStr">
        <is>
          <t>{"value":20000,"unit":"nodes/tick","kind":"tan_suat","linh_vuc":"02","code":"MovementSystem.PathNodeBudgetPerTick"}</t>
        </is>
      </c>
    </row>
    <row r="44">
      <c r="A44" t="inlineStr">
        <is>
          <t>vehicles.movementSystem.queueSeconds</t>
        </is>
      </c>
      <c r="B44" t="inlineStr">
        <is>
          <t>movementSystem</t>
        </is>
      </c>
      <c r="C44" t="inlineStr">
        <is>
          <t>queueSeconds</t>
        </is>
      </c>
      <c r="D44" t="n">
        <v>6</v>
      </c>
      <c r="F44" t="inlineStr">
        <is>
          <t>s</t>
        </is>
      </c>
      <c r="G44" t="inlineStr">
        <is>
          <t>thoi_gian</t>
        </is>
      </c>
      <c r="H44" t="inlineStr">
        <is>
          <t>02</t>
        </is>
      </c>
      <c r="I44" t="inlineStr">
        <is>
          <t>MovementSystem.QueueSeconds</t>
        </is>
      </c>
      <c r="J44" t="inlineStr">
        <is>
          <t>Assets/MachineBrigade/Resources/Data/tunables.json: vehicles.movementSystem.queueSeconds</t>
        </is>
      </c>
      <c r="K44" t="inlineStr">
        <is>
          <t>{"value":6.0,"unit":"s","kind":"thoi_gian","linh_vuc":"02","code":"MovementSystem.QueueSeconds"}</t>
        </is>
      </c>
    </row>
    <row r="45">
      <c r="A45" t="inlineStr">
        <is>
          <t>vehicles.movementSystem.repathInterval</t>
        </is>
      </c>
      <c r="B45" t="inlineStr">
        <is>
          <t>movementSystem</t>
        </is>
      </c>
      <c r="C45" t="inlineStr">
        <is>
          <t>repathInterval</t>
        </is>
      </c>
      <c r="D45" t="n">
        <v>0.5</v>
      </c>
      <c r="F45" t="inlineStr">
        <is>
          <t>s</t>
        </is>
      </c>
      <c r="G45" t="inlineStr">
        <is>
          <t>thoi_gian</t>
        </is>
      </c>
      <c r="H45" t="inlineStr">
        <is>
          <t>02</t>
        </is>
      </c>
      <c r="I45" t="inlineStr">
        <is>
          <t>MovementSystem.RepathInterval</t>
        </is>
      </c>
      <c r="J45" t="inlineStr">
        <is>
          <t>Assets/MachineBrigade/Resources/Data/tunables.json: vehicles.movementSystem.repathInterval</t>
        </is>
      </c>
      <c r="K45" t="inlineStr">
        <is>
          <t>{"value":0.5,"unit":"s","kind":"thoi_gian","linh_vuc":"02","code":"MovementSystem.RepathInterval"}</t>
        </is>
      </c>
    </row>
    <row r="46">
      <c r="A46" t="inlineStr">
        <is>
          <t>vehicles.movementSystem.reverseSpeedShare</t>
        </is>
      </c>
      <c r="B46" t="inlineStr">
        <is>
          <t>movementSystem</t>
        </is>
      </c>
      <c r="C46" t="inlineStr">
        <is>
          <t>reverseSpeedShare</t>
        </is>
      </c>
      <c r="D46" t="n">
        <v>0.5</v>
      </c>
      <c r="F46" t="inlineStr">
        <is>
          <t>share</t>
        </is>
      </c>
      <c r="G46" t="inlineStr">
        <is>
          <t>tan_suat</t>
        </is>
      </c>
      <c r="H46" t="inlineStr">
        <is>
          <t>02</t>
        </is>
      </c>
      <c r="I46" t="inlineStr">
        <is>
          <t>MovementSystem.ReverseSpeedShare</t>
        </is>
      </c>
      <c r="J46" t="inlineStr">
        <is>
          <t>Assets/MachineBrigade/Resources/Data/tunables.json: vehicles.movementSystem.reverseSpeedShare</t>
        </is>
      </c>
      <c r="K46" t="inlineStr">
        <is>
          <t>{"value":0.5,"unit":"share","kind":"tan_suat","linh_vuc":"02","code":"MovementSystem.ReverseSpeedShare"}</t>
        </is>
      </c>
    </row>
    <row r="47">
      <c r="A47" t="inlineStr">
        <is>
          <t>vehicles.movementSystem.sameGoalReach</t>
        </is>
      </c>
      <c r="B47" t="inlineStr">
        <is>
          <t>movementSystem</t>
        </is>
      </c>
      <c r="C47" t="inlineStr">
        <is>
          <t>sameGoalReach</t>
        </is>
      </c>
      <c r="D47" t="n">
        <v>18</v>
      </c>
      <c r="F47" t="inlineStr">
        <is>
          <t>m</t>
        </is>
      </c>
      <c r="G47" t="inlineStr">
        <is>
          <t>ban_kinh</t>
        </is>
      </c>
      <c r="H47" t="inlineStr">
        <is>
          <t>02</t>
        </is>
      </c>
      <c r="I47" t="inlineStr">
        <is>
          <t>MovementSystem.SameGoalReach</t>
        </is>
      </c>
      <c r="J47" t="inlineStr">
        <is>
          <t>Assets/MachineBrigade/Resources/Data/tunables.json: vehicles.movementSystem.sameGoalReach</t>
        </is>
      </c>
      <c r="K47" t="inlineStr">
        <is>
          <t>{"value":18.0,"unit":"m","kind":"ban_kinh","linh_vuc":"02","code":"MovementSystem.SameGoalReach"}</t>
        </is>
      </c>
    </row>
    <row r="48">
      <c r="A48" t="inlineStr">
        <is>
          <t>vehicles.movementSystem.separationSlack</t>
        </is>
      </c>
      <c r="B48" t="inlineStr">
        <is>
          <t>movementSystem</t>
        </is>
      </c>
      <c r="C48" t="inlineStr">
        <is>
          <t>separationSlack</t>
        </is>
      </c>
      <c r="D48" t="n">
        <v>0.05</v>
      </c>
      <c r="F48" t="inlineStr">
        <is>
          <t>m</t>
        </is>
      </c>
      <c r="G48" t="inlineStr">
        <is>
          <t>ban_kinh</t>
        </is>
      </c>
      <c r="H48" t="inlineStr">
        <is>
          <t>02</t>
        </is>
      </c>
      <c r="I48" t="inlineStr">
        <is>
          <t>MovementSystem.SeparationSlack</t>
        </is>
      </c>
      <c r="J48" t="inlineStr">
        <is>
          <t>Assets/MachineBrigade/Resources/Data/tunables.json: vehicles.movementSystem.separationSlack</t>
        </is>
      </c>
      <c r="K48" t="inlineStr">
        <is>
          <t>{"value":0.05,"unit":"m","kind":"ban_kinh","linh_vuc":"02","code":"MovementSystem.SeparationSlack"}</t>
        </is>
      </c>
    </row>
    <row r="49">
      <c r="A49" t="inlineStr">
        <is>
          <t>vehicles.movementSystem.separationStiffness</t>
        </is>
      </c>
      <c r="B49" t="inlineStr">
        <is>
          <t>movementSystem</t>
        </is>
      </c>
      <c r="C49" t="inlineStr">
        <is>
          <t>separationStiffness</t>
        </is>
      </c>
      <c r="D49" t="n">
        <v>0.55</v>
      </c>
      <c r="F49" t="inlineStr">
        <is>
          <t>x</t>
        </is>
      </c>
      <c r="G49" t="inlineStr">
        <is>
          <t>nguong</t>
        </is>
      </c>
      <c r="H49" t="inlineStr">
        <is>
          <t>02</t>
        </is>
      </c>
      <c r="I49" t="inlineStr">
        <is>
          <t>MovementSystem.SeparationStiffness</t>
        </is>
      </c>
      <c r="J49" t="inlineStr">
        <is>
          <t>Assets/MachineBrigade/Resources/Data/tunables.json: vehicles.movementSystem.separationStiffness</t>
        </is>
      </c>
      <c r="K49" t="inlineStr">
        <is>
          <t>{"value":0.55,"unit":"x","kind":"nguong","linh_vuc":"02","code":"MovementSystem.SeparationStiffness"}</t>
        </is>
      </c>
    </row>
    <row r="50">
      <c r="A50" t="inlineStr">
        <is>
          <t>vehicles.movementSystem.settleDistance</t>
        </is>
      </c>
      <c r="B50" t="inlineStr">
        <is>
          <t>movementSystem</t>
        </is>
      </c>
      <c r="C50" t="inlineStr">
        <is>
          <t>settleDistance</t>
        </is>
      </c>
      <c r="D50" t="n">
        <v>2.5</v>
      </c>
      <c r="F50" t="inlineStr">
        <is>
          <t>m</t>
        </is>
      </c>
      <c r="G50" t="inlineStr">
        <is>
          <t>ban_kinh</t>
        </is>
      </c>
      <c r="H50" t="inlineStr">
        <is>
          <t>02</t>
        </is>
      </c>
      <c r="I50" t="inlineStr">
        <is>
          <t>MovementSystem.SettleDistance</t>
        </is>
      </c>
      <c r="J50" t="inlineStr">
        <is>
          <t>Assets/MachineBrigade/Resources/Data/tunables.json: vehicles.movementSystem.settleDistance</t>
        </is>
      </c>
      <c r="K50" t="inlineStr">
        <is>
          <t>{"value":2.5,"unit":"m","kind":"ban_kinh","linh_vuc":"02","code":"MovementSystem.SettleDistance"}</t>
        </is>
      </c>
    </row>
    <row r="51">
      <c r="A51" t="inlineStr">
        <is>
          <t>vehicles.movementSystem.stuckDetourDistance</t>
        </is>
      </c>
      <c r="B51" t="inlineStr">
        <is>
          <t>movementSystem</t>
        </is>
      </c>
      <c r="C51" t="inlineStr">
        <is>
          <t>stuckDetourDistance</t>
        </is>
      </c>
      <c r="D51" t="n">
        <v>3</v>
      </c>
      <c r="F51" t="inlineStr">
        <is>
          <t>m</t>
        </is>
      </c>
      <c r="G51" t="inlineStr">
        <is>
          <t>ban_kinh</t>
        </is>
      </c>
      <c r="H51" t="inlineStr">
        <is>
          <t>02</t>
        </is>
      </c>
      <c r="I51" t="inlineStr">
        <is>
          <t>MovementSystem.StuckDetourDistance</t>
        </is>
      </c>
      <c r="J51" t="inlineStr">
        <is>
          <t>Assets/MachineBrigade/Resources/Data/tunables.json: vehicles.movementSystem.stuckDetourDistance</t>
        </is>
      </c>
      <c r="K51" t="inlineStr">
        <is>
          <t>{"value":3.0,"unit":"m","kind":"ban_kinh","linh_vuc":"02","code":"MovementSystem.StuckDetourDistance"}</t>
        </is>
      </c>
    </row>
    <row r="52">
      <c r="A52" t="inlineStr">
        <is>
          <t>vehicles.movementSystem.stuckDistance</t>
        </is>
      </c>
      <c r="B52" t="inlineStr">
        <is>
          <t>movementSystem</t>
        </is>
      </c>
      <c r="C52" t="inlineStr">
        <is>
          <t>stuckDistance</t>
        </is>
      </c>
      <c r="D52" t="n">
        <v>0.4</v>
      </c>
      <c r="F52" t="inlineStr">
        <is>
          <t>m</t>
        </is>
      </c>
      <c r="G52" t="inlineStr">
        <is>
          <t>ban_kinh</t>
        </is>
      </c>
      <c r="H52" t="inlineStr">
        <is>
          <t>02</t>
        </is>
      </c>
      <c r="I52" t="inlineStr">
        <is>
          <t>MovementSystem.StuckDistance</t>
        </is>
      </c>
      <c r="J52" t="inlineStr">
        <is>
          <t>Assets/MachineBrigade/Resources/Data/tunables.json: vehicles.movementSystem.stuckDistance</t>
        </is>
      </c>
      <c r="K52" t="inlineStr">
        <is>
          <t>{"value":0.4,"unit":"m","kind":"ban_kinh","linh_vuc":"02","code":"MovementSystem.StuckDistance"}</t>
        </is>
      </c>
    </row>
    <row r="53">
      <c r="A53" t="inlineStr">
        <is>
          <t>vehicles.movementSystem.trafficBehindReach</t>
        </is>
      </c>
      <c r="B53" t="inlineStr">
        <is>
          <t>movementSystem</t>
        </is>
      </c>
      <c r="C53" t="inlineStr">
        <is>
          <t>trafficBehindReach</t>
        </is>
      </c>
      <c r="D53" t="n">
        <v>25</v>
      </c>
      <c r="F53" t="inlineStr">
        <is>
          <t>m</t>
        </is>
      </c>
      <c r="G53" t="inlineStr">
        <is>
          <t>ban_kinh</t>
        </is>
      </c>
      <c r="H53" t="inlineStr">
        <is>
          <t>02</t>
        </is>
      </c>
      <c r="I53" t="inlineStr">
        <is>
          <t>MovementSystem.TrafficBehindReach</t>
        </is>
      </c>
      <c r="J53" t="inlineStr">
        <is>
          <t>Assets/MachineBrigade/Resources/Data/tunables.json: vehicles.movementSystem.trafficBehindReach</t>
        </is>
      </c>
      <c r="K53" t="inlineStr">
        <is>
          <t>{"value":25.0,"unit":"m","kind":"ban_kinh","linh_vuc":"02","code":"MovementSystem.TrafficBehindReach"}</t>
        </is>
      </c>
    </row>
    <row r="54">
      <c r="A54" t="inlineStr">
        <is>
          <t>vehicles.movementSystem.yieldCooldown</t>
        </is>
      </c>
      <c r="B54" t="inlineStr">
        <is>
          <t>movementSystem</t>
        </is>
      </c>
      <c r="C54" t="inlineStr">
        <is>
          <t>yieldCooldown</t>
        </is>
      </c>
      <c r="D54" t="n">
        <v>4</v>
      </c>
      <c r="F54" t="inlineStr">
        <is>
          <t>s</t>
        </is>
      </c>
      <c r="G54" t="inlineStr">
        <is>
          <t>thoi_gian</t>
        </is>
      </c>
      <c r="H54" t="inlineStr">
        <is>
          <t>02</t>
        </is>
      </c>
      <c r="I54" t="inlineStr">
        <is>
          <t>MovementSystem.YieldCooldown</t>
        </is>
      </c>
      <c r="J54" t="inlineStr">
        <is>
          <t>Assets/MachineBrigade/Resources/Data/tunables.json: vehicles.movementSystem.yieldCooldown</t>
        </is>
      </c>
      <c r="K54" t="inlineStr">
        <is>
          <t>{"value":4.0,"unit":"s","kind":"thoi_gian","linh_vuc":"02","code":"MovementSystem.YieldCooldown"}</t>
        </is>
      </c>
    </row>
    <row r="55">
      <c r="A55" t="inlineStr">
        <is>
          <t>vehicles.movementSystem.yieldHoldSeconds</t>
        </is>
      </c>
      <c r="B55" t="inlineStr">
        <is>
          <t>movementSystem</t>
        </is>
      </c>
      <c r="C55" t="inlineStr">
        <is>
          <t>yieldHoldSeconds</t>
        </is>
      </c>
      <c r="D55" t="n">
        <v>2.5</v>
      </c>
      <c r="F55" t="inlineStr">
        <is>
          <t>s</t>
        </is>
      </c>
      <c r="G55" t="inlineStr">
        <is>
          <t>thoi_gian</t>
        </is>
      </c>
      <c r="H55" t="inlineStr">
        <is>
          <t>02</t>
        </is>
      </c>
      <c r="I55" t="inlineStr">
        <is>
          <t>MovementSystem.YieldHoldSeconds</t>
        </is>
      </c>
      <c r="J55" t="inlineStr">
        <is>
          <t>Assets/MachineBrigade/Resources/Data/tunables.json: vehicles.movementSystem.yieldHoldSeconds</t>
        </is>
      </c>
      <c r="K55" t="inlineStr">
        <is>
          <t>{"value":2.5,"unit":"s","kind":"thoi_gian","linh_vuc":"02","code":"MovementSystem.YieldHoldSeconds"}</t>
        </is>
      </c>
    </row>
    <row r="56">
      <c r="A56" t="inlineStr">
        <is>
          <t>vehicles.movementSystem.yieldMaxSeconds</t>
        </is>
      </c>
      <c r="B56" t="inlineStr">
        <is>
          <t>movementSystem</t>
        </is>
      </c>
      <c r="C56" t="inlineStr">
        <is>
          <t>yieldMaxSeconds</t>
        </is>
      </c>
      <c r="D56" t="n">
        <v>4</v>
      </c>
      <c r="F56" t="inlineStr">
        <is>
          <t>s</t>
        </is>
      </c>
      <c r="G56" t="inlineStr">
        <is>
          <t>thoi_gian</t>
        </is>
      </c>
      <c r="H56" t="inlineStr">
        <is>
          <t>02</t>
        </is>
      </c>
      <c r="I56" t="inlineStr">
        <is>
          <t>MovementSystem.YieldMaxSeconds</t>
        </is>
      </c>
      <c r="J56" t="inlineStr">
        <is>
          <t>Assets/MachineBrigade/Resources/Data/tunables.json: vehicles.movementSystem.yieldMaxSeconds</t>
        </is>
      </c>
      <c r="K56" t="inlineStr">
        <is>
          <t>{"value":4.0,"unit":"s","kind":"thoi_gian","linh_vuc":"02","code":"MovementSystem.YieldMaxSeconds"}</t>
        </is>
      </c>
    </row>
    <row r="57">
      <c r="A57" t="inlineStr">
        <is>
          <t>vehicles.movementSystem.yieldWaitSeconds</t>
        </is>
      </c>
      <c r="B57" t="inlineStr">
        <is>
          <t>movementSystem</t>
        </is>
      </c>
      <c r="C57" t="inlineStr">
        <is>
          <t>yieldWaitSeconds</t>
        </is>
      </c>
      <c r="D57" t="n">
        <v>3</v>
      </c>
      <c r="F57" t="inlineStr">
        <is>
          <t>s</t>
        </is>
      </c>
      <c r="G57" t="inlineStr">
        <is>
          <t>thoi_gian</t>
        </is>
      </c>
      <c r="H57" t="inlineStr">
        <is>
          <t>02</t>
        </is>
      </c>
      <c r="I57" t="inlineStr">
        <is>
          <t>MovementSystem.YieldWaitSeconds</t>
        </is>
      </c>
      <c r="J57" t="inlineStr">
        <is>
          <t>Assets/MachineBrigade/Resources/Data/tunables.json: vehicles.movementSystem.yieldWaitSeconds</t>
        </is>
      </c>
      <c r="K57" t="inlineStr">
        <is>
          <t>{"value":3.0,"unit":"s","kind":"thoi_gian","linh_vuc":"02","code":"MovementSystem.YieldWaitSeconds"}</t>
        </is>
      </c>
    </row>
    <row r="58">
      <c r="A58" t="inlineStr">
        <is>
          <t>vehicles.priceRules.bonusCap</t>
        </is>
      </c>
      <c r="B58" t="inlineStr">
        <is>
          <t>priceRules</t>
        </is>
      </c>
      <c r="C58" t="inlineStr">
        <is>
          <t>bonusCap</t>
        </is>
      </c>
      <c r="D58" t="n">
        <v>0.15</v>
      </c>
      <c r="F58" t="inlineStr">
        <is>
          <t>share</t>
        </is>
      </c>
      <c r="G58" t="inlineStr">
        <is>
          <t>tran</t>
        </is>
      </c>
      <c r="H58" t="inlineStr">
        <is>
          <t>02</t>
        </is>
      </c>
      <c r="I58" t="inlineStr">
        <is>
          <t>export: power bonus cap</t>
        </is>
      </c>
      <c r="J58" t="inlineStr">
        <is>
          <t>Assets/MachineBrigade/Resources/Data/tunables.json: vehicles.priceRules.bonusCap</t>
        </is>
      </c>
      <c r="K58" t="inlineStr">
        <is>
          <t>{"value":0.15,"unit":"share","kind":"tran","linh_vuc":"02","code":"export: power bonus cap"}</t>
        </is>
      </c>
    </row>
    <row r="59">
      <c r="A59" t="inlineStr">
        <is>
          <t>vehicles.priceRules.bonusFromCp</t>
        </is>
      </c>
      <c r="B59" t="inlineStr">
        <is>
          <t>priceRules</t>
        </is>
      </c>
      <c r="C59" t="inlineStr">
        <is>
          <t>bonusFromCp</t>
        </is>
      </c>
      <c r="D59" t="n">
        <v>8</v>
      </c>
      <c r="F59" t="inlineStr">
        <is>
          <t>CP</t>
        </is>
      </c>
      <c r="G59" t="inlineStr">
        <is>
          <t>sat_thuong</t>
        </is>
      </c>
      <c r="H59" t="inlineStr">
        <is>
          <t>02</t>
        </is>
      </c>
      <c r="I59" t="inlineStr">
        <is>
          <t>export: power bonus start</t>
        </is>
      </c>
      <c r="J59" t="inlineStr">
        <is>
          <t>Assets/MachineBrigade/Resources/Data/tunables.json: vehicles.priceRules.bonusFromCp</t>
        </is>
      </c>
      <c r="K59" t="inlineStr">
        <is>
          <t>{"value":8.0,"unit":"CP","kind":"sat_thuong","linh_vuc":"02","code":"export: power bonus start"}</t>
        </is>
      </c>
    </row>
    <row r="60">
      <c r="A60" t="inlineStr">
        <is>
          <t>vehicles.priceRules.bonusPerCp</t>
        </is>
      </c>
      <c r="B60" t="inlineStr">
        <is>
          <t>priceRules</t>
        </is>
      </c>
      <c r="C60" t="inlineStr">
        <is>
          <t>bonusPerCp</t>
        </is>
      </c>
      <c r="D60" t="n">
        <v>0.0125</v>
      </c>
      <c r="F60" t="inlineStr">
        <is>
          <t>share/CP</t>
        </is>
      </c>
      <c r="G60" t="inlineStr">
        <is>
          <t>sat_thuong</t>
        </is>
      </c>
      <c r="H60" t="inlineStr">
        <is>
          <t>02</t>
        </is>
      </c>
      <c r="I60" t="inlineStr">
        <is>
          <t>export: power bonus slope</t>
        </is>
      </c>
      <c r="J60" t="inlineStr">
        <is>
          <t>Assets/MachineBrigade/Resources/Data/tunables.json: vehicles.priceRules.bonusPerCp</t>
        </is>
      </c>
      <c r="K60" t="inlineStr">
        <is>
          <t>{"value":0.0125,"unit":"share/CP","kind":"sat_thuong","linh_vuc":"02","code":"export: power bonus slope"}</t>
        </is>
      </c>
    </row>
    <row r="61">
      <c r="A61" t="inlineStr">
        <is>
          <t>vehicles.priceRules.dropLargeMinCp</t>
        </is>
      </c>
      <c r="B61" t="inlineStr">
        <is>
          <t>priceRules</t>
        </is>
      </c>
      <c r="C61" t="inlineStr">
        <is>
          <t>dropLargeMinCp</t>
        </is>
      </c>
      <c r="D61" t="n">
        <v>15</v>
      </c>
      <c r="F61" t="inlineStr">
        <is>
          <t>CP</t>
        </is>
      </c>
      <c r="G61" t="inlineStr">
        <is>
          <t>nguong</t>
        </is>
      </c>
      <c r="H61" t="inlineStr">
        <is>
          <t>02</t>
        </is>
      </c>
      <c r="I61" t="inlineStr">
        <is>
          <t>export: drop time group</t>
        </is>
      </c>
      <c r="J61" t="inlineStr">
        <is>
          <t>Assets/MachineBrigade/Resources/Data/tunables.json: vehicles.priceRules.dropLargeMinCp</t>
        </is>
      </c>
      <c r="K61" t="inlineStr">
        <is>
          <t>{"value":15,"unit":"CP","kind":"nguong","linh_vuc":"02","code":"export: drop time group"}</t>
        </is>
      </c>
    </row>
    <row r="62">
      <c r="A62" t="inlineStr">
        <is>
          <t>vehicles.priceRules.dropLargeSeconds</t>
        </is>
      </c>
      <c r="B62" t="inlineStr">
        <is>
          <t>priceRules</t>
        </is>
      </c>
      <c r="C62" t="inlineStr">
        <is>
          <t>dropLargeSeconds</t>
        </is>
      </c>
      <c r="D62" t="n">
        <v>5</v>
      </c>
      <c r="F62" t="inlineStr">
        <is>
          <t>s</t>
        </is>
      </c>
      <c r="G62" t="inlineStr">
        <is>
          <t>thoi_gian</t>
        </is>
      </c>
      <c r="H62" t="inlineStr">
        <is>
          <t>02</t>
        </is>
      </c>
      <c r="I62" t="inlineStr">
        <is>
          <t>export: drop time</t>
        </is>
      </c>
      <c r="J62" t="inlineStr">
        <is>
          <t>Assets/MachineBrigade/Resources/Data/tunables.json: vehicles.priceRules.dropLargeSeconds</t>
        </is>
      </c>
      <c r="K62" t="inlineStr">
        <is>
          <t>{"value":5.0,"unit":"s","kind":"thoi_gian","linh_vuc":"02","code":"export: drop time"}</t>
        </is>
      </c>
    </row>
    <row r="63">
      <c r="A63" t="inlineStr">
        <is>
          <t>vehicles.priceRules.dropMiddleSeconds</t>
        </is>
      </c>
      <c r="B63" t="inlineStr">
        <is>
          <t>priceRules</t>
        </is>
      </c>
      <c r="C63" t="inlineStr">
        <is>
          <t>dropMiddleSeconds</t>
        </is>
      </c>
      <c r="D63" t="n">
        <v>3.5</v>
      </c>
      <c r="F63" t="inlineStr">
        <is>
          <t>s</t>
        </is>
      </c>
      <c r="G63" t="inlineStr">
        <is>
          <t>thoi_gian</t>
        </is>
      </c>
      <c r="H63" t="inlineStr">
        <is>
          <t>02</t>
        </is>
      </c>
      <c r="I63" t="inlineStr">
        <is>
          <t>export: drop time</t>
        </is>
      </c>
      <c r="J63" t="inlineStr">
        <is>
          <t>Assets/MachineBrigade/Resources/Data/tunables.json: vehicles.priceRules.dropMiddleSeconds</t>
        </is>
      </c>
      <c r="K63" t="inlineStr">
        <is>
          <t>{"value":3.5,"unit":"s","kind":"thoi_gian","linh_vuc":"02","code":"export: drop time"}</t>
        </is>
      </c>
    </row>
    <row r="64">
      <c r="A64" t="inlineStr">
        <is>
          <t>vehicles.priceRules.dropSmallMaxCp</t>
        </is>
      </c>
      <c r="B64" t="inlineStr">
        <is>
          <t>priceRules</t>
        </is>
      </c>
      <c r="C64" t="inlineStr">
        <is>
          <t>dropSmallMaxCp</t>
        </is>
      </c>
      <c r="D64" t="n">
        <v>4</v>
      </c>
      <c r="F64" t="inlineStr">
        <is>
          <t>CP</t>
        </is>
      </c>
      <c r="G64" t="inlineStr">
        <is>
          <t>nguong</t>
        </is>
      </c>
      <c r="H64" t="inlineStr">
        <is>
          <t>02</t>
        </is>
      </c>
      <c r="I64" t="inlineStr">
        <is>
          <t>export: drop time group</t>
        </is>
      </c>
      <c r="J64" t="inlineStr">
        <is>
          <t>Assets/MachineBrigade/Resources/Data/tunables.json: vehicles.priceRules.dropSmallMaxCp</t>
        </is>
      </c>
      <c r="K64" t="inlineStr">
        <is>
          <t>{"value":4,"unit":"CP","kind":"nguong","linh_vuc":"02","code":"export: drop time group"}</t>
        </is>
      </c>
    </row>
    <row r="65">
      <c r="A65" t="inlineStr">
        <is>
          <t>vehicles.priceRules.dropSmallSeconds</t>
        </is>
      </c>
      <c r="B65" t="inlineStr">
        <is>
          <t>priceRules</t>
        </is>
      </c>
      <c r="C65" t="inlineStr">
        <is>
          <t>dropSmallSeconds</t>
        </is>
      </c>
      <c r="D65" t="n">
        <v>2.5</v>
      </c>
      <c r="F65" t="inlineStr">
        <is>
          <t>s</t>
        </is>
      </c>
      <c r="G65" t="inlineStr">
        <is>
          <t>thoi_gian</t>
        </is>
      </c>
      <c r="H65" t="inlineStr">
        <is>
          <t>02</t>
        </is>
      </c>
      <c r="I65" t="inlineStr">
        <is>
          <t>export: drop time</t>
        </is>
      </c>
      <c r="J65" t="inlineStr">
        <is>
          <t>Assets/MachineBrigade/Resources/Data/tunables.json: vehicles.priceRules.dropSmallSeconds</t>
        </is>
      </c>
      <c r="K65" t="inlineStr">
        <is>
          <t>{"value":2.5,"unit":"s","kind":"thoi_gian","linh_vuc":"02","code":"export: drop time"}</t>
        </is>
      </c>
    </row>
    <row r="66">
      <c r="A66" t="inlineStr">
        <is>
          <t>vehicles.priceRules.groupFactor</t>
        </is>
      </c>
      <c r="B66" t="inlineStr">
        <is>
          <t>priceRules</t>
        </is>
      </c>
      <c r="C66" t="inlineStr">
        <is>
          <t>groupFactor</t>
        </is>
      </c>
      <c r="E66" t="inlineStr">
        <is>
          <t>1.0;1.15;1.25;1.3</t>
        </is>
      </c>
      <c r="F66" t="inlineStr">
        <is>
          <t>x</t>
        </is>
      </c>
      <c r="G66" t="inlineStr">
        <is>
          <t>nguong</t>
        </is>
      </c>
      <c r="H66" t="inlineStr">
        <is>
          <t>02</t>
        </is>
      </c>
      <c r="I66" t="inlineStr">
        <is>
          <t>export: price group factors</t>
        </is>
      </c>
      <c r="J66" t="inlineStr">
        <is>
          <t>Assets/MachineBrigade/Resources/Data/tunables.json: vehicles.priceRules.groupFactor</t>
        </is>
      </c>
      <c r="K66" t="inlineStr">
        <is>
          <t>{"value":[1.0,1.15,1.25,1.3],"unit":"x","kind":"nguong","linh_vuc":"02","code":"export: price group factors"}</t>
        </is>
      </c>
    </row>
    <row r="67">
      <c r="A67" t="inlineStr">
        <is>
          <t>vehicles.priceRules.groupMaxCp</t>
        </is>
      </c>
      <c r="B67" t="inlineStr">
        <is>
          <t>priceRules</t>
        </is>
      </c>
      <c r="C67" t="inlineStr">
        <is>
          <t>groupMaxCp</t>
        </is>
      </c>
      <c r="E67" t="inlineStr">
        <is>
          <t>4;8;13</t>
        </is>
      </c>
      <c r="F67" t="inlineStr">
        <is>
          <t>CP</t>
        </is>
      </c>
      <c r="G67" t="inlineStr">
        <is>
          <t>nguong</t>
        </is>
      </c>
      <c r="H67" t="inlineStr">
        <is>
          <t>02</t>
        </is>
      </c>
      <c r="I67" t="inlineStr">
        <is>
          <t>export: price group bounds</t>
        </is>
      </c>
      <c r="J67" t="inlineStr">
        <is>
          <t>Assets/MachineBrigade/Resources/Data/tunables.json: vehicles.priceRules.groupMaxCp</t>
        </is>
      </c>
      <c r="K67" t="inlineStr">
        <is>
          <t>{"value":[4,8,13],"unit":"CP","kind":"nguong","linh_vuc":"02","code":"export: price group bounds"}</t>
        </is>
      </c>
    </row>
    <row r="68">
      <c r="A68" t="inlineStr">
        <is>
          <t>vehicles.priceRules.splashBonus</t>
        </is>
      </c>
      <c r="B68" t="inlineStr">
        <is>
          <t>priceRules</t>
        </is>
      </c>
      <c r="C68" t="inlineStr">
        <is>
          <t>splashBonus</t>
        </is>
      </c>
      <c r="D68" t="b">
        <v>0</v>
      </c>
      <c r="F68" t="inlineStr">
        <is>
          <t>flag</t>
        </is>
      </c>
      <c r="G68" t="inlineStr">
        <is>
          <t>sat_thuong</t>
        </is>
      </c>
      <c r="H68" t="inlineStr">
        <is>
          <t>02</t>
        </is>
      </c>
      <c r="I68" t="inlineStr">
        <is>
          <t>splash units get no power bonus</t>
        </is>
      </c>
      <c r="J68" t="inlineStr">
        <is>
          <t>Assets/MachineBrigade/Resources/Data/tunables.json: vehicles.priceRules.splashBonus</t>
        </is>
      </c>
      <c r="K68" t="inlineStr">
        <is>
          <t>{"value":false,"unit":"flag","kind":"sat_thuong","linh_vuc":"02","code":"splash units get no power bonus"}</t>
        </is>
      </c>
    </row>
    <row r="69">
      <c r="A69" t="inlineStr">
        <is>
          <t>vehicles.railSystem.attachReach</t>
        </is>
      </c>
      <c r="B69" t="inlineStr">
        <is>
          <t>railSystem</t>
        </is>
      </c>
      <c r="C69" t="inlineStr">
        <is>
          <t>attachReach</t>
        </is>
      </c>
      <c r="D69" t="n">
        <v>8</v>
      </c>
      <c r="F69" t="inlineStr">
        <is>
          <t>m</t>
        </is>
      </c>
      <c r="G69" t="inlineStr">
        <is>
          <t>ban_kinh</t>
        </is>
      </c>
      <c r="H69" t="inlineStr">
        <is>
          <t>02</t>
        </is>
      </c>
      <c r="I69" t="inlineStr">
        <is>
          <t>RailSystem.AttachReach</t>
        </is>
      </c>
      <c r="J69" t="inlineStr">
        <is>
          <t>Assets/MachineBrigade/Resources/Data/tunables.json: vehicles.railSystem.attachReach</t>
        </is>
      </c>
      <c r="K69" t="inlineStr">
        <is>
          <t>{"value":8.0,"unit":"m","kind":"ban_kinh","linh_vuc":"02","code":"RailSystem.AttachReach"}</t>
        </is>
      </c>
    </row>
    <row r="70">
      <c r="A70" t="inlineStr">
        <is>
          <t>vehicles.railSystem.clearHoldTicks</t>
        </is>
      </c>
      <c r="B70" t="inlineStr">
        <is>
          <t>railSystem</t>
        </is>
      </c>
      <c r="C70" t="inlineStr">
        <is>
          <t>clearHoldTicks</t>
        </is>
      </c>
      <c r="D70" t="n">
        <v>10</v>
      </c>
      <c r="F70" t="inlineStr">
        <is>
          <t>ticks</t>
        </is>
      </c>
      <c r="G70" t="inlineStr">
        <is>
          <t>thoi_gian</t>
        </is>
      </c>
      <c r="H70" t="inlineStr">
        <is>
          <t>02</t>
        </is>
      </c>
      <c r="I70" t="inlineStr">
        <is>
          <t>RailSystem.ClearHoldTicks</t>
        </is>
      </c>
      <c r="J70" t="inlineStr">
        <is>
          <t>Assets/MachineBrigade/Resources/Data/tunables.json: vehicles.railSystem.clearHoldTicks</t>
        </is>
      </c>
      <c r="K70" t="inlineStr">
        <is>
          <t>{"value":10,"unit":"ticks","kind":"thoi_gian","linh_vuc":"02","code":"RailSystem.ClearHoldTicks"}</t>
        </is>
      </c>
    </row>
    <row r="71">
      <c r="A71" t="inlineStr">
        <is>
          <t>vehicles.railSystem.minWarning</t>
        </is>
      </c>
      <c r="B71" t="inlineStr">
        <is>
          <t>railSystem</t>
        </is>
      </c>
      <c r="C71" t="inlineStr">
        <is>
          <t>minWarning</t>
        </is>
      </c>
      <c r="D71" t="n">
        <v>4</v>
      </c>
      <c r="F71" t="inlineStr">
        <is>
          <t>s</t>
        </is>
      </c>
      <c r="G71" t="inlineStr">
        <is>
          <t>thoi_gian</t>
        </is>
      </c>
      <c r="H71" t="inlineStr">
        <is>
          <t>02</t>
        </is>
      </c>
      <c r="I71" t="inlineStr">
        <is>
          <t>RailSystem.MinWarning</t>
        </is>
      </c>
      <c r="J71" t="inlineStr">
        <is>
          <t>Assets/MachineBrigade/Resources/Data/tunables.json: vehicles.railSystem.minWarning</t>
        </is>
      </c>
      <c r="K71" t="inlineStr">
        <is>
          <t>{"value":4.0,"unit":"s","kind":"thoi_gian","linh_vuc":"02","code":"RailSystem.MinWarning"}</t>
        </is>
      </c>
    </row>
    <row r="72">
      <c r="A72" t="inlineStr">
        <is>
          <t>vehicles.railSystem.ramDamage</t>
        </is>
      </c>
      <c r="B72" t="inlineStr">
        <is>
          <t>railSystem</t>
        </is>
      </c>
      <c r="C72" t="inlineStr">
        <is>
          <t>ramDamage</t>
        </is>
      </c>
      <c r="D72" t="n">
        <v>600</v>
      </c>
      <c r="F72" t="inlineStr">
        <is>
          <t>HP</t>
        </is>
      </c>
      <c r="G72" t="inlineStr">
        <is>
          <t>sat_thuong</t>
        </is>
      </c>
      <c r="H72" t="inlineStr">
        <is>
          <t>02</t>
        </is>
      </c>
      <c r="I72" t="inlineStr">
        <is>
          <t>RailSystem.RamDamage</t>
        </is>
      </c>
      <c r="J72" t="inlineStr">
        <is>
          <t>Assets/MachineBrigade/Resources/Data/tunables.json: vehicles.railSystem.ramDamage</t>
        </is>
      </c>
      <c r="K72" t="inlineStr">
        <is>
          <t>{"value":600.0,"unit":"HP","kind":"sat_thuong","linh_vuc":"02","code":"RailSystem.RamDamage"}</t>
        </is>
      </c>
    </row>
    <row r="73">
      <c r="A73" t="inlineStr">
        <is>
          <t>vehicles.railSystem.supportHalfWidth</t>
        </is>
      </c>
      <c r="B73" t="inlineStr">
        <is>
          <t>railSystem</t>
        </is>
      </c>
      <c r="C73" t="inlineStr">
        <is>
          <t>supportHalfWidth</t>
        </is>
      </c>
      <c r="D73" t="n">
        <v>1.8</v>
      </c>
      <c r="F73" t="inlineStr">
        <is>
          <t>m</t>
        </is>
      </c>
      <c r="G73" t="inlineStr">
        <is>
          <t>ban_kinh</t>
        </is>
      </c>
      <c r="H73" t="inlineStr">
        <is>
          <t>02</t>
        </is>
      </c>
      <c r="I73" t="inlineStr">
        <is>
          <t>RailSystem.SupportHalfWidth</t>
        </is>
      </c>
      <c r="J73" t="inlineStr">
        <is>
          <t>Assets/MachineBrigade/Resources/Data/tunables.json: vehicles.railSystem.supportHalfWidth</t>
        </is>
      </c>
      <c r="K73" t="inlineStr">
        <is>
          <t>{"value":1.8,"unit":"m","kind":"ban_kinh","linh_vuc":"02","code":"RailSystem.SupportHalfWidth"}</t>
        </is>
      </c>
    </row>
    <row r="74">
      <c r="A74" t="inlineStr">
        <is>
          <t>vehicles.railSystem.supportLength</t>
        </is>
      </c>
      <c r="B74" t="inlineStr">
        <is>
          <t>railSystem</t>
        </is>
      </c>
      <c r="C74" t="inlineStr">
        <is>
          <t>supportLength</t>
        </is>
      </c>
      <c r="D74" t="n">
        <v>50</v>
      </c>
      <c r="F74" t="inlineStr">
        <is>
          <t>m</t>
        </is>
      </c>
      <c r="G74" t="inlineStr">
        <is>
          <t>ban_kinh</t>
        </is>
      </c>
      <c r="H74" t="inlineStr">
        <is>
          <t>02</t>
        </is>
      </c>
      <c r="I74" t="inlineStr">
        <is>
          <t>RailSystem.SupportLength</t>
        </is>
      </c>
      <c r="J74" t="inlineStr">
        <is>
          <t>Assets/MachineBrigade/Resources/Data/tunables.json: vehicles.railSystem.supportLength</t>
        </is>
      </c>
      <c r="K74" t="inlineStr">
        <is>
          <t>{"value":50.0,"unit":"m","kind":"ban_kinh","linh_vuc":"02","code":"RailSystem.SupportLength"}</t>
        </is>
      </c>
    </row>
    <row r="75">
      <c r="A75" t="inlineStr">
        <is>
          <t>vehicles.railSystem.supportWait</t>
        </is>
      </c>
      <c r="B75" t="inlineStr">
        <is>
          <t>railSystem</t>
        </is>
      </c>
      <c r="C75" t="inlineStr">
        <is>
          <t>supportWait</t>
        </is>
      </c>
      <c r="D75" t="n">
        <v>7</v>
      </c>
      <c r="F75" t="inlineStr">
        <is>
          <t>s</t>
        </is>
      </c>
      <c r="G75" t="inlineStr">
        <is>
          <t>thoi_gian</t>
        </is>
      </c>
      <c r="H75" t="inlineStr">
        <is>
          <t>02</t>
        </is>
      </c>
      <c r="I75" t="inlineStr">
        <is>
          <t>RailSystem.SupportWait</t>
        </is>
      </c>
      <c r="J75" t="inlineStr">
        <is>
          <t>Assets/MachineBrigade/Resources/Data/tunables.json: vehicles.railSystem.supportWait</t>
        </is>
      </c>
      <c r="K75" t="inlineStr">
        <is>
          <t>{"value":7.0,"unit":"s","kind":"thoi_gian","linh_vuc":"02","code":"RailSystem.SupportWait"}</t>
        </is>
      </c>
    </row>
    <row r="76">
      <c r="A76" t="inlineStr">
        <is>
          <t>vehicles.railSystem.tellEvery</t>
        </is>
      </c>
      <c r="B76" t="inlineStr">
        <is>
          <t>railSystem</t>
        </is>
      </c>
      <c r="C76" t="inlineStr">
        <is>
          <t>tellEvery</t>
        </is>
      </c>
      <c r="D76" t="n">
        <v>1</v>
      </c>
      <c r="F76" t="inlineStr">
        <is>
          <t>s</t>
        </is>
      </c>
      <c r="G76" t="inlineStr">
        <is>
          <t>thoi_gian</t>
        </is>
      </c>
      <c r="H76" t="inlineStr">
        <is>
          <t>02</t>
        </is>
      </c>
      <c r="I76" t="inlineStr">
        <is>
          <t>RailSystem.TellEvery</t>
        </is>
      </c>
      <c r="J76" t="inlineStr">
        <is>
          <t>Assets/MachineBrigade/Resources/Data/tunables.json: vehicles.railSystem.tellEvery</t>
        </is>
      </c>
      <c r="K76" t="inlineStr">
        <is>
          <t>{"value":1.0,"unit":"s","kind":"thoi_gian","linh_vuc":"02","code":"RailSystem.TellEvery"}</t>
        </is>
      </c>
    </row>
    <row r="77">
      <c r="A77" t="inlineStr">
        <is>
          <t>vehicles.railSystem.warnFloor</t>
        </is>
      </c>
      <c r="B77" t="inlineStr">
        <is>
          <t>railSystem</t>
        </is>
      </c>
      <c r="C77" t="inlineStr">
        <is>
          <t>warnFloor</t>
        </is>
      </c>
      <c r="D77" t="n">
        <v>8</v>
      </c>
      <c r="F77" t="inlineStr">
        <is>
          <t>s</t>
        </is>
      </c>
      <c r="G77" t="inlineStr">
        <is>
          <t>thoi_gian</t>
        </is>
      </c>
      <c r="H77" t="inlineStr">
        <is>
          <t>02</t>
        </is>
      </c>
      <c r="I77" t="inlineStr">
        <is>
          <t>RailSystem.WarnFloor</t>
        </is>
      </c>
      <c r="J77" t="inlineStr">
        <is>
          <t>Assets/MachineBrigade/Resources/Data/tunables.json: vehicles.railSystem.warnFloor</t>
        </is>
      </c>
      <c r="K77" t="inlineStr">
        <is>
          <t>{"value":8.0,"unit":"s","kind":"thoi_gian","linh_vuc":"02","code":"RailSystem.WarnFloor"}</t>
        </is>
      </c>
    </row>
    <row r="78">
      <c r="A78" t="inlineStr">
        <is>
          <t>vehicles.relayDef.maxPerBase</t>
        </is>
      </c>
      <c r="B78" t="inlineStr">
        <is>
          <t>relayDef</t>
        </is>
      </c>
      <c r="C78" t="inlineStr">
        <is>
          <t>maxPerBase</t>
        </is>
      </c>
      <c r="D78" t="n">
        <v>2</v>
      </c>
      <c r="F78" t="inlineStr">
        <is>
          <t>count</t>
        </is>
      </c>
      <c r="G78" t="inlineStr">
        <is>
          <t>tran</t>
        </is>
      </c>
      <c r="H78" t="inlineStr">
        <is>
          <t>02</t>
        </is>
      </c>
      <c r="I78" t="inlineStr">
        <is>
          <t>RelayDef.MaxPerBase</t>
        </is>
      </c>
      <c r="J78" t="inlineStr">
        <is>
          <t>Assets/MachineBrigade/Resources/Data/tunables.json: vehicles.relayDef.maxPerBase</t>
        </is>
      </c>
      <c r="K78" t="inlineStr">
        <is>
          <t>{"value":2,"unit":"count","kind":"tran","linh_vuc":"02","code":"RelayDef.MaxPerBase"}</t>
        </is>
      </c>
    </row>
    <row r="79">
      <c r="A79" t="inlineStr">
        <is>
          <t>vehicles.supplyRules.bomberShare</t>
        </is>
      </c>
      <c r="B79" t="inlineStr">
        <is>
          <t>supplyRules</t>
        </is>
      </c>
      <c r="C79" t="inlineStr">
        <is>
          <t>bomberShare</t>
        </is>
      </c>
      <c r="D79" t="n">
        <v>0.666666687</v>
      </c>
      <c r="F79" t="inlineStr">
        <is>
          <t>share</t>
        </is>
      </c>
      <c r="G79" t="inlineStr">
        <is>
          <t>nguong</t>
        </is>
      </c>
      <c r="H79" t="inlineStr">
        <is>
          <t>02</t>
        </is>
      </c>
      <c r="I79" t="inlineStr">
        <is>
          <t>SupplyRules.BomberShare</t>
        </is>
      </c>
      <c r="J79" t="inlineStr">
        <is>
          <t>Assets/MachineBrigade/Resources/Data/tunables.json: vehicles.supplyRules.bomberShare</t>
        </is>
      </c>
      <c r="K79" t="inlineStr">
        <is>
          <t>{"value":0.666666687,"unit":"share","kind":"nguong","linh_vuc":"02","code":"SupplyRules.BomberShare"}</t>
        </is>
      </c>
    </row>
    <row r="80">
      <c r="A80" t="inlineStr">
        <is>
          <t>vehicles.supplyRules.carrierRate</t>
        </is>
      </c>
      <c r="B80" t="inlineStr">
        <is>
          <t>supplyRules</t>
        </is>
      </c>
      <c r="C80" t="inlineStr">
        <is>
          <t>carrierRate</t>
        </is>
      </c>
      <c r="D80" t="n">
        <v>2</v>
      </c>
      <c r="F80" t="inlineStr">
        <is>
          <t>x</t>
        </is>
      </c>
      <c r="G80" t="inlineStr">
        <is>
          <t>tan_suat</t>
        </is>
      </c>
      <c r="H80" t="inlineStr">
        <is>
          <t>02</t>
        </is>
      </c>
      <c r="I80" t="inlineStr">
        <is>
          <t>SupplyRules.CarrierRate</t>
        </is>
      </c>
      <c r="J80" t="inlineStr">
        <is>
          <t>Assets/MachineBrigade/Resources/Data/tunables.json: vehicles.supplyRules.carrierRate</t>
        </is>
      </c>
      <c r="K80" t="inlineStr">
        <is>
          <t>{"value":2.0,"unit":"x","kind":"tan_suat","linh_vuc":"02","code":"SupplyRules.CarrierRate"}</t>
        </is>
      </c>
    </row>
    <row r="81">
      <c r="A81" t="inlineStr">
        <is>
          <t>vehicles.supplyRules.hqRate</t>
        </is>
      </c>
      <c r="B81" t="inlineStr">
        <is>
          <t>supplyRules</t>
        </is>
      </c>
      <c r="C81" t="inlineStr">
        <is>
          <t>hqRate</t>
        </is>
      </c>
      <c r="D81" t="n">
        <v>1.5</v>
      </c>
      <c r="F81" t="inlineStr">
        <is>
          <t>x</t>
        </is>
      </c>
      <c r="G81" t="inlineStr">
        <is>
          <t>tan_suat</t>
        </is>
      </c>
      <c r="H81" t="inlineStr">
        <is>
          <t>02</t>
        </is>
      </c>
      <c r="I81" t="inlineStr">
        <is>
          <t>SupplyRules.HqRate</t>
        </is>
      </c>
      <c r="J81" t="inlineStr">
        <is>
          <t>Assets/MachineBrigade/Resources/Data/tunables.json: vehicles.supplyRules.hqRate</t>
        </is>
      </c>
      <c r="K81" t="inlineStr">
        <is>
          <t>{"value":1.5,"unit":"x","kind":"tan_suat","linh_vuc":"02","code":"SupplyRules.HqRate"}</t>
        </is>
      </c>
    </row>
    <row r="82">
      <c r="A82" t="inlineStr">
        <is>
          <t>vehicles.supplyRules.padRate</t>
        </is>
      </c>
      <c r="B82" t="inlineStr">
        <is>
          <t>supplyRules</t>
        </is>
      </c>
      <c r="C82" t="inlineStr">
        <is>
          <t>padRate</t>
        </is>
      </c>
      <c r="D82" t="n">
        <v>2</v>
      </c>
      <c r="F82" t="inlineStr">
        <is>
          <t>x</t>
        </is>
      </c>
      <c r="G82" t="inlineStr">
        <is>
          <t>tan_suat</t>
        </is>
      </c>
      <c r="H82" t="inlineStr">
        <is>
          <t>02</t>
        </is>
      </c>
      <c r="I82" t="inlineStr">
        <is>
          <t>SupplyRules.PadRate</t>
        </is>
      </c>
      <c r="J82" t="inlineStr">
        <is>
          <t>Assets/MachineBrigade/Resources/Data/tunables.json: vehicles.supplyRules.padRate</t>
        </is>
      </c>
      <c r="K82" t="inlineStr">
        <is>
          <t>{"value":2.0,"unit":"x","kind":"tan_suat","linh_vuc":"02","code":"SupplyRules.PadRate"}</t>
        </is>
      </c>
    </row>
    <row r="83">
      <c r="A83" t="inlineStr">
        <is>
          <t>vehicles.supplyRules.returnShare</t>
        </is>
      </c>
      <c r="B83" t="inlineStr">
        <is>
          <t>supplyRules</t>
        </is>
      </c>
      <c r="C83" t="inlineStr">
        <is>
          <t>returnShare</t>
        </is>
      </c>
      <c r="D83" t="n">
        <v>0.5</v>
      </c>
      <c r="F83" t="inlineStr">
        <is>
          <t>share</t>
        </is>
      </c>
      <c r="G83" t="inlineStr">
        <is>
          <t>nguong</t>
        </is>
      </c>
      <c r="H83" t="inlineStr">
        <is>
          <t>02</t>
        </is>
      </c>
      <c r="I83" t="inlineStr">
        <is>
          <t>SupplyRules.ReturnShare</t>
        </is>
      </c>
      <c r="J83" t="inlineStr">
        <is>
          <t>Assets/MachineBrigade/Resources/Data/tunables.json: vehicles.supplyRules.returnShare</t>
        </is>
      </c>
      <c r="K83" t="inlineStr">
        <is>
          <t>{"value":0.5,"unit":"share","kind":"nguong","linh_vuc":"02","code":"SupplyRules.ReturnShare"}</t>
        </is>
      </c>
    </row>
    <row r="84">
      <c r="A84" t="inlineStr">
        <is>
          <t>vehicles.supplyRules.slowShare</t>
        </is>
      </c>
      <c r="B84" t="inlineStr">
        <is>
          <t>supplyRules</t>
        </is>
      </c>
      <c r="C84" t="inlineStr">
        <is>
          <t>slowShare</t>
        </is>
      </c>
      <c r="D84" t="n">
        <v>0.5</v>
      </c>
      <c r="F84" t="inlineStr">
        <is>
          <t>share</t>
        </is>
      </c>
      <c r="G84" t="inlineStr">
        <is>
          <t>nguong</t>
        </is>
      </c>
      <c r="H84" t="inlineStr">
        <is>
          <t>02</t>
        </is>
      </c>
      <c r="I84" t="inlineStr">
        <is>
          <t>SupplyRules.SlowShare</t>
        </is>
      </c>
      <c r="J84" t="inlineStr">
        <is>
          <t>Assets/MachineBrigade/Resources/Data/tunables.json: vehicles.supplyRules.slowShare</t>
        </is>
      </c>
      <c r="K84" t="inlineStr">
        <is>
          <t>{"value":0.5,"unit":"share","kind":"nguong","linh_vuc":"02","code":"SupplyRules.SlowShare"}</t>
        </is>
      </c>
    </row>
    <row r="85">
      <c r="A85" t="inlineStr">
        <is>
          <t>vehicles.supplySystem.carrierReach</t>
        </is>
      </c>
      <c r="B85" t="inlineStr">
        <is>
          <t>supplySystem</t>
        </is>
      </c>
      <c r="C85" t="inlineStr">
        <is>
          <t>carrierReach</t>
        </is>
      </c>
      <c r="D85" t="n">
        <v>12</v>
      </c>
      <c r="F85" t="inlineStr">
        <is>
          <t>m</t>
        </is>
      </c>
      <c r="G85" t="inlineStr">
        <is>
          <t>ban_kinh</t>
        </is>
      </c>
      <c r="H85" t="inlineStr">
        <is>
          <t>02</t>
        </is>
      </c>
      <c r="I85" t="inlineStr">
        <is>
          <t>SupplySystem.CarrierReach</t>
        </is>
      </c>
      <c r="J85" t="inlineStr">
        <is>
          <t>Assets/MachineBrigade/Resources/Data/tunables.json: vehicles.supplySystem.carrierReach</t>
        </is>
      </c>
      <c r="K85" t="inlineStr">
        <is>
          <t>{"value":12.0,"unit":"m","kind":"ban_kinh","linh_vuc":"02","code":"SupplySystem.CarrierReach"}</t>
        </is>
      </c>
    </row>
    <row r="86">
      <c r="A86" t="inlineStr">
        <is>
          <t>vehicles.supplySystem.hqHeal</t>
        </is>
      </c>
      <c r="B86" t="inlineStr">
        <is>
          <t>supplySystem</t>
        </is>
      </c>
      <c r="C86" t="inlineStr">
        <is>
          <t>hqHeal</t>
        </is>
      </c>
      <c r="D86" t="n">
        <v>0.01</v>
      </c>
      <c r="F86" t="inlineStr">
        <is>
          <t>share/s</t>
        </is>
      </c>
      <c r="G86" t="inlineStr">
        <is>
          <t>sat_thuong</t>
        </is>
      </c>
      <c r="H86" t="inlineStr">
        <is>
          <t>02</t>
        </is>
      </c>
      <c r="I86" t="inlineStr">
        <is>
          <t>SupplySystem.HqHeal</t>
        </is>
      </c>
      <c r="J86" t="inlineStr">
        <is>
          <t>Assets/MachineBrigade/Resources/Data/tunables.json: vehicles.supplySystem.hqHeal</t>
        </is>
      </c>
      <c r="K86" t="inlineStr">
        <is>
          <t>{"value":0.01,"unit":"share/s","kind":"sat_thuong","linh_vuc":"02","code":"SupplySystem.HqHeal"}</t>
        </is>
      </c>
    </row>
    <row r="87">
      <c r="A87" t="inlineStr">
        <is>
          <t>vehicles.supplySystem.hqReach</t>
        </is>
      </c>
      <c r="B87" t="inlineStr">
        <is>
          <t>supplySystem</t>
        </is>
      </c>
      <c r="C87" t="inlineStr">
        <is>
          <t>hqReach</t>
        </is>
      </c>
      <c r="D87" t="n">
        <v>20</v>
      </c>
      <c r="F87" t="inlineStr">
        <is>
          <t>m</t>
        </is>
      </c>
      <c r="G87" t="inlineStr">
        <is>
          <t>ban_kinh</t>
        </is>
      </c>
      <c r="H87" t="inlineStr">
        <is>
          <t>02</t>
        </is>
      </c>
      <c r="I87" t="inlineStr">
        <is>
          <t>SupplySystem.HqReach</t>
        </is>
      </c>
      <c r="J87" t="inlineStr">
        <is>
          <t>Assets/MachineBrigade/Resources/Data/tunables.json: vehicles.supplySystem.hqReach</t>
        </is>
      </c>
      <c r="K87" t="inlineStr">
        <is>
          <t>{"value":20.0,"unit":"m","kind":"ban_kinh","linh_vuc":"02","code":"SupplySystem.HqReach"}</t>
        </is>
      </c>
    </row>
    <row r="88">
      <c r="A88" t="inlineStr">
        <is>
          <t>vehicles.supplySystem.lowShare</t>
        </is>
      </c>
      <c r="B88" t="inlineStr">
        <is>
          <t>supplySystem</t>
        </is>
      </c>
      <c r="C88" t="inlineStr">
        <is>
          <t>lowShare</t>
        </is>
      </c>
      <c r="D88" t="n">
        <v>0.2</v>
      </c>
      <c r="F88" t="inlineStr">
        <is>
          <t>share</t>
        </is>
      </c>
      <c r="G88" t="inlineStr">
        <is>
          <t>nguong</t>
        </is>
      </c>
      <c r="H88" t="inlineStr">
        <is>
          <t>02</t>
        </is>
      </c>
      <c r="I88" t="inlineStr">
        <is>
          <t>SupplySystem.LowShare</t>
        </is>
      </c>
      <c r="J88" t="inlineStr">
        <is>
          <t>Assets/MachineBrigade/Resources/Data/tunables.json: vehicles.supplySystem.lowShare</t>
        </is>
      </c>
      <c r="K88" t="inlineStr">
        <is>
          <t>{"value":0.2,"unit":"share","kind":"nguong","linh_vuc":"02","code":"SupplySystem.LowShare"}</t>
        </is>
      </c>
    </row>
    <row r="89">
      <c r="A89" t="inlineStr">
        <is>
          <t>vehicles.supplySystem.safeSeconds</t>
        </is>
      </c>
      <c r="B89" t="inlineStr">
        <is>
          <t>supplySystem</t>
        </is>
      </c>
      <c r="C89" t="inlineStr">
        <is>
          <t>safeSeconds</t>
        </is>
      </c>
      <c r="D89" t="n">
        <v>3</v>
      </c>
      <c r="F89" t="inlineStr">
        <is>
          <t>s</t>
        </is>
      </c>
      <c r="G89" t="inlineStr">
        <is>
          <t>thoi_gian</t>
        </is>
      </c>
      <c r="H89" t="inlineStr">
        <is>
          <t>02</t>
        </is>
      </c>
      <c r="I89" t="inlineStr">
        <is>
          <t>SupplySystem.SafeSeconds</t>
        </is>
      </c>
      <c r="J89" t="inlineStr">
        <is>
          <t>Assets/MachineBrigade/Resources/Data/tunables.json: vehicles.supplySystem.safeSeconds</t>
        </is>
      </c>
      <c r="K89" t="inlineStr">
        <is>
          <t>{"value":3.0,"unit":"s","kind":"thoi_gian","linh_vuc":"02","code":"SupplySystem.SafeSeconds"}</t>
        </is>
      </c>
    </row>
    <row r="90">
      <c r="A90" t="inlineStr">
        <is>
          <t>vehicles.trophyRules.builtInExtraCharges</t>
        </is>
      </c>
      <c r="B90" t="inlineStr">
        <is>
          <t>trophyRules</t>
        </is>
      </c>
      <c r="C90" t="inlineStr">
        <is>
          <t>builtInExtraCharges</t>
        </is>
      </c>
      <c r="D90" t="n">
        <v>1</v>
      </c>
      <c r="F90" t="inlineStr">
        <is>
          <t>count</t>
        </is>
      </c>
      <c r="G90" t="inlineStr">
        <is>
          <t>tran</t>
        </is>
      </c>
      <c r="H90" t="inlineStr">
        <is>
          <t>02</t>
        </is>
      </c>
      <c r="I90" t="inlineStr">
        <is>
          <t>GearSystem.TrophyAps</t>
        </is>
      </c>
      <c r="J90" t="inlineStr">
        <is>
          <t>Assets/MachineBrigade/Resources/Data/tunables.json: vehicles.trophyRules.builtInExtraCharges</t>
        </is>
      </c>
      <c r="K90" t="inlineStr">
        <is>
          <t>{"value":1,"unit":"count","kind":"tran","linh_vuc":"02","code":"GearSystem.TrophyAps"}</t>
        </is>
      </c>
    </row>
    <row r="91">
      <c r="A91" t="inlineStr">
        <is>
          <t>vehicles.trophyRules.builtInRechargeScale</t>
        </is>
      </c>
      <c r="B91" t="inlineStr">
        <is>
          <t>trophyRules</t>
        </is>
      </c>
      <c r="C91" t="inlineStr">
        <is>
          <t>builtInRechargeScale</t>
        </is>
      </c>
      <c r="D91" t="n">
        <v>0.75</v>
      </c>
      <c r="F91" t="inlineStr">
        <is>
          <t>x</t>
        </is>
      </c>
      <c r="G91" t="inlineStr">
        <is>
          <t>thoi_gian</t>
        </is>
      </c>
      <c r="H91" t="inlineStr">
        <is>
          <t>02</t>
        </is>
      </c>
      <c r="I91" t="inlineStr">
        <is>
          <t>GearSystem.TrophyAps</t>
        </is>
      </c>
      <c r="J91" t="inlineStr">
        <is>
          <t>Assets/MachineBrigade/Resources/Data/tunables.json: vehicles.trophyRules.builtInRechargeScale</t>
        </is>
      </c>
      <c r="K91" t="inlineStr">
        <is>
          <t>{"value":0.75,"unit":"x","kind":"thoi_gian","linh_vuc":"02","code":"GearSystem.TrophyAps"}</t>
        </is>
      </c>
    </row>
    <row r="92">
      <c r="A92" t="inlineStr">
        <is>
          <t>vehicles.trophyRules.charges</t>
        </is>
      </c>
      <c r="B92" t="inlineStr">
        <is>
          <t>trophyRules</t>
        </is>
      </c>
      <c r="C92" t="inlineStr">
        <is>
          <t>charges</t>
        </is>
      </c>
      <c r="D92" t="n">
        <v>2</v>
      </c>
      <c r="F92" t="inlineStr">
        <is>
          <t>count</t>
        </is>
      </c>
      <c r="G92" t="inlineStr">
        <is>
          <t>tran</t>
        </is>
      </c>
      <c r="H92" t="inlineStr">
        <is>
          <t>02</t>
        </is>
      </c>
      <c r="I92" t="inlineStr">
        <is>
          <t>GearSystem.TrophyAps</t>
        </is>
      </c>
      <c r="J92" t="inlineStr">
        <is>
          <t>Assets/MachineBrigade/Resources/Data/tunables.json: vehicles.trophyRules.charges</t>
        </is>
      </c>
      <c r="K92" t="inlineStr">
        <is>
          <t>{"value":2,"unit":"count","kind":"tran","linh_vuc":"02","code":"GearSystem.TrophyAps"}</t>
        </is>
      </c>
    </row>
    <row r="93">
      <c r="A93" t="inlineStr">
        <is>
          <t>vehicles.trophyRules.radius</t>
        </is>
      </c>
      <c r="B93" t="inlineStr">
        <is>
          <t>trophyRules</t>
        </is>
      </c>
      <c r="C93" t="inlineStr">
        <is>
          <t>radius</t>
        </is>
      </c>
      <c r="D93" t="n">
        <v>20</v>
      </c>
      <c r="F93" t="inlineStr">
        <is>
          <t>m</t>
        </is>
      </c>
      <c r="G93" t="inlineStr">
        <is>
          <t>ban_kinh</t>
        </is>
      </c>
      <c r="H93" t="inlineStr">
        <is>
          <t>02</t>
        </is>
      </c>
      <c r="I93" t="inlineStr">
        <is>
          <t>GearSystem.TrophyAps</t>
        </is>
      </c>
      <c r="J93" t="inlineStr">
        <is>
          <t>Assets/MachineBrigade/Resources/Data/tunables.json: vehicles.trophyRules.radius</t>
        </is>
      </c>
      <c r="K93" t="inlineStr">
        <is>
          <t>{"value":20.0,"unit":"m","kind":"ban_kinh","linh_vuc":"02","code":"GearSystem.TrophyAps"}</t>
        </is>
      </c>
    </row>
    <row r="94">
      <c r="A94" t="inlineStr">
        <is>
          <t>vehicles.trophyRules.recharge</t>
        </is>
      </c>
      <c r="B94" t="inlineStr">
        <is>
          <t>trophyRules</t>
        </is>
      </c>
      <c r="C94" t="inlineStr">
        <is>
          <t>recharge</t>
        </is>
      </c>
      <c r="D94" t="n">
        <v>20</v>
      </c>
      <c r="F94" t="inlineStr">
        <is>
          <t>s</t>
        </is>
      </c>
      <c r="G94" t="inlineStr">
        <is>
          <t>thoi_gian</t>
        </is>
      </c>
      <c r="H94" t="inlineStr">
        <is>
          <t>02</t>
        </is>
      </c>
      <c r="I94" t="inlineStr">
        <is>
          <t>GearSystem.TrophyAps</t>
        </is>
      </c>
      <c r="J94" t="inlineStr">
        <is>
          <t>Assets/MachineBrigade/Resources/Data/tunables.json: vehicles.trophyRules.recharge</t>
        </is>
      </c>
      <c r="K94" t="inlineStr">
        <is>
          <t>{"value":20.0,"unit":"s","kind":"thoi_gian","linh_vuc":"02","code":"GearSystem.TrophyAps"}</t>
        </is>
      </c>
    </row>
    <row r="95">
      <c r="A95" t="inlineStr">
        <is>
          <t>vehicles.vehicleDef.stealthSight</t>
        </is>
      </c>
      <c r="B95" t="inlineStr">
        <is>
          <t>vehicleDef</t>
        </is>
      </c>
      <c r="C95" t="inlineStr">
        <is>
          <t>stealthSight</t>
        </is>
      </c>
      <c r="D95" t="n">
        <v>0.4</v>
      </c>
      <c r="F95" t="inlineStr">
        <is>
          <t>x</t>
        </is>
      </c>
      <c r="G95" t="inlineStr">
        <is>
          <t>ban_kinh</t>
        </is>
      </c>
      <c r="H95" t="inlineStr">
        <is>
          <t>02</t>
        </is>
      </c>
      <c r="I95" t="inlineStr">
        <is>
          <t>VehicleDef.StealthSight</t>
        </is>
      </c>
      <c r="J95" t="inlineStr">
        <is>
          <t>Assets/MachineBrigade/Resources/Data/tunables.json: vehicles.vehicleDef.stealthSight</t>
        </is>
      </c>
      <c r="K95" t="inlineStr">
        <is>
          <t>{"value":0.4,"unit":"x","kind":"ban_kinh","linh_vuc":"02","code":"VehicleDef.StealthSight"}</t>
        </is>
      </c>
    </row>
    <row r="96">
      <c r="A96" t="inlineStr">
        <is>
          <t>vehicles.wreckRules.bossSeconds</t>
        </is>
      </c>
      <c r="B96" t="inlineStr">
        <is>
          <t>wreckRules</t>
        </is>
      </c>
      <c r="C96" t="inlineStr">
        <is>
          <t>bossSeconds</t>
        </is>
      </c>
      <c r="D96" t="n">
        <v>90</v>
      </c>
      <c r="F96" t="inlineStr">
        <is>
          <t>s</t>
        </is>
      </c>
      <c r="G96" t="inlineStr">
        <is>
          <t>thoi_gian</t>
        </is>
      </c>
      <c r="H96" t="inlineStr">
        <is>
          <t>02</t>
        </is>
      </c>
      <c r="I96" t="inlineStr">
        <is>
          <t>WreckRules.BossSeconds (play-test 14 lane J)</t>
        </is>
      </c>
      <c r="J96" t="inlineStr">
        <is>
          <t>Assets/MachineBrigade/Resources/Data/tunables.json: vehicles.wreckRules.bossSeconds</t>
        </is>
      </c>
      <c r="K96" t="inlineStr">
        <is>
          <t>{"value":90.0,"unit":"s","kind":"thoi_gian","linh_vuc":"02","code":"WreckRules.BossSeconds (play-test 14 lane J)"}</t>
        </is>
      </c>
    </row>
    <row r="97">
      <c r="A97" t="inlineStr">
        <is>
          <t>vehicles.wreckRules.groundSeconds</t>
        </is>
      </c>
      <c r="B97" t="inlineStr">
        <is>
          <t>wreckRules</t>
        </is>
      </c>
      <c r="C97" t="inlineStr">
        <is>
          <t>groundSeconds</t>
        </is>
      </c>
      <c r="D97" t="n">
        <v>30</v>
      </c>
      <c r="F97" t="inlineStr">
        <is>
          <t>s</t>
        </is>
      </c>
      <c r="G97" t="inlineStr">
        <is>
          <t>thoi_gian</t>
        </is>
      </c>
      <c r="H97" t="inlineStr">
        <is>
          <t>02</t>
        </is>
      </c>
      <c r="I97" t="inlineStr">
        <is>
          <t>WreckRules.GroundSeconds (play-test 14 lane J)</t>
        </is>
      </c>
      <c r="J97" t="inlineStr">
        <is>
          <t>Assets/MachineBrigade/Resources/Data/tunables.json: vehicles.wreckRules.groundSeconds</t>
        </is>
      </c>
      <c r="K97" t="inlineStr">
        <is>
          <t>{"value":30.0,"unit":"s","kind":"thoi_gian","linh_vuc":"02","code":"WreckRules.GroundSeconds (play-test 14 lane J)"}</t>
        </is>
      </c>
    </row>
    <row r="98">
      <c r="A98" t="inlineStr">
        <is>
          <t>vehicles.wreckRules.groundSpread</t>
        </is>
      </c>
      <c r="B98" t="inlineStr">
        <is>
          <t>wreckRules</t>
        </is>
      </c>
      <c r="C98" t="inlineStr">
        <is>
          <t>groundSpread</t>
        </is>
      </c>
      <c r="D98" t="n">
        <v>15</v>
      </c>
      <c r="F98" t="inlineStr">
        <is>
          <t>s</t>
        </is>
      </c>
      <c r="G98" t="inlineStr">
        <is>
          <t>thoi_gian</t>
        </is>
      </c>
      <c r="H98" t="inlineStr">
        <is>
          <t>02</t>
        </is>
      </c>
      <c r="I98" t="inlineStr">
        <is>
          <t>WreckRules.GroundSpread (play-test 14 lane J)</t>
        </is>
      </c>
      <c r="J98" t="inlineStr">
        <is>
          <t>Assets/MachineBrigade/Resources/Data/tunables.json: vehicles.wreckRules.groundSpread</t>
        </is>
      </c>
      <c r="K98" t="inlineStr">
        <is>
          <t>{"value":15.0,"unit":"s","kind":"thoi_gian","linh_vuc":"02","code":"WreckRules.GroundSpread (play-test 14 lane J)"}</t>
        </is>
      </c>
    </row>
    <row r="99">
      <c r="A99" t="inlineStr">
        <is>
          <t>vehicles.wreckRules.shipSeconds</t>
        </is>
      </c>
      <c r="B99" t="inlineStr">
        <is>
          <t>wreckRules</t>
        </is>
      </c>
      <c r="C99" t="inlineStr">
        <is>
          <t>shipSeconds</t>
        </is>
      </c>
      <c r="D99" t="n">
        <v>18</v>
      </c>
      <c r="F99" t="inlineStr">
        <is>
          <t>s</t>
        </is>
      </c>
      <c r="G99" t="inlineStr">
        <is>
          <t>thoi_gian</t>
        </is>
      </c>
      <c r="H99" t="inlineStr">
        <is>
          <t>02</t>
        </is>
      </c>
      <c r="I99" t="inlineStr">
        <is>
          <t>WreckRules.ShipSeconds (play-test 14 lane J)</t>
        </is>
      </c>
      <c r="J99" t="inlineStr">
        <is>
          <t>Assets/MachineBrigade/Resources/Data/tunables.json: vehicles.wreckRules.shipSeconds</t>
        </is>
      </c>
      <c r="K99" t="inlineStr">
        <is>
          <t>{"value":18.0,"unit":"s","kind":"thoi_gian","linh_vuc":"02","code":"WreckRules.ShipSeconds (play-test 14 lane J)"}</t>
        </is>
      </c>
    </row>
  </sheetData>
  <autoFilter ref="A1:K99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0" customWidth="1" min="4" max="4"/>
    <col width="15" customWidth="1" min="5" max="5"/>
    <col width="25" customWidth="1" min="6" max="6"/>
    <col width="12" customWidth="1" min="7" max="7"/>
    <col width="60" customWidth="1" min="8" max="8"/>
    <col width="23" customWidth="1" min="9" max="9"/>
    <col width="15" customWidth="1" min="10" max="10"/>
    <col width="16" customWidth="1" min="11" max="11"/>
    <col width="18" customWidth="1" min="12" max="12"/>
    <col width="18" customWidth="1" min="13" max="13"/>
    <col width="14" customWidth="1" min="14" max="14"/>
    <col width="8" customWidth="1" min="15" max="15"/>
    <col width="14" customWidth="1" min="16" max="16"/>
    <col width="11" customWidth="1" min="17" max="17"/>
    <col width="10" customWidth="1" min="18" max="18"/>
    <col width="10" customWidth="1" min="19" max="19"/>
    <col width="14" customWidth="1" min="20" max="20"/>
    <col width="11" customWidth="1" min="21" max="21"/>
    <col width="14" customWidth="1" min="22" max="22"/>
    <col width="23" customWidth="1" min="23" max="23"/>
    <col width="15" customWidth="1" min="24" max="24"/>
    <col width="8" customWidth="1" min="25" max="25"/>
    <col width="49" customWidth="1" min="26" max="26"/>
    <col width="22" customWidth="1" min="27" max="27"/>
    <col width="32" customWidth="1" min="28" max="28"/>
    <col width="23" customWidth="1" min="29" max="29"/>
    <col width="24" customWidth="1" min="30" max="30"/>
    <col width="31" customWidth="1" min="31" max="31"/>
    <col width="33" customWidth="1" min="32" max="32"/>
    <col width="18" customWidth="1" min="33" max="33"/>
    <col width="26" customWidth="1" min="34" max="34"/>
    <col width="23" customWidth="1" min="35" max="35"/>
    <col width="16" customWidth="1" min="36" max="36"/>
    <col width="9" customWidth="1" min="37" max="37"/>
    <col width="12" customWidth="1" min="38" max="38"/>
    <col width="14" customWidth="1" min="39" max="39"/>
    <col width="17" customWidth="1" min="40" max="40"/>
    <col width="8" customWidth="1" min="41" max="41"/>
    <col width="10" customWidth="1" min="42" max="42"/>
    <col width="15" customWidth="1" min="43" max="43"/>
    <col width="15" customWidth="1" min="44" max="44"/>
    <col width="10" customWidth="1" min="45" max="45"/>
    <col width="17" customWidth="1" min="46" max="46"/>
    <col width="8" customWidth="1" min="47" max="47"/>
    <col width="21" customWidth="1" min="48" max="48"/>
    <col width="14" customWidth="1" min="49" max="49"/>
    <col width="24" customWidth="1" min="50" max="50"/>
    <col width="17" customWidth="1" min="51" max="51"/>
    <col width="14" customWidth="1" min="52" max="52"/>
    <col width="23" customWidth="1" min="53" max="53"/>
    <col width="18" customWidth="1" min="54" max="54"/>
    <col width="22" customWidth="1" min="55" max="55"/>
    <col width="24" customWidth="1" min="56" max="56"/>
    <col width="8" customWidth="1" min="57" max="57"/>
    <col width="17" customWidth="1" min="58" max="58"/>
    <col width="22" customWidth="1" min="59" max="59"/>
    <col width="23" customWidth="1" min="60" max="60"/>
    <col width="32" customWidth="1" min="61" max="61"/>
    <col width="27" customWidth="1" min="62" max="62"/>
    <col width="17" customWidth="1" min="63" max="63"/>
    <col width="17" customWidth="1" min="64" max="64"/>
    <col width="24" customWidth="1" min="65" max="65"/>
    <col width="16" customWidth="1" min="66" max="66"/>
    <col width="24" customWidth="1" min="67" max="67"/>
    <col width="12" customWidth="1" min="68" max="68"/>
    <col width="17" customWidth="1" min="69" max="69"/>
    <col width="33" customWidth="1" min="70" max="70"/>
    <col width="23" customWidth="1" min="71" max="71"/>
    <col width="8" customWidth="1" min="72" max="72"/>
    <col width="60" customWidth="1" min="73" max="73"/>
    <col width="60" customWidth="1" min="74" max="74"/>
  </cols>
  <sheetData>
    <row r="1">
      <c r="A1" s="1" t="inlineStr">
        <is>
          <t>id</t>
        </is>
      </c>
      <c r="B1" s="1" t="inlineStr">
        <is>
          <t>bac_no</t>
        </is>
      </c>
      <c r="C1" s="1" t="inlineStr">
        <is>
          <t>bay_cong</t>
        </is>
      </c>
      <c r="D1" s="1" t="inlineStr">
        <is>
          <t>cach_tha</t>
        </is>
      </c>
      <c r="E1" s="1" t="inlineStr">
        <is>
          <t>canh_bao_dang</t>
        </is>
      </c>
      <c r="F1" s="1" t="inlineStr">
        <is>
          <t>canh_bao_theo_luat</t>
        </is>
      </c>
      <c r="G1" s="1" t="inlineStr">
        <is>
          <t>che_do_tha</t>
        </is>
      </c>
      <c r="H1" s="1" t="inlineStr">
        <is>
          <t>che_do_tha_hien_tai</t>
        </is>
      </c>
      <c r="I1" s="1" t="inlineStr">
        <is>
          <t>chu_ky_tha_giua_bom_s</t>
        </is>
      </c>
      <c r="J1" s="1" t="inlineStr">
        <is>
          <t>cluster_count</t>
        </is>
      </c>
      <c r="K1" s="1" t="inlineStr">
        <is>
          <t>cluster_damage</t>
        </is>
      </c>
      <c r="L1" s="1" t="inlineStr">
        <is>
          <t>cluster_radius_m</t>
        </is>
      </c>
      <c r="M1" s="1" t="inlineStr">
        <is>
          <t>cluster_splash_m</t>
        </is>
      </c>
      <c r="N1" s="1" t="inlineStr">
        <is>
          <t>cluster_tier</t>
        </is>
      </c>
      <c r="O1" s="1" t="inlineStr">
        <is>
          <t>co_mm</t>
        </is>
      </c>
      <c r="P1" s="1" t="inlineStr">
        <is>
          <t>cong_suat_kw</t>
        </is>
      </c>
      <c r="Q1" s="1" t="inlineStr">
        <is>
          <t>dan_huong</t>
        </is>
      </c>
      <c r="R1" s="1" t="inlineStr">
        <is>
          <t>dang_dan</t>
        </is>
      </c>
      <c r="S1" s="1" t="inlineStr">
        <is>
          <t>danh_noc</t>
        </is>
      </c>
      <c r="T1" s="1" t="inlineStr">
        <is>
          <t>dat_boi_boss</t>
        </is>
      </c>
      <c r="U1" s="1" t="inlineStr">
        <is>
          <t>dau_no_kg</t>
        </is>
      </c>
      <c r="V1" s="1" t="inlineStr">
        <is>
          <t>do_dai_dai_m</t>
        </is>
      </c>
      <c r="W1" s="1" t="inlineStr">
        <is>
          <t>do_dai_dai_m_toan_toc</t>
        </is>
      </c>
      <c r="X1" s="1" t="inlineStr">
        <is>
          <t>do_rong_dai_m</t>
        </is>
      </c>
      <c r="Y1" s="1" t="inlineStr">
        <is>
          <t>do_tan</t>
        </is>
      </c>
      <c r="Z1" s="1" t="inlineStr">
        <is>
          <t>don_vi_mang</t>
        </is>
      </c>
      <c r="AA1" s="1" t="inlineStr">
        <is>
          <t>duong_tha_theo_ma</t>
        </is>
      </c>
      <c r="AB1" s="1" t="inlineStr">
        <is>
          <t>huong_ra_tham</t>
        </is>
      </c>
      <c r="AC1" s="1" t="inlineStr">
        <is>
          <t>khoang_cach_an_toan_m</t>
        </is>
      </c>
      <c r="AD1" s="1" t="inlineStr">
        <is>
          <t>khoang_cach_giua_bom_m</t>
        </is>
      </c>
      <c r="AE1" s="1" t="inlineStr">
        <is>
          <t>khoang_cach_giua_bom_m_ga_0_8</t>
        </is>
      </c>
      <c r="AF1" s="1" t="inlineStr">
        <is>
          <t>khoang_cach_giua_bom_m_toan_toc</t>
        </is>
      </c>
      <c r="AG1" s="1" t="inlineStr">
        <is>
          <t>khoang_dan_dau_m</t>
        </is>
      </c>
      <c r="AH1" s="1" t="inlineStr">
        <is>
          <t>khoang_phat_trong_loat_s</t>
        </is>
      </c>
      <c r="AI1" s="1" t="inlineStr">
        <is>
          <t>khoang_tha_giua_bom_s</t>
        </is>
      </c>
      <c r="AJ1" s="1" t="inlineStr">
        <is>
          <t>khoang_thoat_m</t>
        </is>
      </c>
      <c r="AK1" s="1" t="inlineStr">
        <is>
          <t>kich_co</t>
        </is>
      </c>
      <c r="AL1" s="1" t="inlineStr">
        <is>
          <t>lech_doc_m</t>
        </is>
      </c>
      <c r="AM1" s="1" t="inlineStr">
        <is>
          <t>lech_ngang_m</t>
        </is>
      </c>
      <c r="AN1" s="1" t="inlineStr">
        <is>
          <t>loai_sat_thuong</t>
        </is>
      </c>
      <c r="AO1" s="1" t="inlineStr">
        <is>
          <t>loi_m</t>
        </is>
      </c>
      <c r="AP1" s="1" t="inlineStr">
        <is>
          <t>muc_tieu</t>
        </is>
      </c>
      <c r="AQ1" s="1" t="inlineStr">
        <is>
          <t>nang_luong_mj</t>
        </is>
      </c>
      <c r="AR1" s="1" t="inlineStr">
        <is>
          <t>nap_lai_kho_s</t>
        </is>
      </c>
      <c r="AS1" s="1" t="inlineStr">
        <is>
          <t>nhiet_ap</t>
        </is>
      </c>
      <c r="AT1" s="1" t="inlineStr">
        <is>
          <t>nhom</t>
        </is>
      </c>
      <c r="AU1" s="1" t="inlineStr">
        <is>
          <t>ria_m</t>
        </is>
      </c>
      <c r="AV1" s="1" t="inlineStr">
        <is>
          <t>sat_thuong_moi_phat</t>
        </is>
      </c>
      <c r="AW1" s="1" t="inlineStr">
        <is>
          <t>so_bom_dai_n</t>
        </is>
      </c>
      <c r="AX1" s="1" t="inlineStr">
        <is>
          <t>so_bom_khi_it_muc_tieu</t>
        </is>
      </c>
      <c r="AY1" s="1" t="inlineStr">
        <is>
          <t>so_bom_moi_luot</t>
        </is>
      </c>
      <c r="AZ1" s="1" t="inlineStr">
        <is>
          <t>so_loat_mang</t>
        </is>
      </c>
      <c r="BA1" s="1" t="inlineStr">
        <is>
          <t>so_muc_tieu_toi_thieu</t>
        </is>
      </c>
      <c r="BB1" s="1" t="inlineStr">
        <is>
          <t>so_phat_moi_loat</t>
        </is>
      </c>
      <c r="BC1" s="1" t="inlineStr">
        <is>
          <t>so_vien_mang_may_bay</t>
        </is>
      </c>
      <c r="BD1" s="1" t="inlineStr">
        <is>
          <t>tam_dai</t>
        </is>
      </c>
      <c r="BE1" s="1" t="inlineStr">
        <is>
          <t>tam_m</t>
        </is>
      </c>
      <c r="BF1" s="1" t="inlineStr">
        <is>
          <t>tam_toi_thieu_m</t>
        </is>
      </c>
      <c r="BG1" s="1" t="inlineStr">
        <is>
          <t>ten_that</t>
        </is>
      </c>
      <c r="BH1" s="1" t="inlineStr">
        <is>
          <t>thoi_gian_bay_thang_s</t>
        </is>
      </c>
      <c r="BI1" s="1" t="inlineStr">
        <is>
          <t>thoi_gian_canh_bao_s_theo_luat</t>
        </is>
      </c>
      <c r="BJ1" s="1" t="inlineStr">
        <is>
          <t>thoi_gian_mo_khoang_bom_s</t>
        </is>
      </c>
      <c r="BK1" s="1" t="inlineStr">
        <is>
          <t>thoi_gian_nap_s</t>
        </is>
      </c>
      <c r="BL1" s="1" t="inlineStr">
        <is>
          <t>thoi_gian_roi_s</t>
        </is>
      </c>
      <c r="BM1" s="1" t="inlineStr">
        <is>
          <t>toc_do_bay_luc_tha_m_s</t>
        </is>
      </c>
      <c r="BN1" s="1" t="inlineStr">
        <is>
          <t>toc_do_dan_m_s</t>
        </is>
      </c>
      <c r="BO1" s="1" t="inlineStr">
        <is>
          <t>toc_do_don_vi_mang_m_s</t>
        </is>
      </c>
      <c r="BP1" s="1" t="inlineStr">
        <is>
          <t>tran_ban_m</t>
        </is>
      </c>
      <c r="BQ1" s="1" t="inlineStr">
        <is>
          <t>ty_le_chong_lan</t>
        </is>
      </c>
      <c r="BR1" s="1" t="inlineStr">
        <is>
          <t>ty_le_chong_lan_loi_tren_khoang</t>
        </is>
      </c>
      <c r="BS1" s="1" t="inlineStr">
        <is>
          <t>vu_khi_id</t>
        </is>
      </c>
      <c r="BT1" s="1" t="inlineStr">
        <is>
          <t>xuyen</t>
        </is>
      </c>
      <c r="BU1" s="1" t="inlineStr">
        <is>
          <t>nguon</t>
        </is>
      </c>
      <c r="BV1" s="1" t="inlineStr">
        <is>
          <t>raw_json</t>
        </is>
      </c>
    </row>
    <row r="2">
      <c r="A2" t="inlineStr">
        <is>
          <t>air_raid</t>
        </is>
      </c>
      <c r="B2" t="inlineStr">
        <is>
          <t>Huge</t>
        </is>
      </c>
      <c r="C2" t="inlineStr"/>
      <c r="D2" t="inlineStr">
        <is>
          <t>OVERFLY</t>
        </is>
      </c>
      <c r="E2" t="inlineStr">
        <is>
          <t>STICK_RECT</t>
        </is>
      </c>
      <c r="F2" t="inlineStr">
        <is>
          <t>TRUE (vòng / dải hỗ trợ)</t>
        </is>
      </c>
      <c r="G2" t="inlineStr">
        <is>
          <t>STICK</t>
        </is>
      </c>
      <c r="H2" t="inlineStr">
        <is>
          <t>STICK (rải đều Point → Point + hướng × length; StrikeSystem.cs:250-275)</t>
        </is>
      </c>
      <c r="I2" t="n">
        <v>0.267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70</v>
      </c>
      <c r="W2" t="n">
        <v>70</v>
      </c>
      <c r="X2" t="n">
        <v>22</v>
      </c>
      <c r="Y2" t="inlineStr"/>
      <c r="Z2" t="inlineStr">
        <is>
          <t>(máy bay của thẻ, không là đơn vị)</t>
        </is>
      </c>
      <c r="AA2" t="inlineStr">
        <is>
          <t>SUPPORT_AIRSTRIKE</t>
        </is>
      </c>
      <c r="AB2" t="inlineStr">
        <is>
          <t>APPROACH (hướng người chơi kéo)</t>
        </is>
      </c>
      <c r="AC2" t="inlineStr"/>
      <c r="AD2" t="n">
        <v>7.778</v>
      </c>
      <c r="AE2" t="inlineStr"/>
      <c r="AF2" t="n">
        <v>7.778</v>
      </c>
      <c r="AG2" t="inlineStr"/>
      <c r="AH2" t="n">
        <v>0.267</v>
      </c>
      <c r="AI2" t="n">
        <v>0.267</v>
      </c>
      <c r="AJ2" t="inlineStr"/>
      <c r="AK2" t="inlineStr"/>
      <c r="AL2" t="n">
        <v>0</v>
      </c>
      <c r="AM2" t="n">
        <v>3</v>
      </c>
      <c r="AN2" t="inlineStr">
        <is>
          <t>HighExplosive</t>
        </is>
      </c>
      <c r="AO2" t="n">
        <v>8</v>
      </c>
      <c r="AP2" t="inlineStr"/>
      <c r="AQ2" t="inlineStr"/>
      <c r="AR2" t="inlineStr"/>
      <c r="AS2" t="inlineStr"/>
      <c r="AT2" t="inlineStr">
        <is>
          <t>the_ho_tro</t>
        </is>
      </c>
      <c r="AU2" t="n">
        <v>0</v>
      </c>
      <c r="AV2" t="n">
        <v>200</v>
      </c>
      <c r="AW2" t="n">
        <v>10</v>
      </c>
      <c r="AX2" t="inlineStr"/>
      <c r="AY2" t="n">
        <v>10</v>
      </c>
      <c r="AZ2" t="inlineStr"/>
      <c r="BA2" t="n">
        <v>0</v>
      </c>
      <c r="BB2" t="n">
        <v>10</v>
      </c>
      <c r="BC2" t="inlineStr"/>
      <c r="BD2" t="inlineStr">
        <is>
          <t>START (Point = đầu dải)</t>
        </is>
      </c>
      <c r="BE2" t="inlineStr"/>
      <c r="BF2" t="inlineStr"/>
      <c r="BG2" t="inlineStr">
        <is>
          <t>Không kích bất ngờ</t>
        </is>
      </c>
      <c r="BH2" t="inlineStr"/>
      <c r="BI2" t="n">
        <v>4</v>
      </c>
      <c r="BJ2" t="inlineStr"/>
      <c r="BK2" t="n">
        <v>0</v>
      </c>
      <c r="BL2" t="inlineStr"/>
      <c r="BM2" t="n">
        <v>29.167</v>
      </c>
      <c r="BN2" t="inlineStr"/>
      <c r="BO2" t="n">
        <v>29.167</v>
      </c>
      <c r="BP2" t="inlineStr"/>
      <c r="BQ2" t="n">
        <v>1.029</v>
      </c>
      <c r="BR2" t="n">
        <v>1.029</v>
      </c>
      <c r="BS2" t="inlineStr"/>
      <c r="BT2" t="n">
        <v>3</v>
      </c>
      <c r="BU2" t="inlineStr">
        <is>
          <t>Assets/MachineBrigade/Resources/Data/balance.json: supports[12]</t>
        </is>
      </c>
      <c r="BV2" t="inlineStr">
        <is>
          <t>{"id":"air_raid","kind":"Airstrike","pen":3,"event":true,"cooldown":0,"delay":4.0,"radius":6,"count":10,"duration":2.4,"damage":200,"blast":8,"tier":"Huge","length":70}</t>
        </is>
      </c>
    </row>
    <row r="3">
      <c r="A3" t="inlineStr">
        <is>
          <t>airship_carpet</t>
        </is>
      </c>
      <c r="B3" t="inlineStr"/>
      <c r="C3" t="inlineStr"/>
      <c r="D3" t="inlineStr">
        <is>
          <t>BAY</t>
        </is>
      </c>
      <c r="E3" t="inlineStr">
        <is>
          <t>STICK_RECT</t>
        </is>
      </c>
      <c r="F3" t="inlineStr">
        <is>
          <t>TRUE (siêu vũ khí)</t>
        </is>
      </c>
      <c r="G3" t="inlineStr">
        <is>
          <t>STICK</t>
        </is>
      </c>
      <c r="H3" t="inlineStr">
        <is>
          <t>STICK (n quả cách đều L/n dọc hướng boss; BossSystem.BigAttacks.cs:708-720)</t>
        </is>
      </c>
      <c r="I3" t="n">
        <v>0.2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75</v>
      </c>
      <c r="W3" t="n">
        <v>80</v>
      </c>
      <c r="X3" t="n">
        <v>36.4</v>
      </c>
      <c r="Y3" t="inlineStr"/>
      <c r="Z3" t="inlineStr">
        <is>
          <t>command_airship</t>
        </is>
      </c>
      <c r="AA3" t="inlineStr">
        <is>
          <t>BOSS_STRIP</t>
        </is>
      </c>
      <c r="AB3" t="inlineStr">
        <is>
          <t>APPROACH (hướng boss)</t>
        </is>
      </c>
      <c r="AC3" t="inlineStr"/>
      <c r="AD3" t="n">
        <v>5</v>
      </c>
      <c r="AE3" t="inlineStr"/>
      <c r="AF3" t="n">
        <v>5</v>
      </c>
      <c r="AG3" t="inlineStr"/>
      <c r="AH3" t="inlineStr"/>
      <c r="AI3" t="n">
        <v>0.2</v>
      </c>
      <c r="AJ3" t="inlineStr"/>
      <c r="AK3" t="inlineStr"/>
      <c r="AL3" t="n">
        <v>0</v>
      </c>
      <c r="AM3" t="n">
        <v>4.2</v>
      </c>
      <c r="AN3" t="inlineStr">
        <is>
          <t>HighExplosive</t>
        </is>
      </c>
      <c r="AO3" t="n">
        <v>7</v>
      </c>
      <c r="AP3" t="inlineStr"/>
      <c r="AQ3" t="inlineStr"/>
      <c r="AR3" t="inlineStr"/>
      <c r="AS3" t="inlineStr"/>
      <c r="AT3" t="inlineStr">
        <is>
          <t>sieu_vu_khi_boss</t>
        </is>
      </c>
      <c r="AU3" t="n">
        <v>14</v>
      </c>
      <c r="AV3" t="n">
        <v>400</v>
      </c>
      <c r="AW3" t="n">
        <v>16</v>
      </c>
      <c r="AX3" t="inlineStr"/>
      <c r="AY3" t="n">
        <v>16</v>
      </c>
      <c r="AZ3" t="inlineStr"/>
      <c r="BA3" t="n">
        <v>0</v>
      </c>
      <c r="BB3" t="n">
        <v>16</v>
      </c>
      <c r="BC3" t="inlineStr"/>
      <c r="BD3" t="inlineStr">
        <is>
          <t>CENTER</t>
        </is>
      </c>
      <c r="BE3" t="inlineStr"/>
      <c r="BF3" t="inlineStr"/>
      <c r="BG3" t="inlineStr"/>
      <c r="BH3" t="inlineStr"/>
      <c r="BI3" t="n">
        <v>4</v>
      </c>
      <c r="BJ3" t="inlineStr"/>
      <c r="BK3" t="n">
        <v>50</v>
      </c>
      <c r="BL3" t="inlineStr"/>
      <c r="BM3" t="n">
        <v>25</v>
      </c>
      <c r="BN3" t="inlineStr"/>
      <c r="BO3" t="inlineStr"/>
      <c r="BP3" t="inlineStr"/>
      <c r="BQ3" t="n">
        <v>1.4</v>
      </c>
      <c r="BR3" t="n">
        <v>1.4</v>
      </c>
      <c r="BS3" t="inlineStr"/>
      <c r="BT3" t="n">
        <v>1</v>
      </c>
      <c r="BU3" t="inlineStr">
        <is>
          <t>Assets/MachineBrigade/Resources/Data/balance.json: bigAttacks[7]; Assets/MachineBrigade/Resources/Data/balance.json: bigAttacks[7].strikes[0]</t>
        </is>
      </c>
      <c r="BV3" t="inlineStr">
        <is>
          <t>{"shape":"strip","parts":["bomb_bay"],"count":16,"damage":400,"type":"HighExplosive","pen":1,"radius":7,"length":80,"width":12,"axis":"heading","duration":3}</t>
        </is>
      </c>
    </row>
    <row r="4">
      <c r="A4" t="inlineStr">
        <is>
          <t>airstrike</t>
        </is>
      </c>
      <c r="B4" t="inlineStr">
        <is>
          <t>Huge</t>
        </is>
      </c>
      <c r="C4" t="inlineStr"/>
      <c r="D4" t="inlineStr">
        <is>
          <t>OVERFLY</t>
        </is>
      </c>
      <c r="E4" t="inlineStr">
        <is>
          <t>STICK_RECT</t>
        </is>
      </c>
      <c r="F4" t="inlineStr">
        <is>
          <t>TRUE (vòng / dải hỗ trợ)</t>
        </is>
      </c>
      <c r="G4" t="inlineStr">
        <is>
          <t>STICK</t>
        </is>
      </c>
      <c r="H4" t="inlineStr">
        <is>
          <t>STICK (rải đều Point → Point + hướng × length; StrikeSystem.cs:250-275)</t>
        </is>
      </c>
      <c r="I4" t="n">
        <v>0.4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60</v>
      </c>
      <c r="W4" t="n">
        <v>60</v>
      </c>
      <c r="X4" t="n">
        <v>26</v>
      </c>
      <c r="Y4" t="inlineStr"/>
      <c r="Z4" t="inlineStr">
        <is>
          <t>(máy bay của thẻ, không là đơn vị)</t>
        </is>
      </c>
      <c r="AA4" t="inlineStr">
        <is>
          <t>SUPPORT_AIRSTRIKE</t>
        </is>
      </c>
      <c r="AB4" t="inlineStr">
        <is>
          <t>APPROACH (hướng người chơi kéo)</t>
        </is>
      </c>
      <c r="AC4" t="inlineStr"/>
      <c r="AD4" t="n">
        <v>20</v>
      </c>
      <c r="AE4" t="inlineStr"/>
      <c r="AF4" t="n">
        <v>20</v>
      </c>
      <c r="AG4" t="inlineStr"/>
      <c r="AH4" t="n">
        <v>0.4</v>
      </c>
      <c r="AI4" t="n">
        <v>0.4</v>
      </c>
      <c r="AJ4" t="inlineStr"/>
      <c r="AK4" t="inlineStr"/>
      <c r="AL4" t="n">
        <v>0</v>
      </c>
      <c r="AM4" t="n">
        <v>3</v>
      </c>
      <c r="AN4" t="inlineStr">
        <is>
          <t>HighExplosive</t>
        </is>
      </c>
      <c r="AO4" t="n">
        <v>10</v>
      </c>
      <c r="AP4" t="inlineStr"/>
      <c r="AQ4" t="inlineStr"/>
      <c r="AR4" t="inlineStr"/>
      <c r="AS4" t="inlineStr"/>
      <c r="AT4" t="inlineStr">
        <is>
          <t>the_ho_tro</t>
        </is>
      </c>
      <c r="AU4" t="n">
        <v>0</v>
      </c>
      <c r="AV4" t="n">
        <v>210</v>
      </c>
      <c r="AW4" t="n">
        <v>4</v>
      </c>
      <c r="AX4" t="inlineStr"/>
      <c r="AY4" t="n">
        <v>4</v>
      </c>
      <c r="AZ4" t="inlineStr"/>
      <c r="BA4" t="n">
        <v>0</v>
      </c>
      <c r="BB4" t="n">
        <v>4</v>
      </c>
      <c r="BC4" t="inlineStr"/>
      <c r="BD4" t="inlineStr">
        <is>
          <t>START (Point = đầu dải)</t>
        </is>
      </c>
      <c r="BE4" t="inlineStr"/>
      <c r="BF4" t="inlineStr"/>
      <c r="BG4" t="inlineStr">
        <is>
          <t>Không kích</t>
        </is>
      </c>
      <c r="BH4" t="inlineStr"/>
      <c r="BI4" t="n">
        <v>2</v>
      </c>
      <c r="BJ4" t="inlineStr"/>
      <c r="BK4" t="n">
        <v>90</v>
      </c>
      <c r="BL4" t="inlineStr"/>
      <c r="BM4" t="n">
        <v>50</v>
      </c>
      <c r="BN4" t="inlineStr"/>
      <c r="BO4" t="n">
        <v>50</v>
      </c>
      <c r="BP4" t="inlineStr"/>
      <c r="BQ4" t="n">
        <v>0.5</v>
      </c>
      <c r="BR4" t="n">
        <v>0.5</v>
      </c>
      <c r="BS4" t="inlineStr"/>
      <c r="BT4" t="n">
        <v>3</v>
      </c>
      <c r="BU4" t="inlineStr">
        <is>
          <t>Assets/MachineBrigade/Resources/Data/balance.json: supports[1]</t>
        </is>
      </c>
      <c r="BV4" t="inlineStr">
        <is>
          <t>{"id":"airstrike","kind":"Airstrike","pen":3,"cp":9,"cooldown":90,"delay":2.0,"radius":6,"count":4,"duration":1.2,"damage":210,"blast":10,"tier":"Huge","length":60,"rankLine":{"rank":7,"scale":1.4}}</t>
        </is>
      </c>
    </row>
    <row r="5">
      <c r="A5" t="inlineStr">
        <is>
          <t>bomber_payload</t>
        </is>
      </c>
      <c r="B5" t="inlineStr">
        <is>
          <t>Huge</t>
        </is>
      </c>
      <c r="C5" t="b">
        <v>0</v>
      </c>
      <c r="D5" t="inlineStr">
        <is>
          <t>OVERFLY</t>
        </is>
      </c>
      <c r="E5" t="inlineStr">
        <is>
          <t>STICK_RECT</t>
        </is>
      </c>
      <c r="F5" t="inlineStr">
        <is>
          <t>TRUE</t>
        </is>
      </c>
      <c r="G5" t="inlineStr">
        <is>
          <t>STICK</t>
        </is>
      </c>
      <c r="H5" t="inlineStr">
        <is>
          <t>STICK (quả i = đầu dải + hướng × i × spacing + lệch seed; đầu dải = máy bay lúc thả + khoảng dẫn đầu)</t>
        </is>
      </c>
      <c r="I5" t="n">
        <v>0.625</v>
      </c>
      <c r="J5" t="inlineStr"/>
      <c r="K5" t="inlineStr"/>
      <c r="L5" t="inlineStr"/>
      <c r="M5" t="inlineStr"/>
      <c r="N5" t="inlineStr"/>
      <c r="O5" t="inlineStr"/>
      <c r="P5" t="inlineStr"/>
      <c r="Q5" t="b">
        <v>0</v>
      </c>
      <c r="R5" t="inlineStr">
        <is>
          <t>Bomb</t>
        </is>
      </c>
      <c r="S5" t="b">
        <v>0</v>
      </c>
      <c r="T5" t="b">
        <v>0</v>
      </c>
      <c r="U5" t="n">
        <v>500</v>
      </c>
      <c r="V5" t="n">
        <v>66</v>
      </c>
      <c r="W5" t="n">
        <v>26.4</v>
      </c>
      <c r="X5" t="n">
        <v>25</v>
      </c>
      <c r="Y5" t="n">
        <v>7</v>
      </c>
      <c r="Z5" t="inlineStr">
        <is>
          <t>heavy_bomber</t>
        </is>
      </c>
      <c r="AA5" t="inlineStr">
        <is>
          <t>FREE_FALL_STICK</t>
        </is>
      </c>
      <c r="AB5" t="inlineStr">
        <is>
          <t>AXIS</t>
        </is>
      </c>
      <c r="AC5" t="n">
        <v>10</v>
      </c>
      <c r="AD5" t="n">
        <v>11</v>
      </c>
      <c r="AE5" t="n">
        <v>3.52</v>
      </c>
      <c r="AF5" t="n">
        <v>4.4</v>
      </c>
      <c r="AG5" t="n">
        <v>25.5</v>
      </c>
      <c r="AH5" t="n">
        <v>0.2</v>
      </c>
      <c r="AI5" t="n">
        <v>0.2</v>
      </c>
      <c r="AJ5" t="n">
        <v>40</v>
      </c>
      <c r="AK5" t="n">
        <v>500</v>
      </c>
      <c r="AL5" t="n">
        <v>1.65</v>
      </c>
      <c r="AM5" t="n">
        <v>2.5</v>
      </c>
      <c r="AN5" t="inlineStr">
        <is>
          <t>HighExplosive</t>
        </is>
      </c>
      <c r="AO5" t="n">
        <v>10</v>
      </c>
      <c r="AP5" t="inlineStr">
        <is>
          <t>Ground</t>
        </is>
      </c>
      <c r="AQ5" t="inlineStr"/>
      <c r="AR5" t="n">
        <v>0</v>
      </c>
      <c r="AS5" t="b">
        <v>0</v>
      </c>
      <c r="AT5" t="inlineStr">
        <is>
          <t>vu_khi_don_vi</t>
        </is>
      </c>
      <c r="AU5" t="n">
        <v>0</v>
      </c>
      <c r="AV5" t="n">
        <v>420</v>
      </c>
      <c r="AW5" t="n">
        <v>7</v>
      </c>
      <c r="AX5" t="n">
        <v>3</v>
      </c>
      <c r="AY5" t="n">
        <v>7</v>
      </c>
      <c r="AZ5" t="n">
        <v>0</v>
      </c>
      <c r="BA5" t="n">
        <v>3</v>
      </c>
      <c r="BB5" t="n">
        <v>7</v>
      </c>
      <c r="BC5" t="n">
        <v>7</v>
      </c>
      <c r="BD5" t="inlineStr">
        <is>
          <t>CENTER</t>
        </is>
      </c>
      <c r="BE5" t="n">
        <v>28</v>
      </c>
      <c r="BF5" t="n">
        <v>0</v>
      </c>
      <c r="BG5" t="inlineStr">
        <is>
          <t>FAB-500 (500 kg)</t>
        </is>
      </c>
      <c r="BH5" t="n">
        <v>6.2</v>
      </c>
      <c r="BI5" t="n">
        <v>2.722</v>
      </c>
      <c r="BJ5" t="n">
        <v>1.5</v>
      </c>
      <c r="BK5" t="n">
        <v>11.2</v>
      </c>
      <c r="BL5" t="n">
        <v>1.449</v>
      </c>
      <c r="BM5" t="n">
        <v>17.6</v>
      </c>
      <c r="BN5" t="n">
        <v>35</v>
      </c>
      <c r="BO5" t="inlineStr">
        <is>
          <t>22</t>
        </is>
      </c>
      <c r="BP5" t="inlineStr"/>
      <c r="BQ5" t="n">
        <v>0.909</v>
      </c>
      <c r="BR5" t="n">
        <v>2.273</v>
      </c>
      <c r="BS5" t="inlineStr">
        <is>
          <t>bomber_payload</t>
        </is>
      </c>
      <c r="BT5" t="n">
        <v>3</v>
      </c>
      <c r="BU5" t="inlineStr">
        <is>
          <t>Assets/MachineBrigade/Resources/Data/balance.json: weapons[48]</t>
        </is>
      </c>
      <c r="BV5" t="inlineStr">
        <is>
          <t>{"id":"bomber_payload","weaponFamilyId":"bomb_fab_500","load":7,"real":"FAB-500 (500 kg)","family":"bomb","size":500,"warheadKg":500,"pen":3,"projectileModel":"bomb","projectileScale":0.7324,"roundLength":1.2,"damageType":"HighExplosive","damage":420,"cooldown":11.2,"range":28,"projectileSpeed":35,"splash":10,"spread":7,"impactTier":"Huge","projectile":"Bomb","burst":7,"burstInterval":0.2,"stick":{"mode":"STICK","bombs":7,"spacing":11,"length":66,"interval":0.625,"releaseSpeed":17.6,"fallTime":1.449,"lead":25.5,"heading":"AXIS","anchor":"CENTER","drop":"OVERFLY","jitterAcross":2.5,"jitterAlong":1.65,"overlap":0.909,"width":25,"minTargets":3,"safety":10,"straightTime":6.2,"exit":40,"bayOpen":1.5,"warnShape":"STICK_RECT"}}</t>
        </is>
      </c>
    </row>
    <row r="6">
      <c r="A6" t="inlineStr">
        <is>
          <t>carrier_heavy_bomb</t>
        </is>
      </c>
      <c r="B6" t="inlineStr"/>
      <c r="C6" t="inlineStr"/>
      <c r="D6" t="inlineStr"/>
      <c r="E6" t="inlineStr"/>
      <c r="F6" t="inlineStr">
        <is>
          <t>TRUE (siêu vũ khí)</t>
        </is>
      </c>
      <c r="G6" t="inlineStr"/>
      <c r="H6" t="inlineStr">
        <is>
          <t>POINT (một quả lớn bay như tên lửa)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drone_mothership</t>
        </is>
      </c>
      <c r="AA6" t="inlineStr">
        <is>
          <t>BOSS_MISSILE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HighExplosive</t>
        </is>
      </c>
      <c r="AO6" t="n">
        <v>16</v>
      </c>
      <c r="AP6" t="inlineStr"/>
      <c r="AQ6" t="inlineStr"/>
      <c r="AR6" t="inlineStr"/>
      <c r="AS6" t="inlineStr"/>
      <c r="AT6" t="inlineStr">
        <is>
          <t>sieu_vu_khi_boss</t>
        </is>
      </c>
      <c r="AU6" t="n">
        <v>20</v>
      </c>
      <c r="AV6" t="n">
        <v>1600</v>
      </c>
      <c r="AW6" t="inlineStr"/>
      <c r="AX6" t="inlineStr"/>
      <c r="AY6" t="n">
        <v>1</v>
      </c>
      <c r="AZ6" t="inlineStr"/>
      <c r="BA6" t="inlineStr"/>
      <c r="BB6" t="n">
        <v>1</v>
      </c>
      <c r="BC6" t="inlineStr"/>
      <c r="BD6" t="inlineStr"/>
      <c r="BE6" t="inlineStr"/>
      <c r="BF6" t="inlineStr"/>
      <c r="BG6" t="inlineStr">
        <is>
          <t>bomber_payload</t>
        </is>
      </c>
      <c r="BH6" t="inlineStr"/>
      <c r="BI6" t="n">
        <v>3.5</v>
      </c>
      <c r="BJ6" t="inlineStr"/>
      <c r="BK6" t="n">
        <v>45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</v>
      </c>
      <c r="BU6" t="inlineStr">
        <is>
          <t>Assets/MachineBrigade/Resources/Data/balance.json: bigAttacks[6]; Assets/MachineBrigade/Resources/Data/balance.json: bigAttacks[6].strikes[0]</t>
        </is>
      </c>
      <c r="BV6" t="inlineStr">
        <is>
          <t>{"shape":"missile","parts":["bomb_bay"],"count":1,"damage":1600,"type":"HighExplosive","pen":3,"structure":2,"radius":16,"weapon":"bomber_payload","hp":250,"flight":3,"targets":1}</t>
        </is>
      </c>
    </row>
    <row r="7">
      <c r="A7" t="inlineStr">
        <is>
          <t>cluster_strike</t>
        </is>
      </c>
      <c r="B7" t="inlineStr">
        <is>
          <t>Large</t>
        </is>
      </c>
      <c r="C7" t="inlineStr"/>
      <c r="D7" t="inlineStr">
        <is>
          <t>OVERFLY</t>
        </is>
      </c>
      <c r="E7" t="inlineStr">
        <is>
          <t>STICK_RECT</t>
        </is>
      </c>
      <c r="F7" t="inlineStr">
        <is>
          <t>TRUE (vòng / dải hỗ trợ)</t>
        </is>
      </c>
      <c r="G7" t="inlineStr">
        <is>
          <t>STICK</t>
        </is>
      </c>
      <c r="H7" t="inlineStr">
        <is>
          <t>STICK (rải đều Point → Point + hướng × length; StrikeSystem.cs:250-275)</t>
        </is>
      </c>
      <c r="I7" t="n">
        <v>0.076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60</v>
      </c>
      <c r="W7" t="n">
        <v>60</v>
      </c>
      <c r="X7" t="n">
        <v>21</v>
      </c>
      <c r="Y7" t="inlineStr"/>
      <c r="Z7" t="inlineStr">
        <is>
          <t>(máy bay của thẻ, không là đơn vị)</t>
        </is>
      </c>
      <c r="AA7" t="inlineStr">
        <is>
          <t>SUPPORT_AIRSTRIKE</t>
        </is>
      </c>
      <c r="AB7" t="inlineStr">
        <is>
          <t>APPROACH (hướng người chơi kéo)</t>
        </is>
      </c>
      <c r="AC7" t="inlineStr"/>
      <c r="AD7" t="n">
        <v>2.069</v>
      </c>
      <c r="AE7" t="inlineStr"/>
      <c r="AF7" t="n">
        <v>2.069</v>
      </c>
      <c r="AG7" t="inlineStr"/>
      <c r="AH7" t="n">
        <v>0.076</v>
      </c>
      <c r="AI7" t="n">
        <v>0.076</v>
      </c>
      <c r="AJ7" t="inlineStr"/>
      <c r="AK7" t="inlineStr"/>
      <c r="AL7" t="n">
        <v>0</v>
      </c>
      <c r="AM7" t="n">
        <v>5</v>
      </c>
      <c r="AN7" t="inlineStr">
        <is>
          <t>HighExplosive</t>
        </is>
      </c>
      <c r="AO7" t="n">
        <v>5.5</v>
      </c>
      <c r="AP7" t="inlineStr"/>
      <c r="AQ7" t="inlineStr"/>
      <c r="AR7" t="inlineStr"/>
      <c r="AS7" t="inlineStr"/>
      <c r="AT7" t="inlineStr">
        <is>
          <t>the_ho_tro</t>
        </is>
      </c>
      <c r="AU7" t="n">
        <v>0</v>
      </c>
      <c r="AV7" t="n">
        <v>90</v>
      </c>
      <c r="AW7" t="n">
        <v>30</v>
      </c>
      <c r="AX7" t="inlineStr"/>
      <c r="AY7" t="n">
        <v>30</v>
      </c>
      <c r="AZ7" t="inlineStr"/>
      <c r="BA7" t="n">
        <v>0</v>
      </c>
      <c r="BB7" t="n">
        <v>30</v>
      </c>
      <c r="BC7" t="inlineStr"/>
      <c r="BD7" t="inlineStr">
        <is>
          <t>START (Point = đầu dải)</t>
        </is>
      </c>
      <c r="BE7" t="inlineStr"/>
      <c r="BF7" t="inlineStr"/>
      <c r="BG7" t="inlineStr">
        <is>
          <t>Bom chùm</t>
        </is>
      </c>
      <c r="BH7" t="inlineStr"/>
      <c r="BI7" t="n">
        <v>2.5</v>
      </c>
      <c r="BJ7" t="inlineStr"/>
      <c r="BK7" t="n">
        <v>15</v>
      </c>
      <c r="BL7" t="inlineStr"/>
      <c r="BM7" t="n">
        <v>27.273</v>
      </c>
      <c r="BN7" t="inlineStr"/>
      <c r="BO7" t="n">
        <v>27.273</v>
      </c>
      <c r="BP7" t="inlineStr"/>
      <c r="BQ7" t="n">
        <v>2.658</v>
      </c>
      <c r="BR7" t="n">
        <v>2.658</v>
      </c>
      <c r="BS7" t="inlineStr"/>
      <c r="BT7" t="n">
        <v>2</v>
      </c>
      <c r="BU7" t="inlineStr">
        <is>
          <t>Assets/MachineBrigade/Resources/Data/balance.json: supports[16]</t>
        </is>
      </c>
      <c r="BV7" t="inlineStr">
        <is>
          <t>{"id":"cluster_strike","kind":"Airstrike","pen":2,"consumable":true,"cooldown":15,"delay":2.5,"radius":10,"count":30,"duration":2.2,"damage":90,"blast":5.5,"tier":"Large","length":60}</t>
        </is>
      </c>
    </row>
    <row r="8">
      <c r="A8" t="inlineStr">
        <is>
          <t>glide_bomb_strike</t>
        </is>
      </c>
      <c r="B8" t="inlineStr">
        <is>
          <t>Huge</t>
        </is>
      </c>
      <c r="C8" t="inlineStr"/>
      <c r="D8" t="inlineStr"/>
      <c r="E8" t="inlineStr"/>
      <c r="F8" t="inlineStr">
        <is>
          <t>TRUE (vòng / dải hỗ trợ)</t>
        </is>
      </c>
      <c r="G8" t="inlineStr"/>
      <c r="H8" t="inlineStr">
        <is>
          <t>POINT (bom lượn tầm xa, mỗi quả lệch ít; StrikeSystem.cs:278-300)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(máy bay của thẻ, không là đơn vị)</t>
        </is>
      </c>
      <c r="AA8" t="inlineStr">
        <is>
          <t>SUPPORT_CRUISEMISSILE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HighExplosive</t>
        </is>
      </c>
      <c r="AO8" t="n">
        <v>10</v>
      </c>
      <c r="AP8" t="inlineStr"/>
      <c r="AQ8" t="inlineStr"/>
      <c r="AR8" t="inlineStr"/>
      <c r="AS8" t="inlineStr"/>
      <c r="AT8" t="inlineStr">
        <is>
          <t>the_ho_tro</t>
        </is>
      </c>
      <c r="AU8" t="n">
        <v>0</v>
      </c>
      <c r="AV8" t="n">
        <v>420</v>
      </c>
      <c r="AW8" t="inlineStr"/>
      <c r="AX8" t="inlineStr"/>
      <c r="AY8" t="n">
        <v>2</v>
      </c>
      <c r="AZ8" t="inlineStr"/>
      <c r="BA8" t="inlineStr"/>
      <c r="BB8" t="n">
        <v>2</v>
      </c>
      <c r="BC8" t="inlineStr"/>
      <c r="BD8" t="inlineStr"/>
      <c r="BE8" t="inlineStr"/>
      <c r="BF8" t="inlineStr"/>
      <c r="BG8" t="inlineStr">
        <is>
          <t>Đòn bom lượn</t>
        </is>
      </c>
      <c r="BH8" t="inlineStr"/>
      <c r="BI8" t="n">
        <v>3</v>
      </c>
      <c r="BJ8" t="inlineStr"/>
      <c r="BK8" t="n">
        <v>90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3</v>
      </c>
      <c r="BU8" t="inlineStr">
        <is>
          <t>Assets/MachineBrigade/Resources/Data/balance.json: supports[23]</t>
        </is>
      </c>
      <c r="BV8" t="inlineStr">
        <is>
          <t>{"id":"glide_bomb_strike","kind":"CruiseMissile","pen":3,"cp":8,"cooldown":90,"delay":3.0,"radius":10,"count":2,"damage":420,"blast":10,"tier":"Huge"}</t>
        </is>
      </c>
    </row>
    <row r="9">
      <c r="A9" t="inlineStr">
        <is>
          <t>guided_bomb</t>
        </is>
      </c>
      <c r="B9" t="inlineStr">
        <is>
          <t>Large</t>
        </is>
      </c>
      <c r="C9" t="b">
        <v>0</v>
      </c>
      <c r="D9" t="inlineStr">
        <is>
          <t>OVERFLY</t>
        </is>
      </c>
      <c r="E9" t="inlineStr">
        <is>
          <t>NONE</t>
        </is>
      </c>
      <c r="F9" t="inlineStr">
        <is>
          <t>FALSE</t>
        </is>
      </c>
      <c r="G9" t="inlineStr">
        <is>
          <t>POINT</t>
        </is>
      </c>
      <c r="H9" t="inlineStr">
        <is>
          <t>POINT (mọi quả nhắm vào mục tiêu)</t>
        </is>
      </c>
      <c r="I9" t="n">
        <v>0.1</v>
      </c>
      <c r="J9" t="inlineStr"/>
      <c r="K9" t="inlineStr"/>
      <c r="L9" t="inlineStr"/>
      <c r="M9" t="inlineStr"/>
      <c r="N9" t="inlineStr"/>
      <c r="O9" t="inlineStr"/>
      <c r="P9" t="inlineStr"/>
      <c r="Q9" t="b">
        <v>0</v>
      </c>
      <c r="R9" t="inlineStr">
        <is>
          <t>Bomb</t>
        </is>
      </c>
      <c r="S9" t="b">
        <v>0</v>
      </c>
      <c r="T9" t="b">
        <v>0</v>
      </c>
      <c r="U9" t="n">
        <v>110</v>
      </c>
      <c r="V9" t="n">
        <v>0</v>
      </c>
      <c r="W9" t="inlineStr"/>
      <c r="X9" t="n">
        <v>8</v>
      </c>
      <c r="Y9" t="n">
        <v>1</v>
      </c>
      <c r="Z9" t="inlineStr">
        <is>
          <t>stealth_fighter;strike_drone</t>
        </is>
      </c>
      <c r="AA9" t="inlineStr">
        <is>
          <t>GUIDED</t>
        </is>
      </c>
      <c r="AB9" t="inlineStr">
        <is>
          <t>APPROACH</t>
        </is>
      </c>
      <c r="AC9" t="n">
        <v>8</v>
      </c>
      <c r="AD9" t="n">
        <v>0</v>
      </c>
      <c r="AE9" t="inlineStr"/>
      <c r="AF9" t="inlineStr"/>
      <c r="AG9" t="n">
        <v>0</v>
      </c>
      <c r="AH9" t="n">
        <v>0.1</v>
      </c>
      <c r="AI9" t="inlineStr"/>
      <c r="AJ9" t="n">
        <v>0</v>
      </c>
      <c r="AK9" t="n">
        <v>110</v>
      </c>
      <c r="AL9" t="n">
        <v>0</v>
      </c>
      <c r="AM9" t="n">
        <v>0</v>
      </c>
      <c r="AN9" t="inlineStr">
        <is>
          <t>HighExplosive</t>
        </is>
      </c>
      <c r="AO9" t="n">
        <v>4</v>
      </c>
      <c r="AP9" t="inlineStr">
        <is>
          <t>Ground</t>
        </is>
      </c>
      <c r="AQ9" t="inlineStr"/>
      <c r="AR9" t="n">
        <v>0</v>
      </c>
      <c r="AS9" t="b">
        <v>0</v>
      </c>
      <c r="AT9" t="inlineStr">
        <is>
          <t>vu_khi_don_vi</t>
        </is>
      </c>
      <c r="AU9" t="n">
        <v>0</v>
      </c>
      <c r="AV9" t="n">
        <v>210</v>
      </c>
      <c r="AW9" t="n">
        <v>1</v>
      </c>
      <c r="AX9" t="inlineStr"/>
      <c r="AY9" t="n">
        <v>1</v>
      </c>
      <c r="AZ9" t="n">
        <v>0</v>
      </c>
      <c r="BA9" t="n">
        <v>0</v>
      </c>
      <c r="BB9" t="n">
        <v>1</v>
      </c>
      <c r="BC9" t="n">
        <v>2</v>
      </c>
      <c r="BD9" t="inlineStr">
        <is>
          <t>CENTER</t>
        </is>
      </c>
      <c r="BE9" t="n">
        <v>30</v>
      </c>
      <c r="BF9" t="n">
        <v>0</v>
      </c>
      <c r="BG9" t="inlineStr">
        <is>
          <t>GBU-39 SDB (110 kg)</t>
        </is>
      </c>
      <c r="BH9" t="n">
        <v>0</v>
      </c>
      <c r="BI9" t="n">
        <v>0</v>
      </c>
      <c r="BJ9" t="n">
        <v>0.5</v>
      </c>
      <c r="BK9" t="n">
        <v>6.651</v>
      </c>
      <c r="BL9" t="n">
        <v>0</v>
      </c>
      <c r="BM9" t="n">
        <v>0</v>
      </c>
      <c r="BN9" t="n">
        <v>40</v>
      </c>
      <c r="BO9" t="inlineStr">
        <is>
          <t>44;13.9</t>
        </is>
      </c>
      <c r="BP9" t="inlineStr"/>
      <c r="BQ9" t="n">
        <v>0</v>
      </c>
      <c r="BR9" t="inlineStr"/>
      <c r="BS9" t="inlineStr">
        <is>
          <t>guided_bomb</t>
        </is>
      </c>
      <c r="BT9" t="n">
        <v>3</v>
      </c>
      <c r="BU9" t="inlineStr">
        <is>
          <t>Assets/MachineBrigade/Resources/Data/balance.json: weapons[236]</t>
        </is>
      </c>
      <c r="BV9" t="inlineStr">
        <is>
          <t>{"id":"guided_bomb","weaponFamilyId":"bomb_gbu_39_sdb","load":2,"real":"GBU-39 SDB (110 kg)","family":"bomb","size":110,"warheadKg":110,"pen":3,"form":"GuidedBomb","projectileModel":"gbu39","projectileScale":0.4091,"roundLength":0.9,"damageType":"HighExplosive","damage":210,"cooldown":6.651,"range":30,"projectileSpeed":40,"splash":4,"spread":1,"impactTier":"Large","projectile":"Bomb","roundWeight":297,"stick":{"mode":"POINT","bombs":1,"spacing":0,"length":0,"interval":0.1,"releaseSpeed":0,"fallTime":0,"lead":0,"heading":"APPROACH","anchor":"CENTER","drop":"OVERFLY","jitterAcross":0,"jitterAlong":0,"overlap":0,"width":8,"minTargets":0,"safety":8,"straightTime":0,"exit":0,"bayOpen":0.5,"warnShape":"NONE"}}</t>
        </is>
      </c>
    </row>
    <row r="10">
      <c r="A10" t="inlineStr">
        <is>
          <t>jet_bombs</t>
        </is>
      </c>
      <c r="B10" t="inlineStr">
        <is>
          <t>Huge</t>
        </is>
      </c>
      <c r="C10" t="b">
        <v>0</v>
      </c>
      <c r="D10" t="inlineStr">
        <is>
          <t>OVERFLY</t>
        </is>
      </c>
      <c r="E10" t="inlineStr">
        <is>
          <t>NONE</t>
        </is>
      </c>
      <c r="F10" t="inlineStr">
        <is>
          <t>FALSE</t>
        </is>
      </c>
      <c r="G10" t="inlineStr">
        <is>
          <t>STICK</t>
        </is>
      </c>
      <c r="H10" t="inlineStr">
        <is>
          <t>STICK (quả i = đầu dải + hướng × i × spacing + lệch seed; đầu dải = máy bay lúc thả + khoảng dẫn đầu)</t>
        </is>
      </c>
      <c r="I10" t="n">
        <v>0.3438</v>
      </c>
      <c r="J10" t="inlineStr"/>
      <c r="K10" t="inlineStr"/>
      <c r="L10" t="inlineStr"/>
      <c r="M10" t="inlineStr"/>
      <c r="N10" t="inlineStr"/>
      <c r="O10" t="inlineStr"/>
      <c r="P10" t="inlineStr"/>
      <c r="Q10" t="b">
        <v>0</v>
      </c>
      <c r="R10" t="inlineStr">
        <is>
          <t>Bomb</t>
        </is>
      </c>
      <c r="S10" t="b">
        <v>0</v>
      </c>
      <c r="T10" t="b">
        <v>0</v>
      </c>
      <c r="U10" t="n">
        <v>250</v>
      </c>
      <c r="V10" t="n">
        <v>8.800000000000001</v>
      </c>
      <c r="W10" t="n">
        <v>8</v>
      </c>
      <c r="X10" t="n">
        <v>20</v>
      </c>
      <c r="Y10" t="n">
        <v>3</v>
      </c>
      <c r="Z10" t="inlineStr">
        <is>
          <t>attack_jet;elite_attack_jet;stealth_naval_strike</t>
        </is>
      </c>
      <c r="AA10" t="inlineStr">
        <is>
          <t>FREE_FALL_STICK</t>
        </is>
      </c>
      <c r="AB10" t="inlineStr">
        <is>
          <t>APPROACH</t>
        </is>
      </c>
      <c r="AC10" t="n">
        <v>8</v>
      </c>
      <c r="AD10" t="n">
        <v>8.800000000000001</v>
      </c>
      <c r="AE10" t="n">
        <v>6.4</v>
      </c>
      <c r="AF10" t="n">
        <v>8</v>
      </c>
      <c r="AG10" t="n">
        <v>31.4</v>
      </c>
      <c r="AH10" t="n">
        <v>0.25</v>
      </c>
      <c r="AI10" t="n">
        <v>0.25</v>
      </c>
      <c r="AJ10" t="n">
        <v>40</v>
      </c>
      <c r="AK10" t="n">
        <v>250</v>
      </c>
      <c r="AL10" t="n">
        <v>1.32</v>
      </c>
      <c r="AM10" t="n">
        <v>2</v>
      </c>
      <c r="AN10" t="inlineStr">
        <is>
          <t>HighExplosive</t>
        </is>
      </c>
      <c r="AO10" t="n">
        <v>8</v>
      </c>
      <c r="AP10" t="inlineStr">
        <is>
          <t>Ground</t>
        </is>
      </c>
      <c r="AQ10" t="inlineStr"/>
      <c r="AR10" t="n">
        <v>0</v>
      </c>
      <c r="AS10" t="b">
        <v>0</v>
      </c>
      <c r="AT10" t="inlineStr">
        <is>
          <t>vu_khi_don_vi</t>
        </is>
      </c>
      <c r="AU10" t="n">
        <v>0</v>
      </c>
      <c r="AV10" t="n">
        <v>310</v>
      </c>
      <c r="AW10" t="n">
        <v>2</v>
      </c>
      <c r="AX10" t="n">
        <v>2</v>
      </c>
      <c r="AY10" t="n">
        <v>2</v>
      </c>
      <c r="AZ10" t="n">
        <v>0</v>
      </c>
      <c r="BA10" t="n">
        <v>3</v>
      </c>
      <c r="BB10" t="n">
        <v>2</v>
      </c>
      <c r="BC10" t="n">
        <v>3</v>
      </c>
      <c r="BD10" t="inlineStr">
        <is>
          <t>CENTER</t>
        </is>
      </c>
      <c r="BE10" t="n">
        <v>26</v>
      </c>
      <c r="BF10" t="n">
        <v>0</v>
      </c>
      <c r="BG10" t="inlineStr">
        <is>
          <t>FAB-250 (250 kg)</t>
        </is>
      </c>
      <c r="BH10" t="n">
        <v>2.57</v>
      </c>
      <c r="BI10" t="n">
        <v>0</v>
      </c>
      <c r="BJ10" t="n">
        <v>1</v>
      </c>
      <c r="BK10" t="n">
        <v>10.05</v>
      </c>
      <c r="BL10" t="n">
        <v>1.225</v>
      </c>
      <c r="BM10" t="n">
        <v>25.6</v>
      </c>
      <c r="BN10" t="n">
        <v>35</v>
      </c>
      <c r="BO10" t="inlineStr">
        <is>
          <t>32;32;30</t>
        </is>
      </c>
      <c r="BP10" t="inlineStr"/>
      <c r="BQ10" t="n">
        <v>0.909</v>
      </c>
      <c r="BR10" t="n">
        <v>1</v>
      </c>
      <c r="BS10" t="inlineStr">
        <is>
          <t>jet_bombs</t>
        </is>
      </c>
      <c r="BT10" t="n">
        <v>2</v>
      </c>
      <c r="BU10" t="inlineStr">
        <is>
          <t>Assets/MachineBrigade/Resources/Data/balance.json: weapons[40]</t>
        </is>
      </c>
      <c r="BV10" t="inlineStr">
        <is>
          <t>{"id":"jet_bombs","weaponFamilyId":"bomb_fab_250","load":3,"real":"FAB-250 (250 kg)","family":"bomb","size":250,"warheadKg":250,"pen":2,"projectileModel":"bomb_fab","projectileScale":0.5444,"roundLength":0.98,"damageType":"HighExplosive","damage":310,"cooldown":10.05,"range":26,"projectileSpeed":35,"splash":8,"spread":3,"impactTier":"Huge","projectile":"Bomb","burst":2,"burstInterval":0.25,"roundWeight":351,"stick":{"mode":"STICK","bombs":2,"spacing":8.8,"length":8.8,"interval":0.3438,"releaseSpeed":25.6,"fallTime":1.225,"lead":31.4,"heading":"APPROACH","anchor":"CENTER","drop":"OVERFLY","jitterAcross":2,"jitterAlong":1.32,"overlap":0.909,"width":20,"minTargets":3,"safety":8,"straightTime":2.57,"exit":40,"bayOpen":1.0,"warnShape":"NONE"}}</t>
        </is>
      </c>
    </row>
    <row r="11">
      <c r="A11" t="inlineStr">
        <is>
          <t>kraken_air_raid</t>
        </is>
      </c>
      <c r="B11" t="inlineStr"/>
      <c r="C11" t="inlineStr"/>
      <c r="D11" t="inlineStr">
        <is>
          <t>BAY</t>
        </is>
      </c>
      <c r="E11" t="inlineStr">
        <is>
          <t>STICK_RECT</t>
        </is>
      </c>
      <c r="F11" t="inlineStr">
        <is>
          <t>TRUE (siêu vũ khí)</t>
        </is>
      </c>
      <c r="G11" t="inlineStr">
        <is>
          <t>STICK</t>
        </is>
      </c>
      <c r="H11" t="inlineStr">
        <is>
          <t>STICK (n quả cách đều L/n dọc hướng boss; BossSystem.BigAttacks.cs:708-720)</t>
        </is>
      </c>
      <c r="I11" t="n">
        <v>0.273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82.5</v>
      </c>
      <c r="W11" t="n">
        <v>90</v>
      </c>
      <c r="X11" t="n">
        <v>45.8</v>
      </c>
      <c r="Y11" t="inlineStr"/>
      <c r="Z11" t="inlineStr">
        <is>
          <t>kraken</t>
        </is>
      </c>
      <c r="AA11" t="inlineStr">
        <is>
          <t>BOSS_STRIP</t>
        </is>
      </c>
      <c r="AB11" t="inlineStr">
        <is>
          <t>APPROACH (hướng boss)</t>
        </is>
      </c>
      <c r="AC11" t="inlineStr"/>
      <c r="AD11" t="n">
        <v>7.5</v>
      </c>
      <c r="AE11" t="inlineStr"/>
      <c r="AF11" t="n">
        <v>7.5</v>
      </c>
      <c r="AG11" t="inlineStr"/>
      <c r="AH11" t="inlineStr"/>
      <c r="AI11" t="n">
        <v>0.273</v>
      </c>
      <c r="AJ11" t="inlineStr"/>
      <c r="AK11" t="inlineStr"/>
      <c r="AL11" t="n">
        <v>0</v>
      </c>
      <c r="AM11" t="n">
        <v>4.9</v>
      </c>
      <c r="AN11" t="inlineStr">
        <is>
          <t>HighExplosive</t>
        </is>
      </c>
      <c r="AO11" t="n">
        <v>9</v>
      </c>
      <c r="AP11" t="inlineStr"/>
      <c r="AQ11" t="inlineStr"/>
      <c r="AR11" t="inlineStr"/>
      <c r="AS11" t="inlineStr"/>
      <c r="AT11" t="inlineStr">
        <is>
          <t>sieu_vu_khi_boss</t>
        </is>
      </c>
      <c r="AU11" t="n">
        <v>18</v>
      </c>
      <c r="AV11" t="n">
        <v>400</v>
      </c>
      <c r="AW11" t="n">
        <v>12</v>
      </c>
      <c r="AX11" t="inlineStr"/>
      <c r="AY11" t="n">
        <v>12</v>
      </c>
      <c r="AZ11" t="inlineStr"/>
      <c r="BA11" t="n">
        <v>0</v>
      </c>
      <c r="BB11" t="n">
        <v>12</v>
      </c>
      <c r="BC11" t="inlineStr"/>
      <c r="BD11" t="inlineStr">
        <is>
          <t>CENTER</t>
        </is>
      </c>
      <c r="BE11" t="inlineStr"/>
      <c r="BF11" t="inlineStr"/>
      <c r="BG11" t="inlineStr"/>
      <c r="BH11" t="inlineStr"/>
      <c r="BI11" t="n">
        <v>4</v>
      </c>
      <c r="BJ11" t="inlineStr"/>
      <c r="BK11" t="n">
        <v>50</v>
      </c>
      <c r="BL11" t="inlineStr"/>
      <c r="BM11" t="n">
        <v>27.5</v>
      </c>
      <c r="BN11" t="inlineStr"/>
      <c r="BO11" t="inlineStr"/>
      <c r="BP11" t="inlineStr"/>
      <c r="BQ11" t="n">
        <v>1.2</v>
      </c>
      <c r="BR11" t="n">
        <v>1.2</v>
      </c>
      <c r="BS11" t="inlineStr"/>
      <c r="BT11" t="n">
        <v>2</v>
      </c>
      <c r="BU11" t="inlineStr">
        <is>
          <t>Assets/MachineBrigade/Resources/Data/balance.json: bigAttacks[12]; Assets/MachineBrigade/Resources/Data/balance.json: bigAttacks[12].strikes[0]</t>
        </is>
      </c>
      <c r="BV11" t="inlineStr">
        <is>
          <t>{"shape":"strip","parts":["flight_deck"],"count":12,"damage":400,"type":"HighExplosive","pen":2,"radius":9,"length":90,"width":14,"axis":"heading","duration":3}</t>
        </is>
      </c>
    </row>
    <row r="12">
      <c r="A12" t="inlineStr">
        <is>
          <t>napalm_strike</t>
        </is>
      </c>
      <c r="B12" t="inlineStr">
        <is>
          <t>Huge</t>
        </is>
      </c>
      <c r="C12" t="inlineStr"/>
      <c r="D12" t="inlineStr">
        <is>
          <t>OVERFLY</t>
        </is>
      </c>
      <c r="E12" t="inlineStr">
        <is>
          <t>STICK_RECT</t>
        </is>
      </c>
      <c r="F12" t="inlineStr">
        <is>
          <t>TRUE (vòng / dải hỗ trợ)</t>
        </is>
      </c>
      <c r="G12" t="inlineStr">
        <is>
          <t>STICK</t>
        </is>
      </c>
      <c r="H12" t="inlineStr">
        <is>
          <t>STICK (rải đều Point → Point + hướng × length; StrikeSystem.cs:250-275)</t>
        </is>
      </c>
      <c r="I12" t="n">
        <v>0.2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55</v>
      </c>
      <c r="W12" t="n">
        <v>55</v>
      </c>
      <c r="X12" t="n">
        <v>23</v>
      </c>
      <c r="Y12" t="inlineStr"/>
      <c r="Z12" t="inlineStr">
        <is>
          <t>(máy bay của thẻ, không là đơn vị)</t>
        </is>
      </c>
      <c r="AA12" t="inlineStr">
        <is>
          <t>SUPPORT_AIRSTRIKE</t>
        </is>
      </c>
      <c r="AB12" t="inlineStr">
        <is>
          <t>APPROACH (hướng người chơi kéo)</t>
        </is>
      </c>
      <c r="AC12" t="inlineStr"/>
      <c r="AD12" t="n">
        <v>7.857</v>
      </c>
      <c r="AE12" t="inlineStr"/>
      <c r="AF12" t="n">
        <v>7.857</v>
      </c>
      <c r="AG12" t="inlineStr"/>
      <c r="AH12" t="n">
        <v>0.2</v>
      </c>
      <c r="AI12" t="n">
        <v>0.2</v>
      </c>
      <c r="AJ12" t="inlineStr"/>
      <c r="AK12" t="inlineStr"/>
      <c r="AL12" t="n">
        <v>0</v>
      </c>
      <c r="AM12" t="n">
        <v>2.5</v>
      </c>
      <c r="AN12" t="inlineStr">
        <is>
          <t>Fire</t>
        </is>
      </c>
      <c r="AO12" t="n">
        <v>9</v>
      </c>
      <c r="AP12" t="inlineStr"/>
      <c r="AQ12" t="inlineStr"/>
      <c r="AR12" t="inlineStr"/>
      <c r="AS12" t="inlineStr"/>
      <c r="AT12" t="inlineStr">
        <is>
          <t>the_ho_tro</t>
        </is>
      </c>
      <c r="AU12" t="n">
        <v>0</v>
      </c>
      <c r="AV12" t="n">
        <v>150</v>
      </c>
      <c r="AW12" t="n">
        <v>8</v>
      </c>
      <c r="AX12" t="inlineStr"/>
      <c r="AY12" t="n">
        <v>8</v>
      </c>
      <c r="AZ12" t="inlineStr"/>
      <c r="BA12" t="n">
        <v>0</v>
      </c>
      <c r="BB12" t="n">
        <v>8</v>
      </c>
      <c r="BC12" t="inlineStr"/>
      <c r="BD12" t="inlineStr">
        <is>
          <t>START (Point = đầu dải)</t>
        </is>
      </c>
      <c r="BE12" t="inlineStr"/>
      <c r="BF12" t="inlineStr"/>
      <c r="BG12" t="inlineStr">
        <is>
          <t>Bom napalm</t>
        </is>
      </c>
      <c r="BH12" t="inlineStr"/>
      <c r="BI12" t="n">
        <v>2</v>
      </c>
      <c r="BJ12" t="inlineStr"/>
      <c r="BK12" t="n">
        <v>90</v>
      </c>
      <c r="BL12" t="inlineStr"/>
      <c r="BM12" t="n">
        <v>39.286</v>
      </c>
      <c r="BN12" t="inlineStr"/>
      <c r="BO12" t="n">
        <v>39.286</v>
      </c>
      <c r="BP12" t="inlineStr"/>
      <c r="BQ12" t="n">
        <v>1.145</v>
      </c>
      <c r="BR12" t="n">
        <v>1.145</v>
      </c>
      <c r="BS12" t="inlineStr"/>
      <c r="BT12" t="n">
        <v>1</v>
      </c>
      <c r="BU12" t="inlineStr">
        <is>
          <t>Assets/MachineBrigade/Resources/Data/balance.json: supports[4]</t>
        </is>
      </c>
      <c r="BV12" t="inlineStr">
        <is>
          <t>{"id":"napalm_strike","kind":"Airstrike","pen":1,"cp":9,"cooldown":90,"delay":2.0,"radius":5,"count":8,"duration":1.4,"damage":150,"blast":9,"tier":"Huge","length":55,"damageType":"Fire"}</t>
        </is>
      </c>
    </row>
    <row r="13">
      <c r="A13" t="inlineStr">
        <is>
          <t>p26_roc_main_roc_bombs</t>
        </is>
      </c>
      <c r="B13" t="inlineStr">
        <is>
          <t>Huge</t>
        </is>
      </c>
      <c r="C13" t="b">
        <v>0</v>
      </c>
      <c r="D13" t="inlineStr">
        <is>
          <t>BAY</t>
        </is>
      </c>
      <c r="E13" t="inlineStr">
        <is>
          <t>STICK_RECT</t>
        </is>
      </c>
      <c r="F13" t="inlineStr">
        <is>
          <t>TRUE</t>
        </is>
      </c>
      <c r="G13" t="inlineStr">
        <is>
          <t>STICK</t>
        </is>
      </c>
      <c r="H13" t="inlineStr">
        <is>
          <t>STICK (khoang bom boss, dải đặt quanh điểm nhắm theo trục cụm mục tiêu; mỗi quả một điểm riêng)</t>
        </is>
      </c>
      <c r="I13" t="n">
        <v>0.3</v>
      </c>
      <c r="J13" t="inlineStr"/>
      <c r="K13" t="inlineStr"/>
      <c r="L13" t="inlineStr"/>
      <c r="M13" t="inlineStr"/>
      <c r="N13" t="inlineStr"/>
      <c r="O13" t="n">
        <v>0</v>
      </c>
      <c r="P13" t="inlineStr"/>
      <c r="Q13" t="b">
        <v>0</v>
      </c>
      <c r="R13" t="inlineStr">
        <is>
          <t>Bomb</t>
        </is>
      </c>
      <c r="S13" t="b">
        <v>1</v>
      </c>
      <c r="T13" t="b">
        <v>0</v>
      </c>
      <c r="U13" t="n">
        <v>400</v>
      </c>
      <c r="V13" t="n">
        <v>77</v>
      </c>
      <c r="W13" t="inlineStr"/>
      <c r="X13" t="n">
        <v>45</v>
      </c>
      <c r="Y13" t="n">
        <v>3</v>
      </c>
      <c r="Z13" t="inlineStr">
        <is>
          <t>argus;command_airship</t>
        </is>
      </c>
      <c r="AA13" t="inlineStr">
        <is>
          <t>BAY_STICK</t>
        </is>
      </c>
      <c r="AB13" t="inlineStr">
        <is>
          <t>AXIS</t>
        </is>
      </c>
      <c r="AC13" t="n">
        <v>10</v>
      </c>
      <c r="AD13" t="n">
        <v>11</v>
      </c>
      <c r="AE13" t="inlineStr"/>
      <c r="AF13" t="inlineStr"/>
      <c r="AG13" t="n">
        <v>0</v>
      </c>
      <c r="AH13" t="n">
        <v>0.3</v>
      </c>
      <c r="AI13" t="n">
        <v>0.3</v>
      </c>
      <c r="AJ13" t="n">
        <v>0</v>
      </c>
      <c r="AK13" t="n">
        <v>400</v>
      </c>
      <c r="AL13" t="n">
        <v>1.65</v>
      </c>
      <c r="AM13" t="n">
        <v>2.5</v>
      </c>
      <c r="AN13" t="inlineStr">
        <is>
          <t>HighExplosive</t>
        </is>
      </c>
      <c r="AO13" t="n">
        <v>10</v>
      </c>
      <c r="AP13" t="inlineStr">
        <is>
          <t>Ground</t>
        </is>
      </c>
      <c r="AQ13" t="inlineStr"/>
      <c r="AR13" t="n">
        <v>0</v>
      </c>
      <c r="AS13" t="b">
        <v>0</v>
      </c>
      <c r="AT13" t="inlineStr">
        <is>
          <t>vu_khi_don_vi</t>
        </is>
      </c>
      <c r="AU13" t="n">
        <v>20</v>
      </c>
      <c r="AV13" t="n">
        <v>700</v>
      </c>
      <c r="AW13" t="n">
        <v>8</v>
      </c>
      <c r="AX13" t="n">
        <v>3</v>
      </c>
      <c r="AY13" t="n">
        <v>8</v>
      </c>
      <c r="AZ13" t="n">
        <v>0</v>
      </c>
      <c r="BA13" t="n">
        <v>3</v>
      </c>
      <c r="BB13" t="n">
        <v>8</v>
      </c>
      <c r="BC13" t="n">
        <v>0</v>
      </c>
      <c r="BD13" t="inlineStr">
        <is>
          <t>CENTER</t>
        </is>
      </c>
      <c r="BE13" t="n">
        <v>45</v>
      </c>
      <c r="BF13" t="n">
        <v>0</v>
      </c>
      <c r="BG13" t="inlineStr">
        <is>
          <t>bomb-bay stick 400 kg</t>
        </is>
      </c>
      <c r="BH13" t="n">
        <v>0</v>
      </c>
      <c r="BI13" t="n">
        <v>2.722</v>
      </c>
      <c r="BJ13" t="n">
        <v>1.5</v>
      </c>
      <c r="BK13" t="n">
        <v>33.34</v>
      </c>
      <c r="BL13" t="n">
        <v>1.225</v>
      </c>
      <c r="BM13" t="n">
        <v>36.667</v>
      </c>
      <c r="BN13" t="n">
        <v>100</v>
      </c>
      <c r="BO13" t="inlineStr">
        <is>
          <t>4.5;4.5</t>
        </is>
      </c>
      <c r="BP13" t="inlineStr"/>
      <c r="BQ13" t="n">
        <v>0.909</v>
      </c>
      <c r="BR13" t="inlineStr"/>
      <c r="BS13" t="inlineStr">
        <is>
          <t>p26_roc_main_roc_bombs</t>
        </is>
      </c>
      <c r="BT13" t="n">
        <v>4</v>
      </c>
      <c r="BU13" t="inlineStr">
        <is>
          <t>Assets/MachineBrigade/Resources/Data/balance.json: weapons[204]</t>
        </is>
      </c>
      <c r="BV13" t="inlineStr">
        <is>
          <t>{"id":"p26_roc_main_roc_bombs","inherits":"p26_roc_roc_bombs","caliberMm":0,"edge":20,"splash":10,"cooldown":33.34,"damage":700,"stick":{"mode":"STICK","bombs":8,"spacing":11,"length":77,"interval":0.3,"releaseSpeed":36.667,"fallTime":1.225,"lead":0,"heading":"AXIS","anchor":"CENTER","drop":"BAY","jitterAcross":2.5,"jitterAlong":1.65,"overlap":0.909,"width":45,"minTargets":3,"safety":10,"straightTime":0,"exit":0,"bayOpen":1.5,"warnShape":"STICK_RECT"}}</t>
        </is>
      </c>
    </row>
    <row r="14">
      <c r="A14" t="inlineStr">
        <is>
          <t>p26_roc_roc_bombs</t>
        </is>
      </c>
      <c r="B14" t="inlineStr">
        <is>
          <t>Huge</t>
        </is>
      </c>
      <c r="C14" t="b">
        <v>0</v>
      </c>
      <c r="D14" t="inlineStr">
        <is>
          <t>BAY</t>
        </is>
      </c>
      <c r="E14" t="inlineStr">
        <is>
          <t>STICK_RECT</t>
        </is>
      </c>
      <c r="F14" t="inlineStr">
        <is>
          <t>TRUE</t>
        </is>
      </c>
      <c r="G14" t="inlineStr">
        <is>
          <t>STICK</t>
        </is>
      </c>
      <c r="H14" t="inlineStr">
        <is>
          <t>STICK (khoang bom boss, dải đặt quanh điểm nhắm theo trục cụm mục tiêu; mỗi quả một điểm riêng)</t>
        </is>
      </c>
      <c r="I14" t="n">
        <v>0.3</v>
      </c>
      <c r="J14" t="inlineStr"/>
      <c r="K14" t="inlineStr"/>
      <c r="L14" t="inlineStr"/>
      <c r="M14" t="inlineStr"/>
      <c r="N14" t="inlineStr"/>
      <c r="O14" t="n">
        <v>0</v>
      </c>
      <c r="P14" t="inlineStr"/>
      <c r="Q14" t="b">
        <v>0</v>
      </c>
      <c r="R14" t="inlineStr">
        <is>
          <t>Bomb</t>
        </is>
      </c>
      <c r="S14" t="b">
        <v>1</v>
      </c>
      <c r="T14" t="b">
        <v>0</v>
      </c>
      <c r="U14" t="n">
        <v>400</v>
      </c>
      <c r="V14" t="n">
        <v>38.5</v>
      </c>
      <c r="W14" t="inlineStr"/>
      <c r="X14" t="inlineStr"/>
      <c r="Y14" t="n">
        <v>3</v>
      </c>
      <c r="Z14" t="inlineStr"/>
      <c r="AA14" t="inlineStr">
        <is>
          <t>BAY_STICK</t>
        </is>
      </c>
      <c r="AB14" t="inlineStr">
        <is>
          <t>AXIS</t>
        </is>
      </c>
      <c r="AC14" t="inlineStr"/>
      <c r="AD14" t="n">
        <v>5.5</v>
      </c>
      <c r="AE14" t="inlineStr"/>
      <c r="AF14" t="inlineStr"/>
      <c r="AG14" t="n">
        <v>0</v>
      </c>
      <c r="AH14" t="n">
        <v>0.3</v>
      </c>
      <c r="AI14" t="n">
        <v>0.3</v>
      </c>
      <c r="AJ14" t="n">
        <v>0</v>
      </c>
      <c r="AK14" t="n">
        <v>400</v>
      </c>
      <c r="AL14" t="n">
        <v>0.825</v>
      </c>
      <c r="AM14" t="inlineStr"/>
      <c r="AN14" t="inlineStr">
        <is>
          <t>HighExplosive</t>
        </is>
      </c>
      <c r="AO14" t="n">
        <v>10</v>
      </c>
      <c r="AP14" t="inlineStr">
        <is>
          <t>Ground</t>
        </is>
      </c>
      <c r="AQ14" t="inlineStr"/>
      <c r="AR14" t="n">
        <v>0</v>
      </c>
      <c r="AS14" t="b">
        <v>0</v>
      </c>
      <c r="AT14" t="inlineStr">
        <is>
          <t>vu_khi_don_vi</t>
        </is>
      </c>
      <c r="AU14" t="n">
        <v>20</v>
      </c>
      <c r="AV14" t="n">
        <v>400</v>
      </c>
      <c r="AW14" t="n">
        <v>8</v>
      </c>
      <c r="AX14" t="n">
        <v>3</v>
      </c>
      <c r="AY14" t="n">
        <v>8</v>
      </c>
      <c r="AZ14" t="n">
        <v>0</v>
      </c>
      <c r="BA14" t="n">
        <v>3</v>
      </c>
      <c r="BB14" t="n">
        <v>8</v>
      </c>
      <c r="BC14" t="n">
        <v>0</v>
      </c>
      <c r="BD14" t="inlineStr">
        <is>
          <t>CENTER</t>
        </is>
      </c>
      <c r="BE14" t="n">
        <v>45</v>
      </c>
      <c r="BF14" t="n">
        <v>0</v>
      </c>
      <c r="BG14" t="inlineStr">
        <is>
          <t>bomb-bay stick 400 kg</t>
        </is>
      </c>
      <c r="BH14" t="n">
        <v>0</v>
      </c>
      <c r="BI14" t="n">
        <v>2.722</v>
      </c>
      <c r="BJ14" t="n">
        <v>1</v>
      </c>
      <c r="BK14" t="n">
        <v>2.9</v>
      </c>
      <c r="BL14" t="n">
        <v>1.225</v>
      </c>
      <c r="BM14" t="n">
        <v>18.333</v>
      </c>
      <c r="BN14" t="n">
        <v>100</v>
      </c>
      <c r="BO14" t="inlineStr"/>
      <c r="BP14" t="inlineStr"/>
      <c r="BQ14" t="inlineStr"/>
      <c r="BR14" t="inlineStr"/>
      <c r="BS14" t="inlineStr">
        <is>
          <t>p26_roc_roc_bombs</t>
        </is>
      </c>
      <c r="BT14" t="n">
        <v>4</v>
      </c>
      <c r="BU14" t="inlineStr">
        <is>
          <t>Assets/MachineBrigade/Resources/Data/balance.json: weapons[201]</t>
        </is>
      </c>
      <c r="BV14" t="inlineStr">
        <is>
          <t>{"id":"p26_roc_roc_bombs","inherits":"boss_howitzer","weaponFamilyId":"bomb_400","weaponFamily":"","real":"bomb-bay stick 400 kg","size":400,"caliberMm":0,"warheadKg":400,"family":"bomb","damage":400,"burst":8,"burstInterval":0.3,"cooldown":2.9,"splash":10,"edge":20,"range":45,"minRange":0,"topAttack":true,"projectile":"Bomb","stick":{"mode":"STICK","bombs":8,"spacing":5.5,"length":38.5,"interval":0.3,"releaseSpeed":18.333,"fallTime":1.225,"lead":0,"heading":"AXIS","anchor":"CENTER","drop":"BAY","jitterAlong":0.825,"minTargets":3,"straightTime":0,"exit":0,"bayOpen":1.0,"warnShape":"STICK_RECT"}}</t>
        </is>
      </c>
    </row>
    <row r="15">
      <c r="A15" t="inlineStr">
        <is>
          <t>stealth_payload</t>
        </is>
      </c>
      <c r="B15" t="inlineStr">
        <is>
          <t>Ultimate</t>
        </is>
      </c>
      <c r="C15" t="b">
        <v>0</v>
      </c>
      <c r="D15" t="inlineStr">
        <is>
          <t>OVERFLY</t>
        </is>
      </c>
      <c r="E15" t="inlineStr">
        <is>
          <t>NONE</t>
        </is>
      </c>
      <c r="F15" t="inlineStr">
        <is>
          <t>FALSE</t>
        </is>
      </c>
      <c r="G15" t="inlineStr">
        <is>
          <t>POINT</t>
        </is>
      </c>
      <c r="H15" t="inlineStr">
        <is>
          <t>POINT (mọi quả nhắm vào mục tiêu)</t>
        </is>
      </c>
      <c r="I15" t="n">
        <v>0.3</v>
      </c>
      <c r="J15" t="inlineStr"/>
      <c r="K15" t="inlineStr"/>
      <c r="L15" t="inlineStr"/>
      <c r="M15" t="inlineStr"/>
      <c r="N15" t="inlineStr"/>
      <c r="O15" t="inlineStr"/>
      <c r="P15" t="inlineStr"/>
      <c r="Q15" t="b">
        <v>1</v>
      </c>
      <c r="R15" t="inlineStr">
        <is>
          <t>Bomb</t>
        </is>
      </c>
      <c r="S15" t="b">
        <v>0</v>
      </c>
      <c r="T15" t="b">
        <v>0</v>
      </c>
      <c r="U15" t="n">
        <v>907</v>
      </c>
      <c r="V15" t="n">
        <v>0</v>
      </c>
      <c r="W15" t="inlineStr"/>
      <c r="X15" t="n">
        <v>26</v>
      </c>
      <c r="Y15" t="n">
        <v>2</v>
      </c>
      <c r="Z15" t="inlineStr">
        <is>
          <t>stealth_bomber</t>
        </is>
      </c>
      <c r="AA15" t="inlineStr">
        <is>
          <t>GUIDED</t>
        </is>
      </c>
      <c r="AB15" t="inlineStr">
        <is>
          <t>APPROACH</t>
        </is>
      </c>
      <c r="AC15" t="n">
        <v>13</v>
      </c>
      <c r="AD15" t="n">
        <v>0</v>
      </c>
      <c r="AE15" t="inlineStr"/>
      <c r="AF15" t="inlineStr"/>
      <c r="AG15" t="n">
        <v>0</v>
      </c>
      <c r="AH15" t="n">
        <v>0.3</v>
      </c>
      <c r="AI15" t="n">
        <v>0.3</v>
      </c>
      <c r="AJ15" t="n">
        <v>0</v>
      </c>
      <c r="AK15" t="n">
        <v>907</v>
      </c>
      <c r="AL15" t="n">
        <v>0</v>
      </c>
      <c r="AM15" t="n">
        <v>0</v>
      </c>
      <c r="AN15" t="inlineStr">
        <is>
          <t>HighExplosive</t>
        </is>
      </c>
      <c r="AO15" t="n">
        <v>13</v>
      </c>
      <c r="AP15" t="inlineStr">
        <is>
          <t>Ground</t>
        </is>
      </c>
      <c r="AQ15" t="inlineStr"/>
      <c r="AR15" t="n">
        <v>0</v>
      </c>
      <c r="AS15" t="b">
        <v>0</v>
      </c>
      <c r="AT15" t="inlineStr">
        <is>
          <t>vu_khi_don_vi</t>
        </is>
      </c>
      <c r="AU15" t="n">
        <v>0</v>
      </c>
      <c r="AV15" t="n">
        <v>892</v>
      </c>
      <c r="AW15" t="n">
        <v>2</v>
      </c>
      <c r="AX15" t="inlineStr"/>
      <c r="AY15" t="n">
        <v>2</v>
      </c>
      <c r="AZ15" t="n">
        <v>0</v>
      </c>
      <c r="BA15" t="n">
        <v>0</v>
      </c>
      <c r="BB15" t="n">
        <v>2</v>
      </c>
      <c r="BC15" t="n">
        <v>2</v>
      </c>
      <c r="BD15" t="inlineStr">
        <is>
          <t>CENTER</t>
        </is>
      </c>
      <c r="BE15" t="n">
        <v>30</v>
      </c>
      <c r="BF15" t="n">
        <v>0</v>
      </c>
      <c r="BG15" t="inlineStr">
        <is>
          <t>GBU-31 JDAM (907 kg)</t>
        </is>
      </c>
      <c r="BH15" t="n">
        <v>0</v>
      </c>
      <c r="BI15" t="n">
        <v>0</v>
      </c>
      <c r="BJ15" t="n">
        <v>1.5</v>
      </c>
      <c r="BK15" t="n">
        <v>14</v>
      </c>
      <c r="BL15" t="n">
        <v>0</v>
      </c>
      <c r="BM15" t="n">
        <v>0</v>
      </c>
      <c r="BN15" t="n">
        <v>40</v>
      </c>
      <c r="BO15" t="inlineStr">
        <is>
          <t>28</t>
        </is>
      </c>
      <c r="BP15" t="inlineStr"/>
      <c r="BQ15" t="n">
        <v>0</v>
      </c>
      <c r="BR15" t="inlineStr"/>
      <c r="BS15" t="inlineStr">
        <is>
          <t>stealth_payload</t>
        </is>
      </c>
      <c r="BT15" t="n">
        <v>4</v>
      </c>
      <c r="BU15" t="inlineStr">
        <is>
          <t>Assets/MachineBrigade/Resources/Data/balance.json: weapons[50]</t>
        </is>
      </c>
      <c r="BV15" t="inlineStr">
        <is>
          <t>{"id":"stealth_payload","weaponFamilyId":"bomb_gbu_31_jdam","load":2,"real":"GBU-31 JDAM (907 kg)","family":"bomb","size":907,"warheadKg":907,"pen":4,"form":"HeavyBomb","guided":true,"projectileModel":"jdam","projectileScale":0.7185,"roundLength":1.94,"damageType":"HighExplosive","damage":892,"cooldown":14,"range":30,"projectileSpeed":40,"splash":13,"spread":2,"impactTier":"Ultimate","projectile":"Bomb","burst":2,"burstInterval":0.3,"stick":{"mode":"POINT","bombs":2,"spacing":0,"length":0,"interval":0.3,"releaseSpeed":0,"fallTime":0,"lead":0,"heading":"APPROACH","anchor":"CENTER","drop":"OVERFLY","jitterAcross":0,"jitterAlong":0,"overlap":0,"width":26,"minTargets":0,"safety":13,"straightTime":0,"exit":0,"bayOpen":1.5,"warnShape":"NONE"}}</t>
        </is>
      </c>
    </row>
  </sheetData>
  <autoFilter ref="A1:BV15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60" customWidth="1" min="4" max="4"/>
    <col width="60" customWidth="1" min="5" max="5"/>
    <col width="60" customWidth="1" min="6" max="6"/>
    <col width="14" customWidth="1" min="7" max="7"/>
    <col width="14" customWidth="1" min="8" max="8"/>
    <col width="26" customWidth="1" min="9" max="9"/>
    <col width="17" customWidth="1" min="10" max="10"/>
    <col width="14" customWidth="1" min="11" max="11"/>
    <col width="14" customWidth="1" min="12" max="12"/>
    <col width="17" customWidth="1" min="13" max="13"/>
    <col width="25" customWidth="1" min="14" max="14"/>
    <col width="12" customWidth="1" min="15" max="15"/>
    <col width="23" customWidth="1" min="16" max="16"/>
    <col width="17" customWidth="1" min="17" max="17"/>
    <col width="60" customWidth="1" min="18" max="18"/>
    <col width="60" customWidth="1" min="19" max="19"/>
  </cols>
  <sheetData>
    <row r="1">
      <c r="A1" s="1" t="inlineStr">
        <is>
          <t>id</t>
        </is>
      </c>
      <c r="B1" s="1" t="inlineStr">
        <is>
          <t>ban_kinh_quay_m</t>
        </is>
      </c>
      <c r="C1" s="1" t="inlineStr">
        <is>
          <t>bang_dan_qua</t>
        </is>
      </c>
      <c r="D1" s="1" t="inlineStr">
        <is>
          <t>cach_chon_muc_tieu</t>
        </is>
      </c>
      <c r="E1" s="1" t="inlineStr">
        <is>
          <t>cach_nap</t>
        </is>
      </c>
      <c r="F1" s="1" t="inlineStr">
        <is>
          <t>cach_vong_cho</t>
        </is>
      </c>
      <c r="G1" s="1" t="inlineStr">
        <is>
          <t>canh_co_dinh</t>
        </is>
      </c>
      <c r="H1" s="1" t="inlineStr">
        <is>
          <t>do_cao_tha_m</t>
        </is>
      </c>
      <c r="I1" s="1" t="inlineStr">
        <is>
          <t>khoang_dan_dau_m_theo_ma</t>
        </is>
      </c>
      <c r="J1" s="1" t="inlineStr">
        <is>
          <t>loai</t>
        </is>
      </c>
      <c r="K1" s="1" t="inlineStr">
        <is>
          <t>lop</t>
        </is>
      </c>
      <c r="L1" s="1" t="inlineStr">
        <is>
          <t>nap_lai_s</t>
        </is>
      </c>
      <c r="M1" s="1" t="inlineStr">
        <is>
          <t>so_bom_moi_luot</t>
        </is>
      </c>
      <c r="N1" s="1" t="inlineStr">
        <is>
          <t>thoi_gian_roi_s_theo_ma</t>
        </is>
      </c>
      <c r="O1" s="1" t="inlineStr">
        <is>
          <t>toc_do_m_s</t>
        </is>
      </c>
      <c r="P1" s="1" t="inlineStr">
        <is>
          <t>vu_khi_bom</t>
        </is>
      </c>
      <c r="Q1" s="1" t="inlineStr">
        <is>
          <t>xoay_than_deg_s</t>
        </is>
      </c>
      <c r="R1" s="1" t="inlineStr">
        <is>
          <t>nguon</t>
        </is>
      </c>
      <c r="S1" s="1" t="inlineStr">
        <is>
          <t>raw_json</t>
        </is>
      </c>
    </row>
    <row r="2">
      <c r="A2" t="inlineStr">
        <is>
          <t>air_raid</t>
        </is>
      </c>
      <c r="B2" t="inlineStr"/>
      <c r="C2" t="inlineStr"/>
      <c r="D2" t="inlineStr">
        <is>
          <t>điểm người chơi chọn (Point) và hướng kéo (Point2) (StrikeSystem.cs:150-167)</t>
        </is>
      </c>
      <c r="E2" t="inlineStr">
        <is>
          <t>thẻ: hồi chiêu (cooldown) sau mỗi lần gọi</t>
        </is>
      </c>
      <c r="F2" t="inlineStr">
        <is>
          <t>một lần bay qua, không vòng lại</t>
        </is>
      </c>
      <c r="G2" t="inlineStr">
        <is>
          <t>TRUE</t>
        </is>
      </c>
      <c r="H2" t="n">
        <v>32</v>
      </c>
      <c r="I2" t="inlineStr"/>
      <c r="J2" t="inlineStr">
        <is>
          <t>the_ho_tro</t>
        </is>
      </c>
      <c r="K2" t="inlineStr">
        <is>
          <t>Airstrike</t>
        </is>
      </c>
      <c r="L2" t="n">
        <v>0</v>
      </c>
      <c r="M2" t="n">
        <v>10</v>
      </c>
      <c r="N2" t="inlineStr"/>
      <c r="O2" t="n">
        <v>29.167</v>
      </c>
      <c r="P2" t="inlineStr">
        <is>
          <t>air_raid</t>
        </is>
      </c>
      <c r="Q2" t="inlineStr"/>
      <c r="R2" t="inlineStr">
        <is>
          <t>Assets/MachineBrigade/Resources/Data/balance.json: supports[12]</t>
        </is>
      </c>
      <c r="S2" t="inlineStr">
        <is>
          <t>{"id":"air_raid","kind":"Airstrike","pen":3,"event":true,"cooldown":0,"delay":4.0,"radius":6,"count":10,"duration":2.4,"damage":200,"blast":8,"tier":"Huge","length":70}</t>
        </is>
      </c>
    </row>
    <row r="3">
      <c r="A3" t="inlineStr">
        <is>
          <t>airstrike</t>
        </is>
      </c>
      <c r="B3" t="inlineStr"/>
      <c r="C3" t="inlineStr"/>
      <c r="D3" t="inlineStr">
        <is>
          <t>điểm người chơi chọn (Point) và hướng kéo (Point2) (StrikeSystem.cs:150-167)</t>
        </is>
      </c>
      <c r="E3" t="inlineStr">
        <is>
          <t>thẻ: hồi chiêu (cooldown) sau mỗi lần gọi</t>
        </is>
      </c>
      <c r="F3" t="inlineStr">
        <is>
          <t>một lần bay qua, không vòng lại</t>
        </is>
      </c>
      <c r="G3" t="inlineStr">
        <is>
          <t>TRUE</t>
        </is>
      </c>
      <c r="H3" t="n">
        <v>32</v>
      </c>
      <c r="I3" t="inlineStr"/>
      <c r="J3" t="inlineStr">
        <is>
          <t>the_ho_tro</t>
        </is>
      </c>
      <c r="K3" t="inlineStr">
        <is>
          <t>Airstrike</t>
        </is>
      </c>
      <c r="L3" t="n">
        <v>90</v>
      </c>
      <c r="M3" t="n">
        <v>4</v>
      </c>
      <c r="N3" t="inlineStr"/>
      <c r="O3" t="n">
        <v>50</v>
      </c>
      <c r="P3" t="inlineStr">
        <is>
          <t>airstrike</t>
        </is>
      </c>
      <c r="Q3" t="inlineStr"/>
      <c r="R3" t="inlineStr">
        <is>
          <t>Assets/MachineBrigade/Resources/Data/balance.json: supports[1]</t>
        </is>
      </c>
      <c r="S3" t="inlineStr">
        <is>
          <t>{"id":"airstrike","kind":"Airstrike","pen":3,"cp":9,"cooldown":90,"delay":2.0,"radius":6,"count":4,"duration":1.2,"damage":210,"blast":10,"tier":"Huge","length":60,"rankLine":{"rank":7,"scale":1.4}}</t>
        </is>
      </c>
    </row>
    <row r="4">
      <c r="A4" t="inlineStr">
        <is>
          <t>argus</t>
        </is>
      </c>
      <c r="B4" t="n">
        <v>32.229</v>
      </c>
      <c r="C4" t="inlineStr">
        <is>
          <t>∞</t>
        </is>
      </c>
      <c r="D4" t="inlineStr">
        <is>
          <t>kẻ địch gần nhất trong tầm (MovementSystem.cs:404-405)</t>
        </is>
      </c>
      <c r="E4" t="inlineStr">
        <is>
          <t>theo thời gian nạp của vũ khí (cooldown)</t>
        </is>
      </c>
      <c r="F4" t="inlineStr">
        <is>
          <t>boss / trực thăng: đi theo đường của nó, bắn khi trong tầm</t>
        </is>
      </c>
      <c r="G4" t="inlineStr">
        <is>
          <t>FALSE</t>
        </is>
      </c>
      <c r="H4" t="n">
        <v>30</v>
      </c>
      <c r="I4" t="n">
        <v>5.511</v>
      </c>
      <c r="J4" t="inlineStr">
        <is>
          <t>boss</t>
        </is>
      </c>
      <c r="K4" t="inlineStr"/>
      <c r="L4" t="inlineStr">
        <is>
          <t>KHONG_AP_DUNG</t>
        </is>
      </c>
      <c r="M4" t="inlineStr">
        <is>
          <t>8</t>
        </is>
      </c>
      <c r="N4" t="n">
        <v>1.225</v>
      </c>
      <c r="O4" t="n">
        <v>4.5</v>
      </c>
      <c r="P4" t="inlineStr">
        <is>
          <t>p26_roc_main_roc_bombs</t>
        </is>
      </c>
      <c r="Q4" t="n">
        <v>8</v>
      </c>
      <c r="R4" t="inlineStr">
        <is>
          <t>Assets/MachineBrigade/Resources/Data/balance.json: vehicles[169]</t>
        </is>
      </c>
      <c r="S4" t="inlineStr">
        <is>
          <t>{"id":"argus","paint":"#5d6a75","paintFinish":[0.35,0.45],"wake":null,"variantOf":"command_airship","general":"quaden","radioSpawn":"radio.quaden.argus","hp":94850,"weaponDamage":1.44,"partLock":null,"spotAura":0.5,"skills":[],"variant":{"size":0.4375,"keep":["radar","engine_fl","engine_fr"],"tint":[0.92,0.9,0.8],"mark":"argus","tune":{"radar":{"hp":0.14,"stops":["spotaura"],"radio":"radio.part.radar","breakDamage":0.3},"engine_fl":{"hp":0.1,"breakDamage":0.3},"engine_fr":{"hp":0.1,"breakDamage":0.3}}}}</t>
        </is>
      </c>
    </row>
    <row r="5">
      <c r="A5" t="inlineStr">
        <is>
          <t>attack_jet</t>
        </is>
      </c>
      <c r="B5" t="n">
        <v>17.629</v>
      </c>
      <c r="C5" t="inlineStr">
        <is>
          <t>∞</t>
        </is>
      </c>
      <c r="D5" t="inlineStr">
        <is>
          <t>kẻ địch gần nhất trong tầm (MovementSystem.cs:404-405)</t>
        </is>
      </c>
      <c r="E5" t="inlineStr">
        <is>
          <t>theo thời gian nạp của vũ khí (cooldown)</t>
        </is>
      </c>
      <c r="F5" t="inlineStr">
        <is>
          <t>bay thẳng vào mục tiêu; qua mục tiêu thì kéo thẳng toàn lực (RunExtending), xa quá max(0,85×tầm, 2,2×bán kính quay) thì quay lại (MovementSystem.cs:932-941)</t>
        </is>
      </c>
      <c r="G5" t="inlineStr">
        <is>
          <t>TRUE</t>
        </is>
      </c>
      <c r="H5" t="n">
        <v>30</v>
      </c>
      <c r="I5" t="n">
        <v>39.192</v>
      </c>
      <c r="J5" t="inlineStr">
        <is>
          <t>xe</t>
        </is>
      </c>
      <c r="K5" t="inlineStr"/>
      <c r="L5" t="n">
        <v>14</v>
      </c>
      <c r="M5" t="inlineStr">
        <is>
          <t>2</t>
        </is>
      </c>
      <c r="N5" t="n">
        <v>1.225</v>
      </c>
      <c r="O5" t="n">
        <v>32</v>
      </c>
      <c r="P5" t="inlineStr">
        <is>
          <t>jet_bombs</t>
        </is>
      </c>
      <c r="Q5" t="n">
        <v>104</v>
      </c>
      <c r="R5" t="inlineStr">
        <is>
          <t>Assets/MachineBrigade/Resources/Data/balance.json: vehicles[15]</t>
        </is>
      </c>
      <c r="S5" t="inlineStr">
        <is>
          <t>{"id":"attack_jet","flareCharges":2,"dropDelay":5,"outgoingDamageMult":1.4694,"loads":{"jet_bombs":1},"value":1.11,"altModels":["tank_buster"],"rearmTime":14,"strongVs":["Light","Tank","Heavy","Artillery","Defense"],"scale":1,"modelSize":[6.15,6.04,1.84],"armour":2,"hp":650,"speed":32,"turnRate":104,"turretTurnRate":360,"radius":3.2,"cp":23,"vision":50,"firesWhileMoving":true,"weapon":"jet_cannon","mainSlot":"gun","flying":true,"fixedWing":true,"altitude":30,"captureRate":0,"attackHold":3.8,"secondary":[{"weapon":"s8_pods","slot":"rocket","aim":"Hull"},{"weapon":"jet_bombs","slot":"missile","aim":"Hull"},{"weapon":"kh29","slot":"missile","aim":"Hull"},{"weapon":"r60","slot":"aam","aim":"Free"}],"skills":["jet_flares"],"deathExplosion":{"damage":95,"radius":7,"delay":0.6,"tier":"Huge"}}</t>
        </is>
      </c>
    </row>
    <row r="6">
      <c r="A6" t="inlineStr">
        <is>
          <t>cluster_strike</t>
        </is>
      </c>
      <c r="B6" t="inlineStr"/>
      <c r="C6" t="inlineStr"/>
      <c r="D6" t="inlineStr">
        <is>
          <t>điểm người chơi chọn (Point) và hướng kéo (Point2) (StrikeSystem.cs:150-167)</t>
        </is>
      </c>
      <c r="E6" t="inlineStr">
        <is>
          <t>thẻ: hồi chiêu (cooldown) sau mỗi lần gọi</t>
        </is>
      </c>
      <c r="F6" t="inlineStr">
        <is>
          <t>một lần bay qua, không vòng lại</t>
        </is>
      </c>
      <c r="G6" t="inlineStr">
        <is>
          <t>TRUE</t>
        </is>
      </c>
      <c r="H6" t="n">
        <v>32</v>
      </c>
      <c r="I6" t="inlineStr"/>
      <c r="J6" t="inlineStr">
        <is>
          <t>the_ho_tro</t>
        </is>
      </c>
      <c r="K6" t="inlineStr">
        <is>
          <t>Airstrike</t>
        </is>
      </c>
      <c r="L6" t="n">
        <v>15</v>
      </c>
      <c r="M6" t="n">
        <v>30</v>
      </c>
      <c r="N6" t="inlineStr"/>
      <c r="O6" t="n">
        <v>27.273</v>
      </c>
      <c r="P6" t="inlineStr">
        <is>
          <t>cluster_strike</t>
        </is>
      </c>
      <c r="Q6" t="inlineStr"/>
      <c r="R6" t="inlineStr">
        <is>
          <t>Assets/MachineBrigade/Resources/Data/balance.json: supports[16]</t>
        </is>
      </c>
      <c r="S6" t="inlineStr">
        <is>
          <t>{"id":"cluster_strike","kind":"Airstrike","pen":2,"consumable":true,"cooldown":15,"delay":2.5,"radius":10,"count":30,"duration":2.2,"damage":90,"blast":5.5,"tier":"Large","length":60}</t>
        </is>
      </c>
    </row>
    <row r="7">
      <c r="A7" t="inlineStr">
        <is>
          <t>command_airship</t>
        </is>
      </c>
      <c r="B7" t="n">
        <v>32.229</v>
      </c>
      <c r="C7" t="inlineStr">
        <is>
          <t>∞</t>
        </is>
      </c>
      <c r="D7" t="inlineStr">
        <is>
          <t>kẻ địch gần nhất trong tầm (MovementSystem.cs:404-405)</t>
        </is>
      </c>
      <c r="E7" t="inlineStr">
        <is>
          <t>theo thời gian nạp của vũ khí (cooldown)</t>
        </is>
      </c>
      <c r="F7" t="inlineStr">
        <is>
          <t>boss / trực thăng: đi theo đường của nó, bắn khi trong tầm</t>
        </is>
      </c>
      <c r="G7" t="inlineStr">
        <is>
          <t>FALSE</t>
        </is>
      </c>
      <c r="H7" t="n">
        <v>30</v>
      </c>
      <c r="I7" t="n">
        <v>5.511</v>
      </c>
      <c r="J7" t="inlineStr">
        <is>
          <t>boss</t>
        </is>
      </c>
      <c r="K7" t="inlineStr"/>
      <c r="L7" t="inlineStr">
        <is>
          <t>KHONG_AP_DUNG</t>
        </is>
      </c>
      <c r="M7" t="inlineStr">
        <is>
          <t>8</t>
        </is>
      </c>
      <c r="N7" t="n">
        <v>1.225</v>
      </c>
      <c r="O7" t="n">
        <v>4.5</v>
      </c>
      <c r="P7" t="inlineStr">
        <is>
          <t>p26_roc_main_roc_bombs</t>
        </is>
      </c>
      <c r="Q7" t="n">
        <v>8</v>
      </c>
      <c r="R7" t="inlineStr">
        <is>
          <t>Assets/MachineBrigade/Resources/Data/balance.json: vehicles[151]</t>
        </is>
      </c>
      <c r="S7" t="inlineStr">
        <is>
          <t>{"id":"command_airship","paint":"#8e9599","paintFinish":[0.3,0.5],"outgoingDamageMult":1.7892,"wake":{"phase":1,"mounts":[6,7]},"mountWeapons":{"0":"p26_roc_main_roc_bombs","1":"p26_roc_main_roc_bombs","2":"p26_roc_direct_roc_atgm","3":"p26_roc_direct_roc_atgm","4":"p26_roc_close_twin_30_bmpt","5":"p26_roc_close_twin_30_bmpt","6":"p26_roc_roc105","7":"p26_roc_roc105"},"frame":"aircraft","rank":"main","size":1.7564,"boss":true,"bigAttack":"airship_carpet","general":"quaden","radioSpawn":"radio.quaden.airship","armour":2,"hp":205875,"weaponDamage":1,"speed":4.5,"turnRate":8,"holdsToFire":true,"turretTurnRate":90,"radius":18,"scale":1.0,"cp":0,"vision":80,"flying":true,"altitude":30,"captureRate":0,"firesWhileMoving":true,"weapon":"airship_flak","mainSlot":"gun","mainAim":"Free","secondary":[{"weapon":"airship_flak","slot":"gun","aim":"Free"},{"weapon":"airship_drones","slot":"door_l","aim":"Free"},{"weapon":"airship_drones","slot":"door_r","aim":"Free"},{"weapon":"twin_30_bmpt","slot":"gun","aim":"Free"},{"weapon":"twin_30_bmpt","slot":"gun","aim":"Free"}],"skills":["airship_launch_l","airship_launch_r"],"parts":[{"id":"engine_fl","breakDamage":0,"kind":"engine","hp":0.07,"armour":2,"node":"Part_engine","wreck":"wreck_engine","at":[-14.3,9,1],"radius":3.6,"speed":0.85},{"id":"engine_fr","breakDamage":0,"kind":"engine","hp":0.07,"armour":2,"node":"Part_engine.001","wreck":"wreck_engine","at":[14.3,9,1],"radius":3.6,"speed":0.85},{"id":"engine_rl","breakDamage":0,"kind":"engine","hp":0.07,"armour":2,"node":"Part_engine.002","wreck":"wreck_engine","at":[-14.3,-8,1],"radius":3.6,"speed":0.85},{"id":"engine_rr","breakDamage":0,"kind":"engine","hp":0.07,"armour":2,"node":"Part_engine.003","wreck":"wreck_engine","at":[14.3,-8,1],"radius":3.6,"speed":0.85},{"id":"hangar_l","breakDamage":0,"radio":"radio.part.bay","kind":"hangar","hp":0.07,"armour":2,"node":"Part_hangar","wreck":"wreck_launcher","at":[-1.3,-3,-2.2],"radius":3.2,"mounts":[2],"skills":["airship_launch_l"]},{"id":"hangar_r","breakDamage":0,"radio":"radio.part.bay","kind":"hangar","hp":0.07,"armour":2,"node":"Part_hangar.001","wreck":"wreck_launcher","at":[1.3,-3,-2.2],"radius":3.2,"mounts":[3],"skills":["airship_launch_r"]},{"id":"radar","breakDamage":0,"kind":"radar","hp":0.07,"armour":1,"node":"Part_radar","wreck":"wreck_stump","at":[0,3.2,6.7],"radius":2.6,"spread":3,"fail":0.5,"affects":[0,1]},{"id":"bomb_bay","mounts":[4,5],"breakDamage":0,"kind":"bombbay","hp":0.07,"armour":2,"wreck":"wreck_stump","at":[0,8.5,-3.0],"radius":3.2,"radio":"radio.part.bombbay"},{"use":"pod_105","id":"pod_105_l","breakDamage":0,"node":"Mount_gun.002","at":[-7.5,0,-3.0]},{"use":"pod_105","id":"pod_105_r","breakDamage":0,"node":"Mount_gun.003","at":[7.5,0,-3.0]}],"partLock":{"kind":"engine","count":2},"phases":[{"at":0.6,"transform":2.5,"damage":1.1,"radio":"radio.quaden.airship.phase2"},{"at":0.25,"transform":3,"damage":1.25,"radio":"radio.quaden.airship.half","fireRate":1.25}],"deathExplosion":{"damage":400,"radius":18,"delay":2.6,"tier":"Ultimate"}}</t>
        </is>
      </c>
    </row>
    <row r="8">
      <c r="A8" t="inlineStr">
        <is>
          <t>command_airship|airship_carpet</t>
        </is>
      </c>
      <c r="B8" t="inlineStr"/>
      <c r="C8" t="inlineStr"/>
      <c r="D8" t="inlineStr">
        <is>
          <t>aim group, target light, reach 60 m (BossSystem.BigAttacks.cs)</t>
        </is>
      </c>
      <c r="E8" t="inlineStr">
        <is>
          <t>siêu vũ khí theo chu kỳ (cooldown); phá bộ phận mang thì mất / giảm</t>
        </is>
      </c>
      <c r="F8" t="inlineStr">
        <is>
          <t>boss giữ đường đi</t>
        </is>
      </c>
      <c r="G8" t="inlineStr"/>
      <c r="H8" t="n">
        <v>30</v>
      </c>
      <c r="I8" t="inlineStr"/>
      <c r="J8" t="inlineStr">
        <is>
          <t>boss_sieu_vu_khi</t>
        </is>
      </c>
      <c r="K8" t="inlineStr">
        <is>
          <t>strip</t>
        </is>
      </c>
      <c r="L8" t="n">
        <v>50</v>
      </c>
      <c r="M8" t="n">
        <v>16</v>
      </c>
      <c r="N8" t="inlineStr"/>
      <c r="O8" t="n">
        <v>4.5</v>
      </c>
      <c r="P8" t="inlineStr">
        <is>
          <t>airship_carpet</t>
        </is>
      </c>
      <c r="Q8" t="n">
        <v>8</v>
      </c>
      <c r="R8" t="inlineStr">
        <is>
          <t>Assets/MachineBrigade/Resources/Data/balance.json: bigAttacks[7]</t>
        </is>
      </c>
      <c r="S8" t="inlineStr">
        <is>
          <t>{"id":"airship_carpet","icon":"bomb","warn":4,"cooldown":50,"aim":"group","reach":60,"target":"light","strikes":[{"shape":"strip","parts":["bomb_bay"],"count":16,"damage":400,"type":"HighExplosive","pen":1,"radius":7,"length":80,"width":12,"axis":"heading","duration":3}]}</t>
        </is>
      </c>
    </row>
    <row r="9">
      <c r="A9" t="inlineStr">
        <is>
          <t>drone_mothership|carrier_heavy_bomb</t>
        </is>
      </c>
      <c r="B9" t="inlineStr"/>
      <c r="C9" t="inlineStr"/>
      <c r="D9" t="inlineStr">
        <is>
          <t>aim group, target defences, reach 40 m (BossSystem.BigAttacks.cs)</t>
        </is>
      </c>
      <c r="E9" t="inlineStr">
        <is>
          <t>siêu vũ khí theo chu kỳ (cooldown); phá bộ phận mang thì mất / giảm</t>
        </is>
      </c>
      <c r="F9" t="inlineStr">
        <is>
          <t>boss dừng khi cảnh báo nếu halt</t>
        </is>
      </c>
      <c r="G9" t="inlineStr"/>
      <c r="H9" t="n">
        <v>26</v>
      </c>
      <c r="I9" t="inlineStr"/>
      <c r="J9" t="inlineStr">
        <is>
          <t>boss_sieu_vu_khi</t>
        </is>
      </c>
      <c r="K9" t="inlineStr">
        <is>
          <t>missile</t>
        </is>
      </c>
      <c r="L9" t="n">
        <v>45</v>
      </c>
      <c r="M9" t="n">
        <v>1</v>
      </c>
      <c r="N9" t="inlineStr"/>
      <c r="O9" t="n">
        <v>3.5</v>
      </c>
      <c r="P9" t="inlineStr">
        <is>
          <t>carrier_heavy_bomb</t>
        </is>
      </c>
      <c r="Q9" t="n">
        <v>20</v>
      </c>
      <c r="R9" t="inlineStr">
        <is>
          <t>Assets/MachineBrigade/Resources/Data/balance.json: bigAttacks[6]</t>
        </is>
      </c>
      <c r="S9" t="inlineStr">
        <is>
          <t>{"id":"carrier_heavy_bomb","icon":"bomb","warn":3.5,"cooldown":45,"aim":"group","reach":40,"target":"defences","exposed":1.3,"halt":true,"strikes":[{"shape":"missile","parts":["bomb_bay"],"count":1,"damage":1600,"type":"HighExplosive","pen":3,"structure":2,"radius":16,"weapon":"bomber_payload","hp":250,"flight":3,"targets":1}]}</t>
        </is>
      </c>
    </row>
    <row r="10">
      <c r="A10" t="inlineStr">
        <is>
          <t>elite_attack_jet</t>
        </is>
      </c>
      <c r="B10" t="n">
        <v>17.629</v>
      </c>
      <c r="C10" t="inlineStr">
        <is>
          <t>∞</t>
        </is>
      </c>
      <c r="D10" t="inlineStr">
        <is>
          <t>kẻ địch gần nhất trong tầm (MovementSystem.cs:404-405)</t>
        </is>
      </c>
      <c r="E10" t="inlineStr">
        <is>
          <t>theo thời gian nạp của vũ khí (cooldown)</t>
        </is>
      </c>
      <c r="F10" t="inlineStr">
        <is>
          <t>boss / trực thăng: đi theo đường của nó, bắn khi trong tầm</t>
        </is>
      </c>
      <c r="G10" t="inlineStr">
        <is>
          <t>FALSE</t>
        </is>
      </c>
      <c r="H10" t="n">
        <v>30</v>
      </c>
      <c r="I10" t="n">
        <v>39.192</v>
      </c>
      <c r="J10" t="inlineStr">
        <is>
          <t>xe</t>
        </is>
      </c>
      <c r="K10" t="inlineStr"/>
      <c r="L10" t="n">
        <v>14</v>
      </c>
      <c r="M10" t="inlineStr">
        <is>
          <t>2</t>
        </is>
      </c>
      <c r="N10" t="n">
        <v>1.225</v>
      </c>
      <c r="O10" t="n">
        <v>32</v>
      </c>
      <c r="P10" t="inlineStr">
        <is>
          <t>jet_bombs</t>
        </is>
      </c>
      <c r="Q10" t="n">
        <v>104</v>
      </c>
      <c r="R10" t="inlineStr">
        <is>
          <t>Assets/MachineBrigade/Resources/Data/balance.json: vehicles[57]</t>
        </is>
      </c>
      <c r="S10" t="inlineStr">
        <is>
          <t>{"id":"elite_attack_jet","armour":2,"rearmTime":14,"inherits":"attack_jet","elite":true,"eliteOf":"attack_jet","cp":0,"hp":621,"skills":["elite_flares"],"damageScale":1.0}</t>
        </is>
      </c>
    </row>
    <row r="11">
      <c r="A11" t="inlineStr">
        <is>
          <t>glide_bomb_strike</t>
        </is>
      </c>
      <c r="B11" t="inlineStr"/>
      <c r="C11" t="inlineStr"/>
      <c r="D11" t="inlineStr">
        <is>
          <t>điểm người chơi chọn (Point) và hướng kéo (Point2) (StrikeSystem.cs:150-167)</t>
        </is>
      </c>
      <c r="E11" t="inlineStr">
        <is>
          <t>thẻ: hồi chiêu (cooldown) sau mỗi lần gọi</t>
        </is>
      </c>
      <c r="F11" t="inlineStr">
        <is>
          <t>một lần bay qua, không vòng lại</t>
        </is>
      </c>
      <c r="G11" t="inlineStr">
        <is>
          <t>TRUE</t>
        </is>
      </c>
      <c r="H11" t="inlineStr">
        <is>
          <t>KHONG_AP_DUNG</t>
        </is>
      </c>
      <c r="I11" t="inlineStr"/>
      <c r="J11" t="inlineStr">
        <is>
          <t>the_ho_tro</t>
        </is>
      </c>
      <c r="K11" t="inlineStr">
        <is>
          <t>CruiseMissile</t>
        </is>
      </c>
      <c r="L11" t="n">
        <v>90</v>
      </c>
      <c r="M11" t="n">
        <v>2</v>
      </c>
      <c r="N11" t="inlineStr"/>
      <c r="O11" t="inlineStr"/>
      <c r="P11" t="inlineStr">
        <is>
          <t>glide_bomb_strike</t>
        </is>
      </c>
      <c r="Q11" t="inlineStr"/>
      <c r="R11" t="inlineStr">
        <is>
          <t>Assets/MachineBrigade/Resources/Data/balance.json: supports[23]</t>
        </is>
      </c>
      <c r="S11" t="inlineStr">
        <is>
          <t>{"id":"glide_bomb_strike","kind":"CruiseMissile","pen":3,"cp":8,"cooldown":90,"delay":3.0,"radius":10,"count":2,"damage":420,"blast":10,"tier":"Huge"}</t>
        </is>
      </c>
    </row>
    <row r="12">
      <c r="A12" t="inlineStr">
        <is>
          <t>heavy_bomber</t>
        </is>
      </c>
      <c r="B12" t="n">
        <v>18.537</v>
      </c>
      <c r="C12" t="inlineStr">
        <is>
          <t>∞</t>
        </is>
      </c>
      <c r="D12" t="inlineStr">
        <is>
          <t>BombTarget: nhóm / công trình đáng ném nhất trong max(tầm nhìn, 60 m) (MovementSystem.cs:402-404, 433)</t>
        </is>
      </c>
      <c r="E12" t="inlineStr">
        <is>
          <t>theo thời gian nạp của vũ khí (cooldown)</t>
        </is>
      </c>
      <c r="F12" t="inlineStr">
        <is>
          <t>bay thẳng vào mục tiêu; qua mục tiêu thì kéo thẳng toàn lực (RunExtending), xa quá max(0,85×tầm, 2,2×bán kính quay) thì quay lại (MovementSystem.cs:932-941)</t>
        </is>
      </c>
      <c r="G12" t="inlineStr">
        <is>
          <t>TRUE</t>
        </is>
      </c>
      <c r="H12" t="n">
        <v>42</v>
      </c>
      <c r="I12" t="n">
        <v>31.881</v>
      </c>
      <c r="J12" t="inlineStr">
        <is>
          <t>xe</t>
        </is>
      </c>
      <c r="K12" t="inlineStr"/>
      <c r="L12" t="n">
        <v>16</v>
      </c>
      <c r="M12" t="inlineStr">
        <is>
          <t>7</t>
        </is>
      </c>
      <c r="N12" t="n">
        <v>1.449</v>
      </c>
      <c r="O12" t="n">
        <v>22</v>
      </c>
      <c r="P12" t="inlineStr">
        <is>
          <t>bomber_payload</t>
        </is>
      </c>
      <c r="Q12" t="n">
        <v>68</v>
      </c>
      <c r="R12" t="inlineStr">
        <is>
          <t>Assets/MachineBrigade/Resources/Data/balance.json: vehicles[21]</t>
        </is>
      </c>
      <c r="S12" t="inlineStr">
        <is>
          <t>{"id":"heavy_bomber","flareCharges":3,"dropDelay":5,"outgoingDamageMult":1.3182,"value":1.03,"rearmTime":16,"strongVs":["Defense","Artillery","Light"],"scale":1,"modelSize":[19.8,22.62,5.7],"armour":0,"hp":1400,"speed":22,"turnRate":68,"turretTurnRate":360,"radius":7.5,"cp":29,"vision":50,"firesWhileMoving":true,"weapon":"bomber_payload","mainSlot":"missile","flying":true,"fixedWing":true,"altitude":42,"captureRate":0,"secondary":[{"weapon":"bomber_tail_guns","slot":"gun","aim":"Free"},{"weapon":"air_cruise_missile","slot":"rocket","aim":"Hull"}],"skills":["bomber_flares"],"deathExplosion":{"damage":200,"radius":10,"delay":0.6,"tier":"Ultimate"}}</t>
        </is>
      </c>
    </row>
    <row r="13">
      <c r="A13" t="inlineStr">
        <is>
          <t>kraken|kraken_air_raid</t>
        </is>
      </c>
      <c r="B13" t="inlineStr"/>
      <c r="C13" t="inlineStr"/>
      <c r="D13" t="inlineStr">
        <is>
          <t>aim group, target mixed, reach 70 m (BossSystem.BigAttacks.cs)</t>
        </is>
      </c>
      <c r="E13" t="inlineStr">
        <is>
          <t>siêu vũ khí theo chu kỳ (cooldown); phá bộ phận mang thì mất / giảm</t>
        </is>
      </c>
      <c r="F13" t="inlineStr">
        <is>
          <t>boss giữ đường đi</t>
        </is>
      </c>
      <c r="G13" t="inlineStr"/>
      <c r="H13" t="n">
        <v>0</v>
      </c>
      <c r="I13" t="inlineStr"/>
      <c r="J13" t="inlineStr">
        <is>
          <t>boss_sieu_vu_khi</t>
        </is>
      </c>
      <c r="K13" t="inlineStr">
        <is>
          <t>strip</t>
        </is>
      </c>
      <c r="L13" t="n">
        <v>50</v>
      </c>
      <c r="M13" t="n">
        <v>12</v>
      </c>
      <c r="N13" t="inlineStr"/>
      <c r="O13" t="n">
        <v>2.6</v>
      </c>
      <c r="P13" t="inlineStr">
        <is>
          <t>kraken_air_raid</t>
        </is>
      </c>
      <c r="Q13" t="n">
        <v>8</v>
      </c>
      <c r="R13" t="inlineStr">
        <is>
          <t>Assets/MachineBrigade/Resources/Data/balance.json: bigAttacks[12]</t>
        </is>
      </c>
      <c r="S13" t="inlineStr">
        <is>
          <t>{"id":"kraken_air_raid","icon":"bomb","warn":4,"cooldown":50,"aim":"group","reach":70,"target":"mixed","strikes":[{"shape":"strip","parts":["flight_deck"],"count":12,"damage":400,"type":"HighExplosive","pen":2,"radius":9,"length":90,"width":14,"axis":"heading","duration":3}]}</t>
        </is>
      </c>
    </row>
    <row r="14">
      <c r="A14" t="inlineStr">
        <is>
          <t>napalm_strike</t>
        </is>
      </c>
      <c r="B14" t="inlineStr"/>
      <c r="C14" t="inlineStr"/>
      <c r="D14" t="inlineStr">
        <is>
          <t>điểm người chơi chọn (Point) và hướng kéo (Point2) (StrikeSystem.cs:150-167)</t>
        </is>
      </c>
      <c r="E14" t="inlineStr">
        <is>
          <t>thẻ: hồi chiêu (cooldown) sau mỗi lần gọi</t>
        </is>
      </c>
      <c r="F14" t="inlineStr">
        <is>
          <t>một lần bay qua, không vòng lại</t>
        </is>
      </c>
      <c r="G14" t="inlineStr">
        <is>
          <t>TRUE</t>
        </is>
      </c>
      <c r="H14" t="n">
        <v>32</v>
      </c>
      <c r="I14" t="inlineStr"/>
      <c r="J14" t="inlineStr">
        <is>
          <t>the_ho_tro</t>
        </is>
      </c>
      <c r="K14" t="inlineStr">
        <is>
          <t>Airstrike</t>
        </is>
      </c>
      <c r="L14" t="n">
        <v>90</v>
      </c>
      <c r="M14" t="n">
        <v>8</v>
      </c>
      <c r="N14" t="inlineStr"/>
      <c r="O14" t="n">
        <v>39.286</v>
      </c>
      <c r="P14" t="inlineStr">
        <is>
          <t>napalm_strike</t>
        </is>
      </c>
      <c r="Q14" t="inlineStr"/>
      <c r="R14" t="inlineStr">
        <is>
          <t>Assets/MachineBrigade/Resources/Data/balance.json: supports[4]</t>
        </is>
      </c>
      <c r="S14" t="inlineStr">
        <is>
          <t>{"id":"napalm_strike","kind":"Airstrike","pen":1,"cp":9,"cooldown":90,"delay":2.0,"radius":5,"count":8,"duration":1.4,"damage":150,"blast":9,"tier":"Huge","length":55,"damageType":"Fire"}</t>
        </is>
      </c>
    </row>
    <row r="15">
      <c r="A15" t="inlineStr">
        <is>
          <t>stealth_bomber</t>
        </is>
      </c>
      <c r="B15" t="n">
        <v>18.654</v>
      </c>
      <c r="C15" t="inlineStr">
        <is>
          <t>∞</t>
        </is>
      </c>
      <c r="D15" t="inlineStr">
        <is>
          <t>BombTarget: nhóm / công trình đáng ném nhất trong max(tầm nhìn, 60 m) (MovementSystem.cs:402-404, 433)</t>
        </is>
      </c>
      <c r="E15" t="inlineStr">
        <is>
          <t>theo thời gian nạp của vũ khí (cooldown)</t>
        </is>
      </c>
      <c r="F15" t="inlineStr">
        <is>
          <t>bay thẳng vào mục tiêu; qua mục tiêu thì kéo thẳng toàn lực (RunExtending), xa quá max(0,85×tầm, 2,2×bán kính quay) thì quay lại (MovementSystem.cs:932-941)</t>
        </is>
      </c>
      <c r="G15" t="inlineStr">
        <is>
          <t>TRUE</t>
        </is>
      </c>
      <c r="H15" t="n">
        <v>46</v>
      </c>
      <c r="I15" t="n">
        <v>42.464</v>
      </c>
      <c r="J15" t="inlineStr">
        <is>
          <t>xe</t>
        </is>
      </c>
      <c r="K15" t="inlineStr"/>
      <c r="L15" t="n">
        <v>16</v>
      </c>
      <c r="M15" t="inlineStr">
        <is>
          <t>2</t>
        </is>
      </c>
      <c r="N15" t="n">
        <v>1.517</v>
      </c>
      <c r="O15" t="n">
        <v>28</v>
      </c>
      <c r="P15" t="inlineStr">
        <is>
          <t>stealth_payload</t>
        </is>
      </c>
      <c r="Q15" t="n">
        <v>86</v>
      </c>
      <c r="R15" t="inlineStr">
        <is>
          <t>Assets/MachineBrigade/Resources/Data/balance.json: vehicles[22]</t>
        </is>
      </c>
      <c r="S15" t="inlineStr">
        <is>
          <t>{"id":"stealth_bomber","dropDelay":5,"outgoingDamageMult":1.2857,"value":1,"rearmTime":16,"strongVs":["Defense","Heavy","Artillery"],"scale":1,"modelSize":[8.4,21,1.5],"armour":0,"hp":1200,"speed":28,"turnRate":86,"turretTurnRate":360,"radius":5,"cp":27,"vision":60,"firesWhileMoving":true,"weapon":"stealth_payload","secondary":[{"weapon":"jassm","slot":"rocket","aim":"Hull"}],"mainSlot":"missile","flying":true,"fixedWing":true,"altitude":46,"captureRate":0,"stealth":true,"skills":[],"deathExplosion":{"damage":150,"radius":9,"delay":0.6,"tier":"Huge"}}</t>
        </is>
      </c>
    </row>
    <row r="16">
      <c r="A16" t="inlineStr">
        <is>
          <t>stealth_fighter</t>
        </is>
      </c>
      <c r="B16" t="n">
        <v>20.168</v>
      </c>
      <c r="C16" t="inlineStr">
        <is>
          <t>∞</t>
        </is>
      </c>
      <c r="D16" t="inlineStr">
        <is>
          <t>kẻ địch gần nhất trong tầm (MovementSystem.cs:404-405)</t>
        </is>
      </c>
      <c r="E16" t="inlineStr">
        <is>
          <t>theo thời gian nạp của vũ khí (cooldown)</t>
        </is>
      </c>
      <c r="F16" t="inlineStr">
        <is>
          <t>bay thẳng vào mục tiêu; qua mục tiêu thì kéo thẳng toàn lực (RunExtending), xa quá max(0,85×tầm, 2,2×bán kính quay) thì quay lại (MovementSystem.cs:932-941)</t>
        </is>
      </c>
      <c r="G16" t="inlineStr">
        <is>
          <t>TRUE</t>
        </is>
      </c>
      <c r="H16" t="n">
        <v>36</v>
      </c>
      <c r="I16" t="n">
        <v>59.032</v>
      </c>
      <c r="J16" t="inlineStr">
        <is>
          <t>xe</t>
        </is>
      </c>
      <c r="K16" t="inlineStr"/>
      <c r="L16" t="n">
        <v>11</v>
      </c>
      <c r="M16" t="inlineStr">
        <is>
          <t>1</t>
        </is>
      </c>
      <c r="N16" t="n">
        <v>1.342</v>
      </c>
      <c r="O16" t="n">
        <v>44</v>
      </c>
      <c r="P16" t="inlineStr">
        <is>
          <t>guided_bomb</t>
        </is>
      </c>
      <c r="Q16" t="n">
        <v>125</v>
      </c>
      <c r="R16" t="inlineStr">
        <is>
          <t>Assets/MachineBrigade/Resources/Data/balance.json: vehicles[44]</t>
        </is>
      </c>
      <c r="S16" t="inlineStr">
        <is>
          <t>{"id":"stealth_fighter","flareCharges":2,"dropDelay":5,"outgoingDamageMult":1.3538,"loads":{"air_to_air":5},"ceiling":"high","value":0.88,"rearmTime":11,"strongVs":["Plane","Helicopter","AntiAir"],"scale":1,"modelSize":[7.6,5.5,1.28],"armour":0,"hp":600,"speed":44,"turnRate":125,"turretTurnRate":360,"radius":3.4,"cp":16,"vision":76,"firesWhileMoving":true,"weapon":"air_to_air","mainSlot":"missile","flying":true,"fixedWing":true,"altitude":36,"captureRate":0,"attackHold":4.0,"secondary":[{"weapon":"guided_bomb","slot":"bomb","aim":"Free"},{"weapon":"fighter_cannon","slot":"gun","aim":"Hull"}],"interceptor":true,"stealth":true,"sead":true,"skills":["jet_flares"],"deathExplosion":{"damage":80,"radius":5,"delay":0.6,"tier":"Huge"}}</t>
        </is>
      </c>
    </row>
    <row r="17">
      <c r="A17" t="inlineStr">
        <is>
          <t>stealth_naval_strike</t>
        </is>
      </c>
      <c r="B17" t="n">
        <v>19.987</v>
      </c>
      <c r="C17" t="inlineStr">
        <is>
          <t>∞</t>
        </is>
      </c>
      <c r="D17" t="inlineStr">
        <is>
          <t>kẻ địch gần nhất trong tầm (MovementSystem.cs:404-405)</t>
        </is>
      </c>
      <c r="E17" t="inlineStr">
        <is>
          <t>theo thời gian nạp của vũ khí (cooldown)</t>
        </is>
      </c>
      <c r="F17" t="inlineStr">
        <is>
          <t>bay thẳng vào mục tiêu; qua mục tiêu thì kéo thẳng toàn lực (RunExtending), xa quá max(0,85×tầm, 2,2×bán kính quay) thì quay lại (MovementSystem.cs:932-941)</t>
        </is>
      </c>
      <c r="G17" t="inlineStr">
        <is>
          <t>TRUE</t>
        </is>
      </c>
      <c r="H17" t="n">
        <v>46</v>
      </c>
      <c r="I17" t="n">
        <v>45.497</v>
      </c>
      <c r="J17" t="inlineStr">
        <is>
          <t>xe</t>
        </is>
      </c>
      <c r="K17" t="inlineStr"/>
      <c r="L17" t="n">
        <v>16</v>
      </c>
      <c r="M17" t="inlineStr">
        <is>
          <t>2</t>
        </is>
      </c>
      <c r="N17" t="n">
        <v>1.517</v>
      </c>
      <c r="O17" t="n">
        <v>30</v>
      </c>
      <c r="P17" t="inlineStr">
        <is>
          <t>jet_bombs</t>
        </is>
      </c>
      <c r="Q17" t="n">
        <v>86</v>
      </c>
      <c r="R17" t="inlineStr">
        <is>
          <t>Assets/MachineBrigade/Resources/Data/balance.json: vehicles[126]</t>
        </is>
      </c>
      <c r="S17" t="inlineStr">
        <is>
          <t>{"id":"stealth_naval_strike","dropDelay":5,"outgoingDamageMult":1.4882,"model":"stealth_naval_strike","value":1,"rearmTime":16,"strongVs":["Defense","Heavy"],"modelSize":[8.4,21,1.5],"armour":0,"hp":750,"speed":30,"turnRate":86,"turretTurnRate":360,"radius":5,"cp":22,"vision":50,"firesWhileMoving":true,"weapon":"none","secondary":[{"weapon":"jet_bombs","slot":"missile","aim":"Hull"}],"mainSlot":"missile","flying":true,"fixedWing":true,"altitude":46,"captureRate":0,"stealth":true,"deathExplosion":{"damage":120,"radius":8,"delay":0.5,"tier":"Huge"}}</t>
        </is>
      </c>
    </row>
    <row r="18">
      <c r="A18" t="inlineStr">
        <is>
          <t>strike_drone</t>
        </is>
      </c>
      <c r="B18" t="n">
        <v>9.832000000000001</v>
      </c>
      <c r="C18" t="inlineStr">
        <is>
          <t>∞</t>
        </is>
      </c>
      <c r="D18" t="inlineStr">
        <is>
          <t>kẻ địch gần nhất trong tầm (MovementSystem.cs:404-405)</t>
        </is>
      </c>
      <c r="E18" t="inlineStr">
        <is>
          <t>theo thời gian nạp của vũ khí (cooldown)</t>
        </is>
      </c>
      <c r="F18" t="inlineStr">
        <is>
          <t>bay thẳng vào mục tiêu; qua mục tiêu thì kéo thẳng toàn lực (RunExtending), xa quá max(0,85×tầm, 2,2×bán kính quay) thì quay lại (MovementSystem.cs:932-941)</t>
        </is>
      </c>
      <c r="G18" t="inlineStr">
        <is>
          <t>TRUE</t>
        </is>
      </c>
      <c r="H18" t="n">
        <v>30</v>
      </c>
      <c r="I18" t="n">
        <v>17.024</v>
      </c>
      <c r="J18" t="inlineStr">
        <is>
          <t>xe</t>
        </is>
      </c>
      <c r="K18" t="inlineStr"/>
      <c r="L18" t="n">
        <v>8.5</v>
      </c>
      <c r="M18" t="inlineStr">
        <is>
          <t>1</t>
        </is>
      </c>
      <c r="N18" t="n">
        <v>1.225</v>
      </c>
      <c r="O18" t="n">
        <v>13.9</v>
      </c>
      <c r="P18" t="inlineStr">
        <is>
          <t>guided_bomb</t>
        </is>
      </c>
      <c r="Q18" t="n">
        <v>81</v>
      </c>
      <c r="R18" t="inlineStr">
        <is>
          <t>Assets/MachineBrigade/Resources/Data/balance.json: vehicles[16]</t>
        </is>
      </c>
      <c r="S18" t="inlineStr">
        <is>
          <t>{"id":"strike_drone","outgoingDamageMult":1.2681,"value":0.81,"rearmTime":8.5,"strongVs":["Tank","Heavy","Artillery"],"scale":1,"modelSize":[4.25,8.04,1.24],"drone":true,"armour":0,"hp":400,"speed":13.9,"turnRate":81,"turretTurnRate":360,"radius":2.8,"cp":11,"vision":62,"firesWhileMoving":true,"weapon":"drone_missile","secondary":[{"weapon":"guided_bomb","slot":"rocket","aim":"Hull"}],"mainSlot":"missile","flying":true,"fixedWing":true,"altitude":30,"captureRate":0,"attackHold":3.5,"deathExplosion":{"damage":50,"radius":5,"delay":0.5,"tier":"Large"}}</t>
        </is>
      </c>
    </row>
  </sheetData>
  <autoFilter ref="A1:S18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24" customWidth="1" min="3" max="3"/>
    <col width="60" customWidth="1" min="4" max="4"/>
    <col width="60" customWidth="1" min="5" max="5"/>
    <col width="8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ap_dung_cho</t>
        </is>
      </c>
      <c r="C1" s="1" t="inlineStr">
        <is>
          <t>buoc</t>
        </is>
      </c>
      <c r="D1" s="1" t="inlineStr">
        <is>
          <t>file_ham</t>
        </is>
      </c>
      <c r="E1" s="1" t="inlineStr">
        <is>
          <t>mo_ta_theo_ma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HV01</t>
        </is>
      </c>
      <c r="B2" t="inlineStr">
        <is>
          <t>heavy_bomber (bomber_payload); các đơn vị khác theo luật thường</t>
        </is>
      </c>
      <c r="C2" t="inlineStr">
        <is>
          <t>chon_muc_tieu</t>
        </is>
      </c>
      <c r="D2" t="inlineStr">
        <is>
          <t>Assets/MachineBrigade/Scripts/Sim/Movement/MovementSystem.cs:402-404 Think; Assets/MachineBrigade/Scripts/Sim/Movement/MovementSystem.cs:433 BombTarget; Assets/MachineBrigade/Scripts/Sim/Combat/CombatSystem.cs:406 BombWorth</t>
        </is>
      </c>
      <c r="E2" t="inlineStr">
        <is>
          <t>Máy bay cánh cố định có vũ khí CHÍNH là bom và burst &gt; 1 chọn mục tiêu bằng BombTarget: xe mặt đất địch nhìn thấy trong max(tầm nhìn, 60 m), điểm = BombWorth (cụm, công trình; trừ nơi vừa ném) × √clamp(Worth, 2, 25) / (1 + d/200). Đơn vị khác (bom là vũ khí phụ, boss): kẻ địch gần nhất trong tầm.</t>
        </is>
      </c>
      <c r="F2" t="inlineStr">
        <is>
          <t>đọc mã</t>
        </is>
      </c>
      <c r="G2" t="inlineStr"/>
    </row>
    <row r="3">
      <c r="A3" t="inlineStr">
        <is>
          <t>HV02</t>
        </is>
      </c>
      <c r="B3" t="inlineStr">
        <is>
          <t>mọi máy bay; AXIS: bomber_payload</t>
        </is>
      </c>
      <c r="C3" t="inlineStr">
        <is>
          <t>huong_vao</t>
        </is>
      </c>
      <c r="D3" t="inlineStr">
        <is>
          <t>Assets/MachineBrigade/Scripts/Sim/Movement/MovementSystem.cs DriveAeroplane; Assets/MachineBrigade/Scripts/Sim/Combat/CombatSystem.Bombs.cs StickEntry, StickDirection</t>
        </is>
      </c>
      <c r="E3" t="inlineStr">
        <is>
          <t>Máy bay quay mũi vào mục tiêu (goal = target.Position). Lượt 2: dải có heading AXIS (bomber_payload) khi còn xa thì bay tới điểm vào trên trục chính của cụm mục tiêu (StickEntry: phía sau mục tiêu một khoảng dẫn đầu + nửa dải + bán kính quay; trục trong ±45° so với hướng vào, không thì giữ hướng vào), rồi mới vào mục tiêu. Hướng dải = hướng mũi lúc thả.</t>
        </is>
      </c>
      <c r="F3" t="inlineStr">
        <is>
          <t>đọc mã</t>
        </is>
      </c>
      <c r="G3" t="inlineStr"/>
    </row>
    <row r="4">
      <c r="A4" t="inlineStr">
        <is>
          <t>HV03</t>
        </is>
      </c>
      <c r="B4" t="inlineStr">
        <is>
          <t>mọi máy bay cánh cố định</t>
        </is>
      </c>
      <c r="C4" t="inlineStr">
        <is>
          <t>toc_do_luc_tha</t>
        </is>
      </c>
      <c r="D4" t="inlineStr">
        <is>
          <t>Assets/MachineBrigade/Scripts/Sim/Movement/MovementSystem.cs:960-968, Assets/MachineBrigade/Scripts/Sim/Movement/MovementSystem.cs:994, Assets/MachineBrigade/Scripts/Sim/Movement/MovementSystem.cs:1194 AttackReach</t>
        </is>
      </c>
      <c r="E4" t="inlineStr">
        <is>
          <t>Ga 0,8 khi cách mục tiêu &lt; 1,1 × AttackReach (AttackReach = tầm súng thân ngắn nhất, không có thì tầm vũ khí 0); có AttackHold thì ga 0,5–1 khi vào giữ; khi kéo ra (RunExtending) ga 1. Tốc độ đổi tối đa 0,8 × tốc độ/s.</t>
        </is>
      </c>
      <c r="F4" t="inlineStr">
        <is>
          <t>đọc mã</t>
        </is>
      </c>
      <c r="G4" t="inlineStr"/>
    </row>
    <row r="5">
      <c r="A5" t="inlineStr">
        <is>
          <t>HV04</t>
        </is>
      </c>
      <c r="B5" t="inlineStr">
        <is>
          <t>bom rơi tự do, khoang bom boss</t>
        </is>
      </c>
      <c r="C5" t="inlineStr">
        <is>
          <t>dieu_kien_tha</t>
        </is>
      </c>
      <c r="D5" t="inlineStr">
        <is>
          <t>Assets/MachineBrigade/Scripts/Sim/Combat/CombatSystem.cs CanFire; Assets/MachineBrigade/Scripts/Sim/Combat/CombatSystem.Bombs.cs StickStraddles, StickAllUnsafe, BombReach; Assets/MachineBrigade/Scripts/Sim/Combat/CombatSystem.cs InReach</t>
        </is>
      </c>
      <c r="E5" t="inlineStr">
        <is>
          <t>CanFire: hết hồi, đúng loại đạn; dải STICK chỉ bị giữ lại khi MỌI quả đều rơi gần quân ta (StickAllUnsafe); trong tầm (InReach, tầm bom = tốc độ × thời gian rơi + nửa dải + lõi, dải = (n−1) × spacing), rồi StickStraddles: mục tiêu lệch ngang ≤ lõi + bán kính mục tiêu và dọc đường bay từ (rơi − blast/2) tới (rơi + nửa dải + 2 m) khi tâm dải CENTER (START: tới rơi + blast/2). Khoang bom boss (BAY): như vũ khí thường, không cần bay qua.</t>
        </is>
      </c>
      <c r="F5" t="inlineStr">
        <is>
          <t>đọc mã</t>
        </is>
      </c>
      <c r="G5" t="inlineStr"/>
    </row>
    <row r="6">
      <c r="A6" t="inlineStr">
        <is>
          <t>HV05</t>
        </is>
      </c>
      <c r="B6" t="inlineStr">
        <is>
          <t>mọi vũ khí bom</t>
        </is>
      </c>
      <c r="C6" t="inlineStr">
        <is>
          <t>so_bom_moi_luot</t>
        </is>
      </c>
      <c r="D6" t="inlineStr">
        <is>
          <t>Assets/MachineBrigade/Scripts/Sim/Combat/CombatSystem.cs Operate; Assets/MachineBrigade/Scripts/Sim/Combat/CombatSystem.Bombs.cs StickCount, StickBombs</t>
        </is>
      </c>
      <c r="E6" t="inlineStr">
        <is>
          <t>Loạt = Burst; dải STICK có minTargets mà quanh dải (nửa dải + rìa quanh mục tiêu) có ít hơn minTargets xe / công trình địch (và &lt; 2 công trình) thì chỉ thả max(2, ceil(n/3)) quả (StickCount); máy bay có kho bom (load) thì loạt = min(loạt, số bom còn), chỉ trừ số đã thả.</t>
        </is>
      </c>
      <c r="F6" t="inlineStr">
        <is>
          <t>đọc mã</t>
        </is>
      </c>
      <c r="G6" t="inlineStr"/>
    </row>
    <row r="7">
      <c r="A7" t="inlineStr">
        <is>
          <t>HV06</t>
        </is>
      </c>
      <c r="B7" t="inlineStr">
        <is>
          <t>mọi vũ khí bom có burst &gt; 1</t>
        </is>
      </c>
      <c r="C7" t="inlineStr">
        <is>
          <t>nhip_tha</t>
        </is>
      </c>
      <c r="D7" t="inlineStr">
        <is>
          <t>Assets/MachineBrigade/Scripts/Sim/Combat/CombatSystem.cs Operate; Assets/MachineBrigade/Scripts/Sim/Combat/CombatSystem.Bombs.cs StickCooldown; Assets/MachineBrigade/Scripts/Sim/Content/WeaponDef.Stick.cs SalvoGap</t>
        </is>
      </c>
      <c r="E7" t="inlineStr">
        <is>
          <t>Quả đầu thả ngay khi CanFire đúng; các quả sau mỗi SalvoGap: dải STICK = stick.interval (spacing / tốc độ lúc thả), khác = BurstInterval (bộ đếm theo bước 20 Hz). Sau dải, thời gian nạp = cooldown − (n−1) × (interval − burstInterval), nên chu kỳ từ dải này tới dải sau giữ nguyên.</t>
        </is>
      </c>
      <c r="F7" t="inlineStr">
        <is>
          <t>đọc mã</t>
        </is>
      </c>
      <c r="G7" t="inlineStr"/>
    </row>
    <row r="8">
      <c r="A8" t="inlineStr">
        <is>
          <t>HV07</t>
        </is>
      </c>
      <c r="B8" t="inlineStr">
        <is>
          <t>bom rơi tự do (FREE_FALL_STICK)</t>
        </is>
      </c>
      <c r="C8" t="inlineStr">
        <is>
          <t>diem_nham_tung_qua</t>
        </is>
      </c>
      <c r="D8" t="inlineStr">
        <is>
          <t>Assets/MachineBrigade/Scripts/Sim/Combat/CombatSystem.cs Launch; Assets/MachineBrigade/Scripts/Sim/Combat/CombatSystem.Bombs.cs PlanStick, StickLine, StickPoint, BombImpact</t>
        </is>
      </c>
      <c r="E8" t="inlineStr">
        <is>
          <t>Lượt 2: quả đầu cố định dải (PlanStick): đầu dải = BombImpact lúc thả (vị trí máy bay + hướng mũi × tốc độ × thời gian rơi = khoảng dẫn đầu), hướng = hướng mũi; quả i rơi tại đầu dải + hướng × i × spacing (StickPoint), không bao giờ một điểm nhắm chung. Một quả rơi tự do (POINT n 1) vẫn nhắm BombImpact.</t>
        </is>
      </c>
      <c r="F8" t="inlineStr">
        <is>
          <t>đọc mã</t>
        </is>
      </c>
      <c r="G8" t="inlineStr"/>
    </row>
    <row r="9">
      <c r="A9" t="inlineStr">
        <is>
          <t>HV08</t>
        </is>
      </c>
      <c r="B9" t="inlineStr">
        <is>
          <t>argus, command_airship</t>
        </is>
      </c>
      <c r="C9" t="inlineStr">
        <is>
          <t>diem_nham_bom_boss</t>
        </is>
      </c>
      <c r="D9" t="inlineStr">
        <is>
          <t>Assets/MachineBrigade/Scripts/Sim/Combat/CombatSystem.cs Launch; Assets/MachineBrigade/Scripts/Sim/Combat/CombatSystem.Bombs.cs BayStick, StickLine, AxisAt; Assets/MachineBrigade/Resources/Data/balance.json: weapons p26_roc_roc_bombs.stick</t>
        </is>
      </c>
      <c r="E9" t="inlineStr">
        <is>
          <t>Lượt 2: bom khoang của boss (p26_roc_roc_bombs, p26_roc_main_roc_bombs) là Projectile Bomb, stick.drop BAY: dải 8 quả đặt quanh điểm nhắm (CENTER), hướng = trục chính của cụm mục tiêu trong ±45° so với đường boss → điểm nhắm, không thì đường đó; quả i tại đầu dải + hướng × i × spacing; rơi ít nhất BombFall (thời gian bay cũ nếu dài hơn). Khoang vẫn nhả cách 0,3 s.</t>
        </is>
      </c>
      <c r="F9" t="inlineStr">
        <is>
          <t>đọc mã</t>
        </is>
      </c>
      <c r="G9" t="inlineStr"/>
    </row>
    <row r="10">
      <c r="A10" t="inlineStr">
        <is>
          <t>HV09</t>
        </is>
      </c>
      <c r="B10" t="inlineStr">
        <is>
          <t>stealth_payload, guided_bomb, glide_fab500</t>
        </is>
      </c>
      <c r="C10" t="inlineStr">
        <is>
          <t>diem_nham_bom_dan_duong</t>
        </is>
      </c>
      <c r="D10" t="inlineStr">
        <is>
          <t>Assets/MachineBrigade/Scripts/Sim/Combat/CombatSystem.cs:805-806 LeadPoint; Assets/MachineBrigade/Scripts/Sim/Combat/CombatSystem.cs:829; Assets/MachineBrigade/Scripts/Sim/Combat/CombatSystem.cs:875-878; Assets/MachineBrigade/Scripts/Sim/Content/Definitions.cs:224 GuidedBomb</t>
        </is>
      </c>
      <c r="E10" t="inlineStr">
        <is>
          <t>Bom dẫn đường (data guided hoặc form GuidedBomb: SDB, JDAM, UMPK): aimAt = mục tiêu (dẫn trước nếu mục tiêu chạy), độ tản thường theo tầm; bom lượn bay tới bằng tốc độ riêng.</t>
        </is>
      </c>
      <c r="F10" t="inlineStr">
        <is>
          <t>đọc mã</t>
        </is>
      </c>
      <c r="G10" t="inlineStr"/>
    </row>
    <row r="11">
      <c r="A11" t="inlineStr">
        <is>
          <t>HV10</t>
        </is>
      </c>
      <c r="B11" t="inlineStr">
        <is>
          <t>bom rơi tự do, khoang bom boss</t>
        </is>
      </c>
      <c r="C11" t="inlineStr">
        <is>
          <t>tan_xa</t>
        </is>
      </c>
      <c r="D11" t="inlineStr">
        <is>
          <t>Assets/MachineBrigade/Scripts/Sim/Combat/CombatSystem.cs Launch; Assets/MachineBrigade/Scripts/Sim/Combat/CombatSystem.Bombs.cs FreeFallScatter</t>
        </is>
      </c>
      <c r="E11" t="inlineStr">
        <is>
          <t>Lượt 2: quả của dải STICK lệch theo seed (world Random) ±jitterAlong dọc và ±jitterAcross ngang dải (không còn vòng tản), × hệ số khinh khí cầu / đèn chiếu (Works.SpreadFactor). Bom rơi tự do POINT: vòng Spread × 0,5 như cũ.</t>
        </is>
      </c>
      <c r="F11" t="inlineStr">
        <is>
          <t>đọc mã</t>
        </is>
      </c>
      <c r="G11" t="inlineStr"/>
    </row>
    <row r="12">
      <c r="A12" t="inlineStr">
        <is>
          <t>HV11</t>
        </is>
      </c>
      <c r="B12" t="inlineStr">
        <is>
          <t>bom rơi tự do</t>
        </is>
      </c>
      <c r="C12" t="inlineStr">
        <is>
          <t>thoi_gian_roi</t>
        </is>
      </c>
      <c r="D12" t="inlineStr">
        <is>
          <t>Assets/MachineBrigade/Scripts/Sim/Combat/CombatSystem.cs:874, Assets/MachineBrigade/Scripts/Sim/Combat/CombatSystem.cs:883; Assets/MachineBrigade/Scripts/Sim/Combat/CombatSystem.Bombs.cs:25, Assets/MachineBrigade/Scripts/Sim/Combat/CombatSystem.Bombs.cs:35</t>
        </is>
      </c>
      <c r="E12" t="inlineStr">
        <is>
          <t>BombFall = √(2 × max(4, độ cao) / 40) (BombGravity 40 m/s², theo tỉ lệ bản đồ); bom có cảnh báo (≥ 400 kg) rơi không sớm hơn thời gian cảnh báo.</t>
        </is>
      </c>
      <c r="F12" t="inlineStr">
        <is>
          <t>đọc mã</t>
        </is>
      </c>
      <c r="G12" t="inlineStr"/>
    </row>
    <row r="13">
      <c r="A13" t="inlineStr">
        <is>
          <t>HV12</t>
        </is>
      </c>
      <c r="B13" t="inlineStr">
        <is>
          <t>mọi bom</t>
        </is>
      </c>
      <c r="C13" t="inlineStr">
        <is>
          <t>ngoi_no</t>
        </is>
      </c>
      <c r="D13" t="inlineStr">
        <is>
          <t>Assets/MachineBrigade/Scripts/Sim/Combat/CombatSystem.cs: UpdateProjectiles; Assets/MachineBrigade/Scripts/Sim/Combat/DamageSystem (ResolveImpact)</t>
        </is>
      </c>
      <c r="E13" t="inlineStr">
        <is>
          <t>Không có ngòi riêng: quả bom nổ khi hết thời gian bay tại điểm aim (UpdateProjectiles → Damage.ResolveImpact); bom chùm tung bom con ở đó.</t>
        </is>
      </c>
      <c r="F13" t="inlineStr">
        <is>
          <t>đọc mã</t>
        </is>
      </c>
      <c r="G13" t="inlineStr"/>
    </row>
    <row r="14">
      <c r="A14" t="inlineStr">
        <is>
          <t>HV13</t>
        </is>
      </c>
      <c r="B14" t="inlineStr">
        <is>
          <t>mọi vũ khí bom</t>
        </is>
      </c>
      <c r="C14" t="inlineStr">
        <is>
          <t>an_toan_quan_ta</t>
        </is>
      </c>
      <c r="D14" t="inlineStr">
        <is>
          <t>Assets/MachineBrigade/Scripts/Sim/Combat/CombatSystem.cs CanFire, Launch; Assets/MachineBrigade/Scripts/Sim/Combat/CombatSystem.Bombs.cs StickAllUnsafe, StickNearOwn</t>
        </is>
      </c>
      <c r="E14" t="inlineStr">
        <is>
          <t>Lượt 2: dải STICK xét TỪNG quả: điểm rơi (sau lệch) trong stick.safety (+ bán kính xe) quanh xe mặt đất phe ta thì quả đó không thả; các quả khác giữ điểm của mình. Cả dải chỉ bị giữ lại khi mọi quả đều không an toàn. Bom rơi tự do POINT: StickNearOwn như cũ; bom khác: OwnNear quanh mục tiêu, lõi + 3 m.</t>
        </is>
      </c>
      <c r="F14" t="inlineStr">
        <is>
          <t>đọc mã</t>
        </is>
      </c>
      <c r="G14" t="inlineStr"/>
    </row>
    <row r="15">
      <c r="A15" t="inlineStr">
        <is>
          <t>HV14</t>
        </is>
      </c>
      <c r="B15" t="inlineStr">
        <is>
          <t>máy bay cánh cố định</t>
        </is>
      </c>
      <c r="C15" t="inlineStr">
        <is>
          <t>vong_lai</t>
        </is>
      </c>
      <c r="D15" t="inlineStr">
        <is>
          <t>Assets/MachineBrigade/Scripts/Sim/Movement/MovementSystem.cs DriveAeroplane; Assets/MachineBrigade/Scripts/Sim/Combat/CombatSystem.Bombs.cs PlanStick; Assets/MachineBrigade/Scripts/Sim/Movement/MovementSystem.P25A.cs GlideAway</t>
        </is>
      </c>
      <c r="E15" t="inlineStr">
        <is>
          <t>Lượt 2: thả quả đầu của dải STICK thì máy bay giữ hướng, tốc độ, độ cao trong stick.straightTime (dải / tốc độ + thời gian rơi + 1 s, và ≥ 40 m sau quả cuối) (StickStraightUntil); sau đó như cũ: kéo ra (RunExtending) khi gần / đã qua mục tiêu, xa hơn max(0,85 × tầm, 2,2 × bán kính quay) thì quay lại. Glide bomber quay đi trước khi tới mục tiêu.</t>
        </is>
      </c>
      <c r="F15" t="inlineStr">
        <is>
          <t>đọc mã</t>
        </is>
      </c>
      <c r="G15" t="inlineStr"/>
    </row>
    <row r="16">
      <c r="A16" t="inlineStr">
        <is>
          <t>HV15</t>
        </is>
      </c>
      <c r="B16" t="inlineStr">
        <is>
          <t>máy bay ném bom</t>
        </is>
      </c>
      <c r="C16" t="inlineStr">
        <is>
          <t>tranh_nem_lai</t>
        </is>
      </c>
      <c r="D16" t="inlineStr">
        <is>
          <t>Assets/MachineBrigade/Scripts/Sim/Combat/CombatSystem.cs:567; Assets/MachineBrigade/Scripts/Sim/Combat/CombatSystem.cs:406</t>
        </is>
      </c>
      <c r="E16" t="inlineStr">
        <is>
          <t>Loạt &gt; 1 quả ghi điểm vừa ném (_bombed) để BombWorth chấm thấp nơi đó lần sau.</t>
        </is>
      </c>
      <c r="F16" t="inlineStr">
        <is>
          <t>đọc mã</t>
        </is>
      </c>
      <c r="G16" t="inlineStr"/>
    </row>
    <row r="17">
      <c r="A17" t="inlineStr">
        <is>
          <t>HV16</t>
        </is>
      </c>
      <c r="B17" t="inlineStr">
        <is>
          <t>airstrike, napalm_strike, air_raid, cluster_strike</t>
        </is>
      </c>
      <c r="C17" t="inlineStr">
        <is>
          <t>the_ho_tro_khong_kich</t>
        </is>
      </c>
      <c r="D17" t="inlineStr">
        <is>
          <t>Assets/MachineBrigade/Scripts/Sim/Strikes/StrikeSystem.cs:250-275</t>
        </is>
      </c>
      <c r="E17" t="inlineStr">
        <is>
          <t>Airstrike: Count quả rải đều từ Point tới Point + hướng × Length (Lerp), lệch ngang ngẫu nhiên ±Radius/2, cách nhau Duration/(Count−1) s; máy bay bay với tốc độ Length/Duration. Đã là dải (không dồn một điểm).</t>
        </is>
      </c>
      <c r="F17" t="inlineStr">
        <is>
          <t>đọc mã</t>
        </is>
      </c>
      <c r="G17" t="inlineStr"/>
    </row>
    <row r="18">
      <c r="A18" t="inlineStr">
        <is>
          <t>HV17</t>
        </is>
      </c>
      <c r="B18" t="inlineStr">
        <is>
          <t>airship_carpet, kraken_air_raid</t>
        </is>
      </c>
      <c r="C18" t="inlineStr">
        <is>
          <t>sieu_vu_khi_boss_strip</t>
        </is>
      </c>
      <c r="D18" t="inlineStr">
        <is>
          <t>Assets/MachineBrigade/Scripts/Sim/Bosses/BossSystem.BigAttacks.cs:708-720 (rơi), :492-505 (vùng cảnh báo)</t>
        </is>
      </c>
      <c r="E18" t="inlineStr">
        <is>
          <t>Strip: n quả cách đều dọc trục (−L/2 + L(k+0,5)/n), lệch ngang ±0,35 × W (khi không có interval), rơi trải trong Duration. Đã là dải.</t>
        </is>
      </c>
      <c r="F18" t="inlineStr">
        <is>
          <t>đọc mã</t>
        </is>
      </c>
      <c r="G18" t="inlineStr"/>
    </row>
    <row r="19">
      <c r="A19" t="inlineStr">
        <is>
          <t>HV18</t>
        </is>
      </c>
      <c r="B19" t="inlineStr">
        <is>
          <t>heavy_bomber</t>
        </is>
      </c>
      <c r="C19" t="inlineStr">
        <is>
          <t>the_12_qua</t>
        </is>
      </c>
      <c r="D19" t="inlineStr">
        <is>
          <t>Assets/MachineBrigade/Scripts/Game/Hud/GuideText.cs:410, :414; Assets/MachineBrigade/Resources/Data/balance.json: weapons bomber_payload</t>
        </is>
      </c>
      <c r="E19" t="inlineStr">
        <is>
          <t>Hướng dẫn của Oanh tạc cơ chiến lược nói 'thả một hàng 12 quả', dữ liệu bomber_payload có burst 7, load 7 (một lần thả 7 quả).</t>
        </is>
      </c>
      <c r="F19" t="inlineStr">
        <is>
          <t>đọc mã</t>
        </is>
      </c>
      <c r="G19" t="inlineStr"/>
    </row>
  </sheetData>
  <autoFilter ref="A1:G19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9" customWidth="1" min="4" max="4"/>
    <col width="8" customWidth="1" min="5" max="5"/>
    <col width="60" customWidth="1" min="6" max="6"/>
    <col width="60" customWidth="1" min="7" max="7"/>
    <col width="60" customWidth="1" min="8" max="8"/>
    <col width="17" customWidth="1" min="9" max="9"/>
    <col width="8" customWidth="1" min="10" max="10"/>
    <col width="22" customWidth="1" min="11" max="11"/>
    <col width="6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ban_kinh_loi_m</t>
        </is>
      </c>
      <c r="C1" s="1" t="inlineStr">
        <is>
          <t>ban_kinh_ria_m</t>
        </is>
      </c>
      <c r="D1" s="1" t="inlineStr">
        <is>
          <t>co_vong</t>
        </is>
      </c>
      <c r="E1" s="1" t="inlineStr">
        <is>
          <t>dai_m</t>
        </is>
      </c>
      <c r="F1" s="1" t="inlineStr">
        <is>
          <t>file_ham</t>
        </is>
      </c>
      <c r="G1" s="1" t="inlineStr">
        <is>
          <t>hinh_dang</t>
        </is>
      </c>
      <c r="H1" s="1" t="inlineStr">
        <is>
          <t>luat</t>
        </is>
      </c>
      <c r="I1" s="1" t="inlineStr">
        <is>
          <t>nhom</t>
        </is>
      </c>
      <c r="J1" s="1" t="inlineStr">
        <is>
          <t>rong_m</t>
        </is>
      </c>
      <c r="K1" s="1" t="inlineStr">
        <is>
          <t>thoi_gian_canh_bao_s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air_raid</t>
        </is>
      </c>
      <c r="B2" t="inlineStr"/>
      <c r="C2" t="n">
        <v>0</v>
      </c>
      <c r="D2" t="inlineStr">
        <is>
          <t>TRUE</t>
        </is>
      </c>
      <c r="E2" t="n">
        <v>70</v>
      </c>
      <c r="F2" t="inlineStr">
        <is>
          <t>Assets/MachineBrigade/Scripts/Sim/Strikes/StrikeSystem.cs:165-166 StrikeWarning; :111 Incoming (bán kính max(radius, length/2)); Game/Effects/StrikeEffects.cs (vẽ)</t>
        </is>
      </c>
      <c r="G2" t="inlineStr">
        <is>
          <t>dải dọc đường bay từ điểm chọn tới điểm + hướng × length</t>
        </is>
      </c>
      <c r="H2" t="inlineStr">
        <is>
          <t>mọi hỏa lực hỗ trợ có vùng báo trước (StrikeWarning, delay)</t>
        </is>
      </c>
      <c r="I2" t="inlineStr">
        <is>
          <t>the_ho_tro</t>
        </is>
      </c>
      <c r="J2" t="n">
        <v>12</v>
      </c>
      <c r="K2" t="n">
        <v>4</v>
      </c>
      <c r="L2" t="inlineStr">
        <is>
          <t>Assets/MachineBrigade/Resources/Data/balance.json: supports[12]</t>
        </is>
      </c>
      <c r="M2" t="inlineStr"/>
    </row>
    <row r="3">
      <c r="A3" t="inlineStr">
        <is>
          <t>airship_carpet</t>
        </is>
      </c>
      <c r="B3" t="n">
        <v>7</v>
      </c>
      <c r="C3" t="n">
        <v>14</v>
      </c>
      <c r="D3" t="inlineStr">
        <is>
          <t>TRUE</t>
        </is>
      </c>
      <c r="E3" t="n">
        <v>80</v>
      </c>
      <c r="F3" t="inlineStr">
        <is>
          <t>Assets/MachineBrigade/Scripts/Sim/Bosses/BossSystem.BigAttacks.cs:492-505 (Strip zone)</t>
        </is>
      </c>
      <c r="G3" t="inlineStr">
        <is>
          <t>hình chữ nhật dài × rộng theo hướng boss (BigZone)</t>
        </is>
      </c>
      <c r="H3" t="inlineStr">
        <is>
          <t>siêu vũ khí luôn hiện vòng</t>
        </is>
      </c>
      <c r="I3" t="inlineStr">
        <is>
          <t>sieu_vu_khi_boss</t>
        </is>
      </c>
      <c r="J3" t="n">
        <v>12</v>
      </c>
      <c r="K3" t="n">
        <v>4</v>
      </c>
      <c r="L3" t="inlineStr">
        <is>
          <t>Assets/MachineBrigade/Resources/Data/balance.json: bigAttacks[7]</t>
        </is>
      </c>
      <c r="M3" t="inlineStr"/>
    </row>
    <row r="4">
      <c r="A4" t="inlineStr">
        <is>
          <t>airstrike</t>
        </is>
      </c>
      <c r="B4" t="inlineStr"/>
      <c r="C4" t="n">
        <v>0</v>
      </c>
      <c r="D4" t="inlineStr">
        <is>
          <t>TRUE</t>
        </is>
      </c>
      <c r="E4" t="n">
        <v>60</v>
      </c>
      <c r="F4" t="inlineStr">
        <is>
          <t>Assets/MachineBrigade/Scripts/Sim/Strikes/StrikeSystem.cs:165-166 StrikeWarning; :111 Incoming (bán kính max(radius, length/2)); Game/Effects/StrikeEffects.cs (vẽ)</t>
        </is>
      </c>
      <c r="G4" t="inlineStr">
        <is>
          <t>dải dọc đường bay từ điểm chọn tới điểm + hướng × length</t>
        </is>
      </c>
      <c r="H4" t="inlineStr">
        <is>
          <t>mọi hỏa lực hỗ trợ có vùng báo trước (StrikeWarning, delay)</t>
        </is>
      </c>
      <c r="I4" t="inlineStr">
        <is>
          <t>the_ho_tro</t>
        </is>
      </c>
      <c r="J4" t="n">
        <v>12</v>
      </c>
      <c r="K4" t="n">
        <v>2</v>
      </c>
      <c r="L4" t="inlineStr">
        <is>
          <t>Assets/MachineBrigade/Resources/Data/balance.json: supports[1]</t>
        </is>
      </c>
      <c r="M4" t="inlineStr"/>
    </row>
    <row r="5">
      <c r="A5" t="inlineStr">
        <is>
          <t>bomber_payload</t>
        </is>
      </c>
      <c r="B5" t="n">
        <v>10</v>
      </c>
      <c r="C5" t="n">
        <v>10</v>
      </c>
      <c r="D5" t="inlineStr">
        <is>
          <t>TRUE</t>
        </is>
      </c>
      <c r="E5" t="inlineStr"/>
      <c r="F5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G5" t="inlineStr">
        <is>
          <t>2 vòng tròn đồng tâm tại điểm rơi TỪNG quả (lõi, rìa = WarnRadius); các vòng của một loạt cùng bệ được gộp</t>
        </is>
      </c>
      <c r="H5" t="inlineStr">
        <is>
          <t>FixRules.Warns: không dẫn đường, có lõi; bom ≥ 400 kg, đạn pháo ≥ 203 mm, rốc-két ≥ 300 mm (hoặc bậc ≥ T4)</t>
        </is>
      </c>
      <c r="I5" t="inlineStr">
        <is>
          <t>vu_khi_don_vi</t>
        </is>
      </c>
      <c r="J5" t="inlineStr"/>
      <c r="K5" t="n">
        <v>2.722</v>
      </c>
      <c r="L5" t="inlineStr">
        <is>
          <t>Assets/MachineBrigade/Resources/Data/balance.json: weapons[48]</t>
        </is>
      </c>
      <c r="M5" t="inlineStr"/>
    </row>
    <row r="6">
      <c r="A6" t="inlineStr">
        <is>
          <t>carrier_heavy_bomb</t>
        </is>
      </c>
      <c r="B6" t="n">
        <v>16</v>
      </c>
      <c r="C6" t="n">
        <v>20</v>
      </c>
      <c r="D6" t="inlineStr">
        <is>
          <t>TRUE</t>
        </is>
      </c>
      <c r="E6" t="inlineStr"/>
      <c r="F6" t="inlineStr">
        <is>
          <t>Assets/MachineBrigade/Scripts/Sim/Bosses/BossSystem.BigAttacks.cs:492-505 (Strip zone)</t>
        </is>
      </c>
      <c r="G6" t="inlineStr">
        <is>
          <t>vòng tại điểm rơi</t>
        </is>
      </c>
      <c r="H6" t="inlineStr">
        <is>
          <t>siêu vũ khí luôn hiện vòng</t>
        </is>
      </c>
      <c r="I6" t="inlineStr">
        <is>
          <t>sieu_vu_khi_boss</t>
        </is>
      </c>
      <c r="J6" t="inlineStr"/>
      <c r="K6" t="n">
        <v>3.5</v>
      </c>
      <c r="L6" t="inlineStr">
        <is>
          <t>Assets/MachineBrigade/Resources/Data/balance.json: bigAttacks[6]</t>
        </is>
      </c>
      <c r="M6" t="inlineStr"/>
    </row>
    <row r="7">
      <c r="A7" t="inlineStr">
        <is>
          <t>cluster_strike</t>
        </is>
      </c>
      <c r="B7" t="inlineStr"/>
      <c r="C7" t="n">
        <v>0</v>
      </c>
      <c r="D7" t="inlineStr">
        <is>
          <t>TRUE</t>
        </is>
      </c>
      <c r="E7" t="n">
        <v>60</v>
      </c>
      <c r="F7" t="inlineStr">
        <is>
          <t>Assets/MachineBrigade/Scripts/Sim/Strikes/StrikeSystem.cs:165-166 StrikeWarning; :111 Incoming (bán kính max(radius, length/2)); Game/Effects/StrikeEffects.cs (vẽ)</t>
        </is>
      </c>
      <c r="G7" t="inlineStr">
        <is>
          <t>dải dọc đường bay từ điểm chọn tới điểm + hướng × length</t>
        </is>
      </c>
      <c r="H7" t="inlineStr">
        <is>
          <t>mọi hỏa lực hỗ trợ có vùng báo trước (StrikeWarning, delay)</t>
        </is>
      </c>
      <c r="I7" t="inlineStr">
        <is>
          <t>the_ho_tro</t>
        </is>
      </c>
      <c r="J7" t="n">
        <v>20</v>
      </c>
      <c r="K7" t="n">
        <v>2.5</v>
      </c>
      <c r="L7" t="inlineStr">
        <is>
          <t>Assets/MachineBrigade/Resources/Data/balance.json: supports[16]</t>
        </is>
      </c>
      <c r="M7" t="inlineStr"/>
    </row>
    <row r="8">
      <c r="A8" t="inlineStr">
        <is>
          <t>glide_bomb_strike</t>
        </is>
      </c>
      <c r="B8" t="n">
        <v>10</v>
      </c>
      <c r="C8" t="n">
        <v>0</v>
      </c>
      <c r="D8" t="inlineStr">
        <is>
          <t>TRUE</t>
        </is>
      </c>
      <c r="E8" t="inlineStr"/>
      <c r="F8" t="inlineStr">
        <is>
          <t>Assets/MachineBrigade/Scripts/Sim/Strikes/StrikeSystem.cs:165-166 StrikeWarning; :111 Incoming (bán kính max(radius, length/2)); Game/Effects/StrikeEffects.cs (vẽ)</t>
        </is>
      </c>
      <c r="G8" t="inlineStr">
        <is>
          <t>vòng tròn quanh điểm chọn</t>
        </is>
      </c>
      <c r="H8" t="inlineStr">
        <is>
          <t>mọi hỏa lực hỗ trợ có vùng báo trước (StrikeWarning, delay)</t>
        </is>
      </c>
      <c r="I8" t="inlineStr">
        <is>
          <t>the_ho_tro</t>
        </is>
      </c>
      <c r="J8" t="inlineStr"/>
      <c r="K8" t="n">
        <v>3</v>
      </c>
      <c r="L8" t="inlineStr">
        <is>
          <t>Assets/MachineBrigade/Resources/Data/balance.json: supports[23]</t>
        </is>
      </c>
      <c r="M8" t="inlineStr"/>
    </row>
    <row r="9">
      <c r="A9" t="inlineStr">
        <is>
          <t>guided_bomb</t>
        </is>
      </c>
      <c r="B9" t="n">
        <v>4</v>
      </c>
      <c r="C9" t="inlineStr"/>
      <c r="D9" t="inlineStr">
        <is>
          <t>FALSE</t>
        </is>
      </c>
      <c r="E9" t="inlineStr"/>
      <c r="F9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G9" t="inlineStr">
        <is>
          <t>không có vòng</t>
        </is>
      </c>
      <c r="H9" t="inlineStr">
        <is>
          <t>FixRules.Warns: không dẫn đường, có lõi; bom ≥ 400 kg, đạn pháo ≥ 203 mm, rốc-két ≥ 300 mm (hoặc bậc ≥ T4)</t>
        </is>
      </c>
      <c r="I9" t="inlineStr">
        <is>
          <t>vu_khi_don_vi</t>
        </is>
      </c>
      <c r="J9" t="inlineStr"/>
      <c r="K9" t="n">
        <v>0</v>
      </c>
      <c r="L9" t="inlineStr">
        <is>
          <t>Assets/MachineBrigade/Resources/Data/balance.json: weapons[236]</t>
        </is>
      </c>
      <c r="M9" t="inlineStr"/>
    </row>
    <row r="10">
      <c r="A10" t="inlineStr">
        <is>
          <t>jet_bombs</t>
        </is>
      </c>
      <c r="B10" t="n">
        <v>8</v>
      </c>
      <c r="C10" t="inlineStr"/>
      <c r="D10" t="inlineStr">
        <is>
          <t>FALSE</t>
        </is>
      </c>
      <c r="E10" t="inlineStr"/>
      <c r="F10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G10" t="inlineStr">
        <is>
          <t>không có vòng</t>
        </is>
      </c>
      <c r="H10" t="inlineStr">
        <is>
          <t>FixRules.Warns: không dẫn đường, có lõi; bom ≥ 400 kg, đạn pháo ≥ 203 mm, rốc-két ≥ 300 mm (hoặc bậc ≥ T4)</t>
        </is>
      </c>
      <c r="I10" t="inlineStr">
        <is>
          <t>vu_khi_don_vi</t>
        </is>
      </c>
      <c r="J10" t="inlineStr"/>
      <c r="K10" t="n">
        <v>0</v>
      </c>
      <c r="L10" t="inlineStr">
        <is>
          <t>Assets/MachineBrigade/Resources/Data/balance.json: weapons[40]</t>
        </is>
      </c>
      <c r="M10" t="inlineStr"/>
    </row>
    <row r="11">
      <c r="A11" t="inlineStr">
        <is>
          <t>kraken_air_raid</t>
        </is>
      </c>
      <c r="B11" t="n">
        <v>9</v>
      </c>
      <c r="C11" t="n">
        <v>18</v>
      </c>
      <c r="D11" t="inlineStr">
        <is>
          <t>TRUE</t>
        </is>
      </c>
      <c r="E11" t="n">
        <v>90</v>
      </c>
      <c r="F11" t="inlineStr">
        <is>
          <t>Assets/MachineBrigade/Scripts/Sim/Bosses/BossSystem.BigAttacks.cs:492-505 (Strip zone)</t>
        </is>
      </c>
      <c r="G11" t="inlineStr">
        <is>
          <t>hình chữ nhật dài × rộng theo hướng boss (BigZone)</t>
        </is>
      </c>
      <c r="H11" t="inlineStr">
        <is>
          <t>siêu vũ khí luôn hiện vòng</t>
        </is>
      </c>
      <c r="I11" t="inlineStr">
        <is>
          <t>sieu_vu_khi_boss</t>
        </is>
      </c>
      <c r="J11" t="n">
        <v>14</v>
      </c>
      <c r="K11" t="n">
        <v>4</v>
      </c>
      <c r="L11" t="inlineStr">
        <is>
          <t>Assets/MachineBrigade/Resources/Data/balance.json: bigAttacks[12]</t>
        </is>
      </c>
      <c r="M11" t="inlineStr"/>
    </row>
    <row r="12">
      <c r="A12" t="inlineStr">
        <is>
          <t>napalm_strike</t>
        </is>
      </c>
      <c r="B12" t="inlineStr"/>
      <c r="C12" t="n">
        <v>0</v>
      </c>
      <c r="D12" t="inlineStr">
        <is>
          <t>TRUE</t>
        </is>
      </c>
      <c r="E12" t="n">
        <v>55</v>
      </c>
      <c r="F12" t="inlineStr">
        <is>
          <t>Assets/MachineBrigade/Scripts/Sim/Strikes/StrikeSystem.cs:165-166 StrikeWarning; :111 Incoming (bán kính max(radius, length/2)); Game/Effects/StrikeEffects.cs (vẽ)</t>
        </is>
      </c>
      <c r="G12" t="inlineStr">
        <is>
          <t>dải dọc đường bay từ điểm chọn tới điểm + hướng × length</t>
        </is>
      </c>
      <c r="H12" t="inlineStr">
        <is>
          <t>mọi hỏa lực hỗ trợ có vùng báo trước (StrikeWarning, delay)</t>
        </is>
      </c>
      <c r="I12" t="inlineStr">
        <is>
          <t>the_ho_tro</t>
        </is>
      </c>
      <c r="J12" t="n">
        <v>10</v>
      </c>
      <c r="K12" t="n">
        <v>2</v>
      </c>
      <c r="L12" t="inlineStr">
        <is>
          <t>Assets/MachineBrigade/Resources/Data/balance.json: supports[4]</t>
        </is>
      </c>
      <c r="M12" t="inlineStr"/>
    </row>
    <row r="13">
      <c r="A13" t="inlineStr">
        <is>
          <t>p26_roc_main_roc_bombs</t>
        </is>
      </c>
      <c r="B13" t="n">
        <v>10</v>
      </c>
      <c r="C13" t="n">
        <v>20</v>
      </c>
      <c r="D13" t="inlineStr">
        <is>
          <t>TRUE</t>
        </is>
      </c>
      <c r="E13" t="inlineStr"/>
      <c r="F13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G13" t="inlineStr">
        <is>
          <t>2 vòng tròn đồng tâm tại điểm rơi TỪNG quả (lõi, rìa = WarnRadius); các vòng của một loạt cùng bệ được gộp</t>
        </is>
      </c>
      <c r="H13" t="inlineStr">
        <is>
          <t>FixRules.Warns: không dẫn đường, có lõi; bom ≥ 400 kg, đạn pháo ≥ 203 mm, rốc-két ≥ 300 mm (hoặc bậc ≥ T4)</t>
        </is>
      </c>
      <c r="I13" t="inlineStr">
        <is>
          <t>vu_khi_don_vi</t>
        </is>
      </c>
      <c r="J13" t="inlineStr"/>
      <c r="K13" t="n">
        <v>2.722</v>
      </c>
      <c r="L13" t="inlineStr">
        <is>
          <t>Assets/MachineBrigade/Resources/Data/balance.json: weapons[204]</t>
        </is>
      </c>
      <c r="M13" t="inlineStr"/>
    </row>
    <row r="14">
      <c r="A14" t="inlineStr">
        <is>
          <t>p26_roc_roc_bombs</t>
        </is>
      </c>
      <c r="B14" t="n">
        <v>10</v>
      </c>
      <c r="C14" t="n">
        <v>20</v>
      </c>
      <c r="D14" t="inlineStr">
        <is>
          <t>TRUE</t>
        </is>
      </c>
      <c r="E14" t="inlineStr"/>
      <c r="F14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G14" t="inlineStr">
        <is>
          <t>2 vòng tròn đồng tâm tại điểm rơi TỪNG quả (lõi, rìa = WarnRadius); các vòng của một loạt cùng bệ được gộp</t>
        </is>
      </c>
      <c r="H14" t="inlineStr">
        <is>
          <t>FixRules.Warns: không dẫn đường, có lõi; bom ≥ 400 kg, đạn pháo ≥ 203 mm, rốc-két ≥ 300 mm (hoặc bậc ≥ T4)</t>
        </is>
      </c>
      <c r="I14" t="inlineStr">
        <is>
          <t>vu_khi_don_vi</t>
        </is>
      </c>
      <c r="J14" t="inlineStr"/>
      <c r="K14" t="n">
        <v>2.722</v>
      </c>
      <c r="L14" t="inlineStr">
        <is>
          <t>Assets/MachineBrigade/Resources/Data/balance.json: weapons[201]</t>
        </is>
      </c>
      <c r="M14" t="inlineStr"/>
    </row>
    <row r="15">
      <c r="A15" t="inlineStr">
        <is>
          <t>stealth_payload</t>
        </is>
      </c>
      <c r="B15" t="n">
        <v>13</v>
      </c>
      <c r="C15" t="inlineStr"/>
      <c r="D15" t="inlineStr">
        <is>
          <t>FALSE</t>
        </is>
      </c>
      <c r="E15" t="inlineStr"/>
      <c r="F15" t="inlineStr">
        <is>
          <t>Assets/MachineBrigade/Scripts/Sim/Content/FixRules.cs:134-145 Warns; Assets/MachineBrigade/Scripts/Game/Effects/EffectsDirector.Warnings.cs:57-68 EscapeRing; Assets/MachineBrigade/Scripts/Sim/Content/WeaponDef.P34.cs:64-67</t>
        </is>
      </c>
      <c r="G15" t="inlineStr">
        <is>
          <t>không có vòng</t>
        </is>
      </c>
      <c r="H15" t="inlineStr">
        <is>
          <t>FixRules.Warns: không dẫn đường, có lõi; bom ≥ 400 kg, đạn pháo ≥ 203 mm, rốc-két ≥ 300 mm (hoặc bậc ≥ T4)</t>
        </is>
      </c>
      <c r="I15" t="inlineStr">
        <is>
          <t>vu_khi_don_vi</t>
        </is>
      </c>
      <c r="J15" t="inlineStr"/>
      <c r="K15" t="n">
        <v>0</v>
      </c>
      <c r="L15" t="inlineStr">
        <is>
          <t>Assets/MachineBrigade/Resources/Data/balance.json: weapons[50]</t>
        </is>
      </c>
      <c r="M15" t="inlineStr"/>
    </row>
  </sheetData>
  <autoFilter ref="A1:M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