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He_so_toan_cuc" sheetId="10" state="visible" r:id="rId10"/>
    <sheet name="Khac_che" sheetId="11" state="visible" r:id="rId11"/>
    <sheet name="Phao_sang" sheetId="12" state="visible" r:id="rId12"/>
    <sheet name="Hanh_vi_dan" sheetId="13" state="visible" r:id="rId13"/>
    <sheet name="Hanh_vi_dan_nhom" sheetId="14" state="visible" r:id="rId14"/>
    <sheet name="Drone" sheetId="15" state="visible" r:id="rId15"/>
    <sheet name="Ten_lua_tham_so" sheetId="16" state="visible" r:id="rId16"/>
    <sheet name="Canh_bao_vong" sheetId="17" state="visible" r:id="rId17"/>
    <sheet name="Bom_rai_tham" sheetId="18" state="visible" r:id="rId18"/>
    <sheet name="Vu_khi_suy_ra" sheetId="19" state="visible" r:id="rId19"/>
    <sheet name="Vu_khi_tham_chieu" sheetId="20" state="visible" r:id="rId20"/>
    <sheet name="Vu_khi_so_sanh_that" sheetId="21" state="visible" r:id="rId21"/>
    <sheet name="Xe" sheetId="22" state="visible" r:id="rId22"/>
    <sheet name="Xe_vu_khi" sheetId="23" state="visible" r:id="rId23"/>
    <sheet name="Xe_ten_lua" sheetId="24" state="visible" r:id="rId24"/>
    <sheet name="Xe_bo_phan" sheetId="25" state="visible" r:id="rId25"/>
    <sheet name="The_ho_tro" sheetId="26" state="visible" r:id="rId26"/>
    <sheet name="Ky_nang" sheetId="27" state="visible" r:id="rId27"/>
    <sheet name="Tinh_nhue_luat" sheetId="28" state="visible" r:id="rId28"/>
    <sheet name="Nhanh_xe" sheetId="29" state="visible" r:id="rId29"/>
    <sheet name="Do_ben" sheetId="30" state="visible" r:id="rId30"/>
    <sheet name="Commander" sheetId="31" state="visible" r:id="rId31"/>
    <sheet name="Commander_noi_tai" sheetId="32" state="visible" r:id="rId32"/>
    <sheet name="Commander_gia" sheetId="33" state="visible" r:id="rId33"/>
    <sheet name="Doi_mo_man" sheetId="34" state="visible" r:id="rId34"/>
    <sheet name="Doi_mo_man_vai_tro" sheetId="35" state="visible" r:id="rId35"/>
    <sheet name="Doi_mo_man_luat" sheetId="36" state="visible" r:id="rId36"/>
    <sheet name="Xe_tham_chieu" sheetId="37" state="visible" r:id="rId37"/>
    <sheet name="xe_input_vu_khi" sheetId="38" state="visible" r:id="rId38"/>
    <sheet name="xe_input_vu_khi_suy_ra" sheetId="39" state="visible" r:id="rId39"/>
    <sheet name="xe_input_bang_xuyen_giap" sheetId="40" state="visible" r:id="rId40"/>
    <sheet name="xe_input_bang_danh_noc" sheetId="41" state="visible" r:id="rId41"/>
    <sheet name="Xe_suy_ra" sheetId="42" state="visible" r:id="rId42"/>
    <sheet name="Hoi_quy_du_lieu" sheetId="43" state="visible" r:id="rId43"/>
    <sheet name="Hoi_quy" sheetId="44" state="visible" r:id="rId44"/>
    <sheet name="May_bay_so_phat" sheetId="45" state="visible" r:id="rId45"/>
    <sheet name="Doi_mo_man_suy_ra" sheetId="46" state="visible" r:id="rId46"/>
    <sheet name="xe_input_kich_thuoc_that" sheetId="47" state="visible" r:id="rId47"/>
    <sheet name="Phuong_tien_tham_chieu" sheetId="48" state="visible" r:id="rId48"/>
    <sheet name="Phuong_tien_so_sanh_that" sheetId="49" state="visible" r:id="rId49"/>
    <sheet name="So_tay_dan" sheetId="50" state="visible" r:id="rId50"/>
    <sheet name="Hang_so_vu_khi" sheetId="51" state="visible" r:id="rId51"/>
    <sheet name="Hang_so_phuong_tien" sheetId="52" state="visible" r:id="rId52"/>
    <sheet name="Bom_vu_khi" sheetId="53" state="visible" r:id="rId53"/>
    <sheet name="Bom_don_vi" sheetId="54" state="visible" r:id="rId54"/>
    <sheet name="Bom_hanh_vi" sheetId="55" state="visible" r:id="rId55"/>
    <sheet name="Bom_canh_bao" sheetId="56" state="visible" r:id="rId56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'He_so_toan_cuc'!$A$1:$H$5</definedName>
    <definedName name="_xlnm._FilterDatabase" localSheetId="10" hidden="1">'Khac_che'!$A$1:$AD$24</definedName>
    <definedName name="_xlnm._FilterDatabase" localSheetId="11" hidden="1">'Phao_sang'!$A$1:$S$12</definedName>
    <definedName name="_xlnm._FilterDatabase" localSheetId="12" hidden="1">'Hanh_vi_dan'!$A$1:$H$12</definedName>
    <definedName name="_xlnm._FilterDatabase" localSheetId="13" hidden="1">'Hanh_vi_dan_nhom'!$A$1:$L$8</definedName>
    <definedName name="_xlnm._FilterDatabase" localSheetId="14" hidden="1">'Drone'!$A$1:$S$14</definedName>
    <definedName name="_xlnm._FilterDatabase" localSheetId="15" hidden="1">'Ten_lua_tham_so'!$A$1:$U$53</definedName>
    <definedName name="_xlnm._FilterDatabase" localSheetId="16" hidden="1">'Canh_bao_vong'!$A$1:$H$14</definedName>
    <definedName name="_xlnm._FilterDatabase" localSheetId="17" hidden="1">'Bom_rai_tham'!$A$1:$Q$7</definedName>
    <definedName name="_xlnm._FilterDatabase" localSheetId="18" hidden="1">'Vu_khi_suy_ra'!$A$1:$BC$360</definedName>
    <definedName name="_xlnm._FilterDatabase" localSheetId="19" hidden="1">'Vu_khi_tham_chieu'!$A$1:$AG$360</definedName>
    <definedName name="_xlnm._FilterDatabase" localSheetId="20" hidden="1">'Vu_khi_so_sanh_that'!$A$1:$Q$264</definedName>
    <definedName name="_xlnm._FilterDatabase" localSheetId="21" hidden="1">'Xe'!$A$1:$FO$80</definedName>
    <definedName name="_xlnm._FilterDatabase" localSheetId="22" hidden="1">'Xe_vu_khi'!$A$1:$K$77</definedName>
    <definedName name="_xlnm._FilterDatabase" localSheetId="23" hidden="1">'Xe_ten_lua'!$A$1:$H$4</definedName>
    <definedName name="_xlnm._FilterDatabase" localSheetId="24" hidden="1">'Xe_bo_phan'!$A$1:$Q$7</definedName>
    <definedName name="_xlnm._FilterDatabase" localSheetId="25" hidden="1">'The_ho_tro'!$A$1:$AL$26</definedName>
    <definedName name="_xlnm._FilterDatabase" localSheetId="26" hidden="1">'Ky_nang'!$A$1:$O$22</definedName>
    <definedName name="_xlnm._FilterDatabase" localSheetId="27" hidden="1">'Tinh_nhue_luat'!$A$1:$H$21</definedName>
    <definedName name="_xlnm._FilterDatabase" localSheetId="28" hidden="1">'Nhanh_xe'!$A$1:$D$5</definedName>
    <definedName name="_xlnm._FilterDatabase" localSheetId="29" hidden="1">'Do_ben'!$A$1:$H$3</definedName>
    <definedName name="_xlnm._FilterDatabase" localSheetId="30" hidden="1">'Commander'!$A$1:$AF$23</definedName>
    <definedName name="_xlnm._FilterDatabase" localSheetId="31" hidden="1">'Commander_noi_tai'!$A$1:$H$46</definedName>
    <definedName name="_xlnm._FilterDatabase" localSheetId="32" hidden="1">'Commander_gia'!$A$1:$G$6</definedName>
    <definedName name="_xlnm._FilterDatabase" localSheetId="33" hidden="1">'Doi_mo_man'!$A$1:$G$24</definedName>
    <definedName name="_xlnm._FilterDatabase" localSheetId="34" hidden="1">'Doi_mo_man_vai_tro'!$A$1:$G$19</definedName>
    <definedName name="_xlnm._FilterDatabase" localSheetId="35" hidden="1">'Doi_mo_man_luat'!$A$1:$H$4</definedName>
    <definedName name="_xlnm._FilterDatabase" localSheetId="36" hidden="1">'Xe_tham_chieu'!$A$1:$J$7</definedName>
    <definedName name="_xlnm._FilterDatabase" localSheetId="37" hidden="1">'xe_input_vu_khi'!$A$1:$J$66</definedName>
    <definedName name="_xlnm._FilterDatabase" localSheetId="38" hidden="1">'xe_input_vu_khi_suy_ra'!$A$1:$K$66</definedName>
    <definedName name="_xlnm._FilterDatabase" localSheetId="39" hidden="1">'xe_input_bang_xuyen_giap'!$A$1:$D$8</definedName>
    <definedName name="_xlnm._FilterDatabase" localSheetId="40" hidden="1">'xe_input_bang_danh_noc'!$A$1:$D$8</definedName>
    <definedName name="_xlnm._FilterDatabase" localSheetId="41" hidden="1">'Xe_suy_ra'!$A$1:$Q$80</definedName>
    <definedName name="_xlnm._FilterDatabase" localSheetId="42" hidden="1">'Hoi_quy_du_lieu'!$A$1:$S$51</definedName>
    <definedName name="_xlnm._FilterDatabase" localSheetId="43" hidden="1">'Hoi_quy'!$A$1:$E$13</definedName>
    <definedName name="_xlnm._FilterDatabase" localSheetId="44" hidden="1">'May_bay_so_phat'!$A$1:$O$15</definedName>
    <definedName name="_xlnm._FilterDatabase" localSheetId="45" hidden="1">'Doi_mo_man_suy_ra'!$A$1:$G$24</definedName>
    <definedName name="_xlnm._FilterDatabase" localSheetId="46" hidden="1">'xe_input_kich_thuoc_that'!$A$1:$I$66</definedName>
    <definedName name="_xlnm._FilterDatabase" localSheetId="47" hidden="1">'Phuong_tien_tham_chieu'!$A$1:$AK$105</definedName>
    <definedName name="_xlnm._FilterDatabase" localSheetId="48" hidden="1">'Phuong_tien_so_sanh_that'!$A$1:$Q$222</definedName>
    <definedName name="_xlnm._FilterDatabase" localSheetId="49" hidden="1">'So_tay_dan'!$A$1:$H$3</definedName>
    <definedName name="_xlnm._FilterDatabase" localSheetId="50" hidden="1">'Hang_so_vu_khi'!$A$1:$K$42</definedName>
    <definedName name="_xlnm._FilterDatabase" localSheetId="51" hidden="1">'Hang_so_phuong_tien'!$A$1:$K$99</definedName>
    <definedName name="_xlnm._FilterDatabase" localSheetId="52" hidden="1">'Bom_vu_khi'!$A$1:$BV$15</definedName>
    <definedName name="_xlnm._FilterDatabase" localSheetId="53" hidden="1">'Bom_don_vi'!$A$1:$S$18</definedName>
    <definedName name="_xlnm._FilterDatabase" localSheetId="54" hidden="1">'Bom_hanh_vi'!$A$1:$G$19</definedName>
    <definedName name="_xlnm._FilterDatabase" localSheetId="55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90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IF(Vu_khi!$AG$2,INDEX(Bang_danh_noc!$C$2:$C$8,MIN(7,MAX(1,2-(Vu_khi!$L$2-0)+1))),INDEX(Bang_xuyen_giap!$C$2:$C$8,MIN(7,MAX(1,IF($O$2,MAX(1,2-(Vu_khi!$L$2-0)),2-(Vu_khi!$L$2-0))+1))))</f>
        <v/>
      </c>
      <c r="AB2" t="n">
        <v>1</v>
      </c>
      <c r="AC2">
        <f>IF(Vu_khi!$AG$2,INDEX(Bang_danh_noc!$C$2:$C$8,MIN(7,MAX(1,2-(Vu_khi!$L$2-2)+1))),INDEX(Bang_xuyen_giap!$C$2:$C$8,MIN(7,MAX(1,IF($O$2,MAX(1,2-(Vu_khi!$L$2-2)),2-(Vu_khi!$L$2-2))+1))))</f>
        <v/>
      </c>
      <c r="AD2" t="n">
        <v>0.65</v>
      </c>
      <c r="AE2">
        <f>IF(Vu_khi!$AG$2,INDEX(Bang_danh_noc!$C$2:$C$8,MIN(7,MAX(1,2-(Vu_khi!$L$2-4)+1))),INDEX(Bang_xuyen_giap!$C$2:$C$8,MIN(7,MAX(1,IF($O$2,MAX(1,2-(Vu_khi!$L$2-4)),2-(Vu_khi!$L$2-4))+1))))</f>
        <v/>
      </c>
      <c r="AF2" t="n">
        <v>0.15</v>
      </c>
      <c r="AG2">
        <f>INDEX(Bang_xuyen_giap!$C$2:$C$8,MIN(7,MAX(1,MAX(1,2-(Vu_khi!$L$2-0))+1)))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111.0483870967742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IF(Vu_khi!$AG$3,INDEX(Bang_danh_noc!$C$2:$C$8,MIN(7,MAX(1,2-(Vu_khi!$L$3-0)+1))),INDEX(Bang_xuyen_giap!$C$2:$C$8,MIN(7,MAX(1,IF($O$3,MAX(1,2-(Vu_khi!$L$3-0)),2-(Vu_khi!$L$3-0))+1))))</f>
        <v/>
      </c>
      <c r="AB3" t="n">
        <v>1.2</v>
      </c>
      <c r="AC3">
        <f>IF(Vu_khi!$AG$3,INDEX(Bang_danh_noc!$C$2:$C$8,MIN(7,MAX(1,2-(Vu_khi!$L$3-2)+1))),INDEX(Bang_xuyen_giap!$C$2:$C$8,MIN(7,MAX(1,IF($O$3,MAX(1,2-(Vu_khi!$L$3-2)),2-(Vu_khi!$L$3-2))+1))))</f>
        <v/>
      </c>
      <c r="AD3" t="n">
        <v>0.85</v>
      </c>
      <c r="AE3">
        <f>IF(Vu_khi!$AG$3,INDEX(Bang_danh_noc!$C$2:$C$8,MIN(7,MAX(1,2-(Vu_khi!$L$3-4)+1))),INDEX(Bang_xuyen_giap!$C$2:$C$8,MIN(7,MAX(1,IF($O$3,MAX(1,2-(Vu_khi!$L$3-4)),2-(Vu_khi!$L$3-4))+1))))</f>
        <v/>
      </c>
      <c r="AF3" t="n">
        <v>0.4</v>
      </c>
      <c r="AG3">
        <f>INDEX(Bang_xuyen_giap!$C$2:$C$8,MIN(7,MAX(1,MAX(1,2-(Vu_khi!$L$3-0))+1)))</f>
        <v/>
      </c>
      <c r="AH3" t="n">
        <v>1</v>
      </c>
      <c r="AI3">
        <f>IF($Q$3,$M$3*$AA$3*$U$3,0)</f>
        <v/>
      </c>
      <c r="AJ3" t="n">
        <v>118.4516129032258</v>
      </c>
      <c r="AK3">
        <f>IF($Q$3,$M$3*$AC$3*$U$3,0)</f>
        <v/>
      </c>
      <c r="AL3" t="n">
        <v>83.9032258064516</v>
      </c>
      <c r="AM3">
        <f>IF($Q$3,$M$3*$AE$3*$U$3,0)</f>
        <v/>
      </c>
      <c r="AN3" t="n">
        <v>39.48387096774193</v>
      </c>
      <c r="AO3">
        <f>IF($Q$3,$M$3*$AC$3*$Y$3,0)</f>
        <v/>
      </c>
      <c r="AP3" t="n">
        <v>48.94354838709677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IF(Vu_khi!$AG$4,INDEX(Bang_danh_noc!$C$2:$C$8,MIN(7,MAX(1,2-(Vu_khi!$L$4-0)+1))),INDEX(Bang_xuyen_giap!$C$2:$C$8,MIN(7,MAX(1,IF($O$4,MAX(1,2-(Vu_khi!$L$4-0)),2-(Vu_khi!$L$4-0))+1))))</f>
        <v/>
      </c>
      <c r="AB4" t="n">
        <v>1.2</v>
      </c>
      <c r="AC4">
        <f>IF(Vu_khi!$AG$4,INDEX(Bang_danh_noc!$C$2:$C$8,MIN(7,MAX(1,2-(Vu_khi!$L$4-2)+1))),INDEX(Bang_xuyen_giap!$C$2:$C$8,MIN(7,MAX(1,IF($O$4,MAX(1,2-(Vu_khi!$L$4-2)),2-(Vu_khi!$L$4-2))+1))))</f>
        <v/>
      </c>
      <c r="AD4" t="n">
        <v>0.85</v>
      </c>
      <c r="AE4">
        <f>IF(Vu_khi!$AG$4,INDEX(Bang_danh_noc!$C$2:$C$8,MIN(7,MAX(1,2-(Vu_khi!$L$4-4)+1))),INDEX(Bang_xuyen_giap!$C$2:$C$8,MIN(7,MAX(1,IF($O$4,MAX(1,2-(Vu_khi!$L$4-4)),2-(Vu_khi!$L$4-4))+1))))</f>
        <v/>
      </c>
      <c r="AF4" t="n">
        <v>0.4</v>
      </c>
      <c r="AG4">
        <f>INDEX(Bang_xuyen_giap!$C$2:$C$8,MIN(7,MAX(1,MAX(1,2-(Vu_khi!$L$4-0))+1)))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14.85714285714286</v>
      </c>
      <c r="AO4">
        <f>IF($Q$4,$M$4*$AC$4*$Y$4,0)</f>
        <v/>
      </c>
      <c r="AP4" t="n">
        <v>50.51428571428571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IF(Vu_khi!$AG$5,INDEX(Bang_danh_noc!$C$2:$C$8,MIN(7,MAX(1,2-(Vu_khi!$L$5-0)+1))),INDEX(Bang_xuyen_giap!$C$2:$C$8,MIN(7,MAX(1,IF($O$5,MAX(1,2-(Vu_khi!$L$5-0)),2-(Vu_khi!$L$5-0))+1))))</f>
        <v/>
      </c>
      <c r="AB5" t="n">
        <v>1.2</v>
      </c>
      <c r="AC5">
        <f>IF(Vu_khi!$AG$5,INDEX(Bang_danh_noc!$C$2:$C$8,MIN(7,MAX(1,2-(Vu_khi!$L$5-2)+1))),INDEX(Bang_xuyen_giap!$C$2:$C$8,MIN(7,MAX(1,IF($O$5,MAX(1,2-(Vu_khi!$L$5-2)),2-(Vu_khi!$L$5-2))+1))))</f>
        <v/>
      </c>
      <c r="AD5" t="n">
        <v>1</v>
      </c>
      <c r="AE5">
        <f>IF(Vu_khi!$AG$5,INDEX(Bang_danh_noc!$C$2:$C$8,MIN(7,MAX(1,2-(Vu_khi!$L$5-4)+1))),INDEX(Bang_xuyen_giap!$C$2:$C$8,MIN(7,MAX(1,IF($O$5,MAX(1,2-(Vu_khi!$L$5-4)),2-(Vu_khi!$L$5-4))+1))))</f>
        <v/>
      </c>
      <c r="AF5" t="n">
        <v>0.65</v>
      </c>
      <c r="AG5">
        <f>INDEX(Bang_xuyen_giap!$C$2:$C$8,MIN(7,MAX(1,MAX(1,2-(Vu_khi!$L$5-0))+1)))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21.9375</v>
      </c>
      <c r="AO5">
        <f>IF($Q$5,$M$5*$AC$5*$Y$5,0)</f>
        <v/>
      </c>
      <c r="AP5" t="n">
        <v>54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IF(Vu_khi!$AG$6,INDEX(Bang_danh_noc!$C$2:$C$8,MIN(7,MAX(1,2-(Vu_khi!$L$6-0)+1))),INDEX(Bang_xuyen_giap!$C$2:$C$8,MIN(7,MAX(1,IF($O$6,MAX(1,2-(Vu_khi!$L$6-0)),2-(Vu_khi!$L$6-0))+1))))</f>
        <v/>
      </c>
      <c r="AB6" t="n">
        <v>1.2</v>
      </c>
      <c r="AC6">
        <f>IF(Vu_khi!$AG$6,INDEX(Bang_danh_noc!$C$2:$C$8,MIN(7,MAX(1,2-(Vu_khi!$L$6-2)+1))),INDEX(Bang_xuyen_giap!$C$2:$C$8,MIN(7,MAX(1,IF($O$6,MAX(1,2-(Vu_khi!$L$6-2)),2-(Vu_khi!$L$6-2))+1))))</f>
        <v/>
      </c>
      <c r="AD6" t="n">
        <v>1</v>
      </c>
      <c r="AE6">
        <f>IF(Vu_khi!$AG$6,INDEX(Bang_danh_noc!$C$2:$C$8,MIN(7,MAX(1,2-(Vu_khi!$L$6-4)+1))),INDEX(Bang_xuyen_giap!$C$2:$C$8,MIN(7,MAX(1,IF($O$6,MAX(1,2-(Vu_khi!$L$6-4)),2-(Vu_khi!$L$6-4))+1))))</f>
        <v/>
      </c>
      <c r="AF6" t="n">
        <v>0.65</v>
      </c>
      <c r="AG6">
        <f>INDEX(Bang_xuyen_giap!$C$2:$C$8,MIN(7,MAX(1,MAX(1,2-(Vu_khi!$L$6-0))+1)))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99.47368421052632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IF(Vu_khi!$AG$7,INDEX(Bang_danh_noc!$C$2:$C$8,MIN(7,MAX(1,2-(Vu_khi!$L$7-0)+1))),INDEX(Bang_xuyen_giap!$C$2:$C$8,MIN(7,MAX(1,IF($O$7,MAX(1,2-(Vu_khi!$L$7-0)),2-(Vu_khi!$L$7-0))+1))))</f>
        <v/>
      </c>
      <c r="AB7" t="n">
        <v>1.15</v>
      </c>
      <c r="AC7">
        <f>IF(Vu_khi!$AG$7,INDEX(Bang_danh_noc!$C$2:$C$8,MIN(7,MAX(1,2-(Vu_khi!$L$7-2)+1))),INDEX(Bang_xuyen_giap!$C$2:$C$8,MIN(7,MAX(1,IF($O$7,MAX(1,2-(Vu_khi!$L$7-2)),2-(Vu_khi!$L$7-2))+1))))</f>
        <v/>
      </c>
      <c r="AD7" t="n">
        <v>1.1</v>
      </c>
      <c r="AE7">
        <f>IF(Vu_khi!$AG$7,INDEX(Bang_danh_noc!$C$2:$C$8,MIN(7,MAX(1,2-(Vu_khi!$L$7-4)+1))),INDEX(Bang_xuyen_giap!$C$2:$C$8,MIN(7,MAX(1,IF($O$7,MAX(1,2-(Vu_khi!$L$7-4)),2-(Vu_khi!$L$7-4))+1))))</f>
        <v/>
      </c>
      <c r="AF7" t="n">
        <v>0.75</v>
      </c>
      <c r="AG7">
        <f>INDEX(Bang_xuyen_giap!$C$2:$C$8,MIN(7,MAX(1,MAX(1,2-(Vu_khi!$L$7-0))+1)))</f>
        <v/>
      </c>
      <c r="AH7" t="n">
        <v>1</v>
      </c>
      <c r="AI7">
        <f>IF($Q$7,$M$7*$AA$7*$U$7,0)</f>
        <v/>
      </c>
      <c r="AJ7" t="n">
        <v>69.38121546961327</v>
      </c>
      <c r="AK7">
        <f>IF($Q$7,$M$7*$AC$7*$U$7,0)</f>
        <v/>
      </c>
      <c r="AL7" t="n">
        <v>66.36464088397791</v>
      </c>
      <c r="AM7">
        <f>IF($Q$7,$M$7*$AE$7*$U$7,0)</f>
        <v/>
      </c>
      <c r="AN7" t="n">
        <v>45.2486187845304</v>
      </c>
      <c r="AO7">
        <f>IF($Q$7,$M$7*$AC$7*$Y$7,0)</f>
        <v/>
      </c>
      <c r="AP7" t="n">
        <v>22.97237569060774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IF(Vu_khi!$AG$8,INDEX(Bang_danh_noc!$C$2:$C$8,MIN(7,MAX(1,2-(Vu_khi!$L$8-0)+1))),INDEX(Bang_xuyen_giap!$C$2:$C$8,MIN(7,MAX(1,IF($O$8,MAX(1,2-(Vu_khi!$L$8-0)),2-(Vu_khi!$L$8-0))+1))))</f>
        <v/>
      </c>
      <c r="AB8" t="n">
        <v>1.2</v>
      </c>
      <c r="AC8">
        <f>IF(Vu_khi!$AG$8,INDEX(Bang_danh_noc!$C$2:$C$8,MIN(7,MAX(1,2-(Vu_khi!$L$8-2)+1))),INDEX(Bang_xuyen_giap!$C$2:$C$8,MIN(7,MAX(1,IF($O$8,MAX(1,2-(Vu_khi!$L$8-2)),2-(Vu_khi!$L$8-2))+1))))</f>
        <v/>
      </c>
      <c r="AD8" t="n">
        <v>0.85</v>
      </c>
      <c r="AE8">
        <f>IF(Vu_khi!$AG$8,INDEX(Bang_danh_noc!$C$2:$C$8,MIN(7,MAX(1,2-(Vu_khi!$L$8-4)+1))),INDEX(Bang_xuyen_giap!$C$2:$C$8,MIN(7,MAX(1,IF($O$8,MAX(1,2-(Vu_khi!$L$8-4)),2-(Vu_khi!$L$8-4))+1))))</f>
        <v/>
      </c>
      <c r="AF8" t="n">
        <v>0.4</v>
      </c>
      <c r="AG8">
        <f>INDEX(Bang_xuyen_giap!$C$2:$C$8,MIN(7,MAX(1,MAX(1,2-(Vu_khi!$L$8-0))+1)))</f>
        <v/>
      </c>
      <c r="AH8" t="n">
        <v>1</v>
      </c>
      <c r="AI8">
        <f>IF($Q$8,$M$8*$AA$8*$U$8,0)</f>
        <v/>
      </c>
      <c r="AJ8" t="n">
        <v>61.96721311475411</v>
      </c>
      <c r="AK8">
        <f>IF($Q$8,$M$8*$AC$8*$U$8,0)</f>
        <v/>
      </c>
      <c r="AL8" t="n">
        <v>43.89344262295082</v>
      </c>
      <c r="AM8">
        <f>IF($Q$8,$M$8*$AE$8*$U$8,0)</f>
        <v/>
      </c>
      <c r="AN8" t="n">
        <v>20.65573770491804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154.9180327868853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IF(Vu_khi!$AG$9,INDEX(Bang_danh_noc!$C$2:$C$8,MIN(7,MAX(1,2-(Vu_khi!$L$9-0)+1))),INDEX(Bang_xuyen_giap!$C$2:$C$8,MIN(7,MAX(1,IF($O$9,MAX(1,2-(Vu_khi!$L$9-0)),2-(Vu_khi!$L$9-0))+1))))</f>
        <v/>
      </c>
      <c r="AB9" t="n">
        <v>1</v>
      </c>
      <c r="AC9">
        <f>IF(Vu_khi!$AG$9,INDEX(Bang_danh_noc!$C$2:$C$8,MIN(7,MAX(1,2-(Vu_khi!$L$9-2)+1))),INDEX(Bang_xuyen_giap!$C$2:$C$8,MIN(7,MAX(1,IF($O$9,MAX(1,2-(Vu_khi!$L$9-2)),2-(Vu_khi!$L$9-2))+1))))</f>
        <v/>
      </c>
      <c r="AD9" t="n">
        <v>0.85</v>
      </c>
      <c r="AE9">
        <f>IF(Vu_khi!$AG$9,INDEX(Bang_danh_noc!$C$2:$C$8,MIN(7,MAX(1,2-(Vu_khi!$L$9-4)+1))),INDEX(Bang_xuyen_giap!$C$2:$C$8,MIN(7,MAX(1,IF($O$9,MAX(1,2-(Vu_khi!$L$9-4)),2-(Vu_khi!$L$9-4))+1))))</f>
        <v/>
      </c>
      <c r="AF9" t="n">
        <v>0.4</v>
      </c>
      <c r="AG9">
        <f>INDEX(Bang_xuyen_giap!$C$2:$C$8,MIN(7,MAX(1,MAX(1,2-(Vu_khi!$L$9-0))+1)))</f>
        <v/>
      </c>
      <c r="AH9" t="n">
        <v>1</v>
      </c>
      <c r="AI9">
        <f>IF($Q$9,$M$9*$AA$9*$U$9,0)</f>
        <v/>
      </c>
      <c r="AJ9" t="n">
        <v>55.74005339584554</v>
      </c>
      <c r="AK9">
        <f>IF($Q$9,$M$9*$AC$9*$U$9,0)</f>
        <v/>
      </c>
      <c r="AL9" t="n">
        <v>47.37904538646871</v>
      </c>
      <c r="AM9">
        <f>IF($Q$9,$M$9*$AE$9*$U$9,0)</f>
        <v/>
      </c>
      <c r="AN9" t="n">
        <v>22.29602135833822</v>
      </c>
      <c r="AO9">
        <f>IF($Q$9,$M$9*$AC$9*$Y$9,0)</f>
        <v/>
      </c>
      <c r="AP9" t="n">
        <v>75.80647261834994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1.164573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IF(Vu_khi!$AG$10,INDEX(Bang_danh_noc!$C$2:$C$8,MIN(7,MAX(1,2-(Vu_khi!$L$10-0)+1))),INDEX(Bang_xuyen_giap!$C$2:$C$8,MIN(7,MAX(1,IF($O$10,MAX(1,2-(Vu_khi!$L$10-0)),2-(Vu_khi!$L$10-0))+1))))</f>
        <v/>
      </c>
      <c r="AB10" t="n">
        <v>1.2</v>
      </c>
      <c r="AC10">
        <f>IF(Vu_khi!$AG$10,INDEX(Bang_danh_noc!$C$2:$C$8,MIN(7,MAX(1,2-(Vu_khi!$L$10-2)+1))),INDEX(Bang_xuyen_giap!$C$2:$C$8,MIN(7,MAX(1,IF($O$10,MAX(1,2-(Vu_khi!$L$10-2)),2-(Vu_khi!$L$10-2))+1))))</f>
        <v/>
      </c>
      <c r="AD10" t="n">
        <v>1.2</v>
      </c>
      <c r="AE10">
        <f>IF(Vu_khi!$AG$10,INDEX(Bang_danh_noc!$C$2:$C$8,MIN(7,MAX(1,2-(Vu_khi!$L$10-4)+1))),INDEX(Bang_xuyen_giap!$C$2:$C$8,MIN(7,MAX(1,IF($O$10,MAX(1,2-(Vu_khi!$L$10-4)),2-(Vu_khi!$L$10-4))+1))))</f>
        <v/>
      </c>
      <c r="AF10" t="n">
        <v>0.85</v>
      </c>
      <c r="AG10">
        <f>INDEX(Bang_xuyen_giap!$C$2:$C$8,MIN(7,MAX(1,MAX(1,2-(Vu_khi!$L$10-0))+1)))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28.8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IF(Vu_khi!$AG$11,INDEX(Bang_danh_noc!$C$2:$C$8,MIN(7,MAX(1,2-(Vu_khi!$L$11-0)+1))),INDEX(Bang_xuyen_giap!$C$2:$C$8,MIN(7,MAX(1,IF($O$11,MAX(1,2-(Vu_khi!$L$11-0)),2-(Vu_khi!$L$11-0))+1))))</f>
        <v/>
      </c>
      <c r="AB11" t="n">
        <v>1.2</v>
      </c>
      <c r="AC11">
        <f>IF(Vu_khi!$AG$11,INDEX(Bang_danh_noc!$C$2:$C$8,MIN(7,MAX(1,2-(Vu_khi!$L$11-2)+1))),INDEX(Bang_xuyen_giap!$C$2:$C$8,MIN(7,MAX(1,IF($O$11,MAX(1,2-(Vu_khi!$L$11-2)),2-(Vu_khi!$L$11-2))+1))))</f>
        <v/>
      </c>
      <c r="AD11" t="n">
        <v>0.85</v>
      </c>
      <c r="AE11">
        <f>IF(Vu_khi!$AG$11,INDEX(Bang_danh_noc!$C$2:$C$8,MIN(7,MAX(1,2-(Vu_khi!$L$11-4)+1))),INDEX(Bang_xuyen_giap!$C$2:$C$8,MIN(7,MAX(1,IF($O$11,MAX(1,2-(Vu_khi!$L$11-4)),2-(Vu_khi!$L$11-4))+1))))</f>
        <v/>
      </c>
      <c r="AF11" t="n">
        <v>0.4</v>
      </c>
      <c r="AG11">
        <f>INDEX(Bang_xuyen_giap!$C$2:$C$8,MIN(7,MAX(1,MAX(1,2-(Vu_khi!$L$11-0))+1)))</f>
        <v/>
      </c>
      <c r="AH11" t="n">
        <v>1</v>
      </c>
      <c r="AI11">
        <f>IF($Q$11,$M$11*$AA$11*$U$11,0)</f>
        <v/>
      </c>
      <c r="AJ11" t="n">
        <v>140.4</v>
      </c>
      <c r="AK11">
        <f>IF($Q$11,$M$11*$AC$11*$U$11,0)</f>
        <v/>
      </c>
      <c r="AL11" t="n">
        <v>99.45</v>
      </c>
      <c r="AM11">
        <f>IF($Q$11,$M$11*$AE$11*$U$11,0)</f>
        <v/>
      </c>
      <c r="AN11" t="n">
        <v>46.8</v>
      </c>
      <c r="AO11">
        <f>IF($Q$11,$M$11*$AC$11*$Y$11,0)</f>
        <v/>
      </c>
      <c r="AP11" t="n">
        <v>34.425</v>
      </c>
      <c r="AQ11">
        <f>IF($S$11,$M$11*$AG$11*$W$11,0)</f>
        <v/>
      </c>
      <c r="AR11" t="n">
        <v>18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IF(Vu_khi!$AG$12,INDEX(Bang_danh_noc!$C$2:$C$8,MIN(7,MAX(1,2-(Vu_khi!$L$12-0)+1))),INDEX(Bang_xuyen_giap!$C$2:$C$8,MIN(7,MAX(1,IF($O$12,MAX(1,2-(Vu_khi!$L$12-0)),2-(Vu_khi!$L$12-0))+1))))</f>
        <v/>
      </c>
      <c r="AB12" t="n">
        <v>1.2</v>
      </c>
      <c r="AC12">
        <f>IF(Vu_khi!$AG$12,INDEX(Bang_danh_noc!$C$2:$C$8,MIN(7,MAX(1,2-(Vu_khi!$L$12-2)+1))),INDEX(Bang_xuyen_giap!$C$2:$C$8,MIN(7,MAX(1,IF($O$12,MAX(1,2-(Vu_khi!$L$12-2)),2-(Vu_khi!$L$12-2))+1))))</f>
        <v/>
      </c>
      <c r="AD12" t="n">
        <v>1.2</v>
      </c>
      <c r="AE12">
        <f>IF(Vu_khi!$AG$12,INDEX(Bang_danh_noc!$C$2:$C$8,MIN(7,MAX(1,2-(Vu_khi!$L$12-4)+1))),INDEX(Bang_xuyen_giap!$C$2:$C$8,MIN(7,MAX(1,IF($O$12,MAX(1,2-(Vu_khi!$L$12-4)),2-(Vu_khi!$L$12-4))+1))))</f>
        <v/>
      </c>
      <c r="AF12" t="n">
        <v>0.85</v>
      </c>
      <c r="AG12">
        <f>INDEX(Bang_xuyen_giap!$C$2:$C$8,MIN(7,MAX(1,MAX(1,2-(Vu_khi!$L$12-0))+1)))</f>
        <v/>
      </c>
      <c r="AH12" t="n">
        <v>1</v>
      </c>
      <c r="AI12">
        <f>IF($Q$12,$M$12*$AA$12*$U$12,0)</f>
        <v/>
      </c>
      <c r="AJ12" t="n">
        <v>26.56934306569343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18.81995133819951</v>
      </c>
      <c r="AO12">
        <f>IF($Q$12,$M$12*$AC$12*$Y$12,0)</f>
        <v/>
      </c>
      <c r="AP12" t="n">
        <v>9.197080291970803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IF(Vu_khi!$AG$13,INDEX(Bang_danh_noc!$C$2:$C$8,MIN(7,MAX(1,2-(Vu_khi!$L$13-0)+1))),INDEX(Bang_xuyen_giap!$C$2:$C$8,MIN(7,MAX(1,IF($O$13,MAX(1,2-(Vu_khi!$L$13-0)),2-(Vu_khi!$L$13-0))+1))))</f>
        <v/>
      </c>
      <c r="AB13" t="n">
        <v>1.2</v>
      </c>
      <c r="AC13">
        <f>IF(Vu_khi!$AG$13,INDEX(Bang_danh_noc!$C$2:$C$8,MIN(7,MAX(1,2-(Vu_khi!$L$13-2)+1))),INDEX(Bang_xuyen_giap!$C$2:$C$8,MIN(7,MAX(1,IF($O$13,MAX(1,2-(Vu_khi!$L$13-2)),2-(Vu_khi!$L$13-2))+1))))</f>
        <v/>
      </c>
      <c r="AD13" t="n">
        <v>1.2</v>
      </c>
      <c r="AE13">
        <f>IF(Vu_khi!$AG$13,INDEX(Bang_danh_noc!$C$2:$C$8,MIN(7,MAX(1,2-(Vu_khi!$L$13-4)+1))),INDEX(Bang_xuyen_giap!$C$2:$C$8,MIN(7,MAX(1,IF($O$13,MAX(1,2-(Vu_khi!$L$13-4)),2-(Vu_khi!$L$13-4))+1))))</f>
        <v/>
      </c>
      <c r="AF13" t="n">
        <v>0.85</v>
      </c>
      <c r="AG13">
        <f>INDEX(Bang_xuyen_giap!$C$2:$C$8,MIN(7,MAX(1,MAX(1,2-(Vu_khi!$L$13-0))+1)))</f>
        <v/>
      </c>
      <c r="AH13" t="n">
        <v>1</v>
      </c>
      <c r="AI13">
        <f>IF($Q$13,$M$13*$AA$13*$U$13,0)</f>
        <v/>
      </c>
      <c r="AJ13" t="n">
        <v>95.68000000000001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67.77333333333334</v>
      </c>
      <c r="AO13">
        <f>IF($Q$13,$M$13*$AC$13*$Y$13,0)</f>
        <v/>
      </c>
      <c r="AP13" t="n">
        <v>33.12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IF(Vu_khi!$AG$14,INDEX(Bang_danh_noc!$C$2:$C$8,MIN(7,MAX(1,2-(Vu_khi!$L$14-0)+1))),INDEX(Bang_xuyen_giap!$C$2:$C$8,MIN(7,MAX(1,IF($O$14,MAX(1,2-(Vu_khi!$L$14-0)),2-(Vu_khi!$L$14-0))+1))))</f>
        <v/>
      </c>
      <c r="AB14" t="n">
        <v>1.2</v>
      </c>
      <c r="AC14">
        <f>IF(Vu_khi!$AG$14,INDEX(Bang_danh_noc!$C$2:$C$8,MIN(7,MAX(1,2-(Vu_khi!$L$14-2)+1))),INDEX(Bang_xuyen_giap!$C$2:$C$8,MIN(7,MAX(1,IF($O$14,MAX(1,2-(Vu_khi!$L$14-2)),2-(Vu_khi!$L$14-2))+1))))</f>
        <v/>
      </c>
      <c r="AD14" t="n">
        <v>1</v>
      </c>
      <c r="AE14">
        <f>IF(Vu_khi!$AG$14,INDEX(Bang_danh_noc!$C$2:$C$8,MIN(7,MAX(1,2-(Vu_khi!$L$14-4)+1))),INDEX(Bang_xuyen_giap!$C$2:$C$8,MIN(7,MAX(1,IF($O$14,MAX(1,2-(Vu_khi!$L$14-4)),2-(Vu_khi!$L$14-4))+1))))</f>
        <v/>
      </c>
      <c r="AF14" t="n">
        <v>0.65</v>
      </c>
      <c r="AG14">
        <f>INDEX(Bang_xuyen_giap!$C$2:$C$8,MIN(7,MAX(1,MAX(1,2-(Vu_khi!$L$14-0))+1)))</f>
        <v/>
      </c>
      <c r="AH14" t="n">
        <v>1</v>
      </c>
      <c r="AI14">
        <f>IF($Q$14,$M$14*$AA$14*$U$14,0)</f>
        <v/>
      </c>
      <c r="AJ14" t="n">
        <v>24.49586776859504</v>
      </c>
      <c r="AK14">
        <f>IF($Q$14,$M$14*$AC$14*$U$14,0)</f>
        <v/>
      </c>
      <c r="AL14" t="n">
        <v>20.41322314049587</v>
      </c>
      <c r="AM14">
        <f>IF($Q$14,$M$14*$AE$14*$U$14,0)</f>
        <v/>
      </c>
      <c r="AN14" t="n">
        <v>13.26859504132232</v>
      </c>
      <c r="AO14">
        <f>IF($Q$14,$M$14*$AC$14*$Y$14,0)</f>
        <v/>
      </c>
      <c r="AP14" t="n">
        <v>7.066115702479339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IF(Vu_khi!$AG$15,INDEX(Bang_danh_noc!$C$2:$C$8,MIN(7,MAX(1,2-(Vu_khi!$L$15-0)+1))),INDEX(Bang_xuyen_giap!$C$2:$C$8,MIN(7,MAX(1,IF($O$15,MAX(1,2-(Vu_khi!$L$15-0)),2-(Vu_khi!$L$15-0))+1))))</f>
        <v/>
      </c>
      <c r="AB15" t="n">
        <v>1.2</v>
      </c>
      <c r="AC15">
        <f>IF(Vu_khi!$AG$15,INDEX(Bang_danh_noc!$C$2:$C$8,MIN(7,MAX(1,2-(Vu_khi!$L$15-2)+1))),INDEX(Bang_xuyen_giap!$C$2:$C$8,MIN(7,MAX(1,IF($O$15,MAX(1,2-(Vu_khi!$L$15-2)),2-(Vu_khi!$L$15-2))+1))))</f>
        <v/>
      </c>
      <c r="AD15" t="n">
        <v>0.85</v>
      </c>
      <c r="AE15">
        <f>IF(Vu_khi!$AG$15,INDEX(Bang_danh_noc!$C$2:$C$8,MIN(7,MAX(1,2-(Vu_khi!$L$15-4)+1))),INDEX(Bang_xuyen_giap!$C$2:$C$8,MIN(7,MAX(1,IF($O$15,MAX(1,2-(Vu_khi!$L$15-4)),2-(Vu_khi!$L$15-4))+1))))</f>
        <v/>
      </c>
      <c r="AF15" t="n">
        <v>0.4</v>
      </c>
      <c r="AG15">
        <f>INDEX(Bang_xuyen_giap!$C$2:$C$8,MIN(7,MAX(1,MAX(1,2-(Vu_khi!$L$15-0))+1)))</f>
        <v/>
      </c>
      <c r="AH15" t="n">
        <v>1</v>
      </c>
      <c r="AI15">
        <f>IF($Q$15,$M$15*$AA$15*$U$15,0)</f>
        <v/>
      </c>
      <c r="AJ15" t="n">
        <v>74.36208991494533</v>
      </c>
      <c r="AK15">
        <f>IF($Q$15,$M$15*$AC$15*$U$15,0)</f>
        <v/>
      </c>
      <c r="AL15" t="n">
        <v>52.67314702308628</v>
      </c>
      <c r="AM15">
        <f>IF($Q$15,$M$15*$AE$15*$U$15,0)</f>
        <v/>
      </c>
      <c r="AN15" t="n">
        <v>24.78736330498178</v>
      </c>
      <c r="AO15">
        <f>IF($Q$15,$M$15*$AC$15*$Y$15,0)</f>
        <v/>
      </c>
      <c r="AP15" t="n">
        <v>30.72600243013366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IF(Vu_khi!$AG$16,INDEX(Bang_danh_noc!$C$2:$C$8,MIN(7,MAX(1,2-(Vu_khi!$L$16-0)+1))),INDEX(Bang_xuyen_giap!$C$2:$C$8,MIN(7,MAX(1,IF($O$16,MAX(1,2-(Vu_khi!$L$16-0)),2-(Vu_khi!$L$16-0))+1))))</f>
        <v/>
      </c>
      <c r="AB16" t="n">
        <v>1</v>
      </c>
      <c r="AC16">
        <f>IF(Vu_khi!$AG$16,INDEX(Bang_danh_noc!$C$2:$C$8,MIN(7,MAX(1,2-(Vu_khi!$L$16-2)+1))),INDEX(Bang_xuyen_giap!$C$2:$C$8,MIN(7,MAX(1,IF($O$16,MAX(1,2-(Vu_khi!$L$16-2)),2-(Vu_khi!$L$16-2))+1))))</f>
        <v/>
      </c>
      <c r="AD16" t="n">
        <v>0.65</v>
      </c>
      <c r="AE16">
        <f>IF(Vu_khi!$AG$16,INDEX(Bang_danh_noc!$C$2:$C$8,MIN(7,MAX(1,2-(Vu_khi!$L$16-4)+1))),INDEX(Bang_xuyen_giap!$C$2:$C$8,MIN(7,MAX(1,IF($O$16,MAX(1,2-(Vu_khi!$L$16-4)),2-(Vu_khi!$L$16-4))+1))))</f>
        <v/>
      </c>
      <c r="AF16" t="n">
        <v>0.15</v>
      </c>
      <c r="AG16">
        <f>INDEX(Bang_xuyen_giap!$C$2:$C$8,MIN(7,MAX(1,MAX(1,2-(Vu_khi!$L$16-0))+1)))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69.71445929526126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IF(Vu_khi!$AG$17,INDEX(Bang_danh_noc!$C$2:$C$8,MIN(7,MAX(1,2-(Vu_khi!$L$17-0)+1))),INDEX(Bang_xuyen_giap!$C$2:$C$8,MIN(7,MAX(1,IF($O$17,MAX(1,2-(Vu_khi!$L$17-0)),2-(Vu_khi!$L$17-0))+1))))</f>
        <v/>
      </c>
      <c r="AB17" t="n">
        <v>1.2</v>
      </c>
      <c r="AC17">
        <f>IF(Vu_khi!$AG$17,INDEX(Bang_danh_noc!$C$2:$C$8,MIN(7,MAX(1,2-(Vu_khi!$L$17-2)+1))),INDEX(Bang_xuyen_giap!$C$2:$C$8,MIN(7,MAX(1,IF($O$17,MAX(1,2-(Vu_khi!$L$17-2)),2-(Vu_khi!$L$17-2))+1))))</f>
        <v/>
      </c>
      <c r="AD17" t="n">
        <v>0.85</v>
      </c>
      <c r="AE17">
        <f>IF(Vu_khi!$AG$17,INDEX(Bang_danh_noc!$C$2:$C$8,MIN(7,MAX(1,2-(Vu_khi!$L$17-4)+1))),INDEX(Bang_xuyen_giap!$C$2:$C$8,MIN(7,MAX(1,IF($O$17,MAX(1,2-(Vu_khi!$L$17-4)),2-(Vu_khi!$L$17-4))+1))))</f>
        <v/>
      </c>
      <c r="AF17" t="n">
        <v>0.4</v>
      </c>
      <c r="AG17">
        <f>INDEX(Bang_xuyen_giap!$C$2:$C$8,MIN(7,MAX(1,MAX(1,2-(Vu_khi!$L$17-0))+1)))</f>
        <v/>
      </c>
      <c r="AH17" t="n">
        <v>1</v>
      </c>
      <c r="AI17">
        <f>IF($Q$17,$M$17*$AA$17*$U$17,0)</f>
        <v/>
      </c>
      <c r="AJ17" t="n">
        <v>121.3328226733053</v>
      </c>
      <c r="AK17">
        <f>IF($Q$17,$M$17*$AC$17*$U$17,0)</f>
        <v/>
      </c>
      <c r="AL17" t="n">
        <v>85.94408272692456</v>
      </c>
      <c r="AM17">
        <f>IF($Q$17,$M$17*$AE$17*$U$17,0)</f>
        <v/>
      </c>
      <c r="AN17" t="n">
        <v>40.44427422443509</v>
      </c>
      <c r="AO17">
        <f>IF($Q$17,$M$17*$AC$17*$Y$17,0)</f>
        <v/>
      </c>
      <c r="AP17" t="n">
        <v>50.13404825737266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IF(Vu_khi!$AG$18,INDEX(Bang_danh_noc!$C$2:$C$8,MIN(7,MAX(1,2-(Vu_khi!$L$18-0)+1))),INDEX(Bang_xuyen_giap!$C$2:$C$8,MIN(7,MAX(1,IF($O$18,MAX(1,2-(Vu_khi!$L$18-0)),2-(Vu_khi!$L$18-0))+1))))</f>
        <v/>
      </c>
      <c r="AB18" t="n">
        <v>1.2</v>
      </c>
      <c r="AC18">
        <f>IF(Vu_khi!$AG$18,INDEX(Bang_danh_noc!$C$2:$C$8,MIN(7,MAX(1,2-(Vu_khi!$L$18-2)+1))),INDEX(Bang_xuyen_giap!$C$2:$C$8,MIN(7,MAX(1,IF($O$18,MAX(1,2-(Vu_khi!$L$18-2)),2-(Vu_khi!$L$18-2))+1))))</f>
        <v/>
      </c>
      <c r="AD18" t="n">
        <v>0.85</v>
      </c>
      <c r="AE18">
        <f>IF(Vu_khi!$AG$18,INDEX(Bang_danh_noc!$C$2:$C$8,MIN(7,MAX(1,2-(Vu_khi!$L$18-4)+1))),INDEX(Bang_xuyen_giap!$C$2:$C$8,MIN(7,MAX(1,IF($O$18,MAX(1,2-(Vu_khi!$L$18-4)),2-(Vu_khi!$L$18-4))+1))))</f>
        <v/>
      </c>
      <c r="AF18" t="n">
        <v>0.4</v>
      </c>
      <c r="AG18">
        <f>INDEX(Bang_xuyen_giap!$C$2:$C$8,MIN(7,MAX(1,MAX(1,2-(Vu_khi!$L$18-0))+1)))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113.7495212562237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IF(Vu_khi!$AG$19,INDEX(Bang_danh_noc!$C$2:$C$8,MIN(7,MAX(1,2-(Vu_khi!$L$19-0)+1))),INDEX(Bang_xuyen_giap!$C$2:$C$8,MIN(7,MAX(1,IF($O$19,MAX(1,2-(Vu_khi!$L$19-0)),2-(Vu_khi!$L$19-0))+1))))</f>
        <v/>
      </c>
      <c r="AB19" t="n">
        <v>1.2</v>
      </c>
      <c r="AC19">
        <f>IF(Vu_khi!$AG$19,INDEX(Bang_danh_noc!$C$2:$C$8,MIN(7,MAX(1,2-(Vu_khi!$L$19-2)+1))),INDEX(Bang_xuyen_giap!$C$2:$C$8,MIN(7,MAX(1,IF($O$19,MAX(1,2-(Vu_khi!$L$19-2)),2-(Vu_khi!$L$19-2))+1))))</f>
        <v/>
      </c>
      <c r="AD19" t="n">
        <v>0.85</v>
      </c>
      <c r="AE19">
        <f>IF(Vu_khi!$AG$19,INDEX(Bang_danh_noc!$C$2:$C$8,MIN(7,MAX(1,2-(Vu_khi!$L$19-4)+1))),INDEX(Bang_xuyen_giap!$C$2:$C$8,MIN(7,MAX(1,IF($O$19,MAX(1,2-(Vu_khi!$L$19-4)),2-(Vu_khi!$L$19-4))+1))))</f>
        <v/>
      </c>
      <c r="AF19" t="n">
        <v>0.4</v>
      </c>
      <c r="AG19">
        <f>INDEX(Bang_xuyen_giap!$C$2:$C$8,MIN(7,MAX(1,MAX(1,2-(Vu_khi!$L$19-0))+1)))</f>
        <v/>
      </c>
      <c r="AH19" t="n">
        <v>1</v>
      </c>
      <c r="AI19">
        <f>IF($Q$19,$M$19*$AA$19*$U$19,0)</f>
        <v/>
      </c>
      <c r="AJ19" t="n">
        <v>122.7272727272727</v>
      </c>
      <c r="AK19">
        <f>IF($Q$19,$M$19*$AC$19*$U$19,0)</f>
        <v/>
      </c>
      <c r="AL19" t="n">
        <v>86.93181818181819</v>
      </c>
      <c r="AM19">
        <f>IF($Q$19,$M$19*$AE$19*$U$19,0)</f>
        <v/>
      </c>
      <c r="AN19" t="n">
        <v>40.90909090909091</v>
      </c>
      <c r="AO19">
        <f>IF($Q$19,$M$19*$AC$19*$Y$19,0)</f>
        <v/>
      </c>
      <c r="AP19" t="n">
        <v>50.71022727272727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IF(Vu_khi!$AG$20,INDEX(Bang_danh_noc!$C$2:$C$8,MIN(7,MAX(1,2-(Vu_khi!$L$20-0)+1))),INDEX(Bang_xuyen_giap!$C$2:$C$8,MIN(7,MAX(1,IF($O$20,MAX(1,2-(Vu_khi!$L$20-0)),2-(Vu_khi!$L$20-0))+1))))</f>
        <v/>
      </c>
      <c r="AB20" t="n">
        <v>1.2</v>
      </c>
      <c r="AC20">
        <f>IF(Vu_khi!$AG$20,INDEX(Bang_danh_noc!$C$2:$C$8,MIN(7,MAX(1,2-(Vu_khi!$L$20-2)+1))),INDEX(Bang_xuyen_giap!$C$2:$C$8,MIN(7,MAX(1,IF($O$20,MAX(1,2-(Vu_khi!$L$20-2)),2-(Vu_khi!$L$20-2))+1))))</f>
        <v/>
      </c>
      <c r="AD20" t="n">
        <v>0.85</v>
      </c>
      <c r="AE20">
        <f>IF(Vu_khi!$AG$20,INDEX(Bang_danh_noc!$C$2:$C$8,MIN(7,MAX(1,2-(Vu_khi!$L$20-4)+1))),INDEX(Bang_xuyen_giap!$C$2:$C$8,MIN(7,MAX(1,IF($O$20,MAX(1,2-(Vu_khi!$L$20-4)),2-(Vu_khi!$L$20-4))+1))))</f>
        <v/>
      </c>
      <c r="AF20" t="n">
        <v>0.4</v>
      </c>
      <c r="AG20">
        <f>INDEX(Bang_xuyen_giap!$C$2:$C$8,MIN(7,MAX(1,MAX(1,2-(Vu_khi!$L$20-0))+1)))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115.0568181818182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IF(Vu_khi!$AG$21,INDEX(Bang_danh_noc!$C$2:$C$8,MIN(7,MAX(1,2-(Vu_khi!$L$21-0)+1))),INDEX(Bang_xuyen_giap!$C$2:$C$8,MIN(7,MAX(1,IF($O$21,MAX(1,2-(Vu_khi!$L$21-0)),2-(Vu_khi!$L$21-0))+1))))</f>
        <v/>
      </c>
      <c r="AB21" t="n">
        <v>1</v>
      </c>
      <c r="AC21">
        <f>IF(Vu_khi!$AG$21,INDEX(Bang_danh_noc!$C$2:$C$8,MIN(7,MAX(1,2-(Vu_khi!$L$21-2)+1))),INDEX(Bang_xuyen_giap!$C$2:$C$8,MIN(7,MAX(1,IF($O$21,MAX(1,2-(Vu_khi!$L$21-2)),2-(Vu_khi!$L$21-2))+1))))</f>
        <v/>
      </c>
      <c r="AD21" t="n">
        <v>1</v>
      </c>
      <c r="AE21">
        <f>IF(Vu_khi!$AG$21,INDEX(Bang_danh_noc!$C$2:$C$8,MIN(7,MAX(1,2-(Vu_khi!$L$21-4)+1))),INDEX(Bang_xuyen_giap!$C$2:$C$8,MIN(7,MAX(1,IF($O$21,MAX(1,2-(Vu_khi!$L$21-4)),2-(Vu_khi!$L$21-4))+1))))</f>
        <v/>
      </c>
      <c r="AF21" t="n">
        <v>0.85</v>
      </c>
      <c r="AG21">
        <f>INDEX(Bang_xuyen_giap!$C$2:$C$8,MIN(7,MAX(1,MAX(1,2-(Vu_khi!$L$21-0))+1)))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60.55145071183996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IF(Vu_khi!$AG$22,INDEX(Bang_danh_noc!$C$2:$C$8,MIN(7,MAX(1,2-(Vu_khi!$L$22-0)+1))),INDEX(Bang_xuyen_giap!$C$2:$C$8,MIN(7,MAX(1,IF($O$22,MAX(1,2-(Vu_khi!$L$22-0)),2-(Vu_khi!$L$22-0))+1))))</f>
        <v/>
      </c>
      <c r="AB22" t="n">
        <v>1.2</v>
      </c>
      <c r="AC22">
        <f>IF(Vu_khi!$AG$22,INDEX(Bang_danh_noc!$C$2:$C$8,MIN(7,MAX(1,2-(Vu_khi!$L$22-2)+1))),INDEX(Bang_xuyen_giap!$C$2:$C$8,MIN(7,MAX(1,IF($O$22,MAX(1,2-(Vu_khi!$L$22-2)),2-(Vu_khi!$L$22-2))+1))))</f>
        <v/>
      </c>
      <c r="AD22" t="n">
        <v>1.2</v>
      </c>
      <c r="AE22">
        <f>IF(Vu_khi!$AG$22,INDEX(Bang_danh_noc!$C$2:$C$8,MIN(7,MAX(1,2-(Vu_khi!$L$22-4)+1))),INDEX(Bang_xuyen_giap!$C$2:$C$8,MIN(7,MAX(1,IF($O$22,MAX(1,2-(Vu_khi!$L$22-4)),2-(Vu_khi!$L$22-4))+1))))</f>
        <v/>
      </c>
      <c r="AF22" t="n">
        <v>0.85</v>
      </c>
      <c r="AG22">
        <f>INDEX(Bang_xuyen_giap!$C$2:$C$8,MIN(7,MAX(1,MAX(1,2-(Vu_khi!$L$22-0))+1)))</f>
        <v/>
      </c>
      <c r="AH22" t="n">
        <v>1</v>
      </c>
      <c r="AI22">
        <f>IF($Q$22,$M$22*$AA$22*$U$22,0)</f>
        <v/>
      </c>
      <c r="AJ22" t="n">
        <v>176.83192261185</v>
      </c>
      <c r="AK22">
        <f>IF($Q$22,$M$22*$AC$22*$U$22,0)</f>
        <v/>
      </c>
      <c r="AL22" t="n">
        <v>176.83192261185</v>
      </c>
      <c r="AM22">
        <f>IF($Q$22,$M$22*$AE$22*$U$22,0)</f>
        <v/>
      </c>
      <c r="AN22" t="n">
        <v>125.2559451833938</v>
      </c>
      <c r="AO22">
        <f>IF($Q$22,$M$22*$AC$22*$Y$22,0)</f>
        <v/>
      </c>
      <c r="AP22" t="n">
        <v>103.1519548569125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0.86835</v>
      </c>
      <c r="AZ22" t="inlineStr">
        <is>
          <t>LECH_DOT_1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IF(Vu_khi!$AG$23,INDEX(Bang_danh_noc!$C$2:$C$8,MIN(7,MAX(1,2-(Vu_khi!$L$23-0)+1))),INDEX(Bang_xuyen_giap!$C$2:$C$8,MIN(7,MAX(1,IF($O$23,MAX(1,2-(Vu_khi!$L$23-0)),2-(Vu_khi!$L$23-0))+1))))</f>
        <v/>
      </c>
      <c r="AB23" t="n">
        <v>1.2</v>
      </c>
      <c r="AC23">
        <f>IF(Vu_khi!$AG$23,INDEX(Bang_danh_noc!$C$2:$C$8,MIN(7,MAX(1,2-(Vu_khi!$L$23-2)+1))),INDEX(Bang_xuyen_giap!$C$2:$C$8,MIN(7,MAX(1,IF($O$23,MAX(1,2-(Vu_khi!$L$23-2)),2-(Vu_khi!$L$23-2))+1))))</f>
        <v/>
      </c>
      <c r="AD23" t="n">
        <v>1</v>
      </c>
      <c r="AE23">
        <f>IF(Vu_khi!$AG$23,INDEX(Bang_danh_noc!$C$2:$C$8,MIN(7,MAX(1,2-(Vu_khi!$L$23-4)+1))),INDEX(Bang_xuyen_giap!$C$2:$C$8,MIN(7,MAX(1,IF($O$23,MAX(1,2-(Vu_khi!$L$23-4)),2-(Vu_khi!$L$23-4))+1))))</f>
        <v/>
      </c>
      <c r="AF23" t="n">
        <v>0.65</v>
      </c>
      <c r="AG23">
        <f>INDEX(Bang_xuyen_giap!$C$2:$C$8,MIN(7,MAX(1,MAX(1,2-(Vu_khi!$L$23-0))+1)))</f>
        <v/>
      </c>
      <c r="AH23" t="n">
        <v>1</v>
      </c>
      <c r="AI23">
        <f>IF($Q$23,$M$23*$AA$23*$U$23,0)</f>
        <v/>
      </c>
      <c r="AJ23" t="n">
        <v>147.359935509875</v>
      </c>
      <c r="AK23">
        <f>IF($Q$23,$M$23*$AC$23*$U$23,0)</f>
        <v/>
      </c>
      <c r="AL23" t="n">
        <v>122.7999462582292</v>
      </c>
      <c r="AM23">
        <f>IF($Q$23,$M$23*$AE$23*$U$23,0)</f>
        <v/>
      </c>
      <c r="AN23" t="n">
        <v>79.819965067849</v>
      </c>
      <c r="AO23">
        <f>IF($Q$23,$M$23*$AC$23*$Y$23,0)</f>
        <v/>
      </c>
      <c r="AP23" t="n">
        <v>196.4799140131668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IF(Vu_khi!$AG$24,INDEX(Bang_danh_noc!$C$2:$C$8,MIN(7,MAX(1,2-(Vu_khi!$L$24-0)+1))),INDEX(Bang_xuyen_giap!$C$2:$C$8,MIN(7,MAX(1,IF($O$24,MAX(1,2-(Vu_khi!$L$24-0)),2-(Vu_khi!$L$24-0))+1))))</f>
        <v/>
      </c>
      <c r="AB24" t="n">
        <v>1.2</v>
      </c>
      <c r="AC24">
        <f>IF(Vu_khi!$AG$24,INDEX(Bang_danh_noc!$C$2:$C$8,MIN(7,MAX(1,2-(Vu_khi!$L$24-2)+1))),INDEX(Bang_xuyen_giap!$C$2:$C$8,MIN(7,MAX(1,IF($O$24,MAX(1,2-(Vu_khi!$L$24-2)),2-(Vu_khi!$L$24-2))+1))))</f>
        <v/>
      </c>
      <c r="AD24" t="n">
        <v>0.85</v>
      </c>
      <c r="AE24">
        <f>IF(Vu_khi!$AG$24,INDEX(Bang_danh_noc!$C$2:$C$8,MIN(7,MAX(1,2-(Vu_khi!$L$24-4)+1))),INDEX(Bang_xuyen_giap!$C$2:$C$8,MIN(7,MAX(1,IF($O$24,MAX(1,2-(Vu_khi!$L$24-4)),2-(Vu_khi!$L$24-4))+1))))</f>
        <v/>
      </c>
      <c r="AF24" t="n">
        <v>0.4</v>
      </c>
      <c r="AG24">
        <f>INDEX(Bang_xuyen_giap!$C$2:$C$8,MIN(7,MAX(1,MAX(1,2-(Vu_khi!$L$24-0))+1)))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15.84158415841584</v>
      </c>
      <c r="AO24">
        <f>IF($Q$24,$M$24*$AC$24*$Y$24,0)</f>
        <v/>
      </c>
      <c r="AP24" t="n">
        <v>53.86138613861387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IF(Vu_khi!$AG$25,INDEX(Bang_danh_noc!$C$2:$C$8,MIN(7,MAX(1,2-(Vu_khi!$L$25-0)+1))),INDEX(Bang_xuyen_giap!$C$2:$C$8,MIN(7,MAX(1,IF($O$25,MAX(1,2-(Vu_khi!$L$25-0)),2-(Vu_khi!$L$25-0))+1))))</f>
        <v/>
      </c>
      <c r="AB25" t="n">
        <v>1.2</v>
      </c>
      <c r="AC25">
        <f>IF(Vu_khi!$AG$25,INDEX(Bang_danh_noc!$C$2:$C$8,MIN(7,MAX(1,2-(Vu_khi!$L$25-2)+1))),INDEX(Bang_xuyen_giap!$C$2:$C$8,MIN(7,MAX(1,IF($O$25,MAX(1,2-(Vu_khi!$L$25-2)),2-(Vu_khi!$L$25-2))+1))))</f>
        <v/>
      </c>
      <c r="AD25" t="n">
        <v>0.85</v>
      </c>
      <c r="AE25">
        <f>IF(Vu_khi!$AG$25,INDEX(Bang_danh_noc!$C$2:$C$8,MIN(7,MAX(1,2-(Vu_khi!$L$25-4)+1))),INDEX(Bang_xuyen_giap!$C$2:$C$8,MIN(7,MAX(1,IF($O$25,MAX(1,2-(Vu_khi!$L$25-4)),2-(Vu_khi!$L$25-4))+1))))</f>
        <v/>
      </c>
      <c r="AF25" t="n">
        <v>0.4</v>
      </c>
      <c r="AG25">
        <f>INDEX(Bang_xuyen_giap!$C$2:$C$8,MIN(7,MAX(1,MAX(1,2-(Vu_khi!$L$25-0))+1)))</f>
        <v/>
      </c>
      <c r="AH25" t="n">
        <v>1</v>
      </c>
      <c r="AI25">
        <f>IF($Q$25,$M$25*$AA$25*$U$25,0)</f>
        <v/>
      </c>
      <c r="AJ25" t="n">
        <v>41.80645161290323</v>
      </c>
      <c r="AK25">
        <f>IF($Q$25,$M$25*$AC$25*$U$25,0)</f>
        <v/>
      </c>
      <c r="AL25" t="n">
        <v>29.61290322580645</v>
      </c>
      <c r="AM25">
        <f>IF($Q$25,$M$25*$AE$25*$U$25,0)</f>
        <v/>
      </c>
      <c r="AN25" t="n">
        <v>13.93548387096774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104.5161290322581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IF(Vu_khi!$AG$26,INDEX(Bang_danh_noc!$C$2:$C$8,MIN(7,MAX(1,2-(Vu_khi!$L$26-0)+1))),INDEX(Bang_xuyen_giap!$C$2:$C$8,MIN(7,MAX(1,IF($O$26,MAX(1,2-(Vu_khi!$L$26-0)),2-(Vu_khi!$L$26-0))+1))))</f>
        <v/>
      </c>
      <c r="AB26" t="n">
        <v>1.15</v>
      </c>
      <c r="AC26">
        <f>IF(Vu_khi!$AG$26,INDEX(Bang_danh_noc!$C$2:$C$8,MIN(7,MAX(1,2-(Vu_khi!$L$26-2)+1))),INDEX(Bang_xuyen_giap!$C$2:$C$8,MIN(7,MAX(1,IF($O$26,MAX(1,2-(Vu_khi!$L$26-2)),2-(Vu_khi!$L$26-2))+1))))</f>
        <v/>
      </c>
      <c r="AD26" t="n">
        <v>1.1</v>
      </c>
      <c r="AE26">
        <f>IF(Vu_khi!$AG$26,INDEX(Bang_danh_noc!$C$2:$C$8,MIN(7,MAX(1,2-(Vu_khi!$L$26-4)+1))),INDEX(Bang_xuyen_giap!$C$2:$C$8,MIN(7,MAX(1,IF($O$26,MAX(1,2-(Vu_khi!$L$26-4)),2-(Vu_khi!$L$26-4))+1))))</f>
        <v/>
      </c>
      <c r="AF26" t="n">
        <v>0.75</v>
      </c>
      <c r="AG26">
        <f>INDEX(Bang_xuyen_giap!$C$2:$C$8,MIN(7,MAX(1,MAX(1,2-(Vu_khi!$L$26-0))+1)))</f>
        <v/>
      </c>
      <c r="AH26" t="n">
        <v>1</v>
      </c>
      <c r="AI26">
        <f>IF($Q$26,$M$26*$AA$26*$U$26,0)</f>
        <v/>
      </c>
      <c r="AJ26" t="n">
        <v>272.6612903225807</v>
      </c>
      <c r="AK26">
        <f>IF($Q$26,$M$26*$AC$26*$U$26,0)</f>
        <v/>
      </c>
      <c r="AL26" t="n">
        <v>260.8064516129033</v>
      </c>
      <c r="AM26">
        <f>IF($Q$26,$M$26*$AE$26*$U$26,0)</f>
        <v/>
      </c>
      <c r="AN26" t="n">
        <v>177.8225806451613</v>
      </c>
      <c r="AO26">
        <f>IF($Q$26,$M$26*$AC$26*$Y$26,0)</f>
        <v/>
      </c>
      <c r="AP26" t="n">
        <v>417.2903225806452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IF(Vu_khi!$AG$27,INDEX(Bang_danh_noc!$C$2:$C$8,MIN(7,MAX(1,2-(Vu_khi!$L$27-0)+1))),INDEX(Bang_xuyen_giap!$C$2:$C$8,MIN(7,MAX(1,IF($O$27,MAX(1,2-(Vu_khi!$L$27-0)),2-(Vu_khi!$L$27-0))+1))))</f>
        <v/>
      </c>
      <c r="AB27" t="n">
        <v>1</v>
      </c>
      <c r="AC27">
        <f>IF(Vu_khi!$AG$27,INDEX(Bang_danh_noc!$C$2:$C$8,MIN(7,MAX(1,2-(Vu_khi!$L$27-2)+1))),INDEX(Bang_xuyen_giap!$C$2:$C$8,MIN(7,MAX(1,IF($O$27,MAX(1,2-(Vu_khi!$L$27-2)),2-(Vu_khi!$L$27-2))+1))))</f>
        <v/>
      </c>
      <c r="AD27" t="n">
        <v>0.65</v>
      </c>
      <c r="AE27">
        <f>IF(Vu_khi!$AG$27,INDEX(Bang_danh_noc!$C$2:$C$8,MIN(7,MAX(1,2-(Vu_khi!$L$27-4)+1))),INDEX(Bang_xuyen_giap!$C$2:$C$8,MIN(7,MAX(1,IF($O$27,MAX(1,2-(Vu_khi!$L$27-4)),2-(Vu_khi!$L$27-4))+1))))</f>
        <v/>
      </c>
      <c r="AF27" t="n">
        <v>0.15</v>
      </c>
      <c r="AG27">
        <f>INDEX(Bang_xuyen_giap!$C$2:$C$8,MIN(7,MAX(1,MAX(1,2-(Vu_khi!$L$27-0))+1)))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IF(Vu_khi!$AG$28,INDEX(Bang_danh_noc!$C$2:$C$8,MIN(7,MAX(1,2-(Vu_khi!$L$28-0)+1))),INDEX(Bang_xuyen_giap!$C$2:$C$8,MIN(7,MAX(1,IF($O$28,MAX(1,2-(Vu_khi!$L$28-0)),2-(Vu_khi!$L$28-0))+1))))</f>
        <v/>
      </c>
      <c r="AB28" t="n">
        <v>1.2</v>
      </c>
      <c r="AC28">
        <f>IF(Vu_khi!$AG$28,INDEX(Bang_danh_noc!$C$2:$C$8,MIN(7,MAX(1,2-(Vu_khi!$L$28-2)+1))),INDEX(Bang_xuyen_giap!$C$2:$C$8,MIN(7,MAX(1,IF($O$28,MAX(1,2-(Vu_khi!$L$28-2)),2-(Vu_khi!$L$28-2))+1))))</f>
        <v/>
      </c>
      <c r="AD28" t="n">
        <v>0.85</v>
      </c>
      <c r="AE28">
        <f>IF(Vu_khi!$AG$28,INDEX(Bang_danh_noc!$C$2:$C$8,MIN(7,MAX(1,2-(Vu_khi!$L$28-4)+1))),INDEX(Bang_xuyen_giap!$C$2:$C$8,MIN(7,MAX(1,IF($O$28,MAX(1,2-(Vu_khi!$L$28-4)),2-(Vu_khi!$L$28-4))+1))))</f>
        <v/>
      </c>
      <c r="AF28" t="n">
        <v>0.4</v>
      </c>
      <c r="AG28">
        <f>INDEX(Bang_xuyen_giap!$C$2:$C$8,MIN(7,MAX(1,MAX(1,2-(Vu_khi!$L$28-0))+1)))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IF(Vu_khi!$AG$29,INDEX(Bang_danh_noc!$C$2:$C$8,MIN(7,MAX(1,2-(Vu_khi!$L$29-0)+1))),INDEX(Bang_xuyen_giap!$C$2:$C$8,MIN(7,MAX(1,IF($O$29,MAX(1,2-(Vu_khi!$L$29-0)),2-(Vu_khi!$L$29-0))+1))))</f>
        <v/>
      </c>
      <c r="AB29" t="n">
        <v>1.2</v>
      </c>
      <c r="AC29">
        <f>IF(Vu_khi!$AG$29,INDEX(Bang_danh_noc!$C$2:$C$8,MIN(7,MAX(1,2-(Vu_khi!$L$29-2)+1))),INDEX(Bang_xuyen_giap!$C$2:$C$8,MIN(7,MAX(1,IF($O$29,MAX(1,2-(Vu_khi!$L$29-2)),2-(Vu_khi!$L$29-2))+1))))</f>
        <v/>
      </c>
      <c r="AD29" t="n">
        <v>1</v>
      </c>
      <c r="AE29">
        <f>IF(Vu_khi!$AG$29,INDEX(Bang_danh_noc!$C$2:$C$8,MIN(7,MAX(1,2-(Vu_khi!$L$29-4)+1))),INDEX(Bang_xuyen_giap!$C$2:$C$8,MIN(7,MAX(1,IF($O$29,MAX(1,2-(Vu_khi!$L$29-4)),2-(Vu_khi!$L$29-4))+1))))</f>
        <v/>
      </c>
      <c r="AF29" t="n">
        <v>0.65</v>
      </c>
      <c r="AG29">
        <f>INDEX(Bang_xuyen_giap!$C$2:$C$8,MIN(7,MAX(1,MAX(1,2-(Vu_khi!$L$29-0))+1)))</f>
        <v/>
      </c>
      <c r="AH29" t="n">
        <v>1</v>
      </c>
      <c r="AI29">
        <f>IF($Q$29,$M$29*$AA$29*$U$29,0)</f>
        <v/>
      </c>
      <c r="AJ29" t="n">
        <v>28.8</v>
      </c>
      <c r="AK29">
        <f>IF($Q$29,$M$29*$AC$29*$U$29,0)</f>
        <v/>
      </c>
      <c r="AL29" t="n">
        <v>24</v>
      </c>
      <c r="AM29">
        <f>IF($Q$29,$M$29*$AE$29*$U$29,0)</f>
        <v/>
      </c>
      <c r="AN29" t="n">
        <v>15.6</v>
      </c>
      <c r="AO29">
        <f>IF($Q$29,$M$29*$AC$29*$Y$29,0)</f>
        <v/>
      </c>
      <c r="AP29" t="n">
        <v>14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IF(Vu_khi!$AG$30,INDEX(Bang_danh_noc!$C$2:$C$8,MIN(7,MAX(1,2-(Vu_khi!$L$30-0)+1))),INDEX(Bang_xuyen_giap!$C$2:$C$8,MIN(7,MAX(1,IF($O$30,MAX(1,2-(Vu_khi!$L$30-0)),2-(Vu_khi!$L$30-0))+1))))</f>
        <v/>
      </c>
      <c r="AB30" t="n">
        <v>1.2</v>
      </c>
      <c r="AC30">
        <f>IF(Vu_khi!$AG$30,INDEX(Bang_danh_noc!$C$2:$C$8,MIN(7,MAX(1,2-(Vu_khi!$L$30-2)+1))),INDEX(Bang_xuyen_giap!$C$2:$C$8,MIN(7,MAX(1,IF($O$30,MAX(1,2-(Vu_khi!$L$30-2)),2-(Vu_khi!$L$30-2))+1))))</f>
        <v/>
      </c>
      <c r="AD30" t="n">
        <v>0.85</v>
      </c>
      <c r="AE30">
        <f>IF(Vu_khi!$AG$30,INDEX(Bang_danh_noc!$C$2:$C$8,MIN(7,MAX(1,2-(Vu_khi!$L$30-4)+1))),INDEX(Bang_xuyen_giap!$C$2:$C$8,MIN(7,MAX(1,IF($O$30,MAX(1,2-(Vu_khi!$L$30-4)),2-(Vu_khi!$L$30-4))+1))))</f>
        <v/>
      </c>
      <c r="AF30" t="n">
        <v>0.4</v>
      </c>
      <c r="AG30">
        <f>INDEX(Bang_xuyen_giap!$C$2:$C$8,MIN(7,MAX(1,MAX(1,2-(Vu_khi!$L$30-0))+1)))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8</v>
      </c>
      <c r="AO30">
        <f>IF($Q$30,$M$30*$AC$30*$Y$30,0)</f>
        <v/>
      </c>
      <c r="AP30" t="n">
        <v>27.2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IF(Vu_khi!$AG$31,INDEX(Bang_danh_noc!$C$2:$C$8,MIN(7,MAX(1,2-(Vu_khi!$L$31-0)+1))),INDEX(Bang_xuyen_giap!$C$2:$C$8,MIN(7,MAX(1,IF($O$31,MAX(1,2-(Vu_khi!$L$31-0)),2-(Vu_khi!$L$31-0))+1))))</f>
        <v/>
      </c>
      <c r="AB31" t="n">
        <v>1.2</v>
      </c>
      <c r="AC31">
        <f>IF(Vu_khi!$AG$31,INDEX(Bang_danh_noc!$C$2:$C$8,MIN(7,MAX(1,2-(Vu_khi!$L$31-2)+1))),INDEX(Bang_xuyen_giap!$C$2:$C$8,MIN(7,MAX(1,IF($O$31,MAX(1,2-(Vu_khi!$L$31-2)),2-(Vu_khi!$L$31-2))+1))))</f>
        <v/>
      </c>
      <c r="AD31" t="n">
        <v>1.2</v>
      </c>
      <c r="AE31">
        <f>IF(Vu_khi!$AG$31,INDEX(Bang_danh_noc!$C$2:$C$8,MIN(7,MAX(1,2-(Vu_khi!$L$31-4)+1))),INDEX(Bang_xuyen_giap!$C$2:$C$8,MIN(7,MAX(1,IF($O$31,MAX(1,2-(Vu_khi!$L$31-4)),2-(Vu_khi!$L$31-4))+1))))</f>
        <v/>
      </c>
      <c r="AF31" t="n">
        <v>1</v>
      </c>
      <c r="AG31">
        <f>INDEX(Bang_xuyen_giap!$C$2:$C$8,MIN(7,MAX(1,MAX(1,2-(Vu_khi!$L$31-0))+1)))</f>
        <v/>
      </c>
      <c r="AH31" t="n">
        <v>1</v>
      </c>
      <c r="AI31">
        <f>IF($Q$31,$M$31*$AA$31*$U$31,0)</f>
        <v/>
      </c>
      <c r="AJ31" t="n">
        <v>249.6</v>
      </c>
      <c r="AK31">
        <f>IF($Q$31,$M$31*$AC$31*$U$31,0)</f>
        <v/>
      </c>
      <c r="AL31" t="n">
        <v>249.6</v>
      </c>
      <c r="AM31">
        <f>IF($Q$31,$M$31*$AE$31*$U$31,0)</f>
        <v/>
      </c>
      <c r="AN31" t="n">
        <v>208</v>
      </c>
      <c r="AO31">
        <f>IF($Q$31,$M$31*$AC$31*$Y$31,0)</f>
        <v/>
      </c>
      <c r="AP31" t="n">
        <v>145.6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IF(Vu_khi!$AG$32,INDEX(Bang_danh_noc!$C$2:$C$8,MIN(7,MAX(1,2-(Vu_khi!$L$32-0)+1))),INDEX(Bang_xuyen_giap!$C$2:$C$8,MIN(7,MAX(1,IF($O$32,MAX(1,2-(Vu_khi!$L$32-0)),2-(Vu_khi!$L$32-0))+1))))</f>
        <v/>
      </c>
      <c r="AB32" t="n">
        <v>1.2</v>
      </c>
      <c r="AC32">
        <f>IF(Vu_khi!$AG$32,INDEX(Bang_danh_noc!$C$2:$C$8,MIN(7,MAX(1,2-(Vu_khi!$L$32-2)+1))),INDEX(Bang_xuyen_giap!$C$2:$C$8,MIN(7,MAX(1,IF($O$32,MAX(1,2-(Vu_khi!$L$32-2)),2-(Vu_khi!$L$32-2))+1))))</f>
        <v/>
      </c>
      <c r="AD32" t="n">
        <v>0.85</v>
      </c>
      <c r="AE32">
        <f>IF(Vu_khi!$AG$32,INDEX(Bang_danh_noc!$C$2:$C$8,MIN(7,MAX(1,2-(Vu_khi!$L$32-4)+1))),INDEX(Bang_xuyen_giap!$C$2:$C$8,MIN(7,MAX(1,IF($O$32,MAX(1,2-(Vu_khi!$L$32-4)),2-(Vu_khi!$L$32-4))+1))))</f>
        <v/>
      </c>
      <c r="AF32" t="n">
        <v>0.4</v>
      </c>
      <c r="AG32">
        <f>INDEX(Bang_xuyen_giap!$C$2:$C$8,MIN(7,MAX(1,MAX(1,2-(Vu_khi!$L$32-0))+1)))</f>
        <v/>
      </c>
      <c r="AH32" t="n">
        <v>1</v>
      </c>
      <c r="AI32">
        <f>IF($Q$32,$M$32*$AA$32*$U$32,0)</f>
        <v/>
      </c>
      <c r="AJ32" t="n">
        <v>102.8810408921933</v>
      </c>
      <c r="AK32">
        <f>IF($Q$32,$M$32*$AC$32*$U$32,0)</f>
        <v/>
      </c>
      <c r="AL32" t="n">
        <v>72.87407063197026</v>
      </c>
      <c r="AM32">
        <f>IF($Q$32,$M$32*$AE$32*$U$32,0)</f>
        <v/>
      </c>
      <c r="AN32" t="n">
        <v>34.29368029739777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257.2026022304833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IF(Vu_khi!$AG$33,INDEX(Bang_danh_noc!$C$2:$C$8,MIN(7,MAX(1,2-(Vu_khi!$L$33-0)+1))),INDEX(Bang_xuyen_giap!$C$2:$C$8,MIN(7,MAX(1,IF($O$33,MAX(1,2-(Vu_khi!$L$33-0)),2-(Vu_khi!$L$33-0))+1))))</f>
        <v/>
      </c>
      <c r="AB33" t="n">
        <v>1.2</v>
      </c>
      <c r="AC33">
        <f>IF(Vu_khi!$AG$33,INDEX(Bang_danh_noc!$C$2:$C$8,MIN(7,MAX(1,2-(Vu_khi!$L$33-2)+1))),INDEX(Bang_xuyen_giap!$C$2:$C$8,MIN(7,MAX(1,IF($O$33,MAX(1,2-(Vu_khi!$L$33-2)),2-(Vu_khi!$L$33-2))+1))))</f>
        <v/>
      </c>
      <c r="AD33" t="n">
        <v>0.85</v>
      </c>
      <c r="AE33">
        <f>IF(Vu_khi!$AG$33,INDEX(Bang_danh_noc!$C$2:$C$8,MIN(7,MAX(1,2-(Vu_khi!$L$33-4)+1))),INDEX(Bang_xuyen_giap!$C$2:$C$8,MIN(7,MAX(1,IF($O$33,MAX(1,2-(Vu_khi!$L$33-4)),2-(Vu_khi!$L$33-4))+1))))</f>
        <v/>
      </c>
      <c r="AF33" t="n">
        <v>0.4</v>
      </c>
      <c r="AG33">
        <f>INDEX(Bang_xuyen_giap!$C$2:$C$8,MIN(7,MAX(1,MAX(1,2-(Vu_khi!$L$33-0))+1)))</f>
        <v/>
      </c>
      <c r="AH33" t="n">
        <v>1</v>
      </c>
      <c r="AI33">
        <f>IF($Q$33,$M$33*$AA$33*$U$33,0)</f>
        <v/>
      </c>
      <c r="AJ33" t="n">
        <v>274.3494423791822</v>
      </c>
      <c r="AK33">
        <f>IF($Q$33,$M$33*$AC$33*$U$33,0)</f>
        <v/>
      </c>
      <c r="AL33" t="n">
        <v>194.3308550185874</v>
      </c>
      <c r="AM33">
        <f>IF($Q$33,$M$33*$AE$33*$U$33,0)</f>
        <v/>
      </c>
      <c r="AN33" t="n">
        <v>91.44981412639405</v>
      </c>
      <c r="AO33">
        <f>IF($Q$33,$M$33*$AC$33*$Y$33,0)</f>
        <v/>
      </c>
      <c r="AP33" t="n">
        <v>113.3596654275093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IF(Vu_khi!$AG$34,INDEX(Bang_danh_noc!$C$2:$C$8,MIN(7,MAX(1,2-(Vu_khi!$L$34-0)+1))),INDEX(Bang_xuyen_giap!$C$2:$C$8,MIN(7,MAX(1,IF($O$34,MAX(1,2-(Vu_khi!$L$34-0)),2-(Vu_khi!$L$34-0))+1))))</f>
        <v/>
      </c>
      <c r="AB34" t="n">
        <v>1.2</v>
      </c>
      <c r="AC34">
        <f>IF(Vu_khi!$AG$34,INDEX(Bang_danh_noc!$C$2:$C$8,MIN(7,MAX(1,2-(Vu_khi!$L$34-2)+1))),INDEX(Bang_xuyen_giap!$C$2:$C$8,MIN(7,MAX(1,IF($O$34,MAX(1,2-(Vu_khi!$L$34-2)),2-(Vu_khi!$L$34-2))+1))))</f>
        <v/>
      </c>
      <c r="AD34" t="n">
        <v>0.85</v>
      </c>
      <c r="AE34">
        <f>IF(Vu_khi!$AG$34,INDEX(Bang_danh_noc!$C$2:$C$8,MIN(7,MAX(1,2-(Vu_khi!$L$34-4)+1))),INDEX(Bang_xuyen_giap!$C$2:$C$8,MIN(7,MAX(1,IF($O$34,MAX(1,2-(Vu_khi!$L$34-4)),2-(Vu_khi!$L$34-4))+1))))</f>
        <v/>
      </c>
      <c r="AF34" t="n">
        <v>0.4</v>
      </c>
      <c r="AG34">
        <f>INDEX(Bang_xuyen_giap!$C$2:$C$8,MIN(7,MAX(1,MAX(1,2-(Vu_khi!$L$34-0))+1)))</f>
        <v/>
      </c>
      <c r="AH34" t="n">
        <v>1</v>
      </c>
      <c r="AI34">
        <f>IF($Q$34,$M$34*$AA$34*$U$34,0)</f>
        <v/>
      </c>
      <c r="AJ34" t="n">
        <v>194.4</v>
      </c>
      <c r="AK34">
        <f>IF($Q$34,$M$34*$AC$34*$U$34,0)</f>
        <v/>
      </c>
      <c r="AL34" t="n">
        <v>137.7</v>
      </c>
      <c r="AM34">
        <f>IF($Q$34,$M$34*$AE$34*$U$34,0)</f>
        <v/>
      </c>
      <c r="AN34" t="n">
        <v>64.80000000000001</v>
      </c>
      <c r="AO34">
        <f>IF($Q$34,$M$34*$AC$34*$Y$34,0)</f>
        <v/>
      </c>
      <c r="AP34" t="n">
        <v>112.2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IF(Vu_khi!$AG$35,INDEX(Bang_danh_noc!$C$2:$C$8,MIN(7,MAX(1,2-(Vu_khi!$L$35-0)+1))),INDEX(Bang_xuyen_giap!$C$2:$C$8,MIN(7,MAX(1,IF($O$35,MAX(1,2-(Vu_khi!$L$35-0)),2-(Vu_khi!$L$35-0))+1))))</f>
        <v/>
      </c>
      <c r="AB35" t="n">
        <v>1.2</v>
      </c>
      <c r="AC35">
        <f>IF(Vu_khi!$AG$35,INDEX(Bang_danh_noc!$C$2:$C$8,MIN(7,MAX(1,2-(Vu_khi!$L$35-2)+1))),INDEX(Bang_xuyen_giap!$C$2:$C$8,MIN(7,MAX(1,IF($O$35,MAX(1,2-(Vu_khi!$L$35-2)),2-(Vu_khi!$L$35-2))+1))))</f>
        <v/>
      </c>
      <c r="AD35" t="n">
        <v>0.85</v>
      </c>
      <c r="AE35">
        <f>IF(Vu_khi!$AG$35,INDEX(Bang_danh_noc!$C$2:$C$8,MIN(7,MAX(1,2-(Vu_khi!$L$35-4)+1))),INDEX(Bang_xuyen_giap!$C$2:$C$8,MIN(7,MAX(1,IF($O$35,MAX(1,2-(Vu_khi!$L$35-4)),2-(Vu_khi!$L$35-4))+1))))</f>
        <v/>
      </c>
      <c r="AF35" t="n">
        <v>0.4</v>
      </c>
      <c r="AG35">
        <f>INDEX(Bang_xuyen_giap!$C$2:$C$8,MIN(7,MAX(1,MAX(1,2-(Vu_khi!$L$35-0))+1)))</f>
        <v/>
      </c>
      <c r="AH35" t="n">
        <v>1</v>
      </c>
      <c r="AI35">
        <f>IF($Q$35,$M$35*$AA$35*$U$35,0)</f>
        <v/>
      </c>
      <c r="AJ35" t="n">
        <v>131.0675092829143</v>
      </c>
      <c r="AK35">
        <f>IF($Q$35,$M$35*$AC$35*$U$35,0)</f>
        <v/>
      </c>
      <c r="AL35" t="n">
        <v>92.83948574206428</v>
      </c>
      <c r="AM35">
        <f>IF($Q$35,$M$35*$AE$35*$U$35,0)</f>
        <v/>
      </c>
      <c r="AN35" t="n">
        <v>43.68916976097142</v>
      </c>
      <c r="AO35">
        <f>IF($Q$35,$M$35*$AC$35*$Y$35,0)</f>
        <v/>
      </c>
      <c r="AP35" t="n">
        <v>54.15636668287083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IF(Vu_khi!$AG$36,INDEX(Bang_danh_noc!$C$2:$C$8,MIN(7,MAX(1,2-(Vu_khi!$L$36-0)+1))),INDEX(Bang_xuyen_giap!$C$2:$C$8,MIN(7,MAX(1,IF($O$36,MAX(1,2-(Vu_khi!$L$36-0)),2-(Vu_khi!$L$36-0))+1))))</f>
        <v/>
      </c>
      <c r="AB36" t="n">
        <v>1.2</v>
      </c>
      <c r="AC36">
        <f>IF(Vu_khi!$AG$36,INDEX(Bang_danh_noc!$C$2:$C$8,MIN(7,MAX(1,2-(Vu_khi!$L$36-2)+1))),INDEX(Bang_xuyen_giap!$C$2:$C$8,MIN(7,MAX(1,IF($O$36,MAX(1,2-(Vu_khi!$L$36-2)),2-(Vu_khi!$L$36-2))+1))))</f>
        <v/>
      </c>
      <c r="AD36" t="n">
        <v>0.85</v>
      </c>
      <c r="AE36">
        <f>IF(Vu_khi!$AG$36,INDEX(Bang_danh_noc!$C$2:$C$8,MIN(7,MAX(1,2-(Vu_khi!$L$36-4)+1))),INDEX(Bang_xuyen_giap!$C$2:$C$8,MIN(7,MAX(1,IF($O$36,MAX(1,2-(Vu_khi!$L$36-4)),2-(Vu_khi!$L$36-4))+1))))</f>
        <v/>
      </c>
      <c r="AF36" t="n">
        <v>0.4</v>
      </c>
      <c r="AG36">
        <f>INDEX(Bang_xuyen_giap!$C$2:$C$8,MIN(7,MAX(1,MAX(1,2-(Vu_khi!$L$36-0))+1)))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122.8757899527321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IF(Vu_khi!$AG$37,INDEX(Bang_danh_noc!$C$2:$C$8,MIN(7,MAX(1,2-(Vu_khi!$L$37-0)+1))),INDEX(Bang_xuyen_giap!$C$2:$C$8,MIN(7,MAX(1,IF($O$37,MAX(1,2-(Vu_khi!$L$37-0)),2-(Vu_khi!$L$37-0))+1))))</f>
        <v/>
      </c>
      <c r="AB37" t="n">
        <v>1</v>
      </c>
      <c r="AC37">
        <f>IF(Vu_khi!$AG$37,INDEX(Bang_danh_noc!$C$2:$C$8,MIN(7,MAX(1,2-(Vu_khi!$L$37-2)+1))),INDEX(Bang_xuyen_giap!$C$2:$C$8,MIN(7,MAX(1,IF($O$37,MAX(1,2-(Vu_khi!$L$37-2)),2-(Vu_khi!$L$37-2))+1))))</f>
        <v/>
      </c>
      <c r="AD37" t="n">
        <v>0.65</v>
      </c>
      <c r="AE37">
        <f>IF(Vu_khi!$AG$37,INDEX(Bang_danh_noc!$C$2:$C$8,MIN(7,MAX(1,2-(Vu_khi!$L$37-4)+1))),INDEX(Bang_xuyen_giap!$C$2:$C$8,MIN(7,MAX(1,IF($O$37,MAX(1,2-(Vu_khi!$L$37-4)),2-(Vu_khi!$L$37-4))+1))))</f>
        <v/>
      </c>
      <c r="AF37" t="n">
        <v>0.15</v>
      </c>
      <c r="AG37">
        <f>INDEX(Bang_xuyen_giap!$C$2:$C$8,MIN(7,MAX(1,MAX(1,2-(Vu_khi!$L$37-0))+1)))</f>
        <v/>
      </c>
      <c r="AH37" t="n">
        <v>1</v>
      </c>
      <c r="AI37">
        <f>IF($Q$37,$M$37*$AA$37*$U$37,0)</f>
        <v/>
      </c>
      <c r="AJ37" t="n">
        <v>135.8828991371436</v>
      </c>
      <c r="AK37">
        <f>IF($Q$37,$M$37*$AC$37*$U$37,0)</f>
        <v/>
      </c>
      <c r="AL37" t="n">
        <v>88.32388443914333</v>
      </c>
      <c r="AM37">
        <f>IF($Q$37,$M$37*$AE$37*$U$37,0)</f>
        <v/>
      </c>
      <c r="AN37" t="n">
        <v>20.38243487057154</v>
      </c>
      <c r="AO37">
        <f>IF($Q$37,$M$37*$AC$37*$Y$37,0)</f>
        <v/>
      </c>
      <c r="AP37" t="n">
        <v>51.5222659228336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IF(Vu_khi!$AG$38,INDEX(Bang_danh_noc!$C$2:$C$8,MIN(7,MAX(1,2-(Vu_khi!$L$38-0)+1))),INDEX(Bang_xuyen_giap!$C$2:$C$8,MIN(7,MAX(1,IF($O$38,MAX(1,2-(Vu_khi!$L$38-0)),2-(Vu_khi!$L$38-0))+1))))</f>
        <v/>
      </c>
      <c r="AB38" t="n">
        <v>1.2</v>
      </c>
      <c r="AC38">
        <f>IF(Vu_khi!$AG$38,INDEX(Bang_danh_noc!$C$2:$C$8,MIN(7,MAX(1,2-(Vu_khi!$L$38-2)+1))),INDEX(Bang_xuyen_giap!$C$2:$C$8,MIN(7,MAX(1,IF($O$38,MAX(1,2-(Vu_khi!$L$38-2)),2-(Vu_khi!$L$38-2))+1))))</f>
        <v/>
      </c>
      <c r="AD38" t="n">
        <v>0.85</v>
      </c>
      <c r="AE38">
        <f>IF(Vu_khi!$AG$38,INDEX(Bang_danh_noc!$C$2:$C$8,MIN(7,MAX(1,2-(Vu_khi!$L$38-4)+1))),INDEX(Bang_xuyen_giap!$C$2:$C$8,MIN(7,MAX(1,IF($O$38,MAX(1,2-(Vu_khi!$L$38-4)),2-(Vu_khi!$L$38-4))+1))))</f>
        <v/>
      </c>
      <c r="AF38" t="n">
        <v>0.4</v>
      </c>
      <c r="AG38">
        <f>INDEX(Bang_xuyen_giap!$C$2:$C$8,MIN(7,MAX(1,MAX(1,2-(Vu_khi!$L$38-0))+1)))</f>
        <v/>
      </c>
      <c r="AH38" t="n">
        <v>1</v>
      </c>
      <c r="AI38">
        <f>IF($Q$38,$M$38*$AA$38*$U$38,0)</f>
        <v/>
      </c>
      <c r="AJ38" t="n">
        <v>163.0594789645723</v>
      </c>
      <c r="AK38">
        <f>IF($Q$38,$M$38*$AC$38*$U$38,0)</f>
        <v/>
      </c>
      <c r="AL38" t="n">
        <v>115.5004642665721</v>
      </c>
      <c r="AM38">
        <f>IF($Q$38,$M$38*$AE$38*$U$38,0)</f>
        <v/>
      </c>
      <c r="AN38" t="n">
        <v>54.35315965485743</v>
      </c>
      <c r="AO38">
        <f>IF($Q$38,$M$38*$AC$38*$Y$38,0)</f>
        <v/>
      </c>
      <c r="AP38" t="n">
        <v>67.37527082216702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IF(Vu_khi!$AG$39,INDEX(Bang_danh_noc!$C$2:$C$8,MIN(7,MAX(1,2-(Vu_khi!$L$39-0)+1))),INDEX(Bang_xuyen_giap!$C$2:$C$8,MIN(7,MAX(1,IF($O$39,MAX(1,2-(Vu_khi!$L$39-0)),2-(Vu_khi!$L$39-0))+1))))</f>
        <v/>
      </c>
      <c r="AB39" t="n">
        <v>1.2</v>
      </c>
      <c r="AC39">
        <f>IF(Vu_khi!$AG$39,INDEX(Bang_danh_noc!$C$2:$C$8,MIN(7,MAX(1,2-(Vu_khi!$L$39-2)+1))),INDEX(Bang_xuyen_giap!$C$2:$C$8,MIN(7,MAX(1,IF($O$39,MAX(1,2-(Vu_khi!$L$39-2)),2-(Vu_khi!$L$39-2))+1))))</f>
        <v/>
      </c>
      <c r="AD39" t="n">
        <v>1.2</v>
      </c>
      <c r="AE39">
        <f>IF(Vu_khi!$AG$39,INDEX(Bang_danh_noc!$C$2:$C$8,MIN(7,MAX(1,2-(Vu_khi!$L$39-4)+1))),INDEX(Bang_xuyen_giap!$C$2:$C$8,MIN(7,MAX(1,IF($O$39,MAX(1,2-(Vu_khi!$L$39-4)),2-(Vu_khi!$L$39-4))+1))))</f>
        <v/>
      </c>
      <c r="AF39" t="n">
        <v>0.85</v>
      </c>
      <c r="AG39">
        <f>INDEX(Bang_xuyen_giap!$C$2:$C$8,MIN(7,MAX(1,MAX(1,2-(Vu_khi!$L$39-0))+1)))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85.42372881355932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IF(Vu_khi!$AG$40,INDEX(Bang_danh_noc!$C$2:$C$8,MIN(7,MAX(1,2-(Vu_khi!$L$40-0)+1))),INDEX(Bang_xuyen_giap!$C$2:$C$8,MIN(7,MAX(1,IF($O$40,MAX(1,2-(Vu_khi!$L$40-0)),2-(Vu_khi!$L$40-0))+1))))</f>
        <v/>
      </c>
      <c r="AB40" t="n">
        <v>1.2</v>
      </c>
      <c r="AC40">
        <f>IF(Vu_khi!$AG$40,INDEX(Bang_danh_noc!$C$2:$C$8,MIN(7,MAX(1,2-(Vu_khi!$L$40-2)+1))),INDEX(Bang_xuyen_giap!$C$2:$C$8,MIN(7,MAX(1,IF($O$40,MAX(1,2-(Vu_khi!$L$40-2)),2-(Vu_khi!$L$40-2))+1))))</f>
        <v/>
      </c>
      <c r="AD40" t="n">
        <v>1.2</v>
      </c>
      <c r="AE40">
        <f>IF(Vu_khi!$AG$40,INDEX(Bang_danh_noc!$C$2:$C$8,MIN(7,MAX(1,2-(Vu_khi!$L$40-4)+1))),INDEX(Bang_xuyen_giap!$C$2:$C$8,MIN(7,MAX(1,IF($O$40,MAX(1,2-(Vu_khi!$L$40-4)),2-(Vu_khi!$L$40-4))+1))))</f>
        <v/>
      </c>
      <c r="AF40" t="n">
        <v>0.85</v>
      </c>
      <c r="AG40">
        <f>INDEX(Bang_xuyen_giap!$C$2:$C$8,MIN(7,MAX(1,MAX(1,2-(Vu_khi!$L$40-0))+1)))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85.42372881355932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IF(Vu_khi!$AG$41,INDEX(Bang_danh_noc!$C$2:$C$8,MIN(7,MAX(1,2-(Vu_khi!$L$41-0)+1))),INDEX(Bang_xuyen_giap!$C$2:$C$8,MIN(7,MAX(1,IF($O$41,MAX(1,2-(Vu_khi!$L$41-0)),2-(Vu_khi!$L$41-0))+1))))</f>
        <v/>
      </c>
      <c r="AB41" t="n">
        <v>0.85</v>
      </c>
      <c r="AC41">
        <f>IF(Vu_khi!$AG$41,INDEX(Bang_danh_noc!$C$2:$C$8,MIN(7,MAX(1,2-(Vu_khi!$L$41-2)+1))),INDEX(Bang_xuyen_giap!$C$2:$C$8,MIN(7,MAX(1,IF($O$41,MAX(1,2-(Vu_khi!$L$41-2)),2-(Vu_khi!$L$41-2))+1))))</f>
        <v/>
      </c>
      <c r="AD41" t="n">
        <v>0.4</v>
      </c>
      <c r="AE41">
        <f>IF(Vu_khi!$AG$41,INDEX(Bang_danh_noc!$C$2:$C$8,MIN(7,MAX(1,2-(Vu_khi!$L$41-4)+1))),INDEX(Bang_xuyen_giap!$C$2:$C$8,MIN(7,MAX(1,IF($O$41,MAX(1,2-(Vu_khi!$L$41-4)),2-(Vu_khi!$L$41-4))+1))))</f>
        <v/>
      </c>
      <c r="AF41" t="n">
        <v>0.08</v>
      </c>
      <c r="AG41">
        <f>INDEX(Bang_xuyen_giap!$C$2:$C$8,MIN(7,MAX(1,MAX(1,2-(Vu_khi!$L$41-0))+1)))</f>
        <v/>
      </c>
      <c r="AH41" t="n">
        <v>0.85</v>
      </c>
      <c r="AI41">
        <f>IF($Q$41,$M$41*$AA$41*$U$41,0)</f>
        <v/>
      </c>
      <c r="AJ41" t="n">
        <v>33.19133830315939</v>
      </c>
      <c r="AK41">
        <f>IF($Q$41,$M$41*$AC$41*$U$41,0)</f>
        <v/>
      </c>
      <c r="AL41" t="n">
        <v>15.61945331913383</v>
      </c>
      <c r="AM41">
        <f>IF($Q$41,$M$41*$AE$41*$U$41,0)</f>
        <v/>
      </c>
      <c r="AN41" t="n">
        <v>3.123890663826766</v>
      </c>
      <c r="AO41">
        <f>IF($Q$41,$M$41*$AC$41*$Y$41,0)</f>
        <v/>
      </c>
      <c r="AP41" t="n">
        <v>9.111347769494733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IF(Vu_khi!$AG$42,INDEX(Bang_danh_noc!$C$2:$C$8,MIN(7,MAX(1,2-(Vu_khi!$L$42-0)+1))),INDEX(Bang_xuyen_giap!$C$2:$C$8,MIN(7,MAX(1,IF($O$42,MAX(1,2-(Vu_khi!$L$42-0)),2-(Vu_khi!$L$42-0))+1))))</f>
        <v/>
      </c>
      <c r="AB42" t="n">
        <v>1.2</v>
      </c>
      <c r="AC42">
        <f>IF(Vu_khi!$AG$42,INDEX(Bang_danh_noc!$C$2:$C$8,MIN(7,MAX(1,2-(Vu_khi!$L$42-2)+1))),INDEX(Bang_xuyen_giap!$C$2:$C$8,MIN(7,MAX(1,IF($O$42,MAX(1,2-(Vu_khi!$L$42-2)),2-(Vu_khi!$L$42-2))+1))))</f>
        <v/>
      </c>
      <c r="AD42" t="n">
        <v>1.2</v>
      </c>
      <c r="AE42">
        <f>IF(Vu_khi!$AG$42,INDEX(Bang_danh_noc!$C$2:$C$8,MIN(7,MAX(1,2-(Vu_khi!$L$42-4)+1))),INDEX(Bang_xuyen_giap!$C$2:$C$8,MIN(7,MAX(1,IF($O$42,MAX(1,2-(Vu_khi!$L$42-4)),2-(Vu_khi!$L$42-4))+1))))</f>
        <v/>
      </c>
      <c r="AF42" t="n">
        <v>0.85</v>
      </c>
      <c r="AG42">
        <f>INDEX(Bang_xuyen_giap!$C$2:$C$8,MIN(7,MAX(1,MAX(1,2-(Vu_khi!$L$42-0))+1)))</f>
        <v/>
      </c>
      <c r="AH42" t="n">
        <v>1</v>
      </c>
      <c r="AI42">
        <f>IF($Q$42,$M$42*$AA$42*$U$42,0)</f>
        <v/>
      </c>
      <c r="AJ42" t="n">
        <v>56.15023474178404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39.77308294209703</v>
      </c>
      <c r="AO42">
        <f>IF($Q$42,$M$42*$AC$42*$Y$42,0)</f>
        <v/>
      </c>
      <c r="AP42" t="n">
        <v>19.43661971830986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IF(Vu_khi!$AG$43,INDEX(Bang_danh_noc!$C$2:$C$8,MIN(7,MAX(1,2-(Vu_khi!$L$43-0)+1))),INDEX(Bang_xuyen_giap!$C$2:$C$8,MIN(7,MAX(1,IF($O$43,MAX(1,2-(Vu_khi!$L$43-0)),2-(Vu_khi!$L$43-0))+1))))</f>
        <v/>
      </c>
      <c r="AB43" t="n">
        <v>1</v>
      </c>
      <c r="AC43">
        <f>IF(Vu_khi!$AG$43,INDEX(Bang_danh_noc!$C$2:$C$8,MIN(7,MAX(1,2-(Vu_khi!$L$43-2)+1))),INDEX(Bang_xuyen_giap!$C$2:$C$8,MIN(7,MAX(1,IF($O$43,MAX(1,2-(Vu_khi!$L$43-2)),2-(Vu_khi!$L$43-2))+1))))</f>
        <v/>
      </c>
      <c r="AD43" t="n">
        <v>1</v>
      </c>
      <c r="AE43">
        <f>IF(Vu_khi!$AG$43,INDEX(Bang_danh_noc!$C$2:$C$8,MIN(7,MAX(1,2-(Vu_khi!$L$43-4)+1))),INDEX(Bang_xuyen_giap!$C$2:$C$8,MIN(7,MAX(1,IF($O$43,MAX(1,2-(Vu_khi!$L$43-4)),2-(Vu_khi!$L$43-4))+1))))</f>
        <v/>
      </c>
      <c r="AF43" t="n">
        <v>0.85</v>
      </c>
      <c r="AG43">
        <f>INDEX(Bang_xuyen_giap!$C$2:$C$8,MIN(7,MAX(1,MAX(1,2-(Vu_khi!$L$43-0))+1)))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73.61963190184051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IF(Vu_khi!$AG$44,INDEX(Bang_danh_noc!$C$2:$C$8,MIN(7,MAX(1,2-(Vu_khi!$L$44-0)+1))),INDEX(Bang_xuyen_giap!$C$2:$C$8,MIN(7,MAX(1,IF($O$44,MAX(1,2-(Vu_khi!$L$44-0)),2-(Vu_khi!$L$44-0))+1))))</f>
        <v/>
      </c>
      <c r="AB44" t="n">
        <v>1.2</v>
      </c>
      <c r="AC44">
        <f>IF(Vu_khi!$AG$44,INDEX(Bang_danh_noc!$C$2:$C$8,MIN(7,MAX(1,2-(Vu_khi!$L$44-2)+1))),INDEX(Bang_xuyen_giap!$C$2:$C$8,MIN(7,MAX(1,IF($O$44,MAX(1,2-(Vu_khi!$L$44-2)),2-(Vu_khi!$L$44-2))+1))))</f>
        <v/>
      </c>
      <c r="AD44" t="n">
        <v>1.2</v>
      </c>
      <c r="AE44">
        <f>IF(Vu_khi!$AG$44,INDEX(Bang_danh_noc!$C$2:$C$8,MIN(7,MAX(1,2-(Vu_khi!$L$44-4)+1))),INDEX(Bang_xuyen_giap!$C$2:$C$8,MIN(7,MAX(1,IF($O$44,MAX(1,2-(Vu_khi!$L$44-4)),2-(Vu_khi!$L$44-4))+1))))</f>
        <v/>
      </c>
      <c r="AF44" t="n">
        <v>1</v>
      </c>
      <c r="AG44">
        <f>INDEX(Bang_xuyen_giap!$C$2:$C$8,MIN(7,MAX(1,MAX(1,2-(Vu_khi!$L$44-0))+1)))</f>
        <v/>
      </c>
      <c r="AH44" t="n">
        <v>1</v>
      </c>
      <c r="AI44">
        <f>IF($Q$44,$M$44*$AA$44*$U$44,0)</f>
        <v/>
      </c>
      <c r="AJ44" t="n">
        <v>129.6</v>
      </c>
      <c r="AK44">
        <f>IF($Q$44,$M$44*$AC$44*$U$44,0)</f>
        <v/>
      </c>
      <c r="AL44" t="n">
        <v>129.6</v>
      </c>
      <c r="AM44">
        <f>IF($Q$44,$M$44*$AE$44*$U$44,0)</f>
        <v/>
      </c>
      <c r="AN44" t="n">
        <v>108</v>
      </c>
      <c r="AO44">
        <f>IF($Q$44,$M$44*$AC$44*$Y$44,0)</f>
        <v/>
      </c>
      <c r="AP44" t="n">
        <v>75.59999999999999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IF(Vu_khi!$AG$45,INDEX(Bang_danh_noc!$C$2:$C$8,MIN(7,MAX(1,2-(Vu_khi!$L$45-0)+1))),INDEX(Bang_xuyen_giap!$C$2:$C$8,MIN(7,MAX(1,IF($O$45,MAX(1,2-(Vu_khi!$L$45-0)),2-(Vu_khi!$L$45-0))+1))))</f>
        <v/>
      </c>
      <c r="AB45" t="n">
        <v>1.2</v>
      </c>
      <c r="AC45">
        <f>IF(Vu_khi!$AG$45,INDEX(Bang_danh_noc!$C$2:$C$8,MIN(7,MAX(1,2-(Vu_khi!$L$45-2)+1))),INDEX(Bang_xuyen_giap!$C$2:$C$8,MIN(7,MAX(1,IF($O$45,MAX(1,2-(Vu_khi!$L$45-2)),2-(Vu_khi!$L$45-2))+1))))</f>
        <v/>
      </c>
      <c r="AD45" t="n">
        <v>0.85</v>
      </c>
      <c r="AE45">
        <f>IF(Vu_khi!$AG$45,INDEX(Bang_danh_noc!$C$2:$C$8,MIN(7,MAX(1,2-(Vu_khi!$L$45-4)+1))),INDEX(Bang_xuyen_giap!$C$2:$C$8,MIN(7,MAX(1,IF($O$45,MAX(1,2-(Vu_khi!$L$45-4)),2-(Vu_khi!$L$45-4))+1))))</f>
        <v/>
      </c>
      <c r="AF45" t="n">
        <v>0.4</v>
      </c>
      <c r="AG45">
        <f>INDEX(Bang_xuyen_giap!$C$2:$C$8,MIN(7,MAX(1,MAX(1,2-(Vu_khi!$L$45-0))+1)))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123.2227488151659</v>
      </c>
      <c r="AO45">
        <f>IF($Q$45,$M$45*$AC$45*$Y$45,0)</f>
        <v/>
      </c>
      <c r="AP45" t="n">
        <v>418.9573459715641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inlineStr"/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IF(Vu_khi!$AG$46,INDEX(Bang_danh_noc!$C$2:$C$8,MIN(7,MAX(1,2-(Vu_khi!$L$46-0)+1))),INDEX(Bang_xuyen_giap!$C$2:$C$8,MIN(7,MAX(1,IF($O$46,MAX(1,2-(Vu_khi!$L$46-0)),2-(Vu_khi!$L$46-0))+1))))</f>
        <v/>
      </c>
      <c r="AB46" t="n">
        <v>1.2</v>
      </c>
      <c r="AC46">
        <f>IF(Vu_khi!$AG$46,INDEX(Bang_danh_noc!$C$2:$C$8,MIN(7,MAX(1,2-(Vu_khi!$L$46-2)+1))),INDEX(Bang_xuyen_giap!$C$2:$C$8,MIN(7,MAX(1,IF($O$46,MAX(1,2-(Vu_khi!$L$46-2)),2-(Vu_khi!$L$46-2))+1))))</f>
        <v/>
      </c>
      <c r="AD46" t="n">
        <v>1</v>
      </c>
      <c r="AE46">
        <f>IF(Vu_khi!$AG$46,INDEX(Bang_danh_noc!$C$2:$C$8,MIN(7,MAX(1,2-(Vu_khi!$L$46-4)+1))),INDEX(Bang_xuyen_giap!$C$2:$C$8,MIN(7,MAX(1,IF($O$46,MAX(1,2-(Vu_khi!$L$46-4)),2-(Vu_khi!$L$46-4))+1))))</f>
        <v/>
      </c>
      <c r="AF46" t="n">
        <v>0.65</v>
      </c>
      <c r="AG46">
        <f>INDEX(Bang_xuyen_giap!$C$2:$C$8,MIN(7,MAX(1,MAX(1,2-(Vu_khi!$L$46-0))+1)))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30.23980815347722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IF(Vu_khi!$AG$47,INDEX(Bang_danh_noc!$C$2:$C$8,MIN(7,MAX(1,2-(Vu_khi!$L$47-0)+1))),INDEX(Bang_xuyen_giap!$C$2:$C$8,MIN(7,MAX(1,IF($O$47,MAX(1,2-(Vu_khi!$L$47-0)),2-(Vu_khi!$L$47-0))+1))))</f>
        <v/>
      </c>
      <c r="AB47" t="n">
        <v>1.2</v>
      </c>
      <c r="AC47">
        <f>IF(Vu_khi!$AG$47,INDEX(Bang_danh_noc!$C$2:$C$8,MIN(7,MAX(1,2-(Vu_khi!$L$47-2)+1))),INDEX(Bang_xuyen_giap!$C$2:$C$8,MIN(7,MAX(1,IF($O$47,MAX(1,2-(Vu_khi!$L$47-2)),2-(Vu_khi!$L$47-2))+1))))</f>
        <v/>
      </c>
      <c r="AD47" t="n">
        <v>1</v>
      </c>
      <c r="AE47">
        <f>IF(Vu_khi!$AG$47,INDEX(Bang_danh_noc!$C$2:$C$8,MIN(7,MAX(1,2-(Vu_khi!$L$47-4)+1))),INDEX(Bang_xuyen_giap!$C$2:$C$8,MIN(7,MAX(1,IF($O$47,MAX(1,2-(Vu_khi!$L$47-4)),2-(Vu_khi!$L$47-4))+1))))</f>
        <v/>
      </c>
      <c r="AF47" t="n">
        <v>0.65</v>
      </c>
      <c r="AG47">
        <f>INDEX(Bang_xuyen_giap!$C$2:$C$8,MIN(7,MAX(1,MAX(1,2-(Vu_khi!$L$47-0))+1)))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261.8181818181818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IF(Vu_khi!$AG$48,INDEX(Bang_danh_noc!$C$2:$C$8,MIN(7,MAX(1,2-(Vu_khi!$L$48-0)+1))),INDEX(Bang_xuyen_giap!$C$2:$C$8,MIN(7,MAX(1,IF($O$48,MAX(1,2-(Vu_khi!$L$48-0)),2-(Vu_khi!$L$48-0))+1))))</f>
        <v/>
      </c>
      <c r="AB48" t="n">
        <v>1</v>
      </c>
      <c r="AC48">
        <f>IF(Vu_khi!$AG$48,INDEX(Bang_danh_noc!$C$2:$C$8,MIN(7,MAX(1,2-(Vu_khi!$L$48-2)+1))),INDEX(Bang_xuyen_giap!$C$2:$C$8,MIN(7,MAX(1,IF($O$48,MAX(1,2-(Vu_khi!$L$48-2)),2-(Vu_khi!$L$48-2))+1))))</f>
        <v/>
      </c>
      <c r="AD48" t="n">
        <v>0.65</v>
      </c>
      <c r="AE48">
        <f>IF(Vu_khi!$AG$48,INDEX(Bang_danh_noc!$C$2:$C$8,MIN(7,MAX(1,2-(Vu_khi!$L$48-4)+1))),INDEX(Bang_xuyen_giap!$C$2:$C$8,MIN(7,MAX(1,IF($O$48,MAX(1,2-(Vu_khi!$L$48-4)),2-(Vu_khi!$L$48-4))+1))))</f>
        <v/>
      </c>
      <c r="AF48" t="n">
        <v>0.15</v>
      </c>
      <c r="AG48">
        <f>INDEX(Bang_xuyen_giap!$C$2:$C$8,MIN(7,MAX(1,MAX(1,2-(Vu_khi!$L$48-0))+1)))</f>
        <v/>
      </c>
      <c r="AH48" t="n">
        <v>1</v>
      </c>
      <c r="AI48">
        <f>IF($Q$48,$M$48*$AA$48*$U$48,0)</f>
        <v/>
      </c>
      <c r="AJ48" t="n">
        <v>180</v>
      </c>
      <c r="AK48">
        <f>IF($Q$48,$M$48*$AC$48*$U$48,0)</f>
        <v/>
      </c>
      <c r="AL48" t="n">
        <v>117</v>
      </c>
      <c r="AM48">
        <f>IF($Q$48,$M$48*$AE$48*$U$48,0)</f>
        <v/>
      </c>
      <c r="AN48" t="n">
        <v>27</v>
      </c>
      <c r="AO48">
        <f>IF($Q$48,$M$48*$AC$48*$Y$48,0)</f>
        <v/>
      </c>
      <c r="AP48" t="n">
        <v>95.33333333333336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IF(Vu_khi!$AG$49,INDEX(Bang_danh_noc!$C$2:$C$8,MIN(7,MAX(1,2-(Vu_khi!$L$49-0)+1))),INDEX(Bang_xuyen_giap!$C$2:$C$8,MIN(7,MAX(1,IF($O$49,MAX(1,2-(Vu_khi!$L$49-0)),2-(Vu_khi!$L$49-0))+1))))</f>
        <v/>
      </c>
      <c r="AB49" t="n">
        <v>1</v>
      </c>
      <c r="AC49">
        <f>IF(Vu_khi!$AG$49,INDEX(Bang_danh_noc!$C$2:$C$8,MIN(7,MAX(1,2-(Vu_khi!$L$49-2)+1))),INDEX(Bang_xuyen_giap!$C$2:$C$8,MIN(7,MAX(1,IF($O$49,MAX(1,2-(Vu_khi!$L$49-2)),2-(Vu_khi!$L$49-2))+1))))</f>
        <v/>
      </c>
      <c r="AD49" t="n">
        <v>0.65</v>
      </c>
      <c r="AE49">
        <f>IF(Vu_khi!$AG$49,INDEX(Bang_danh_noc!$C$2:$C$8,MIN(7,MAX(1,2-(Vu_khi!$L$49-4)+1))),INDEX(Bang_xuyen_giap!$C$2:$C$8,MIN(7,MAX(1,IF($O$49,MAX(1,2-(Vu_khi!$L$49-4)),2-(Vu_khi!$L$49-4))+1))))</f>
        <v/>
      </c>
      <c r="AF49" t="n">
        <v>0.15</v>
      </c>
      <c r="AG49">
        <f>INDEX(Bang_xuyen_giap!$C$2:$C$8,MIN(7,MAX(1,MAX(1,2-(Vu_khi!$L$49-0))+1)))</f>
        <v/>
      </c>
      <c r="AH49" t="n">
        <v>1</v>
      </c>
      <c r="AI49">
        <f>IF($Q$49,$M$49*$AA$49*$U$49,0)</f>
        <v/>
      </c>
      <c r="AJ49" t="n">
        <v>128.5714285714286</v>
      </c>
      <c r="AK49">
        <f>IF($Q$49,$M$49*$AC$49*$U$49,0)</f>
        <v/>
      </c>
      <c r="AL49" t="n">
        <v>83.57142857142857</v>
      </c>
      <c r="AM49">
        <f>IF($Q$49,$M$49*$AE$49*$U$49,0)</f>
        <v/>
      </c>
      <c r="AN49" t="n">
        <v>19.28571428571428</v>
      </c>
      <c r="AO49">
        <f>IF($Q$49,$M$49*$AC$49*$Y$49,0)</f>
        <v/>
      </c>
      <c r="AP49" t="n">
        <v>48.74999999999999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IF(Vu_khi!$AG$50,INDEX(Bang_danh_noc!$C$2:$C$8,MIN(7,MAX(1,2-(Vu_khi!$L$50-0)+1))),INDEX(Bang_xuyen_giap!$C$2:$C$8,MIN(7,MAX(1,IF($O$50,MAX(1,2-(Vu_khi!$L$50-0)),2-(Vu_khi!$L$50-0))+1))))</f>
        <v/>
      </c>
      <c r="AB50" t="n">
        <v>1.2</v>
      </c>
      <c r="AC50">
        <f>IF(Vu_khi!$AG$50,INDEX(Bang_danh_noc!$C$2:$C$8,MIN(7,MAX(1,2-(Vu_khi!$L$50-2)+1))),INDEX(Bang_xuyen_giap!$C$2:$C$8,MIN(7,MAX(1,IF($O$50,MAX(1,2-(Vu_khi!$L$50-2)),2-(Vu_khi!$L$50-2))+1))))</f>
        <v/>
      </c>
      <c r="AD50" t="n">
        <v>0.85</v>
      </c>
      <c r="AE50">
        <f>IF(Vu_khi!$AG$50,INDEX(Bang_danh_noc!$C$2:$C$8,MIN(7,MAX(1,2-(Vu_khi!$L$50-4)+1))),INDEX(Bang_xuyen_giap!$C$2:$C$8,MIN(7,MAX(1,IF($O$50,MAX(1,2-(Vu_khi!$L$50-4)),2-(Vu_khi!$L$50-4))+1))))</f>
        <v/>
      </c>
      <c r="AF50" t="n">
        <v>0.4</v>
      </c>
      <c r="AG50">
        <f>INDEX(Bang_xuyen_giap!$C$2:$C$8,MIN(7,MAX(1,MAX(1,2-(Vu_khi!$L$50-0))+1)))</f>
        <v/>
      </c>
      <c r="AH50" t="n">
        <v>1</v>
      </c>
      <c r="AI50">
        <f>IF($Q$50,$M$50*$AA$50*$U$50,0)</f>
        <v/>
      </c>
      <c r="AJ50" t="n">
        <v>154.2857142857143</v>
      </c>
      <c r="AK50">
        <f>IF($Q$50,$M$50*$AC$50*$U$50,0)</f>
        <v/>
      </c>
      <c r="AL50" t="n">
        <v>109.2857142857143</v>
      </c>
      <c r="AM50">
        <f>IF($Q$50,$M$50*$AE$50*$U$50,0)</f>
        <v/>
      </c>
      <c r="AN50" t="n">
        <v>51.42857142857142</v>
      </c>
      <c r="AO50">
        <f>IF($Q$50,$M$50*$AC$50*$Y$50,0)</f>
        <v/>
      </c>
      <c r="AP50" t="n">
        <v>63.74999999999999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IF(Vu_khi!$AG$51,INDEX(Bang_danh_noc!$C$2:$C$8,MIN(7,MAX(1,2-(Vu_khi!$L$51-0)+1))),INDEX(Bang_xuyen_giap!$C$2:$C$8,MIN(7,MAX(1,IF($O$51,MAX(1,2-(Vu_khi!$L$51-0)),2-(Vu_khi!$L$51-0))+1))))</f>
        <v/>
      </c>
      <c r="AB51" t="n">
        <v>1</v>
      </c>
      <c r="AC51">
        <f>IF(Vu_khi!$AG$51,INDEX(Bang_danh_noc!$C$2:$C$8,MIN(7,MAX(1,2-(Vu_khi!$L$51-2)+1))),INDEX(Bang_xuyen_giap!$C$2:$C$8,MIN(7,MAX(1,IF($O$51,MAX(1,2-(Vu_khi!$L$51-2)),2-(Vu_khi!$L$51-2))+1))))</f>
        <v/>
      </c>
      <c r="AD51" t="n">
        <v>0.65</v>
      </c>
      <c r="AE51">
        <f>IF(Vu_khi!$AG$51,INDEX(Bang_danh_noc!$C$2:$C$8,MIN(7,MAX(1,2-(Vu_khi!$L$51-4)+1))),INDEX(Bang_xuyen_giap!$C$2:$C$8,MIN(7,MAX(1,IF($O$51,MAX(1,2-(Vu_khi!$L$51-4)),2-(Vu_khi!$L$51-4))+1))))</f>
        <v/>
      </c>
      <c r="AF51" t="n">
        <v>0.15</v>
      </c>
      <c r="AG51">
        <f>INDEX(Bang_xuyen_giap!$C$2:$C$8,MIN(7,MAX(1,MAX(1,2-(Vu_khi!$L$51-0))+1)))</f>
        <v/>
      </c>
      <c r="AH51" t="n">
        <v>1</v>
      </c>
      <c r="AI51">
        <f>IF($Q$51,$M$51*$AA$51*$U$51,0)</f>
        <v/>
      </c>
      <c r="AJ51" t="n">
        <v>148.695652173913</v>
      </c>
      <c r="AK51">
        <f>IF($Q$51,$M$51*$AC$51*$U$51,0)</f>
        <v/>
      </c>
      <c r="AL51" t="n">
        <v>96.65217391304348</v>
      </c>
      <c r="AM51">
        <f>IF($Q$51,$M$51*$AE$51*$U$51,0)</f>
        <v/>
      </c>
      <c r="AN51" t="n">
        <v>22.30434782608696</v>
      </c>
      <c r="AO51">
        <f>IF($Q$51,$M$51*$AC$51*$Y$51,0)</f>
        <v/>
      </c>
      <c r="AP51" t="n">
        <v>56.3804347826087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IF(Vu_khi!$AG$52,INDEX(Bang_danh_noc!$C$2:$C$8,MIN(7,MAX(1,2-(Vu_khi!$L$52-0)+1))),INDEX(Bang_xuyen_giap!$C$2:$C$8,MIN(7,MAX(1,IF($O$52,MAX(1,2-(Vu_khi!$L$52-0)),2-(Vu_khi!$L$52-0))+1))))</f>
        <v/>
      </c>
      <c r="AB52" t="n">
        <v>1.2</v>
      </c>
      <c r="AC52">
        <f>IF(Vu_khi!$AG$52,INDEX(Bang_danh_noc!$C$2:$C$8,MIN(7,MAX(1,2-(Vu_khi!$L$52-2)+1))),INDEX(Bang_xuyen_giap!$C$2:$C$8,MIN(7,MAX(1,IF($O$52,MAX(1,2-(Vu_khi!$L$52-2)),2-(Vu_khi!$L$52-2))+1))))</f>
        <v/>
      </c>
      <c r="AD52" t="n">
        <v>0.85</v>
      </c>
      <c r="AE52">
        <f>IF(Vu_khi!$AG$52,INDEX(Bang_danh_noc!$C$2:$C$8,MIN(7,MAX(1,2-(Vu_khi!$L$52-4)+1))),INDEX(Bang_xuyen_giap!$C$2:$C$8,MIN(7,MAX(1,IF($O$52,MAX(1,2-(Vu_khi!$L$52-4)),2-(Vu_khi!$L$52-4))+1))))</f>
        <v/>
      </c>
      <c r="AF52" t="n">
        <v>0.4</v>
      </c>
      <c r="AG52">
        <f>INDEX(Bang_xuyen_giap!$C$2:$C$8,MIN(7,MAX(1,MAX(1,2-(Vu_khi!$L$52-0))+1)))</f>
        <v/>
      </c>
      <c r="AH52" t="n">
        <v>1</v>
      </c>
      <c r="AI52">
        <f>IF($Q$52,$M$52*$AA$52*$U$52,0)</f>
        <v/>
      </c>
      <c r="AJ52" t="n">
        <v>178.4347826086957</v>
      </c>
      <c r="AK52">
        <f>IF($Q$52,$M$52*$AC$52*$U$52,0)</f>
        <v/>
      </c>
      <c r="AL52" t="n">
        <v>126.3913043478261</v>
      </c>
      <c r="AM52">
        <f>IF($Q$52,$M$52*$AE$52*$U$52,0)</f>
        <v/>
      </c>
      <c r="AN52" t="n">
        <v>59.47826086956522</v>
      </c>
      <c r="AO52">
        <f>IF($Q$52,$M$52*$AC$52*$Y$52,0)</f>
        <v/>
      </c>
      <c r="AP52" t="n">
        <v>73.72826086956522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IF(Vu_khi!$AG$53,INDEX(Bang_danh_noc!$C$2:$C$8,MIN(7,MAX(1,2-(Vu_khi!$L$53-0)+1))),INDEX(Bang_xuyen_giap!$C$2:$C$8,MIN(7,MAX(1,IF($O$53,MAX(1,2-(Vu_khi!$L$53-0)),2-(Vu_khi!$L$53-0))+1))))</f>
        <v/>
      </c>
      <c r="AB53" t="n">
        <v>0.85</v>
      </c>
      <c r="AC53">
        <f>IF(Vu_khi!$AG$53,INDEX(Bang_danh_noc!$C$2:$C$8,MIN(7,MAX(1,2-(Vu_khi!$L$53-2)+1))),INDEX(Bang_xuyen_giap!$C$2:$C$8,MIN(7,MAX(1,IF($O$53,MAX(1,2-(Vu_khi!$L$53-2)),2-(Vu_khi!$L$53-2))+1))))</f>
        <v/>
      </c>
      <c r="AD53" t="n">
        <v>0.4</v>
      </c>
      <c r="AE53">
        <f>IF(Vu_khi!$AG$53,INDEX(Bang_danh_noc!$C$2:$C$8,MIN(7,MAX(1,2-(Vu_khi!$L$53-4)+1))),INDEX(Bang_xuyen_giap!$C$2:$C$8,MIN(7,MAX(1,IF($O$53,MAX(1,2-(Vu_khi!$L$53-4)),2-(Vu_khi!$L$53-4))+1))))</f>
        <v/>
      </c>
      <c r="AF53" t="n">
        <v>0.08</v>
      </c>
      <c r="AG53">
        <f>INDEX(Bang_xuyen_giap!$C$2:$C$8,MIN(7,MAX(1,MAX(1,2-(Vu_khi!$L$53-0))+1)))</f>
        <v/>
      </c>
      <c r="AH53" t="n">
        <v>0.85</v>
      </c>
      <c r="AI53">
        <f>IF($Q$53,$M$53*$AA$53*$U$53,0)</f>
        <v/>
      </c>
      <c r="AJ53" t="n">
        <v>10.8022239872915</v>
      </c>
      <c r="AK53">
        <f>IF($Q$53,$M$53*$AC$53*$U$53,0)</f>
        <v/>
      </c>
      <c r="AL53" t="n">
        <v>5.083399523431295</v>
      </c>
      <c r="AM53">
        <f>IF($Q$53,$M$53*$AE$53*$U$53,0)</f>
        <v/>
      </c>
      <c r="AN53" t="n">
        <v>1.016679904686259</v>
      </c>
      <c r="AO53">
        <f>IF($Q$53,$M$53*$AC$53*$Y$53,0)</f>
        <v/>
      </c>
      <c r="AP53" t="n">
        <v>2.965316388668255</v>
      </c>
      <c r="AQ53">
        <f>IF($S$53,$M$53*$AG$53*$W$53,0)</f>
        <v/>
      </c>
      <c r="AR53" t="n">
        <v>2.700555996822875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0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inlineStr"/>
      <c r="AZ53" t="inlineStr">
        <is>
          <t>LECH_DOT_1</t>
        </is>
      </c>
      <c r="BA53" t="inlineStr"/>
      <c r="BB53" t="inlineStr">
        <is>
          <t>Assets/MachineBrigade/Resources/Data/balance.json: weapons[id=bunker_pkm] (lớp B trên 01_chien_dau/Vu_khi)</t>
        </is>
      </c>
      <c r="BC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IF(Vu_khi!$AG$54,INDEX(Bang_danh_noc!$C$2:$C$8,MIN(7,MAX(1,2-(Vu_khi!$L$54-0)+1))),INDEX(Bang_xuyen_giap!$C$2:$C$8,MIN(7,MAX(1,IF($O$54,MAX(1,2-(Vu_khi!$L$54-0)),2-(Vu_khi!$L$54-0))+1))))</f>
        <v/>
      </c>
      <c r="AB54" t="n">
        <v>1</v>
      </c>
      <c r="AC54">
        <f>IF(Vu_khi!$AG$54,INDEX(Bang_danh_noc!$C$2:$C$8,MIN(7,MAX(1,2-(Vu_khi!$L$54-2)+1))),INDEX(Bang_xuyen_giap!$C$2:$C$8,MIN(7,MAX(1,IF($O$54,MAX(1,2-(Vu_khi!$L$54-2)),2-(Vu_khi!$L$54-2))+1))))</f>
        <v/>
      </c>
      <c r="AD54" t="n">
        <v>0.65</v>
      </c>
      <c r="AE54">
        <f>IF(Vu_khi!$AG$54,INDEX(Bang_danh_noc!$C$2:$C$8,MIN(7,MAX(1,2-(Vu_khi!$L$54-4)+1))),INDEX(Bang_xuyen_giap!$C$2:$C$8,MIN(7,MAX(1,IF($O$54,MAX(1,2-(Vu_khi!$L$54-4)),2-(Vu_khi!$L$54-4))+1))))</f>
        <v/>
      </c>
      <c r="AF54" t="n">
        <v>0.15</v>
      </c>
      <c r="AG54">
        <f>INDEX(Bang_xuyen_giap!$C$2:$C$8,MIN(7,MAX(1,MAX(1,2-(Vu_khi!$L$54-0))+1)))</f>
        <v/>
      </c>
      <c r="AH54" t="n">
        <v>1</v>
      </c>
      <c r="AI54">
        <f>IF($Q$54,$M$54*$AA$54*$U$54,0)</f>
        <v/>
      </c>
      <c r="AJ54" t="n">
        <v>0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IF($Q$54,$M$54*$AC$54*$Y$54,0)</f>
        <v/>
      </c>
      <c r="AP54" t="n">
        <v>0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1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2.625</v>
      </c>
      <c r="AZ54" t="inlineStr">
        <is>
          <t>ok</t>
        </is>
      </c>
      <c r="BA54" t="inlineStr"/>
      <c r="BB54" t="inlineStr">
        <is>
          <t>Assets/MachineBrigade/Resources/Data/balance.json: weapons[id=c_ram_gatling] (lớp B trên 01_chien_dau/Vu_khi)</t>
        </is>
      </c>
      <c r="BC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IF(Vu_khi!$AG$55,INDEX(Bang_danh_noc!$C$2:$C$8,MIN(7,MAX(1,2-(Vu_khi!$L$55-0)+1))),INDEX(Bang_xuyen_giap!$C$2:$C$8,MIN(7,MAX(1,IF($O$55,MAX(1,2-(Vu_khi!$L$55-0)),2-(Vu_khi!$L$55-0))+1))))</f>
        <v/>
      </c>
      <c r="AB55" t="n">
        <v>1</v>
      </c>
      <c r="AC55">
        <f>IF(Vu_khi!$AG$55,INDEX(Bang_danh_noc!$C$2:$C$8,MIN(7,MAX(1,2-(Vu_khi!$L$55-2)+1))),INDEX(Bang_xuyen_giap!$C$2:$C$8,MIN(7,MAX(1,IF($O$55,MAX(1,2-(Vu_khi!$L$55-2)),2-(Vu_khi!$L$55-2))+1))))</f>
        <v/>
      </c>
      <c r="AD55" t="n">
        <v>1</v>
      </c>
      <c r="AE55">
        <f>IF(Vu_khi!$AG$55,INDEX(Bang_danh_noc!$C$2:$C$8,MIN(7,MAX(1,2-(Vu_khi!$L$55-4)+1))),INDEX(Bang_xuyen_giap!$C$2:$C$8,MIN(7,MAX(1,IF($O$55,MAX(1,2-(Vu_khi!$L$55-4)),2-(Vu_khi!$L$55-4))+1))))</f>
        <v/>
      </c>
      <c r="AF55" t="n">
        <v>0.65</v>
      </c>
      <c r="AG55">
        <f>INDEX(Bang_xuyen_giap!$C$2:$C$8,MIN(7,MAX(1,MAX(1,2-(Vu_khi!$L$55-0))+1)))</f>
        <v/>
      </c>
      <c r="AH55" t="n">
        <v>1</v>
      </c>
      <c r="AI55">
        <f>IF($Q$55,$M$55*$AA$55*$U$55,0)</f>
        <v/>
      </c>
      <c r="AJ55" t="n">
        <v>48.39968774395004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31.45979703356753</v>
      </c>
      <c r="AO55">
        <f>IF($Q$55,$M$55*$AC$55*$Y$55,0)</f>
        <v/>
      </c>
      <c r="AP55" t="n">
        <v>77.43950039032006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n">
        <v>0.5978</v>
      </c>
      <c r="AZ55" t="inlineStr">
        <is>
          <t>NHANH_QUA</t>
        </is>
      </c>
      <c r="BA55" t="inlineStr"/>
      <c r="BB55" t="inlineStr">
        <is>
          <t>Assets/MachineBrigade/Resources/Data/balance.json: weapons[id=casemate_155] (lớp B trên 01_chien_dau/Vu_khi)</t>
        </is>
      </c>
      <c r="BC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IF(Vu_khi!$AG$56,INDEX(Bang_danh_noc!$C$2:$C$8,MIN(7,MAX(1,2-(Vu_khi!$L$56-0)+1))),INDEX(Bang_xuyen_giap!$C$2:$C$8,MIN(7,MAX(1,IF($O$56,MAX(1,2-(Vu_khi!$L$56-0)),2-(Vu_khi!$L$56-0))+1))))</f>
        <v/>
      </c>
      <c r="AB56" t="n">
        <v>1</v>
      </c>
      <c r="AC56">
        <f>IF(Vu_khi!$AG$56,INDEX(Bang_danh_noc!$C$2:$C$8,MIN(7,MAX(1,2-(Vu_khi!$L$56-2)+1))),INDEX(Bang_xuyen_giap!$C$2:$C$8,MIN(7,MAX(1,IF($O$56,MAX(1,2-(Vu_khi!$L$56-2)),2-(Vu_khi!$L$56-2))+1))))</f>
        <v/>
      </c>
      <c r="AD56" t="n">
        <v>1</v>
      </c>
      <c r="AE56">
        <f>IF(Vu_khi!$AG$56,INDEX(Bang_danh_noc!$C$2:$C$8,MIN(7,MAX(1,2-(Vu_khi!$L$56-4)+1))),INDEX(Bang_xuyen_giap!$C$2:$C$8,MIN(7,MAX(1,IF($O$56,MAX(1,2-(Vu_khi!$L$56-4)),2-(Vu_khi!$L$56-4))+1))))</f>
        <v/>
      </c>
      <c r="AF56" t="n">
        <v>0.65</v>
      </c>
      <c r="AG56">
        <f>INDEX(Bang_xuyen_giap!$C$2:$C$8,MIN(7,MAX(1,MAX(1,2-(Vu_khi!$L$56-0))+1)))</f>
        <v/>
      </c>
      <c r="AH56" t="n">
        <v>1</v>
      </c>
      <c r="AI56">
        <f>IF($Q$56,$M$56*$AA$56*$U$56,0)</f>
        <v/>
      </c>
      <c r="AJ56" t="n">
        <v>48.39968774395004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31.45979703356753</v>
      </c>
      <c r="AO56">
        <f>IF($Q$56,$M$56*$AC$56*$Y$56,0)</f>
        <v/>
      </c>
      <c r="AP56" t="n">
        <v>77.43950039032006</v>
      </c>
      <c r="AQ56">
        <f>IF($S$56,$M$56*$AG$56*$W$56,0)</f>
        <v/>
      </c>
      <c r="AR56" t="n">
        <v>0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3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BB56" t="inlineStr">
        <is>
          <t>Assets/MachineBrigade/Resources/Data/balance.json: weapons[id=casemate_155_guided] (lớp B trên 01_chien_dau/Vu_khi)</t>
        </is>
      </c>
      <c r="BC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IF(Vu_khi!$AG$57,INDEX(Bang_danh_noc!$C$2:$C$8,MIN(7,MAX(1,2-(Vu_khi!$L$57-0)+1))),INDEX(Bang_xuyen_giap!$C$2:$C$8,MIN(7,MAX(1,IF($O$57,MAX(1,2-(Vu_khi!$L$57-0)),2-(Vu_khi!$L$57-0))+1))))</f>
        <v/>
      </c>
      <c r="AB57" t="n">
        <v>1.2</v>
      </c>
      <c r="AC57">
        <f>IF(Vu_khi!$AG$57,INDEX(Bang_danh_noc!$C$2:$C$8,MIN(7,MAX(1,2-(Vu_khi!$L$57-2)+1))),INDEX(Bang_xuyen_giap!$C$2:$C$8,MIN(7,MAX(1,IF($O$57,MAX(1,2-(Vu_khi!$L$57-2)),2-(Vu_khi!$L$57-2))+1))))</f>
        <v/>
      </c>
      <c r="AD57" t="n">
        <v>0.85</v>
      </c>
      <c r="AE57">
        <f>IF(Vu_khi!$AG$57,INDEX(Bang_danh_noc!$C$2:$C$8,MIN(7,MAX(1,2-(Vu_khi!$L$57-4)+1))),INDEX(Bang_xuyen_giap!$C$2:$C$8,MIN(7,MAX(1,IF($O$57,MAX(1,2-(Vu_khi!$L$57-4)),2-(Vu_khi!$L$57-4))+1))))</f>
        <v/>
      </c>
      <c r="AF57" t="n">
        <v>0.4</v>
      </c>
      <c r="AG57">
        <f>INDEX(Bang_xuyen_giap!$C$2:$C$8,MIN(7,MAX(1,MAX(1,2-(Vu_khi!$L$57-0))+1)))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35.98800399866711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AY57" t="n">
        <v>8.336111000000001</v>
      </c>
      <c r="AZ57" t="inlineStr">
        <is>
          <t>ok</t>
        </is>
      </c>
      <c r="BA57" t="b">
        <v>1</v>
      </c>
      <c r="BB57" t="inlineStr">
        <is>
          <t>Assets/MachineBrigade/Resources/Data/balance.json: weapons[id=ciws_aa] (lớp B trên 01_chien_dau/Vu_khi)</t>
        </is>
      </c>
      <c r="BC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IF(Vu_khi!$AG$58,INDEX(Bang_danh_noc!$C$2:$C$8,MIN(7,MAX(1,2-(Vu_khi!$L$58-0)+1))),INDEX(Bang_xuyen_giap!$C$2:$C$8,MIN(7,MAX(1,IF($O$58,MAX(1,2-(Vu_khi!$L$58-0)),2-(Vu_khi!$L$58-0))+1))))</f>
        <v/>
      </c>
      <c r="AB58" t="n">
        <v>1.2</v>
      </c>
      <c r="AC58">
        <f>IF(Vu_khi!$AG$58,INDEX(Bang_danh_noc!$C$2:$C$8,MIN(7,MAX(1,2-(Vu_khi!$L$58-2)+1))),INDEX(Bang_xuyen_giap!$C$2:$C$8,MIN(7,MAX(1,IF($O$58,MAX(1,2-(Vu_khi!$L$58-2)),2-(Vu_khi!$L$58-2))+1))))</f>
        <v/>
      </c>
      <c r="AD58" t="n">
        <v>0.85</v>
      </c>
      <c r="AE58">
        <f>IF(Vu_khi!$AG$58,INDEX(Bang_danh_noc!$C$2:$C$8,MIN(7,MAX(1,2-(Vu_khi!$L$58-4)+1))),INDEX(Bang_xuyen_giap!$C$2:$C$8,MIN(7,MAX(1,IF($O$58,MAX(1,2-(Vu_khi!$L$58-4)),2-(Vu_khi!$L$58-4))+1))))</f>
        <v/>
      </c>
      <c r="AF58" t="n">
        <v>0.4</v>
      </c>
      <c r="AG58">
        <f>INDEX(Bang_xuyen_giap!$C$2:$C$8,MIN(7,MAX(1,MAX(1,2-(Vu_khi!$L$58-0))+1)))</f>
        <v/>
      </c>
      <c r="AH58" t="n">
        <v>1</v>
      </c>
      <c r="AI58">
        <f>IF($Q$58,$M$58*$AA$58*$U$58,0)</f>
        <v/>
      </c>
      <c r="AJ58" t="n">
        <v>0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IF($Q$58,$M$58*$AC$58*$Y$58,0)</f>
        <v/>
      </c>
      <c r="AP58" t="n">
        <v>0</v>
      </c>
      <c r="AQ58">
        <f>IF($S$58,$M$58*$AG$58*$W$58,0)</f>
        <v/>
      </c>
      <c r="AR58" t="n">
        <v>161.946017994002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1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BB58" t="inlineStr">
        <is>
          <t>Assets/MachineBrigade/Resources/Data/balance.json: weapons[id=ciws_aa_flak] (lớp B trên 01_chien_dau/Vu_khi)</t>
        </is>
      </c>
      <c r="BC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IF(Vu_khi!$AG$59,INDEX(Bang_danh_noc!$C$2:$C$8,MIN(7,MAX(1,2-(Vu_khi!$L$59-0)+1))),INDEX(Bang_xuyen_giap!$C$2:$C$8,MIN(7,MAX(1,IF($O$59,MAX(1,2-(Vu_khi!$L$59-0)),2-(Vu_khi!$L$59-0))+1))))</f>
        <v/>
      </c>
      <c r="AB59" t="n">
        <v>1.2</v>
      </c>
      <c r="AC59">
        <f>IF(Vu_khi!$AG$59,INDEX(Bang_danh_noc!$C$2:$C$8,MIN(7,MAX(1,2-(Vu_khi!$L$59-2)+1))),INDEX(Bang_xuyen_giap!$C$2:$C$8,MIN(7,MAX(1,IF($O$59,MAX(1,2-(Vu_khi!$L$59-2)),2-(Vu_khi!$L$59-2))+1))))</f>
        <v/>
      </c>
      <c r="AD59" t="n">
        <v>1.2</v>
      </c>
      <c r="AE59">
        <f>IF(Vu_khi!$AG$59,INDEX(Bang_danh_noc!$C$2:$C$8,MIN(7,MAX(1,2-(Vu_khi!$L$59-4)+1))),INDEX(Bang_xuyen_giap!$C$2:$C$8,MIN(7,MAX(1,IF($O$59,MAX(1,2-(Vu_khi!$L$59-4)),2-(Vu_khi!$L$59-4))+1))))</f>
        <v/>
      </c>
      <c r="AF59" t="n">
        <v>0.85</v>
      </c>
      <c r="AG59">
        <f>INDEX(Bang_xuyen_giap!$C$2:$C$8,MIN(7,MAX(1,MAX(1,2-(Vu_khi!$L$59-0))+1)))</f>
        <v/>
      </c>
      <c r="AH59" t="n">
        <v>1</v>
      </c>
      <c r="AI59">
        <f>IF($Q$59,$M$59*$AA$59*$U$59,0)</f>
        <v/>
      </c>
      <c r="AJ59" t="n">
        <v>150.3131524008351</v>
      </c>
      <c r="AK59">
        <f>IF($Q$59,$M$59*$AC$59*$U$59,0)</f>
        <v/>
      </c>
      <c r="AL59" t="n">
        <v>150.3131524008351</v>
      </c>
      <c r="AM59">
        <f>IF($Q$59,$M$59*$AE$59*$U$59,0)</f>
        <v/>
      </c>
      <c r="AN59" t="n">
        <v>106.4718162839249</v>
      </c>
      <c r="AO59">
        <f>IF($Q$59,$M$59*$AC$59*$Y$59,0)</f>
        <v/>
      </c>
      <c r="AP59" t="n">
        <v>87.68267223382045</v>
      </c>
      <c r="AQ59">
        <f>IF($S$59,$M$59*$AG$59*$W$59,0)</f>
        <v/>
      </c>
      <c r="AR59" t="n">
        <v>31.31524008350731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3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AY59" t="inlineStr"/>
      <c r="AZ59" t="inlineStr">
        <is>
          <t>ok</t>
        </is>
      </c>
      <c r="BA59" t="b">
        <v>1</v>
      </c>
      <c r="BB59" t="inlineStr">
        <is>
          <t>Assets/MachineBrigade/Resources/Data/balance.json: weapons[id=coilgun] (lớp B trên 01_chien_dau/Vu_khi)</t>
        </is>
      </c>
      <c r="BC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IF(Vu_khi!$AG$60,INDEX(Bang_danh_noc!$C$2:$C$8,MIN(7,MAX(1,2-(Vu_khi!$L$60-0)+1))),INDEX(Bang_xuyen_giap!$C$2:$C$8,MIN(7,MAX(1,IF($O$60,MAX(1,2-(Vu_khi!$L$60-0)),2-(Vu_khi!$L$60-0))+1))))</f>
        <v/>
      </c>
      <c r="AB60" t="n">
        <v>1.2</v>
      </c>
      <c r="AC60">
        <f>IF(Vu_khi!$AG$60,INDEX(Bang_danh_noc!$C$2:$C$8,MIN(7,MAX(1,2-(Vu_khi!$L$60-2)+1))),INDEX(Bang_xuyen_giap!$C$2:$C$8,MIN(7,MAX(1,IF($O$60,MAX(1,2-(Vu_khi!$L$60-2)),2-(Vu_khi!$L$60-2))+1))))</f>
        <v/>
      </c>
      <c r="AD60" t="n">
        <v>1.2</v>
      </c>
      <c r="AE60">
        <f>IF(Vu_khi!$AG$60,INDEX(Bang_danh_noc!$C$2:$C$8,MIN(7,MAX(1,2-(Vu_khi!$L$60-4)+1))),INDEX(Bang_xuyen_giap!$C$2:$C$8,MIN(7,MAX(1,IF($O$60,MAX(1,2-(Vu_khi!$L$60-4)),2-(Vu_khi!$L$60-4))+1))))</f>
        <v/>
      </c>
      <c r="AF60" t="n">
        <v>0.85</v>
      </c>
      <c r="AG60">
        <f>INDEX(Bang_xuyen_giap!$C$2:$C$8,MIN(7,MAX(1,MAX(1,2-(Vu_khi!$L$60-0))+1)))</f>
        <v/>
      </c>
      <c r="AH60" t="n">
        <v>1</v>
      </c>
      <c r="AI60">
        <f>IF($Q$60,$M$60*$AA$60*$U$60,0)</f>
        <v/>
      </c>
      <c r="AJ60" t="n">
        <v>31.2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22.1</v>
      </c>
      <c r="AO60">
        <f>IF($Q$60,$M$60*$AC$60*$Y$60,0)</f>
        <v/>
      </c>
      <c r="AP60" t="n">
        <v>10.8</v>
      </c>
      <c r="AQ60">
        <f>IF($S$60,$M$60*$AG$60*$W$60,0)</f>
        <v/>
      </c>
      <c r="AR60" t="n">
        <v>4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0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7.5</v>
      </c>
      <c r="AZ60" t="inlineStr">
        <is>
          <t>CHAM_QUA</t>
        </is>
      </c>
      <c r="BA60" t="inlineStr"/>
      <c r="BB60" t="inlineStr">
        <is>
          <t>Assets/MachineBrigade/Resources/Data/balance.json: weapons[id=cruise_missile_ground] (lớp B trên 01_chien_dau/Vu_khi)</t>
        </is>
      </c>
      <c r="BC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IF(Vu_khi!$AG$61,INDEX(Bang_danh_noc!$C$2:$C$8,MIN(7,MAX(1,2-(Vu_khi!$L$61-0)+1))),INDEX(Bang_xuyen_giap!$C$2:$C$8,MIN(7,MAX(1,IF($O$61,MAX(1,2-(Vu_khi!$L$61-0)),2-(Vu_khi!$L$61-0))+1))))</f>
        <v/>
      </c>
      <c r="AB61" t="n">
        <v>1.2</v>
      </c>
      <c r="AC61">
        <f>IF(Vu_khi!$AG$61,INDEX(Bang_danh_noc!$C$2:$C$8,MIN(7,MAX(1,2-(Vu_khi!$L$61-2)+1))),INDEX(Bang_xuyen_giap!$C$2:$C$8,MIN(7,MAX(1,IF($O$61,MAX(1,2-(Vu_khi!$L$61-2)),2-(Vu_khi!$L$61-2))+1))))</f>
        <v/>
      </c>
      <c r="AD61" t="n">
        <v>1.2</v>
      </c>
      <c r="AE61">
        <f>IF(Vu_khi!$AG$61,INDEX(Bang_danh_noc!$C$2:$C$8,MIN(7,MAX(1,2-(Vu_khi!$L$61-4)+1))),INDEX(Bang_xuyen_giap!$C$2:$C$8,MIN(7,MAX(1,IF($O$61,MAX(1,2-(Vu_khi!$L$61-4)),2-(Vu_khi!$L$61-4))+1))))</f>
        <v/>
      </c>
      <c r="AF61" t="n">
        <v>0.85</v>
      </c>
      <c r="AG61">
        <f>INDEX(Bang_xuyen_giap!$C$2:$C$8,MIN(7,MAX(1,MAX(1,2-(Vu_khi!$L$61-0))+1)))</f>
        <v/>
      </c>
      <c r="AH61" t="n">
        <v>1</v>
      </c>
      <c r="AI61">
        <f>IF($Q$61,$M$61*$AA$61*$U$61,0)</f>
        <v/>
      </c>
      <c r="AJ61" t="n">
        <v>85.42445274959958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60.5089873642997</v>
      </c>
      <c r="AO61">
        <f>IF($Q$61,$M$61*$AC$61*$Y$61,0)</f>
        <v/>
      </c>
      <c r="AP61" t="n">
        <v>136.6791243993593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AY61" t="n">
        <v>2.35998</v>
      </c>
      <c r="AZ61" t="inlineStr">
        <is>
          <t>CHAM_QUA;LECH_DOT_1</t>
        </is>
      </c>
      <c r="BA61" t="inlineStr"/>
      <c r="BB61" t="inlineStr">
        <is>
          <t>Assets/MachineBrigade/Resources/Data/balance.json: weapons[id=cruiser_203] (lớp B trên 01_chien_dau/Vu_khi)</t>
        </is>
      </c>
      <c r="BC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IF(Vu_khi!$AG$62,INDEX(Bang_danh_noc!$C$2:$C$8,MIN(7,MAX(1,2-(Vu_khi!$L$62-0)+1))),INDEX(Bang_xuyen_giap!$C$2:$C$8,MIN(7,MAX(1,IF($O$62,MAX(1,2-(Vu_khi!$L$62-0)),2-(Vu_khi!$L$62-0))+1))))</f>
        <v/>
      </c>
      <c r="AB62" t="n">
        <v>1.2</v>
      </c>
      <c r="AC62">
        <f>IF(Vu_khi!$AG$62,INDEX(Bang_danh_noc!$C$2:$C$8,MIN(7,MAX(1,2-(Vu_khi!$L$62-2)+1))),INDEX(Bang_xuyen_giap!$C$2:$C$8,MIN(7,MAX(1,IF($O$62,MAX(1,2-(Vu_khi!$L$62-2)),2-(Vu_khi!$L$62-2))+1))))</f>
        <v/>
      </c>
      <c r="AD62" t="n">
        <v>1.2</v>
      </c>
      <c r="AE62">
        <f>IF(Vu_khi!$AG$62,INDEX(Bang_danh_noc!$C$2:$C$8,MIN(7,MAX(1,2-(Vu_khi!$L$62-4)+1))),INDEX(Bang_xuyen_giap!$C$2:$C$8,MIN(7,MAX(1,IF($O$62,MAX(1,2-(Vu_khi!$L$62-4)),2-(Vu_khi!$L$62-4))+1))))</f>
        <v/>
      </c>
      <c r="AF62" t="n">
        <v>0.85</v>
      </c>
      <c r="AG62">
        <f>INDEX(Bang_xuyen_giap!$C$2:$C$8,MIN(7,MAX(1,MAX(1,2-(Vu_khi!$L$62-0))+1)))</f>
        <v/>
      </c>
      <c r="AH62" t="n">
        <v>1</v>
      </c>
      <c r="AI62">
        <f>IF($Q$62,$M$62*$AA$62*$U$62,0)</f>
        <v/>
      </c>
      <c r="AJ62" t="n">
        <v>42.71222637479979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30.25449368214985</v>
      </c>
      <c r="AO62">
        <f>IF($Q$62,$M$62*$AC$62*$Y$62,0)</f>
        <v/>
      </c>
      <c r="AP62" t="n">
        <v>68.33956219967966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2.5</v>
      </c>
      <c r="BB62" t="inlineStr">
        <is>
          <t>Assets/MachineBrigade/Resources/Data/balance.json: weapons[id=cruiser_203_guided] (lớp B trên 01_chien_dau/Vu_khi)</t>
        </is>
      </c>
      <c r="BC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IF(Vu_khi!$AG$63,INDEX(Bang_danh_noc!$C$2:$C$8,MIN(7,MAX(1,2-(Vu_khi!$L$63-0)+1))),INDEX(Bang_xuyen_giap!$C$2:$C$8,MIN(7,MAX(1,IF($O$63,MAX(1,2-(Vu_khi!$L$63-0)),2-(Vu_khi!$L$63-0))+1))))</f>
        <v/>
      </c>
      <c r="AB63" t="n">
        <v>1.2</v>
      </c>
      <c r="AC63">
        <f>IF(Vu_khi!$AG$63,INDEX(Bang_danh_noc!$C$2:$C$8,MIN(7,MAX(1,2-(Vu_khi!$L$63-2)+1))),INDEX(Bang_xuyen_giap!$C$2:$C$8,MIN(7,MAX(1,IF($O$63,MAX(1,2-(Vu_khi!$L$63-2)),2-(Vu_khi!$L$63-2))+1))))</f>
        <v/>
      </c>
      <c r="AD63" t="n">
        <v>1.2</v>
      </c>
      <c r="AE63">
        <f>IF(Vu_khi!$AG$63,INDEX(Bang_danh_noc!$C$2:$C$8,MIN(7,MAX(1,2-(Vu_khi!$L$63-4)+1))),INDEX(Bang_xuyen_giap!$C$2:$C$8,MIN(7,MAX(1,IF($O$63,MAX(1,2-(Vu_khi!$L$63-4)),2-(Vu_khi!$L$63-4))+1))))</f>
        <v/>
      </c>
      <c r="AF63" t="n">
        <v>0.85</v>
      </c>
      <c r="AG63">
        <f>INDEX(Bang_xuyen_giap!$C$2:$C$8,MIN(7,MAX(1,MAX(1,2-(Vu_khi!$L$63-0))+1)))</f>
        <v/>
      </c>
      <c r="AH63" t="n">
        <v>1</v>
      </c>
      <c r="AI63">
        <f>IF($Q$63,$M$63*$AA$63*$U$63,0)</f>
        <v/>
      </c>
      <c r="AJ63" t="n">
        <v>924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654.5</v>
      </c>
      <c r="AO63">
        <f>IF($Q$63,$M$63*$AC$63*$Y$63,0)</f>
        <v/>
      </c>
      <c r="AP63" t="n">
        <v>1478.4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1</v>
      </c>
      <c r="AU63">
        <f>IF(AND($B$63&lt;0,$AS$63),4,$B$63)</f>
        <v/>
      </c>
      <c r="AV63" t="n">
        <v>4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2.722222222222222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weapons[id=detonator] (lớp B trên 01_chien_dau/Vu_khi)</t>
        </is>
      </c>
      <c r="BC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IF(Vu_khi!$AG$64,INDEX(Bang_danh_noc!$C$2:$C$8,MIN(7,MAX(1,2-(Vu_khi!$L$64-0)+1))),INDEX(Bang_xuyen_giap!$C$2:$C$8,MIN(7,MAX(1,IF($O$64,MAX(1,2-(Vu_khi!$L$64-0)),2-(Vu_khi!$L$64-0))+1))))</f>
        <v/>
      </c>
      <c r="AB64" t="n">
        <v>1.2</v>
      </c>
      <c r="AC64">
        <f>IF(Vu_khi!$AG$64,INDEX(Bang_danh_noc!$C$2:$C$8,MIN(7,MAX(1,2-(Vu_khi!$L$64-2)+1))),INDEX(Bang_xuyen_giap!$C$2:$C$8,MIN(7,MAX(1,IF($O$64,MAX(1,2-(Vu_khi!$L$64-2)),2-(Vu_khi!$L$64-2))+1))))</f>
        <v/>
      </c>
      <c r="AD64" t="n">
        <v>1</v>
      </c>
      <c r="AE64">
        <f>IF(Vu_khi!$AG$64,INDEX(Bang_danh_noc!$C$2:$C$8,MIN(7,MAX(1,2-(Vu_khi!$L$64-4)+1))),INDEX(Bang_xuyen_giap!$C$2:$C$8,MIN(7,MAX(1,IF($O$64,MAX(1,2-(Vu_khi!$L$64-4)),2-(Vu_khi!$L$64-4))+1))))</f>
        <v/>
      </c>
      <c r="AF64" t="n">
        <v>0.65</v>
      </c>
      <c r="AG64">
        <f>INDEX(Bang_xuyen_giap!$C$2:$C$8,MIN(7,MAX(1,MAX(1,2-(Vu_khi!$L$64-0))+1)))</f>
        <v/>
      </c>
      <c r="AH64" t="n">
        <v>1</v>
      </c>
      <c r="AI64">
        <f>IF($Q$64,$M$64*$AA$64*$U$64,0)</f>
        <v/>
      </c>
      <c r="AJ64" t="n">
        <v>99</v>
      </c>
      <c r="AK64">
        <f>IF($Q$64,$M$64*$AC$64*$U$64,0)</f>
        <v/>
      </c>
      <c r="AL64" t="n">
        <v>82.5</v>
      </c>
      <c r="AM64">
        <f>IF($Q$64,$M$64*$AE$64*$U$64,0)</f>
        <v/>
      </c>
      <c r="AN64" t="n">
        <v>53.625</v>
      </c>
      <c r="AO64">
        <f>IF($Q$64,$M$64*$AC$64*$Y$64,0)</f>
        <v/>
      </c>
      <c r="AP64" t="n">
        <v>48.125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inlineStr"/>
      <c r="AZ64" t="inlineStr">
        <is>
          <t>ok</t>
        </is>
      </c>
      <c r="BA64" t="inlineStr"/>
      <c r="BB64" t="inlineStr">
        <is>
          <t>Assets/MachineBrigade/Resources/Data/balance.json: weapons[id=dozer_blade] (lớp B trên 01_chien_dau/Vu_khi)</t>
        </is>
      </c>
      <c r="BC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IF(Vu_khi!$AG$65,INDEX(Bang_danh_noc!$C$2:$C$8,MIN(7,MAX(1,2-(Vu_khi!$L$65-0)+1))),INDEX(Bang_xuyen_giap!$C$2:$C$8,MIN(7,MAX(1,IF($O$65,MAX(1,2-(Vu_khi!$L$65-0)),2-(Vu_khi!$L$65-0))+1))))</f>
        <v/>
      </c>
      <c r="AB65" t="n">
        <v>1</v>
      </c>
      <c r="AC65">
        <f>IF(Vu_khi!$AG$65,INDEX(Bang_danh_noc!$C$2:$C$8,MIN(7,MAX(1,2-(Vu_khi!$L$65-2)+1))),INDEX(Bang_xuyen_giap!$C$2:$C$8,MIN(7,MAX(1,IF($O$65,MAX(1,2-(Vu_khi!$L$65-2)),2-(Vu_khi!$L$65-2))+1))))</f>
        <v/>
      </c>
      <c r="AD65" t="n">
        <v>0.65</v>
      </c>
      <c r="AE65">
        <f>IF(Vu_khi!$AG$65,INDEX(Bang_danh_noc!$C$2:$C$8,MIN(7,MAX(1,2-(Vu_khi!$L$65-4)+1))),INDEX(Bang_xuyen_giap!$C$2:$C$8,MIN(7,MAX(1,IF($O$65,MAX(1,2-(Vu_khi!$L$65-4)),2-(Vu_khi!$L$65-4))+1))))</f>
        <v/>
      </c>
      <c r="AF65" t="n">
        <v>0.15</v>
      </c>
      <c r="AG65">
        <f>INDEX(Bang_xuyen_giap!$C$2:$C$8,MIN(7,MAX(1,MAX(1,2-(Vu_khi!$L$65-0))+1)))</f>
        <v/>
      </c>
      <c r="AH65" t="n">
        <v>1</v>
      </c>
      <c r="AI65">
        <f>IF($Q$65,$M$65*$AA$65*$U$65,0)</f>
        <v/>
      </c>
      <c r="AJ65" t="n">
        <v>72.15189873417721</v>
      </c>
      <c r="AK65">
        <f>IF($Q$65,$M$65*$AC$65*$U$65,0)</f>
        <v/>
      </c>
      <c r="AL65" t="n">
        <v>46.89873417721519</v>
      </c>
      <c r="AM65">
        <f>IF($Q$65,$M$65*$AE$65*$U$65,0)</f>
        <v/>
      </c>
      <c r="AN65" t="n">
        <v>10.82278481012658</v>
      </c>
      <c r="AO65">
        <f>IF($Q$65,$M$65*$AC$65*$Y$65,0)</f>
        <v/>
      </c>
      <c r="AP65" t="n">
        <v>27.35759493670886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0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n">
        <v>3.16</v>
      </c>
      <c r="AZ65" t="inlineStr">
        <is>
          <t>ok</t>
        </is>
      </c>
      <c r="BA65" t="inlineStr"/>
      <c r="BB65" t="inlineStr">
        <is>
          <t>Assets/MachineBrigade/Resources/Data/balance.json: weapons[id=drone_gun] (lớp B trên 01_chien_dau/Vu_khi)</t>
        </is>
      </c>
      <c r="BC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IF(Vu_khi!$AG$66,INDEX(Bang_danh_noc!$C$2:$C$8,MIN(7,MAX(1,2-(Vu_khi!$L$66-0)+1))),INDEX(Bang_xuyen_giap!$C$2:$C$8,MIN(7,MAX(1,IF($O$66,MAX(1,2-(Vu_khi!$L$66-0)),2-(Vu_khi!$L$66-0))+1))))</f>
        <v/>
      </c>
      <c r="AB66" t="n">
        <v>1.2</v>
      </c>
      <c r="AC66">
        <f>IF(Vu_khi!$AG$66,INDEX(Bang_danh_noc!$C$2:$C$8,MIN(7,MAX(1,2-(Vu_khi!$L$66-2)+1))),INDEX(Bang_xuyen_giap!$C$2:$C$8,MIN(7,MAX(1,IF($O$66,MAX(1,2-(Vu_khi!$L$66-2)),2-(Vu_khi!$L$66-2))+1))))</f>
        <v/>
      </c>
      <c r="AD66" t="n">
        <v>1.2</v>
      </c>
      <c r="AE66">
        <f>IF(Vu_khi!$AG$66,INDEX(Bang_danh_noc!$C$2:$C$8,MIN(7,MAX(1,2-(Vu_khi!$L$66-4)+1))),INDEX(Bang_xuyen_giap!$C$2:$C$8,MIN(7,MAX(1,IF($O$66,MAX(1,2-(Vu_khi!$L$66-4)),2-(Vu_khi!$L$66-4))+1))))</f>
        <v/>
      </c>
      <c r="AF66" t="n">
        <v>0.85</v>
      </c>
      <c r="AG66">
        <f>INDEX(Bang_xuyen_giap!$C$2:$C$8,MIN(7,MAX(1,MAX(1,2-(Vu_khi!$L$66-0))+1)))</f>
        <v/>
      </c>
      <c r="AH66" t="n">
        <v>1</v>
      </c>
      <c r="AI66">
        <f>IF($Q$66,$M$66*$AA$66*$U$66,0)</f>
        <v/>
      </c>
      <c r="AJ66" t="n">
        <v>113.2960893854749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80.2513966480447</v>
      </c>
      <c r="AO66">
        <f>IF($Q$66,$M$66*$AC$66*$Y$66,0)</f>
        <v/>
      </c>
      <c r="AP66" t="n">
        <v>39.21787709497207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2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weapons[id=drone_missile] (lớp B trên 01_chien_dau/Vu_khi)</t>
        </is>
      </c>
      <c r="BC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IF(Vu_khi!$AG$67,INDEX(Bang_danh_noc!$C$2:$C$8,MIN(7,MAX(1,2-(Vu_khi!$L$67-0)+1))),INDEX(Bang_xuyen_giap!$C$2:$C$8,MIN(7,MAX(1,IF($O$67,MAX(1,2-(Vu_khi!$L$67-0)),2-(Vu_khi!$L$67-0))+1))))</f>
        <v/>
      </c>
      <c r="AB67" t="n">
        <v>1.2</v>
      </c>
      <c r="AC67">
        <f>IF(Vu_khi!$AG$67,INDEX(Bang_danh_noc!$C$2:$C$8,MIN(7,MAX(1,2-(Vu_khi!$L$67-2)+1))),INDEX(Bang_xuyen_giap!$C$2:$C$8,MIN(7,MAX(1,IF($O$67,MAX(1,2-(Vu_khi!$L$67-2)),2-(Vu_khi!$L$67-2))+1))))</f>
        <v/>
      </c>
      <c r="AD67" t="n">
        <v>0.85</v>
      </c>
      <c r="AE67">
        <f>IF(Vu_khi!$AG$67,INDEX(Bang_danh_noc!$C$2:$C$8,MIN(7,MAX(1,2-(Vu_khi!$L$67-4)+1))),INDEX(Bang_xuyen_giap!$C$2:$C$8,MIN(7,MAX(1,IF($O$67,MAX(1,2-(Vu_khi!$L$67-4)),2-(Vu_khi!$L$67-4))+1))))</f>
        <v/>
      </c>
      <c r="AF67" t="n">
        <v>0.4</v>
      </c>
      <c r="AG67">
        <f>INDEX(Bang_xuyen_giap!$C$2:$C$8,MIN(7,MAX(1,MAX(1,2-(Vu_khi!$L$67-0))+1)))</f>
        <v/>
      </c>
      <c r="AH67" t="n">
        <v>1</v>
      </c>
      <c r="AI67">
        <f>IF($Q$67,$M$67*$AA$67*$U$67,0)</f>
        <v/>
      </c>
      <c r="AJ67" t="n">
        <v>71.88744894357319</v>
      </c>
      <c r="AK67">
        <f>IF($Q$67,$M$67*$AC$67*$U$67,0)</f>
        <v/>
      </c>
      <c r="AL67" t="n">
        <v>50.92027633503101</v>
      </c>
      <c r="AM67">
        <f>IF($Q$67,$M$67*$AE$67*$U$67,0)</f>
        <v/>
      </c>
      <c r="AN67" t="n">
        <v>23.96248298119107</v>
      </c>
      <c r="AO67">
        <f>IF($Q$67,$M$67*$AC$67*$Y$67,0)</f>
        <v/>
      </c>
      <c r="AP67" t="n">
        <v>11.31561696334023</v>
      </c>
      <c r="AQ67">
        <f>IF($S$67,$M$67*$AG$67*$W$67,0)</f>
        <v/>
      </c>
      <c r="AR67" t="n">
        <v>179.718622358933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n">
        <v>7.436625</v>
      </c>
      <c r="AZ67" t="inlineStr">
        <is>
          <t>ok</t>
        </is>
      </c>
      <c r="BA67" t="inlineStr"/>
      <c r="BB67" t="inlineStr">
        <is>
          <t>Assets/MachineBrigade/Resources/Data/balance.json: weapons[id=fighter_cannon] (lớp B trên 01_chien_dau/Vu_khi)</t>
        </is>
      </c>
      <c r="BC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IF(Vu_khi!$AG$68,INDEX(Bang_danh_noc!$C$2:$C$8,MIN(7,MAX(1,2-(Vu_khi!$L$68-0)+1))),INDEX(Bang_xuyen_giap!$C$2:$C$8,MIN(7,MAX(1,IF($O$68,MAX(1,2-(Vu_khi!$L$68-0)),2-(Vu_khi!$L$68-0))+1))))</f>
        <v/>
      </c>
      <c r="AB68" t="n">
        <v>1.2</v>
      </c>
      <c r="AC68">
        <f>IF(Vu_khi!$AG$68,INDEX(Bang_danh_noc!$C$2:$C$8,MIN(7,MAX(1,2-(Vu_khi!$L$68-2)+1))),INDEX(Bang_xuyen_giap!$C$2:$C$8,MIN(7,MAX(1,IF($O$68,MAX(1,2-(Vu_khi!$L$68-2)),2-(Vu_khi!$L$68-2))+1))))</f>
        <v/>
      </c>
      <c r="AD68" t="n">
        <v>0.85</v>
      </c>
      <c r="AE68">
        <f>IF(Vu_khi!$AG$68,INDEX(Bang_danh_noc!$C$2:$C$8,MIN(7,MAX(1,2-(Vu_khi!$L$68-4)+1))),INDEX(Bang_xuyen_giap!$C$2:$C$8,MIN(7,MAX(1,IF($O$68,MAX(1,2-(Vu_khi!$L$68-4)),2-(Vu_khi!$L$68-4))+1))))</f>
        <v/>
      </c>
      <c r="AF68" t="n">
        <v>0.4</v>
      </c>
      <c r="AG68">
        <f>INDEX(Bang_xuyen_giap!$C$2:$C$8,MIN(7,MAX(1,MAX(1,2-(Vu_khi!$L$68-0))+1)))</f>
        <v/>
      </c>
      <c r="AH68" t="n">
        <v>1</v>
      </c>
      <c r="AI68">
        <f>IF($Q$68,$M$68*$AA$68*$U$68,0)</f>
        <v/>
      </c>
      <c r="AJ68" t="n">
        <v>191.6998638495285</v>
      </c>
      <c r="AK68">
        <f>IF($Q$68,$M$68*$AC$68*$U$68,0)</f>
        <v/>
      </c>
      <c r="AL68" t="n">
        <v>135.7874035600827</v>
      </c>
      <c r="AM68">
        <f>IF($Q$68,$M$68*$AE$68*$U$68,0)</f>
        <v/>
      </c>
      <c r="AN68" t="n">
        <v>63.8999546165095</v>
      </c>
      <c r="AO68">
        <f>IF($Q$68,$M$68*$AC$68*$Y$68,0)</f>
        <v/>
      </c>
      <c r="AP68" t="n">
        <v>79.20931874338157</v>
      </c>
      <c r="AQ68">
        <f>IF($S$68,$M$68*$AG$68*$W$68,0)</f>
        <v/>
      </c>
      <c r="AR68" t="n">
        <v>0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BB68" t="inlineStr">
        <is>
          <t>Assets/MachineBrigade/Resources/Data/balance.json: weapons[id=fighter_cannon_ap] (lớp B trên 01_chien_dau/Vu_khi)</t>
        </is>
      </c>
      <c r="BC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IF(Vu_khi!$AG$69,INDEX(Bang_danh_noc!$C$2:$C$8,MIN(7,MAX(1,2-(Vu_khi!$L$69-0)+1))),INDEX(Bang_xuyen_giap!$C$2:$C$8,MIN(7,MAX(1,IF($O$69,MAX(1,2-(Vu_khi!$L$69-0)),2-(Vu_khi!$L$69-0))+1))))</f>
        <v/>
      </c>
      <c r="AB69" t="n">
        <v>1.2</v>
      </c>
      <c r="AC69">
        <f>IF(Vu_khi!$AG$69,INDEX(Bang_danh_noc!$C$2:$C$8,MIN(7,MAX(1,2-(Vu_khi!$L$69-2)+1))),INDEX(Bang_xuyen_giap!$C$2:$C$8,MIN(7,MAX(1,IF($O$69,MAX(1,2-(Vu_khi!$L$69-2)),2-(Vu_khi!$L$69-2))+1))))</f>
        <v/>
      </c>
      <c r="AD69" t="n">
        <v>0.85</v>
      </c>
      <c r="AE69">
        <f>IF(Vu_khi!$AG$69,INDEX(Bang_danh_noc!$C$2:$C$8,MIN(7,MAX(1,2-(Vu_khi!$L$69-4)+1))),INDEX(Bang_xuyen_giap!$C$2:$C$8,MIN(7,MAX(1,IF($O$69,MAX(1,2-(Vu_khi!$L$69-4)),2-(Vu_khi!$L$69-4))+1))))</f>
        <v/>
      </c>
      <c r="AF69" t="n">
        <v>0.4</v>
      </c>
      <c r="AG69">
        <f>INDEX(Bang_xuyen_giap!$C$2:$C$8,MIN(7,MAX(1,MAX(1,2-(Vu_khi!$L$69-0))+1)))</f>
        <v/>
      </c>
      <c r="AH69" t="n">
        <v>1</v>
      </c>
      <c r="AI69">
        <f>IF($Q$69,$M$69*$AA$69*$U$69,0)</f>
        <v/>
      </c>
      <c r="AJ69" t="n">
        <v>47.52</v>
      </c>
      <c r="AK69">
        <f>IF($Q$69,$M$69*$AC$69*$U$69,0)</f>
        <v/>
      </c>
      <c r="AL69" t="n">
        <v>33.66</v>
      </c>
      <c r="AM69">
        <f>IF($Q$69,$M$69*$AE$69*$U$69,0)</f>
        <v/>
      </c>
      <c r="AN69" t="n">
        <v>15.84</v>
      </c>
      <c r="AO69">
        <f>IF($Q$69,$M$69*$AC$69*$Y$69,0)</f>
        <v/>
      </c>
      <c r="AP69" t="n">
        <v>7.48</v>
      </c>
      <c r="AQ69">
        <f>IF($S$69,$M$69*$AG$69*$W$69,0)</f>
        <v/>
      </c>
      <c r="AR69" t="n">
        <v>118.8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AY69" t="n">
        <v>5.416667</v>
      </c>
      <c r="AZ69" t="inlineStr">
        <is>
          <t>CHAM_QUA</t>
        </is>
      </c>
      <c r="BA69" t="inlineStr"/>
      <c r="BB69" t="inlineStr">
        <is>
          <t>Assets/MachineBrigade/Resources/Data/balance.json: weapons[id=flak_35] (lớp B trên 01_chien_dau/Vu_khi)</t>
        </is>
      </c>
      <c r="BC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IF(Vu_khi!$AG$70,INDEX(Bang_danh_noc!$C$2:$C$8,MIN(7,MAX(1,2-(Vu_khi!$L$70-0)+1))),INDEX(Bang_xuyen_giap!$C$2:$C$8,MIN(7,MAX(1,IF($O$70,MAX(1,2-(Vu_khi!$L$70-0)),2-(Vu_khi!$L$70-0))+1))))</f>
        <v/>
      </c>
      <c r="AB70" t="n">
        <v>1.2</v>
      </c>
      <c r="AC70">
        <f>IF(Vu_khi!$AG$70,INDEX(Bang_danh_noc!$C$2:$C$8,MIN(7,MAX(1,2-(Vu_khi!$L$70-2)+1))),INDEX(Bang_xuyen_giap!$C$2:$C$8,MIN(7,MAX(1,IF($O$70,MAX(1,2-(Vu_khi!$L$70-2)),2-(Vu_khi!$L$70-2))+1))))</f>
        <v/>
      </c>
      <c r="AD70" t="n">
        <v>0.85</v>
      </c>
      <c r="AE70">
        <f>IF(Vu_khi!$AG$70,INDEX(Bang_danh_noc!$C$2:$C$8,MIN(7,MAX(1,2-(Vu_khi!$L$70-4)+1))),INDEX(Bang_xuyen_giap!$C$2:$C$8,MIN(7,MAX(1,IF($O$70,MAX(1,2-(Vu_khi!$L$70-4)),2-(Vu_khi!$L$70-4))+1))))</f>
        <v/>
      </c>
      <c r="AF70" t="n">
        <v>0.4</v>
      </c>
      <c r="AG70">
        <f>INDEX(Bang_xuyen_giap!$C$2:$C$8,MIN(7,MAX(1,MAX(1,2-(Vu_khi!$L$70-0))+1)))</f>
        <v/>
      </c>
      <c r="AH70" t="n">
        <v>1</v>
      </c>
      <c r="AI70">
        <f>IF($Q$70,$M$70*$AA$70*$U$70,0)</f>
        <v/>
      </c>
      <c r="AJ70" t="n">
        <v>126.72</v>
      </c>
      <c r="AK70">
        <f>IF($Q$70,$M$70*$AC$70*$U$70,0)</f>
        <v/>
      </c>
      <c r="AL70" t="n">
        <v>89.76000000000001</v>
      </c>
      <c r="AM70">
        <f>IF($Q$70,$M$70*$AE$70*$U$70,0)</f>
        <v/>
      </c>
      <c r="AN70" t="n">
        <v>42.23999999999999</v>
      </c>
      <c r="AO70">
        <f>IF($Q$70,$M$70*$AC$70*$Y$70,0)</f>
        <v/>
      </c>
      <c r="AP70" t="n">
        <v>52.36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BB70" t="inlineStr">
        <is>
          <t>Assets/MachineBrigade/Resources/Data/balance.json: weapons[id=flak_35_ap] (lớp B trên 01_chien_dau/Vu_khi)</t>
        </is>
      </c>
      <c r="BC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IF(Vu_khi!$AG$71,INDEX(Bang_danh_noc!$C$2:$C$8,MIN(7,MAX(1,2-(Vu_khi!$L$71-0)+1))),INDEX(Bang_xuyen_giap!$C$2:$C$8,MIN(7,MAX(1,IF($O$71,MAX(1,2-(Vu_khi!$L$71-0)),2-(Vu_khi!$L$71-0))+1))))</f>
        <v/>
      </c>
      <c r="AB71" t="n">
        <v>1</v>
      </c>
      <c r="AC71">
        <f>IF(Vu_khi!$AG$71,INDEX(Bang_danh_noc!$C$2:$C$8,MIN(7,MAX(1,2-(Vu_khi!$L$71-2)+1))),INDEX(Bang_xuyen_giap!$C$2:$C$8,MIN(7,MAX(1,IF($O$71,MAX(1,2-(Vu_khi!$L$71-2)),2-(Vu_khi!$L$71-2))+1))))</f>
        <v/>
      </c>
      <c r="AD71" t="n">
        <v>0.65</v>
      </c>
      <c r="AE71">
        <f>IF(Vu_khi!$AG$71,INDEX(Bang_danh_noc!$C$2:$C$8,MIN(7,MAX(1,2-(Vu_khi!$L$71-4)+1))),INDEX(Bang_xuyen_giap!$C$2:$C$8,MIN(7,MAX(1,IF($O$71,MAX(1,2-(Vu_khi!$L$71-4)),2-(Vu_khi!$L$71-4))+1))))</f>
        <v/>
      </c>
      <c r="AF71" t="n">
        <v>0.15</v>
      </c>
      <c r="AG71">
        <f>INDEX(Bang_xuyen_giap!$C$2:$C$8,MIN(7,MAX(1,MAX(1,2-(Vu_khi!$L$71-0))+1)))</f>
        <v/>
      </c>
      <c r="AH71" t="n">
        <v>1</v>
      </c>
      <c r="AI71">
        <f>IF($Q$71,$M$71*$AA$71*$U$71,0)</f>
        <v/>
      </c>
      <c r="AJ71" t="n">
        <v>105.7441253263707</v>
      </c>
      <c r="AK71">
        <f>IF($Q$71,$M$71*$AC$71*$U$71,0)</f>
        <v/>
      </c>
      <c r="AL71" t="n">
        <v>68.73368146214099</v>
      </c>
      <c r="AM71">
        <f>IF($Q$71,$M$71*$AE$71*$U$71,0)</f>
        <v/>
      </c>
      <c r="AN71" t="n">
        <v>15.86161879895561</v>
      </c>
      <c r="AO71">
        <f>IF($Q$71,$M$71*$AC$71*$Y$71,0)</f>
        <v/>
      </c>
      <c r="AP71" t="n">
        <v>15.27415143603133</v>
      </c>
      <c r="AQ71">
        <f>IF($S$71,$M$71*$AG$71*$W$71,0)</f>
        <v/>
      </c>
      <c r="AR71" t="n">
        <v>317.2323759791123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AY71" t="n">
        <v>3.971852</v>
      </c>
      <c r="AZ71" t="inlineStr">
        <is>
          <t>ok</t>
        </is>
      </c>
      <c r="BA71" t="inlineStr"/>
      <c r="BB71" t="inlineStr">
        <is>
          <t>Assets/MachineBrigade/Resources/Data/balance.json: weapons[id=flak_quad] (lớp B trên 01_chien_dau/Vu_khi)</t>
        </is>
      </c>
      <c r="BC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IF(Vu_khi!$AG$72,INDEX(Bang_danh_noc!$C$2:$C$8,MIN(7,MAX(1,2-(Vu_khi!$L$72-0)+1))),INDEX(Bang_xuyen_giap!$C$2:$C$8,MIN(7,MAX(1,IF($O$72,MAX(1,2-(Vu_khi!$L$72-0)),2-(Vu_khi!$L$72-0))+1))))</f>
        <v/>
      </c>
      <c r="AB72" t="n">
        <v>1.2</v>
      </c>
      <c r="AC72">
        <f>IF(Vu_khi!$AG$72,INDEX(Bang_danh_noc!$C$2:$C$8,MIN(7,MAX(1,2-(Vu_khi!$L$72-2)+1))),INDEX(Bang_xuyen_giap!$C$2:$C$8,MIN(7,MAX(1,IF($O$72,MAX(1,2-(Vu_khi!$L$72-2)),2-(Vu_khi!$L$72-2))+1))))</f>
        <v/>
      </c>
      <c r="AD72" t="n">
        <v>0.85</v>
      </c>
      <c r="AE72">
        <f>IF(Vu_khi!$AG$72,INDEX(Bang_danh_noc!$C$2:$C$8,MIN(7,MAX(1,2-(Vu_khi!$L$72-4)+1))),INDEX(Bang_xuyen_giap!$C$2:$C$8,MIN(7,MAX(1,IF($O$72,MAX(1,2-(Vu_khi!$L$72-4)),2-(Vu_khi!$L$72-4))+1))))</f>
        <v/>
      </c>
      <c r="AF72" t="n">
        <v>0.4</v>
      </c>
      <c r="AG72">
        <f>INDEX(Bang_xuyen_giap!$C$2:$C$8,MIN(7,MAX(1,MAX(1,2-(Vu_khi!$L$72-0))+1)))</f>
        <v/>
      </c>
      <c r="AH72" t="n">
        <v>1</v>
      </c>
      <c r="AI72">
        <f>IF($Q$72,$M$72*$AA$72*$U$72,0)</f>
        <v/>
      </c>
      <c r="AJ72" t="n">
        <v>338.3812010443864</v>
      </c>
      <c r="AK72">
        <f>IF($Q$72,$M$72*$AC$72*$U$72,0)</f>
        <v/>
      </c>
      <c r="AL72" t="n">
        <v>239.686684073107</v>
      </c>
      <c r="AM72">
        <f>IF($Q$72,$M$72*$AE$72*$U$72,0)</f>
        <v/>
      </c>
      <c r="AN72" t="n">
        <v>112.7937336814621</v>
      </c>
      <c r="AO72">
        <f>IF($Q$72,$M$72*$AC$72*$Y$72,0)</f>
        <v/>
      </c>
      <c r="AP72" t="n">
        <v>139.8172323759791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BB72" t="inlineStr">
        <is>
          <t>Assets/MachineBrigade/Resources/Data/balance.json: weapons[id=flak_quad_ap] (lớp B trên 01_chien_dau/Vu_khi)</t>
        </is>
      </c>
      <c r="BC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IF(Vu_khi!$AG$73,INDEX(Bang_danh_noc!$C$2:$C$8,MIN(7,MAX(1,2-(Vu_khi!$L$73-0)+1))),INDEX(Bang_xuyen_giap!$C$2:$C$8,MIN(7,MAX(1,IF($O$73,MAX(1,2-(Vu_khi!$L$73-0)),2-(Vu_khi!$L$73-0))+1))))</f>
        <v/>
      </c>
      <c r="AB73" t="n">
        <v>1</v>
      </c>
      <c r="AC73">
        <f>IF(Vu_khi!$AG$73,INDEX(Bang_danh_noc!$C$2:$C$8,MIN(7,MAX(1,2-(Vu_khi!$L$73-2)+1))),INDEX(Bang_xuyen_giap!$C$2:$C$8,MIN(7,MAX(1,IF($O$73,MAX(1,2-(Vu_khi!$L$73-2)),2-(Vu_khi!$L$73-2))+1))))</f>
        <v/>
      </c>
      <c r="AD73" t="n">
        <v>0.65</v>
      </c>
      <c r="AE73">
        <f>IF(Vu_khi!$AG$73,INDEX(Bang_danh_noc!$C$2:$C$8,MIN(7,MAX(1,2-(Vu_khi!$L$73-4)+1))),INDEX(Bang_xuyen_giap!$C$2:$C$8,MIN(7,MAX(1,IF($O$73,MAX(1,2-(Vu_khi!$L$73-4)),2-(Vu_khi!$L$73-4))+1))))</f>
        <v/>
      </c>
      <c r="AF73" t="n">
        <v>0.15</v>
      </c>
      <c r="AG73">
        <f>INDEX(Bang_xuyen_giap!$C$2:$C$8,MIN(7,MAX(1,MAX(1,2-(Vu_khi!$L$73-0))+1)))</f>
        <v/>
      </c>
      <c r="AH73" t="n">
        <v>1</v>
      </c>
      <c r="AI73">
        <f>IF($Q$73,$M$73*$AA$73*$U$73,0)</f>
        <v/>
      </c>
      <c r="AJ73" t="n">
        <v>113.4</v>
      </c>
      <c r="AK73">
        <f>IF($Q$73,$M$73*$AC$73*$U$73,0)</f>
        <v/>
      </c>
      <c r="AL73" t="n">
        <v>73.71000000000001</v>
      </c>
      <c r="AM73">
        <f>IF($Q$73,$M$73*$AE$73*$U$73,0)</f>
        <v/>
      </c>
      <c r="AN73" t="n">
        <v>17.01</v>
      </c>
      <c r="AO73">
        <f>IF($Q$73,$M$73*$AC$73*$Y$73,0)</f>
        <v/>
      </c>
      <c r="AP73" t="n">
        <v>60.06000000000001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weapons[id=flamethrower] (lớp B trên 01_chien_dau/Vu_khi)</t>
        </is>
      </c>
      <c r="BC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IF(Vu_khi!$AG$74,INDEX(Bang_danh_noc!$C$2:$C$8,MIN(7,MAX(1,2-(Vu_khi!$L$74-0)+1))),INDEX(Bang_xuyen_giap!$C$2:$C$8,MIN(7,MAX(1,IF($O$74,MAX(1,2-(Vu_khi!$L$74-0)),2-(Vu_khi!$L$74-0))+1))))</f>
        <v/>
      </c>
      <c r="AB74" t="n">
        <v>1.2</v>
      </c>
      <c r="AC74">
        <f>IF(Vu_khi!$AG$74,INDEX(Bang_danh_noc!$C$2:$C$8,MIN(7,MAX(1,2-(Vu_khi!$L$74-2)+1))),INDEX(Bang_xuyen_giap!$C$2:$C$8,MIN(7,MAX(1,IF($O$74,MAX(1,2-(Vu_khi!$L$74-2)),2-(Vu_khi!$L$74-2))+1))))</f>
        <v/>
      </c>
      <c r="AD74" t="n">
        <v>1.2</v>
      </c>
      <c r="AE74">
        <f>IF(Vu_khi!$AG$74,INDEX(Bang_danh_noc!$C$2:$C$8,MIN(7,MAX(1,2-(Vu_khi!$L$74-4)+1))),INDEX(Bang_xuyen_giap!$C$2:$C$8,MIN(7,MAX(1,IF($O$74,MAX(1,2-(Vu_khi!$L$74-4)),2-(Vu_khi!$L$74-4))+1))))</f>
        <v/>
      </c>
      <c r="AF74" t="n">
        <v>0.85</v>
      </c>
      <c r="AG74">
        <f>INDEX(Bang_xuyen_giap!$C$2:$C$8,MIN(7,MAX(1,MAX(1,2-(Vu_khi!$L$74-0))+1)))</f>
        <v/>
      </c>
      <c r="AH74" t="n">
        <v>1</v>
      </c>
      <c r="AI74">
        <f>IF($Q$74,$M$74*$AA$74*$U$74,0)</f>
        <v/>
      </c>
      <c r="AJ74" t="n">
        <v>114.8936170212766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81.38297872340425</v>
      </c>
      <c r="AO74">
        <f>IF($Q$74,$M$74*$AC$74*$Y$74,0)</f>
        <v/>
      </c>
      <c r="AP74" t="n">
        <v>51.06382978723403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1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weapons[id=focus_laser] (lớp B trên 01_chien_dau/Vu_khi)</t>
        </is>
      </c>
      <c r="BC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IF(Vu_khi!$AG$75,INDEX(Bang_danh_noc!$C$2:$C$8,MIN(7,MAX(1,2-(Vu_khi!$L$75-0)+1))),INDEX(Bang_xuyen_giap!$C$2:$C$8,MIN(7,MAX(1,IF($O$75,MAX(1,2-(Vu_khi!$L$75-0)),2-(Vu_khi!$L$75-0))+1))))</f>
        <v/>
      </c>
      <c r="AB75" t="n">
        <v>1.15</v>
      </c>
      <c r="AC75">
        <f>IF(Vu_khi!$AG$75,INDEX(Bang_danh_noc!$C$2:$C$8,MIN(7,MAX(1,2-(Vu_khi!$L$75-2)+1))),INDEX(Bang_xuyen_giap!$C$2:$C$8,MIN(7,MAX(1,IF($O$75,MAX(1,2-(Vu_khi!$L$75-2)),2-(Vu_khi!$L$75-2))+1))))</f>
        <v/>
      </c>
      <c r="AD75" t="n">
        <v>1.1</v>
      </c>
      <c r="AE75">
        <f>IF(Vu_khi!$AG$75,INDEX(Bang_danh_noc!$C$2:$C$8,MIN(7,MAX(1,2-(Vu_khi!$L$75-4)+1))),INDEX(Bang_xuyen_giap!$C$2:$C$8,MIN(7,MAX(1,IF($O$75,MAX(1,2-(Vu_khi!$L$75-4)),2-(Vu_khi!$L$75-4))+1))))</f>
        <v/>
      </c>
      <c r="AF75" t="n">
        <v>0.75</v>
      </c>
      <c r="AG75">
        <f>INDEX(Bang_xuyen_giap!$C$2:$C$8,MIN(7,MAX(1,MAX(1,2-(Vu_khi!$L$75-0))+1)))</f>
        <v/>
      </c>
      <c r="AH75" t="n">
        <v>1</v>
      </c>
      <c r="AI75">
        <f>IF($Q$75,$M$75*$AA$75*$U$75,0)</f>
        <v/>
      </c>
      <c r="AJ75" t="n">
        <v>79.73333333333333</v>
      </c>
      <c r="AK75">
        <f>IF($Q$75,$M$75*$AC$75*$U$75,0)</f>
        <v/>
      </c>
      <c r="AL75" t="n">
        <v>76.26666666666668</v>
      </c>
      <c r="AM75">
        <f>IF($Q$75,$M$75*$AE$75*$U$75,0)</f>
        <v/>
      </c>
      <c r="AN75" t="n">
        <v>52.00000000000001</v>
      </c>
      <c r="AO75">
        <f>IF($Q$75,$M$75*$AC$75*$Y$75,0)</f>
        <v/>
      </c>
      <c r="AP75" t="n">
        <v>26.4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weapons[id=fpv_hangar] (lớp B trên 01_chien_dau/Vu_khi)</t>
        </is>
      </c>
      <c r="BC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IF(Vu_khi!$AG$76,INDEX(Bang_danh_noc!$C$2:$C$8,MIN(7,MAX(1,2-(Vu_khi!$L$76-0)+1))),INDEX(Bang_xuyen_giap!$C$2:$C$8,MIN(7,MAX(1,IF($O$76,MAX(1,2-(Vu_khi!$L$76-0)),2-(Vu_khi!$L$76-0))+1))))</f>
        <v/>
      </c>
      <c r="AB76" t="n">
        <v>1.15</v>
      </c>
      <c r="AC76">
        <f>IF(Vu_khi!$AG$76,INDEX(Bang_danh_noc!$C$2:$C$8,MIN(7,MAX(1,2-(Vu_khi!$L$76-2)+1))),INDEX(Bang_xuyen_giap!$C$2:$C$8,MIN(7,MAX(1,IF($O$76,MAX(1,2-(Vu_khi!$L$76-2)),2-(Vu_khi!$L$76-2))+1))))</f>
        <v/>
      </c>
      <c r="AD76" t="n">
        <v>1.1</v>
      </c>
      <c r="AE76">
        <f>IF(Vu_khi!$AG$76,INDEX(Bang_danh_noc!$C$2:$C$8,MIN(7,MAX(1,2-(Vu_khi!$L$76-4)+1))),INDEX(Bang_xuyen_giap!$C$2:$C$8,MIN(7,MAX(1,IF($O$76,MAX(1,2-(Vu_khi!$L$76-4)),2-(Vu_khi!$L$76-4))+1))))</f>
        <v/>
      </c>
      <c r="AF76" t="n">
        <v>0.75</v>
      </c>
      <c r="AG76">
        <f>INDEX(Bang_xuyen_giap!$C$2:$C$8,MIN(7,MAX(1,MAX(1,2-(Vu_khi!$L$76-0))+1)))</f>
        <v/>
      </c>
      <c r="AH76" t="n">
        <v>1</v>
      </c>
      <c r="AI76">
        <f>IF($Q$76,$M$76*$AA$76*$U$76,0)</f>
        <v/>
      </c>
      <c r="AJ76" t="n">
        <v>105.9746835443038</v>
      </c>
      <c r="AK76">
        <f>IF($Q$76,$M$76*$AC$76*$U$76,0)</f>
        <v/>
      </c>
      <c r="AL76" t="n">
        <v>101.367088607595</v>
      </c>
      <c r="AM76">
        <f>IF($Q$76,$M$76*$AE$76*$U$76,0)</f>
        <v/>
      </c>
      <c r="AN76" t="n">
        <v>69.11392405063293</v>
      </c>
      <c r="AO76">
        <f>IF($Q$76,$M$76*$AC$76*$Y$76,0)</f>
        <v/>
      </c>
      <c r="AP76" t="n">
        <v>35.08860759493672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weapons[id=fpv_hangar_swarm] (lớp B trên 01_chien_dau/Vu_khi)</t>
        </is>
      </c>
      <c r="BC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IF(Vu_khi!$AG$77,INDEX(Bang_danh_noc!$C$2:$C$8,MIN(7,MAX(1,2-(Vu_khi!$L$77-0)+1))),INDEX(Bang_xuyen_giap!$C$2:$C$8,MIN(7,MAX(1,IF($O$77,MAX(1,2-(Vu_khi!$L$77-0)),2-(Vu_khi!$L$77-0))+1))))</f>
        <v/>
      </c>
      <c r="AB77" t="n">
        <v>1.15</v>
      </c>
      <c r="AC77">
        <f>IF(Vu_khi!$AG$77,INDEX(Bang_danh_noc!$C$2:$C$8,MIN(7,MAX(1,2-(Vu_khi!$L$77-2)+1))),INDEX(Bang_xuyen_giap!$C$2:$C$8,MIN(7,MAX(1,IF($O$77,MAX(1,2-(Vu_khi!$L$77-2)),2-(Vu_khi!$L$77-2))+1))))</f>
        <v/>
      </c>
      <c r="AD77" t="n">
        <v>1.1</v>
      </c>
      <c r="AE77">
        <f>IF(Vu_khi!$AG$77,INDEX(Bang_danh_noc!$C$2:$C$8,MIN(7,MAX(1,2-(Vu_khi!$L$77-4)+1))),INDEX(Bang_xuyen_giap!$C$2:$C$8,MIN(7,MAX(1,IF($O$77,MAX(1,2-(Vu_khi!$L$77-4)),2-(Vu_khi!$L$77-4))+1))))</f>
        <v/>
      </c>
      <c r="AF77" t="n">
        <v>0.75</v>
      </c>
      <c r="AG77">
        <f>INDEX(Bang_xuyen_giap!$C$2:$C$8,MIN(7,MAX(1,MAX(1,2-(Vu_khi!$L$77-0))+1)))</f>
        <v/>
      </c>
      <c r="AH77" t="n">
        <v>1</v>
      </c>
      <c r="AI77">
        <f>IF($Q$77,$M$77*$AA$77*$U$77,0)</f>
        <v/>
      </c>
      <c r="AJ77" t="n">
        <v>62.2453531598513</v>
      </c>
      <c r="AK77">
        <f>IF($Q$77,$M$77*$AC$77*$U$77,0)</f>
        <v/>
      </c>
      <c r="AL77" t="n">
        <v>59.53903345724908</v>
      </c>
      <c r="AM77">
        <f>IF($Q$77,$M$77*$AE$77*$U$77,0)</f>
        <v/>
      </c>
      <c r="AN77" t="n">
        <v>40.59479553903346</v>
      </c>
      <c r="AO77">
        <f>IF($Q$77,$M$77*$AC$77*$Y$77,0)</f>
        <v/>
      </c>
      <c r="AP77" t="n">
        <v>20.6096654275093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2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inlineStr"/>
      <c r="AZ77" t="inlineStr">
        <is>
          <t>ok</t>
        </is>
      </c>
      <c r="BA77" t="inlineStr"/>
      <c r="BB77" t="inlineStr">
        <is>
          <t>Assets/MachineBrigade/Resources/Data/balance.json: weapons[id=fpv_swarm] (lớp B trên 01_chien_dau/Vu_khi)</t>
        </is>
      </c>
      <c r="BC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IF(Vu_khi!$AG$78,INDEX(Bang_danh_noc!$C$2:$C$8,MIN(7,MAX(1,2-(Vu_khi!$L$78-0)+1))),INDEX(Bang_xuyen_giap!$C$2:$C$8,MIN(7,MAX(1,IF($O$78,MAX(1,2-(Vu_khi!$L$78-0)),2-(Vu_khi!$L$78-0))+1))))</f>
        <v/>
      </c>
      <c r="AB78" t="n">
        <v>1.2</v>
      </c>
      <c r="AC78">
        <f>IF(Vu_khi!$AG$78,INDEX(Bang_danh_noc!$C$2:$C$8,MIN(7,MAX(1,2-(Vu_khi!$L$78-2)+1))),INDEX(Bang_xuyen_giap!$C$2:$C$8,MIN(7,MAX(1,IF($O$78,MAX(1,2-(Vu_khi!$L$78-2)),2-(Vu_khi!$L$78-2))+1))))</f>
        <v/>
      </c>
      <c r="AD78" t="n">
        <v>1</v>
      </c>
      <c r="AE78">
        <f>IF(Vu_khi!$AG$78,INDEX(Bang_danh_noc!$C$2:$C$8,MIN(7,MAX(1,2-(Vu_khi!$L$78-4)+1))),INDEX(Bang_xuyen_giap!$C$2:$C$8,MIN(7,MAX(1,IF($O$78,MAX(1,2-(Vu_khi!$L$78-4)),2-(Vu_khi!$L$78-4))+1))))</f>
        <v/>
      </c>
      <c r="AF78" t="n">
        <v>0.65</v>
      </c>
      <c r="AG78">
        <f>INDEX(Bang_xuyen_giap!$C$2:$C$8,MIN(7,MAX(1,MAX(1,2-(Vu_khi!$L$78-0))+1)))</f>
        <v/>
      </c>
      <c r="AH78" t="n">
        <v>1</v>
      </c>
      <c r="AI78">
        <f>IF($Q$78,$M$78*$AA$78*$U$78,0)</f>
        <v/>
      </c>
      <c r="AJ78" t="n">
        <v>768.1400738134065</v>
      </c>
      <c r="AK78">
        <f>IF($Q$78,$M$78*$AC$78*$U$78,0)</f>
        <v/>
      </c>
      <c r="AL78" t="n">
        <v>640.1167281778388</v>
      </c>
      <c r="AM78">
        <f>IF($Q$78,$M$78*$AE$78*$U$78,0)</f>
        <v/>
      </c>
      <c r="AN78" t="n">
        <v>416.0758733155952</v>
      </c>
      <c r="AO78">
        <f>IF($Q$78,$M$78*$AC$78*$Y$78,0)</f>
        <v/>
      </c>
      <c r="AP78" t="n">
        <v>373.4014247704059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2.680761</v>
      </c>
      <c r="AZ78" t="inlineStr">
        <is>
          <t>ok</t>
        </is>
      </c>
      <c r="BA78" t="inlineStr"/>
      <c r="BB78" t="inlineStr">
        <is>
          <t>Assets/MachineBrigade/Resources/Data/balance.json: weapons[id=gau_gatling] (lớp B trên 01_chien_dau/Vu_khi)</t>
        </is>
      </c>
      <c r="BC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IF(Vu_khi!$AG$79,INDEX(Bang_danh_noc!$C$2:$C$8,MIN(7,MAX(1,2-(Vu_khi!$L$79-0)+1))),INDEX(Bang_xuyen_giap!$C$2:$C$8,MIN(7,MAX(1,IF($O$79,MAX(1,2-(Vu_khi!$L$79-0)),2-(Vu_khi!$L$79-0))+1))))</f>
        <v/>
      </c>
      <c r="AB79" t="n">
        <v>1</v>
      </c>
      <c r="AC79">
        <f>IF(Vu_khi!$AG$79,INDEX(Bang_danh_noc!$C$2:$C$8,MIN(7,MAX(1,2-(Vu_khi!$L$79-2)+1))),INDEX(Bang_xuyen_giap!$C$2:$C$8,MIN(7,MAX(1,IF($O$79,MAX(1,2-(Vu_khi!$L$79-2)),2-(Vu_khi!$L$79-2))+1))))</f>
        <v/>
      </c>
      <c r="AD79" t="n">
        <v>0.85</v>
      </c>
      <c r="AE79">
        <f>IF(Vu_khi!$AG$79,INDEX(Bang_danh_noc!$C$2:$C$8,MIN(7,MAX(1,2-(Vu_khi!$L$79-4)+1))),INDEX(Bang_xuyen_giap!$C$2:$C$8,MIN(7,MAX(1,IF($O$79,MAX(1,2-(Vu_khi!$L$79-4)),2-(Vu_khi!$L$79-4))+1))))</f>
        <v/>
      </c>
      <c r="AF79" t="n">
        <v>0.4</v>
      </c>
      <c r="AG79">
        <f>INDEX(Bang_xuyen_giap!$C$2:$C$8,MIN(7,MAX(1,MAX(1,2-(Vu_khi!$L$79-0))+1)))</f>
        <v/>
      </c>
      <c r="AH79" t="n">
        <v>1</v>
      </c>
      <c r="AI79">
        <f>IF($Q$79,$M$79*$AA$79*$U$79,0)</f>
        <v/>
      </c>
      <c r="AJ79" t="n">
        <v>35.71292956142016</v>
      </c>
      <c r="AK79">
        <f>IF($Q$79,$M$79*$AC$79*$U$79,0)</f>
        <v/>
      </c>
      <c r="AL79" t="n">
        <v>30.35599012720714</v>
      </c>
      <c r="AM79">
        <f>IF($Q$79,$M$79*$AE$79*$U$79,0)</f>
        <v/>
      </c>
      <c r="AN79" t="n">
        <v>14.28517182456807</v>
      </c>
      <c r="AO79">
        <f>IF($Q$79,$M$79*$AC$79*$Y$79,0)</f>
        <v/>
      </c>
      <c r="AP79" t="n">
        <v>48.56958420353142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weapons[id=grad_cluster] (lớp B trên 01_chien_dau/Vu_khi)</t>
        </is>
      </c>
      <c r="BC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IF(Vu_khi!$AG$80,INDEX(Bang_danh_noc!$C$2:$C$8,MIN(7,MAX(1,2-(Vu_khi!$L$80-0)+1))),INDEX(Bang_xuyen_giap!$C$2:$C$8,MIN(7,MAX(1,IF($O$80,MAX(1,2-(Vu_khi!$L$80-0)),2-(Vu_khi!$L$80-0))+1))))</f>
        <v/>
      </c>
      <c r="AB80" t="n">
        <v>1</v>
      </c>
      <c r="AC80">
        <f>IF(Vu_khi!$AG$80,INDEX(Bang_danh_noc!$C$2:$C$8,MIN(7,MAX(1,2-(Vu_khi!$L$80-2)+1))),INDEX(Bang_xuyen_giap!$C$2:$C$8,MIN(7,MAX(1,IF($O$80,MAX(1,2-(Vu_khi!$L$80-2)),2-(Vu_khi!$L$80-2))+1))))</f>
        <v/>
      </c>
      <c r="AD80" t="n">
        <v>0.85</v>
      </c>
      <c r="AE80">
        <f>IF(Vu_khi!$AG$80,INDEX(Bang_danh_noc!$C$2:$C$8,MIN(7,MAX(1,2-(Vu_khi!$L$80-4)+1))),INDEX(Bang_xuyen_giap!$C$2:$C$8,MIN(7,MAX(1,IF($O$80,MAX(1,2-(Vu_khi!$L$80-4)),2-(Vu_khi!$L$80-4))+1))))</f>
        <v/>
      </c>
      <c r="AF80" t="n">
        <v>0.4</v>
      </c>
      <c r="AG80">
        <f>INDEX(Bang_xuyen_giap!$C$2:$C$8,MIN(7,MAX(1,MAX(1,2-(Vu_khi!$L$80-0))+1)))</f>
        <v/>
      </c>
      <c r="AH80" t="n">
        <v>1</v>
      </c>
      <c r="AI80">
        <f>IF($Q$80,$M$80*$AA$80*$U$80,0)</f>
        <v/>
      </c>
      <c r="AJ80" t="n">
        <v>24.61218615064769</v>
      </c>
      <c r="AK80">
        <f>IF($Q$80,$M$80*$AC$80*$U$80,0)</f>
        <v/>
      </c>
      <c r="AL80" t="n">
        <v>20.92035822805054</v>
      </c>
      <c r="AM80">
        <f>IF($Q$80,$M$80*$AE$80*$U$80,0)</f>
        <v/>
      </c>
      <c r="AN80" t="n">
        <v>9.844874460259076</v>
      </c>
      <c r="AO80">
        <f>IF($Q$80,$M$80*$AC$80*$Y$80,0)</f>
        <v/>
      </c>
      <c r="AP80" t="n">
        <v>33.47257316488086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3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1</v>
      </c>
      <c r="AZ80" t="inlineStr">
        <is>
          <t>ok</t>
        </is>
      </c>
      <c r="BA80" t="inlineStr"/>
      <c r="BB80" t="inlineStr">
        <is>
          <t>Assets/MachineBrigade/Resources/Data/balance.json: weapons[id=grad_rockets] (lớp B trên 01_chien_dau/Vu_khi)</t>
        </is>
      </c>
      <c r="BC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IF(Vu_khi!$AG$81,INDEX(Bang_danh_noc!$C$2:$C$8,MIN(7,MAX(1,2-(Vu_khi!$L$81-0)+1))),INDEX(Bang_xuyen_giap!$C$2:$C$8,MIN(7,MAX(1,IF($O$81,MAX(1,2-(Vu_khi!$L$81-0)),2-(Vu_khi!$L$81-0))+1))))</f>
        <v/>
      </c>
      <c r="AB81" t="n">
        <v>1.2</v>
      </c>
      <c r="AC81">
        <f>IF(Vu_khi!$AG$81,INDEX(Bang_danh_noc!$C$2:$C$8,MIN(7,MAX(1,2-(Vu_khi!$L$81-2)+1))),INDEX(Bang_xuyen_giap!$C$2:$C$8,MIN(7,MAX(1,IF($O$81,MAX(1,2-(Vu_khi!$L$81-2)),2-(Vu_khi!$L$81-2))+1))))</f>
        <v/>
      </c>
      <c r="AD81" t="n">
        <v>0.85</v>
      </c>
      <c r="AE81">
        <f>IF(Vu_khi!$AG$81,INDEX(Bang_danh_noc!$C$2:$C$8,MIN(7,MAX(1,2-(Vu_khi!$L$81-4)+1))),INDEX(Bang_xuyen_giap!$C$2:$C$8,MIN(7,MAX(1,IF($O$81,MAX(1,2-(Vu_khi!$L$81-4)),2-(Vu_khi!$L$81-4))+1))))</f>
        <v/>
      </c>
      <c r="AF81" t="n">
        <v>0.4</v>
      </c>
      <c r="AG81">
        <f>INDEX(Bang_xuyen_giap!$C$2:$C$8,MIN(7,MAX(1,MAX(1,2-(Vu_khi!$L$81-0))+1)))</f>
        <v/>
      </c>
      <c r="AH81" t="n">
        <v>1</v>
      </c>
      <c r="AI81">
        <f>IF($Q$81,$M$81*$AA$81*$U$81,0)</f>
        <v/>
      </c>
      <c r="AJ81" t="n">
        <v>138.9778460188638</v>
      </c>
      <c r="AK81">
        <f>IF($Q$81,$M$81*$AC$81*$U$81,0)</f>
        <v/>
      </c>
      <c r="AL81" t="n">
        <v>98.4426409300285</v>
      </c>
      <c r="AM81">
        <f>IF($Q$81,$M$81*$AE$81*$U$81,0)</f>
        <v/>
      </c>
      <c r="AN81" t="n">
        <v>46.32594867295459</v>
      </c>
      <c r="AO81">
        <f>IF($Q$81,$M$81*$AC$81*$Y$81,0)</f>
        <v/>
      </c>
      <c r="AP81" t="n">
        <v>57.42487387584996</v>
      </c>
      <c r="AQ81">
        <f>IF($S$81,$M$81*$AG$81*$W$81,0)</f>
        <v/>
      </c>
      <c r="AR81" t="n">
        <v>28.95371792059662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1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8.220015</v>
      </c>
      <c r="AZ81" t="inlineStr">
        <is>
          <t>ok</t>
        </is>
      </c>
      <c r="BA81" t="inlineStr"/>
      <c r="BB81" t="inlineStr">
        <is>
          <t>Assets/MachineBrigade/Resources/Data/balance.json: weapons[id=gsh_23v] (lớp B trên 01_chien_dau/Vu_khi)</t>
        </is>
      </c>
      <c r="BC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IF(Vu_khi!$AG$82,INDEX(Bang_danh_noc!$C$2:$C$8,MIN(7,MAX(1,2-(Vu_khi!$L$82-0)+1))),INDEX(Bang_xuyen_giap!$C$2:$C$8,MIN(7,MAX(1,IF($O$82,MAX(1,2-(Vu_khi!$L$82-0)),2-(Vu_khi!$L$82-0))+1))))</f>
        <v/>
      </c>
      <c r="AB82" t="n">
        <v>1.15</v>
      </c>
      <c r="AC82">
        <f>IF(Vu_khi!$AG$82,INDEX(Bang_danh_noc!$C$2:$C$8,MIN(7,MAX(1,2-(Vu_khi!$L$82-2)+1))),INDEX(Bang_xuyen_giap!$C$2:$C$8,MIN(7,MAX(1,IF($O$82,MAX(1,2-(Vu_khi!$L$82-2)),2-(Vu_khi!$L$82-2))+1))))</f>
        <v/>
      </c>
      <c r="AD82" t="n">
        <v>1.1</v>
      </c>
      <c r="AE82">
        <f>IF(Vu_khi!$AG$82,INDEX(Bang_danh_noc!$C$2:$C$8,MIN(7,MAX(1,2-(Vu_khi!$L$82-4)+1))),INDEX(Bang_xuyen_giap!$C$2:$C$8,MIN(7,MAX(1,IF($O$82,MAX(1,2-(Vu_khi!$L$82-4)),2-(Vu_khi!$L$82-4))+1))))</f>
        <v/>
      </c>
      <c r="AF82" t="n">
        <v>0.75</v>
      </c>
      <c r="AG82">
        <f>INDEX(Bang_xuyen_giap!$C$2:$C$8,MIN(7,MAX(1,MAX(1,2-(Vu_khi!$L$82-0))+1)))</f>
        <v/>
      </c>
      <c r="AH82" t="n">
        <v>1</v>
      </c>
      <c r="AI82">
        <f>IF($Q$82,$M$82*$AA$82*$U$82,0)</f>
        <v/>
      </c>
      <c r="AJ82" t="n">
        <v>43.22658246880168</v>
      </c>
      <c r="AK82">
        <f>IF($Q$82,$M$82*$AC$82*$U$82,0)</f>
        <v/>
      </c>
      <c r="AL82" t="n">
        <v>41.34716583972335</v>
      </c>
      <c r="AM82">
        <f>IF($Q$82,$M$82*$AE$82*$U$82,0)</f>
        <v/>
      </c>
      <c r="AN82" t="n">
        <v>28.19124943617501</v>
      </c>
      <c r="AO82">
        <f>IF($Q$82,$M$82*$AC$82*$Y$82,0)</f>
        <v/>
      </c>
      <c r="AP82" t="n">
        <v>66.15546534355737</v>
      </c>
      <c r="AQ82">
        <f>IF($S$82,$M$82*$AG$82*$W$82,0)</f>
        <v/>
      </c>
      <c r="AR82" t="n">
        <v>0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inlineStr"/>
      <c r="AZ82" t="inlineStr">
        <is>
          <t>ok</t>
        </is>
      </c>
      <c r="BA82" t="inlineStr"/>
      <c r="BB82" t="inlineStr">
        <is>
          <t>Assets/MachineBrigade/Resources/Data/balance.json: weapons[id=guided_bomb] (lớp B trên 01_chien_dau/Vu_khi)</t>
        </is>
      </c>
      <c r="BC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IF(Vu_khi!$AG$83,INDEX(Bang_danh_noc!$C$2:$C$8,MIN(7,MAX(1,2-(Vu_khi!$L$83-0)+1))),INDEX(Bang_xuyen_giap!$C$2:$C$8,MIN(7,MAX(1,IF($O$83,MAX(1,2-(Vu_khi!$L$83-0)),2-(Vu_khi!$L$83-0))+1))))</f>
        <v/>
      </c>
      <c r="AB83" t="n">
        <v>1.2</v>
      </c>
      <c r="AC83">
        <f>IF(Vu_khi!$AG$83,INDEX(Bang_danh_noc!$C$2:$C$8,MIN(7,MAX(1,2-(Vu_khi!$L$83-2)+1))),INDEX(Bang_xuyen_giap!$C$2:$C$8,MIN(7,MAX(1,IF($O$83,MAX(1,2-(Vu_khi!$L$83-2)),2-(Vu_khi!$L$83-2))+1))))</f>
        <v/>
      </c>
      <c r="AD83" t="n">
        <v>0.85</v>
      </c>
      <c r="AE83">
        <f>IF(Vu_khi!$AG$83,INDEX(Bang_danh_noc!$C$2:$C$8,MIN(7,MAX(1,2-(Vu_khi!$L$83-4)+1))),INDEX(Bang_xuyen_giap!$C$2:$C$8,MIN(7,MAX(1,IF($O$83,MAX(1,2-(Vu_khi!$L$83-4)),2-(Vu_khi!$L$83-4))+1))))</f>
        <v/>
      </c>
      <c r="AF83" t="n">
        <v>0.4</v>
      </c>
      <c r="AG83">
        <f>INDEX(Bang_xuyen_giap!$C$2:$C$8,MIN(7,MAX(1,MAX(1,2-(Vu_khi!$L$83-0))+1)))</f>
        <v/>
      </c>
      <c r="AH83" t="n">
        <v>1</v>
      </c>
      <c r="AI83">
        <f>IF($Q$83,$M$83*$AA$83*$U$83,0)</f>
        <v/>
      </c>
      <c r="AJ83" t="n">
        <v>0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IF($Q$83,$M$83*$AC$83*$Y$83,0)</f>
        <v/>
      </c>
      <c r="AP83" t="n">
        <v>0</v>
      </c>
      <c r="AQ83">
        <f>IF($S$83,$M$83*$AG$83*$W$83,0)</f>
        <v/>
      </c>
      <c r="AR83" t="n">
        <v>115.7142857142857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1.633333</v>
      </c>
      <c r="AZ83" t="inlineStr">
        <is>
          <t>ok</t>
        </is>
      </c>
      <c r="BA83" t="inlineStr"/>
      <c r="BB83" t="inlineStr">
        <is>
          <t>Assets/MachineBrigade/Resources/Data/balance.json: weapons[id=gun_57_air] (lớp B trên 01_chien_dau/Vu_khi)</t>
        </is>
      </c>
      <c r="BC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IF(Vu_khi!$AG$84,INDEX(Bang_danh_noc!$C$2:$C$8,MIN(7,MAX(1,2-(Vu_khi!$L$84-0)+1))),INDEX(Bang_xuyen_giap!$C$2:$C$8,MIN(7,MAX(1,IF($O$84,MAX(1,2-(Vu_khi!$L$84-0)),2-(Vu_khi!$L$84-0))+1))))</f>
        <v/>
      </c>
      <c r="AB84" t="n">
        <v>1.2</v>
      </c>
      <c r="AC84">
        <f>IF(Vu_khi!$AG$84,INDEX(Bang_danh_noc!$C$2:$C$8,MIN(7,MAX(1,2-(Vu_khi!$L$84-2)+1))),INDEX(Bang_xuyen_giap!$C$2:$C$8,MIN(7,MAX(1,IF($O$84,MAX(1,2-(Vu_khi!$L$84-2)),2-(Vu_khi!$L$84-2))+1))))</f>
        <v/>
      </c>
      <c r="AD84" t="n">
        <v>0.85</v>
      </c>
      <c r="AE84">
        <f>IF(Vu_khi!$AG$84,INDEX(Bang_danh_noc!$C$2:$C$8,MIN(7,MAX(1,2-(Vu_khi!$L$84-4)+1))),INDEX(Bang_xuyen_giap!$C$2:$C$8,MIN(7,MAX(1,IF($O$84,MAX(1,2-(Vu_khi!$L$84-4)),2-(Vu_khi!$L$84-4))+1))))</f>
        <v/>
      </c>
      <c r="AF84" t="n">
        <v>0.4</v>
      </c>
      <c r="AG84">
        <f>INDEX(Bang_xuyen_giap!$C$2:$C$8,MIN(7,MAX(1,MAX(1,2-(Vu_khi!$L$84-0))+1)))</f>
        <v/>
      </c>
      <c r="AH84" t="n">
        <v>1</v>
      </c>
      <c r="AI84">
        <f>IF($Q$84,$M$84*$AA$84*$U$84,0)</f>
        <v/>
      </c>
      <c r="AJ84" t="n">
        <v>112</v>
      </c>
      <c r="AK84">
        <f>IF($Q$84,$M$84*$AC$84*$U$84,0)</f>
        <v/>
      </c>
      <c r="AL84" t="n">
        <v>79.33333333333333</v>
      </c>
      <c r="AM84">
        <f>IF($Q$84,$M$84*$AE$84*$U$84,0)</f>
        <v/>
      </c>
      <c r="AN84" t="n">
        <v>37.33333333333333</v>
      </c>
      <c r="AO84">
        <f>IF($Q$84,$M$84*$AC$84*$Y$84,0)</f>
        <v/>
      </c>
      <c r="AP84" t="n">
        <v>46.27777777777777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1.8</v>
      </c>
      <c r="AZ84" t="inlineStr">
        <is>
          <t>ok</t>
        </is>
      </c>
      <c r="BA84" t="inlineStr"/>
      <c r="BB84" t="inlineStr">
        <is>
          <t>Assets/MachineBrigade/Resources/Data/balance.json: weapons[id=gun_57_auto] (lớp B trên 01_chien_dau/Vu_khi)</t>
        </is>
      </c>
      <c r="BC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IF(Vu_khi!$AG$85,INDEX(Bang_danh_noc!$C$2:$C$8,MIN(7,MAX(1,2-(Vu_khi!$L$85-0)+1))),INDEX(Bang_xuyen_giap!$C$2:$C$8,MIN(7,MAX(1,IF($O$85,MAX(1,2-(Vu_khi!$L$85-0)),2-(Vu_khi!$L$85-0))+1))))</f>
        <v/>
      </c>
      <c r="AB85" t="n">
        <v>1.2</v>
      </c>
      <c r="AC85">
        <f>IF(Vu_khi!$AG$85,INDEX(Bang_danh_noc!$C$2:$C$8,MIN(7,MAX(1,2-(Vu_khi!$L$85-2)+1))),INDEX(Bang_xuyen_giap!$C$2:$C$8,MIN(7,MAX(1,IF($O$85,MAX(1,2-(Vu_khi!$L$85-2)),2-(Vu_khi!$L$85-2))+1))))</f>
        <v/>
      </c>
      <c r="AD85" t="n">
        <v>0.85</v>
      </c>
      <c r="AE85">
        <f>IF(Vu_khi!$AG$85,INDEX(Bang_danh_noc!$C$2:$C$8,MIN(7,MAX(1,2-(Vu_khi!$L$85-4)+1))),INDEX(Bang_xuyen_giap!$C$2:$C$8,MIN(7,MAX(1,IF($O$85,MAX(1,2-(Vu_khi!$L$85-4)),2-(Vu_khi!$L$85-4))+1))))</f>
        <v/>
      </c>
      <c r="AF85" t="n">
        <v>0.4</v>
      </c>
      <c r="AG85">
        <f>INDEX(Bang_xuyen_giap!$C$2:$C$8,MIN(7,MAX(1,MAX(1,2-(Vu_khi!$L$85-0))+1)))</f>
        <v/>
      </c>
      <c r="AH85" t="n">
        <v>1</v>
      </c>
      <c r="AI85">
        <f>IF($Q$85,$M$85*$AA$85*$U$85,0)</f>
        <v/>
      </c>
      <c r="AJ85" t="n">
        <v>49.27671488567428</v>
      </c>
      <c r="AK85">
        <f>IF($Q$85,$M$85*$AC$85*$U$85,0)</f>
        <v/>
      </c>
      <c r="AL85" t="n">
        <v>34.90433971068595</v>
      </c>
      <c r="AM85">
        <f>IF($Q$85,$M$85*$AE$85*$U$85,0)</f>
        <v/>
      </c>
      <c r="AN85" t="n">
        <v>16.42557162855809</v>
      </c>
      <c r="AO85">
        <f>IF($Q$85,$M$85*$AC$85*$Y$85,0)</f>
        <v/>
      </c>
      <c r="AP85" t="n">
        <v>20.36086483123347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n">
        <v>6.429</v>
      </c>
      <c r="AZ85" t="inlineStr">
        <is>
          <t>CHAM_QUA;LECH_DOT_1</t>
        </is>
      </c>
      <c r="BA85" t="inlineStr"/>
      <c r="BB85" t="inlineStr">
        <is>
          <t>Assets/MachineBrigade/Resources/Data/balance.json: weapons[id=gun_57mm] (lớp B trên 01_chien_dau/Vu_khi)</t>
        </is>
      </c>
      <c r="BC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IF(Vu_khi!$AG$86,INDEX(Bang_danh_noc!$C$2:$C$8,MIN(7,MAX(1,2-(Vu_khi!$L$86-0)+1))),INDEX(Bang_xuyen_giap!$C$2:$C$8,MIN(7,MAX(1,IF($O$86,MAX(1,2-(Vu_khi!$L$86-0)),2-(Vu_khi!$L$86-0))+1))))</f>
        <v/>
      </c>
      <c r="AB86" t="n">
        <v>1.2</v>
      </c>
      <c r="AC86">
        <f>IF(Vu_khi!$AG$86,INDEX(Bang_danh_noc!$C$2:$C$8,MIN(7,MAX(1,2-(Vu_khi!$L$86-2)+1))),INDEX(Bang_xuyen_giap!$C$2:$C$8,MIN(7,MAX(1,IF($O$86,MAX(1,2-(Vu_khi!$L$86-2)),2-(Vu_khi!$L$86-2))+1))))</f>
        <v/>
      </c>
      <c r="AD86" t="n">
        <v>0.85</v>
      </c>
      <c r="AE86">
        <f>IF(Vu_khi!$AG$86,INDEX(Bang_danh_noc!$C$2:$C$8,MIN(7,MAX(1,2-(Vu_khi!$L$86-4)+1))),INDEX(Bang_xuyen_giap!$C$2:$C$8,MIN(7,MAX(1,IF($O$86,MAX(1,2-(Vu_khi!$L$86-4)),2-(Vu_khi!$L$86-4))+1))))</f>
        <v/>
      </c>
      <c r="AF86" t="n">
        <v>0.4</v>
      </c>
      <c r="AG86">
        <f>INDEX(Bang_xuyen_giap!$C$2:$C$8,MIN(7,MAX(1,MAX(1,2-(Vu_khi!$L$86-0))+1)))</f>
        <v/>
      </c>
      <c r="AH86" t="n">
        <v>1</v>
      </c>
      <c r="AI86">
        <f>IF($Q$86,$M$86*$AA$86*$U$86,0)</f>
        <v/>
      </c>
      <c r="AJ86" t="n">
        <v>41.06392907139524</v>
      </c>
      <c r="AK86">
        <f>IF($Q$86,$M$86*$AC$86*$U$86,0)</f>
        <v/>
      </c>
      <c r="AL86" t="n">
        <v>29.08694975890496</v>
      </c>
      <c r="AM86">
        <f>IF($Q$86,$M$86*$AE$86*$U$86,0)</f>
        <v/>
      </c>
      <c r="AN86" t="n">
        <v>13.68797635713175</v>
      </c>
      <c r="AO86">
        <f>IF($Q$86,$M$86*$AC$86*$Y$86,0)</f>
        <v/>
      </c>
      <c r="AP86" t="n">
        <v>46.53911961424794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BB86" t="inlineStr">
        <is>
          <t>Assets/MachineBrigade/Resources/Data/balance.json: weapons[id=gun_57mm_he] (lớp B trên 01_chien_dau/Vu_khi)</t>
        </is>
      </c>
      <c r="BC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IF(Vu_khi!$AG$87,INDEX(Bang_danh_noc!$C$2:$C$8,MIN(7,MAX(1,2-(Vu_khi!$L$87-0)+1))),INDEX(Bang_xuyen_giap!$C$2:$C$8,MIN(7,MAX(1,IF($O$87,MAX(1,2-(Vu_khi!$L$87-0)),2-(Vu_khi!$L$87-0))+1))))</f>
        <v/>
      </c>
      <c r="AB87" t="n">
        <v>1.2</v>
      </c>
      <c r="AC87">
        <f>IF(Vu_khi!$AG$87,INDEX(Bang_danh_noc!$C$2:$C$8,MIN(7,MAX(1,2-(Vu_khi!$L$87-2)+1))),INDEX(Bang_xuyen_giap!$C$2:$C$8,MIN(7,MAX(1,IF($O$87,MAX(1,2-(Vu_khi!$L$87-2)),2-(Vu_khi!$L$87-2))+1))))</f>
        <v/>
      </c>
      <c r="AD87" t="n">
        <v>0.85</v>
      </c>
      <c r="AE87">
        <f>IF(Vu_khi!$AG$87,INDEX(Bang_danh_noc!$C$2:$C$8,MIN(7,MAX(1,2-(Vu_khi!$L$87-4)+1))),INDEX(Bang_xuyen_giap!$C$2:$C$8,MIN(7,MAX(1,IF($O$87,MAX(1,2-(Vu_khi!$L$87-4)),2-(Vu_khi!$L$87-4))+1))))</f>
        <v/>
      </c>
      <c r="AF87" t="n">
        <v>0.4</v>
      </c>
      <c r="AG87">
        <f>INDEX(Bang_xuyen_giap!$C$2:$C$8,MIN(7,MAX(1,MAX(1,2-(Vu_khi!$L$87-0))+1)))</f>
        <v/>
      </c>
      <c r="AH87" t="n">
        <v>1</v>
      </c>
      <c r="AI87">
        <f>IF($Q$87,$M$87*$AA$87*$U$87,0)</f>
        <v/>
      </c>
      <c r="AJ87" t="n">
        <v>64.11572561829212</v>
      </c>
      <c r="AK87">
        <f>IF($Q$87,$M$87*$AC$87*$U$87,0)</f>
        <v/>
      </c>
      <c r="AL87" t="n">
        <v>45.41530564629025</v>
      </c>
      <c r="AM87">
        <f>IF($Q$87,$M$87*$AE$87*$U$87,0)</f>
        <v/>
      </c>
      <c r="AN87" t="n">
        <v>21.37190853943071</v>
      </c>
      <c r="AO87">
        <f>IF($Q$87,$M$87*$AC$87*$Y$87,0)</f>
        <v/>
      </c>
      <c r="AP87" t="n">
        <v>72.6644890340644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4.000267</v>
      </c>
      <c r="AZ87" t="inlineStr">
        <is>
          <t>CHAM_QUA</t>
        </is>
      </c>
      <c r="BA87" t="inlineStr"/>
      <c r="BB87" t="inlineStr">
        <is>
          <t>Assets/MachineBrigade/Resources/Data/balance.json: weapons[id=gun_100_river] (lớp B trên 01_chien_dau/Vu_khi)</t>
        </is>
      </c>
      <c r="BC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IF(Vu_khi!$AG$88,INDEX(Bang_danh_noc!$C$2:$C$8,MIN(7,MAX(1,2-(Vu_khi!$L$88-0)+1))),INDEX(Bang_xuyen_giap!$C$2:$C$8,MIN(7,MAX(1,IF($O$88,MAX(1,2-(Vu_khi!$L$88-0)),2-(Vu_khi!$L$88-0))+1))))</f>
        <v/>
      </c>
      <c r="AB88" t="n">
        <v>1.2</v>
      </c>
      <c r="AC88">
        <f>IF(Vu_khi!$AG$88,INDEX(Bang_danh_noc!$C$2:$C$8,MIN(7,MAX(1,2-(Vu_khi!$L$88-2)+1))),INDEX(Bang_xuyen_giap!$C$2:$C$8,MIN(7,MAX(1,IF($O$88,MAX(1,2-(Vu_khi!$L$88-2)),2-(Vu_khi!$L$88-2))+1))))</f>
        <v/>
      </c>
      <c r="AD88" t="n">
        <v>1.2</v>
      </c>
      <c r="AE88">
        <f>IF(Vu_khi!$AG$88,INDEX(Bang_danh_noc!$C$2:$C$8,MIN(7,MAX(1,2-(Vu_khi!$L$88-4)+1))),INDEX(Bang_xuyen_giap!$C$2:$C$8,MIN(7,MAX(1,IF($O$88,MAX(1,2-(Vu_khi!$L$88-4)),2-(Vu_khi!$L$88-4))+1))))</f>
        <v/>
      </c>
      <c r="AF88" t="n">
        <v>1</v>
      </c>
      <c r="AG88">
        <f>INDEX(Bang_xuyen_giap!$C$2:$C$8,MIN(7,MAX(1,MAX(1,2-(Vu_khi!$L$88-0))+1)))</f>
        <v/>
      </c>
      <c r="AH88" t="n">
        <v>1</v>
      </c>
      <c r="AI88">
        <f>IF($Q$88,$M$88*$AA$88*$U$88,0)</f>
        <v/>
      </c>
      <c r="AJ88" t="n">
        <v>95.69048898441697</v>
      </c>
      <c r="AK88">
        <f>IF($Q$88,$M$88*$AC$88*$U$88,0)</f>
        <v/>
      </c>
      <c r="AL88" t="n">
        <v>95.69048898441697</v>
      </c>
      <c r="AM88">
        <f>IF($Q$88,$M$88*$AE$88*$U$88,0)</f>
        <v/>
      </c>
      <c r="AN88" t="n">
        <v>79.7420741536808</v>
      </c>
      <c r="AO88">
        <f>IF($Q$88,$M$88*$AC$88*$Y$88,0)</f>
        <v/>
      </c>
      <c r="AP88" t="n">
        <v>55.81945190757656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n">
        <v>0.455945</v>
      </c>
      <c r="AZ88" t="inlineStr">
        <is>
          <t>NHANH_QUA;LECH_DOT_1</t>
        </is>
      </c>
      <c r="BA88" t="inlineStr"/>
      <c r="BB88" t="inlineStr">
        <is>
          <t>Assets/MachineBrigade/Resources/Data/balance.json: weapons[id=gun_105_apfsds] (lớp B trên 01_chien_dau/Vu_khi)</t>
        </is>
      </c>
      <c r="BC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IF(Vu_khi!$AG$89,INDEX(Bang_danh_noc!$C$2:$C$8,MIN(7,MAX(1,2-(Vu_khi!$L$89-0)+1))),INDEX(Bang_xuyen_giap!$C$2:$C$8,MIN(7,MAX(1,IF($O$89,MAX(1,2-(Vu_khi!$L$89-0)),2-(Vu_khi!$L$89-0))+1))))</f>
        <v/>
      </c>
      <c r="AB89" t="n">
        <v>1.2</v>
      </c>
      <c r="AC89">
        <f>IF(Vu_khi!$AG$89,INDEX(Bang_danh_noc!$C$2:$C$8,MIN(7,MAX(1,2-(Vu_khi!$L$89-2)+1))),INDEX(Bang_xuyen_giap!$C$2:$C$8,MIN(7,MAX(1,IF($O$89,MAX(1,2-(Vu_khi!$L$89-2)),2-(Vu_khi!$L$89-2))+1))))</f>
        <v/>
      </c>
      <c r="AD89" t="n">
        <v>0.85</v>
      </c>
      <c r="AE89">
        <f>IF(Vu_khi!$AG$89,INDEX(Bang_danh_noc!$C$2:$C$8,MIN(7,MAX(1,2-(Vu_khi!$L$89-4)+1))),INDEX(Bang_xuyen_giap!$C$2:$C$8,MIN(7,MAX(1,IF($O$89,MAX(1,2-(Vu_khi!$L$89-4)),2-(Vu_khi!$L$89-4))+1))))</f>
        <v/>
      </c>
      <c r="AF89" t="n">
        <v>0.4</v>
      </c>
      <c r="AG89">
        <f>INDEX(Bang_xuyen_giap!$C$2:$C$8,MIN(7,MAX(1,MAX(1,2-(Vu_khi!$L$89-0))+1)))</f>
        <v/>
      </c>
      <c r="AH89" t="n">
        <v>1</v>
      </c>
      <c r="AI89">
        <f>IF($Q$89,$M$89*$AA$89*$U$89,0)</f>
        <v/>
      </c>
      <c r="AJ89" t="n">
        <v>79.7420741536808</v>
      </c>
      <c r="AK89">
        <f>IF($Q$89,$M$89*$AC$89*$U$89,0)</f>
        <v/>
      </c>
      <c r="AL89" t="n">
        <v>56.48396919219057</v>
      </c>
      <c r="AM89">
        <f>IF($Q$89,$M$89*$AE$89*$U$89,0)</f>
        <v/>
      </c>
      <c r="AN89" t="n">
        <v>26.58069138456027</v>
      </c>
      <c r="AO89">
        <f>IF($Q$89,$M$89*$AC$89*$Y$89,0)</f>
        <v/>
      </c>
      <c r="AP89" t="n">
        <v>90.37435070750493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3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BB89" t="inlineStr">
        <is>
          <t>Assets/MachineBrigade/Resources/Data/balance.json: weapons[id=gun_105_apfsds_he] (lớp B trên 01_chien_dau/Vu_khi)</t>
        </is>
      </c>
      <c r="BC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IF(Vu_khi!$AG$90,INDEX(Bang_danh_noc!$C$2:$C$8,MIN(7,MAX(1,2-(Vu_khi!$L$90-0)+1))),INDEX(Bang_xuyen_giap!$C$2:$C$8,MIN(7,MAX(1,IF($O$90,MAX(1,2-(Vu_khi!$L$90-0)),2-(Vu_khi!$L$90-0))+1))))</f>
        <v/>
      </c>
      <c r="AB90" t="n">
        <v>1.2</v>
      </c>
      <c r="AC90">
        <f>IF(Vu_khi!$AG$90,INDEX(Bang_danh_noc!$C$2:$C$8,MIN(7,MAX(1,2-(Vu_khi!$L$90-2)+1))),INDEX(Bang_xuyen_giap!$C$2:$C$8,MIN(7,MAX(1,IF($O$90,MAX(1,2-(Vu_khi!$L$90-2)),2-(Vu_khi!$L$90-2))+1))))</f>
        <v/>
      </c>
      <c r="AD90" t="n">
        <v>1</v>
      </c>
      <c r="AE90">
        <f>IF(Vu_khi!$AG$90,INDEX(Bang_danh_noc!$C$2:$C$8,MIN(7,MAX(1,2-(Vu_khi!$L$90-4)+1))),INDEX(Bang_xuyen_giap!$C$2:$C$8,MIN(7,MAX(1,IF($O$90,MAX(1,2-(Vu_khi!$L$90-4)),2-(Vu_khi!$L$90-4))+1))))</f>
        <v/>
      </c>
      <c r="AF90" t="n">
        <v>0.65</v>
      </c>
      <c r="AG90">
        <f>INDEX(Bang_xuyen_giap!$C$2:$C$8,MIN(7,MAX(1,MAX(1,2-(Vu_khi!$L$90-0))+1)))</f>
        <v/>
      </c>
      <c r="AH90" t="n">
        <v>1</v>
      </c>
      <c r="AI90">
        <f>IF($Q$90,$M$90*$AA$90*$U$90,0)</f>
        <v/>
      </c>
      <c r="AJ90" t="n">
        <v>79.36507936507937</v>
      </c>
      <c r="AK90">
        <f>IF($Q$90,$M$90*$AC$90*$U$90,0)</f>
        <v/>
      </c>
      <c r="AL90" t="n">
        <v>66.13756613756614</v>
      </c>
      <c r="AM90">
        <f>IF($Q$90,$M$90*$AE$90*$U$90,0)</f>
        <v/>
      </c>
      <c r="AN90" t="n">
        <v>42.98941798941799</v>
      </c>
      <c r="AO90">
        <f>IF($Q$90,$M$90*$AC$90*$Y$90,0)</f>
        <v/>
      </c>
      <c r="AP90" t="n">
        <v>38.58024691358025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n">
        <v>0.5292</v>
      </c>
      <c r="AZ90" t="inlineStr">
        <is>
          <t>NHANH_QUA</t>
        </is>
      </c>
      <c r="BA90" t="inlineStr"/>
      <c r="BB90" t="inlineStr">
        <is>
          <t>Assets/MachineBrigade/Resources/Data/balance.json: weapons[id=gun_105_bunker] (lớp B trên 01_chien_dau/Vu_khi)</t>
        </is>
      </c>
      <c r="BC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IF(Vu_khi!$AG$91,INDEX(Bang_danh_noc!$C$2:$C$8,MIN(7,MAX(1,2-(Vu_khi!$L$91-0)+1))),INDEX(Bang_xuyen_giap!$C$2:$C$8,MIN(7,MAX(1,IF($O$91,MAX(1,2-(Vu_khi!$L$91-0)),2-(Vu_khi!$L$91-0))+1))))</f>
        <v/>
      </c>
      <c r="AB91" t="n">
        <v>1.2</v>
      </c>
      <c r="AC91">
        <f>IF(Vu_khi!$AG$91,INDEX(Bang_danh_noc!$C$2:$C$8,MIN(7,MAX(1,2-(Vu_khi!$L$91-2)+1))),INDEX(Bang_xuyen_giap!$C$2:$C$8,MIN(7,MAX(1,IF($O$91,MAX(1,2-(Vu_khi!$L$91-2)),2-(Vu_khi!$L$91-2))+1))))</f>
        <v/>
      </c>
      <c r="AD91" t="n">
        <v>0.85</v>
      </c>
      <c r="AE91">
        <f>IF(Vu_khi!$AG$91,INDEX(Bang_danh_noc!$C$2:$C$8,MIN(7,MAX(1,2-(Vu_khi!$L$91-4)+1))),INDEX(Bang_xuyen_giap!$C$2:$C$8,MIN(7,MAX(1,IF($O$91,MAX(1,2-(Vu_khi!$L$91-4)),2-(Vu_khi!$L$91-4))+1))))</f>
        <v/>
      </c>
      <c r="AF91" t="n">
        <v>0.4</v>
      </c>
      <c r="AG91">
        <f>INDEX(Bang_xuyen_giap!$C$2:$C$8,MIN(7,MAX(1,MAX(1,2-(Vu_khi!$L$91-0))+1)))</f>
        <v/>
      </c>
      <c r="AH91" t="n">
        <v>1</v>
      </c>
      <c r="AI91">
        <f>IF($Q$91,$M$91*$AA$91*$U$91,0)</f>
        <v/>
      </c>
      <c r="AJ91" t="n">
        <v>79.36507936507937</v>
      </c>
      <c r="AK91">
        <f>IF($Q$91,$M$91*$AC$91*$U$91,0)</f>
        <v/>
      </c>
      <c r="AL91" t="n">
        <v>56.21693121693121</v>
      </c>
      <c r="AM91">
        <f>IF($Q$91,$M$91*$AE$91*$U$91,0)</f>
        <v/>
      </c>
      <c r="AN91" t="n">
        <v>26.45502645502646</v>
      </c>
      <c r="AO91">
        <f>IF($Q$91,$M$91*$AC$91*$Y$91,0)</f>
        <v/>
      </c>
      <c r="AP91" t="n">
        <v>89.94708994708995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2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BB91" t="inlineStr">
        <is>
          <t>Assets/MachineBrigade/Resources/Data/balance.json: weapons[id=gun_105_bunker_he] (lớp B trên 01_chien_dau/Vu_khi)</t>
        </is>
      </c>
      <c r="BC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IF(Vu_khi!$AG$92,INDEX(Bang_danh_noc!$C$2:$C$8,MIN(7,MAX(1,2-(Vu_khi!$L$92-0)+1))),INDEX(Bang_xuyen_giap!$C$2:$C$8,MIN(7,MAX(1,IF($O$92,MAX(1,2-(Vu_khi!$L$92-0)),2-(Vu_khi!$L$92-0))+1))))</f>
        <v/>
      </c>
      <c r="AB92" t="n">
        <v>1.2</v>
      </c>
      <c r="AC92">
        <f>IF(Vu_khi!$AG$92,INDEX(Bang_danh_noc!$C$2:$C$8,MIN(7,MAX(1,2-(Vu_khi!$L$92-2)+1))),INDEX(Bang_xuyen_giap!$C$2:$C$8,MIN(7,MAX(1,IF($O$92,MAX(1,2-(Vu_khi!$L$92-2)),2-(Vu_khi!$L$92-2))+1))))</f>
        <v/>
      </c>
      <c r="AD92" t="n">
        <v>1.2</v>
      </c>
      <c r="AE92">
        <f>IF(Vu_khi!$AG$92,INDEX(Bang_danh_noc!$C$2:$C$8,MIN(7,MAX(1,2-(Vu_khi!$L$92-4)+1))),INDEX(Bang_xuyen_giap!$C$2:$C$8,MIN(7,MAX(1,IF($O$92,MAX(1,2-(Vu_khi!$L$92-4)),2-(Vu_khi!$L$92-4))+1))))</f>
        <v/>
      </c>
      <c r="AF92" t="n">
        <v>0.85</v>
      </c>
      <c r="AG92">
        <f>INDEX(Bang_xuyen_giap!$C$2:$C$8,MIN(7,MAX(1,MAX(1,2-(Vu_khi!$L$92-0))+1)))</f>
        <v/>
      </c>
      <c r="AH92" t="n">
        <v>1</v>
      </c>
      <c r="AI92">
        <f>IF($Q$92,$M$92*$AA$92*$U$92,0)</f>
        <v/>
      </c>
      <c r="AJ92" t="n">
        <v>112.1881562368753</v>
      </c>
      <c r="AK92">
        <f>IF($Q$92,$M$92*$AC$92*$U$92,0)</f>
        <v/>
      </c>
      <c r="AL92" t="n">
        <v>112.1881562368753</v>
      </c>
      <c r="AM92">
        <f>IF($Q$92,$M$92*$AE$92*$U$92,0)</f>
        <v/>
      </c>
      <c r="AN92" t="n">
        <v>79.46661066778665</v>
      </c>
      <c r="AO92">
        <f>IF($Q$92,$M$92*$AC$92*$Y$92,0)</f>
        <v/>
      </c>
      <c r="AP92" t="n">
        <v>65.44309113817724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AY92" t="n">
        <v>0.388897</v>
      </c>
      <c r="AZ92" t="inlineStr">
        <is>
          <t>NHANH_QUA;LECH_DOT_1</t>
        </is>
      </c>
      <c r="BA92" t="inlineStr"/>
      <c r="BB92" t="inlineStr">
        <is>
          <t>Assets/MachineBrigade/Resources/Data/balance.json: weapons[id=gun_105_long] (lớp B trên 01_chien_dau/Vu_khi)</t>
        </is>
      </c>
      <c r="BC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IF(Vu_khi!$AG$93,INDEX(Bang_danh_noc!$C$2:$C$8,MIN(7,MAX(1,2-(Vu_khi!$L$93-0)+1))),INDEX(Bang_xuyen_giap!$C$2:$C$8,MIN(7,MAX(1,IF($O$93,MAX(1,2-(Vu_khi!$L$93-0)),2-(Vu_khi!$L$93-0))+1))))</f>
        <v/>
      </c>
      <c r="AB93" t="n">
        <v>1.2</v>
      </c>
      <c r="AC93">
        <f>IF(Vu_khi!$AG$93,INDEX(Bang_danh_noc!$C$2:$C$8,MIN(7,MAX(1,2-(Vu_khi!$L$93-2)+1))),INDEX(Bang_xuyen_giap!$C$2:$C$8,MIN(7,MAX(1,IF($O$93,MAX(1,2-(Vu_khi!$L$93-2)),2-(Vu_khi!$L$93-2))+1))))</f>
        <v/>
      </c>
      <c r="AD93" t="n">
        <v>0.85</v>
      </c>
      <c r="AE93">
        <f>IF(Vu_khi!$AG$93,INDEX(Bang_danh_noc!$C$2:$C$8,MIN(7,MAX(1,2-(Vu_khi!$L$93-4)+1))),INDEX(Bang_xuyen_giap!$C$2:$C$8,MIN(7,MAX(1,IF($O$93,MAX(1,2-(Vu_khi!$L$93-4)),2-(Vu_khi!$L$93-4))+1))))</f>
        <v/>
      </c>
      <c r="AF93" t="n">
        <v>0.4</v>
      </c>
      <c r="AG93">
        <f>INDEX(Bang_xuyen_giap!$C$2:$C$8,MIN(7,MAX(1,MAX(1,2-(Vu_khi!$L$93-0))+1)))</f>
        <v/>
      </c>
      <c r="AH93" t="n">
        <v>1</v>
      </c>
      <c r="AI93">
        <f>IF($Q$93,$M$93*$AA$93*$U$93,0)</f>
        <v/>
      </c>
      <c r="AJ93" t="n">
        <v>93.49013019739606</v>
      </c>
      <c r="AK93">
        <f>IF($Q$93,$M$93*$AC$93*$U$93,0)</f>
        <v/>
      </c>
      <c r="AL93" t="n">
        <v>66.22217555648888</v>
      </c>
      <c r="AM93">
        <f>IF($Q$93,$M$93*$AE$93*$U$93,0)</f>
        <v/>
      </c>
      <c r="AN93" t="n">
        <v>31.16337673246536</v>
      </c>
      <c r="AO93">
        <f>IF($Q$93,$M$93*$AC$93*$Y$93,0)</f>
        <v/>
      </c>
      <c r="AP93" t="n">
        <v>105.9554808903822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BB93" t="inlineStr">
        <is>
          <t>Assets/MachineBrigade/Resources/Data/balance.json: weapons[id=gun_105_long_he] (lớp B trên 01_chien_dau/Vu_khi)</t>
        </is>
      </c>
      <c r="BC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IF(Vu_khi!$AG$94,INDEX(Bang_danh_noc!$C$2:$C$8,MIN(7,MAX(1,2-(Vu_khi!$L$94-0)+1))),INDEX(Bang_xuyen_giap!$C$2:$C$8,MIN(7,MAX(1,IF($O$94,MAX(1,2-(Vu_khi!$L$94-0)),2-(Vu_khi!$L$94-0))+1))))</f>
        <v/>
      </c>
      <c r="AB94" t="n">
        <v>1.2</v>
      </c>
      <c r="AC94">
        <f>IF(Vu_khi!$AG$94,INDEX(Bang_danh_noc!$C$2:$C$8,MIN(7,MAX(1,2-(Vu_khi!$L$94-2)+1))),INDEX(Bang_xuyen_giap!$C$2:$C$8,MIN(7,MAX(1,IF($O$94,MAX(1,2-(Vu_khi!$L$94-2)),2-(Vu_khi!$L$94-2))+1))))</f>
        <v/>
      </c>
      <c r="AD94" t="n">
        <v>1</v>
      </c>
      <c r="AE94">
        <f>IF(Vu_khi!$AG$94,INDEX(Bang_danh_noc!$C$2:$C$8,MIN(7,MAX(1,2-(Vu_khi!$L$94-4)+1))),INDEX(Bang_xuyen_giap!$C$2:$C$8,MIN(7,MAX(1,IF($O$94,MAX(1,2-(Vu_khi!$L$94-4)),2-(Vu_khi!$L$94-4))+1))))</f>
        <v/>
      </c>
      <c r="AF94" t="n">
        <v>0.65</v>
      </c>
      <c r="AG94">
        <f>INDEX(Bang_xuyen_giap!$C$2:$C$8,MIN(7,MAX(1,MAX(1,2-(Vu_khi!$L$94-0))+1)))</f>
        <v/>
      </c>
      <c r="AH94" t="n">
        <v>1</v>
      </c>
      <c r="AI94">
        <f>IF($Q$94,$M$94*$AA$94*$U$94,0)</f>
        <v/>
      </c>
      <c r="AJ94" t="n">
        <v>106.3693379790941</v>
      </c>
      <c r="AK94">
        <f>IF($Q$94,$M$94*$AC$94*$U$94,0)</f>
        <v/>
      </c>
      <c r="AL94" t="n">
        <v>88.6411149825784</v>
      </c>
      <c r="AM94">
        <f>IF($Q$94,$M$94*$AE$94*$U$94,0)</f>
        <v/>
      </c>
      <c r="AN94" t="n">
        <v>57.61672473867596</v>
      </c>
      <c r="AO94">
        <f>IF($Q$94,$M$94*$AC$94*$Y$94,0)</f>
        <v/>
      </c>
      <c r="AP94" t="n">
        <v>51.70731707317073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2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0.669667</v>
      </c>
      <c r="AZ94" t="inlineStr">
        <is>
          <t>ok</t>
        </is>
      </c>
      <c r="BA94" t="inlineStr"/>
      <c r="BB94" t="inlineStr">
        <is>
          <t>Assets/MachineBrigade/Resources/Data/balance.json: weapons[id=gun_105_twin] (lớp B trên 01_chien_dau/Vu_khi)</t>
        </is>
      </c>
      <c r="BC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IF(Vu_khi!$AG$95,INDEX(Bang_danh_noc!$C$2:$C$8,MIN(7,MAX(1,2-(Vu_khi!$L$95-0)+1))),INDEX(Bang_xuyen_giap!$C$2:$C$8,MIN(7,MAX(1,IF($O$95,MAX(1,2-(Vu_khi!$L$95-0)),2-(Vu_khi!$L$95-0))+1))))</f>
        <v/>
      </c>
      <c r="AB95" t="n">
        <v>1.2</v>
      </c>
      <c r="AC95">
        <f>IF(Vu_khi!$AG$95,INDEX(Bang_danh_noc!$C$2:$C$8,MIN(7,MAX(1,2-(Vu_khi!$L$95-2)+1))),INDEX(Bang_xuyen_giap!$C$2:$C$8,MIN(7,MAX(1,IF($O$95,MAX(1,2-(Vu_khi!$L$95-2)),2-(Vu_khi!$L$95-2))+1))))</f>
        <v/>
      </c>
      <c r="AD95" t="n">
        <v>1.2</v>
      </c>
      <c r="AE95">
        <f>IF(Vu_khi!$AG$95,INDEX(Bang_danh_noc!$C$2:$C$8,MIN(7,MAX(1,2-(Vu_khi!$L$95-4)+1))),INDEX(Bang_xuyen_giap!$C$2:$C$8,MIN(7,MAX(1,IF($O$95,MAX(1,2-(Vu_khi!$L$95-4)),2-(Vu_khi!$L$95-4))+1))))</f>
        <v/>
      </c>
      <c r="AF95" t="n">
        <v>0.85</v>
      </c>
      <c r="AG95">
        <f>INDEX(Bang_xuyen_giap!$C$2:$C$8,MIN(7,MAX(1,MAX(1,2-(Vu_khi!$L$95-0))+1)))</f>
        <v/>
      </c>
      <c r="AH95" t="n">
        <v>1</v>
      </c>
      <c r="AI95">
        <f>IF($Q$95,$M$95*$AA$95*$U$95,0)</f>
        <v/>
      </c>
      <c r="AJ95" t="n">
        <v>100.4271404271404</v>
      </c>
      <c r="AK95">
        <f>IF($Q$95,$M$95*$AC$95*$U$95,0)</f>
        <v/>
      </c>
      <c r="AL95" t="n">
        <v>100.4271404271404</v>
      </c>
      <c r="AM95">
        <f>IF($Q$95,$M$95*$AE$95*$U$95,0)</f>
        <v/>
      </c>
      <c r="AN95" t="n">
        <v>71.13589113589113</v>
      </c>
      <c r="AO95">
        <f>IF($Q$95,$M$95*$AC$95*$Y$95,0)</f>
        <v/>
      </c>
      <c r="AP95" t="n">
        <v>58.58249858249857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n">
        <v>0.493827</v>
      </c>
      <c r="AZ95" t="inlineStr">
        <is>
          <t>NHANH_QUA;LECH_DOT_1</t>
        </is>
      </c>
      <c r="BA95" t="inlineStr"/>
      <c r="BB95" t="inlineStr">
        <is>
          <t>Assets/MachineBrigade/Resources/Data/balance.json: weapons[id=gun_105_wheeled] (lớp B trên 01_chien_dau/Vu_khi)</t>
        </is>
      </c>
      <c r="BC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IF(Vu_khi!$AG$96,INDEX(Bang_danh_noc!$C$2:$C$8,MIN(7,MAX(1,2-(Vu_khi!$L$96-0)+1))),INDEX(Bang_xuyen_giap!$C$2:$C$8,MIN(7,MAX(1,IF($O$96,MAX(1,2-(Vu_khi!$L$96-0)),2-(Vu_khi!$L$96-0))+1))))</f>
        <v/>
      </c>
      <c r="AB96" t="n">
        <v>1.2</v>
      </c>
      <c r="AC96">
        <f>IF(Vu_khi!$AG$96,INDEX(Bang_danh_noc!$C$2:$C$8,MIN(7,MAX(1,2-(Vu_khi!$L$96-2)+1))),INDEX(Bang_xuyen_giap!$C$2:$C$8,MIN(7,MAX(1,IF($O$96,MAX(1,2-(Vu_khi!$L$96-2)),2-(Vu_khi!$L$96-2))+1))))</f>
        <v/>
      </c>
      <c r="AD96" t="n">
        <v>0.85</v>
      </c>
      <c r="AE96">
        <f>IF(Vu_khi!$AG$96,INDEX(Bang_danh_noc!$C$2:$C$8,MIN(7,MAX(1,2-(Vu_khi!$L$96-4)+1))),INDEX(Bang_xuyen_giap!$C$2:$C$8,MIN(7,MAX(1,IF($O$96,MAX(1,2-(Vu_khi!$L$96-4)),2-(Vu_khi!$L$96-4))+1))))</f>
        <v/>
      </c>
      <c r="AF96" t="n">
        <v>0.4</v>
      </c>
      <c r="AG96">
        <f>INDEX(Bang_xuyen_giap!$C$2:$C$8,MIN(7,MAX(1,MAX(1,2-(Vu_khi!$L$96-0))+1)))</f>
        <v/>
      </c>
      <c r="AH96" t="n">
        <v>1</v>
      </c>
      <c r="AI96">
        <f>IF($Q$96,$M$96*$AA$96*$U$96,0)</f>
        <v/>
      </c>
      <c r="AJ96" t="n">
        <v>83.68928368928368</v>
      </c>
      <c r="AK96">
        <f>IF($Q$96,$M$96*$AC$96*$U$96,0)</f>
        <v/>
      </c>
      <c r="AL96" t="n">
        <v>59.27990927990928</v>
      </c>
      <c r="AM96">
        <f>IF($Q$96,$M$96*$AE$96*$U$96,0)</f>
        <v/>
      </c>
      <c r="AN96" t="n">
        <v>27.89642789642789</v>
      </c>
      <c r="AO96">
        <f>IF($Q$96,$M$96*$AC$96*$Y$96,0)</f>
        <v/>
      </c>
      <c r="AP96" t="n">
        <v>94.84785484785485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BB96" t="inlineStr">
        <is>
          <t>Assets/MachineBrigade/Resources/Data/balance.json: weapons[id=gun_105_wheeled_he] (lớp B trên 01_chien_dau/Vu_khi)</t>
        </is>
      </c>
      <c r="BC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IF(Vu_khi!$AG$97,INDEX(Bang_danh_noc!$C$2:$C$8,MIN(7,MAX(1,2-(Vu_khi!$L$97-0)+1))),INDEX(Bang_xuyen_giap!$C$2:$C$8,MIN(7,MAX(1,IF($O$97,MAX(1,2-(Vu_khi!$L$97-0)),2-(Vu_khi!$L$97-0))+1))))</f>
        <v/>
      </c>
      <c r="AB97" t="n">
        <v>1.2</v>
      </c>
      <c r="AC97">
        <f>IF(Vu_khi!$AG$97,INDEX(Bang_danh_noc!$C$2:$C$8,MIN(7,MAX(1,2-(Vu_khi!$L$97-2)+1))),INDEX(Bang_xuyen_giap!$C$2:$C$8,MIN(7,MAX(1,IF($O$97,MAX(1,2-(Vu_khi!$L$97-2)),2-(Vu_khi!$L$97-2))+1))))</f>
        <v/>
      </c>
      <c r="AD97" t="n">
        <v>1.2</v>
      </c>
      <c r="AE97">
        <f>IF(Vu_khi!$AG$97,INDEX(Bang_danh_noc!$C$2:$C$8,MIN(7,MAX(1,2-(Vu_khi!$L$97-4)+1))),INDEX(Bang_xuyen_giap!$C$2:$C$8,MIN(7,MAX(1,IF($O$97,MAX(1,2-(Vu_khi!$L$97-4)),2-(Vu_khi!$L$97-4))+1))))</f>
        <v/>
      </c>
      <c r="AF97" t="n">
        <v>0.85</v>
      </c>
      <c r="AG97">
        <f>INDEX(Bang_xuyen_giap!$C$2:$C$8,MIN(7,MAX(1,MAX(1,2-(Vu_khi!$L$97-0))+1)))</f>
        <v/>
      </c>
      <c r="AH97" t="n">
        <v>1</v>
      </c>
      <c r="AI97">
        <f>IF($Q$97,$M$97*$AA$97*$U$97,0)</f>
        <v/>
      </c>
      <c r="AJ97" t="n">
        <v>133.9262472885032</v>
      </c>
      <c r="AK97">
        <f>IF($Q$97,$M$97*$AC$97*$U$97,0)</f>
        <v/>
      </c>
      <c r="AL97" t="n">
        <v>133.9262472885032</v>
      </c>
      <c r="AM97">
        <f>IF($Q$97,$M$97*$AE$97*$U$97,0)</f>
        <v/>
      </c>
      <c r="AN97" t="n">
        <v>94.86442516268981</v>
      </c>
      <c r="AO97">
        <f>IF($Q$97,$M$97*$AC$97*$Y$97,0)</f>
        <v/>
      </c>
      <c r="AP97" t="n">
        <v>78.1236442516269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AY97" t="n">
        <v>0.688427</v>
      </c>
      <c r="AZ97" t="inlineStr">
        <is>
          <t>LECH_DOT_1</t>
        </is>
      </c>
      <c r="BA97" t="inlineStr"/>
      <c r="BB97" t="inlineStr">
        <is>
          <t>Assets/MachineBrigade/Resources/Data/balance.json: weapons[id=gun_120_twin] (lớp B trên 01_chien_dau/Vu_khi)</t>
        </is>
      </c>
      <c r="BC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IF(Vu_khi!$AG$98,INDEX(Bang_danh_noc!$C$2:$C$8,MIN(7,MAX(1,2-(Vu_khi!$L$98-0)+1))),INDEX(Bang_xuyen_giap!$C$2:$C$8,MIN(7,MAX(1,IF($O$98,MAX(1,2-(Vu_khi!$L$98-0)),2-(Vu_khi!$L$98-0))+1))))</f>
        <v/>
      </c>
      <c r="AB98" t="n">
        <v>1.2</v>
      </c>
      <c r="AC98">
        <f>IF(Vu_khi!$AG$98,INDEX(Bang_danh_noc!$C$2:$C$8,MIN(7,MAX(1,2-(Vu_khi!$L$98-2)+1))),INDEX(Bang_xuyen_giap!$C$2:$C$8,MIN(7,MAX(1,IF($O$98,MAX(1,2-(Vu_khi!$L$98-2)),2-(Vu_khi!$L$98-2))+1))))</f>
        <v/>
      </c>
      <c r="AD98" t="n">
        <v>0.85</v>
      </c>
      <c r="AE98">
        <f>IF(Vu_khi!$AG$98,INDEX(Bang_danh_noc!$C$2:$C$8,MIN(7,MAX(1,2-(Vu_khi!$L$98-4)+1))),INDEX(Bang_xuyen_giap!$C$2:$C$8,MIN(7,MAX(1,IF($O$98,MAX(1,2-(Vu_khi!$L$98-4)),2-(Vu_khi!$L$98-4))+1))))</f>
        <v/>
      </c>
      <c r="AF98" t="n">
        <v>0.4</v>
      </c>
      <c r="AG98">
        <f>INDEX(Bang_xuyen_giap!$C$2:$C$8,MIN(7,MAX(1,MAX(1,2-(Vu_khi!$L$98-0))+1)))</f>
        <v/>
      </c>
      <c r="AH98" t="n">
        <v>1</v>
      </c>
      <c r="AI98">
        <f>IF($Q$98,$M$98*$AA$98*$U$98,0)</f>
        <v/>
      </c>
      <c r="AJ98" t="n">
        <v>111.6052060737527</v>
      </c>
      <c r="AK98">
        <f>IF($Q$98,$M$98*$AC$98*$U$98,0)</f>
        <v/>
      </c>
      <c r="AL98" t="n">
        <v>79.05368763557485</v>
      </c>
      <c r="AM98">
        <f>IF($Q$98,$M$98*$AE$98*$U$98,0)</f>
        <v/>
      </c>
      <c r="AN98" t="n">
        <v>37.20173535791758</v>
      </c>
      <c r="AO98">
        <f>IF($Q$98,$M$98*$AC$98*$Y$98,0)</f>
        <v/>
      </c>
      <c r="AP98" t="n">
        <v>126.4859002169198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BB98" t="inlineStr">
        <is>
          <t>Assets/MachineBrigade/Resources/Data/balance.json: weapons[id=gun_120_twin_he] (lớp B trên 01_chien_dau/Vu_khi)</t>
        </is>
      </c>
      <c r="BC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IF(Vu_khi!$AG$99,INDEX(Bang_danh_noc!$C$2:$C$8,MIN(7,MAX(1,2-(Vu_khi!$L$99-0)+1))),INDEX(Bang_xuyen_giap!$C$2:$C$8,MIN(7,MAX(1,IF($O$99,MAX(1,2-(Vu_khi!$L$99-0)),2-(Vu_khi!$L$99-0))+1))))</f>
        <v/>
      </c>
      <c r="AB99" t="n">
        <v>1.2</v>
      </c>
      <c r="AC99">
        <f>IF(Vu_khi!$AG$99,INDEX(Bang_danh_noc!$C$2:$C$8,MIN(7,MAX(1,2-(Vu_khi!$L$99-2)+1))),INDEX(Bang_xuyen_giap!$C$2:$C$8,MIN(7,MAX(1,IF($O$99,MAX(1,2-(Vu_khi!$L$99-2)),2-(Vu_khi!$L$99-2))+1))))</f>
        <v/>
      </c>
      <c r="AD99" t="n">
        <v>1.2</v>
      </c>
      <c r="AE99">
        <f>IF(Vu_khi!$AG$99,INDEX(Bang_danh_noc!$C$2:$C$8,MIN(7,MAX(1,2-(Vu_khi!$L$99-4)+1))),INDEX(Bang_xuyen_giap!$C$2:$C$8,MIN(7,MAX(1,IF($O$99,MAX(1,2-(Vu_khi!$L$99-4)),2-(Vu_khi!$L$99-4))+1))))</f>
        <v/>
      </c>
      <c r="AF99" t="n">
        <v>0.85</v>
      </c>
      <c r="AG99">
        <f>INDEX(Bang_xuyen_giap!$C$2:$C$8,MIN(7,MAX(1,MAX(1,2-(Vu_khi!$L$99-0))+1)))</f>
        <v/>
      </c>
      <c r="AH99" t="n">
        <v>1</v>
      </c>
      <c r="AI99">
        <f>IF($Q$99,$M$99*$AA$99*$U$99,0)</f>
        <v/>
      </c>
      <c r="AJ99" t="n">
        <v>67.81820678291912</v>
      </c>
      <c r="AK99">
        <f>IF($Q$99,$M$99*$AC$99*$U$99,0)</f>
        <v/>
      </c>
      <c r="AL99" t="n">
        <v>67.81820678291912</v>
      </c>
      <c r="AM99">
        <f>IF($Q$99,$M$99*$AE$99*$U$99,0)</f>
        <v/>
      </c>
      <c r="AN99" t="n">
        <v>48.03789647123438</v>
      </c>
      <c r="AO99">
        <f>IF($Q$99,$M$99*$AC$99*$Y$99,0)</f>
        <v/>
      </c>
      <c r="AP99" t="n">
        <v>39.56062062336949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n">
        <v>0.679747</v>
      </c>
      <c r="AZ99" t="inlineStr">
        <is>
          <t>LECH_DOT_1</t>
        </is>
      </c>
      <c r="BA99" t="inlineStr"/>
      <c r="BB99" t="inlineStr">
        <is>
          <t>Assets/MachineBrigade/Resources/Data/balance.json: weapons[id=gun_120mm] (lớp B trên 01_chien_dau/Vu_khi)</t>
        </is>
      </c>
      <c r="BC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IF(Vu_khi!$AG$100,INDEX(Bang_danh_noc!$C$2:$C$8,MIN(7,MAX(1,2-(Vu_khi!$L$100-0)+1))),INDEX(Bang_xuyen_giap!$C$2:$C$8,MIN(7,MAX(1,IF($O$100,MAX(1,2-(Vu_khi!$L$100-0)),2-(Vu_khi!$L$100-0))+1))))</f>
        <v/>
      </c>
      <c r="AB100" t="n">
        <v>1.2</v>
      </c>
      <c r="AC100">
        <f>IF(Vu_khi!$AG$100,INDEX(Bang_danh_noc!$C$2:$C$8,MIN(7,MAX(1,2-(Vu_khi!$L$100-2)+1))),INDEX(Bang_xuyen_giap!$C$2:$C$8,MIN(7,MAX(1,IF($O$100,MAX(1,2-(Vu_khi!$L$100-2)),2-(Vu_khi!$L$100-2))+1))))</f>
        <v/>
      </c>
      <c r="AD100" t="n">
        <v>0.85</v>
      </c>
      <c r="AE100">
        <f>IF(Vu_khi!$AG$100,INDEX(Bang_danh_noc!$C$2:$C$8,MIN(7,MAX(1,2-(Vu_khi!$L$100-4)+1))),INDEX(Bang_xuyen_giap!$C$2:$C$8,MIN(7,MAX(1,IF($O$100,MAX(1,2-(Vu_khi!$L$100-4)),2-(Vu_khi!$L$100-4))+1))))</f>
        <v/>
      </c>
      <c r="AF100" t="n">
        <v>0.4</v>
      </c>
      <c r="AG100">
        <f>INDEX(Bang_xuyen_giap!$C$2:$C$8,MIN(7,MAX(1,MAX(1,2-(Vu_khi!$L$100-0))+1)))</f>
        <v/>
      </c>
      <c r="AH100" t="n">
        <v>1</v>
      </c>
      <c r="AI100">
        <f>IF($Q$100,$M$100*$AA$100*$U$100,0)</f>
        <v/>
      </c>
      <c r="AJ100" t="n">
        <v>56.51517231909926</v>
      </c>
      <c r="AK100">
        <f>IF($Q$100,$M$100*$AC$100*$U$100,0)</f>
        <v/>
      </c>
      <c r="AL100" t="n">
        <v>40.03158039269531</v>
      </c>
      <c r="AM100">
        <f>IF($Q$100,$M$100*$AE$100*$U$100,0)</f>
        <v/>
      </c>
      <c r="AN100" t="n">
        <v>18.83839077303309</v>
      </c>
      <c r="AO100">
        <f>IF($Q$100,$M$100*$AC$100*$Y$100,0)</f>
        <v/>
      </c>
      <c r="AP100" t="n">
        <v>64.05052862831251</v>
      </c>
      <c r="AQ100">
        <f>IF($S$100,$M$100*$AG$100*$W$100,0)</f>
        <v/>
      </c>
      <c r="AR100" t="n">
        <v>0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BB100" t="inlineStr">
        <is>
          <t>Assets/MachineBrigade/Resources/Data/balance.json: weapons[id=gun_120mm_he] (lớp B trên 01_chien_dau/Vu_khi)</t>
        </is>
      </c>
      <c r="BC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IF(Vu_khi!$AG$101,INDEX(Bang_danh_noc!$C$2:$C$8,MIN(7,MAX(1,2-(Vu_khi!$L$101-0)+1))),INDEX(Bang_xuyen_giap!$C$2:$C$8,MIN(7,MAX(1,IF($O$101,MAX(1,2-(Vu_khi!$L$101-0)),2-(Vu_khi!$L$101-0))+1))))</f>
        <v/>
      </c>
      <c r="AB101" t="n">
        <v>1.2</v>
      </c>
      <c r="AC101">
        <f>IF(Vu_khi!$AG$101,INDEX(Bang_danh_noc!$C$2:$C$8,MIN(7,MAX(1,2-(Vu_khi!$L$101-2)+1))),INDEX(Bang_xuyen_giap!$C$2:$C$8,MIN(7,MAX(1,IF($O$101,MAX(1,2-(Vu_khi!$L$101-2)),2-(Vu_khi!$L$101-2))+1))))</f>
        <v/>
      </c>
      <c r="AD101" t="n">
        <v>1.2</v>
      </c>
      <c r="AE101">
        <f>IF(Vu_khi!$AG$101,INDEX(Bang_danh_noc!$C$2:$C$8,MIN(7,MAX(1,2-(Vu_khi!$L$101-4)+1))),INDEX(Bang_xuyen_giap!$C$2:$C$8,MIN(7,MAX(1,IF($O$101,MAX(1,2-(Vu_khi!$L$101-4)),2-(Vu_khi!$L$101-4))+1))))</f>
        <v/>
      </c>
      <c r="AF101" t="n">
        <v>1</v>
      </c>
      <c r="AG101">
        <f>INDEX(Bang_xuyen_giap!$C$2:$C$8,MIN(7,MAX(1,MAX(1,2-(Vu_khi!$L$101-0))+1)))</f>
        <v/>
      </c>
      <c r="AH101" t="n">
        <v>1</v>
      </c>
      <c r="AI101">
        <f>IF($Q$101,$M$101*$AA$101*$U$101,0)</f>
        <v/>
      </c>
      <c r="AJ101" t="n">
        <v>74.79210415791684</v>
      </c>
      <c r="AK101">
        <f>IF($Q$101,$M$101*$AC$101*$U$101,0)</f>
        <v/>
      </c>
      <c r="AL101" t="n">
        <v>74.79210415791684</v>
      </c>
      <c r="AM101">
        <f>IF($Q$101,$M$101*$AE$101*$U$101,0)</f>
        <v/>
      </c>
      <c r="AN101" t="n">
        <v>62.3267534649307</v>
      </c>
      <c r="AO101">
        <f>IF($Q$101,$M$101*$AC$101*$Y$101,0)</f>
        <v/>
      </c>
      <c r="AP101" t="n">
        <v>43.62872742545149</v>
      </c>
      <c r="AQ101">
        <f>IF($S$101,$M$101*$AG$101*$W$101,0)</f>
        <v/>
      </c>
      <c r="AR101" t="n">
        <v>15.58168836623268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0.6666800000000001</v>
      </c>
      <c r="AZ101" t="inlineStr">
        <is>
          <t>ok</t>
        </is>
      </c>
      <c r="BA101" t="inlineStr"/>
      <c r="BB101" t="inlineStr">
        <is>
          <t>Assets/MachineBrigade/Resources/Data/balance.json: weapons[id=gun_125_armata_ke] (lớp B trên 01_chien_dau/Vu_khi)</t>
        </is>
      </c>
      <c r="BC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IF(Vu_khi!$AG$102,INDEX(Bang_danh_noc!$C$2:$C$8,MIN(7,MAX(1,2-(Vu_khi!$L$102-0)+1))),INDEX(Bang_xuyen_giap!$C$2:$C$8,MIN(7,MAX(1,IF($O$102,MAX(1,2-(Vu_khi!$L$102-0)),2-(Vu_khi!$L$102-0))+1))))</f>
        <v/>
      </c>
      <c r="AB102" t="n">
        <v>1.2</v>
      </c>
      <c r="AC102">
        <f>IF(Vu_khi!$AG$102,INDEX(Bang_danh_noc!$C$2:$C$8,MIN(7,MAX(1,2-(Vu_khi!$L$102-2)+1))),INDEX(Bang_xuyen_giap!$C$2:$C$8,MIN(7,MAX(1,IF($O$102,MAX(1,2-(Vu_khi!$L$102-2)),2-(Vu_khi!$L$102-2))+1))))</f>
        <v/>
      </c>
      <c r="AD102" t="n">
        <v>1.2</v>
      </c>
      <c r="AE102">
        <f>IF(Vu_khi!$AG$102,INDEX(Bang_danh_noc!$C$2:$C$8,MIN(7,MAX(1,2-(Vu_khi!$L$102-4)+1))),INDEX(Bang_xuyen_giap!$C$2:$C$8,MIN(7,MAX(1,IF($O$102,MAX(1,2-(Vu_khi!$L$102-4)),2-(Vu_khi!$L$102-4))+1))))</f>
        <v/>
      </c>
      <c r="AF102" t="n">
        <v>1</v>
      </c>
      <c r="AG102">
        <f>INDEX(Bang_xuyen_giap!$C$2:$C$8,MIN(7,MAX(1,MAX(1,2-(Vu_khi!$L$102-0))+1)))</f>
        <v/>
      </c>
      <c r="AH102" t="n">
        <v>1</v>
      </c>
      <c r="AI102">
        <f>IF($Q$102,$M$102*$AA$102*$U$102,0)</f>
        <v/>
      </c>
      <c r="AJ102" t="n">
        <v>66.06975018550581</v>
      </c>
      <c r="AK102">
        <f>IF($Q$102,$M$102*$AC$102*$U$102,0)</f>
        <v/>
      </c>
      <c r="AL102" t="n">
        <v>66.06975018550581</v>
      </c>
      <c r="AM102">
        <f>IF($Q$102,$M$102*$AE$102*$U$102,0)</f>
        <v/>
      </c>
      <c r="AN102" t="n">
        <v>55.05812515458818</v>
      </c>
      <c r="AO102">
        <f>IF($Q$102,$M$102*$AC$102*$Y$102,0)</f>
        <v/>
      </c>
      <c r="AP102" t="n">
        <v>38.54068760821172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0.7546929999999999</v>
      </c>
      <c r="AZ102" t="inlineStr">
        <is>
          <t>LECH_DOT_1</t>
        </is>
      </c>
      <c r="BA102" t="inlineStr"/>
      <c r="BB102" t="inlineStr">
        <is>
          <t>Assets/MachineBrigade/Resources/Data/balance.json: weapons[id=gun_125_elite] (lớp B trên 01_chien_dau/Vu_khi)</t>
        </is>
      </c>
      <c r="BC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IF(Vu_khi!$AG$103,INDEX(Bang_danh_noc!$C$2:$C$8,MIN(7,MAX(1,2-(Vu_khi!$L$103-0)+1))),INDEX(Bang_xuyen_giap!$C$2:$C$8,MIN(7,MAX(1,IF($O$103,MAX(1,2-(Vu_khi!$L$103-0)),2-(Vu_khi!$L$103-0))+1))))</f>
        <v/>
      </c>
      <c r="AB103" t="n">
        <v>1.2</v>
      </c>
      <c r="AC103">
        <f>IF(Vu_khi!$AG$103,INDEX(Bang_danh_noc!$C$2:$C$8,MIN(7,MAX(1,2-(Vu_khi!$L$103-2)+1))),INDEX(Bang_xuyen_giap!$C$2:$C$8,MIN(7,MAX(1,IF($O$103,MAX(1,2-(Vu_khi!$L$103-2)),2-(Vu_khi!$L$103-2))+1))))</f>
        <v/>
      </c>
      <c r="AD103" t="n">
        <v>0.85</v>
      </c>
      <c r="AE103">
        <f>IF(Vu_khi!$AG$103,INDEX(Bang_danh_noc!$C$2:$C$8,MIN(7,MAX(1,2-(Vu_khi!$L$103-4)+1))),INDEX(Bang_xuyen_giap!$C$2:$C$8,MIN(7,MAX(1,IF($O$103,MAX(1,2-(Vu_khi!$L$103-4)),2-(Vu_khi!$L$103-4))+1))))</f>
        <v/>
      </c>
      <c r="AF103" t="n">
        <v>0.4</v>
      </c>
      <c r="AG103">
        <f>INDEX(Bang_xuyen_giap!$C$2:$C$8,MIN(7,MAX(1,MAX(1,2-(Vu_khi!$L$103-0))+1)))</f>
        <v/>
      </c>
      <c r="AH103" t="n">
        <v>1</v>
      </c>
      <c r="AI103">
        <f>IF($Q$103,$M$103*$AA$103*$U$103,0)</f>
        <v/>
      </c>
      <c r="AJ103" t="n">
        <v>55.05812515458818</v>
      </c>
      <c r="AK103">
        <f>IF($Q$103,$M$103*$AC$103*$U$103,0)</f>
        <v/>
      </c>
      <c r="AL103" t="n">
        <v>38.99950531783329</v>
      </c>
      <c r="AM103">
        <f>IF($Q$103,$M$103*$AE$103*$U$103,0)</f>
        <v/>
      </c>
      <c r="AN103" t="n">
        <v>18.35270838486273</v>
      </c>
      <c r="AO103">
        <f>IF($Q$103,$M$103*$AC$103*$Y$103,0)</f>
        <v/>
      </c>
      <c r="AP103" t="n">
        <v>62.39920850853327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BB103" t="inlineStr">
        <is>
          <t>Assets/MachineBrigade/Resources/Data/balance.json: weapons[id=gun_125_elite_he] (lớp B trên 01_chien_dau/Vu_khi)</t>
        </is>
      </c>
      <c r="BC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IF(Vu_khi!$AG$104,INDEX(Bang_danh_noc!$C$2:$C$8,MIN(7,MAX(1,2-(Vu_khi!$L$104-0)+1))),INDEX(Bang_xuyen_giap!$C$2:$C$8,MIN(7,MAX(1,IF($O$104,MAX(1,2-(Vu_khi!$L$104-0)),2-(Vu_khi!$L$104-0))+1))))</f>
        <v/>
      </c>
      <c r="AB104" t="n">
        <v>1.2</v>
      </c>
      <c r="AC104">
        <f>IF(Vu_khi!$AG$104,INDEX(Bang_danh_noc!$C$2:$C$8,MIN(7,MAX(1,2-(Vu_khi!$L$104-2)+1))),INDEX(Bang_xuyen_giap!$C$2:$C$8,MIN(7,MAX(1,IF($O$104,MAX(1,2-(Vu_khi!$L$104-2)),2-(Vu_khi!$L$104-2))+1))))</f>
        <v/>
      </c>
      <c r="AD104" t="n">
        <v>1.2</v>
      </c>
      <c r="AE104">
        <f>IF(Vu_khi!$AG$104,INDEX(Bang_danh_noc!$C$2:$C$8,MIN(7,MAX(1,2-(Vu_khi!$L$104-4)+1))),INDEX(Bang_xuyen_giap!$C$2:$C$8,MIN(7,MAX(1,IF($O$104,MAX(1,2-(Vu_khi!$L$104-4)),2-(Vu_khi!$L$104-4))+1))))</f>
        <v/>
      </c>
      <c r="AF104" t="n">
        <v>1</v>
      </c>
      <c r="AG104">
        <f>INDEX(Bang_xuyen_giap!$C$2:$C$8,MIN(7,MAX(1,MAX(1,2-(Vu_khi!$L$104-0))+1)))</f>
        <v/>
      </c>
      <c r="AH104" t="n">
        <v>1</v>
      </c>
      <c r="AI104">
        <f>IF($Q$104,$M$104*$AA$104*$U$104,0)</f>
        <v/>
      </c>
      <c r="AJ104" t="n">
        <v>183.9716093195495</v>
      </c>
      <c r="AK104">
        <f>IF($Q$104,$M$104*$AC$104*$U$104,0)</f>
        <v/>
      </c>
      <c r="AL104" t="n">
        <v>183.9716093195495</v>
      </c>
      <c r="AM104">
        <f>IF($Q$104,$M$104*$AE$104*$U$104,0)</f>
        <v/>
      </c>
      <c r="AN104" t="n">
        <v>153.3096744329579</v>
      </c>
      <c r="AO104">
        <f>IF($Q$104,$M$104*$AC$104*$Y$104,0)</f>
        <v/>
      </c>
      <c r="AP104" t="n">
        <v>107.3167721030705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AY104" t="n">
        <v>0.756117</v>
      </c>
      <c r="AZ104" t="inlineStr">
        <is>
          <t>LECH_DOT_1</t>
        </is>
      </c>
      <c r="BA104" t="inlineStr"/>
      <c r="BB104" t="inlineStr">
        <is>
          <t>Assets/MachineBrigade/Resources/Data/balance.json: weapons[id=gun_140_twin] (lớp B trên 01_chien_dau/Vu_khi)</t>
        </is>
      </c>
      <c r="BC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IF(Vu_khi!$AG$105,INDEX(Bang_danh_noc!$C$2:$C$8,MIN(7,MAX(1,2-(Vu_khi!$L$105-0)+1))),INDEX(Bang_xuyen_giap!$C$2:$C$8,MIN(7,MAX(1,IF($O$105,MAX(1,2-(Vu_khi!$L$105-0)),2-(Vu_khi!$L$105-0))+1))))</f>
        <v/>
      </c>
      <c r="AB105" t="n">
        <v>1.2</v>
      </c>
      <c r="AC105">
        <f>IF(Vu_khi!$AG$105,INDEX(Bang_danh_noc!$C$2:$C$8,MIN(7,MAX(1,2-(Vu_khi!$L$105-2)+1))),INDEX(Bang_xuyen_giap!$C$2:$C$8,MIN(7,MAX(1,IF($O$105,MAX(1,2-(Vu_khi!$L$105-2)),2-(Vu_khi!$L$105-2))+1))))</f>
        <v/>
      </c>
      <c r="AD105" t="n">
        <v>0.85</v>
      </c>
      <c r="AE105">
        <f>IF(Vu_khi!$AG$105,INDEX(Bang_danh_noc!$C$2:$C$8,MIN(7,MAX(1,2-(Vu_khi!$L$105-4)+1))),INDEX(Bang_xuyen_giap!$C$2:$C$8,MIN(7,MAX(1,IF($O$105,MAX(1,2-(Vu_khi!$L$105-4)),2-(Vu_khi!$L$105-4))+1))))</f>
        <v/>
      </c>
      <c r="AF105" t="n">
        <v>0.4</v>
      </c>
      <c r="AG105">
        <f>INDEX(Bang_xuyen_giap!$C$2:$C$8,MIN(7,MAX(1,MAX(1,2-(Vu_khi!$L$105-0))+1)))</f>
        <v/>
      </c>
      <c r="AH105" t="n">
        <v>1</v>
      </c>
      <c r="AI105">
        <f>IF($Q$105,$M$105*$AA$105*$U$105,0)</f>
        <v/>
      </c>
      <c r="AJ105" t="n">
        <v>153.3096744329579</v>
      </c>
      <c r="AK105">
        <f>IF($Q$105,$M$105*$AC$105*$U$105,0)</f>
        <v/>
      </c>
      <c r="AL105" t="n">
        <v>108.5943527233452</v>
      </c>
      <c r="AM105">
        <f>IF($Q$105,$M$105*$AE$105*$U$105,0)</f>
        <v/>
      </c>
      <c r="AN105" t="n">
        <v>51.10322481098596</v>
      </c>
      <c r="AO105">
        <f>IF($Q$105,$M$105*$AC$105*$Y$105,0)</f>
        <v/>
      </c>
      <c r="AP105" t="n">
        <v>173.7509643573523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BB105" t="inlineStr">
        <is>
          <t>Assets/MachineBrigade/Resources/Data/balance.json: weapons[id=gun_140_twin_he] (lớp B trên 01_chien_dau/Vu_khi)</t>
        </is>
      </c>
      <c r="BC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IF(Vu_khi!$AG$106,INDEX(Bang_danh_noc!$C$2:$C$8,MIN(7,MAX(1,2-(Vu_khi!$L$106-0)+1))),INDEX(Bang_xuyen_giap!$C$2:$C$8,MIN(7,MAX(1,IF($O$106,MAX(1,2-(Vu_khi!$L$106-0)),2-(Vu_khi!$L$106-0))+1))))</f>
        <v/>
      </c>
      <c r="AB106" t="n">
        <v>1.2</v>
      </c>
      <c r="AC106">
        <f>IF(Vu_khi!$AG$106,INDEX(Bang_danh_noc!$C$2:$C$8,MIN(7,MAX(1,2-(Vu_khi!$L$106-2)+1))),INDEX(Bang_xuyen_giap!$C$2:$C$8,MIN(7,MAX(1,IF($O$106,MAX(1,2-(Vu_khi!$L$106-2)),2-(Vu_khi!$L$106-2))+1))))</f>
        <v/>
      </c>
      <c r="AD106" t="n">
        <v>1.2</v>
      </c>
      <c r="AE106">
        <f>IF(Vu_khi!$AG$106,INDEX(Bang_danh_noc!$C$2:$C$8,MIN(7,MAX(1,2-(Vu_khi!$L$106-4)+1))),INDEX(Bang_xuyen_giap!$C$2:$C$8,MIN(7,MAX(1,IF($O$106,MAX(1,2-(Vu_khi!$L$106-4)),2-(Vu_khi!$L$106-4))+1))))</f>
        <v/>
      </c>
      <c r="AF106" t="n">
        <v>1</v>
      </c>
      <c r="AG106">
        <f>INDEX(Bang_xuyen_giap!$C$2:$C$8,MIN(7,MAX(1,MAX(1,2-(Vu_khi!$L$106-0))+1)))</f>
        <v/>
      </c>
      <c r="AH106" t="n">
        <v>1</v>
      </c>
      <c r="AI106">
        <f>IF($Q$106,$M$106*$AA$106*$U$106,0)</f>
        <v/>
      </c>
      <c r="AJ106" t="n">
        <v>80.61742006615215</v>
      </c>
      <c r="AK106">
        <f>IF($Q$106,$M$106*$AC$106*$U$106,0)</f>
        <v/>
      </c>
      <c r="AL106" t="n">
        <v>80.61742006615215</v>
      </c>
      <c r="AM106">
        <f>IF($Q$106,$M$106*$AE$106*$U$106,0)</f>
        <v/>
      </c>
      <c r="AN106" t="n">
        <v>67.18118338846011</v>
      </c>
      <c r="AO106">
        <f>IF($Q$106,$M$106*$AC$106*$Y$106,0)</f>
        <v/>
      </c>
      <c r="AP106" t="n">
        <v>47.02682837192209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0.95235</v>
      </c>
      <c r="AZ106" t="inlineStr">
        <is>
          <t>LECH_DOT_1</t>
        </is>
      </c>
      <c r="BA106" t="inlineStr"/>
      <c r="BB106" t="inlineStr">
        <is>
          <t>Assets/MachineBrigade/Resources/Data/balance.json: weapons[id=gun_152] (lớp B trên 01_chien_dau/Vu_khi)</t>
        </is>
      </c>
      <c r="BC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IF(Vu_khi!$AG$107,INDEX(Bang_danh_noc!$C$2:$C$8,MIN(7,MAX(1,2-(Vu_khi!$L$107-0)+1))),INDEX(Bang_xuyen_giap!$C$2:$C$8,MIN(7,MAX(1,IF($O$107,MAX(1,2-(Vu_khi!$L$107-0)),2-(Vu_khi!$L$107-0))+1))))</f>
        <v/>
      </c>
      <c r="AB107" t="n">
        <v>1.2</v>
      </c>
      <c r="AC107">
        <f>IF(Vu_khi!$AG$107,INDEX(Bang_danh_noc!$C$2:$C$8,MIN(7,MAX(1,2-(Vu_khi!$L$107-2)+1))),INDEX(Bang_xuyen_giap!$C$2:$C$8,MIN(7,MAX(1,IF($O$107,MAX(1,2-(Vu_khi!$L$107-2)),2-(Vu_khi!$L$107-2))+1))))</f>
        <v/>
      </c>
      <c r="AD107" t="n">
        <v>1</v>
      </c>
      <c r="AE107">
        <f>IF(Vu_khi!$AG$107,INDEX(Bang_danh_noc!$C$2:$C$8,MIN(7,MAX(1,2-(Vu_khi!$L$107-4)+1))),INDEX(Bang_xuyen_giap!$C$2:$C$8,MIN(7,MAX(1,IF($O$107,MAX(1,2-(Vu_khi!$L$107-4)),2-(Vu_khi!$L$107-4))+1))))</f>
        <v/>
      </c>
      <c r="AF107" t="n">
        <v>0.65</v>
      </c>
      <c r="AG107">
        <f>INDEX(Bang_xuyen_giap!$C$2:$C$8,MIN(7,MAX(1,MAX(1,2-(Vu_khi!$L$107-0))+1)))</f>
        <v/>
      </c>
      <c r="AH107" t="n">
        <v>1</v>
      </c>
      <c r="AI107">
        <f>IF($Q$107,$M$107*$AA$107*$U$107,0)</f>
        <v/>
      </c>
      <c r="AJ107" t="n">
        <v>63.98319915995799</v>
      </c>
      <c r="AK107">
        <f>IF($Q$107,$M$107*$AC$107*$U$107,0)</f>
        <v/>
      </c>
      <c r="AL107" t="n">
        <v>53.31933263329833</v>
      </c>
      <c r="AM107">
        <f>IF($Q$107,$M$107*$AE$107*$U$107,0)</f>
        <v/>
      </c>
      <c r="AN107" t="n">
        <v>34.65756621164392</v>
      </c>
      <c r="AO107">
        <f>IF($Q$107,$M$107*$AC$107*$Y$107,0)</f>
        <v/>
      </c>
      <c r="AP107" t="n">
        <v>85.31093221327734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0.99995</v>
      </c>
      <c r="AZ107" t="inlineStr">
        <is>
          <t>LECH_DOT_1</t>
        </is>
      </c>
      <c r="BA107" t="inlineStr"/>
      <c r="BB107" t="inlineStr">
        <is>
          <t>Assets/MachineBrigade/Resources/Data/balance.json: weapons[id=gun_152_he] (lớp B trên 01_chien_dau/Vu_khi)</t>
        </is>
      </c>
      <c r="BC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IF(Vu_khi!$AG$108,INDEX(Bang_danh_noc!$C$2:$C$8,MIN(7,MAX(1,2-(Vu_khi!$L$108-0)+1))),INDEX(Bang_xuyen_giap!$C$2:$C$8,MIN(7,MAX(1,IF($O$108,MAX(1,2-(Vu_khi!$L$108-0)),2-(Vu_khi!$L$108-0))+1))))</f>
        <v/>
      </c>
      <c r="AB108" t="n">
        <v>1.2</v>
      </c>
      <c r="AC108">
        <f>IF(Vu_khi!$AG$108,INDEX(Bang_danh_noc!$C$2:$C$8,MIN(7,MAX(1,2-(Vu_khi!$L$108-2)+1))),INDEX(Bang_xuyen_giap!$C$2:$C$8,MIN(7,MAX(1,IF($O$108,MAX(1,2-(Vu_khi!$L$108-2)),2-(Vu_khi!$L$108-2))+1))))</f>
        <v/>
      </c>
      <c r="AD108" t="n">
        <v>1.2</v>
      </c>
      <c r="AE108">
        <f>IF(Vu_khi!$AG$108,INDEX(Bang_danh_noc!$C$2:$C$8,MIN(7,MAX(1,2-(Vu_khi!$L$108-4)+1))),INDEX(Bang_xuyen_giap!$C$2:$C$8,MIN(7,MAX(1,IF($O$108,MAX(1,2-(Vu_khi!$L$108-4)),2-(Vu_khi!$L$108-4))+1))))</f>
        <v/>
      </c>
      <c r="AF108" t="n">
        <v>1</v>
      </c>
      <c r="AG108">
        <f>INDEX(Bang_xuyen_giap!$C$2:$C$8,MIN(7,MAX(1,MAX(1,2-(Vu_khi!$L$108-0))+1)))</f>
        <v/>
      </c>
      <c r="AH108" t="n">
        <v>1</v>
      </c>
      <c r="AI108">
        <f>IF($Q$108,$M$108*$AA$108*$U$108,0)</f>
        <v/>
      </c>
      <c r="AJ108" t="n">
        <v>82.8043790777397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69.00364923144976</v>
      </c>
      <c r="AO108">
        <f>IF($Q$108,$M$108*$AC$108*$Y$108,0)</f>
        <v/>
      </c>
      <c r="AP108" t="n">
        <v>28.66305429614067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1.055017</v>
      </c>
      <c r="AZ108" t="inlineStr">
        <is>
          <t>LECH_DOT_1</t>
        </is>
      </c>
      <c r="BA108" t="inlineStr"/>
      <c r="BB108" t="inlineStr">
        <is>
          <t>Assets/MachineBrigade/Resources/Data/balance.json: weapons[id=gun_152_heat] (lớp B trên 01_chien_dau/Vu_khi)</t>
        </is>
      </c>
      <c r="BC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IF(Vu_khi!$AG$109,INDEX(Bang_danh_noc!$C$2:$C$8,MIN(7,MAX(1,2-(Vu_khi!$L$109-0)+1))),INDEX(Bang_xuyen_giap!$C$2:$C$8,MIN(7,MAX(1,IF($O$109,MAX(1,2-(Vu_khi!$L$109-0)),2-(Vu_khi!$L$109-0))+1))))</f>
        <v/>
      </c>
      <c r="AB109" t="n">
        <v>1.2</v>
      </c>
      <c r="AC109">
        <f>IF(Vu_khi!$AG$109,INDEX(Bang_danh_noc!$C$2:$C$8,MIN(7,MAX(1,2-(Vu_khi!$L$109-2)+1))),INDEX(Bang_xuyen_giap!$C$2:$C$8,MIN(7,MAX(1,IF($O$109,MAX(1,2-(Vu_khi!$L$109-2)),2-(Vu_khi!$L$109-2))+1))))</f>
        <v/>
      </c>
      <c r="AD109" t="n">
        <v>1</v>
      </c>
      <c r="AE109">
        <f>IF(Vu_khi!$AG$109,INDEX(Bang_danh_noc!$C$2:$C$8,MIN(7,MAX(1,2-(Vu_khi!$L$109-4)+1))),INDEX(Bang_xuyen_giap!$C$2:$C$8,MIN(7,MAX(1,IF($O$109,MAX(1,2-(Vu_khi!$L$109-4)),2-(Vu_khi!$L$109-4))+1))))</f>
        <v/>
      </c>
      <c r="AF109" t="n">
        <v>0.65</v>
      </c>
      <c r="AG109">
        <f>INDEX(Bang_xuyen_giap!$C$2:$C$8,MIN(7,MAX(1,MAX(1,2-(Vu_khi!$L$109-0))+1)))</f>
        <v/>
      </c>
      <c r="AH109" t="n">
        <v>1</v>
      </c>
      <c r="AI109">
        <f>IF($Q$109,$M$109*$AA$109*$U$109,0)</f>
        <v/>
      </c>
      <c r="AJ109" t="n">
        <v>60.64359172840872</v>
      </c>
      <c r="AK109">
        <f>IF($Q$109,$M$109*$AC$109*$U$109,0)</f>
        <v/>
      </c>
      <c r="AL109" t="n">
        <v>50.5363264403406</v>
      </c>
      <c r="AM109">
        <f>IF($Q$109,$M$109*$AE$109*$U$109,0)</f>
        <v/>
      </c>
      <c r="AN109" t="n">
        <v>32.84861218622139</v>
      </c>
      <c r="AO109">
        <f>IF($Q$109,$M$109*$AC$109*$Y$109,0)</f>
        <v/>
      </c>
      <c r="AP109" t="n">
        <v>80.85812230454496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weapons[id=gun_152_heat_he] (lớp B trên 01_chien_dau/Vu_khi)</t>
        </is>
      </c>
      <c r="BC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IF(Vu_khi!$AG$110,INDEX(Bang_danh_noc!$C$2:$C$8,MIN(7,MAX(1,2-(Vu_khi!$L$110-0)+1))),INDEX(Bang_xuyen_giap!$C$2:$C$8,MIN(7,MAX(1,IF($O$110,MAX(1,2-(Vu_khi!$L$110-0)),2-(Vu_khi!$L$110-0))+1))))</f>
        <v/>
      </c>
      <c r="AB110" t="n">
        <v>1.2</v>
      </c>
      <c r="AC110">
        <f>IF(Vu_khi!$AG$110,INDEX(Bang_danh_noc!$C$2:$C$8,MIN(7,MAX(1,2-(Vu_khi!$L$110-2)+1))),INDEX(Bang_xuyen_giap!$C$2:$C$8,MIN(7,MAX(1,IF($O$110,MAX(1,2-(Vu_khi!$L$110-2)),2-(Vu_khi!$L$110-2))+1))))</f>
        <v/>
      </c>
      <c r="AD110" t="n">
        <v>1</v>
      </c>
      <c r="AE110">
        <f>IF(Vu_khi!$AG$110,INDEX(Bang_danh_noc!$C$2:$C$8,MIN(7,MAX(1,2-(Vu_khi!$L$110-4)+1))),INDEX(Bang_xuyen_giap!$C$2:$C$8,MIN(7,MAX(1,IF($O$110,MAX(1,2-(Vu_khi!$L$110-4)),2-(Vu_khi!$L$110-4))+1))))</f>
        <v/>
      </c>
      <c r="AF110" t="n">
        <v>0.65</v>
      </c>
      <c r="AG110">
        <f>INDEX(Bang_xuyen_giap!$C$2:$C$8,MIN(7,MAX(1,MAX(1,2-(Vu_khi!$L$110-0))+1)))</f>
        <v/>
      </c>
      <c r="AH110" t="n">
        <v>1</v>
      </c>
      <c r="AI110">
        <f>IF($Q$110,$M$110*$AA$110*$U$110,0)</f>
        <v/>
      </c>
      <c r="AJ110" t="n">
        <v>86.8477314118299</v>
      </c>
      <c r="AK110">
        <f>IF($Q$110,$M$110*$AC$110*$U$110,0)</f>
        <v/>
      </c>
      <c r="AL110" t="n">
        <v>72.37310950985825</v>
      </c>
      <c r="AM110">
        <f>IF($Q$110,$M$110*$AE$110*$U$110,0)</f>
        <v/>
      </c>
      <c r="AN110" t="n">
        <v>47.04252118140786</v>
      </c>
      <c r="AO110">
        <f>IF($Q$110,$M$110*$AC$110*$Y$110,0)</f>
        <v/>
      </c>
      <c r="AP110" t="n">
        <v>115.7969752157732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0.294677</v>
      </c>
      <c r="AZ110" t="inlineStr">
        <is>
          <t>NHANH_QUA;LECH_DOT_1</t>
        </is>
      </c>
      <c r="BA110" t="inlineStr"/>
      <c r="BB110" t="inlineStr">
        <is>
          <t>Assets/MachineBrigade/Resources/Data/balance.json: weapons[id=gun_155_coastal] (lớp B trên 01_chien_dau/Vu_khi)</t>
        </is>
      </c>
      <c r="BC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IF(Vu_khi!$AG$111,INDEX(Bang_danh_noc!$C$2:$C$8,MIN(7,MAX(1,2-(Vu_khi!$L$111-0)+1))),INDEX(Bang_xuyen_giap!$C$2:$C$8,MIN(7,MAX(1,IF($O$111,MAX(1,2-(Vu_khi!$L$111-0)),2-(Vu_khi!$L$111-0))+1))))</f>
        <v/>
      </c>
      <c r="AB111" t="n">
        <v>1.2</v>
      </c>
      <c r="AC111">
        <f>IF(Vu_khi!$AG$111,INDEX(Bang_danh_noc!$C$2:$C$8,MIN(7,MAX(1,2-(Vu_khi!$L$111-2)+1))),INDEX(Bang_xuyen_giap!$C$2:$C$8,MIN(7,MAX(1,IF($O$111,MAX(1,2-(Vu_khi!$L$111-2)),2-(Vu_khi!$L$111-2))+1))))</f>
        <v/>
      </c>
      <c r="AD111" t="n">
        <v>1</v>
      </c>
      <c r="AE111">
        <f>IF(Vu_khi!$AG$111,INDEX(Bang_danh_noc!$C$2:$C$8,MIN(7,MAX(1,2-(Vu_khi!$L$111-4)+1))),INDEX(Bang_xuyen_giap!$C$2:$C$8,MIN(7,MAX(1,IF($O$111,MAX(1,2-(Vu_khi!$L$111-4)),2-(Vu_khi!$L$111-4))+1))))</f>
        <v/>
      </c>
      <c r="AF111" t="n">
        <v>0.65</v>
      </c>
      <c r="AG111">
        <f>INDEX(Bang_xuyen_giap!$C$2:$C$8,MIN(7,MAX(1,MAX(1,2-(Vu_khi!$L$111-0))+1)))</f>
        <v/>
      </c>
      <c r="AH111" t="n">
        <v>1</v>
      </c>
      <c r="AI111">
        <f>IF($Q$111,$M$111*$AA$111*$U$111,0)</f>
        <v/>
      </c>
      <c r="AJ111" t="n">
        <v>43.59647030765561</v>
      </c>
      <c r="AK111">
        <f>IF($Q$111,$M$111*$AC$111*$U$111,0)</f>
        <v/>
      </c>
      <c r="AL111" t="n">
        <v>36.33039192304634</v>
      </c>
      <c r="AM111">
        <f>IF($Q$111,$M$111*$AE$111*$U$111,0)</f>
        <v/>
      </c>
      <c r="AN111" t="n">
        <v>23.61475474998012</v>
      </c>
      <c r="AO111">
        <f>IF($Q$111,$M$111*$AC$111*$Y$111,0)</f>
        <v/>
      </c>
      <c r="AP111" t="n">
        <v>58.12862707687415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weapons[id=gun_155_coastal_guided] (lớp B trên 01_chien_dau/Vu_khi)</t>
        </is>
      </c>
      <c r="BC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IF(Vu_khi!$AG$112,INDEX(Bang_danh_noc!$C$2:$C$8,MIN(7,MAX(1,2-(Vu_khi!$L$112-0)+1))),INDEX(Bang_xuyen_giap!$C$2:$C$8,MIN(7,MAX(1,IF($O$112,MAX(1,2-(Vu_khi!$L$112-0)),2-(Vu_khi!$L$112-0))+1))))</f>
        <v/>
      </c>
      <c r="AB112" t="n">
        <v>1</v>
      </c>
      <c r="AC112">
        <f>IF(Vu_khi!$AG$112,INDEX(Bang_danh_noc!$C$2:$C$8,MIN(7,MAX(1,2-(Vu_khi!$L$112-2)+1))),INDEX(Bang_xuyen_giap!$C$2:$C$8,MIN(7,MAX(1,IF($O$112,MAX(1,2-(Vu_khi!$L$112-2)),2-(Vu_khi!$L$112-2))+1))))</f>
        <v/>
      </c>
      <c r="AD112" t="n">
        <v>1</v>
      </c>
      <c r="AE112">
        <f>IF(Vu_khi!$AG$112,INDEX(Bang_danh_noc!$C$2:$C$8,MIN(7,MAX(1,2-(Vu_khi!$L$112-4)+1))),INDEX(Bang_xuyen_giap!$C$2:$C$8,MIN(7,MAX(1,IF($O$112,MAX(1,2-(Vu_khi!$L$112-4)),2-(Vu_khi!$L$112-4))+1))))</f>
        <v/>
      </c>
      <c r="AF112" t="n">
        <v>0.65</v>
      </c>
      <c r="AG112">
        <f>INDEX(Bang_xuyen_giap!$C$2:$C$8,MIN(7,MAX(1,MAX(1,2-(Vu_khi!$L$112-0))+1)))</f>
        <v/>
      </c>
      <c r="AH112" t="n">
        <v>1</v>
      </c>
      <c r="AI112">
        <f>IF($Q$112,$M$112*$AA$112*$U$112,0)</f>
        <v/>
      </c>
      <c r="AJ112" t="n">
        <v>20.74050068864944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13.48132544762213</v>
      </c>
      <c r="AO112">
        <f>IF($Q$112,$M$112*$AC$112*$Y$112,0)</f>
        <v/>
      </c>
      <c r="AP112" t="n">
        <v>33.1848011018391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0.720008</v>
      </c>
      <c r="AZ112" t="inlineStr">
        <is>
          <t>ok</t>
        </is>
      </c>
      <c r="BA112" t="inlineStr"/>
      <c r="BB112" t="inlineStr">
        <is>
          <t>Assets/MachineBrigade/Resources/Data/balance.json: weapons[id=gun_155_sph] (lớp B trên 01_chien_dau/Vu_khi)</t>
        </is>
      </c>
      <c r="BC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IF(Vu_khi!$AG$113,INDEX(Bang_danh_noc!$C$2:$C$8,MIN(7,MAX(1,2-(Vu_khi!$L$113-0)+1))),INDEX(Bang_xuyen_giap!$C$2:$C$8,MIN(7,MAX(1,IF($O$113,MAX(1,2-(Vu_khi!$L$113-0)),2-(Vu_khi!$L$113-0))+1))))</f>
        <v/>
      </c>
      <c r="AB113" t="n">
        <v>1.2</v>
      </c>
      <c r="AC113">
        <f>IF(Vu_khi!$AG$113,INDEX(Bang_danh_noc!$C$2:$C$8,MIN(7,MAX(1,2-(Vu_khi!$L$113-2)+1))),INDEX(Bang_xuyen_giap!$C$2:$C$8,MIN(7,MAX(1,IF($O$113,MAX(1,2-(Vu_khi!$L$113-2)),2-(Vu_khi!$L$113-2))+1))))</f>
        <v/>
      </c>
      <c r="AD113" t="n">
        <v>1</v>
      </c>
      <c r="AE113">
        <f>IF(Vu_khi!$AG$113,INDEX(Bang_danh_noc!$C$2:$C$8,MIN(7,MAX(1,2-(Vu_khi!$L$113-4)+1))),INDEX(Bang_xuyen_giap!$C$2:$C$8,MIN(7,MAX(1,IF($O$113,MAX(1,2-(Vu_khi!$L$113-4)),2-(Vu_khi!$L$113-4))+1))))</f>
        <v/>
      </c>
      <c r="AF113" t="n">
        <v>0.65</v>
      </c>
      <c r="AG113">
        <f>INDEX(Bang_xuyen_giap!$C$2:$C$8,MIN(7,MAX(1,MAX(1,2-(Vu_khi!$L$113-0))+1)))</f>
        <v/>
      </c>
      <c r="AH113" t="n">
        <v>1</v>
      </c>
      <c r="AI113">
        <f>IF($Q$113,$M$113*$AA$113*$U$113,0)</f>
        <v/>
      </c>
      <c r="AJ113" t="n">
        <v>86.87782805429863</v>
      </c>
      <c r="AK113">
        <f>IF($Q$113,$M$113*$AC$113*$U$113,0)</f>
        <v/>
      </c>
      <c r="AL113" t="n">
        <v>72.39819004524887</v>
      </c>
      <c r="AM113">
        <f>IF($Q$113,$M$113*$AE$113*$U$113,0)</f>
        <v/>
      </c>
      <c r="AN113" t="n">
        <v>47.05882352941177</v>
      </c>
      <c r="AO113">
        <f>IF($Q$113,$M$113*$AC$113*$Y$113,0)</f>
        <v/>
      </c>
      <c r="AP113" t="n">
        <v>115.8371040723982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0.412533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weapons[id=gun_155_twin] (lớp B trên 01_chien_dau/Vu_khi)</t>
        </is>
      </c>
      <c r="BC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IF(Vu_khi!$AG$114,INDEX(Bang_danh_noc!$C$2:$C$8,MIN(7,MAX(1,2-(Vu_khi!$L$114-0)+1))),INDEX(Bang_xuyen_giap!$C$2:$C$8,MIN(7,MAX(1,IF($O$114,MAX(1,2-(Vu_khi!$L$114-0)),2-(Vu_khi!$L$114-0))+1))))</f>
        <v/>
      </c>
      <c r="AB114" t="n">
        <v>1.2</v>
      </c>
      <c r="AC114">
        <f>IF(Vu_khi!$AG$114,INDEX(Bang_danh_noc!$C$2:$C$8,MIN(7,MAX(1,2-(Vu_khi!$L$114-2)+1))),INDEX(Bang_xuyen_giap!$C$2:$C$8,MIN(7,MAX(1,IF($O$114,MAX(1,2-(Vu_khi!$L$114-2)),2-(Vu_khi!$L$114-2))+1))))</f>
        <v/>
      </c>
      <c r="AD114" t="n">
        <v>1.2</v>
      </c>
      <c r="AE114">
        <f>IF(Vu_khi!$AG$114,INDEX(Bang_danh_noc!$C$2:$C$8,MIN(7,MAX(1,2-(Vu_khi!$L$114-4)+1))),INDEX(Bang_xuyen_giap!$C$2:$C$8,MIN(7,MAX(1,IF($O$114,MAX(1,2-(Vu_khi!$L$114-4)),2-(Vu_khi!$L$114-4))+1))))</f>
        <v/>
      </c>
      <c r="AF114" t="n">
        <v>1</v>
      </c>
      <c r="AG114">
        <f>INDEX(Bang_xuyen_giap!$C$2:$C$8,MIN(7,MAX(1,MAX(1,2-(Vu_khi!$L$114-0))+1)))</f>
        <v/>
      </c>
      <c r="AH114" t="n">
        <v>1</v>
      </c>
      <c r="AI114">
        <f>IF($Q$114,$M$114*$AA$114*$U$114,0)</f>
        <v/>
      </c>
      <c r="AJ114" t="n">
        <v>155.8229284903519</v>
      </c>
      <c r="AK114">
        <f>IF($Q$114,$M$114*$AC$114*$U$114,0)</f>
        <v/>
      </c>
      <c r="AL114" t="n">
        <v>155.8229284903519</v>
      </c>
      <c r="AM114">
        <f>IF($Q$114,$M$114*$AE$114*$U$114,0)</f>
        <v/>
      </c>
      <c r="AN114" t="n">
        <v>129.8524404086265</v>
      </c>
      <c r="AO114">
        <f>IF($Q$114,$M$114*$AC$114*$Y$114,0)</f>
        <v/>
      </c>
      <c r="AP114" t="n">
        <v>90.89670828603859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0.37002</v>
      </c>
      <c r="AZ114" t="inlineStr">
        <is>
          <t>NHANH_QUA;LECH_DOT_1</t>
        </is>
      </c>
      <c r="BA114" t="inlineStr"/>
      <c r="BB114" t="inlineStr">
        <is>
          <t>Assets/MachineBrigade/Resources/Data/balance.json: weapons[id=gun_155_twin_ap] (lớp B trên 01_chien_dau/Vu_khi)</t>
        </is>
      </c>
      <c r="BC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IF(Vu_khi!$AG$115,INDEX(Bang_danh_noc!$C$2:$C$8,MIN(7,MAX(1,2-(Vu_khi!$L$115-0)+1))),INDEX(Bang_xuyen_giap!$C$2:$C$8,MIN(7,MAX(1,IF($O$115,MAX(1,2-(Vu_khi!$L$115-0)),2-(Vu_khi!$L$115-0))+1))))</f>
        <v/>
      </c>
      <c r="AB115" t="n">
        <v>1.2</v>
      </c>
      <c r="AC115">
        <f>IF(Vu_khi!$AG$115,INDEX(Bang_danh_noc!$C$2:$C$8,MIN(7,MAX(1,2-(Vu_khi!$L$115-2)+1))),INDEX(Bang_xuyen_giap!$C$2:$C$8,MIN(7,MAX(1,IF($O$115,MAX(1,2-(Vu_khi!$L$115-2)),2-(Vu_khi!$L$115-2))+1))))</f>
        <v/>
      </c>
      <c r="AD115" t="n">
        <v>1</v>
      </c>
      <c r="AE115">
        <f>IF(Vu_khi!$AG$115,INDEX(Bang_danh_noc!$C$2:$C$8,MIN(7,MAX(1,2-(Vu_khi!$L$115-4)+1))),INDEX(Bang_xuyen_giap!$C$2:$C$8,MIN(7,MAX(1,IF($O$115,MAX(1,2-(Vu_khi!$L$115-4)),2-(Vu_khi!$L$115-4))+1))))</f>
        <v/>
      </c>
      <c r="AF115" t="n">
        <v>0.65</v>
      </c>
      <c r="AG115">
        <f>INDEX(Bang_xuyen_giap!$C$2:$C$8,MIN(7,MAX(1,MAX(1,2-(Vu_khi!$L$115-0))+1)))</f>
        <v/>
      </c>
      <c r="AH115" t="n">
        <v>1</v>
      </c>
      <c r="AI115">
        <f>IF($Q$115,$M$115*$AA$115*$U$115,0)</f>
        <v/>
      </c>
      <c r="AJ115" t="n">
        <v>138.3276579644343</v>
      </c>
      <c r="AK115">
        <f>IF($Q$115,$M$115*$AC$115*$U$115,0)</f>
        <v/>
      </c>
      <c r="AL115" t="n">
        <v>115.2730483036953</v>
      </c>
      <c r="AM115">
        <f>IF($Q$115,$M$115*$AE$115*$U$115,0)</f>
        <v/>
      </c>
      <c r="AN115" t="n">
        <v>74.92748139740195</v>
      </c>
      <c r="AO115">
        <f>IF($Q$115,$M$115*$AC$115*$Y$115,0)</f>
        <v/>
      </c>
      <c r="AP115" t="n">
        <v>184.4368772859125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0.37002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weapons[id=gun_155_twin_coastlr] (lớp B trên 01_chien_dau/Vu_khi)</t>
        </is>
      </c>
      <c r="BC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IF(Vu_khi!$AG$116,INDEX(Bang_danh_noc!$C$2:$C$8,MIN(7,MAX(1,2-(Vu_khi!$L$116-0)+1))),INDEX(Bang_xuyen_giap!$C$2:$C$8,MIN(7,MAX(1,IF($O$116,MAX(1,2-(Vu_khi!$L$116-0)),2-(Vu_khi!$L$116-0))+1))))</f>
        <v/>
      </c>
      <c r="AB116" t="n">
        <v>1.2</v>
      </c>
      <c r="AC116">
        <f>IF(Vu_khi!$AG$116,INDEX(Bang_danh_noc!$C$2:$C$8,MIN(7,MAX(1,2-(Vu_khi!$L$116-2)+1))),INDEX(Bang_xuyen_giap!$C$2:$C$8,MIN(7,MAX(1,IF($O$116,MAX(1,2-(Vu_khi!$L$116-2)),2-(Vu_khi!$L$116-2))+1))))</f>
        <v/>
      </c>
      <c r="AD116" t="n">
        <v>1</v>
      </c>
      <c r="AE116">
        <f>IF(Vu_khi!$AG$116,INDEX(Bang_danh_noc!$C$2:$C$8,MIN(7,MAX(1,2-(Vu_khi!$L$116-4)+1))),INDEX(Bang_xuyen_giap!$C$2:$C$8,MIN(7,MAX(1,IF($O$116,MAX(1,2-(Vu_khi!$L$116-4)),2-(Vu_khi!$L$116-4))+1))))</f>
        <v/>
      </c>
      <c r="AF116" t="n">
        <v>0.65</v>
      </c>
      <c r="AG116">
        <f>INDEX(Bang_xuyen_giap!$C$2:$C$8,MIN(7,MAX(1,MAX(1,2-(Vu_khi!$L$116-0))+1)))</f>
        <v/>
      </c>
      <c r="AH116" t="n">
        <v>1</v>
      </c>
      <c r="AI116">
        <f>IF($Q$116,$M$116*$AA$116*$U$116,0)</f>
        <v/>
      </c>
      <c r="AJ116" t="n">
        <v>69.16382898221717</v>
      </c>
      <c r="AK116">
        <f>IF($Q$116,$M$116*$AC$116*$U$116,0)</f>
        <v/>
      </c>
      <c r="AL116" t="n">
        <v>57.63652415184765</v>
      </c>
      <c r="AM116">
        <f>IF($Q$116,$M$116*$AE$116*$U$116,0)</f>
        <v/>
      </c>
      <c r="AN116" t="n">
        <v>37.46374069870097</v>
      </c>
      <c r="AO116">
        <f>IF($Q$116,$M$116*$AC$116*$Y$116,0)</f>
        <v/>
      </c>
      <c r="AP116" t="n">
        <v>92.21843864295624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weapons[id=gun_155_twin_coastlr_guided] (lớp B trên 01_chien_dau/Vu_khi)</t>
        </is>
      </c>
      <c r="BC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IF(Vu_khi!$AG$117,INDEX(Bang_danh_noc!$C$2:$C$8,MIN(7,MAX(1,2-(Vu_khi!$L$117-0)+1))),INDEX(Bang_xuyen_giap!$C$2:$C$8,MIN(7,MAX(1,IF($O$117,MAX(1,2-(Vu_khi!$L$117-0)),2-(Vu_khi!$L$117-0))+1))))</f>
        <v/>
      </c>
      <c r="AB117" t="n">
        <v>1.2</v>
      </c>
      <c r="AC117">
        <f>IF(Vu_khi!$AG$117,INDEX(Bang_danh_noc!$C$2:$C$8,MIN(7,MAX(1,2-(Vu_khi!$L$117-2)+1))),INDEX(Bang_xuyen_giap!$C$2:$C$8,MIN(7,MAX(1,IF($O$117,MAX(1,2-(Vu_khi!$L$117-2)),2-(Vu_khi!$L$117-2))+1))))</f>
        <v/>
      </c>
      <c r="AD117" t="n">
        <v>1</v>
      </c>
      <c r="AE117">
        <f>IF(Vu_khi!$AG$117,INDEX(Bang_danh_noc!$C$2:$C$8,MIN(7,MAX(1,2-(Vu_khi!$L$117-4)+1))),INDEX(Bang_xuyen_giap!$C$2:$C$8,MIN(7,MAX(1,IF($O$117,MAX(1,2-(Vu_khi!$L$117-4)),2-(Vu_khi!$L$117-4))+1))))</f>
        <v/>
      </c>
      <c r="AF117" t="n">
        <v>0.65</v>
      </c>
      <c r="AG117">
        <f>INDEX(Bang_xuyen_giap!$C$2:$C$8,MIN(7,MAX(1,MAX(1,2-(Vu_khi!$L$117-0))+1)))</f>
        <v/>
      </c>
      <c r="AH117" t="n">
        <v>1</v>
      </c>
      <c r="AI117">
        <f>IF($Q$117,$M$117*$AA$117*$U$117,0)</f>
        <v/>
      </c>
      <c r="AJ117" t="n">
        <v>138.3276579644343</v>
      </c>
      <c r="AK117">
        <f>IF($Q$117,$M$117*$AC$117*$U$117,0)</f>
        <v/>
      </c>
      <c r="AL117" t="n">
        <v>115.2730483036953</v>
      </c>
      <c r="AM117">
        <f>IF($Q$117,$M$117*$AE$117*$U$117,0)</f>
        <v/>
      </c>
      <c r="AN117" t="n">
        <v>74.92748139740195</v>
      </c>
      <c r="AO117">
        <f>IF($Q$117,$M$117*$AC$117*$Y$117,0)</f>
        <v/>
      </c>
      <c r="AP117" t="n">
        <v>184.4368772859125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0.37002</v>
      </c>
      <c r="AZ117" t="inlineStr">
        <is>
          <t>NHANH_QUA;LECH_DOT_1</t>
        </is>
      </c>
      <c r="BA117" t="inlineStr"/>
      <c r="BB117" t="inlineStr">
        <is>
          <t>Assets/MachineBrigade/Resources/Data/balance.json: weapons[id=gun_155_twin_fort] (lớp B trên 01_chien_dau/Vu_khi)</t>
        </is>
      </c>
      <c r="BC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IF(Vu_khi!$AG$118,INDEX(Bang_danh_noc!$C$2:$C$8,MIN(7,MAX(1,2-(Vu_khi!$L$118-0)+1))),INDEX(Bang_xuyen_giap!$C$2:$C$8,MIN(7,MAX(1,IF($O$118,MAX(1,2-(Vu_khi!$L$118-0)),2-(Vu_khi!$L$118-0))+1))))</f>
        <v/>
      </c>
      <c r="AB118" t="n">
        <v>1.2</v>
      </c>
      <c r="AC118">
        <f>IF(Vu_khi!$AG$118,INDEX(Bang_danh_noc!$C$2:$C$8,MIN(7,MAX(1,2-(Vu_khi!$L$118-2)+1))),INDEX(Bang_xuyen_giap!$C$2:$C$8,MIN(7,MAX(1,IF($O$118,MAX(1,2-(Vu_khi!$L$118-2)),2-(Vu_khi!$L$118-2))+1))))</f>
        <v/>
      </c>
      <c r="AD118" t="n">
        <v>1</v>
      </c>
      <c r="AE118">
        <f>IF(Vu_khi!$AG$118,INDEX(Bang_danh_noc!$C$2:$C$8,MIN(7,MAX(1,2-(Vu_khi!$L$118-4)+1))),INDEX(Bang_xuyen_giap!$C$2:$C$8,MIN(7,MAX(1,IF($O$118,MAX(1,2-(Vu_khi!$L$118-4)),2-(Vu_khi!$L$118-4))+1))))</f>
        <v/>
      </c>
      <c r="AF118" t="n">
        <v>0.65</v>
      </c>
      <c r="AG118">
        <f>INDEX(Bang_xuyen_giap!$C$2:$C$8,MIN(7,MAX(1,MAX(1,2-(Vu_khi!$L$118-0))+1)))</f>
        <v/>
      </c>
      <c r="AH118" t="n">
        <v>1</v>
      </c>
      <c r="AI118">
        <f>IF($Q$118,$M$118*$AA$118*$U$118,0)</f>
        <v/>
      </c>
      <c r="AJ118" t="n">
        <v>69.16382898221717</v>
      </c>
      <c r="AK118">
        <f>IF($Q$118,$M$118*$AC$118*$U$118,0)</f>
        <v/>
      </c>
      <c r="AL118" t="n">
        <v>57.63652415184765</v>
      </c>
      <c r="AM118">
        <f>IF($Q$118,$M$118*$AE$118*$U$118,0)</f>
        <v/>
      </c>
      <c r="AN118" t="n">
        <v>37.46374069870097</v>
      </c>
      <c r="AO118">
        <f>IF($Q$118,$M$118*$AC$118*$Y$118,0)</f>
        <v/>
      </c>
      <c r="AP118" t="n">
        <v>92.21843864295624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weapons[id=gun_155_twin_fort_guided] (lớp B trên 01_chien_dau/Vu_khi)</t>
        </is>
      </c>
      <c r="BC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IF(Vu_khi!$AG$119,INDEX(Bang_danh_noc!$C$2:$C$8,MIN(7,MAX(1,2-(Vu_khi!$L$119-0)+1))),INDEX(Bang_xuyen_giap!$C$2:$C$8,MIN(7,MAX(1,IF($O$119,MAX(1,2-(Vu_khi!$L$119-0)),2-(Vu_khi!$L$119-0))+1))))</f>
        <v/>
      </c>
      <c r="AB119" t="n">
        <v>1.2</v>
      </c>
      <c r="AC119">
        <f>IF(Vu_khi!$AG$119,INDEX(Bang_danh_noc!$C$2:$C$8,MIN(7,MAX(1,2-(Vu_khi!$L$119-2)+1))),INDEX(Bang_xuyen_giap!$C$2:$C$8,MIN(7,MAX(1,IF($O$119,MAX(1,2-(Vu_khi!$L$119-2)),2-(Vu_khi!$L$119-2))+1))))</f>
        <v/>
      </c>
      <c r="AD119" t="n">
        <v>1</v>
      </c>
      <c r="AE119">
        <f>IF(Vu_khi!$AG$119,INDEX(Bang_danh_noc!$C$2:$C$8,MIN(7,MAX(1,2-(Vu_khi!$L$119-4)+1))),INDEX(Bang_xuyen_giap!$C$2:$C$8,MIN(7,MAX(1,IF($O$119,MAX(1,2-(Vu_khi!$L$119-4)),2-(Vu_khi!$L$119-4))+1))))</f>
        <v/>
      </c>
      <c r="AF119" t="n">
        <v>0.65</v>
      </c>
      <c r="AG119">
        <f>INDEX(Bang_xuyen_giap!$C$2:$C$8,MIN(7,MAX(1,MAX(1,2-(Vu_khi!$L$119-0))+1)))</f>
        <v/>
      </c>
      <c r="AH119" t="n">
        <v>1</v>
      </c>
      <c r="AI119">
        <f>IF($Q$119,$M$119*$AA$119*$U$119,0)</f>
        <v/>
      </c>
      <c r="AJ119" t="n">
        <v>86.87782805429863</v>
      </c>
      <c r="AK119">
        <f>IF($Q$119,$M$119*$AC$119*$U$119,0)</f>
        <v/>
      </c>
      <c r="AL119" t="n">
        <v>72.39819004524887</v>
      </c>
      <c r="AM119">
        <f>IF($Q$119,$M$119*$AE$119*$U$119,0)</f>
        <v/>
      </c>
      <c r="AN119" t="n">
        <v>47.05882352941177</v>
      </c>
      <c r="AO119">
        <f>IF($Q$119,$M$119*$AC$119*$Y$119,0)</f>
        <v/>
      </c>
      <c r="AP119" t="n">
        <v>115.8371040723982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0.412533</v>
      </c>
      <c r="AZ119" t="inlineStr">
        <is>
          <t>NHANH_QUA</t>
        </is>
      </c>
      <c r="BA119" t="inlineStr"/>
      <c r="BB119" t="inlineStr">
        <is>
          <t>Assets/MachineBrigade/Resources/Data/balance.json: weapons[id=gun_155_twin_long] (lớp B trên 01_chien_dau/Vu_khi)</t>
        </is>
      </c>
      <c r="BC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IF(Vu_khi!$AG$120,INDEX(Bang_danh_noc!$C$2:$C$8,MIN(7,MAX(1,2-(Vu_khi!$L$120-0)+1))),INDEX(Bang_xuyen_giap!$C$2:$C$8,MIN(7,MAX(1,IF($O$120,MAX(1,2-(Vu_khi!$L$120-0)),2-(Vu_khi!$L$120-0))+1))))</f>
        <v/>
      </c>
      <c r="AB120" t="n">
        <v>1</v>
      </c>
      <c r="AC120">
        <f>IF(Vu_khi!$AG$120,INDEX(Bang_danh_noc!$C$2:$C$8,MIN(7,MAX(1,2-(Vu_khi!$L$120-2)+1))),INDEX(Bang_xuyen_giap!$C$2:$C$8,MIN(7,MAX(1,IF($O$120,MAX(1,2-(Vu_khi!$L$120-2)),2-(Vu_khi!$L$120-2))+1))))</f>
        <v/>
      </c>
      <c r="AD120" t="n">
        <v>1</v>
      </c>
      <c r="AE120">
        <f>IF(Vu_khi!$AG$120,INDEX(Bang_danh_noc!$C$2:$C$8,MIN(7,MAX(1,2-(Vu_khi!$L$120-4)+1))),INDEX(Bang_xuyen_giap!$C$2:$C$8,MIN(7,MAX(1,IF($O$120,MAX(1,2-(Vu_khi!$L$120-4)),2-(Vu_khi!$L$120-4))+1))))</f>
        <v/>
      </c>
      <c r="AF120" t="n">
        <v>0.85</v>
      </c>
      <c r="AG120">
        <f>INDEX(Bang_xuyen_giap!$C$2:$C$8,MIN(7,MAX(1,MAX(1,2-(Vu_khi!$L$120-0))+1)))</f>
        <v/>
      </c>
      <c r="AH120" t="n">
        <v>1</v>
      </c>
      <c r="AI120">
        <f>IF($Q$120,$M$120*$AA$120*$U$120,0)</f>
        <v/>
      </c>
      <c r="AJ120" t="n">
        <v>34.42622950819672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29.26229508196721</v>
      </c>
      <c r="AO120">
        <f>IF($Q$120,$M$120*$AC$120*$Y$120,0)</f>
        <v/>
      </c>
      <c r="AP120" t="n">
        <v>55.08196721311475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1</v>
      </c>
      <c r="AU120">
        <f>IF(AND($B$120&lt;0,$AS$120),4,$B$120)</f>
        <v/>
      </c>
      <c r="AV120" t="n">
        <v>4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2.5</v>
      </c>
      <c r="AY120" t="n">
        <v>0.284667</v>
      </c>
      <c r="AZ120" t="inlineStr">
        <is>
          <t>NHANH_QUA</t>
        </is>
      </c>
      <c r="BA120" t="inlineStr"/>
      <c r="BB120" t="inlineStr">
        <is>
          <t>Assets/MachineBrigade/Resources/Data/balance.json: weapons[id=gun_203_siege] (lớp B trên 01_chien_dau/Vu_khi)</t>
        </is>
      </c>
      <c r="BC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IF(Vu_khi!$AG$121,INDEX(Bang_danh_noc!$C$2:$C$8,MIN(7,MAX(1,2-(Vu_khi!$L$121-0)+1))),INDEX(Bang_xuyen_giap!$C$2:$C$8,MIN(7,MAX(1,IF($O$121,MAX(1,2-(Vu_khi!$L$121-0)),2-(Vu_khi!$L$121-0))+1))))</f>
        <v/>
      </c>
      <c r="AB121" t="n">
        <v>1.2</v>
      </c>
      <c r="AC121">
        <f>IF(Vu_khi!$AG$121,INDEX(Bang_danh_noc!$C$2:$C$8,MIN(7,MAX(1,2-(Vu_khi!$L$121-2)+1))),INDEX(Bang_xuyen_giap!$C$2:$C$8,MIN(7,MAX(1,IF($O$121,MAX(1,2-(Vu_khi!$L$121-2)),2-(Vu_khi!$L$121-2))+1))))</f>
        <v/>
      </c>
      <c r="AD121" t="n">
        <v>1</v>
      </c>
      <c r="AE121">
        <f>IF(Vu_khi!$AG$121,INDEX(Bang_danh_noc!$C$2:$C$8,MIN(7,MAX(1,2-(Vu_khi!$L$121-4)+1))),INDEX(Bang_xuyen_giap!$C$2:$C$8,MIN(7,MAX(1,IF($O$121,MAX(1,2-(Vu_khi!$L$121-4)),2-(Vu_khi!$L$121-4))+1))))</f>
        <v/>
      </c>
      <c r="AF121" t="n">
        <v>0.65</v>
      </c>
      <c r="AG121">
        <f>INDEX(Bang_xuyen_giap!$C$2:$C$8,MIN(7,MAX(1,MAX(1,2-(Vu_khi!$L$121-0))+1)))</f>
        <v/>
      </c>
      <c r="AH121" t="n">
        <v>1</v>
      </c>
      <c r="AI121">
        <f>IF($Q$121,$M$121*$AA$121*$U$121,0)</f>
        <v/>
      </c>
      <c r="AJ121" t="n">
        <v>85.52338530066815</v>
      </c>
      <c r="AK121">
        <f>IF($Q$121,$M$121*$AC$121*$U$121,0)</f>
        <v/>
      </c>
      <c r="AL121" t="n">
        <v>71.26948775055679</v>
      </c>
      <c r="AM121">
        <f>IF($Q$121,$M$121*$AE$121*$U$121,0)</f>
        <v/>
      </c>
      <c r="AN121" t="n">
        <v>46.32516703786192</v>
      </c>
      <c r="AO121">
        <f>IF($Q$121,$M$121*$AC$121*$Y$121,0)</f>
        <v/>
      </c>
      <c r="AP121" t="n">
        <v>114.0311804008909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0.838133</v>
      </c>
      <c r="AZ121" t="inlineStr">
        <is>
          <t>ok</t>
        </is>
      </c>
      <c r="BA121" t="inlineStr"/>
      <c r="BB121" t="inlineStr">
        <is>
          <t>Assets/MachineBrigade/Resources/Data/balance.json: weapons[id=gun_behemoth] (lớp B trên 01_chien_dau/Vu_khi)</t>
        </is>
      </c>
      <c r="BC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IF(Vu_khi!$AG$122,INDEX(Bang_danh_noc!$C$2:$C$8,MIN(7,MAX(1,2-(Vu_khi!$L$122-0)+1))),INDEX(Bang_xuyen_giap!$C$2:$C$8,MIN(7,MAX(1,IF($O$122,MAX(1,2-(Vu_khi!$L$122-0)),2-(Vu_khi!$L$122-0))+1))))</f>
        <v/>
      </c>
      <c r="AB122" t="n">
        <v>1.2</v>
      </c>
      <c r="AC122">
        <f>IF(Vu_khi!$AG$122,INDEX(Bang_danh_noc!$C$2:$C$8,MIN(7,MAX(1,2-(Vu_khi!$L$122-2)+1))),INDEX(Bang_xuyen_giap!$C$2:$C$8,MIN(7,MAX(1,IF($O$122,MAX(1,2-(Vu_khi!$L$122-2)),2-(Vu_khi!$L$122-2))+1))))</f>
        <v/>
      </c>
      <c r="AD122" t="n">
        <v>1</v>
      </c>
      <c r="AE122">
        <f>IF(Vu_khi!$AG$122,INDEX(Bang_danh_noc!$C$2:$C$8,MIN(7,MAX(1,2-(Vu_khi!$L$122-4)+1))),INDEX(Bang_xuyen_giap!$C$2:$C$8,MIN(7,MAX(1,IF($O$122,MAX(1,2-(Vu_khi!$L$122-4)),2-(Vu_khi!$L$122-4))+1))))</f>
        <v/>
      </c>
      <c r="AF122" t="n">
        <v>0.65</v>
      </c>
      <c r="AG122">
        <f>INDEX(Bang_xuyen_giap!$C$2:$C$8,MIN(7,MAX(1,MAX(1,2-(Vu_khi!$L$122-0))+1)))</f>
        <v/>
      </c>
      <c r="AH122" t="n">
        <v>1</v>
      </c>
      <c r="AI122">
        <f>IF($Q$122,$M$122*$AA$122*$U$122,0)</f>
        <v/>
      </c>
      <c r="AJ122" t="n">
        <v>43.00111982082866</v>
      </c>
      <c r="AK122">
        <f>IF($Q$122,$M$122*$AC$122*$U$122,0)</f>
        <v/>
      </c>
      <c r="AL122" t="n">
        <v>35.83426651735722</v>
      </c>
      <c r="AM122">
        <f>IF($Q$122,$M$122*$AE$122*$U$122,0)</f>
        <v/>
      </c>
      <c r="AN122" t="n">
        <v>23.2922732362822</v>
      </c>
      <c r="AO122">
        <f>IF($Q$122,$M$122*$AC$122*$Y$122,0)</f>
        <v/>
      </c>
      <c r="AP122" t="n">
        <v>57.33482642777156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BB122" t="inlineStr">
        <is>
          <t>Assets/MachineBrigade/Resources/Data/balance.json: weapons[id=gun_behemoth_guided] (lớp B trên 01_chien_dau/Vu_khi)</t>
        </is>
      </c>
      <c r="BC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IF(Vu_khi!$AG$123,INDEX(Bang_danh_noc!$C$2:$C$8,MIN(7,MAX(1,2-(Vu_khi!$L$123-0)+1))),INDEX(Bang_xuyen_giap!$C$2:$C$8,MIN(7,MAX(1,IF($O$123,MAX(1,2-(Vu_khi!$L$123-0)),2-(Vu_khi!$L$123-0))+1))))</f>
        <v/>
      </c>
      <c r="AB123" t="n">
        <v>1.2</v>
      </c>
      <c r="AC123">
        <f>IF(Vu_khi!$AG$123,INDEX(Bang_danh_noc!$C$2:$C$8,MIN(7,MAX(1,2-(Vu_khi!$L$123-2)+1))),INDEX(Bang_xuyen_giap!$C$2:$C$8,MIN(7,MAX(1,IF($O$123,MAX(1,2-(Vu_khi!$L$123-2)),2-(Vu_khi!$L$123-2))+1))))</f>
        <v/>
      </c>
      <c r="AD123" t="n">
        <v>1.2</v>
      </c>
      <c r="AE123">
        <f>IF(Vu_khi!$AG$123,INDEX(Bang_danh_noc!$C$2:$C$8,MIN(7,MAX(1,2-(Vu_khi!$L$123-4)+1))),INDEX(Bang_xuyen_giap!$C$2:$C$8,MIN(7,MAX(1,IF($O$123,MAX(1,2-(Vu_khi!$L$123-4)),2-(Vu_khi!$L$123-4))+1))))</f>
        <v/>
      </c>
      <c r="AF123" t="n">
        <v>0.85</v>
      </c>
      <c r="AG123">
        <f>INDEX(Bang_xuyen_giap!$C$2:$C$8,MIN(7,MAX(1,MAX(1,2-(Vu_khi!$L$123-0))+1)))</f>
        <v/>
      </c>
      <c r="AH123" t="n">
        <v>1</v>
      </c>
      <c r="AI123">
        <f>IF($Q$123,$M$123*$AA$123*$U$123,0)</f>
        <v/>
      </c>
      <c r="AJ123" t="n">
        <v>17.94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12.7075</v>
      </c>
      <c r="AO123">
        <f>IF($Q$123,$M$123*$AC$123*$Y$123,0)</f>
        <v/>
      </c>
      <c r="AP123" t="n">
        <v>6.210000000000001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2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1.333333</v>
      </c>
      <c r="AZ123" t="inlineStr">
        <is>
          <t>ok</t>
        </is>
      </c>
      <c r="BA123" t="inlineStr"/>
      <c r="BB123" t="inlineStr">
        <is>
          <t>Assets/MachineBrigade/Resources/Data/balance.json: weapons[id=gun_launched_atgm] (lớp B trên 01_chien_dau/Vu_khi)</t>
        </is>
      </c>
      <c r="BC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IF(Vu_khi!$AG$124,INDEX(Bang_danh_noc!$C$2:$C$8,MIN(7,MAX(1,2-(Vu_khi!$L$124-0)+1))),INDEX(Bang_xuyen_giap!$C$2:$C$8,MIN(7,MAX(1,IF($O$124,MAX(1,2-(Vu_khi!$L$124-0)),2-(Vu_khi!$L$124-0))+1))))</f>
        <v/>
      </c>
      <c r="AB124" t="n">
        <v>1.2</v>
      </c>
      <c r="AC124">
        <f>IF(Vu_khi!$AG$124,INDEX(Bang_danh_noc!$C$2:$C$8,MIN(7,MAX(1,2-(Vu_khi!$L$124-2)+1))),INDEX(Bang_xuyen_giap!$C$2:$C$8,MIN(7,MAX(1,IF($O$124,MAX(1,2-(Vu_khi!$L$124-2)),2-(Vu_khi!$L$124-2))+1))))</f>
        <v/>
      </c>
      <c r="AD124" t="n">
        <v>1.2</v>
      </c>
      <c r="AE124">
        <f>IF(Vu_khi!$AG$124,INDEX(Bang_danh_noc!$C$2:$C$8,MIN(7,MAX(1,2-(Vu_khi!$L$124-4)+1))),INDEX(Bang_xuyen_giap!$C$2:$C$8,MIN(7,MAX(1,IF($O$124,MAX(1,2-(Vu_khi!$L$124-4)),2-(Vu_khi!$L$124-4))+1))))</f>
        <v/>
      </c>
      <c r="AF124" t="n">
        <v>0.85</v>
      </c>
      <c r="AG124">
        <f>INDEX(Bang_xuyen_giap!$C$2:$C$8,MIN(7,MAX(1,MAX(1,2-(Vu_khi!$L$124-0))+1)))</f>
        <v/>
      </c>
      <c r="AH124" t="n">
        <v>1</v>
      </c>
      <c r="AI124">
        <f>IF($Q$124,$M$124*$AA$124*$U$124,0)</f>
        <v/>
      </c>
      <c r="AJ124" t="n">
        <v>74.64362850971922</v>
      </c>
      <c r="AK124">
        <f>IF($Q$124,$M$124*$AC$124*$U$124,0)</f>
        <v/>
      </c>
      <c r="AL124" t="n">
        <v>74.64362850971922</v>
      </c>
      <c r="AM124">
        <f>IF($Q$124,$M$124*$AE$124*$U$124,0)</f>
        <v/>
      </c>
      <c r="AN124" t="n">
        <v>52.87257019438445</v>
      </c>
      <c r="AO124">
        <f>IF($Q$124,$M$124*$AC$124*$Y$124,0)</f>
        <v/>
      </c>
      <c r="AP124" t="n">
        <v>43.54211663066955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0.432133</v>
      </c>
      <c r="AZ124" t="inlineStr">
        <is>
          <t>NHANH_QUA</t>
        </is>
      </c>
      <c r="BA124" t="inlineStr"/>
      <c r="BB124" t="inlineStr">
        <is>
          <t>Assets/MachineBrigade/Resources/Data/balance.json: weapons[id=gun_pit_105] (lớp B trên 01_chien_dau/Vu_khi)</t>
        </is>
      </c>
      <c r="BC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IF(Vu_khi!$AG$125,INDEX(Bang_danh_noc!$C$2:$C$8,MIN(7,MAX(1,2-(Vu_khi!$L$125-0)+1))),INDEX(Bang_xuyen_giap!$C$2:$C$8,MIN(7,MAX(1,IF($O$125,MAX(1,2-(Vu_khi!$L$125-0)),2-(Vu_khi!$L$125-0))+1))))</f>
        <v/>
      </c>
      <c r="AB125" t="n">
        <v>1.2</v>
      </c>
      <c r="AC125">
        <f>IF(Vu_khi!$AG$125,INDEX(Bang_danh_noc!$C$2:$C$8,MIN(7,MAX(1,2-(Vu_khi!$L$125-2)+1))),INDEX(Bang_xuyen_giap!$C$2:$C$8,MIN(7,MAX(1,IF($O$125,MAX(1,2-(Vu_khi!$L$125-2)),2-(Vu_khi!$L$125-2))+1))))</f>
        <v/>
      </c>
      <c r="AD125" t="n">
        <v>0.85</v>
      </c>
      <c r="AE125">
        <f>IF(Vu_khi!$AG$125,INDEX(Bang_danh_noc!$C$2:$C$8,MIN(7,MAX(1,2-(Vu_khi!$L$125-4)+1))),INDEX(Bang_xuyen_giap!$C$2:$C$8,MIN(7,MAX(1,IF($O$125,MAX(1,2-(Vu_khi!$L$125-4)),2-(Vu_khi!$L$125-4))+1))))</f>
        <v/>
      </c>
      <c r="AF125" t="n">
        <v>0.4</v>
      </c>
      <c r="AG125">
        <f>INDEX(Bang_xuyen_giap!$C$2:$C$8,MIN(7,MAX(1,MAX(1,2-(Vu_khi!$L$125-0))+1)))</f>
        <v/>
      </c>
      <c r="AH125" t="n">
        <v>1</v>
      </c>
      <c r="AI125">
        <f>IF($Q$125,$M$125*$AA$125*$U$125,0)</f>
        <v/>
      </c>
      <c r="AJ125" t="n">
        <v>228.0808584976291</v>
      </c>
      <c r="AK125">
        <f>IF($Q$125,$M$125*$AC$125*$U$125,0)</f>
        <v/>
      </c>
      <c r="AL125" t="n">
        <v>161.557274769154</v>
      </c>
      <c r="AM125">
        <f>IF($Q$125,$M$125*$AE$125*$U$125,0)</f>
        <v/>
      </c>
      <c r="AN125" t="n">
        <v>76.02695283254305</v>
      </c>
      <c r="AO125">
        <f>IF($Q$125,$M$125*$AC$125*$Y$125,0)</f>
        <v/>
      </c>
      <c r="AP125" t="n">
        <v>94.24174361533981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AY125" t="n">
        <v>7.513125</v>
      </c>
      <c r="AZ125" t="inlineStr">
        <is>
          <t>ok</t>
        </is>
      </c>
      <c r="BA125" t="inlineStr"/>
      <c r="BB125" t="inlineStr">
        <is>
          <t>Assets/MachineBrigade/Resources/Data/balance.json: weapons[id=gunship_25mm] (lớp B trên 01_chien_dau/Vu_khi)</t>
        </is>
      </c>
      <c r="BC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IF(Vu_khi!$AG$126,INDEX(Bang_danh_noc!$C$2:$C$8,MIN(7,MAX(1,2-(Vu_khi!$L$126-0)+1))),INDEX(Bang_xuyen_giap!$C$2:$C$8,MIN(7,MAX(1,IF($O$126,MAX(1,2-(Vu_khi!$L$126-0)),2-(Vu_khi!$L$126-0))+1))))</f>
        <v/>
      </c>
      <c r="AB126" t="n">
        <v>1</v>
      </c>
      <c r="AC126">
        <f>IF(Vu_khi!$AG$126,INDEX(Bang_danh_noc!$C$2:$C$8,MIN(7,MAX(1,2-(Vu_khi!$L$126-2)+1))),INDEX(Bang_xuyen_giap!$C$2:$C$8,MIN(7,MAX(1,IF($O$126,MAX(1,2-(Vu_khi!$L$126-2)),2-(Vu_khi!$L$126-2))+1))))</f>
        <v/>
      </c>
      <c r="AD126" t="n">
        <v>0.65</v>
      </c>
      <c r="AE126">
        <f>IF(Vu_khi!$AG$126,INDEX(Bang_danh_noc!$C$2:$C$8,MIN(7,MAX(1,2-(Vu_khi!$L$126-4)+1))),INDEX(Bang_xuyen_giap!$C$2:$C$8,MIN(7,MAX(1,IF($O$126,MAX(1,2-(Vu_khi!$L$126-4)),2-(Vu_khi!$L$126-4))+1))))</f>
        <v/>
      </c>
      <c r="AF126" t="n">
        <v>0.15</v>
      </c>
      <c r="AG126">
        <f>INDEX(Bang_xuyen_giap!$C$2:$C$8,MIN(7,MAX(1,MAX(1,2-(Vu_khi!$L$126-0))+1)))</f>
        <v/>
      </c>
      <c r="AH126" t="n">
        <v>1</v>
      </c>
      <c r="AI126">
        <f>IF($Q$126,$M$126*$AA$126*$U$126,0)</f>
        <v/>
      </c>
      <c r="AJ126" t="n">
        <v>0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IF($Q$126,$M$126*$AC$126*$Y$126,0)</f>
        <v/>
      </c>
      <c r="AP126" t="n">
        <v>0</v>
      </c>
      <c r="AQ126">
        <f>IF($S$126,$M$126*$AG$126*$W$126,0)</f>
        <v/>
      </c>
      <c r="AR126" t="n">
        <v>213.8258048415273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BB126" t="inlineStr">
        <is>
          <t>Assets/MachineBrigade/Resources/Data/balance.json: weapons[id=gunship_25mm_flak] (lớp B trên 01_chien_dau/Vu_khi)</t>
        </is>
      </c>
      <c r="BC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IF(Vu_khi!$AG$127,INDEX(Bang_danh_noc!$C$2:$C$8,MIN(7,MAX(1,2-(Vu_khi!$L$127-0)+1))),INDEX(Bang_xuyen_giap!$C$2:$C$8,MIN(7,MAX(1,IF($O$127,MAX(1,2-(Vu_khi!$L$127-0)),2-(Vu_khi!$L$127-0))+1))))</f>
        <v/>
      </c>
      <c r="AB127" t="n">
        <v>1.2</v>
      </c>
      <c r="AC127">
        <f>IF(Vu_khi!$AG$127,INDEX(Bang_danh_noc!$C$2:$C$8,MIN(7,MAX(1,2-(Vu_khi!$L$127-2)+1))),INDEX(Bang_xuyen_giap!$C$2:$C$8,MIN(7,MAX(1,IF($O$127,MAX(1,2-(Vu_khi!$L$127-2)),2-(Vu_khi!$L$127-2))+1))))</f>
        <v/>
      </c>
      <c r="AD127" t="n">
        <v>0.85</v>
      </c>
      <c r="AE127">
        <f>IF(Vu_khi!$AG$127,INDEX(Bang_danh_noc!$C$2:$C$8,MIN(7,MAX(1,2-(Vu_khi!$L$127-4)+1))),INDEX(Bang_xuyen_giap!$C$2:$C$8,MIN(7,MAX(1,IF($O$127,MAX(1,2-(Vu_khi!$L$127-4)),2-(Vu_khi!$L$127-4))+1))))</f>
        <v/>
      </c>
      <c r="AF127" t="n">
        <v>0.4</v>
      </c>
      <c r="AG127">
        <f>INDEX(Bang_xuyen_giap!$C$2:$C$8,MIN(7,MAX(1,MAX(1,2-(Vu_khi!$L$127-0))+1)))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58.07355984246713</v>
      </c>
      <c r="AO127">
        <f>IF($Q$127,$M$127*$AC$127*$Y$127,0)</f>
        <v/>
      </c>
      <c r="AP127" t="n">
        <v>197.4501034643882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0.413269</v>
      </c>
      <c r="AZ127" t="inlineStr">
        <is>
          <t>NHANH_QUA</t>
        </is>
      </c>
      <c r="BA127" t="inlineStr"/>
      <c r="BB127" t="inlineStr">
        <is>
          <t>Assets/MachineBrigade/Resources/Data/balance.json: weapons[id=gunship_40mm] (lớp B trên 01_chien_dau/Vu_khi)</t>
        </is>
      </c>
      <c r="BC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IF(Vu_khi!$AG$128,INDEX(Bang_danh_noc!$C$2:$C$8,MIN(7,MAX(1,2-(Vu_khi!$L$128-0)+1))),INDEX(Bang_xuyen_giap!$C$2:$C$8,MIN(7,MAX(1,IF($O$128,MAX(1,2-(Vu_khi!$L$128-0)),2-(Vu_khi!$L$128-0))+1))))</f>
        <v/>
      </c>
      <c r="AB128" t="n">
        <v>1.2</v>
      </c>
      <c r="AC128">
        <f>IF(Vu_khi!$AG$128,INDEX(Bang_danh_noc!$C$2:$C$8,MIN(7,MAX(1,2-(Vu_khi!$L$128-2)+1))),INDEX(Bang_xuyen_giap!$C$2:$C$8,MIN(7,MAX(1,IF($O$128,MAX(1,2-(Vu_khi!$L$128-2)),2-(Vu_khi!$L$128-2))+1))))</f>
        <v/>
      </c>
      <c r="AD128" t="n">
        <v>0.85</v>
      </c>
      <c r="AE128">
        <f>IF(Vu_khi!$AG$128,INDEX(Bang_danh_noc!$C$2:$C$8,MIN(7,MAX(1,2-(Vu_khi!$L$128-4)+1))),INDEX(Bang_xuyen_giap!$C$2:$C$8,MIN(7,MAX(1,IF($O$128,MAX(1,2-(Vu_khi!$L$128-4)),2-(Vu_khi!$L$128-4))+1))))</f>
        <v/>
      </c>
      <c r="AF128" t="n">
        <v>0.4</v>
      </c>
      <c r="AG128">
        <f>INDEX(Bang_xuyen_giap!$C$2:$C$8,MIN(7,MAX(1,MAX(1,2-(Vu_khi!$L$128-0))+1)))</f>
        <v/>
      </c>
      <c r="AH128" t="n">
        <v>1</v>
      </c>
      <c r="AI128">
        <f>IF($Q$128,$M$128*$AA$128*$U$128,0)</f>
        <v/>
      </c>
      <c r="AJ128" t="n">
        <v>209.0648154328816</v>
      </c>
      <c r="AK128">
        <f>IF($Q$128,$M$128*$AC$128*$U$128,0)</f>
        <v/>
      </c>
      <c r="AL128" t="n">
        <v>148.0875775982912</v>
      </c>
      <c r="AM128">
        <f>IF($Q$128,$M$128*$AE$128*$U$128,0)</f>
        <v/>
      </c>
      <c r="AN128" t="n">
        <v>69.68827181096054</v>
      </c>
      <c r="AO128">
        <f>IF($Q$128,$M$128*$AC$128*$Y$128,0)</f>
        <v/>
      </c>
      <c r="AP128" t="n">
        <v>86.38442026566985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weapons[id=gunship_40mm_ap] (lớp B trên 01_chien_dau/Vu_khi)</t>
        </is>
      </c>
      <c r="BC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IF(Vu_khi!$AG$129,INDEX(Bang_danh_noc!$C$2:$C$8,MIN(7,MAX(1,2-(Vu_khi!$L$129-0)+1))),INDEX(Bang_xuyen_giap!$C$2:$C$8,MIN(7,MAX(1,IF($O$129,MAX(1,2-(Vu_khi!$L$129-0)),2-(Vu_khi!$L$129-0))+1))))</f>
        <v/>
      </c>
      <c r="AB129" t="n">
        <v>1.2</v>
      </c>
      <c r="AC129">
        <f>IF(Vu_khi!$AG$129,INDEX(Bang_danh_noc!$C$2:$C$8,MIN(7,MAX(1,2-(Vu_khi!$L$129-2)+1))),INDEX(Bang_xuyen_giap!$C$2:$C$8,MIN(7,MAX(1,IF($O$129,MAX(1,2-(Vu_khi!$L$129-2)),2-(Vu_khi!$L$129-2))+1))))</f>
        <v/>
      </c>
      <c r="AD129" t="n">
        <v>0.85</v>
      </c>
      <c r="AE129">
        <f>IF(Vu_khi!$AG$129,INDEX(Bang_danh_noc!$C$2:$C$8,MIN(7,MAX(1,2-(Vu_khi!$L$129-4)+1))),INDEX(Bang_xuyen_giap!$C$2:$C$8,MIN(7,MAX(1,IF($O$129,MAX(1,2-(Vu_khi!$L$129-4)),2-(Vu_khi!$L$129-4))+1))))</f>
        <v/>
      </c>
      <c r="AF129" t="n">
        <v>0.4</v>
      </c>
      <c r="AG129">
        <f>INDEX(Bang_xuyen_giap!$C$2:$C$8,MIN(7,MAX(1,MAX(1,2-(Vu_khi!$L$129-0))+1)))</f>
        <v/>
      </c>
      <c r="AH129" t="n">
        <v>1</v>
      </c>
      <c r="AI129">
        <f>IF($Q$129,$M$129*$AA$129*$U$129,0)</f>
        <v/>
      </c>
      <c r="AJ129" t="n">
        <v>0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IF($Q$129,$M$129*$AC$129*$Y$129,0)</f>
        <v/>
      </c>
      <c r="AP129" t="n">
        <v>0</v>
      </c>
      <c r="AQ129">
        <f>IF($S$129,$M$129*$AG$129*$W$129,0)</f>
        <v/>
      </c>
      <c r="AR129" t="n">
        <v>195.9982644683266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1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weapons[id=gunship_40mm_flak] (lớp B trên 01_chien_dau/Vu_khi)</t>
        </is>
      </c>
      <c r="BC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IF(Vu_khi!$AG$130,INDEX(Bang_danh_noc!$C$2:$C$8,MIN(7,MAX(1,2-(Vu_khi!$L$130-0)+1))),INDEX(Bang_xuyen_giap!$C$2:$C$8,MIN(7,MAX(1,IF($O$130,MAX(1,2-(Vu_khi!$L$130-0)),2-(Vu_khi!$L$130-0))+1))))</f>
        <v/>
      </c>
      <c r="AB130" t="n">
        <v>1.2</v>
      </c>
      <c r="AC130">
        <f>IF(Vu_khi!$AG$130,INDEX(Bang_danh_noc!$C$2:$C$8,MIN(7,MAX(1,2-(Vu_khi!$L$130-2)+1))),INDEX(Bang_xuyen_giap!$C$2:$C$8,MIN(7,MAX(1,IF($O$130,MAX(1,2-(Vu_khi!$L$130-2)),2-(Vu_khi!$L$130-2))+1))))</f>
        <v/>
      </c>
      <c r="AD130" t="n">
        <v>0.85</v>
      </c>
      <c r="AE130">
        <f>IF(Vu_khi!$AG$130,INDEX(Bang_danh_noc!$C$2:$C$8,MIN(7,MAX(1,2-(Vu_khi!$L$130-4)+1))),INDEX(Bang_xuyen_giap!$C$2:$C$8,MIN(7,MAX(1,IF($O$130,MAX(1,2-(Vu_khi!$L$130-4)),2-(Vu_khi!$L$130-4))+1))))</f>
        <v/>
      </c>
      <c r="AF130" t="n">
        <v>0.4</v>
      </c>
      <c r="AG130">
        <f>INDEX(Bang_xuyen_giap!$C$2:$C$8,MIN(7,MAX(1,MAX(1,2-(Vu_khi!$L$130-0))+1)))</f>
        <v/>
      </c>
      <c r="AH130" t="n">
        <v>1</v>
      </c>
      <c r="AI130">
        <f>IF($Q$130,$M$130*$AA$130*$U$130,0)</f>
        <v/>
      </c>
      <c r="AJ130" t="n">
        <v>87.573360551161</v>
      </c>
      <c r="AK130">
        <f>IF($Q$130,$M$130*$AC$130*$U$130,0)</f>
        <v/>
      </c>
      <c r="AL130" t="n">
        <v>62.03113039040571</v>
      </c>
      <c r="AM130">
        <f>IF($Q$130,$M$130*$AE$130*$U$130,0)</f>
        <v/>
      </c>
      <c r="AN130" t="n">
        <v>29.19112018372034</v>
      </c>
      <c r="AO130">
        <f>IF($Q$130,$M$130*$AC$130*$Y$130,0)</f>
        <v/>
      </c>
      <c r="AP130" t="n">
        <v>99.24980862464915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0.457217</v>
      </c>
      <c r="AZ130" t="inlineStr">
        <is>
          <t>NHANH_QUA</t>
        </is>
      </c>
      <c r="BA130" t="inlineStr"/>
      <c r="BB130" t="inlineStr">
        <is>
          <t>Assets/MachineBrigade/Resources/Data/balance.json: weapons[id=gunship_105] (lớp B trên 01_chien_dau/Vu_khi)</t>
        </is>
      </c>
      <c r="BC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IF(Vu_khi!$AG$131,INDEX(Bang_danh_noc!$C$2:$C$8,MIN(7,MAX(1,2-(Vu_khi!$L$131-0)+1))),INDEX(Bang_xuyen_giap!$C$2:$C$8,MIN(7,MAX(1,IF($O$131,MAX(1,2-(Vu_khi!$L$131-0)),2-(Vu_khi!$L$131-0))+1))))</f>
        <v/>
      </c>
      <c r="AB131" t="n">
        <v>1.2</v>
      </c>
      <c r="AC131">
        <f>IF(Vu_khi!$AG$131,INDEX(Bang_danh_noc!$C$2:$C$8,MIN(7,MAX(1,2-(Vu_khi!$L$131-2)+1))),INDEX(Bang_xuyen_giap!$C$2:$C$8,MIN(7,MAX(1,IF($O$131,MAX(1,2-(Vu_khi!$L$131-2)),2-(Vu_khi!$L$131-2))+1))))</f>
        <v/>
      </c>
      <c r="AD131" t="n">
        <v>0.85</v>
      </c>
      <c r="AE131">
        <f>IF(Vu_khi!$AG$131,INDEX(Bang_danh_noc!$C$2:$C$8,MIN(7,MAX(1,2-(Vu_khi!$L$131-4)+1))),INDEX(Bang_xuyen_giap!$C$2:$C$8,MIN(7,MAX(1,IF($O$131,MAX(1,2-(Vu_khi!$L$131-4)),2-(Vu_khi!$L$131-4))+1))))</f>
        <v/>
      </c>
      <c r="AF131" t="n">
        <v>0.4</v>
      </c>
      <c r="AG131">
        <f>INDEX(Bang_xuyen_giap!$C$2:$C$8,MIN(7,MAX(1,MAX(1,2-(Vu_khi!$L$131-0))+1)))</f>
        <v/>
      </c>
      <c r="AH131" t="n">
        <v>1</v>
      </c>
      <c r="AI131">
        <f>IF($Q$131,$M$131*$AA$131*$U$131,0)</f>
        <v/>
      </c>
      <c r="AJ131" t="n">
        <v>87.573360551161</v>
      </c>
      <c r="AK131">
        <f>IF($Q$131,$M$131*$AC$131*$U$131,0)</f>
        <v/>
      </c>
      <c r="AL131" t="n">
        <v>62.03113039040571</v>
      </c>
      <c r="AM131">
        <f>IF($Q$131,$M$131*$AE$131*$U$131,0)</f>
        <v/>
      </c>
      <c r="AN131" t="n">
        <v>29.19112018372034</v>
      </c>
      <c r="AO131">
        <f>IF($Q$131,$M$131*$AC$131*$Y$131,0)</f>
        <v/>
      </c>
      <c r="AP131" t="n">
        <v>99.24980862464915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weapons[id=gunship_105_guided] (lớp B trên 01_chien_dau/Vu_khi)</t>
        </is>
      </c>
      <c r="BC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IF(Vu_khi!$AG$132,INDEX(Bang_danh_noc!$C$2:$C$8,MIN(7,MAX(1,2-(Vu_khi!$L$132-0)+1))),INDEX(Bang_xuyen_giap!$C$2:$C$8,MIN(7,MAX(1,IF($O$132,MAX(1,2-(Vu_khi!$L$132-0)),2-(Vu_khi!$L$132-0))+1))))</f>
        <v/>
      </c>
      <c r="AB132" t="n">
        <v>1.2</v>
      </c>
      <c r="AC132">
        <f>IF(Vu_khi!$AG$132,INDEX(Bang_danh_noc!$C$2:$C$8,MIN(7,MAX(1,2-(Vu_khi!$L$132-2)+1))),INDEX(Bang_xuyen_giap!$C$2:$C$8,MIN(7,MAX(1,IF($O$132,MAX(1,2-(Vu_khi!$L$132-2)),2-(Vu_khi!$L$132-2))+1))))</f>
        <v/>
      </c>
      <c r="AD132" t="n">
        <v>0.85</v>
      </c>
      <c r="AE132">
        <f>IF(Vu_khi!$AG$132,INDEX(Bang_danh_noc!$C$2:$C$8,MIN(7,MAX(1,2-(Vu_khi!$L$132-4)+1))),INDEX(Bang_xuyen_giap!$C$2:$C$8,MIN(7,MAX(1,IF($O$132,MAX(1,2-(Vu_khi!$L$132-4)),2-(Vu_khi!$L$132-4))+1))))</f>
        <v/>
      </c>
      <c r="AF132" t="n">
        <v>0.4</v>
      </c>
      <c r="AG132">
        <f>INDEX(Bang_xuyen_giap!$C$2:$C$8,MIN(7,MAX(1,MAX(1,2-(Vu_khi!$L$132-0))+1)))</f>
        <v/>
      </c>
      <c r="AH132" t="n">
        <v>1</v>
      </c>
      <c r="AI132">
        <f>IF($Q$132,$M$132*$AA$132*$U$132,0)</f>
        <v/>
      </c>
      <c r="AJ132" t="n">
        <v>62.87995087503837</v>
      </c>
      <c r="AK132">
        <f>IF($Q$132,$M$132*$AC$132*$U$132,0)</f>
        <v/>
      </c>
      <c r="AL132" t="n">
        <v>44.53996520315218</v>
      </c>
      <c r="AM132">
        <f>IF($Q$132,$M$132*$AE$132*$U$132,0)</f>
        <v/>
      </c>
      <c r="AN132" t="n">
        <v>20.95998362501279</v>
      </c>
      <c r="AO132">
        <f>IF($Q$132,$M$132*$AC$132*$Y$132,0)</f>
        <v/>
      </c>
      <c r="AP132" t="n">
        <v>71.2639443250435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2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1.5</v>
      </c>
      <c r="AZ132" t="inlineStr">
        <is>
          <t>ok</t>
        </is>
      </c>
      <c r="BA132" t="b">
        <v>1</v>
      </c>
      <c r="BB132" t="inlineStr">
        <is>
          <t>Assets/MachineBrigade/Resources/Data/balance.json: weapons[id=gunship_rockets] (lớp B trên 01_chien_dau/Vu_khi)</t>
        </is>
      </c>
      <c r="BC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IF(Vu_khi!$AG$133,INDEX(Bang_danh_noc!$C$2:$C$8,MIN(7,MAX(1,2-(Vu_khi!$L$133-0)+1))),INDEX(Bang_xuyen_giap!$C$2:$C$8,MIN(7,MAX(1,IF($O$133,MAX(1,2-(Vu_khi!$L$133-0)),2-(Vu_khi!$L$133-0))+1))))</f>
        <v/>
      </c>
      <c r="AB133" t="n">
        <v>1.2</v>
      </c>
      <c r="AC133">
        <f>IF(Vu_khi!$AG$133,INDEX(Bang_danh_noc!$C$2:$C$8,MIN(7,MAX(1,2-(Vu_khi!$L$133-2)+1))),INDEX(Bang_xuyen_giap!$C$2:$C$8,MIN(7,MAX(1,IF($O$133,MAX(1,2-(Vu_khi!$L$133-2)),2-(Vu_khi!$L$133-2))+1))))</f>
        <v/>
      </c>
      <c r="AD133" t="n">
        <v>0.85</v>
      </c>
      <c r="AE133">
        <f>IF(Vu_khi!$AG$133,INDEX(Bang_danh_noc!$C$2:$C$8,MIN(7,MAX(1,2-(Vu_khi!$L$133-4)+1))),INDEX(Bang_xuyen_giap!$C$2:$C$8,MIN(7,MAX(1,IF($O$133,MAX(1,2-(Vu_khi!$L$133-4)),2-(Vu_khi!$L$133-4))+1))))</f>
        <v/>
      </c>
      <c r="AF133" t="n">
        <v>0.4</v>
      </c>
      <c r="AG133">
        <f>INDEX(Bang_xuyen_giap!$C$2:$C$8,MIN(7,MAX(1,MAX(1,2-(Vu_khi!$L$133-0))+1)))</f>
        <v/>
      </c>
      <c r="AH133" t="n">
        <v>1</v>
      </c>
      <c r="AI133">
        <f>IF($Q$133,$M$133*$AA$133*$U$133,0)</f>
        <v/>
      </c>
      <c r="AJ133" t="n">
        <v>0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IF($Q$133,$M$133*$AC$133*$Y$133,0)</f>
        <v/>
      </c>
      <c r="AP133" t="n">
        <v>0</v>
      </c>
      <c r="AQ133">
        <f>IF($S$133,$M$133*$AG$133*$W$133,0)</f>
        <v/>
      </c>
      <c r="AR133" t="n">
        <v>285.7142857142857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inlineStr"/>
      <c r="AZ133" t="inlineStr">
        <is>
          <t>ok</t>
        </is>
      </c>
      <c r="BA133" t="inlineStr"/>
      <c r="BB133" t="inlineStr">
        <is>
          <t>Assets/MachineBrigade/Resources/Data/balance.json: weapons[id=hel_beam] (lớp B trên 01_chien_dau/Vu_khi)</t>
        </is>
      </c>
      <c r="BC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IF(Vu_khi!$AG$134,INDEX(Bang_danh_noc!$C$2:$C$8,MIN(7,MAX(1,2-(Vu_khi!$L$134-0)+1))),INDEX(Bang_xuyen_giap!$C$2:$C$8,MIN(7,MAX(1,IF($O$134,MAX(1,2-(Vu_khi!$L$134-0)),2-(Vu_khi!$L$134-0))+1))))</f>
        <v/>
      </c>
      <c r="AB134" t="n">
        <v>1.2</v>
      </c>
      <c r="AC134">
        <f>IF(Vu_khi!$AG$134,INDEX(Bang_danh_noc!$C$2:$C$8,MIN(7,MAX(1,2-(Vu_khi!$L$134-2)+1))),INDEX(Bang_xuyen_giap!$C$2:$C$8,MIN(7,MAX(1,IF($O$134,MAX(1,2-(Vu_khi!$L$134-2)),2-(Vu_khi!$L$134-2))+1))))</f>
        <v/>
      </c>
      <c r="AD134" t="n">
        <v>0.85</v>
      </c>
      <c r="AE134">
        <f>IF(Vu_khi!$AG$134,INDEX(Bang_danh_noc!$C$2:$C$8,MIN(7,MAX(1,2-(Vu_khi!$L$134-4)+1))),INDEX(Bang_xuyen_giap!$C$2:$C$8,MIN(7,MAX(1,IF($O$134,MAX(1,2-(Vu_khi!$L$134-4)),2-(Vu_khi!$L$134-4))+1))))</f>
        <v/>
      </c>
      <c r="AF134" t="n">
        <v>0.4</v>
      </c>
      <c r="AG134">
        <f>INDEX(Bang_xuyen_giap!$C$2:$C$8,MIN(7,MAX(1,MAX(1,2-(Vu_khi!$L$134-0))+1)))</f>
        <v/>
      </c>
      <c r="AH134" t="n">
        <v>1</v>
      </c>
      <c r="AI134">
        <f>IF($Q$134,$M$134*$AA$134*$U$134,0)</f>
        <v/>
      </c>
      <c r="AJ134" t="n">
        <v>131.0715763342987</v>
      </c>
      <c r="AK134">
        <f>IF($Q$134,$M$134*$AC$134*$U$134,0)</f>
        <v/>
      </c>
      <c r="AL134" t="n">
        <v>92.84236657012826</v>
      </c>
      <c r="AM134">
        <f>IF($Q$134,$M$134*$AE$134*$U$134,0)</f>
        <v/>
      </c>
      <c r="AN134" t="n">
        <v>43.69052544476624</v>
      </c>
      <c r="AO134">
        <f>IF($Q$134,$M$134*$AC$134*$Y$134,0)</f>
        <v/>
      </c>
      <c r="AP134" t="n">
        <v>54.15804716590815</v>
      </c>
      <c r="AQ134">
        <f>IF($S$134,$M$134*$AG$134*$W$134,0)</f>
        <v/>
      </c>
      <c r="AR134" t="n">
        <v>27.3065784029789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2.517708</v>
      </c>
      <c r="AZ134" t="inlineStr">
        <is>
          <t>ok</t>
        </is>
      </c>
      <c r="BA134" t="inlineStr"/>
      <c r="BB134" t="inlineStr">
        <is>
          <t>Assets/MachineBrigade/Resources/Data/balance.json: weapons[id=heli_gun] (lớp B trên 01_chien_dau/Vu_khi)</t>
        </is>
      </c>
      <c r="BC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IF(Vu_khi!$AG$135,INDEX(Bang_danh_noc!$C$2:$C$8,MIN(7,MAX(1,2-(Vu_khi!$L$135-0)+1))),INDEX(Bang_xuyen_giap!$C$2:$C$8,MIN(7,MAX(1,IF($O$135,MAX(1,2-(Vu_khi!$L$135-0)),2-(Vu_khi!$L$135-0))+1))))</f>
        <v/>
      </c>
      <c r="AB135" t="n">
        <v>1.2</v>
      </c>
      <c r="AC135">
        <f>IF(Vu_khi!$AG$135,INDEX(Bang_danh_noc!$C$2:$C$8,MIN(7,MAX(1,2-(Vu_khi!$L$135-2)+1))),INDEX(Bang_xuyen_giap!$C$2:$C$8,MIN(7,MAX(1,IF($O$135,MAX(1,2-(Vu_khi!$L$135-2)),2-(Vu_khi!$L$135-2))+1))))</f>
        <v/>
      </c>
      <c r="AD135" t="n">
        <v>0.85</v>
      </c>
      <c r="AE135">
        <f>IF(Vu_khi!$AG$135,INDEX(Bang_danh_noc!$C$2:$C$8,MIN(7,MAX(1,2-(Vu_khi!$L$135-4)+1))),INDEX(Bang_xuyen_giap!$C$2:$C$8,MIN(7,MAX(1,IF($O$135,MAX(1,2-(Vu_khi!$L$135-4)),2-(Vu_khi!$L$135-4))+1))))</f>
        <v/>
      </c>
      <c r="AF135" t="n">
        <v>0.4</v>
      </c>
      <c r="AG135">
        <f>INDEX(Bang_xuyen_giap!$C$2:$C$8,MIN(7,MAX(1,MAX(1,2-(Vu_khi!$L$135-0))+1)))</f>
        <v/>
      </c>
      <c r="AH135" t="n">
        <v>1</v>
      </c>
      <c r="AI135">
        <f>IF($Q$135,$M$135*$AA$135*$U$135,0)</f>
        <v/>
      </c>
      <c r="AJ135" t="n">
        <v>0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IF($Q$135,$M$135*$AC$135*$Y$135,0)</f>
        <v/>
      </c>
      <c r="AP135" t="n">
        <v>0</v>
      </c>
      <c r="AQ135">
        <f>IF($S$135,$M$135*$AG$135*$W$135,0)</f>
        <v/>
      </c>
      <c r="AR135" t="n">
        <v>122.8796028134051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1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BB135" t="inlineStr">
        <is>
          <t>Assets/MachineBrigade/Resources/Data/balance.json: weapons[id=heli_gun_flak] (lớp B trên 01_chien_dau/Vu_khi)</t>
        </is>
      </c>
      <c r="BC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IF(Vu_khi!$AG$136,INDEX(Bang_danh_noc!$C$2:$C$8,MIN(7,MAX(1,2-(Vu_khi!$L$136-0)+1))),INDEX(Bang_xuyen_giap!$C$2:$C$8,MIN(7,MAX(1,IF($O$136,MAX(1,2-(Vu_khi!$L$136-0)),2-(Vu_khi!$L$136-0))+1))))</f>
        <v/>
      </c>
      <c r="AB136" t="n">
        <v>1.2</v>
      </c>
      <c r="AC136">
        <f>IF(Vu_khi!$AG$136,INDEX(Bang_danh_noc!$C$2:$C$8,MIN(7,MAX(1,2-(Vu_khi!$L$136-2)+1))),INDEX(Bang_xuyen_giap!$C$2:$C$8,MIN(7,MAX(1,IF($O$136,MAX(1,2-(Vu_khi!$L$136-2)),2-(Vu_khi!$L$136-2))+1))))</f>
        <v/>
      </c>
      <c r="AD136" t="n">
        <v>0.85</v>
      </c>
      <c r="AE136">
        <f>IF(Vu_khi!$AG$136,INDEX(Bang_danh_noc!$C$2:$C$8,MIN(7,MAX(1,2-(Vu_khi!$L$136-4)+1))),INDEX(Bang_xuyen_giap!$C$2:$C$8,MIN(7,MAX(1,IF($O$136,MAX(1,2-(Vu_khi!$L$136-4)),2-(Vu_khi!$L$136-4))+1))))</f>
        <v/>
      </c>
      <c r="AF136" t="n">
        <v>0.4</v>
      </c>
      <c r="AG136">
        <f>INDEX(Bang_xuyen_giap!$C$2:$C$8,MIN(7,MAX(1,MAX(1,2-(Vu_khi!$L$136-0))+1)))</f>
        <v/>
      </c>
      <c r="AH136" t="n">
        <v>1</v>
      </c>
      <c r="AI136">
        <f>IF($Q$136,$M$136*$AA$136*$U$136,0)</f>
        <v/>
      </c>
      <c r="AJ136" t="n">
        <v>46.53349001175089</v>
      </c>
      <c r="AK136">
        <f>IF($Q$136,$M$136*$AC$136*$U$136,0)</f>
        <v/>
      </c>
      <c r="AL136" t="n">
        <v>32.96122209165688</v>
      </c>
      <c r="AM136">
        <f>IF($Q$136,$M$136*$AE$136*$U$136,0)</f>
        <v/>
      </c>
      <c r="AN136" t="n">
        <v>15.5111633372503</v>
      </c>
      <c r="AO136">
        <f>IF($Q$136,$M$136*$AC$136*$Y$136,0)</f>
        <v/>
      </c>
      <c r="AP136" t="n">
        <v>52.73795534665101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1.8</v>
      </c>
      <c r="AZ136" t="inlineStr">
        <is>
          <t>ok</t>
        </is>
      </c>
      <c r="BA136" t="inlineStr"/>
      <c r="BB136" t="inlineStr">
        <is>
          <t>Assets/MachineBrigade/Resources/Data/balance.json: weapons[id=heli_rockets] (lớp B trên 01_chien_dau/Vu_khi)</t>
        </is>
      </c>
      <c r="BC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IF(Vu_khi!$AG$137,INDEX(Bang_danh_noc!$C$2:$C$8,MIN(7,MAX(1,2-(Vu_khi!$L$137-0)+1))),INDEX(Bang_xuyen_giap!$C$2:$C$8,MIN(7,MAX(1,IF($O$137,MAX(1,2-(Vu_khi!$L$137-0)),2-(Vu_khi!$L$137-0))+1))))</f>
        <v/>
      </c>
      <c r="AB137" t="n">
        <v>1.15</v>
      </c>
      <c r="AC137">
        <f>IF(Vu_khi!$AG$137,INDEX(Bang_danh_noc!$C$2:$C$8,MIN(7,MAX(1,2-(Vu_khi!$L$137-2)+1))),INDEX(Bang_xuyen_giap!$C$2:$C$8,MIN(7,MAX(1,IF($O$137,MAX(1,2-(Vu_khi!$L$137-2)),2-(Vu_khi!$L$137-2))+1))))</f>
        <v/>
      </c>
      <c r="AD137" t="n">
        <v>1.15</v>
      </c>
      <c r="AE137">
        <f>IF(Vu_khi!$AG$137,INDEX(Bang_danh_noc!$C$2:$C$8,MIN(7,MAX(1,2-(Vu_khi!$L$137-4)+1))),INDEX(Bang_xuyen_giap!$C$2:$C$8,MIN(7,MAX(1,IF($O$137,MAX(1,2-(Vu_khi!$L$137-4)),2-(Vu_khi!$L$137-4))+1))))</f>
        <v/>
      </c>
      <c r="AF137" t="n">
        <v>0.95</v>
      </c>
      <c r="AG137">
        <f>INDEX(Bang_xuyen_giap!$C$2:$C$8,MIN(7,MAX(1,MAX(1,2-(Vu_khi!$L$137-0))+1)))</f>
        <v/>
      </c>
      <c r="AH137" t="n">
        <v>1</v>
      </c>
      <c r="AI137">
        <f>IF($Q$137,$M$137*$AA$137*$U$137,0)</f>
        <v/>
      </c>
      <c r="AJ137" t="n">
        <v>97.175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80.27499999999999</v>
      </c>
      <c r="AO137">
        <f>IF($Q$137,$M$137*$AC$137*$Y$137,0)</f>
        <v/>
      </c>
      <c r="AP137" t="n">
        <v>33.6375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weapons[id=hellfire_standoff] (lớp B trên 01_chien_dau/Vu_khi)</t>
        </is>
      </c>
      <c r="BC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IF(Vu_khi!$AG$138,INDEX(Bang_danh_noc!$C$2:$C$8,MIN(7,MAX(1,2-(Vu_khi!$L$138-0)+1))),INDEX(Bang_xuyen_giap!$C$2:$C$8,MIN(7,MAX(1,IF($O$138,MAX(1,2-(Vu_khi!$L$138-0)),2-(Vu_khi!$L$138-0))+1))))</f>
        <v/>
      </c>
      <c r="AB138" t="n">
        <v>1.2</v>
      </c>
      <c r="AC138">
        <f>IF(Vu_khi!$AG$138,INDEX(Bang_danh_noc!$C$2:$C$8,MIN(7,MAX(1,2-(Vu_khi!$L$138-2)+1))),INDEX(Bang_xuyen_giap!$C$2:$C$8,MIN(7,MAX(1,IF($O$138,MAX(1,2-(Vu_khi!$L$138-2)),2-(Vu_khi!$L$138-2))+1))))</f>
        <v/>
      </c>
      <c r="AD138" t="n">
        <v>1.2</v>
      </c>
      <c r="AE138">
        <f>IF(Vu_khi!$AG$138,INDEX(Bang_danh_noc!$C$2:$C$8,MIN(7,MAX(1,2-(Vu_khi!$L$138-4)+1))),INDEX(Bang_xuyen_giap!$C$2:$C$8,MIN(7,MAX(1,IF($O$138,MAX(1,2-(Vu_khi!$L$138-4)),2-(Vu_khi!$L$138-4))+1))))</f>
        <v/>
      </c>
      <c r="AF138" t="n">
        <v>0.85</v>
      </c>
      <c r="AG138">
        <f>INDEX(Bang_xuyen_giap!$C$2:$C$8,MIN(7,MAX(1,MAX(1,2-(Vu_khi!$L$138-0))+1)))</f>
        <v/>
      </c>
      <c r="AH138" t="n">
        <v>1</v>
      </c>
      <c r="AI138">
        <f>IF($Q$138,$M$138*$AA$138*$U$138,0)</f>
        <v/>
      </c>
      <c r="AJ138" t="n">
        <v>73.14697926059513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51.81244364292155</v>
      </c>
      <c r="AO138">
        <f>IF($Q$138,$M$138*$AC$138*$Y$138,0)</f>
        <v/>
      </c>
      <c r="AP138" t="n">
        <v>25.32010820559062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inlineStr"/>
      <c r="AZ138" t="inlineStr">
        <is>
          <t>ok</t>
        </is>
      </c>
      <c r="BA138" t="inlineStr"/>
      <c r="BB138" t="inlineStr">
        <is>
          <t>Assets/MachineBrigade/Resources/Data/balance.json: weapons[id=hellfire_volley] (lớp B trên 01_chien_dau/Vu_khi)</t>
        </is>
      </c>
      <c r="BC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IF(Vu_khi!$AG$139,INDEX(Bang_danh_noc!$C$2:$C$8,MIN(7,MAX(1,2-(Vu_khi!$L$139-0)+1))),INDEX(Bang_xuyen_giap!$C$2:$C$8,MIN(7,MAX(1,IF($O$139,MAX(1,2-(Vu_khi!$L$139-0)),2-(Vu_khi!$L$139-0))+1))))</f>
        <v/>
      </c>
      <c r="AB139" t="n">
        <v>1.2</v>
      </c>
      <c r="AC139">
        <f>IF(Vu_khi!$AG$139,INDEX(Bang_danh_noc!$C$2:$C$8,MIN(7,MAX(1,2-(Vu_khi!$L$139-2)+1))),INDEX(Bang_xuyen_giap!$C$2:$C$8,MIN(7,MAX(1,IF($O$139,MAX(1,2-(Vu_khi!$L$139-2)),2-(Vu_khi!$L$139-2))+1))))</f>
        <v/>
      </c>
      <c r="AD139" t="n">
        <v>0.85</v>
      </c>
      <c r="AE139">
        <f>IF(Vu_khi!$AG$139,INDEX(Bang_danh_noc!$C$2:$C$8,MIN(7,MAX(1,2-(Vu_khi!$L$139-4)+1))),INDEX(Bang_xuyen_giap!$C$2:$C$8,MIN(7,MAX(1,IF($O$139,MAX(1,2-(Vu_khi!$L$139-4)),2-(Vu_khi!$L$139-4))+1))))</f>
        <v/>
      </c>
      <c r="AF139" t="n">
        <v>0.4</v>
      </c>
      <c r="AG139">
        <f>INDEX(Bang_xuyen_giap!$C$2:$C$8,MIN(7,MAX(1,MAX(1,2-(Vu_khi!$L$139-0))+1)))</f>
        <v/>
      </c>
      <c r="AH139" t="n">
        <v>1</v>
      </c>
      <c r="AI139">
        <f>IF($Q$139,$M$139*$AA$139*$U$139,0)</f>
        <v/>
      </c>
      <c r="AJ139" t="n">
        <v>154.4126984126984</v>
      </c>
      <c r="AK139">
        <f>IF($Q$139,$M$139*$AC$139*$U$139,0)</f>
        <v/>
      </c>
      <c r="AL139" t="n">
        <v>109.3756613756614</v>
      </c>
      <c r="AM139">
        <f>IF($Q$139,$M$139*$AE$139*$U$139,0)</f>
        <v/>
      </c>
      <c r="AN139" t="n">
        <v>51.47089947089947</v>
      </c>
      <c r="AO139">
        <f>IF($Q$139,$M$139*$AC$139*$Y$139,0)</f>
        <v/>
      </c>
      <c r="AP139" t="n">
        <v>175.0010582010582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2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1.05</v>
      </c>
      <c r="AZ139" t="inlineStr">
        <is>
          <t>ok</t>
        </is>
      </c>
      <c r="BA139" t="inlineStr"/>
      <c r="BB139" t="inlineStr">
        <is>
          <t>Assets/MachineBrigade/Resources/Data/balance.json: weapons[id=hind_rockets] (lớp B trên 01_chien_dau/Vu_khi)</t>
        </is>
      </c>
      <c r="BC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IF(Vu_khi!$AG$140,INDEX(Bang_danh_noc!$C$2:$C$8,MIN(7,MAX(1,2-(Vu_khi!$L$140-0)+1))),INDEX(Bang_xuyen_giap!$C$2:$C$8,MIN(7,MAX(1,IF($O$140,MAX(1,2-(Vu_khi!$L$140-0)),2-(Vu_khi!$L$140-0))+1))))</f>
        <v/>
      </c>
      <c r="AB140" t="n">
        <v>1</v>
      </c>
      <c r="AC140">
        <f>IF(Vu_khi!$AG$140,INDEX(Bang_danh_noc!$C$2:$C$8,MIN(7,MAX(1,2-(Vu_khi!$L$140-2)+1))),INDEX(Bang_xuyen_giap!$C$2:$C$8,MIN(7,MAX(1,IF($O$140,MAX(1,2-(Vu_khi!$L$140-2)),2-(Vu_khi!$L$140-2))+1))))</f>
        <v/>
      </c>
      <c r="AD140" t="n">
        <v>0.65</v>
      </c>
      <c r="AE140">
        <f>IF(Vu_khi!$AG$140,INDEX(Bang_danh_noc!$C$2:$C$8,MIN(7,MAX(1,2-(Vu_khi!$L$140-4)+1))),INDEX(Bang_xuyen_giap!$C$2:$C$8,MIN(7,MAX(1,IF($O$140,MAX(1,2-(Vu_khi!$L$140-4)),2-(Vu_khi!$L$140-4))+1))))</f>
        <v/>
      </c>
      <c r="AF140" t="n">
        <v>0.15</v>
      </c>
      <c r="AG140">
        <f>INDEX(Bang_xuyen_giap!$C$2:$C$8,MIN(7,MAX(1,MAX(1,2-(Vu_khi!$L$140-0))+1)))</f>
        <v/>
      </c>
      <c r="AH140" t="n">
        <v>1</v>
      </c>
      <c r="AI140">
        <f>IF($Q$140,$M$140*$AA$140*$U$140,0)</f>
        <v/>
      </c>
      <c r="AJ140" t="n">
        <v>70.76350093109869</v>
      </c>
      <c r="AK140">
        <f>IF($Q$140,$M$140*$AC$140*$U$140,0)</f>
        <v/>
      </c>
      <c r="AL140" t="n">
        <v>45.99627560521415</v>
      </c>
      <c r="AM140">
        <f>IF($Q$140,$M$140*$AE$140*$U$140,0)</f>
        <v/>
      </c>
      <c r="AN140" t="n">
        <v>10.6145251396648</v>
      </c>
      <c r="AO140">
        <f>IF($Q$140,$M$140*$AC$140*$Y$140,0)</f>
        <v/>
      </c>
      <c r="AP140" t="n">
        <v>26.83116076970825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1.611</v>
      </c>
      <c r="AZ140" t="inlineStr">
        <is>
          <t>ok</t>
        </is>
      </c>
      <c r="BA140" t="inlineStr"/>
      <c r="BB140" t="inlineStr">
        <is>
          <t>Assets/MachineBrigade/Resources/Data/balance.json: weapons[id=hmg_roof] (lớp B trên 01_chien_dau/Vu_khi)</t>
        </is>
      </c>
      <c r="BC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IF(Vu_khi!$AG$141,INDEX(Bang_danh_noc!$C$2:$C$8,MIN(7,MAX(1,2-(Vu_khi!$L$141-0)+1))),INDEX(Bang_xuyen_giap!$C$2:$C$8,MIN(7,MAX(1,IF($O$141,MAX(1,2-(Vu_khi!$L$141-0)),2-(Vu_khi!$L$141-0))+1))))</f>
        <v/>
      </c>
      <c r="AB141" t="n">
        <v>1.2</v>
      </c>
      <c r="AC141">
        <f>IF(Vu_khi!$AG$141,INDEX(Bang_danh_noc!$C$2:$C$8,MIN(7,MAX(1,2-(Vu_khi!$L$141-2)+1))),INDEX(Bang_xuyen_giap!$C$2:$C$8,MIN(7,MAX(1,IF($O$141,MAX(1,2-(Vu_khi!$L$141-2)),2-(Vu_khi!$L$141-2))+1))))</f>
        <v/>
      </c>
      <c r="AD141" t="n">
        <v>0.85</v>
      </c>
      <c r="AE141">
        <f>IF(Vu_khi!$AG$141,INDEX(Bang_danh_noc!$C$2:$C$8,MIN(7,MAX(1,2-(Vu_khi!$L$141-4)+1))),INDEX(Bang_xuyen_giap!$C$2:$C$8,MIN(7,MAX(1,IF($O$141,MAX(1,2-(Vu_khi!$L$141-4)),2-(Vu_khi!$L$141-4))+1))))</f>
        <v/>
      </c>
      <c r="AF141" t="n">
        <v>0.4</v>
      </c>
      <c r="AG141">
        <f>INDEX(Bang_xuyen_giap!$C$2:$C$8,MIN(7,MAX(1,MAX(1,2-(Vu_khi!$L$141-0))+1)))</f>
        <v/>
      </c>
      <c r="AH141" t="n">
        <v>1</v>
      </c>
      <c r="AI141">
        <f>IF($Q$141,$M$141*$AA$141*$U$141,0)</f>
        <v/>
      </c>
      <c r="AJ141" t="n">
        <v>84.91620111731844</v>
      </c>
      <c r="AK141">
        <f>IF($Q$141,$M$141*$AC$141*$U$141,0)</f>
        <v/>
      </c>
      <c r="AL141" t="n">
        <v>60.14897579143389</v>
      </c>
      <c r="AM141">
        <f>IF($Q$141,$M$141*$AE$141*$U$141,0)</f>
        <v/>
      </c>
      <c r="AN141" t="n">
        <v>28.30540037243948</v>
      </c>
      <c r="AO141">
        <f>IF($Q$141,$M$141*$AC$141*$Y$141,0)</f>
        <v/>
      </c>
      <c r="AP141" t="n">
        <v>35.0869025450031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BB141" t="inlineStr">
        <is>
          <t>Assets/MachineBrigade/Resources/Data/balance.json: weapons[id=hmg_roof_api] (lớp B trên 01_chien_dau/Vu_khi)</t>
        </is>
      </c>
      <c r="BC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IF(Vu_khi!$AG$142,INDEX(Bang_danh_noc!$C$2:$C$8,MIN(7,MAX(1,2-(Vu_khi!$L$142-0)+1))),INDEX(Bang_xuyen_giap!$C$2:$C$8,MIN(7,MAX(1,IF($O$142,MAX(1,2-(Vu_khi!$L$142-0)),2-(Vu_khi!$L$142-0))+1))))</f>
        <v/>
      </c>
      <c r="AB142" t="n">
        <v>1</v>
      </c>
      <c r="AC142">
        <f>IF(Vu_khi!$AG$142,INDEX(Bang_danh_noc!$C$2:$C$8,MIN(7,MAX(1,2-(Vu_khi!$L$142-2)+1))),INDEX(Bang_xuyen_giap!$C$2:$C$8,MIN(7,MAX(1,IF($O$142,MAX(1,2-(Vu_khi!$L$142-2)),2-(Vu_khi!$L$142-2))+1))))</f>
        <v/>
      </c>
      <c r="AD142" t="n">
        <v>0.65</v>
      </c>
      <c r="AE142">
        <f>IF(Vu_khi!$AG$142,INDEX(Bang_danh_noc!$C$2:$C$8,MIN(7,MAX(1,2-(Vu_khi!$L$142-4)+1))),INDEX(Bang_xuyen_giap!$C$2:$C$8,MIN(7,MAX(1,IF($O$142,MAX(1,2-(Vu_khi!$L$142-4)),2-(Vu_khi!$L$142-4))+1))))</f>
        <v/>
      </c>
      <c r="AF142" t="n">
        <v>0.15</v>
      </c>
      <c r="AG142">
        <f>INDEX(Bang_xuyen_giap!$C$2:$C$8,MIN(7,MAX(1,MAX(1,2-(Vu_khi!$L$142-0))+1)))</f>
        <v/>
      </c>
      <c r="AH142" t="n">
        <v>1</v>
      </c>
      <c r="AI142">
        <f>IF($Q$142,$M$142*$AA$142*$U$142,0)</f>
        <v/>
      </c>
      <c r="AJ142" t="n">
        <v>70.76350093109869</v>
      </c>
      <c r="AK142">
        <f>IF($Q$142,$M$142*$AC$142*$U$142,0)</f>
        <v/>
      </c>
      <c r="AL142" t="n">
        <v>45.99627560521415</v>
      </c>
      <c r="AM142">
        <f>IF($Q$142,$M$142*$AE$142*$U$142,0)</f>
        <v/>
      </c>
      <c r="AN142" t="n">
        <v>10.6145251396648</v>
      </c>
      <c r="AO142">
        <f>IF($Q$142,$M$142*$AC$142*$Y$142,0)</f>
        <v/>
      </c>
      <c r="AP142" t="n">
        <v>26.83116076970825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1.611</v>
      </c>
      <c r="AZ142" t="inlineStr">
        <is>
          <t>ok</t>
        </is>
      </c>
      <c r="BA142" t="inlineStr"/>
      <c r="BB142" t="inlineStr">
        <is>
          <t>Assets/MachineBrigade/Resources/Data/balance.json: weapons[id=hmg_selfdef_15] (lớp B trên 01_chien_dau/Vu_khi)</t>
        </is>
      </c>
      <c r="BC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IF(Vu_khi!$AG$143,INDEX(Bang_danh_noc!$C$2:$C$8,MIN(7,MAX(1,2-(Vu_khi!$L$143-0)+1))),INDEX(Bang_xuyen_giap!$C$2:$C$8,MIN(7,MAX(1,IF($O$143,MAX(1,2-(Vu_khi!$L$143-0)),2-(Vu_khi!$L$143-0))+1))))</f>
        <v/>
      </c>
      <c r="AB143" t="n">
        <v>1.2</v>
      </c>
      <c r="AC143">
        <f>IF(Vu_khi!$AG$143,INDEX(Bang_danh_noc!$C$2:$C$8,MIN(7,MAX(1,2-(Vu_khi!$L$143-2)+1))),INDEX(Bang_xuyen_giap!$C$2:$C$8,MIN(7,MAX(1,IF($O$143,MAX(1,2-(Vu_khi!$L$143-2)),2-(Vu_khi!$L$143-2))+1))))</f>
        <v/>
      </c>
      <c r="AD143" t="n">
        <v>0.85</v>
      </c>
      <c r="AE143">
        <f>IF(Vu_khi!$AG$143,INDEX(Bang_danh_noc!$C$2:$C$8,MIN(7,MAX(1,2-(Vu_khi!$L$143-4)+1))),INDEX(Bang_xuyen_giap!$C$2:$C$8,MIN(7,MAX(1,IF($O$143,MAX(1,2-(Vu_khi!$L$143-4)),2-(Vu_khi!$L$143-4))+1))))</f>
        <v/>
      </c>
      <c r="AF143" t="n">
        <v>0.4</v>
      </c>
      <c r="AG143">
        <f>INDEX(Bang_xuyen_giap!$C$2:$C$8,MIN(7,MAX(1,MAX(1,2-(Vu_khi!$L$143-0))+1)))</f>
        <v/>
      </c>
      <c r="AH143" t="n">
        <v>1</v>
      </c>
      <c r="AI143">
        <f>IF($Q$143,$M$143*$AA$143*$U$143,0)</f>
        <v/>
      </c>
      <c r="AJ143" t="n">
        <v>84.91620111731844</v>
      </c>
      <c r="AK143">
        <f>IF($Q$143,$M$143*$AC$143*$U$143,0)</f>
        <v/>
      </c>
      <c r="AL143" t="n">
        <v>60.14897579143389</v>
      </c>
      <c r="AM143">
        <f>IF($Q$143,$M$143*$AE$143*$U$143,0)</f>
        <v/>
      </c>
      <c r="AN143" t="n">
        <v>28.30540037243948</v>
      </c>
      <c r="AO143">
        <f>IF($Q$143,$M$143*$AC$143*$Y$143,0)</f>
        <v/>
      </c>
      <c r="AP143" t="n">
        <v>35.0869025450031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weapons[id=hmg_selfdef_15_api] (lớp B trên 01_chien_dau/Vu_khi)</t>
        </is>
      </c>
      <c r="BC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IF(Vu_khi!$AG$144,INDEX(Bang_danh_noc!$C$2:$C$8,MIN(7,MAX(1,2-(Vu_khi!$L$144-0)+1))),INDEX(Bang_xuyen_giap!$C$2:$C$8,MIN(7,MAX(1,IF($O$144,MAX(1,2-(Vu_khi!$L$144-0)),2-(Vu_khi!$L$144-0))+1))))</f>
        <v/>
      </c>
      <c r="AB144" t="n">
        <v>1</v>
      </c>
      <c r="AC144">
        <f>IF(Vu_khi!$AG$144,INDEX(Bang_danh_noc!$C$2:$C$8,MIN(7,MAX(1,2-(Vu_khi!$L$144-2)+1))),INDEX(Bang_xuyen_giap!$C$2:$C$8,MIN(7,MAX(1,IF($O$144,MAX(1,2-(Vu_khi!$L$144-2)),2-(Vu_khi!$L$144-2))+1))))</f>
        <v/>
      </c>
      <c r="AD144" t="n">
        <v>0.65</v>
      </c>
      <c r="AE144">
        <f>IF(Vu_khi!$AG$144,INDEX(Bang_danh_noc!$C$2:$C$8,MIN(7,MAX(1,2-(Vu_khi!$L$144-4)+1))),INDEX(Bang_xuyen_giap!$C$2:$C$8,MIN(7,MAX(1,IF($O$144,MAX(1,2-(Vu_khi!$L$144-4)),2-(Vu_khi!$L$144-4))+1))))</f>
        <v/>
      </c>
      <c r="AF144" t="n">
        <v>0.15</v>
      </c>
      <c r="AG144">
        <f>INDEX(Bang_xuyen_giap!$C$2:$C$8,MIN(7,MAX(1,MAX(1,2-(Vu_khi!$L$144-0))+1)))</f>
        <v/>
      </c>
      <c r="AH144" t="n">
        <v>1</v>
      </c>
      <c r="AI144">
        <f>IF($Q$144,$M$144*$AA$144*$U$144,0)</f>
        <v/>
      </c>
      <c r="AJ144" t="n">
        <v>70.76350093109869</v>
      </c>
      <c r="AK144">
        <f>IF($Q$144,$M$144*$AC$144*$U$144,0)</f>
        <v/>
      </c>
      <c r="AL144" t="n">
        <v>45.99627560521415</v>
      </c>
      <c r="AM144">
        <f>IF($Q$144,$M$144*$AE$144*$U$144,0)</f>
        <v/>
      </c>
      <c r="AN144" t="n">
        <v>10.6145251396648</v>
      </c>
      <c r="AO144">
        <f>IF($Q$144,$M$144*$AC$144*$Y$144,0)</f>
        <v/>
      </c>
      <c r="AP144" t="n">
        <v>26.83116076970825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1.611</v>
      </c>
      <c r="AZ144" t="inlineStr">
        <is>
          <t>ok</t>
        </is>
      </c>
      <c r="BA144" t="inlineStr"/>
      <c r="BB144" t="inlineStr">
        <is>
          <t>Assets/MachineBrigade/Resources/Data/balance.json: weapons[id=hmg_selfdef_18] (lớp B trên 01_chien_dau/Vu_khi)</t>
        </is>
      </c>
      <c r="BC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IF(Vu_khi!$AG$145,INDEX(Bang_danh_noc!$C$2:$C$8,MIN(7,MAX(1,2-(Vu_khi!$L$145-0)+1))),INDEX(Bang_xuyen_giap!$C$2:$C$8,MIN(7,MAX(1,IF($O$145,MAX(1,2-(Vu_khi!$L$145-0)),2-(Vu_khi!$L$145-0))+1))))</f>
        <v/>
      </c>
      <c r="AB145" t="n">
        <v>1.2</v>
      </c>
      <c r="AC145">
        <f>IF(Vu_khi!$AG$145,INDEX(Bang_danh_noc!$C$2:$C$8,MIN(7,MAX(1,2-(Vu_khi!$L$145-2)+1))),INDEX(Bang_xuyen_giap!$C$2:$C$8,MIN(7,MAX(1,IF($O$145,MAX(1,2-(Vu_khi!$L$145-2)),2-(Vu_khi!$L$145-2))+1))))</f>
        <v/>
      </c>
      <c r="AD145" t="n">
        <v>0.85</v>
      </c>
      <c r="AE145">
        <f>IF(Vu_khi!$AG$145,INDEX(Bang_danh_noc!$C$2:$C$8,MIN(7,MAX(1,2-(Vu_khi!$L$145-4)+1))),INDEX(Bang_xuyen_giap!$C$2:$C$8,MIN(7,MAX(1,IF($O$145,MAX(1,2-(Vu_khi!$L$145-4)),2-(Vu_khi!$L$145-4))+1))))</f>
        <v/>
      </c>
      <c r="AF145" t="n">
        <v>0.4</v>
      </c>
      <c r="AG145">
        <f>INDEX(Bang_xuyen_giap!$C$2:$C$8,MIN(7,MAX(1,MAX(1,2-(Vu_khi!$L$145-0))+1)))</f>
        <v/>
      </c>
      <c r="AH145" t="n">
        <v>1</v>
      </c>
      <c r="AI145">
        <f>IF($Q$145,$M$145*$AA$145*$U$145,0)</f>
        <v/>
      </c>
      <c r="AJ145" t="n">
        <v>84.91620111731844</v>
      </c>
      <c r="AK145">
        <f>IF($Q$145,$M$145*$AC$145*$U$145,0)</f>
        <v/>
      </c>
      <c r="AL145" t="n">
        <v>60.14897579143389</v>
      </c>
      <c r="AM145">
        <f>IF($Q$145,$M$145*$AE$145*$U$145,0)</f>
        <v/>
      </c>
      <c r="AN145" t="n">
        <v>28.30540037243948</v>
      </c>
      <c r="AO145">
        <f>IF($Q$145,$M$145*$AC$145*$Y$145,0)</f>
        <v/>
      </c>
      <c r="AP145" t="n">
        <v>35.0869025450031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BB145" t="inlineStr">
        <is>
          <t>Assets/MachineBrigade/Resources/Data/balance.json: weapons[id=hmg_selfdef_18_api] (lớp B trên 01_chien_dau/Vu_khi)</t>
        </is>
      </c>
      <c r="BC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IF(Vu_khi!$AG$146,INDEX(Bang_danh_noc!$C$2:$C$8,MIN(7,MAX(1,2-(Vu_khi!$L$146-0)+1))),INDEX(Bang_xuyen_giap!$C$2:$C$8,MIN(7,MAX(1,IF($O$146,MAX(1,2-(Vu_khi!$L$146-0)),2-(Vu_khi!$L$146-0))+1))))</f>
        <v/>
      </c>
      <c r="AB146" t="n">
        <v>1</v>
      </c>
      <c r="AC146">
        <f>IF(Vu_khi!$AG$146,INDEX(Bang_danh_noc!$C$2:$C$8,MIN(7,MAX(1,2-(Vu_khi!$L$146-2)+1))),INDEX(Bang_xuyen_giap!$C$2:$C$8,MIN(7,MAX(1,IF($O$146,MAX(1,2-(Vu_khi!$L$146-2)),2-(Vu_khi!$L$146-2))+1))))</f>
        <v/>
      </c>
      <c r="AD146" t="n">
        <v>0.65</v>
      </c>
      <c r="AE146">
        <f>IF(Vu_khi!$AG$146,INDEX(Bang_danh_noc!$C$2:$C$8,MIN(7,MAX(1,2-(Vu_khi!$L$146-4)+1))),INDEX(Bang_xuyen_giap!$C$2:$C$8,MIN(7,MAX(1,IF($O$146,MAX(1,2-(Vu_khi!$L$146-4)),2-(Vu_khi!$L$146-4))+1))))</f>
        <v/>
      </c>
      <c r="AF146" t="n">
        <v>0.15</v>
      </c>
      <c r="AG146">
        <f>INDEX(Bang_xuyen_giap!$C$2:$C$8,MIN(7,MAX(1,MAX(1,2-(Vu_khi!$L$146-0))+1)))</f>
        <v/>
      </c>
      <c r="AH146" t="n">
        <v>1</v>
      </c>
      <c r="AI146">
        <f>IF($Q$146,$M$146*$AA$146*$U$146,0)</f>
        <v/>
      </c>
      <c r="AJ146" t="n">
        <v>70.76350093109869</v>
      </c>
      <c r="AK146">
        <f>IF($Q$146,$M$146*$AC$146*$U$146,0)</f>
        <v/>
      </c>
      <c r="AL146" t="n">
        <v>45.99627560521415</v>
      </c>
      <c r="AM146">
        <f>IF($Q$146,$M$146*$AE$146*$U$146,0)</f>
        <v/>
      </c>
      <c r="AN146" t="n">
        <v>10.6145251396648</v>
      </c>
      <c r="AO146">
        <f>IF($Q$146,$M$146*$AC$146*$Y$146,0)</f>
        <v/>
      </c>
      <c r="AP146" t="n">
        <v>26.83116076970825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1.611</v>
      </c>
      <c r="AZ146" t="inlineStr">
        <is>
          <t>ok</t>
        </is>
      </c>
      <c r="BA146" t="inlineStr"/>
      <c r="BB146" t="inlineStr">
        <is>
          <t>Assets/MachineBrigade/Resources/Data/balance.json: weapons[id=hmg_selfdef_21] (lớp B trên 01_chien_dau/Vu_khi)</t>
        </is>
      </c>
      <c r="BC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IF(Vu_khi!$AG$147,INDEX(Bang_danh_noc!$C$2:$C$8,MIN(7,MAX(1,2-(Vu_khi!$L$147-0)+1))),INDEX(Bang_xuyen_giap!$C$2:$C$8,MIN(7,MAX(1,IF($O$147,MAX(1,2-(Vu_khi!$L$147-0)),2-(Vu_khi!$L$147-0))+1))))</f>
        <v/>
      </c>
      <c r="AB147" t="n">
        <v>1.2</v>
      </c>
      <c r="AC147">
        <f>IF(Vu_khi!$AG$147,INDEX(Bang_danh_noc!$C$2:$C$8,MIN(7,MAX(1,2-(Vu_khi!$L$147-2)+1))),INDEX(Bang_xuyen_giap!$C$2:$C$8,MIN(7,MAX(1,IF($O$147,MAX(1,2-(Vu_khi!$L$147-2)),2-(Vu_khi!$L$147-2))+1))))</f>
        <v/>
      </c>
      <c r="AD147" t="n">
        <v>0.85</v>
      </c>
      <c r="AE147">
        <f>IF(Vu_khi!$AG$147,INDEX(Bang_danh_noc!$C$2:$C$8,MIN(7,MAX(1,2-(Vu_khi!$L$147-4)+1))),INDEX(Bang_xuyen_giap!$C$2:$C$8,MIN(7,MAX(1,IF($O$147,MAX(1,2-(Vu_khi!$L$147-4)),2-(Vu_khi!$L$147-4))+1))))</f>
        <v/>
      </c>
      <c r="AF147" t="n">
        <v>0.4</v>
      </c>
      <c r="AG147">
        <f>INDEX(Bang_xuyen_giap!$C$2:$C$8,MIN(7,MAX(1,MAX(1,2-(Vu_khi!$L$147-0))+1)))</f>
        <v/>
      </c>
      <c r="AH147" t="n">
        <v>1</v>
      </c>
      <c r="AI147">
        <f>IF($Q$147,$M$147*$AA$147*$U$147,0)</f>
        <v/>
      </c>
      <c r="AJ147" t="n">
        <v>84.91620111731844</v>
      </c>
      <c r="AK147">
        <f>IF($Q$147,$M$147*$AC$147*$U$147,0)</f>
        <v/>
      </c>
      <c r="AL147" t="n">
        <v>60.14897579143389</v>
      </c>
      <c r="AM147">
        <f>IF($Q$147,$M$147*$AE$147*$U$147,0)</f>
        <v/>
      </c>
      <c r="AN147" t="n">
        <v>28.30540037243948</v>
      </c>
      <c r="AO147">
        <f>IF($Q$147,$M$147*$AC$147*$Y$147,0)</f>
        <v/>
      </c>
      <c r="AP147" t="n">
        <v>35.0869025450031</v>
      </c>
      <c r="AQ147">
        <f>IF($S$147,$M$147*$AG$147*$W$147,0)</f>
        <v/>
      </c>
      <c r="AR147" t="n">
        <v>17.69087523277467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0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weapons[id=hmg_selfdef_21_api] (lớp B trên 01_chien_dau/Vu_khi)</t>
        </is>
      </c>
      <c r="BC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IF(Vu_khi!$AG$148,INDEX(Bang_danh_noc!$C$2:$C$8,MIN(7,MAX(1,2-(Vu_khi!$L$148-0)+1))),INDEX(Bang_xuyen_giap!$C$2:$C$8,MIN(7,MAX(1,IF($O$148,MAX(1,2-(Vu_khi!$L$148-0)),2-(Vu_khi!$L$148-0))+1))))</f>
        <v/>
      </c>
      <c r="AB148" t="n">
        <v>1.2</v>
      </c>
      <c r="AC148">
        <f>IF(Vu_khi!$AG$148,INDEX(Bang_danh_noc!$C$2:$C$8,MIN(7,MAX(1,2-(Vu_khi!$L$148-2)+1))),INDEX(Bang_xuyen_giap!$C$2:$C$8,MIN(7,MAX(1,IF($O$148,MAX(1,2-(Vu_khi!$L$148-2)),2-(Vu_khi!$L$148-2))+1))))</f>
        <v/>
      </c>
      <c r="AD148" t="n">
        <v>0.85</v>
      </c>
      <c r="AE148">
        <f>IF(Vu_khi!$AG$148,INDEX(Bang_danh_noc!$C$2:$C$8,MIN(7,MAX(1,2-(Vu_khi!$L$148-4)+1))),INDEX(Bang_xuyen_giap!$C$2:$C$8,MIN(7,MAX(1,IF($O$148,MAX(1,2-(Vu_khi!$L$148-4)),2-(Vu_khi!$L$148-4))+1))))</f>
        <v/>
      </c>
      <c r="AF148" t="n">
        <v>0.4</v>
      </c>
      <c r="AG148">
        <f>INDEX(Bang_xuyen_giap!$C$2:$C$8,MIN(7,MAX(1,MAX(1,2-(Vu_khi!$L$148-0))+1)))</f>
        <v/>
      </c>
      <c r="AH148" t="n">
        <v>1</v>
      </c>
      <c r="AI148">
        <f>IF($Q$148,$M$148*$AA$148*$U$148,0)</f>
        <v/>
      </c>
      <c r="AJ148" t="n">
        <v>172.7424191936021</v>
      </c>
      <c r="AK148">
        <f>IF($Q$148,$M$148*$AC$148*$U$148,0)</f>
        <v/>
      </c>
      <c r="AL148" t="n">
        <v>122.3592135954682</v>
      </c>
      <c r="AM148">
        <f>IF($Q$148,$M$148*$AE$148*$U$148,0)</f>
        <v/>
      </c>
      <c r="AN148" t="n">
        <v>57.58080639786738</v>
      </c>
      <c r="AO148">
        <f>IF($Q$148,$M$148*$AC$148*$Y$148,0)</f>
        <v/>
      </c>
      <c r="AP148" t="n">
        <v>71.37620793068977</v>
      </c>
      <c r="AQ148">
        <f>IF($S$148,$M$148*$AG$148*$W$148,0)</f>
        <v/>
      </c>
      <c r="AR148" t="n">
        <v>35.98800399866711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8.336111000000001</v>
      </c>
      <c r="AZ148" t="inlineStr">
        <is>
          <t>ok</t>
        </is>
      </c>
      <c r="BA148" t="b">
        <v>1</v>
      </c>
      <c r="BB148" t="inlineStr">
        <is>
          <t>Assets/MachineBrigade/Resources/Data/balance.json: weapons[id=hover_ciws] (lớp B trên 01_chien_dau/Vu_khi)</t>
        </is>
      </c>
      <c r="BC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IF(Vu_khi!$AG$149,INDEX(Bang_danh_noc!$C$2:$C$8,MIN(7,MAX(1,2-(Vu_khi!$L$149-0)+1))),INDEX(Bang_xuyen_giap!$C$2:$C$8,MIN(7,MAX(1,IF($O$149,MAX(1,2-(Vu_khi!$L$149-0)),2-(Vu_khi!$L$149-0))+1))))</f>
        <v/>
      </c>
      <c r="AB149" t="n">
        <v>1.2</v>
      </c>
      <c r="AC149">
        <f>IF(Vu_khi!$AG$149,INDEX(Bang_danh_noc!$C$2:$C$8,MIN(7,MAX(1,2-(Vu_khi!$L$149-2)+1))),INDEX(Bang_xuyen_giap!$C$2:$C$8,MIN(7,MAX(1,IF($O$149,MAX(1,2-(Vu_khi!$L$149-2)),2-(Vu_khi!$L$149-2))+1))))</f>
        <v/>
      </c>
      <c r="AD149" t="n">
        <v>0.85</v>
      </c>
      <c r="AE149">
        <f>IF(Vu_khi!$AG$149,INDEX(Bang_danh_noc!$C$2:$C$8,MIN(7,MAX(1,2-(Vu_khi!$L$149-4)+1))),INDEX(Bang_xuyen_giap!$C$2:$C$8,MIN(7,MAX(1,IF($O$149,MAX(1,2-(Vu_khi!$L$149-4)),2-(Vu_khi!$L$149-4))+1))))</f>
        <v/>
      </c>
      <c r="AF149" t="n">
        <v>0.4</v>
      </c>
      <c r="AG149">
        <f>INDEX(Bang_xuyen_giap!$C$2:$C$8,MIN(7,MAX(1,MAX(1,2-(Vu_khi!$L$149-0))+1)))</f>
        <v/>
      </c>
      <c r="AH149" t="n">
        <v>1</v>
      </c>
      <c r="AI149">
        <f>IF($Q$149,$M$149*$AA$149*$U$149,0)</f>
        <v/>
      </c>
      <c r="AJ149" t="n">
        <v>0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IF($Q$149,$M$149*$AC$149*$Y$149,0)</f>
        <v/>
      </c>
      <c r="AP149" t="n">
        <v>0</v>
      </c>
      <c r="AQ149">
        <f>IF($S$149,$M$149*$AG$149*$W$149,0)</f>
        <v/>
      </c>
      <c r="AR149" t="n">
        <v>161.946017994002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weapons[id=hover_ciws_flak] (lớp B trên 01_chien_dau/Vu_khi)</t>
        </is>
      </c>
      <c r="BC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IF(Vu_khi!$AG$150,INDEX(Bang_danh_noc!$C$2:$C$8,MIN(7,MAX(1,2-(Vu_khi!$L$150-0)+1))),INDEX(Bang_xuyen_giap!$C$2:$C$8,MIN(7,MAX(1,IF($O$150,MAX(1,2-(Vu_khi!$L$150-0)),2-(Vu_khi!$L$150-0))+1))))</f>
        <v/>
      </c>
      <c r="AB150" t="n">
        <v>1</v>
      </c>
      <c r="AC150">
        <f>IF(Vu_khi!$AG$150,INDEX(Bang_danh_noc!$C$2:$C$8,MIN(7,MAX(1,2-(Vu_khi!$L$150-2)+1))),INDEX(Bang_xuyen_giap!$C$2:$C$8,MIN(7,MAX(1,IF($O$150,MAX(1,2-(Vu_khi!$L$150-2)),2-(Vu_khi!$L$150-2))+1))))</f>
        <v/>
      </c>
      <c r="AD150" t="n">
        <v>0.85</v>
      </c>
      <c r="AE150">
        <f>IF(Vu_khi!$AG$150,INDEX(Bang_danh_noc!$C$2:$C$8,MIN(7,MAX(1,2-(Vu_khi!$L$150-4)+1))),INDEX(Bang_xuyen_giap!$C$2:$C$8,MIN(7,MAX(1,IF($O$150,MAX(1,2-(Vu_khi!$L$150-4)),2-(Vu_khi!$L$150-4))+1))))</f>
        <v/>
      </c>
      <c r="AF150" t="n">
        <v>0.4</v>
      </c>
      <c r="AG150">
        <f>INDEX(Bang_xuyen_giap!$C$2:$C$8,MIN(7,MAX(1,MAX(1,2-(Vu_khi!$L$150-0))+1)))</f>
        <v/>
      </c>
      <c r="AH150" t="n">
        <v>1</v>
      </c>
      <c r="AI150">
        <f>IF($Q$150,$M$150*$AA$150*$U$150,0)</f>
        <v/>
      </c>
      <c r="AJ150" t="n">
        <v>26.48148148148148</v>
      </c>
      <c r="AK150">
        <f>IF($Q$150,$M$150*$AC$150*$U$150,0)</f>
        <v/>
      </c>
      <c r="AL150" t="n">
        <v>22.50925925925926</v>
      </c>
      <c r="AM150">
        <f>IF($Q$150,$M$150*$AE$150*$U$150,0)</f>
        <v/>
      </c>
      <c r="AN150" t="n">
        <v>10.59259259259259</v>
      </c>
      <c r="AO150">
        <f>IF($Q$150,$M$150*$AC$150*$Y$150,0)</f>
        <v/>
      </c>
      <c r="AP150" t="n">
        <v>36.01481481481482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1</v>
      </c>
      <c r="AZ150" t="inlineStr">
        <is>
          <t>ok</t>
        </is>
      </c>
      <c r="BA150" t="b">
        <v>1</v>
      </c>
      <c r="BB150" t="inlineStr">
        <is>
          <t>Assets/MachineBrigade/Resources/Data/balance.json: weapons[id=hover_rockets] (lớp B trên 01_chien_dau/Vu_khi)</t>
        </is>
      </c>
      <c r="BC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IF(Vu_khi!$AG$151,INDEX(Bang_danh_noc!$C$2:$C$8,MIN(7,MAX(1,2-(Vu_khi!$L$151-0)+1))),INDEX(Bang_xuyen_giap!$C$2:$C$8,MIN(7,MAX(1,IF($O$151,MAX(1,2-(Vu_khi!$L$151-0)),2-(Vu_khi!$L$151-0))+1))))</f>
        <v/>
      </c>
      <c r="AB151" t="n">
        <v>1</v>
      </c>
      <c r="AC151">
        <f>IF(Vu_khi!$AG$151,INDEX(Bang_danh_noc!$C$2:$C$8,MIN(7,MAX(1,2-(Vu_khi!$L$151-2)+1))),INDEX(Bang_xuyen_giap!$C$2:$C$8,MIN(7,MAX(1,IF($O$151,MAX(1,2-(Vu_khi!$L$151-2)),2-(Vu_khi!$L$151-2))+1))))</f>
        <v/>
      </c>
      <c r="AD151" t="n">
        <v>1</v>
      </c>
      <c r="AE151">
        <f>IF(Vu_khi!$AG$151,INDEX(Bang_danh_noc!$C$2:$C$8,MIN(7,MAX(1,2-(Vu_khi!$L$151-4)+1))),INDEX(Bang_xuyen_giap!$C$2:$C$8,MIN(7,MAX(1,IF($O$151,MAX(1,2-(Vu_khi!$L$151-4)),2-(Vu_khi!$L$151-4))+1))))</f>
        <v/>
      </c>
      <c r="AF151" t="n">
        <v>0.65</v>
      </c>
      <c r="AG151">
        <f>INDEX(Bang_xuyen_giap!$C$2:$C$8,MIN(7,MAX(1,MAX(1,2-(Vu_khi!$L$151-0))+1)))</f>
        <v/>
      </c>
      <c r="AH151" t="n">
        <v>1</v>
      </c>
      <c r="AI151">
        <f>IF($Q$151,$M$151*$AA$151*$U$151,0)</f>
        <v/>
      </c>
      <c r="AJ151" t="n">
        <v>38.4728711537652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25.00736624994738</v>
      </c>
      <c r="AO151">
        <f>IF($Q$151,$M$151*$AC$151*$Y$151,0)</f>
        <v/>
      </c>
      <c r="AP151" t="n">
        <v>61.55659384602433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0.55433</v>
      </c>
      <c r="AZ151" t="inlineStr">
        <is>
          <t>NHANH_QUA</t>
        </is>
      </c>
      <c r="BA151" t="inlineStr"/>
      <c r="BB151" t="inlineStr">
        <is>
          <t>Assets/MachineBrigade/Resources/Data/balance.json: weapons[id=howitzer] (lớp B trên 01_chien_dau/Vu_khi)</t>
        </is>
      </c>
      <c r="BC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IF(Vu_khi!$AG$152,INDEX(Bang_danh_noc!$C$2:$C$8,MIN(7,MAX(1,2-(Vu_khi!$L$152-0)+1))),INDEX(Bang_xuyen_giap!$C$2:$C$8,MIN(7,MAX(1,IF($O$152,MAX(1,2-(Vu_khi!$L$152-0)),2-(Vu_khi!$L$152-0))+1))))</f>
        <v/>
      </c>
      <c r="AB152" t="n">
        <v>1</v>
      </c>
      <c r="AC152">
        <f>IF(Vu_khi!$AG$152,INDEX(Bang_danh_noc!$C$2:$C$8,MIN(7,MAX(1,2-(Vu_khi!$L$152-2)+1))),INDEX(Bang_xuyen_giap!$C$2:$C$8,MIN(7,MAX(1,IF($O$152,MAX(1,2-(Vu_khi!$L$152-2)),2-(Vu_khi!$L$152-2))+1))))</f>
        <v/>
      </c>
      <c r="AD152" t="n">
        <v>1</v>
      </c>
      <c r="AE152">
        <f>IF(Vu_khi!$AG$152,INDEX(Bang_danh_noc!$C$2:$C$8,MIN(7,MAX(1,2-(Vu_khi!$L$152-4)+1))),INDEX(Bang_xuyen_giap!$C$2:$C$8,MIN(7,MAX(1,IF($O$152,MAX(1,2-(Vu_khi!$L$152-4)),2-(Vu_khi!$L$152-4))+1))))</f>
        <v/>
      </c>
      <c r="AF152" t="n">
        <v>0.65</v>
      </c>
      <c r="AG152">
        <f>INDEX(Bang_xuyen_giap!$C$2:$C$8,MIN(7,MAX(1,MAX(1,2-(Vu_khi!$L$152-0))+1)))</f>
        <v/>
      </c>
      <c r="AH152" t="n">
        <v>1</v>
      </c>
      <c r="AI152">
        <f>IF($Q$152,$M$152*$AA$152*$U$152,0)</f>
        <v/>
      </c>
      <c r="AJ152" t="n">
        <v>53.01009163670108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34.45655956385571</v>
      </c>
      <c r="AO152">
        <f>IF($Q$152,$M$152*$AC$152*$Y$152,0)</f>
        <v/>
      </c>
      <c r="AP152" t="n">
        <v>84.81614661872175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0.402313</v>
      </c>
      <c r="AZ152" t="inlineStr">
        <is>
          <t>NHANH_QUA;LECH_DOT_1</t>
        </is>
      </c>
      <c r="BA152" t="inlineStr"/>
      <c r="BB152" t="inlineStr">
        <is>
          <t>Assets/MachineBrigade/Resources/Data/balance.json: weapons[id=howitzer_ext] (lớp B trên 01_chien_dau/Vu_khi)</t>
        </is>
      </c>
      <c r="BC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IF(Vu_khi!$AG$153,INDEX(Bang_danh_noc!$C$2:$C$8,MIN(7,MAX(1,2-(Vu_khi!$L$153-0)+1))),INDEX(Bang_xuyen_giap!$C$2:$C$8,MIN(7,MAX(1,IF($O$153,MAX(1,2-(Vu_khi!$L$153-0)),2-(Vu_khi!$L$153-0))+1))))</f>
        <v/>
      </c>
      <c r="AB153" t="n">
        <v>1</v>
      </c>
      <c r="AC153">
        <f>IF(Vu_khi!$AG$153,INDEX(Bang_danh_noc!$C$2:$C$8,MIN(7,MAX(1,2-(Vu_khi!$L$153-2)+1))),INDEX(Bang_xuyen_giap!$C$2:$C$8,MIN(7,MAX(1,IF($O$153,MAX(1,2-(Vu_khi!$L$153-2)),2-(Vu_khi!$L$153-2))+1))))</f>
        <v/>
      </c>
      <c r="AD153" t="n">
        <v>1</v>
      </c>
      <c r="AE153">
        <f>IF(Vu_khi!$AG$153,INDEX(Bang_danh_noc!$C$2:$C$8,MIN(7,MAX(1,2-(Vu_khi!$L$153-4)+1))),INDEX(Bang_xuyen_giap!$C$2:$C$8,MIN(7,MAX(1,IF($O$153,MAX(1,2-(Vu_khi!$L$153-4)),2-(Vu_khi!$L$153-4))+1))))</f>
        <v/>
      </c>
      <c r="AF153" t="n">
        <v>0.65</v>
      </c>
      <c r="AG153">
        <f>INDEX(Bang_xuyen_giap!$C$2:$C$8,MIN(7,MAX(1,MAX(1,2-(Vu_khi!$L$153-0))+1)))</f>
        <v/>
      </c>
      <c r="AH153" t="n">
        <v>1</v>
      </c>
      <c r="AI153">
        <f>IF($Q$153,$M$153*$AA$153*$U$153,0)</f>
        <v/>
      </c>
      <c r="AJ153" t="n">
        <v>48.82629107981221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31.73708920187794</v>
      </c>
      <c r="AO153">
        <f>IF($Q$153,$M$153*$AC$153*$Y$153,0)</f>
        <v/>
      </c>
      <c r="AP153" t="n">
        <v>78.12206572769954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0.497</v>
      </c>
      <c r="AZ153" t="inlineStr">
        <is>
          <t>NHANH_QUA;LECH_DOT_1</t>
        </is>
      </c>
      <c r="BA153" t="inlineStr"/>
      <c r="BB153" t="inlineStr">
        <is>
          <t>Assets/MachineBrigade/Resources/Data/balance.json: weapons[id=howitzer_fixed] (lớp B trên 01_chien_dau/Vu_khi)</t>
        </is>
      </c>
      <c r="BC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IF(Vu_khi!$AG$154,INDEX(Bang_danh_noc!$C$2:$C$8,MIN(7,MAX(1,2-(Vu_khi!$L$154-0)+1))),INDEX(Bang_xuyen_giap!$C$2:$C$8,MIN(7,MAX(1,IF($O$154,MAX(1,2-(Vu_khi!$L$154-0)),2-(Vu_khi!$L$154-0))+1))))</f>
        <v/>
      </c>
      <c r="AB154" t="n">
        <v>1</v>
      </c>
      <c r="AC154">
        <f>IF(Vu_khi!$AG$154,INDEX(Bang_danh_noc!$C$2:$C$8,MIN(7,MAX(1,2-(Vu_khi!$L$154-2)+1))),INDEX(Bang_xuyen_giap!$C$2:$C$8,MIN(7,MAX(1,IF($O$154,MAX(1,2-(Vu_khi!$L$154-2)),2-(Vu_khi!$L$154-2))+1))))</f>
        <v/>
      </c>
      <c r="AD154" t="n">
        <v>1</v>
      </c>
      <c r="AE154">
        <f>IF(Vu_khi!$AG$154,INDEX(Bang_danh_noc!$C$2:$C$8,MIN(7,MAX(1,2-(Vu_khi!$L$154-4)+1))),INDEX(Bang_xuyen_giap!$C$2:$C$8,MIN(7,MAX(1,IF($O$154,MAX(1,2-(Vu_khi!$L$154-4)),2-(Vu_khi!$L$154-4))+1))))</f>
        <v/>
      </c>
      <c r="AF154" t="n">
        <v>0.65</v>
      </c>
      <c r="AG154">
        <f>INDEX(Bang_xuyen_giap!$C$2:$C$8,MIN(7,MAX(1,MAX(1,2-(Vu_khi!$L$154-0))+1)))</f>
        <v/>
      </c>
      <c r="AH154" t="n">
        <v>1</v>
      </c>
      <c r="AI154">
        <f>IF($Q$154,$M$154*$AA$154*$U$154,0)</f>
        <v/>
      </c>
      <c r="AJ154" t="n">
        <v>48.82629107981221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31.73708920187794</v>
      </c>
      <c r="AO154">
        <f>IF($Q$154,$M$154*$AC$154*$Y$154,0)</f>
        <v/>
      </c>
      <c r="AP154" t="n">
        <v>78.12206572769954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weapons[id=howitzer_fixed_guided] (lớp B trên 01_chien_dau/Vu_khi)</t>
        </is>
      </c>
      <c r="BC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IF(Vu_khi!$AG$155,INDEX(Bang_danh_noc!$C$2:$C$8,MIN(7,MAX(1,2-(Vu_khi!$L$155-0)+1))),INDEX(Bang_xuyen_giap!$C$2:$C$8,MIN(7,MAX(1,IF($O$155,MAX(1,2-(Vu_khi!$L$155-0)),2-(Vu_khi!$L$155-0))+1))))</f>
        <v/>
      </c>
      <c r="AB155" t="n">
        <v>1</v>
      </c>
      <c r="AC155">
        <f>IF(Vu_khi!$AG$155,INDEX(Bang_danh_noc!$C$2:$C$8,MIN(7,MAX(1,2-(Vu_khi!$L$155-2)+1))),INDEX(Bang_xuyen_giap!$C$2:$C$8,MIN(7,MAX(1,IF($O$155,MAX(1,2-(Vu_khi!$L$155-2)),2-(Vu_khi!$L$155-2))+1))))</f>
        <v/>
      </c>
      <c r="AD155" t="n">
        <v>1</v>
      </c>
      <c r="AE155">
        <f>IF(Vu_khi!$AG$155,INDEX(Bang_danh_noc!$C$2:$C$8,MIN(7,MAX(1,2-(Vu_khi!$L$155-4)+1))),INDEX(Bang_xuyen_giap!$C$2:$C$8,MIN(7,MAX(1,IF($O$155,MAX(1,2-(Vu_khi!$L$155-4)),2-(Vu_khi!$L$155-4))+1))))</f>
        <v/>
      </c>
      <c r="AF155" t="n">
        <v>0.65</v>
      </c>
      <c r="AG155">
        <f>INDEX(Bang_xuyen_giap!$C$2:$C$8,MIN(7,MAX(1,MAX(1,2-(Vu_khi!$L$155-0))+1)))</f>
        <v/>
      </c>
      <c r="AH155" t="n">
        <v>1</v>
      </c>
      <c r="AI155">
        <f>IF($Q$155,$M$155*$AA$155*$U$155,0)</f>
        <v/>
      </c>
      <c r="AJ155" t="n">
        <v>38.4728711537652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25.00736624994738</v>
      </c>
      <c r="AO155">
        <f>IF($Q$155,$M$155*$AC$155*$Y$155,0)</f>
        <v/>
      </c>
      <c r="AP155" t="n">
        <v>61.55659384602433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3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BB155" t="inlineStr">
        <is>
          <t>Assets/MachineBrigade/Resources/Data/balance.json: weapons[id=howitzer_guided] (lớp B trên 01_chien_dau/Vu_khi)</t>
        </is>
      </c>
      <c r="BC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IF(Vu_khi!$AG$156,INDEX(Bang_danh_noc!$C$2:$C$8,MIN(7,MAX(1,2-(Vu_khi!$L$156-0)+1))),INDEX(Bang_xuyen_giap!$C$2:$C$8,MIN(7,MAX(1,IF($O$156,MAX(1,2-(Vu_khi!$L$156-0)),2-(Vu_khi!$L$156-0))+1))))</f>
        <v/>
      </c>
      <c r="AB156" t="n">
        <v>1.2</v>
      </c>
      <c r="AC156">
        <f>IF(Vu_khi!$AG$156,INDEX(Bang_danh_noc!$C$2:$C$8,MIN(7,MAX(1,2-(Vu_khi!$L$156-2)+1))),INDEX(Bang_xuyen_giap!$C$2:$C$8,MIN(7,MAX(1,IF($O$156,MAX(1,2-(Vu_khi!$L$156-2)),2-(Vu_khi!$L$156-2))+1))))</f>
        <v/>
      </c>
      <c r="AD156" t="n">
        <v>0.85</v>
      </c>
      <c r="AE156">
        <f>IF(Vu_khi!$AG$156,INDEX(Bang_danh_noc!$C$2:$C$8,MIN(7,MAX(1,2-(Vu_khi!$L$156-4)+1))),INDEX(Bang_xuyen_giap!$C$2:$C$8,MIN(7,MAX(1,IF($O$156,MAX(1,2-(Vu_khi!$L$156-4)),2-(Vu_khi!$L$156-4))+1))))</f>
        <v/>
      </c>
      <c r="AF156" t="n">
        <v>0.4</v>
      </c>
      <c r="AG156">
        <f>INDEX(Bang_xuyen_giap!$C$2:$C$8,MIN(7,MAX(1,MAX(1,2-(Vu_khi!$L$156-0))+1)))</f>
        <v/>
      </c>
      <c r="AH156" t="n">
        <v>1</v>
      </c>
      <c r="AI156">
        <f>IF($Q$156,$M$156*$AA$156*$U$156,0)</f>
        <v/>
      </c>
      <c r="AJ156" t="n">
        <v>75.55970149253731</v>
      </c>
      <c r="AK156">
        <f>IF($Q$156,$M$156*$AC$156*$U$156,0)</f>
        <v/>
      </c>
      <c r="AL156" t="n">
        <v>53.52145522388059</v>
      </c>
      <c r="AM156">
        <f>IF($Q$156,$M$156*$AE$156*$U$156,0)</f>
        <v/>
      </c>
      <c r="AN156" t="n">
        <v>25.1865671641791</v>
      </c>
      <c r="AO156">
        <f>IF($Q$156,$M$156*$AC$156*$Y$156,0)</f>
        <v/>
      </c>
      <c r="AP156" t="n">
        <v>11.89365671641791</v>
      </c>
      <c r="AQ156">
        <f>IF($S$156,$M$156*$AG$156*$W$156,0)</f>
        <v/>
      </c>
      <c r="AR156" t="n">
        <v>188.8992537313433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n">
        <v>4.466667</v>
      </c>
      <c r="AZ156" t="inlineStr">
        <is>
          <t>ok</t>
        </is>
      </c>
      <c r="BA156" t="inlineStr"/>
      <c r="BB156" t="inlineStr">
        <is>
          <t>Assets/MachineBrigade/Resources/Data/balance.json: weapons[id=hq_flak] (lớp B trên 01_chien_dau/Vu_khi)</t>
        </is>
      </c>
      <c r="BC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IF(Vu_khi!$AG$157,INDEX(Bang_danh_noc!$C$2:$C$8,MIN(7,MAX(1,2-(Vu_khi!$L$157-0)+1))),INDEX(Bang_xuyen_giap!$C$2:$C$8,MIN(7,MAX(1,IF($O$157,MAX(1,2-(Vu_khi!$L$157-0)),2-(Vu_khi!$L$157-0))+1))))</f>
        <v/>
      </c>
      <c r="AB157" t="n">
        <v>1.2</v>
      </c>
      <c r="AC157">
        <f>IF(Vu_khi!$AG$157,INDEX(Bang_danh_noc!$C$2:$C$8,MIN(7,MAX(1,2-(Vu_khi!$L$157-2)+1))),INDEX(Bang_xuyen_giap!$C$2:$C$8,MIN(7,MAX(1,IF($O$157,MAX(1,2-(Vu_khi!$L$157-2)),2-(Vu_khi!$L$157-2))+1))))</f>
        <v/>
      </c>
      <c r="AD157" t="n">
        <v>0.85</v>
      </c>
      <c r="AE157">
        <f>IF(Vu_khi!$AG$157,INDEX(Bang_danh_noc!$C$2:$C$8,MIN(7,MAX(1,2-(Vu_khi!$L$157-4)+1))),INDEX(Bang_xuyen_giap!$C$2:$C$8,MIN(7,MAX(1,IF($O$157,MAX(1,2-(Vu_khi!$L$157-4)),2-(Vu_khi!$L$157-4))+1))))</f>
        <v/>
      </c>
      <c r="AF157" t="n">
        <v>0.4</v>
      </c>
      <c r="AG157">
        <f>INDEX(Bang_xuyen_giap!$C$2:$C$8,MIN(7,MAX(1,MAX(1,2-(Vu_khi!$L$157-0))+1)))</f>
        <v/>
      </c>
      <c r="AH157" t="n">
        <v>1</v>
      </c>
      <c r="AI157">
        <f>IF($Q$157,$M$157*$AA$157*$U$157,0)</f>
        <v/>
      </c>
      <c r="AJ157" t="n">
        <v>201.4925373134328</v>
      </c>
      <c r="AK157">
        <f>IF($Q$157,$M$157*$AC$157*$U$157,0)</f>
        <v/>
      </c>
      <c r="AL157" t="n">
        <v>142.7238805970149</v>
      </c>
      <c r="AM157">
        <f>IF($Q$157,$M$157*$AE$157*$U$157,0)</f>
        <v/>
      </c>
      <c r="AN157" t="n">
        <v>67.1641791044776</v>
      </c>
      <c r="AO157">
        <f>IF($Q$157,$M$157*$AC$157*$Y$157,0)</f>
        <v/>
      </c>
      <c r="AP157" t="n">
        <v>83.25559701492536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BB157" t="inlineStr">
        <is>
          <t>Assets/MachineBrigade/Resources/Data/balance.json: weapons[id=hq_flak_ap] (lớp B trên 01_chien_dau/Vu_khi)</t>
        </is>
      </c>
      <c r="BC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IF(Vu_khi!$AG$158,INDEX(Bang_danh_noc!$C$2:$C$8,MIN(7,MAX(1,2-(Vu_khi!$L$158-0)+1))),INDEX(Bang_xuyen_giap!$C$2:$C$8,MIN(7,MAX(1,IF($O$158,MAX(1,2-(Vu_khi!$L$158-0)),2-(Vu_khi!$L$158-0))+1))))</f>
        <v/>
      </c>
      <c r="AB158" t="n">
        <v>1.2</v>
      </c>
      <c r="AC158">
        <f>IF(Vu_khi!$AG$158,INDEX(Bang_danh_noc!$C$2:$C$8,MIN(7,MAX(1,2-(Vu_khi!$L$158-2)+1))),INDEX(Bang_xuyen_giap!$C$2:$C$8,MIN(7,MAX(1,IF($O$158,MAX(1,2-(Vu_khi!$L$158-2)),2-(Vu_khi!$L$158-2))+1))))</f>
        <v/>
      </c>
      <c r="AD158" t="n">
        <v>1</v>
      </c>
      <c r="AE158">
        <f>IF(Vu_khi!$AG$158,INDEX(Bang_danh_noc!$C$2:$C$8,MIN(7,MAX(1,2-(Vu_khi!$L$158-4)+1))),INDEX(Bang_xuyen_giap!$C$2:$C$8,MIN(7,MAX(1,IF($O$158,MAX(1,2-(Vu_khi!$L$158-4)),2-(Vu_khi!$L$158-4))+1))))</f>
        <v/>
      </c>
      <c r="AF158" t="n">
        <v>0.65</v>
      </c>
      <c r="AG158">
        <f>INDEX(Bang_xuyen_giap!$C$2:$C$8,MIN(7,MAX(1,MAX(1,2-(Vu_khi!$L$158-0))+1)))</f>
        <v/>
      </c>
      <c r="AH158" t="n">
        <v>1</v>
      </c>
      <c r="AI158">
        <f>IF($Q$158,$M$158*$AA$158*$U$158,0)</f>
        <v/>
      </c>
      <c r="AJ158" t="n">
        <v>12.48</v>
      </c>
      <c r="AK158">
        <f>IF($Q$158,$M$158*$AC$158*$U$158,0)</f>
        <v/>
      </c>
      <c r="AL158" t="n">
        <v>10.4</v>
      </c>
      <c r="AM158">
        <f>IF($Q$158,$M$158*$AE$158*$U$158,0)</f>
        <v/>
      </c>
      <c r="AN158" t="n">
        <v>6.760000000000001</v>
      </c>
      <c r="AO158">
        <f>IF($Q$158,$M$158*$AC$158*$Y$158,0)</f>
        <v/>
      </c>
      <c r="AP158" t="n">
        <v>16.64</v>
      </c>
      <c r="AQ158">
        <f>IF($S$158,$M$158*$AG$158*$W$158,0)</f>
        <v/>
      </c>
      <c r="AR158" t="n">
        <v>0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4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2.5</v>
      </c>
      <c r="AY158" t="inlineStr"/>
      <c r="AZ158" t="inlineStr">
        <is>
          <t>ok</t>
        </is>
      </c>
      <c r="BA158" t="b">
        <v>1</v>
      </c>
      <c r="BB158" t="inlineStr">
        <is>
          <t>Assets/MachineBrigade/Resources/Data/balance.json: weapons[id=hydra_club_s] (lớp B trên 01_chien_dau/Vu_khi)</t>
        </is>
      </c>
      <c r="BC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IF(Vu_khi!$AG$159,INDEX(Bang_danh_noc!$C$2:$C$8,MIN(7,MAX(1,2-(Vu_khi!$L$159-0)+1))),INDEX(Bang_xuyen_giap!$C$2:$C$8,MIN(7,MAX(1,IF($O$159,MAX(1,2-(Vu_khi!$L$159-0)),2-(Vu_khi!$L$159-0))+1))))</f>
        <v/>
      </c>
      <c r="AB159" t="n">
        <v>1.2</v>
      </c>
      <c r="AC159">
        <f>IF(Vu_khi!$AG$159,INDEX(Bang_danh_noc!$C$2:$C$8,MIN(7,MAX(1,2-(Vu_khi!$L$159-2)+1))),INDEX(Bang_xuyen_giap!$C$2:$C$8,MIN(7,MAX(1,IF($O$159,MAX(1,2-(Vu_khi!$L$159-2)),2-(Vu_khi!$L$159-2))+1))))</f>
        <v/>
      </c>
      <c r="AD159" t="n">
        <v>0.85</v>
      </c>
      <c r="AE159">
        <f>IF(Vu_khi!$AG$159,INDEX(Bang_danh_noc!$C$2:$C$8,MIN(7,MAX(1,2-(Vu_khi!$L$159-4)+1))),INDEX(Bang_xuyen_giap!$C$2:$C$8,MIN(7,MAX(1,IF($O$159,MAX(1,2-(Vu_khi!$L$159-4)),2-(Vu_khi!$L$159-4))+1))))</f>
        <v/>
      </c>
      <c r="AF159" t="n">
        <v>0.4</v>
      </c>
      <c r="AG159">
        <f>INDEX(Bang_xuyen_giap!$C$2:$C$8,MIN(7,MAX(1,MAX(1,2-(Vu_khi!$L$159-0))+1)))</f>
        <v/>
      </c>
      <c r="AH159" t="n">
        <v>1</v>
      </c>
      <c r="AI159">
        <f>IF($Q$159,$M$159*$AA$159*$U$159,0)</f>
        <v/>
      </c>
      <c r="AJ159" t="n">
        <v>121.3328226733053</v>
      </c>
      <c r="AK159">
        <f>IF($Q$159,$M$159*$AC$159*$U$159,0)</f>
        <v/>
      </c>
      <c r="AL159" t="n">
        <v>85.94408272692456</v>
      </c>
      <c r="AM159">
        <f>IF($Q$159,$M$159*$AE$159*$U$159,0)</f>
        <v/>
      </c>
      <c r="AN159" t="n">
        <v>40.44427422443509</v>
      </c>
      <c r="AO159">
        <f>IF($Q$159,$M$159*$AC$159*$Y$159,0)</f>
        <v/>
      </c>
      <c r="AP159" t="n">
        <v>50.13404825737266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1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3.481333</v>
      </c>
      <c r="AZ159" t="inlineStr">
        <is>
          <t>ok</t>
        </is>
      </c>
      <c r="BA159" t="inlineStr"/>
      <c r="BB159" t="inlineStr">
        <is>
          <t>Assets/MachineBrigade/Resources/Data/balance.json: weapons[id=ifv_30] (lớp B trên 01_chien_dau/Vu_khi)</t>
        </is>
      </c>
      <c r="BC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IF(Vu_khi!$AG$160,INDEX(Bang_danh_noc!$C$2:$C$8,MIN(7,MAX(1,2-(Vu_khi!$L$160-0)+1))),INDEX(Bang_xuyen_giap!$C$2:$C$8,MIN(7,MAX(1,IF($O$160,MAX(1,2-(Vu_khi!$L$160-0)),2-(Vu_khi!$L$160-0))+1))))</f>
        <v/>
      </c>
      <c r="AB160" t="n">
        <v>1.2</v>
      </c>
      <c r="AC160">
        <f>IF(Vu_khi!$AG$160,INDEX(Bang_danh_noc!$C$2:$C$8,MIN(7,MAX(1,2-(Vu_khi!$L$160-2)+1))),INDEX(Bang_xuyen_giap!$C$2:$C$8,MIN(7,MAX(1,IF($O$160,MAX(1,2-(Vu_khi!$L$160-2)),2-(Vu_khi!$L$160-2))+1))))</f>
        <v/>
      </c>
      <c r="AD160" t="n">
        <v>0.85</v>
      </c>
      <c r="AE160">
        <f>IF(Vu_khi!$AG$160,INDEX(Bang_danh_noc!$C$2:$C$8,MIN(7,MAX(1,2-(Vu_khi!$L$160-4)+1))),INDEX(Bang_xuyen_giap!$C$2:$C$8,MIN(7,MAX(1,IF($O$160,MAX(1,2-(Vu_khi!$L$160-4)),2-(Vu_khi!$L$160-4))+1))))</f>
        <v/>
      </c>
      <c r="AF160" t="n">
        <v>0.4</v>
      </c>
      <c r="AG160">
        <f>INDEX(Bang_xuyen_giap!$C$2:$C$8,MIN(7,MAX(1,MAX(1,2-(Vu_khi!$L$160-0))+1)))</f>
        <v/>
      </c>
      <c r="AH160" t="n">
        <v>1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113.7495212562237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1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BB160" t="inlineStr">
        <is>
          <t>Assets/MachineBrigade/Resources/Data/balance.json: weapons[id=ifv_30_flak] (lớp B trên 01_chien_dau/Vu_khi)</t>
        </is>
      </c>
      <c r="BC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IF(Vu_khi!$AG$161,INDEX(Bang_danh_noc!$C$2:$C$8,MIN(7,MAX(1,2-(Vu_khi!$L$161-0)+1))),INDEX(Bang_xuyen_giap!$C$2:$C$8,MIN(7,MAX(1,IF($O$161,MAX(1,2-(Vu_khi!$L$161-0)),2-(Vu_khi!$L$161-0))+1))))</f>
        <v/>
      </c>
      <c r="AB161" t="n">
        <v>1.2</v>
      </c>
      <c r="AC161">
        <f>IF(Vu_khi!$AG$161,INDEX(Bang_danh_noc!$C$2:$C$8,MIN(7,MAX(1,2-(Vu_khi!$L$161-2)+1))),INDEX(Bang_xuyen_giap!$C$2:$C$8,MIN(7,MAX(1,IF($O$161,MAX(1,2-(Vu_khi!$L$161-2)),2-(Vu_khi!$L$161-2))+1))))</f>
        <v/>
      </c>
      <c r="AD161" t="n">
        <v>0.85</v>
      </c>
      <c r="AE161">
        <f>IF(Vu_khi!$AG$161,INDEX(Bang_danh_noc!$C$2:$C$8,MIN(7,MAX(1,2-(Vu_khi!$L$161-4)+1))),INDEX(Bang_xuyen_giap!$C$2:$C$8,MIN(7,MAX(1,IF($O$161,MAX(1,2-(Vu_khi!$L$161-4)),2-(Vu_khi!$L$161-4))+1))))</f>
        <v/>
      </c>
      <c r="AF161" t="n">
        <v>0.4</v>
      </c>
      <c r="AG161">
        <f>INDEX(Bang_xuyen_giap!$C$2:$C$8,MIN(7,MAX(1,MAX(1,2-(Vu_khi!$L$161-0))+1)))</f>
        <v/>
      </c>
      <c r="AH161" t="n">
        <v>1</v>
      </c>
      <c r="AI161">
        <f>IF($Q$161,$M$161*$AA$161*$U$161,0)</f>
        <v/>
      </c>
      <c r="AJ161" t="n">
        <v>0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IF($Q$161,$M$161*$AC$161*$Y$161,0)</f>
        <v/>
      </c>
      <c r="AP161" t="n">
        <v>0</v>
      </c>
      <c r="AQ161">
        <f>IF($S$161,$M$161*$AG$161*$W$161,0)</f>
        <v/>
      </c>
      <c r="AR161" t="n">
        <v>24.30972388955583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weapons[id=igla_v] (lớp B trên 01_chien_dau/Vu_khi)</t>
        </is>
      </c>
      <c r="BC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IF(Vu_khi!$AG$162,INDEX(Bang_danh_noc!$C$2:$C$8,MIN(7,MAX(1,2-(Vu_khi!$L$162-0)+1))),INDEX(Bang_xuyen_giap!$C$2:$C$8,MIN(7,MAX(1,IF($O$162,MAX(1,2-(Vu_khi!$L$162-0)),2-(Vu_khi!$L$162-0))+1))))</f>
        <v/>
      </c>
      <c r="AB162" t="n">
        <v>0.85</v>
      </c>
      <c r="AC162">
        <f>IF(Vu_khi!$AG$162,INDEX(Bang_danh_noc!$C$2:$C$8,MIN(7,MAX(1,2-(Vu_khi!$L$162-2)+1))),INDEX(Bang_xuyen_giap!$C$2:$C$8,MIN(7,MAX(1,IF($O$162,MAX(1,2-(Vu_khi!$L$162-2)),2-(Vu_khi!$L$162-2))+1))))</f>
        <v/>
      </c>
      <c r="AD162" t="n">
        <v>0.4</v>
      </c>
      <c r="AE162">
        <f>IF(Vu_khi!$AG$162,INDEX(Bang_danh_noc!$C$2:$C$8,MIN(7,MAX(1,2-(Vu_khi!$L$162-4)+1))),INDEX(Bang_xuyen_giap!$C$2:$C$8,MIN(7,MAX(1,IF($O$162,MAX(1,2-(Vu_khi!$L$162-4)),2-(Vu_khi!$L$162-4))+1))))</f>
        <v/>
      </c>
      <c r="AF162" t="n">
        <v>0.08</v>
      </c>
      <c r="AG162">
        <f>INDEX(Bang_xuyen_giap!$C$2:$C$8,MIN(7,MAX(1,MAX(1,2-(Vu_khi!$L$162-0))+1)))</f>
        <v/>
      </c>
      <c r="AH162" t="n">
        <v>0.85</v>
      </c>
      <c r="AI162">
        <f>IF($Q$162,$M$162*$AA$162*$U$162,0)</f>
        <v/>
      </c>
      <c r="AJ162" t="n">
        <v>0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IF($Q$162,$M$162*$AC$162*$Y$162,0)</f>
        <v/>
      </c>
      <c r="AP162" t="n">
        <v>0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0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inlineStr"/>
      <c r="AZ162" t="inlineStr">
        <is>
          <t>ok</t>
        </is>
      </c>
      <c r="BA162" t="inlineStr"/>
      <c r="BB162" t="inlineStr">
        <is>
          <t>Assets/MachineBrigade/Resources/Data/balance.json: weapons[id=illum_flare] (lớp B trên 01_chien_dau/Vu_khi)</t>
        </is>
      </c>
      <c r="BC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IF(Vu_khi!$AG$163,INDEX(Bang_danh_noc!$C$2:$C$8,MIN(7,MAX(1,2-(Vu_khi!$L$163-0)+1))),INDEX(Bang_xuyen_giap!$C$2:$C$8,MIN(7,MAX(1,IF($O$163,MAX(1,2-(Vu_khi!$L$163-0)),2-(Vu_khi!$L$163-0))+1))))</f>
        <v/>
      </c>
      <c r="AB163" t="n">
        <v>1.2</v>
      </c>
      <c r="AC163">
        <f>IF(Vu_khi!$AG$163,INDEX(Bang_danh_noc!$C$2:$C$8,MIN(7,MAX(1,2-(Vu_khi!$L$163-2)+1))),INDEX(Bang_xuyen_giap!$C$2:$C$8,MIN(7,MAX(1,IF($O$163,MAX(1,2-(Vu_khi!$L$163-2)),2-(Vu_khi!$L$163-2))+1))))</f>
        <v/>
      </c>
      <c r="AD163" t="n">
        <v>1</v>
      </c>
      <c r="AE163">
        <f>IF(Vu_khi!$AG$163,INDEX(Bang_danh_noc!$C$2:$C$8,MIN(7,MAX(1,2-(Vu_khi!$L$163-4)+1))),INDEX(Bang_xuyen_giap!$C$2:$C$8,MIN(7,MAX(1,IF($O$163,MAX(1,2-(Vu_khi!$L$163-4)),2-(Vu_khi!$L$163-4))+1))))</f>
        <v/>
      </c>
      <c r="AF163" t="n">
        <v>0.65</v>
      </c>
      <c r="AG163">
        <f>INDEX(Bang_xuyen_giap!$C$2:$C$8,MIN(7,MAX(1,MAX(1,2-(Vu_khi!$L$163-0))+1)))</f>
        <v/>
      </c>
      <c r="AH163" t="n">
        <v>1</v>
      </c>
      <c r="AI163">
        <f>IF($Q$163,$M$163*$AA$163*$U$163,0)</f>
        <v/>
      </c>
      <c r="AJ163" t="n">
        <v>94.25287356321839</v>
      </c>
      <c r="AK163">
        <f>IF($Q$163,$M$163*$AC$163*$U$163,0)</f>
        <v/>
      </c>
      <c r="AL163" t="n">
        <v>78.544061302682</v>
      </c>
      <c r="AM163">
        <f>IF($Q$163,$M$163*$AE$163*$U$163,0)</f>
        <v/>
      </c>
      <c r="AN163" t="n">
        <v>51.0536398467433</v>
      </c>
      <c r="AO163">
        <f>IF($Q$163,$M$163*$AC$163*$Y$163,0)</f>
        <v/>
      </c>
      <c r="AP163" t="n">
        <v>125.6704980842912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4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2.5</v>
      </c>
      <c r="AY163" t="n">
        <v>0.2</v>
      </c>
      <c r="AZ163" t="inlineStr">
        <is>
          <t>NHANH_QUA</t>
        </is>
      </c>
      <c r="BA163" t="inlineStr"/>
      <c r="BB163" t="inlineStr">
        <is>
          <t>Assets/MachineBrigade/Resources/Data/balance.json: weapons[id=jassm] (lớp B trên 01_chien_dau/Vu_khi)</t>
        </is>
      </c>
      <c r="BC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IF(Vu_khi!$AG$164,INDEX(Bang_danh_noc!$C$2:$C$8,MIN(7,MAX(1,2-(Vu_khi!$L$164-0)+1))),INDEX(Bang_xuyen_giap!$C$2:$C$8,MIN(7,MAX(1,IF($O$164,MAX(1,2-(Vu_khi!$L$164-0)),2-(Vu_khi!$L$164-0))+1))))</f>
        <v/>
      </c>
      <c r="AB164" t="n">
        <v>1.15</v>
      </c>
      <c r="AC164">
        <f>IF(Vu_khi!$AG$164,INDEX(Bang_danh_noc!$C$2:$C$8,MIN(7,MAX(1,2-(Vu_khi!$L$164-2)+1))),INDEX(Bang_xuyen_giap!$C$2:$C$8,MIN(7,MAX(1,IF($O$164,MAX(1,2-(Vu_khi!$L$164-2)),2-(Vu_khi!$L$164-2))+1))))</f>
        <v/>
      </c>
      <c r="AD164" t="n">
        <v>0.95</v>
      </c>
      <c r="AE164">
        <f>IF(Vu_khi!$AG$164,INDEX(Bang_danh_noc!$C$2:$C$8,MIN(7,MAX(1,2-(Vu_khi!$L$164-4)+1))),INDEX(Bang_xuyen_giap!$C$2:$C$8,MIN(7,MAX(1,IF($O$164,MAX(1,2-(Vu_khi!$L$164-4)),2-(Vu_khi!$L$164-4))+1))))</f>
        <v/>
      </c>
      <c r="AF164" t="n">
        <v>0.5</v>
      </c>
      <c r="AG164">
        <f>INDEX(Bang_xuyen_giap!$C$2:$C$8,MIN(7,MAX(1,MAX(1,2-(Vu_khi!$L$164-0))+1)))</f>
        <v/>
      </c>
      <c r="AH164" t="n">
        <v>1</v>
      </c>
      <c r="AI164">
        <f>IF($Q$164,$M$164*$AA$164*$U$164,0)</f>
        <v/>
      </c>
      <c r="AJ164" t="n">
        <v>69.22330097087378</v>
      </c>
      <c r="AK164">
        <f>IF($Q$164,$M$164*$AC$164*$U$164,0)</f>
        <v/>
      </c>
      <c r="AL164" t="n">
        <v>57.18446601941747</v>
      </c>
      <c r="AM164">
        <f>IF($Q$164,$M$164*$AE$164*$U$164,0)</f>
        <v/>
      </c>
      <c r="AN164" t="n">
        <v>30.09708737864078</v>
      </c>
      <c r="AO164">
        <f>IF($Q$164,$M$164*$AC$164*$Y$164,0)</f>
        <v/>
      </c>
      <c r="AP164" t="n">
        <v>91.49514563106796</v>
      </c>
      <c r="AQ164">
        <f>IF($S$164,$M$164*$AG$164*$W$164,0)</f>
        <v/>
      </c>
      <c r="AR164" t="n">
        <v>0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3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AY164" t="n">
        <v>2.5</v>
      </c>
      <c r="AZ164" t="inlineStr">
        <is>
          <t>ok</t>
        </is>
      </c>
      <c r="BA164" t="inlineStr"/>
      <c r="BB164" t="inlineStr">
        <is>
          <t>Assets/MachineBrigade/Resources/Data/balance.json: weapons[id=jet_bombs] (lớp B trên 01_chien_dau/Vu_khi)</t>
        </is>
      </c>
      <c r="BC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IF(Vu_khi!$AG$165,INDEX(Bang_danh_noc!$C$2:$C$8,MIN(7,MAX(1,2-(Vu_khi!$L$165-0)+1))),INDEX(Bang_xuyen_giap!$C$2:$C$8,MIN(7,MAX(1,IF($O$165,MAX(1,2-(Vu_khi!$L$165-0)),2-(Vu_khi!$L$165-0))+1))))</f>
        <v/>
      </c>
      <c r="AB165" t="n">
        <v>1.2</v>
      </c>
      <c r="AC165">
        <f>IF(Vu_khi!$AG$165,INDEX(Bang_danh_noc!$C$2:$C$8,MIN(7,MAX(1,2-(Vu_khi!$L$165-2)+1))),INDEX(Bang_xuyen_giap!$C$2:$C$8,MIN(7,MAX(1,IF($O$165,MAX(1,2-(Vu_khi!$L$165-2)),2-(Vu_khi!$L$165-2))+1))))</f>
        <v/>
      </c>
      <c r="AD165" t="n">
        <v>0.85</v>
      </c>
      <c r="AE165">
        <f>IF(Vu_khi!$AG$165,INDEX(Bang_danh_noc!$C$2:$C$8,MIN(7,MAX(1,2-(Vu_khi!$L$165-4)+1))),INDEX(Bang_xuyen_giap!$C$2:$C$8,MIN(7,MAX(1,IF($O$165,MAX(1,2-(Vu_khi!$L$165-4)),2-(Vu_khi!$L$165-4))+1))))</f>
        <v/>
      </c>
      <c r="AF165" t="n">
        <v>0.4</v>
      </c>
      <c r="AG165">
        <f>INDEX(Bang_xuyen_giap!$C$2:$C$8,MIN(7,MAX(1,MAX(1,2-(Vu_khi!$L$165-0))+1)))</f>
        <v/>
      </c>
      <c r="AH165" t="n">
        <v>1</v>
      </c>
      <c r="AI165">
        <f>IF($Q$165,$M$165*$AA$165*$U$165,0)</f>
        <v/>
      </c>
      <c r="AJ165" t="n">
        <v>447.3948282516403</v>
      </c>
      <c r="AK165">
        <f>IF($Q$165,$M$165*$AC$165*$U$165,0)</f>
        <v/>
      </c>
      <c r="AL165" t="n">
        <v>316.9046700115785</v>
      </c>
      <c r="AM165">
        <f>IF($Q$165,$M$165*$AE$165*$U$165,0)</f>
        <v/>
      </c>
      <c r="AN165" t="n">
        <v>149.1316094172134</v>
      </c>
      <c r="AO165">
        <f>IF($Q$165,$M$165*$AC$165*$Y$165,0)</f>
        <v/>
      </c>
      <c r="AP165" t="n">
        <v>184.8610575067541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1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3.701429</v>
      </c>
      <c r="AZ165" t="inlineStr">
        <is>
          <t>ok</t>
        </is>
      </c>
      <c r="BA165" t="inlineStr"/>
      <c r="BB165" t="inlineStr">
        <is>
          <t>Assets/MachineBrigade/Resources/Data/balance.json: weapons[id=jet_cannon] (lớp B trên 01_chien_dau/Vu_khi)</t>
        </is>
      </c>
      <c r="BC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IF(Vu_khi!$AG$166,INDEX(Bang_danh_noc!$C$2:$C$8,MIN(7,MAX(1,2-(Vu_khi!$L$166-0)+1))),INDEX(Bang_xuyen_giap!$C$2:$C$8,MIN(7,MAX(1,IF($O$166,MAX(1,2-(Vu_khi!$L$166-0)),2-(Vu_khi!$L$166-0))+1))))</f>
        <v/>
      </c>
      <c r="AB166" t="n">
        <v>1.2</v>
      </c>
      <c r="AC166">
        <f>IF(Vu_khi!$AG$166,INDEX(Bang_danh_noc!$C$2:$C$8,MIN(7,MAX(1,2-(Vu_khi!$L$166-2)+1))),INDEX(Bang_xuyen_giap!$C$2:$C$8,MIN(7,MAX(1,IF($O$166,MAX(1,2-(Vu_khi!$L$166-2)),2-(Vu_khi!$L$166-2))+1))))</f>
        <v/>
      </c>
      <c r="AD166" t="n">
        <v>0.85</v>
      </c>
      <c r="AE166">
        <f>IF(Vu_khi!$AG$166,INDEX(Bang_danh_noc!$C$2:$C$8,MIN(7,MAX(1,2-(Vu_khi!$L$166-4)+1))),INDEX(Bang_xuyen_giap!$C$2:$C$8,MIN(7,MAX(1,IF($O$166,MAX(1,2-(Vu_khi!$L$166-4)),2-(Vu_khi!$L$166-4))+1))))</f>
        <v/>
      </c>
      <c r="AF166" t="n">
        <v>0.4</v>
      </c>
      <c r="AG166">
        <f>INDEX(Bang_xuyen_giap!$C$2:$C$8,MIN(7,MAX(1,MAX(1,2-(Vu_khi!$L$166-0))+1)))</f>
        <v/>
      </c>
      <c r="AH166" t="n">
        <v>1</v>
      </c>
      <c r="AI166">
        <f>IF($Q$166,$M$166*$AA$166*$U$166,0)</f>
        <v/>
      </c>
      <c r="AJ166" t="n">
        <v>0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IF($Q$166,$M$166*$AC$166*$Y$166,0)</f>
        <v/>
      </c>
      <c r="AP166" t="n">
        <v>0</v>
      </c>
      <c r="AQ166">
        <f>IF($S$166,$M$166*$AG$166*$W$166,0)</f>
        <v/>
      </c>
      <c r="AR166" t="n">
        <v>419.4326514859128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1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weapons[id=jet_cannon_flak] (lớp B trên 01_chien_dau/Vu_khi)</t>
        </is>
      </c>
      <c r="BC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IF(Vu_khi!$AG$167,INDEX(Bang_danh_noc!$C$2:$C$8,MIN(7,MAX(1,2-(Vu_khi!$L$167-0)+1))),INDEX(Bang_xuyen_giap!$C$2:$C$8,MIN(7,MAX(1,IF($O$167,MAX(1,2-(Vu_khi!$L$167-0)),2-(Vu_khi!$L$167-0))+1))))</f>
        <v/>
      </c>
      <c r="AB167" t="n">
        <v>1.2</v>
      </c>
      <c r="AC167">
        <f>IF(Vu_khi!$AG$167,INDEX(Bang_danh_noc!$C$2:$C$8,MIN(7,MAX(1,2-(Vu_khi!$L$167-2)+1))),INDEX(Bang_xuyen_giap!$C$2:$C$8,MIN(7,MAX(1,IF($O$167,MAX(1,2-(Vu_khi!$L$167-2)),2-(Vu_khi!$L$167-2))+1))))</f>
        <v/>
      </c>
      <c r="AD167" t="n">
        <v>0.85</v>
      </c>
      <c r="AE167">
        <f>IF(Vu_khi!$AG$167,INDEX(Bang_danh_noc!$C$2:$C$8,MIN(7,MAX(1,2-(Vu_khi!$L$167-4)+1))),INDEX(Bang_xuyen_giap!$C$2:$C$8,MIN(7,MAX(1,IF($O$167,MAX(1,2-(Vu_khi!$L$167-4)),2-(Vu_khi!$L$167-4))+1))))</f>
        <v/>
      </c>
      <c r="AF167" t="n">
        <v>0.4</v>
      </c>
      <c r="AG167">
        <f>INDEX(Bang_xuyen_giap!$C$2:$C$8,MIN(7,MAX(1,MAX(1,2-(Vu_khi!$L$167-0))+1)))</f>
        <v/>
      </c>
      <c r="AH167" t="n">
        <v>1</v>
      </c>
      <c r="AI167">
        <f>IF($Q$167,$M$167*$AA$167*$U$167,0)</f>
        <v/>
      </c>
      <c r="AJ167" t="n">
        <v>83.16831683168316</v>
      </c>
      <c r="AK167">
        <f>IF($Q$167,$M$167*$AC$167*$U$167,0)</f>
        <v/>
      </c>
      <c r="AL167" t="n">
        <v>58.91089108910891</v>
      </c>
      <c r="AM167">
        <f>IF($Q$167,$M$167*$AE$167*$U$167,0)</f>
        <v/>
      </c>
      <c r="AN167" t="n">
        <v>27.72277227722772</v>
      </c>
      <c r="AO167">
        <f>IF($Q$167,$M$167*$AC$167*$Y$167,0)</f>
        <v/>
      </c>
      <c r="AP167" t="n">
        <v>94.25742574257426</v>
      </c>
      <c r="AQ167">
        <f>IF($S$167,$M$167*$AG$167*$W$167,0)</f>
        <v/>
      </c>
      <c r="AR167" t="n">
        <v>0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1.2</v>
      </c>
      <c r="AZ167" t="inlineStr">
        <is>
          <t>ok</t>
        </is>
      </c>
      <c r="BA167" t="inlineStr"/>
      <c r="BB167" t="inlineStr">
        <is>
          <t>Assets/MachineBrigade/Resources/Data/balance.json: weapons[id=jet_rockets] (lớp B trên 01_chien_dau/Vu_khi)</t>
        </is>
      </c>
      <c r="BC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IF(Vu_khi!$AG$168,INDEX(Bang_danh_noc!$C$2:$C$8,MIN(7,MAX(1,2-(Vu_khi!$L$168-0)+1))),INDEX(Bang_xuyen_giap!$C$2:$C$8,MIN(7,MAX(1,IF($O$168,MAX(1,2-(Vu_khi!$L$168-0)),2-(Vu_khi!$L$168-0))+1))))</f>
        <v/>
      </c>
      <c r="AB168" t="n">
        <v>1.2</v>
      </c>
      <c r="AC168">
        <f>IF(Vu_khi!$AG$168,INDEX(Bang_danh_noc!$C$2:$C$8,MIN(7,MAX(1,2-(Vu_khi!$L$168-2)+1))),INDEX(Bang_xuyen_giap!$C$2:$C$8,MIN(7,MAX(1,IF($O$168,MAX(1,2-(Vu_khi!$L$168-2)),2-(Vu_khi!$L$168-2))+1))))</f>
        <v/>
      </c>
      <c r="AD168" t="n">
        <v>1.2</v>
      </c>
      <c r="AE168">
        <f>IF(Vu_khi!$AG$168,INDEX(Bang_danh_noc!$C$2:$C$8,MIN(7,MAX(1,2-(Vu_khi!$L$168-4)+1))),INDEX(Bang_xuyen_giap!$C$2:$C$8,MIN(7,MAX(1,IF($O$168,MAX(1,2-(Vu_khi!$L$168-4)),2-(Vu_khi!$L$168-4))+1))))</f>
        <v/>
      </c>
      <c r="AF168" t="n">
        <v>0.85</v>
      </c>
      <c r="AG168">
        <f>INDEX(Bang_xuyen_giap!$C$2:$C$8,MIN(7,MAX(1,MAX(1,2-(Vu_khi!$L$168-0))+1)))</f>
        <v/>
      </c>
      <c r="AH168" t="n">
        <v>1</v>
      </c>
      <c r="AI168">
        <f>IF($Q$168,$M$168*$AA$168*$U$168,0)</f>
        <v/>
      </c>
      <c r="AJ168" t="n">
        <v>75.02290076335878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53.1412213740458</v>
      </c>
      <c r="AO168">
        <f>IF($Q$168,$M$168*$AC$168*$Y$168,0)</f>
        <v/>
      </c>
      <c r="AP168" t="n">
        <v>25.96946564885496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4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2.5</v>
      </c>
      <c r="AY168" t="inlineStr"/>
      <c r="AZ168" t="inlineStr">
        <is>
          <t>ok</t>
        </is>
      </c>
      <c r="BA168" t="inlineStr"/>
      <c r="BB168" t="inlineStr">
        <is>
          <t>Assets/MachineBrigade/Resources/Data/balance.json: weapons[id=kh29] (lớp B trên 01_chien_dau/Vu_khi)</t>
        </is>
      </c>
      <c r="BC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IF(Vu_khi!$AG$169,INDEX(Bang_danh_noc!$C$2:$C$8,MIN(7,MAX(1,2-(Vu_khi!$L$169-0)+1))),INDEX(Bang_xuyen_giap!$C$2:$C$8,MIN(7,MAX(1,IF($O$169,MAX(1,2-(Vu_khi!$L$169-0)),2-(Vu_khi!$L$169-0))+1))))</f>
        <v/>
      </c>
      <c r="AB169" t="n">
        <v>1.2</v>
      </c>
      <c r="AC169">
        <f>IF(Vu_khi!$AG$169,INDEX(Bang_danh_noc!$C$2:$C$8,MIN(7,MAX(1,2-(Vu_khi!$L$169-2)+1))),INDEX(Bang_xuyen_giap!$C$2:$C$8,MIN(7,MAX(1,IF($O$169,MAX(1,2-(Vu_khi!$L$169-2)),2-(Vu_khi!$L$169-2))+1))))</f>
        <v/>
      </c>
      <c r="AD169" t="n">
        <v>1.2</v>
      </c>
      <c r="AE169">
        <f>IF(Vu_khi!$AG$169,INDEX(Bang_danh_noc!$C$2:$C$8,MIN(7,MAX(1,2-(Vu_khi!$L$169-4)+1))),INDEX(Bang_xuyen_giap!$C$2:$C$8,MIN(7,MAX(1,IF($O$169,MAX(1,2-(Vu_khi!$L$169-4)),2-(Vu_khi!$L$169-4))+1))))</f>
        <v/>
      </c>
      <c r="AF169" t="n">
        <v>0.85</v>
      </c>
      <c r="AG169">
        <f>INDEX(Bang_xuyen_giap!$C$2:$C$8,MIN(7,MAX(1,MAX(1,2-(Vu_khi!$L$169-0))+1)))</f>
        <v/>
      </c>
      <c r="AH169" t="n">
        <v>1</v>
      </c>
      <c r="AI169">
        <f>IF($Q$169,$M$169*$AA$169*$U$169,0)</f>
        <v/>
      </c>
      <c r="AJ169" t="n">
        <v>129.2972972972973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91.58558558558558</v>
      </c>
      <c r="AO169">
        <f>IF($Q$169,$M$169*$AC$169*$Y$169,0)</f>
        <v/>
      </c>
      <c r="AP169" t="n">
        <v>44.75675675675676</v>
      </c>
      <c r="AQ169">
        <f>IF($S$169,$M$169*$AG$169*$W$169,0)</f>
        <v/>
      </c>
      <c r="AR169" t="n">
        <v>16.57657657657658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0.2775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weapons[id=kornet_multi] (lớp B trên 01_chien_dau/Vu_khi)</t>
        </is>
      </c>
      <c r="BC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IF(Vu_khi!$AG$170,INDEX(Bang_danh_noc!$C$2:$C$8,MIN(7,MAX(1,2-(Vu_khi!$L$170-0)+1))),INDEX(Bang_xuyen_giap!$C$2:$C$8,MIN(7,MAX(1,IF($O$170,MAX(1,2-(Vu_khi!$L$170-0)),2-(Vu_khi!$L$170-0))+1))))</f>
        <v/>
      </c>
      <c r="AB170" t="n">
        <v>1.15</v>
      </c>
      <c r="AC170">
        <f>IF(Vu_khi!$AG$170,INDEX(Bang_danh_noc!$C$2:$C$8,MIN(7,MAX(1,2-(Vu_khi!$L$170-2)+1))),INDEX(Bang_xuyen_giap!$C$2:$C$8,MIN(7,MAX(1,IF($O$170,MAX(1,2-(Vu_khi!$L$170-2)),2-(Vu_khi!$L$170-2))+1))))</f>
        <v/>
      </c>
      <c r="AD170" t="n">
        <v>1.15</v>
      </c>
      <c r="AE170">
        <f>IF(Vu_khi!$AG$170,INDEX(Bang_danh_noc!$C$2:$C$8,MIN(7,MAX(1,2-(Vu_khi!$L$170-4)+1))),INDEX(Bang_xuyen_giap!$C$2:$C$8,MIN(7,MAX(1,IF($O$170,MAX(1,2-(Vu_khi!$L$170-4)),2-(Vu_khi!$L$170-4))+1))))</f>
        <v/>
      </c>
      <c r="AF170" t="n">
        <v>0.95</v>
      </c>
      <c r="AG170">
        <f>INDEX(Bang_xuyen_giap!$C$2:$C$8,MIN(7,MAX(1,MAX(1,2-(Vu_khi!$L$170-0))+1)))</f>
        <v/>
      </c>
      <c r="AH170" t="n">
        <v>1</v>
      </c>
      <c r="AI170">
        <f>IF($Q$170,$M$170*$AA$170*$U$170,0)</f>
        <v/>
      </c>
      <c r="AJ170" t="n">
        <v>132.25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109.25</v>
      </c>
      <c r="AO170">
        <f>IF($Q$170,$M$170*$AC$170*$Y$170,0)</f>
        <v/>
      </c>
      <c r="AP170" t="n">
        <v>45.77884615384615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n">
        <v>0.26</v>
      </c>
      <c r="AZ170" t="inlineStr">
        <is>
          <t>NHANH_QUA</t>
        </is>
      </c>
      <c r="BA170" t="inlineStr"/>
      <c r="BB170" t="inlineStr">
        <is>
          <t>Assets/MachineBrigade/Resources/Data/balance.json: weapons[id=kornet_top] (lớp B trên 01_chien_dau/Vu_khi)</t>
        </is>
      </c>
      <c r="BC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IF(Vu_khi!$AG$171,INDEX(Bang_danh_noc!$C$2:$C$8,MIN(7,MAX(1,2-(Vu_khi!$L$171-0)+1))),INDEX(Bang_xuyen_giap!$C$2:$C$8,MIN(7,MAX(1,IF($O$171,MAX(1,2-(Vu_khi!$L$171-0)),2-(Vu_khi!$L$171-0))+1))))</f>
        <v/>
      </c>
      <c r="AB171" t="n">
        <v>1.2</v>
      </c>
      <c r="AC171">
        <f>IF(Vu_khi!$AG$171,INDEX(Bang_danh_noc!$C$2:$C$8,MIN(7,MAX(1,2-(Vu_khi!$L$171-2)+1))),INDEX(Bang_xuyen_giap!$C$2:$C$8,MIN(7,MAX(1,IF($O$171,MAX(1,2-(Vu_khi!$L$171-2)),2-(Vu_khi!$L$171-2))+1))))</f>
        <v/>
      </c>
      <c r="AD171" t="n">
        <v>1.2</v>
      </c>
      <c r="AE171">
        <f>IF(Vu_khi!$AG$171,INDEX(Bang_danh_noc!$C$2:$C$8,MIN(7,MAX(1,2-(Vu_khi!$L$171-4)+1))),INDEX(Bang_xuyen_giap!$C$2:$C$8,MIN(7,MAX(1,IF($O$171,MAX(1,2-(Vu_khi!$L$171-4)),2-(Vu_khi!$L$171-4))+1))))</f>
        <v/>
      </c>
      <c r="AF171" t="n">
        <v>0.85</v>
      </c>
      <c r="AG171">
        <f>INDEX(Bang_xuyen_giap!$C$2:$C$8,MIN(7,MAX(1,MAX(1,2-(Vu_khi!$L$171-0))+1)))</f>
        <v/>
      </c>
      <c r="AH171" t="n">
        <v>1</v>
      </c>
      <c r="AI171">
        <f>IF($Q$171,$M$171*$AA$171*$U$171,0)</f>
        <v/>
      </c>
      <c r="AJ171" t="n">
        <v>64.59045904590459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45.75157515751575</v>
      </c>
      <c r="AO171">
        <f>IF($Q$171,$M$171*$AC$171*$Y$171,0)</f>
        <v/>
      </c>
      <c r="AP171" t="n">
        <v>22.35823582358236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0.5555</v>
      </c>
      <c r="AZ171" t="inlineStr">
        <is>
          <t>NHANH_QUA</t>
        </is>
      </c>
      <c r="BA171" t="inlineStr"/>
      <c r="BB171" t="inlineStr">
        <is>
          <t>Assets/MachineBrigade/Resources/Data/balance.json: weapons[id=kornet_twin] (lớp B trên 01_chien_dau/Vu_khi)</t>
        </is>
      </c>
      <c r="BC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IF(Vu_khi!$AG$172,INDEX(Bang_danh_noc!$C$2:$C$8,MIN(7,MAX(1,2-(Vu_khi!$L$172-0)+1))),INDEX(Bang_xuyen_giap!$C$2:$C$8,MIN(7,MAX(1,IF($O$172,MAX(1,2-(Vu_khi!$L$172-0)),2-(Vu_khi!$L$172-0))+1))))</f>
        <v/>
      </c>
      <c r="AB172" t="n">
        <v>1.15</v>
      </c>
      <c r="AC172">
        <f>IF(Vu_khi!$AG$172,INDEX(Bang_danh_noc!$C$2:$C$8,MIN(7,MAX(1,2-(Vu_khi!$L$172-2)+1))),INDEX(Bang_xuyen_giap!$C$2:$C$8,MIN(7,MAX(1,IF($O$172,MAX(1,2-(Vu_khi!$L$172-2)),2-(Vu_khi!$L$172-2))+1))))</f>
        <v/>
      </c>
      <c r="AD172" t="n">
        <v>1.15</v>
      </c>
      <c r="AE172">
        <f>IF(Vu_khi!$AG$172,INDEX(Bang_danh_noc!$C$2:$C$8,MIN(7,MAX(1,2-(Vu_khi!$L$172-4)+1))),INDEX(Bang_xuyen_giap!$C$2:$C$8,MIN(7,MAX(1,IF($O$172,MAX(1,2-(Vu_khi!$L$172-4)),2-(Vu_khi!$L$172-4))+1))))</f>
        <v/>
      </c>
      <c r="AF172" t="n">
        <v>0.95</v>
      </c>
      <c r="AG172">
        <f>INDEX(Bang_xuyen_giap!$C$2:$C$8,MIN(7,MAX(1,MAX(1,2-(Vu_khi!$L$172-0))+1)))</f>
        <v/>
      </c>
      <c r="AH172" t="n">
        <v>1</v>
      </c>
      <c r="AI172">
        <f>IF($Q$172,$M$172*$AA$172*$U$172,0)</f>
        <v/>
      </c>
      <c r="AJ172" t="n">
        <v>30.61224489795918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25.28837622005323</v>
      </c>
      <c r="AO172">
        <f>IF($Q$172,$M$172*$AC$172*$Y$172,0)</f>
        <v/>
      </c>
      <c r="AP172" t="n">
        <v>10.59654631083202</v>
      </c>
      <c r="AQ172">
        <f>IF($S$172,$M$172*$AG$172*$W$172,0)</f>
        <v/>
      </c>
      <c r="AR172" t="n">
        <v>0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2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weapons[id=lancet] (lớp B trên 01_chien_dau/Vu_khi)</t>
        </is>
      </c>
      <c r="BC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IF(Vu_khi!$AG$173,INDEX(Bang_danh_noc!$C$2:$C$8,MIN(7,MAX(1,2-(Vu_khi!$L$173-0)+1))),INDEX(Bang_xuyen_giap!$C$2:$C$8,MIN(7,MAX(1,IF($O$173,MAX(1,2-(Vu_khi!$L$173-0)),2-(Vu_khi!$L$173-0))+1))))</f>
        <v/>
      </c>
      <c r="AB173" t="n">
        <v>1.15</v>
      </c>
      <c r="AC173">
        <f>IF(Vu_khi!$AG$173,INDEX(Bang_danh_noc!$C$2:$C$8,MIN(7,MAX(1,2-(Vu_khi!$L$173-2)+1))),INDEX(Bang_xuyen_giap!$C$2:$C$8,MIN(7,MAX(1,IF($O$173,MAX(1,2-(Vu_khi!$L$173-2)),2-(Vu_khi!$L$173-2))+1))))</f>
        <v/>
      </c>
      <c r="AD173" t="n">
        <v>1.15</v>
      </c>
      <c r="AE173">
        <f>IF(Vu_khi!$AG$173,INDEX(Bang_danh_noc!$C$2:$C$8,MIN(7,MAX(1,2-(Vu_khi!$L$173-4)+1))),INDEX(Bang_xuyen_giap!$C$2:$C$8,MIN(7,MAX(1,IF($O$173,MAX(1,2-(Vu_khi!$L$173-4)),2-(Vu_khi!$L$173-4))+1))))</f>
        <v/>
      </c>
      <c r="AF173" t="n">
        <v>0.95</v>
      </c>
      <c r="AG173">
        <f>INDEX(Bang_xuyen_giap!$C$2:$C$8,MIN(7,MAX(1,MAX(1,2-(Vu_khi!$L$173-0))+1)))</f>
        <v/>
      </c>
      <c r="AH173" t="n">
        <v>1</v>
      </c>
      <c r="AI173">
        <f>IF($Q$173,$M$173*$AA$173*$U$173,0)</f>
        <v/>
      </c>
      <c r="AJ173" t="n">
        <v>99.66666666666667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82.33333333333333</v>
      </c>
      <c r="AO173">
        <f>IF($Q$173,$M$173*$AC$173*$Y$173,0)</f>
        <v/>
      </c>
      <c r="AP173" t="n">
        <v>34.5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2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inlineStr"/>
      <c r="AZ173" t="inlineStr">
        <is>
          <t>ok</t>
        </is>
      </c>
      <c r="BA173" t="inlineStr"/>
      <c r="BB173" t="inlineStr">
        <is>
          <t>Assets/MachineBrigade/Resources/Data/balance.json: weapons[id=lancet_hangar] (lớp B trên 01_chien_dau/Vu_khi)</t>
        </is>
      </c>
      <c r="BC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IF(Vu_khi!$AG$174,INDEX(Bang_danh_noc!$C$2:$C$8,MIN(7,MAX(1,2-(Vu_khi!$L$174-0)+1))),INDEX(Bang_xuyen_giap!$C$2:$C$8,MIN(7,MAX(1,IF($O$174,MAX(1,2-(Vu_khi!$L$174-0)),2-(Vu_khi!$L$174-0))+1))))</f>
        <v/>
      </c>
      <c r="AB174" t="n">
        <v>1.2</v>
      </c>
      <c r="AC174">
        <f>IF(Vu_khi!$AG$174,INDEX(Bang_danh_noc!$C$2:$C$8,MIN(7,MAX(1,2-(Vu_khi!$L$174-2)+1))),INDEX(Bang_xuyen_giap!$C$2:$C$8,MIN(7,MAX(1,IF($O$174,MAX(1,2-(Vu_khi!$L$174-2)),2-(Vu_khi!$L$174-2))+1))))</f>
        <v/>
      </c>
      <c r="AD174" t="n">
        <v>0.85</v>
      </c>
      <c r="AE174">
        <f>IF(Vu_khi!$AG$174,INDEX(Bang_danh_noc!$C$2:$C$8,MIN(7,MAX(1,2-(Vu_khi!$L$174-4)+1))),INDEX(Bang_xuyen_giap!$C$2:$C$8,MIN(7,MAX(1,IF($O$174,MAX(1,2-(Vu_khi!$L$174-4)),2-(Vu_khi!$L$174-4))+1))))</f>
        <v/>
      </c>
      <c r="AF174" t="n">
        <v>0.4</v>
      </c>
      <c r="AG174">
        <f>INDEX(Bang_xuyen_giap!$C$2:$C$8,MIN(7,MAX(1,MAX(1,2-(Vu_khi!$L$174-0))+1)))</f>
        <v/>
      </c>
      <c r="AH174" t="n">
        <v>1</v>
      </c>
      <c r="AI174">
        <f>IF($Q$174,$M$174*$AA$174*$U$174,0)</f>
        <v/>
      </c>
      <c r="AJ174" t="n">
        <v>0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IF($Q$174,$M$174*$AC$174*$Y$174,0)</f>
        <v/>
      </c>
      <c r="AP174" t="n">
        <v>0</v>
      </c>
      <c r="AQ174">
        <f>IF($S$174,$M$174*$AG$174*$W$174,0)</f>
        <v/>
      </c>
      <c r="AR174" t="n">
        <v>134.9325337331335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1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inlineStr"/>
      <c r="AZ174" t="inlineStr">
        <is>
          <t>ok</t>
        </is>
      </c>
      <c r="BA174" t="inlineStr"/>
      <c r="BB174" t="inlineStr">
        <is>
          <t>Assets/MachineBrigade/Resources/Data/balance.json: weapons[id=laser_50kw] (lớp B trên 01_chien_dau/Vu_khi)</t>
        </is>
      </c>
      <c r="BC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IF(Vu_khi!$AG$175,INDEX(Bang_danh_noc!$C$2:$C$8,MIN(7,MAX(1,2-(Vu_khi!$L$175-0)+1))),INDEX(Bang_xuyen_giap!$C$2:$C$8,MIN(7,MAX(1,IF($O$175,MAX(1,2-(Vu_khi!$L$175-0)),2-(Vu_khi!$L$175-0))+1))))</f>
        <v/>
      </c>
      <c r="AB175" t="n">
        <v>1.2</v>
      </c>
      <c r="AC175">
        <f>IF(Vu_khi!$AG$175,INDEX(Bang_danh_noc!$C$2:$C$8,MIN(7,MAX(1,2-(Vu_khi!$L$175-2)+1))),INDEX(Bang_xuyen_giap!$C$2:$C$8,MIN(7,MAX(1,IF($O$175,MAX(1,2-(Vu_khi!$L$175-2)),2-(Vu_khi!$L$175-2))+1))))</f>
        <v/>
      </c>
      <c r="AD175" t="n">
        <v>1.2</v>
      </c>
      <c r="AE175">
        <f>IF(Vu_khi!$AG$175,INDEX(Bang_danh_noc!$C$2:$C$8,MIN(7,MAX(1,2-(Vu_khi!$L$175-4)+1))),INDEX(Bang_xuyen_giap!$C$2:$C$8,MIN(7,MAX(1,IF($O$175,MAX(1,2-(Vu_khi!$L$175-4)),2-(Vu_khi!$L$175-4))+1))))</f>
        <v/>
      </c>
      <c r="AF175" t="n">
        <v>0.85</v>
      </c>
      <c r="AG175">
        <f>INDEX(Bang_xuyen_giap!$C$2:$C$8,MIN(7,MAX(1,MAX(1,2-(Vu_khi!$L$175-0))+1)))</f>
        <v/>
      </c>
      <c r="AH175" t="n">
        <v>1</v>
      </c>
      <c r="AI175">
        <f>IF($Q$175,$M$175*$AA$175*$U$175,0)</f>
        <v/>
      </c>
      <c r="AJ175" t="n">
        <v>81.42857142857143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57.67857142857143</v>
      </c>
      <c r="AO175">
        <f>IF($Q$175,$M$175*$AC$175*$Y$175,0)</f>
        <v/>
      </c>
      <c r="AP175" t="n">
        <v>130.2857142857143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5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3.5</v>
      </c>
      <c r="AY175" t="n">
        <v>0.98</v>
      </c>
      <c r="AZ175" t="inlineStr">
        <is>
          <t>LOI_DON_VI</t>
        </is>
      </c>
      <c r="BA175" t="inlineStr"/>
      <c r="BB175" t="inlineStr">
        <is>
          <t>Assets/MachineBrigade/Resources/Data/balance.json: weapons[id=leviathan_460] (lớp B trên 01_chien_dau/Vu_khi)</t>
        </is>
      </c>
      <c r="BC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IF(Vu_khi!$AG$176,INDEX(Bang_danh_noc!$C$2:$C$8,MIN(7,MAX(1,2-(Vu_khi!$L$176-0)+1))),INDEX(Bang_xuyen_giap!$C$2:$C$8,MIN(7,MAX(1,IF($O$176,MAX(1,2-(Vu_khi!$L$176-0)),2-(Vu_khi!$L$176-0))+1))))</f>
        <v/>
      </c>
      <c r="AB176" t="n">
        <v>1.2</v>
      </c>
      <c r="AC176">
        <f>IF(Vu_khi!$AG$176,INDEX(Bang_danh_noc!$C$2:$C$8,MIN(7,MAX(1,2-(Vu_khi!$L$176-2)+1))),INDEX(Bang_xuyen_giap!$C$2:$C$8,MIN(7,MAX(1,IF($O$176,MAX(1,2-(Vu_khi!$L$176-2)),2-(Vu_khi!$L$176-2))+1))))</f>
        <v/>
      </c>
      <c r="AD176" t="n">
        <v>1.2</v>
      </c>
      <c r="AE176">
        <f>IF(Vu_khi!$AG$176,INDEX(Bang_danh_noc!$C$2:$C$8,MIN(7,MAX(1,2-(Vu_khi!$L$176-4)+1))),INDEX(Bang_xuyen_giap!$C$2:$C$8,MIN(7,MAX(1,IF($O$176,MAX(1,2-(Vu_khi!$L$176-4)),2-(Vu_khi!$L$176-4))+1))))</f>
        <v/>
      </c>
      <c r="AF176" t="n">
        <v>0.85</v>
      </c>
      <c r="AG176">
        <f>INDEX(Bang_xuyen_giap!$C$2:$C$8,MIN(7,MAX(1,MAX(1,2-(Vu_khi!$L$176-0))+1)))</f>
        <v/>
      </c>
      <c r="AH176" t="n">
        <v>1</v>
      </c>
      <c r="AI176">
        <f>IF($Q$176,$M$176*$AA$176*$U$176,0)</f>
        <v/>
      </c>
      <c r="AJ176" t="n">
        <v>81.42857142857143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57.67857142857143</v>
      </c>
      <c r="AO176">
        <f>IF($Q$176,$M$176*$AC$176*$Y$176,0)</f>
        <v/>
      </c>
      <c r="AP176" t="n">
        <v>130.2857142857143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5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3.5</v>
      </c>
      <c r="BB176" t="inlineStr">
        <is>
          <t>Assets/MachineBrigade/Resources/Data/balance.json: weapons[id=leviathan_460_guided] (lớp B trên 01_chien_dau/Vu_khi)</t>
        </is>
      </c>
      <c r="BC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IF(Vu_khi!$AG$177,INDEX(Bang_danh_noc!$C$2:$C$8,MIN(7,MAX(1,2-(Vu_khi!$L$177-0)+1))),INDEX(Bang_xuyen_giap!$C$2:$C$8,MIN(7,MAX(1,IF($O$177,MAX(1,2-(Vu_khi!$L$177-0)),2-(Vu_khi!$L$177-0))+1))))</f>
        <v/>
      </c>
      <c r="AB177" t="n">
        <v>1.2</v>
      </c>
      <c r="AC177">
        <f>IF(Vu_khi!$AG$177,INDEX(Bang_danh_noc!$C$2:$C$8,MIN(7,MAX(1,2-(Vu_khi!$L$177-2)+1))),INDEX(Bang_xuyen_giap!$C$2:$C$8,MIN(7,MAX(1,IF($O$177,MAX(1,2-(Vu_khi!$L$177-2)),2-(Vu_khi!$L$177-2))+1))))</f>
        <v/>
      </c>
      <c r="AD177" t="n">
        <v>1</v>
      </c>
      <c r="AE177">
        <f>IF(Vu_khi!$AG$177,INDEX(Bang_danh_noc!$C$2:$C$8,MIN(7,MAX(1,2-(Vu_khi!$L$177-4)+1))),INDEX(Bang_xuyen_giap!$C$2:$C$8,MIN(7,MAX(1,IF($O$177,MAX(1,2-(Vu_khi!$L$177-4)),2-(Vu_khi!$L$177-4))+1))))</f>
        <v/>
      </c>
      <c r="AF177" t="n">
        <v>0.65</v>
      </c>
      <c r="AG177">
        <f>INDEX(Bang_xuyen_giap!$C$2:$C$8,MIN(7,MAX(1,MAX(1,2-(Vu_khi!$L$177-0))+1)))</f>
        <v/>
      </c>
      <c r="AH177" t="n">
        <v>1</v>
      </c>
      <c r="AI177">
        <f>IF($Q$177,$M$177*$AA$177*$U$177,0)</f>
        <v/>
      </c>
      <c r="AJ177" t="n">
        <v>12.48</v>
      </c>
      <c r="AK177">
        <f>IF($Q$177,$M$177*$AC$177*$U$177,0)</f>
        <v/>
      </c>
      <c r="AL177" t="n">
        <v>10.4</v>
      </c>
      <c r="AM177">
        <f>IF($Q$177,$M$177*$AE$177*$U$177,0)</f>
        <v/>
      </c>
      <c r="AN177" t="n">
        <v>6.760000000000001</v>
      </c>
      <c r="AO177">
        <f>IF($Q$177,$M$177*$AC$177*$Y$177,0)</f>
        <v/>
      </c>
      <c r="AP177" t="n">
        <v>16.64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4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2.722222222222222</v>
      </c>
      <c r="AY177" t="inlineStr"/>
      <c r="AZ177" t="inlineStr">
        <is>
          <t>ok</t>
        </is>
      </c>
      <c r="BA177" t="b">
        <v>1</v>
      </c>
      <c r="BB177" t="inlineStr">
        <is>
          <t>Assets/MachineBrigade/Resources/Data/balance.json: weapons[id=leviathan_cruise] (lớp B trên 01_chien_dau/Vu_khi)</t>
        </is>
      </c>
      <c r="BC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IF(Vu_khi!$AG$178,INDEX(Bang_danh_noc!$C$2:$C$8,MIN(7,MAX(1,2-(Vu_khi!$L$178-0)+1))),INDEX(Bang_xuyen_giap!$C$2:$C$8,MIN(7,MAX(1,IF($O$178,MAX(1,2-(Vu_khi!$L$178-0)),2-(Vu_khi!$L$178-0))+1))))</f>
        <v/>
      </c>
      <c r="AB178" t="n">
        <v>1.15</v>
      </c>
      <c r="AC178">
        <f>IF(Vu_khi!$AG$178,INDEX(Bang_danh_noc!$C$2:$C$8,MIN(7,MAX(1,2-(Vu_khi!$L$178-2)+1))),INDEX(Bang_xuyen_giap!$C$2:$C$8,MIN(7,MAX(1,IF($O$178,MAX(1,2-(Vu_khi!$L$178-2)),2-(Vu_khi!$L$178-2))+1))))</f>
        <v/>
      </c>
      <c r="AD178" t="n">
        <v>1.15</v>
      </c>
      <c r="AE178">
        <f>IF(Vu_khi!$AG$178,INDEX(Bang_danh_noc!$C$2:$C$8,MIN(7,MAX(1,2-(Vu_khi!$L$178-4)+1))),INDEX(Bang_xuyen_giap!$C$2:$C$8,MIN(7,MAX(1,IF($O$178,MAX(1,2-(Vu_khi!$L$178-4)),2-(Vu_khi!$L$178-4))+1))))</f>
        <v/>
      </c>
      <c r="AF178" t="n">
        <v>0.95</v>
      </c>
      <c r="AG178">
        <f>INDEX(Bang_xuyen_giap!$C$2:$C$8,MIN(7,MAX(1,MAX(1,2-(Vu_khi!$L$178-0))+1)))</f>
        <v/>
      </c>
      <c r="AH178" t="n">
        <v>1</v>
      </c>
      <c r="AI178">
        <f>IF($Q$178,$M$178*$AA$178*$U$178,0)</f>
        <v/>
      </c>
      <c r="AJ178" t="n">
        <v>239.2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197.6</v>
      </c>
      <c r="AO178">
        <f>IF($Q$178,$M$178*$AC$178*$Y$178,0)</f>
        <v/>
      </c>
      <c r="AP178" t="n">
        <v>82.8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2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inlineStr"/>
      <c r="AZ178" t="inlineStr">
        <is>
          <t>LECH_DOT_1</t>
        </is>
      </c>
      <c r="BA178" t="b">
        <v>1</v>
      </c>
      <c r="BB178" t="inlineStr">
        <is>
          <t>Assets/MachineBrigade/Resources/Data/balance.json: weapons[id=locust_drones] (lớp B trên 01_chien_dau/Vu_khi)</t>
        </is>
      </c>
      <c r="BC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IF(Vu_khi!$AG$179,INDEX(Bang_danh_noc!$C$2:$C$8,MIN(7,MAX(1,2-(Vu_khi!$L$179-0)+1))),INDEX(Bang_xuyen_giap!$C$2:$C$8,MIN(7,MAX(1,IF($O$179,MAX(1,2-(Vu_khi!$L$179-0)),2-(Vu_khi!$L$179-0))+1))))</f>
        <v/>
      </c>
      <c r="AB179" t="n">
        <v>1.2</v>
      </c>
      <c r="AC179">
        <f>IF(Vu_khi!$AG$179,INDEX(Bang_danh_noc!$C$2:$C$8,MIN(7,MAX(1,2-(Vu_khi!$L$179-2)+1))),INDEX(Bang_xuyen_giap!$C$2:$C$8,MIN(7,MAX(1,IF($O$179,MAX(1,2-(Vu_khi!$L$179-2)),2-(Vu_khi!$L$179-2))+1))))</f>
        <v/>
      </c>
      <c r="AD179" t="n">
        <v>1.2</v>
      </c>
      <c r="AE179">
        <f>IF(Vu_khi!$AG$179,INDEX(Bang_danh_noc!$C$2:$C$8,MIN(7,MAX(1,2-(Vu_khi!$L$179-4)+1))),INDEX(Bang_xuyen_giap!$C$2:$C$8,MIN(7,MAX(1,IF($O$179,MAX(1,2-(Vu_khi!$L$179-4)),2-(Vu_khi!$L$179-4))+1))))</f>
        <v/>
      </c>
      <c r="AF179" t="n">
        <v>0.85</v>
      </c>
      <c r="AG179">
        <f>INDEX(Bang_xuyen_giap!$C$2:$C$8,MIN(7,MAX(1,MAX(1,2-(Vu_khi!$L$179-0))+1)))</f>
        <v/>
      </c>
      <c r="AH179" t="n">
        <v>1</v>
      </c>
      <c r="AI179">
        <f>IF($Q$179,$M$179*$AA$179*$U$179,0)</f>
        <v/>
      </c>
      <c r="AJ179" t="n">
        <v>68.4732824427481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48.50190839694656</v>
      </c>
      <c r="AO179">
        <f>IF($Q$179,$M$179*$AC$179*$Y$179,0)</f>
        <v/>
      </c>
      <c r="AP179" t="n">
        <v>23.70229007633588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inlineStr"/>
      <c r="AZ179" t="inlineStr">
        <is>
          <t>ok</t>
        </is>
      </c>
      <c r="BA179" t="inlineStr"/>
      <c r="BB179" t="inlineStr">
        <is>
          <t>Assets/MachineBrigade/Resources/Data/balance.json: weapons[id=maverick] (lớp B trên 01_chien_dau/Vu_khi)</t>
        </is>
      </c>
      <c r="BC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IF(Vu_khi!$AG$180,INDEX(Bang_danh_noc!$C$2:$C$8,MIN(7,MAX(1,2-(Vu_khi!$L$180-0)+1))),INDEX(Bang_xuyen_giap!$C$2:$C$8,MIN(7,MAX(1,IF($O$180,MAX(1,2-(Vu_khi!$L$180-0)),2-(Vu_khi!$L$180-0))+1))))</f>
        <v/>
      </c>
      <c r="AB180" t="n">
        <v>0.85</v>
      </c>
      <c r="AC180">
        <f>IF(Vu_khi!$AG$180,INDEX(Bang_danh_noc!$C$2:$C$8,MIN(7,MAX(1,2-(Vu_khi!$L$180-2)+1))),INDEX(Bang_xuyen_giap!$C$2:$C$8,MIN(7,MAX(1,IF($O$180,MAX(1,2-(Vu_khi!$L$180-2)),2-(Vu_khi!$L$180-2))+1))))</f>
        <v/>
      </c>
      <c r="AD180" t="n">
        <v>0.4</v>
      </c>
      <c r="AE180">
        <f>IF(Vu_khi!$AG$180,INDEX(Bang_danh_noc!$C$2:$C$8,MIN(7,MAX(1,2-(Vu_khi!$L$180-4)+1))),INDEX(Bang_xuyen_giap!$C$2:$C$8,MIN(7,MAX(1,IF($O$180,MAX(1,2-(Vu_khi!$L$180-4)),2-(Vu_khi!$L$180-4))+1))))</f>
        <v/>
      </c>
      <c r="AF180" t="n">
        <v>0.08</v>
      </c>
      <c r="AG180">
        <f>INDEX(Bang_xuyen_giap!$C$2:$C$8,MIN(7,MAX(1,MAX(1,2-(Vu_khi!$L$180-0))+1)))</f>
        <v/>
      </c>
      <c r="AH180" t="n">
        <v>0.85</v>
      </c>
      <c r="AI180">
        <f>IF($Q$180,$M$180*$AA$180*$U$180,0)</f>
        <v/>
      </c>
      <c r="AJ180" t="n">
        <v>45.49878345498783</v>
      </c>
      <c r="AK180">
        <f>IF($Q$180,$M$180*$AC$180*$U$180,0)</f>
        <v/>
      </c>
      <c r="AL180" t="n">
        <v>21.41119221411192</v>
      </c>
      <c r="AM180">
        <f>IF($Q$180,$M$180*$AE$180*$U$180,0)</f>
        <v/>
      </c>
      <c r="AN180" t="n">
        <v>4.282238442822384</v>
      </c>
      <c r="AO180">
        <f>IF($Q$180,$M$180*$AC$180*$Y$180,0)</f>
        <v/>
      </c>
      <c r="AP180" t="n">
        <v>12.48986212489862</v>
      </c>
      <c r="AQ180">
        <f>IF($S$180,$M$180*$AG$180*$W$180,0)</f>
        <v/>
      </c>
      <c r="AR180" t="n">
        <v>11.37469586374696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1.644</v>
      </c>
      <c r="AZ180" t="inlineStr">
        <is>
          <t>ok</t>
        </is>
      </c>
      <c r="BA180" t="inlineStr"/>
      <c r="BB180" t="inlineStr">
        <is>
          <t>Assets/MachineBrigade/Resources/Data/balance.json: weapons[id=mg_coax] (lớp B trên 01_chien_dau/Vu_khi)</t>
        </is>
      </c>
      <c r="BC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IF(Vu_khi!$AG$181,INDEX(Bang_danh_noc!$C$2:$C$8,MIN(7,MAX(1,2-(Vu_khi!$L$181-0)+1))),INDEX(Bang_xuyen_giap!$C$2:$C$8,MIN(7,MAX(1,IF($O$181,MAX(1,2-(Vu_khi!$L$181-0)),2-(Vu_khi!$L$181-0))+1))))</f>
        <v/>
      </c>
      <c r="AB181" t="n">
        <v>0.85</v>
      </c>
      <c r="AC181">
        <f>IF(Vu_khi!$AG$181,INDEX(Bang_danh_noc!$C$2:$C$8,MIN(7,MAX(1,2-(Vu_khi!$L$181-2)+1))),INDEX(Bang_xuyen_giap!$C$2:$C$8,MIN(7,MAX(1,IF($O$181,MAX(1,2-(Vu_khi!$L$181-2)),2-(Vu_khi!$L$181-2))+1))))</f>
        <v/>
      </c>
      <c r="AD181" t="n">
        <v>0.4</v>
      </c>
      <c r="AE181">
        <f>IF(Vu_khi!$AG$181,INDEX(Bang_danh_noc!$C$2:$C$8,MIN(7,MAX(1,2-(Vu_khi!$L$181-4)+1))),INDEX(Bang_xuyen_giap!$C$2:$C$8,MIN(7,MAX(1,IF($O$181,MAX(1,2-(Vu_khi!$L$181-4)),2-(Vu_khi!$L$181-4))+1))))</f>
        <v/>
      </c>
      <c r="AF181" t="n">
        <v>0.08</v>
      </c>
      <c r="AG181">
        <f>INDEX(Bang_xuyen_giap!$C$2:$C$8,MIN(7,MAX(1,MAX(1,2-(Vu_khi!$L$181-0))+1)))</f>
        <v/>
      </c>
      <c r="AH181" t="n">
        <v>0.85</v>
      </c>
      <c r="AI181">
        <f>IF($Q$181,$M$181*$AA$181*$U$181,0)</f>
        <v/>
      </c>
      <c r="AJ181" t="n">
        <v>45.49878345498783</v>
      </c>
      <c r="AK181">
        <f>IF($Q$181,$M$181*$AC$181*$U$181,0)</f>
        <v/>
      </c>
      <c r="AL181" t="n">
        <v>21.41119221411192</v>
      </c>
      <c r="AM181">
        <f>IF($Q$181,$M$181*$AE$181*$U$181,0)</f>
        <v/>
      </c>
      <c r="AN181" t="n">
        <v>4.282238442822384</v>
      </c>
      <c r="AO181">
        <f>IF($Q$181,$M$181*$AC$181*$Y$181,0)</f>
        <v/>
      </c>
      <c r="AP181" t="n">
        <v>12.48986212489862</v>
      </c>
      <c r="AQ181">
        <f>IF($S$181,$M$181*$AG$181*$W$181,0)</f>
        <v/>
      </c>
      <c r="AR181" t="n">
        <v>11.37469586374696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1.644</v>
      </c>
      <c r="AZ181" t="inlineStr">
        <is>
          <t>ok</t>
        </is>
      </c>
      <c r="BA181" t="inlineStr"/>
      <c r="BB181" t="inlineStr">
        <is>
          <t>Assets/MachineBrigade/Resources/Data/balance.json: weapons[id=mg_coax_long] (lớp B trên 01_chien_dau/Vu_khi)</t>
        </is>
      </c>
      <c r="BC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IF(Vu_khi!$AG$182,INDEX(Bang_danh_noc!$C$2:$C$8,MIN(7,MAX(1,2-(Vu_khi!$L$182-0)+1))),INDEX(Bang_xuyen_giap!$C$2:$C$8,MIN(7,MAX(1,IF($O$182,MAX(1,2-(Vu_khi!$L$182-0)),2-(Vu_khi!$L$182-0))+1))))</f>
        <v/>
      </c>
      <c r="AB182" t="n">
        <v>1</v>
      </c>
      <c r="AC182">
        <f>IF(Vu_khi!$AG$182,INDEX(Bang_danh_noc!$C$2:$C$8,MIN(7,MAX(1,2-(Vu_khi!$L$182-2)+1))),INDEX(Bang_xuyen_giap!$C$2:$C$8,MIN(7,MAX(1,IF($O$182,MAX(1,2-(Vu_khi!$L$182-2)),2-(Vu_khi!$L$182-2))+1))))</f>
        <v/>
      </c>
      <c r="AD182" t="n">
        <v>0.65</v>
      </c>
      <c r="AE182">
        <f>IF(Vu_khi!$AG$182,INDEX(Bang_danh_noc!$C$2:$C$8,MIN(7,MAX(1,2-(Vu_khi!$L$182-4)+1))),INDEX(Bang_xuyen_giap!$C$2:$C$8,MIN(7,MAX(1,IF($O$182,MAX(1,2-(Vu_khi!$L$182-4)),2-(Vu_khi!$L$182-4))+1))))</f>
        <v/>
      </c>
      <c r="AF182" t="n">
        <v>0.15</v>
      </c>
      <c r="AG182">
        <f>INDEX(Bang_xuyen_giap!$C$2:$C$8,MIN(7,MAX(1,MAX(1,2-(Vu_khi!$L$182-0))+1)))</f>
        <v/>
      </c>
      <c r="AH182" t="n">
        <v>1</v>
      </c>
      <c r="AI182">
        <f>IF($Q$182,$M$182*$AA$182*$U$182,0)</f>
        <v/>
      </c>
      <c r="AJ182" t="n">
        <v>70.76350093109869</v>
      </c>
      <c r="AK182">
        <f>IF($Q$182,$M$182*$AC$182*$U$182,0)</f>
        <v/>
      </c>
      <c r="AL182" t="n">
        <v>45.99627560521415</v>
      </c>
      <c r="AM182">
        <f>IF($Q$182,$M$182*$AE$182*$U$182,0)</f>
        <v/>
      </c>
      <c r="AN182" t="n">
        <v>10.6145251396648</v>
      </c>
      <c r="AO182">
        <f>IF($Q$182,$M$182*$AC$182*$Y$182,0)</f>
        <v/>
      </c>
      <c r="AP182" t="n">
        <v>26.83116076970825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weapons[id=mg_jeep] (lớp B trên 01_chien_dau/Vu_khi)</t>
        </is>
      </c>
      <c r="BC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IF(Vu_khi!$AG$183,INDEX(Bang_danh_noc!$C$2:$C$8,MIN(7,MAX(1,2-(Vu_khi!$L$183-0)+1))),INDEX(Bang_xuyen_giap!$C$2:$C$8,MIN(7,MAX(1,IF($O$183,MAX(1,2-(Vu_khi!$L$183-0)),2-(Vu_khi!$L$183-0))+1))))</f>
        <v/>
      </c>
      <c r="AB183" t="n">
        <v>1.2</v>
      </c>
      <c r="AC183">
        <f>IF(Vu_khi!$AG$183,INDEX(Bang_danh_noc!$C$2:$C$8,MIN(7,MAX(1,2-(Vu_khi!$L$183-2)+1))),INDEX(Bang_xuyen_giap!$C$2:$C$8,MIN(7,MAX(1,IF($O$183,MAX(1,2-(Vu_khi!$L$183-2)),2-(Vu_khi!$L$183-2))+1))))</f>
        <v/>
      </c>
      <c r="AD183" t="n">
        <v>0.85</v>
      </c>
      <c r="AE183">
        <f>IF(Vu_khi!$AG$183,INDEX(Bang_danh_noc!$C$2:$C$8,MIN(7,MAX(1,2-(Vu_khi!$L$183-4)+1))),INDEX(Bang_xuyen_giap!$C$2:$C$8,MIN(7,MAX(1,IF($O$183,MAX(1,2-(Vu_khi!$L$183-4)),2-(Vu_khi!$L$183-4))+1))))</f>
        <v/>
      </c>
      <c r="AF183" t="n">
        <v>0.4</v>
      </c>
      <c r="AG183">
        <f>INDEX(Bang_xuyen_giap!$C$2:$C$8,MIN(7,MAX(1,MAX(1,2-(Vu_khi!$L$183-0))+1)))</f>
        <v/>
      </c>
      <c r="AH183" t="n">
        <v>1</v>
      </c>
      <c r="AI183">
        <f>IF($Q$183,$M$183*$AA$183*$U$183,0)</f>
        <v/>
      </c>
      <c r="AJ183" t="n">
        <v>84.91620111731844</v>
      </c>
      <c r="AK183">
        <f>IF($Q$183,$M$183*$AC$183*$U$183,0)</f>
        <v/>
      </c>
      <c r="AL183" t="n">
        <v>60.14897579143389</v>
      </c>
      <c r="AM183">
        <f>IF($Q$183,$M$183*$AE$183*$U$183,0)</f>
        <v/>
      </c>
      <c r="AN183" t="n">
        <v>28.30540037243948</v>
      </c>
      <c r="AO183">
        <f>IF($Q$183,$M$183*$AC$183*$Y$183,0)</f>
        <v/>
      </c>
      <c r="AP183" t="n">
        <v>35.0869025450031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weapons[id=mg_jeep_api] (lớp B trên 01_chien_dau/Vu_khi)</t>
        </is>
      </c>
      <c r="BC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IF(Vu_khi!$AG$184,INDEX(Bang_danh_noc!$C$2:$C$8,MIN(7,MAX(1,2-(Vu_khi!$L$184-0)+1))),INDEX(Bang_xuyen_giap!$C$2:$C$8,MIN(7,MAX(1,IF($O$184,MAX(1,2-(Vu_khi!$L$184-0)),2-(Vu_khi!$L$184-0))+1))))</f>
        <v/>
      </c>
      <c r="AB184" t="n">
        <v>1</v>
      </c>
      <c r="AC184">
        <f>IF(Vu_khi!$AG$184,INDEX(Bang_danh_noc!$C$2:$C$8,MIN(7,MAX(1,2-(Vu_khi!$L$184-2)+1))),INDEX(Bang_xuyen_giap!$C$2:$C$8,MIN(7,MAX(1,IF($O$184,MAX(1,2-(Vu_khi!$L$184-2)),2-(Vu_khi!$L$184-2))+1))))</f>
        <v/>
      </c>
      <c r="AD184" t="n">
        <v>0.65</v>
      </c>
      <c r="AE184">
        <f>IF(Vu_khi!$AG$184,INDEX(Bang_danh_noc!$C$2:$C$8,MIN(7,MAX(1,2-(Vu_khi!$L$184-4)+1))),INDEX(Bang_xuyen_giap!$C$2:$C$8,MIN(7,MAX(1,IF($O$184,MAX(1,2-(Vu_khi!$L$184-4)),2-(Vu_khi!$L$184-4))+1))))</f>
        <v/>
      </c>
      <c r="AF184" t="n">
        <v>0.15</v>
      </c>
      <c r="AG184">
        <f>INDEX(Bang_xuyen_giap!$C$2:$C$8,MIN(7,MAX(1,MAX(1,2-(Vu_khi!$L$184-0))+1)))</f>
        <v/>
      </c>
      <c r="AH184" t="n">
        <v>1</v>
      </c>
      <c r="AI184">
        <f>IF($Q$184,$M$184*$AA$184*$U$184,0)</f>
        <v/>
      </c>
      <c r="AJ184" t="n">
        <v>70.76350093109869</v>
      </c>
      <c r="AK184">
        <f>IF($Q$184,$M$184*$AC$184*$U$184,0)</f>
        <v/>
      </c>
      <c r="AL184" t="n">
        <v>45.99627560521415</v>
      </c>
      <c r="AM184">
        <f>IF($Q$184,$M$184*$AE$184*$U$184,0)</f>
        <v/>
      </c>
      <c r="AN184" t="n">
        <v>10.6145251396648</v>
      </c>
      <c r="AO184">
        <f>IF($Q$184,$M$184*$AC$184*$Y$184,0)</f>
        <v/>
      </c>
      <c r="AP184" t="n">
        <v>26.83116076970825</v>
      </c>
      <c r="AQ184">
        <f>IF($S$184,$M$184*$AG$184*$W$184,0)</f>
        <v/>
      </c>
      <c r="AR184" t="n">
        <v>17.69087523277467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1.611</v>
      </c>
      <c r="AZ184" t="inlineStr">
        <is>
          <t>ok</t>
        </is>
      </c>
      <c r="BA184" t="inlineStr"/>
      <c r="BB184" t="inlineStr">
        <is>
          <t>Assets/MachineBrigade/Resources/Data/balance.json: weapons[id=mg_jeep_selfdef] (lớp B trên 01_chien_dau/Vu_khi)</t>
        </is>
      </c>
      <c r="BC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IF(Vu_khi!$AG$185,INDEX(Bang_danh_noc!$C$2:$C$8,MIN(7,MAX(1,2-(Vu_khi!$L$185-0)+1))),INDEX(Bang_xuyen_giap!$C$2:$C$8,MIN(7,MAX(1,IF($O$185,MAX(1,2-(Vu_khi!$L$185-0)),2-(Vu_khi!$L$185-0))+1))))</f>
        <v/>
      </c>
      <c r="AB185" t="n">
        <v>1.2</v>
      </c>
      <c r="AC185">
        <f>IF(Vu_khi!$AG$185,INDEX(Bang_danh_noc!$C$2:$C$8,MIN(7,MAX(1,2-(Vu_khi!$L$185-2)+1))),INDEX(Bang_xuyen_giap!$C$2:$C$8,MIN(7,MAX(1,IF($O$185,MAX(1,2-(Vu_khi!$L$185-2)),2-(Vu_khi!$L$185-2))+1))))</f>
        <v/>
      </c>
      <c r="AD185" t="n">
        <v>0.85</v>
      </c>
      <c r="AE185">
        <f>IF(Vu_khi!$AG$185,INDEX(Bang_danh_noc!$C$2:$C$8,MIN(7,MAX(1,2-(Vu_khi!$L$185-4)+1))),INDEX(Bang_xuyen_giap!$C$2:$C$8,MIN(7,MAX(1,IF($O$185,MAX(1,2-(Vu_khi!$L$185-4)),2-(Vu_khi!$L$185-4))+1))))</f>
        <v/>
      </c>
      <c r="AF185" t="n">
        <v>0.4</v>
      </c>
      <c r="AG185">
        <f>INDEX(Bang_xuyen_giap!$C$2:$C$8,MIN(7,MAX(1,MAX(1,2-(Vu_khi!$L$185-0))+1)))</f>
        <v/>
      </c>
      <c r="AH185" t="n">
        <v>1</v>
      </c>
      <c r="AI185">
        <f>IF($Q$185,$M$185*$AA$185*$U$185,0)</f>
        <v/>
      </c>
      <c r="AJ185" t="n">
        <v>84.91620111731844</v>
      </c>
      <c r="AK185">
        <f>IF($Q$185,$M$185*$AC$185*$U$185,0)</f>
        <v/>
      </c>
      <c r="AL185" t="n">
        <v>60.14897579143389</v>
      </c>
      <c r="AM185">
        <f>IF($Q$185,$M$185*$AE$185*$U$185,0)</f>
        <v/>
      </c>
      <c r="AN185" t="n">
        <v>28.30540037243948</v>
      </c>
      <c r="AO185">
        <f>IF($Q$185,$M$185*$AC$185*$Y$185,0)</f>
        <v/>
      </c>
      <c r="AP185" t="n">
        <v>35.0869025450031</v>
      </c>
      <c r="AQ185">
        <f>IF($S$185,$M$185*$AG$185*$W$185,0)</f>
        <v/>
      </c>
      <c r="AR185" t="n">
        <v>17.69087523277467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0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BB185" t="inlineStr">
        <is>
          <t>Assets/MachineBrigade/Resources/Data/balance.json: weapons[id=mg_jeep_selfdef_api] (lớp B trên 01_chien_dau/Vu_khi)</t>
        </is>
      </c>
      <c r="BC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IF(Vu_khi!$AG$186,INDEX(Bang_danh_noc!$C$2:$C$8,MIN(7,MAX(1,2-(Vu_khi!$L$186-0)+1))),INDEX(Bang_xuyen_giap!$C$2:$C$8,MIN(7,MAX(1,IF($O$186,MAX(1,2-(Vu_khi!$L$186-0)),2-(Vu_khi!$L$186-0))+1))))</f>
        <v/>
      </c>
      <c r="AB186" t="n">
        <v>0.85</v>
      </c>
      <c r="AC186">
        <f>IF(Vu_khi!$AG$186,INDEX(Bang_danh_noc!$C$2:$C$8,MIN(7,MAX(1,2-(Vu_khi!$L$186-2)+1))),INDEX(Bang_xuyen_giap!$C$2:$C$8,MIN(7,MAX(1,IF($O$186,MAX(1,2-(Vu_khi!$L$186-2)),2-(Vu_khi!$L$186-2))+1))))</f>
        <v/>
      </c>
      <c r="AD186" t="n">
        <v>0.4</v>
      </c>
      <c r="AE186">
        <f>IF(Vu_khi!$AG$186,INDEX(Bang_danh_noc!$C$2:$C$8,MIN(7,MAX(1,2-(Vu_khi!$L$186-4)+1))),INDEX(Bang_xuyen_giap!$C$2:$C$8,MIN(7,MAX(1,IF($O$186,MAX(1,2-(Vu_khi!$L$186-4)),2-(Vu_khi!$L$186-4))+1))))</f>
        <v/>
      </c>
      <c r="AF186" t="n">
        <v>0.08</v>
      </c>
      <c r="AG186">
        <f>INDEX(Bang_xuyen_giap!$C$2:$C$8,MIN(7,MAX(1,MAX(1,2-(Vu_khi!$L$186-0))+1)))</f>
        <v/>
      </c>
      <c r="AH186" t="n">
        <v>0.85</v>
      </c>
      <c r="AI186">
        <f>IF($Q$186,$M$186*$AA$186*$U$186,0)</f>
        <v/>
      </c>
      <c r="AJ186" t="n">
        <v>140.25</v>
      </c>
      <c r="AK186">
        <f>IF($Q$186,$M$186*$AC$186*$U$186,0)</f>
        <v/>
      </c>
      <c r="AL186" t="n">
        <v>66</v>
      </c>
      <c r="AM186">
        <f>IF($Q$186,$M$186*$AE$186*$U$186,0)</f>
        <v/>
      </c>
      <c r="AN186" t="n">
        <v>13.2</v>
      </c>
      <c r="AO186">
        <f>IF($Q$186,$M$186*$AC$186*$Y$186,0)</f>
        <v/>
      </c>
      <c r="AP186" t="n">
        <v>38.49999999999999</v>
      </c>
      <c r="AQ186">
        <f>IF($S$186,$M$186*$AG$186*$W$186,0)</f>
        <v/>
      </c>
      <c r="AR186" t="n">
        <v>35.0625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n">
        <v>4</v>
      </c>
      <c r="AZ186" t="inlineStr">
        <is>
          <t>ok</t>
        </is>
      </c>
      <c r="BA186" t="inlineStr"/>
      <c r="BB186" t="inlineStr">
        <is>
          <t>Assets/MachineBrigade/Resources/Data/balance.json: weapons[id=minigun] (lớp B trên 01_chien_dau/Vu_khi)</t>
        </is>
      </c>
      <c r="BC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IF(Vu_khi!$AG$187,INDEX(Bang_danh_noc!$C$2:$C$8,MIN(7,MAX(1,2-(Vu_khi!$L$187-0)+1))),INDEX(Bang_xuyen_giap!$C$2:$C$8,MIN(7,MAX(1,IF($O$187,MAX(1,2-(Vu_khi!$L$187-0)),2-(Vu_khi!$L$187-0))+1))))</f>
        <v/>
      </c>
      <c r="AB187" t="n">
        <v>1.2</v>
      </c>
      <c r="AC187">
        <f>IF(Vu_khi!$AG$187,INDEX(Bang_danh_noc!$C$2:$C$8,MIN(7,MAX(1,2-(Vu_khi!$L$187-2)+1))),INDEX(Bang_xuyen_giap!$C$2:$C$8,MIN(7,MAX(1,IF($O$187,MAX(1,2-(Vu_khi!$L$187-2)),2-(Vu_khi!$L$187-2))+1))))</f>
        <v/>
      </c>
      <c r="AD187" t="n">
        <v>1</v>
      </c>
      <c r="AE187">
        <f>IF(Vu_khi!$AG$187,INDEX(Bang_danh_noc!$C$2:$C$8,MIN(7,MAX(1,2-(Vu_khi!$L$187-4)+1))),INDEX(Bang_xuyen_giap!$C$2:$C$8,MIN(7,MAX(1,IF($O$187,MAX(1,2-(Vu_khi!$L$187-4)),2-(Vu_khi!$L$187-4))+1))))</f>
        <v/>
      </c>
      <c r="AF187" t="n">
        <v>0.65</v>
      </c>
      <c r="AG187">
        <f>INDEX(Bang_xuyen_giap!$C$2:$C$8,MIN(7,MAX(1,MAX(1,2-(Vu_khi!$L$187-0))+1)))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66.71159029649597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n">
        <v>2.968</v>
      </c>
      <c r="AZ187" t="inlineStr">
        <is>
          <t>ok</t>
        </is>
      </c>
      <c r="BA187" t="inlineStr"/>
      <c r="BB187" t="inlineStr">
        <is>
          <t>Assets/MachineBrigade/Resources/Data/balance.json: weapons[id=missile_57e6] (lớp B trên 01_chien_dau/Vu_khi)</t>
        </is>
      </c>
      <c r="BC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IF(Vu_khi!$AG$188,INDEX(Bang_danh_noc!$C$2:$C$8,MIN(7,MAX(1,2-(Vu_khi!$L$188-0)+1))),INDEX(Bang_xuyen_giap!$C$2:$C$8,MIN(7,MAX(1,IF($O$188,MAX(1,2-(Vu_khi!$L$188-0)),2-(Vu_khi!$L$188-0))+1))))</f>
        <v/>
      </c>
      <c r="AB188" t="n">
        <v>1</v>
      </c>
      <c r="AC188">
        <f>IF(Vu_khi!$AG$188,INDEX(Bang_danh_noc!$C$2:$C$8,MIN(7,MAX(1,2-(Vu_khi!$L$188-2)+1))),INDEX(Bang_xuyen_giap!$C$2:$C$8,MIN(7,MAX(1,IF($O$188,MAX(1,2-(Vu_khi!$L$188-2)),2-(Vu_khi!$L$188-2))+1))))</f>
        <v/>
      </c>
      <c r="AD188" t="n">
        <v>1</v>
      </c>
      <c r="AE188">
        <f>IF(Vu_khi!$AG$188,INDEX(Bang_danh_noc!$C$2:$C$8,MIN(7,MAX(1,2-(Vu_khi!$L$188-4)+1))),INDEX(Bang_xuyen_giap!$C$2:$C$8,MIN(7,MAX(1,IF($O$188,MAX(1,2-(Vu_khi!$L$188-4)),2-(Vu_khi!$L$188-4))+1))))</f>
        <v/>
      </c>
      <c r="AF188" t="n">
        <v>0.65</v>
      </c>
      <c r="AG188">
        <f>INDEX(Bang_xuyen_giap!$C$2:$C$8,MIN(7,MAX(1,MAX(1,2-(Vu_khi!$L$188-0))+1)))</f>
        <v/>
      </c>
      <c r="AH188" t="n">
        <v>1</v>
      </c>
      <c r="AI188">
        <f>IF($Q$188,$M$188*$AA$188*$U$188,0)</f>
        <v/>
      </c>
      <c r="AJ188" t="n">
        <v>38.69493649116772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25.15170871925902</v>
      </c>
      <c r="AO188">
        <f>IF($Q$188,$M$188*$AC$188*$Y$188,0)</f>
        <v/>
      </c>
      <c r="AP188" t="n">
        <v>61.91189838586836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1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0.028</v>
      </c>
      <c r="AZ188" t="inlineStr">
        <is>
          <t>NHANH_QUA</t>
        </is>
      </c>
      <c r="BA188" t="inlineStr"/>
      <c r="BB188" t="inlineStr">
        <is>
          <t>Assets/MachineBrigade/Resources/Data/balance.json: weapons[id=mlrs_elite] (lớp B trên 01_chien_dau/Vu_khi)</t>
        </is>
      </c>
      <c r="BC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IF(Vu_khi!$AG$189,INDEX(Bang_danh_noc!$C$2:$C$8,MIN(7,MAX(1,2-(Vu_khi!$L$189-0)+1))),INDEX(Bang_xuyen_giap!$C$2:$C$8,MIN(7,MAX(1,IF($O$189,MAX(1,2-(Vu_khi!$L$189-0)),2-(Vu_khi!$L$189-0))+1))))</f>
        <v/>
      </c>
      <c r="AB189" t="n">
        <v>1</v>
      </c>
      <c r="AC189">
        <f>IF(Vu_khi!$AG$189,INDEX(Bang_danh_noc!$C$2:$C$8,MIN(7,MAX(1,2-(Vu_khi!$L$189-2)+1))),INDEX(Bang_xuyen_giap!$C$2:$C$8,MIN(7,MAX(1,IF($O$189,MAX(1,2-(Vu_khi!$L$189-2)),2-(Vu_khi!$L$189-2))+1))))</f>
        <v/>
      </c>
      <c r="AD189" t="n">
        <v>1</v>
      </c>
      <c r="AE189">
        <f>IF(Vu_khi!$AG$189,INDEX(Bang_danh_noc!$C$2:$C$8,MIN(7,MAX(1,2-(Vu_khi!$L$189-4)+1))),INDEX(Bang_xuyen_giap!$C$2:$C$8,MIN(7,MAX(1,IF($O$189,MAX(1,2-(Vu_khi!$L$189-4)),2-(Vu_khi!$L$189-4))+1))))</f>
        <v/>
      </c>
      <c r="AF189" t="n">
        <v>0.65</v>
      </c>
      <c r="AG189">
        <f>INDEX(Bang_xuyen_giap!$C$2:$C$8,MIN(7,MAX(1,MAX(1,2-(Vu_khi!$L$189-0))+1)))</f>
        <v/>
      </c>
      <c r="AH189" t="n">
        <v>1</v>
      </c>
      <c r="AI189">
        <f>IF($Q$189,$M$189*$AA$189*$U$189,0)</f>
        <v/>
      </c>
      <c r="AJ189" t="n">
        <v>33.27454829800686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21.62845639370446</v>
      </c>
      <c r="AO189">
        <f>IF($Q$189,$M$189*$AC$189*$Y$189,0)</f>
        <v/>
      </c>
      <c r="AP189" t="n">
        <v>53.23927727681097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0.06</v>
      </c>
      <c r="AZ189" t="inlineStr">
        <is>
          <t>NHANH_QUA</t>
        </is>
      </c>
      <c r="BA189" t="inlineStr"/>
      <c r="BB189" t="inlineStr">
        <is>
          <t>Assets/MachineBrigade/Resources/Data/balance.json: weapons[id=mlrs_rockets] (lớp B trên 01_chien_dau/Vu_khi)</t>
        </is>
      </c>
      <c r="BC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IF(Vu_khi!$AG$190,INDEX(Bang_danh_noc!$C$2:$C$8,MIN(7,MAX(1,2-(Vu_khi!$L$190-0)+1))),INDEX(Bang_xuyen_giap!$C$2:$C$8,MIN(7,MAX(1,IF($O$190,MAX(1,2-(Vu_khi!$L$190-0)),2-(Vu_khi!$L$190-0))+1))))</f>
        <v/>
      </c>
      <c r="AB190" t="n">
        <v>1</v>
      </c>
      <c r="AC190">
        <f>IF(Vu_khi!$AG$190,INDEX(Bang_danh_noc!$C$2:$C$8,MIN(7,MAX(1,2-(Vu_khi!$L$190-2)+1))),INDEX(Bang_xuyen_giap!$C$2:$C$8,MIN(7,MAX(1,IF($O$190,MAX(1,2-(Vu_khi!$L$190-2)),2-(Vu_khi!$L$190-2))+1))))</f>
        <v/>
      </c>
      <c r="AD190" t="n">
        <v>0.85</v>
      </c>
      <c r="AE190">
        <f>IF(Vu_khi!$AG$190,INDEX(Bang_danh_noc!$C$2:$C$8,MIN(7,MAX(1,2-(Vu_khi!$L$190-4)+1))),INDEX(Bang_xuyen_giap!$C$2:$C$8,MIN(7,MAX(1,IF($O$190,MAX(1,2-(Vu_khi!$L$190-4)),2-(Vu_khi!$L$190-4))+1))))</f>
        <v/>
      </c>
      <c r="AF190" t="n">
        <v>0.4</v>
      </c>
      <c r="AG190">
        <f>INDEX(Bang_xuyen_giap!$C$2:$C$8,MIN(7,MAX(1,MAX(1,2-(Vu_khi!$L$190-0))+1)))</f>
        <v/>
      </c>
      <c r="AH190" t="n">
        <v>1</v>
      </c>
      <c r="AI190">
        <f>IF($Q$190,$M$190*$AA$190*$U$190,0)</f>
        <v/>
      </c>
      <c r="AJ190" t="n">
        <v>23.44434706397897</v>
      </c>
      <c r="AK190">
        <f>IF($Q$190,$M$190*$AC$190*$U$190,0)</f>
        <v/>
      </c>
      <c r="AL190" t="n">
        <v>19.92769500438212</v>
      </c>
      <c r="AM190">
        <f>IF($Q$190,$M$190*$AE$190*$U$190,0)</f>
        <v/>
      </c>
      <c r="AN190" t="n">
        <v>9.377738825591589</v>
      </c>
      <c r="AO190">
        <f>IF($Q$190,$M$190*$AC$190*$Y$190,0)</f>
        <v/>
      </c>
      <c r="AP190" t="n">
        <v>31.8843120070114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3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1.5974</v>
      </c>
      <c r="AZ190" t="inlineStr">
        <is>
          <t>LECH_DOT_1</t>
        </is>
      </c>
      <c r="BA190" t="inlineStr"/>
      <c r="BB190" t="inlineStr">
        <is>
          <t>Assets/MachineBrigade/Resources/Data/balance.json: weapons[id=mortar_120] (lớp B trên 01_chien_dau/Vu_khi)</t>
        </is>
      </c>
      <c r="BC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IF(Vu_khi!$AG$191,INDEX(Bang_danh_noc!$C$2:$C$8,MIN(7,MAX(1,2-(Vu_khi!$L$191-0)+1))),INDEX(Bang_xuyen_giap!$C$2:$C$8,MIN(7,MAX(1,IF($O$191,MAX(1,2-(Vu_khi!$L$191-0)),2-(Vu_khi!$L$191-0))+1))))</f>
        <v/>
      </c>
      <c r="AB191" t="n">
        <v>1</v>
      </c>
      <c r="AC191">
        <f>IF(Vu_khi!$AG$191,INDEX(Bang_danh_noc!$C$2:$C$8,MIN(7,MAX(1,2-(Vu_khi!$L$191-2)+1))),INDEX(Bang_xuyen_giap!$C$2:$C$8,MIN(7,MAX(1,IF($O$191,MAX(1,2-(Vu_khi!$L$191-2)),2-(Vu_khi!$L$191-2))+1))))</f>
        <v/>
      </c>
      <c r="AD191" t="n">
        <v>1</v>
      </c>
      <c r="AE191">
        <f>IF(Vu_khi!$AG$191,INDEX(Bang_danh_noc!$C$2:$C$8,MIN(7,MAX(1,2-(Vu_khi!$L$191-4)+1))),INDEX(Bang_xuyen_giap!$C$2:$C$8,MIN(7,MAX(1,IF($O$191,MAX(1,2-(Vu_khi!$L$191-4)),2-(Vu_khi!$L$191-4))+1))))</f>
        <v/>
      </c>
      <c r="AF191" t="n">
        <v>0.85</v>
      </c>
      <c r="AG191">
        <f>INDEX(Bang_xuyen_giap!$C$2:$C$8,MIN(7,MAX(1,MAX(1,2-(Vu_khi!$L$191-0))+1)))</f>
        <v/>
      </c>
      <c r="AH191" t="n">
        <v>1</v>
      </c>
      <c r="AI191">
        <f>IF($Q$191,$M$191*$AA$191*$U$191,0)</f>
        <v/>
      </c>
      <c r="AJ191" t="n">
        <v>26.31578947368421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22.36842105263158</v>
      </c>
      <c r="AO191">
        <f>IF($Q$191,$M$191*$AC$191*$Y$191,0)</f>
        <v/>
      </c>
      <c r="AP191" t="n">
        <v>42.10526315789474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1</v>
      </c>
      <c r="AU191">
        <f>IF(AND($B$191&lt;0,$AS$191),4,$B$191)</f>
        <v/>
      </c>
      <c r="AV191" t="n">
        <v>4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2.5</v>
      </c>
      <c r="AY191" t="n">
        <v>0.1995</v>
      </c>
      <c r="AZ191" t="inlineStr">
        <is>
          <t>NHANH_QUA</t>
        </is>
      </c>
      <c r="BA191" t="inlineStr"/>
      <c r="BB191" t="inlineStr">
        <is>
          <t>Assets/MachineBrigade/Resources/Data/balance.json: weapons[id=mortar_240] (lớp B trên 01_chien_dau/Vu_khi)</t>
        </is>
      </c>
      <c r="BC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IF(Vu_khi!$AG$192,INDEX(Bang_danh_noc!$C$2:$C$8,MIN(7,MAX(1,2-(Vu_khi!$L$192-0)+1))),INDEX(Bang_xuyen_giap!$C$2:$C$8,MIN(7,MAX(1,IF($O$192,MAX(1,2-(Vu_khi!$L$192-0)),2-(Vu_khi!$L$192-0))+1))))</f>
        <v/>
      </c>
      <c r="AB192" t="n">
        <v>1.2</v>
      </c>
      <c r="AC192">
        <f>IF(Vu_khi!$AG$192,INDEX(Bang_danh_noc!$C$2:$C$8,MIN(7,MAX(1,2-(Vu_khi!$L$192-2)+1))),INDEX(Bang_xuyen_giap!$C$2:$C$8,MIN(7,MAX(1,IF($O$192,MAX(1,2-(Vu_khi!$L$192-2)),2-(Vu_khi!$L$192-2))+1))))</f>
        <v/>
      </c>
      <c r="AD192" t="n">
        <v>0.85</v>
      </c>
      <c r="AE192">
        <f>IF(Vu_khi!$AG$192,INDEX(Bang_danh_noc!$C$2:$C$8,MIN(7,MAX(1,2-(Vu_khi!$L$192-4)+1))),INDEX(Bang_xuyen_giap!$C$2:$C$8,MIN(7,MAX(1,IF($O$192,MAX(1,2-(Vu_khi!$L$192-4)),2-(Vu_khi!$L$192-4))+1))))</f>
        <v/>
      </c>
      <c r="AF192" t="n">
        <v>0.4</v>
      </c>
      <c r="AG192">
        <f>INDEX(Bang_xuyen_giap!$C$2:$C$8,MIN(7,MAX(1,MAX(1,2-(Vu_khi!$L$192-0))+1)))</f>
        <v/>
      </c>
      <c r="AH192" t="n">
        <v>1</v>
      </c>
      <c r="AI192">
        <f>IF($Q$192,$M$192*$AA$192*$U$192,0)</f>
        <v/>
      </c>
      <c r="AJ192" t="n">
        <v>70.14613778705636</v>
      </c>
      <c r="AK192">
        <f>IF($Q$192,$M$192*$AC$192*$U$192,0)</f>
        <v/>
      </c>
      <c r="AL192" t="n">
        <v>49.68684759916493</v>
      </c>
      <c r="AM192">
        <f>IF($Q$192,$M$192*$AE$192*$U$192,0)</f>
        <v/>
      </c>
      <c r="AN192" t="n">
        <v>23.38204592901879</v>
      </c>
      <c r="AO192">
        <f>IF($Q$192,$M$192*$AC$192*$Y$192,0)</f>
        <v/>
      </c>
      <c r="AP192" t="n">
        <v>79.49895615866389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2.395</v>
      </c>
      <c r="AZ192" t="inlineStr">
        <is>
          <t>ok</t>
        </is>
      </c>
      <c r="BA192" t="inlineStr"/>
      <c r="BB192" t="inlineStr">
        <is>
          <t>Assets/MachineBrigade/Resources/Data/balance.json: weapons[id=mothership_cannon] (lớp B trên 01_chien_dau/Vu_khi)</t>
        </is>
      </c>
      <c r="BC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IF(Vu_khi!$AG$193,INDEX(Bang_danh_noc!$C$2:$C$8,MIN(7,MAX(1,2-(Vu_khi!$L$193-0)+1))),INDEX(Bang_xuyen_giap!$C$2:$C$8,MIN(7,MAX(1,IF($O$193,MAX(1,2-(Vu_khi!$L$193-0)),2-(Vu_khi!$L$193-0))+1))))</f>
        <v/>
      </c>
      <c r="AB193" t="n">
        <v>1.15</v>
      </c>
      <c r="AC193">
        <f>IF(Vu_khi!$AG$193,INDEX(Bang_danh_noc!$C$2:$C$8,MIN(7,MAX(1,2-(Vu_khi!$L$193-2)+1))),INDEX(Bang_xuyen_giap!$C$2:$C$8,MIN(7,MAX(1,IF($O$193,MAX(1,2-(Vu_khi!$L$193-2)),2-(Vu_khi!$L$193-2))+1))))</f>
        <v/>
      </c>
      <c r="AD193" t="n">
        <v>1.15</v>
      </c>
      <c r="AE193">
        <f>IF(Vu_khi!$AG$193,INDEX(Bang_danh_noc!$C$2:$C$8,MIN(7,MAX(1,2-(Vu_khi!$L$193-4)+1))),INDEX(Bang_xuyen_giap!$C$2:$C$8,MIN(7,MAX(1,IF($O$193,MAX(1,2-(Vu_khi!$L$193-4)),2-(Vu_khi!$L$193-4))+1))))</f>
        <v/>
      </c>
      <c r="AF193" t="n">
        <v>0.95</v>
      </c>
      <c r="AG193">
        <f>INDEX(Bang_xuyen_giap!$C$2:$C$8,MIN(7,MAX(1,MAX(1,2-(Vu_khi!$L$193-0))+1)))</f>
        <v/>
      </c>
      <c r="AH193" t="n">
        <v>1</v>
      </c>
      <c r="AI193">
        <f>IF($Q$193,$M$193*$AA$193*$U$193,0)</f>
        <v/>
      </c>
      <c r="AJ193" t="n">
        <v>153.1696905016008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126.5314834578442</v>
      </c>
      <c r="AO193">
        <f>IF($Q$193,$M$193*$AC$193*$Y$193,0)</f>
        <v/>
      </c>
      <c r="AP193" t="n">
        <v>53.02027748132336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weapons[id=mothership_drones] (lớp B trên 01_chien_dau/Vu_khi)</t>
        </is>
      </c>
      <c r="BC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IF(Vu_khi!$AG$194,INDEX(Bang_danh_noc!$C$2:$C$8,MIN(7,MAX(1,2-(Vu_khi!$L$194-0)+1))),INDEX(Bang_xuyen_giap!$C$2:$C$8,MIN(7,MAX(1,IF($O$194,MAX(1,2-(Vu_khi!$L$194-0)),2-(Vu_khi!$L$194-0))+1))))</f>
        <v/>
      </c>
      <c r="AB194" t="n">
        <v>1.2</v>
      </c>
      <c r="AC194">
        <f>IF(Vu_khi!$AG$194,INDEX(Bang_danh_noc!$C$2:$C$8,MIN(7,MAX(1,2-(Vu_khi!$L$194-2)+1))),INDEX(Bang_xuyen_giap!$C$2:$C$8,MIN(7,MAX(1,IF($O$194,MAX(1,2-(Vu_khi!$L$194-2)),2-(Vu_khi!$L$194-2))+1))))</f>
        <v/>
      </c>
      <c r="AD194" t="n">
        <v>1</v>
      </c>
      <c r="AE194">
        <f>IF(Vu_khi!$AG$194,INDEX(Bang_danh_noc!$C$2:$C$8,MIN(7,MAX(1,2-(Vu_khi!$L$194-4)+1))),INDEX(Bang_xuyen_giap!$C$2:$C$8,MIN(7,MAX(1,IF($O$194,MAX(1,2-(Vu_khi!$L$194-4)),2-(Vu_khi!$L$194-4))+1))))</f>
        <v/>
      </c>
      <c r="AF194" t="n">
        <v>0.65</v>
      </c>
      <c r="AG194">
        <f>INDEX(Bang_xuyen_giap!$C$2:$C$8,MIN(7,MAX(1,MAX(1,2-(Vu_khi!$L$194-0))+1)))</f>
        <v/>
      </c>
      <c r="AH194" t="n">
        <v>1</v>
      </c>
      <c r="AI194">
        <f>IF($Q$194,$M$194*$AA$194*$U$194,0)</f>
        <v/>
      </c>
      <c r="AJ194" t="n">
        <v>79.79778339490569</v>
      </c>
      <c r="AK194">
        <f>IF($Q$194,$M$194*$AC$194*$U$194,0)</f>
        <v/>
      </c>
      <c r="AL194" t="n">
        <v>66.49815282908808</v>
      </c>
      <c r="AM194">
        <f>IF($Q$194,$M$194*$AE$194*$U$194,0)</f>
        <v/>
      </c>
      <c r="AN194" t="n">
        <v>43.22379933890726</v>
      </c>
      <c r="AO194">
        <f>IF($Q$194,$M$194*$AC$194*$Y$194,0)</f>
        <v/>
      </c>
      <c r="AP194" t="n">
        <v>106.3970445265409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3.6001</v>
      </c>
      <c r="AZ194" t="inlineStr">
        <is>
          <t>CHAM_QUA;LECH_DOT_1</t>
        </is>
      </c>
      <c r="BA194" t="inlineStr"/>
      <c r="BB194" t="inlineStr">
        <is>
          <t>Assets/MachineBrigade/Resources/Data/balance.json: weapons[id=naval_76] (lớp B trên 01_chien_dau/Vu_khi)</t>
        </is>
      </c>
      <c r="BC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IF(Vu_khi!$AG$195,INDEX(Bang_danh_noc!$C$2:$C$8,MIN(7,MAX(1,2-(Vu_khi!$L$195-0)+1))),INDEX(Bang_xuyen_giap!$C$2:$C$8,MIN(7,MAX(1,IF($O$195,MAX(1,2-(Vu_khi!$L$195-0)),2-(Vu_khi!$L$195-0))+1))))</f>
        <v/>
      </c>
      <c r="AB195" t="n">
        <v>1.2</v>
      </c>
      <c r="AC195">
        <f>IF(Vu_khi!$AG$195,INDEX(Bang_danh_noc!$C$2:$C$8,MIN(7,MAX(1,2-(Vu_khi!$L$195-2)+1))),INDEX(Bang_xuyen_giap!$C$2:$C$8,MIN(7,MAX(1,IF($O$195,MAX(1,2-(Vu_khi!$L$195-2)),2-(Vu_khi!$L$195-2))+1))))</f>
        <v/>
      </c>
      <c r="AD195" t="n">
        <v>1</v>
      </c>
      <c r="AE195">
        <f>IF(Vu_khi!$AG$195,INDEX(Bang_danh_noc!$C$2:$C$8,MIN(7,MAX(1,2-(Vu_khi!$L$195-4)+1))),INDEX(Bang_xuyen_giap!$C$2:$C$8,MIN(7,MAX(1,IF($O$195,MAX(1,2-(Vu_khi!$L$195-4)),2-(Vu_khi!$L$195-4))+1))))</f>
        <v/>
      </c>
      <c r="AF195" t="n">
        <v>0.65</v>
      </c>
      <c r="AG195">
        <f>INDEX(Bang_xuyen_giap!$C$2:$C$8,MIN(7,MAX(1,MAX(1,2-(Vu_khi!$L$195-0))+1)))</f>
        <v/>
      </c>
      <c r="AH195" t="n">
        <v>1</v>
      </c>
      <c r="AI195">
        <f>IF($Q$195,$M$195*$AA$195*$U$195,0)</f>
        <v/>
      </c>
      <c r="AJ195" t="n">
        <v>44.19556321343959</v>
      </c>
      <c r="AK195">
        <f>IF($Q$195,$M$195*$AC$195*$U$195,0)</f>
        <v/>
      </c>
      <c r="AL195" t="n">
        <v>36.82963601119966</v>
      </c>
      <c r="AM195">
        <f>IF($Q$195,$M$195*$AE$195*$U$195,0)</f>
        <v/>
      </c>
      <c r="AN195" t="n">
        <v>23.93926340727978</v>
      </c>
      <c r="AO195">
        <f>IF($Q$195,$M$195*$AC$195*$Y$195,0)</f>
        <v/>
      </c>
      <c r="AP195" t="n">
        <v>58.92741761791946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weapons[id=naval_76_guided] (lớp B trên 01_chien_dau/Vu_khi)</t>
        </is>
      </c>
      <c r="BC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IF(Vu_khi!$AG$196,INDEX(Bang_danh_noc!$C$2:$C$8,MIN(7,MAX(1,2-(Vu_khi!$L$196-0)+1))),INDEX(Bang_xuyen_giap!$C$2:$C$8,MIN(7,MAX(1,IF($O$196,MAX(1,2-(Vu_khi!$L$196-0)),2-(Vu_khi!$L$196-0))+1))))</f>
        <v/>
      </c>
      <c r="AB196" t="n">
        <v>1.2</v>
      </c>
      <c r="AC196">
        <f>IF(Vu_khi!$AG$196,INDEX(Bang_danh_noc!$C$2:$C$8,MIN(7,MAX(1,2-(Vu_khi!$L$196-2)+1))),INDEX(Bang_xuyen_giap!$C$2:$C$8,MIN(7,MAX(1,IF($O$196,MAX(1,2-(Vu_khi!$L$196-2)),2-(Vu_khi!$L$196-2))+1))))</f>
        <v/>
      </c>
      <c r="AD196" t="n">
        <v>1</v>
      </c>
      <c r="AE196">
        <f>IF(Vu_khi!$AG$196,INDEX(Bang_danh_noc!$C$2:$C$8,MIN(7,MAX(1,2-(Vu_khi!$L$196-4)+1))),INDEX(Bang_xuyen_giap!$C$2:$C$8,MIN(7,MAX(1,IF($O$196,MAX(1,2-(Vu_khi!$L$196-4)),2-(Vu_khi!$L$196-4))+1))))</f>
        <v/>
      </c>
      <c r="AF196" t="n">
        <v>0.65</v>
      </c>
      <c r="AG196">
        <f>INDEX(Bang_xuyen_giap!$C$2:$C$8,MIN(7,MAX(1,MAX(1,2-(Vu_khi!$L$196-0))+1)))</f>
        <v/>
      </c>
      <c r="AH196" t="n">
        <v>1</v>
      </c>
      <c r="AI196">
        <f>IF($Q$196,$M$196*$AA$196*$U$196,0)</f>
        <v/>
      </c>
      <c r="AJ196" t="n">
        <v>99.92727272727272</v>
      </c>
      <c r="AK196">
        <f>IF($Q$196,$M$196*$AC$196*$U$196,0)</f>
        <v/>
      </c>
      <c r="AL196" t="n">
        <v>83.27272727272727</v>
      </c>
      <c r="AM196">
        <f>IF($Q$196,$M$196*$AE$196*$U$196,0)</f>
        <v/>
      </c>
      <c r="AN196" t="n">
        <v>54.12727272727273</v>
      </c>
      <c r="AO196">
        <f>IF($Q$196,$M$196*$AC$196*$Y$196,0)</f>
        <v/>
      </c>
      <c r="AP196" t="n">
        <v>133.2363636363636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1.925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weapons[id=naval_100] (lớp B trên 01_chien_dau/Vu_khi)</t>
        </is>
      </c>
      <c r="BC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IF(Vu_khi!$AG$197,INDEX(Bang_danh_noc!$C$2:$C$8,MIN(7,MAX(1,2-(Vu_khi!$L$197-0)+1))),INDEX(Bang_xuyen_giap!$C$2:$C$8,MIN(7,MAX(1,IF($O$197,MAX(1,2-(Vu_khi!$L$197-0)),2-(Vu_khi!$L$197-0))+1))))</f>
        <v/>
      </c>
      <c r="AB197" t="n">
        <v>1.2</v>
      </c>
      <c r="AC197">
        <f>IF(Vu_khi!$AG$197,INDEX(Bang_danh_noc!$C$2:$C$8,MIN(7,MAX(1,2-(Vu_khi!$L$197-2)+1))),INDEX(Bang_xuyen_giap!$C$2:$C$8,MIN(7,MAX(1,IF($O$197,MAX(1,2-(Vu_khi!$L$197-2)),2-(Vu_khi!$L$197-2))+1))))</f>
        <v/>
      </c>
      <c r="AD197" t="n">
        <v>1</v>
      </c>
      <c r="AE197">
        <f>IF(Vu_khi!$AG$197,INDEX(Bang_danh_noc!$C$2:$C$8,MIN(7,MAX(1,2-(Vu_khi!$L$197-4)+1))),INDEX(Bang_xuyen_giap!$C$2:$C$8,MIN(7,MAX(1,IF($O$197,MAX(1,2-(Vu_khi!$L$197-4)),2-(Vu_khi!$L$197-4))+1))))</f>
        <v/>
      </c>
      <c r="AF197" t="n">
        <v>0.65</v>
      </c>
      <c r="AG197">
        <f>INDEX(Bang_xuyen_giap!$C$2:$C$8,MIN(7,MAX(1,MAX(1,2-(Vu_khi!$L$197-0))+1)))</f>
        <v/>
      </c>
      <c r="AH197" t="n">
        <v>1</v>
      </c>
      <c r="AI197">
        <f>IF($Q$197,$M$197*$AA$197*$U$197,0)</f>
        <v/>
      </c>
      <c r="AJ197" t="n">
        <v>54.95999999999999</v>
      </c>
      <c r="AK197">
        <f>IF($Q$197,$M$197*$AC$197*$U$197,0)</f>
        <v/>
      </c>
      <c r="AL197" t="n">
        <v>45.8</v>
      </c>
      <c r="AM197">
        <f>IF($Q$197,$M$197*$AE$197*$U$197,0)</f>
        <v/>
      </c>
      <c r="AN197" t="n">
        <v>29.77</v>
      </c>
      <c r="AO197">
        <f>IF($Q$197,$M$197*$AC$197*$Y$197,0)</f>
        <v/>
      </c>
      <c r="AP197" t="n">
        <v>73.28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BB197" t="inlineStr">
        <is>
          <t>Assets/MachineBrigade/Resources/Data/balance.json: weapons[id=naval_100_guided] (lớp B trên 01_chien_dau/Vu_khi)</t>
        </is>
      </c>
      <c r="BC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IF(Vu_khi!$AG$198,INDEX(Bang_danh_noc!$C$2:$C$8,MIN(7,MAX(1,2-(Vu_khi!$L$198-0)+1))),INDEX(Bang_xuyen_giap!$C$2:$C$8,MIN(7,MAX(1,IF($O$198,MAX(1,2-(Vu_khi!$L$198-0)),2-(Vu_khi!$L$198-0))+1))))</f>
        <v/>
      </c>
      <c r="AB198" t="n">
        <v>1.2</v>
      </c>
      <c r="AC198">
        <f>IF(Vu_khi!$AG$198,INDEX(Bang_danh_noc!$C$2:$C$8,MIN(7,MAX(1,2-(Vu_khi!$L$198-2)+1))),INDEX(Bang_xuyen_giap!$C$2:$C$8,MIN(7,MAX(1,IF($O$198,MAX(1,2-(Vu_khi!$L$198-2)),2-(Vu_khi!$L$198-2))+1))))</f>
        <v/>
      </c>
      <c r="AD198" t="n">
        <v>1</v>
      </c>
      <c r="AE198">
        <f>IF(Vu_khi!$AG$198,INDEX(Bang_danh_noc!$C$2:$C$8,MIN(7,MAX(1,2-(Vu_khi!$L$198-4)+1))),INDEX(Bang_xuyen_giap!$C$2:$C$8,MIN(7,MAX(1,IF($O$198,MAX(1,2-(Vu_khi!$L$198-4)),2-(Vu_khi!$L$198-4))+1))))</f>
        <v/>
      </c>
      <c r="AF198" t="n">
        <v>0.65</v>
      </c>
      <c r="AG198">
        <f>INDEX(Bang_xuyen_giap!$C$2:$C$8,MIN(7,MAX(1,MAX(1,2-(Vu_khi!$L$198-0))+1)))</f>
        <v/>
      </c>
      <c r="AH198" t="n">
        <v>1</v>
      </c>
      <c r="AI198">
        <f>IF($Q$198,$M$198*$AA$198*$U$198,0)</f>
        <v/>
      </c>
      <c r="AJ198" t="n">
        <v>121.6374269005848</v>
      </c>
      <c r="AK198">
        <f>IF($Q$198,$M$198*$AC$198*$U$198,0)</f>
        <v/>
      </c>
      <c r="AL198" t="n">
        <v>101.364522417154</v>
      </c>
      <c r="AM198">
        <f>IF($Q$198,$M$198*$AE$198*$U$198,0)</f>
        <v/>
      </c>
      <c r="AN198" t="n">
        <v>65.88693957115011</v>
      </c>
      <c r="AO198">
        <f>IF($Q$198,$M$198*$AC$198*$Y$198,0)</f>
        <v/>
      </c>
      <c r="AP198" t="n">
        <v>162.1832358674464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0.65835</v>
      </c>
      <c r="AZ198" t="inlineStr">
        <is>
          <t>NHANH_QUA;LECH_DOT_1</t>
        </is>
      </c>
      <c r="BA198" t="inlineStr"/>
      <c r="BB198" t="inlineStr">
        <is>
          <t>Assets/MachineBrigade/Resources/Data/balance.json: weapons[id=naval_127] (lớp B trên 01_chien_dau/Vu_khi)</t>
        </is>
      </c>
      <c r="BC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IF(Vu_khi!$AG$199,INDEX(Bang_danh_noc!$C$2:$C$8,MIN(7,MAX(1,2-(Vu_khi!$L$199-0)+1))),INDEX(Bang_xuyen_giap!$C$2:$C$8,MIN(7,MAX(1,IF($O$199,MAX(1,2-(Vu_khi!$L$199-0)),2-(Vu_khi!$L$199-0))+1))))</f>
        <v/>
      </c>
      <c r="AB199" t="n">
        <v>1.2</v>
      </c>
      <c r="AC199">
        <f>IF(Vu_khi!$AG$199,INDEX(Bang_danh_noc!$C$2:$C$8,MIN(7,MAX(1,2-(Vu_khi!$L$199-2)+1))),INDEX(Bang_xuyen_giap!$C$2:$C$8,MIN(7,MAX(1,IF($O$199,MAX(1,2-(Vu_khi!$L$199-2)),2-(Vu_khi!$L$199-2))+1))))</f>
        <v/>
      </c>
      <c r="AD199" t="n">
        <v>1</v>
      </c>
      <c r="AE199">
        <f>IF(Vu_khi!$AG$199,INDEX(Bang_danh_noc!$C$2:$C$8,MIN(7,MAX(1,2-(Vu_khi!$L$199-4)+1))),INDEX(Bang_xuyen_giap!$C$2:$C$8,MIN(7,MAX(1,IF($O$199,MAX(1,2-(Vu_khi!$L$199-4)),2-(Vu_khi!$L$199-4))+1))))</f>
        <v/>
      </c>
      <c r="AF199" t="n">
        <v>0.65</v>
      </c>
      <c r="AG199">
        <f>INDEX(Bang_xuyen_giap!$C$2:$C$8,MIN(7,MAX(1,MAX(1,2-(Vu_khi!$L$199-0))+1)))</f>
        <v/>
      </c>
      <c r="AH199" t="n">
        <v>1</v>
      </c>
      <c r="AI199">
        <f>IF($Q$199,$M$199*$AA$199*$U$199,0)</f>
        <v/>
      </c>
      <c r="AJ199" t="n">
        <v>304.0597293513766</v>
      </c>
      <c r="AK199">
        <f>IF($Q$199,$M$199*$AC$199*$U$199,0)</f>
        <v/>
      </c>
      <c r="AL199" t="n">
        <v>253.3831077928138</v>
      </c>
      <c r="AM199">
        <f>IF($Q$199,$M$199*$AE$199*$U$199,0)</f>
        <v/>
      </c>
      <c r="AN199" t="n">
        <v>164.699020065329</v>
      </c>
      <c r="AO199">
        <f>IF($Q$199,$M$199*$AC$199*$Y$199,0)</f>
        <v/>
      </c>
      <c r="AP199" t="n">
        <v>405.4129724685022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n">
        <v>2.000133</v>
      </c>
      <c r="AZ199" t="inlineStr">
        <is>
          <t>CHAM_QUA</t>
        </is>
      </c>
      <c r="BA199" t="b">
        <v>1</v>
      </c>
      <c r="BB199" t="inlineStr">
        <is>
          <t>Assets/MachineBrigade/Resources/Data/balance.json: weapons[id=naval_130_twin] (lớp B trên 01_chien_dau/Vu_khi)</t>
        </is>
      </c>
      <c r="BC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IF(Vu_khi!$AG$200,INDEX(Bang_danh_noc!$C$2:$C$8,MIN(7,MAX(1,2-(Vu_khi!$L$200-0)+1))),INDEX(Bang_xuyen_giap!$C$2:$C$8,MIN(7,MAX(1,IF($O$200,MAX(1,2-(Vu_khi!$L$200-0)),2-(Vu_khi!$L$200-0))+1))))</f>
        <v/>
      </c>
      <c r="AB200" t="n">
        <v>1.2</v>
      </c>
      <c r="AC200">
        <f>IF(Vu_khi!$AG$200,INDEX(Bang_danh_noc!$C$2:$C$8,MIN(7,MAX(1,2-(Vu_khi!$L$200-2)+1))),INDEX(Bang_xuyen_giap!$C$2:$C$8,MIN(7,MAX(1,IF($O$200,MAX(1,2-(Vu_khi!$L$200-2)),2-(Vu_khi!$L$200-2))+1))))</f>
        <v/>
      </c>
      <c r="AD200" t="n">
        <v>1</v>
      </c>
      <c r="AE200">
        <f>IF(Vu_khi!$AG$200,INDEX(Bang_danh_noc!$C$2:$C$8,MIN(7,MAX(1,2-(Vu_khi!$L$200-4)+1))),INDEX(Bang_xuyen_giap!$C$2:$C$8,MIN(7,MAX(1,IF($O$200,MAX(1,2-(Vu_khi!$L$200-4)),2-(Vu_khi!$L$200-4))+1))))</f>
        <v/>
      </c>
      <c r="AF200" t="n">
        <v>0.65</v>
      </c>
      <c r="AG200">
        <f>INDEX(Bang_xuyen_giap!$C$2:$C$8,MIN(7,MAX(1,MAX(1,2-(Vu_khi!$L$200-0))+1)))</f>
        <v/>
      </c>
      <c r="AH200" t="n">
        <v>1</v>
      </c>
      <c r="AI200">
        <f>IF($Q$200,$M$200*$AA$200*$U$200,0)</f>
        <v/>
      </c>
      <c r="AJ200" t="n">
        <v>109.7142857142857</v>
      </c>
      <c r="AK200">
        <f>IF($Q$200,$M$200*$AC$200*$U$200,0)</f>
        <v/>
      </c>
      <c r="AL200" t="n">
        <v>91.42857142857143</v>
      </c>
      <c r="AM200">
        <f>IF($Q$200,$M$200*$AE$200*$U$200,0)</f>
        <v/>
      </c>
      <c r="AN200" t="n">
        <v>59.42857142857143</v>
      </c>
      <c r="AO200">
        <f>IF($Q$200,$M$200*$AC$200*$Y$200,0)</f>
        <v/>
      </c>
      <c r="AP200" t="n">
        <v>146.2857142857143</v>
      </c>
      <c r="AQ200">
        <f>IF($S$200,$M$200*$AG$200*$W$200,0)</f>
        <v/>
      </c>
      <c r="AR200" t="n">
        <v>0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3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n">
        <v>0.6125</v>
      </c>
      <c r="AZ200" t="inlineStr">
        <is>
          <t>ok</t>
        </is>
      </c>
      <c r="BA200" t="inlineStr"/>
      <c r="BB200" t="inlineStr">
        <is>
          <t>Assets/MachineBrigade/Resources/Data/balance.json: weapons[id=naval_155_triple] (lớp B trên 01_chien_dau/Vu_khi)</t>
        </is>
      </c>
      <c r="BC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IF(Vu_khi!$AG$201,INDEX(Bang_danh_noc!$C$2:$C$8,MIN(7,MAX(1,2-(Vu_khi!$L$201-0)+1))),INDEX(Bang_xuyen_giap!$C$2:$C$8,MIN(7,MAX(1,IF($O$201,MAX(1,2-(Vu_khi!$L$201-0)),2-(Vu_khi!$L$201-0))+1))))</f>
        <v/>
      </c>
      <c r="AB201" t="n">
        <v>1.2</v>
      </c>
      <c r="AC201">
        <f>IF(Vu_khi!$AG$201,INDEX(Bang_danh_noc!$C$2:$C$8,MIN(7,MAX(1,2-(Vu_khi!$L$201-2)+1))),INDEX(Bang_xuyen_giap!$C$2:$C$8,MIN(7,MAX(1,IF($O$201,MAX(1,2-(Vu_khi!$L$201-2)),2-(Vu_khi!$L$201-2))+1))))</f>
        <v/>
      </c>
      <c r="AD201" t="n">
        <v>1</v>
      </c>
      <c r="AE201">
        <f>IF(Vu_khi!$AG$201,INDEX(Bang_danh_noc!$C$2:$C$8,MIN(7,MAX(1,2-(Vu_khi!$L$201-4)+1))),INDEX(Bang_xuyen_giap!$C$2:$C$8,MIN(7,MAX(1,IF($O$201,MAX(1,2-(Vu_khi!$L$201-4)),2-(Vu_khi!$L$201-4))+1))))</f>
        <v/>
      </c>
      <c r="AF201" t="n">
        <v>0.65</v>
      </c>
      <c r="AG201">
        <f>INDEX(Bang_xuyen_giap!$C$2:$C$8,MIN(7,MAX(1,MAX(1,2-(Vu_khi!$L$201-0))+1)))</f>
        <v/>
      </c>
      <c r="AH201" t="n">
        <v>1</v>
      </c>
      <c r="AI201">
        <f>IF($Q$201,$M$201*$AA$201*$U$201,0)</f>
        <v/>
      </c>
      <c r="AJ201" t="n">
        <v>38.4</v>
      </c>
      <c r="AK201">
        <f>IF($Q$201,$M$201*$AC$201*$U$201,0)</f>
        <v/>
      </c>
      <c r="AL201" t="n">
        <v>32</v>
      </c>
      <c r="AM201">
        <f>IF($Q$201,$M$201*$AE$201*$U$201,0)</f>
        <v/>
      </c>
      <c r="AN201" t="n">
        <v>20.8</v>
      </c>
      <c r="AO201">
        <f>IF($Q$201,$M$201*$AC$201*$Y$201,0)</f>
        <v/>
      </c>
      <c r="AP201" t="n">
        <v>51.2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3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BB201" t="inlineStr">
        <is>
          <t>Assets/MachineBrigade/Resources/Data/balance.json: weapons[id=naval_155_triple_guided] (lớp B trên 01_chien_dau/Vu_khi)</t>
        </is>
      </c>
      <c r="BC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IF(Vu_khi!$AG$202,INDEX(Bang_danh_noc!$C$2:$C$8,MIN(7,MAX(1,2-(Vu_khi!$L$202-0)+1))),INDEX(Bang_xuyen_giap!$C$2:$C$8,MIN(7,MAX(1,IF($O$202,MAX(1,2-(Vu_khi!$L$202-0)),2-(Vu_khi!$L$202-0))+1))))</f>
        <v/>
      </c>
      <c r="AB202" t="n">
        <v>1</v>
      </c>
      <c r="AC202">
        <f>IF(Vu_khi!$AG$202,INDEX(Bang_danh_noc!$C$2:$C$8,MIN(7,MAX(1,2-(Vu_khi!$L$202-2)+1))),INDEX(Bang_xuyen_giap!$C$2:$C$8,MIN(7,MAX(1,IF($O$202,MAX(1,2-(Vu_khi!$L$202-2)),2-(Vu_khi!$L$202-2))+1))))</f>
        <v/>
      </c>
      <c r="AD202" t="n">
        <v>0.65</v>
      </c>
      <c r="AE202">
        <f>IF(Vu_khi!$AG$202,INDEX(Bang_danh_noc!$C$2:$C$8,MIN(7,MAX(1,2-(Vu_khi!$L$202-4)+1))),INDEX(Bang_xuyen_giap!$C$2:$C$8,MIN(7,MAX(1,IF($O$202,MAX(1,2-(Vu_khi!$L$202-4)),2-(Vu_khi!$L$202-4))+1))))</f>
        <v/>
      </c>
      <c r="AF202" t="n">
        <v>0.15</v>
      </c>
      <c r="AG202">
        <f>INDEX(Bang_xuyen_giap!$C$2:$C$8,MIN(7,MAX(1,MAX(1,2-(Vu_khi!$L$202-0))+1)))</f>
        <v/>
      </c>
      <c r="AH202" t="n">
        <v>1</v>
      </c>
      <c r="AI202">
        <f>IF($Q$202,$M$202*$AA$202*$U$202,0)</f>
        <v/>
      </c>
      <c r="AJ202" t="n">
        <v>0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IF($Q$202,$M$202*$AC$202*$Y$202,0)</f>
        <v/>
      </c>
      <c r="AP202" t="n">
        <v>0</v>
      </c>
      <c r="AQ202">
        <f>IF($S$202,$M$202*$AG$202*$W$202,0)</f>
        <v/>
      </c>
      <c r="AR202" t="n">
        <v>2997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0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inlineStr"/>
      <c r="AZ202" t="inlineStr">
        <is>
          <t>ok</t>
        </is>
      </c>
      <c r="BA202" t="inlineStr"/>
      <c r="BB202" t="inlineStr">
        <is>
          <t>Assets/MachineBrigade/Resources/Data/balance.json: weapons[id=net_zap] (lớp B trên 01_chien_dau/Vu_khi)</t>
        </is>
      </c>
      <c r="BC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IF(Vu_khi!$AG$203,INDEX(Bang_danh_noc!$C$2:$C$8,MIN(7,MAX(1,2-(Vu_khi!$L$203-0)+1))),INDEX(Bang_xuyen_giap!$C$2:$C$8,MIN(7,MAX(1,IF($O$203,MAX(1,2-(Vu_khi!$L$203-0)),2-(Vu_khi!$L$203-0))+1))))</f>
        <v/>
      </c>
      <c r="AB203" t="n">
        <v>0.85</v>
      </c>
      <c r="AC203">
        <f>IF(Vu_khi!$AG$203,INDEX(Bang_danh_noc!$C$2:$C$8,MIN(7,MAX(1,2-(Vu_khi!$L$203-2)+1))),INDEX(Bang_xuyen_giap!$C$2:$C$8,MIN(7,MAX(1,IF($O$203,MAX(1,2-(Vu_khi!$L$203-2)),2-(Vu_khi!$L$203-2))+1))))</f>
        <v/>
      </c>
      <c r="AD203" t="n">
        <v>0.4</v>
      </c>
      <c r="AE203">
        <f>IF(Vu_khi!$AG$203,INDEX(Bang_danh_noc!$C$2:$C$8,MIN(7,MAX(1,2-(Vu_khi!$L$203-4)+1))),INDEX(Bang_xuyen_giap!$C$2:$C$8,MIN(7,MAX(1,IF($O$203,MAX(1,2-(Vu_khi!$L$203-4)),2-(Vu_khi!$L$203-4))+1))))</f>
        <v/>
      </c>
      <c r="AF203" t="n">
        <v>0.08</v>
      </c>
      <c r="AG203">
        <f>INDEX(Bang_xuyen_giap!$C$2:$C$8,MIN(7,MAX(1,MAX(1,2-(Vu_khi!$L$203-0))+1)))</f>
        <v/>
      </c>
      <c r="AH203" t="n">
        <v>0.85</v>
      </c>
      <c r="AI203">
        <f>IF($Q$203,$M$203*$AA$203*$U$203,0)</f>
        <v/>
      </c>
      <c r="AJ203" t="n">
        <v>0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IF($Q$203,$M$203*$AC$203*$Y$203,0)</f>
        <v/>
      </c>
      <c r="AP203" t="n">
        <v>0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0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weapons[id=none] (lớp B trên 01_chien_dau/Vu_khi)</t>
        </is>
      </c>
      <c r="BC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IF(Vu_khi!$AG$204,INDEX(Bang_danh_noc!$C$2:$C$8,MIN(7,MAX(1,2-(Vu_khi!$L$204-0)+1))),INDEX(Bang_xuyen_giap!$C$2:$C$8,MIN(7,MAX(1,IF($O$204,MAX(1,2-(Vu_khi!$L$204-0)),2-(Vu_khi!$L$204-0))+1))))</f>
        <v/>
      </c>
      <c r="AB204" t="n">
        <v>1.2</v>
      </c>
      <c r="AC204">
        <f>IF(Vu_khi!$AG$204,INDEX(Bang_danh_noc!$C$2:$C$8,MIN(7,MAX(1,2-(Vu_khi!$L$204-2)+1))),INDEX(Bang_xuyen_giap!$C$2:$C$8,MIN(7,MAX(1,IF($O$204,MAX(1,2-(Vu_khi!$L$204-2)),2-(Vu_khi!$L$204-2))+1))))</f>
        <v/>
      </c>
      <c r="AD204" t="n">
        <v>1</v>
      </c>
      <c r="AE204">
        <f>IF(Vu_khi!$AG$204,INDEX(Bang_danh_noc!$C$2:$C$8,MIN(7,MAX(1,2-(Vu_khi!$L$204-4)+1))),INDEX(Bang_xuyen_giap!$C$2:$C$8,MIN(7,MAX(1,IF($O$204,MAX(1,2-(Vu_khi!$L$204-4)),2-(Vu_khi!$L$204-4))+1))))</f>
        <v/>
      </c>
      <c r="AF204" t="n">
        <v>0.65</v>
      </c>
      <c r="AG204">
        <f>INDEX(Bang_xuyen_giap!$C$2:$C$8,MIN(7,MAX(1,MAX(1,2-(Vu_khi!$L$204-0))+1)))</f>
        <v/>
      </c>
      <c r="AH204" t="n">
        <v>1</v>
      </c>
      <c r="AI204">
        <f>IF($Q$204,$M$204*$AA$204*$U$204,0)</f>
        <v/>
      </c>
      <c r="AJ204" t="n">
        <v>100.4651162790698</v>
      </c>
      <c r="AK204">
        <f>IF($Q$204,$M$204*$AC$204*$U$204,0)</f>
        <v/>
      </c>
      <c r="AL204" t="n">
        <v>83.72093023255815</v>
      </c>
      <c r="AM204">
        <f>IF($Q$204,$M$204*$AE$204*$U$204,0)</f>
        <v/>
      </c>
      <c r="AN204" t="n">
        <v>54.41860465116279</v>
      </c>
      <c r="AO204">
        <f>IF($Q$204,$M$204*$AC$204*$Y$204,0)</f>
        <v/>
      </c>
      <c r="AP204" t="n">
        <v>133.953488372093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LECH_DOT_1</t>
        </is>
      </c>
      <c r="BA204" t="b">
        <v>1</v>
      </c>
      <c r="BB204" t="inlineStr">
        <is>
          <t>Assets/MachineBrigade/Resources/Data/balance.json: weapons[id=nyx_ags_155] (lớp B trên 01_chien_dau/Vu_khi)</t>
        </is>
      </c>
      <c r="BC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IF(Vu_khi!$AG$205,INDEX(Bang_danh_noc!$C$2:$C$8,MIN(7,MAX(1,2-(Vu_khi!$L$205-0)+1))),INDEX(Bang_xuyen_giap!$C$2:$C$8,MIN(7,MAX(1,IF($O$205,MAX(1,2-(Vu_khi!$L$205-0)),2-(Vu_khi!$L$205-0))+1))))</f>
        <v/>
      </c>
      <c r="AB205" t="n">
        <v>1.2</v>
      </c>
      <c r="AC205">
        <f>IF(Vu_khi!$AG$205,INDEX(Bang_danh_noc!$C$2:$C$8,MIN(7,MAX(1,2-(Vu_khi!$L$205-2)+1))),INDEX(Bang_xuyen_giap!$C$2:$C$8,MIN(7,MAX(1,IF($O$205,MAX(1,2-(Vu_khi!$L$205-2)),2-(Vu_khi!$L$205-2))+1))))</f>
        <v/>
      </c>
      <c r="AD205" t="n">
        <v>0.85</v>
      </c>
      <c r="AE205">
        <f>IF(Vu_khi!$AG$205,INDEX(Bang_danh_noc!$C$2:$C$8,MIN(7,MAX(1,2-(Vu_khi!$L$205-4)+1))),INDEX(Bang_xuyen_giap!$C$2:$C$8,MIN(7,MAX(1,IF($O$205,MAX(1,2-(Vu_khi!$L$205-4)),2-(Vu_khi!$L$205-4))+1))))</f>
        <v/>
      </c>
      <c r="AF205" t="n">
        <v>0.4</v>
      </c>
      <c r="AG205">
        <f>INDEX(Bang_xuyen_giap!$C$2:$C$8,MIN(7,MAX(1,MAX(1,2-(Vu_khi!$L$205-0))+1)))</f>
        <v/>
      </c>
      <c r="AH205" t="n">
        <v>1</v>
      </c>
      <c r="AI205">
        <f>IF($Q$205,$M$205*$AA$205*$U$205,0)</f>
        <v/>
      </c>
      <c r="AJ205" t="n">
        <v>0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IF($Q$205,$M$205*$AC$205*$Y$205,0)</f>
        <v/>
      </c>
      <c r="AP205" t="n">
        <v>0</v>
      </c>
      <c r="AQ205">
        <f>IF($S$205,$M$205*$AG$205*$W$205,0)</f>
        <v/>
      </c>
      <c r="AR205" t="n">
        <v>186.0287081339713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1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inlineStr"/>
      <c r="AZ205" t="inlineStr">
        <is>
          <t>LECH_DOT_1</t>
        </is>
      </c>
      <c r="BA205" t="b">
        <v>1</v>
      </c>
      <c r="BB205" t="inlineStr">
        <is>
          <t>Assets/MachineBrigade/Resources/Data/balance.json: weapons[id=nyx_millennium] (lớp B trên 01_chien_dau/Vu_khi)</t>
        </is>
      </c>
      <c r="BC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IF(Vu_khi!$AG$206,INDEX(Bang_danh_noc!$C$2:$C$8,MIN(7,MAX(1,2-(Vu_khi!$L$206-0)+1))),INDEX(Bang_xuyen_giap!$C$2:$C$8,MIN(7,MAX(1,IF($O$206,MAX(1,2-(Vu_khi!$L$206-0)),2-(Vu_khi!$L$206-0))+1))))</f>
        <v/>
      </c>
      <c r="AB206" t="n">
        <v>1.2</v>
      </c>
      <c r="AC206">
        <f>IF(Vu_khi!$AG$206,INDEX(Bang_danh_noc!$C$2:$C$8,MIN(7,MAX(1,2-(Vu_khi!$L$206-2)+1))),INDEX(Bang_xuyen_giap!$C$2:$C$8,MIN(7,MAX(1,IF($O$206,MAX(1,2-(Vu_khi!$L$206-2)),2-(Vu_khi!$L$206-2))+1))))</f>
        <v/>
      </c>
      <c r="AD206" t="n">
        <v>1</v>
      </c>
      <c r="AE206">
        <f>IF(Vu_khi!$AG$206,INDEX(Bang_danh_noc!$C$2:$C$8,MIN(7,MAX(1,2-(Vu_khi!$L$206-4)+1))),INDEX(Bang_xuyen_giap!$C$2:$C$8,MIN(7,MAX(1,IF($O$206,MAX(1,2-(Vu_khi!$L$206-4)),2-(Vu_khi!$L$206-4))+1))))</f>
        <v/>
      </c>
      <c r="AF206" t="n">
        <v>0.65</v>
      </c>
      <c r="AG206">
        <f>INDEX(Bang_xuyen_giap!$C$2:$C$8,MIN(7,MAX(1,MAX(1,2-(Vu_khi!$L$206-0))+1)))</f>
        <v/>
      </c>
      <c r="AH206" t="n">
        <v>1</v>
      </c>
      <c r="AI206">
        <f>IF($Q$206,$M$206*$AA$206*$U$206,0)</f>
        <v/>
      </c>
      <c r="AJ206" t="n">
        <v>15.11111111111111</v>
      </c>
      <c r="AK206">
        <f>IF($Q$206,$M$206*$AC$206*$U$206,0)</f>
        <v/>
      </c>
      <c r="AL206" t="n">
        <v>12.59259259259259</v>
      </c>
      <c r="AM206">
        <f>IF($Q$206,$M$206*$AE$206*$U$206,0)</f>
        <v/>
      </c>
      <c r="AN206" t="n">
        <v>8.185185185185187</v>
      </c>
      <c r="AO206">
        <f>IF($Q$206,$M$206*$AC$206*$Y$206,0)</f>
        <v/>
      </c>
      <c r="AP206" t="n">
        <v>20.14814814814815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0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2.5</v>
      </c>
      <c r="AY206" t="n">
        <v>9</v>
      </c>
      <c r="AZ206" t="inlineStr">
        <is>
          <t>CHAM_QUA</t>
        </is>
      </c>
      <c r="BA206" t="b">
        <v>1</v>
      </c>
      <c r="BB206" t="inlineStr">
        <is>
          <t>Assets/MachineBrigade/Resources/Data/balance.json: weapons[id=nyx_tomahawk] (lớp B trên 01_chien_dau/Vu_khi)</t>
        </is>
      </c>
      <c r="BC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IF(Vu_khi!$AG$207,INDEX(Bang_danh_noc!$C$2:$C$8,MIN(7,MAX(1,2-(Vu_khi!$L$207-0)+1))),INDEX(Bang_xuyen_giap!$C$2:$C$8,MIN(7,MAX(1,IF($O$207,MAX(1,2-(Vu_khi!$L$207-0)),2-(Vu_khi!$L$207-0))+1))))</f>
        <v/>
      </c>
      <c r="AB207" t="n">
        <v>1.2</v>
      </c>
      <c r="AC207">
        <f>IF(Vu_khi!$AG$207,INDEX(Bang_danh_noc!$C$2:$C$8,MIN(7,MAX(1,2-(Vu_khi!$L$207-2)+1))),INDEX(Bang_xuyen_giap!$C$2:$C$8,MIN(7,MAX(1,IF($O$207,MAX(1,2-(Vu_khi!$L$207-2)),2-(Vu_khi!$L$207-2))+1))))</f>
        <v/>
      </c>
      <c r="AD207" t="n">
        <v>1.2</v>
      </c>
      <c r="AE207">
        <f>IF(Vu_khi!$AG$207,INDEX(Bang_danh_noc!$C$2:$C$8,MIN(7,MAX(1,2-(Vu_khi!$L$207-4)+1))),INDEX(Bang_xuyen_giap!$C$2:$C$8,MIN(7,MAX(1,IF($O$207,MAX(1,2-(Vu_khi!$L$207-4)),2-(Vu_khi!$L$207-4))+1))))</f>
        <v/>
      </c>
      <c r="AF207" t="n">
        <v>0.85</v>
      </c>
      <c r="AG207">
        <f>INDEX(Bang_xuyen_giap!$C$2:$C$8,MIN(7,MAX(1,MAX(1,2-(Vu_khi!$L$207-0))+1)))</f>
        <v/>
      </c>
      <c r="AH207" t="n">
        <v>1</v>
      </c>
      <c r="AI207">
        <f>IF($Q$207,$M$207*$AA$207*$U$207,0)</f>
        <v/>
      </c>
      <c r="AJ207" t="n">
        <v>0.002870378759197182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0.002033184954431337</v>
      </c>
      <c r="AO207">
        <f>IF($Q$207,$M$207*$AC$207*$Y$207,0)</f>
        <v/>
      </c>
      <c r="AP207" t="n">
        <v>0.0009935926474144091</v>
      </c>
      <c r="AQ207">
        <f>IF($S$207,$M$207*$AG$207*$W$207,0)</f>
        <v/>
      </c>
      <c r="AR207" t="n">
        <v>0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2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0.06</v>
      </c>
      <c r="AZ207" t="inlineStr">
        <is>
          <t>NHANH_QUA;LECH_DOT_1</t>
        </is>
      </c>
      <c r="BA207" t="inlineStr"/>
      <c r="BB207" t="inlineStr">
        <is>
          <t>Assets/MachineBrigade/Resources/Data/balance.json: weapons[id=one_shot_kornet] (lớp B trên 01_chien_dau/Vu_khi)</t>
        </is>
      </c>
      <c r="BC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IF(Vu_khi!$AG$208,INDEX(Bang_danh_noc!$C$2:$C$8,MIN(7,MAX(1,2-(Vu_khi!$L$208-0)+1))),INDEX(Bang_xuyen_giap!$C$2:$C$8,MIN(7,MAX(1,IF($O$208,MAX(1,2-(Vu_khi!$L$208-0)),2-(Vu_khi!$L$208-0))+1))))</f>
        <v/>
      </c>
      <c r="AB208" t="n">
        <v>1.2</v>
      </c>
      <c r="AC208">
        <f>IF(Vu_khi!$AG$208,INDEX(Bang_danh_noc!$C$2:$C$8,MIN(7,MAX(1,2-(Vu_khi!$L$208-2)+1))),INDEX(Bang_xuyen_giap!$C$2:$C$8,MIN(7,MAX(1,IF($O$208,MAX(1,2-(Vu_khi!$L$208-2)),2-(Vu_khi!$L$208-2))+1))))</f>
        <v/>
      </c>
      <c r="AD208" t="n">
        <v>1.2</v>
      </c>
      <c r="AE208">
        <f>IF(Vu_khi!$AG$208,INDEX(Bang_danh_noc!$C$2:$C$8,MIN(7,MAX(1,2-(Vu_khi!$L$208-4)+1))),INDEX(Bang_xuyen_giap!$C$2:$C$8,MIN(7,MAX(1,IF($O$208,MAX(1,2-(Vu_khi!$L$208-4)),2-(Vu_khi!$L$208-4))+1))))</f>
        <v/>
      </c>
      <c r="AF208" t="n">
        <v>0.85</v>
      </c>
      <c r="AG208">
        <f>INDEX(Bang_xuyen_giap!$C$2:$C$8,MIN(7,MAX(1,MAX(1,2-(Vu_khi!$L$208-0))+1)))</f>
        <v/>
      </c>
      <c r="AH208" t="n">
        <v>1</v>
      </c>
      <c r="AI208">
        <f>IF($Q$208,$M$208*$AA$208*$U$208,0)</f>
        <v/>
      </c>
      <c r="AJ208" t="n">
        <v>97.2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68.84999999999999</v>
      </c>
      <c r="AO208">
        <f>IF($Q$208,$M$208*$AC$208*$Y$208,0)</f>
        <v/>
      </c>
      <c r="AP208" t="n">
        <v>43.2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1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inlineStr"/>
      <c r="AZ208" t="inlineStr">
        <is>
          <t>ok</t>
        </is>
      </c>
      <c r="BA208" t="inlineStr"/>
      <c r="BB208" t="inlineStr">
        <is>
          <t>Assets/MachineBrigade/Resources/Data/balance.json: weapons[id=orbital_laser] (lớp B trên 01_chien_dau/Vu_khi)</t>
        </is>
      </c>
      <c r="BC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IF(Vu_khi!$AG$209,INDEX(Bang_danh_noc!$C$2:$C$8,MIN(7,MAX(1,2-(Vu_khi!$L$209-0)+1))),INDEX(Bang_xuyen_giap!$C$2:$C$8,MIN(7,MAX(1,IF($O$209,MAX(1,2-(Vu_khi!$L$209-0)),2-(Vu_khi!$L$209-0))+1))))</f>
        <v/>
      </c>
      <c r="AB209" t="n">
        <v>1.2</v>
      </c>
      <c r="AC209">
        <f>IF(Vu_khi!$AG$209,INDEX(Bang_danh_noc!$C$2:$C$8,MIN(7,MAX(1,2-(Vu_khi!$L$209-2)+1))),INDEX(Bang_xuyen_giap!$C$2:$C$8,MIN(7,MAX(1,IF($O$209,MAX(1,2-(Vu_khi!$L$209-2)),2-(Vu_khi!$L$209-2))+1))))</f>
        <v/>
      </c>
      <c r="AD209" t="n">
        <v>1.2</v>
      </c>
      <c r="AE209">
        <f>IF(Vu_khi!$AG$209,INDEX(Bang_danh_noc!$C$2:$C$8,MIN(7,MAX(1,2-(Vu_khi!$L$209-4)+1))),INDEX(Bang_xuyen_giap!$C$2:$C$8,MIN(7,MAX(1,IF($O$209,MAX(1,2-(Vu_khi!$L$209-4)),2-(Vu_khi!$L$209-4))+1))))</f>
        <v/>
      </c>
      <c r="AF209" t="n">
        <v>1</v>
      </c>
      <c r="AG209">
        <f>INDEX(Bang_xuyen_giap!$C$2:$C$8,MIN(7,MAX(1,MAX(1,2-(Vu_khi!$L$209-0))+1)))</f>
        <v/>
      </c>
      <c r="AH209" t="n">
        <v>1</v>
      </c>
      <c r="AI209">
        <f>IF($Q$209,$M$209*$AA$209*$U$209,0)</f>
        <v/>
      </c>
      <c r="AJ209" t="n">
        <v>86.39999999999999</v>
      </c>
      <c r="AK209">
        <f>IF($Q$209,$M$209*$AC$209*$U$209,0)</f>
        <v/>
      </c>
      <c r="AL209" t="n">
        <v>86.39999999999999</v>
      </c>
      <c r="AM209">
        <f>IF($Q$209,$M$209*$AE$209*$U$209,0)</f>
        <v/>
      </c>
      <c r="AN209" t="n">
        <v>72</v>
      </c>
      <c r="AO209">
        <f>IF($Q$209,$M$209*$AC$209*$Y$209,0)</f>
        <v/>
      </c>
      <c r="AP209" t="n">
        <v>50.4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2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0.326667</v>
      </c>
      <c r="AZ209" t="inlineStr">
        <is>
          <t>NHANH_QUA;LECH_DOT_1</t>
        </is>
      </c>
      <c r="BA209" t="inlineStr"/>
      <c r="BB209" t="inlineStr">
        <is>
          <t>Assets/MachineBrigade/Resources/Data/balance.json: weapons[id=p26_bastion_b100] (lớp B trên 01_chien_dau/Vu_khi)</t>
        </is>
      </c>
      <c r="BC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IF(Vu_khi!$AG$210,INDEX(Bang_danh_noc!$C$2:$C$8,MIN(7,MAX(1,2-(Vu_khi!$L$210-0)+1))),INDEX(Bang_xuyen_giap!$C$2:$C$8,MIN(7,MAX(1,IF($O$210,MAX(1,2-(Vu_khi!$L$210-0)),2-(Vu_khi!$L$210-0))+1))))</f>
        <v/>
      </c>
      <c r="AB210" t="n">
        <v>1</v>
      </c>
      <c r="AC210">
        <f>IF(Vu_khi!$AG$210,INDEX(Bang_danh_noc!$C$2:$C$8,MIN(7,MAX(1,2-(Vu_khi!$L$210-2)+1))),INDEX(Bang_xuyen_giap!$C$2:$C$8,MIN(7,MAX(1,IF($O$210,MAX(1,2-(Vu_khi!$L$210-2)),2-(Vu_khi!$L$210-2))+1))))</f>
        <v/>
      </c>
      <c r="AD210" t="n">
        <v>1</v>
      </c>
      <c r="AE210">
        <f>IF(Vu_khi!$AG$210,INDEX(Bang_danh_noc!$C$2:$C$8,MIN(7,MAX(1,2-(Vu_khi!$L$210-4)+1))),INDEX(Bang_xuyen_giap!$C$2:$C$8,MIN(7,MAX(1,IF($O$210,MAX(1,2-(Vu_khi!$L$210-4)),2-(Vu_khi!$L$210-4))+1))))</f>
        <v/>
      </c>
      <c r="AF210" t="n">
        <v>0.85</v>
      </c>
      <c r="AG210">
        <f>INDEX(Bang_xuyen_giap!$C$2:$C$8,MIN(7,MAX(1,MAX(1,2-(Vu_khi!$L$210-0))+1)))</f>
        <v/>
      </c>
      <c r="AH210" t="n">
        <v>1</v>
      </c>
      <c r="AI210">
        <f>IF($Q$210,$M$210*$AA$210*$U$210,0)</f>
        <v/>
      </c>
      <c r="AJ210" t="n">
        <v>106.6666666666667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90.66666666666667</v>
      </c>
      <c r="AO210">
        <f>IF($Q$210,$M$210*$AC$210*$Y$210,0)</f>
        <v/>
      </c>
      <c r="AP210" t="n">
        <v>170.6666666666667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0</v>
      </c>
      <c r="AU210">
        <f>IF(AND($B$210&lt;0,$AS$210),4,$B$210)</f>
        <v/>
      </c>
      <c r="AV210" t="n">
        <v>3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AY210" t="n">
        <v>0.7</v>
      </c>
      <c r="AZ210" t="inlineStr">
        <is>
          <t>ok</t>
        </is>
      </c>
      <c r="BA210" t="inlineStr"/>
      <c r="BB210" t="inlineStr">
        <is>
          <t>Assets/MachineBrigade/Resources/Data/balance.json: weapons[id=p26_bastion_b155] (lớp B trên 01_chien_dau/Vu_khi)</t>
        </is>
      </c>
      <c r="BC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IF(Vu_khi!$AG$211,INDEX(Bang_danh_noc!$C$2:$C$8,MIN(7,MAX(1,2-(Vu_khi!$L$211-0)+1))),INDEX(Bang_xuyen_giap!$C$2:$C$8,MIN(7,MAX(1,IF($O$211,MAX(1,2-(Vu_khi!$L$211-0)),2-(Vu_khi!$L$211-0))+1))))</f>
        <v/>
      </c>
      <c r="AB211" t="n">
        <v>1</v>
      </c>
      <c r="AC211">
        <f>IF(Vu_khi!$AG$211,INDEX(Bang_danh_noc!$C$2:$C$8,MIN(7,MAX(1,2-(Vu_khi!$L$211-2)+1))),INDEX(Bang_xuyen_giap!$C$2:$C$8,MIN(7,MAX(1,IF($O$211,MAX(1,2-(Vu_khi!$L$211-2)),2-(Vu_khi!$L$211-2))+1))))</f>
        <v/>
      </c>
      <c r="AD211" t="n">
        <v>1</v>
      </c>
      <c r="AE211">
        <f>IF(Vu_khi!$AG$211,INDEX(Bang_danh_noc!$C$2:$C$8,MIN(7,MAX(1,2-(Vu_khi!$L$211-4)+1))),INDEX(Bang_xuyen_giap!$C$2:$C$8,MIN(7,MAX(1,IF($O$211,MAX(1,2-(Vu_khi!$L$211-4)),2-(Vu_khi!$L$211-4))+1))))</f>
        <v/>
      </c>
      <c r="AF211" t="n">
        <v>0.85</v>
      </c>
      <c r="AG211">
        <f>INDEX(Bang_xuyen_giap!$C$2:$C$8,MIN(7,MAX(1,MAX(1,2-(Vu_khi!$L$211-0))+1)))</f>
        <v/>
      </c>
      <c r="AH211" t="n">
        <v>1</v>
      </c>
      <c r="AI211">
        <f>IF($Q$211,$M$211*$AA$211*$U$211,0)</f>
        <v/>
      </c>
      <c r="AJ211" t="n">
        <v>80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68</v>
      </c>
      <c r="AO211">
        <f>IF($Q$211,$M$211*$AC$211*$Y$211,0)</f>
        <v/>
      </c>
      <c r="AP211" t="n">
        <v>128</v>
      </c>
      <c r="AQ211">
        <f>IF($S$211,$M$211*$AG$211*$W$211,0)</f>
        <v/>
      </c>
      <c r="AR211" t="n">
        <v>0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1</v>
      </c>
      <c r="AU211">
        <f>IF(AND($B$211&lt;0,$AS$211),4,$B$211)</f>
        <v/>
      </c>
      <c r="AV211" t="n">
        <v>4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2.722222222222222</v>
      </c>
      <c r="AY211" t="n">
        <v>0.35</v>
      </c>
      <c r="AZ211" t="inlineStr">
        <is>
          <t>NHANH_QUA;LECH_DOT_1</t>
        </is>
      </c>
      <c r="BA211" t="inlineStr"/>
      <c r="BB211" t="inlineStr">
        <is>
          <t>Assets/MachineBrigade/Resources/Data/balance.json: weapons[id=p26_bastion_b240] (lớp B trên 01_chien_dau/Vu_khi)</t>
        </is>
      </c>
      <c r="BC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IF(Vu_khi!$AG$212,INDEX(Bang_danh_noc!$C$2:$C$8,MIN(7,MAX(1,2-(Vu_khi!$L$212-0)+1))),INDEX(Bang_xuyen_giap!$C$2:$C$8,MIN(7,MAX(1,IF($O$212,MAX(1,2-(Vu_khi!$L$212-0)),2-(Vu_khi!$L$212-0))+1))))</f>
        <v/>
      </c>
      <c r="AB212" t="n">
        <v>1</v>
      </c>
      <c r="AC212">
        <f>IF(Vu_khi!$AG$212,INDEX(Bang_danh_noc!$C$2:$C$8,MIN(7,MAX(1,2-(Vu_khi!$L$212-2)+1))),INDEX(Bang_xuyen_giap!$C$2:$C$8,MIN(7,MAX(1,IF($O$212,MAX(1,2-(Vu_khi!$L$212-2)),2-(Vu_khi!$L$212-2))+1))))</f>
        <v/>
      </c>
      <c r="AD212" t="n">
        <v>0.65</v>
      </c>
      <c r="AE212">
        <f>IF(Vu_khi!$AG$212,INDEX(Bang_danh_noc!$C$2:$C$8,MIN(7,MAX(1,2-(Vu_khi!$L$212-4)+1))),INDEX(Bang_xuyen_giap!$C$2:$C$8,MIN(7,MAX(1,IF($O$212,MAX(1,2-(Vu_khi!$L$212-4)),2-(Vu_khi!$L$212-4))+1))))</f>
        <v/>
      </c>
      <c r="AF212" t="n">
        <v>0.15</v>
      </c>
      <c r="AG212">
        <f>INDEX(Bang_xuyen_giap!$C$2:$C$8,MIN(7,MAX(1,MAX(1,2-(Vu_khi!$L$212-0))+1)))</f>
        <v/>
      </c>
      <c r="AH212" t="n">
        <v>1</v>
      </c>
      <c r="AI212">
        <f>IF($Q$212,$M$212*$AA$212*$U$212,0)</f>
        <v/>
      </c>
      <c r="AJ212" t="n">
        <v>135.8828991371436</v>
      </c>
      <c r="AK212">
        <f>IF($Q$212,$M$212*$AC$212*$U$212,0)</f>
        <v/>
      </c>
      <c r="AL212" t="n">
        <v>88.32388443914333</v>
      </c>
      <c r="AM212">
        <f>IF($Q$212,$M$212*$AE$212*$U$212,0)</f>
        <v/>
      </c>
      <c r="AN212" t="n">
        <v>20.38243487057154</v>
      </c>
      <c r="AO212">
        <f>IF($Q$212,$M$212*$AC$212*$Y$212,0)</f>
        <v/>
      </c>
      <c r="AP212" t="n">
        <v>51.5222659228336</v>
      </c>
      <c r="AQ212">
        <f>IF($S$212,$M$212*$AG$212*$W$212,0)</f>
        <v/>
      </c>
      <c r="AR212" t="n">
        <v>33.97072478428589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0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1.766227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weapons[id=p26_bastion_close_boss_hmg] (lớp B trên 01_chien_dau/Vu_khi)</t>
        </is>
      </c>
      <c r="BC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IF(Vu_khi!$AG$213,INDEX(Bang_danh_noc!$C$2:$C$8,MIN(7,MAX(1,2-(Vu_khi!$L$213-0)+1))),INDEX(Bang_xuyen_giap!$C$2:$C$8,MIN(7,MAX(1,IF($O$213,MAX(1,2-(Vu_khi!$L$213-0)),2-(Vu_khi!$L$213-0))+1))))</f>
        <v/>
      </c>
      <c r="AB213" t="n">
        <v>1.2</v>
      </c>
      <c r="AC213">
        <f>IF(Vu_khi!$AG$213,INDEX(Bang_danh_noc!$C$2:$C$8,MIN(7,MAX(1,2-(Vu_khi!$L$213-2)+1))),INDEX(Bang_xuyen_giap!$C$2:$C$8,MIN(7,MAX(1,IF($O$213,MAX(1,2-(Vu_khi!$L$213-2)),2-(Vu_khi!$L$213-2))+1))))</f>
        <v/>
      </c>
      <c r="AD213" t="n">
        <v>1.2</v>
      </c>
      <c r="AE213">
        <f>IF(Vu_khi!$AG$213,INDEX(Bang_danh_noc!$C$2:$C$8,MIN(7,MAX(1,2-(Vu_khi!$L$213-4)+1))),INDEX(Bang_xuyen_giap!$C$2:$C$8,MIN(7,MAX(1,IF($O$213,MAX(1,2-(Vu_khi!$L$213-4)),2-(Vu_khi!$L$213-4))+1))))</f>
        <v/>
      </c>
      <c r="AF213" t="n">
        <v>1</v>
      </c>
      <c r="AG213">
        <f>INDEX(Bang_xuyen_giap!$C$2:$C$8,MIN(7,MAX(1,MAX(1,2-(Vu_khi!$L$213-0))+1)))</f>
        <v/>
      </c>
      <c r="AH213" t="n">
        <v>1</v>
      </c>
      <c r="AI213">
        <f>IF($Q$213,$M$213*$AA$213*$U$213,0)</f>
        <v/>
      </c>
      <c r="AJ213" t="n">
        <v>80.37209302325581</v>
      </c>
      <c r="AK213">
        <f>IF($Q$213,$M$213*$AC$213*$U$213,0)</f>
        <v/>
      </c>
      <c r="AL213" t="n">
        <v>80.37209302325581</v>
      </c>
      <c r="AM213">
        <f>IF($Q$213,$M$213*$AE$213*$U$213,0)</f>
        <v/>
      </c>
      <c r="AN213" t="n">
        <v>66.9767441860465</v>
      </c>
      <c r="AO213">
        <f>IF($Q$213,$M$213*$AC$213*$Y$213,0)</f>
        <v/>
      </c>
      <c r="AP213" t="n">
        <v>46.88372093023256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2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0.702333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weapons[id=p26_bastion_direct_b100] (lớp B trên 01_chien_dau/Vu_khi)</t>
        </is>
      </c>
      <c r="BC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IF(Vu_khi!$AG$214,INDEX(Bang_danh_noc!$C$2:$C$8,MIN(7,MAX(1,2-(Vu_khi!$L$214-0)+1))),INDEX(Bang_xuyen_giap!$C$2:$C$8,MIN(7,MAX(1,IF($O$214,MAX(1,2-(Vu_khi!$L$214-0)),2-(Vu_khi!$L$214-0))+1))))</f>
        <v/>
      </c>
      <c r="AB214" t="n">
        <v>1</v>
      </c>
      <c r="AC214">
        <f>IF(Vu_khi!$AG$214,INDEX(Bang_danh_noc!$C$2:$C$8,MIN(7,MAX(1,2-(Vu_khi!$L$214-2)+1))),INDEX(Bang_xuyen_giap!$C$2:$C$8,MIN(7,MAX(1,IF($O$214,MAX(1,2-(Vu_khi!$L$214-2)),2-(Vu_khi!$L$214-2))+1))))</f>
        <v/>
      </c>
      <c r="AD214" t="n">
        <v>1</v>
      </c>
      <c r="AE214">
        <f>IF(Vu_khi!$AG$214,INDEX(Bang_danh_noc!$C$2:$C$8,MIN(7,MAX(1,2-(Vu_khi!$L$214-4)+1))),INDEX(Bang_xuyen_giap!$C$2:$C$8,MIN(7,MAX(1,IF($O$214,MAX(1,2-(Vu_khi!$L$214-4)),2-(Vu_khi!$L$214-4))+1))))</f>
        <v/>
      </c>
      <c r="AF214" t="n">
        <v>0.85</v>
      </c>
      <c r="AG214">
        <f>INDEX(Bang_xuyen_giap!$C$2:$C$8,MIN(7,MAX(1,MAX(1,2-(Vu_khi!$L$214-0))+1)))</f>
        <v/>
      </c>
      <c r="AH214" t="n">
        <v>1</v>
      </c>
      <c r="AI214">
        <f>IF($Q$214,$M$214*$AA$214*$U$214,0)</f>
        <v/>
      </c>
      <c r="AJ214" t="n">
        <v>40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34</v>
      </c>
      <c r="AO214">
        <f>IF($Q$214,$M$214*$AC$214*$Y$214,0)</f>
        <v/>
      </c>
      <c r="AP214" t="n">
        <v>64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0.7</v>
      </c>
      <c r="AZ214" t="inlineStr">
        <is>
          <t>ok</t>
        </is>
      </c>
      <c r="BA214" t="b">
        <v>1</v>
      </c>
      <c r="BB214" t="inlineStr">
        <is>
          <t>Assets/MachineBrigade/Resources/Data/balance.json: weapons[id=p26_bastion_main_b155] (lớp B trên 01_chien_dau/Vu_khi)</t>
        </is>
      </c>
      <c r="BC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IF(Vu_khi!$AG$215,INDEX(Bang_danh_noc!$C$2:$C$8,MIN(7,MAX(1,2-(Vu_khi!$L$215-0)+1))),INDEX(Bang_xuyen_giap!$C$2:$C$8,MIN(7,MAX(1,IF($O$215,MAX(1,2-(Vu_khi!$L$215-0)),2-(Vu_khi!$L$215-0))+1))))</f>
        <v/>
      </c>
      <c r="AB215" t="n">
        <v>1</v>
      </c>
      <c r="AC215">
        <f>IF(Vu_khi!$AG$215,INDEX(Bang_danh_noc!$C$2:$C$8,MIN(7,MAX(1,2-(Vu_khi!$L$215-2)+1))),INDEX(Bang_xuyen_giap!$C$2:$C$8,MIN(7,MAX(1,IF($O$215,MAX(1,2-(Vu_khi!$L$215-2)),2-(Vu_khi!$L$215-2))+1))))</f>
        <v/>
      </c>
      <c r="AD215" t="n">
        <v>1</v>
      </c>
      <c r="AE215">
        <f>IF(Vu_khi!$AG$215,INDEX(Bang_danh_noc!$C$2:$C$8,MIN(7,MAX(1,2-(Vu_khi!$L$215-4)+1))),INDEX(Bang_xuyen_giap!$C$2:$C$8,MIN(7,MAX(1,IF($O$215,MAX(1,2-(Vu_khi!$L$215-4)),2-(Vu_khi!$L$215-4))+1))))</f>
        <v/>
      </c>
      <c r="AF215" t="n">
        <v>0.85</v>
      </c>
      <c r="AG215">
        <f>INDEX(Bang_xuyen_giap!$C$2:$C$8,MIN(7,MAX(1,MAX(1,2-(Vu_khi!$L$215-0))+1)))</f>
        <v/>
      </c>
      <c r="AH215" t="n">
        <v>1</v>
      </c>
      <c r="AI215">
        <f>IF($Q$215,$M$215*$AA$215*$U$215,0)</f>
        <v/>
      </c>
      <c r="AJ215" t="n">
        <v>18.33333333333333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15.58333333333333</v>
      </c>
      <c r="AO215">
        <f>IF($Q$215,$M$215*$AC$215*$Y$215,0)</f>
        <v/>
      </c>
      <c r="AP215" t="n">
        <v>29.33333333333333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1</v>
      </c>
      <c r="AU215">
        <f>IF(AND($B$215&lt;0,$AS$215),4,$B$215)</f>
        <v/>
      </c>
      <c r="AV215" t="n">
        <v>4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2.722222222222222</v>
      </c>
      <c r="AY215" t="n">
        <v>0.7</v>
      </c>
      <c r="AZ215" t="inlineStr">
        <is>
          <t>ok</t>
        </is>
      </c>
      <c r="BA215" t="b">
        <v>1</v>
      </c>
      <c r="BB215" t="inlineStr">
        <is>
          <t>Assets/MachineBrigade/Resources/Data/balance.json: weapons[id=p26_bastion_sec_b240] (lớp B trên 01_chien_dau/Vu_khi)</t>
        </is>
      </c>
      <c r="BC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IF(Vu_khi!$AG$216,INDEX(Bang_danh_noc!$C$2:$C$8,MIN(7,MAX(1,2-(Vu_khi!$L$216-0)+1))),INDEX(Bang_xuyen_giap!$C$2:$C$8,MIN(7,MAX(1,IF($O$216,MAX(1,2-(Vu_khi!$L$216-0)),2-(Vu_khi!$L$216-0))+1))))</f>
        <v/>
      </c>
      <c r="AB216" t="n">
        <v>1.2</v>
      </c>
      <c r="AC216">
        <f>IF(Vu_khi!$AG$216,INDEX(Bang_danh_noc!$C$2:$C$8,MIN(7,MAX(1,2-(Vu_khi!$L$216-2)+1))),INDEX(Bang_xuyen_giap!$C$2:$C$8,MIN(7,MAX(1,IF($O$216,MAX(1,2-(Vu_khi!$L$216-2)),2-(Vu_khi!$L$216-2))+1))))</f>
        <v/>
      </c>
      <c r="AD216" t="n">
        <v>0.85</v>
      </c>
      <c r="AE216">
        <f>IF(Vu_khi!$AG$216,INDEX(Bang_danh_noc!$C$2:$C$8,MIN(7,MAX(1,2-(Vu_khi!$L$216-4)+1))),INDEX(Bang_xuyen_giap!$C$2:$C$8,MIN(7,MAX(1,IF($O$216,MAX(1,2-(Vu_khi!$L$216-4)),2-(Vu_khi!$L$216-4))+1))))</f>
        <v/>
      </c>
      <c r="AF216" t="n">
        <v>0.4</v>
      </c>
      <c r="AG216">
        <f>INDEX(Bang_xuyen_giap!$C$2:$C$8,MIN(7,MAX(1,MAX(1,2-(Vu_khi!$L$216-0))+1)))</f>
        <v/>
      </c>
      <c r="AH216" t="n">
        <v>1</v>
      </c>
      <c r="AI216">
        <f>IF($Q$216,$M$216*$AA$216*$U$216,0)</f>
        <v/>
      </c>
      <c r="AJ216" t="n">
        <v>130.1204819277108</v>
      </c>
      <c r="AK216">
        <f>IF($Q$216,$M$216*$AC$216*$U$216,0)</f>
        <v/>
      </c>
      <c r="AL216" t="n">
        <v>92.16867469879517</v>
      </c>
      <c r="AM216">
        <f>IF($Q$216,$M$216*$AE$216*$U$216,0)</f>
        <v/>
      </c>
      <c r="AN216" t="n">
        <v>43.37349397590361</v>
      </c>
      <c r="AO216">
        <f>IF($Q$216,$M$216*$AC$216*$Y$216,0)</f>
        <v/>
      </c>
      <c r="AP216" t="n">
        <v>53.76506024096385</v>
      </c>
      <c r="AQ216">
        <f>IF($S$216,$M$216*$AG$216*$W$216,0)</f>
        <v/>
      </c>
      <c r="AR216" t="n">
        <v>27.10843373493976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1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1.826</v>
      </c>
      <c r="AZ216" t="inlineStr">
        <is>
          <t>ok</t>
        </is>
      </c>
      <c r="BA216" t="b">
        <v>1</v>
      </c>
      <c r="BB216" t="inlineStr">
        <is>
          <t>Assets/MachineBrigade/Resources/Data/balance.json: weapons[id=p26_bastion_tiny_autocannon_40] (lớp B trên 01_chien_dau/Vu_khi)</t>
        </is>
      </c>
      <c r="BC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IF(Vu_khi!$AG$217,INDEX(Bang_danh_noc!$C$2:$C$8,MIN(7,MAX(1,2-(Vu_khi!$L$217-0)+1))),INDEX(Bang_xuyen_giap!$C$2:$C$8,MIN(7,MAX(1,IF($O$217,MAX(1,2-(Vu_khi!$L$217-0)),2-(Vu_khi!$L$217-0))+1))))</f>
        <v/>
      </c>
      <c r="AB217" t="n">
        <v>1.2</v>
      </c>
      <c r="AC217">
        <f>IF(Vu_khi!$AG$217,INDEX(Bang_danh_noc!$C$2:$C$8,MIN(7,MAX(1,2-(Vu_khi!$L$217-2)+1))),INDEX(Bang_xuyen_giap!$C$2:$C$8,MIN(7,MAX(1,IF($O$217,MAX(1,2-(Vu_khi!$L$217-2)),2-(Vu_khi!$L$217-2))+1))))</f>
        <v/>
      </c>
      <c r="AD217" t="n">
        <v>1.2</v>
      </c>
      <c r="AE217">
        <f>IF(Vu_khi!$AG$217,INDEX(Bang_danh_noc!$C$2:$C$8,MIN(7,MAX(1,2-(Vu_khi!$L$217-4)+1))),INDEX(Bang_xuyen_giap!$C$2:$C$8,MIN(7,MAX(1,IF($O$217,MAX(1,2-(Vu_khi!$L$217-4)),2-(Vu_khi!$L$217-4))+1))))</f>
        <v/>
      </c>
      <c r="AF217" t="n">
        <v>0.85</v>
      </c>
      <c r="AG217">
        <f>INDEX(Bang_xuyen_giap!$C$2:$C$8,MIN(7,MAX(1,MAX(1,2-(Vu_khi!$L$217-0))+1)))</f>
        <v/>
      </c>
      <c r="AH217" t="n">
        <v>1</v>
      </c>
      <c r="AI217">
        <f>IF($Q$217,$M$217*$AA$217*$U$217,0)</f>
        <v/>
      </c>
      <c r="AJ217" t="n">
        <v>35.88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25.415</v>
      </c>
      <c r="AO217">
        <f>IF($Q$217,$M$217*$AC$217*$Y$217,0)</f>
        <v/>
      </c>
      <c r="AP217" t="n">
        <v>12.42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2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weapons[id=p26_bastion_tiny_kornet_twin] (lớp B trên 01_chien_dau/Vu_khi)</t>
        </is>
      </c>
      <c r="BC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IF(Vu_khi!$AG$218,INDEX(Bang_danh_noc!$C$2:$C$8,MIN(7,MAX(1,2-(Vu_khi!$L$218-0)+1))),INDEX(Bang_xuyen_giap!$C$2:$C$8,MIN(7,MAX(1,IF($O$218,MAX(1,2-(Vu_khi!$L$218-0)),2-(Vu_khi!$L$218-0))+1))))</f>
        <v/>
      </c>
      <c r="AB218" t="n">
        <v>1</v>
      </c>
      <c r="AC218">
        <f>IF(Vu_khi!$AG$218,INDEX(Bang_danh_noc!$C$2:$C$8,MIN(7,MAX(1,2-(Vu_khi!$L$218-2)+1))),INDEX(Bang_xuyen_giap!$C$2:$C$8,MIN(7,MAX(1,IF($O$218,MAX(1,2-(Vu_khi!$L$218-2)),2-(Vu_khi!$L$218-2))+1))))</f>
        <v/>
      </c>
      <c r="AD218" t="n">
        <v>0.65</v>
      </c>
      <c r="AE218">
        <f>IF(Vu_khi!$AG$218,INDEX(Bang_danh_noc!$C$2:$C$8,MIN(7,MAX(1,2-(Vu_khi!$L$218-4)+1))),INDEX(Bang_xuyen_giap!$C$2:$C$8,MIN(7,MAX(1,IF($O$218,MAX(1,2-(Vu_khi!$L$218-4)),2-(Vu_khi!$L$218-4))+1))))</f>
        <v/>
      </c>
      <c r="AF218" t="n">
        <v>0.15</v>
      </c>
      <c r="AG218">
        <f>INDEX(Bang_xuyen_giap!$C$2:$C$8,MIN(7,MAX(1,MAX(1,2-(Vu_khi!$L$218-0))+1)))</f>
        <v/>
      </c>
      <c r="AH218" t="n">
        <v>1</v>
      </c>
      <c r="AI218">
        <f>IF($Q$218,$M$218*$AA$218*$U$218,0)</f>
        <v/>
      </c>
      <c r="AJ218" t="n">
        <v>31.75403225806452</v>
      </c>
      <c r="AK218">
        <f>IF($Q$218,$M$218*$AC$218*$U$218,0)</f>
        <v/>
      </c>
      <c r="AL218" t="n">
        <v>20.64012096774194</v>
      </c>
      <c r="AM218">
        <f>IF($Q$218,$M$218*$AE$218*$U$218,0)</f>
        <v/>
      </c>
      <c r="AN218" t="n">
        <v>4.763104838709678</v>
      </c>
      <c r="AO218">
        <f>IF($Q$218,$M$218*$AC$218*$Y$218,0)</f>
        <v/>
      </c>
      <c r="AP218" t="n">
        <v>4.586693548387097</v>
      </c>
      <c r="AQ218">
        <f>IF($S$218,$M$218*$AG$218*$W$218,0)</f>
        <v/>
      </c>
      <c r="AR218" t="n">
        <v>95.26209677419355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1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1.653333</v>
      </c>
      <c r="AZ218" t="inlineStr">
        <is>
          <t>ok</t>
        </is>
      </c>
      <c r="BA218" t="b">
        <v>1</v>
      </c>
      <c r="BB218" t="inlineStr">
        <is>
          <t>Assets/MachineBrigade/Resources/Data/balance.json: weapons[id=p26_bastion_tiny_zu23] (lớp B trên 01_chien_dau/Vu_khi)</t>
        </is>
      </c>
      <c r="BC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IF(Vu_khi!$AG$219,INDEX(Bang_danh_noc!$C$2:$C$8,MIN(7,MAX(1,2-(Vu_khi!$L$219-0)+1))),INDEX(Bang_xuyen_giap!$C$2:$C$8,MIN(7,MAX(1,IF($O$219,MAX(1,2-(Vu_khi!$L$219-0)),2-(Vu_khi!$L$219-0))+1))))</f>
        <v/>
      </c>
      <c r="AB219" t="n">
        <v>1.2</v>
      </c>
      <c r="AC219">
        <f>IF(Vu_khi!$AG$219,INDEX(Bang_danh_noc!$C$2:$C$8,MIN(7,MAX(1,2-(Vu_khi!$L$219-2)+1))),INDEX(Bang_xuyen_giap!$C$2:$C$8,MIN(7,MAX(1,IF($O$219,MAX(1,2-(Vu_khi!$L$219-2)),2-(Vu_khi!$L$219-2))+1))))</f>
        <v/>
      </c>
      <c r="AD219" t="n">
        <v>1.2</v>
      </c>
      <c r="AE219">
        <f>IF(Vu_khi!$AG$219,INDEX(Bang_danh_noc!$C$2:$C$8,MIN(7,MAX(1,2-(Vu_khi!$L$219-4)+1))),INDEX(Bang_xuyen_giap!$C$2:$C$8,MIN(7,MAX(1,IF($O$219,MAX(1,2-(Vu_khi!$L$219-4)),2-(Vu_khi!$L$219-4))+1))))</f>
        <v/>
      </c>
      <c r="AF219" t="n">
        <v>1</v>
      </c>
      <c r="AG219">
        <f>INDEX(Bang_xuyen_giap!$C$2:$C$8,MIN(7,MAX(1,MAX(1,2-(Vu_khi!$L$219-0))+1)))</f>
        <v/>
      </c>
      <c r="AH219" t="n">
        <v>1</v>
      </c>
      <c r="AI219">
        <f>IF($Q$219,$M$219*$AA$219*$U$219,0)</f>
        <v/>
      </c>
      <c r="AJ219" t="n">
        <v>93.59999999999999</v>
      </c>
      <c r="AK219">
        <f>IF($Q$219,$M$219*$AC$219*$U$219,0)</f>
        <v/>
      </c>
      <c r="AL219" t="n">
        <v>93.59999999999999</v>
      </c>
      <c r="AM219">
        <f>IF($Q$219,$M$219*$AE$219*$U$219,0)</f>
        <v/>
      </c>
      <c r="AN219" t="n">
        <v>78</v>
      </c>
      <c r="AO219">
        <f>IF($Q$219,$M$219*$AC$219*$Y$219,0)</f>
        <v/>
      </c>
      <c r="AP219" t="n">
        <v>54.6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0.373333</v>
      </c>
      <c r="AZ219" t="inlineStr">
        <is>
          <t>NHANH_QUA;LECH_DOT_1</t>
        </is>
      </c>
      <c r="BA219" t="inlineStr"/>
      <c r="BB219" t="inlineStr">
        <is>
          <t>Assets/MachineBrigade/Resources/Data/balance.json: weapons[id=p26_behemoth_be120] (lớp B trên 01_chien_dau/Vu_khi)</t>
        </is>
      </c>
      <c r="BC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IF(Vu_khi!$AG$220,INDEX(Bang_danh_noc!$C$2:$C$8,MIN(7,MAX(1,2-(Vu_khi!$L$220-0)+1))),INDEX(Bang_xuyen_giap!$C$2:$C$8,MIN(7,MAX(1,IF($O$220,MAX(1,2-(Vu_khi!$L$220-0)),2-(Vu_khi!$L$220-0))+1))))</f>
        <v/>
      </c>
      <c r="AB220" t="n">
        <v>1.2</v>
      </c>
      <c r="AC220">
        <f>IF(Vu_khi!$AG$220,INDEX(Bang_danh_noc!$C$2:$C$8,MIN(7,MAX(1,2-(Vu_khi!$L$220-2)+1))),INDEX(Bang_xuyen_giap!$C$2:$C$8,MIN(7,MAX(1,IF($O$220,MAX(1,2-(Vu_khi!$L$220-2)),2-(Vu_khi!$L$220-2))+1))))</f>
        <v/>
      </c>
      <c r="AD220" t="n">
        <v>1</v>
      </c>
      <c r="AE220">
        <f>IF(Vu_khi!$AG$220,INDEX(Bang_danh_noc!$C$2:$C$8,MIN(7,MAX(1,2-(Vu_khi!$L$220-4)+1))),INDEX(Bang_xuyen_giap!$C$2:$C$8,MIN(7,MAX(1,IF($O$220,MAX(1,2-(Vu_khi!$L$220-4)),2-(Vu_khi!$L$220-4))+1))))</f>
        <v/>
      </c>
      <c r="AF220" t="n">
        <v>0.65</v>
      </c>
      <c r="AG220">
        <f>INDEX(Bang_xuyen_giap!$C$2:$C$8,MIN(7,MAX(1,MAX(1,2-(Vu_khi!$L$220-0))+1)))</f>
        <v/>
      </c>
      <c r="AH220" t="n">
        <v>1</v>
      </c>
      <c r="AI220">
        <f>IF($Q$220,$M$220*$AA$220*$U$220,0)</f>
        <v/>
      </c>
      <c r="AJ220" t="n">
        <v>354</v>
      </c>
      <c r="AK220">
        <f>IF($Q$220,$M$220*$AC$220*$U$220,0)</f>
        <v/>
      </c>
      <c r="AL220" t="n">
        <v>295</v>
      </c>
      <c r="AM220">
        <f>IF($Q$220,$M$220*$AE$220*$U$220,0)</f>
        <v/>
      </c>
      <c r="AN220" t="n">
        <v>191.75</v>
      </c>
      <c r="AO220">
        <f>IF($Q$220,$M$220*$AC$220*$Y$220,0)</f>
        <v/>
      </c>
      <c r="AP220" t="n">
        <v>472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0.186667</v>
      </c>
      <c r="AZ220" t="inlineStr">
        <is>
          <t>NHANH_QUA;LECH_DOT_1</t>
        </is>
      </c>
      <c r="BA220" t="inlineStr"/>
      <c r="BB220" t="inlineStr">
        <is>
          <t>Assets/MachineBrigade/Resources/Data/balance.json: weapons[id=p26_behemoth_be152] (lớp B trên 01_chien_dau/Vu_khi)</t>
        </is>
      </c>
      <c r="BC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IF(Vu_khi!$AG$221,INDEX(Bang_danh_noc!$C$2:$C$8,MIN(7,MAX(1,2-(Vu_khi!$L$221-0)+1))),INDEX(Bang_xuyen_giap!$C$2:$C$8,MIN(7,MAX(1,IF($O$221,MAX(1,2-(Vu_khi!$L$221-0)),2-(Vu_khi!$L$221-0))+1))))</f>
        <v/>
      </c>
      <c r="AB221" t="n">
        <v>1.2</v>
      </c>
      <c r="AC221">
        <f>IF(Vu_khi!$AG$221,INDEX(Bang_danh_noc!$C$2:$C$8,MIN(7,MAX(1,2-(Vu_khi!$L$221-2)+1))),INDEX(Bang_xuyen_giap!$C$2:$C$8,MIN(7,MAX(1,IF($O$221,MAX(1,2-(Vu_khi!$L$221-2)),2-(Vu_khi!$L$221-2))+1))))</f>
        <v/>
      </c>
      <c r="AD221" t="n">
        <v>0.85</v>
      </c>
      <c r="AE221">
        <f>IF(Vu_khi!$AG$221,INDEX(Bang_danh_noc!$C$2:$C$8,MIN(7,MAX(1,2-(Vu_khi!$L$221-4)+1))),INDEX(Bang_xuyen_giap!$C$2:$C$8,MIN(7,MAX(1,IF($O$221,MAX(1,2-(Vu_khi!$L$221-4)),2-(Vu_khi!$L$221-4))+1))))</f>
        <v/>
      </c>
      <c r="AF221" t="n">
        <v>0.4</v>
      </c>
      <c r="AG221">
        <f>INDEX(Bang_xuyen_giap!$C$2:$C$8,MIN(7,MAX(1,MAX(1,2-(Vu_khi!$L$221-0))+1)))</f>
        <v/>
      </c>
      <c r="AH221" t="n">
        <v>1</v>
      </c>
      <c r="AI221">
        <f>IF($Q$221,$M$221*$AA$221*$U$221,0)</f>
        <v/>
      </c>
      <c r="AJ221" t="n">
        <v>192</v>
      </c>
      <c r="AK221">
        <f>IF($Q$221,$M$221*$AC$221*$U$221,0)</f>
        <v/>
      </c>
      <c r="AL221" t="n">
        <v>136</v>
      </c>
      <c r="AM221">
        <f>IF($Q$221,$M$221*$AE$221*$U$221,0)</f>
        <v/>
      </c>
      <c r="AN221" t="n">
        <v>64</v>
      </c>
      <c r="AO221">
        <f>IF($Q$221,$M$221*$AC$221*$Y$221,0)</f>
        <v/>
      </c>
      <c r="AP221" t="n">
        <v>217.6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0.6</v>
      </c>
      <c r="AZ221" t="inlineStr">
        <is>
          <t>LECH_DOT_1</t>
        </is>
      </c>
      <c r="BA221" t="inlineStr"/>
      <c r="BB221" t="inlineStr">
        <is>
          <t>Assets/MachineBrigade/Resources/Data/balance.json: weapons[id=p26_behemoth_be_rockets] (lớp B trên 01_chien_dau/Vu_khi)</t>
        </is>
      </c>
      <c r="BC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IF(Vu_khi!$AG$222,INDEX(Bang_danh_noc!$C$2:$C$8,MIN(7,MAX(1,2-(Vu_khi!$L$222-0)+1))),INDEX(Bang_xuyen_giap!$C$2:$C$8,MIN(7,MAX(1,IF($O$222,MAX(1,2-(Vu_khi!$L$222-0)),2-(Vu_khi!$L$222-0))+1))))</f>
        <v/>
      </c>
      <c r="AB222" t="n">
        <v>1.2</v>
      </c>
      <c r="AC222">
        <f>IF(Vu_khi!$AG$222,INDEX(Bang_danh_noc!$C$2:$C$8,MIN(7,MAX(1,2-(Vu_khi!$L$222-2)+1))),INDEX(Bang_xuyen_giap!$C$2:$C$8,MIN(7,MAX(1,IF($O$222,MAX(1,2-(Vu_khi!$L$222-2)),2-(Vu_khi!$L$222-2))+1))))</f>
        <v/>
      </c>
      <c r="AD222" t="n">
        <v>0.85</v>
      </c>
      <c r="AE222">
        <f>IF(Vu_khi!$AG$222,INDEX(Bang_danh_noc!$C$2:$C$8,MIN(7,MAX(1,2-(Vu_khi!$L$222-4)+1))),INDEX(Bang_xuyen_giap!$C$2:$C$8,MIN(7,MAX(1,IF($O$222,MAX(1,2-(Vu_khi!$L$222-4)),2-(Vu_khi!$L$222-4))+1))))</f>
        <v/>
      </c>
      <c r="AF222" t="n">
        <v>0.4</v>
      </c>
      <c r="AG222">
        <f>INDEX(Bang_xuyen_giap!$C$2:$C$8,MIN(7,MAX(1,MAX(1,2-(Vu_khi!$L$222-0))+1)))</f>
        <v/>
      </c>
      <c r="AH222" t="n">
        <v>1</v>
      </c>
      <c r="AI222">
        <f>IF($Q$222,$M$222*$AA$222*$U$222,0)</f>
        <v/>
      </c>
      <c r="AJ222" t="n">
        <v>102.8810408921933</v>
      </c>
      <c r="AK222">
        <f>IF($Q$222,$M$222*$AC$222*$U$222,0)</f>
        <v/>
      </c>
      <c r="AL222" t="n">
        <v>72.87407063197026</v>
      </c>
      <c r="AM222">
        <f>IF($Q$222,$M$222*$AE$222*$U$222,0)</f>
        <v/>
      </c>
      <c r="AN222" t="n">
        <v>34.29368029739777</v>
      </c>
      <c r="AO222">
        <f>IF($Q$222,$M$222*$AC$222*$Y$222,0)</f>
        <v/>
      </c>
      <c r="AP222" t="n">
        <v>16.19423791821561</v>
      </c>
      <c r="AQ222">
        <f>IF($S$222,$M$222*$AG$222*$W$222,0)</f>
        <v/>
      </c>
      <c r="AR222" t="n">
        <v>257.2026022304833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1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2.405691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weapons[id=p26_behemoth_close_boss_flak] (lớp B trên 01_chien_dau/Vu_khi)</t>
        </is>
      </c>
      <c r="BC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IF(Vu_khi!$AG$223,INDEX(Bang_danh_noc!$C$2:$C$8,MIN(7,MAX(1,2-(Vu_khi!$L$223-0)+1))),INDEX(Bang_xuyen_giap!$C$2:$C$8,MIN(7,MAX(1,IF($O$223,MAX(1,2-(Vu_khi!$L$223-0)),2-(Vu_khi!$L$223-0))+1))))</f>
        <v/>
      </c>
      <c r="AB223" t="n">
        <v>1.2</v>
      </c>
      <c r="AC223">
        <f>IF(Vu_khi!$AG$223,INDEX(Bang_danh_noc!$C$2:$C$8,MIN(7,MAX(1,2-(Vu_khi!$L$223-2)+1))),INDEX(Bang_xuyen_giap!$C$2:$C$8,MIN(7,MAX(1,IF($O$223,MAX(1,2-(Vu_khi!$L$223-2)),2-(Vu_khi!$L$223-2))+1))))</f>
        <v/>
      </c>
      <c r="AD223" t="n">
        <v>1.2</v>
      </c>
      <c r="AE223">
        <f>IF(Vu_khi!$AG$223,INDEX(Bang_danh_noc!$C$2:$C$8,MIN(7,MAX(1,2-(Vu_khi!$L$223-4)+1))),INDEX(Bang_xuyen_giap!$C$2:$C$8,MIN(7,MAX(1,IF($O$223,MAX(1,2-(Vu_khi!$L$223-4)),2-(Vu_khi!$L$223-4))+1))))</f>
        <v/>
      </c>
      <c r="AF223" t="n">
        <v>1</v>
      </c>
      <c r="AG223">
        <f>INDEX(Bang_xuyen_giap!$C$2:$C$8,MIN(7,MAX(1,MAX(1,2-(Vu_khi!$L$223-0))+1)))</f>
        <v/>
      </c>
      <c r="AH223" t="n">
        <v>1</v>
      </c>
      <c r="AI223">
        <f>IF($Q$223,$M$223*$AA$223*$U$223,0)</f>
        <v/>
      </c>
      <c r="AJ223" t="n">
        <v>99.83999999999999</v>
      </c>
      <c r="AK223">
        <f>IF($Q$223,$M$223*$AC$223*$U$223,0)</f>
        <v/>
      </c>
      <c r="AL223" t="n">
        <v>99.83999999999999</v>
      </c>
      <c r="AM223">
        <f>IF($Q$223,$M$223*$AE$223*$U$223,0)</f>
        <v/>
      </c>
      <c r="AN223" t="n">
        <v>83.19999999999999</v>
      </c>
      <c r="AO223">
        <f>IF($Q$223,$M$223*$AC$223*$Y$223,0)</f>
        <v/>
      </c>
      <c r="AP223" t="n">
        <v>58.23999999999999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0.7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weapons[id=p26_behemoth_direct_be120] (lớp B trên 01_chien_dau/Vu_khi)</t>
        </is>
      </c>
      <c r="BC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IF(Vu_khi!$AG$224,INDEX(Bang_danh_noc!$C$2:$C$8,MIN(7,MAX(1,2-(Vu_khi!$L$224-0)+1))),INDEX(Bang_xuyen_giap!$C$2:$C$8,MIN(7,MAX(1,IF($O$224,MAX(1,2-(Vu_khi!$L$224-0)),2-(Vu_khi!$L$224-0))+1))))</f>
        <v/>
      </c>
      <c r="AB224" t="n">
        <v>1.2</v>
      </c>
      <c r="AC224">
        <f>IF(Vu_khi!$AG$224,INDEX(Bang_danh_noc!$C$2:$C$8,MIN(7,MAX(1,2-(Vu_khi!$L$224-2)+1))),INDEX(Bang_xuyen_giap!$C$2:$C$8,MIN(7,MAX(1,IF($O$224,MAX(1,2-(Vu_khi!$L$224-2)),2-(Vu_khi!$L$224-2))+1))))</f>
        <v/>
      </c>
      <c r="AD224" t="n">
        <v>1</v>
      </c>
      <c r="AE224">
        <f>IF(Vu_khi!$AG$224,INDEX(Bang_danh_noc!$C$2:$C$8,MIN(7,MAX(1,2-(Vu_khi!$L$224-4)+1))),INDEX(Bang_xuyen_giap!$C$2:$C$8,MIN(7,MAX(1,IF($O$224,MAX(1,2-(Vu_khi!$L$224-4)),2-(Vu_khi!$L$224-4))+1))))</f>
        <v/>
      </c>
      <c r="AF224" t="n">
        <v>0.65</v>
      </c>
      <c r="AG224">
        <f>INDEX(Bang_xuyen_giap!$C$2:$C$8,MIN(7,MAX(1,MAX(1,2-(Vu_khi!$L$224-0))+1)))</f>
        <v/>
      </c>
      <c r="AH224" t="n">
        <v>1</v>
      </c>
      <c r="AI224">
        <f>IF($Q$224,$M$224*$AA$224*$U$224,0)</f>
        <v/>
      </c>
      <c r="AJ224" t="n">
        <v>160.3563474387527</v>
      </c>
      <c r="AK224">
        <f>IF($Q$224,$M$224*$AC$224*$U$224,0)</f>
        <v/>
      </c>
      <c r="AL224" t="n">
        <v>133.630289532294</v>
      </c>
      <c r="AM224">
        <f>IF($Q$224,$M$224*$AE$224*$U$224,0)</f>
        <v/>
      </c>
      <c r="AN224" t="n">
        <v>86.85968819599108</v>
      </c>
      <c r="AO224">
        <f>IF($Q$224,$M$224*$AC$224*$Y$224,0)</f>
        <v/>
      </c>
      <c r="AP224" t="n">
        <v>213.8084632516704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0.838133</v>
      </c>
      <c r="AZ224" t="inlineStr">
        <is>
          <t>ok</t>
        </is>
      </c>
      <c r="BA224" t="b">
        <v>1</v>
      </c>
      <c r="BB224" t="inlineStr">
        <is>
          <t>Assets/MachineBrigade/Resources/Data/balance.json: weapons[id=p26_behemoth_main_be152] (lớp B trên 01_chien_dau/Vu_khi)</t>
        </is>
      </c>
      <c r="BC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IF(Vu_khi!$AG$225,INDEX(Bang_danh_noc!$C$2:$C$8,MIN(7,MAX(1,2-(Vu_khi!$L$225-0)+1))),INDEX(Bang_xuyen_giap!$C$2:$C$8,MIN(7,MAX(1,IF($O$225,MAX(1,2-(Vu_khi!$L$225-0)),2-(Vu_khi!$L$225-0))+1))))</f>
        <v/>
      </c>
      <c r="AB225" t="n">
        <v>1.2</v>
      </c>
      <c r="AC225">
        <f>IF(Vu_khi!$AG$225,INDEX(Bang_danh_noc!$C$2:$C$8,MIN(7,MAX(1,2-(Vu_khi!$L$225-2)+1))),INDEX(Bang_xuyen_giap!$C$2:$C$8,MIN(7,MAX(1,IF($O$225,MAX(1,2-(Vu_khi!$L$225-2)),2-(Vu_khi!$L$225-2))+1))))</f>
        <v/>
      </c>
      <c r="AD225" t="n">
        <v>0.85</v>
      </c>
      <c r="AE225">
        <f>IF(Vu_khi!$AG$225,INDEX(Bang_danh_noc!$C$2:$C$8,MIN(7,MAX(1,2-(Vu_khi!$L$225-4)+1))),INDEX(Bang_xuyen_giap!$C$2:$C$8,MIN(7,MAX(1,IF($O$225,MAX(1,2-(Vu_khi!$L$225-4)),2-(Vu_khi!$L$225-4))+1))))</f>
        <v/>
      </c>
      <c r="AF225" t="n">
        <v>0.4</v>
      </c>
      <c r="AG225">
        <f>INDEX(Bang_xuyen_giap!$C$2:$C$8,MIN(7,MAX(1,MAX(1,2-(Vu_khi!$L$225-0))+1)))</f>
        <v/>
      </c>
      <c r="AH225" t="n">
        <v>1</v>
      </c>
      <c r="AI225">
        <f>IF($Q$225,$M$225*$AA$225*$U$225,0)</f>
        <v/>
      </c>
      <c r="AJ225" t="n">
        <v>437.5569735642661</v>
      </c>
      <c r="AK225">
        <f>IF($Q$225,$M$225*$AC$225*$U$225,0)</f>
        <v/>
      </c>
      <c r="AL225" t="n">
        <v>309.9361896080218</v>
      </c>
      <c r="AM225">
        <f>IF($Q$225,$M$225*$AE$225*$U$225,0)</f>
        <v/>
      </c>
      <c r="AN225" t="n">
        <v>145.852324521422</v>
      </c>
      <c r="AO225">
        <f>IF($Q$225,$M$225*$AC$225*$Y$225,0)</f>
        <v/>
      </c>
      <c r="AP225" t="n">
        <v>495.897903372835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</v>
      </c>
      <c r="AZ225" t="inlineStr">
        <is>
          <t>LECH_HO</t>
        </is>
      </c>
      <c r="BA225" t="b">
        <v>0</v>
      </c>
      <c r="BB225" t="inlineStr">
        <is>
          <t>Assets/MachineBrigade/Resources/Data/balance.json: weapons[id=p26_behemoth_sec_be_rockets] (lớp B trên 01_chien_dau/Vu_khi)</t>
        </is>
      </c>
      <c r="BC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IF(Vu_khi!$AG$226,INDEX(Bang_danh_noc!$C$2:$C$8,MIN(7,MAX(1,2-(Vu_khi!$L$226-0)+1))),INDEX(Bang_xuyen_giap!$C$2:$C$8,MIN(7,MAX(1,IF($O$226,MAX(1,2-(Vu_khi!$L$226-0)),2-(Vu_khi!$L$226-0))+1))))</f>
        <v/>
      </c>
      <c r="AB226" t="n">
        <v>1.2</v>
      </c>
      <c r="AC226">
        <f>IF(Vu_khi!$AG$226,INDEX(Bang_danh_noc!$C$2:$C$8,MIN(7,MAX(1,2-(Vu_khi!$L$226-2)+1))),INDEX(Bang_xuyen_giap!$C$2:$C$8,MIN(7,MAX(1,IF($O$226,MAX(1,2-(Vu_khi!$L$226-2)),2-(Vu_khi!$L$226-2))+1))))</f>
        <v/>
      </c>
      <c r="AD226" t="n">
        <v>1.2</v>
      </c>
      <c r="AE226">
        <f>IF(Vu_khi!$AG$226,INDEX(Bang_danh_noc!$C$2:$C$8,MIN(7,MAX(1,2-(Vu_khi!$L$226-4)+1))),INDEX(Bang_xuyen_giap!$C$2:$C$8,MIN(7,MAX(1,IF($O$226,MAX(1,2-(Vu_khi!$L$226-4)),2-(Vu_khi!$L$226-4))+1))))</f>
        <v/>
      </c>
      <c r="AF226" t="n">
        <v>1</v>
      </c>
      <c r="AG226">
        <f>INDEX(Bang_xuyen_giap!$C$2:$C$8,MIN(7,MAX(1,MAX(1,2-(Vu_khi!$L$226-0))+1)))</f>
        <v/>
      </c>
      <c r="AH226" t="n">
        <v>1</v>
      </c>
      <c r="AI226">
        <f>IF($Q$226,$M$226*$AA$226*$U$226,0)</f>
        <v/>
      </c>
      <c r="AJ226" t="n">
        <v>49.91999999999999</v>
      </c>
      <c r="AK226">
        <f>IF($Q$226,$M$226*$AC$226*$U$226,0)</f>
        <v/>
      </c>
      <c r="AL226" t="n">
        <v>49.91999999999999</v>
      </c>
      <c r="AM226">
        <f>IF($Q$226,$M$226*$AE$226*$U$226,0)</f>
        <v/>
      </c>
      <c r="AN226" t="n">
        <v>41.59999999999999</v>
      </c>
      <c r="AO226">
        <f>IF($Q$226,$M$226*$AC$226*$Y$226,0)</f>
        <v/>
      </c>
      <c r="AP226" t="n">
        <v>29.12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0.7</v>
      </c>
      <c r="AZ226" t="inlineStr">
        <is>
          <t>LECH_HO</t>
        </is>
      </c>
      <c r="BA226" t="b">
        <v>0</v>
      </c>
      <c r="BB226" t="inlineStr">
        <is>
          <t>Assets/MachineBrigade/Resources/Data/balance.json: weapons[id=p26_behemoth_tiny_be120] (lớp B trên 01_chien_dau/Vu_khi)</t>
        </is>
      </c>
      <c r="BC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IF(Vu_khi!$AG$227,INDEX(Bang_danh_noc!$C$2:$C$8,MIN(7,MAX(1,2-(Vu_khi!$L$227-0)+1))),INDEX(Bang_xuyen_giap!$C$2:$C$8,MIN(7,MAX(1,IF($O$227,MAX(1,2-(Vu_khi!$L$227-0)),2-(Vu_khi!$L$227-0))+1))))</f>
        <v/>
      </c>
      <c r="AB227" t="n">
        <v>1.2</v>
      </c>
      <c r="AC227">
        <f>IF(Vu_khi!$AG$227,INDEX(Bang_danh_noc!$C$2:$C$8,MIN(7,MAX(1,2-(Vu_khi!$L$227-2)+1))),INDEX(Bang_xuyen_giap!$C$2:$C$8,MIN(7,MAX(1,IF($O$227,MAX(1,2-(Vu_khi!$L$227-2)),2-(Vu_khi!$L$227-2))+1))))</f>
        <v/>
      </c>
      <c r="AD227" t="n">
        <v>1.2</v>
      </c>
      <c r="AE227">
        <f>IF(Vu_khi!$AG$227,INDEX(Bang_danh_noc!$C$2:$C$8,MIN(7,MAX(1,2-(Vu_khi!$L$227-4)+1))),INDEX(Bang_xuyen_giap!$C$2:$C$8,MIN(7,MAX(1,IF($O$227,MAX(1,2-(Vu_khi!$L$227-4)),2-(Vu_khi!$L$227-4))+1))))</f>
        <v/>
      </c>
      <c r="AF227" t="n">
        <v>0.85</v>
      </c>
      <c r="AG227">
        <f>INDEX(Bang_xuyen_giap!$C$2:$C$8,MIN(7,MAX(1,MAX(1,2-(Vu_khi!$L$227-0))+1)))</f>
        <v/>
      </c>
      <c r="AH227" t="n">
        <v>1</v>
      </c>
      <c r="AI227">
        <f>IF($Q$227,$M$227*$AA$227*$U$227,0)</f>
        <v/>
      </c>
      <c r="AJ227" t="n">
        <v>17.94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12.7075</v>
      </c>
      <c r="AO227">
        <f>IF($Q$227,$M$227*$AC$227*$Y$227,0)</f>
        <v/>
      </c>
      <c r="AP227" t="n">
        <v>6.210000000000001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1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weapons[id=p26_behemoth_tiny_boss_missiles] (lớp B trên 01_chien_dau/Vu_khi)</t>
        </is>
      </c>
      <c r="BC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IF(Vu_khi!$AG$228,INDEX(Bang_danh_noc!$C$2:$C$8,MIN(7,MAX(1,2-(Vu_khi!$L$228-0)+1))),INDEX(Bang_xuyen_giap!$C$2:$C$8,MIN(7,MAX(1,IF($O$228,MAX(1,2-(Vu_khi!$L$228-0)),2-(Vu_khi!$L$228-0))+1))))</f>
        <v/>
      </c>
      <c r="AB228" t="n">
        <v>1.2</v>
      </c>
      <c r="AC228">
        <f>IF(Vu_khi!$AG$228,INDEX(Bang_danh_noc!$C$2:$C$8,MIN(7,MAX(1,2-(Vu_khi!$L$228-2)+1))),INDEX(Bang_xuyen_giap!$C$2:$C$8,MIN(7,MAX(1,IF($O$228,MAX(1,2-(Vu_khi!$L$228-2)),2-(Vu_khi!$L$228-2))+1))))</f>
        <v/>
      </c>
      <c r="AD228" t="n">
        <v>1.2</v>
      </c>
      <c r="AE228">
        <f>IF(Vu_khi!$AG$228,INDEX(Bang_danh_noc!$C$2:$C$8,MIN(7,MAX(1,2-(Vu_khi!$L$228-4)+1))),INDEX(Bang_xuyen_giap!$C$2:$C$8,MIN(7,MAX(1,IF($O$228,MAX(1,2-(Vu_khi!$L$228-4)),2-(Vu_khi!$L$228-4))+1))))</f>
        <v/>
      </c>
      <c r="AF228" t="n">
        <v>1</v>
      </c>
      <c r="AG228">
        <f>INDEX(Bang_xuyen_giap!$C$2:$C$8,MIN(7,MAX(1,MAX(1,2-(Vu_khi!$L$228-0))+1)))</f>
        <v/>
      </c>
      <c r="AH228" t="n">
        <v>1</v>
      </c>
      <c r="AI228">
        <f>IF($Q$228,$M$228*$AA$228*$U$228,0)</f>
        <v/>
      </c>
      <c r="AJ228" t="n">
        <v>34.14432989690722</v>
      </c>
      <c r="AK228">
        <f>IF($Q$228,$M$228*$AC$228*$U$228,0)</f>
        <v/>
      </c>
      <c r="AL228" t="n">
        <v>34.14432989690722</v>
      </c>
      <c r="AM228">
        <f>IF($Q$228,$M$228*$AE$228*$U$228,0)</f>
        <v/>
      </c>
      <c r="AN228" t="n">
        <v>28.45360824742268</v>
      </c>
      <c r="AO228">
        <f>IF($Q$228,$M$228*$AC$228*$Y$228,0)</f>
        <v/>
      </c>
      <c r="AP228" t="n">
        <v>19.91752577319588</v>
      </c>
      <c r="AQ228">
        <f>IF($S$228,$M$228*$AG$228*$W$228,0)</f>
        <v/>
      </c>
      <c r="AR228" t="n">
        <v>0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3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0.9053330000000001</v>
      </c>
      <c r="AZ228" t="inlineStr">
        <is>
          <t>LECH_HO</t>
        </is>
      </c>
      <c r="BA228" t="b">
        <v>0</v>
      </c>
      <c r="BB228" t="inlineStr">
        <is>
          <t>Assets/MachineBrigade/Resources/Data/balance.json: weapons[id=p26_behemoth_tiny_kornet_twin] (lớp B trên 01_chien_dau/Vu_khi)</t>
        </is>
      </c>
      <c r="BC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IF(Vu_khi!$AG$229,INDEX(Bang_danh_noc!$C$2:$C$8,MIN(7,MAX(1,2-(Vu_khi!$L$229-0)+1))),INDEX(Bang_xuyen_giap!$C$2:$C$8,MIN(7,MAX(1,IF($O$229,MAX(1,2-(Vu_khi!$L$229-0)),2-(Vu_khi!$L$229-0))+1))))</f>
        <v/>
      </c>
      <c r="AB229" t="n">
        <v>1.2</v>
      </c>
      <c r="AC229">
        <f>IF(Vu_khi!$AG$229,INDEX(Bang_danh_noc!$C$2:$C$8,MIN(7,MAX(1,2-(Vu_khi!$L$229-2)+1))),INDEX(Bang_xuyen_giap!$C$2:$C$8,MIN(7,MAX(1,IF($O$229,MAX(1,2-(Vu_khi!$L$229-2)),2-(Vu_khi!$L$229-2))+1))))</f>
        <v/>
      </c>
      <c r="AD229" t="n">
        <v>1.2</v>
      </c>
      <c r="AE229">
        <f>IF(Vu_khi!$AG$229,INDEX(Bang_danh_noc!$C$2:$C$8,MIN(7,MAX(1,2-(Vu_khi!$L$229-4)+1))),INDEX(Bang_xuyen_giap!$C$2:$C$8,MIN(7,MAX(1,IF($O$229,MAX(1,2-(Vu_khi!$L$229-4)),2-(Vu_khi!$L$229-4))+1))))</f>
        <v/>
      </c>
      <c r="AF229" t="n">
        <v>0.85</v>
      </c>
      <c r="AG229">
        <f>INDEX(Bang_xuyen_giap!$C$2:$C$8,MIN(7,MAX(1,MAX(1,2-(Vu_khi!$L$229-0))+1)))</f>
        <v/>
      </c>
      <c r="AH229" t="n">
        <v>1</v>
      </c>
      <c r="AI229">
        <f>IF($Q$229,$M$229*$AA$229*$U$229,0)</f>
        <v/>
      </c>
      <c r="AJ229" t="n">
        <v>115.2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81.59999999999999</v>
      </c>
      <c r="AO229">
        <f>IF($Q$229,$M$229*$AC$229*$Y$229,0)</f>
        <v/>
      </c>
      <c r="AP229" t="n">
        <v>184.32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2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n">
        <v>2.5</v>
      </c>
      <c r="AZ229" t="inlineStr">
        <is>
          <t>NHANH_QUA;LECH_DOT_1</t>
        </is>
      </c>
      <c r="BA229" t="inlineStr"/>
      <c r="BB229" t="inlineStr">
        <is>
          <t>Assets/MachineBrigade/Resources/Data/balance.json: weapons[id=p26_daedalus_dae57] (lớp B trên 01_chien_dau/Vu_khi)</t>
        </is>
      </c>
      <c r="BC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IF(Vu_khi!$AG$230,INDEX(Bang_danh_noc!$C$2:$C$8,MIN(7,MAX(1,2-(Vu_khi!$L$230-0)+1))),INDEX(Bang_xuyen_giap!$C$2:$C$8,MIN(7,MAX(1,IF($O$230,MAX(1,2-(Vu_khi!$L$230-0)),2-(Vu_khi!$L$230-0))+1))))</f>
        <v/>
      </c>
      <c r="AB230" t="n">
        <v>1.2</v>
      </c>
      <c r="AC230">
        <f>IF(Vu_khi!$AG$230,INDEX(Bang_danh_noc!$C$2:$C$8,MIN(7,MAX(1,2-(Vu_khi!$L$230-2)+1))),INDEX(Bang_xuyen_giap!$C$2:$C$8,MIN(7,MAX(1,IF($O$230,MAX(1,2-(Vu_khi!$L$230-2)),2-(Vu_khi!$L$230-2))+1))))</f>
        <v/>
      </c>
      <c r="AD230" t="n">
        <v>1.2</v>
      </c>
      <c r="AE230">
        <f>IF(Vu_khi!$AG$230,INDEX(Bang_danh_noc!$C$2:$C$8,MIN(7,MAX(1,2-(Vu_khi!$L$230-4)+1))),INDEX(Bang_xuyen_giap!$C$2:$C$8,MIN(7,MAX(1,IF($O$230,MAX(1,2-(Vu_khi!$L$230-4)),2-(Vu_khi!$L$230-4))+1))))</f>
        <v/>
      </c>
      <c r="AF230" t="n">
        <v>0.85</v>
      </c>
      <c r="AG230">
        <f>INDEX(Bang_xuyen_giap!$C$2:$C$8,MIN(7,MAX(1,MAX(1,2-(Vu_khi!$L$230-0))+1)))</f>
        <v/>
      </c>
      <c r="AH230" t="n">
        <v>1</v>
      </c>
      <c r="AI230">
        <f>IF($Q$230,$M$230*$AA$230*$U$230,0)</f>
        <v/>
      </c>
      <c r="AJ230" t="n">
        <v>432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306</v>
      </c>
      <c r="AO230">
        <f>IF($Q$230,$M$230*$AC$230*$Y$230,0)</f>
        <v/>
      </c>
      <c r="AP230" t="n">
        <v>192</v>
      </c>
      <c r="AQ230">
        <f>IF($S$230,$M$230*$AG$230*$W$230,0)</f>
        <v/>
      </c>
      <c r="AR230" t="n">
        <v>0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1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ok</t>
        </is>
      </c>
      <c r="BA230" t="inlineStr"/>
      <c r="BB230" t="inlineStr">
        <is>
          <t>Assets/MachineBrigade/Resources/Data/balance.json: weapons[id=p26_daedalus_dae_laser] (lớp B trên 01_chien_dau/Vu_khi)</t>
        </is>
      </c>
      <c r="BC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IF(Vu_khi!$AG$231,INDEX(Bang_danh_noc!$C$2:$C$8,MIN(7,MAX(1,2-(Vu_khi!$L$231-0)+1))),INDEX(Bang_xuyen_giap!$C$2:$C$8,MIN(7,MAX(1,IF($O$231,MAX(1,2-(Vu_khi!$L$231-0)),2-(Vu_khi!$L$231-0))+1))))</f>
        <v/>
      </c>
      <c r="AB231" t="n">
        <v>1.2</v>
      </c>
      <c r="AC231">
        <f>IF(Vu_khi!$AG$231,INDEX(Bang_danh_noc!$C$2:$C$8,MIN(7,MAX(1,2-(Vu_khi!$L$231-2)+1))),INDEX(Bang_xuyen_giap!$C$2:$C$8,MIN(7,MAX(1,IF($O$231,MAX(1,2-(Vu_khi!$L$231-2)),2-(Vu_khi!$L$231-2))+1))))</f>
        <v/>
      </c>
      <c r="AD231" t="n">
        <v>1.2</v>
      </c>
      <c r="AE231">
        <f>IF(Vu_khi!$AG$231,INDEX(Bang_danh_noc!$C$2:$C$8,MIN(7,MAX(1,2-(Vu_khi!$L$231-4)+1))),INDEX(Bang_xuyen_giap!$C$2:$C$8,MIN(7,MAX(1,IF($O$231,MAX(1,2-(Vu_khi!$L$231-4)),2-(Vu_khi!$L$231-4))+1))))</f>
        <v/>
      </c>
      <c r="AF231" t="n">
        <v>0.85</v>
      </c>
      <c r="AG231">
        <f>INDEX(Bang_xuyen_giap!$C$2:$C$8,MIN(7,MAX(1,MAX(1,2-(Vu_khi!$L$231-0))+1)))</f>
        <v/>
      </c>
      <c r="AH231" t="n">
        <v>1</v>
      </c>
      <c r="AI231">
        <f>IF($Q$231,$M$231*$AA$231*$U$231,0)</f>
        <v/>
      </c>
      <c r="AJ231" t="n">
        <v>178.2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126.225</v>
      </c>
      <c r="AO231">
        <f>IF($Q$231,$M$231*$AC$231*$Y$231,0)</f>
        <v/>
      </c>
      <c r="AP231" t="n">
        <v>79.2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b">
        <v>1</v>
      </c>
      <c r="BB231" t="inlineStr">
        <is>
          <t>Assets/MachineBrigade/Resources/Data/balance.json: weapons[id=p26_daedalus_direct_dae_laser] (lớp B trên 01_chien_dau/Vu_khi)</t>
        </is>
      </c>
      <c r="BC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IF(Vu_khi!$AG$232,INDEX(Bang_danh_noc!$C$2:$C$8,MIN(7,MAX(1,2-(Vu_khi!$L$232-0)+1))),INDEX(Bang_xuyen_giap!$C$2:$C$8,MIN(7,MAX(1,IF($O$232,MAX(1,2-(Vu_khi!$L$232-0)),2-(Vu_khi!$L$232-0))+1))))</f>
        <v/>
      </c>
      <c r="AB232" t="n">
        <v>1.2</v>
      </c>
      <c r="AC232">
        <f>IF(Vu_khi!$AG$232,INDEX(Bang_danh_noc!$C$2:$C$8,MIN(7,MAX(1,2-(Vu_khi!$L$232-2)+1))),INDEX(Bang_xuyen_giap!$C$2:$C$8,MIN(7,MAX(1,IF($O$232,MAX(1,2-(Vu_khi!$L$232-2)),2-(Vu_khi!$L$232-2))+1))))</f>
        <v/>
      </c>
      <c r="AD232" t="n">
        <v>1.2</v>
      </c>
      <c r="AE232">
        <f>IF(Vu_khi!$AG$232,INDEX(Bang_danh_noc!$C$2:$C$8,MIN(7,MAX(1,2-(Vu_khi!$L$232-4)+1))),INDEX(Bang_xuyen_giap!$C$2:$C$8,MIN(7,MAX(1,IF($O$232,MAX(1,2-(Vu_khi!$L$232-4)),2-(Vu_khi!$L$232-4))+1))))</f>
        <v/>
      </c>
      <c r="AF232" t="n">
        <v>0.85</v>
      </c>
      <c r="AG232">
        <f>INDEX(Bang_xuyen_giap!$C$2:$C$8,MIN(7,MAX(1,MAX(1,2-(Vu_khi!$L$232-0))+1)))</f>
        <v/>
      </c>
      <c r="AH232" t="n">
        <v>1</v>
      </c>
      <c r="AI232">
        <f>IF($Q$232,$M$232*$AA$232*$U$232,0)</f>
        <v/>
      </c>
      <c r="AJ232" t="n">
        <v>268.5314685314685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190.2097902097902</v>
      </c>
      <c r="AO232">
        <f>IF($Q$232,$M$232*$AC$232*$Y$232,0)</f>
        <v/>
      </c>
      <c r="AP232" t="n">
        <v>429.6503496503497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2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n">
        <v>2.145</v>
      </c>
      <c r="AZ232" t="inlineStr">
        <is>
          <t>ok</t>
        </is>
      </c>
      <c r="BA232" t="inlineStr"/>
      <c r="BB232" t="inlineStr">
        <is>
          <t>Assets/MachineBrigade/Resources/Data/balance.json: weapons[id=p26_daedalus_sec_dae57] (lớp B trên 01_chien_dau/Vu_khi)</t>
        </is>
      </c>
      <c r="BC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IF(Vu_khi!$AG$233,INDEX(Bang_danh_noc!$C$2:$C$8,MIN(7,MAX(1,2-(Vu_khi!$L$233-0)+1))),INDEX(Bang_xuyen_giap!$C$2:$C$8,MIN(7,MAX(1,IF($O$233,MAX(1,2-(Vu_khi!$L$233-0)),2-(Vu_khi!$L$233-0))+1))))</f>
        <v/>
      </c>
      <c r="AB233" t="n">
        <v>1.2</v>
      </c>
      <c r="AC233">
        <f>IF(Vu_khi!$AG$233,INDEX(Bang_danh_noc!$C$2:$C$8,MIN(7,MAX(1,2-(Vu_khi!$L$233-2)+1))),INDEX(Bang_xuyen_giap!$C$2:$C$8,MIN(7,MAX(1,IF($O$233,MAX(1,2-(Vu_khi!$L$233-2)),2-(Vu_khi!$L$233-2))+1))))</f>
        <v/>
      </c>
      <c r="AD233" t="n">
        <v>0.85</v>
      </c>
      <c r="AE233">
        <f>IF(Vu_khi!$AG$233,INDEX(Bang_danh_noc!$C$2:$C$8,MIN(7,MAX(1,2-(Vu_khi!$L$233-4)+1))),INDEX(Bang_xuyen_giap!$C$2:$C$8,MIN(7,MAX(1,IF($O$233,MAX(1,2-(Vu_khi!$L$233-4)),2-(Vu_khi!$L$233-4))+1))))</f>
        <v/>
      </c>
      <c r="AF233" t="n">
        <v>0.4</v>
      </c>
      <c r="AG233">
        <f>INDEX(Bang_xuyen_giap!$C$2:$C$8,MIN(7,MAX(1,MAX(1,2-(Vu_khi!$L$233-0))+1)))</f>
        <v/>
      </c>
      <c r="AH233" t="n">
        <v>1</v>
      </c>
      <c r="AI233">
        <f>IF($Q$233,$M$233*$AA$233*$U$233,0)</f>
        <v/>
      </c>
      <c r="AJ233" t="n">
        <v>130.1204819277108</v>
      </c>
      <c r="AK233">
        <f>IF($Q$233,$M$233*$AC$233*$U$233,0)</f>
        <v/>
      </c>
      <c r="AL233" t="n">
        <v>92.16867469879517</v>
      </c>
      <c r="AM233">
        <f>IF($Q$233,$M$233*$AE$233*$U$233,0)</f>
        <v/>
      </c>
      <c r="AN233" t="n">
        <v>43.37349397590361</v>
      </c>
      <c r="AO233">
        <f>IF($Q$233,$M$233*$AC$233*$Y$233,0)</f>
        <v/>
      </c>
      <c r="AP233" t="n">
        <v>53.76506024096385</v>
      </c>
      <c r="AQ233">
        <f>IF($S$233,$M$233*$AG$233*$W$233,0)</f>
        <v/>
      </c>
      <c r="AR233" t="n">
        <v>27.10843373493976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1.826</v>
      </c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weapons[id=p26_icarus_close_autocannon_40] (lớp B trên 01_chien_dau/Vu_khi)</t>
        </is>
      </c>
      <c r="BC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IF(Vu_khi!$AG$234,INDEX(Bang_danh_noc!$C$2:$C$8,MIN(7,MAX(1,2-(Vu_khi!$L$234-0)+1))),INDEX(Bang_xuyen_giap!$C$2:$C$8,MIN(7,MAX(1,IF($O$234,MAX(1,2-(Vu_khi!$L$234-0)),2-(Vu_khi!$L$234-0))+1))))</f>
        <v/>
      </c>
      <c r="AB234" t="n">
        <v>1.2</v>
      </c>
      <c r="AC234">
        <f>IF(Vu_khi!$AG$234,INDEX(Bang_danh_noc!$C$2:$C$8,MIN(7,MAX(1,2-(Vu_khi!$L$234-2)+1))),INDEX(Bang_xuyen_giap!$C$2:$C$8,MIN(7,MAX(1,IF($O$234,MAX(1,2-(Vu_khi!$L$234-2)),2-(Vu_khi!$L$234-2))+1))))</f>
        <v/>
      </c>
      <c r="AD234" t="n">
        <v>1.2</v>
      </c>
      <c r="AE234">
        <f>IF(Vu_khi!$AG$234,INDEX(Bang_danh_noc!$C$2:$C$8,MIN(7,MAX(1,2-(Vu_khi!$L$234-4)+1))),INDEX(Bang_xuyen_giap!$C$2:$C$8,MIN(7,MAX(1,IF($O$234,MAX(1,2-(Vu_khi!$L$234-4)),2-(Vu_khi!$L$234-4))+1))))</f>
        <v/>
      </c>
      <c r="AF234" t="n">
        <v>0.85</v>
      </c>
      <c r="AG234">
        <f>INDEX(Bang_xuyen_giap!$C$2:$C$8,MIN(7,MAX(1,MAX(1,2-(Vu_khi!$L$234-0))+1)))</f>
        <v/>
      </c>
      <c r="AH234" t="n">
        <v>1</v>
      </c>
      <c r="AI234">
        <f>IF($Q$234,$M$234*$AA$234*$U$234,0)</f>
        <v/>
      </c>
      <c r="AJ234" t="n">
        <v>172.8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122.4</v>
      </c>
      <c r="AO234">
        <f>IF($Q$234,$M$234*$AC$234*$Y$234,0)</f>
        <v/>
      </c>
      <c r="AP234" t="n">
        <v>76.8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1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inlineStr"/>
      <c r="AZ234" t="inlineStr">
        <is>
          <t>ok</t>
        </is>
      </c>
      <c r="BA234" t="b">
        <v>1</v>
      </c>
      <c r="BB234" t="inlineStr">
        <is>
          <t>Assets/MachineBrigade/Resources/Data/balance.json: weapons[id=p26_icarus_direct_ic_laser] (lớp B trên 01_chien_dau/Vu_khi)</t>
        </is>
      </c>
      <c r="BC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IF(Vu_khi!$AG$235,INDEX(Bang_danh_noc!$C$2:$C$8,MIN(7,MAX(1,2-(Vu_khi!$L$235-0)+1))),INDEX(Bang_xuyen_giap!$C$2:$C$8,MIN(7,MAX(1,IF($O$235,MAX(1,2-(Vu_khi!$L$235-0)),2-(Vu_khi!$L$235-0))+1))))</f>
        <v/>
      </c>
      <c r="AB235" t="n">
        <v>1.2</v>
      </c>
      <c r="AC235">
        <f>IF(Vu_khi!$AG$235,INDEX(Bang_danh_noc!$C$2:$C$8,MIN(7,MAX(1,2-(Vu_khi!$L$235-2)+1))),INDEX(Bang_xuyen_giap!$C$2:$C$8,MIN(7,MAX(1,IF($O$235,MAX(1,2-(Vu_khi!$L$235-2)),2-(Vu_khi!$L$235-2))+1))))</f>
        <v/>
      </c>
      <c r="AD235" t="n">
        <v>1.2</v>
      </c>
      <c r="AE235">
        <f>IF(Vu_khi!$AG$235,INDEX(Bang_danh_noc!$C$2:$C$8,MIN(7,MAX(1,2-(Vu_khi!$L$235-4)+1))),INDEX(Bang_xuyen_giap!$C$2:$C$8,MIN(7,MAX(1,IF($O$235,MAX(1,2-(Vu_khi!$L$235-4)),2-(Vu_khi!$L$235-4))+1))))</f>
        <v/>
      </c>
      <c r="AF235" t="n">
        <v>1</v>
      </c>
      <c r="AG235">
        <f>INDEX(Bang_xuyen_giap!$C$2:$C$8,MIN(7,MAX(1,MAX(1,2-(Vu_khi!$L$235-0))+1)))</f>
        <v/>
      </c>
      <c r="AH235" t="n">
        <v>1</v>
      </c>
      <c r="AI235">
        <f>IF($Q$235,$M$235*$AA$235*$U$235,0)</f>
        <v/>
      </c>
      <c r="AJ235" t="n">
        <v>1036.8</v>
      </c>
      <c r="AK235">
        <f>IF($Q$235,$M$235*$AC$235*$U$235,0)</f>
        <v/>
      </c>
      <c r="AL235" t="n">
        <v>1036.8</v>
      </c>
      <c r="AM235">
        <f>IF($Q$235,$M$235*$AE$235*$U$235,0)</f>
        <v/>
      </c>
      <c r="AN235" t="n">
        <v>864</v>
      </c>
      <c r="AO235">
        <f>IF($Q$235,$M$235*$AC$235*$Y$235,0)</f>
        <v/>
      </c>
      <c r="AP235" t="n">
        <v>604.8</v>
      </c>
      <c r="AQ235">
        <f>IF($S$235,$M$235*$AG$235*$W$235,0)</f>
        <v/>
      </c>
      <c r="AR235" t="n">
        <v>216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AY235" t="inlineStr"/>
      <c r="AZ235" t="inlineStr">
        <is>
          <t>LECH_DOT_1</t>
        </is>
      </c>
      <c r="BA235" t="inlineStr"/>
      <c r="BB235" t="inlineStr">
        <is>
          <t>Assets/MachineBrigade/Resources/Data/balance.json: weapons[id=p26_icarus_ic_coil] (lớp B trên 01_chien_dau/Vu_khi)</t>
        </is>
      </c>
      <c r="BC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IF(Vu_khi!$AG$236,INDEX(Bang_danh_noc!$C$2:$C$8,MIN(7,MAX(1,2-(Vu_khi!$L$236-0)+1))),INDEX(Bang_xuyen_giap!$C$2:$C$8,MIN(7,MAX(1,IF($O$236,MAX(1,2-(Vu_khi!$L$236-0)),2-(Vu_khi!$L$236-0))+1))))</f>
        <v/>
      </c>
      <c r="AB236" t="n">
        <v>1.2</v>
      </c>
      <c r="AC236">
        <f>IF(Vu_khi!$AG$236,INDEX(Bang_danh_noc!$C$2:$C$8,MIN(7,MAX(1,2-(Vu_khi!$L$236-2)+1))),INDEX(Bang_xuyen_giap!$C$2:$C$8,MIN(7,MAX(1,IF($O$236,MAX(1,2-(Vu_khi!$L$236-2)),2-(Vu_khi!$L$236-2))+1))))</f>
        <v/>
      </c>
      <c r="AD236" t="n">
        <v>1.2</v>
      </c>
      <c r="AE236">
        <f>IF(Vu_khi!$AG$236,INDEX(Bang_danh_noc!$C$2:$C$8,MIN(7,MAX(1,2-(Vu_khi!$L$236-4)+1))),INDEX(Bang_xuyen_giap!$C$2:$C$8,MIN(7,MAX(1,IF($O$236,MAX(1,2-(Vu_khi!$L$236-4)),2-(Vu_khi!$L$236-4))+1))))</f>
        <v/>
      </c>
      <c r="AF236" t="n">
        <v>0.85</v>
      </c>
      <c r="AG236">
        <f>INDEX(Bang_xuyen_giap!$C$2:$C$8,MIN(7,MAX(1,MAX(1,2-(Vu_khi!$L$236-0))+1)))</f>
        <v/>
      </c>
      <c r="AH236" t="n">
        <v>1</v>
      </c>
      <c r="AI236">
        <f>IF($Q$236,$M$236*$AA$236*$U$236,0)</f>
        <v/>
      </c>
      <c r="AJ236" t="n">
        <v>432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306</v>
      </c>
      <c r="AO236">
        <f>IF($Q$236,$M$236*$AC$236*$Y$236,0)</f>
        <v/>
      </c>
      <c r="AP236" t="n">
        <v>192</v>
      </c>
      <c r="AQ236">
        <f>IF($S$236,$M$236*$AG$236*$W$236,0)</f>
        <v/>
      </c>
      <c r="AR236" t="n">
        <v>0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1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inlineStr"/>
      <c r="AZ236" t="inlineStr">
        <is>
          <t>ok</t>
        </is>
      </c>
      <c r="BA236" t="inlineStr"/>
      <c r="BB236" t="inlineStr">
        <is>
          <t>Assets/MachineBrigade/Resources/Data/balance.json: weapons[id=p26_icarus_ic_laser] (lớp B trên 01_chien_dau/Vu_khi)</t>
        </is>
      </c>
      <c r="BC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IF(Vu_khi!$AG$237,INDEX(Bang_danh_noc!$C$2:$C$8,MIN(7,MAX(1,2-(Vu_khi!$L$237-0)+1))),INDEX(Bang_xuyen_giap!$C$2:$C$8,MIN(7,MAX(1,IF($O$237,MAX(1,2-(Vu_khi!$L$237-0)),2-(Vu_khi!$L$237-0))+1))))</f>
        <v/>
      </c>
      <c r="AB237" t="n">
        <v>1.2</v>
      </c>
      <c r="AC237">
        <f>IF(Vu_khi!$AG$237,INDEX(Bang_danh_noc!$C$2:$C$8,MIN(7,MAX(1,2-(Vu_khi!$L$237-2)+1))),INDEX(Bang_xuyen_giap!$C$2:$C$8,MIN(7,MAX(1,IF($O$237,MAX(1,2-(Vu_khi!$L$237-2)),2-(Vu_khi!$L$237-2))+1))))</f>
        <v/>
      </c>
      <c r="AD237" t="n">
        <v>1.2</v>
      </c>
      <c r="AE237">
        <f>IF(Vu_khi!$AG$237,INDEX(Bang_danh_noc!$C$2:$C$8,MIN(7,MAX(1,2-(Vu_khi!$L$237-4)+1))),INDEX(Bang_xuyen_giap!$C$2:$C$8,MIN(7,MAX(1,IF($O$237,MAX(1,2-(Vu_khi!$L$237-4)),2-(Vu_khi!$L$237-4))+1))))</f>
        <v/>
      </c>
      <c r="AF237" t="n">
        <v>1</v>
      </c>
      <c r="AG237">
        <f>INDEX(Bang_xuyen_giap!$C$2:$C$8,MIN(7,MAX(1,MAX(1,2-(Vu_khi!$L$237-0))+1)))</f>
        <v/>
      </c>
      <c r="AH237" t="n">
        <v>1</v>
      </c>
      <c r="AI237">
        <f>IF($Q$237,$M$237*$AA$237*$U$237,0)</f>
        <v/>
      </c>
      <c r="AJ237" t="n">
        <v>432</v>
      </c>
      <c r="AK237">
        <f>IF($Q$237,$M$237*$AC$237*$U$237,0)</f>
        <v/>
      </c>
      <c r="AL237" t="n">
        <v>432</v>
      </c>
      <c r="AM237">
        <f>IF($Q$237,$M$237*$AE$237*$U$237,0)</f>
        <v/>
      </c>
      <c r="AN237" t="n">
        <v>360</v>
      </c>
      <c r="AO237">
        <f>IF($Q$237,$M$237*$AC$237*$Y$237,0)</f>
        <v/>
      </c>
      <c r="AP237" t="n">
        <v>252</v>
      </c>
      <c r="AQ237">
        <f>IF($S$237,$M$237*$AG$237*$W$237,0)</f>
        <v/>
      </c>
      <c r="AR237" t="n">
        <v>90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3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inlineStr"/>
      <c r="AZ237" t="inlineStr">
        <is>
          <t>ok</t>
        </is>
      </c>
      <c r="BA237" t="b">
        <v>1</v>
      </c>
      <c r="BB237" t="inlineStr">
        <is>
          <t>Assets/MachineBrigade/Resources/Data/balance.json: weapons[id=p26_icarus_main_ic_coil] (lớp B trên 01_chien_dau/Vu_khi)</t>
        </is>
      </c>
      <c r="BC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IF(Vu_khi!$AG$238,INDEX(Bang_danh_noc!$C$2:$C$8,MIN(7,MAX(1,2-(Vu_khi!$L$238-0)+1))),INDEX(Bang_xuyen_giap!$C$2:$C$8,MIN(7,MAX(1,IF($O$238,MAX(1,2-(Vu_khi!$L$238-0)),2-(Vu_khi!$L$238-0))+1))))</f>
        <v/>
      </c>
      <c r="AB238" t="n">
        <v>1.2</v>
      </c>
      <c r="AC238">
        <f>IF(Vu_khi!$AG$238,INDEX(Bang_danh_noc!$C$2:$C$8,MIN(7,MAX(1,2-(Vu_khi!$L$238-2)+1))),INDEX(Bang_xuyen_giap!$C$2:$C$8,MIN(7,MAX(1,IF($O$238,MAX(1,2-(Vu_khi!$L$238-2)),2-(Vu_khi!$L$238-2))+1))))</f>
        <v/>
      </c>
      <c r="AD238" t="n">
        <v>1.2</v>
      </c>
      <c r="AE238">
        <f>IF(Vu_khi!$AG$238,INDEX(Bang_danh_noc!$C$2:$C$8,MIN(7,MAX(1,2-(Vu_khi!$L$238-4)+1))),INDEX(Bang_xuyen_giap!$C$2:$C$8,MIN(7,MAX(1,IF($O$238,MAX(1,2-(Vu_khi!$L$238-4)),2-(Vu_khi!$L$238-4))+1))))</f>
        <v/>
      </c>
      <c r="AF238" t="n">
        <v>0.85</v>
      </c>
      <c r="AG238">
        <f>INDEX(Bang_xuyen_giap!$C$2:$C$8,MIN(7,MAX(1,MAX(1,2-(Vu_khi!$L$238-0))+1)))</f>
        <v/>
      </c>
      <c r="AH238" t="n">
        <v>1</v>
      </c>
      <c r="AI238">
        <f>IF($Q$238,$M$238*$AA$238*$U$238,0)</f>
        <v/>
      </c>
      <c r="AJ238" t="n">
        <v>432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306</v>
      </c>
      <c r="AO238">
        <f>IF($Q$238,$M$238*$AC$238*$Y$238,0)</f>
        <v/>
      </c>
      <c r="AP238" t="n">
        <v>192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1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inlineStr"/>
      <c r="AZ238" t="inlineStr">
        <is>
          <t>ok</t>
        </is>
      </c>
      <c r="BA238" t="b">
        <v>1</v>
      </c>
      <c r="BB238" t="inlineStr">
        <is>
          <t>Assets/MachineBrigade/Resources/Data/balance.json: weapons[id=p26_icarus_sec_orbital_laser] (lớp B trên 01_chien_dau/Vu_khi)</t>
        </is>
      </c>
      <c r="BC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IF(Vu_khi!$AG$239,INDEX(Bang_danh_noc!$C$2:$C$8,MIN(7,MAX(1,2-(Vu_khi!$L$239-0)+1))),INDEX(Bang_xuyen_giap!$C$2:$C$8,MIN(7,MAX(1,IF($O$239,MAX(1,2-(Vu_khi!$L$239-0)),2-(Vu_khi!$L$239-0))+1))))</f>
        <v/>
      </c>
      <c r="AB239" t="n">
        <v>1.2</v>
      </c>
      <c r="AC239">
        <f>IF(Vu_khi!$AG$239,INDEX(Bang_danh_noc!$C$2:$C$8,MIN(7,MAX(1,2-(Vu_khi!$L$239-2)+1))),INDEX(Bang_xuyen_giap!$C$2:$C$8,MIN(7,MAX(1,IF($O$239,MAX(1,2-(Vu_khi!$L$239-2)),2-(Vu_khi!$L$239-2))+1))))</f>
        <v/>
      </c>
      <c r="AD239" t="n">
        <v>1.2</v>
      </c>
      <c r="AE239">
        <f>IF(Vu_khi!$AG$239,INDEX(Bang_danh_noc!$C$2:$C$8,MIN(7,MAX(1,2-(Vu_khi!$L$239-4)+1))),INDEX(Bang_xuyen_giap!$C$2:$C$8,MIN(7,MAX(1,IF($O$239,MAX(1,2-(Vu_khi!$L$239-4)),2-(Vu_khi!$L$239-4))+1))))</f>
        <v/>
      </c>
      <c r="AF239" t="n">
        <v>1</v>
      </c>
      <c r="AG239">
        <f>INDEX(Bang_xuyen_giap!$C$2:$C$8,MIN(7,MAX(1,MAX(1,2-(Vu_khi!$L$239-0))+1)))</f>
        <v/>
      </c>
      <c r="AH239" t="n">
        <v>1</v>
      </c>
      <c r="AI239">
        <f>IF($Q$239,$M$239*$AA$239*$U$239,0)</f>
        <v/>
      </c>
      <c r="AJ239" t="n">
        <v>76.8</v>
      </c>
      <c r="AK239">
        <f>IF($Q$239,$M$239*$AC$239*$U$239,0)</f>
        <v/>
      </c>
      <c r="AL239" t="n">
        <v>76.8</v>
      </c>
      <c r="AM239">
        <f>IF($Q$239,$M$239*$AE$239*$U$239,0)</f>
        <v/>
      </c>
      <c r="AN239" t="n">
        <v>64</v>
      </c>
      <c r="AO239">
        <f>IF($Q$239,$M$239*$AC$239*$Y$239,0)</f>
        <v/>
      </c>
      <c r="AP239" t="n">
        <v>44.8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weapons[id=p26_ixion_125] (lớp B trên 01_chien_dau/Vu_khi)</t>
        </is>
      </c>
      <c r="BC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IF(Vu_khi!$AG$240,INDEX(Bang_danh_noc!$C$2:$C$8,MIN(7,MAX(1,2-(Vu_khi!$L$240-0)+1))),INDEX(Bang_xuyen_giap!$C$2:$C$8,MIN(7,MAX(1,IF($O$240,MAX(1,2-(Vu_khi!$L$240-0)),2-(Vu_khi!$L$240-0))+1))))</f>
        <v/>
      </c>
      <c r="AB240" t="n">
        <v>1.2</v>
      </c>
      <c r="AC240">
        <f>IF(Vu_khi!$AG$240,INDEX(Bang_danh_noc!$C$2:$C$8,MIN(7,MAX(1,2-(Vu_khi!$L$240-2)+1))),INDEX(Bang_xuyen_giap!$C$2:$C$8,MIN(7,MAX(1,IF($O$240,MAX(1,2-(Vu_khi!$L$240-2)),2-(Vu_khi!$L$240-2))+1))))</f>
        <v/>
      </c>
      <c r="AD240" t="n">
        <v>1</v>
      </c>
      <c r="AE240">
        <f>IF(Vu_khi!$AG$240,INDEX(Bang_danh_noc!$C$2:$C$8,MIN(7,MAX(1,2-(Vu_khi!$L$240-4)+1))),INDEX(Bang_xuyen_giap!$C$2:$C$8,MIN(7,MAX(1,IF($O$240,MAX(1,2-(Vu_khi!$L$240-4)),2-(Vu_khi!$L$240-4))+1))))</f>
        <v/>
      </c>
      <c r="AF240" t="n">
        <v>0.65</v>
      </c>
      <c r="AG240">
        <f>INDEX(Bang_xuyen_giap!$C$2:$C$8,MIN(7,MAX(1,MAX(1,2-(Vu_khi!$L$240-0))+1)))</f>
        <v/>
      </c>
      <c r="AH240" t="n">
        <v>1</v>
      </c>
      <c r="AI240">
        <f>IF($Q$240,$M$240*$AA$240*$U$240,0)</f>
        <v/>
      </c>
      <c r="AJ240" t="n">
        <v>64.01600000000001</v>
      </c>
      <c r="AK240">
        <f>IF($Q$240,$M$240*$AC$240*$U$240,0)</f>
        <v/>
      </c>
      <c r="AL240" t="n">
        <v>53.34666666666667</v>
      </c>
      <c r="AM240">
        <f>IF($Q$240,$M$240*$AE$240*$U$240,0)</f>
        <v/>
      </c>
      <c r="AN240" t="n">
        <v>34.67533333333333</v>
      </c>
      <c r="AO240">
        <f>IF($Q$240,$M$240*$AC$240*$Y$240,0)</f>
        <v/>
      </c>
      <c r="AP240" t="n">
        <v>85.35466666666667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0</v>
      </c>
      <c r="AU240">
        <f>IF(AND($B$240&lt;0,$AS$240),4,$B$240)</f>
        <v/>
      </c>
      <c r="AV240" t="n">
        <v>3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BB240" t="inlineStr">
        <is>
          <t>Assets/MachineBrigade/Resources/Data/balance.json: weapons[id=p26_ixion_125_he] (lớp B trên 01_chien_dau/Vu_khi)</t>
        </is>
      </c>
      <c r="BC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IF(Vu_khi!$AG$241,INDEX(Bang_danh_noc!$C$2:$C$8,MIN(7,MAX(1,2-(Vu_khi!$L$241-0)+1))),INDEX(Bang_xuyen_giap!$C$2:$C$8,MIN(7,MAX(1,IF($O$241,MAX(1,2-(Vu_khi!$L$241-0)),2-(Vu_khi!$L$241-0))+1))))</f>
        <v/>
      </c>
      <c r="AB241" t="n">
        <v>1</v>
      </c>
      <c r="AC241">
        <f>IF(Vu_khi!$AG$241,INDEX(Bang_danh_noc!$C$2:$C$8,MIN(7,MAX(1,2-(Vu_khi!$L$241-2)+1))),INDEX(Bang_xuyen_giap!$C$2:$C$8,MIN(7,MAX(1,IF($O$241,MAX(1,2-(Vu_khi!$L$241-2)),2-(Vu_khi!$L$241-2))+1))))</f>
        <v/>
      </c>
      <c r="AD241" t="n">
        <v>0.65</v>
      </c>
      <c r="AE241">
        <f>IF(Vu_khi!$AG$241,INDEX(Bang_danh_noc!$C$2:$C$8,MIN(7,MAX(1,2-(Vu_khi!$L$241-4)+1))),INDEX(Bang_xuyen_giap!$C$2:$C$8,MIN(7,MAX(1,IF($O$241,MAX(1,2-(Vu_khi!$L$241-4)),2-(Vu_khi!$L$241-4))+1))))</f>
        <v/>
      </c>
      <c r="AF241" t="n">
        <v>0.15</v>
      </c>
      <c r="AG241">
        <f>INDEX(Bang_xuyen_giap!$C$2:$C$8,MIN(7,MAX(1,MAX(1,2-(Vu_khi!$L$241-0))+1)))</f>
        <v/>
      </c>
      <c r="AH241" t="n">
        <v>1</v>
      </c>
      <c r="AI241">
        <f>IF($Q$241,$M$241*$AA$241*$U$241,0)</f>
        <v/>
      </c>
      <c r="AJ241" t="n">
        <v>135.8828991371436</v>
      </c>
      <c r="AK241">
        <f>IF($Q$241,$M$241*$AC$241*$U$241,0)</f>
        <v/>
      </c>
      <c r="AL241" t="n">
        <v>88.32388443914333</v>
      </c>
      <c r="AM241">
        <f>IF($Q$241,$M$241*$AE$241*$U$241,0)</f>
        <v/>
      </c>
      <c r="AN241" t="n">
        <v>20.38243487057154</v>
      </c>
      <c r="AO241">
        <f>IF($Q$241,$M$241*$AC$241*$Y$241,0)</f>
        <v/>
      </c>
      <c r="AP241" t="n">
        <v>51.5222659228336</v>
      </c>
      <c r="AQ241">
        <f>IF($S$241,$M$241*$AG$241*$W$241,0)</f>
        <v/>
      </c>
      <c r="AR241" t="n">
        <v>33.97072478428589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0</v>
      </c>
      <c r="AU241">
        <f>IF(AND($B$241&lt;0,$AS$241),4,$B$241)</f>
        <v/>
      </c>
      <c r="AV241" t="n">
        <v>0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1.766227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weapons[id=p26_ixion_mg] (lớp B trên 01_chien_dau/Vu_khi)</t>
        </is>
      </c>
      <c r="BC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IF(Vu_khi!$AG$242,INDEX(Bang_danh_noc!$C$2:$C$8,MIN(7,MAX(1,2-(Vu_khi!$L$242-0)+1))),INDEX(Bang_xuyen_giap!$C$2:$C$8,MIN(7,MAX(1,IF($O$242,MAX(1,2-(Vu_khi!$L$242-0)),2-(Vu_khi!$L$242-0))+1))))</f>
        <v/>
      </c>
      <c r="AB242" t="n">
        <v>1.2</v>
      </c>
      <c r="AC242">
        <f>IF(Vu_khi!$AG$242,INDEX(Bang_danh_noc!$C$2:$C$8,MIN(7,MAX(1,2-(Vu_khi!$L$242-2)+1))),INDEX(Bang_xuyen_giap!$C$2:$C$8,MIN(7,MAX(1,IF($O$242,MAX(1,2-(Vu_khi!$L$242-2)),2-(Vu_khi!$L$242-2))+1))))</f>
        <v/>
      </c>
      <c r="AD242" t="n">
        <v>0.85</v>
      </c>
      <c r="AE242">
        <f>IF(Vu_khi!$AG$242,INDEX(Bang_danh_noc!$C$2:$C$8,MIN(7,MAX(1,2-(Vu_khi!$L$242-4)+1))),INDEX(Bang_xuyen_giap!$C$2:$C$8,MIN(7,MAX(1,IF($O$242,MAX(1,2-(Vu_khi!$L$242-4)),2-(Vu_khi!$L$242-4))+1))))</f>
        <v/>
      </c>
      <c r="AF242" t="n">
        <v>0.4</v>
      </c>
      <c r="AG242">
        <f>INDEX(Bang_xuyen_giap!$C$2:$C$8,MIN(7,MAX(1,MAX(1,2-(Vu_khi!$L$242-0))+1)))</f>
        <v/>
      </c>
      <c r="AH242" t="n">
        <v>1</v>
      </c>
      <c r="AI242">
        <f>IF($Q$242,$M$242*$AA$242*$U$242,0)</f>
        <v/>
      </c>
      <c r="AJ242" t="n">
        <v>102.8810408921933</v>
      </c>
      <c r="AK242">
        <f>IF($Q$242,$M$242*$AC$242*$U$242,0)</f>
        <v/>
      </c>
      <c r="AL242" t="n">
        <v>72.87407063197026</v>
      </c>
      <c r="AM242">
        <f>IF($Q$242,$M$242*$AE$242*$U$242,0)</f>
        <v/>
      </c>
      <c r="AN242" t="n">
        <v>34.29368029739777</v>
      </c>
      <c r="AO242">
        <f>IF($Q$242,$M$242*$AC$242*$Y$242,0)</f>
        <v/>
      </c>
      <c r="AP242" t="n">
        <v>16.19423791821561</v>
      </c>
      <c r="AQ242">
        <f>IF($S$242,$M$242*$AG$242*$W$242,0)</f>
        <v/>
      </c>
      <c r="AR242" t="n">
        <v>257.2026022304833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2.405691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weapons[id=p26_jotunn_close_boss_flak] (lớp B trên 01_chien_dau/Vu_khi)</t>
        </is>
      </c>
      <c r="BC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IF(Vu_khi!$AG$243,INDEX(Bang_danh_noc!$C$2:$C$8,MIN(7,MAX(1,2-(Vu_khi!$L$243-0)+1))),INDEX(Bang_xuyen_giap!$C$2:$C$8,MIN(7,MAX(1,IF($O$243,MAX(1,2-(Vu_khi!$L$243-0)),2-(Vu_khi!$L$243-0))+1))))</f>
        <v/>
      </c>
      <c r="AB243" t="n">
        <v>1.2</v>
      </c>
      <c r="AC243">
        <f>IF(Vu_khi!$AG$243,INDEX(Bang_danh_noc!$C$2:$C$8,MIN(7,MAX(1,2-(Vu_khi!$L$243-2)+1))),INDEX(Bang_xuyen_giap!$C$2:$C$8,MIN(7,MAX(1,IF($O$243,MAX(1,2-(Vu_khi!$L$243-2)),2-(Vu_khi!$L$243-2))+1))))</f>
        <v/>
      </c>
      <c r="AD243" t="n">
        <v>1.2</v>
      </c>
      <c r="AE243">
        <f>IF(Vu_khi!$AG$243,INDEX(Bang_danh_noc!$C$2:$C$8,MIN(7,MAX(1,2-(Vu_khi!$L$243-4)+1))),INDEX(Bang_xuyen_giap!$C$2:$C$8,MIN(7,MAX(1,IF($O$243,MAX(1,2-(Vu_khi!$L$243-4)),2-(Vu_khi!$L$243-4))+1))))</f>
        <v/>
      </c>
      <c r="AF243" t="n">
        <v>1</v>
      </c>
      <c r="AG243">
        <f>INDEX(Bang_xuyen_giap!$C$2:$C$8,MIN(7,MAX(1,MAX(1,2-(Vu_khi!$L$243-0))+1)))</f>
        <v/>
      </c>
      <c r="AH243" t="n">
        <v>1</v>
      </c>
      <c r="AI243">
        <f>IF($Q$243,$M$243*$AA$243*$U$243,0)</f>
        <v/>
      </c>
      <c r="AJ243" t="n">
        <v>76.8</v>
      </c>
      <c r="AK243">
        <f>IF($Q$243,$M$243*$AC$243*$U$243,0)</f>
        <v/>
      </c>
      <c r="AL243" t="n">
        <v>76.8</v>
      </c>
      <c r="AM243">
        <f>IF($Q$243,$M$243*$AE$243*$U$243,0)</f>
        <v/>
      </c>
      <c r="AN243" t="n">
        <v>64</v>
      </c>
      <c r="AO243">
        <f>IF($Q$243,$M$243*$AC$243*$Y$243,0)</f>
        <v/>
      </c>
      <c r="AP243" t="n">
        <v>44.8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0.7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weapons[id=p26_jotunn_direct_jo125] (lớp B trên 01_chien_dau/Vu_khi)</t>
        </is>
      </c>
      <c r="BC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IF(Vu_khi!$AG$244,INDEX(Bang_danh_noc!$C$2:$C$8,MIN(7,MAX(1,2-(Vu_khi!$L$244-0)+1))),INDEX(Bang_xuyen_giap!$C$2:$C$8,MIN(7,MAX(1,IF($O$244,MAX(1,2-(Vu_khi!$L$244-0)),2-(Vu_khi!$L$244-0))+1))))</f>
        <v/>
      </c>
      <c r="AB244" t="n">
        <v>1.2</v>
      </c>
      <c r="AC244">
        <f>IF(Vu_khi!$AG$244,INDEX(Bang_danh_noc!$C$2:$C$8,MIN(7,MAX(1,2-(Vu_khi!$L$244-2)+1))),INDEX(Bang_xuyen_giap!$C$2:$C$8,MIN(7,MAX(1,IF($O$244,MAX(1,2-(Vu_khi!$L$244-2)),2-(Vu_khi!$L$244-2))+1))))</f>
        <v/>
      </c>
      <c r="AD244" t="n">
        <v>1.2</v>
      </c>
      <c r="AE244">
        <f>IF(Vu_khi!$AG$244,INDEX(Bang_danh_noc!$C$2:$C$8,MIN(7,MAX(1,2-(Vu_khi!$L$244-4)+1))),INDEX(Bang_xuyen_giap!$C$2:$C$8,MIN(7,MAX(1,IF($O$244,MAX(1,2-(Vu_khi!$L$244-4)),2-(Vu_khi!$L$244-4))+1))))</f>
        <v/>
      </c>
      <c r="AF244" t="n">
        <v>1</v>
      </c>
      <c r="AG244">
        <f>INDEX(Bang_xuyen_giap!$C$2:$C$8,MIN(7,MAX(1,MAX(1,2-(Vu_khi!$L$244-0))+1)))</f>
        <v/>
      </c>
      <c r="AH244" t="n">
        <v>1</v>
      </c>
      <c r="AI244">
        <f>IF($Q$244,$M$244*$AA$244*$U$244,0)</f>
        <v/>
      </c>
      <c r="AJ244" t="n">
        <v>201.6</v>
      </c>
      <c r="AK244">
        <f>IF($Q$244,$M$244*$AC$244*$U$244,0)</f>
        <v/>
      </c>
      <c r="AL244" t="n">
        <v>201.6</v>
      </c>
      <c r="AM244">
        <f>IF($Q$244,$M$244*$AE$244*$U$244,0)</f>
        <v/>
      </c>
      <c r="AN244" t="n">
        <v>168</v>
      </c>
      <c r="AO244">
        <f>IF($Q$244,$M$244*$AC$244*$Y$244,0)</f>
        <v/>
      </c>
      <c r="AP244" t="n">
        <v>117.6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weapons[id=p26_jotunn_jo125] (lớp B trên 01_chien_dau/Vu_khi)</t>
        </is>
      </c>
      <c r="BC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IF(Vu_khi!$AG$245,INDEX(Bang_danh_noc!$C$2:$C$8,MIN(7,MAX(1,2-(Vu_khi!$L$245-0)+1))),INDEX(Bang_xuyen_giap!$C$2:$C$8,MIN(7,MAX(1,IF($O$245,MAX(1,2-(Vu_khi!$L$245-0)),2-(Vu_khi!$L$245-0))+1))))</f>
        <v/>
      </c>
      <c r="AB245" t="n">
        <v>1.2</v>
      </c>
      <c r="AC245">
        <f>IF(Vu_khi!$AG$245,INDEX(Bang_danh_noc!$C$2:$C$8,MIN(7,MAX(1,2-(Vu_khi!$L$245-2)+1))),INDEX(Bang_xuyen_giap!$C$2:$C$8,MIN(7,MAX(1,IF($O$245,MAX(1,2-(Vu_khi!$L$245-2)),2-(Vu_khi!$L$245-2))+1))))</f>
        <v/>
      </c>
      <c r="AD245" t="n">
        <v>1.2</v>
      </c>
      <c r="AE245">
        <f>IF(Vu_khi!$AG$245,INDEX(Bang_danh_noc!$C$2:$C$8,MIN(7,MAX(1,2-(Vu_khi!$L$245-4)+1))),INDEX(Bang_xuyen_giap!$C$2:$C$8,MIN(7,MAX(1,IF($O$245,MAX(1,2-(Vu_khi!$L$245-4)),2-(Vu_khi!$L$245-4))+1))))</f>
        <v/>
      </c>
      <c r="AF245" t="n">
        <v>0.85</v>
      </c>
      <c r="AG245">
        <f>INDEX(Bang_xuyen_giap!$C$2:$C$8,MIN(7,MAX(1,MAX(1,2-(Vu_khi!$L$245-0))+1)))</f>
        <v/>
      </c>
      <c r="AH245" t="n">
        <v>1</v>
      </c>
      <c r="AI245">
        <f>IF($Q$245,$M$245*$AA$245*$U$245,0)</f>
        <v/>
      </c>
      <c r="AJ245" t="n">
        <v>45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31.875</v>
      </c>
      <c r="AO245">
        <f>IF($Q$245,$M$245*$AC$245*$Y$245,0)</f>
        <v/>
      </c>
      <c r="AP245" t="n">
        <v>72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1</v>
      </c>
      <c r="AU245">
        <f>IF(AND($B$245&lt;0,$AS$245),4,$B$245)</f>
        <v/>
      </c>
      <c r="AV245" t="n">
        <v>4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2.5</v>
      </c>
      <c r="AY245" t="n">
        <v>0.7</v>
      </c>
      <c r="AZ245" t="inlineStr">
        <is>
          <t>ok</t>
        </is>
      </c>
      <c r="BA245" t="b">
        <v>1</v>
      </c>
      <c r="BB245" t="inlineStr">
        <is>
          <t>Assets/MachineBrigade/Resources/Data/balance.json: weapons[id=p26_jotunn_jo203] (lớp B trên 01_chien_dau/Vu_khi)</t>
        </is>
      </c>
      <c r="BC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IF(Vu_khi!$AG$246,INDEX(Bang_danh_noc!$C$2:$C$8,MIN(7,MAX(1,2-(Vu_khi!$L$246-0)+1))),INDEX(Bang_xuyen_giap!$C$2:$C$8,MIN(7,MAX(1,IF($O$246,MAX(1,2-(Vu_khi!$L$246-0)),2-(Vu_khi!$L$246-0))+1))))</f>
        <v/>
      </c>
      <c r="AB246" t="n">
        <v>1.2</v>
      </c>
      <c r="AC246">
        <f>IF(Vu_khi!$AG$246,INDEX(Bang_danh_noc!$C$2:$C$8,MIN(7,MAX(1,2-(Vu_khi!$L$246-2)+1))),INDEX(Bang_xuyen_giap!$C$2:$C$8,MIN(7,MAX(1,IF($O$246,MAX(1,2-(Vu_khi!$L$246-2)),2-(Vu_khi!$L$246-2))+1))))</f>
        <v/>
      </c>
      <c r="AD246" t="n">
        <v>0.85</v>
      </c>
      <c r="AE246">
        <f>IF(Vu_khi!$AG$246,INDEX(Bang_danh_noc!$C$2:$C$8,MIN(7,MAX(1,2-(Vu_khi!$L$246-4)+1))),INDEX(Bang_xuyen_giap!$C$2:$C$8,MIN(7,MAX(1,IF($O$246,MAX(1,2-(Vu_khi!$L$246-4)),2-(Vu_khi!$L$246-4))+1))))</f>
        <v/>
      </c>
      <c r="AF246" t="n">
        <v>0.4</v>
      </c>
      <c r="AG246">
        <f>INDEX(Bang_xuyen_giap!$C$2:$C$8,MIN(7,MAX(1,MAX(1,2-(Vu_khi!$L$246-0))+1)))</f>
        <v/>
      </c>
      <c r="AH246" t="n">
        <v>1</v>
      </c>
      <c r="AI246">
        <f>IF($Q$246,$M$246*$AA$246*$U$246,0)</f>
        <v/>
      </c>
      <c r="AJ246" t="n">
        <v>105.6</v>
      </c>
      <c r="AK246">
        <f>IF($Q$246,$M$246*$AC$246*$U$246,0)</f>
        <v/>
      </c>
      <c r="AL246" t="n">
        <v>74.8</v>
      </c>
      <c r="AM246">
        <f>IF($Q$246,$M$246*$AE$246*$U$246,0)</f>
        <v/>
      </c>
      <c r="AN246" t="n">
        <v>35.2</v>
      </c>
      <c r="AO246">
        <f>IF($Q$246,$M$246*$AC$246*$Y$246,0)</f>
        <v/>
      </c>
      <c r="AP246" t="n">
        <v>119.68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1</v>
      </c>
      <c r="AU246">
        <f>IF(AND($B$246&lt;0,$AS$246),4,$B$246)</f>
        <v/>
      </c>
      <c r="AV246" t="n">
        <v>4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2.5</v>
      </c>
      <c r="AY246" t="n">
        <v>0.095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weapons[id=p26_jotunn_jo_rockets] (lớp B trên 01_chien_dau/Vu_khi)</t>
        </is>
      </c>
      <c r="BC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IF(Vu_khi!$AG$247,INDEX(Bang_danh_noc!$C$2:$C$8,MIN(7,MAX(1,2-(Vu_khi!$L$247-0)+1))),INDEX(Bang_xuyen_giap!$C$2:$C$8,MIN(7,MAX(1,IF($O$247,MAX(1,2-(Vu_khi!$L$247-0)),2-(Vu_khi!$L$247-0))+1))))</f>
        <v/>
      </c>
      <c r="AB247" t="n">
        <v>1.2</v>
      </c>
      <c r="AC247">
        <f>IF(Vu_khi!$AG$247,INDEX(Bang_danh_noc!$C$2:$C$8,MIN(7,MAX(1,2-(Vu_khi!$L$247-2)+1))),INDEX(Bang_xuyen_giap!$C$2:$C$8,MIN(7,MAX(1,IF($O$247,MAX(1,2-(Vu_khi!$L$247-2)),2-(Vu_khi!$L$247-2))+1))))</f>
        <v/>
      </c>
      <c r="AD247" t="n">
        <v>0.85</v>
      </c>
      <c r="AE247">
        <f>IF(Vu_khi!$AG$247,INDEX(Bang_danh_noc!$C$2:$C$8,MIN(7,MAX(1,2-(Vu_khi!$L$247-4)+1))),INDEX(Bang_xuyen_giap!$C$2:$C$8,MIN(7,MAX(1,IF($O$247,MAX(1,2-(Vu_khi!$L$247-4)),2-(Vu_khi!$L$247-4))+1))))</f>
        <v/>
      </c>
      <c r="AF247" t="n">
        <v>0.4</v>
      </c>
      <c r="AG247">
        <f>INDEX(Bang_xuyen_giap!$C$2:$C$8,MIN(7,MAX(1,MAX(1,2-(Vu_khi!$L$247-0))+1)))</f>
        <v/>
      </c>
      <c r="AH247" t="n">
        <v>1</v>
      </c>
      <c r="AI247">
        <f>IF($Q$247,$M$247*$AA$247*$U$247,0)</f>
        <v/>
      </c>
      <c r="AJ247" t="n">
        <v>113.8339920948617</v>
      </c>
      <c r="AK247">
        <f>IF($Q$247,$M$247*$AC$247*$U$247,0)</f>
        <v/>
      </c>
      <c r="AL247" t="n">
        <v>80.63241106719369</v>
      </c>
      <c r="AM247">
        <f>IF($Q$247,$M$247*$AE$247*$U$247,0)</f>
        <v/>
      </c>
      <c r="AN247" t="n">
        <v>37.94466403162055</v>
      </c>
      <c r="AO247">
        <f>IF($Q$247,$M$247*$AC$247*$Y$247,0)</f>
        <v/>
      </c>
      <c r="AP247" t="n">
        <v>129.0118577075099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1</v>
      </c>
      <c r="AU247">
        <f>IF(AND($B$247&lt;0,$AS$247),4,$B$247)</f>
        <v/>
      </c>
      <c r="AV247" t="n">
        <v>4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2.5</v>
      </c>
      <c r="AY247" t="n">
        <v>1.003833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weapons[id=p26_jotunn_sec_jo_rockets] (lớp B trên 01_chien_dau/Vu_khi)</t>
        </is>
      </c>
      <c r="BC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IF(Vu_khi!$AG$248,INDEX(Bang_danh_noc!$C$2:$C$8,MIN(7,MAX(1,2-(Vu_khi!$L$248-0)+1))),INDEX(Bang_xuyen_giap!$C$2:$C$8,MIN(7,MAX(1,IF($O$248,MAX(1,2-(Vu_khi!$L$248-0)),2-(Vu_khi!$L$248-0))+1))))</f>
        <v/>
      </c>
      <c r="AB248" t="n">
        <v>1.2</v>
      </c>
      <c r="AC248">
        <f>IF(Vu_khi!$AG$248,INDEX(Bang_danh_noc!$C$2:$C$8,MIN(7,MAX(1,2-(Vu_khi!$L$248-2)+1))),INDEX(Bang_xuyen_giap!$C$2:$C$8,MIN(7,MAX(1,IF($O$248,MAX(1,2-(Vu_khi!$L$248-2)),2-(Vu_khi!$L$248-2))+1))))</f>
        <v/>
      </c>
      <c r="AD248" t="n">
        <v>0.85</v>
      </c>
      <c r="AE248">
        <f>IF(Vu_khi!$AG$248,INDEX(Bang_danh_noc!$C$2:$C$8,MIN(7,MAX(1,2-(Vu_khi!$L$248-4)+1))),INDEX(Bang_xuyen_giap!$C$2:$C$8,MIN(7,MAX(1,IF($O$248,MAX(1,2-(Vu_khi!$L$248-4)),2-(Vu_khi!$L$248-4))+1))))</f>
        <v/>
      </c>
      <c r="AF248" t="n">
        <v>0.4</v>
      </c>
      <c r="AG248">
        <f>INDEX(Bang_xuyen_giap!$C$2:$C$8,MIN(7,MAX(1,MAX(1,2-(Vu_khi!$L$248-0))+1)))</f>
        <v/>
      </c>
      <c r="AH248" t="n">
        <v>1</v>
      </c>
      <c r="AI248">
        <f>IF($Q$248,$M$248*$AA$248*$U$248,0)</f>
        <v/>
      </c>
      <c r="AJ248" t="n">
        <v>272.5161290322581</v>
      </c>
      <c r="AK248">
        <f>IF($Q$248,$M$248*$AC$248*$U$248,0)</f>
        <v/>
      </c>
      <c r="AL248" t="n">
        <v>193.0322580645162</v>
      </c>
      <c r="AM248">
        <f>IF($Q$248,$M$248*$AE$248*$U$248,0)</f>
        <v/>
      </c>
      <c r="AN248" t="n">
        <v>90.83870967741937</v>
      </c>
      <c r="AO248">
        <f>IF($Q$248,$M$248*$AC$248*$Y$248,0)</f>
        <v/>
      </c>
      <c r="AP248" t="n">
        <v>42.89605734767026</v>
      </c>
      <c r="AQ248">
        <f>IF($S$248,$M$248*$AG$248*$W$248,0)</f>
        <v/>
      </c>
      <c r="AR248" t="n">
        <v>681.2903225806452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1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3.632812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weapons[id=p26_jotunn_tiny_twin_30_flak] (lớp B trên 01_chien_dau/Vu_khi)</t>
        </is>
      </c>
      <c r="BC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IF(Vu_khi!$AG$249,INDEX(Bang_danh_noc!$C$2:$C$8,MIN(7,MAX(1,2-(Vu_khi!$L$249-0)+1))),INDEX(Bang_xuyen_giap!$C$2:$C$8,MIN(7,MAX(1,IF($O$249,MAX(1,2-(Vu_khi!$L$249-0)),2-(Vu_khi!$L$249-0))+1))))</f>
        <v/>
      </c>
      <c r="AB249" t="n">
        <v>1.2</v>
      </c>
      <c r="AC249">
        <f>IF(Vu_khi!$AG$249,INDEX(Bang_danh_noc!$C$2:$C$8,MIN(7,MAX(1,2-(Vu_khi!$L$249-2)+1))),INDEX(Bang_xuyen_giap!$C$2:$C$8,MIN(7,MAX(1,IF($O$249,MAX(1,2-(Vu_khi!$L$249-2)),2-(Vu_khi!$L$249-2))+1))))</f>
        <v/>
      </c>
      <c r="AD249" t="n">
        <v>1.2</v>
      </c>
      <c r="AE249">
        <f>IF(Vu_khi!$AG$249,INDEX(Bang_danh_noc!$C$2:$C$8,MIN(7,MAX(1,2-(Vu_khi!$L$249-4)+1))),INDEX(Bang_xuyen_giap!$C$2:$C$8,MIN(7,MAX(1,IF($O$249,MAX(1,2-(Vu_khi!$L$249-4)),2-(Vu_khi!$L$249-4))+1))))</f>
        <v/>
      </c>
      <c r="AF249" t="n">
        <v>1</v>
      </c>
      <c r="AG249">
        <f>INDEX(Bang_xuyen_giap!$C$2:$C$8,MIN(7,MAX(1,MAX(1,2-(Vu_khi!$L$249-0))+1)))</f>
        <v/>
      </c>
      <c r="AH249" t="n">
        <v>1</v>
      </c>
      <c r="AI249">
        <f>IF($Q$249,$M$249*$AA$249*$U$249,0)</f>
        <v/>
      </c>
      <c r="AJ249" t="n">
        <v>182.4</v>
      </c>
      <c r="AK249">
        <f>IF($Q$249,$M$249*$AC$249*$U$249,0)</f>
        <v/>
      </c>
      <c r="AL249" t="n">
        <v>182.4</v>
      </c>
      <c r="AM249">
        <f>IF($Q$249,$M$249*$AE$249*$U$249,0)</f>
        <v/>
      </c>
      <c r="AN249" t="n">
        <v>152</v>
      </c>
      <c r="AO249">
        <f>IF($Q$249,$M$249*$AC$249*$Y$249,0)</f>
        <v/>
      </c>
      <c r="AP249" t="n">
        <v>106.4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1.05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weapons[id=p26_leviathan_direct_lev127] (lớp B trên 01_chien_dau/Vu_khi)</t>
        </is>
      </c>
      <c r="BC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IF(Vu_khi!$AG$250,INDEX(Bang_danh_noc!$C$2:$C$8,MIN(7,MAX(1,2-(Vu_khi!$L$250-0)+1))),INDEX(Bang_xuyen_giap!$C$2:$C$8,MIN(7,MAX(1,IF($O$250,MAX(1,2-(Vu_khi!$L$250-0)),2-(Vu_khi!$L$250-0))+1))))</f>
        <v/>
      </c>
      <c r="AB250" t="n">
        <v>1.2</v>
      </c>
      <c r="AC250">
        <f>IF(Vu_khi!$AG$250,INDEX(Bang_danh_noc!$C$2:$C$8,MIN(7,MAX(1,2-(Vu_khi!$L$250-2)+1))),INDEX(Bang_xuyen_giap!$C$2:$C$8,MIN(7,MAX(1,IF($O$250,MAX(1,2-(Vu_khi!$L$250-2)),2-(Vu_khi!$L$250-2))+1))))</f>
        <v/>
      </c>
      <c r="AD250" t="n">
        <v>1.2</v>
      </c>
      <c r="AE250">
        <f>IF(Vu_khi!$AG$250,INDEX(Bang_danh_noc!$C$2:$C$8,MIN(7,MAX(1,2-(Vu_khi!$L$250-4)+1))),INDEX(Bang_xuyen_giap!$C$2:$C$8,MIN(7,MAX(1,IF($O$250,MAX(1,2-(Vu_khi!$L$250-4)),2-(Vu_khi!$L$250-4))+1))))</f>
        <v/>
      </c>
      <c r="AF250" t="n">
        <v>1</v>
      </c>
      <c r="AG250">
        <f>INDEX(Bang_xuyen_giap!$C$2:$C$8,MIN(7,MAX(1,MAX(1,2-(Vu_khi!$L$250-0))+1)))</f>
        <v/>
      </c>
      <c r="AH250" t="n">
        <v>1</v>
      </c>
      <c r="AI250">
        <f>IF($Q$250,$M$250*$AA$250*$U$250,0)</f>
        <v/>
      </c>
      <c r="AJ250" t="n">
        <v>230.4</v>
      </c>
      <c r="AK250">
        <f>IF($Q$250,$M$250*$AC$250*$U$250,0)</f>
        <v/>
      </c>
      <c r="AL250" t="n">
        <v>230.4</v>
      </c>
      <c r="AM250">
        <f>IF($Q$250,$M$250*$AE$250*$U$250,0)</f>
        <v/>
      </c>
      <c r="AN250" t="n">
        <v>192</v>
      </c>
      <c r="AO250">
        <f>IF($Q$250,$M$250*$AC$250*$Y$250,0)</f>
        <v/>
      </c>
      <c r="AP250" t="n">
        <v>134.4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LECH_DOT_1</t>
        </is>
      </c>
      <c r="BA250" t="inlineStr"/>
      <c r="BB250" t="inlineStr">
        <is>
          <t>Assets/MachineBrigade/Resources/Data/balance.json: weapons[id=p26_leviathan_lev127] (lớp B trên 01_chien_dau/Vu_khi)</t>
        </is>
      </c>
      <c r="BC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IF(Vu_khi!$AG$251,INDEX(Bang_danh_noc!$C$2:$C$8,MIN(7,MAX(1,2-(Vu_khi!$L$251-0)+1))),INDEX(Bang_xuyen_giap!$C$2:$C$8,MIN(7,MAX(1,IF($O$251,MAX(1,2-(Vu_khi!$L$251-0)),2-(Vu_khi!$L$251-0))+1))))</f>
        <v/>
      </c>
      <c r="AB251" t="n">
        <v>1.2</v>
      </c>
      <c r="AC251">
        <f>IF(Vu_khi!$AG$251,INDEX(Bang_danh_noc!$C$2:$C$8,MIN(7,MAX(1,2-(Vu_khi!$L$251-2)+1))),INDEX(Bang_xuyen_giap!$C$2:$C$8,MIN(7,MAX(1,IF($O$251,MAX(1,2-(Vu_khi!$L$251-2)),2-(Vu_khi!$L$251-2))+1))))</f>
        <v/>
      </c>
      <c r="AD251" t="n">
        <v>1</v>
      </c>
      <c r="AE251">
        <f>IF(Vu_khi!$AG$251,INDEX(Bang_danh_noc!$C$2:$C$8,MIN(7,MAX(1,2-(Vu_khi!$L$251-4)+1))),INDEX(Bang_xuyen_giap!$C$2:$C$8,MIN(7,MAX(1,IF($O$251,MAX(1,2-(Vu_khi!$L$251-4)),2-(Vu_khi!$L$251-4))+1))))</f>
        <v/>
      </c>
      <c r="AF251" t="n">
        <v>0.65</v>
      </c>
      <c r="AG251">
        <f>INDEX(Bang_xuyen_giap!$C$2:$C$8,MIN(7,MAX(1,MAX(1,2-(Vu_khi!$L$251-0))+1)))</f>
        <v/>
      </c>
      <c r="AH251" t="n">
        <v>1</v>
      </c>
      <c r="AI251">
        <f>IF($Q$251,$M$251*$AA$251*$U$251,0)</f>
        <v/>
      </c>
      <c r="AJ251" t="n">
        <v>122.4</v>
      </c>
      <c r="AK251">
        <f>IF($Q$251,$M$251*$AC$251*$U$251,0)</f>
        <v/>
      </c>
      <c r="AL251" t="n">
        <v>102</v>
      </c>
      <c r="AM251">
        <f>IF($Q$251,$M$251*$AE$251*$U$251,0)</f>
        <v/>
      </c>
      <c r="AN251" t="n">
        <v>66.3</v>
      </c>
      <c r="AO251">
        <f>IF($Q$251,$M$251*$AC$251*$Y$251,0)</f>
        <v/>
      </c>
      <c r="AP251" t="n">
        <v>163.2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3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0.291667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weapons[id=p26_leviathan_lev155] (lớp B trên 01_chien_dau/Vu_khi)</t>
        </is>
      </c>
      <c r="BC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IF(Vu_khi!$AG$252,INDEX(Bang_danh_noc!$C$2:$C$8,MIN(7,MAX(1,2-(Vu_khi!$L$252-0)+1))),INDEX(Bang_xuyen_giap!$C$2:$C$8,MIN(7,MAX(1,IF($O$252,MAX(1,2-(Vu_khi!$L$252-0)),2-(Vu_khi!$L$252-0))+1))))</f>
        <v/>
      </c>
      <c r="AB252" t="n">
        <v>1.2</v>
      </c>
      <c r="AC252">
        <f>IF(Vu_khi!$AG$252,INDEX(Bang_danh_noc!$C$2:$C$8,MIN(7,MAX(1,2-(Vu_khi!$L$252-2)+1))),INDEX(Bang_xuyen_giap!$C$2:$C$8,MIN(7,MAX(1,IF($O$252,MAX(1,2-(Vu_khi!$L$252-2)),2-(Vu_khi!$L$252-2))+1))))</f>
        <v/>
      </c>
      <c r="AD252" t="n">
        <v>1.2</v>
      </c>
      <c r="AE252">
        <f>IF(Vu_khi!$AG$252,INDEX(Bang_danh_noc!$C$2:$C$8,MIN(7,MAX(1,2-(Vu_khi!$L$252-4)+1))),INDEX(Bang_xuyen_giap!$C$2:$C$8,MIN(7,MAX(1,IF($O$252,MAX(1,2-(Vu_khi!$L$252-4)),2-(Vu_khi!$L$252-4))+1))))</f>
        <v/>
      </c>
      <c r="AF252" t="n">
        <v>0.85</v>
      </c>
      <c r="AG252">
        <f>INDEX(Bang_xuyen_giap!$C$2:$C$8,MIN(7,MAX(1,MAX(1,2-(Vu_khi!$L$252-0))+1)))</f>
        <v/>
      </c>
      <c r="AH252" t="n">
        <v>1</v>
      </c>
      <c r="AI252">
        <f>IF($Q$252,$M$252*$AA$252*$U$252,0)</f>
        <v/>
      </c>
      <c r="AJ252" t="n">
        <v>144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102</v>
      </c>
      <c r="AO252">
        <f>IF($Q$252,$M$252*$AC$252*$Y$252,0)</f>
        <v/>
      </c>
      <c r="AP252" t="n">
        <v>230.4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5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3.611111111111111</v>
      </c>
      <c r="AY252" t="n">
        <v>1.4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weapons[id=p26_leviathan_lev406] (lớp B trên 01_chien_dau/Vu_khi)</t>
        </is>
      </c>
      <c r="BC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IF(Vu_khi!$AG$253,INDEX(Bang_danh_noc!$C$2:$C$8,MIN(7,MAX(1,2-(Vu_khi!$L$253-0)+1))),INDEX(Bang_xuyen_giap!$C$2:$C$8,MIN(7,MAX(1,IF($O$253,MAX(1,2-(Vu_khi!$L$253-0)),2-(Vu_khi!$L$253-0))+1))))</f>
        <v/>
      </c>
      <c r="AB253" t="n">
        <v>1.2</v>
      </c>
      <c r="AC253">
        <f>IF(Vu_khi!$AG$253,INDEX(Bang_danh_noc!$C$2:$C$8,MIN(7,MAX(1,2-(Vu_khi!$L$253-2)+1))),INDEX(Bang_xuyen_giap!$C$2:$C$8,MIN(7,MAX(1,IF($O$253,MAX(1,2-(Vu_khi!$L$253-2)),2-(Vu_khi!$L$253-2))+1))))</f>
        <v/>
      </c>
      <c r="AD253" t="n">
        <v>1</v>
      </c>
      <c r="AE253">
        <f>IF(Vu_khi!$AG$253,INDEX(Bang_danh_noc!$C$2:$C$8,MIN(7,MAX(1,2-(Vu_khi!$L$253-4)+1))),INDEX(Bang_xuyen_giap!$C$2:$C$8,MIN(7,MAX(1,IF($O$253,MAX(1,2-(Vu_khi!$L$253-4)),2-(Vu_khi!$L$253-4))+1))))</f>
        <v/>
      </c>
      <c r="AF253" t="n">
        <v>0.65</v>
      </c>
      <c r="AG253">
        <f>INDEX(Bang_xuyen_giap!$C$2:$C$8,MIN(7,MAX(1,MAX(1,2-(Vu_khi!$L$253-0))+1)))</f>
        <v/>
      </c>
      <c r="AH253" t="n">
        <v>1</v>
      </c>
      <c r="AI253">
        <f>IF($Q$253,$M$253*$AA$253*$U$253,0)</f>
        <v/>
      </c>
      <c r="AJ253" t="n">
        <v>205.7142857142857</v>
      </c>
      <c r="AK253">
        <f>IF($Q$253,$M$253*$AC$253*$U$253,0)</f>
        <v/>
      </c>
      <c r="AL253" t="n">
        <v>171.4285714285714</v>
      </c>
      <c r="AM253">
        <f>IF($Q$253,$M$253*$AE$253*$U$253,0)</f>
        <v/>
      </c>
      <c r="AN253" t="n">
        <v>111.4285714285714</v>
      </c>
      <c r="AO253">
        <f>IF($Q$253,$M$253*$AC$253*$Y$253,0)</f>
        <v/>
      </c>
      <c r="AP253" t="n">
        <v>274.2857142857143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3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0.6125</v>
      </c>
      <c r="AZ253" t="inlineStr">
        <is>
          <t>LECH_HO</t>
        </is>
      </c>
      <c r="BA253" t="b">
        <v>0</v>
      </c>
      <c r="BB253" t="inlineStr">
        <is>
          <t>Assets/MachineBrigade/Resources/Data/balance.json: weapons[id=p26_leviathan_sec_lev155] (lớp B trên 01_chien_dau/Vu_khi)</t>
        </is>
      </c>
      <c r="BC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IF(Vu_khi!$AG$254,INDEX(Bang_danh_noc!$C$2:$C$8,MIN(7,MAX(1,2-(Vu_khi!$L$254-0)+1))),INDEX(Bang_xuyen_giap!$C$2:$C$8,MIN(7,MAX(1,IF($O$254,MAX(1,2-(Vu_khi!$L$254-0)),2-(Vu_khi!$L$254-0))+1))))</f>
        <v/>
      </c>
      <c r="AB254" t="n">
        <v>1.2</v>
      </c>
      <c r="AC254">
        <f>IF(Vu_khi!$AG$254,INDEX(Bang_danh_noc!$C$2:$C$8,MIN(7,MAX(1,2-(Vu_khi!$L$254-2)+1))),INDEX(Bang_xuyen_giap!$C$2:$C$8,MIN(7,MAX(1,IF($O$254,MAX(1,2-(Vu_khi!$L$254-2)),2-(Vu_khi!$L$254-2))+1))))</f>
        <v/>
      </c>
      <c r="AD254" t="n">
        <v>0.85</v>
      </c>
      <c r="AE254">
        <f>IF(Vu_khi!$AG$254,INDEX(Bang_danh_noc!$C$2:$C$8,MIN(7,MAX(1,2-(Vu_khi!$L$254-4)+1))),INDEX(Bang_xuyen_giap!$C$2:$C$8,MIN(7,MAX(1,IF($O$254,MAX(1,2-(Vu_khi!$L$254-4)),2-(Vu_khi!$L$254-4))+1))))</f>
        <v/>
      </c>
      <c r="AF254" t="n">
        <v>0.4</v>
      </c>
      <c r="AG254">
        <f>INDEX(Bang_xuyen_giap!$C$2:$C$8,MIN(7,MAX(1,MAX(1,2-(Vu_khi!$L$254-0))+1)))</f>
        <v/>
      </c>
      <c r="AH254" t="n">
        <v>1</v>
      </c>
      <c r="AI254">
        <f>IF($Q$254,$M$254*$AA$254*$U$254,0)</f>
        <v/>
      </c>
      <c r="AJ254" t="n">
        <v>102.8810408921933</v>
      </c>
      <c r="AK254">
        <f>IF($Q$254,$M$254*$AC$254*$U$254,0)</f>
        <v/>
      </c>
      <c r="AL254" t="n">
        <v>72.87407063197026</v>
      </c>
      <c r="AM254">
        <f>IF($Q$254,$M$254*$AE$254*$U$254,0)</f>
        <v/>
      </c>
      <c r="AN254" t="n">
        <v>34.29368029739777</v>
      </c>
      <c r="AO254">
        <f>IF($Q$254,$M$254*$AC$254*$Y$254,0)</f>
        <v/>
      </c>
      <c r="AP254" t="n">
        <v>16.19423791821561</v>
      </c>
      <c r="AQ254">
        <f>IF($S$254,$M$254*$AG$254*$W$254,0)</f>
        <v/>
      </c>
      <c r="AR254" t="n">
        <v>257.2026022304833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2.405691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weapons[id=p26_matriarch_close_boss_flak] (lớp B trên 01_chien_dau/Vu_khi)</t>
        </is>
      </c>
      <c r="BC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IF(Vu_khi!$AG$255,INDEX(Bang_danh_noc!$C$2:$C$8,MIN(7,MAX(1,2-(Vu_khi!$L$255-0)+1))),INDEX(Bang_xuyen_giap!$C$2:$C$8,MIN(7,MAX(1,IF($O$255,MAX(1,2-(Vu_khi!$L$255-0)),2-(Vu_khi!$L$255-0))+1))))</f>
        <v/>
      </c>
      <c r="AB255" t="n">
        <v>1.2</v>
      </c>
      <c r="AC255">
        <f>IF(Vu_khi!$AG$255,INDEX(Bang_danh_noc!$C$2:$C$8,MIN(7,MAX(1,2-(Vu_khi!$L$255-2)+1))),INDEX(Bang_xuyen_giap!$C$2:$C$8,MIN(7,MAX(1,IF($O$255,MAX(1,2-(Vu_khi!$L$255-2)),2-(Vu_khi!$L$255-2))+1))))</f>
        <v/>
      </c>
      <c r="AD255" t="n">
        <v>1.2</v>
      </c>
      <c r="AE255">
        <f>IF(Vu_khi!$AG$255,INDEX(Bang_danh_noc!$C$2:$C$8,MIN(7,MAX(1,2-(Vu_khi!$L$255-4)+1))),INDEX(Bang_xuyen_giap!$C$2:$C$8,MIN(7,MAX(1,IF($O$255,MAX(1,2-(Vu_khi!$L$255-4)),2-(Vu_khi!$L$255-4))+1))))</f>
        <v/>
      </c>
      <c r="AF255" t="n">
        <v>1</v>
      </c>
      <c r="AG255">
        <f>INDEX(Bang_xuyen_giap!$C$2:$C$8,MIN(7,MAX(1,MAX(1,2-(Vu_khi!$L$255-0))+1)))</f>
        <v/>
      </c>
      <c r="AH255" t="n">
        <v>1</v>
      </c>
      <c r="AI255">
        <f>IF($Q$255,$M$255*$AA$255*$U$255,0)</f>
        <v/>
      </c>
      <c r="AJ255" t="n">
        <v>17.94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14.95</v>
      </c>
      <c r="AO255">
        <f>IF($Q$255,$M$255*$AC$255*$Y$255,0)</f>
        <v/>
      </c>
      <c r="AP255" t="n">
        <v>6.210000000000001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2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weapons[id=p26_matriarch_direct_ma_atgm] (lớp B trên 01_chien_dau/Vu_khi)</t>
        </is>
      </c>
      <c r="BC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IF(Vu_khi!$AG$256,INDEX(Bang_danh_noc!$C$2:$C$8,MIN(7,MAX(1,2-(Vu_khi!$L$256-0)+1))),INDEX(Bang_xuyen_giap!$C$2:$C$8,MIN(7,MAX(1,IF($O$256,MAX(1,2-(Vu_khi!$L$256-0)),2-(Vu_khi!$L$256-0))+1))))</f>
        <v/>
      </c>
      <c r="AB256" t="n">
        <v>1.2</v>
      </c>
      <c r="AC256">
        <f>IF(Vu_khi!$AG$256,INDEX(Bang_danh_noc!$C$2:$C$8,MIN(7,MAX(1,2-(Vu_khi!$L$256-2)+1))),INDEX(Bang_xuyen_giap!$C$2:$C$8,MIN(7,MAX(1,IF($O$256,MAX(1,2-(Vu_khi!$L$256-2)),2-(Vu_khi!$L$256-2))+1))))</f>
        <v/>
      </c>
      <c r="AD256" t="n">
        <v>1.2</v>
      </c>
      <c r="AE256">
        <f>IF(Vu_khi!$AG$256,INDEX(Bang_danh_noc!$C$2:$C$8,MIN(7,MAX(1,2-(Vu_khi!$L$256-4)+1))),INDEX(Bang_xuyen_giap!$C$2:$C$8,MIN(7,MAX(1,IF($O$256,MAX(1,2-(Vu_khi!$L$256-4)),2-(Vu_khi!$L$256-4))+1))))</f>
        <v/>
      </c>
      <c r="AF256" t="n">
        <v>1</v>
      </c>
      <c r="AG256">
        <f>INDEX(Bang_xuyen_giap!$C$2:$C$8,MIN(7,MAX(1,MAX(1,2-(Vu_khi!$L$256-0))+1)))</f>
        <v/>
      </c>
      <c r="AH256" t="n">
        <v>1</v>
      </c>
      <c r="AI256">
        <f>IF($Q$256,$M$256*$AA$256*$U$256,0)</f>
        <v/>
      </c>
      <c r="AJ256" t="n">
        <v>265.2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221</v>
      </c>
      <c r="AO256">
        <f>IF($Q$256,$M$256*$AC$256*$Y$256,0)</f>
        <v/>
      </c>
      <c r="AP256" t="n">
        <v>91.80000000000001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0.1</v>
      </c>
      <c r="AZ256" t="inlineStr">
        <is>
          <t>NHANH_QUA;LECH_DOT_1</t>
        </is>
      </c>
      <c r="BA256" t="inlineStr"/>
      <c r="BB256" t="inlineStr">
        <is>
          <t>Assets/MachineBrigade/Resources/Data/balance.json: weapons[id=p26_matriarch_ma_atgm] (lớp B trên 01_chien_dau/Vu_khi)</t>
        </is>
      </c>
      <c r="BC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IF(Vu_khi!$AG$257,INDEX(Bang_danh_noc!$C$2:$C$8,MIN(7,MAX(1,2-(Vu_khi!$L$257-0)+1))),INDEX(Bang_xuyen_giap!$C$2:$C$8,MIN(7,MAX(1,IF($O$257,MAX(1,2-(Vu_khi!$L$257-0)),2-(Vu_khi!$L$257-0))+1))))</f>
        <v/>
      </c>
      <c r="AB257" t="n">
        <v>1.15</v>
      </c>
      <c r="AC257">
        <f>IF(Vu_khi!$AG$257,INDEX(Bang_danh_noc!$C$2:$C$8,MIN(7,MAX(1,2-(Vu_khi!$L$257-2)+1))),INDEX(Bang_xuyen_giap!$C$2:$C$8,MIN(7,MAX(1,IF($O$257,MAX(1,2-(Vu_khi!$L$257-2)),2-(Vu_khi!$L$257-2))+1))))</f>
        <v/>
      </c>
      <c r="AD257" t="n">
        <v>1.15</v>
      </c>
      <c r="AE257">
        <f>IF(Vu_khi!$AG$257,INDEX(Bang_danh_noc!$C$2:$C$8,MIN(7,MAX(1,2-(Vu_khi!$L$257-4)+1))),INDEX(Bang_xuyen_giap!$C$2:$C$8,MIN(7,MAX(1,IF($O$257,MAX(1,2-(Vu_khi!$L$257-4)),2-(Vu_khi!$L$257-4))+1))))</f>
        <v/>
      </c>
      <c r="AF257" t="n">
        <v>0.95</v>
      </c>
      <c r="AG257">
        <f>INDEX(Bang_xuyen_giap!$C$2:$C$8,MIN(7,MAX(1,MAX(1,2-(Vu_khi!$L$257-0))+1)))</f>
        <v/>
      </c>
      <c r="AH257" t="n">
        <v>1</v>
      </c>
      <c r="AI257">
        <f>IF($Q$257,$M$257*$AA$257*$U$257,0)</f>
        <v/>
      </c>
      <c r="AJ257" t="n">
        <v>574.0799999999999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474.24</v>
      </c>
      <c r="AO257">
        <f>IF($Q$257,$M$257*$AC$257*$Y$257,0)</f>
        <v/>
      </c>
      <c r="AP257" t="n">
        <v>198.72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2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weapons[id=p26_matriarch_ma_drones] (lớp B trên 01_chien_dau/Vu_khi)</t>
        </is>
      </c>
      <c r="BC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IF(Vu_khi!$AG$258,INDEX(Bang_danh_noc!$C$2:$C$8,MIN(7,MAX(1,2-(Vu_khi!$L$258-0)+1))),INDEX(Bang_xuyen_giap!$C$2:$C$8,MIN(7,MAX(1,IF($O$258,MAX(1,2-(Vu_khi!$L$258-0)),2-(Vu_khi!$L$258-0))+1))))</f>
        <v/>
      </c>
      <c r="AB258" t="n">
        <v>1.2</v>
      </c>
      <c r="AC258">
        <f>IF(Vu_khi!$AG$258,INDEX(Bang_danh_noc!$C$2:$C$8,MIN(7,MAX(1,2-(Vu_khi!$L$258-2)+1))),INDEX(Bang_xuyen_giap!$C$2:$C$8,MIN(7,MAX(1,IF($O$258,MAX(1,2-(Vu_khi!$L$258-2)),2-(Vu_khi!$L$258-2))+1))))</f>
        <v/>
      </c>
      <c r="AD258" t="n">
        <v>0.85</v>
      </c>
      <c r="AE258">
        <f>IF(Vu_khi!$AG$258,INDEX(Bang_danh_noc!$C$2:$C$8,MIN(7,MAX(1,2-(Vu_khi!$L$258-4)+1))),INDEX(Bang_xuyen_giap!$C$2:$C$8,MIN(7,MAX(1,IF($O$258,MAX(1,2-(Vu_khi!$L$258-4)),2-(Vu_khi!$L$258-4))+1))))</f>
        <v/>
      </c>
      <c r="AF258" t="n">
        <v>0.4</v>
      </c>
      <c r="AG258">
        <f>INDEX(Bang_xuyen_giap!$C$2:$C$8,MIN(7,MAX(1,MAX(1,2-(Vu_khi!$L$258-0))+1)))</f>
        <v/>
      </c>
      <c r="AH258" t="n">
        <v>1</v>
      </c>
      <c r="AI258">
        <f>IF($Q$258,$M$258*$AA$258*$U$258,0)</f>
        <v/>
      </c>
      <c r="AJ258" t="n">
        <v>126.7250690027601</v>
      </c>
      <c r="AK258">
        <f>IF($Q$258,$M$258*$AC$258*$U$258,0)</f>
        <v/>
      </c>
      <c r="AL258" t="n">
        <v>89.76359054362173</v>
      </c>
      <c r="AM258">
        <f>IF($Q$258,$M$258*$AE$258*$U$258,0)</f>
        <v/>
      </c>
      <c r="AN258" t="n">
        <v>42.2416896675867</v>
      </c>
      <c r="AO258">
        <f>IF($Q$258,$M$258*$AC$258*$Y$258,0)</f>
        <v/>
      </c>
      <c r="AP258" t="n">
        <v>52.36209448377934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3.3332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weapons[id=p26_matriarch_sec_autocannon_30] (lớp B trên 01_chien_dau/Vu_khi)</t>
        </is>
      </c>
      <c r="BC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IF(Vu_khi!$AG$259,INDEX(Bang_danh_noc!$C$2:$C$8,MIN(7,MAX(1,2-(Vu_khi!$L$259-0)+1))),INDEX(Bang_xuyen_giap!$C$2:$C$8,MIN(7,MAX(1,IF($O$259,MAX(1,2-(Vu_khi!$L$259-0)),2-(Vu_khi!$L$259-0))+1))))</f>
        <v/>
      </c>
      <c r="AB259" t="n">
        <v>1.2</v>
      </c>
      <c r="AC259">
        <f>IF(Vu_khi!$AG$259,INDEX(Bang_danh_noc!$C$2:$C$8,MIN(7,MAX(1,2-(Vu_khi!$L$259-2)+1))),INDEX(Bang_xuyen_giap!$C$2:$C$8,MIN(7,MAX(1,IF($O$259,MAX(1,2-(Vu_khi!$L$259-2)),2-(Vu_khi!$L$259-2))+1))))</f>
        <v/>
      </c>
      <c r="AD259" t="n">
        <v>0.85</v>
      </c>
      <c r="AE259">
        <f>IF(Vu_khi!$AG$259,INDEX(Bang_danh_noc!$C$2:$C$8,MIN(7,MAX(1,2-(Vu_khi!$L$259-4)+1))),INDEX(Bang_xuyen_giap!$C$2:$C$8,MIN(7,MAX(1,IF($O$259,MAX(1,2-(Vu_khi!$L$259-4)),2-(Vu_khi!$L$259-4))+1))))</f>
        <v/>
      </c>
      <c r="AF259" t="n">
        <v>0.4</v>
      </c>
      <c r="AG259">
        <f>INDEX(Bang_xuyen_giap!$C$2:$C$8,MIN(7,MAX(1,MAX(1,2-(Vu_khi!$L$259-0))+1)))</f>
        <v/>
      </c>
      <c r="AH259" t="n">
        <v>1</v>
      </c>
      <c r="AI259">
        <f>IF($Q$259,$M$259*$AA$259*$U$259,0)</f>
        <v/>
      </c>
      <c r="AJ259" t="n">
        <v>134.2657342657343</v>
      </c>
      <c r="AK259">
        <f>IF($Q$259,$M$259*$AC$259*$U$259,0)</f>
        <v/>
      </c>
      <c r="AL259" t="n">
        <v>95.10489510489511</v>
      </c>
      <c r="AM259">
        <f>IF($Q$259,$M$259*$AE$259*$U$259,0)</f>
        <v/>
      </c>
      <c r="AN259" t="n">
        <v>44.75524475524476</v>
      </c>
      <c r="AO259">
        <f>IF($Q$259,$M$259*$AC$259*$Y$259,0)</f>
        <v/>
      </c>
      <c r="AP259" t="n">
        <v>152.1678321678322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2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2.145</v>
      </c>
      <c r="AZ259" t="inlineStr">
        <is>
          <t>ok</t>
        </is>
      </c>
      <c r="BA259" t="b">
        <v>1</v>
      </c>
      <c r="BB259" t="inlineStr">
        <is>
          <t>Assets/MachineBrigade/Resources/Data/balance.json: weapons[id=p26_matriarch_tiny_mothership_cannon] (lớp B trên 01_chien_dau/Vu_khi)</t>
        </is>
      </c>
      <c r="BC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IF(Vu_khi!$AG$260,INDEX(Bang_danh_noc!$C$2:$C$8,MIN(7,MAX(1,2-(Vu_khi!$L$260-0)+1))),INDEX(Bang_xuyen_giap!$C$2:$C$8,MIN(7,MAX(1,IF($O$260,MAX(1,2-(Vu_khi!$L$260-0)),2-(Vu_khi!$L$260-0))+1))))</f>
        <v/>
      </c>
      <c r="AB260" t="n">
        <v>1.2</v>
      </c>
      <c r="AC260">
        <f>IF(Vu_khi!$AG$260,INDEX(Bang_danh_noc!$C$2:$C$8,MIN(7,MAX(1,2-(Vu_khi!$L$260-2)+1))),INDEX(Bang_xuyen_giap!$C$2:$C$8,MIN(7,MAX(1,IF($O$260,MAX(1,2-(Vu_khi!$L$260-2)),2-(Vu_khi!$L$260-2))+1))))</f>
        <v/>
      </c>
      <c r="AD260" t="n">
        <v>0.85</v>
      </c>
      <c r="AE260">
        <f>IF(Vu_khi!$AG$260,INDEX(Bang_danh_noc!$C$2:$C$8,MIN(7,MAX(1,2-(Vu_khi!$L$260-4)+1))),INDEX(Bang_xuyen_giap!$C$2:$C$8,MIN(7,MAX(1,IF($O$260,MAX(1,2-(Vu_khi!$L$260-4)),2-(Vu_khi!$L$260-4))+1))))</f>
        <v/>
      </c>
      <c r="AF260" t="n">
        <v>0.4</v>
      </c>
      <c r="AG260">
        <f>INDEX(Bang_xuyen_giap!$C$2:$C$8,MIN(7,MAX(1,MAX(1,2-(Vu_khi!$L$260-0))+1)))</f>
        <v/>
      </c>
      <c r="AH260" t="n">
        <v>1</v>
      </c>
      <c r="AI260">
        <f>IF($Q$260,$M$260*$AA$260*$U$260,0)</f>
        <v/>
      </c>
      <c r="AJ260" t="n">
        <v>102.8810408921933</v>
      </c>
      <c r="AK260">
        <f>IF($Q$260,$M$260*$AC$260*$U$260,0)</f>
        <v/>
      </c>
      <c r="AL260" t="n">
        <v>72.87407063197026</v>
      </c>
      <c r="AM260">
        <f>IF($Q$260,$M$260*$AE$260*$U$260,0)</f>
        <v/>
      </c>
      <c r="AN260" t="n">
        <v>34.29368029739777</v>
      </c>
      <c r="AO260">
        <f>IF($Q$260,$M$260*$AC$260*$Y$260,0)</f>
        <v/>
      </c>
      <c r="AP260" t="n">
        <v>16.19423791821561</v>
      </c>
      <c r="AQ260">
        <f>IF($S$260,$M$260*$AG$260*$W$260,0)</f>
        <v/>
      </c>
      <c r="AR260" t="n">
        <v>257.2026022304833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2.405691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weapons[id=p26_moloch_close_boss_flak] (lớp B trên 01_chien_dau/Vu_khi)</t>
        </is>
      </c>
      <c r="BC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IF(Vu_khi!$AG$261,INDEX(Bang_danh_noc!$C$2:$C$8,MIN(7,MAX(1,2-(Vu_khi!$L$261-0)+1))),INDEX(Bang_xuyen_giap!$C$2:$C$8,MIN(7,MAX(1,IF($O$261,MAX(1,2-(Vu_khi!$L$261-0)),2-(Vu_khi!$L$261-0))+1))))</f>
        <v/>
      </c>
      <c r="AB261" t="n">
        <v>1.2</v>
      </c>
      <c r="AC261">
        <f>IF(Vu_khi!$AG$261,INDEX(Bang_danh_noc!$C$2:$C$8,MIN(7,MAX(1,2-(Vu_khi!$L$261-2)+1))),INDEX(Bang_xuyen_giap!$C$2:$C$8,MIN(7,MAX(1,IF($O$261,MAX(1,2-(Vu_khi!$L$261-2)),2-(Vu_khi!$L$261-2))+1))))</f>
        <v/>
      </c>
      <c r="AD261" t="n">
        <v>1.2</v>
      </c>
      <c r="AE261">
        <f>IF(Vu_khi!$AG$261,INDEX(Bang_danh_noc!$C$2:$C$8,MIN(7,MAX(1,2-(Vu_khi!$L$261-4)+1))),INDEX(Bang_xuyen_giap!$C$2:$C$8,MIN(7,MAX(1,IF($O$261,MAX(1,2-(Vu_khi!$L$261-4)),2-(Vu_khi!$L$261-4))+1))))</f>
        <v/>
      </c>
      <c r="AF261" t="n">
        <v>1</v>
      </c>
      <c r="AG261">
        <f>INDEX(Bang_xuyen_giap!$C$2:$C$8,MIN(7,MAX(1,MAX(1,2-(Vu_khi!$L$261-0))+1)))</f>
        <v/>
      </c>
      <c r="AH261" t="n">
        <v>1</v>
      </c>
      <c r="AI261">
        <f>IF($Q$261,$M$261*$AA$261*$U$261,0)</f>
        <v/>
      </c>
      <c r="AJ261" t="n">
        <v>99.83999999999999</v>
      </c>
      <c r="AK261">
        <f>IF($Q$261,$M$261*$AC$261*$U$261,0)</f>
        <v/>
      </c>
      <c r="AL261" t="n">
        <v>99.83999999999999</v>
      </c>
      <c r="AM261">
        <f>IF($Q$261,$M$261*$AE$261*$U$261,0)</f>
        <v/>
      </c>
      <c r="AN261" t="n">
        <v>83.19999999999999</v>
      </c>
      <c r="AO261">
        <f>IF($Q$261,$M$261*$AC$261*$Y$261,0)</f>
        <v/>
      </c>
      <c r="AP261" t="n">
        <v>58.23999999999999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3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0.7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weapons[id=p26_moloch_direct_mo120ap] (lớp B trên 01_chien_dau/Vu_khi)</t>
        </is>
      </c>
      <c r="BC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IF(Vu_khi!$AG$262,INDEX(Bang_danh_noc!$C$2:$C$8,MIN(7,MAX(1,2-(Vu_khi!$L$262-0)+1))),INDEX(Bang_xuyen_giap!$C$2:$C$8,MIN(7,MAX(1,IF($O$262,MAX(1,2-(Vu_khi!$L$262-0)),2-(Vu_khi!$L$262-0))+1))))</f>
        <v/>
      </c>
      <c r="AB262" t="n">
        <v>1.2</v>
      </c>
      <c r="AC262">
        <f>IF(Vu_khi!$AG$262,INDEX(Bang_danh_noc!$C$2:$C$8,MIN(7,MAX(1,2-(Vu_khi!$L$262-2)+1))),INDEX(Bang_xuyen_giap!$C$2:$C$8,MIN(7,MAX(1,IF($O$262,MAX(1,2-(Vu_khi!$L$262-2)),2-(Vu_khi!$L$262-2))+1))))</f>
        <v/>
      </c>
      <c r="AD262" t="n">
        <v>1.2</v>
      </c>
      <c r="AE262">
        <f>IF(Vu_khi!$AG$262,INDEX(Bang_danh_noc!$C$2:$C$8,MIN(7,MAX(1,2-(Vu_khi!$L$262-4)+1))),INDEX(Bang_xuyen_giap!$C$2:$C$8,MIN(7,MAX(1,IF($O$262,MAX(1,2-(Vu_khi!$L$262-4)),2-(Vu_khi!$L$262-4))+1))))</f>
        <v/>
      </c>
      <c r="AF262" t="n">
        <v>0.85</v>
      </c>
      <c r="AG262">
        <f>INDEX(Bang_xuyen_giap!$C$2:$C$8,MIN(7,MAX(1,MAX(1,2-(Vu_khi!$L$262-0))+1)))</f>
        <v/>
      </c>
      <c r="AH262" t="n">
        <v>1</v>
      </c>
      <c r="AI262">
        <f>IF($Q$262,$M$262*$AA$262*$U$262,0)</f>
        <v/>
      </c>
      <c r="AJ262" t="n">
        <v>108.8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77.06666666666666</v>
      </c>
      <c r="AO262">
        <f>IF($Q$262,$M$262*$AC$262*$Y$262,0)</f>
        <v/>
      </c>
      <c r="AP262" t="n">
        <v>174.08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weapons[id=p26_moloch_main_mo120] (lớp B trên 01_chien_dau/Vu_khi)</t>
        </is>
      </c>
      <c r="BC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IF(Vu_khi!$AG$263,INDEX(Bang_danh_noc!$C$2:$C$8,MIN(7,MAX(1,2-(Vu_khi!$L$263-0)+1))),INDEX(Bang_xuyen_giap!$C$2:$C$8,MIN(7,MAX(1,IF($O$263,MAX(1,2-(Vu_khi!$L$263-0)),2-(Vu_khi!$L$263-0))+1))))</f>
        <v/>
      </c>
      <c r="AB263" t="n">
        <v>1.2</v>
      </c>
      <c r="AC263">
        <f>IF(Vu_khi!$AG$263,INDEX(Bang_danh_noc!$C$2:$C$8,MIN(7,MAX(1,2-(Vu_khi!$L$263-2)+1))),INDEX(Bang_xuyen_giap!$C$2:$C$8,MIN(7,MAX(1,IF($O$263,MAX(1,2-(Vu_khi!$L$263-2)),2-(Vu_khi!$L$263-2))+1))))</f>
        <v/>
      </c>
      <c r="AD263" t="n">
        <v>1.2</v>
      </c>
      <c r="AE263">
        <f>IF(Vu_khi!$AG$263,INDEX(Bang_danh_noc!$C$2:$C$8,MIN(7,MAX(1,2-(Vu_khi!$L$263-4)+1))),INDEX(Bang_xuyen_giap!$C$2:$C$8,MIN(7,MAX(1,IF($O$263,MAX(1,2-(Vu_khi!$L$263-4)),2-(Vu_khi!$L$263-4))+1))))</f>
        <v/>
      </c>
      <c r="AF263" t="n">
        <v>0.85</v>
      </c>
      <c r="AG263">
        <f>INDEX(Bang_xuyen_giap!$C$2:$C$8,MIN(7,MAX(1,MAX(1,2-(Vu_khi!$L$263-0))+1)))</f>
        <v/>
      </c>
      <c r="AH263" t="n">
        <v>1</v>
      </c>
      <c r="AI263">
        <f>IF($Q$263,$M$263*$AA$263*$U$263,0)</f>
        <v/>
      </c>
      <c r="AJ263" t="n">
        <v>135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95.625</v>
      </c>
      <c r="AO263">
        <f>IF($Q$263,$M$263*$AC$263*$Y$263,0)</f>
        <v/>
      </c>
      <c r="AP263" t="n">
        <v>216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0.186667</v>
      </c>
      <c r="AZ263" t="inlineStr">
        <is>
          <t>NHANH_QUA;LECH_DOT_1</t>
        </is>
      </c>
      <c r="BA263" t="inlineStr"/>
      <c r="BB263" t="inlineStr">
        <is>
          <t>Assets/MachineBrigade/Resources/Data/balance.json: weapons[id=p26_moloch_mo120] (lớp B trên 01_chien_dau/Vu_khi)</t>
        </is>
      </c>
      <c r="BC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IF(Vu_khi!$AG$264,INDEX(Bang_danh_noc!$C$2:$C$8,MIN(7,MAX(1,2-(Vu_khi!$L$264-0)+1))),INDEX(Bang_xuyen_giap!$C$2:$C$8,MIN(7,MAX(1,IF($O$264,MAX(1,2-(Vu_khi!$L$264-0)),2-(Vu_khi!$L$264-0))+1))))</f>
        <v/>
      </c>
      <c r="AB264" t="n">
        <v>1.2</v>
      </c>
      <c r="AC264">
        <f>IF(Vu_khi!$AG$264,INDEX(Bang_danh_noc!$C$2:$C$8,MIN(7,MAX(1,2-(Vu_khi!$L$264-2)+1))),INDEX(Bang_xuyen_giap!$C$2:$C$8,MIN(7,MAX(1,IF($O$264,MAX(1,2-(Vu_khi!$L$264-2)),2-(Vu_khi!$L$264-2))+1))))</f>
        <v/>
      </c>
      <c r="AD264" t="n">
        <v>1.2</v>
      </c>
      <c r="AE264">
        <f>IF(Vu_khi!$AG$264,INDEX(Bang_danh_noc!$C$2:$C$8,MIN(7,MAX(1,2-(Vu_khi!$L$264-4)+1))),INDEX(Bang_xuyen_giap!$C$2:$C$8,MIN(7,MAX(1,IF($O$264,MAX(1,2-(Vu_khi!$L$264-4)),2-(Vu_khi!$L$264-4))+1))))</f>
        <v/>
      </c>
      <c r="AF264" t="n">
        <v>1</v>
      </c>
      <c r="AG264">
        <f>INDEX(Bang_xuyen_giap!$C$2:$C$8,MIN(7,MAX(1,MAX(1,2-(Vu_khi!$L$264-0))+1)))</f>
        <v/>
      </c>
      <c r="AH264" t="n">
        <v>1</v>
      </c>
      <c r="AI264">
        <f>IF($Q$264,$M$264*$AA$264*$U$264,0)</f>
        <v/>
      </c>
      <c r="AJ264" t="n">
        <v>172.8</v>
      </c>
      <c r="AK264">
        <f>IF($Q$264,$M$264*$AC$264*$U$264,0)</f>
        <v/>
      </c>
      <c r="AL264" t="n">
        <v>172.8</v>
      </c>
      <c r="AM264">
        <f>IF($Q$264,$M$264*$AE$264*$U$264,0)</f>
        <v/>
      </c>
      <c r="AN264" t="n">
        <v>144</v>
      </c>
      <c r="AO264">
        <f>IF($Q$264,$M$264*$AC$264*$Y$264,0)</f>
        <v/>
      </c>
      <c r="AP264" t="n">
        <v>100.8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weapons[id=p26_moloch_mo120ap] (lớp B trên 01_chien_dau/Vu_khi)</t>
        </is>
      </c>
      <c r="BC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IF(Vu_khi!$AG$265,INDEX(Bang_danh_noc!$C$2:$C$8,MIN(7,MAX(1,2-(Vu_khi!$L$265-0)+1))),INDEX(Bang_xuyen_giap!$C$2:$C$8,MIN(7,MAX(1,IF($O$265,MAX(1,2-(Vu_khi!$L$265-0)),2-(Vu_khi!$L$265-0))+1))))</f>
        <v/>
      </c>
      <c r="AB265" t="n">
        <v>1</v>
      </c>
      <c r="AC265">
        <f>IF(Vu_khi!$AG$265,INDEX(Bang_danh_noc!$C$2:$C$8,MIN(7,MAX(1,2-(Vu_khi!$L$265-2)+1))),INDEX(Bang_xuyen_giap!$C$2:$C$8,MIN(7,MAX(1,IF($O$265,MAX(1,2-(Vu_khi!$L$265-2)),2-(Vu_khi!$L$265-2))+1))))</f>
        <v/>
      </c>
      <c r="AD265" t="n">
        <v>0.65</v>
      </c>
      <c r="AE265">
        <f>IF(Vu_khi!$AG$265,INDEX(Bang_danh_noc!$C$2:$C$8,MIN(7,MAX(1,2-(Vu_khi!$L$265-4)+1))),INDEX(Bang_xuyen_giap!$C$2:$C$8,MIN(7,MAX(1,IF($O$265,MAX(1,2-(Vu_khi!$L$265-4)),2-(Vu_khi!$L$265-4))+1))))</f>
        <v/>
      </c>
      <c r="AF265" t="n">
        <v>0.15</v>
      </c>
      <c r="AG265">
        <f>INDEX(Bang_xuyen_giap!$C$2:$C$8,MIN(7,MAX(1,MAX(1,2-(Vu_khi!$L$265-0))+1)))</f>
        <v/>
      </c>
      <c r="AH265" t="n">
        <v>1</v>
      </c>
      <c r="AI265">
        <f>IF($Q$265,$M$265*$AA$265*$U$265,0)</f>
        <v/>
      </c>
      <c r="AJ265" t="n">
        <v>31.75403225806452</v>
      </c>
      <c r="AK265">
        <f>IF($Q$265,$M$265*$AC$265*$U$265,0)</f>
        <v/>
      </c>
      <c r="AL265" t="n">
        <v>20.64012096774194</v>
      </c>
      <c r="AM265">
        <f>IF($Q$265,$M$265*$AE$265*$U$265,0)</f>
        <v/>
      </c>
      <c r="AN265" t="n">
        <v>4.763104838709678</v>
      </c>
      <c r="AO265">
        <f>IF($Q$265,$M$265*$AC$265*$Y$265,0)</f>
        <v/>
      </c>
      <c r="AP265" t="n">
        <v>4.586693548387097</v>
      </c>
      <c r="AQ265">
        <f>IF($S$265,$M$265*$AG$265*$W$265,0)</f>
        <v/>
      </c>
      <c r="AR265" t="n">
        <v>95.26209677419355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1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1.653333</v>
      </c>
      <c r="AZ265" t="inlineStr">
        <is>
          <t>ok</t>
        </is>
      </c>
      <c r="BA265" t="b">
        <v>1</v>
      </c>
      <c r="BB265" t="inlineStr">
        <is>
          <t>Assets/MachineBrigade/Resources/Data/balance.json: weapons[id=p26_moloch_tiny_zu23] (lớp B trên 01_chien_dau/Vu_khi)</t>
        </is>
      </c>
      <c r="BC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IF(Vu_khi!$AG$266,INDEX(Bang_danh_noc!$C$2:$C$8,MIN(7,MAX(1,2-(Vu_khi!$L$266-0)+1))),INDEX(Bang_xuyen_giap!$C$2:$C$8,MIN(7,MAX(1,IF($O$266,MAX(1,2-(Vu_khi!$L$266-0)),2-(Vu_khi!$L$266-0))+1))))</f>
        <v/>
      </c>
      <c r="AB266" t="n">
        <v>1.2</v>
      </c>
      <c r="AC266">
        <f>IF(Vu_khi!$AG$266,INDEX(Bang_danh_noc!$C$2:$C$8,MIN(7,MAX(1,2-(Vu_khi!$L$266-2)+1))),INDEX(Bang_xuyen_giap!$C$2:$C$8,MIN(7,MAX(1,IF($O$266,MAX(1,2-(Vu_khi!$L$266-2)),2-(Vu_khi!$L$266-2))+1))))</f>
        <v/>
      </c>
      <c r="AD266" t="n">
        <v>0.85</v>
      </c>
      <c r="AE266">
        <f>IF(Vu_khi!$AG$266,INDEX(Bang_danh_noc!$C$2:$C$8,MIN(7,MAX(1,2-(Vu_khi!$L$266-4)+1))),INDEX(Bang_xuyen_giap!$C$2:$C$8,MIN(7,MAX(1,IF($O$266,MAX(1,2-(Vu_khi!$L$266-4)),2-(Vu_khi!$L$266-4))+1))))</f>
        <v/>
      </c>
      <c r="AF266" t="n">
        <v>0.4</v>
      </c>
      <c r="AG266">
        <f>INDEX(Bang_xuyen_giap!$C$2:$C$8,MIN(7,MAX(1,MAX(1,2-(Vu_khi!$L$266-0))+1)))</f>
        <v/>
      </c>
      <c r="AH266" t="n">
        <v>1</v>
      </c>
      <c r="AI266">
        <f>IF($Q$266,$M$266*$AA$266*$U$266,0)</f>
        <v/>
      </c>
      <c r="AJ266" t="n">
        <v>102.8810408921933</v>
      </c>
      <c r="AK266">
        <f>IF($Q$266,$M$266*$AC$266*$U$266,0)</f>
        <v/>
      </c>
      <c r="AL266" t="n">
        <v>72.87407063197026</v>
      </c>
      <c r="AM266">
        <f>IF($Q$266,$M$266*$AE$266*$U$266,0)</f>
        <v/>
      </c>
      <c r="AN266" t="n">
        <v>34.29368029739777</v>
      </c>
      <c r="AO266">
        <f>IF($Q$266,$M$266*$AC$266*$Y$266,0)</f>
        <v/>
      </c>
      <c r="AP266" t="n">
        <v>16.19423791821561</v>
      </c>
      <c r="AQ266">
        <f>IF($S$266,$M$266*$AG$266*$W$266,0)</f>
        <v/>
      </c>
      <c r="AR266" t="n">
        <v>257.2026022304833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1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2.405691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weapons[id=p26_nemesis_close_boss_flak] (lớp B trên 01_chien_dau/Vu_khi)</t>
        </is>
      </c>
      <c r="BC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IF(Vu_khi!$AG$267,INDEX(Bang_danh_noc!$C$2:$C$8,MIN(7,MAX(1,2-(Vu_khi!$L$267-0)+1))),INDEX(Bang_xuyen_giap!$C$2:$C$8,MIN(7,MAX(1,IF($O$267,MAX(1,2-(Vu_khi!$L$267-0)),2-(Vu_khi!$L$267-0))+1))))</f>
        <v/>
      </c>
      <c r="AB267" t="n">
        <v>1.2</v>
      </c>
      <c r="AC267">
        <f>IF(Vu_khi!$AG$267,INDEX(Bang_danh_noc!$C$2:$C$8,MIN(7,MAX(1,2-(Vu_khi!$L$267-2)+1))),INDEX(Bang_xuyen_giap!$C$2:$C$8,MIN(7,MAX(1,IF($O$267,MAX(1,2-(Vu_khi!$L$267-2)),2-(Vu_khi!$L$267-2))+1))))</f>
        <v/>
      </c>
      <c r="AD267" t="n">
        <v>1.2</v>
      </c>
      <c r="AE267">
        <f>IF(Vu_khi!$AG$267,INDEX(Bang_danh_noc!$C$2:$C$8,MIN(7,MAX(1,2-(Vu_khi!$L$267-4)+1))),INDEX(Bang_xuyen_giap!$C$2:$C$8,MIN(7,MAX(1,IF($O$267,MAX(1,2-(Vu_khi!$L$267-4)),2-(Vu_khi!$L$267-4))+1))))</f>
        <v/>
      </c>
      <c r="AF267" t="n">
        <v>1</v>
      </c>
      <c r="AG267">
        <f>INDEX(Bang_xuyen_giap!$C$2:$C$8,MIN(7,MAX(1,MAX(1,2-(Vu_khi!$L$267-0))+1)))</f>
        <v/>
      </c>
      <c r="AH267" t="n">
        <v>1</v>
      </c>
      <c r="AI267">
        <f>IF($Q$267,$M$267*$AA$267*$U$267,0)</f>
        <v/>
      </c>
      <c r="AJ267" t="n">
        <v>76.8</v>
      </c>
      <c r="AK267">
        <f>IF($Q$267,$M$267*$AC$267*$U$267,0)</f>
        <v/>
      </c>
      <c r="AL267" t="n">
        <v>76.8</v>
      </c>
      <c r="AM267">
        <f>IF($Q$267,$M$267*$AE$267*$U$267,0)</f>
        <v/>
      </c>
      <c r="AN267" t="n">
        <v>64</v>
      </c>
      <c r="AO267">
        <f>IF($Q$267,$M$267*$AC$267*$Y$267,0)</f>
        <v/>
      </c>
      <c r="AP267" t="n">
        <v>44.8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3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0.7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weapons[id=p26_nemesis_direct_ne125] (lớp B trên 01_chien_dau/Vu_khi)</t>
        </is>
      </c>
      <c r="BC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IF(Vu_khi!$AG$268,INDEX(Bang_danh_noc!$C$2:$C$8,MIN(7,MAX(1,2-(Vu_khi!$L$268-0)+1))),INDEX(Bang_xuyen_giap!$C$2:$C$8,MIN(7,MAX(1,IF($O$268,MAX(1,2-(Vu_khi!$L$268-0)),2-(Vu_khi!$L$268-0))+1))))</f>
        <v/>
      </c>
      <c r="AB268" t="n">
        <v>1.2</v>
      </c>
      <c r="AC268">
        <f>IF(Vu_khi!$AG$268,INDEX(Bang_danh_noc!$C$2:$C$8,MIN(7,MAX(1,2-(Vu_khi!$L$268-2)+1))),INDEX(Bang_xuyen_giap!$C$2:$C$8,MIN(7,MAX(1,IF($O$268,MAX(1,2-(Vu_khi!$L$268-2)),2-(Vu_khi!$L$268-2))+1))))</f>
        <v/>
      </c>
      <c r="AD268" t="n">
        <v>1</v>
      </c>
      <c r="AE268">
        <f>IF(Vu_khi!$AG$268,INDEX(Bang_danh_noc!$C$2:$C$8,MIN(7,MAX(1,2-(Vu_khi!$L$268-4)+1))),INDEX(Bang_xuyen_giap!$C$2:$C$8,MIN(7,MAX(1,IF($O$268,MAX(1,2-(Vu_khi!$L$268-4)),2-(Vu_khi!$L$268-4))+1))))</f>
        <v/>
      </c>
      <c r="AF268" t="n">
        <v>0.65</v>
      </c>
      <c r="AG268">
        <f>INDEX(Bang_xuyen_giap!$C$2:$C$8,MIN(7,MAX(1,MAX(1,2-(Vu_khi!$L$268-0))+1)))</f>
        <v/>
      </c>
      <c r="AH268" t="n">
        <v>1</v>
      </c>
      <c r="AI268">
        <f>IF($Q$268,$M$268*$AA$268*$U$268,0)</f>
        <v/>
      </c>
      <c r="AJ268" t="n">
        <v>96</v>
      </c>
      <c r="AK268">
        <f>IF($Q$268,$M$268*$AC$268*$U$268,0)</f>
        <v/>
      </c>
      <c r="AL268" t="n">
        <v>80</v>
      </c>
      <c r="AM268">
        <f>IF($Q$268,$M$268*$AE$268*$U$268,0)</f>
        <v/>
      </c>
      <c r="AN268" t="n">
        <v>52</v>
      </c>
      <c r="AO268">
        <f>IF($Q$268,$M$268*$AC$268*$Y$268,0)</f>
        <v/>
      </c>
      <c r="AP268" t="n">
        <v>128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weapons[id=p26_nemesis_main_ne152] (lớp B trên 01_chien_dau/Vu_khi)</t>
        </is>
      </c>
      <c r="BC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IF(Vu_khi!$AG$269,INDEX(Bang_danh_noc!$C$2:$C$8,MIN(7,MAX(1,2-(Vu_khi!$L$269-0)+1))),INDEX(Bang_xuyen_giap!$C$2:$C$8,MIN(7,MAX(1,IF($O$269,MAX(1,2-(Vu_khi!$L$269-0)),2-(Vu_khi!$L$269-0))+1))))</f>
        <v/>
      </c>
      <c r="AB269" t="n">
        <v>1.2</v>
      </c>
      <c r="AC269">
        <f>IF(Vu_khi!$AG$269,INDEX(Bang_danh_noc!$C$2:$C$8,MIN(7,MAX(1,2-(Vu_khi!$L$269-2)+1))),INDEX(Bang_xuyen_giap!$C$2:$C$8,MIN(7,MAX(1,IF($O$269,MAX(1,2-(Vu_khi!$L$269-2)),2-(Vu_khi!$L$269-2))+1))))</f>
        <v/>
      </c>
      <c r="AD269" t="n">
        <v>1.2</v>
      </c>
      <c r="AE269">
        <f>IF(Vu_khi!$AG$269,INDEX(Bang_danh_noc!$C$2:$C$8,MIN(7,MAX(1,2-(Vu_khi!$L$269-4)+1))),INDEX(Bang_xuyen_giap!$C$2:$C$8,MIN(7,MAX(1,IF($O$269,MAX(1,2-(Vu_khi!$L$269-4)),2-(Vu_khi!$L$269-4))+1))))</f>
        <v/>
      </c>
      <c r="AF269" t="n">
        <v>1</v>
      </c>
      <c r="AG269">
        <f>INDEX(Bang_xuyen_giap!$C$2:$C$8,MIN(7,MAX(1,MAX(1,2-(Vu_khi!$L$269-0))+1)))</f>
        <v/>
      </c>
      <c r="AH269" t="n">
        <v>1</v>
      </c>
      <c r="AI269">
        <f>IF($Q$269,$M$269*$AA$269*$U$269,0)</f>
        <v/>
      </c>
      <c r="AJ269" t="n">
        <v>201.6</v>
      </c>
      <c r="AK269">
        <f>IF($Q$269,$M$269*$AC$269*$U$269,0)</f>
        <v/>
      </c>
      <c r="AL269" t="n">
        <v>201.6</v>
      </c>
      <c r="AM269">
        <f>IF($Q$269,$M$269*$AE$269*$U$269,0)</f>
        <v/>
      </c>
      <c r="AN269" t="n">
        <v>168</v>
      </c>
      <c r="AO269">
        <f>IF($Q$269,$M$269*$AC$269*$Y$269,0)</f>
        <v/>
      </c>
      <c r="AP269" t="n">
        <v>117.6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weapons[id=p26_nemesis_ne125] (lớp B trên 01_chien_dau/Vu_khi)</t>
        </is>
      </c>
      <c r="BC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IF(Vu_khi!$AG$270,INDEX(Bang_danh_noc!$C$2:$C$8,MIN(7,MAX(1,2-(Vu_khi!$L$270-0)+1))),INDEX(Bang_xuyen_giap!$C$2:$C$8,MIN(7,MAX(1,IF($O$270,MAX(1,2-(Vu_khi!$L$270-0)),2-(Vu_khi!$L$270-0))+1))))</f>
        <v/>
      </c>
      <c r="AB270" t="n">
        <v>1.2</v>
      </c>
      <c r="AC270">
        <f>IF(Vu_khi!$AG$270,INDEX(Bang_danh_noc!$C$2:$C$8,MIN(7,MAX(1,2-(Vu_khi!$L$270-2)+1))),INDEX(Bang_xuyen_giap!$C$2:$C$8,MIN(7,MAX(1,IF($O$270,MAX(1,2-(Vu_khi!$L$270-2)),2-(Vu_khi!$L$270-2))+1))))</f>
        <v/>
      </c>
      <c r="AD270" t="n">
        <v>1</v>
      </c>
      <c r="AE270">
        <f>IF(Vu_khi!$AG$270,INDEX(Bang_danh_noc!$C$2:$C$8,MIN(7,MAX(1,2-(Vu_khi!$L$270-4)+1))),INDEX(Bang_xuyen_giap!$C$2:$C$8,MIN(7,MAX(1,IF($O$270,MAX(1,2-(Vu_khi!$L$270-4)),2-(Vu_khi!$L$270-4))+1))))</f>
        <v/>
      </c>
      <c r="AF270" t="n">
        <v>0.65</v>
      </c>
      <c r="AG270">
        <f>INDEX(Bang_xuyen_giap!$C$2:$C$8,MIN(7,MAX(1,MAX(1,2-(Vu_khi!$L$270-0))+1)))</f>
        <v/>
      </c>
      <c r="AH270" t="n">
        <v>1</v>
      </c>
      <c r="AI270">
        <f>IF($Q$270,$M$270*$AA$270*$U$270,0)</f>
        <v/>
      </c>
      <c r="AJ270" t="n">
        <v>595.1999999999999</v>
      </c>
      <c r="AK270">
        <f>IF($Q$270,$M$270*$AC$270*$U$270,0)</f>
        <v/>
      </c>
      <c r="AL270" t="n">
        <v>496</v>
      </c>
      <c r="AM270">
        <f>IF($Q$270,$M$270*$AE$270*$U$270,0)</f>
        <v/>
      </c>
      <c r="AN270" t="n">
        <v>322.4</v>
      </c>
      <c r="AO270">
        <f>IF($Q$270,$M$270*$AC$270*$Y$270,0)</f>
        <v/>
      </c>
      <c r="AP270" t="n">
        <v>793.6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3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0.116667</v>
      </c>
      <c r="AZ270" t="inlineStr">
        <is>
          <t>NHANH_QUA;LECH_DOT_1</t>
        </is>
      </c>
      <c r="BA270" t="inlineStr"/>
      <c r="BB270" t="inlineStr">
        <is>
          <t>Assets/MachineBrigade/Resources/Data/balance.json: weapons[id=p26_nemesis_ne152] (lớp B trên 01_chien_dau/Vu_khi)</t>
        </is>
      </c>
      <c r="BC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IF(Vu_khi!$AG$271,INDEX(Bang_danh_noc!$C$2:$C$8,MIN(7,MAX(1,2-(Vu_khi!$L$271-0)+1))),INDEX(Bang_xuyen_giap!$C$2:$C$8,MIN(7,MAX(1,IF($O$271,MAX(1,2-(Vu_khi!$L$271-0)),2-(Vu_khi!$L$271-0))+1))))</f>
        <v/>
      </c>
      <c r="AB271" t="n">
        <v>1.2</v>
      </c>
      <c r="AC271">
        <f>IF(Vu_khi!$AG$271,INDEX(Bang_danh_noc!$C$2:$C$8,MIN(7,MAX(1,2-(Vu_khi!$L$271-2)+1))),INDEX(Bang_xuyen_giap!$C$2:$C$8,MIN(7,MAX(1,IF($O$271,MAX(1,2-(Vu_khi!$L$271-2)),2-(Vu_khi!$L$271-2))+1))))</f>
        <v/>
      </c>
      <c r="AD271" t="n">
        <v>0.85</v>
      </c>
      <c r="AE271">
        <f>IF(Vu_khi!$AG$271,INDEX(Bang_danh_noc!$C$2:$C$8,MIN(7,MAX(1,2-(Vu_khi!$L$271-4)+1))),INDEX(Bang_xuyen_giap!$C$2:$C$8,MIN(7,MAX(1,IF($O$271,MAX(1,2-(Vu_khi!$L$271-4)),2-(Vu_khi!$L$271-4))+1))))</f>
        <v/>
      </c>
      <c r="AF271" t="n">
        <v>0.4</v>
      </c>
      <c r="AG271">
        <f>INDEX(Bang_xuyen_giap!$C$2:$C$8,MIN(7,MAX(1,MAX(1,2-(Vu_khi!$L$271-0))+1)))</f>
        <v/>
      </c>
      <c r="AH271" t="n">
        <v>1</v>
      </c>
      <c r="AI271">
        <f>IF($Q$271,$M$271*$AA$271*$U$271,0)</f>
        <v/>
      </c>
      <c r="AJ271" t="n">
        <v>437.5569735642661</v>
      </c>
      <c r="AK271">
        <f>IF($Q$271,$M$271*$AC$271*$U$271,0)</f>
        <v/>
      </c>
      <c r="AL271" t="n">
        <v>309.9361896080218</v>
      </c>
      <c r="AM271">
        <f>IF($Q$271,$M$271*$AE$271*$U$271,0)</f>
        <v/>
      </c>
      <c r="AN271" t="n">
        <v>145.852324521422</v>
      </c>
      <c r="AO271">
        <f>IF($Q$271,$M$271*$AC$271*$Y$271,0)</f>
        <v/>
      </c>
      <c r="AP271" t="n">
        <v>495.897903372835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3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1</v>
      </c>
      <c r="AZ271" t="inlineStr">
        <is>
          <t>LECH_HO</t>
        </is>
      </c>
      <c r="BA271" t="b">
        <v>0</v>
      </c>
      <c r="BB271" t="inlineStr">
        <is>
          <t>Assets/MachineBrigade/Resources/Data/balance.json: weapons[id=p26_nemesis_sec_boss_rockets] (lớp B trên 01_chien_dau/Vu_khi)</t>
        </is>
      </c>
      <c r="BC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IF(Vu_khi!$AG$272,INDEX(Bang_danh_noc!$C$2:$C$8,MIN(7,MAX(1,2-(Vu_khi!$L$272-0)+1))),INDEX(Bang_xuyen_giap!$C$2:$C$8,MIN(7,MAX(1,IF($O$272,MAX(1,2-(Vu_khi!$L$272-0)),2-(Vu_khi!$L$272-0))+1))))</f>
        <v/>
      </c>
      <c r="AB272" t="n">
        <v>1.2</v>
      </c>
      <c r="AC272">
        <f>IF(Vu_khi!$AG$272,INDEX(Bang_danh_noc!$C$2:$C$8,MIN(7,MAX(1,2-(Vu_khi!$L$272-2)+1))),INDEX(Bang_xuyen_giap!$C$2:$C$8,MIN(7,MAX(1,IF($O$272,MAX(1,2-(Vu_khi!$L$272-2)),2-(Vu_khi!$L$272-2))+1))))</f>
        <v/>
      </c>
      <c r="AD272" t="n">
        <v>0.85</v>
      </c>
      <c r="AE272">
        <f>IF(Vu_khi!$AG$272,INDEX(Bang_danh_noc!$C$2:$C$8,MIN(7,MAX(1,2-(Vu_khi!$L$272-4)+1))),INDEX(Bang_xuyen_giap!$C$2:$C$8,MIN(7,MAX(1,IF($O$272,MAX(1,2-(Vu_khi!$L$272-4)),2-(Vu_khi!$L$272-4))+1))))</f>
        <v/>
      </c>
      <c r="AF272" t="n">
        <v>0.4</v>
      </c>
      <c r="AG272">
        <f>INDEX(Bang_xuyen_giap!$C$2:$C$8,MIN(7,MAX(1,MAX(1,2-(Vu_khi!$L$272-0))+1)))</f>
        <v/>
      </c>
      <c r="AH272" t="n">
        <v>1</v>
      </c>
      <c r="AI272">
        <f>IF($Q$272,$M$272*$AA$272*$U$272,0)</f>
        <v/>
      </c>
      <c r="AJ272" t="n">
        <v>160.6558762625195</v>
      </c>
      <c r="AK272">
        <f>IF($Q$272,$M$272*$AC$272*$U$272,0)</f>
        <v/>
      </c>
      <c r="AL272" t="n">
        <v>113.797912352618</v>
      </c>
      <c r="AM272">
        <f>IF($Q$272,$M$272*$AE$272*$U$272,0)</f>
        <v/>
      </c>
      <c r="AN272" t="n">
        <v>53.55195875417319</v>
      </c>
      <c r="AO272">
        <f>IF($Q$272,$M$272*$AC$272*$Y$272,0)</f>
        <v/>
      </c>
      <c r="AP272" t="n">
        <v>66.38211553902717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0</v>
      </c>
      <c r="AU272">
        <f>IF(AND($B$272&lt;0,$AS$272),4,$B$272)</f>
        <v/>
      </c>
      <c r="AV272" t="n">
        <v>1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0</v>
      </c>
      <c r="AY272" t="n">
        <v>5.258444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weapons[id=p26_roc_close_twin_30_bmpt] (lớp B trên 01_chien_dau/Vu_khi)</t>
        </is>
      </c>
      <c r="BC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IF(Vu_khi!$AG$273,INDEX(Bang_danh_noc!$C$2:$C$8,MIN(7,MAX(1,2-(Vu_khi!$L$273-0)+1))),INDEX(Bang_xuyen_giap!$C$2:$C$8,MIN(7,MAX(1,IF($O$273,MAX(1,2-(Vu_khi!$L$273-0)),2-(Vu_khi!$L$273-0))+1))))</f>
        <v/>
      </c>
      <c r="AB273" t="n">
        <v>1.2</v>
      </c>
      <c r="AC273">
        <f>IF(Vu_khi!$AG$273,INDEX(Bang_danh_noc!$C$2:$C$8,MIN(7,MAX(1,2-(Vu_khi!$L$273-2)+1))),INDEX(Bang_xuyen_giap!$C$2:$C$8,MIN(7,MAX(1,IF($O$273,MAX(1,2-(Vu_khi!$L$273-2)),2-(Vu_khi!$L$273-2))+1))))</f>
        <v/>
      </c>
      <c r="AD273" t="n">
        <v>1.2</v>
      </c>
      <c r="AE273">
        <f>IF(Vu_khi!$AG$273,INDEX(Bang_danh_noc!$C$2:$C$8,MIN(7,MAX(1,2-(Vu_khi!$L$273-4)+1))),INDEX(Bang_xuyen_giap!$C$2:$C$8,MIN(7,MAX(1,IF($O$273,MAX(1,2-(Vu_khi!$L$273-4)),2-(Vu_khi!$L$273-4))+1))))</f>
        <v/>
      </c>
      <c r="AF273" t="n">
        <v>1</v>
      </c>
      <c r="AG273">
        <f>INDEX(Bang_xuyen_giap!$C$2:$C$8,MIN(7,MAX(1,MAX(1,2-(Vu_khi!$L$273-0))+1)))</f>
        <v/>
      </c>
      <c r="AH273" t="n">
        <v>1</v>
      </c>
      <c r="AI273">
        <f>IF($Q$273,$M$273*$AA$273*$U$273,0)</f>
        <v/>
      </c>
      <c r="AJ273" t="n">
        <v>35.88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29.9</v>
      </c>
      <c r="AO273">
        <f>IF($Q$273,$M$273*$AC$273*$Y$273,0)</f>
        <v/>
      </c>
      <c r="AP273" t="n">
        <v>12.42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weapons[id=p26_roc_direct_roc_atgm] (lớp B trên 01_chien_dau/Vu_khi)</t>
        </is>
      </c>
      <c r="BC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IF(Vu_khi!$AG$274,INDEX(Bang_danh_noc!$C$2:$C$8,MIN(7,MAX(1,2-(Vu_khi!$L$274-0)+1))),INDEX(Bang_xuyen_giap!$C$2:$C$8,MIN(7,MAX(1,IF($O$274,MAX(1,2-(Vu_khi!$L$274-0)),2-(Vu_khi!$L$274-0))+1))))</f>
        <v/>
      </c>
      <c r="AB274" t="n">
        <v>1.15</v>
      </c>
      <c r="AC274">
        <f>IF(Vu_khi!$AG$274,INDEX(Bang_danh_noc!$C$2:$C$8,MIN(7,MAX(1,2-(Vu_khi!$L$274-2)+1))),INDEX(Bang_xuyen_giap!$C$2:$C$8,MIN(7,MAX(1,IF($O$274,MAX(1,2-(Vu_khi!$L$274-2)),2-(Vu_khi!$L$274-2))+1))))</f>
        <v/>
      </c>
      <c r="AD274" t="n">
        <v>1.15</v>
      </c>
      <c r="AE274">
        <f>IF(Vu_khi!$AG$274,INDEX(Bang_danh_noc!$C$2:$C$8,MIN(7,MAX(1,2-(Vu_khi!$L$274-4)+1))),INDEX(Bang_xuyen_giap!$C$2:$C$8,MIN(7,MAX(1,IF($O$274,MAX(1,2-(Vu_khi!$L$274-4)),2-(Vu_khi!$L$274-4))+1))))</f>
        <v/>
      </c>
      <c r="AF274" t="n">
        <v>0.95</v>
      </c>
      <c r="AG274">
        <f>INDEX(Bang_xuyen_giap!$C$2:$C$8,MIN(7,MAX(1,MAX(1,2-(Vu_khi!$L$274-0))+1)))</f>
        <v/>
      </c>
      <c r="AH274" t="n">
        <v>1</v>
      </c>
      <c r="AI274">
        <f>IF($Q$274,$M$274*$AA$274*$U$274,0)</f>
        <v/>
      </c>
      <c r="AJ274" t="n">
        <v>181.7155756207675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150.1128668171557</v>
      </c>
      <c r="AO274">
        <f>IF($Q$274,$M$274*$AC$274*$Y$274,0)</f>
        <v/>
      </c>
      <c r="AP274" t="n">
        <v>290.7449209932279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1</v>
      </c>
      <c r="AU274">
        <f>IF(AND($B$274&lt;0,$AS$274),4,$B$274)</f>
        <v/>
      </c>
      <c r="AV274" t="n">
        <v>4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2.722222222222222</v>
      </c>
      <c r="AY274" t="n">
        <v>3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weapons[id=p26_roc_main_roc_bombs] (lớp B trên 01_chien_dau/Vu_khi)</t>
        </is>
      </c>
      <c r="BC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IF(Vu_khi!$AG$275,INDEX(Bang_danh_noc!$C$2:$C$8,MIN(7,MAX(1,2-(Vu_khi!$L$275-0)+1))),INDEX(Bang_xuyen_giap!$C$2:$C$8,MIN(7,MAX(1,IF($O$275,MAX(1,2-(Vu_khi!$L$275-0)),2-(Vu_khi!$L$275-0))+1))))</f>
        <v/>
      </c>
      <c r="AB275" t="n">
        <v>1.2</v>
      </c>
      <c r="AC275">
        <f>IF(Vu_khi!$AG$275,INDEX(Bang_danh_noc!$C$2:$C$8,MIN(7,MAX(1,2-(Vu_khi!$L$275-2)+1))),INDEX(Bang_xuyen_giap!$C$2:$C$8,MIN(7,MAX(1,IF($O$275,MAX(1,2-(Vu_khi!$L$275-2)),2-(Vu_khi!$L$275-2))+1))))</f>
        <v/>
      </c>
      <c r="AD275" t="n">
        <v>0.85</v>
      </c>
      <c r="AE275">
        <f>IF(Vu_khi!$AG$275,INDEX(Bang_danh_noc!$C$2:$C$8,MIN(7,MAX(1,2-(Vu_khi!$L$275-4)+1))),INDEX(Bang_xuyen_giap!$C$2:$C$8,MIN(7,MAX(1,IF($O$275,MAX(1,2-(Vu_khi!$L$275-4)),2-(Vu_khi!$L$275-4))+1))))</f>
        <v/>
      </c>
      <c r="AF275" t="n">
        <v>0.4</v>
      </c>
      <c r="AG275">
        <f>INDEX(Bang_xuyen_giap!$C$2:$C$8,MIN(7,MAX(1,MAX(1,2-(Vu_khi!$L$275-0))+1)))</f>
        <v/>
      </c>
      <c r="AH275" t="n">
        <v>1</v>
      </c>
      <c r="AI275">
        <f>IF($Q$275,$M$275*$AA$275*$U$275,0)</f>
        <v/>
      </c>
      <c r="AJ275" t="n">
        <v>60</v>
      </c>
      <c r="AK275">
        <f>IF($Q$275,$M$275*$AC$275*$U$275,0)</f>
        <v/>
      </c>
      <c r="AL275" t="n">
        <v>42.5</v>
      </c>
      <c r="AM275">
        <f>IF($Q$275,$M$275*$AE$275*$U$275,0)</f>
        <v/>
      </c>
      <c r="AN275" t="n">
        <v>20</v>
      </c>
      <c r="AO275">
        <f>IF($Q$275,$M$275*$AC$275*$Y$275,0)</f>
        <v/>
      </c>
      <c r="AP275" t="n">
        <v>68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0.7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weapons[id=p26_roc_roc105] (lớp B trên 01_chien_dau/Vu_khi)</t>
        </is>
      </c>
      <c r="BC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IF(Vu_khi!$AG$276,INDEX(Bang_danh_noc!$C$2:$C$8,MIN(7,MAX(1,2-(Vu_khi!$L$276-0)+1))),INDEX(Bang_xuyen_giap!$C$2:$C$8,MIN(7,MAX(1,IF($O$276,MAX(1,2-(Vu_khi!$L$276-0)),2-(Vu_khi!$L$276-0))+1))))</f>
        <v/>
      </c>
      <c r="AB276" t="n">
        <v>1.2</v>
      </c>
      <c r="AC276">
        <f>IF(Vu_khi!$AG$276,INDEX(Bang_danh_noc!$C$2:$C$8,MIN(7,MAX(1,2-(Vu_khi!$L$276-2)+1))),INDEX(Bang_xuyen_giap!$C$2:$C$8,MIN(7,MAX(1,IF($O$276,MAX(1,2-(Vu_khi!$L$276-2)),2-(Vu_khi!$L$276-2))+1))))</f>
        <v/>
      </c>
      <c r="AD276" t="n">
        <v>1.2</v>
      </c>
      <c r="AE276">
        <f>IF(Vu_khi!$AG$276,INDEX(Bang_danh_noc!$C$2:$C$8,MIN(7,MAX(1,2-(Vu_khi!$L$276-4)+1))),INDEX(Bang_xuyen_giap!$C$2:$C$8,MIN(7,MAX(1,IF($O$276,MAX(1,2-(Vu_khi!$L$276-4)),2-(Vu_khi!$L$276-4))+1))))</f>
        <v/>
      </c>
      <c r="AF276" t="n">
        <v>1</v>
      </c>
      <c r="AG276">
        <f>INDEX(Bang_xuyen_giap!$C$2:$C$8,MIN(7,MAX(1,MAX(1,2-(Vu_khi!$L$276-0))+1)))</f>
        <v/>
      </c>
      <c r="AH276" t="n">
        <v>1</v>
      </c>
      <c r="AI276">
        <f>IF($Q$276,$M$276*$AA$276*$U$276,0)</f>
        <v/>
      </c>
      <c r="AJ276" t="n">
        <v>234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195</v>
      </c>
      <c r="AO276">
        <f>IF($Q$276,$M$276*$AC$276*$Y$276,0)</f>
        <v/>
      </c>
      <c r="AP276" t="n">
        <v>81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0.1</v>
      </c>
      <c r="AZ276" t="inlineStr">
        <is>
          <t>NHANH_QUA;LECH_DOT_1</t>
        </is>
      </c>
      <c r="BA276" t="inlineStr"/>
      <c r="BB276" t="inlineStr">
        <is>
          <t>Assets/MachineBrigade/Resources/Data/balance.json: weapons[id=p26_roc_roc_atgm] (lớp B trên 01_chien_dau/Vu_khi)</t>
        </is>
      </c>
      <c r="BC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IF(Vu_khi!$AG$277,INDEX(Bang_danh_noc!$C$2:$C$8,MIN(7,MAX(1,2-(Vu_khi!$L$277-0)+1))),INDEX(Bang_xuyen_giap!$C$2:$C$8,MIN(7,MAX(1,IF($O$277,MAX(1,2-(Vu_khi!$L$277-0)),2-(Vu_khi!$L$277-0))+1))))</f>
        <v/>
      </c>
      <c r="AB277" t="n">
        <v>1.15</v>
      </c>
      <c r="AC277">
        <f>IF(Vu_khi!$AG$277,INDEX(Bang_danh_noc!$C$2:$C$8,MIN(7,MAX(1,2-(Vu_khi!$L$277-2)+1))),INDEX(Bang_xuyen_giap!$C$2:$C$8,MIN(7,MAX(1,IF($O$277,MAX(1,2-(Vu_khi!$L$277-2)),2-(Vu_khi!$L$277-2))+1))))</f>
        <v/>
      </c>
      <c r="AD277" t="n">
        <v>1.15</v>
      </c>
      <c r="AE277">
        <f>IF(Vu_khi!$AG$277,INDEX(Bang_danh_noc!$C$2:$C$8,MIN(7,MAX(1,2-(Vu_khi!$L$277-4)+1))),INDEX(Bang_xuyen_giap!$C$2:$C$8,MIN(7,MAX(1,IF($O$277,MAX(1,2-(Vu_khi!$L$277-4)),2-(Vu_khi!$L$277-4))+1))))</f>
        <v/>
      </c>
      <c r="AF277" t="n">
        <v>0.95</v>
      </c>
      <c r="AG277">
        <f>INDEX(Bang_xuyen_giap!$C$2:$C$8,MIN(7,MAX(1,MAX(1,2-(Vu_khi!$L$277-0))+1)))</f>
        <v/>
      </c>
      <c r="AH277" t="n">
        <v>1</v>
      </c>
      <c r="AI277">
        <f>IF($Q$277,$M$277*$AA$277*$U$277,0)</f>
        <v/>
      </c>
      <c r="AJ277" t="n">
        <v>736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608</v>
      </c>
      <c r="AO277">
        <f>IF($Q$277,$M$277*$AC$277*$Y$277,0)</f>
        <v/>
      </c>
      <c r="AP277" t="n">
        <v>1177.6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1</v>
      </c>
      <c r="AU277">
        <f>IF(AND($B$277&lt;0,$AS$277),4,$B$277)</f>
        <v/>
      </c>
      <c r="AV277" t="n">
        <v>4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2.722222222222222</v>
      </c>
      <c r="AY277" t="n">
        <v>3</v>
      </c>
      <c r="AZ277" t="inlineStr">
        <is>
          <t>LECH_DOT_1</t>
        </is>
      </c>
      <c r="BA277" t="inlineStr"/>
      <c r="BB277" t="inlineStr">
        <is>
          <t>Assets/MachineBrigade/Resources/Data/balance.json: weapons[id=p26_roc_roc_bombs] (lớp B trên 01_chien_dau/Vu_khi)</t>
        </is>
      </c>
      <c r="BC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IF(Vu_khi!$AG$278,INDEX(Bang_danh_noc!$C$2:$C$8,MIN(7,MAX(1,2-(Vu_khi!$L$278-0)+1))),INDEX(Bang_xuyen_giap!$C$2:$C$8,MIN(7,MAX(1,IF($O$278,MAX(1,2-(Vu_khi!$L$278-0)),2-(Vu_khi!$L$278-0))+1))))</f>
        <v/>
      </c>
      <c r="AB278" t="n">
        <v>1.2</v>
      </c>
      <c r="AC278">
        <f>IF(Vu_khi!$AG$278,INDEX(Bang_danh_noc!$C$2:$C$8,MIN(7,MAX(1,2-(Vu_khi!$L$278-2)+1))),INDEX(Bang_xuyen_giap!$C$2:$C$8,MIN(7,MAX(1,IF($O$278,MAX(1,2-(Vu_khi!$L$278-2)),2-(Vu_khi!$L$278-2))+1))))</f>
        <v/>
      </c>
      <c r="AD278" t="n">
        <v>1.2</v>
      </c>
      <c r="AE278">
        <f>IF(Vu_khi!$AG$278,INDEX(Bang_danh_noc!$C$2:$C$8,MIN(7,MAX(1,2-(Vu_khi!$L$278-4)+1))),INDEX(Bang_xuyen_giap!$C$2:$C$8,MIN(7,MAX(1,IF($O$278,MAX(1,2-(Vu_khi!$L$278-4)),2-(Vu_khi!$L$278-4))+1))))</f>
        <v/>
      </c>
      <c r="AF278" t="n">
        <v>0.85</v>
      </c>
      <c r="AG278">
        <f>INDEX(Bang_xuyen_giap!$C$2:$C$8,MIN(7,MAX(1,MAX(1,2-(Vu_khi!$L$278-0))+1)))</f>
        <v/>
      </c>
      <c r="AH278" t="n">
        <v>1</v>
      </c>
      <c r="AI278">
        <f>IF($Q$278,$M$278*$AA$278*$U$278,0)</f>
        <v/>
      </c>
      <c r="AJ278" t="n">
        <v>205.7142857142857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145.7142857142857</v>
      </c>
      <c r="AO278">
        <f>IF($Q$278,$M$278*$AC$278*$Y$278,0)</f>
        <v/>
      </c>
      <c r="AP278" t="n">
        <v>329.1428571428571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1.225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weapons[id=p26_typhon_direct_ty100] (lớp B trên 01_chien_dau/Vu_khi)</t>
        </is>
      </c>
      <c r="BC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IF(Vu_khi!$AG$279,INDEX(Bang_danh_noc!$C$2:$C$8,MIN(7,MAX(1,2-(Vu_khi!$L$279-0)+1))),INDEX(Bang_xuyen_giap!$C$2:$C$8,MIN(7,MAX(1,IF($O$279,MAX(1,2-(Vu_khi!$L$279-0)),2-(Vu_khi!$L$279-0))+1))))</f>
        <v/>
      </c>
      <c r="AB279" t="n">
        <v>1.2</v>
      </c>
      <c r="AC279">
        <f>IF(Vu_khi!$AG$279,INDEX(Bang_danh_noc!$C$2:$C$8,MIN(7,MAX(1,2-(Vu_khi!$L$279-2)+1))),INDEX(Bang_xuyen_giap!$C$2:$C$8,MIN(7,MAX(1,IF($O$279,MAX(1,2-(Vu_khi!$L$279-2)),2-(Vu_khi!$L$279-2))+1))))</f>
        <v/>
      </c>
      <c r="AD279" t="n">
        <v>1</v>
      </c>
      <c r="AE279">
        <f>IF(Vu_khi!$AG$279,INDEX(Bang_danh_noc!$C$2:$C$8,MIN(7,MAX(1,2-(Vu_khi!$L$279-4)+1))),INDEX(Bang_xuyen_giap!$C$2:$C$8,MIN(7,MAX(1,IF($O$279,MAX(1,2-(Vu_khi!$L$279-4)),2-(Vu_khi!$L$279-4))+1))))</f>
        <v/>
      </c>
      <c r="AF279" t="n">
        <v>0.65</v>
      </c>
      <c r="AG279">
        <f>INDEX(Bang_xuyen_giap!$C$2:$C$8,MIN(7,MAX(1,MAX(1,2-(Vu_khi!$L$279-0))+1)))</f>
        <v/>
      </c>
      <c r="AH279" t="n">
        <v>1</v>
      </c>
      <c r="AI279">
        <f>IF($Q$279,$M$279*$AA$279*$U$279,0)</f>
        <v/>
      </c>
      <c r="AJ279" t="n">
        <v>268.5314685314685</v>
      </c>
      <c r="AK279">
        <f>IF($Q$279,$M$279*$AC$279*$U$279,0)</f>
        <v/>
      </c>
      <c r="AL279" t="n">
        <v>223.7762237762238</v>
      </c>
      <c r="AM279">
        <f>IF($Q$279,$M$279*$AE$279*$U$279,0)</f>
        <v/>
      </c>
      <c r="AN279" t="n">
        <v>145.4545454545455</v>
      </c>
      <c r="AO279">
        <f>IF($Q$279,$M$279*$AC$279*$Y$279,0)</f>
        <v/>
      </c>
      <c r="AP279" t="n">
        <v>358.0419580419581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2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2.145</v>
      </c>
      <c r="AZ279" t="inlineStr">
        <is>
          <t>ok</t>
        </is>
      </c>
      <c r="BA279" t="b">
        <v>1</v>
      </c>
      <c r="BB279" t="inlineStr">
        <is>
          <t>Assets/MachineBrigade/Resources/Data/balance.json: weapons[id=p26_typhon_sec_ty57] (lớp B trên 01_chien_dau/Vu_khi)</t>
        </is>
      </c>
      <c r="BC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IF(Vu_khi!$AG$280,INDEX(Bang_danh_noc!$C$2:$C$8,MIN(7,MAX(1,2-(Vu_khi!$L$280-0)+1))),INDEX(Bang_xuyen_giap!$C$2:$C$8,MIN(7,MAX(1,IF($O$280,MAX(1,2-(Vu_khi!$L$280-0)),2-(Vu_khi!$L$280-0))+1))))</f>
        <v/>
      </c>
      <c r="AB280" t="n">
        <v>1.2</v>
      </c>
      <c r="AC280">
        <f>IF(Vu_khi!$AG$280,INDEX(Bang_danh_noc!$C$2:$C$8,MIN(7,MAX(1,2-(Vu_khi!$L$280-2)+1))),INDEX(Bang_xuyen_giap!$C$2:$C$8,MIN(7,MAX(1,IF($O$280,MAX(1,2-(Vu_khi!$L$280-2)),2-(Vu_khi!$L$280-2))+1))))</f>
        <v/>
      </c>
      <c r="AD280" t="n">
        <v>1</v>
      </c>
      <c r="AE280">
        <f>IF(Vu_khi!$AG$280,INDEX(Bang_danh_noc!$C$2:$C$8,MIN(7,MAX(1,2-(Vu_khi!$L$280-4)+1))),INDEX(Bang_xuyen_giap!$C$2:$C$8,MIN(7,MAX(1,IF($O$280,MAX(1,2-(Vu_khi!$L$280-4)),2-(Vu_khi!$L$280-4))+1))))</f>
        <v/>
      </c>
      <c r="AF280" t="n">
        <v>0.65</v>
      </c>
      <c r="AG280">
        <f>INDEX(Bang_xuyen_giap!$C$2:$C$8,MIN(7,MAX(1,MAX(1,2-(Vu_khi!$L$280-0))+1)))</f>
        <v/>
      </c>
      <c r="AH280" t="n">
        <v>1</v>
      </c>
      <c r="AI280">
        <f>IF($Q$280,$M$280*$AA$280*$U$280,0)</f>
        <v/>
      </c>
      <c r="AJ280" t="n">
        <v>208</v>
      </c>
      <c r="AK280">
        <f>IF($Q$280,$M$280*$AC$280*$U$280,0)</f>
        <v/>
      </c>
      <c r="AL280" t="n">
        <v>173.3333333333333</v>
      </c>
      <c r="AM280">
        <f>IF($Q$280,$M$280*$AE$280*$U$280,0)</f>
        <v/>
      </c>
      <c r="AN280" t="n">
        <v>112.6666666666667</v>
      </c>
      <c r="AO280">
        <f>IF($Q$280,$M$280*$AC$280*$Y$280,0)</f>
        <v/>
      </c>
      <c r="AP280" t="n">
        <v>277.3333333333334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1.5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weapons[id=p26_typhon_ty57] (lớp B trên 01_chien_dau/Vu_khi)</t>
        </is>
      </c>
      <c r="BC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IF(Vu_khi!$AG$281,INDEX(Bang_danh_noc!$C$2:$C$8,MIN(7,MAX(1,2-(Vu_khi!$L$281-0)+1))),INDEX(Bang_xuyen_giap!$C$2:$C$8,MIN(7,MAX(1,IF($O$281,MAX(1,2-(Vu_khi!$L$281-0)),2-(Vu_khi!$L$281-0))+1))))</f>
        <v/>
      </c>
      <c r="AB281" t="n">
        <v>1.2</v>
      </c>
      <c r="AC281">
        <f>IF(Vu_khi!$AG$281,INDEX(Bang_danh_noc!$C$2:$C$8,MIN(7,MAX(1,2-(Vu_khi!$L$281-2)+1))),INDEX(Bang_xuyen_giap!$C$2:$C$8,MIN(7,MAX(1,IF($O$281,MAX(1,2-(Vu_khi!$L$281-2)),2-(Vu_khi!$L$281-2))+1))))</f>
        <v/>
      </c>
      <c r="AD281" t="n">
        <v>1.2</v>
      </c>
      <c r="AE281">
        <f>IF(Vu_khi!$AG$281,INDEX(Bang_danh_noc!$C$2:$C$8,MIN(7,MAX(1,2-(Vu_khi!$L$281-4)+1))),INDEX(Bang_xuyen_giap!$C$2:$C$8,MIN(7,MAX(1,IF($O$281,MAX(1,2-(Vu_khi!$L$281-4)),2-(Vu_khi!$L$281-4))+1))))</f>
        <v/>
      </c>
      <c r="AF281" t="n">
        <v>0.85</v>
      </c>
      <c r="AG281">
        <f>INDEX(Bang_xuyen_giap!$C$2:$C$8,MIN(7,MAX(1,MAX(1,2-(Vu_khi!$L$281-0))+1)))</f>
        <v/>
      </c>
      <c r="AH281" t="n">
        <v>1</v>
      </c>
      <c r="AI281">
        <f>IF($Q$281,$M$281*$AA$281*$U$281,0)</f>
        <v/>
      </c>
      <c r="AJ281" t="n">
        <v>288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204</v>
      </c>
      <c r="AO281">
        <f>IF($Q$281,$M$281*$AC$281*$Y$281,0)</f>
        <v/>
      </c>
      <c r="AP281" t="n">
        <v>460.8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n">
        <v>1.75</v>
      </c>
      <c r="AZ281" t="inlineStr">
        <is>
          <t>LECH_DOT_1</t>
        </is>
      </c>
      <c r="BA281" t="inlineStr"/>
      <c r="BB281" t="inlineStr">
        <is>
          <t>Assets/MachineBrigade/Resources/Data/balance.json: weapons[id=p26_typhon_ty100] (lớp B trên 01_chien_dau/Vu_khi)</t>
        </is>
      </c>
      <c r="BC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IF(Vu_khi!$AG$282,INDEX(Bang_danh_noc!$C$2:$C$8,MIN(7,MAX(1,2-(Vu_khi!$L$282-0)+1))),INDEX(Bang_xuyen_giap!$C$2:$C$8,MIN(7,MAX(1,IF($O$282,MAX(1,2-(Vu_khi!$L$282-0)),2-(Vu_khi!$L$282-0))+1))))</f>
        <v/>
      </c>
      <c r="AB282" t="n">
        <v>1</v>
      </c>
      <c r="AC282">
        <f>IF(Vu_khi!$AG$282,INDEX(Bang_danh_noc!$C$2:$C$8,MIN(7,MAX(1,2-(Vu_khi!$L$282-2)+1))),INDEX(Bang_xuyen_giap!$C$2:$C$8,MIN(7,MAX(1,IF($O$282,MAX(1,2-(Vu_khi!$L$282-2)),2-(Vu_khi!$L$282-2))+1))))</f>
        <v/>
      </c>
      <c r="AD282" t="n">
        <v>1</v>
      </c>
      <c r="AE282">
        <f>IF(Vu_khi!$AG$282,INDEX(Bang_danh_noc!$C$2:$C$8,MIN(7,MAX(1,2-(Vu_khi!$L$282-4)+1))),INDEX(Bang_xuyen_giap!$C$2:$C$8,MIN(7,MAX(1,IF($O$282,MAX(1,2-(Vu_khi!$L$282-4)),2-(Vu_khi!$L$282-4))+1))))</f>
        <v/>
      </c>
      <c r="AF282" t="n">
        <v>0.65</v>
      </c>
      <c r="AG282">
        <f>INDEX(Bang_xuyen_giap!$C$2:$C$8,MIN(7,MAX(1,MAX(1,2-(Vu_khi!$L$282-0))+1)))</f>
        <v/>
      </c>
      <c r="AH282" t="n">
        <v>1</v>
      </c>
      <c r="AI282">
        <f>IF($Q$282,$M$282*$AA$282*$U$282,0)</f>
        <v/>
      </c>
      <c r="AJ282" t="n">
        <v>0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IF($Q$282,$M$282*$AC$282*$Y$282,0)</f>
        <v/>
      </c>
      <c r="AP282" t="n">
        <v>0</v>
      </c>
      <c r="AQ282">
        <f>IF($S$282,$M$282*$AG$282*$W$282,0)</f>
        <v/>
      </c>
      <c r="AR282" t="n">
        <v>286.875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2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0.5333329999999999</v>
      </c>
      <c r="AZ282" t="inlineStr">
        <is>
          <t>NHANH_QUA</t>
        </is>
      </c>
      <c r="BA282" t="inlineStr"/>
      <c r="BB282" t="inlineStr">
        <is>
          <t>Assets/MachineBrigade/Resources/Data/balance.json: weapons[id=patriot] (lớp B trên 01_chien_dau/Vu_khi)</t>
        </is>
      </c>
      <c r="BC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IF(Vu_khi!$AG$283,INDEX(Bang_danh_noc!$C$2:$C$8,MIN(7,MAX(1,2-(Vu_khi!$L$283-0)+1))),INDEX(Bang_xuyen_giap!$C$2:$C$8,MIN(7,MAX(1,IF($O$283,MAX(1,2-(Vu_khi!$L$283-0)),2-(Vu_khi!$L$283-0))+1))))</f>
        <v/>
      </c>
      <c r="AB283" t="n">
        <v>1.2</v>
      </c>
      <c r="AC283">
        <f>IF(Vu_khi!$AG$283,INDEX(Bang_danh_noc!$C$2:$C$8,MIN(7,MAX(1,2-(Vu_khi!$L$283-2)+1))),INDEX(Bang_xuyen_giap!$C$2:$C$8,MIN(7,MAX(1,IF($O$283,MAX(1,2-(Vu_khi!$L$283-2)),2-(Vu_khi!$L$283-2))+1))))</f>
        <v/>
      </c>
      <c r="AD283" t="n">
        <v>1.2</v>
      </c>
      <c r="AE283">
        <f>IF(Vu_khi!$AG$283,INDEX(Bang_danh_noc!$C$2:$C$8,MIN(7,MAX(1,2-(Vu_khi!$L$283-4)+1))),INDEX(Bang_xuyen_giap!$C$2:$C$8,MIN(7,MAX(1,IF($O$283,MAX(1,2-(Vu_khi!$L$283-4)),2-(Vu_khi!$L$283-4))+1))))</f>
        <v/>
      </c>
      <c r="AF283" t="n">
        <v>0.85</v>
      </c>
      <c r="AG283">
        <f>INDEX(Bang_xuyen_giap!$C$2:$C$8,MIN(7,MAX(1,MAX(1,2-(Vu_khi!$L$283-0))+1)))</f>
        <v/>
      </c>
      <c r="AH283" t="n">
        <v>1</v>
      </c>
      <c r="AI283">
        <f>IF($Q$283,$M$283*$AA$283*$U$283,0)</f>
        <v/>
      </c>
      <c r="AJ283" t="n">
        <v>102.8571428571428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72.85714285714285</v>
      </c>
      <c r="AO283">
        <f>IF($Q$283,$M$283*$AC$283*$Y$283,0)</f>
        <v/>
      </c>
      <c r="AP283" t="n">
        <v>164.5714285714286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1</v>
      </c>
      <c r="AU283">
        <f>IF(AND($B$283&lt;0,$AS$283),4,$B$283)</f>
        <v/>
      </c>
      <c r="AV283" t="n">
        <v>4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2.5</v>
      </c>
      <c r="AY283" t="n">
        <v>2.94</v>
      </c>
      <c r="AZ283" t="inlineStr">
        <is>
          <t>CHAM_QUA;LECH_DOT_1</t>
        </is>
      </c>
      <c r="BA283" t="b">
        <v>1</v>
      </c>
      <c r="BB283" t="inlineStr">
        <is>
          <t>Assets/MachineBrigade/Resources/Data/balance.json: weapons[id=pt14_co_203] (lớp B trên 01_chien_dau/Vu_khi)</t>
        </is>
      </c>
      <c r="BC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IF(Vu_khi!$AG$284,INDEX(Bang_danh_noc!$C$2:$C$8,MIN(7,MAX(1,2-(Vu_khi!$L$284-0)+1))),INDEX(Bang_xuyen_giap!$C$2:$C$8,MIN(7,MAX(1,IF($O$284,MAX(1,2-(Vu_khi!$L$284-0)),2-(Vu_khi!$L$284-0))+1))))</f>
        <v/>
      </c>
      <c r="AB284" t="n">
        <v>1.2</v>
      </c>
      <c r="AC284">
        <f>IF(Vu_khi!$AG$284,INDEX(Bang_danh_noc!$C$2:$C$8,MIN(7,MAX(1,2-(Vu_khi!$L$284-2)+1))),INDEX(Bang_xuyen_giap!$C$2:$C$8,MIN(7,MAX(1,IF($O$284,MAX(1,2-(Vu_khi!$L$284-2)),2-(Vu_khi!$L$284-2))+1))))</f>
        <v/>
      </c>
      <c r="AD284" t="n">
        <v>1.2</v>
      </c>
      <c r="AE284">
        <f>IF(Vu_khi!$AG$284,INDEX(Bang_danh_noc!$C$2:$C$8,MIN(7,MAX(1,2-(Vu_khi!$L$284-4)+1))),INDEX(Bang_xuyen_giap!$C$2:$C$8,MIN(7,MAX(1,IF($O$284,MAX(1,2-(Vu_khi!$L$284-4)),2-(Vu_khi!$L$284-4))+1))))</f>
        <v/>
      </c>
      <c r="AF284" t="n">
        <v>0.85</v>
      </c>
      <c r="AG284">
        <f>INDEX(Bang_xuyen_giap!$C$2:$C$8,MIN(7,MAX(1,MAX(1,2-(Vu_khi!$L$284-0))+1)))</f>
        <v/>
      </c>
      <c r="AH284" t="n">
        <v>1</v>
      </c>
      <c r="AI284">
        <f>IF($Q$284,$M$284*$AA$284*$U$284,0)</f>
        <v/>
      </c>
      <c r="AJ284" t="n">
        <v>73.125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51.796875</v>
      </c>
      <c r="AO284">
        <f>IF($Q$284,$M$284*$AC$284*$Y$284,0)</f>
        <v/>
      </c>
      <c r="AP284" t="n">
        <v>25.3125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inlineStr"/>
      <c r="AZ284" t="inlineStr">
        <is>
          <t>LECH_DOT_1</t>
        </is>
      </c>
      <c r="BA284" t="b">
        <v>1</v>
      </c>
      <c r="BB284" t="inlineStr">
        <is>
          <t>Assets/MachineBrigade/Resources/Data/balance.json: weapons[id=pt14_co_spike] (lớp B trên 01_chien_dau/Vu_khi)</t>
        </is>
      </c>
      <c r="BC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IF(Vu_khi!$AG$285,INDEX(Bang_danh_noc!$C$2:$C$8,MIN(7,MAX(1,2-(Vu_khi!$L$285-0)+1))),INDEX(Bang_xuyen_giap!$C$2:$C$8,MIN(7,MAX(1,IF($O$285,MAX(1,2-(Vu_khi!$L$285-0)),2-(Vu_khi!$L$285-0))+1))))</f>
        <v/>
      </c>
      <c r="AB285" t="n">
        <v>1.2</v>
      </c>
      <c r="AC285">
        <f>IF(Vu_khi!$AG$285,INDEX(Bang_danh_noc!$C$2:$C$8,MIN(7,MAX(1,2-(Vu_khi!$L$285-2)+1))),INDEX(Bang_xuyen_giap!$C$2:$C$8,MIN(7,MAX(1,IF($O$285,MAX(1,2-(Vu_khi!$L$285-2)),2-(Vu_khi!$L$285-2))+1))))</f>
        <v/>
      </c>
      <c r="AD285" t="n">
        <v>1</v>
      </c>
      <c r="AE285">
        <f>IF(Vu_khi!$AG$285,INDEX(Bang_danh_noc!$C$2:$C$8,MIN(7,MAX(1,2-(Vu_khi!$L$285-4)+1))),INDEX(Bang_xuyen_giap!$C$2:$C$8,MIN(7,MAX(1,IF($O$285,MAX(1,2-(Vu_khi!$L$285-4)),2-(Vu_khi!$L$285-4))+1))))</f>
        <v/>
      </c>
      <c r="AF285" t="n">
        <v>0.65</v>
      </c>
      <c r="AG285">
        <f>INDEX(Bang_xuyen_giap!$C$2:$C$8,MIN(7,MAX(1,MAX(1,2-(Vu_khi!$L$285-0))+1)))</f>
        <v/>
      </c>
      <c r="AH285" t="n">
        <v>1</v>
      </c>
      <c r="AI285">
        <f>IF($Q$285,$M$285*$AA$285*$U$285,0)</f>
        <v/>
      </c>
      <c r="AJ285" t="n">
        <v>140.4878048780488</v>
      </c>
      <c r="AK285">
        <f>IF($Q$285,$M$285*$AC$285*$U$285,0)</f>
        <v/>
      </c>
      <c r="AL285" t="n">
        <v>117.0731707317073</v>
      </c>
      <c r="AM285">
        <f>IF($Q$285,$M$285*$AE$285*$U$285,0)</f>
        <v/>
      </c>
      <c r="AN285" t="n">
        <v>76.09756097560977</v>
      </c>
      <c r="AO285">
        <f>IF($Q$285,$M$285*$AC$285*$Y$285,0)</f>
        <v/>
      </c>
      <c r="AP285" t="n">
        <v>187.3170731707317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2.87</v>
      </c>
      <c r="AZ285" t="inlineStr">
        <is>
          <t>CHAM_QUA;LECH_DOT_1</t>
        </is>
      </c>
      <c r="BA285" t="b">
        <v>1</v>
      </c>
      <c r="BB285" t="inlineStr">
        <is>
          <t>Assets/MachineBrigade/Resources/Data/balance.json: weapons[id=pt14_co_v76] (lớp B trên 01_chien_dau/Vu_khi)</t>
        </is>
      </c>
      <c r="BC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IF(Vu_khi!$AG$286,INDEX(Bang_danh_noc!$C$2:$C$8,MIN(7,MAX(1,2-(Vu_khi!$L$286-0)+1))),INDEX(Bang_xuyen_giap!$C$2:$C$8,MIN(7,MAX(1,IF($O$286,MAX(1,2-(Vu_khi!$L$286-0)),2-(Vu_khi!$L$286-0))+1))))</f>
        <v/>
      </c>
      <c r="AB286" t="n">
        <v>1.2</v>
      </c>
      <c r="AC286">
        <f>IF(Vu_khi!$AG$286,INDEX(Bang_danh_noc!$C$2:$C$8,MIN(7,MAX(1,2-(Vu_khi!$L$286-2)+1))),INDEX(Bang_xuyen_giap!$C$2:$C$8,MIN(7,MAX(1,IF($O$286,MAX(1,2-(Vu_khi!$L$286-2)),2-(Vu_khi!$L$286-2))+1))))</f>
        <v/>
      </c>
      <c r="AD286" t="n">
        <v>0.85</v>
      </c>
      <c r="AE286">
        <f>IF(Vu_khi!$AG$286,INDEX(Bang_danh_noc!$C$2:$C$8,MIN(7,MAX(1,2-(Vu_khi!$L$286-4)+1))),INDEX(Bang_xuyen_giap!$C$2:$C$8,MIN(7,MAX(1,IF($O$286,MAX(1,2-(Vu_khi!$L$286-4)),2-(Vu_khi!$L$286-4))+1))))</f>
        <v/>
      </c>
      <c r="AF286" t="n">
        <v>0.4</v>
      </c>
      <c r="AG286">
        <f>INDEX(Bang_xuyen_giap!$C$2:$C$8,MIN(7,MAX(1,MAX(1,2-(Vu_khi!$L$286-0))+1)))</f>
        <v/>
      </c>
      <c r="AH286" t="n">
        <v>1</v>
      </c>
      <c r="AI286">
        <f>IF($Q$286,$M$286*$AA$286*$U$286,0)</f>
        <v/>
      </c>
      <c r="AJ286" t="n">
        <v>106.1052631578947</v>
      </c>
      <c r="AK286">
        <f>IF($Q$286,$M$286*$AC$286*$U$286,0)</f>
        <v/>
      </c>
      <c r="AL286" t="n">
        <v>75.1578947368421</v>
      </c>
      <c r="AM286">
        <f>IF($Q$286,$M$286*$AE$286*$U$286,0)</f>
        <v/>
      </c>
      <c r="AN286" t="n">
        <v>35.36842105263158</v>
      </c>
      <c r="AO286">
        <f>IF($Q$286,$M$286*$AC$286*$Y$286,0)</f>
        <v/>
      </c>
      <c r="AP286" t="n">
        <v>43.84210526315789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1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14.25</v>
      </c>
      <c r="AZ286" t="inlineStr">
        <is>
          <t>LECH_DOT_1</t>
        </is>
      </c>
      <c r="BA286" t="b">
        <v>1</v>
      </c>
      <c r="BB286" t="inlineStr">
        <is>
          <t>Assets/MachineBrigade/Resources/Data/balance.json: weapons[id=pt14_dd_v25] (lớp B trên 01_chien_dau/Vu_khi)</t>
        </is>
      </c>
      <c r="BC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IF(Vu_khi!$AG$287,INDEX(Bang_danh_noc!$C$2:$C$8,MIN(7,MAX(1,2-(Vu_khi!$L$287-0)+1))),INDEX(Bang_xuyen_giap!$C$2:$C$8,MIN(7,MAX(1,IF($O$287,MAX(1,2-(Vu_khi!$L$287-0)),2-(Vu_khi!$L$287-0))+1))))</f>
        <v/>
      </c>
      <c r="AB287" t="n">
        <v>1.2</v>
      </c>
      <c r="AC287">
        <f>IF(Vu_khi!$AG$287,INDEX(Bang_danh_noc!$C$2:$C$8,MIN(7,MAX(1,2-(Vu_khi!$L$287-2)+1))),INDEX(Bang_xuyen_giap!$C$2:$C$8,MIN(7,MAX(1,IF($O$287,MAX(1,2-(Vu_khi!$L$287-2)),2-(Vu_khi!$L$287-2))+1))))</f>
        <v/>
      </c>
      <c r="AD287" t="n">
        <v>1.2</v>
      </c>
      <c r="AE287">
        <f>IF(Vu_khi!$AG$287,INDEX(Bang_danh_noc!$C$2:$C$8,MIN(7,MAX(1,2-(Vu_khi!$L$287-4)+1))),INDEX(Bang_xuyen_giap!$C$2:$C$8,MIN(7,MAX(1,IF($O$287,MAX(1,2-(Vu_khi!$L$287-4)),2-(Vu_khi!$L$287-4))+1))))</f>
        <v/>
      </c>
      <c r="AF287" t="n">
        <v>0.85</v>
      </c>
      <c r="AG287">
        <f>INDEX(Bang_xuyen_giap!$C$2:$C$8,MIN(7,MAX(1,MAX(1,2-(Vu_khi!$L$287-0))+1)))</f>
        <v/>
      </c>
      <c r="AH287" t="n">
        <v>1</v>
      </c>
      <c r="AI287">
        <f>IF($Q$287,$M$287*$AA$287*$U$287,0)</f>
        <v/>
      </c>
      <c r="AJ287" t="n">
        <v>268.5314685314685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190.2097902097902</v>
      </c>
      <c r="AO287">
        <f>IF($Q$287,$M$287*$AC$287*$Y$287,0)</f>
        <v/>
      </c>
      <c r="AP287" t="n">
        <v>429.6503496503497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2.145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weapons[id=pt14_dd_v57] (lớp B trên 01_chien_dau/Vu_khi)</t>
        </is>
      </c>
      <c r="BC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IF(Vu_khi!$AG$288,INDEX(Bang_danh_noc!$C$2:$C$8,MIN(7,MAX(1,2-(Vu_khi!$L$288-0)+1))),INDEX(Bang_xuyen_giap!$C$2:$C$8,MIN(7,MAX(1,IF($O$288,MAX(1,2-(Vu_khi!$L$288-0)),2-(Vu_khi!$L$288-0))+1))))</f>
        <v/>
      </c>
      <c r="AB288" t="n">
        <v>1.2</v>
      </c>
      <c r="AC288">
        <f>IF(Vu_khi!$AG$288,INDEX(Bang_danh_noc!$C$2:$C$8,MIN(7,MAX(1,2-(Vu_khi!$L$288-2)+1))),INDEX(Bang_xuyen_giap!$C$2:$C$8,MIN(7,MAX(1,IF($O$288,MAX(1,2-(Vu_khi!$L$288-2)),2-(Vu_khi!$L$288-2))+1))))</f>
        <v/>
      </c>
      <c r="AD288" t="n">
        <v>1</v>
      </c>
      <c r="AE288">
        <f>IF(Vu_khi!$AG$288,INDEX(Bang_danh_noc!$C$2:$C$8,MIN(7,MAX(1,2-(Vu_khi!$L$288-4)+1))),INDEX(Bang_xuyen_giap!$C$2:$C$8,MIN(7,MAX(1,IF($O$288,MAX(1,2-(Vu_khi!$L$288-4)),2-(Vu_khi!$L$288-4))+1))))</f>
        <v/>
      </c>
      <c r="AF288" t="n">
        <v>0.65</v>
      </c>
      <c r="AG288">
        <f>INDEX(Bang_xuyen_giap!$C$2:$C$8,MIN(7,MAX(1,MAX(1,2-(Vu_khi!$L$288-0))+1)))</f>
        <v/>
      </c>
      <c r="AH288" t="n">
        <v>1</v>
      </c>
      <c r="AI288">
        <f>IF($Q$288,$M$288*$AA$288*$U$288,0)</f>
        <v/>
      </c>
      <c r="AJ288" t="n">
        <v>103.5971223021583</v>
      </c>
      <c r="AK288">
        <f>IF($Q$288,$M$288*$AC$288*$U$288,0)</f>
        <v/>
      </c>
      <c r="AL288" t="n">
        <v>86.33093525179856</v>
      </c>
      <c r="AM288">
        <f>IF($Q$288,$M$288*$AE$288*$U$288,0)</f>
        <v/>
      </c>
      <c r="AN288" t="n">
        <v>56.11510791366907</v>
      </c>
      <c r="AO288">
        <f>IF($Q$288,$M$288*$AC$288*$Y$288,0)</f>
        <v/>
      </c>
      <c r="AP288" t="n">
        <v>138.1294964028777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3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0.810833</v>
      </c>
      <c r="AZ288" t="inlineStr">
        <is>
          <t>LECH_DOT_1;LECH_HO</t>
        </is>
      </c>
      <c r="BA288" t="b">
        <v>0</v>
      </c>
      <c r="BB288" t="inlineStr">
        <is>
          <t>Assets/MachineBrigade/Resources/Data/balance.json: weapons[id=pt14_hp_155] (lớp B trên 01_chien_dau/Vu_khi)</t>
        </is>
      </c>
      <c r="BC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IF(Vu_khi!$AG$289,INDEX(Bang_danh_noc!$C$2:$C$8,MIN(7,MAX(1,2-(Vu_khi!$L$289-0)+1))),INDEX(Bang_xuyen_giap!$C$2:$C$8,MIN(7,MAX(1,IF($O$289,MAX(1,2-(Vu_khi!$L$289-0)),2-(Vu_khi!$L$289-0))+1))))</f>
        <v/>
      </c>
      <c r="AB289" t="n">
        <v>1.2</v>
      </c>
      <c r="AC289">
        <f>IF(Vu_khi!$AG$289,INDEX(Bang_danh_noc!$C$2:$C$8,MIN(7,MAX(1,2-(Vu_khi!$L$289-2)+1))),INDEX(Bang_xuyen_giap!$C$2:$C$8,MIN(7,MAX(1,IF($O$289,MAX(1,2-(Vu_khi!$L$289-2)),2-(Vu_khi!$L$289-2))+1))))</f>
        <v/>
      </c>
      <c r="AD289" t="n">
        <v>1.2</v>
      </c>
      <c r="AE289">
        <f>IF(Vu_khi!$AG$289,INDEX(Bang_danh_noc!$C$2:$C$8,MIN(7,MAX(1,2-(Vu_khi!$L$289-4)+1))),INDEX(Bang_xuyen_giap!$C$2:$C$8,MIN(7,MAX(1,IF($O$289,MAX(1,2-(Vu_khi!$L$289-4)),2-(Vu_khi!$L$289-4))+1))))</f>
        <v/>
      </c>
      <c r="AF289" t="n">
        <v>0.85</v>
      </c>
      <c r="AG289">
        <f>INDEX(Bang_xuyen_giap!$C$2:$C$8,MIN(7,MAX(1,MAX(1,2-(Vu_khi!$L$289-0))+1)))</f>
        <v/>
      </c>
      <c r="AH289" t="n">
        <v>1</v>
      </c>
      <c r="AI289">
        <f>IF($Q$289,$M$289*$AA$289*$U$289,0)</f>
        <v/>
      </c>
      <c r="AJ289" t="n">
        <v>62.46575342465753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44.24657534246575</v>
      </c>
      <c r="AO289">
        <f>IF($Q$289,$M$289*$AC$289*$Y$289,0)</f>
        <v/>
      </c>
      <c r="AP289" t="n">
        <v>99.94520547945204</v>
      </c>
      <c r="AQ289">
        <f>IF($S$289,$M$289*$AG$289*$W$289,0)</f>
        <v/>
      </c>
      <c r="AR289" t="n">
        <v>0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4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2.5</v>
      </c>
      <c r="AY289" t="n">
        <v>2.433333</v>
      </c>
      <c r="AZ289" t="inlineStr">
        <is>
          <t>NHANH_QUA</t>
        </is>
      </c>
      <c r="BA289" t="b">
        <v>1</v>
      </c>
      <c r="BB289" t="inlineStr">
        <is>
          <t>Assets/MachineBrigade/Resources/Data/balance.json: weapons[id=pt14_hp_nsm] (lớp B trên 01_chien_dau/Vu_khi)</t>
        </is>
      </c>
      <c r="BC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IF(Vu_khi!$AG$290,INDEX(Bang_danh_noc!$C$2:$C$8,MIN(7,MAX(1,2-(Vu_khi!$L$290-0)+1))),INDEX(Bang_xuyen_giap!$C$2:$C$8,MIN(7,MAX(1,IF($O$290,MAX(1,2-(Vu_khi!$L$290-0)),2-(Vu_khi!$L$290-0))+1))))</f>
        <v/>
      </c>
      <c r="AB290" t="n">
        <v>1.2</v>
      </c>
      <c r="AC290">
        <f>IF(Vu_khi!$AG$290,INDEX(Bang_danh_noc!$C$2:$C$8,MIN(7,MAX(1,2-(Vu_khi!$L$290-2)+1))),INDEX(Bang_xuyen_giap!$C$2:$C$8,MIN(7,MAX(1,IF($O$290,MAX(1,2-(Vu_khi!$L$290-2)),2-(Vu_khi!$L$290-2))+1))))</f>
        <v/>
      </c>
      <c r="AD290" t="n">
        <v>1</v>
      </c>
      <c r="AE290">
        <f>IF(Vu_khi!$AG$290,INDEX(Bang_danh_noc!$C$2:$C$8,MIN(7,MAX(1,2-(Vu_khi!$L$290-4)+1))),INDEX(Bang_xuyen_giap!$C$2:$C$8,MIN(7,MAX(1,IF($O$290,MAX(1,2-(Vu_khi!$L$290-4)),2-(Vu_khi!$L$290-4))+1))))</f>
        <v/>
      </c>
      <c r="AF290" t="n">
        <v>0.65</v>
      </c>
      <c r="AG290">
        <f>INDEX(Bang_xuyen_giap!$C$2:$C$8,MIN(7,MAX(1,MAX(1,2-(Vu_khi!$L$290-0))+1)))</f>
        <v/>
      </c>
      <c r="AH290" t="n">
        <v>1</v>
      </c>
      <c r="AI290">
        <f>IF($Q$290,$M$290*$AA$290*$U$290,0)</f>
        <v/>
      </c>
      <c r="AJ290" t="n">
        <v>182.4</v>
      </c>
      <c r="AK290">
        <f>IF($Q$290,$M$290*$AC$290*$U$290,0)</f>
        <v/>
      </c>
      <c r="AL290" t="n">
        <v>152</v>
      </c>
      <c r="AM290">
        <f>IF($Q$290,$M$290*$AE$290*$U$290,0)</f>
        <v/>
      </c>
      <c r="AN290" t="n">
        <v>98.8</v>
      </c>
      <c r="AO290">
        <f>IF($Q$290,$M$290*$AC$290*$Y$290,0)</f>
        <v/>
      </c>
      <c r="AP290" t="n">
        <v>243.2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0.583333</v>
      </c>
      <c r="AZ290" t="inlineStr">
        <is>
          <t>NHANH_QUA;LECH_DOT_1</t>
        </is>
      </c>
      <c r="BA290" t="b">
        <v>1</v>
      </c>
      <c r="BB290" t="inlineStr">
        <is>
          <t>Assets/MachineBrigade/Resources/Data/balance.json: weapons[id=pt14_hp_v127] (lớp B trên 01_chien_dau/Vu_khi)</t>
        </is>
      </c>
      <c r="BC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IF(Vu_khi!$AG$291,INDEX(Bang_danh_noc!$C$2:$C$8,MIN(7,MAX(1,2-(Vu_khi!$L$291-0)+1))),INDEX(Bang_xuyen_giap!$C$2:$C$8,MIN(7,MAX(1,IF($O$291,MAX(1,2-(Vu_khi!$L$291-0)),2-(Vu_khi!$L$291-0))+1))))</f>
        <v/>
      </c>
      <c r="AB291" t="n">
        <v>1.2</v>
      </c>
      <c r="AC291">
        <f>IF(Vu_khi!$AG$291,INDEX(Bang_danh_noc!$C$2:$C$8,MIN(7,MAX(1,2-(Vu_khi!$L$291-2)+1))),INDEX(Bang_xuyen_giap!$C$2:$C$8,MIN(7,MAX(1,IF($O$291,MAX(1,2-(Vu_khi!$L$291-2)),2-(Vu_khi!$L$291-2))+1))))</f>
        <v/>
      </c>
      <c r="AD291" t="n">
        <v>1.2</v>
      </c>
      <c r="AE291">
        <f>IF(Vu_khi!$AG$291,INDEX(Bang_danh_noc!$C$2:$C$8,MIN(7,MAX(1,2-(Vu_khi!$L$291-4)+1))),INDEX(Bang_xuyen_giap!$C$2:$C$8,MIN(7,MAX(1,IF($O$291,MAX(1,2-(Vu_khi!$L$291-4)),2-(Vu_khi!$L$291-4))+1))))</f>
        <v/>
      </c>
      <c r="AF291" t="n">
        <v>0.85</v>
      </c>
      <c r="AG291">
        <f>INDEX(Bang_xuyen_giap!$C$2:$C$8,MIN(7,MAX(1,MAX(1,2-(Vu_khi!$L$291-0))+1)))</f>
        <v/>
      </c>
      <c r="AH291" t="n">
        <v>1</v>
      </c>
      <c r="AI291">
        <f>IF($Q$291,$M$291*$AA$291*$U$291,0)</f>
        <v/>
      </c>
      <c r="AJ291" t="n">
        <v>172.8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122.4</v>
      </c>
      <c r="AO291">
        <f>IF($Q$291,$M$291*$AC$291*$Y$291,0)</f>
        <v/>
      </c>
      <c r="AP291" t="n">
        <v>76.8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1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inlineStr"/>
      <c r="AZ291" t="inlineStr">
        <is>
          <t>ok</t>
        </is>
      </c>
      <c r="BA291" t="b">
        <v>1</v>
      </c>
      <c r="BB291" t="inlineStr">
        <is>
          <t>Assets/MachineBrigade/Resources/Data/balance.json: weapons[id=pt14_hp_vlaser] (lớp B trên 01_chien_dau/Vu_khi)</t>
        </is>
      </c>
      <c r="BC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IF(Vu_khi!$AG$292,INDEX(Bang_danh_noc!$C$2:$C$8,MIN(7,MAX(1,2-(Vu_khi!$L$292-0)+1))),INDEX(Bang_xuyen_giap!$C$2:$C$8,MIN(7,MAX(1,IF($O$292,MAX(1,2-(Vu_khi!$L$292-0)),2-(Vu_khi!$L$292-0))+1))))</f>
        <v/>
      </c>
      <c r="AB292" t="n">
        <v>1.2</v>
      </c>
      <c r="AC292">
        <f>IF(Vu_khi!$AG$292,INDEX(Bang_danh_noc!$C$2:$C$8,MIN(7,MAX(1,2-(Vu_khi!$L$292-2)+1))),INDEX(Bang_xuyen_giap!$C$2:$C$8,MIN(7,MAX(1,IF($O$292,MAX(1,2-(Vu_khi!$L$292-2)),2-(Vu_khi!$L$292-2))+1))))</f>
        <v/>
      </c>
      <c r="AD292" t="n">
        <v>0.85</v>
      </c>
      <c r="AE292">
        <f>IF(Vu_khi!$AG$292,INDEX(Bang_danh_noc!$C$2:$C$8,MIN(7,MAX(1,2-(Vu_khi!$L$292-4)+1))),INDEX(Bang_xuyen_giap!$C$2:$C$8,MIN(7,MAX(1,IF($O$292,MAX(1,2-(Vu_khi!$L$292-4)),2-(Vu_khi!$L$292-4))+1))))</f>
        <v/>
      </c>
      <c r="AF292" t="n">
        <v>0.4</v>
      </c>
      <c r="AG292">
        <f>INDEX(Bang_xuyen_giap!$C$2:$C$8,MIN(7,MAX(1,MAX(1,2-(Vu_khi!$L$292-0))+1)))</f>
        <v/>
      </c>
      <c r="AH292" t="n">
        <v>1</v>
      </c>
      <c r="AI292">
        <f>IF($Q$292,$M$292*$AA$292*$U$292,0)</f>
        <v/>
      </c>
      <c r="AJ292" t="n">
        <v>59.24679150010519</v>
      </c>
      <c r="AK292">
        <f>IF($Q$292,$M$292*$AC$292*$U$292,0)</f>
        <v/>
      </c>
      <c r="AL292" t="n">
        <v>41.96647731257451</v>
      </c>
      <c r="AM292">
        <f>IF($Q$292,$M$292*$AE$292*$U$292,0)</f>
        <v/>
      </c>
      <c r="AN292" t="n">
        <v>19.74893050003507</v>
      </c>
      <c r="AO292">
        <f>IF($Q$292,$M$292*$AC$292*$Y$292,0)</f>
        <v/>
      </c>
      <c r="AP292" t="n">
        <v>24.4804450990018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1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7.1295</v>
      </c>
      <c r="AZ292" t="inlineStr">
        <is>
          <t>CHAM_QUA;LECH_DOT_1</t>
        </is>
      </c>
      <c r="BA292" t="b">
        <v>1</v>
      </c>
      <c r="BB292" t="inlineStr">
        <is>
          <t>Assets/MachineBrigade/Resources/Data/balance.json: weapons[id=pt14_ixion_30] (lớp B trên 01_chien_dau/Vu_khi)</t>
        </is>
      </c>
      <c r="BC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IF(Vu_khi!$AG$293,INDEX(Bang_danh_noc!$C$2:$C$8,MIN(7,MAX(1,2-(Vu_khi!$L$293-0)+1))),INDEX(Bang_xuyen_giap!$C$2:$C$8,MIN(7,MAX(1,IF($O$293,MAX(1,2-(Vu_khi!$L$293-0)),2-(Vu_khi!$L$293-0))+1))))</f>
        <v/>
      </c>
      <c r="AB293" t="n">
        <v>1</v>
      </c>
      <c r="AC293">
        <f>IF(Vu_khi!$AG$293,INDEX(Bang_danh_noc!$C$2:$C$8,MIN(7,MAX(1,2-(Vu_khi!$L$293-2)+1))),INDEX(Bang_xuyen_giap!$C$2:$C$8,MIN(7,MAX(1,IF($O$293,MAX(1,2-(Vu_khi!$L$293-2)),2-(Vu_khi!$L$293-2))+1))))</f>
        <v/>
      </c>
      <c r="AD293" t="n">
        <v>0.85</v>
      </c>
      <c r="AE293">
        <f>IF(Vu_khi!$AG$293,INDEX(Bang_danh_noc!$C$2:$C$8,MIN(7,MAX(1,2-(Vu_khi!$L$293-4)+1))),INDEX(Bang_xuyen_giap!$C$2:$C$8,MIN(7,MAX(1,IF($O$293,MAX(1,2-(Vu_khi!$L$293-4)),2-(Vu_khi!$L$293-4))+1))))</f>
        <v/>
      </c>
      <c r="AF293" t="n">
        <v>0.4</v>
      </c>
      <c r="AG293">
        <f>INDEX(Bang_xuyen_giap!$C$2:$C$8,MIN(7,MAX(1,MAX(1,2-(Vu_khi!$L$293-0))+1)))</f>
        <v/>
      </c>
      <c r="AH293" t="n">
        <v>1</v>
      </c>
      <c r="AI293">
        <f>IF($Q$293,$M$293*$AA$293*$U$293,0)</f>
        <v/>
      </c>
      <c r="AJ293" t="n">
        <v>17.37020316027088</v>
      </c>
      <c r="AK293">
        <f>IF($Q$293,$M$293*$AC$293*$U$293,0)</f>
        <v/>
      </c>
      <c r="AL293" t="n">
        <v>14.76467268623025</v>
      </c>
      <c r="AM293">
        <f>IF($Q$293,$M$293*$AE$293*$U$293,0)</f>
        <v/>
      </c>
      <c r="AN293" t="n">
        <v>6.948081264108353</v>
      </c>
      <c r="AO293">
        <f>IF($Q$293,$M$293*$AC$293*$Y$293,0)</f>
        <v/>
      </c>
      <c r="AP293" t="n">
        <v>23.6234762979684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1</v>
      </c>
      <c r="AZ293" t="inlineStr">
        <is>
          <t>ok</t>
        </is>
      </c>
      <c r="BA293" t="b">
        <v>1</v>
      </c>
      <c r="BB293" t="inlineStr">
        <is>
          <t>Assets/MachineBrigade/Resources/Data/balance.json: weapons[id=pt14_ixion_grad] (lớp B trên 01_chien_dau/Vu_khi)</t>
        </is>
      </c>
      <c r="BC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IF(Vu_khi!$AG$294,INDEX(Bang_danh_noc!$C$2:$C$8,MIN(7,MAX(1,2-(Vu_khi!$L$294-0)+1))),INDEX(Bang_xuyen_giap!$C$2:$C$8,MIN(7,MAX(1,IF($O$294,MAX(1,2-(Vu_khi!$L$294-0)),2-(Vu_khi!$L$294-0))+1))))</f>
        <v/>
      </c>
      <c r="AB294" t="n">
        <v>1.2</v>
      </c>
      <c r="AC294">
        <f>IF(Vu_khi!$AG$294,INDEX(Bang_danh_noc!$C$2:$C$8,MIN(7,MAX(1,2-(Vu_khi!$L$294-2)+1))),INDEX(Bang_xuyen_giap!$C$2:$C$8,MIN(7,MAX(1,IF($O$294,MAX(1,2-(Vu_khi!$L$294-2)),2-(Vu_khi!$L$294-2))+1))))</f>
        <v/>
      </c>
      <c r="AD294" t="n">
        <v>1.2</v>
      </c>
      <c r="AE294">
        <f>IF(Vu_khi!$AG$294,INDEX(Bang_danh_noc!$C$2:$C$8,MIN(7,MAX(1,2-(Vu_khi!$L$294-4)+1))),INDEX(Bang_xuyen_giap!$C$2:$C$8,MIN(7,MAX(1,IF($O$294,MAX(1,2-(Vu_khi!$L$294-4)),2-(Vu_khi!$L$294-4))+1))))</f>
        <v/>
      </c>
      <c r="AF294" t="n">
        <v>0.85</v>
      </c>
      <c r="AG294">
        <f>INDEX(Bang_xuyen_giap!$C$2:$C$8,MIN(7,MAX(1,MAX(1,2-(Vu_khi!$L$294-0))+1)))</f>
        <v/>
      </c>
      <c r="AH294" t="n">
        <v>1</v>
      </c>
      <c r="AI294">
        <f>IF($Q$294,$M$294*$AA$294*$U$294,0)</f>
        <v/>
      </c>
      <c r="AJ294" t="n">
        <v>29.9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21.17916666666667</v>
      </c>
      <c r="AO294">
        <f>IF($Q$294,$M$294*$AC$294*$Y$294,0)</f>
        <v/>
      </c>
      <c r="AP294" t="n">
        <v>10.35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1.2</v>
      </c>
      <c r="AZ294" t="inlineStr">
        <is>
          <t>LECH_DOT_1</t>
        </is>
      </c>
      <c r="BA294" t="b">
        <v>1</v>
      </c>
      <c r="BB294" t="inlineStr">
        <is>
          <t>Assets/MachineBrigade/Resources/Data/balance.json: weapons[id=pt14_ixion_kornet] (lớp B trên 01_chien_dau/Vu_khi)</t>
        </is>
      </c>
      <c r="BC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IF(Vu_khi!$AG$295,INDEX(Bang_danh_noc!$C$2:$C$8,MIN(7,MAX(1,2-(Vu_khi!$L$295-0)+1))),INDEX(Bang_xuyen_giap!$C$2:$C$8,MIN(7,MAX(1,IF($O$295,MAX(1,2-(Vu_khi!$L$295-0)),2-(Vu_khi!$L$295-0))+1))))</f>
        <v/>
      </c>
      <c r="AB295" t="n">
        <v>1.2</v>
      </c>
      <c r="AC295">
        <f>IF(Vu_khi!$AG$295,INDEX(Bang_danh_noc!$C$2:$C$8,MIN(7,MAX(1,2-(Vu_khi!$L$295-2)+1))),INDEX(Bang_xuyen_giap!$C$2:$C$8,MIN(7,MAX(1,IF($O$295,MAX(1,2-(Vu_khi!$L$295-2)),2-(Vu_khi!$L$295-2))+1))))</f>
        <v/>
      </c>
      <c r="AD295" t="n">
        <v>0.85</v>
      </c>
      <c r="AE295">
        <f>IF(Vu_khi!$AG$295,INDEX(Bang_danh_noc!$C$2:$C$8,MIN(7,MAX(1,2-(Vu_khi!$L$295-4)+1))),INDEX(Bang_xuyen_giap!$C$2:$C$8,MIN(7,MAX(1,IF($O$295,MAX(1,2-(Vu_khi!$L$295-4)),2-(Vu_khi!$L$295-4))+1))))</f>
        <v/>
      </c>
      <c r="AF295" t="n">
        <v>0.4</v>
      </c>
      <c r="AG295">
        <f>INDEX(Bang_xuyen_giap!$C$2:$C$8,MIN(7,MAX(1,MAX(1,2-(Vu_khi!$L$295-0))+1)))</f>
        <v/>
      </c>
      <c r="AH295" t="n">
        <v>1</v>
      </c>
      <c r="AI295">
        <f>IF($Q$295,$M$295*$AA$295*$U$295,0)</f>
        <v/>
      </c>
      <c r="AJ295" t="n">
        <v>80.3720930232558</v>
      </c>
      <c r="AK295">
        <f>IF($Q$295,$M$295*$AC$295*$U$295,0)</f>
        <v/>
      </c>
      <c r="AL295" t="n">
        <v>56.93023255813953</v>
      </c>
      <c r="AM295">
        <f>IF($Q$295,$M$295*$AE$295*$U$295,0)</f>
        <v/>
      </c>
      <c r="AN295" t="n">
        <v>26.7906976744186</v>
      </c>
      <c r="AO295">
        <f>IF($Q$295,$M$295*$AC$295*$Y$295,0)</f>
        <v/>
      </c>
      <c r="AP295" t="n">
        <v>33.20930232558139</v>
      </c>
      <c r="AQ295">
        <f>IF($S$295,$M$295*$AG$295*$W$295,0)</f>
        <v/>
      </c>
      <c r="AR295" t="n">
        <v>16.74418604651163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1.075</v>
      </c>
      <c r="AZ295" t="inlineStr">
        <is>
          <t>LECH_DOT_1</t>
        </is>
      </c>
      <c r="BA295" t="b">
        <v>1</v>
      </c>
      <c r="BB295" t="inlineStr">
        <is>
          <t>Assets/MachineBrigade/Resources/Data/balance.json: weapons[id=pt14_mk0_v40] (lớp B trên 01_chien_dau/Vu_khi)</t>
        </is>
      </c>
      <c r="BC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IF(Vu_khi!$AG$296,INDEX(Bang_danh_noc!$C$2:$C$8,MIN(7,MAX(1,2-(Vu_khi!$L$296-0)+1))),INDEX(Bang_xuyen_giap!$C$2:$C$8,MIN(7,MAX(1,IF($O$296,MAX(1,2-(Vu_khi!$L$296-0)),2-(Vu_khi!$L$296-0))+1))))</f>
        <v/>
      </c>
      <c r="AB296" t="n">
        <v>1.2</v>
      </c>
      <c r="AC296">
        <f>IF(Vu_khi!$AG$296,INDEX(Bang_danh_noc!$C$2:$C$8,MIN(7,MAX(1,2-(Vu_khi!$L$296-2)+1))),INDEX(Bang_xuyen_giap!$C$2:$C$8,MIN(7,MAX(1,IF($O$296,MAX(1,2-(Vu_khi!$L$296-2)),2-(Vu_khi!$L$296-2))+1))))</f>
        <v/>
      </c>
      <c r="AD296" t="n">
        <v>0.85</v>
      </c>
      <c r="AE296">
        <f>IF(Vu_khi!$AG$296,INDEX(Bang_danh_noc!$C$2:$C$8,MIN(7,MAX(1,2-(Vu_khi!$L$296-4)+1))),INDEX(Bang_xuyen_giap!$C$2:$C$8,MIN(7,MAX(1,IF($O$296,MAX(1,2-(Vu_khi!$L$296-4)),2-(Vu_khi!$L$296-4))+1))))</f>
        <v/>
      </c>
      <c r="AF296" t="n">
        <v>0.4</v>
      </c>
      <c r="AG296">
        <f>INDEX(Bang_xuyen_giap!$C$2:$C$8,MIN(7,MAX(1,MAX(1,2-(Vu_khi!$L$296-0))+1)))</f>
        <v/>
      </c>
      <c r="AH296" t="n">
        <v>1</v>
      </c>
      <c r="AI296">
        <f>IF($Q$296,$M$296*$AA$296*$U$296,0)</f>
        <v/>
      </c>
      <c r="AJ296" t="n">
        <v>97.47692307692307</v>
      </c>
      <c r="AK296">
        <f>IF($Q$296,$M$296*$AC$296*$U$296,0)</f>
        <v/>
      </c>
      <c r="AL296" t="n">
        <v>69.04615384615384</v>
      </c>
      <c r="AM296">
        <f>IF($Q$296,$M$296*$AE$296*$U$296,0)</f>
        <v/>
      </c>
      <c r="AN296" t="n">
        <v>32.49230769230769</v>
      </c>
      <c r="AO296">
        <f>IF($Q$296,$M$296*$AC$296*$Y$296,0)</f>
        <v/>
      </c>
      <c r="AP296" t="n">
        <v>40.27692307692308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1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inlineStr"/>
      <c r="AZ296" t="inlineStr">
        <is>
          <t>LECH_DOT_1</t>
        </is>
      </c>
      <c r="BA296" t="b">
        <v>1</v>
      </c>
      <c r="BB296" t="inlineStr">
        <is>
          <t>Assets/MachineBrigade/Resources/Data/balance.json: weapons[id=pt14_sb_v30] (lớp B trên 01_chien_dau/Vu_khi)</t>
        </is>
      </c>
      <c r="BC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IF(Vu_khi!$AG$297,INDEX(Bang_danh_noc!$C$2:$C$8,MIN(7,MAX(1,2-(Vu_khi!$L$297-0)+1))),INDEX(Bang_xuyen_giap!$C$2:$C$8,MIN(7,MAX(1,IF($O$297,MAX(1,2-(Vu_khi!$L$297-0)),2-(Vu_khi!$L$297-0))+1))))</f>
        <v/>
      </c>
      <c r="AB297" t="n">
        <v>1.2</v>
      </c>
      <c r="AC297">
        <f>IF(Vu_khi!$AG$297,INDEX(Bang_danh_noc!$C$2:$C$8,MIN(7,MAX(1,2-(Vu_khi!$L$297-2)+1))),INDEX(Bang_xuyen_giap!$C$2:$C$8,MIN(7,MAX(1,IF($O$297,MAX(1,2-(Vu_khi!$L$297-2)),2-(Vu_khi!$L$297-2))+1))))</f>
        <v/>
      </c>
      <c r="AD297" t="n">
        <v>0.85</v>
      </c>
      <c r="AE297">
        <f>IF(Vu_khi!$AG$297,INDEX(Bang_danh_noc!$C$2:$C$8,MIN(7,MAX(1,2-(Vu_khi!$L$297-4)+1))),INDEX(Bang_xuyen_giap!$C$2:$C$8,MIN(7,MAX(1,IF($O$297,MAX(1,2-(Vu_khi!$L$297-4)),2-(Vu_khi!$L$297-4))+1))))</f>
        <v/>
      </c>
      <c r="AF297" t="n">
        <v>0.4</v>
      </c>
      <c r="AG297">
        <f>INDEX(Bang_xuyen_giap!$C$2:$C$8,MIN(7,MAX(1,MAX(1,2-(Vu_khi!$L$297-0))+1)))</f>
        <v/>
      </c>
      <c r="AH297" t="n">
        <v>1</v>
      </c>
      <c r="AI297">
        <f>IF($Q$297,$M$297*$AA$297*$U$297,0)</f>
        <v/>
      </c>
      <c r="AJ297" t="n">
        <v>60</v>
      </c>
      <c r="AK297">
        <f>IF($Q$297,$M$297*$AC$297*$U$297,0)</f>
        <v/>
      </c>
      <c r="AL297" t="n">
        <v>42.5</v>
      </c>
      <c r="AM297">
        <f>IF($Q$297,$M$297*$AE$297*$U$297,0)</f>
        <v/>
      </c>
      <c r="AN297" t="n">
        <v>20</v>
      </c>
      <c r="AO297">
        <f>IF($Q$297,$M$297*$AC$297*$Y$297,0)</f>
        <v/>
      </c>
      <c r="AP297" t="n">
        <v>68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LECH_DOT_1</t>
        </is>
      </c>
      <c r="BA297" t="b">
        <v>1</v>
      </c>
      <c r="BB297" t="inlineStr">
        <is>
          <t>Assets/MachineBrigade/Resources/Data/balance.json: weapons[id=pt14_sb_v105] (lớp B trên 01_chien_dau/Vu_khi)</t>
        </is>
      </c>
      <c r="BC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IF(Vu_khi!$AG$298,INDEX(Bang_danh_noc!$C$2:$C$8,MIN(7,MAX(1,2-(Vu_khi!$L$298-0)+1))),INDEX(Bang_xuyen_giap!$C$2:$C$8,MIN(7,MAX(1,IF($O$298,MAX(1,2-(Vu_khi!$L$298-0)),2-(Vu_khi!$L$298-0))+1))))</f>
        <v/>
      </c>
      <c r="AB298" t="n">
        <v>1.2</v>
      </c>
      <c r="AC298">
        <f>IF(Vu_khi!$AG$298,INDEX(Bang_danh_noc!$C$2:$C$8,MIN(7,MAX(1,2-(Vu_khi!$L$298-2)+1))),INDEX(Bang_xuyen_giap!$C$2:$C$8,MIN(7,MAX(1,IF($O$298,MAX(1,2-(Vu_khi!$L$298-2)),2-(Vu_khi!$L$298-2))+1))))</f>
        <v/>
      </c>
      <c r="AD298" t="n">
        <v>1.2</v>
      </c>
      <c r="AE298">
        <f>IF(Vu_khi!$AG$298,INDEX(Bang_danh_noc!$C$2:$C$8,MIN(7,MAX(1,2-(Vu_khi!$L$298-4)+1))),INDEX(Bang_xuyen_giap!$C$2:$C$8,MIN(7,MAX(1,IF($O$298,MAX(1,2-(Vu_khi!$L$298-4)),2-(Vu_khi!$L$298-4))+1))))</f>
        <v/>
      </c>
      <c r="AF298" t="n">
        <v>0.85</v>
      </c>
      <c r="AG298">
        <f>INDEX(Bang_xuyen_giap!$C$2:$C$8,MIN(7,MAX(1,MAX(1,2-(Vu_khi!$L$298-0))+1)))</f>
        <v/>
      </c>
      <c r="AH298" t="n">
        <v>1</v>
      </c>
      <c r="AI298">
        <f>IF($Q$298,$M$298*$AA$298*$U$298,0)</f>
        <v/>
      </c>
      <c r="AJ298" t="n">
        <v>88.67368421052632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62.81052631578947</v>
      </c>
      <c r="AO298">
        <f>IF($Q$298,$M$298*$AC$298*$Y$298,0)</f>
        <v/>
      </c>
      <c r="AP298" t="n">
        <v>30.69473684210527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LECH_DOT_1</t>
        </is>
      </c>
      <c r="BA298" t="b">
        <v>1</v>
      </c>
      <c r="BB298" t="inlineStr">
        <is>
          <t>Assets/MachineBrigade/Resources/Data/balance.json: weapons[id=pt14_th_jagm] (lớp B trên 01_chien_dau/Vu_khi)</t>
        </is>
      </c>
      <c r="BC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IF(Vu_khi!$AG$299,INDEX(Bang_danh_noc!$C$2:$C$8,MIN(7,MAX(1,2-(Vu_khi!$L$299-0)+1))),INDEX(Bang_xuyen_giap!$C$2:$C$8,MIN(7,MAX(1,IF($O$299,MAX(1,2-(Vu_khi!$L$299-0)),2-(Vu_khi!$L$299-0))+1))))</f>
        <v/>
      </c>
      <c r="AB299" t="n">
        <v>1.2</v>
      </c>
      <c r="AC299">
        <f>IF(Vu_khi!$AG$299,INDEX(Bang_danh_noc!$C$2:$C$8,MIN(7,MAX(1,2-(Vu_khi!$L$299-2)+1))),INDEX(Bang_xuyen_giap!$C$2:$C$8,MIN(7,MAX(1,IF($O$299,MAX(1,2-(Vu_khi!$L$299-2)),2-(Vu_khi!$L$299-2))+1))))</f>
        <v/>
      </c>
      <c r="AD299" t="n">
        <v>0.85</v>
      </c>
      <c r="AE299">
        <f>IF(Vu_khi!$AG$299,INDEX(Bang_danh_noc!$C$2:$C$8,MIN(7,MAX(1,2-(Vu_khi!$L$299-4)+1))),INDEX(Bang_xuyen_giap!$C$2:$C$8,MIN(7,MAX(1,IF($O$299,MAX(1,2-(Vu_khi!$L$299-4)),2-(Vu_khi!$L$299-4))+1))))</f>
        <v/>
      </c>
      <c r="AF299" t="n">
        <v>0.4</v>
      </c>
      <c r="AG299">
        <f>INDEX(Bang_xuyen_giap!$C$2:$C$8,MIN(7,MAX(1,MAX(1,2-(Vu_khi!$L$299-0))+1)))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134.9325337331335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1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inlineStr"/>
      <c r="AZ299" t="inlineStr">
        <is>
          <t>ok</t>
        </is>
      </c>
      <c r="BA299" t="b">
        <v>1</v>
      </c>
      <c r="BB299" t="inlineStr">
        <is>
          <t>Assets/MachineBrigade/Resources/Data/balance.json: weapons[id=pt14_th_pd] (lớp B trên 01_chien_dau/Vu_khi)</t>
        </is>
      </c>
      <c r="BC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IF(Vu_khi!$AG$300,INDEX(Bang_danh_noc!$C$2:$C$8,MIN(7,MAX(1,2-(Vu_khi!$L$300-0)+1))),INDEX(Bang_xuyen_giap!$C$2:$C$8,MIN(7,MAX(1,IF($O$300,MAX(1,2-(Vu_khi!$L$300-0)),2-(Vu_khi!$L$300-0))+1))))</f>
        <v/>
      </c>
      <c r="AB300" t="n">
        <v>1.2</v>
      </c>
      <c r="AC300">
        <f>IF(Vu_khi!$AG$300,INDEX(Bang_danh_noc!$C$2:$C$8,MIN(7,MAX(1,2-(Vu_khi!$L$300-2)+1))),INDEX(Bang_xuyen_giap!$C$2:$C$8,MIN(7,MAX(1,IF($O$300,MAX(1,2-(Vu_khi!$L$300-2)),2-(Vu_khi!$L$300-2))+1))))</f>
        <v/>
      </c>
      <c r="AD300" t="n">
        <v>0.85</v>
      </c>
      <c r="AE300">
        <f>IF(Vu_khi!$AG$300,INDEX(Bang_danh_noc!$C$2:$C$8,MIN(7,MAX(1,2-(Vu_khi!$L$300-4)+1))),INDEX(Bang_xuyen_giap!$C$2:$C$8,MIN(7,MAX(1,IF($O$300,MAX(1,2-(Vu_khi!$L$300-4)),2-(Vu_khi!$L$300-4))+1))))</f>
        <v/>
      </c>
      <c r="AF300" t="n">
        <v>0.4</v>
      </c>
      <c r="AG300">
        <f>INDEX(Bang_xuyen_giap!$C$2:$C$8,MIN(7,MAX(1,MAX(1,2-(Vu_khi!$L$300-0))+1)))</f>
        <v/>
      </c>
      <c r="AH300" t="n">
        <v>1</v>
      </c>
      <c r="AI300">
        <f>IF($Q$300,$M$300*$AA$300*$U$300,0)</f>
        <v/>
      </c>
      <c r="AJ300" t="n">
        <v>38.91891891891893</v>
      </c>
      <c r="AK300">
        <f>IF($Q$300,$M$300*$AC$300*$U$300,0)</f>
        <v/>
      </c>
      <c r="AL300" t="n">
        <v>27.56756756756757</v>
      </c>
      <c r="AM300">
        <f>IF($Q$300,$M$300*$AE$300*$U$300,0)</f>
        <v/>
      </c>
      <c r="AN300" t="n">
        <v>12.97297297297298</v>
      </c>
      <c r="AO300">
        <f>IF($Q$300,$M$300*$AC$300*$Y$300,0)</f>
        <v/>
      </c>
      <c r="AP300" t="n">
        <v>6.126126126126127</v>
      </c>
      <c r="AQ300">
        <f>IF($S$300,$M$300*$AG$300*$W$300,0)</f>
        <v/>
      </c>
      <c r="AR300" t="n">
        <v>97.29729729729731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1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6.359375</v>
      </c>
      <c r="AZ300" t="inlineStr">
        <is>
          <t>CHAM_QUA;LECH_DOT_1</t>
        </is>
      </c>
      <c r="BA300" t="b">
        <v>1</v>
      </c>
      <c r="BB300" t="inlineStr">
        <is>
          <t>Assets/MachineBrigade/Resources/Data/balance.json: weapons[id=pt14_th_v35] (lớp B trên 01_chien_dau/Vu_khi)</t>
        </is>
      </c>
      <c r="BC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IF(Vu_khi!$AG$301,INDEX(Bang_danh_noc!$C$2:$C$8,MIN(7,MAX(1,2-(Vu_khi!$L$301-0)+1))),INDEX(Bang_xuyen_giap!$C$2:$C$8,MIN(7,MAX(1,IF($O$301,MAX(1,2-(Vu_khi!$L$301-0)),2-(Vu_khi!$L$301-0))+1))))</f>
        <v/>
      </c>
      <c r="AB301" t="n">
        <v>1.2</v>
      </c>
      <c r="AC301">
        <f>IF(Vu_khi!$AG$301,INDEX(Bang_danh_noc!$C$2:$C$8,MIN(7,MAX(1,2-(Vu_khi!$L$301-2)+1))),INDEX(Bang_xuyen_giap!$C$2:$C$8,MIN(7,MAX(1,IF($O$301,MAX(1,2-(Vu_khi!$L$301-2)),2-(Vu_khi!$L$301-2))+1))))</f>
        <v/>
      </c>
      <c r="AD301" t="n">
        <v>0.85</v>
      </c>
      <c r="AE301">
        <f>IF(Vu_khi!$AG$301,INDEX(Bang_danh_noc!$C$2:$C$8,MIN(7,MAX(1,2-(Vu_khi!$L$301-4)+1))),INDEX(Bang_xuyen_giap!$C$2:$C$8,MIN(7,MAX(1,IF($O$301,MAX(1,2-(Vu_khi!$L$301-4)),2-(Vu_khi!$L$301-4))+1))))</f>
        <v/>
      </c>
      <c r="AF301" t="n">
        <v>0.4</v>
      </c>
      <c r="AG301">
        <f>INDEX(Bang_xuyen_giap!$C$2:$C$8,MIN(7,MAX(1,MAX(1,2-(Vu_khi!$L$301-0))+1)))</f>
        <v/>
      </c>
      <c r="AH301" t="n">
        <v>1</v>
      </c>
      <c r="AI301">
        <f>IF($Q$301,$M$301*$AA$301*$U$301,0)</f>
        <v/>
      </c>
      <c r="AJ301" t="n">
        <v>369.6682464454977</v>
      </c>
      <c r="AK301">
        <f>IF($Q$301,$M$301*$AC$301*$U$301,0)</f>
        <v/>
      </c>
      <c r="AL301" t="n">
        <v>261.8483412322275</v>
      </c>
      <c r="AM301">
        <f>IF($Q$301,$M$301*$AE$301*$U$301,0)</f>
        <v/>
      </c>
      <c r="AN301" t="n">
        <v>123.2227488151659</v>
      </c>
      <c r="AO301">
        <f>IF($Q$301,$M$301*$AC$301*$Y$301,0)</f>
        <v/>
      </c>
      <c r="AP301" t="n">
        <v>418.9573459715641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3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1</v>
      </c>
      <c r="AZ301" t="inlineStr">
        <is>
          <t>LECH_HO</t>
        </is>
      </c>
      <c r="BA301" t="b">
        <v>0</v>
      </c>
      <c r="BB301" t="inlineStr">
        <is>
          <t>Assets/MachineBrigade/Resources/Data/balance.json: weapons[id=pt14_train_grad] (lớp B trên 01_chien_dau/Vu_khi)</t>
        </is>
      </c>
      <c r="BC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IF(Vu_khi!$AG$302,INDEX(Bang_danh_noc!$C$2:$C$8,MIN(7,MAX(1,2-(Vu_khi!$L$302-0)+1))),INDEX(Bang_xuyen_giap!$C$2:$C$8,MIN(7,MAX(1,IF($O$302,MAX(1,2-(Vu_khi!$L$302-0)),2-(Vu_khi!$L$302-0))+1))))</f>
        <v/>
      </c>
      <c r="AB302" t="n">
        <v>1.2</v>
      </c>
      <c r="AC302">
        <f>IF(Vu_khi!$AG$302,INDEX(Bang_danh_noc!$C$2:$C$8,MIN(7,MAX(1,2-(Vu_khi!$L$302-2)+1))),INDEX(Bang_xuyen_giap!$C$2:$C$8,MIN(7,MAX(1,IF($O$302,MAX(1,2-(Vu_khi!$L$302-2)),2-(Vu_khi!$L$302-2))+1))))</f>
        <v/>
      </c>
      <c r="AD302" t="n">
        <v>0.85</v>
      </c>
      <c r="AE302">
        <f>IF(Vu_khi!$AG$302,INDEX(Bang_danh_noc!$C$2:$C$8,MIN(7,MAX(1,2-(Vu_khi!$L$302-4)+1))),INDEX(Bang_xuyen_giap!$C$2:$C$8,MIN(7,MAX(1,IF($O$302,MAX(1,2-(Vu_khi!$L$302-4)),2-(Vu_khi!$L$302-4))+1))))</f>
        <v/>
      </c>
      <c r="AF302" t="n">
        <v>0.4</v>
      </c>
      <c r="AG302">
        <f>INDEX(Bang_xuyen_giap!$C$2:$C$8,MIN(7,MAX(1,MAX(1,2-(Vu_khi!$L$302-0))+1)))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35.48571428571429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inlineStr"/>
      <c r="AZ302" t="inlineStr">
        <is>
          <t>ok</t>
        </is>
      </c>
      <c r="BA302" t="inlineStr"/>
      <c r="BB302" t="inlineStr">
        <is>
          <t>Assets/MachineBrigade/Resources/Data/balance.json: weapons[id=r60] (lớp B trên 01_chien_dau/Vu_khi)</t>
        </is>
      </c>
      <c r="BC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IF(Vu_khi!$AG$303,INDEX(Bang_danh_noc!$C$2:$C$8,MIN(7,MAX(1,2-(Vu_khi!$L$303-0)+1))),INDEX(Bang_xuyen_giap!$C$2:$C$8,MIN(7,MAX(1,IF($O$303,MAX(1,2-(Vu_khi!$L$303-0)),2-(Vu_khi!$L$303-0))+1))))</f>
        <v/>
      </c>
      <c r="AB303" t="n">
        <v>1.2</v>
      </c>
      <c r="AC303">
        <f>IF(Vu_khi!$AG$303,INDEX(Bang_danh_noc!$C$2:$C$8,MIN(7,MAX(1,2-(Vu_khi!$L$303-2)+1))),INDEX(Bang_xuyen_giap!$C$2:$C$8,MIN(7,MAX(1,IF($O$303,MAX(1,2-(Vu_khi!$L$303-2)),2-(Vu_khi!$L$303-2))+1))))</f>
        <v/>
      </c>
      <c r="AD303" t="n">
        <v>1.2</v>
      </c>
      <c r="AE303">
        <f>IF(Vu_khi!$AG$303,INDEX(Bang_danh_noc!$C$2:$C$8,MIN(7,MAX(1,2-(Vu_khi!$L$303-4)+1))),INDEX(Bang_xuyen_giap!$C$2:$C$8,MIN(7,MAX(1,IF($O$303,MAX(1,2-(Vu_khi!$L$303-4)),2-(Vu_khi!$L$303-4))+1))))</f>
        <v/>
      </c>
      <c r="AF303" t="n">
        <v>1</v>
      </c>
      <c r="AG303">
        <f>INDEX(Bang_xuyen_giap!$C$2:$C$8,MIN(7,MAX(1,MAX(1,2-(Vu_khi!$L$303-0))+1)))</f>
        <v/>
      </c>
      <c r="AH303" t="n">
        <v>1</v>
      </c>
      <c r="AI303">
        <f>IF($Q$303,$M$303*$AA$303*$U$303,0)</f>
        <v/>
      </c>
      <c r="AJ303" t="n">
        <v>104.9142857142857</v>
      </c>
      <c r="AK303">
        <f>IF($Q$303,$M$303*$AC$303*$U$303,0)</f>
        <v/>
      </c>
      <c r="AL303" t="n">
        <v>104.9142857142857</v>
      </c>
      <c r="AM303">
        <f>IF($Q$303,$M$303*$AE$303*$U$303,0)</f>
        <v/>
      </c>
      <c r="AN303" t="n">
        <v>87.42857142857143</v>
      </c>
      <c r="AO303">
        <f>IF($Q$303,$M$303*$AC$303*$Y$303,0)</f>
        <v/>
      </c>
      <c r="AP303" t="n">
        <v>61.2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3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inlineStr"/>
      <c r="AZ303" t="inlineStr">
        <is>
          <t>ok</t>
        </is>
      </c>
      <c r="BA303" t="inlineStr"/>
      <c r="BB303" t="inlineStr">
        <is>
          <t>Assets/MachineBrigade/Resources/Data/balance.json: weapons[id=railgun] (lớp B trên 01_chien_dau/Vu_khi)</t>
        </is>
      </c>
      <c r="BC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IF(Vu_khi!$AG$304,INDEX(Bang_danh_noc!$C$2:$C$8,MIN(7,MAX(1,2-(Vu_khi!$L$304-0)+1))),INDEX(Bang_xuyen_giap!$C$2:$C$8,MIN(7,MAX(1,IF($O$304,MAX(1,2-(Vu_khi!$L$304-0)),2-(Vu_khi!$L$304-0))+1))))</f>
        <v/>
      </c>
      <c r="AB304" t="n">
        <v>1.2</v>
      </c>
      <c r="AC304">
        <f>IF(Vu_khi!$AG$304,INDEX(Bang_danh_noc!$C$2:$C$8,MIN(7,MAX(1,2-(Vu_khi!$L$304-2)+1))),INDEX(Bang_xuyen_giap!$C$2:$C$8,MIN(7,MAX(1,IF($O$304,MAX(1,2-(Vu_khi!$L$304-2)),2-(Vu_khi!$L$304-2))+1))))</f>
        <v/>
      </c>
      <c r="AD304" t="n">
        <v>1</v>
      </c>
      <c r="AE304">
        <f>IF(Vu_khi!$AG$304,INDEX(Bang_danh_noc!$C$2:$C$8,MIN(7,MAX(1,2-(Vu_khi!$L$304-4)+1))),INDEX(Bang_xuyen_giap!$C$2:$C$8,MIN(7,MAX(1,IF($O$304,MAX(1,2-(Vu_khi!$L$304-4)),2-(Vu_khi!$L$304-4))+1))))</f>
        <v/>
      </c>
      <c r="AF304" t="n">
        <v>0.65</v>
      </c>
      <c r="AG304">
        <f>INDEX(Bang_xuyen_giap!$C$2:$C$8,MIN(7,MAX(1,MAX(1,2-(Vu_khi!$L$304-0))+1)))</f>
        <v/>
      </c>
      <c r="AH304" t="n">
        <v>1</v>
      </c>
      <c r="AI304">
        <f>IF($Q$304,$M$304*$AA$304*$U$304,0)</f>
        <v/>
      </c>
      <c r="AJ304" t="n">
        <v>51.43217135657287</v>
      </c>
      <c r="AK304">
        <f>IF($Q$304,$M$304*$AC$304*$U$304,0)</f>
        <v/>
      </c>
      <c r="AL304" t="n">
        <v>42.86014279714406</v>
      </c>
      <c r="AM304">
        <f>IF($Q$304,$M$304*$AE$304*$U$304,0)</f>
        <v/>
      </c>
      <c r="AN304" t="n">
        <v>27.85909281814364</v>
      </c>
      <c r="AO304">
        <f>IF($Q$304,$M$304*$AC$304*$Y$304,0)</f>
        <v/>
      </c>
      <c r="AP304" t="n">
        <v>14.83620327593448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0.555567</v>
      </c>
      <c r="AZ304" t="inlineStr">
        <is>
          <t>NHANH_QUA</t>
        </is>
      </c>
      <c r="BA304" t="inlineStr"/>
      <c r="BB304" t="inlineStr">
        <is>
          <t>Assets/MachineBrigade/Resources/Data/balance.json: weapons[id=recoilless_106] (lớp B trên 01_chien_dau/Vu_khi)</t>
        </is>
      </c>
      <c r="BC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IF(Vu_khi!$AG$305,INDEX(Bang_danh_noc!$C$2:$C$8,MIN(7,MAX(1,2-(Vu_khi!$L$305-0)+1))),INDEX(Bang_xuyen_giap!$C$2:$C$8,MIN(7,MAX(1,IF($O$305,MAX(1,2-(Vu_khi!$L$305-0)),2-(Vu_khi!$L$305-0))+1))))</f>
        <v/>
      </c>
      <c r="AB305" t="n">
        <v>1.2</v>
      </c>
      <c r="AC305">
        <f>IF(Vu_khi!$AG$305,INDEX(Bang_danh_noc!$C$2:$C$8,MIN(7,MAX(1,2-(Vu_khi!$L$305-2)+1))),INDEX(Bang_xuyen_giap!$C$2:$C$8,MIN(7,MAX(1,IF($O$305,MAX(1,2-(Vu_khi!$L$305-2)),2-(Vu_khi!$L$305-2))+1))))</f>
        <v/>
      </c>
      <c r="AD305" t="n">
        <v>1</v>
      </c>
      <c r="AE305">
        <f>IF(Vu_khi!$AG$305,INDEX(Bang_danh_noc!$C$2:$C$8,MIN(7,MAX(1,2-(Vu_khi!$L$305-4)+1))),INDEX(Bang_xuyen_giap!$C$2:$C$8,MIN(7,MAX(1,IF($O$305,MAX(1,2-(Vu_khi!$L$305-4)),2-(Vu_khi!$L$305-4))+1))))</f>
        <v/>
      </c>
      <c r="AF305" t="n">
        <v>0.65</v>
      </c>
      <c r="AG305">
        <f>INDEX(Bang_xuyen_giap!$C$2:$C$8,MIN(7,MAX(1,MAX(1,2-(Vu_khi!$L$305-0))+1)))</f>
        <v/>
      </c>
      <c r="AH305" t="n">
        <v>1</v>
      </c>
      <c r="AI305">
        <f>IF($Q$305,$M$305*$AA$305*$U$305,0)</f>
        <v/>
      </c>
      <c r="AJ305" t="n">
        <v>25.57377049180328</v>
      </c>
      <c r="AK305">
        <f>IF($Q$305,$M$305*$AC$305*$U$305,0)</f>
        <v/>
      </c>
      <c r="AL305" t="n">
        <v>21.31147540983606</v>
      </c>
      <c r="AM305">
        <f>IF($Q$305,$M$305*$AE$305*$U$305,0)</f>
        <v/>
      </c>
      <c r="AN305" t="n">
        <v>13.85245901639344</v>
      </c>
      <c r="AO305">
        <f>IF($Q$305,$M$305*$AC$305*$Y$305,0)</f>
        <v/>
      </c>
      <c r="AP305" t="n">
        <v>7.377049180327869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inlineStr"/>
      <c r="AZ305" t="inlineStr">
        <is>
          <t>ok</t>
        </is>
      </c>
      <c r="BA305" t="inlineStr"/>
      <c r="BB305" t="inlineStr">
        <is>
          <t>Assets/MachineBrigade/Resources/Data/balance.json: weapons[id=recon_missile] (lớp B trên 01_chien_dau/Vu_khi)</t>
        </is>
      </c>
      <c r="BC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IF(Vu_khi!$AG$306,INDEX(Bang_danh_noc!$C$2:$C$8,MIN(7,MAX(1,2-(Vu_khi!$L$306-0)+1))),INDEX(Bang_xuyen_giap!$C$2:$C$8,MIN(7,MAX(1,IF($O$306,MAX(1,2-(Vu_khi!$L$306-0)),2-(Vu_khi!$L$306-0))+1))))</f>
        <v/>
      </c>
      <c r="AB306" t="n">
        <v>1</v>
      </c>
      <c r="AC306">
        <f>IF(Vu_khi!$AG$306,INDEX(Bang_danh_noc!$C$2:$C$8,MIN(7,MAX(1,2-(Vu_khi!$L$306-2)+1))),INDEX(Bang_xuyen_giap!$C$2:$C$8,MIN(7,MAX(1,IF($O$306,MAX(1,2-(Vu_khi!$L$306-2)),2-(Vu_khi!$L$306-2))+1))))</f>
        <v/>
      </c>
      <c r="AD306" t="n">
        <v>1</v>
      </c>
      <c r="AE306">
        <f>IF(Vu_khi!$AG$306,INDEX(Bang_danh_noc!$C$2:$C$8,MIN(7,MAX(1,2-(Vu_khi!$L$306-4)+1))),INDEX(Bang_xuyen_giap!$C$2:$C$8,MIN(7,MAX(1,IF($O$306,MAX(1,2-(Vu_khi!$L$306-4)),2-(Vu_khi!$L$306-4))+1))))</f>
        <v/>
      </c>
      <c r="AF306" t="n">
        <v>0.65</v>
      </c>
      <c r="AG306">
        <f>INDEX(Bang_xuyen_giap!$C$2:$C$8,MIN(7,MAX(1,MAX(1,2-(Vu_khi!$L$306-0))+1)))</f>
        <v/>
      </c>
      <c r="AH306" t="n">
        <v>1</v>
      </c>
      <c r="AI306">
        <f>IF($Q$306,$M$306*$AA$306*$U$306,0)</f>
        <v/>
      </c>
      <c r="AJ306" t="n">
        <v>64.93242142973457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42.20607392932747</v>
      </c>
      <c r="AO306">
        <f>IF($Q$306,$M$306*$AC$306*$Y$306,0)</f>
        <v/>
      </c>
      <c r="AP306" t="n">
        <v>103.8918742875753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0.079167</v>
      </c>
      <c r="AZ306" t="inlineStr">
        <is>
          <t>NHANH_QUA</t>
        </is>
      </c>
      <c r="BA306" t="inlineStr"/>
      <c r="BB306" t="inlineStr">
        <is>
          <t>Assets/MachineBrigade/Resources/Data/balance.json: weapons[id=rockets_300mm] (lớp B trên 01_chien_dau/Vu_khi)</t>
        </is>
      </c>
      <c r="BC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IF(Vu_khi!$AG$307,INDEX(Bang_danh_noc!$C$2:$C$8,MIN(7,MAX(1,2-(Vu_khi!$L$307-0)+1))),INDEX(Bang_xuyen_giap!$C$2:$C$8,MIN(7,MAX(1,IF($O$307,MAX(1,2-(Vu_khi!$L$307-0)),2-(Vu_khi!$L$307-0))+1))))</f>
        <v/>
      </c>
      <c r="AB307" t="n">
        <v>1.2</v>
      </c>
      <c r="AC307">
        <f>IF(Vu_khi!$AG$307,INDEX(Bang_danh_noc!$C$2:$C$8,MIN(7,MAX(1,2-(Vu_khi!$L$307-2)+1))),INDEX(Bang_xuyen_giap!$C$2:$C$8,MIN(7,MAX(1,IF($O$307,MAX(1,2-(Vu_khi!$L$307-2)),2-(Vu_khi!$L$307-2))+1))))</f>
        <v/>
      </c>
      <c r="AD307" t="n">
        <v>0.85</v>
      </c>
      <c r="AE307">
        <f>IF(Vu_khi!$AG$307,INDEX(Bang_danh_noc!$C$2:$C$8,MIN(7,MAX(1,2-(Vu_khi!$L$307-4)+1))),INDEX(Bang_xuyen_giap!$C$2:$C$8,MIN(7,MAX(1,IF($O$307,MAX(1,2-(Vu_khi!$L$307-4)),2-(Vu_khi!$L$307-4))+1))))</f>
        <v/>
      </c>
      <c r="AF307" t="n">
        <v>0.4</v>
      </c>
      <c r="AG307">
        <f>INDEX(Bang_xuyen_giap!$C$2:$C$8,MIN(7,MAX(1,MAX(1,2-(Vu_khi!$L$307-0))+1)))</f>
        <v/>
      </c>
      <c r="AH307" t="n">
        <v>1</v>
      </c>
      <c r="AI307">
        <f>IF($Q$307,$M$307*$AA$307*$U$307,0)</f>
        <v/>
      </c>
      <c r="AJ307" t="n">
        <v>69.81818181818183</v>
      </c>
      <c r="AK307">
        <f>IF($Q$307,$M$307*$AC$307*$U$307,0)</f>
        <v/>
      </c>
      <c r="AL307" t="n">
        <v>49.45454545454546</v>
      </c>
      <c r="AM307">
        <f>IF($Q$307,$M$307*$AE$307*$U$307,0)</f>
        <v/>
      </c>
      <c r="AN307" t="n">
        <v>23.27272727272728</v>
      </c>
      <c r="AO307">
        <f>IF($Q$307,$M$307*$AC$307*$Y$307,0)</f>
        <v/>
      </c>
      <c r="AP307" t="n">
        <v>79.12727272727274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0.75</v>
      </c>
      <c r="AZ307" t="inlineStr">
        <is>
          <t>ok</t>
        </is>
      </c>
      <c r="BA307" t="inlineStr"/>
      <c r="BB307" t="inlineStr">
        <is>
          <t>Assets/MachineBrigade/Resources/Data/balance.json: weapons[id=s8_pods] (lớp B trên 01_chien_dau/Vu_khi)</t>
        </is>
      </c>
      <c r="BC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IF(Vu_khi!$AG$308,INDEX(Bang_danh_noc!$C$2:$C$8,MIN(7,MAX(1,2-(Vu_khi!$L$308-0)+1))),INDEX(Bang_xuyen_giap!$C$2:$C$8,MIN(7,MAX(1,IF($O$308,MAX(1,2-(Vu_khi!$L$308-0)),2-(Vu_khi!$L$308-0))+1))))</f>
        <v/>
      </c>
      <c r="AB308" t="n">
        <v>1.2</v>
      </c>
      <c r="AC308">
        <f>IF(Vu_khi!$AG$308,INDEX(Bang_danh_noc!$C$2:$C$8,MIN(7,MAX(1,2-(Vu_khi!$L$308-2)+1))),INDEX(Bang_xuyen_giap!$C$2:$C$8,MIN(7,MAX(1,IF($O$308,MAX(1,2-(Vu_khi!$L$308-2)),2-(Vu_khi!$L$308-2))+1))))</f>
        <v/>
      </c>
      <c r="AD308" t="n">
        <v>0.85</v>
      </c>
      <c r="AE308">
        <f>IF(Vu_khi!$AG$308,INDEX(Bang_danh_noc!$C$2:$C$8,MIN(7,MAX(1,2-(Vu_khi!$L$308-4)+1))),INDEX(Bang_xuyen_giap!$C$2:$C$8,MIN(7,MAX(1,IF($O$308,MAX(1,2-(Vu_khi!$L$308-4)),2-(Vu_khi!$L$308-4))+1))))</f>
        <v/>
      </c>
      <c r="AF308" t="n">
        <v>0.4</v>
      </c>
      <c r="AG308">
        <f>INDEX(Bang_xuyen_giap!$C$2:$C$8,MIN(7,MAX(1,MAX(1,2-(Vu_khi!$L$308-0))+1)))</f>
        <v/>
      </c>
      <c r="AH308" t="n">
        <v>1</v>
      </c>
      <c r="AI308">
        <f>IF($Q$308,$M$308*$AA$308*$U$308,0)</f>
        <v/>
      </c>
      <c r="AJ308" t="n">
        <v>0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IF($Q$308,$M$308*$AC$308*$Y$308,0)</f>
        <v/>
      </c>
      <c r="AP308" t="n">
        <v>0</v>
      </c>
      <c r="AQ308">
        <f>IF($S$308,$M$308*$AG$308*$W$308,0)</f>
        <v/>
      </c>
      <c r="AR308" t="n">
        <v>51.54986522911052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1.484</v>
      </c>
      <c r="AZ308" t="inlineStr">
        <is>
          <t>ok</t>
        </is>
      </c>
      <c r="BA308" t="inlineStr"/>
      <c r="BB308" t="inlineStr">
        <is>
          <t>Assets/MachineBrigade/Resources/Data/balance.json: weapons[id=sam] (lớp B trên 01_chien_dau/Vu_khi)</t>
        </is>
      </c>
      <c r="BC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IF(Vu_khi!$AG$309,INDEX(Bang_danh_noc!$C$2:$C$8,MIN(7,MAX(1,2-(Vu_khi!$L$309-0)+1))),INDEX(Bang_xuyen_giap!$C$2:$C$8,MIN(7,MAX(1,IF($O$309,MAX(1,2-(Vu_khi!$L$309-0)),2-(Vu_khi!$L$309-0))+1))))</f>
        <v/>
      </c>
      <c r="AB309" t="n">
        <v>1</v>
      </c>
      <c r="AC309">
        <f>IF(Vu_khi!$AG$309,INDEX(Bang_danh_noc!$C$2:$C$8,MIN(7,MAX(1,2-(Vu_khi!$L$309-2)+1))),INDEX(Bang_xuyen_giap!$C$2:$C$8,MIN(7,MAX(1,IF($O$309,MAX(1,2-(Vu_khi!$L$309-2)),2-(Vu_khi!$L$309-2))+1))))</f>
        <v/>
      </c>
      <c r="AD309" t="n">
        <v>1</v>
      </c>
      <c r="AE309">
        <f>IF(Vu_khi!$AG$309,INDEX(Bang_danh_noc!$C$2:$C$8,MIN(7,MAX(1,2-(Vu_khi!$L$309-4)+1))),INDEX(Bang_xuyen_giap!$C$2:$C$8,MIN(7,MAX(1,IF($O$309,MAX(1,2-(Vu_khi!$L$309-4)),2-(Vu_khi!$L$309-4))+1))))</f>
        <v/>
      </c>
      <c r="AF309" t="n">
        <v>0.65</v>
      </c>
      <c r="AG309">
        <f>INDEX(Bang_xuyen_giap!$C$2:$C$8,MIN(7,MAX(1,MAX(1,2-(Vu_khi!$L$309-0))+1)))</f>
        <v/>
      </c>
      <c r="AH309" t="n">
        <v>1</v>
      </c>
      <c r="AI309">
        <f>IF($Q$309,$M$309*$AA$309*$U$309,0)</f>
        <v/>
      </c>
      <c r="AJ309" t="n">
        <v>0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IF($Q$309,$M$309*$AC$309*$Y$309,0)</f>
        <v/>
      </c>
      <c r="AP309" t="n">
        <v>0</v>
      </c>
      <c r="AQ309">
        <f>IF($S$309,$M$309*$AG$309*$W$309,0)</f>
        <v/>
      </c>
      <c r="AR309" t="n">
        <v>118.125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2.4</v>
      </c>
      <c r="AZ309" t="inlineStr">
        <is>
          <t>ok</t>
        </is>
      </c>
      <c r="BA309" t="inlineStr"/>
      <c r="BB309" t="inlineStr">
        <is>
          <t>Assets/MachineBrigade/Resources/Data/balance.json: weapons[id=sam_48n6] (lớp B trên 01_chien_dau/Vu_khi)</t>
        </is>
      </c>
      <c r="BC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IF(Vu_khi!$AG$310,INDEX(Bang_danh_noc!$C$2:$C$8,MIN(7,MAX(1,2-(Vu_khi!$L$310-0)+1))),INDEX(Bang_xuyen_giap!$C$2:$C$8,MIN(7,MAX(1,IF($O$310,MAX(1,2-(Vu_khi!$L$310-0)),2-(Vu_khi!$L$310-0))+1))))</f>
        <v/>
      </c>
      <c r="AB310" t="n">
        <v>1</v>
      </c>
      <c r="AC310">
        <f>IF(Vu_khi!$AG$310,INDEX(Bang_danh_noc!$C$2:$C$8,MIN(7,MAX(1,2-(Vu_khi!$L$310-2)+1))),INDEX(Bang_xuyen_giap!$C$2:$C$8,MIN(7,MAX(1,IF($O$310,MAX(1,2-(Vu_khi!$L$310-2)),2-(Vu_khi!$L$310-2))+1))))</f>
        <v/>
      </c>
      <c r="AD310" t="n">
        <v>1</v>
      </c>
      <c r="AE310">
        <f>IF(Vu_khi!$AG$310,INDEX(Bang_danh_noc!$C$2:$C$8,MIN(7,MAX(1,2-(Vu_khi!$L$310-4)+1))),INDEX(Bang_xuyen_giap!$C$2:$C$8,MIN(7,MAX(1,IF($O$310,MAX(1,2-(Vu_khi!$L$310-4)),2-(Vu_khi!$L$310-4))+1))))</f>
        <v/>
      </c>
      <c r="AF310" t="n">
        <v>0.65</v>
      </c>
      <c r="AG310">
        <f>INDEX(Bang_xuyen_giap!$C$2:$C$8,MIN(7,MAX(1,MAX(1,2-(Vu_khi!$L$310-0))+1)))</f>
        <v/>
      </c>
      <c r="AH310" t="n">
        <v>1</v>
      </c>
      <c r="AI310">
        <f>IF($Q$310,$M$310*$AA$310*$U$310,0)</f>
        <v/>
      </c>
      <c r="AJ310" t="n">
        <v>0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IF($Q$310,$M$310*$AC$310*$Y$310,0)</f>
        <v/>
      </c>
      <c r="AP310" t="n">
        <v>0</v>
      </c>
      <c r="AQ310">
        <f>IF($S$310,$M$310*$AG$310*$W$310,0)</f>
        <v/>
      </c>
      <c r="AR310" t="n">
        <v>83.45454545454547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1.833333</v>
      </c>
      <c r="AZ310" t="inlineStr">
        <is>
          <t>ok</t>
        </is>
      </c>
      <c r="BA310" t="b">
        <v>1</v>
      </c>
      <c r="BB310" t="inlineStr">
        <is>
          <t>Assets/MachineBrigade/Resources/Data/balance.json: weapons[id=sam_battery] (lớp B trên 01_chien_dau/Vu_khi)</t>
        </is>
      </c>
      <c r="BC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IF(Vu_khi!$AG$311,INDEX(Bang_danh_noc!$C$2:$C$8,MIN(7,MAX(1,2-(Vu_khi!$L$311-0)+1))),INDEX(Bang_xuyen_giap!$C$2:$C$8,MIN(7,MAX(1,IF($O$311,MAX(1,2-(Vu_khi!$L$311-0)),2-(Vu_khi!$L$311-0))+1))))</f>
        <v/>
      </c>
      <c r="AB311" t="n">
        <v>1</v>
      </c>
      <c r="AC311">
        <f>IF(Vu_khi!$AG$311,INDEX(Bang_danh_noc!$C$2:$C$8,MIN(7,MAX(1,2-(Vu_khi!$L$311-2)+1))),INDEX(Bang_xuyen_giap!$C$2:$C$8,MIN(7,MAX(1,IF($O$311,MAX(1,2-(Vu_khi!$L$311-2)),2-(Vu_khi!$L$311-2))+1))))</f>
        <v/>
      </c>
      <c r="AD311" t="n">
        <v>1</v>
      </c>
      <c r="AE311">
        <f>IF(Vu_khi!$AG$311,INDEX(Bang_danh_noc!$C$2:$C$8,MIN(7,MAX(1,2-(Vu_khi!$L$311-4)+1))),INDEX(Bang_xuyen_giap!$C$2:$C$8,MIN(7,MAX(1,IF($O$311,MAX(1,2-(Vu_khi!$L$311-4)),2-(Vu_khi!$L$311-4))+1))))</f>
        <v/>
      </c>
      <c r="AF311" t="n">
        <v>0.65</v>
      </c>
      <c r="AG311">
        <f>INDEX(Bang_xuyen_giap!$C$2:$C$8,MIN(7,MAX(1,MAX(1,2-(Vu_khi!$L$311-0))+1)))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235.3846153846154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0.65</v>
      </c>
      <c r="AZ311" t="inlineStr">
        <is>
          <t>NHANH_QUA</t>
        </is>
      </c>
      <c r="BA311" t="inlineStr"/>
      <c r="BB311" t="inlineStr">
        <is>
          <t>Assets/MachineBrigade/Resources/Data/balance.json: weapons[id=sam_battery_lrr] (lớp B trên 01_chien_dau/Vu_khi)</t>
        </is>
      </c>
      <c r="BC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IF(Vu_khi!$AG$312,INDEX(Bang_danh_noc!$C$2:$C$8,MIN(7,MAX(1,2-(Vu_khi!$L$312-0)+1))),INDEX(Bang_xuyen_giap!$C$2:$C$8,MIN(7,MAX(1,IF($O$312,MAX(1,2-(Vu_khi!$L$312-0)),2-(Vu_khi!$L$312-0))+1))))</f>
        <v/>
      </c>
      <c r="AB312" t="n">
        <v>1.2</v>
      </c>
      <c r="AC312">
        <f>IF(Vu_khi!$AG$312,INDEX(Bang_danh_noc!$C$2:$C$8,MIN(7,MAX(1,2-(Vu_khi!$L$312-2)+1))),INDEX(Bang_xuyen_giap!$C$2:$C$8,MIN(7,MAX(1,IF($O$312,MAX(1,2-(Vu_khi!$L$312-2)),2-(Vu_khi!$L$312-2))+1))))</f>
        <v/>
      </c>
      <c r="AD312" t="n">
        <v>1</v>
      </c>
      <c r="AE312">
        <f>IF(Vu_khi!$AG$312,INDEX(Bang_danh_noc!$C$2:$C$8,MIN(7,MAX(1,2-(Vu_khi!$L$312-4)+1))),INDEX(Bang_xuyen_giap!$C$2:$C$8,MIN(7,MAX(1,IF($O$312,MAX(1,2-(Vu_khi!$L$312-4)),2-(Vu_khi!$L$312-4))+1))))</f>
        <v/>
      </c>
      <c r="AF312" t="n">
        <v>0.65</v>
      </c>
      <c r="AG312">
        <f>INDEX(Bang_xuyen_giap!$C$2:$C$8,MIN(7,MAX(1,MAX(1,2-(Vu_khi!$L$312-0))+1)))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138.6837881219904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0.7787500000000001</v>
      </c>
      <c r="AZ312" t="inlineStr">
        <is>
          <t>NHANH_QUA</t>
        </is>
      </c>
      <c r="BA312" t="inlineStr"/>
      <c r="BB312" t="inlineStr">
        <is>
          <t>Assets/MachineBrigade/Resources/Data/balance.json: weapons[id=sam_long] (lớp B trên 01_chien_dau/Vu_khi)</t>
        </is>
      </c>
      <c r="BC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IF(Vu_khi!$AG$313,INDEX(Bang_danh_noc!$C$2:$C$8,MIN(7,MAX(1,2-(Vu_khi!$L$313-0)+1))),INDEX(Bang_xuyen_giap!$C$2:$C$8,MIN(7,MAX(1,IF($O$313,MAX(1,2-(Vu_khi!$L$313-0)),2-(Vu_khi!$L$313-0))+1))))</f>
        <v/>
      </c>
      <c r="AB313" t="n">
        <v>1</v>
      </c>
      <c r="AC313">
        <f>IF(Vu_khi!$AG$313,INDEX(Bang_danh_noc!$C$2:$C$8,MIN(7,MAX(1,2-(Vu_khi!$L$313-2)+1))),INDEX(Bang_xuyen_giap!$C$2:$C$8,MIN(7,MAX(1,IF($O$313,MAX(1,2-(Vu_khi!$L$313-2)),2-(Vu_khi!$L$313-2))+1))))</f>
        <v/>
      </c>
      <c r="AD313" t="n">
        <v>1</v>
      </c>
      <c r="AE313">
        <f>IF(Vu_khi!$AG$313,INDEX(Bang_danh_noc!$C$2:$C$8,MIN(7,MAX(1,2-(Vu_khi!$L$313-4)+1))),INDEX(Bang_xuyen_giap!$C$2:$C$8,MIN(7,MAX(1,IF($O$313,MAX(1,2-(Vu_khi!$L$313-4)),2-(Vu_khi!$L$313-4))+1))))</f>
        <v/>
      </c>
      <c r="AF313" t="n">
        <v>0.65</v>
      </c>
      <c r="AG313">
        <f>INDEX(Bang_xuyen_giap!$C$2:$C$8,MIN(7,MAX(1,MAX(1,2-(Vu_khi!$L$313-0))+1)))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145.0746268656716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n">
        <v>1.116667</v>
      </c>
      <c r="AZ313" t="inlineStr">
        <is>
          <t>NHANH_QUA</t>
        </is>
      </c>
      <c r="BA313" t="inlineStr"/>
      <c r="BB313" t="inlineStr">
        <is>
          <t>Assets/MachineBrigade/Resources/Data/balance.json: weapons[id=sam_pac3] (lớp B trên 01_chien_dau/Vu_khi)</t>
        </is>
      </c>
      <c r="BC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IF(Vu_khi!$AG$314,INDEX(Bang_danh_noc!$C$2:$C$8,MIN(7,MAX(1,2-(Vu_khi!$L$314-0)+1))),INDEX(Bang_xuyen_giap!$C$2:$C$8,MIN(7,MAX(1,IF($O$314,MAX(1,2-(Vu_khi!$L$314-0)),2-(Vu_khi!$L$314-0))+1))))</f>
        <v/>
      </c>
      <c r="AB314" t="n">
        <v>1.2</v>
      </c>
      <c r="AC314">
        <f>IF(Vu_khi!$AG$314,INDEX(Bang_danh_noc!$C$2:$C$8,MIN(7,MAX(1,2-(Vu_khi!$L$314-2)+1))),INDEX(Bang_xuyen_giap!$C$2:$C$8,MIN(7,MAX(1,IF($O$314,MAX(1,2-(Vu_khi!$L$314-2)),2-(Vu_khi!$L$314-2))+1))))</f>
        <v/>
      </c>
      <c r="AD314" t="n">
        <v>1</v>
      </c>
      <c r="AE314">
        <f>IF(Vu_khi!$AG$314,INDEX(Bang_danh_noc!$C$2:$C$8,MIN(7,MAX(1,2-(Vu_khi!$L$314-4)+1))),INDEX(Bang_xuyen_giap!$C$2:$C$8,MIN(7,MAX(1,IF($O$314,MAX(1,2-(Vu_khi!$L$314-4)),2-(Vu_khi!$L$314-4))+1))))</f>
        <v/>
      </c>
      <c r="AF314" t="n">
        <v>0.65</v>
      </c>
      <c r="AG314">
        <f>INDEX(Bang_xuyen_giap!$C$2:$C$8,MIN(7,MAX(1,MAX(1,2-(Vu_khi!$L$314-0))+1)))</f>
        <v/>
      </c>
      <c r="AH314" t="n">
        <v>1</v>
      </c>
      <c r="AI314">
        <f>IF($Q$314,$M$314*$AA$314*$U$314,0)</f>
        <v/>
      </c>
      <c r="AJ314" t="n">
        <v>0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IF($Q$314,$M$314*$AC$314*$Y$314,0)</f>
        <v/>
      </c>
      <c r="AP314" t="n">
        <v>0</v>
      </c>
      <c r="AQ314">
        <f>IF($S$314,$M$314*$AG$314*$W$314,0)</f>
        <v/>
      </c>
      <c r="AR314" t="n">
        <v>196.3636363636363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2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0.55</v>
      </c>
      <c r="AZ314" t="inlineStr">
        <is>
          <t>NHANH_QUA</t>
        </is>
      </c>
      <c r="BA314" t="b">
        <v>1</v>
      </c>
      <c r="BB314" t="inlineStr">
        <is>
          <t>Assets/MachineBrigade/Resources/Data/balance.json: weapons[id=sam_post] (lớp B trên 01_chien_dau/Vu_khi)</t>
        </is>
      </c>
      <c r="BC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IF(Vu_khi!$AG$315,INDEX(Bang_danh_noc!$C$2:$C$8,MIN(7,MAX(1,2-(Vu_khi!$L$315-0)+1))),INDEX(Bang_xuyen_giap!$C$2:$C$8,MIN(7,MAX(1,IF($O$315,MAX(1,2-(Vu_khi!$L$315-0)),2-(Vu_khi!$L$315-0))+1))))</f>
        <v/>
      </c>
      <c r="AB315" t="n">
        <v>1.2</v>
      </c>
      <c r="AC315">
        <f>IF(Vu_khi!$AG$315,INDEX(Bang_danh_noc!$C$2:$C$8,MIN(7,MAX(1,2-(Vu_khi!$L$315-2)+1))),INDEX(Bang_xuyen_giap!$C$2:$C$8,MIN(7,MAX(1,IF($O$315,MAX(1,2-(Vu_khi!$L$315-2)),2-(Vu_khi!$L$315-2))+1))))</f>
        <v/>
      </c>
      <c r="AD315" t="n">
        <v>0.85</v>
      </c>
      <c r="AE315">
        <f>IF(Vu_khi!$AG$315,INDEX(Bang_danh_noc!$C$2:$C$8,MIN(7,MAX(1,2-(Vu_khi!$L$315-4)+1))),INDEX(Bang_xuyen_giap!$C$2:$C$8,MIN(7,MAX(1,IF($O$315,MAX(1,2-(Vu_khi!$L$315-4)),2-(Vu_khi!$L$315-4))+1))))</f>
        <v/>
      </c>
      <c r="AF315" t="n">
        <v>0.4</v>
      </c>
      <c r="AG315">
        <f>INDEX(Bang_xuyen_giap!$C$2:$C$8,MIN(7,MAX(1,MAX(1,2-(Vu_khi!$L$315-0))+1)))</f>
        <v/>
      </c>
      <c r="AH315" t="n">
        <v>1</v>
      </c>
      <c r="AI315">
        <f>IF($Q$315,$M$315*$AA$315*$U$315,0)</f>
        <v/>
      </c>
      <c r="AJ315" t="n">
        <v>50.17421602787457</v>
      </c>
      <c r="AK315">
        <f>IF($Q$315,$M$315*$AC$315*$U$315,0)</f>
        <v/>
      </c>
      <c r="AL315" t="n">
        <v>35.54006968641115</v>
      </c>
      <c r="AM315">
        <f>IF($Q$315,$M$315*$AE$315*$U$315,0)</f>
        <v/>
      </c>
      <c r="AN315" t="n">
        <v>16.72473867595819</v>
      </c>
      <c r="AO315">
        <f>IF($Q$315,$M$315*$AC$315*$Y$315,0)</f>
        <v/>
      </c>
      <c r="AP315" t="n">
        <v>56.86411149825785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1.65</v>
      </c>
      <c r="AZ315" t="inlineStr">
        <is>
          <t>ok</t>
        </is>
      </c>
      <c r="BA315" t="inlineStr"/>
      <c r="BB315" t="inlineStr">
        <is>
          <t>Assets/MachineBrigade/Resources/Data/balance.json: weapons[id=scout_rockets] (lớp B trên 01_chien_dau/Vu_khi)</t>
        </is>
      </c>
      <c r="BC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IF(Vu_khi!$AG$316,INDEX(Bang_danh_noc!$C$2:$C$8,MIN(7,MAX(1,2-(Vu_khi!$L$316-0)+1))),INDEX(Bang_xuyen_giap!$C$2:$C$8,MIN(7,MAX(1,IF($O$316,MAX(1,2-(Vu_khi!$L$316-0)),2-(Vu_khi!$L$316-0))+1))))</f>
        <v/>
      </c>
      <c r="AB316" t="n">
        <v>1</v>
      </c>
      <c r="AC316">
        <f>IF(Vu_khi!$AG$316,INDEX(Bang_danh_noc!$C$2:$C$8,MIN(7,MAX(1,2-(Vu_khi!$L$316-2)+1))),INDEX(Bang_xuyen_giap!$C$2:$C$8,MIN(7,MAX(1,IF($O$316,MAX(1,2-(Vu_khi!$L$316-2)),2-(Vu_khi!$L$316-2))+1))))</f>
        <v/>
      </c>
      <c r="AD316" t="n">
        <v>0.65</v>
      </c>
      <c r="AE316">
        <f>IF(Vu_khi!$AG$316,INDEX(Bang_danh_noc!$C$2:$C$8,MIN(7,MAX(1,2-(Vu_khi!$L$316-4)+1))),INDEX(Bang_xuyen_giap!$C$2:$C$8,MIN(7,MAX(1,IF($O$316,MAX(1,2-(Vu_khi!$L$316-4)),2-(Vu_khi!$L$316-4))+1))))</f>
        <v/>
      </c>
      <c r="AF316" t="n">
        <v>0.15</v>
      </c>
      <c r="AG316">
        <f>INDEX(Bang_xuyen_giap!$C$2:$C$8,MIN(7,MAX(1,MAX(1,2-(Vu_khi!$L$316-0))+1)))</f>
        <v/>
      </c>
      <c r="AH316" t="n">
        <v>1</v>
      </c>
      <c r="AI316">
        <f>IF($Q$316,$M$316*$AA$316*$U$316,0)</f>
        <v/>
      </c>
      <c r="AJ316" t="n">
        <v>0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IF($Q$316,$M$316*$AC$316*$Y$316,0)</f>
        <v/>
      </c>
      <c r="AP316" t="n">
        <v>0</v>
      </c>
      <c r="AQ316">
        <f>IF($S$316,$M$316*$AG$316*$W$316,0)</f>
        <v/>
      </c>
      <c r="AR316" t="n">
        <v>26.66666666666666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0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LECH_DOT_1</t>
        </is>
      </c>
      <c r="BA316" t="b">
        <v>1</v>
      </c>
      <c r="BB316" t="inlineStr">
        <is>
          <t>Assets/MachineBrigade/Resources/Data/balance.json: weapons[id=scylla_2m7] (lớp B trên 01_chien_dau/Vu_khi)</t>
        </is>
      </c>
      <c r="BC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IF(Vu_khi!$AG$317,INDEX(Bang_danh_noc!$C$2:$C$8,MIN(7,MAX(1,2-(Vu_khi!$L$317-0)+1))),INDEX(Bang_xuyen_giap!$C$2:$C$8,MIN(7,MAX(1,IF($O$317,MAX(1,2-(Vu_khi!$L$317-0)),2-(Vu_khi!$L$317-0))+1))))</f>
        <v/>
      </c>
      <c r="AB317" t="n">
        <v>1</v>
      </c>
      <c r="AC317">
        <f>IF(Vu_khi!$AG$317,INDEX(Bang_danh_noc!$C$2:$C$8,MIN(7,MAX(1,2-(Vu_khi!$L$317-2)+1))),INDEX(Bang_xuyen_giap!$C$2:$C$8,MIN(7,MAX(1,IF($O$317,MAX(1,2-(Vu_khi!$L$317-2)),2-(Vu_khi!$L$317-2))+1))))</f>
        <v/>
      </c>
      <c r="AD317" t="n">
        <v>0.65</v>
      </c>
      <c r="AE317">
        <f>IF(Vu_khi!$AG$317,INDEX(Bang_danh_noc!$C$2:$C$8,MIN(7,MAX(1,2-(Vu_khi!$L$317-4)+1))),INDEX(Bang_xuyen_giap!$C$2:$C$8,MIN(7,MAX(1,IF($O$317,MAX(1,2-(Vu_khi!$L$317-4)),2-(Vu_khi!$L$317-4))+1))))</f>
        <v/>
      </c>
      <c r="AF317" t="n">
        <v>0.15</v>
      </c>
      <c r="AG317">
        <f>INDEX(Bang_xuyen_giap!$C$2:$C$8,MIN(7,MAX(1,MAX(1,2-(Vu_khi!$L$317-0))+1)))</f>
        <v/>
      </c>
      <c r="AH317" t="n">
        <v>1</v>
      </c>
      <c r="AI317">
        <f>IF($Q$317,$M$317*$AA$317*$U$317,0)</f>
        <v/>
      </c>
      <c r="AJ317" t="n">
        <v>0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IF($Q$317,$M$317*$AC$317*$Y$317,0)</f>
        <v/>
      </c>
      <c r="AP317" t="n">
        <v>0</v>
      </c>
      <c r="AQ317">
        <f>IF($S$317,$M$317*$AG$317*$W$317,0)</f>
        <v/>
      </c>
      <c r="AR317" t="n">
        <v>162.8140703517588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1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inlineStr"/>
      <c r="AZ317" t="inlineStr">
        <is>
          <t>LECH_DOT_1</t>
        </is>
      </c>
      <c r="BA317" t="b">
        <v>1</v>
      </c>
      <c r="BB317" t="inlineStr">
        <is>
          <t>Assets/MachineBrigade/Resources/Data/balance.json: weapons[id=scylla_ak230] (lớp B trên 01_chien_dau/Vu_khi)</t>
        </is>
      </c>
      <c r="BC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IF(Vu_khi!$AG$318,INDEX(Bang_danh_noc!$C$2:$C$8,MIN(7,MAX(1,2-(Vu_khi!$L$318-0)+1))),INDEX(Bang_xuyen_giap!$C$2:$C$8,MIN(7,MAX(1,IF($O$318,MAX(1,2-(Vu_khi!$L$318-0)),2-(Vu_khi!$L$318-0))+1))))</f>
        <v/>
      </c>
      <c r="AB318" t="n">
        <v>1.2</v>
      </c>
      <c r="AC318">
        <f>IF(Vu_khi!$AG$318,INDEX(Bang_danh_noc!$C$2:$C$8,MIN(7,MAX(1,2-(Vu_khi!$L$318-2)+1))),INDEX(Bang_xuyen_giap!$C$2:$C$8,MIN(7,MAX(1,IF($O$318,MAX(1,2-(Vu_khi!$L$318-2)),2-(Vu_khi!$L$318-2))+1))))</f>
        <v/>
      </c>
      <c r="AD318" t="n">
        <v>1.2</v>
      </c>
      <c r="AE318">
        <f>IF(Vu_khi!$AG$318,INDEX(Bang_danh_noc!$C$2:$C$8,MIN(7,MAX(1,2-(Vu_khi!$L$318-4)+1))),INDEX(Bang_xuyen_giap!$C$2:$C$8,MIN(7,MAX(1,IF($O$318,MAX(1,2-(Vu_khi!$L$318-4)),2-(Vu_khi!$L$318-4))+1))))</f>
        <v/>
      </c>
      <c r="AF318" t="n">
        <v>0.85</v>
      </c>
      <c r="AG318">
        <f>INDEX(Bang_xuyen_giap!$C$2:$C$8,MIN(7,MAX(1,MAX(1,2-(Vu_khi!$L$318-0))+1)))</f>
        <v/>
      </c>
      <c r="AH318" t="n">
        <v>1</v>
      </c>
      <c r="AI318">
        <f>IF($Q$318,$M$318*$AA$318*$U$318,0)</f>
        <v/>
      </c>
      <c r="AJ318" t="n">
        <v>24.31718061674009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17.22466960352423</v>
      </c>
      <c r="AO318">
        <f>IF($Q$318,$M$318*$AC$318*$Y$318,0)</f>
        <v/>
      </c>
      <c r="AP318" t="n">
        <v>38.90748898678414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4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2.5</v>
      </c>
      <c r="AY318" t="inlineStr"/>
      <c r="AZ318" t="inlineStr">
        <is>
          <t>ok</t>
        </is>
      </c>
      <c r="BA318" t="b">
        <v>1</v>
      </c>
      <c r="BB318" t="inlineStr">
        <is>
          <t>Assets/MachineBrigade/Resources/Data/balance.json: weapons[id=scylla_kh35] (lớp B trên 01_chien_dau/Vu_khi)</t>
        </is>
      </c>
      <c r="BC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IF(Vu_khi!$AG$319,INDEX(Bang_danh_noc!$C$2:$C$8,MIN(7,MAX(1,2-(Vu_khi!$L$319-0)+1))),INDEX(Bang_xuyen_giap!$C$2:$C$8,MIN(7,MAX(1,IF($O$319,MAX(1,2-(Vu_khi!$L$319-0)),2-(Vu_khi!$L$319-0))+1))))</f>
        <v/>
      </c>
      <c r="AB319" t="n">
        <v>1.15</v>
      </c>
      <c r="AC319">
        <f>IF(Vu_khi!$AG$319,INDEX(Bang_danh_noc!$C$2:$C$8,MIN(7,MAX(1,2-(Vu_khi!$L$319-2)+1))),INDEX(Bang_xuyen_giap!$C$2:$C$8,MIN(7,MAX(1,IF($O$319,MAX(1,2-(Vu_khi!$L$319-2)),2-(Vu_khi!$L$319-2))+1))))</f>
        <v/>
      </c>
      <c r="AD319" t="n">
        <v>1.1</v>
      </c>
      <c r="AE319">
        <f>IF(Vu_khi!$AG$319,INDEX(Bang_danh_noc!$C$2:$C$8,MIN(7,MAX(1,2-(Vu_khi!$L$319-4)+1))),INDEX(Bang_xuyen_giap!$C$2:$C$8,MIN(7,MAX(1,IF($O$319,MAX(1,2-(Vu_khi!$L$319-4)),2-(Vu_khi!$L$319-4))+1))))</f>
        <v/>
      </c>
      <c r="AF319" t="n">
        <v>0.75</v>
      </c>
      <c r="AG319">
        <f>INDEX(Bang_xuyen_giap!$C$2:$C$8,MIN(7,MAX(1,MAX(1,2-(Vu_khi!$L$319-0))+1)))</f>
        <v/>
      </c>
      <c r="AH319" t="n">
        <v>1</v>
      </c>
      <c r="AI319">
        <f>IF($Q$319,$M$319*$AA$319*$U$319,0)</f>
        <v/>
      </c>
      <c r="AJ319" t="n">
        <v>38.78431372549019</v>
      </c>
      <c r="AK319">
        <f>IF($Q$319,$M$319*$AC$319*$U$319,0)</f>
        <v/>
      </c>
      <c r="AL319" t="n">
        <v>37.09803921568628</v>
      </c>
      <c r="AM319">
        <f>IF($Q$319,$M$319*$AE$319*$U$319,0)</f>
        <v/>
      </c>
      <c r="AN319" t="n">
        <v>25.29411764705883</v>
      </c>
      <c r="AO319">
        <f>IF($Q$319,$M$319*$AC$319*$Y$319,0)</f>
        <v/>
      </c>
      <c r="AP319" t="n">
        <v>59.35686274509805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inlineStr"/>
      <c r="AZ319" t="inlineStr">
        <is>
          <t>ok</t>
        </is>
      </c>
      <c r="BA319" t="inlineStr"/>
      <c r="BB319" t="inlineStr">
        <is>
          <t>Assets/MachineBrigade/Resources/Data/balance.json: weapons[id=shahed] (lớp B trên 01_chien_dau/Vu_khi)</t>
        </is>
      </c>
      <c r="BC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IF(Vu_khi!$AG$320,INDEX(Bang_danh_noc!$C$2:$C$8,MIN(7,MAX(1,2-(Vu_khi!$L$320-0)+1))),INDEX(Bang_xuyen_giap!$C$2:$C$8,MIN(7,MAX(1,IF($O$320,MAX(1,2-(Vu_khi!$L$320-0)),2-(Vu_khi!$L$320-0))+1))))</f>
        <v/>
      </c>
      <c r="AB320" t="n">
        <v>1.2</v>
      </c>
      <c r="AC320">
        <f>IF(Vu_khi!$AG$320,INDEX(Bang_danh_noc!$C$2:$C$8,MIN(7,MAX(1,2-(Vu_khi!$L$320-2)+1))),INDEX(Bang_xuyen_giap!$C$2:$C$8,MIN(7,MAX(1,IF($O$320,MAX(1,2-(Vu_khi!$L$320-2)),2-(Vu_khi!$L$320-2))+1))))</f>
        <v/>
      </c>
      <c r="AD320" t="n">
        <v>1</v>
      </c>
      <c r="AE320">
        <f>IF(Vu_khi!$AG$320,INDEX(Bang_danh_noc!$C$2:$C$8,MIN(7,MAX(1,2-(Vu_khi!$L$320-4)+1))),INDEX(Bang_xuyen_giap!$C$2:$C$8,MIN(7,MAX(1,IF($O$320,MAX(1,2-(Vu_khi!$L$320-4)),2-(Vu_khi!$L$320-4))+1))))</f>
        <v/>
      </c>
      <c r="AF320" t="n">
        <v>0.65</v>
      </c>
      <c r="AG320">
        <f>INDEX(Bang_xuyen_giap!$C$2:$C$8,MIN(7,MAX(1,MAX(1,2-(Vu_khi!$L$320-0))+1)))</f>
        <v/>
      </c>
      <c r="AH320" t="n">
        <v>1</v>
      </c>
      <c r="AI320">
        <f>IF($Q$320,$M$320*$AA$320*$U$320,0)</f>
        <v/>
      </c>
      <c r="AJ320" t="n">
        <v>66.40085222949322</v>
      </c>
      <c r="AK320">
        <f>IF($Q$320,$M$320*$AC$320*$U$320,0)</f>
        <v/>
      </c>
      <c r="AL320" t="n">
        <v>55.33404352457769</v>
      </c>
      <c r="AM320">
        <f>IF($Q$320,$M$320*$AE$320*$U$320,0)</f>
        <v/>
      </c>
      <c r="AN320" t="n">
        <v>35.9671282909755</v>
      </c>
      <c r="AO320">
        <f>IF($Q$320,$M$320*$AC$320*$Y$320,0)</f>
        <v/>
      </c>
      <c r="AP320" t="n">
        <v>32.27819205600365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0.766617</v>
      </c>
      <c r="AZ320" t="inlineStr">
        <is>
          <t>LECH_DOT_1</t>
        </is>
      </c>
      <c r="BA320" t="inlineStr"/>
      <c r="BB320" t="inlineStr">
        <is>
          <t>Assets/MachineBrigade/Resources/Data/balance.json: weapons[id=siege_gun_105] (lớp B trên 01_chien_dau/Vu_khi)</t>
        </is>
      </c>
      <c r="BC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IF(Vu_khi!$AG$321,INDEX(Bang_danh_noc!$C$2:$C$8,MIN(7,MAX(1,2-(Vu_khi!$L$321-0)+1))),INDEX(Bang_xuyen_giap!$C$2:$C$8,MIN(7,MAX(1,IF($O$321,MAX(1,2-(Vu_khi!$L$321-0)),2-(Vu_khi!$L$321-0))+1))))</f>
        <v/>
      </c>
      <c r="AB321" t="n">
        <v>1.2</v>
      </c>
      <c r="AC321">
        <f>IF(Vu_khi!$AG$321,INDEX(Bang_danh_noc!$C$2:$C$8,MIN(7,MAX(1,2-(Vu_khi!$L$321-2)+1))),INDEX(Bang_xuyen_giap!$C$2:$C$8,MIN(7,MAX(1,IF($O$321,MAX(1,2-(Vu_khi!$L$321-2)),2-(Vu_khi!$L$321-2))+1))))</f>
        <v/>
      </c>
      <c r="AD321" t="n">
        <v>0.85</v>
      </c>
      <c r="AE321">
        <f>IF(Vu_khi!$AG$321,INDEX(Bang_danh_noc!$C$2:$C$8,MIN(7,MAX(1,2-(Vu_khi!$L$321-4)+1))),INDEX(Bang_xuyen_giap!$C$2:$C$8,MIN(7,MAX(1,IF($O$321,MAX(1,2-(Vu_khi!$L$321-4)),2-(Vu_khi!$L$321-4))+1))))</f>
        <v/>
      </c>
      <c r="AF321" t="n">
        <v>0.4</v>
      </c>
      <c r="AG321">
        <f>INDEX(Bang_xuyen_giap!$C$2:$C$8,MIN(7,MAX(1,MAX(1,2-(Vu_khi!$L$321-0))+1)))</f>
        <v/>
      </c>
      <c r="AH321" t="n">
        <v>1</v>
      </c>
      <c r="AI321">
        <f>IF($Q$321,$M$321*$AA$321*$U$321,0)</f>
        <v/>
      </c>
      <c r="AJ321" t="n">
        <v>55.33404352457769</v>
      </c>
      <c r="AK321">
        <f>IF($Q$321,$M$321*$AC$321*$U$321,0)</f>
        <v/>
      </c>
      <c r="AL321" t="n">
        <v>39.19494749657586</v>
      </c>
      <c r="AM321">
        <f>IF($Q$321,$M$321*$AE$321*$U$321,0)</f>
        <v/>
      </c>
      <c r="AN321" t="n">
        <v>18.44468117485923</v>
      </c>
      <c r="AO321">
        <f>IF($Q$321,$M$321*$AC$321*$Y$321,0)</f>
        <v/>
      </c>
      <c r="AP321" t="n">
        <v>62.71191599452138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BB321" t="inlineStr">
        <is>
          <t>Assets/MachineBrigade/Resources/Data/balance.json: weapons[id=siege_gun_105_he] (lớp B trên 01_chien_dau/Vu_khi)</t>
        </is>
      </c>
      <c r="BC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IF(Vu_khi!$AG$322,INDEX(Bang_danh_noc!$C$2:$C$8,MIN(7,MAX(1,2-(Vu_khi!$L$322-0)+1))),INDEX(Bang_xuyen_giap!$C$2:$C$8,MIN(7,MAX(1,IF($O$322,MAX(1,2-(Vu_khi!$L$322-0)),2-(Vu_khi!$L$322-0))+1))))</f>
        <v/>
      </c>
      <c r="AB322" t="n">
        <v>1</v>
      </c>
      <c r="AC322">
        <f>IF(Vu_khi!$AG$322,INDEX(Bang_danh_noc!$C$2:$C$8,MIN(7,MAX(1,2-(Vu_khi!$L$322-2)+1))),INDEX(Bang_xuyen_giap!$C$2:$C$8,MIN(7,MAX(1,IF($O$322,MAX(1,2-(Vu_khi!$L$322-2)),2-(Vu_khi!$L$322-2))+1))))</f>
        <v/>
      </c>
      <c r="AD322" t="n">
        <v>1</v>
      </c>
      <c r="AE322">
        <f>IF(Vu_khi!$AG$322,INDEX(Bang_danh_noc!$C$2:$C$8,MIN(7,MAX(1,2-(Vu_khi!$L$322-4)+1))),INDEX(Bang_xuyen_giap!$C$2:$C$8,MIN(7,MAX(1,IF($O$322,MAX(1,2-(Vu_khi!$L$322-4)),2-(Vu_khi!$L$322-4))+1))))</f>
        <v/>
      </c>
      <c r="AF322" t="n">
        <v>0.85</v>
      </c>
      <c r="AG322">
        <f>INDEX(Bang_xuyen_giap!$C$2:$C$8,MIN(7,MAX(1,MAX(1,2-(Vu_khi!$L$322-0))+1)))</f>
        <v/>
      </c>
      <c r="AH322" t="n">
        <v>1</v>
      </c>
      <c r="AI322">
        <f>IF($Q$322,$M$322*$AA$322*$U$322,0)</f>
        <v/>
      </c>
      <c r="AJ322" t="n">
        <v>46.79426533731169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39.77512553671494</v>
      </c>
      <c r="AO322">
        <f>IF($Q$322,$M$322*$AC$322*$Y$322,0)</f>
        <v/>
      </c>
      <c r="AP322" t="n">
        <v>74.87082453969872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1</v>
      </c>
      <c r="AU322">
        <f>IF(AND($B$322&lt;0,$AS$322),4,$B$322)</f>
        <v/>
      </c>
      <c r="AV322" t="n">
        <v>4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2.5</v>
      </c>
      <c r="AY322" t="n">
        <v>0.160312</v>
      </c>
      <c r="AZ322" t="inlineStr">
        <is>
          <t>NHANH_QUA;LECH_DOT_1</t>
        </is>
      </c>
      <c r="BA322" t="inlineStr"/>
      <c r="BB322" t="inlineStr">
        <is>
          <t>Assets/MachineBrigade/Resources/Data/balance.json: weapons[id=siege_mortar_240] (lớp B trên 01_chien_dau/Vu_khi)</t>
        </is>
      </c>
      <c r="BC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IF(Vu_khi!$AG$323,INDEX(Bang_danh_noc!$C$2:$C$8,MIN(7,MAX(1,2-(Vu_khi!$L$323-0)+1))),INDEX(Bang_xuyen_giap!$C$2:$C$8,MIN(7,MAX(1,IF($O$323,MAX(1,2-(Vu_khi!$L$323-0)),2-(Vu_khi!$L$323-0))+1))))</f>
        <v/>
      </c>
      <c r="AB323" t="n">
        <v>1.2</v>
      </c>
      <c r="AC323">
        <f>IF(Vu_khi!$AG$323,INDEX(Bang_danh_noc!$C$2:$C$8,MIN(7,MAX(1,2-(Vu_khi!$L$323-2)+1))),INDEX(Bang_xuyen_giap!$C$2:$C$8,MIN(7,MAX(1,IF($O$323,MAX(1,2-(Vu_khi!$L$323-2)),2-(Vu_khi!$L$323-2))+1))))</f>
        <v/>
      </c>
      <c r="AD323" t="n">
        <v>1</v>
      </c>
      <c r="AE323">
        <f>IF(Vu_khi!$AG$323,INDEX(Bang_danh_noc!$C$2:$C$8,MIN(7,MAX(1,2-(Vu_khi!$L$323-4)+1))),INDEX(Bang_xuyen_giap!$C$2:$C$8,MIN(7,MAX(1,IF($O$323,MAX(1,2-(Vu_khi!$L$323-4)),2-(Vu_khi!$L$323-4))+1))))</f>
        <v/>
      </c>
      <c r="AF323" t="n">
        <v>0.65</v>
      </c>
      <c r="AG323">
        <f>INDEX(Bang_xuyen_giap!$C$2:$C$8,MIN(7,MAX(1,MAX(1,2-(Vu_khi!$L$323-0))+1)))</f>
        <v/>
      </c>
      <c r="AH323" t="n">
        <v>1</v>
      </c>
      <c r="AI323">
        <f>IF($Q$323,$M$323*$AA$323*$U$323,0)</f>
        <v/>
      </c>
      <c r="AJ323" t="n">
        <v>42.07366984993179</v>
      </c>
      <c r="AK323">
        <f>IF($Q$323,$M$323*$AC$323*$U$323,0)</f>
        <v/>
      </c>
      <c r="AL323" t="n">
        <v>35.06139154160982</v>
      </c>
      <c r="AM323">
        <f>IF($Q$323,$M$323*$AE$323*$U$323,0)</f>
        <v/>
      </c>
      <c r="AN323" t="n">
        <v>22.78990450204639</v>
      </c>
      <c r="AO323">
        <f>IF($Q$323,$M$323*$AC$323*$Y$323,0)</f>
        <v/>
      </c>
      <c r="AP323" t="n">
        <v>12.13663553363417</v>
      </c>
      <c r="AQ323">
        <f>IF($S$323,$M$323*$AG$323*$W$323,0)</f>
        <v/>
      </c>
      <c r="AR323" t="n">
        <v>5.394060237170742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0.66703</v>
      </c>
      <c r="AZ323" t="inlineStr">
        <is>
          <t>ok</t>
        </is>
      </c>
      <c r="BA323" t="inlineStr"/>
      <c r="BB323" t="inlineStr">
        <is>
          <t>Assets/MachineBrigade/Resources/Data/balance.json: weapons[id=spg9_73mm] (lớp B trên 01_chien_dau/Vu_khi)</t>
        </is>
      </c>
      <c r="BC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IF(Vu_khi!$AG$324,INDEX(Bang_danh_noc!$C$2:$C$8,MIN(7,MAX(1,2-(Vu_khi!$L$324-0)+1))),INDEX(Bang_xuyen_giap!$C$2:$C$8,MIN(7,MAX(1,IF($O$324,MAX(1,2-(Vu_khi!$L$324-0)),2-(Vu_khi!$L$324-0))+1))))</f>
        <v/>
      </c>
      <c r="AB324" t="n">
        <v>1.15</v>
      </c>
      <c r="AC324">
        <f>IF(Vu_khi!$AG$324,INDEX(Bang_danh_noc!$C$2:$C$8,MIN(7,MAX(1,2-(Vu_khi!$L$324-2)+1))),INDEX(Bang_xuyen_giap!$C$2:$C$8,MIN(7,MAX(1,IF($O$324,MAX(1,2-(Vu_khi!$L$324-2)),2-(Vu_khi!$L$324-2))+1))))</f>
        <v/>
      </c>
      <c r="AD324" t="n">
        <v>1.15</v>
      </c>
      <c r="AE324">
        <f>IF(Vu_khi!$AG$324,INDEX(Bang_danh_noc!$C$2:$C$8,MIN(7,MAX(1,2-(Vu_khi!$L$324-4)+1))),INDEX(Bang_xuyen_giap!$C$2:$C$8,MIN(7,MAX(1,IF($O$324,MAX(1,2-(Vu_khi!$L$324-4)),2-(Vu_khi!$L$324-4))+1))))</f>
        <v/>
      </c>
      <c r="AF324" t="n">
        <v>0.95</v>
      </c>
      <c r="AG324">
        <f>INDEX(Bang_xuyen_giap!$C$2:$C$8,MIN(7,MAX(1,MAX(1,2-(Vu_khi!$L$324-0))+1)))</f>
        <v/>
      </c>
      <c r="AH324" t="n">
        <v>1</v>
      </c>
      <c r="AI324">
        <f>IF($Q$324,$M$324*$AA$324*$U$324,0)</f>
        <v/>
      </c>
      <c r="AJ324" t="n">
        <v>143.4685314685314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118.5174825174825</v>
      </c>
      <c r="AO324">
        <f>IF($Q$324,$M$324*$AC$324*$Y$324,0)</f>
        <v/>
      </c>
      <c r="AP324" t="n">
        <v>229.5496503496503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1</v>
      </c>
      <c r="AU324">
        <f>IF(AND($B$324&lt;0,$AS$324),4,$B$324)</f>
        <v/>
      </c>
      <c r="AV324" t="n">
        <v>4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3.388888888888889</v>
      </c>
      <c r="AY324" t="n">
        <v>3</v>
      </c>
      <c r="AZ324" t="inlineStr">
        <is>
          <t>ok</t>
        </is>
      </c>
      <c r="BA324" t="inlineStr"/>
      <c r="BB324" t="inlineStr">
        <is>
          <t>Assets/MachineBrigade/Resources/Data/balance.json: weapons[id=stealth_payload] (lớp B trên 01_chien_dau/Vu_khi)</t>
        </is>
      </c>
      <c r="BC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IF(Vu_khi!$AG$325,INDEX(Bang_danh_noc!$C$2:$C$8,MIN(7,MAX(1,2-(Vu_khi!$L$325-0)+1))),INDEX(Bang_xuyen_giap!$C$2:$C$8,MIN(7,MAX(1,IF($O$325,MAX(1,2-(Vu_khi!$L$325-0)),2-(Vu_khi!$L$325-0))+1))))</f>
        <v/>
      </c>
      <c r="AB325" t="n">
        <v>1.2</v>
      </c>
      <c r="AC325">
        <f>IF(Vu_khi!$AG$325,INDEX(Bang_danh_noc!$C$2:$C$8,MIN(7,MAX(1,2-(Vu_khi!$L$325-2)+1))),INDEX(Bang_xuyen_giap!$C$2:$C$8,MIN(7,MAX(1,IF($O$325,MAX(1,2-(Vu_khi!$L$325-2)),2-(Vu_khi!$L$325-2))+1))))</f>
        <v/>
      </c>
      <c r="AD325" t="n">
        <v>0.85</v>
      </c>
      <c r="AE325">
        <f>IF(Vu_khi!$AG$325,INDEX(Bang_danh_noc!$C$2:$C$8,MIN(7,MAX(1,2-(Vu_khi!$L$325-4)+1))),INDEX(Bang_xuyen_giap!$C$2:$C$8,MIN(7,MAX(1,IF($O$325,MAX(1,2-(Vu_khi!$L$325-4)),2-(Vu_khi!$L$325-4))+1))))</f>
        <v/>
      </c>
      <c r="AF325" t="n">
        <v>0.4</v>
      </c>
      <c r="AG325">
        <f>INDEX(Bang_xuyen_giap!$C$2:$C$8,MIN(7,MAX(1,MAX(1,2-(Vu_khi!$L$325-0))+1)))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26.49393605292172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inlineStr"/>
      <c r="AZ325" t="inlineStr">
        <is>
          <t>ok</t>
        </is>
      </c>
      <c r="BA325" t="inlineStr"/>
      <c r="BB325" t="inlineStr">
        <is>
          <t>Assets/MachineBrigade/Resources/Data/balance.json: weapons[id=stinger_atas] (lớp B trên 01_chien_dau/Vu_khi)</t>
        </is>
      </c>
      <c r="BC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IF(Vu_khi!$AG$326,INDEX(Bang_danh_noc!$C$2:$C$8,MIN(7,MAX(1,2-(Vu_khi!$L$326-0)+1))),INDEX(Bang_xuyen_giap!$C$2:$C$8,MIN(7,MAX(1,IF($O$326,MAX(1,2-(Vu_khi!$L$326-0)),2-(Vu_khi!$L$326-0))+1))))</f>
        <v/>
      </c>
      <c r="AB326" t="n">
        <v>1.2</v>
      </c>
      <c r="AC326">
        <f>IF(Vu_khi!$AG$326,INDEX(Bang_danh_noc!$C$2:$C$8,MIN(7,MAX(1,2-(Vu_khi!$L$326-2)+1))),INDEX(Bang_xuyen_giap!$C$2:$C$8,MIN(7,MAX(1,IF($O$326,MAX(1,2-(Vu_khi!$L$326-2)),2-(Vu_khi!$L$326-2))+1))))</f>
        <v/>
      </c>
      <c r="AD326" t="n">
        <v>0.85</v>
      </c>
      <c r="AE326">
        <f>IF(Vu_khi!$AG$326,INDEX(Bang_danh_noc!$C$2:$C$8,MIN(7,MAX(1,2-(Vu_khi!$L$326-4)+1))),INDEX(Bang_xuyen_giap!$C$2:$C$8,MIN(7,MAX(1,IF($O$326,MAX(1,2-(Vu_khi!$L$326-4)),2-(Vu_khi!$L$326-4))+1))))</f>
        <v/>
      </c>
      <c r="AF326" t="n">
        <v>0.4</v>
      </c>
      <c r="AG326">
        <f>INDEX(Bang_xuyen_giap!$C$2:$C$8,MIN(7,MAX(1,MAX(1,2-(Vu_khi!$L$326-0))+1)))</f>
        <v/>
      </c>
      <c r="AH326" t="n">
        <v>1</v>
      </c>
      <c r="AI326">
        <f>IF($Q$326,$M$326*$AA$326*$U$326,0)</f>
        <v/>
      </c>
      <c r="AJ326" t="n">
        <v>0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IF($Q$326,$M$326*$AC$326*$Y$326,0)</f>
        <v/>
      </c>
      <c r="AP326" t="n">
        <v>0</v>
      </c>
      <c r="AQ326">
        <f>IF($S$326,$M$326*$AG$326*$W$326,0)</f>
        <v/>
      </c>
      <c r="AR326" t="n">
        <v>51.54986522911052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1.484</v>
      </c>
      <c r="AZ326" t="inlineStr">
        <is>
          <t>ok</t>
        </is>
      </c>
      <c r="BA326" t="inlineStr"/>
      <c r="BB326" t="inlineStr">
        <is>
          <t>Assets/MachineBrigade/Resources/Data/balance.json: weapons[id=stinger_post] (lớp B trên 01_chien_dau/Vu_khi)</t>
        </is>
      </c>
      <c r="BC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IF(Vu_khi!$AG$327,INDEX(Bang_danh_noc!$C$2:$C$8,MIN(7,MAX(1,2-(Vu_khi!$L$327-0)+1))),INDEX(Bang_xuyen_giap!$C$2:$C$8,MIN(7,MAX(1,IF($O$327,MAX(1,2-(Vu_khi!$L$327-0)),2-(Vu_khi!$L$327-0))+1))))</f>
        <v/>
      </c>
      <c r="AB327" t="n">
        <v>1.15</v>
      </c>
      <c r="AC327">
        <f>IF(Vu_khi!$AG$327,INDEX(Bang_danh_noc!$C$2:$C$8,MIN(7,MAX(1,2-(Vu_khi!$L$327-2)+1))),INDEX(Bang_xuyen_giap!$C$2:$C$8,MIN(7,MAX(1,IF($O$327,MAX(1,2-(Vu_khi!$L$327-2)),2-(Vu_khi!$L$327-2))+1))))</f>
        <v/>
      </c>
      <c r="AD327" t="n">
        <v>1.1</v>
      </c>
      <c r="AE327">
        <f>IF(Vu_khi!$AG$327,INDEX(Bang_danh_noc!$C$2:$C$8,MIN(7,MAX(1,2-(Vu_khi!$L$327-4)+1))),INDEX(Bang_xuyen_giap!$C$2:$C$8,MIN(7,MAX(1,IF($O$327,MAX(1,2-(Vu_khi!$L$327-4)),2-(Vu_khi!$L$327-4))+1))))</f>
        <v/>
      </c>
      <c r="AF327" t="n">
        <v>0.75</v>
      </c>
      <c r="AG327">
        <f>INDEX(Bang_xuyen_giap!$C$2:$C$8,MIN(7,MAX(1,MAX(1,2-(Vu_khi!$L$327-0))+1)))</f>
        <v/>
      </c>
      <c r="AH327" t="n">
        <v>1</v>
      </c>
      <c r="AI327">
        <f>IF($Q$327,$M$327*$AA$327*$U$327,0)</f>
        <v/>
      </c>
      <c r="AJ327" t="n">
        <v>63.42424242424243</v>
      </c>
      <c r="AK327">
        <f>IF($Q$327,$M$327*$AC$327*$U$327,0)</f>
        <v/>
      </c>
      <c r="AL327" t="n">
        <v>60.66666666666668</v>
      </c>
      <c r="AM327">
        <f>IF($Q$327,$M$327*$AE$327*$U$327,0)</f>
        <v/>
      </c>
      <c r="AN327" t="n">
        <v>41.36363636363637</v>
      </c>
      <c r="AO327">
        <f>IF($Q$327,$M$327*$AC$327*$Y$327,0)</f>
        <v/>
      </c>
      <c r="AP327" t="n">
        <v>21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2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weapons[id=swarm_drones] (lớp B trên 01_chien_dau/Vu_khi)</t>
        </is>
      </c>
      <c r="BC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IF(Vu_khi!$AG$328,INDEX(Bang_danh_noc!$C$2:$C$8,MIN(7,MAX(1,2-(Vu_khi!$L$328-0)+1))),INDEX(Bang_xuyen_giap!$C$2:$C$8,MIN(7,MAX(1,IF($O$328,MAX(1,2-(Vu_khi!$L$328-0)),2-(Vu_khi!$L$328-0))+1))))</f>
        <v/>
      </c>
      <c r="AB328" t="n">
        <v>1.2</v>
      </c>
      <c r="AC328">
        <f>IF(Vu_khi!$AG$328,INDEX(Bang_danh_noc!$C$2:$C$8,MIN(7,MAX(1,2-(Vu_khi!$L$328-2)+1))),INDEX(Bang_xuyen_giap!$C$2:$C$8,MIN(7,MAX(1,IF($O$328,MAX(1,2-(Vu_khi!$L$328-2)),2-(Vu_khi!$L$328-2))+1))))</f>
        <v/>
      </c>
      <c r="AD328" t="n">
        <v>0.85</v>
      </c>
      <c r="AE328">
        <f>IF(Vu_khi!$AG$328,INDEX(Bang_danh_noc!$C$2:$C$8,MIN(7,MAX(1,2-(Vu_khi!$L$328-4)+1))),INDEX(Bang_xuyen_giap!$C$2:$C$8,MIN(7,MAX(1,IF($O$328,MAX(1,2-(Vu_khi!$L$328-4)),2-(Vu_khi!$L$328-4))+1))))</f>
        <v/>
      </c>
      <c r="AF328" t="n">
        <v>0.4</v>
      </c>
      <c r="AG328">
        <f>INDEX(Bang_xuyen_giap!$C$2:$C$8,MIN(7,MAX(1,MAX(1,2-(Vu_khi!$L$328-0))+1)))</f>
        <v/>
      </c>
      <c r="AH328" t="n">
        <v>1</v>
      </c>
      <c r="AI328">
        <f>IF($Q$328,$M$328*$AA$328*$U$328,0)</f>
        <v/>
      </c>
      <c r="AJ328" t="n">
        <v>0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IF($Q$328,$M$328*$AC$328*$Y$328,0)</f>
        <v/>
      </c>
      <c r="AP328" t="n">
        <v>0</v>
      </c>
      <c r="AQ328">
        <f>IF($S$328,$M$328*$AG$328*$W$328,0)</f>
        <v/>
      </c>
      <c r="AR328" t="n">
        <v>21.73170731707317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6.833333</v>
      </c>
      <c r="AZ328" t="inlineStr">
        <is>
          <t>CHAM_QUA</t>
        </is>
      </c>
      <c r="BA328" t="inlineStr"/>
      <c r="BB328" t="inlineStr">
        <is>
          <t>Assets/MachineBrigade/Resources/Data/balance.json: weapons[id=tamir] (lớp B trên 01_chien_dau/Vu_khi)</t>
        </is>
      </c>
      <c r="BC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IF(Vu_khi!$AG$329,INDEX(Bang_danh_noc!$C$2:$C$8,MIN(7,MAX(1,2-(Vu_khi!$L$329-0)+1))),INDEX(Bang_xuyen_giap!$C$2:$C$8,MIN(7,MAX(1,IF($O$329,MAX(1,2-(Vu_khi!$L$329-0)),2-(Vu_khi!$L$329-0))+1))))</f>
        <v/>
      </c>
      <c r="AB329" t="n">
        <v>1</v>
      </c>
      <c r="AC329">
        <f>IF(Vu_khi!$AG$329,INDEX(Bang_danh_noc!$C$2:$C$8,MIN(7,MAX(1,2-(Vu_khi!$L$329-2)+1))),INDEX(Bang_xuyen_giap!$C$2:$C$8,MIN(7,MAX(1,IF($O$329,MAX(1,2-(Vu_khi!$L$329-2)),2-(Vu_khi!$L$329-2))+1))))</f>
        <v/>
      </c>
      <c r="AD329" t="n">
        <v>0.85</v>
      </c>
      <c r="AE329">
        <f>IF(Vu_khi!$AG$329,INDEX(Bang_danh_noc!$C$2:$C$8,MIN(7,MAX(1,2-(Vu_khi!$L$329-4)+1))),INDEX(Bang_xuyen_giap!$C$2:$C$8,MIN(7,MAX(1,IF($O$329,MAX(1,2-(Vu_khi!$L$329-4)),2-(Vu_khi!$L$329-4))+1))))</f>
        <v/>
      </c>
      <c r="AF329" t="n">
        <v>0.4</v>
      </c>
      <c r="AG329">
        <f>INDEX(Bang_xuyen_giap!$C$2:$C$8,MIN(7,MAX(1,MAX(1,2-(Vu_khi!$L$329-0))+1)))</f>
        <v/>
      </c>
      <c r="AH329" t="n">
        <v>1</v>
      </c>
      <c r="AI329">
        <f>IF($Q$329,$M$329*$AA$329*$U$329,0)</f>
        <v/>
      </c>
      <c r="AJ329" t="n">
        <v>23.34905660377359</v>
      </c>
      <c r="AK329">
        <f>IF($Q$329,$M$329*$AC$329*$U$329,0)</f>
        <v/>
      </c>
      <c r="AL329" t="n">
        <v>19.84669811320755</v>
      </c>
      <c r="AM329">
        <f>IF($Q$329,$M$329*$AE$329*$U$329,0)</f>
        <v/>
      </c>
      <c r="AN329" t="n">
        <v>9.339622641509434</v>
      </c>
      <c r="AO329">
        <f>IF($Q$329,$M$329*$AC$329*$Y$329,0)</f>
        <v/>
      </c>
      <c r="AP329" t="n">
        <v>31.75471698113208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AY329" t="n">
        <v>0.833333</v>
      </c>
      <c r="AZ329" t="inlineStr">
        <is>
          <t>ok</t>
        </is>
      </c>
      <c r="BA329" t="inlineStr"/>
      <c r="BB329" t="inlineStr">
        <is>
          <t>Assets/MachineBrigade/Resources/Data/balance.json: weapons[id=technical_rockets] (lớp B trên 01_chien_dau/Vu_khi)</t>
        </is>
      </c>
      <c r="BC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IF(Vu_khi!$AG$330,INDEX(Bang_danh_noc!$C$2:$C$8,MIN(7,MAX(1,2-(Vu_khi!$L$330-0)+1))),INDEX(Bang_xuyen_giap!$C$2:$C$8,MIN(7,MAX(1,IF($O$330,MAX(1,2-(Vu_khi!$L$330-0)),2-(Vu_khi!$L$330-0))+1))))</f>
        <v/>
      </c>
      <c r="AB330" t="n">
        <v>1</v>
      </c>
      <c r="AC330">
        <f>IF(Vu_khi!$AG$330,INDEX(Bang_danh_noc!$C$2:$C$8,MIN(7,MAX(1,2-(Vu_khi!$L$330-2)+1))),INDEX(Bang_xuyen_giap!$C$2:$C$8,MIN(7,MAX(1,IF($O$330,MAX(1,2-(Vu_khi!$L$330-2)),2-(Vu_khi!$L$330-2))+1))))</f>
        <v/>
      </c>
      <c r="AD330" t="n">
        <v>1</v>
      </c>
      <c r="AE330">
        <f>IF(Vu_khi!$AG$330,INDEX(Bang_danh_noc!$C$2:$C$8,MIN(7,MAX(1,2-(Vu_khi!$L$330-4)+1))),INDEX(Bang_xuyen_giap!$C$2:$C$8,MIN(7,MAX(1,IF($O$330,MAX(1,2-(Vu_khi!$L$330-4)),2-(Vu_khi!$L$330-4))+1))))</f>
        <v/>
      </c>
      <c r="AF330" t="n">
        <v>0.65</v>
      </c>
      <c r="AG330">
        <f>INDEX(Bang_xuyen_giap!$C$2:$C$8,MIN(7,MAX(1,MAX(1,2-(Vu_khi!$L$330-0))+1)))</f>
        <v/>
      </c>
      <c r="AH330" t="n">
        <v>1</v>
      </c>
      <c r="AI330">
        <f>IF($Q$330,$M$330*$AA$330*$U$330,0)</f>
        <v/>
      </c>
      <c r="AJ330" t="n">
        <v>47.52960391996734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30.89424254797877</v>
      </c>
      <c r="AO330">
        <f>IF($Q$330,$M$330*$AC$330*$Y$330,0)</f>
        <v/>
      </c>
      <c r="AP330" t="n">
        <v>95.05920783993467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1.2</v>
      </c>
      <c r="AZ330" t="inlineStr">
        <is>
          <t>ok</t>
        </is>
      </c>
      <c r="BA330" t="inlineStr"/>
      <c r="BB330" t="inlineStr">
        <is>
          <t>Assets/MachineBrigade/Resources/Data/balance.json: weapons[id=thermobaric_rockets] (lớp B trên 01_chien_dau/Vu_khi)</t>
        </is>
      </c>
      <c r="BC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IF(Vu_khi!$AG$331,INDEX(Bang_danh_noc!$C$2:$C$8,MIN(7,MAX(1,2-(Vu_khi!$L$331-0)+1))),INDEX(Bang_xuyen_giap!$C$2:$C$8,MIN(7,MAX(1,IF($O$331,MAX(1,2-(Vu_khi!$L$331-0)),2-(Vu_khi!$L$331-0))+1))))</f>
        <v/>
      </c>
      <c r="AB331" t="n">
        <v>1.2</v>
      </c>
      <c r="AC331">
        <f>IF(Vu_khi!$AG$331,INDEX(Bang_danh_noc!$C$2:$C$8,MIN(7,MAX(1,2-(Vu_khi!$L$331-2)+1))),INDEX(Bang_xuyen_giap!$C$2:$C$8,MIN(7,MAX(1,IF($O$331,MAX(1,2-(Vu_khi!$L$331-2)),2-(Vu_khi!$L$331-2))+1))))</f>
        <v/>
      </c>
      <c r="AD331" t="n">
        <v>0.85</v>
      </c>
      <c r="AE331">
        <f>IF(Vu_khi!$AG$331,INDEX(Bang_danh_noc!$C$2:$C$8,MIN(7,MAX(1,2-(Vu_khi!$L$331-4)+1))),INDEX(Bang_xuyen_giap!$C$2:$C$8,MIN(7,MAX(1,IF($O$331,MAX(1,2-(Vu_khi!$L$331-4)),2-(Vu_khi!$L$331-4))+1))))</f>
        <v/>
      </c>
      <c r="AF331" t="n">
        <v>0.4</v>
      </c>
      <c r="AG331">
        <f>INDEX(Bang_xuyen_giap!$C$2:$C$8,MIN(7,MAX(1,MAX(1,2-(Vu_khi!$L$331-0))+1)))</f>
        <v/>
      </c>
      <c r="AH331" t="n">
        <v>1</v>
      </c>
      <c r="AI331">
        <f>IF($Q$331,$M$331*$AA$331*$U$331,0)</f>
        <v/>
      </c>
      <c r="AJ331" t="n">
        <v>96</v>
      </c>
      <c r="AK331">
        <f>IF($Q$331,$M$331*$AC$331*$U$331,0)</f>
        <v/>
      </c>
      <c r="AL331" t="n">
        <v>68</v>
      </c>
      <c r="AM331">
        <f>IF($Q$331,$M$331*$AE$331*$U$331,0)</f>
        <v/>
      </c>
      <c r="AN331" t="n">
        <v>32</v>
      </c>
      <c r="AO331">
        <f>IF($Q$331,$M$331*$AC$331*$Y$331,0)</f>
        <v/>
      </c>
      <c r="AP331" t="n">
        <v>39.66666666666666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2.125</v>
      </c>
      <c r="AZ331" t="inlineStr">
        <is>
          <t>ok</t>
        </is>
      </c>
      <c r="BA331" t="inlineStr"/>
      <c r="BB331" t="inlineStr">
        <is>
          <t>Assets/MachineBrigade/Resources/Data/balance.json: weapons[id=tower_ac25] (lớp B trên 01_chien_dau/Vu_khi)</t>
        </is>
      </c>
      <c r="BC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IF(Vu_khi!$AG$332,INDEX(Bang_danh_noc!$C$2:$C$8,MIN(7,MAX(1,2-(Vu_khi!$L$332-0)+1))),INDEX(Bang_xuyen_giap!$C$2:$C$8,MIN(7,MAX(1,IF($O$332,MAX(1,2-(Vu_khi!$L$332-0)),2-(Vu_khi!$L$332-0))+1))))</f>
        <v/>
      </c>
      <c r="AB332" t="n">
        <v>1</v>
      </c>
      <c r="AC332">
        <f>IF(Vu_khi!$AG$332,INDEX(Bang_danh_noc!$C$2:$C$8,MIN(7,MAX(1,2-(Vu_khi!$L$332-2)+1))),INDEX(Bang_xuyen_giap!$C$2:$C$8,MIN(7,MAX(1,IF($O$332,MAX(1,2-(Vu_khi!$L$332-2)),2-(Vu_khi!$L$332-2))+1))))</f>
        <v/>
      </c>
      <c r="AD332" t="n">
        <v>0.65</v>
      </c>
      <c r="AE332">
        <f>IF(Vu_khi!$AG$332,INDEX(Bang_danh_noc!$C$2:$C$8,MIN(7,MAX(1,2-(Vu_khi!$L$332-4)+1))),INDEX(Bang_xuyen_giap!$C$2:$C$8,MIN(7,MAX(1,IF($O$332,MAX(1,2-(Vu_khi!$L$332-4)),2-(Vu_khi!$L$332-4))+1))))</f>
        <v/>
      </c>
      <c r="AF332" t="n">
        <v>0.15</v>
      </c>
      <c r="AG332">
        <f>INDEX(Bang_xuyen_giap!$C$2:$C$8,MIN(7,MAX(1,MAX(1,2-(Vu_khi!$L$332-0))+1)))</f>
        <v/>
      </c>
      <c r="AH332" t="n">
        <v>1</v>
      </c>
      <c r="AI332">
        <f>IF($Q$332,$M$332*$AA$332*$U$332,0)</f>
        <v/>
      </c>
      <c r="AJ332" t="n">
        <v>0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IF($Q$332,$M$332*$AC$332*$Y$332,0)</f>
        <v/>
      </c>
      <c r="AP332" t="n">
        <v>0</v>
      </c>
      <c r="AQ332">
        <f>IF($S$332,$M$332*$AG$332*$W$332,0)</f>
        <v/>
      </c>
      <c r="AR332" t="n">
        <v>90.00000000000001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BB332" t="inlineStr">
        <is>
          <t>Assets/MachineBrigade/Resources/Data/balance.json: weapons[id=tower_ac25_flak] (lớp B trên 01_chien_dau/Vu_khi)</t>
        </is>
      </c>
      <c r="BC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IF(Vu_khi!$AG$333,INDEX(Bang_danh_noc!$C$2:$C$8,MIN(7,MAX(1,2-(Vu_khi!$L$333-0)+1))),INDEX(Bang_xuyen_giap!$C$2:$C$8,MIN(7,MAX(1,IF($O$333,MAX(1,2-(Vu_khi!$L$333-0)),2-(Vu_khi!$L$333-0))+1))))</f>
        <v/>
      </c>
      <c r="AB333" t="n">
        <v>1.2</v>
      </c>
      <c r="AC333">
        <f>IF(Vu_khi!$AG$333,INDEX(Bang_danh_noc!$C$2:$C$8,MIN(7,MAX(1,2-(Vu_khi!$L$333-2)+1))),INDEX(Bang_xuyen_giap!$C$2:$C$8,MIN(7,MAX(1,IF($O$333,MAX(1,2-(Vu_khi!$L$333-2)),2-(Vu_khi!$L$333-2))+1))))</f>
        <v/>
      </c>
      <c r="AD333" t="n">
        <v>0.85</v>
      </c>
      <c r="AE333">
        <f>IF(Vu_khi!$AG$333,INDEX(Bang_danh_noc!$C$2:$C$8,MIN(7,MAX(1,2-(Vu_khi!$L$333-4)+1))),INDEX(Bang_xuyen_giap!$C$2:$C$8,MIN(7,MAX(1,IF($O$333,MAX(1,2-(Vu_khi!$L$333-4)),2-(Vu_khi!$L$333-4))+1))))</f>
        <v/>
      </c>
      <c r="AF333" t="n">
        <v>0.4</v>
      </c>
      <c r="AG333">
        <f>INDEX(Bang_xuyen_giap!$C$2:$C$8,MIN(7,MAX(1,MAX(1,2-(Vu_khi!$L$333-0))+1)))</f>
        <v/>
      </c>
      <c r="AH333" t="n">
        <v>1</v>
      </c>
      <c r="AI333">
        <f>IF($Q$333,$M$333*$AA$333*$U$333,0)</f>
        <v/>
      </c>
      <c r="AJ333" t="n">
        <v>35.32075471698113</v>
      </c>
      <c r="AK333">
        <f>IF($Q$333,$M$333*$AC$333*$U$333,0)</f>
        <v/>
      </c>
      <c r="AL333" t="n">
        <v>25.0188679245283</v>
      </c>
      <c r="AM333">
        <f>IF($Q$333,$M$333*$AE$333*$U$333,0)</f>
        <v/>
      </c>
      <c r="AN333" t="n">
        <v>11.77358490566038</v>
      </c>
      <c r="AO333">
        <f>IF($Q$333,$M$333*$AC$333*$Y$333,0)</f>
        <v/>
      </c>
      <c r="AP333" t="n">
        <v>40.03018867924529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5.520833</v>
      </c>
      <c r="AZ333" t="inlineStr">
        <is>
          <t>LECH_DOT_1</t>
        </is>
      </c>
      <c r="BA333" t="inlineStr"/>
      <c r="BB333" t="inlineStr">
        <is>
          <t>Assets/MachineBrigade/Resources/Data/balance.json: weapons[id=tower_agl] (lớp B trên 01_chien_dau/Vu_khi)</t>
        </is>
      </c>
      <c r="BC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IF(Vu_khi!$AG$334,INDEX(Bang_danh_noc!$C$2:$C$8,MIN(7,MAX(1,2-(Vu_khi!$L$334-0)+1))),INDEX(Bang_xuyen_giap!$C$2:$C$8,MIN(7,MAX(1,IF($O$334,MAX(1,2-(Vu_khi!$L$334-0)),2-(Vu_khi!$L$334-0))+1))))</f>
        <v/>
      </c>
      <c r="AB334" t="n">
        <v>1.2</v>
      </c>
      <c r="AC334">
        <f>IF(Vu_khi!$AG$334,INDEX(Bang_danh_noc!$C$2:$C$8,MIN(7,MAX(1,2-(Vu_khi!$L$334-2)+1))),INDEX(Bang_xuyen_giap!$C$2:$C$8,MIN(7,MAX(1,IF($O$334,MAX(1,2-(Vu_khi!$L$334-2)),2-(Vu_khi!$L$334-2))+1))))</f>
        <v/>
      </c>
      <c r="AD334" t="n">
        <v>0.85</v>
      </c>
      <c r="AE334">
        <f>IF(Vu_khi!$AG$334,INDEX(Bang_danh_noc!$C$2:$C$8,MIN(7,MAX(1,2-(Vu_khi!$L$334-4)+1))),INDEX(Bang_xuyen_giap!$C$2:$C$8,MIN(7,MAX(1,IF($O$334,MAX(1,2-(Vu_khi!$L$334-4)),2-(Vu_khi!$L$334-4))+1))))</f>
        <v/>
      </c>
      <c r="AF334" t="n">
        <v>0.4</v>
      </c>
      <c r="AG334">
        <f>INDEX(Bang_xuyen_giap!$C$2:$C$8,MIN(7,MAX(1,MAX(1,2-(Vu_khi!$L$334-0))+1)))</f>
        <v/>
      </c>
      <c r="AH334" t="n">
        <v>1</v>
      </c>
      <c r="AI334">
        <f>IF($Q$334,$M$334*$AA$334*$U$334,0)</f>
        <v/>
      </c>
      <c r="AJ334" t="n">
        <v>70.52238805970148</v>
      </c>
      <c r="AK334">
        <f>IF($Q$334,$M$334*$AC$334*$U$334,0)</f>
        <v/>
      </c>
      <c r="AL334" t="n">
        <v>49.95335820895522</v>
      </c>
      <c r="AM334">
        <f>IF($Q$334,$M$334*$AE$334*$U$334,0)</f>
        <v/>
      </c>
      <c r="AN334" t="n">
        <v>23.50746268656716</v>
      </c>
      <c r="AO334">
        <f>IF($Q$334,$M$334*$AC$334*$Y$334,0)</f>
        <v/>
      </c>
      <c r="AP334" t="n">
        <v>11.10074626865672</v>
      </c>
      <c r="AQ334">
        <f>IF($S$334,$M$334*$AG$334*$W$334,0)</f>
        <v/>
      </c>
      <c r="AR334" t="n">
        <v>176.3059701492537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1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n">
        <v>4.466667</v>
      </c>
      <c r="AZ334" t="inlineStr">
        <is>
          <t>ok</t>
        </is>
      </c>
      <c r="BA334" t="inlineStr"/>
      <c r="BB334" t="inlineStr">
        <is>
          <t>Assets/MachineBrigade/Resources/Data/balance.json: weapons[id=tower_flak_30] (lớp B trên 01_chien_dau/Vu_khi)</t>
        </is>
      </c>
      <c r="BC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IF(Vu_khi!$AG$335,INDEX(Bang_danh_noc!$C$2:$C$8,MIN(7,MAX(1,2-(Vu_khi!$L$335-0)+1))),INDEX(Bang_xuyen_giap!$C$2:$C$8,MIN(7,MAX(1,IF($O$335,MAX(1,2-(Vu_khi!$L$335-0)),2-(Vu_khi!$L$335-0))+1))))</f>
        <v/>
      </c>
      <c r="AB335" t="n">
        <v>1.2</v>
      </c>
      <c r="AC335">
        <f>IF(Vu_khi!$AG$335,INDEX(Bang_danh_noc!$C$2:$C$8,MIN(7,MAX(1,2-(Vu_khi!$L$335-2)+1))),INDEX(Bang_xuyen_giap!$C$2:$C$8,MIN(7,MAX(1,IF($O$335,MAX(1,2-(Vu_khi!$L$335-2)),2-(Vu_khi!$L$335-2))+1))))</f>
        <v/>
      </c>
      <c r="AD335" t="n">
        <v>0.85</v>
      </c>
      <c r="AE335">
        <f>IF(Vu_khi!$AG$335,INDEX(Bang_danh_noc!$C$2:$C$8,MIN(7,MAX(1,2-(Vu_khi!$L$335-4)+1))),INDEX(Bang_xuyen_giap!$C$2:$C$8,MIN(7,MAX(1,IF($O$335,MAX(1,2-(Vu_khi!$L$335-4)),2-(Vu_khi!$L$335-4))+1))))</f>
        <v/>
      </c>
      <c r="AF335" t="n">
        <v>0.4</v>
      </c>
      <c r="AG335">
        <f>INDEX(Bang_xuyen_giap!$C$2:$C$8,MIN(7,MAX(1,MAX(1,2-(Vu_khi!$L$335-0))+1)))</f>
        <v/>
      </c>
      <c r="AH335" t="n">
        <v>1</v>
      </c>
      <c r="AI335">
        <f>IF($Q$335,$M$335*$AA$335*$U$335,0)</f>
        <v/>
      </c>
      <c r="AJ335" t="n">
        <v>188.0597014925373</v>
      </c>
      <c r="AK335">
        <f>IF($Q$335,$M$335*$AC$335*$U$335,0)</f>
        <v/>
      </c>
      <c r="AL335" t="n">
        <v>133.2089552238806</v>
      </c>
      <c r="AM335">
        <f>IF($Q$335,$M$335*$AE$335*$U$335,0)</f>
        <v/>
      </c>
      <c r="AN335" t="n">
        <v>62.6865671641791</v>
      </c>
      <c r="AO335">
        <f>IF($Q$335,$M$335*$AC$335*$Y$335,0)</f>
        <v/>
      </c>
      <c r="AP335" t="n">
        <v>77.705223880597</v>
      </c>
      <c r="AQ335">
        <f>IF($S$335,$M$335*$AG$335*$W$335,0)</f>
        <v/>
      </c>
      <c r="AR335" t="n">
        <v>0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1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BB335" t="inlineStr">
        <is>
          <t>Assets/MachineBrigade/Resources/Data/balance.json: weapons[id=tower_flak_30_ap] (lớp B trên 01_chien_dau/Vu_khi)</t>
        </is>
      </c>
      <c r="BC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IF(Vu_khi!$AG$336,INDEX(Bang_danh_noc!$C$2:$C$8,MIN(7,MAX(1,2-(Vu_khi!$L$336-0)+1))),INDEX(Bang_xuyen_giap!$C$2:$C$8,MIN(7,MAX(1,IF($O$336,MAX(1,2-(Vu_khi!$L$336-0)),2-(Vu_khi!$L$336-0))+1))))</f>
        <v/>
      </c>
      <c r="AB336" t="n">
        <v>1</v>
      </c>
      <c r="AC336">
        <f>IF(Vu_khi!$AG$336,INDEX(Bang_danh_noc!$C$2:$C$8,MIN(7,MAX(1,2-(Vu_khi!$L$336-2)+1))),INDEX(Bang_xuyen_giap!$C$2:$C$8,MIN(7,MAX(1,IF($O$336,MAX(1,2-(Vu_khi!$L$336-2)),2-(Vu_khi!$L$336-2))+1))))</f>
        <v/>
      </c>
      <c r="AD336" t="n">
        <v>0.65</v>
      </c>
      <c r="AE336">
        <f>IF(Vu_khi!$AG$336,INDEX(Bang_danh_noc!$C$2:$C$8,MIN(7,MAX(1,2-(Vu_khi!$L$336-4)+1))),INDEX(Bang_xuyen_giap!$C$2:$C$8,MIN(7,MAX(1,IF($O$336,MAX(1,2-(Vu_khi!$L$336-4)),2-(Vu_khi!$L$336-4))+1))))</f>
        <v/>
      </c>
      <c r="AF336" t="n">
        <v>0.15</v>
      </c>
      <c r="AG336">
        <f>INDEX(Bang_xuyen_giap!$C$2:$C$8,MIN(7,MAX(1,MAX(1,2-(Vu_khi!$L$336-0))+1)))</f>
        <v/>
      </c>
      <c r="AH336" t="n">
        <v>1</v>
      </c>
      <c r="AI336">
        <f>IF($Q$336,$M$336*$AA$336*$U$336,0)</f>
        <v/>
      </c>
      <c r="AJ336" t="n">
        <v>91.2</v>
      </c>
      <c r="AK336">
        <f>IF($Q$336,$M$336*$AC$336*$U$336,0)</f>
        <v/>
      </c>
      <c r="AL336" t="n">
        <v>59.28</v>
      </c>
      <c r="AM336">
        <f>IF($Q$336,$M$336*$AE$336*$U$336,0)</f>
        <v/>
      </c>
      <c r="AN336" t="n">
        <v>13.68</v>
      </c>
      <c r="AO336">
        <f>IF($Q$336,$M$336*$AC$336*$Y$336,0)</f>
        <v/>
      </c>
      <c r="AP336" t="n">
        <v>34.58</v>
      </c>
      <c r="AQ336">
        <f>IF($S$336,$M$336*$AG$336*$W$336,0)</f>
        <v/>
      </c>
      <c r="AR336" t="n">
        <v>22.8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0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1.25</v>
      </c>
      <c r="AZ336" t="inlineStr">
        <is>
          <t>ok</t>
        </is>
      </c>
      <c r="BA336" t="inlineStr"/>
      <c r="BB336" t="inlineStr">
        <is>
          <t>Assets/MachineBrigade/Resources/Data/balance.json: weapons[id=tower_hmg] (lớp B trên 01_chien_dau/Vu_khi)</t>
        </is>
      </c>
      <c r="BC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IF(Vu_khi!$AG$337,INDEX(Bang_danh_noc!$C$2:$C$8,MIN(7,MAX(1,2-(Vu_khi!$L$337-0)+1))),INDEX(Bang_xuyen_giap!$C$2:$C$8,MIN(7,MAX(1,IF($O$337,MAX(1,2-(Vu_khi!$L$337-0)),2-(Vu_khi!$L$337-0))+1))))</f>
        <v/>
      </c>
      <c r="AB337" t="n">
        <v>1.2</v>
      </c>
      <c r="AC337">
        <f>IF(Vu_khi!$AG$337,INDEX(Bang_danh_noc!$C$2:$C$8,MIN(7,MAX(1,2-(Vu_khi!$L$337-2)+1))),INDEX(Bang_xuyen_giap!$C$2:$C$8,MIN(7,MAX(1,IF($O$337,MAX(1,2-(Vu_khi!$L$337-2)),2-(Vu_khi!$L$337-2))+1))))</f>
        <v/>
      </c>
      <c r="AD337" t="n">
        <v>0.85</v>
      </c>
      <c r="AE337">
        <f>IF(Vu_khi!$AG$337,INDEX(Bang_danh_noc!$C$2:$C$8,MIN(7,MAX(1,2-(Vu_khi!$L$337-4)+1))),INDEX(Bang_xuyen_giap!$C$2:$C$8,MIN(7,MAX(1,IF($O$337,MAX(1,2-(Vu_khi!$L$337-4)),2-(Vu_khi!$L$337-4))+1))))</f>
        <v/>
      </c>
      <c r="AF337" t="n">
        <v>0.4</v>
      </c>
      <c r="AG337">
        <f>INDEX(Bang_xuyen_giap!$C$2:$C$8,MIN(7,MAX(1,MAX(1,2-(Vu_khi!$L$337-0))+1)))</f>
        <v/>
      </c>
      <c r="AH337" t="n">
        <v>1</v>
      </c>
      <c r="AI337">
        <f>IF($Q$337,$M$337*$AA$337*$U$337,0)</f>
        <v/>
      </c>
      <c r="AJ337" t="n">
        <v>109.44</v>
      </c>
      <c r="AK337">
        <f>IF($Q$337,$M$337*$AC$337*$U$337,0)</f>
        <v/>
      </c>
      <c r="AL337" t="n">
        <v>77.52</v>
      </c>
      <c r="AM337">
        <f>IF($Q$337,$M$337*$AE$337*$U$337,0)</f>
        <v/>
      </c>
      <c r="AN337" t="n">
        <v>36.48</v>
      </c>
      <c r="AO337">
        <f>IF($Q$337,$M$337*$AC$337*$Y$337,0)</f>
        <v/>
      </c>
      <c r="AP337" t="n">
        <v>45.22</v>
      </c>
      <c r="AQ337">
        <f>IF($S$337,$M$337*$AG$337*$W$337,0)</f>
        <v/>
      </c>
      <c r="AR337" t="n">
        <v>22.8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T337" t="b">
        <v>0</v>
      </c>
      <c r="AU337">
        <f>IF(AND($B$337&lt;0,$AS$337),4,$B$337)</f>
        <v/>
      </c>
      <c r="AV337" t="n">
        <v>0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0</v>
      </c>
      <c r="BB337" t="inlineStr">
        <is>
          <t>Assets/MachineBrigade/Resources/Data/balance.json: weapons[id=tower_hmg_api] (lớp B trên 01_chien_dau/Vu_khi)</t>
        </is>
      </c>
      <c r="BC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IF(Vu_khi!$AG$338,INDEX(Bang_danh_noc!$C$2:$C$8,MIN(7,MAX(1,2-(Vu_khi!$L$338-0)+1))),INDEX(Bang_xuyen_giap!$C$2:$C$8,MIN(7,MAX(1,IF($O$338,MAX(1,2-(Vu_khi!$L$338-0)),2-(Vu_khi!$L$338-0))+1))))</f>
        <v/>
      </c>
      <c r="AB338" t="n">
        <v>1.2</v>
      </c>
      <c r="AC338">
        <f>IF(Vu_khi!$AG$338,INDEX(Bang_danh_noc!$C$2:$C$8,MIN(7,MAX(1,2-(Vu_khi!$L$338-2)+1))),INDEX(Bang_xuyen_giap!$C$2:$C$8,MIN(7,MAX(1,IF($O$338,MAX(1,2-(Vu_khi!$L$338-2)),2-(Vu_khi!$L$338-2))+1))))</f>
        <v/>
      </c>
      <c r="AD338" t="n">
        <v>1.2</v>
      </c>
      <c r="AE338">
        <f>IF(Vu_khi!$AG$338,INDEX(Bang_danh_noc!$C$2:$C$8,MIN(7,MAX(1,2-(Vu_khi!$L$338-4)+1))),INDEX(Bang_xuyen_giap!$C$2:$C$8,MIN(7,MAX(1,IF($O$338,MAX(1,2-(Vu_khi!$L$338-4)),2-(Vu_khi!$L$338-4))+1))))</f>
        <v/>
      </c>
      <c r="AF338" t="n">
        <v>0.85</v>
      </c>
      <c r="AG338">
        <f>INDEX(Bang_xuyen_giap!$C$2:$C$8,MIN(7,MAX(1,MAX(1,2-(Vu_khi!$L$338-0))+1)))</f>
        <v/>
      </c>
      <c r="AH338" t="n">
        <v>1</v>
      </c>
      <c r="AI338">
        <f>IF($Q$338,$M$338*$AA$338*$U$338,0)</f>
        <v/>
      </c>
      <c r="AJ338" t="n">
        <v>129.2972972972973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91.58558558558558</v>
      </c>
      <c r="AO338">
        <f>IF($Q$338,$M$338*$AC$338*$Y$338,0)</f>
        <v/>
      </c>
      <c r="AP338" t="n">
        <v>44.75675675675676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n">
        <v>0.2775</v>
      </c>
      <c r="AZ338" t="inlineStr">
        <is>
          <t>NHANH_QUA</t>
        </is>
      </c>
      <c r="BA338" t="inlineStr"/>
      <c r="BB338" t="inlineStr">
        <is>
          <t>Assets/MachineBrigade/Resources/Data/balance.json: weapons[id=tower_kornet] (lớp B trên 01_chien_dau/Vu_khi)</t>
        </is>
      </c>
      <c r="BC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IF(Vu_khi!$AG$339,INDEX(Bang_danh_noc!$C$2:$C$8,MIN(7,MAX(1,2-(Vu_khi!$L$339-0)+1))),INDEX(Bang_xuyen_giap!$C$2:$C$8,MIN(7,MAX(1,IF($O$339,MAX(1,2-(Vu_khi!$L$339-0)),2-(Vu_khi!$L$339-0))+1))))</f>
        <v/>
      </c>
      <c r="AB339" t="n">
        <v>1.2</v>
      </c>
      <c r="AC339">
        <f>IF(Vu_khi!$AG$339,INDEX(Bang_danh_noc!$C$2:$C$8,MIN(7,MAX(1,2-(Vu_khi!$L$339-2)+1))),INDEX(Bang_xuyen_giap!$C$2:$C$8,MIN(7,MAX(1,IF($O$339,MAX(1,2-(Vu_khi!$L$339-2)),2-(Vu_khi!$L$339-2))+1))))</f>
        <v/>
      </c>
      <c r="AD339" t="n">
        <v>1.2</v>
      </c>
      <c r="AE339">
        <f>IF(Vu_khi!$AG$339,INDEX(Bang_danh_noc!$C$2:$C$8,MIN(7,MAX(1,2-(Vu_khi!$L$339-4)+1))),INDEX(Bang_xuyen_giap!$C$2:$C$8,MIN(7,MAX(1,IF($O$339,MAX(1,2-(Vu_khi!$L$339-4)),2-(Vu_khi!$L$339-4))+1))))</f>
        <v/>
      </c>
      <c r="AF339" t="n">
        <v>1</v>
      </c>
      <c r="AG339">
        <f>INDEX(Bang_xuyen_giap!$C$2:$C$8,MIN(7,MAX(1,MAX(1,2-(Vu_khi!$L$339-0))+1)))</f>
        <v/>
      </c>
      <c r="AH339" t="n">
        <v>1</v>
      </c>
      <c r="AI339">
        <f>IF($Q$339,$M$339*$AA$339*$U$339,0)</f>
        <v/>
      </c>
      <c r="AJ339" t="n">
        <v>108</v>
      </c>
      <c r="AK339">
        <f>IF($Q$339,$M$339*$AC$339*$U$339,0)</f>
        <v/>
      </c>
      <c r="AL339" t="n">
        <v>108</v>
      </c>
      <c r="AM339">
        <f>IF($Q$339,$M$339*$AE$339*$U$339,0)</f>
        <v/>
      </c>
      <c r="AN339" t="n">
        <v>90</v>
      </c>
      <c r="AO339">
        <f>IF($Q$339,$M$339*$AC$339*$Y$339,0)</f>
        <v/>
      </c>
      <c r="AP339" t="n">
        <v>63</v>
      </c>
      <c r="AQ339">
        <f>IF($S$339,$M$339*$AG$339*$W$339,0)</f>
        <v/>
      </c>
      <c r="AR339" t="n">
        <v>0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T339" t="b">
        <v>0</v>
      </c>
      <c r="AU339">
        <f>IF(AND($B$339&lt;0,$AS$339),4,$B$339)</f>
        <v/>
      </c>
      <c r="AV339" t="n">
        <v>3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0.7</v>
      </c>
      <c r="AZ339" t="inlineStr">
        <is>
          <t>ok</t>
        </is>
      </c>
      <c r="BA339" t="b">
        <v>1</v>
      </c>
      <c r="BB339" t="inlineStr">
        <is>
          <t>Assets/MachineBrigade/Resources/Data/balance.json: weapons[id=train_gun] (lớp B trên 01_chien_dau/Vu_khi)</t>
        </is>
      </c>
      <c r="BC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IF(Vu_khi!$AG$340,INDEX(Bang_danh_noc!$C$2:$C$8,MIN(7,MAX(1,2-(Vu_khi!$L$340-0)+1))),INDEX(Bang_xuyen_giap!$C$2:$C$8,MIN(7,MAX(1,IF($O$340,MAX(1,2-(Vu_khi!$L$340-0)),2-(Vu_khi!$L$340-0))+1))))</f>
        <v/>
      </c>
      <c r="AB340" t="n">
        <v>1.2</v>
      </c>
      <c r="AC340">
        <f>IF(Vu_khi!$AG$340,INDEX(Bang_danh_noc!$C$2:$C$8,MIN(7,MAX(1,2-(Vu_khi!$L$340-2)+1))),INDEX(Bang_xuyen_giap!$C$2:$C$8,MIN(7,MAX(1,IF($O$340,MAX(1,2-(Vu_khi!$L$340-2)),2-(Vu_khi!$L$340-2))+1))))</f>
        <v/>
      </c>
      <c r="AD340" t="n">
        <v>0.85</v>
      </c>
      <c r="AE340">
        <f>IF(Vu_khi!$AG$340,INDEX(Bang_danh_noc!$C$2:$C$8,MIN(7,MAX(1,2-(Vu_khi!$L$340-4)+1))),INDEX(Bang_xuyen_giap!$C$2:$C$8,MIN(7,MAX(1,IF($O$340,MAX(1,2-(Vu_khi!$L$340-4)),2-(Vu_khi!$L$340-4))+1))))</f>
        <v/>
      </c>
      <c r="AF340" t="n">
        <v>0.4</v>
      </c>
      <c r="AG340">
        <f>INDEX(Bang_xuyen_giap!$C$2:$C$8,MIN(7,MAX(1,MAX(1,2-(Vu_khi!$L$340-0))+1)))</f>
        <v/>
      </c>
      <c r="AH340" t="n">
        <v>1</v>
      </c>
      <c r="AI340">
        <f>IF($Q$340,$M$340*$AA$340*$U$340,0)</f>
        <v/>
      </c>
      <c r="AJ340" t="n">
        <v>90</v>
      </c>
      <c r="AK340">
        <f>IF($Q$340,$M$340*$AC$340*$U$340,0)</f>
        <v/>
      </c>
      <c r="AL340" t="n">
        <v>63.75</v>
      </c>
      <c r="AM340">
        <f>IF($Q$340,$M$340*$AE$340*$U$340,0)</f>
        <v/>
      </c>
      <c r="AN340" t="n">
        <v>30</v>
      </c>
      <c r="AO340">
        <f>IF($Q$340,$M$340*$AC$340*$Y$340,0)</f>
        <v/>
      </c>
      <c r="AP340" t="n">
        <v>102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T340" t="b">
        <v>0</v>
      </c>
      <c r="AU340">
        <f>IF(AND($B$340&lt;0,$AS$340),4,$B$340)</f>
        <v/>
      </c>
      <c r="AV340" t="n">
        <v>3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BB340" t="inlineStr">
        <is>
          <t>Assets/MachineBrigade/Resources/Data/balance.json: weapons[id=train_gun_he] (lớp B trên 01_chien_dau/Vu_khi)</t>
        </is>
      </c>
      <c r="BC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IF(Vu_khi!$AG$341,INDEX(Bang_danh_noc!$C$2:$C$8,MIN(7,MAX(1,2-(Vu_khi!$L$341-0)+1))),INDEX(Bang_xuyen_giap!$C$2:$C$8,MIN(7,MAX(1,IF($O$341,MAX(1,2-(Vu_khi!$L$341-0)),2-(Vu_khi!$L$341-0))+1))))</f>
        <v/>
      </c>
      <c r="AB341" t="n">
        <v>1</v>
      </c>
      <c r="AC341">
        <f>IF(Vu_khi!$AG$341,INDEX(Bang_danh_noc!$C$2:$C$8,MIN(7,MAX(1,2-(Vu_khi!$L$341-2)+1))),INDEX(Bang_xuyen_giap!$C$2:$C$8,MIN(7,MAX(1,IF($O$341,MAX(1,2-(Vu_khi!$L$341-2)),2-(Vu_khi!$L$341-2))+1))))</f>
        <v/>
      </c>
      <c r="AD341" t="n">
        <v>0.85</v>
      </c>
      <c r="AE341">
        <f>IF(Vu_khi!$AG$341,INDEX(Bang_danh_noc!$C$2:$C$8,MIN(7,MAX(1,2-(Vu_khi!$L$341-4)+1))),INDEX(Bang_xuyen_giap!$C$2:$C$8,MIN(7,MAX(1,IF($O$341,MAX(1,2-(Vu_khi!$L$341-4)),2-(Vu_khi!$L$341-4))+1))))</f>
        <v/>
      </c>
      <c r="AF341" t="n">
        <v>0.4</v>
      </c>
      <c r="AG341">
        <f>INDEX(Bang_xuyen_giap!$C$2:$C$8,MIN(7,MAX(1,MAX(1,2-(Vu_khi!$L$341-0))+1)))</f>
        <v/>
      </c>
      <c r="AH341" t="n">
        <v>1</v>
      </c>
      <c r="AI341">
        <f>IF($Q$341,$M$341*$AA$341*$U$341,0)</f>
        <v/>
      </c>
      <c r="AJ341" t="n">
        <v>36.14457831325301</v>
      </c>
      <c r="AK341">
        <f>IF($Q$341,$M$341*$AC$341*$U$341,0)</f>
        <v/>
      </c>
      <c r="AL341" t="n">
        <v>30.72289156626506</v>
      </c>
      <c r="AM341">
        <f>IF($Q$341,$M$341*$AE$341*$U$341,0)</f>
        <v/>
      </c>
      <c r="AN341" t="n">
        <v>14.4578313253012</v>
      </c>
      <c r="AO341">
        <f>IF($Q$341,$M$341*$AC$341*$Y$341,0)</f>
        <v/>
      </c>
      <c r="AP341" t="n">
        <v>49.15662650602409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T341" t="b">
        <v>0</v>
      </c>
      <c r="AU341">
        <f>IF(AND($B$341&lt;0,$AS$341),4,$B$341)</f>
        <v/>
      </c>
      <c r="AV341" t="n">
        <v>3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0</v>
      </c>
      <c r="AY341" t="n">
        <v>1.4525</v>
      </c>
      <c r="AZ341" t="inlineStr">
        <is>
          <t>ok</t>
        </is>
      </c>
      <c r="BA341" t="inlineStr"/>
      <c r="BB341" t="inlineStr">
        <is>
          <t>Assets/MachineBrigade/Resources/Data/balance.json: weapons[id=train_mortar] (lớp B trên 01_chien_dau/Vu_khi)</t>
        </is>
      </c>
      <c r="BC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IF(Vu_khi!$AG$342,INDEX(Bang_danh_noc!$C$2:$C$8,MIN(7,MAX(1,2-(Vu_khi!$L$342-0)+1))),INDEX(Bang_xuyen_giap!$C$2:$C$8,MIN(7,MAX(1,IF($O$342,MAX(1,2-(Vu_khi!$L$342-0)),2-(Vu_khi!$L$342-0))+1))))</f>
        <v/>
      </c>
      <c r="AB342" t="n">
        <v>1</v>
      </c>
      <c r="AC342">
        <f>IF(Vu_khi!$AG$342,INDEX(Bang_danh_noc!$C$2:$C$8,MIN(7,MAX(1,2-(Vu_khi!$L$342-2)+1))),INDEX(Bang_xuyen_giap!$C$2:$C$8,MIN(7,MAX(1,IF($O$342,MAX(1,2-(Vu_khi!$L$342-2)),2-(Vu_khi!$L$342-2))+1))))</f>
        <v/>
      </c>
      <c r="AD342" t="n">
        <v>1</v>
      </c>
      <c r="AE342">
        <f>IF(Vu_khi!$AG$342,INDEX(Bang_danh_noc!$C$2:$C$8,MIN(7,MAX(1,2-(Vu_khi!$L$342-4)+1))),INDEX(Bang_xuyen_giap!$C$2:$C$8,MIN(7,MAX(1,IF($O$342,MAX(1,2-(Vu_khi!$L$342-4)),2-(Vu_khi!$L$342-4))+1))))</f>
        <v/>
      </c>
      <c r="AF342" t="n">
        <v>0.65</v>
      </c>
      <c r="AG342">
        <f>INDEX(Bang_xuyen_giap!$C$2:$C$8,MIN(7,MAX(1,MAX(1,2-(Vu_khi!$L$342-0))+1)))</f>
        <v/>
      </c>
      <c r="AH342" t="n">
        <v>1</v>
      </c>
      <c r="AI342">
        <f>IF($Q$342,$M$342*$AA$342*$U$342,0)</f>
        <v/>
      </c>
      <c r="AJ342" t="n">
        <v>40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26</v>
      </c>
      <c r="AO342">
        <f>IF($Q$342,$M$342*$AC$342*$Y$342,0)</f>
        <v/>
      </c>
      <c r="AP342" t="n">
        <v>64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0.1</v>
      </c>
      <c r="AZ342" t="inlineStr">
        <is>
          <t>NHANH_QUA</t>
        </is>
      </c>
      <c r="BA342" t="inlineStr"/>
      <c r="BB342" t="inlineStr">
        <is>
          <t>Assets/MachineBrigade/Resources/Data/balance.json: weapons[id=turret_gmlrs] (lớp B trên 01_chien_dau/Vu_khi)</t>
        </is>
      </c>
      <c r="BC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IF(Vu_khi!$AG$343,INDEX(Bang_danh_noc!$C$2:$C$8,MIN(7,MAX(1,2-(Vu_khi!$L$343-0)+1))),INDEX(Bang_xuyen_giap!$C$2:$C$8,MIN(7,MAX(1,IF($O$343,MAX(1,2-(Vu_khi!$L$343-0)),2-(Vu_khi!$L$343-0))+1))))</f>
        <v/>
      </c>
      <c r="AB343" t="n">
        <v>1.2</v>
      </c>
      <c r="AC343">
        <f>IF(Vu_khi!$AG$343,INDEX(Bang_danh_noc!$C$2:$C$8,MIN(7,MAX(1,2-(Vu_khi!$L$343-2)+1))),INDEX(Bang_xuyen_giap!$C$2:$C$8,MIN(7,MAX(1,IF($O$343,MAX(1,2-(Vu_khi!$L$343-2)),2-(Vu_khi!$L$343-2))+1))))</f>
        <v/>
      </c>
      <c r="AD343" t="n">
        <v>1.2</v>
      </c>
      <c r="AE343">
        <f>IF(Vu_khi!$AG$343,INDEX(Bang_danh_noc!$C$2:$C$8,MIN(7,MAX(1,2-(Vu_khi!$L$343-4)+1))),INDEX(Bang_xuyen_giap!$C$2:$C$8,MIN(7,MAX(1,IF($O$343,MAX(1,2-(Vu_khi!$L$343-4)),2-(Vu_khi!$L$343-4))+1))))</f>
        <v/>
      </c>
      <c r="AF343" t="n">
        <v>0.85</v>
      </c>
      <c r="AG343">
        <f>INDEX(Bang_xuyen_giap!$C$2:$C$8,MIN(7,MAX(1,MAX(1,2-(Vu_khi!$L$343-0))+1)))</f>
        <v/>
      </c>
      <c r="AH343" t="n">
        <v>1</v>
      </c>
      <c r="AI343">
        <f>IF($Q$343,$M$343*$AA$343*$U$343,0)</f>
        <v/>
      </c>
      <c r="AJ343" t="n">
        <v>120.0583373845406</v>
      </c>
      <c r="AK343">
        <f>IF($Q$343,$M$343*$AC$343*$U$343,0)</f>
        <v/>
      </c>
      <c r="AL343" t="n">
        <v>120.0583373845406</v>
      </c>
      <c r="AM343">
        <f>IF($Q$343,$M$343*$AE$343*$U$343,0)</f>
        <v/>
      </c>
      <c r="AN343" t="n">
        <v>85.04132231404958</v>
      </c>
      <c r="AO343">
        <f>IF($Q$343,$M$343*$AC$343*$Y$343,0)</f>
        <v/>
      </c>
      <c r="AP343" t="n">
        <v>70.03403014098201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T343" t="b">
        <v>0</v>
      </c>
      <c r="AU343">
        <f>IF(AND($B$343&lt;0,$AS$343),4,$B$343)</f>
        <v/>
      </c>
      <c r="AV343" t="n">
        <v>3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0.383973</v>
      </c>
      <c r="AZ343" t="inlineStr">
        <is>
          <t>NHANH_QUA;LECH_DOT_1</t>
        </is>
      </c>
      <c r="BA343" t="inlineStr"/>
      <c r="BB343" t="inlineStr">
        <is>
          <t>Assets/MachineBrigade/Resources/Data/balance.json: weapons[id=turret_gun_120] (lớp B trên 01_chien_dau/Vu_khi)</t>
        </is>
      </c>
      <c r="BC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IF(Vu_khi!$AG$344,INDEX(Bang_danh_noc!$C$2:$C$8,MIN(7,MAX(1,2-(Vu_khi!$L$344-0)+1))),INDEX(Bang_xuyen_giap!$C$2:$C$8,MIN(7,MAX(1,IF($O$344,MAX(1,2-(Vu_khi!$L$344-0)),2-(Vu_khi!$L$344-0))+1))))</f>
        <v/>
      </c>
      <c r="AB344" t="n">
        <v>1.2</v>
      </c>
      <c r="AC344">
        <f>IF(Vu_khi!$AG$344,INDEX(Bang_danh_noc!$C$2:$C$8,MIN(7,MAX(1,2-(Vu_khi!$L$344-2)+1))),INDEX(Bang_xuyen_giap!$C$2:$C$8,MIN(7,MAX(1,IF($O$344,MAX(1,2-(Vu_khi!$L$344-2)),2-(Vu_khi!$L$344-2))+1))))</f>
        <v/>
      </c>
      <c r="AD344" t="n">
        <v>1.2</v>
      </c>
      <c r="AE344">
        <f>IF(Vu_khi!$AG$344,INDEX(Bang_danh_noc!$C$2:$C$8,MIN(7,MAX(1,2-(Vu_khi!$L$344-4)+1))),INDEX(Bang_xuyen_giap!$C$2:$C$8,MIN(7,MAX(1,IF($O$344,MAX(1,2-(Vu_khi!$L$344-4)),2-(Vu_khi!$L$344-4))+1))))</f>
        <v/>
      </c>
      <c r="AF344" t="n">
        <v>0.85</v>
      </c>
      <c r="AG344">
        <f>INDEX(Bang_xuyen_giap!$C$2:$C$8,MIN(7,MAX(1,MAX(1,2-(Vu_khi!$L$344-0))+1)))</f>
        <v/>
      </c>
      <c r="AH344" t="n">
        <v>1</v>
      </c>
      <c r="AI344">
        <f>IF($Q$344,$M$344*$AA$344*$U$344,0)</f>
        <v/>
      </c>
      <c r="AJ344" t="n">
        <v>136.6685113447703</v>
      </c>
      <c r="AK344">
        <f>IF($Q$344,$M$344*$AC$344*$U$344,0)</f>
        <v/>
      </c>
      <c r="AL344" t="n">
        <v>136.6685113447703</v>
      </c>
      <c r="AM344">
        <f>IF($Q$344,$M$344*$AE$344*$U$344,0)</f>
        <v/>
      </c>
      <c r="AN344" t="n">
        <v>96.80686220254566</v>
      </c>
      <c r="AO344">
        <f>IF($Q$344,$M$344*$AC$344*$Y$344,0)</f>
        <v/>
      </c>
      <c r="AP344" t="n">
        <v>79.72329828444936</v>
      </c>
      <c r="AQ344">
        <f>IF($S$344,$M$344*$AG$344*$W$344,0)</f>
        <v/>
      </c>
      <c r="AR344" t="n">
        <v>0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T344" t="b">
        <v>0</v>
      </c>
      <c r="AU344">
        <f>IF(AND($B$344&lt;0,$AS$344),4,$B$344)</f>
        <v/>
      </c>
      <c r="AV344" t="n">
        <v>3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AY344" t="n">
        <v>0.337307</v>
      </c>
      <c r="AZ344" t="inlineStr">
        <is>
          <t>NHANH_QUA;LECH_DOT_1</t>
        </is>
      </c>
      <c r="BA344" t="inlineStr"/>
      <c r="BB344" t="inlineStr">
        <is>
          <t>Assets/MachineBrigade/Resources/Data/balance.json: weapons[id=turret_gun_120_auto] (lớp B trên 01_chien_dau/Vu_khi)</t>
        </is>
      </c>
      <c r="BC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IF(Vu_khi!$AG$345,INDEX(Bang_danh_noc!$C$2:$C$8,MIN(7,MAX(1,2-(Vu_khi!$L$345-0)+1))),INDEX(Bang_xuyen_giap!$C$2:$C$8,MIN(7,MAX(1,IF($O$345,MAX(1,2-(Vu_khi!$L$345-0)),2-(Vu_khi!$L$345-0))+1))))</f>
        <v/>
      </c>
      <c r="AB345" t="n">
        <v>1.2</v>
      </c>
      <c r="AC345">
        <f>IF(Vu_khi!$AG$345,INDEX(Bang_danh_noc!$C$2:$C$8,MIN(7,MAX(1,2-(Vu_khi!$L$345-2)+1))),INDEX(Bang_xuyen_giap!$C$2:$C$8,MIN(7,MAX(1,IF($O$345,MAX(1,2-(Vu_khi!$L$345-2)),2-(Vu_khi!$L$345-2))+1))))</f>
        <v/>
      </c>
      <c r="AD345" t="n">
        <v>0.85</v>
      </c>
      <c r="AE345">
        <f>IF(Vu_khi!$AG$345,INDEX(Bang_danh_noc!$C$2:$C$8,MIN(7,MAX(1,2-(Vu_khi!$L$345-4)+1))),INDEX(Bang_xuyen_giap!$C$2:$C$8,MIN(7,MAX(1,IF($O$345,MAX(1,2-(Vu_khi!$L$345-4)),2-(Vu_khi!$L$345-4))+1))))</f>
        <v/>
      </c>
      <c r="AF345" t="n">
        <v>0.4</v>
      </c>
      <c r="AG345">
        <f>INDEX(Bang_xuyen_giap!$C$2:$C$8,MIN(7,MAX(1,MAX(1,2-(Vu_khi!$L$345-0))+1)))</f>
        <v/>
      </c>
      <c r="AH345" t="n">
        <v>1</v>
      </c>
      <c r="AI345">
        <f>IF($Q$345,$M$345*$AA$345*$U$345,0)</f>
        <v/>
      </c>
      <c r="AJ345" t="n">
        <v>100.0486144871171</v>
      </c>
      <c r="AK345">
        <f>IF($Q$345,$M$345*$AC$345*$U$345,0)</f>
        <v/>
      </c>
      <c r="AL345" t="n">
        <v>70.86776859504131</v>
      </c>
      <c r="AM345">
        <f>IF($Q$345,$M$345*$AE$345*$U$345,0)</f>
        <v/>
      </c>
      <c r="AN345" t="n">
        <v>33.34953816237239</v>
      </c>
      <c r="AO345">
        <f>IF($Q$345,$M$345*$AC$345*$Y$345,0)</f>
        <v/>
      </c>
      <c r="AP345" t="n">
        <v>113.3884297520661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T345" t="b">
        <v>0</v>
      </c>
      <c r="AU345">
        <f>IF(AND($B$345&lt;0,$AS$345),4,$B$345)</f>
        <v/>
      </c>
      <c r="AV345" t="n">
        <v>3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BB345" t="inlineStr">
        <is>
          <t>Assets/MachineBrigade/Resources/Data/balance.json: weapons[id=turret_gun_120_he] (lớp B trên 01_chien_dau/Vu_khi)</t>
        </is>
      </c>
      <c r="BC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IF(Vu_khi!$AG$346,INDEX(Bang_danh_noc!$C$2:$C$8,MIN(7,MAX(1,2-(Vu_khi!$L$346-0)+1))),INDEX(Bang_xuyen_giap!$C$2:$C$8,MIN(7,MAX(1,IF($O$346,MAX(1,2-(Vu_khi!$L$346-0)),2-(Vu_khi!$L$346-0))+1))))</f>
        <v/>
      </c>
      <c r="AB346" t="n">
        <v>1.2</v>
      </c>
      <c r="AC346">
        <f>IF(Vu_khi!$AG$346,INDEX(Bang_danh_noc!$C$2:$C$8,MIN(7,MAX(1,2-(Vu_khi!$L$346-2)+1))),INDEX(Bang_xuyen_giap!$C$2:$C$8,MIN(7,MAX(1,IF($O$346,MAX(1,2-(Vu_khi!$L$346-2)),2-(Vu_khi!$L$346-2))+1))))</f>
        <v/>
      </c>
      <c r="AD346" t="n">
        <v>1.2</v>
      </c>
      <c r="AE346">
        <f>IF(Vu_khi!$AG$346,INDEX(Bang_danh_noc!$C$2:$C$8,MIN(7,MAX(1,2-(Vu_khi!$L$346-4)+1))),INDEX(Bang_xuyen_giap!$C$2:$C$8,MIN(7,MAX(1,IF($O$346,MAX(1,2-(Vu_khi!$L$346-4)),2-(Vu_khi!$L$346-4))+1))))</f>
        <v/>
      </c>
      <c r="AF346" t="n">
        <v>1</v>
      </c>
      <c r="AG346">
        <f>INDEX(Bang_xuyen_giap!$C$2:$C$8,MIN(7,MAX(1,MAX(1,2-(Vu_khi!$L$346-0))+1)))</f>
        <v/>
      </c>
      <c r="AH346" t="n">
        <v>1</v>
      </c>
      <c r="AI346">
        <f>IF($Q$346,$M$346*$AA$346*$U$346,0)</f>
        <v/>
      </c>
      <c r="AJ346" t="n">
        <v>88.65912762520195</v>
      </c>
      <c r="AK346">
        <f>IF($Q$346,$M$346*$AC$346*$U$346,0)</f>
        <v/>
      </c>
      <c r="AL346" t="n">
        <v>88.65912762520195</v>
      </c>
      <c r="AM346">
        <f>IF($Q$346,$M$346*$AE$346*$U$346,0)</f>
        <v/>
      </c>
      <c r="AN346" t="n">
        <v>73.88260635433495</v>
      </c>
      <c r="AO346">
        <f>IF($Q$346,$M$346*$AC$346*$Y$346,0)</f>
        <v/>
      </c>
      <c r="AP346" t="n">
        <v>51.71782444803446</v>
      </c>
      <c r="AQ346">
        <f>IF($S$346,$M$346*$AG$346*$W$346,0)</f>
        <v/>
      </c>
      <c r="AR346" t="n">
        <v>0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T346" t="b">
        <v>0</v>
      </c>
      <c r="AU346">
        <f>IF(AND($B$346&lt;0,$AS$346),4,$B$346)</f>
        <v/>
      </c>
      <c r="AV346" t="n">
        <v>3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0.51996</v>
      </c>
      <c r="AZ346" t="inlineStr">
        <is>
          <t>NHANH_QUA;LECH_DOT_1</t>
        </is>
      </c>
      <c r="BA346" t="inlineStr"/>
      <c r="BB346" t="inlineStr">
        <is>
          <t>Assets/MachineBrigade/Resources/Data/balance.json: weapons[id=turret_gun_120_long] (lớp B trên 01_chien_dau/Vu_khi)</t>
        </is>
      </c>
      <c r="BC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IF(Vu_khi!$AG$347,INDEX(Bang_danh_noc!$C$2:$C$8,MIN(7,MAX(1,2-(Vu_khi!$L$347-0)+1))),INDEX(Bang_xuyen_giap!$C$2:$C$8,MIN(7,MAX(1,IF($O$347,MAX(1,2-(Vu_khi!$L$347-0)),2-(Vu_khi!$L$347-0))+1))))</f>
        <v/>
      </c>
      <c r="AB347" t="n">
        <v>1.2</v>
      </c>
      <c r="AC347">
        <f>IF(Vu_khi!$AG$347,INDEX(Bang_danh_noc!$C$2:$C$8,MIN(7,MAX(1,2-(Vu_khi!$L$347-2)+1))),INDEX(Bang_xuyen_giap!$C$2:$C$8,MIN(7,MAX(1,IF($O$347,MAX(1,2-(Vu_khi!$L$347-2)),2-(Vu_khi!$L$347-2))+1))))</f>
        <v/>
      </c>
      <c r="AD347" t="n">
        <v>0.85</v>
      </c>
      <c r="AE347">
        <f>IF(Vu_khi!$AG$347,INDEX(Bang_danh_noc!$C$2:$C$8,MIN(7,MAX(1,2-(Vu_khi!$L$347-4)+1))),INDEX(Bang_xuyen_giap!$C$2:$C$8,MIN(7,MAX(1,IF($O$347,MAX(1,2-(Vu_khi!$L$347-4)),2-(Vu_khi!$L$347-4))+1))))</f>
        <v/>
      </c>
      <c r="AF347" t="n">
        <v>0.4</v>
      </c>
      <c r="AG347">
        <f>INDEX(Bang_xuyen_giap!$C$2:$C$8,MIN(7,MAX(1,MAX(1,2-(Vu_khi!$L$347-0))+1)))</f>
        <v/>
      </c>
      <c r="AH347" t="n">
        <v>1</v>
      </c>
      <c r="AI347">
        <f>IF($Q$347,$M$347*$AA$347*$U$347,0)</f>
        <v/>
      </c>
      <c r="AJ347" t="n">
        <v>73.88260635433495</v>
      </c>
      <c r="AK347">
        <f>IF($Q$347,$M$347*$AC$347*$U$347,0)</f>
        <v/>
      </c>
      <c r="AL347" t="n">
        <v>52.33351283432059</v>
      </c>
      <c r="AM347">
        <f>IF($Q$347,$M$347*$AE$347*$U$347,0)</f>
        <v/>
      </c>
      <c r="AN347" t="n">
        <v>24.62753545144498</v>
      </c>
      <c r="AO347">
        <f>IF($Q$347,$M$347*$AC$347*$Y$347,0)</f>
        <v/>
      </c>
      <c r="AP347" t="n">
        <v>83.73362053491296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T347" t="b">
        <v>0</v>
      </c>
      <c r="AU347">
        <f>IF(AND($B$347&lt;0,$AS$347),4,$B$347)</f>
        <v/>
      </c>
      <c r="AV347" t="n">
        <v>3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weapons[id=turret_gun_120_long_he] (lớp B trên 01_chien_dau/Vu_khi)</t>
        </is>
      </c>
      <c r="BC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IF(Vu_khi!$AG$348,INDEX(Bang_danh_noc!$C$2:$C$8,MIN(7,MAX(1,2-(Vu_khi!$L$348-0)+1))),INDEX(Bang_xuyen_giap!$C$2:$C$8,MIN(7,MAX(1,IF($O$348,MAX(1,2-(Vu_khi!$L$348-0)),2-(Vu_khi!$L$348-0))+1))))</f>
        <v/>
      </c>
      <c r="AB348" t="n">
        <v>1</v>
      </c>
      <c r="AC348">
        <f>IF(Vu_khi!$AG$348,INDEX(Bang_danh_noc!$C$2:$C$8,MIN(7,MAX(1,2-(Vu_khi!$L$348-2)+1))),INDEX(Bang_xuyen_giap!$C$2:$C$8,MIN(7,MAX(1,IF($O$348,MAX(1,2-(Vu_khi!$L$348-2)),2-(Vu_khi!$L$348-2))+1))))</f>
        <v/>
      </c>
      <c r="AD348" t="n">
        <v>0.85</v>
      </c>
      <c r="AE348">
        <f>IF(Vu_khi!$AG$348,INDEX(Bang_danh_noc!$C$2:$C$8,MIN(7,MAX(1,2-(Vu_khi!$L$348-4)+1))),INDEX(Bang_xuyen_giap!$C$2:$C$8,MIN(7,MAX(1,IF($O$348,MAX(1,2-(Vu_khi!$L$348-4)),2-(Vu_khi!$L$348-4))+1))))</f>
        <v/>
      </c>
      <c r="AF348" t="n">
        <v>0.4</v>
      </c>
      <c r="AG348">
        <f>INDEX(Bang_xuyen_giap!$C$2:$C$8,MIN(7,MAX(1,MAX(1,2-(Vu_khi!$L$348-0))+1)))</f>
        <v/>
      </c>
      <c r="AH348" t="n">
        <v>1</v>
      </c>
      <c r="AI348">
        <f>IF($Q$348,$M$348*$AA$348*$U$348,0)</f>
        <v/>
      </c>
      <c r="AJ348" t="n">
        <v>97.29729729729729</v>
      </c>
      <c r="AK348">
        <f>IF($Q$348,$M$348*$AC$348*$U$348,0)</f>
        <v/>
      </c>
      <c r="AL348" t="n">
        <v>82.70270270270269</v>
      </c>
      <c r="AM348">
        <f>IF($Q$348,$M$348*$AE$348*$U$348,0)</f>
        <v/>
      </c>
      <c r="AN348" t="n">
        <v>38.91891891891892</v>
      </c>
      <c r="AO348">
        <f>IF($Q$348,$M$348*$AC$348*$Y$348,0)</f>
        <v/>
      </c>
      <c r="AP348" t="n">
        <v>132.3243243243243</v>
      </c>
      <c r="AQ348">
        <f>IF($S$348,$M$348*$AG$348*$W$348,0)</f>
        <v/>
      </c>
      <c r="AR348" t="n">
        <v>0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T348" t="b">
        <v>0</v>
      </c>
      <c r="AU348">
        <f>IF(AND($B$348&lt;0,$AS$348),4,$B$348)</f>
        <v/>
      </c>
      <c r="AV348" t="n">
        <v>3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</v>
      </c>
      <c r="AZ348" t="inlineStr">
        <is>
          <t>ok</t>
        </is>
      </c>
      <c r="BA348" t="inlineStr"/>
      <c r="BB348" t="inlineStr">
        <is>
          <t>Assets/MachineBrigade/Resources/Data/balance.json: weapons[id=turret_rockets] (lớp B trên 01_chien_dau/Vu_khi)</t>
        </is>
      </c>
      <c r="BC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IF(Vu_khi!$AG$349,INDEX(Bang_danh_noc!$C$2:$C$8,MIN(7,MAX(1,2-(Vu_khi!$L$349-0)+1))),INDEX(Bang_xuyen_giap!$C$2:$C$8,MIN(7,MAX(1,IF($O$349,MAX(1,2-(Vu_khi!$L$349-0)),2-(Vu_khi!$L$349-0))+1))))</f>
        <v/>
      </c>
      <c r="AB349" t="n">
        <v>1</v>
      </c>
      <c r="AC349">
        <f>IF(Vu_khi!$AG$349,INDEX(Bang_danh_noc!$C$2:$C$8,MIN(7,MAX(1,2-(Vu_khi!$L$349-2)+1))),INDEX(Bang_xuyen_giap!$C$2:$C$8,MIN(7,MAX(1,IF($O$349,MAX(1,2-(Vu_khi!$L$349-2)),2-(Vu_khi!$L$349-2))+1))))</f>
        <v/>
      </c>
      <c r="AD349" t="n">
        <v>0.85</v>
      </c>
      <c r="AE349">
        <f>IF(Vu_khi!$AG$349,INDEX(Bang_danh_noc!$C$2:$C$8,MIN(7,MAX(1,2-(Vu_khi!$L$349-4)+1))),INDEX(Bang_xuyen_giap!$C$2:$C$8,MIN(7,MAX(1,IF($O$349,MAX(1,2-(Vu_khi!$L$349-4)),2-(Vu_khi!$L$349-4))+1))))</f>
        <v/>
      </c>
      <c r="AF349" t="n">
        <v>0.4</v>
      </c>
      <c r="AG349">
        <f>INDEX(Bang_xuyen_giap!$C$2:$C$8,MIN(7,MAX(1,MAX(1,2-(Vu_khi!$L$349-0))+1)))</f>
        <v/>
      </c>
      <c r="AH349" t="n">
        <v>1</v>
      </c>
      <c r="AI349">
        <f>IF($Q$349,$M$349*$AA$349*$U$349,0)</f>
        <v/>
      </c>
      <c r="AJ349" t="n">
        <v>87.24489795918367</v>
      </c>
      <c r="AK349">
        <f>IF($Q$349,$M$349*$AC$349*$U$349,0)</f>
        <v/>
      </c>
      <c r="AL349" t="n">
        <v>74.15816326530611</v>
      </c>
      <c r="AM349">
        <f>IF($Q$349,$M$349*$AE$349*$U$349,0)</f>
        <v/>
      </c>
      <c r="AN349" t="n">
        <v>34.89795918367347</v>
      </c>
      <c r="AO349">
        <f>IF($Q$349,$M$349*$AC$349*$Y$349,0)</f>
        <v/>
      </c>
      <c r="AP349" t="n">
        <v>118.6530612244898</v>
      </c>
      <c r="AQ349">
        <f>IF($S$349,$M$349*$AG$349*$W$349,0)</f>
        <v/>
      </c>
      <c r="AR349" t="n">
        <v>0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T349" t="b">
        <v>0</v>
      </c>
      <c r="AU349">
        <f>IF(AND($B$349&lt;0,$AS$349),4,$B$349)</f>
        <v/>
      </c>
      <c r="AV349" t="n">
        <v>3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AY349" t="n">
        <v>1</v>
      </c>
      <c r="AZ349" t="inlineStr">
        <is>
          <t>ok</t>
        </is>
      </c>
      <c r="BA349" t="inlineStr"/>
      <c r="BB349" t="inlineStr">
        <is>
          <t>Assets/MachineBrigade/Resources/Data/balance.json: weapons[id=turret_rockets_cluster] (lớp B trên 01_chien_dau/Vu_khi)</t>
        </is>
      </c>
      <c r="BC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IF(Vu_khi!$AG$350,INDEX(Bang_danh_noc!$C$2:$C$8,MIN(7,MAX(1,2-(Vu_khi!$L$350-0)+1))),INDEX(Bang_xuyen_giap!$C$2:$C$8,MIN(7,MAX(1,IF($O$350,MAX(1,2-(Vu_khi!$L$350-0)),2-(Vu_khi!$L$350-0))+1))))</f>
        <v/>
      </c>
      <c r="AB350" t="n">
        <v>1</v>
      </c>
      <c r="AC350">
        <f>IF(Vu_khi!$AG$350,INDEX(Bang_danh_noc!$C$2:$C$8,MIN(7,MAX(1,2-(Vu_khi!$L$350-2)+1))),INDEX(Bang_xuyen_giap!$C$2:$C$8,MIN(7,MAX(1,IF($O$350,MAX(1,2-(Vu_khi!$L$350-2)),2-(Vu_khi!$L$350-2))+1))))</f>
        <v/>
      </c>
      <c r="AD350" t="n">
        <v>0.85</v>
      </c>
      <c r="AE350">
        <f>IF(Vu_khi!$AG$350,INDEX(Bang_danh_noc!$C$2:$C$8,MIN(7,MAX(1,2-(Vu_khi!$L$350-4)+1))),INDEX(Bang_xuyen_giap!$C$2:$C$8,MIN(7,MAX(1,IF($O$350,MAX(1,2-(Vu_khi!$L$350-4)),2-(Vu_khi!$L$350-4))+1))))</f>
        <v/>
      </c>
      <c r="AF350" t="n">
        <v>0.4</v>
      </c>
      <c r="AG350">
        <f>INDEX(Bang_xuyen_giap!$C$2:$C$8,MIN(7,MAX(1,MAX(1,2-(Vu_khi!$L$350-0))+1)))</f>
        <v/>
      </c>
      <c r="AH350" t="n">
        <v>1</v>
      </c>
      <c r="AI350">
        <f>IF($Q$350,$M$350*$AA$350*$U$350,0)</f>
        <v/>
      </c>
      <c r="AJ350" t="n">
        <v>59.07928388746804</v>
      </c>
      <c r="AK350">
        <f>IF($Q$350,$M$350*$AC$350*$U$350,0)</f>
        <v/>
      </c>
      <c r="AL350" t="n">
        <v>50.21739130434783</v>
      </c>
      <c r="AM350">
        <f>IF($Q$350,$M$350*$AE$350*$U$350,0)</f>
        <v/>
      </c>
      <c r="AN350" t="n">
        <v>23.63171355498721</v>
      </c>
      <c r="AO350">
        <f>IF($Q$350,$M$350*$AC$350*$Y$350,0)</f>
        <v/>
      </c>
      <c r="AP350" t="n">
        <v>100.4347826086957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T350" t="b">
        <v>0</v>
      </c>
      <c r="AU350">
        <f>IF(AND($B$350&lt;0,$AS$350),4,$B$350)</f>
        <v/>
      </c>
      <c r="AV350" t="n">
        <v>3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0.24</v>
      </c>
      <c r="AZ350" t="inlineStr">
        <is>
          <t>NHANH_QUA;LECH_DOT_1</t>
        </is>
      </c>
      <c r="BA350" t="inlineStr"/>
      <c r="BB350" t="inlineStr">
        <is>
          <t>Assets/MachineBrigade/Resources/Data/balance.json: weapons[id=turret_thermobaric] (lớp B trên 01_chien_dau/Vu_khi)</t>
        </is>
      </c>
      <c r="BC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IF(Vu_khi!$AG$351,INDEX(Bang_danh_noc!$C$2:$C$8,MIN(7,MAX(1,2-(Vu_khi!$L$351-0)+1))),INDEX(Bang_xuyen_giap!$C$2:$C$8,MIN(7,MAX(1,IF($O$351,MAX(1,2-(Vu_khi!$L$351-0)),2-(Vu_khi!$L$351-0))+1))))</f>
        <v/>
      </c>
      <c r="AB351" t="n">
        <v>1.2</v>
      </c>
      <c r="AC351">
        <f>IF(Vu_khi!$AG$351,INDEX(Bang_danh_noc!$C$2:$C$8,MIN(7,MAX(1,2-(Vu_khi!$L$351-2)+1))),INDEX(Bang_xuyen_giap!$C$2:$C$8,MIN(7,MAX(1,IF($O$351,MAX(1,2-(Vu_khi!$L$351-2)),2-(Vu_khi!$L$351-2))+1))))</f>
        <v/>
      </c>
      <c r="AD351" t="n">
        <v>0.85</v>
      </c>
      <c r="AE351">
        <f>IF(Vu_khi!$AG$351,INDEX(Bang_danh_noc!$C$2:$C$8,MIN(7,MAX(1,2-(Vu_khi!$L$351-4)+1))),INDEX(Bang_xuyen_giap!$C$2:$C$8,MIN(7,MAX(1,IF($O$351,MAX(1,2-(Vu_khi!$L$351-4)),2-(Vu_khi!$L$351-4))+1))))</f>
        <v/>
      </c>
      <c r="AF351" t="n">
        <v>0.4</v>
      </c>
      <c r="AG351">
        <f>INDEX(Bang_xuyen_giap!$C$2:$C$8,MIN(7,MAX(1,MAX(1,2-(Vu_khi!$L$351-0))+1)))</f>
        <v/>
      </c>
      <c r="AH351" t="n">
        <v>1</v>
      </c>
      <c r="AI351">
        <f>IF($Q$351,$M$351*$AA$351*$U$351,0)</f>
        <v/>
      </c>
      <c r="AJ351" t="n">
        <v>152.0883341334613</v>
      </c>
      <c r="AK351">
        <f>IF($Q$351,$M$351*$AC$351*$U$351,0)</f>
        <v/>
      </c>
      <c r="AL351" t="n">
        <v>107.7292366778685</v>
      </c>
      <c r="AM351">
        <f>IF($Q$351,$M$351*$AE$351*$U$351,0)</f>
        <v/>
      </c>
      <c r="AN351" t="n">
        <v>50.69611137782044</v>
      </c>
      <c r="AO351">
        <f>IF($Q$351,$M$351*$AC$351*$Y$351,0)</f>
        <v/>
      </c>
      <c r="AP351" t="n">
        <v>62.84205472875659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T351" t="b">
        <v>0</v>
      </c>
      <c r="AU351">
        <f>IF(AND($B$351&lt;0,$AS$351),4,$B$351)</f>
        <v/>
      </c>
      <c r="AV351" t="n">
        <v>1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5.554667</v>
      </c>
      <c r="AZ351" t="inlineStr">
        <is>
          <t>CHAM_QUA</t>
        </is>
      </c>
      <c r="BA351" t="inlineStr"/>
      <c r="BB351" t="inlineStr">
        <is>
          <t>Assets/MachineBrigade/Resources/Data/balance.json: weapons[id=twin_30_bmpt] (lớp B trên 01_chien_dau/Vu_khi)</t>
        </is>
      </c>
      <c r="BC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IF(Vu_khi!$AG$352,INDEX(Bang_danh_noc!$C$2:$C$8,MIN(7,MAX(1,2-(Vu_khi!$L$352-0)+1))),INDEX(Bang_xuyen_giap!$C$2:$C$8,MIN(7,MAX(1,IF($O$352,MAX(1,2-(Vu_khi!$L$352-0)),2-(Vu_khi!$L$352-0))+1))))</f>
        <v/>
      </c>
      <c r="AB352" t="n">
        <v>1.2</v>
      </c>
      <c r="AC352">
        <f>IF(Vu_khi!$AG$352,INDEX(Bang_danh_noc!$C$2:$C$8,MIN(7,MAX(1,2-(Vu_khi!$L$352-2)+1))),INDEX(Bang_xuyen_giap!$C$2:$C$8,MIN(7,MAX(1,IF($O$352,MAX(1,2-(Vu_khi!$L$352-2)),2-(Vu_khi!$L$352-2))+1))))</f>
        <v/>
      </c>
      <c r="AD352" t="n">
        <v>0.85</v>
      </c>
      <c r="AE352">
        <f>IF(Vu_khi!$AG$352,INDEX(Bang_danh_noc!$C$2:$C$8,MIN(7,MAX(1,2-(Vu_khi!$L$352-4)+1))),INDEX(Bang_xuyen_giap!$C$2:$C$8,MIN(7,MAX(1,IF($O$352,MAX(1,2-(Vu_khi!$L$352-4)),2-(Vu_khi!$L$352-4))+1))))</f>
        <v/>
      </c>
      <c r="AF352" t="n">
        <v>0.4</v>
      </c>
      <c r="AG352">
        <f>INDEX(Bang_xuyen_giap!$C$2:$C$8,MIN(7,MAX(1,MAX(1,2-(Vu_khi!$L$352-0))+1)))</f>
        <v/>
      </c>
      <c r="AH352" t="n">
        <v>1</v>
      </c>
      <c r="AI352">
        <f>IF($Q$352,$M$352*$AA$352*$U$352,0)</f>
        <v/>
      </c>
      <c r="AJ352" t="n">
        <v>0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IF($Q$352,$M$352*$AC$352*$Y$352,0)</f>
        <v/>
      </c>
      <c r="AP352" t="n">
        <v>0</v>
      </c>
      <c r="AQ352">
        <f>IF($S$352,$M$352*$AG$352*$W$352,0)</f>
        <v/>
      </c>
      <c r="AR352" t="n">
        <v>142.58281325012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T352" t="b">
        <v>0</v>
      </c>
      <c r="AU352">
        <f>IF(AND($B$352&lt;0,$AS$352),4,$B$352)</f>
        <v/>
      </c>
      <c r="AV352" t="n">
        <v>1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weapons[id=twin_30_bmpt_flak] (lớp B trên 01_chien_dau/Vu_khi)</t>
        </is>
      </c>
      <c r="BC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IF(Vu_khi!$AG$353,INDEX(Bang_danh_noc!$C$2:$C$8,MIN(7,MAX(1,2-(Vu_khi!$L$353-0)+1))),INDEX(Bang_xuyen_giap!$C$2:$C$8,MIN(7,MAX(1,IF($O$353,MAX(1,2-(Vu_khi!$L$353-0)),2-(Vu_khi!$L$353-0))+1))))</f>
        <v/>
      </c>
      <c r="AB353" t="n">
        <v>1.2</v>
      </c>
      <c r="AC353">
        <f>IF(Vu_khi!$AG$353,INDEX(Bang_danh_noc!$C$2:$C$8,MIN(7,MAX(1,2-(Vu_khi!$L$353-2)+1))),INDEX(Bang_xuyen_giap!$C$2:$C$8,MIN(7,MAX(1,IF($O$353,MAX(1,2-(Vu_khi!$L$353-2)),2-(Vu_khi!$L$353-2))+1))))</f>
        <v/>
      </c>
      <c r="AD353" t="n">
        <v>0.85</v>
      </c>
      <c r="AE353">
        <f>IF(Vu_khi!$AG$353,INDEX(Bang_danh_noc!$C$2:$C$8,MIN(7,MAX(1,2-(Vu_khi!$L$353-4)+1))),INDEX(Bang_xuyen_giap!$C$2:$C$8,MIN(7,MAX(1,IF($O$353,MAX(1,2-(Vu_khi!$L$353-4)),2-(Vu_khi!$L$353-4))+1))))</f>
        <v/>
      </c>
      <c r="AF353" t="n">
        <v>0.4</v>
      </c>
      <c r="AG353">
        <f>INDEX(Bang_xuyen_giap!$C$2:$C$8,MIN(7,MAX(1,MAX(1,2-(Vu_khi!$L$353-0))+1)))</f>
        <v/>
      </c>
      <c r="AH353" t="n">
        <v>1</v>
      </c>
      <c r="AI353">
        <f>IF($Q$353,$M$353*$AA$353*$U$353,0)</f>
        <v/>
      </c>
      <c r="AJ353" t="n">
        <v>92.57142857142857</v>
      </c>
      <c r="AK353">
        <f>IF($Q$353,$M$353*$AC$353*$U$353,0)</f>
        <v/>
      </c>
      <c r="AL353" t="n">
        <v>65.57142857142857</v>
      </c>
      <c r="AM353">
        <f>IF($Q$353,$M$353*$AE$353*$U$353,0)</f>
        <v/>
      </c>
      <c r="AN353" t="n">
        <v>30.85714285714286</v>
      </c>
      <c r="AO353">
        <f>IF($Q$353,$M$353*$AC$353*$Y$353,0)</f>
        <v/>
      </c>
      <c r="AP353" t="n">
        <v>14.57142857142857</v>
      </c>
      <c r="AQ353">
        <f>IF($S$353,$M$353*$AG$353*$W$353,0)</f>
        <v/>
      </c>
      <c r="AR353" t="n">
        <v>231.4285714285714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T353" t="b">
        <v>0</v>
      </c>
      <c r="AU353">
        <f>IF(AND($B$353&lt;0,$AS$353),4,$B$353)</f>
        <v/>
      </c>
      <c r="AV353" t="n">
        <v>1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3.645833</v>
      </c>
      <c r="AZ353" t="inlineStr">
        <is>
          <t>ok</t>
        </is>
      </c>
      <c r="BA353" t="inlineStr"/>
      <c r="BB353" t="inlineStr">
        <is>
          <t>Assets/MachineBrigade/Resources/Data/balance.json: weapons[id=twin_30_flak] (lớp B trên 01_chien_dau/Vu_khi)</t>
        </is>
      </c>
      <c r="BC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IF(Vu_khi!$AG$354,INDEX(Bang_danh_noc!$C$2:$C$8,MIN(7,MAX(1,2-(Vu_khi!$L$354-0)+1))),INDEX(Bang_xuyen_giap!$C$2:$C$8,MIN(7,MAX(1,IF($O$354,MAX(1,2-(Vu_khi!$L$354-0)),2-(Vu_khi!$L$354-0))+1))))</f>
        <v/>
      </c>
      <c r="AB354" t="n">
        <v>1.2</v>
      </c>
      <c r="AC354">
        <f>IF(Vu_khi!$AG$354,INDEX(Bang_danh_noc!$C$2:$C$8,MIN(7,MAX(1,2-(Vu_khi!$L$354-2)+1))),INDEX(Bang_xuyen_giap!$C$2:$C$8,MIN(7,MAX(1,IF($O$354,MAX(1,2-(Vu_khi!$L$354-2)),2-(Vu_khi!$L$354-2))+1))))</f>
        <v/>
      </c>
      <c r="AD354" t="n">
        <v>0.85</v>
      </c>
      <c r="AE354">
        <f>IF(Vu_khi!$AG$354,INDEX(Bang_danh_noc!$C$2:$C$8,MIN(7,MAX(1,2-(Vu_khi!$L$354-4)+1))),INDEX(Bang_xuyen_giap!$C$2:$C$8,MIN(7,MAX(1,IF($O$354,MAX(1,2-(Vu_khi!$L$354-4)),2-(Vu_khi!$L$354-4))+1))))</f>
        <v/>
      </c>
      <c r="AF354" t="n">
        <v>0.4</v>
      </c>
      <c r="AG354">
        <f>INDEX(Bang_xuyen_giap!$C$2:$C$8,MIN(7,MAX(1,MAX(1,2-(Vu_khi!$L$354-0))+1)))</f>
        <v/>
      </c>
      <c r="AH354" t="n">
        <v>1</v>
      </c>
      <c r="AI354">
        <f>IF($Q$354,$M$354*$AA$354*$U$354,0)</f>
        <v/>
      </c>
      <c r="AJ354" t="n">
        <v>246.8571428571428</v>
      </c>
      <c r="AK354">
        <f>IF($Q$354,$M$354*$AC$354*$U$354,0)</f>
        <v/>
      </c>
      <c r="AL354" t="n">
        <v>174.8571428571429</v>
      </c>
      <c r="AM354">
        <f>IF($Q$354,$M$354*$AE$354*$U$354,0)</f>
        <v/>
      </c>
      <c r="AN354" t="n">
        <v>82.28571428571428</v>
      </c>
      <c r="AO354">
        <f>IF($Q$354,$M$354*$AC$354*$Y$354,0)</f>
        <v/>
      </c>
      <c r="AP354" t="n">
        <v>102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T354" t="b">
        <v>0</v>
      </c>
      <c r="AU354">
        <f>IF(AND($B$354&lt;0,$AS$354),4,$B$354)</f>
        <v/>
      </c>
      <c r="AV354" t="n">
        <v>1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0</v>
      </c>
      <c r="BB354" t="inlineStr">
        <is>
          <t>Assets/MachineBrigade/Resources/Data/balance.json: weapons[id=twin_30_flak_ap] (lớp B trên 01_chien_dau/Vu_khi)</t>
        </is>
      </c>
      <c r="BC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IF(Vu_khi!$AG$355,INDEX(Bang_danh_noc!$C$2:$C$8,MIN(7,MAX(1,2-(Vu_khi!$L$355-0)+1))),INDEX(Bang_xuyen_giap!$C$2:$C$8,MIN(7,MAX(1,IF($O$355,MAX(1,2-(Vu_khi!$L$355-0)),2-(Vu_khi!$L$355-0))+1))))</f>
        <v/>
      </c>
      <c r="AB355" t="n">
        <v>1.2</v>
      </c>
      <c r="AC355">
        <f>IF(Vu_khi!$AG$355,INDEX(Bang_danh_noc!$C$2:$C$8,MIN(7,MAX(1,2-(Vu_khi!$L$355-2)+1))),INDEX(Bang_xuyen_giap!$C$2:$C$8,MIN(7,MAX(1,IF($O$355,MAX(1,2-(Vu_khi!$L$355-2)),2-(Vu_khi!$L$355-2))+1))))</f>
        <v/>
      </c>
      <c r="AD355" t="n">
        <v>0.85</v>
      </c>
      <c r="AE355">
        <f>IF(Vu_khi!$AG$355,INDEX(Bang_danh_noc!$C$2:$C$8,MIN(7,MAX(1,2-(Vu_khi!$L$355-4)+1))),INDEX(Bang_xuyen_giap!$C$2:$C$8,MIN(7,MAX(1,IF($O$355,MAX(1,2-(Vu_khi!$L$355-4)),2-(Vu_khi!$L$355-4))+1))))</f>
        <v/>
      </c>
      <c r="AF355" t="n">
        <v>0.4</v>
      </c>
      <c r="AG355">
        <f>INDEX(Bang_xuyen_giap!$C$2:$C$8,MIN(7,MAX(1,MAX(1,2-(Vu_khi!$L$355-0))+1)))</f>
        <v/>
      </c>
      <c r="AH355" t="n">
        <v>1</v>
      </c>
      <c r="AI355">
        <f>IF($Q$355,$M$355*$AA$355*$U$355,0)</f>
        <v/>
      </c>
      <c r="AJ355" t="n">
        <v>54.97976765435322</v>
      </c>
      <c r="AK355">
        <f>IF($Q$355,$M$355*$AC$355*$U$355,0)</f>
        <v/>
      </c>
      <c r="AL355" t="n">
        <v>38.9440020885002</v>
      </c>
      <c r="AM355">
        <f>IF($Q$355,$M$355*$AE$355*$U$355,0)</f>
        <v/>
      </c>
      <c r="AN355" t="n">
        <v>18.32658921811774</v>
      </c>
      <c r="AO355">
        <f>IF($Q$355,$M$355*$AC$355*$Y$355,0)</f>
        <v/>
      </c>
      <c r="AP355" t="n">
        <v>8.654222686333377</v>
      </c>
      <c r="AQ355">
        <f>IF($S$355,$M$355*$AG$355*$W$355,0)</f>
        <v/>
      </c>
      <c r="AR355" t="n">
        <v>137.4494191358831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T355" t="b">
        <v>0</v>
      </c>
      <c r="AU355">
        <f>IF(AND($B$355&lt;0,$AS$355),4,$B$355)</f>
        <v/>
      </c>
      <c r="AV355" t="n">
        <v>1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4.256111</v>
      </c>
      <c r="AZ355" t="inlineStr">
        <is>
          <t>LECH_DOT_1</t>
        </is>
      </c>
      <c r="BA355" t="inlineStr"/>
      <c r="BB355" t="inlineStr">
        <is>
          <t>Assets/MachineBrigade/Resources/Data/balance.json: weapons[id=twin_35_ahead] (lớp B trên 01_chien_dau/Vu_khi)</t>
        </is>
      </c>
      <c r="BC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IF(Vu_khi!$AG$356,INDEX(Bang_danh_noc!$C$2:$C$8,MIN(7,MAX(1,2-(Vu_khi!$L$356-0)+1))),INDEX(Bang_xuyen_giap!$C$2:$C$8,MIN(7,MAX(1,IF($O$356,MAX(1,2-(Vu_khi!$L$356-0)),2-(Vu_khi!$L$356-0))+1))))</f>
        <v/>
      </c>
      <c r="AB356" t="n">
        <v>1.2</v>
      </c>
      <c r="AC356">
        <f>IF(Vu_khi!$AG$356,INDEX(Bang_danh_noc!$C$2:$C$8,MIN(7,MAX(1,2-(Vu_khi!$L$356-2)+1))),INDEX(Bang_xuyen_giap!$C$2:$C$8,MIN(7,MAX(1,IF($O$356,MAX(1,2-(Vu_khi!$L$356-2)),2-(Vu_khi!$L$356-2))+1))))</f>
        <v/>
      </c>
      <c r="AD356" t="n">
        <v>0.85</v>
      </c>
      <c r="AE356">
        <f>IF(Vu_khi!$AG$356,INDEX(Bang_danh_noc!$C$2:$C$8,MIN(7,MAX(1,2-(Vu_khi!$L$356-4)+1))),INDEX(Bang_xuyen_giap!$C$2:$C$8,MIN(7,MAX(1,IF($O$356,MAX(1,2-(Vu_khi!$L$356-4)),2-(Vu_khi!$L$356-4))+1))))</f>
        <v/>
      </c>
      <c r="AF356" t="n">
        <v>0.4</v>
      </c>
      <c r="AG356">
        <f>INDEX(Bang_xuyen_giap!$C$2:$C$8,MIN(7,MAX(1,MAX(1,2-(Vu_khi!$L$356-0))+1)))</f>
        <v/>
      </c>
      <c r="AH356" t="n">
        <v>1</v>
      </c>
      <c r="AI356">
        <f>IF($Q$356,$M$356*$AA$356*$U$356,0)</f>
        <v/>
      </c>
      <c r="AJ356" t="n">
        <v>146.6127137449419</v>
      </c>
      <c r="AK356">
        <f>IF($Q$356,$M$356*$AC$356*$U$356,0)</f>
        <v/>
      </c>
      <c r="AL356" t="n">
        <v>103.8506722360005</v>
      </c>
      <c r="AM356">
        <f>IF($Q$356,$M$356*$AE$356*$U$356,0)</f>
        <v/>
      </c>
      <c r="AN356" t="n">
        <v>48.8709045816473</v>
      </c>
      <c r="AO356">
        <f>IF($Q$356,$M$356*$AC$356*$Y$356,0)</f>
        <v/>
      </c>
      <c r="AP356" t="n">
        <v>60.57955880433364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T356" t="b">
        <v>0</v>
      </c>
      <c r="AU356">
        <f>IF(AND($B$356&lt;0,$AS$356),4,$B$356)</f>
        <v/>
      </c>
      <c r="AV356" t="n">
        <v>1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BB356" t="inlineStr">
        <is>
          <t>Assets/MachineBrigade/Resources/Data/balance.json: weapons[id=twin_35_ahead_ap] (lớp B trên 01_chien_dau/Vu_khi)</t>
        </is>
      </c>
      <c r="BC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IF(Vu_khi!$AG$357,INDEX(Bang_danh_noc!$C$2:$C$8,MIN(7,MAX(1,2-(Vu_khi!$L$357-0)+1))),INDEX(Bang_xuyen_giap!$C$2:$C$8,MIN(7,MAX(1,IF($O$357,MAX(1,2-(Vu_khi!$L$357-0)),2-(Vu_khi!$L$357-0))+1))))</f>
        <v/>
      </c>
      <c r="AB357" t="n">
        <v>1.2</v>
      </c>
      <c r="AC357">
        <f>IF(Vu_khi!$AG$357,INDEX(Bang_danh_noc!$C$2:$C$8,MIN(7,MAX(1,2-(Vu_khi!$L$357-2)+1))),INDEX(Bang_xuyen_giap!$C$2:$C$8,MIN(7,MAX(1,IF($O$357,MAX(1,2-(Vu_khi!$L$357-2)),2-(Vu_khi!$L$357-2))+1))))</f>
        <v/>
      </c>
      <c r="AD357" t="n">
        <v>1.2</v>
      </c>
      <c r="AE357">
        <f>IF(Vu_khi!$AG$357,INDEX(Bang_danh_noc!$C$2:$C$8,MIN(7,MAX(1,2-(Vu_khi!$L$357-4)+1))),INDEX(Bang_xuyen_giap!$C$2:$C$8,MIN(7,MAX(1,IF($O$357,MAX(1,2-(Vu_khi!$L$357-4)),2-(Vu_khi!$L$357-4))+1))))</f>
        <v/>
      </c>
      <c r="AF357" t="n">
        <v>0.85</v>
      </c>
      <c r="AG357">
        <f>INDEX(Bang_xuyen_giap!$C$2:$C$8,MIN(7,MAX(1,MAX(1,2-(Vu_khi!$L$357-0))+1)))</f>
        <v/>
      </c>
      <c r="AH357" t="n">
        <v>1</v>
      </c>
      <c r="AI357">
        <f>IF($Q$357,$M$357*$AA$357*$U$357,0)</f>
        <v/>
      </c>
      <c r="AJ357" t="n">
        <v>103.3112582781457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73.17880794701988</v>
      </c>
      <c r="AO357">
        <f>IF($Q$357,$M$357*$AC$357*$Y$357,0)</f>
        <v/>
      </c>
      <c r="AP357" t="n">
        <v>35.76158940397352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T357" t="b">
        <v>0</v>
      </c>
      <c r="AU357">
        <f>IF(AND($B$357&lt;0,$AS$357),4,$B$357)</f>
        <v/>
      </c>
      <c r="AV357" t="n">
        <v>2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AY357" t="inlineStr"/>
      <c r="AZ357" t="inlineStr">
        <is>
          <t>ok</t>
        </is>
      </c>
      <c r="BA357" t="inlineStr"/>
      <c r="BB357" t="inlineStr">
        <is>
          <t>Assets/MachineBrigade/Resources/Data/balance.json: weapons[id=vikhr] (lớp B trên 01_chien_dau/Vu_khi)</t>
        </is>
      </c>
      <c r="BC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IF(Vu_khi!$AG$358,INDEX(Bang_danh_noc!$C$2:$C$8,MIN(7,MAX(1,2-(Vu_khi!$L$358-0)+1))),INDEX(Bang_xuyen_giap!$C$2:$C$8,MIN(7,MAX(1,IF($O$358,MAX(1,2-(Vu_khi!$L$358-0)),2-(Vu_khi!$L$358-0))+1))))</f>
        <v/>
      </c>
      <c r="AB358" t="n">
        <v>1.2</v>
      </c>
      <c r="AC358">
        <f>IF(Vu_khi!$AG$358,INDEX(Bang_danh_noc!$C$2:$C$8,MIN(7,MAX(1,2-(Vu_khi!$L$358-2)+1))),INDEX(Bang_xuyen_giap!$C$2:$C$8,MIN(7,MAX(1,IF($O$358,MAX(1,2-(Vu_khi!$L$358-2)),2-(Vu_khi!$L$358-2))+1))))</f>
        <v/>
      </c>
      <c r="AD358" t="n">
        <v>0.85</v>
      </c>
      <c r="AE358">
        <f>IF(Vu_khi!$AG$358,INDEX(Bang_danh_noc!$C$2:$C$8,MIN(7,MAX(1,2-(Vu_khi!$L$358-4)+1))),INDEX(Bang_xuyen_giap!$C$2:$C$8,MIN(7,MAX(1,IF($O$358,MAX(1,2-(Vu_khi!$L$358-4)),2-(Vu_khi!$L$358-4))+1))))</f>
        <v/>
      </c>
      <c r="AF358" t="n">
        <v>0.4</v>
      </c>
      <c r="AG358">
        <f>INDEX(Bang_xuyen_giap!$C$2:$C$8,MIN(7,MAX(1,MAX(1,2-(Vu_khi!$L$358-0))+1)))</f>
        <v/>
      </c>
      <c r="AH358" t="n">
        <v>1</v>
      </c>
      <c r="AI358">
        <f>IF($Q$358,$M$358*$AA$358*$U$358,0)</f>
        <v/>
      </c>
      <c r="AJ358" t="n">
        <v>0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IF($Q$358,$M$358*$AC$358*$Y$358,0)</f>
        <v/>
      </c>
      <c r="AP358" t="n">
        <v>0</v>
      </c>
      <c r="AQ358">
        <f>IF($S$358,$M$358*$AG$358*$W$358,0)</f>
        <v/>
      </c>
      <c r="AR358" t="n">
        <v>147.0990566037736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T358" t="b">
        <v>0</v>
      </c>
      <c r="AU358">
        <f>IF(AND($B$358&lt;0,$AS$358),4,$B$358)</f>
        <v/>
      </c>
      <c r="AV358" t="n">
        <v>2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inlineStr"/>
      <c r="AZ358" t="inlineStr">
        <is>
          <t>ok</t>
        </is>
      </c>
      <c r="BA358" t="inlineStr"/>
      <c r="BB358" t="inlineStr">
        <is>
          <t>Assets/MachineBrigade/Resources/Data/balance.json: weapons[id=wvr_aam] (lớp B trên 01_chien_dau/Vu_khi)</t>
        </is>
      </c>
      <c r="BC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IF(Vu_khi!$AG$359,INDEX(Bang_danh_noc!$C$2:$C$8,MIN(7,MAX(1,2-(Vu_khi!$L$359-0)+1))),INDEX(Bang_xuyen_giap!$C$2:$C$8,MIN(7,MAX(1,IF($O$359,MAX(1,2-(Vu_khi!$L$359-0)),2-(Vu_khi!$L$359-0))+1))))</f>
        <v/>
      </c>
      <c r="AB359" t="n">
        <v>1</v>
      </c>
      <c r="AC359">
        <f>IF(Vu_khi!$AG$359,INDEX(Bang_danh_noc!$C$2:$C$8,MIN(7,MAX(1,2-(Vu_khi!$L$359-2)+1))),INDEX(Bang_xuyen_giap!$C$2:$C$8,MIN(7,MAX(1,IF($O$359,MAX(1,2-(Vu_khi!$L$359-2)),2-(Vu_khi!$L$359-2))+1))))</f>
        <v/>
      </c>
      <c r="AD359" t="n">
        <v>0.65</v>
      </c>
      <c r="AE359">
        <f>IF(Vu_khi!$AG$359,INDEX(Bang_danh_noc!$C$2:$C$8,MIN(7,MAX(1,2-(Vu_khi!$L$359-4)+1))),INDEX(Bang_xuyen_giap!$C$2:$C$8,MIN(7,MAX(1,IF($O$359,MAX(1,2-(Vu_khi!$L$359-4)),2-(Vu_khi!$L$359-4))+1))))</f>
        <v/>
      </c>
      <c r="AF359" t="n">
        <v>0.15</v>
      </c>
      <c r="AG359">
        <f>INDEX(Bang_xuyen_giap!$C$2:$C$8,MIN(7,MAX(1,MAX(1,2-(Vu_khi!$L$359-0))+1)))</f>
        <v/>
      </c>
      <c r="AH359" t="n">
        <v>1</v>
      </c>
      <c r="AI359">
        <f>IF($Q$359,$M$359*$AA$359*$U$359,0)</f>
        <v/>
      </c>
      <c r="AJ359" t="n">
        <v>31.5</v>
      </c>
      <c r="AK359">
        <f>IF($Q$359,$M$359*$AC$359*$U$359,0)</f>
        <v/>
      </c>
      <c r="AL359" t="n">
        <v>20.475</v>
      </c>
      <c r="AM359">
        <f>IF($Q$359,$M$359*$AE$359*$U$359,0)</f>
        <v/>
      </c>
      <c r="AN359" t="n">
        <v>4.725000000000001</v>
      </c>
      <c r="AO359">
        <f>IF($Q$359,$M$359*$AC$359*$Y$359,0)</f>
        <v/>
      </c>
      <c r="AP359" t="n">
        <v>4.55</v>
      </c>
      <c r="AQ359">
        <f>IF($S$359,$M$359*$AG$359*$W$359,0)</f>
        <v/>
      </c>
      <c r="AR359" t="n">
        <v>94.5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T359" t="b">
        <v>0</v>
      </c>
      <c r="AU359">
        <f>IF(AND($B$359&lt;0,$AS$359),4,$B$359)</f>
        <v/>
      </c>
      <c r="AV359" t="n">
        <v>1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AY359" t="n">
        <v>1.666667</v>
      </c>
      <c r="AZ359" t="inlineStr">
        <is>
          <t>ok</t>
        </is>
      </c>
      <c r="BA359" t="inlineStr"/>
      <c r="BB359" t="inlineStr">
        <is>
          <t>Assets/MachineBrigade/Resources/Data/balance.json: weapons[id=zu23] (lớp B trên 01_chien_dau/Vu_khi)</t>
        </is>
      </c>
      <c r="BC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IF(Vu_khi!$AG$360,INDEX(Bang_danh_noc!$C$2:$C$8,MIN(7,MAX(1,2-(Vu_khi!$L$360-0)+1))),INDEX(Bang_xuyen_giap!$C$2:$C$8,MIN(7,MAX(1,IF($O$360,MAX(1,2-(Vu_khi!$L$360-0)),2-(Vu_khi!$L$360-0))+1))))</f>
        <v/>
      </c>
      <c r="AB360" t="n">
        <v>1.2</v>
      </c>
      <c r="AC360">
        <f>IF(Vu_khi!$AG$360,INDEX(Bang_danh_noc!$C$2:$C$8,MIN(7,MAX(1,2-(Vu_khi!$L$360-2)+1))),INDEX(Bang_xuyen_giap!$C$2:$C$8,MIN(7,MAX(1,IF($O$360,MAX(1,2-(Vu_khi!$L$360-2)),2-(Vu_khi!$L$360-2))+1))))</f>
        <v/>
      </c>
      <c r="AD360" t="n">
        <v>0.85</v>
      </c>
      <c r="AE360">
        <f>IF(Vu_khi!$AG$360,INDEX(Bang_danh_noc!$C$2:$C$8,MIN(7,MAX(1,2-(Vu_khi!$L$360-4)+1))),INDEX(Bang_xuyen_giap!$C$2:$C$8,MIN(7,MAX(1,IF($O$360,MAX(1,2-(Vu_khi!$L$360-4)),2-(Vu_khi!$L$360-4))+1))))</f>
        <v/>
      </c>
      <c r="AF360" t="n">
        <v>0.4</v>
      </c>
      <c r="AG360">
        <f>INDEX(Bang_xuyen_giap!$C$2:$C$8,MIN(7,MAX(1,MAX(1,2-(Vu_khi!$L$360-0))+1)))</f>
        <v/>
      </c>
      <c r="AH360" t="n">
        <v>1</v>
      </c>
      <c r="AI360">
        <f>IF($Q$360,$M$360*$AA$360*$U$360,0)</f>
        <v/>
      </c>
      <c r="AJ360" t="n">
        <v>100.8</v>
      </c>
      <c r="AK360">
        <f>IF($Q$360,$M$360*$AC$360*$U$360,0)</f>
        <v/>
      </c>
      <c r="AL360" t="n">
        <v>71.40000000000001</v>
      </c>
      <c r="AM360">
        <f>IF($Q$360,$M$360*$AE$360*$U$360,0)</f>
        <v/>
      </c>
      <c r="AN360" t="n">
        <v>33.6</v>
      </c>
      <c r="AO360">
        <f>IF($Q$360,$M$360*$AC$360*$Y$360,0)</f>
        <v/>
      </c>
      <c r="AP360" t="n">
        <v>41.65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T360" t="b">
        <v>0</v>
      </c>
      <c r="AU360">
        <f>IF(AND($B$360&lt;0,$AS$360),4,$B$360)</f>
        <v/>
      </c>
      <c r="AV360" t="n">
        <v>1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BB360" t="inlineStr">
        <is>
          <t>Assets/MachineBrigade/Resources/Data/balance.json: weapons[id=zu23_ap] (lớp B trên 01_chien_dau/Vu_khi)</t>
        </is>
      </c>
      <c r="BC360" t="inlineStr"/>
    </row>
  </sheetData>
  <autoFilter ref="A1:BC3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Q21" t="n">
        <v>4</v>
      </c>
      <c r="AR21" t="n">
        <v>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[5,3,2,2]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